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uhuiJin\Downloads\"/>
    </mc:Choice>
  </mc:AlternateContent>
  <xr:revisionPtr revIDLastSave="0" documentId="13_ncr:1_{18CBBB64-E280-4BFC-9944-58F1356FFD6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ily Grid" sheetId="1" r:id="rId1"/>
    <sheet name="Events" sheetId="2" r:id="rId2"/>
    <sheet name="FEMA Disasters" sheetId="4" r:id="rId3"/>
    <sheet name="Legend" sheetId="3" r:id="rId4"/>
  </sheets>
  <definedNames>
    <definedName name="_xlnm._FilterDatabase" localSheetId="0" hidden="1">'Daily Grid'!$A$1:$I$883</definedName>
    <definedName name="_xlnm._FilterDatabase" localSheetId="1" hidden="1">Events!$A$1:$F$391</definedName>
    <definedName name="_xlnm._FilterDatabase" localSheetId="2" hidden="1">'FEMA Disasters'!$A$1:$K$355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83" i="1" l="1"/>
  <c r="H883" i="1"/>
  <c r="F883" i="1"/>
  <c r="E883" i="1"/>
  <c r="D883" i="1"/>
  <c r="C883" i="1"/>
  <c r="B883" i="1"/>
  <c r="I882" i="1"/>
  <c r="H882" i="1"/>
  <c r="F882" i="1"/>
  <c r="E882" i="1"/>
  <c r="D882" i="1"/>
  <c r="C882" i="1"/>
  <c r="B882" i="1"/>
  <c r="I881" i="1"/>
  <c r="H881" i="1"/>
  <c r="F881" i="1"/>
  <c r="E881" i="1"/>
  <c r="D881" i="1"/>
  <c r="C881" i="1"/>
  <c r="B881" i="1"/>
  <c r="I880" i="1"/>
  <c r="H880" i="1"/>
  <c r="F880" i="1"/>
  <c r="E880" i="1"/>
  <c r="D880" i="1"/>
  <c r="C880" i="1"/>
  <c r="B880" i="1"/>
  <c r="I879" i="1"/>
  <c r="H879" i="1"/>
  <c r="F879" i="1"/>
  <c r="E879" i="1"/>
  <c r="D879" i="1"/>
  <c r="C879" i="1"/>
  <c r="B879" i="1"/>
  <c r="I878" i="1"/>
  <c r="H878" i="1"/>
  <c r="F878" i="1"/>
  <c r="E878" i="1"/>
  <c r="D878" i="1"/>
  <c r="C878" i="1"/>
  <c r="B878" i="1"/>
  <c r="I877" i="1"/>
  <c r="H877" i="1"/>
  <c r="F877" i="1"/>
  <c r="E877" i="1"/>
  <c r="D877" i="1"/>
  <c r="C877" i="1"/>
  <c r="B877" i="1"/>
  <c r="I876" i="1"/>
  <c r="H876" i="1"/>
  <c r="F876" i="1"/>
  <c r="E876" i="1"/>
  <c r="D876" i="1"/>
  <c r="C876" i="1"/>
  <c r="B876" i="1"/>
  <c r="I875" i="1"/>
  <c r="H875" i="1"/>
  <c r="F875" i="1"/>
  <c r="E875" i="1"/>
  <c r="D875" i="1"/>
  <c r="C875" i="1"/>
  <c r="B875" i="1"/>
  <c r="I874" i="1"/>
  <c r="H874" i="1"/>
  <c r="F874" i="1"/>
  <c r="E874" i="1"/>
  <c r="D874" i="1"/>
  <c r="C874" i="1"/>
  <c r="B874" i="1"/>
  <c r="I873" i="1"/>
  <c r="H873" i="1"/>
  <c r="F873" i="1"/>
  <c r="E873" i="1"/>
  <c r="D873" i="1"/>
  <c r="C873" i="1"/>
  <c r="B873" i="1"/>
  <c r="I872" i="1"/>
  <c r="H872" i="1"/>
  <c r="F872" i="1"/>
  <c r="E872" i="1"/>
  <c r="D872" i="1"/>
  <c r="C872" i="1"/>
  <c r="B872" i="1"/>
  <c r="I871" i="1"/>
  <c r="H871" i="1"/>
  <c r="F871" i="1"/>
  <c r="E871" i="1"/>
  <c r="D871" i="1"/>
  <c r="C871" i="1"/>
  <c r="B871" i="1"/>
  <c r="I870" i="1"/>
  <c r="H870" i="1"/>
  <c r="F870" i="1"/>
  <c r="E870" i="1"/>
  <c r="D870" i="1"/>
  <c r="C870" i="1"/>
  <c r="B870" i="1"/>
  <c r="I869" i="1"/>
  <c r="H869" i="1"/>
  <c r="F869" i="1"/>
  <c r="E869" i="1"/>
  <c r="D869" i="1"/>
  <c r="C869" i="1"/>
  <c r="B869" i="1"/>
  <c r="I868" i="1"/>
  <c r="H868" i="1"/>
  <c r="F868" i="1"/>
  <c r="E868" i="1"/>
  <c r="D868" i="1"/>
  <c r="C868" i="1"/>
  <c r="B868" i="1"/>
  <c r="I867" i="1"/>
  <c r="H867" i="1"/>
  <c r="F867" i="1"/>
  <c r="E867" i="1"/>
  <c r="D867" i="1"/>
  <c r="C867" i="1"/>
  <c r="B867" i="1"/>
  <c r="I866" i="1"/>
  <c r="H866" i="1"/>
  <c r="F866" i="1"/>
  <c r="E866" i="1"/>
  <c r="D866" i="1"/>
  <c r="C866" i="1"/>
  <c r="B866" i="1"/>
  <c r="I865" i="1"/>
  <c r="H865" i="1"/>
  <c r="F865" i="1"/>
  <c r="E865" i="1"/>
  <c r="D865" i="1"/>
  <c r="C865" i="1"/>
  <c r="B865" i="1"/>
  <c r="I864" i="1"/>
  <c r="H864" i="1"/>
  <c r="F864" i="1"/>
  <c r="E864" i="1"/>
  <c r="D864" i="1"/>
  <c r="C864" i="1"/>
  <c r="B864" i="1"/>
  <c r="I863" i="1"/>
  <c r="H863" i="1"/>
  <c r="F863" i="1"/>
  <c r="E863" i="1"/>
  <c r="D863" i="1"/>
  <c r="C863" i="1"/>
  <c r="B863" i="1"/>
  <c r="I862" i="1"/>
  <c r="H862" i="1"/>
  <c r="F862" i="1"/>
  <c r="E862" i="1"/>
  <c r="D862" i="1"/>
  <c r="C862" i="1"/>
  <c r="B862" i="1"/>
  <c r="I861" i="1"/>
  <c r="H861" i="1"/>
  <c r="F861" i="1"/>
  <c r="E861" i="1"/>
  <c r="D861" i="1"/>
  <c r="C861" i="1"/>
  <c r="B861" i="1"/>
  <c r="I860" i="1"/>
  <c r="H860" i="1"/>
  <c r="F860" i="1"/>
  <c r="E860" i="1"/>
  <c r="D860" i="1"/>
  <c r="C860" i="1"/>
  <c r="B860" i="1"/>
  <c r="I859" i="1"/>
  <c r="H859" i="1"/>
  <c r="F859" i="1"/>
  <c r="E859" i="1"/>
  <c r="D859" i="1"/>
  <c r="C859" i="1"/>
  <c r="B859" i="1"/>
  <c r="I858" i="1"/>
  <c r="H858" i="1"/>
  <c r="F858" i="1"/>
  <c r="E858" i="1"/>
  <c r="D858" i="1"/>
  <c r="C858" i="1"/>
  <c r="B858" i="1"/>
  <c r="I857" i="1"/>
  <c r="H857" i="1"/>
  <c r="F857" i="1"/>
  <c r="E857" i="1"/>
  <c r="D857" i="1"/>
  <c r="C857" i="1"/>
  <c r="B857" i="1"/>
  <c r="I856" i="1"/>
  <c r="H856" i="1"/>
  <c r="F856" i="1"/>
  <c r="E856" i="1"/>
  <c r="D856" i="1"/>
  <c r="C856" i="1"/>
  <c r="B856" i="1"/>
  <c r="I855" i="1"/>
  <c r="H855" i="1"/>
  <c r="F855" i="1"/>
  <c r="E855" i="1"/>
  <c r="D855" i="1"/>
  <c r="C855" i="1"/>
  <c r="B855" i="1"/>
  <c r="I854" i="1"/>
  <c r="H854" i="1"/>
  <c r="F854" i="1"/>
  <c r="E854" i="1"/>
  <c r="D854" i="1"/>
  <c r="C854" i="1"/>
  <c r="B854" i="1"/>
  <c r="I853" i="1"/>
  <c r="H853" i="1"/>
  <c r="F853" i="1"/>
  <c r="E853" i="1"/>
  <c r="D853" i="1"/>
  <c r="C853" i="1"/>
  <c r="B853" i="1"/>
  <c r="I852" i="1"/>
  <c r="H852" i="1"/>
  <c r="F852" i="1"/>
  <c r="E852" i="1"/>
  <c r="D852" i="1"/>
  <c r="C852" i="1"/>
  <c r="B852" i="1"/>
  <c r="I851" i="1"/>
  <c r="H851" i="1"/>
  <c r="F851" i="1"/>
  <c r="E851" i="1"/>
  <c r="D851" i="1"/>
  <c r="C851" i="1"/>
  <c r="B851" i="1"/>
  <c r="I850" i="1"/>
  <c r="H850" i="1"/>
  <c r="F850" i="1"/>
  <c r="E850" i="1"/>
  <c r="D850" i="1"/>
  <c r="C850" i="1"/>
  <c r="B850" i="1"/>
  <c r="I849" i="1"/>
  <c r="H849" i="1"/>
  <c r="F849" i="1"/>
  <c r="E849" i="1"/>
  <c r="D849" i="1"/>
  <c r="C849" i="1"/>
  <c r="B849" i="1"/>
  <c r="I848" i="1"/>
  <c r="H848" i="1"/>
  <c r="F848" i="1"/>
  <c r="E848" i="1"/>
  <c r="D848" i="1"/>
  <c r="C848" i="1"/>
  <c r="B848" i="1"/>
  <c r="I847" i="1"/>
  <c r="H847" i="1"/>
  <c r="F847" i="1"/>
  <c r="E847" i="1"/>
  <c r="D847" i="1"/>
  <c r="C847" i="1"/>
  <c r="B847" i="1"/>
  <c r="I846" i="1"/>
  <c r="H846" i="1"/>
  <c r="F846" i="1"/>
  <c r="E846" i="1"/>
  <c r="D846" i="1"/>
  <c r="C846" i="1"/>
  <c r="B846" i="1"/>
  <c r="I845" i="1"/>
  <c r="H845" i="1"/>
  <c r="F845" i="1"/>
  <c r="E845" i="1"/>
  <c r="D845" i="1"/>
  <c r="C845" i="1"/>
  <c r="B845" i="1"/>
  <c r="I844" i="1"/>
  <c r="H844" i="1"/>
  <c r="F844" i="1"/>
  <c r="E844" i="1"/>
  <c r="D844" i="1"/>
  <c r="C844" i="1"/>
  <c r="B844" i="1"/>
  <c r="I843" i="1"/>
  <c r="H843" i="1"/>
  <c r="F843" i="1"/>
  <c r="E843" i="1"/>
  <c r="D843" i="1"/>
  <c r="C843" i="1"/>
  <c r="B843" i="1"/>
  <c r="I842" i="1"/>
  <c r="H842" i="1"/>
  <c r="F842" i="1"/>
  <c r="E842" i="1"/>
  <c r="D842" i="1"/>
  <c r="C842" i="1"/>
  <c r="B842" i="1"/>
  <c r="I841" i="1"/>
  <c r="H841" i="1"/>
  <c r="F841" i="1"/>
  <c r="E841" i="1"/>
  <c r="D841" i="1"/>
  <c r="C841" i="1"/>
  <c r="B841" i="1"/>
  <c r="I840" i="1"/>
  <c r="H840" i="1"/>
  <c r="F840" i="1"/>
  <c r="E840" i="1"/>
  <c r="D840" i="1"/>
  <c r="C840" i="1"/>
  <c r="B840" i="1"/>
  <c r="I839" i="1"/>
  <c r="H839" i="1"/>
  <c r="F839" i="1"/>
  <c r="E839" i="1"/>
  <c r="D839" i="1"/>
  <c r="C839" i="1"/>
  <c r="B839" i="1"/>
  <c r="I838" i="1"/>
  <c r="H838" i="1"/>
  <c r="F838" i="1"/>
  <c r="E838" i="1"/>
  <c r="D838" i="1"/>
  <c r="C838" i="1"/>
  <c r="B838" i="1"/>
  <c r="I837" i="1"/>
  <c r="H837" i="1"/>
  <c r="F837" i="1"/>
  <c r="E837" i="1"/>
  <c r="D837" i="1"/>
  <c r="C837" i="1"/>
  <c r="B837" i="1"/>
  <c r="I836" i="1"/>
  <c r="H836" i="1"/>
  <c r="F836" i="1"/>
  <c r="E836" i="1"/>
  <c r="D836" i="1"/>
  <c r="C836" i="1"/>
  <c r="B836" i="1"/>
  <c r="I835" i="1"/>
  <c r="H835" i="1"/>
  <c r="F835" i="1"/>
  <c r="E835" i="1"/>
  <c r="D835" i="1"/>
  <c r="C835" i="1"/>
  <c r="B835" i="1"/>
  <c r="I834" i="1"/>
  <c r="H834" i="1"/>
  <c r="F834" i="1"/>
  <c r="E834" i="1"/>
  <c r="D834" i="1"/>
  <c r="C834" i="1"/>
  <c r="B834" i="1"/>
  <c r="I833" i="1"/>
  <c r="H833" i="1"/>
  <c r="F833" i="1"/>
  <c r="E833" i="1"/>
  <c r="D833" i="1"/>
  <c r="C833" i="1"/>
  <c r="B833" i="1"/>
  <c r="I832" i="1"/>
  <c r="H832" i="1"/>
  <c r="F832" i="1"/>
  <c r="E832" i="1"/>
  <c r="D832" i="1"/>
  <c r="C832" i="1"/>
  <c r="B832" i="1"/>
  <c r="I831" i="1"/>
  <c r="H831" i="1"/>
  <c r="F831" i="1"/>
  <c r="E831" i="1"/>
  <c r="D831" i="1"/>
  <c r="C831" i="1"/>
  <c r="B831" i="1"/>
  <c r="I830" i="1"/>
  <c r="H830" i="1"/>
  <c r="F830" i="1"/>
  <c r="E830" i="1"/>
  <c r="D830" i="1"/>
  <c r="C830" i="1"/>
  <c r="B830" i="1"/>
  <c r="I829" i="1"/>
  <c r="H829" i="1"/>
  <c r="F829" i="1"/>
  <c r="E829" i="1"/>
  <c r="D829" i="1"/>
  <c r="C829" i="1"/>
  <c r="B829" i="1"/>
  <c r="I828" i="1"/>
  <c r="H828" i="1"/>
  <c r="F828" i="1"/>
  <c r="E828" i="1"/>
  <c r="D828" i="1"/>
  <c r="C828" i="1"/>
  <c r="B828" i="1"/>
  <c r="I827" i="1"/>
  <c r="H827" i="1"/>
  <c r="F827" i="1"/>
  <c r="E827" i="1"/>
  <c r="D827" i="1"/>
  <c r="C827" i="1"/>
  <c r="B827" i="1"/>
  <c r="I826" i="1"/>
  <c r="H826" i="1"/>
  <c r="F826" i="1"/>
  <c r="E826" i="1"/>
  <c r="D826" i="1"/>
  <c r="C826" i="1"/>
  <c r="B826" i="1"/>
  <c r="I825" i="1"/>
  <c r="H825" i="1"/>
  <c r="F825" i="1"/>
  <c r="E825" i="1"/>
  <c r="D825" i="1"/>
  <c r="C825" i="1"/>
  <c r="B825" i="1"/>
  <c r="I824" i="1"/>
  <c r="H824" i="1"/>
  <c r="F824" i="1"/>
  <c r="E824" i="1"/>
  <c r="D824" i="1"/>
  <c r="C824" i="1"/>
  <c r="B824" i="1"/>
  <c r="I823" i="1"/>
  <c r="H823" i="1"/>
  <c r="F823" i="1"/>
  <c r="E823" i="1"/>
  <c r="D823" i="1"/>
  <c r="C823" i="1"/>
  <c r="B823" i="1"/>
  <c r="I822" i="1"/>
  <c r="H822" i="1"/>
  <c r="F822" i="1"/>
  <c r="E822" i="1"/>
  <c r="D822" i="1"/>
  <c r="C822" i="1"/>
  <c r="B822" i="1"/>
  <c r="I821" i="1"/>
  <c r="H821" i="1"/>
  <c r="F821" i="1"/>
  <c r="E821" i="1"/>
  <c r="D821" i="1"/>
  <c r="C821" i="1"/>
  <c r="B821" i="1"/>
  <c r="I820" i="1"/>
  <c r="H820" i="1"/>
  <c r="F820" i="1"/>
  <c r="E820" i="1"/>
  <c r="D820" i="1"/>
  <c r="C820" i="1"/>
  <c r="B820" i="1"/>
  <c r="I819" i="1"/>
  <c r="H819" i="1"/>
  <c r="F819" i="1"/>
  <c r="E819" i="1"/>
  <c r="D819" i="1"/>
  <c r="C819" i="1"/>
  <c r="B819" i="1"/>
  <c r="I818" i="1"/>
  <c r="H818" i="1"/>
  <c r="F818" i="1"/>
  <c r="E818" i="1"/>
  <c r="D818" i="1"/>
  <c r="C818" i="1"/>
  <c r="B818" i="1"/>
  <c r="I817" i="1"/>
  <c r="H817" i="1"/>
  <c r="F817" i="1"/>
  <c r="E817" i="1"/>
  <c r="D817" i="1"/>
  <c r="C817" i="1"/>
  <c r="B817" i="1"/>
  <c r="I816" i="1"/>
  <c r="H816" i="1"/>
  <c r="F816" i="1"/>
  <c r="E816" i="1"/>
  <c r="D816" i="1"/>
  <c r="C816" i="1"/>
  <c r="B816" i="1"/>
  <c r="I815" i="1"/>
  <c r="H815" i="1"/>
  <c r="F815" i="1"/>
  <c r="E815" i="1"/>
  <c r="D815" i="1"/>
  <c r="C815" i="1"/>
  <c r="B815" i="1"/>
  <c r="I814" i="1"/>
  <c r="H814" i="1"/>
  <c r="F814" i="1"/>
  <c r="E814" i="1"/>
  <c r="D814" i="1"/>
  <c r="C814" i="1"/>
  <c r="B814" i="1"/>
  <c r="I813" i="1"/>
  <c r="H813" i="1"/>
  <c r="F813" i="1"/>
  <c r="E813" i="1"/>
  <c r="D813" i="1"/>
  <c r="C813" i="1"/>
  <c r="B813" i="1"/>
  <c r="I812" i="1"/>
  <c r="H812" i="1"/>
  <c r="F812" i="1"/>
  <c r="E812" i="1"/>
  <c r="D812" i="1"/>
  <c r="C812" i="1"/>
  <c r="B812" i="1"/>
  <c r="I811" i="1"/>
  <c r="H811" i="1"/>
  <c r="F811" i="1"/>
  <c r="E811" i="1"/>
  <c r="D811" i="1"/>
  <c r="C811" i="1"/>
  <c r="B811" i="1"/>
  <c r="I810" i="1"/>
  <c r="H810" i="1"/>
  <c r="F810" i="1"/>
  <c r="E810" i="1"/>
  <c r="D810" i="1"/>
  <c r="C810" i="1"/>
  <c r="B810" i="1"/>
  <c r="I809" i="1"/>
  <c r="H809" i="1"/>
  <c r="F809" i="1"/>
  <c r="E809" i="1"/>
  <c r="D809" i="1"/>
  <c r="C809" i="1"/>
  <c r="B809" i="1"/>
  <c r="I808" i="1"/>
  <c r="H808" i="1"/>
  <c r="F808" i="1"/>
  <c r="E808" i="1"/>
  <c r="D808" i="1"/>
  <c r="C808" i="1"/>
  <c r="B808" i="1"/>
  <c r="I807" i="1"/>
  <c r="H807" i="1"/>
  <c r="F807" i="1"/>
  <c r="E807" i="1"/>
  <c r="D807" i="1"/>
  <c r="C807" i="1"/>
  <c r="B807" i="1"/>
  <c r="I806" i="1"/>
  <c r="H806" i="1"/>
  <c r="F806" i="1"/>
  <c r="E806" i="1"/>
  <c r="D806" i="1"/>
  <c r="C806" i="1"/>
  <c r="B806" i="1"/>
  <c r="I805" i="1"/>
  <c r="H805" i="1"/>
  <c r="F805" i="1"/>
  <c r="E805" i="1"/>
  <c r="D805" i="1"/>
  <c r="C805" i="1"/>
  <c r="B805" i="1"/>
  <c r="I804" i="1"/>
  <c r="H804" i="1"/>
  <c r="F804" i="1"/>
  <c r="E804" i="1"/>
  <c r="D804" i="1"/>
  <c r="C804" i="1"/>
  <c r="B804" i="1"/>
  <c r="I803" i="1"/>
  <c r="H803" i="1"/>
  <c r="F803" i="1"/>
  <c r="E803" i="1"/>
  <c r="D803" i="1"/>
  <c r="C803" i="1"/>
  <c r="B803" i="1"/>
  <c r="I802" i="1"/>
  <c r="H802" i="1"/>
  <c r="F802" i="1"/>
  <c r="E802" i="1"/>
  <c r="D802" i="1"/>
  <c r="C802" i="1"/>
  <c r="B802" i="1"/>
  <c r="I801" i="1"/>
  <c r="H801" i="1"/>
  <c r="F801" i="1"/>
  <c r="E801" i="1"/>
  <c r="D801" i="1"/>
  <c r="C801" i="1"/>
  <c r="B801" i="1"/>
  <c r="I800" i="1"/>
  <c r="H800" i="1"/>
  <c r="F800" i="1"/>
  <c r="E800" i="1"/>
  <c r="D800" i="1"/>
  <c r="C800" i="1"/>
  <c r="B800" i="1"/>
  <c r="I799" i="1"/>
  <c r="H799" i="1"/>
  <c r="F799" i="1"/>
  <c r="E799" i="1"/>
  <c r="D799" i="1"/>
  <c r="C799" i="1"/>
  <c r="B799" i="1"/>
  <c r="I798" i="1"/>
  <c r="H798" i="1"/>
  <c r="F798" i="1"/>
  <c r="E798" i="1"/>
  <c r="D798" i="1"/>
  <c r="C798" i="1"/>
  <c r="B798" i="1"/>
  <c r="I797" i="1"/>
  <c r="H797" i="1"/>
  <c r="F797" i="1"/>
  <c r="E797" i="1"/>
  <c r="D797" i="1"/>
  <c r="C797" i="1"/>
  <c r="B797" i="1"/>
  <c r="I796" i="1"/>
  <c r="H796" i="1"/>
  <c r="F796" i="1"/>
  <c r="E796" i="1"/>
  <c r="D796" i="1"/>
  <c r="C796" i="1"/>
  <c r="B796" i="1"/>
  <c r="I795" i="1"/>
  <c r="H795" i="1"/>
  <c r="F795" i="1"/>
  <c r="E795" i="1"/>
  <c r="D795" i="1"/>
  <c r="C795" i="1"/>
  <c r="B795" i="1"/>
  <c r="I794" i="1"/>
  <c r="H794" i="1"/>
  <c r="F794" i="1"/>
  <c r="E794" i="1"/>
  <c r="D794" i="1"/>
  <c r="C794" i="1"/>
  <c r="B794" i="1"/>
  <c r="I793" i="1"/>
  <c r="H793" i="1"/>
  <c r="F793" i="1"/>
  <c r="E793" i="1"/>
  <c r="D793" i="1"/>
  <c r="C793" i="1"/>
  <c r="B793" i="1"/>
  <c r="I792" i="1"/>
  <c r="H792" i="1"/>
  <c r="F792" i="1"/>
  <c r="E792" i="1"/>
  <c r="D792" i="1"/>
  <c r="C792" i="1"/>
  <c r="B792" i="1"/>
  <c r="I791" i="1"/>
  <c r="H791" i="1"/>
  <c r="F791" i="1"/>
  <c r="E791" i="1"/>
  <c r="D791" i="1"/>
  <c r="C791" i="1"/>
  <c r="B791" i="1"/>
  <c r="I790" i="1"/>
  <c r="H790" i="1"/>
  <c r="F790" i="1"/>
  <c r="E790" i="1"/>
  <c r="D790" i="1"/>
  <c r="C790" i="1"/>
  <c r="B790" i="1"/>
  <c r="I789" i="1"/>
  <c r="H789" i="1"/>
  <c r="F789" i="1"/>
  <c r="E789" i="1"/>
  <c r="D789" i="1"/>
  <c r="C789" i="1"/>
  <c r="B789" i="1"/>
  <c r="I788" i="1"/>
  <c r="H788" i="1"/>
  <c r="F788" i="1"/>
  <c r="E788" i="1"/>
  <c r="D788" i="1"/>
  <c r="C788" i="1"/>
  <c r="B788" i="1"/>
  <c r="I787" i="1"/>
  <c r="H787" i="1"/>
  <c r="F787" i="1"/>
  <c r="E787" i="1"/>
  <c r="D787" i="1"/>
  <c r="C787" i="1"/>
  <c r="B787" i="1"/>
  <c r="I786" i="1"/>
  <c r="H786" i="1"/>
  <c r="F786" i="1"/>
  <c r="E786" i="1"/>
  <c r="D786" i="1"/>
  <c r="C786" i="1"/>
  <c r="B786" i="1"/>
  <c r="I785" i="1"/>
  <c r="H785" i="1"/>
  <c r="F785" i="1"/>
  <c r="E785" i="1"/>
  <c r="D785" i="1"/>
  <c r="C785" i="1"/>
  <c r="B785" i="1"/>
  <c r="I784" i="1"/>
  <c r="H784" i="1"/>
  <c r="F784" i="1"/>
  <c r="E784" i="1"/>
  <c r="D784" i="1"/>
  <c r="C784" i="1"/>
  <c r="B784" i="1"/>
  <c r="I783" i="1"/>
  <c r="H783" i="1"/>
  <c r="F783" i="1"/>
  <c r="E783" i="1"/>
  <c r="D783" i="1"/>
  <c r="C783" i="1"/>
  <c r="B783" i="1"/>
  <c r="I782" i="1"/>
  <c r="H782" i="1"/>
  <c r="F782" i="1"/>
  <c r="E782" i="1"/>
  <c r="D782" i="1"/>
  <c r="C782" i="1"/>
  <c r="B782" i="1"/>
  <c r="I781" i="1"/>
  <c r="H781" i="1"/>
  <c r="F781" i="1"/>
  <c r="E781" i="1"/>
  <c r="D781" i="1"/>
  <c r="C781" i="1"/>
  <c r="B781" i="1"/>
  <c r="I780" i="1"/>
  <c r="H780" i="1"/>
  <c r="F780" i="1"/>
  <c r="E780" i="1"/>
  <c r="D780" i="1"/>
  <c r="C780" i="1"/>
  <c r="B780" i="1"/>
  <c r="I779" i="1"/>
  <c r="H779" i="1"/>
  <c r="F779" i="1"/>
  <c r="E779" i="1"/>
  <c r="D779" i="1"/>
  <c r="C779" i="1"/>
  <c r="B779" i="1"/>
  <c r="I778" i="1"/>
  <c r="H778" i="1"/>
  <c r="F778" i="1"/>
  <c r="E778" i="1"/>
  <c r="D778" i="1"/>
  <c r="C778" i="1"/>
  <c r="B778" i="1"/>
  <c r="I777" i="1"/>
  <c r="H777" i="1"/>
  <c r="F777" i="1"/>
  <c r="E777" i="1"/>
  <c r="D777" i="1"/>
  <c r="C777" i="1"/>
  <c r="B777" i="1"/>
  <c r="I776" i="1"/>
  <c r="H776" i="1"/>
  <c r="F776" i="1"/>
  <c r="E776" i="1"/>
  <c r="D776" i="1"/>
  <c r="C776" i="1"/>
  <c r="B776" i="1"/>
  <c r="I775" i="1"/>
  <c r="H775" i="1"/>
  <c r="F775" i="1"/>
  <c r="E775" i="1"/>
  <c r="D775" i="1"/>
  <c r="C775" i="1"/>
  <c r="B775" i="1"/>
  <c r="I774" i="1"/>
  <c r="H774" i="1"/>
  <c r="F774" i="1"/>
  <c r="E774" i="1"/>
  <c r="D774" i="1"/>
  <c r="C774" i="1"/>
  <c r="B774" i="1"/>
  <c r="I773" i="1"/>
  <c r="H773" i="1"/>
  <c r="F773" i="1"/>
  <c r="E773" i="1"/>
  <c r="D773" i="1"/>
  <c r="C773" i="1"/>
  <c r="B773" i="1"/>
  <c r="I772" i="1"/>
  <c r="H772" i="1"/>
  <c r="F772" i="1"/>
  <c r="E772" i="1"/>
  <c r="D772" i="1"/>
  <c r="C772" i="1"/>
  <c r="B772" i="1"/>
  <c r="I771" i="1"/>
  <c r="H771" i="1"/>
  <c r="F771" i="1"/>
  <c r="E771" i="1"/>
  <c r="D771" i="1"/>
  <c r="C771" i="1"/>
  <c r="B771" i="1"/>
  <c r="I770" i="1"/>
  <c r="H770" i="1"/>
  <c r="F770" i="1"/>
  <c r="E770" i="1"/>
  <c r="D770" i="1"/>
  <c r="C770" i="1"/>
  <c r="B770" i="1"/>
  <c r="I769" i="1"/>
  <c r="H769" i="1"/>
  <c r="F769" i="1"/>
  <c r="E769" i="1"/>
  <c r="D769" i="1"/>
  <c r="C769" i="1"/>
  <c r="B769" i="1"/>
  <c r="I768" i="1"/>
  <c r="H768" i="1"/>
  <c r="F768" i="1"/>
  <c r="E768" i="1"/>
  <c r="D768" i="1"/>
  <c r="C768" i="1"/>
  <c r="B768" i="1"/>
  <c r="I767" i="1"/>
  <c r="H767" i="1"/>
  <c r="F767" i="1"/>
  <c r="E767" i="1"/>
  <c r="D767" i="1"/>
  <c r="C767" i="1"/>
  <c r="B767" i="1"/>
  <c r="I766" i="1"/>
  <c r="H766" i="1"/>
  <c r="F766" i="1"/>
  <c r="E766" i="1"/>
  <c r="D766" i="1"/>
  <c r="C766" i="1"/>
  <c r="B766" i="1"/>
  <c r="I765" i="1"/>
  <c r="H765" i="1"/>
  <c r="F765" i="1"/>
  <c r="E765" i="1"/>
  <c r="D765" i="1"/>
  <c r="C765" i="1"/>
  <c r="B765" i="1"/>
  <c r="I764" i="1"/>
  <c r="H764" i="1"/>
  <c r="F764" i="1"/>
  <c r="E764" i="1"/>
  <c r="D764" i="1"/>
  <c r="C764" i="1"/>
  <c r="B764" i="1"/>
  <c r="I763" i="1"/>
  <c r="H763" i="1"/>
  <c r="F763" i="1"/>
  <c r="E763" i="1"/>
  <c r="D763" i="1"/>
  <c r="C763" i="1"/>
  <c r="B763" i="1"/>
  <c r="I762" i="1"/>
  <c r="H762" i="1"/>
  <c r="F762" i="1"/>
  <c r="E762" i="1"/>
  <c r="D762" i="1"/>
  <c r="C762" i="1"/>
  <c r="B762" i="1"/>
  <c r="I761" i="1"/>
  <c r="H761" i="1"/>
  <c r="F761" i="1"/>
  <c r="E761" i="1"/>
  <c r="D761" i="1"/>
  <c r="C761" i="1"/>
  <c r="B761" i="1"/>
  <c r="I760" i="1"/>
  <c r="H760" i="1"/>
  <c r="F760" i="1"/>
  <c r="E760" i="1"/>
  <c r="D760" i="1"/>
  <c r="C760" i="1"/>
  <c r="B760" i="1"/>
  <c r="I759" i="1"/>
  <c r="H759" i="1"/>
  <c r="F759" i="1"/>
  <c r="E759" i="1"/>
  <c r="D759" i="1"/>
  <c r="C759" i="1"/>
  <c r="B759" i="1"/>
  <c r="I758" i="1"/>
  <c r="H758" i="1"/>
  <c r="F758" i="1"/>
  <c r="E758" i="1"/>
  <c r="D758" i="1"/>
  <c r="C758" i="1"/>
  <c r="B758" i="1"/>
  <c r="I757" i="1"/>
  <c r="H757" i="1"/>
  <c r="F757" i="1"/>
  <c r="E757" i="1"/>
  <c r="D757" i="1"/>
  <c r="C757" i="1"/>
  <c r="B757" i="1"/>
  <c r="I756" i="1"/>
  <c r="H756" i="1"/>
  <c r="F756" i="1"/>
  <c r="E756" i="1"/>
  <c r="D756" i="1"/>
  <c r="C756" i="1"/>
  <c r="B756" i="1"/>
  <c r="I755" i="1"/>
  <c r="H755" i="1"/>
  <c r="F755" i="1"/>
  <c r="E755" i="1"/>
  <c r="D755" i="1"/>
  <c r="C755" i="1"/>
  <c r="B755" i="1"/>
  <c r="I754" i="1"/>
  <c r="H754" i="1"/>
  <c r="F754" i="1"/>
  <c r="E754" i="1"/>
  <c r="D754" i="1"/>
  <c r="C754" i="1"/>
  <c r="B754" i="1"/>
  <c r="I753" i="1"/>
  <c r="H753" i="1"/>
  <c r="F753" i="1"/>
  <c r="E753" i="1"/>
  <c r="D753" i="1"/>
  <c r="C753" i="1"/>
  <c r="B753" i="1"/>
  <c r="I752" i="1"/>
  <c r="H752" i="1"/>
  <c r="F752" i="1"/>
  <c r="E752" i="1"/>
  <c r="D752" i="1"/>
  <c r="C752" i="1"/>
  <c r="B752" i="1"/>
  <c r="I751" i="1"/>
  <c r="H751" i="1"/>
  <c r="F751" i="1"/>
  <c r="E751" i="1"/>
  <c r="D751" i="1"/>
  <c r="C751" i="1"/>
  <c r="B751" i="1"/>
  <c r="I750" i="1"/>
  <c r="H750" i="1"/>
  <c r="F750" i="1"/>
  <c r="E750" i="1"/>
  <c r="D750" i="1"/>
  <c r="C750" i="1"/>
  <c r="B750" i="1"/>
  <c r="I749" i="1"/>
  <c r="H749" i="1"/>
  <c r="F749" i="1"/>
  <c r="E749" i="1"/>
  <c r="D749" i="1"/>
  <c r="C749" i="1"/>
  <c r="B749" i="1"/>
  <c r="I748" i="1"/>
  <c r="H748" i="1"/>
  <c r="F748" i="1"/>
  <c r="E748" i="1"/>
  <c r="D748" i="1"/>
  <c r="C748" i="1"/>
  <c r="B748" i="1"/>
  <c r="I747" i="1"/>
  <c r="H747" i="1"/>
  <c r="F747" i="1"/>
  <c r="E747" i="1"/>
  <c r="D747" i="1"/>
  <c r="C747" i="1"/>
  <c r="B747" i="1"/>
  <c r="I746" i="1"/>
  <c r="H746" i="1"/>
  <c r="F746" i="1"/>
  <c r="E746" i="1"/>
  <c r="D746" i="1"/>
  <c r="C746" i="1"/>
  <c r="B746" i="1"/>
  <c r="I745" i="1"/>
  <c r="H745" i="1"/>
  <c r="F745" i="1"/>
  <c r="E745" i="1"/>
  <c r="D745" i="1"/>
  <c r="C745" i="1"/>
  <c r="B745" i="1"/>
  <c r="I744" i="1"/>
  <c r="H744" i="1"/>
  <c r="F744" i="1"/>
  <c r="E744" i="1"/>
  <c r="D744" i="1"/>
  <c r="C744" i="1"/>
  <c r="B744" i="1"/>
  <c r="I743" i="1"/>
  <c r="H743" i="1"/>
  <c r="F743" i="1"/>
  <c r="E743" i="1"/>
  <c r="D743" i="1"/>
  <c r="C743" i="1"/>
  <c r="B743" i="1"/>
  <c r="I742" i="1"/>
  <c r="H742" i="1"/>
  <c r="F742" i="1"/>
  <c r="E742" i="1"/>
  <c r="D742" i="1"/>
  <c r="C742" i="1"/>
  <c r="B742" i="1"/>
  <c r="I741" i="1"/>
  <c r="H741" i="1"/>
  <c r="F741" i="1"/>
  <c r="E741" i="1"/>
  <c r="D741" i="1"/>
  <c r="C741" i="1"/>
  <c r="B741" i="1"/>
  <c r="I740" i="1"/>
  <c r="H740" i="1"/>
  <c r="F740" i="1"/>
  <c r="E740" i="1"/>
  <c r="D740" i="1"/>
  <c r="C740" i="1"/>
  <c r="B740" i="1"/>
  <c r="I739" i="1"/>
  <c r="H739" i="1"/>
  <c r="F739" i="1"/>
  <c r="E739" i="1"/>
  <c r="D739" i="1"/>
  <c r="C739" i="1"/>
  <c r="B739" i="1"/>
  <c r="I738" i="1"/>
  <c r="H738" i="1"/>
  <c r="F738" i="1"/>
  <c r="E738" i="1"/>
  <c r="D738" i="1"/>
  <c r="C738" i="1"/>
  <c r="B738" i="1"/>
  <c r="I737" i="1"/>
  <c r="H737" i="1"/>
  <c r="F737" i="1"/>
  <c r="E737" i="1"/>
  <c r="D737" i="1"/>
  <c r="C737" i="1"/>
  <c r="B737" i="1"/>
  <c r="I736" i="1"/>
  <c r="H736" i="1"/>
  <c r="F736" i="1"/>
  <c r="E736" i="1"/>
  <c r="D736" i="1"/>
  <c r="C736" i="1"/>
  <c r="B736" i="1"/>
  <c r="I735" i="1"/>
  <c r="H735" i="1"/>
  <c r="F735" i="1"/>
  <c r="E735" i="1"/>
  <c r="D735" i="1"/>
  <c r="C735" i="1"/>
  <c r="B735" i="1"/>
  <c r="I734" i="1"/>
  <c r="H734" i="1"/>
  <c r="F734" i="1"/>
  <c r="E734" i="1"/>
  <c r="D734" i="1"/>
  <c r="C734" i="1"/>
  <c r="B734" i="1"/>
  <c r="I733" i="1"/>
  <c r="H733" i="1"/>
  <c r="F733" i="1"/>
  <c r="E733" i="1"/>
  <c r="D733" i="1"/>
  <c r="C733" i="1"/>
  <c r="B733" i="1"/>
  <c r="I732" i="1"/>
  <c r="H732" i="1"/>
  <c r="F732" i="1"/>
  <c r="E732" i="1"/>
  <c r="D732" i="1"/>
  <c r="C732" i="1"/>
  <c r="B732" i="1"/>
  <c r="I731" i="1"/>
  <c r="H731" i="1"/>
  <c r="F731" i="1"/>
  <c r="E731" i="1"/>
  <c r="D731" i="1"/>
  <c r="C731" i="1"/>
  <c r="B731" i="1"/>
  <c r="I730" i="1"/>
  <c r="H730" i="1"/>
  <c r="F730" i="1"/>
  <c r="E730" i="1"/>
  <c r="D730" i="1"/>
  <c r="C730" i="1"/>
  <c r="B730" i="1"/>
  <c r="I729" i="1"/>
  <c r="H729" i="1"/>
  <c r="F729" i="1"/>
  <c r="E729" i="1"/>
  <c r="D729" i="1"/>
  <c r="C729" i="1"/>
  <c r="B729" i="1"/>
  <c r="I728" i="1"/>
  <c r="H728" i="1"/>
  <c r="F728" i="1"/>
  <c r="E728" i="1"/>
  <c r="D728" i="1"/>
  <c r="C728" i="1"/>
  <c r="B728" i="1"/>
  <c r="I727" i="1"/>
  <c r="H727" i="1"/>
  <c r="F727" i="1"/>
  <c r="E727" i="1"/>
  <c r="D727" i="1"/>
  <c r="C727" i="1"/>
  <c r="B727" i="1"/>
  <c r="I726" i="1"/>
  <c r="H726" i="1"/>
  <c r="F726" i="1"/>
  <c r="E726" i="1"/>
  <c r="D726" i="1"/>
  <c r="C726" i="1"/>
  <c r="B726" i="1"/>
  <c r="I725" i="1"/>
  <c r="H725" i="1"/>
  <c r="F725" i="1"/>
  <c r="E725" i="1"/>
  <c r="D725" i="1"/>
  <c r="C725" i="1"/>
  <c r="B725" i="1"/>
  <c r="I724" i="1"/>
  <c r="H724" i="1"/>
  <c r="F724" i="1"/>
  <c r="E724" i="1"/>
  <c r="D724" i="1"/>
  <c r="C724" i="1"/>
  <c r="B724" i="1"/>
  <c r="I723" i="1"/>
  <c r="H723" i="1"/>
  <c r="F723" i="1"/>
  <c r="E723" i="1"/>
  <c r="D723" i="1"/>
  <c r="C723" i="1"/>
  <c r="B723" i="1"/>
  <c r="I722" i="1"/>
  <c r="H722" i="1"/>
  <c r="F722" i="1"/>
  <c r="E722" i="1"/>
  <c r="D722" i="1"/>
  <c r="C722" i="1"/>
  <c r="B722" i="1"/>
  <c r="I721" i="1"/>
  <c r="H721" i="1"/>
  <c r="F721" i="1"/>
  <c r="E721" i="1"/>
  <c r="D721" i="1"/>
  <c r="C721" i="1"/>
  <c r="B721" i="1"/>
  <c r="I720" i="1"/>
  <c r="H720" i="1"/>
  <c r="F720" i="1"/>
  <c r="E720" i="1"/>
  <c r="D720" i="1"/>
  <c r="C720" i="1"/>
  <c r="B720" i="1"/>
  <c r="I719" i="1"/>
  <c r="H719" i="1"/>
  <c r="F719" i="1"/>
  <c r="E719" i="1"/>
  <c r="D719" i="1"/>
  <c r="C719" i="1"/>
  <c r="B719" i="1"/>
  <c r="I718" i="1"/>
  <c r="H718" i="1"/>
  <c r="F718" i="1"/>
  <c r="E718" i="1"/>
  <c r="D718" i="1"/>
  <c r="C718" i="1"/>
  <c r="B718" i="1"/>
  <c r="I717" i="1"/>
  <c r="H717" i="1"/>
  <c r="F717" i="1"/>
  <c r="E717" i="1"/>
  <c r="D717" i="1"/>
  <c r="C717" i="1"/>
  <c r="B717" i="1"/>
  <c r="I716" i="1"/>
  <c r="H716" i="1"/>
  <c r="F716" i="1"/>
  <c r="E716" i="1"/>
  <c r="D716" i="1"/>
  <c r="C716" i="1"/>
  <c r="B716" i="1"/>
  <c r="I715" i="1"/>
  <c r="H715" i="1"/>
  <c r="F715" i="1"/>
  <c r="E715" i="1"/>
  <c r="D715" i="1"/>
  <c r="C715" i="1"/>
  <c r="B715" i="1"/>
  <c r="I714" i="1"/>
  <c r="H714" i="1"/>
  <c r="F714" i="1"/>
  <c r="E714" i="1"/>
  <c r="D714" i="1"/>
  <c r="C714" i="1"/>
  <c r="B714" i="1"/>
  <c r="I713" i="1"/>
  <c r="H713" i="1"/>
  <c r="F713" i="1"/>
  <c r="E713" i="1"/>
  <c r="D713" i="1"/>
  <c r="C713" i="1"/>
  <c r="B713" i="1"/>
  <c r="I712" i="1"/>
  <c r="H712" i="1"/>
  <c r="F712" i="1"/>
  <c r="E712" i="1"/>
  <c r="D712" i="1"/>
  <c r="C712" i="1"/>
  <c r="B712" i="1"/>
  <c r="I711" i="1"/>
  <c r="H711" i="1"/>
  <c r="F711" i="1"/>
  <c r="E711" i="1"/>
  <c r="D711" i="1"/>
  <c r="C711" i="1"/>
  <c r="B711" i="1"/>
  <c r="I710" i="1"/>
  <c r="H710" i="1"/>
  <c r="F710" i="1"/>
  <c r="E710" i="1"/>
  <c r="D710" i="1"/>
  <c r="C710" i="1"/>
  <c r="B710" i="1"/>
  <c r="I709" i="1"/>
  <c r="H709" i="1"/>
  <c r="F709" i="1"/>
  <c r="E709" i="1"/>
  <c r="D709" i="1"/>
  <c r="C709" i="1"/>
  <c r="B709" i="1"/>
  <c r="I708" i="1"/>
  <c r="H708" i="1"/>
  <c r="F708" i="1"/>
  <c r="E708" i="1"/>
  <c r="D708" i="1"/>
  <c r="C708" i="1"/>
  <c r="B708" i="1"/>
  <c r="I707" i="1"/>
  <c r="H707" i="1"/>
  <c r="F707" i="1"/>
  <c r="E707" i="1"/>
  <c r="D707" i="1"/>
  <c r="C707" i="1"/>
  <c r="B707" i="1"/>
  <c r="I706" i="1"/>
  <c r="H706" i="1"/>
  <c r="F706" i="1"/>
  <c r="E706" i="1"/>
  <c r="D706" i="1"/>
  <c r="C706" i="1"/>
  <c r="B706" i="1"/>
  <c r="I705" i="1"/>
  <c r="H705" i="1"/>
  <c r="F705" i="1"/>
  <c r="E705" i="1"/>
  <c r="D705" i="1"/>
  <c r="C705" i="1"/>
  <c r="B705" i="1"/>
  <c r="I704" i="1"/>
  <c r="H704" i="1"/>
  <c r="F704" i="1"/>
  <c r="E704" i="1"/>
  <c r="D704" i="1"/>
  <c r="C704" i="1"/>
  <c r="B704" i="1"/>
  <c r="I703" i="1"/>
  <c r="H703" i="1"/>
  <c r="F703" i="1"/>
  <c r="E703" i="1"/>
  <c r="D703" i="1"/>
  <c r="C703" i="1"/>
  <c r="B703" i="1"/>
  <c r="I702" i="1"/>
  <c r="H702" i="1"/>
  <c r="F702" i="1"/>
  <c r="E702" i="1"/>
  <c r="D702" i="1"/>
  <c r="C702" i="1"/>
  <c r="B702" i="1"/>
  <c r="I701" i="1"/>
  <c r="H701" i="1"/>
  <c r="F701" i="1"/>
  <c r="E701" i="1"/>
  <c r="D701" i="1"/>
  <c r="C701" i="1"/>
  <c r="B701" i="1"/>
  <c r="I700" i="1"/>
  <c r="H700" i="1"/>
  <c r="F700" i="1"/>
  <c r="E700" i="1"/>
  <c r="D700" i="1"/>
  <c r="C700" i="1"/>
  <c r="B700" i="1"/>
  <c r="I699" i="1"/>
  <c r="H699" i="1"/>
  <c r="F699" i="1"/>
  <c r="E699" i="1"/>
  <c r="D699" i="1"/>
  <c r="C699" i="1"/>
  <c r="B699" i="1"/>
  <c r="I698" i="1"/>
  <c r="H698" i="1"/>
  <c r="F698" i="1"/>
  <c r="E698" i="1"/>
  <c r="D698" i="1"/>
  <c r="C698" i="1"/>
  <c r="B698" i="1"/>
  <c r="I697" i="1"/>
  <c r="H697" i="1"/>
  <c r="F697" i="1"/>
  <c r="E697" i="1"/>
  <c r="D697" i="1"/>
  <c r="C697" i="1"/>
  <c r="B697" i="1"/>
  <c r="I696" i="1"/>
  <c r="H696" i="1"/>
  <c r="F696" i="1"/>
  <c r="E696" i="1"/>
  <c r="D696" i="1"/>
  <c r="C696" i="1"/>
  <c r="B696" i="1"/>
  <c r="I695" i="1"/>
  <c r="H695" i="1"/>
  <c r="F695" i="1"/>
  <c r="E695" i="1"/>
  <c r="D695" i="1"/>
  <c r="C695" i="1"/>
  <c r="B695" i="1"/>
  <c r="I694" i="1"/>
  <c r="H694" i="1"/>
  <c r="F694" i="1"/>
  <c r="E694" i="1"/>
  <c r="D694" i="1"/>
  <c r="C694" i="1"/>
  <c r="B694" i="1"/>
  <c r="I693" i="1"/>
  <c r="H693" i="1"/>
  <c r="F693" i="1"/>
  <c r="E693" i="1"/>
  <c r="D693" i="1"/>
  <c r="C693" i="1"/>
  <c r="B693" i="1"/>
  <c r="I692" i="1"/>
  <c r="H692" i="1"/>
  <c r="F692" i="1"/>
  <c r="E692" i="1"/>
  <c r="D692" i="1"/>
  <c r="C692" i="1"/>
  <c r="B692" i="1"/>
  <c r="I691" i="1"/>
  <c r="H691" i="1"/>
  <c r="F691" i="1"/>
  <c r="E691" i="1"/>
  <c r="D691" i="1"/>
  <c r="C691" i="1"/>
  <c r="B691" i="1"/>
  <c r="I690" i="1"/>
  <c r="H690" i="1"/>
  <c r="F690" i="1"/>
  <c r="E690" i="1"/>
  <c r="D690" i="1"/>
  <c r="C690" i="1"/>
  <c r="B690" i="1"/>
  <c r="I689" i="1"/>
  <c r="H689" i="1"/>
  <c r="F689" i="1"/>
  <c r="E689" i="1"/>
  <c r="D689" i="1"/>
  <c r="C689" i="1"/>
  <c r="B689" i="1"/>
  <c r="I688" i="1"/>
  <c r="H688" i="1"/>
  <c r="F688" i="1"/>
  <c r="E688" i="1"/>
  <c r="D688" i="1"/>
  <c r="C688" i="1"/>
  <c r="B688" i="1"/>
  <c r="I687" i="1"/>
  <c r="H687" i="1"/>
  <c r="F687" i="1"/>
  <c r="E687" i="1"/>
  <c r="D687" i="1"/>
  <c r="C687" i="1"/>
  <c r="B687" i="1"/>
  <c r="I686" i="1"/>
  <c r="H686" i="1"/>
  <c r="F686" i="1"/>
  <c r="E686" i="1"/>
  <c r="D686" i="1"/>
  <c r="C686" i="1"/>
  <c r="B686" i="1"/>
  <c r="I685" i="1"/>
  <c r="H685" i="1"/>
  <c r="F685" i="1"/>
  <c r="E685" i="1"/>
  <c r="D685" i="1"/>
  <c r="C685" i="1"/>
  <c r="B685" i="1"/>
  <c r="I684" i="1"/>
  <c r="H684" i="1"/>
  <c r="F684" i="1"/>
  <c r="E684" i="1"/>
  <c r="D684" i="1"/>
  <c r="C684" i="1"/>
  <c r="B684" i="1"/>
  <c r="I683" i="1"/>
  <c r="H683" i="1"/>
  <c r="F683" i="1"/>
  <c r="E683" i="1"/>
  <c r="D683" i="1"/>
  <c r="C683" i="1"/>
  <c r="B683" i="1"/>
  <c r="I682" i="1"/>
  <c r="H682" i="1"/>
  <c r="F682" i="1"/>
  <c r="E682" i="1"/>
  <c r="D682" i="1"/>
  <c r="C682" i="1"/>
  <c r="B682" i="1"/>
  <c r="I681" i="1"/>
  <c r="H681" i="1"/>
  <c r="F681" i="1"/>
  <c r="E681" i="1"/>
  <c r="D681" i="1"/>
  <c r="C681" i="1"/>
  <c r="B681" i="1"/>
  <c r="I680" i="1"/>
  <c r="H680" i="1"/>
  <c r="F680" i="1"/>
  <c r="E680" i="1"/>
  <c r="D680" i="1"/>
  <c r="C680" i="1"/>
  <c r="B680" i="1"/>
  <c r="I679" i="1"/>
  <c r="H679" i="1"/>
  <c r="F679" i="1"/>
  <c r="E679" i="1"/>
  <c r="D679" i="1"/>
  <c r="C679" i="1"/>
  <c r="B679" i="1"/>
  <c r="I678" i="1"/>
  <c r="H678" i="1"/>
  <c r="F678" i="1"/>
  <c r="E678" i="1"/>
  <c r="D678" i="1"/>
  <c r="C678" i="1"/>
  <c r="B678" i="1"/>
  <c r="I677" i="1"/>
  <c r="H677" i="1"/>
  <c r="F677" i="1"/>
  <c r="E677" i="1"/>
  <c r="D677" i="1"/>
  <c r="C677" i="1"/>
  <c r="B677" i="1"/>
  <c r="I676" i="1"/>
  <c r="H676" i="1"/>
  <c r="F676" i="1"/>
  <c r="E676" i="1"/>
  <c r="D676" i="1"/>
  <c r="C676" i="1"/>
  <c r="B676" i="1"/>
  <c r="I675" i="1"/>
  <c r="H675" i="1"/>
  <c r="F675" i="1"/>
  <c r="E675" i="1"/>
  <c r="D675" i="1"/>
  <c r="C675" i="1"/>
  <c r="B675" i="1"/>
  <c r="I674" i="1"/>
  <c r="H674" i="1"/>
  <c r="F674" i="1"/>
  <c r="E674" i="1"/>
  <c r="D674" i="1"/>
  <c r="C674" i="1"/>
  <c r="B674" i="1"/>
  <c r="I673" i="1"/>
  <c r="H673" i="1"/>
  <c r="F673" i="1"/>
  <c r="E673" i="1"/>
  <c r="D673" i="1"/>
  <c r="C673" i="1"/>
  <c r="B673" i="1"/>
  <c r="I672" i="1"/>
  <c r="H672" i="1"/>
  <c r="F672" i="1"/>
  <c r="E672" i="1"/>
  <c r="D672" i="1"/>
  <c r="C672" i="1"/>
  <c r="B672" i="1"/>
  <c r="I671" i="1"/>
  <c r="H671" i="1"/>
  <c r="F671" i="1"/>
  <c r="E671" i="1"/>
  <c r="D671" i="1"/>
  <c r="C671" i="1"/>
  <c r="B671" i="1"/>
  <c r="I670" i="1"/>
  <c r="H670" i="1"/>
  <c r="F670" i="1"/>
  <c r="E670" i="1"/>
  <c r="D670" i="1"/>
  <c r="C670" i="1"/>
  <c r="B670" i="1"/>
  <c r="I669" i="1"/>
  <c r="H669" i="1"/>
  <c r="F669" i="1"/>
  <c r="E669" i="1"/>
  <c r="D669" i="1"/>
  <c r="C669" i="1"/>
  <c r="B669" i="1"/>
  <c r="I668" i="1"/>
  <c r="H668" i="1"/>
  <c r="F668" i="1"/>
  <c r="E668" i="1"/>
  <c r="D668" i="1"/>
  <c r="C668" i="1"/>
  <c r="B668" i="1"/>
  <c r="I667" i="1"/>
  <c r="H667" i="1"/>
  <c r="F667" i="1"/>
  <c r="E667" i="1"/>
  <c r="D667" i="1"/>
  <c r="C667" i="1"/>
  <c r="B667" i="1"/>
  <c r="I666" i="1"/>
  <c r="H666" i="1"/>
  <c r="F666" i="1"/>
  <c r="E666" i="1"/>
  <c r="D666" i="1"/>
  <c r="C666" i="1"/>
  <c r="B666" i="1"/>
  <c r="I665" i="1"/>
  <c r="H665" i="1"/>
  <c r="F665" i="1"/>
  <c r="E665" i="1"/>
  <c r="D665" i="1"/>
  <c r="C665" i="1"/>
  <c r="B665" i="1"/>
  <c r="I664" i="1"/>
  <c r="H664" i="1"/>
  <c r="F664" i="1"/>
  <c r="E664" i="1"/>
  <c r="D664" i="1"/>
  <c r="C664" i="1"/>
  <c r="B664" i="1"/>
  <c r="I663" i="1"/>
  <c r="H663" i="1"/>
  <c r="F663" i="1"/>
  <c r="E663" i="1"/>
  <c r="D663" i="1"/>
  <c r="C663" i="1"/>
  <c r="B663" i="1"/>
  <c r="I662" i="1"/>
  <c r="H662" i="1"/>
  <c r="F662" i="1"/>
  <c r="E662" i="1"/>
  <c r="D662" i="1"/>
  <c r="C662" i="1"/>
  <c r="B662" i="1"/>
  <c r="I661" i="1"/>
  <c r="H661" i="1"/>
  <c r="F661" i="1"/>
  <c r="E661" i="1"/>
  <c r="D661" i="1"/>
  <c r="C661" i="1"/>
  <c r="B661" i="1"/>
  <c r="I660" i="1"/>
  <c r="H660" i="1"/>
  <c r="F660" i="1"/>
  <c r="E660" i="1"/>
  <c r="D660" i="1"/>
  <c r="C660" i="1"/>
  <c r="B660" i="1"/>
  <c r="I659" i="1"/>
  <c r="H659" i="1"/>
  <c r="F659" i="1"/>
  <c r="E659" i="1"/>
  <c r="D659" i="1"/>
  <c r="C659" i="1"/>
  <c r="B659" i="1"/>
  <c r="I658" i="1"/>
  <c r="H658" i="1"/>
  <c r="F658" i="1"/>
  <c r="E658" i="1"/>
  <c r="D658" i="1"/>
  <c r="C658" i="1"/>
  <c r="B658" i="1"/>
  <c r="I657" i="1"/>
  <c r="H657" i="1"/>
  <c r="F657" i="1"/>
  <c r="E657" i="1"/>
  <c r="D657" i="1"/>
  <c r="C657" i="1"/>
  <c r="B657" i="1"/>
  <c r="I656" i="1"/>
  <c r="H656" i="1"/>
  <c r="F656" i="1"/>
  <c r="E656" i="1"/>
  <c r="D656" i="1"/>
  <c r="C656" i="1"/>
  <c r="B656" i="1"/>
  <c r="I655" i="1"/>
  <c r="H655" i="1"/>
  <c r="F655" i="1"/>
  <c r="E655" i="1"/>
  <c r="D655" i="1"/>
  <c r="C655" i="1"/>
  <c r="B655" i="1"/>
  <c r="I654" i="1"/>
  <c r="H654" i="1"/>
  <c r="F654" i="1"/>
  <c r="E654" i="1"/>
  <c r="D654" i="1"/>
  <c r="C654" i="1"/>
  <c r="B654" i="1"/>
  <c r="I653" i="1"/>
  <c r="H653" i="1"/>
  <c r="F653" i="1"/>
  <c r="E653" i="1"/>
  <c r="D653" i="1"/>
  <c r="C653" i="1"/>
  <c r="B653" i="1"/>
  <c r="I652" i="1"/>
  <c r="H652" i="1"/>
  <c r="F652" i="1"/>
  <c r="E652" i="1"/>
  <c r="D652" i="1"/>
  <c r="C652" i="1"/>
  <c r="B652" i="1"/>
  <c r="I651" i="1"/>
  <c r="H651" i="1"/>
  <c r="F651" i="1"/>
  <c r="E651" i="1"/>
  <c r="D651" i="1"/>
  <c r="C651" i="1"/>
  <c r="B651" i="1"/>
  <c r="I650" i="1"/>
  <c r="H650" i="1"/>
  <c r="F650" i="1"/>
  <c r="E650" i="1"/>
  <c r="D650" i="1"/>
  <c r="C650" i="1"/>
  <c r="B650" i="1"/>
  <c r="I649" i="1"/>
  <c r="H649" i="1"/>
  <c r="F649" i="1"/>
  <c r="E649" i="1"/>
  <c r="D649" i="1"/>
  <c r="C649" i="1"/>
  <c r="B649" i="1"/>
  <c r="I648" i="1"/>
  <c r="H648" i="1"/>
  <c r="F648" i="1"/>
  <c r="E648" i="1"/>
  <c r="D648" i="1"/>
  <c r="C648" i="1"/>
  <c r="B648" i="1"/>
  <c r="I647" i="1"/>
  <c r="H647" i="1"/>
  <c r="F647" i="1"/>
  <c r="E647" i="1"/>
  <c r="D647" i="1"/>
  <c r="C647" i="1"/>
  <c r="B647" i="1"/>
  <c r="I646" i="1"/>
  <c r="H646" i="1"/>
  <c r="F646" i="1"/>
  <c r="E646" i="1"/>
  <c r="D646" i="1"/>
  <c r="C646" i="1"/>
  <c r="B646" i="1"/>
  <c r="I645" i="1"/>
  <c r="H645" i="1"/>
  <c r="F645" i="1"/>
  <c r="E645" i="1"/>
  <c r="D645" i="1"/>
  <c r="C645" i="1"/>
  <c r="B645" i="1"/>
  <c r="I644" i="1"/>
  <c r="H644" i="1"/>
  <c r="F644" i="1"/>
  <c r="E644" i="1"/>
  <c r="D644" i="1"/>
  <c r="C644" i="1"/>
  <c r="B644" i="1"/>
  <c r="I643" i="1"/>
  <c r="H643" i="1"/>
  <c r="F643" i="1"/>
  <c r="E643" i="1"/>
  <c r="D643" i="1"/>
  <c r="C643" i="1"/>
  <c r="B643" i="1"/>
  <c r="I642" i="1"/>
  <c r="H642" i="1"/>
  <c r="F642" i="1"/>
  <c r="E642" i="1"/>
  <c r="D642" i="1"/>
  <c r="C642" i="1"/>
  <c r="B642" i="1"/>
  <c r="I641" i="1"/>
  <c r="H641" i="1"/>
  <c r="F641" i="1"/>
  <c r="E641" i="1"/>
  <c r="D641" i="1"/>
  <c r="C641" i="1"/>
  <c r="B641" i="1"/>
  <c r="I640" i="1"/>
  <c r="H640" i="1"/>
  <c r="F640" i="1"/>
  <c r="E640" i="1"/>
  <c r="D640" i="1"/>
  <c r="C640" i="1"/>
  <c r="B640" i="1"/>
  <c r="I639" i="1"/>
  <c r="H639" i="1"/>
  <c r="F639" i="1"/>
  <c r="E639" i="1"/>
  <c r="D639" i="1"/>
  <c r="C639" i="1"/>
  <c r="B639" i="1"/>
  <c r="I638" i="1"/>
  <c r="H638" i="1"/>
  <c r="F638" i="1"/>
  <c r="E638" i="1"/>
  <c r="D638" i="1"/>
  <c r="C638" i="1"/>
  <c r="B638" i="1"/>
  <c r="I637" i="1"/>
  <c r="H637" i="1"/>
  <c r="F637" i="1"/>
  <c r="E637" i="1"/>
  <c r="D637" i="1"/>
  <c r="C637" i="1"/>
  <c r="B637" i="1"/>
  <c r="I636" i="1"/>
  <c r="H636" i="1"/>
  <c r="F636" i="1"/>
  <c r="E636" i="1"/>
  <c r="D636" i="1"/>
  <c r="C636" i="1"/>
  <c r="B636" i="1"/>
  <c r="I635" i="1"/>
  <c r="H635" i="1"/>
  <c r="F635" i="1"/>
  <c r="E635" i="1"/>
  <c r="D635" i="1"/>
  <c r="C635" i="1"/>
  <c r="B635" i="1"/>
  <c r="I634" i="1"/>
  <c r="H634" i="1"/>
  <c r="F634" i="1"/>
  <c r="E634" i="1"/>
  <c r="D634" i="1"/>
  <c r="C634" i="1"/>
  <c r="B634" i="1"/>
  <c r="I633" i="1"/>
  <c r="H633" i="1"/>
  <c r="F633" i="1"/>
  <c r="E633" i="1"/>
  <c r="D633" i="1"/>
  <c r="C633" i="1"/>
  <c r="B633" i="1"/>
  <c r="I632" i="1"/>
  <c r="H632" i="1"/>
  <c r="F632" i="1"/>
  <c r="E632" i="1"/>
  <c r="D632" i="1"/>
  <c r="C632" i="1"/>
  <c r="B632" i="1"/>
  <c r="I631" i="1"/>
  <c r="H631" i="1"/>
  <c r="F631" i="1"/>
  <c r="E631" i="1"/>
  <c r="D631" i="1"/>
  <c r="C631" i="1"/>
  <c r="B631" i="1"/>
  <c r="I630" i="1"/>
  <c r="H630" i="1"/>
  <c r="F630" i="1"/>
  <c r="E630" i="1"/>
  <c r="D630" i="1"/>
  <c r="C630" i="1"/>
  <c r="B630" i="1"/>
  <c r="I629" i="1"/>
  <c r="H629" i="1"/>
  <c r="F629" i="1"/>
  <c r="E629" i="1"/>
  <c r="D629" i="1"/>
  <c r="C629" i="1"/>
  <c r="B629" i="1"/>
  <c r="I628" i="1"/>
  <c r="H628" i="1"/>
  <c r="F628" i="1"/>
  <c r="E628" i="1"/>
  <c r="D628" i="1"/>
  <c r="C628" i="1"/>
  <c r="B628" i="1"/>
  <c r="I627" i="1"/>
  <c r="H627" i="1"/>
  <c r="F627" i="1"/>
  <c r="E627" i="1"/>
  <c r="D627" i="1"/>
  <c r="C627" i="1"/>
  <c r="B627" i="1"/>
  <c r="I626" i="1"/>
  <c r="H626" i="1"/>
  <c r="F626" i="1"/>
  <c r="E626" i="1"/>
  <c r="D626" i="1"/>
  <c r="C626" i="1"/>
  <c r="B626" i="1"/>
  <c r="I625" i="1"/>
  <c r="H625" i="1"/>
  <c r="F625" i="1"/>
  <c r="E625" i="1"/>
  <c r="D625" i="1"/>
  <c r="C625" i="1"/>
  <c r="B625" i="1"/>
  <c r="I624" i="1"/>
  <c r="H624" i="1"/>
  <c r="F624" i="1"/>
  <c r="E624" i="1"/>
  <c r="D624" i="1"/>
  <c r="C624" i="1"/>
  <c r="B624" i="1"/>
  <c r="I623" i="1"/>
  <c r="H623" i="1"/>
  <c r="F623" i="1"/>
  <c r="E623" i="1"/>
  <c r="D623" i="1"/>
  <c r="C623" i="1"/>
  <c r="B623" i="1"/>
  <c r="I622" i="1"/>
  <c r="H622" i="1"/>
  <c r="F622" i="1"/>
  <c r="E622" i="1"/>
  <c r="D622" i="1"/>
  <c r="C622" i="1"/>
  <c r="B622" i="1"/>
  <c r="I621" i="1"/>
  <c r="H621" i="1"/>
  <c r="F621" i="1"/>
  <c r="E621" i="1"/>
  <c r="D621" i="1"/>
  <c r="C621" i="1"/>
  <c r="B621" i="1"/>
  <c r="I620" i="1"/>
  <c r="H620" i="1"/>
  <c r="F620" i="1"/>
  <c r="E620" i="1"/>
  <c r="D620" i="1"/>
  <c r="C620" i="1"/>
  <c r="B620" i="1"/>
  <c r="I619" i="1"/>
  <c r="H619" i="1"/>
  <c r="F619" i="1"/>
  <c r="E619" i="1"/>
  <c r="D619" i="1"/>
  <c r="C619" i="1"/>
  <c r="B619" i="1"/>
  <c r="I618" i="1"/>
  <c r="H618" i="1"/>
  <c r="F618" i="1"/>
  <c r="E618" i="1"/>
  <c r="D618" i="1"/>
  <c r="C618" i="1"/>
  <c r="B618" i="1"/>
  <c r="I617" i="1"/>
  <c r="H617" i="1"/>
  <c r="F617" i="1"/>
  <c r="E617" i="1"/>
  <c r="D617" i="1"/>
  <c r="C617" i="1"/>
  <c r="B617" i="1"/>
  <c r="I616" i="1"/>
  <c r="H616" i="1"/>
  <c r="F616" i="1"/>
  <c r="E616" i="1"/>
  <c r="D616" i="1"/>
  <c r="C616" i="1"/>
  <c r="B616" i="1"/>
  <c r="I615" i="1"/>
  <c r="H615" i="1"/>
  <c r="F615" i="1"/>
  <c r="E615" i="1"/>
  <c r="D615" i="1"/>
  <c r="C615" i="1"/>
  <c r="B615" i="1"/>
  <c r="I614" i="1"/>
  <c r="H614" i="1"/>
  <c r="F614" i="1"/>
  <c r="E614" i="1"/>
  <c r="D614" i="1"/>
  <c r="C614" i="1"/>
  <c r="B614" i="1"/>
  <c r="I613" i="1"/>
  <c r="H613" i="1"/>
  <c r="F613" i="1"/>
  <c r="E613" i="1"/>
  <c r="D613" i="1"/>
  <c r="C613" i="1"/>
  <c r="B613" i="1"/>
  <c r="I612" i="1"/>
  <c r="H612" i="1"/>
  <c r="F612" i="1"/>
  <c r="E612" i="1"/>
  <c r="D612" i="1"/>
  <c r="C612" i="1"/>
  <c r="B612" i="1"/>
  <c r="I611" i="1"/>
  <c r="H611" i="1"/>
  <c r="F611" i="1"/>
  <c r="E611" i="1"/>
  <c r="D611" i="1"/>
  <c r="C611" i="1"/>
  <c r="B611" i="1"/>
  <c r="I610" i="1"/>
  <c r="H610" i="1"/>
  <c r="F610" i="1"/>
  <c r="E610" i="1"/>
  <c r="D610" i="1"/>
  <c r="C610" i="1"/>
  <c r="B610" i="1"/>
  <c r="I609" i="1"/>
  <c r="H609" i="1"/>
  <c r="F609" i="1"/>
  <c r="E609" i="1"/>
  <c r="D609" i="1"/>
  <c r="C609" i="1"/>
  <c r="B609" i="1"/>
  <c r="I608" i="1"/>
  <c r="H608" i="1"/>
  <c r="F608" i="1"/>
  <c r="E608" i="1"/>
  <c r="D608" i="1"/>
  <c r="C608" i="1"/>
  <c r="B608" i="1"/>
  <c r="I607" i="1"/>
  <c r="H607" i="1"/>
  <c r="F607" i="1"/>
  <c r="E607" i="1"/>
  <c r="D607" i="1"/>
  <c r="C607" i="1"/>
  <c r="B607" i="1"/>
  <c r="I606" i="1"/>
  <c r="H606" i="1"/>
  <c r="F606" i="1"/>
  <c r="E606" i="1"/>
  <c r="D606" i="1"/>
  <c r="C606" i="1"/>
  <c r="B606" i="1"/>
  <c r="I605" i="1"/>
  <c r="H605" i="1"/>
  <c r="F605" i="1"/>
  <c r="E605" i="1"/>
  <c r="D605" i="1"/>
  <c r="C605" i="1"/>
  <c r="B605" i="1"/>
  <c r="I604" i="1"/>
  <c r="H604" i="1"/>
  <c r="F604" i="1"/>
  <c r="E604" i="1"/>
  <c r="D604" i="1"/>
  <c r="C604" i="1"/>
  <c r="B604" i="1"/>
  <c r="I603" i="1"/>
  <c r="H603" i="1"/>
  <c r="F603" i="1"/>
  <c r="E603" i="1"/>
  <c r="D603" i="1"/>
  <c r="C603" i="1"/>
  <c r="B603" i="1"/>
  <c r="I602" i="1"/>
  <c r="H602" i="1"/>
  <c r="F602" i="1"/>
  <c r="E602" i="1"/>
  <c r="D602" i="1"/>
  <c r="C602" i="1"/>
  <c r="B602" i="1"/>
  <c r="I601" i="1"/>
  <c r="H601" i="1"/>
  <c r="F601" i="1"/>
  <c r="E601" i="1"/>
  <c r="D601" i="1"/>
  <c r="C601" i="1"/>
  <c r="B601" i="1"/>
  <c r="I600" i="1"/>
  <c r="H600" i="1"/>
  <c r="F600" i="1"/>
  <c r="E600" i="1"/>
  <c r="D600" i="1"/>
  <c r="C600" i="1"/>
  <c r="B600" i="1"/>
  <c r="I599" i="1"/>
  <c r="H599" i="1"/>
  <c r="F599" i="1"/>
  <c r="E599" i="1"/>
  <c r="D599" i="1"/>
  <c r="C599" i="1"/>
  <c r="B599" i="1"/>
  <c r="I598" i="1"/>
  <c r="H598" i="1"/>
  <c r="F598" i="1"/>
  <c r="E598" i="1"/>
  <c r="D598" i="1"/>
  <c r="C598" i="1"/>
  <c r="B598" i="1"/>
  <c r="I597" i="1"/>
  <c r="H597" i="1"/>
  <c r="F597" i="1"/>
  <c r="E597" i="1"/>
  <c r="D597" i="1"/>
  <c r="C597" i="1"/>
  <c r="B597" i="1"/>
  <c r="I596" i="1"/>
  <c r="H596" i="1"/>
  <c r="F596" i="1"/>
  <c r="E596" i="1"/>
  <c r="D596" i="1"/>
  <c r="C596" i="1"/>
  <c r="B596" i="1"/>
  <c r="I595" i="1"/>
  <c r="H595" i="1"/>
  <c r="F595" i="1"/>
  <c r="E595" i="1"/>
  <c r="D595" i="1"/>
  <c r="C595" i="1"/>
  <c r="B595" i="1"/>
  <c r="I594" i="1"/>
  <c r="H594" i="1"/>
  <c r="F594" i="1"/>
  <c r="E594" i="1"/>
  <c r="D594" i="1"/>
  <c r="C594" i="1"/>
  <c r="B594" i="1"/>
  <c r="I593" i="1"/>
  <c r="H593" i="1"/>
  <c r="F593" i="1"/>
  <c r="E593" i="1"/>
  <c r="D593" i="1"/>
  <c r="C593" i="1"/>
  <c r="B593" i="1"/>
  <c r="I592" i="1"/>
  <c r="H592" i="1"/>
  <c r="F592" i="1"/>
  <c r="E592" i="1"/>
  <c r="D592" i="1"/>
  <c r="C592" i="1"/>
  <c r="B592" i="1"/>
  <c r="I591" i="1"/>
  <c r="H591" i="1"/>
  <c r="F591" i="1"/>
  <c r="E591" i="1"/>
  <c r="D591" i="1"/>
  <c r="C591" i="1"/>
  <c r="B591" i="1"/>
  <c r="I590" i="1"/>
  <c r="H590" i="1"/>
  <c r="F590" i="1"/>
  <c r="E590" i="1"/>
  <c r="D590" i="1"/>
  <c r="C590" i="1"/>
  <c r="B590" i="1"/>
  <c r="I589" i="1"/>
  <c r="H589" i="1"/>
  <c r="F589" i="1"/>
  <c r="E589" i="1"/>
  <c r="D589" i="1"/>
  <c r="C589" i="1"/>
  <c r="B589" i="1"/>
  <c r="I588" i="1"/>
  <c r="H588" i="1"/>
  <c r="F588" i="1"/>
  <c r="E588" i="1"/>
  <c r="D588" i="1"/>
  <c r="C588" i="1"/>
  <c r="B588" i="1"/>
  <c r="I587" i="1"/>
  <c r="H587" i="1"/>
  <c r="F587" i="1"/>
  <c r="E587" i="1"/>
  <c r="D587" i="1"/>
  <c r="C587" i="1"/>
  <c r="B587" i="1"/>
  <c r="I586" i="1"/>
  <c r="H586" i="1"/>
  <c r="F586" i="1"/>
  <c r="E586" i="1"/>
  <c r="D586" i="1"/>
  <c r="C586" i="1"/>
  <c r="B586" i="1"/>
  <c r="I585" i="1"/>
  <c r="H585" i="1"/>
  <c r="F585" i="1"/>
  <c r="E585" i="1"/>
  <c r="D585" i="1"/>
  <c r="C585" i="1"/>
  <c r="B585" i="1"/>
  <c r="I584" i="1"/>
  <c r="H584" i="1"/>
  <c r="F584" i="1"/>
  <c r="E584" i="1"/>
  <c r="D584" i="1"/>
  <c r="C584" i="1"/>
  <c r="B584" i="1"/>
  <c r="I583" i="1"/>
  <c r="H583" i="1"/>
  <c r="F583" i="1"/>
  <c r="E583" i="1"/>
  <c r="D583" i="1"/>
  <c r="C583" i="1"/>
  <c r="B583" i="1"/>
  <c r="I582" i="1"/>
  <c r="H582" i="1"/>
  <c r="F582" i="1"/>
  <c r="E582" i="1"/>
  <c r="D582" i="1"/>
  <c r="C582" i="1"/>
  <c r="B582" i="1"/>
  <c r="I581" i="1"/>
  <c r="H581" i="1"/>
  <c r="F581" i="1"/>
  <c r="E581" i="1"/>
  <c r="D581" i="1"/>
  <c r="C581" i="1"/>
  <c r="B581" i="1"/>
  <c r="I580" i="1"/>
  <c r="H580" i="1"/>
  <c r="F580" i="1"/>
  <c r="E580" i="1"/>
  <c r="D580" i="1"/>
  <c r="C580" i="1"/>
  <c r="B580" i="1"/>
  <c r="I579" i="1"/>
  <c r="H579" i="1"/>
  <c r="F579" i="1"/>
  <c r="E579" i="1"/>
  <c r="D579" i="1"/>
  <c r="C579" i="1"/>
  <c r="B579" i="1"/>
  <c r="I578" i="1"/>
  <c r="H578" i="1"/>
  <c r="F578" i="1"/>
  <c r="E578" i="1"/>
  <c r="D578" i="1"/>
  <c r="C578" i="1"/>
  <c r="B578" i="1"/>
  <c r="I577" i="1"/>
  <c r="H577" i="1"/>
  <c r="F577" i="1"/>
  <c r="E577" i="1"/>
  <c r="D577" i="1"/>
  <c r="C577" i="1"/>
  <c r="B577" i="1"/>
  <c r="I576" i="1"/>
  <c r="H576" i="1"/>
  <c r="F576" i="1"/>
  <c r="E576" i="1"/>
  <c r="D576" i="1"/>
  <c r="C576" i="1"/>
  <c r="B576" i="1"/>
  <c r="I575" i="1"/>
  <c r="H575" i="1"/>
  <c r="F575" i="1"/>
  <c r="E575" i="1"/>
  <c r="D575" i="1"/>
  <c r="C575" i="1"/>
  <c r="B575" i="1"/>
  <c r="I574" i="1"/>
  <c r="H574" i="1"/>
  <c r="F574" i="1"/>
  <c r="E574" i="1"/>
  <c r="D574" i="1"/>
  <c r="C574" i="1"/>
  <c r="B574" i="1"/>
  <c r="I573" i="1"/>
  <c r="H573" i="1"/>
  <c r="F573" i="1"/>
  <c r="E573" i="1"/>
  <c r="D573" i="1"/>
  <c r="C573" i="1"/>
  <c r="B573" i="1"/>
  <c r="I572" i="1"/>
  <c r="H572" i="1"/>
  <c r="F572" i="1"/>
  <c r="E572" i="1"/>
  <c r="D572" i="1"/>
  <c r="C572" i="1"/>
  <c r="B572" i="1"/>
  <c r="I571" i="1"/>
  <c r="H571" i="1"/>
  <c r="F571" i="1"/>
  <c r="E571" i="1"/>
  <c r="D571" i="1"/>
  <c r="C571" i="1"/>
  <c r="B571" i="1"/>
  <c r="I570" i="1"/>
  <c r="H570" i="1"/>
  <c r="F570" i="1"/>
  <c r="E570" i="1"/>
  <c r="D570" i="1"/>
  <c r="C570" i="1"/>
  <c r="B570" i="1"/>
  <c r="I569" i="1"/>
  <c r="H569" i="1"/>
  <c r="F569" i="1"/>
  <c r="E569" i="1"/>
  <c r="D569" i="1"/>
  <c r="C569" i="1"/>
  <c r="B569" i="1"/>
  <c r="I568" i="1"/>
  <c r="H568" i="1"/>
  <c r="F568" i="1"/>
  <c r="E568" i="1"/>
  <c r="D568" i="1"/>
  <c r="C568" i="1"/>
  <c r="B568" i="1"/>
  <c r="I567" i="1"/>
  <c r="H567" i="1"/>
  <c r="F567" i="1"/>
  <c r="E567" i="1"/>
  <c r="D567" i="1"/>
  <c r="C567" i="1"/>
  <c r="B567" i="1"/>
  <c r="I566" i="1"/>
  <c r="H566" i="1"/>
  <c r="F566" i="1"/>
  <c r="E566" i="1"/>
  <c r="D566" i="1"/>
  <c r="C566" i="1"/>
  <c r="B566" i="1"/>
  <c r="I565" i="1"/>
  <c r="H565" i="1"/>
  <c r="F565" i="1"/>
  <c r="E565" i="1"/>
  <c r="D565" i="1"/>
  <c r="C565" i="1"/>
  <c r="B565" i="1"/>
  <c r="I564" i="1"/>
  <c r="H564" i="1"/>
  <c r="F564" i="1"/>
  <c r="E564" i="1"/>
  <c r="D564" i="1"/>
  <c r="C564" i="1"/>
  <c r="B564" i="1"/>
  <c r="I563" i="1"/>
  <c r="H563" i="1"/>
  <c r="F563" i="1"/>
  <c r="E563" i="1"/>
  <c r="D563" i="1"/>
  <c r="C563" i="1"/>
  <c r="B563" i="1"/>
  <c r="I562" i="1"/>
  <c r="H562" i="1"/>
  <c r="F562" i="1"/>
  <c r="E562" i="1"/>
  <c r="D562" i="1"/>
  <c r="C562" i="1"/>
  <c r="B562" i="1"/>
  <c r="I561" i="1"/>
  <c r="H561" i="1"/>
  <c r="F561" i="1"/>
  <c r="E561" i="1"/>
  <c r="D561" i="1"/>
  <c r="C561" i="1"/>
  <c r="B561" i="1"/>
  <c r="I560" i="1"/>
  <c r="H560" i="1"/>
  <c r="F560" i="1"/>
  <c r="E560" i="1"/>
  <c r="D560" i="1"/>
  <c r="C560" i="1"/>
  <c r="B560" i="1"/>
  <c r="I559" i="1"/>
  <c r="H559" i="1"/>
  <c r="F559" i="1"/>
  <c r="E559" i="1"/>
  <c r="D559" i="1"/>
  <c r="C559" i="1"/>
  <c r="B559" i="1"/>
  <c r="I558" i="1"/>
  <c r="H558" i="1"/>
  <c r="F558" i="1"/>
  <c r="E558" i="1"/>
  <c r="D558" i="1"/>
  <c r="C558" i="1"/>
  <c r="B558" i="1"/>
  <c r="I557" i="1"/>
  <c r="H557" i="1"/>
  <c r="F557" i="1"/>
  <c r="E557" i="1"/>
  <c r="D557" i="1"/>
  <c r="C557" i="1"/>
  <c r="B557" i="1"/>
  <c r="I556" i="1"/>
  <c r="H556" i="1"/>
  <c r="F556" i="1"/>
  <c r="E556" i="1"/>
  <c r="D556" i="1"/>
  <c r="C556" i="1"/>
  <c r="B556" i="1"/>
  <c r="I555" i="1"/>
  <c r="H555" i="1"/>
  <c r="F555" i="1"/>
  <c r="E555" i="1"/>
  <c r="D555" i="1"/>
  <c r="C555" i="1"/>
  <c r="B555" i="1"/>
  <c r="I554" i="1"/>
  <c r="H554" i="1"/>
  <c r="F554" i="1"/>
  <c r="E554" i="1"/>
  <c r="D554" i="1"/>
  <c r="C554" i="1"/>
  <c r="B554" i="1"/>
  <c r="I553" i="1"/>
  <c r="H553" i="1"/>
  <c r="F553" i="1"/>
  <c r="E553" i="1"/>
  <c r="D553" i="1"/>
  <c r="C553" i="1"/>
  <c r="B553" i="1"/>
  <c r="I552" i="1"/>
  <c r="H552" i="1"/>
  <c r="F552" i="1"/>
  <c r="E552" i="1"/>
  <c r="D552" i="1"/>
  <c r="C552" i="1"/>
  <c r="B552" i="1"/>
  <c r="I551" i="1"/>
  <c r="H551" i="1"/>
  <c r="F551" i="1"/>
  <c r="E551" i="1"/>
  <c r="D551" i="1"/>
  <c r="C551" i="1"/>
  <c r="B551" i="1"/>
  <c r="I550" i="1"/>
  <c r="H550" i="1"/>
  <c r="F550" i="1"/>
  <c r="E550" i="1"/>
  <c r="D550" i="1"/>
  <c r="C550" i="1"/>
  <c r="B550" i="1"/>
  <c r="I549" i="1"/>
  <c r="H549" i="1"/>
  <c r="F549" i="1"/>
  <c r="E549" i="1"/>
  <c r="D549" i="1"/>
  <c r="C549" i="1"/>
  <c r="B549" i="1"/>
  <c r="I548" i="1"/>
  <c r="H548" i="1"/>
  <c r="F548" i="1"/>
  <c r="E548" i="1"/>
  <c r="D548" i="1"/>
  <c r="C548" i="1"/>
  <c r="B548" i="1"/>
  <c r="I547" i="1"/>
  <c r="H547" i="1"/>
  <c r="F547" i="1"/>
  <c r="E547" i="1"/>
  <c r="D547" i="1"/>
  <c r="C547" i="1"/>
  <c r="B547" i="1"/>
  <c r="I546" i="1"/>
  <c r="H546" i="1"/>
  <c r="F546" i="1"/>
  <c r="E546" i="1"/>
  <c r="D546" i="1"/>
  <c r="C546" i="1"/>
  <c r="B546" i="1"/>
  <c r="I545" i="1"/>
  <c r="H545" i="1"/>
  <c r="F545" i="1"/>
  <c r="E545" i="1"/>
  <c r="D545" i="1"/>
  <c r="C545" i="1"/>
  <c r="B545" i="1"/>
  <c r="I544" i="1"/>
  <c r="H544" i="1"/>
  <c r="F544" i="1"/>
  <c r="E544" i="1"/>
  <c r="D544" i="1"/>
  <c r="C544" i="1"/>
  <c r="B544" i="1"/>
  <c r="I543" i="1"/>
  <c r="H543" i="1"/>
  <c r="F543" i="1"/>
  <c r="E543" i="1"/>
  <c r="D543" i="1"/>
  <c r="C543" i="1"/>
  <c r="B543" i="1"/>
  <c r="I542" i="1"/>
  <c r="H542" i="1"/>
  <c r="F542" i="1"/>
  <c r="E542" i="1"/>
  <c r="D542" i="1"/>
  <c r="C542" i="1"/>
  <c r="B542" i="1"/>
  <c r="I541" i="1"/>
  <c r="H541" i="1"/>
  <c r="F541" i="1"/>
  <c r="E541" i="1"/>
  <c r="D541" i="1"/>
  <c r="C541" i="1"/>
  <c r="B541" i="1"/>
  <c r="I540" i="1"/>
  <c r="H540" i="1"/>
  <c r="F540" i="1"/>
  <c r="E540" i="1"/>
  <c r="D540" i="1"/>
  <c r="C540" i="1"/>
  <c r="B540" i="1"/>
  <c r="I539" i="1"/>
  <c r="H539" i="1"/>
  <c r="F539" i="1"/>
  <c r="E539" i="1"/>
  <c r="D539" i="1"/>
  <c r="C539" i="1"/>
  <c r="B539" i="1"/>
  <c r="I538" i="1"/>
  <c r="H538" i="1"/>
  <c r="F538" i="1"/>
  <c r="E538" i="1"/>
  <c r="D538" i="1"/>
  <c r="C538" i="1"/>
  <c r="B538" i="1"/>
  <c r="I537" i="1"/>
  <c r="H537" i="1"/>
  <c r="F537" i="1"/>
  <c r="E537" i="1"/>
  <c r="D537" i="1"/>
  <c r="C537" i="1"/>
  <c r="B537" i="1"/>
  <c r="I536" i="1"/>
  <c r="H536" i="1"/>
  <c r="F536" i="1"/>
  <c r="E536" i="1"/>
  <c r="D536" i="1"/>
  <c r="C536" i="1"/>
  <c r="B536" i="1"/>
  <c r="I535" i="1"/>
  <c r="H535" i="1"/>
  <c r="F535" i="1"/>
  <c r="E535" i="1"/>
  <c r="D535" i="1"/>
  <c r="C535" i="1"/>
  <c r="B535" i="1"/>
  <c r="I534" i="1"/>
  <c r="H534" i="1"/>
  <c r="F534" i="1"/>
  <c r="E534" i="1"/>
  <c r="D534" i="1"/>
  <c r="C534" i="1"/>
  <c r="B534" i="1"/>
  <c r="I533" i="1"/>
  <c r="H533" i="1"/>
  <c r="F533" i="1"/>
  <c r="E533" i="1"/>
  <c r="D533" i="1"/>
  <c r="C533" i="1"/>
  <c r="B533" i="1"/>
  <c r="I532" i="1"/>
  <c r="H532" i="1"/>
  <c r="F532" i="1"/>
  <c r="E532" i="1"/>
  <c r="D532" i="1"/>
  <c r="C532" i="1"/>
  <c r="B532" i="1"/>
  <c r="I531" i="1"/>
  <c r="H531" i="1"/>
  <c r="F531" i="1"/>
  <c r="E531" i="1"/>
  <c r="D531" i="1"/>
  <c r="C531" i="1"/>
  <c r="B531" i="1"/>
  <c r="I530" i="1"/>
  <c r="H530" i="1"/>
  <c r="F530" i="1"/>
  <c r="E530" i="1"/>
  <c r="D530" i="1"/>
  <c r="C530" i="1"/>
  <c r="B530" i="1"/>
  <c r="I529" i="1"/>
  <c r="H529" i="1"/>
  <c r="F529" i="1"/>
  <c r="E529" i="1"/>
  <c r="D529" i="1"/>
  <c r="C529" i="1"/>
  <c r="B529" i="1"/>
  <c r="I528" i="1"/>
  <c r="H528" i="1"/>
  <c r="F528" i="1"/>
  <c r="E528" i="1"/>
  <c r="D528" i="1"/>
  <c r="C528" i="1"/>
  <c r="B528" i="1"/>
  <c r="I527" i="1"/>
  <c r="H527" i="1"/>
  <c r="F527" i="1"/>
  <c r="E527" i="1"/>
  <c r="D527" i="1"/>
  <c r="C527" i="1"/>
  <c r="B527" i="1"/>
  <c r="I526" i="1"/>
  <c r="H526" i="1"/>
  <c r="F526" i="1"/>
  <c r="E526" i="1"/>
  <c r="D526" i="1"/>
  <c r="C526" i="1"/>
  <c r="B526" i="1"/>
  <c r="I525" i="1"/>
  <c r="H525" i="1"/>
  <c r="F525" i="1"/>
  <c r="E525" i="1"/>
  <c r="D525" i="1"/>
  <c r="C525" i="1"/>
  <c r="B525" i="1"/>
  <c r="I524" i="1"/>
  <c r="H524" i="1"/>
  <c r="F524" i="1"/>
  <c r="E524" i="1"/>
  <c r="D524" i="1"/>
  <c r="C524" i="1"/>
  <c r="B524" i="1"/>
  <c r="I523" i="1"/>
  <c r="H523" i="1"/>
  <c r="F523" i="1"/>
  <c r="E523" i="1"/>
  <c r="D523" i="1"/>
  <c r="C523" i="1"/>
  <c r="B523" i="1"/>
  <c r="I522" i="1"/>
  <c r="H522" i="1"/>
  <c r="F522" i="1"/>
  <c r="E522" i="1"/>
  <c r="D522" i="1"/>
  <c r="C522" i="1"/>
  <c r="B522" i="1"/>
  <c r="I521" i="1"/>
  <c r="H521" i="1"/>
  <c r="F521" i="1"/>
  <c r="E521" i="1"/>
  <c r="D521" i="1"/>
  <c r="C521" i="1"/>
  <c r="B521" i="1"/>
  <c r="I520" i="1"/>
  <c r="H520" i="1"/>
  <c r="F520" i="1"/>
  <c r="E520" i="1"/>
  <c r="D520" i="1"/>
  <c r="C520" i="1"/>
  <c r="B520" i="1"/>
  <c r="I519" i="1"/>
  <c r="H519" i="1"/>
  <c r="F519" i="1"/>
  <c r="E519" i="1"/>
  <c r="D519" i="1"/>
  <c r="C519" i="1"/>
  <c r="B519" i="1"/>
  <c r="I518" i="1"/>
  <c r="H518" i="1"/>
  <c r="F518" i="1"/>
  <c r="E518" i="1"/>
  <c r="D518" i="1"/>
  <c r="C518" i="1"/>
  <c r="B518" i="1"/>
  <c r="I517" i="1"/>
  <c r="H517" i="1"/>
  <c r="F517" i="1"/>
  <c r="E517" i="1"/>
  <c r="D517" i="1"/>
  <c r="C517" i="1"/>
  <c r="B517" i="1"/>
  <c r="I516" i="1"/>
  <c r="H516" i="1"/>
  <c r="F516" i="1"/>
  <c r="E516" i="1"/>
  <c r="D516" i="1"/>
  <c r="C516" i="1"/>
  <c r="B516" i="1"/>
  <c r="I515" i="1"/>
  <c r="H515" i="1"/>
  <c r="F515" i="1"/>
  <c r="E515" i="1"/>
  <c r="D515" i="1"/>
  <c r="C515" i="1"/>
  <c r="B515" i="1"/>
  <c r="I514" i="1"/>
  <c r="H514" i="1"/>
  <c r="F514" i="1"/>
  <c r="E514" i="1"/>
  <c r="D514" i="1"/>
  <c r="C514" i="1"/>
  <c r="B514" i="1"/>
  <c r="I513" i="1"/>
  <c r="H513" i="1"/>
  <c r="F513" i="1"/>
  <c r="E513" i="1"/>
  <c r="D513" i="1"/>
  <c r="C513" i="1"/>
  <c r="B513" i="1"/>
  <c r="I512" i="1"/>
  <c r="H512" i="1"/>
  <c r="F512" i="1"/>
  <c r="E512" i="1"/>
  <c r="D512" i="1"/>
  <c r="C512" i="1"/>
  <c r="B512" i="1"/>
  <c r="I511" i="1"/>
  <c r="H511" i="1"/>
  <c r="F511" i="1"/>
  <c r="E511" i="1"/>
  <c r="D511" i="1"/>
  <c r="C511" i="1"/>
  <c r="B511" i="1"/>
  <c r="I510" i="1"/>
  <c r="H510" i="1"/>
  <c r="F510" i="1"/>
  <c r="E510" i="1"/>
  <c r="D510" i="1"/>
  <c r="C510" i="1"/>
  <c r="B510" i="1"/>
  <c r="I509" i="1"/>
  <c r="H509" i="1"/>
  <c r="F509" i="1"/>
  <c r="E509" i="1"/>
  <c r="D509" i="1"/>
  <c r="C509" i="1"/>
  <c r="B509" i="1"/>
  <c r="I508" i="1"/>
  <c r="H508" i="1"/>
  <c r="F508" i="1"/>
  <c r="E508" i="1"/>
  <c r="D508" i="1"/>
  <c r="C508" i="1"/>
  <c r="B508" i="1"/>
  <c r="I507" i="1"/>
  <c r="H507" i="1"/>
  <c r="F507" i="1"/>
  <c r="E507" i="1"/>
  <c r="D507" i="1"/>
  <c r="C507" i="1"/>
  <c r="B507" i="1"/>
  <c r="I506" i="1"/>
  <c r="H506" i="1"/>
  <c r="F506" i="1"/>
  <c r="E506" i="1"/>
  <c r="D506" i="1"/>
  <c r="C506" i="1"/>
  <c r="B506" i="1"/>
  <c r="I505" i="1"/>
  <c r="H505" i="1"/>
  <c r="F505" i="1"/>
  <c r="E505" i="1"/>
  <c r="D505" i="1"/>
  <c r="C505" i="1"/>
  <c r="B505" i="1"/>
  <c r="I504" i="1"/>
  <c r="H504" i="1"/>
  <c r="F504" i="1"/>
  <c r="E504" i="1"/>
  <c r="D504" i="1"/>
  <c r="C504" i="1"/>
  <c r="B504" i="1"/>
  <c r="I503" i="1"/>
  <c r="H503" i="1"/>
  <c r="F503" i="1"/>
  <c r="E503" i="1"/>
  <c r="D503" i="1"/>
  <c r="C503" i="1"/>
  <c r="B503" i="1"/>
  <c r="I502" i="1"/>
  <c r="H502" i="1"/>
  <c r="F502" i="1"/>
  <c r="E502" i="1"/>
  <c r="D502" i="1"/>
  <c r="C502" i="1"/>
  <c r="B502" i="1"/>
  <c r="I501" i="1"/>
  <c r="H501" i="1"/>
  <c r="F501" i="1"/>
  <c r="E501" i="1"/>
  <c r="D501" i="1"/>
  <c r="C501" i="1"/>
  <c r="B501" i="1"/>
  <c r="I500" i="1"/>
  <c r="H500" i="1"/>
  <c r="F500" i="1"/>
  <c r="E500" i="1"/>
  <c r="D500" i="1"/>
  <c r="C500" i="1"/>
  <c r="B500" i="1"/>
  <c r="I499" i="1"/>
  <c r="H499" i="1"/>
  <c r="F499" i="1"/>
  <c r="E499" i="1"/>
  <c r="D499" i="1"/>
  <c r="C499" i="1"/>
  <c r="B499" i="1"/>
  <c r="I498" i="1"/>
  <c r="H498" i="1"/>
  <c r="F498" i="1"/>
  <c r="E498" i="1"/>
  <c r="D498" i="1"/>
  <c r="C498" i="1"/>
  <c r="B498" i="1"/>
  <c r="I497" i="1"/>
  <c r="H497" i="1"/>
  <c r="F497" i="1"/>
  <c r="E497" i="1"/>
  <c r="D497" i="1"/>
  <c r="C497" i="1"/>
  <c r="B497" i="1"/>
  <c r="I496" i="1"/>
  <c r="H496" i="1"/>
  <c r="F496" i="1"/>
  <c r="E496" i="1"/>
  <c r="D496" i="1"/>
  <c r="C496" i="1"/>
  <c r="B496" i="1"/>
  <c r="I495" i="1"/>
  <c r="H495" i="1"/>
  <c r="F495" i="1"/>
  <c r="E495" i="1"/>
  <c r="D495" i="1"/>
  <c r="C495" i="1"/>
  <c r="B495" i="1"/>
  <c r="I494" i="1"/>
  <c r="H494" i="1"/>
  <c r="F494" i="1"/>
  <c r="E494" i="1"/>
  <c r="D494" i="1"/>
  <c r="C494" i="1"/>
  <c r="B494" i="1"/>
  <c r="I493" i="1"/>
  <c r="H493" i="1"/>
  <c r="F493" i="1"/>
  <c r="E493" i="1"/>
  <c r="D493" i="1"/>
  <c r="C493" i="1"/>
  <c r="B493" i="1"/>
  <c r="I492" i="1"/>
  <c r="H492" i="1"/>
  <c r="F492" i="1"/>
  <c r="E492" i="1"/>
  <c r="D492" i="1"/>
  <c r="C492" i="1"/>
  <c r="B492" i="1"/>
  <c r="I491" i="1"/>
  <c r="H491" i="1"/>
  <c r="F491" i="1"/>
  <c r="E491" i="1"/>
  <c r="D491" i="1"/>
  <c r="C491" i="1"/>
  <c r="B491" i="1"/>
  <c r="I490" i="1"/>
  <c r="H490" i="1"/>
  <c r="F490" i="1"/>
  <c r="E490" i="1"/>
  <c r="D490" i="1"/>
  <c r="C490" i="1"/>
  <c r="B490" i="1"/>
  <c r="I489" i="1"/>
  <c r="H489" i="1"/>
  <c r="F489" i="1"/>
  <c r="E489" i="1"/>
  <c r="D489" i="1"/>
  <c r="C489" i="1"/>
  <c r="B489" i="1"/>
  <c r="I488" i="1"/>
  <c r="H488" i="1"/>
  <c r="F488" i="1"/>
  <c r="E488" i="1"/>
  <c r="D488" i="1"/>
  <c r="C488" i="1"/>
  <c r="B488" i="1"/>
  <c r="I487" i="1"/>
  <c r="H487" i="1"/>
  <c r="F487" i="1"/>
  <c r="E487" i="1"/>
  <c r="D487" i="1"/>
  <c r="C487" i="1"/>
  <c r="B487" i="1"/>
  <c r="I486" i="1"/>
  <c r="H486" i="1"/>
  <c r="F486" i="1"/>
  <c r="E486" i="1"/>
  <c r="D486" i="1"/>
  <c r="C486" i="1"/>
  <c r="B486" i="1"/>
  <c r="I485" i="1"/>
  <c r="H485" i="1"/>
  <c r="F485" i="1"/>
  <c r="E485" i="1"/>
  <c r="D485" i="1"/>
  <c r="C485" i="1"/>
  <c r="B485" i="1"/>
  <c r="I484" i="1"/>
  <c r="H484" i="1"/>
  <c r="F484" i="1"/>
  <c r="E484" i="1"/>
  <c r="D484" i="1"/>
  <c r="C484" i="1"/>
  <c r="B484" i="1"/>
  <c r="I483" i="1"/>
  <c r="H483" i="1"/>
  <c r="F483" i="1"/>
  <c r="E483" i="1"/>
  <c r="D483" i="1"/>
  <c r="C483" i="1"/>
  <c r="B483" i="1"/>
  <c r="I482" i="1"/>
  <c r="H482" i="1"/>
  <c r="F482" i="1"/>
  <c r="E482" i="1"/>
  <c r="D482" i="1"/>
  <c r="C482" i="1"/>
  <c r="B482" i="1"/>
  <c r="I481" i="1"/>
  <c r="H481" i="1"/>
  <c r="F481" i="1"/>
  <c r="E481" i="1"/>
  <c r="D481" i="1"/>
  <c r="C481" i="1"/>
  <c r="B481" i="1"/>
  <c r="I480" i="1"/>
  <c r="H480" i="1"/>
  <c r="F480" i="1"/>
  <c r="E480" i="1"/>
  <c r="D480" i="1"/>
  <c r="C480" i="1"/>
  <c r="B480" i="1"/>
  <c r="I479" i="1"/>
  <c r="H479" i="1"/>
  <c r="F479" i="1"/>
  <c r="E479" i="1"/>
  <c r="D479" i="1"/>
  <c r="C479" i="1"/>
  <c r="B479" i="1"/>
  <c r="I478" i="1"/>
  <c r="H478" i="1"/>
  <c r="F478" i="1"/>
  <c r="E478" i="1"/>
  <c r="D478" i="1"/>
  <c r="C478" i="1"/>
  <c r="B478" i="1"/>
  <c r="I477" i="1"/>
  <c r="H477" i="1"/>
  <c r="F477" i="1"/>
  <c r="E477" i="1"/>
  <c r="D477" i="1"/>
  <c r="C477" i="1"/>
  <c r="B477" i="1"/>
  <c r="I476" i="1"/>
  <c r="H476" i="1"/>
  <c r="F476" i="1"/>
  <c r="E476" i="1"/>
  <c r="D476" i="1"/>
  <c r="C476" i="1"/>
  <c r="B476" i="1"/>
  <c r="I475" i="1"/>
  <c r="H475" i="1"/>
  <c r="F475" i="1"/>
  <c r="E475" i="1"/>
  <c r="D475" i="1"/>
  <c r="C475" i="1"/>
  <c r="B475" i="1"/>
  <c r="I474" i="1"/>
  <c r="H474" i="1"/>
  <c r="F474" i="1"/>
  <c r="E474" i="1"/>
  <c r="D474" i="1"/>
  <c r="C474" i="1"/>
  <c r="B474" i="1"/>
  <c r="I473" i="1"/>
  <c r="H473" i="1"/>
  <c r="F473" i="1"/>
  <c r="E473" i="1"/>
  <c r="D473" i="1"/>
  <c r="C473" i="1"/>
  <c r="B473" i="1"/>
  <c r="I472" i="1"/>
  <c r="H472" i="1"/>
  <c r="F472" i="1"/>
  <c r="E472" i="1"/>
  <c r="D472" i="1"/>
  <c r="C472" i="1"/>
  <c r="B472" i="1"/>
  <c r="I471" i="1"/>
  <c r="H471" i="1"/>
  <c r="F471" i="1"/>
  <c r="E471" i="1"/>
  <c r="D471" i="1"/>
  <c r="C471" i="1"/>
  <c r="B471" i="1"/>
  <c r="I470" i="1"/>
  <c r="H470" i="1"/>
  <c r="F470" i="1"/>
  <c r="E470" i="1"/>
  <c r="D470" i="1"/>
  <c r="C470" i="1"/>
  <c r="B470" i="1"/>
  <c r="I469" i="1"/>
  <c r="H469" i="1"/>
  <c r="F469" i="1"/>
  <c r="E469" i="1"/>
  <c r="D469" i="1"/>
  <c r="C469" i="1"/>
  <c r="B469" i="1"/>
  <c r="I468" i="1"/>
  <c r="H468" i="1"/>
  <c r="F468" i="1"/>
  <c r="E468" i="1"/>
  <c r="D468" i="1"/>
  <c r="C468" i="1"/>
  <c r="B468" i="1"/>
  <c r="I467" i="1"/>
  <c r="H467" i="1"/>
  <c r="F467" i="1"/>
  <c r="E467" i="1"/>
  <c r="D467" i="1"/>
  <c r="C467" i="1"/>
  <c r="B467" i="1"/>
  <c r="I466" i="1"/>
  <c r="H466" i="1"/>
  <c r="F466" i="1"/>
  <c r="E466" i="1"/>
  <c r="D466" i="1"/>
  <c r="C466" i="1"/>
  <c r="B466" i="1"/>
  <c r="I465" i="1"/>
  <c r="H465" i="1"/>
  <c r="F465" i="1"/>
  <c r="E465" i="1"/>
  <c r="D465" i="1"/>
  <c r="C465" i="1"/>
  <c r="B465" i="1"/>
  <c r="I464" i="1"/>
  <c r="H464" i="1"/>
  <c r="F464" i="1"/>
  <c r="E464" i="1"/>
  <c r="D464" i="1"/>
  <c r="C464" i="1"/>
  <c r="B464" i="1"/>
  <c r="I463" i="1"/>
  <c r="H463" i="1"/>
  <c r="F463" i="1"/>
  <c r="E463" i="1"/>
  <c r="D463" i="1"/>
  <c r="C463" i="1"/>
  <c r="B463" i="1"/>
  <c r="I462" i="1"/>
  <c r="H462" i="1"/>
  <c r="F462" i="1"/>
  <c r="E462" i="1"/>
  <c r="D462" i="1"/>
  <c r="C462" i="1"/>
  <c r="B462" i="1"/>
  <c r="I461" i="1"/>
  <c r="H461" i="1"/>
  <c r="F461" i="1"/>
  <c r="E461" i="1"/>
  <c r="D461" i="1"/>
  <c r="C461" i="1"/>
  <c r="B461" i="1"/>
  <c r="I460" i="1"/>
  <c r="H460" i="1"/>
  <c r="F460" i="1"/>
  <c r="E460" i="1"/>
  <c r="D460" i="1"/>
  <c r="C460" i="1"/>
  <c r="B460" i="1"/>
  <c r="I459" i="1"/>
  <c r="H459" i="1"/>
  <c r="F459" i="1"/>
  <c r="E459" i="1"/>
  <c r="D459" i="1"/>
  <c r="C459" i="1"/>
  <c r="B459" i="1"/>
  <c r="I458" i="1"/>
  <c r="H458" i="1"/>
  <c r="F458" i="1"/>
  <c r="E458" i="1"/>
  <c r="D458" i="1"/>
  <c r="C458" i="1"/>
  <c r="B458" i="1"/>
  <c r="I457" i="1"/>
  <c r="H457" i="1"/>
  <c r="F457" i="1"/>
  <c r="E457" i="1"/>
  <c r="D457" i="1"/>
  <c r="C457" i="1"/>
  <c r="B457" i="1"/>
  <c r="I456" i="1"/>
  <c r="H456" i="1"/>
  <c r="F456" i="1"/>
  <c r="E456" i="1"/>
  <c r="D456" i="1"/>
  <c r="C456" i="1"/>
  <c r="B456" i="1"/>
  <c r="I455" i="1"/>
  <c r="H455" i="1"/>
  <c r="F455" i="1"/>
  <c r="E455" i="1"/>
  <c r="D455" i="1"/>
  <c r="C455" i="1"/>
  <c r="B455" i="1"/>
  <c r="I454" i="1"/>
  <c r="H454" i="1"/>
  <c r="F454" i="1"/>
  <c r="E454" i="1"/>
  <c r="D454" i="1"/>
  <c r="C454" i="1"/>
  <c r="B454" i="1"/>
  <c r="I453" i="1"/>
  <c r="H453" i="1"/>
  <c r="F453" i="1"/>
  <c r="E453" i="1"/>
  <c r="D453" i="1"/>
  <c r="C453" i="1"/>
  <c r="B453" i="1"/>
  <c r="I452" i="1"/>
  <c r="H452" i="1"/>
  <c r="F452" i="1"/>
  <c r="E452" i="1"/>
  <c r="D452" i="1"/>
  <c r="C452" i="1"/>
  <c r="B452" i="1"/>
  <c r="I451" i="1"/>
  <c r="H451" i="1"/>
  <c r="F451" i="1"/>
  <c r="E451" i="1"/>
  <c r="D451" i="1"/>
  <c r="C451" i="1"/>
  <c r="B451" i="1"/>
  <c r="I450" i="1"/>
  <c r="H450" i="1"/>
  <c r="F450" i="1"/>
  <c r="E450" i="1"/>
  <c r="D450" i="1"/>
  <c r="C450" i="1"/>
  <c r="B450" i="1"/>
  <c r="I449" i="1"/>
  <c r="H449" i="1"/>
  <c r="F449" i="1"/>
  <c r="E449" i="1"/>
  <c r="D449" i="1"/>
  <c r="C449" i="1"/>
  <c r="B449" i="1"/>
  <c r="I448" i="1"/>
  <c r="H448" i="1"/>
  <c r="F448" i="1"/>
  <c r="E448" i="1"/>
  <c r="D448" i="1"/>
  <c r="C448" i="1"/>
  <c r="B448" i="1"/>
  <c r="I447" i="1"/>
  <c r="H447" i="1"/>
  <c r="F447" i="1"/>
  <c r="E447" i="1"/>
  <c r="D447" i="1"/>
  <c r="C447" i="1"/>
  <c r="B447" i="1"/>
  <c r="I446" i="1"/>
  <c r="H446" i="1"/>
  <c r="F446" i="1"/>
  <c r="E446" i="1"/>
  <c r="D446" i="1"/>
  <c r="C446" i="1"/>
  <c r="B446" i="1"/>
  <c r="I445" i="1"/>
  <c r="H445" i="1"/>
  <c r="F445" i="1"/>
  <c r="E445" i="1"/>
  <c r="D445" i="1"/>
  <c r="C445" i="1"/>
  <c r="B445" i="1"/>
  <c r="I444" i="1"/>
  <c r="H444" i="1"/>
  <c r="F444" i="1"/>
  <c r="E444" i="1"/>
  <c r="D444" i="1"/>
  <c r="C444" i="1"/>
  <c r="B444" i="1"/>
  <c r="I443" i="1"/>
  <c r="H443" i="1"/>
  <c r="F443" i="1"/>
  <c r="E443" i="1"/>
  <c r="D443" i="1"/>
  <c r="C443" i="1"/>
  <c r="B443" i="1"/>
  <c r="I442" i="1"/>
  <c r="H442" i="1"/>
  <c r="F442" i="1"/>
  <c r="E442" i="1"/>
  <c r="D442" i="1"/>
  <c r="C442" i="1"/>
  <c r="B442" i="1"/>
  <c r="I441" i="1"/>
  <c r="H441" i="1"/>
  <c r="F441" i="1"/>
  <c r="E441" i="1"/>
  <c r="D441" i="1"/>
  <c r="C441" i="1"/>
  <c r="B441" i="1"/>
  <c r="I440" i="1"/>
  <c r="H440" i="1"/>
  <c r="F440" i="1"/>
  <c r="E440" i="1"/>
  <c r="D440" i="1"/>
  <c r="C440" i="1"/>
  <c r="B440" i="1"/>
  <c r="I439" i="1"/>
  <c r="H439" i="1"/>
  <c r="F439" i="1"/>
  <c r="E439" i="1"/>
  <c r="D439" i="1"/>
  <c r="C439" i="1"/>
  <c r="B439" i="1"/>
  <c r="I438" i="1"/>
  <c r="H438" i="1"/>
  <c r="F438" i="1"/>
  <c r="E438" i="1"/>
  <c r="D438" i="1"/>
  <c r="C438" i="1"/>
  <c r="B438" i="1"/>
  <c r="I437" i="1"/>
  <c r="H437" i="1"/>
  <c r="F437" i="1"/>
  <c r="E437" i="1"/>
  <c r="D437" i="1"/>
  <c r="C437" i="1"/>
  <c r="B437" i="1"/>
  <c r="I436" i="1"/>
  <c r="H436" i="1"/>
  <c r="F436" i="1"/>
  <c r="E436" i="1"/>
  <c r="D436" i="1"/>
  <c r="C436" i="1"/>
  <c r="B436" i="1"/>
  <c r="I435" i="1"/>
  <c r="H435" i="1"/>
  <c r="F435" i="1"/>
  <c r="E435" i="1"/>
  <c r="D435" i="1"/>
  <c r="C435" i="1"/>
  <c r="B435" i="1"/>
  <c r="I434" i="1"/>
  <c r="H434" i="1"/>
  <c r="F434" i="1"/>
  <c r="E434" i="1"/>
  <c r="D434" i="1"/>
  <c r="C434" i="1"/>
  <c r="B434" i="1"/>
  <c r="I433" i="1"/>
  <c r="H433" i="1"/>
  <c r="F433" i="1"/>
  <c r="E433" i="1"/>
  <c r="D433" i="1"/>
  <c r="C433" i="1"/>
  <c r="B433" i="1"/>
  <c r="I432" i="1"/>
  <c r="H432" i="1"/>
  <c r="F432" i="1"/>
  <c r="E432" i="1"/>
  <c r="D432" i="1"/>
  <c r="C432" i="1"/>
  <c r="B432" i="1"/>
  <c r="I431" i="1"/>
  <c r="H431" i="1"/>
  <c r="F431" i="1"/>
  <c r="E431" i="1"/>
  <c r="D431" i="1"/>
  <c r="C431" i="1"/>
  <c r="B431" i="1"/>
  <c r="I430" i="1"/>
  <c r="H430" i="1"/>
  <c r="F430" i="1"/>
  <c r="E430" i="1"/>
  <c r="D430" i="1"/>
  <c r="C430" i="1"/>
  <c r="B430" i="1"/>
  <c r="I429" i="1"/>
  <c r="H429" i="1"/>
  <c r="F429" i="1"/>
  <c r="E429" i="1"/>
  <c r="D429" i="1"/>
  <c r="C429" i="1"/>
  <c r="B429" i="1"/>
  <c r="I428" i="1"/>
  <c r="H428" i="1"/>
  <c r="F428" i="1"/>
  <c r="E428" i="1"/>
  <c r="D428" i="1"/>
  <c r="C428" i="1"/>
  <c r="B428" i="1"/>
  <c r="I427" i="1"/>
  <c r="H427" i="1"/>
  <c r="F427" i="1"/>
  <c r="E427" i="1"/>
  <c r="D427" i="1"/>
  <c r="C427" i="1"/>
  <c r="B427" i="1"/>
  <c r="I426" i="1"/>
  <c r="H426" i="1"/>
  <c r="F426" i="1"/>
  <c r="E426" i="1"/>
  <c r="D426" i="1"/>
  <c r="C426" i="1"/>
  <c r="B426" i="1"/>
  <c r="I425" i="1"/>
  <c r="H425" i="1"/>
  <c r="F425" i="1"/>
  <c r="E425" i="1"/>
  <c r="D425" i="1"/>
  <c r="C425" i="1"/>
  <c r="B425" i="1"/>
  <c r="I424" i="1"/>
  <c r="H424" i="1"/>
  <c r="F424" i="1"/>
  <c r="E424" i="1"/>
  <c r="D424" i="1"/>
  <c r="C424" i="1"/>
  <c r="B424" i="1"/>
  <c r="I423" i="1"/>
  <c r="H423" i="1"/>
  <c r="F423" i="1"/>
  <c r="E423" i="1"/>
  <c r="D423" i="1"/>
  <c r="C423" i="1"/>
  <c r="B423" i="1"/>
  <c r="I422" i="1"/>
  <c r="H422" i="1"/>
  <c r="F422" i="1"/>
  <c r="E422" i="1"/>
  <c r="D422" i="1"/>
  <c r="C422" i="1"/>
  <c r="B422" i="1"/>
  <c r="I421" i="1"/>
  <c r="H421" i="1"/>
  <c r="F421" i="1"/>
  <c r="E421" i="1"/>
  <c r="D421" i="1"/>
  <c r="C421" i="1"/>
  <c r="B421" i="1"/>
  <c r="I420" i="1"/>
  <c r="H420" i="1"/>
  <c r="F420" i="1"/>
  <c r="E420" i="1"/>
  <c r="D420" i="1"/>
  <c r="C420" i="1"/>
  <c r="B420" i="1"/>
  <c r="I419" i="1"/>
  <c r="H419" i="1"/>
  <c r="F419" i="1"/>
  <c r="E419" i="1"/>
  <c r="D419" i="1"/>
  <c r="C419" i="1"/>
  <c r="B419" i="1"/>
  <c r="I418" i="1"/>
  <c r="H418" i="1"/>
  <c r="F418" i="1"/>
  <c r="E418" i="1"/>
  <c r="D418" i="1"/>
  <c r="C418" i="1"/>
  <c r="B418" i="1"/>
  <c r="I417" i="1"/>
  <c r="H417" i="1"/>
  <c r="F417" i="1"/>
  <c r="E417" i="1"/>
  <c r="D417" i="1"/>
  <c r="C417" i="1"/>
  <c r="B417" i="1"/>
  <c r="I416" i="1"/>
  <c r="H416" i="1"/>
  <c r="F416" i="1"/>
  <c r="E416" i="1"/>
  <c r="D416" i="1"/>
  <c r="C416" i="1"/>
  <c r="B416" i="1"/>
  <c r="I415" i="1"/>
  <c r="H415" i="1"/>
  <c r="F415" i="1"/>
  <c r="E415" i="1"/>
  <c r="D415" i="1"/>
  <c r="C415" i="1"/>
  <c r="B415" i="1"/>
  <c r="I414" i="1"/>
  <c r="H414" i="1"/>
  <c r="F414" i="1"/>
  <c r="E414" i="1"/>
  <c r="D414" i="1"/>
  <c r="C414" i="1"/>
  <c r="B414" i="1"/>
  <c r="I413" i="1"/>
  <c r="H413" i="1"/>
  <c r="F413" i="1"/>
  <c r="E413" i="1"/>
  <c r="D413" i="1"/>
  <c r="C413" i="1"/>
  <c r="B413" i="1"/>
  <c r="I412" i="1"/>
  <c r="H412" i="1"/>
  <c r="F412" i="1"/>
  <c r="E412" i="1"/>
  <c r="D412" i="1"/>
  <c r="C412" i="1"/>
  <c r="B412" i="1"/>
  <c r="I411" i="1"/>
  <c r="H411" i="1"/>
  <c r="F411" i="1"/>
  <c r="E411" i="1"/>
  <c r="D411" i="1"/>
  <c r="C411" i="1"/>
  <c r="B411" i="1"/>
  <c r="I410" i="1"/>
  <c r="H410" i="1"/>
  <c r="F410" i="1"/>
  <c r="E410" i="1"/>
  <c r="D410" i="1"/>
  <c r="C410" i="1"/>
  <c r="B410" i="1"/>
  <c r="I409" i="1"/>
  <c r="H409" i="1"/>
  <c r="F409" i="1"/>
  <c r="E409" i="1"/>
  <c r="D409" i="1"/>
  <c r="C409" i="1"/>
  <c r="B409" i="1"/>
  <c r="I408" i="1"/>
  <c r="H408" i="1"/>
  <c r="F408" i="1"/>
  <c r="E408" i="1"/>
  <c r="D408" i="1"/>
  <c r="C408" i="1"/>
  <c r="B408" i="1"/>
  <c r="I407" i="1"/>
  <c r="H407" i="1"/>
  <c r="F407" i="1"/>
  <c r="E407" i="1"/>
  <c r="D407" i="1"/>
  <c r="C407" i="1"/>
  <c r="B407" i="1"/>
  <c r="I406" i="1"/>
  <c r="H406" i="1"/>
  <c r="F406" i="1"/>
  <c r="E406" i="1"/>
  <c r="D406" i="1"/>
  <c r="C406" i="1"/>
  <c r="B406" i="1"/>
  <c r="I405" i="1"/>
  <c r="H405" i="1"/>
  <c r="F405" i="1"/>
  <c r="E405" i="1"/>
  <c r="D405" i="1"/>
  <c r="C405" i="1"/>
  <c r="B405" i="1"/>
  <c r="I404" i="1"/>
  <c r="H404" i="1"/>
  <c r="F404" i="1"/>
  <c r="E404" i="1"/>
  <c r="D404" i="1"/>
  <c r="C404" i="1"/>
  <c r="B404" i="1"/>
  <c r="I403" i="1"/>
  <c r="H403" i="1"/>
  <c r="F403" i="1"/>
  <c r="E403" i="1"/>
  <c r="D403" i="1"/>
  <c r="C403" i="1"/>
  <c r="B403" i="1"/>
  <c r="I402" i="1"/>
  <c r="H402" i="1"/>
  <c r="F402" i="1"/>
  <c r="E402" i="1"/>
  <c r="D402" i="1"/>
  <c r="C402" i="1"/>
  <c r="B402" i="1"/>
  <c r="I401" i="1"/>
  <c r="H401" i="1"/>
  <c r="F401" i="1"/>
  <c r="E401" i="1"/>
  <c r="D401" i="1"/>
  <c r="C401" i="1"/>
  <c r="B401" i="1"/>
  <c r="I400" i="1"/>
  <c r="H400" i="1"/>
  <c r="F400" i="1"/>
  <c r="E400" i="1"/>
  <c r="D400" i="1"/>
  <c r="C400" i="1"/>
  <c r="B400" i="1"/>
  <c r="I399" i="1"/>
  <c r="H399" i="1"/>
  <c r="F399" i="1"/>
  <c r="E399" i="1"/>
  <c r="D399" i="1"/>
  <c r="C399" i="1"/>
  <c r="B399" i="1"/>
  <c r="I398" i="1"/>
  <c r="H398" i="1"/>
  <c r="F398" i="1"/>
  <c r="E398" i="1"/>
  <c r="D398" i="1"/>
  <c r="C398" i="1"/>
  <c r="B398" i="1"/>
  <c r="I397" i="1"/>
  <c r="H397" i="1"/>
  <c r="F397" i="1"/>
  <c r="E397" i="1"/>
  <c r="D397" i="1"/>
  <c r="C397" i="1"/>
  <c r="B397" i="1"/>
  <c r="I396" i="1"/>
  <c r="H396" i="1"/>
  <c r="F396" i="1"/>
  <c r="E396" i="1"/>
  <c r="D396" i="1"/>
  <c r="C396" i="1"/>
  <c r="B396" i="1"/>
  <c r="I395" i="1"/>
  <c r="H395" i="1"/>
  <c r="F395" i="1"/>
  <c r="E395" i="1"/>
  <c r="D395" i="1"/>
  <c r="C395" i="1"/>
  <c r="B395" i="1"/>
  <c r="I394" i="1"/>
  <c r="H394" i="1"/>
  <c r="F394" i="1"/>
  <c r="E394" i="1"/>
  <c r="D394" i="1"/>
  <c r="C394" i="1"/>
  <c r="B394" i="1"/>
  <c r="I393" i="1"/>
  <c r="H393" i="1"/>
  <c r="F393" i="1"/>
  <c r="E393" i="1"/>
  <c r="D393" i="1"/>
  <c r="C393" i="1"/>
  <c r="B393" i="1"/>
  <c r="I392" i="1"/>
  <c r="H392" i="1"/>
  <c r="F392" i="1"/>
  <c r="E392" i="1"/>
  <c r="D392" i="1"/>
  <c r="C392" i="1"/>
  <c r="B392" i="1"/>
  <c r="I391" i="1"/>
  <c r="H391" i="1"/>
  <c r="F391" i="1"/>
  <c r="E391" i="1"/>
  <c r="D391" i="1"/>
  <c r="C391" i="1"/>
  <c r="B391" i="1"/>
  <c r="I390" i="1"/>
  <c r="H390" i="1"/>
  <c r="F390" i="1"/>
  <c r="E390" i="1"/>
  <c r="D390" i="1"/>
  <c r="C390" i="1"/>
  <c r="B390" i="1"/>
  <c r="I389" i="1"/>
  <c r="H389" i="1"/>
  <c r="F389" i="1"/>
  <c r="E389" i="1"/>
  <c r="D389" i="1"/>
  <c r="C389" i="1"/>
  <c r="B389" i="1"/>
  <c r="I388" i="1"/>
  <c r="H388" i="1"/>
  <c r="F388" i="1"/>
  <c r="E388" i="1"/>
  <c r="D388" i="1"/>
  <c r="C388" i="1"/>
  <c r="B388" i="1"/>
  <c r="I387" i="1"/>
  <c r="H387" i="1"/>
  <c r="F387" i="1"/>
  <c r="E387" i="1"/>
  <c r="D387" i="1"/>
  <c r="C387" i="1"/>
  <c r="B387" i="1"/>
  <c r="I386" i="1"/>
  <c r="H386" i="1"/>
  <c r="F386" i="1"/>
  <c r="E386" i="1"/>
  <c r="D386" i="1"/>
  <c r="C386" i="1"/>
  <c r="B386" i="1"/>
  <c r="I385" i="1"/>
  <c r="H385" i="1"/>
  <c r="F385" i="1"/>
  <c r="E385" i="1"/>
  <c r="D385" i="1"/>
  <c r="C385" i="1"/>
  <c r="B385" i="1"/>
  <c r="I384" i="1"/>
  <c r="H384" i="1"/>
  <c r="F384" i="1"/>
  <c r="E384" i="1"/>
  <c r="D384" i="1"/>
  <c r="C384" i="1"/>
  <c r="B384" i="1"/>
  <c r="I383" i="1"/>
  <c r="H383" i="1"/>
  <c r="F383" i="1"/>
  <c r="E383" i="1"/>
  <c r="D383" i="1"/>
  <c r="C383" i="1"/>
  <c r="B383" i="1"/>
  <c r="I382" i="1"/>
  <c r="H382" i="1"/>
  <c r="F382" i="1"/>
  <c r="E382" i="1"/>
  <c r="D382" i="1"/>
  <c r="C382" i="1"/>
  <c r="B382" i="1"/>
  <c r="I381" i="1"/>
  <c r="H381" i="1"/>
  <c r="F381" i="1"/>
  <c r="E381" i="1"/>
  <c r="D381" i="1"/>
  <c r="C381" i="1"/>
  <c r="B381" i="1"/>
  <c r="I380" i="1"/>
  <c r="H380" i="1"/>
  <c r="F380" i="1"/>
  <c r="E380" i="1"/>
  <c r="D380" i="1"/>
  <c r="C380" i="1"/>
  <c r="B380" i="1"/>
  <c r="I379" i="1"/>
  <c r="H379" i="1"/>
  <c r="F379" i="1"/>
  <c r="E379" i="1"/>
  <c r="D379" i="1"/>
  <c r="C379" i="1"/>
  <c r="B379" i="1"/>
  <c r="I378" i="1"/>
  <c r="H378" i="1"/>
  <c r="F378" i="1"/>
  <c r="E378" i="1"/>
  <c r="D378" i="1"/>
  <c r="C378" i="1"/>
  <c r="B378" i="1"/>
  <c r="I377" i="1"/>
  <c r="H377" i="1"/>
  <c r="F377" i="1"/>
  <c r="E377" i="1"/>
  <c r="D377" i="1"/>
  <c r="C377" i="1"/>
  <c r="B377" i="1"/>
  <c r="I376" i="1"/>
  <c r="H376" i="1"/>
  <c r="F376" i="1"/>
  <c r="E376" i="1"/>
  <c r="D376" i="1"/>
  <c r="C376" i="1"/>
  <c r="B376" i="1"/>
  <c r="I375" i="1"/>
  <c r="H375" i="1"/>
  <c r="F375" i="1"/>
  <c r="E375" i="1"/>
  <c r="D375" i="1"/>
  <c r="C375" i="1"/>
  <c r="B375" i="1"/>
  <c r="I374" i="1"/>
  <c r="H374" i="1"/>
  <c r="F374" i="1"/>
  <c r="E374" i="1"/>
  <c r="D374" i="1"/>
  <c r="C374" i="1"/>
  <c r="B374" i="1"/>
  <c r="I373" i="1"/>
  <c r="H373" i="1"/>
  <c r="F373" i="1"/>
  <c r="E373" i="1"/>
  <c r="D373" i="1"/>
  <c r="C373" i="1"/>
  <c r="B373" i="1"/>
  <c r="I372" i="1"/>
  <c r="H372" i="1"/>
  <c r="F372" i="1"/>
  <c r="E372" i="1"/>
  <c r="D372" i="1"/>
  <c r="C372" i="1"/>
  <c r="B372" i="1"/>
  <c r="I371" i="1"/>
  <c r="H371" i="1"/>
  <c r="F371" i="1"/>
  <c r="E371" i="1"/>
  <c r="D371" i="1"/>
  <c r="C371" i="1"/>
  <c r="B371" i="1"/>
  <c r="I370" i="1"/>
  <c r="H370" i="1"/>
  <c r="F370" i="1"/>
  <c r="E370" i="1"/>
  <c r="D370" i="1"/>
  <c r="C370" i="1"/>
  <c r="B370" i="1"/>
  <c r="I369" i="1"/>
  <c r="H369" i="1"/>
  <c r="F369" i="1"/>
  <c r="E369" i="1"/>
  <c r="D369" i="1"/>
  <c r="C369" i="1"/>
  <c r="B369" i="1"/>
  <c r="I368" i="1"/>
  <c r="H368" i="1"/>
  <c r="F368" i="1"/>
  <c r="E368" i="1"/>
  <c r="D368" i="1"/>
  <c r="C368" i="1"/>
  <c r="B368" i="1"/>
  <c r="I367" i="1"/>
  <c r="H367" i="1"/>
  <c r="F367" i="1"/>
  <c r="E367" i="1"/>
  <c r="D367" i="1"/>
  <c r="C367" i="1"/>
  <c r="B367" i="1"/>
  <c r="I366" i="1"/>
  <c r="H366" i="1"/>
  <c r="F366" i="1"/>
  <c r="E366" i="1"/>
  <c r="D366" i="1"/>
  <c r="C366" i="1"/>
  <c r="B366" i="1"/>
  <c r="I365" i="1"/>
  <c r="H365" i="1"/>
  <c r="F365" i="1"/>
  <c r="E365" i="1"/>
  <c r="D365" i="1"/>
  <c r="C365" i="1"/>
  <c r="B365" i="1"/>
  <c r="I364" i="1"/>
  <c r="H364" i="1"/>
  <c r="F364" i="1"/>
  <c r="E364" i="1"/>
  <c r="D364" i="1"/>
  <c r="C364" i="1"/>
  <c r="B364" i="1"/>
  <c r="I363" i="1"/>
  <c r="H363" i="1"/>
  <c r="F363" i="1"/>
  <c r="E363" i="1"/>
  <c r="D363" i="1"/>
  <c r="C363" i="1"/>
  <c r="B363" i="1"/>
  <c r="I362" i="1"/>
  <c r="H362" i="1"/>
  <c r="F362" i="1"/>
  <c r="E362" i="1"/>
  <c r="D362" i="1"/>
  <c r="C362" i="1"/>
  <c r="B362" i="1"/>
  <c r="I361" i="1"/>
  <c r="H361" i="1"/>
  <c r="F361" i="1"/>
  <c r="E361" i="1"/>
  <c r="D361" i="1"/>
  <c r="C361" i="1"/>
  <c r="B361" i="1"/>
  <c r="I360" i="1"/>
  <c r="H360" i="1"/>
  <c r="F360" i="1"/>
  <c r="E360" i="1"/>
  <c r="D360" i="1"/>
  <c r="C360" i="1"/>
  <c r="B360" i="1"/>
  <c r="I359" i="1"/>
  <c r="H359" i="1"/>
  <c r="F359" i="1"/>
  <c r="E359" i="1"/>
  <c r="D359" i="1"/>
  <c r="C359" i="1"/>
  <c r="B359" i="1"/>
  <c r="I358" i="1"/>
  <c r="H358" i="1"/>
  <c r="F358" i="1"/>
  <c r="E358" i="1"/>
  <c r="D358" i="1"/>
  <c r="C358" i="1"/>
  <c r="B358" i="1"/>
  <c r="I357" i="1"/>
  <c r="H357" i="1"/>
  <c r="F357" i="1"/>
  <c r="E357" i="1"/>
  <c r="D357" i="1"/>
  <c r="C357" i="1"/>
  <c r="B357" i="1"/>
  <c r="I356" i="1"/>
  <c r="H356" i="1"/>
  <c r="F356" i="1"/>
  <c r="E356" i="1"/>
  <c r="D356" i="1"/>
  <c r="C356" i="1"/>
  <c r="B356" i="1"/>
  <c r="I355" i="1"/>
  <c r="H355" i="1"/>
  <c r="F355" i="1"/>
  <c r="E355" i="1"/>
  <c r="D355" i="1"/>
  <c r="C355" i="1"/>
  <c r="B355" i="1"/>
  <c r="I354" i="1"/>
  <c r="H354" i="1"/>
  <c r="F354" i="1"/>
  <c r="E354" i="1"/>
  <c r="D354" i="1"/>
  <c r="C354" i="1"/>
  <c r="B354" i="1"/>
  <c r="I353" i="1"/>
  <c r="H353" i="1"/>
  <c r="F353" i="1"/>
  <c r="E353" i="1"/>
  <c r="D353" i="1"/>
  <c r="C353" i="1"/>
  <c r="B353" i="1"/>
  <c r="I352" i="1"/>
  <c r="H352" i="1"/>
  <c r="F352" i="1"/>
  <c r="E352" i="1"/>
  <c r="D352" i="1"/>
  <c r="C352" i="1"/>
  <c r="B352" i="1"/>
  <c r="I351" i="1"/>
  <c r="H351" i="1"/>
  <c r="F351" i="1"/>
  <c r="E351" i="1"/>
  <c r="D351" i="1"/>
  <c r="C351" i="1"/>
  <c r="B351" i="1"/>
  <c r="I350" i="1"/>
  <c r="H350" i="1"/>
  <c r="F350" i="1"/>
  <c r="E350" i="1"/>
  <c r="D350" i="1"/>
  <c r="C350" i="1"/>
  <c r="B350" i="1"/>
  <c r="I349" i="1"/>
  <c r="H349" i="1"/>
  <c r="F349" i="1"/>
  <c r="E349" i="1"/>
  <c r="D349" i="1"/>
  <c r="C349" i="1"/>
  <c r="B349" i="1"/>
  <c r="I348" i="1"/>
  <c r="H348" i="1"/>
  <c r="F348" i="1"/>
  <c r="E348" i="1"/>
  <c r="D348" i="1"/>
  <c r="C348" i="1"/>
  <c r="B348" i="1"/>
  <c r="I347" i="1"/>
  <c r="H347" i="1"/>
  <c r="F347" i="1"/>
  <c r="E347" i="1"/>
  <c r="D347" i="1"/>
  <c r="C347" i="1"/>
  <c r="B347" i="1"/>
  <c r="I346" i="1"/>
  <c r="H346" i="1"/>
  <c r="F346" i="1"/>
  <c r="E346" i="1"/>
  <c r="D346" i="1"/>
  <c r="C346" i="1"/>
  <c r="B346" i="1"/>
  <c r="I345" i="1"/>
  <c r="H345" i="1"/>
  <c r="F345" i="1"/>
  <c r="E345" i="1"/>
  <c r="D345" i="1"/>
  <c r="C345" i="1"/>
  <c r="B345" i="1"/>
  <c r="I344" i="1"/>
  <c r="H344" i="1"/>
  <c r="F344" i="1"/>
  <c r="E344" i="1"/>
  <c r="D344" i="1"/>
  <c r="C344" i="1"/>
  <c r="B344" i="1"/>
  <c r="I343" i="1"/>
  <c r="H343" i="1"/>
  <c r="F343" i="1"/>
  <c r="E343" i="1"/>
  <c r="D343" i="1"/>
  <c r="C343" i="1"/>
  <c r="B343" i="1"/>
  <c r="I342" i="1"/>
  <c r="H342" i="1"/>
  <c r="F342" i="1"/>
  <c r="E342" i="1"/>
  <c r="D342" i="1"/>
  <c r="C342" i="1"/>
  <c r="B342" i="1"/>
  <c r="I341" i="1"/>
  <c r="H341" i="1"/>
  <c r="F341" i="1"/>
  <c r="E341" i="1"/>
  <c r="D341" i="1"/>
  <c r="C341" i="1"/>
  <c r="B341" i="1"/>
  <c r="I340" i="1"/>
  <c r="H340" i="1"/>
  <c r="F340" i="1"/>
  <c r="E340" i="1"/>
  <c r="D340" i="1"/>
  <c r="C340" i="1"/>
  <c r="B340" i="1"/>
  <c r="I339" i="1"/>
  <c r="H339" i="1"/>
  <c r="F339" i="1"/>
  <c r="E339" i="1"/>
  <c r="D339" i="1"/>
  <c r="C339" i="1"/>
  <c r="B339" i="1"/>
  <c r="I338" i="1"/>
  <c r="H338" i="1"/>
  <c r="F338" i="1"/>
  <c r="E338" i="1"/>
  <c r="D338" i="1"/>
  <c r="C338" i="1"/>
  <c r="B338" i="1"/>
  <c r="I337" i="1"/>
  <c r="H337" i="1"/>
  <c r="F337" i="1"/>
  <c r="E337" i="1"/>
  <c r="D337" i="1"/>
  <c r="C337" i="1"/>
  <c r="B337" i="1"/>
  <c r="I336" i="1"/>
  <c r="H336" i="1"/>
  <c r="F336" i="1"/>
  <c r="E336" i="1"/>
  <c r="D336" i="1"/>
  <c r="C336" i="1"/>
  <c r="B336" i="1"/>
  <c r="I335" i="1"/>
  <c r="H335" i="1"/>
  <c r="F335" i="1"/>
  <c r="E335" i="1"/>
  <c r="D335" i="1"/>
  <c r="C335" i="1"/>
  <c r="B335" i="1"/>
  <c r="I334" i="1"/>
  <c r="H334" i="1"/>
  <c r="F334" i="1"/>
  <c r="E334" i="1"/>
  <c r="D334" i="1"/>
  <c r="C334" i="1"/>
  <c r="B334" i="1"/>
  <c r="I333" i="1"/>
  <c r="H333" i="1"/>
  <c r="F333" i="1"/>
  <c r="E333" i="1"/>
  <c r="D333" i="1"/>
  <c r="C333" i="1"/>
  <c r="B333" i="1"/>
  <c r="I332" i="1"/>
  <c r="H332" i="1"/>
  <c r="F332" i="1"/>
  <c r="E332" i="1"/>
  <c r="D332" i="1"/>
  <c r="C332" i="1"/>
  <c r="B332" i="1"/>
  <c r="I331" i="1"/>
  <c r="H331" i="1"/>
  <c r="F331" i="1"/>
  <c r="E331" i="1"/>
  <c r="D331" i="1"/>
  <c r="C331" i="1"/>
  <c r="B331" i="1"/>
  <c r="I330" i="1"/>
  <c r="H330" i="1"/>
  <c r="F330" i="1"/>
  <c r="E330" i="1"/>
  <c r="D330" i="1"/>
  <c r="C330" i="1"/>
  <c r="B330" i="1"/>
  <c r="I329" i="1"/>
  <c r="H329" i="1"/>
  <c r="F329" i="1"/>
  <c r="E329" i="1"/>
  <c r="D329" i="1"/>
  <c r="C329" i="1"/>
  <c r="B329" i="1"/>
  <c r="I328" i="1"/>
  <c r="H328" i="1"/>
  <c r="F328" i="1"/>
  <c r="E328" i="1"/>
  <c r="D328" i="1"/>
  <c r="C328" i="1"/>
  <c r="B328" i="1"/>
  <c r="I327" i="1"/>
  <c r="H327" i="1"/>
  <c r="F327" i="1"/>
  <c r="E327" i="1"/>
  <c r="D327" i="1"/>
  <c r="C327" i="1"/>
  <c r="B327" i="1"/>
  <c r="I326" i="1"/>
  <c r="H326" i="1"/>
  <c r="F326" i="1"/>
  <c r="E326" i="1"/>
  <c r="D326" i="1"/>
  <c r="C326" i="1"/>
  <c r="B326" i="1"/>
  <c r="I325" i="1"/>
  <c r="H325" i="1"/>
  <c r="F325" i="1"/>
  <c r="E325" i="1"/>
  <c r="D325" i="1"/>
  <c r="C325" i="1"/>
  <c r="B325" i="1"/>
  <c r="I324" i="1"/>
  <c r="H324" i="1"/>
  <c r="F324" i="1"/>
  <c r="E324" i="1"/>
  <c r="D324" i="1"/>
  <c r="C324" i="1"/>
  <c r="B324" i="1"/>
  <c r="I323" i="1"/>
  <c r="H323" i="1"/>
  <c r="F323" i="1"/>
  <c r="E323" i="1"/>
  <c r="D323" i="1"/>
  <c r="C323" i="1"/>
  <c r="B323" i="1"/>
  <c r="I322" i="1"/>
  <c r="H322" i="1"/>
  <c r="F322" i="1"/>
  <c r="E322" i="1"/>
  <c r="D322" i="1"/>
  <c r="C322" i="1"/>
  <c r="B322" i="1"/>
  <c r="I321" i="1"/>
  <c r="H321" i="1"/>
  <c r="F321" i="1"/>
  <c r="E321" i="1"/>
  <c r="D321" i="1"/>
  <c r="C321" i="1"/>
  <c r="B321" i="1"/>
  <c r="I320" i="1"/>
  <c r="H320" i="1"/>
  <c r="F320" i="1"/>
  <c r="E320" i="1"/>
  <c r="D320" i="1"/>
  <c r="C320" i="1"/>
  <c r="B320" i="1"/>
  <c r="I319" i="1"/>
  <c r="H319" i="1"/>
  <c r="F319" i="1"/>
  <c r="E319" i="1"/>
  <c r="D319" i="1"/>
  <c r="C319" i="1"/>
  <c r="B319" i="1"/>
  <c r="I318" i="1"/>
  <c r="H318" i="1"/>
  <c r="F318" i="1"/>
  <c r="E318" i="1"/>
  <c r="D318" i="1"/>
  <c r="C318" i="1"/>
  <c r="B318" i="1"/>
  <c r="I317" i="1"/>
  <c r="H317" i="1"/>
  <c r="F317" i="1"/>
  <c r="E317" i="1"/>
  <c r="D317" i="1"/>
  <c r="C317" i="1"/>
  <c r="B317" i="1"/>
  <c r="I316" i="1"/>
  <c r="H316" i="1"/>
  <c r="F316" i="1"/>
  <c r="E316" i="1"/>
  <c r="D316" i="1"/>
  <c r="C316" i="1"/>
  <c r="B316" i="1"/>
  <c r="I315" i="1"/>
  <c r="H315" i="1"/>
  <c r="F315" i="1"/>
  <c r="E315" i="1"/>
  <c r="D315" i="1"/>
  <c r="C315" i="1"/>
  <c r="B315" i="1"/>
  <c r="I314" i="1"/>
  <c r="H314" i="1"/>
  <c r="F314" i="1"/>
  <c r="E314" i="1"/>
  <c r="D314" i="1"/>
  <c r="C314" i="1"/>
  <c r="B314" i="1"/>
  <c r="I313" i="1"/>
  <c r="H313" i="1"/>
  <c r="F313" i="1"/>
  <c r="E313" i="1"/>
  <c r="D313" i="1"/>
  <c r="C313" i="1"/>
  <c r="B313" i="1"/>
  <c r="I312" i="1"/>
  <c r="H312" i="1"/>
  <c r="F312" i="1"/>
  <c r="E312" i="1"/>
  <c r="D312" i="1"/>
  <c r="C312" i="1"/>
  <c r="B312" i="1"/>
  <c r="I311" i="1"/>
  <c r="H311" i="1"/>
  <c r="F311" i="1"/>
  <c r="E311" i="1"/>
  <c r="D311" i="1"/>
  <c r="C311" i="1"/>
  <c r="B311" i="1"/>
  <c r="I310" i="1"/>
  <c r="H310" i="1"/>
  <c r="F310" i="1"/>
  <c r="E310" i="1"/>
  <c r="D310" i="1"/>
  <c r="C310" i="1"/>
  <c r="B310" i="1"/>
  <c r="I309" i="1"/>
  <c r="H309" i="1"/>
  <c r="F309" i="1"/>
  <c r="E309" i="1"/>
  <c r="D309" i="1"/>
  <c r="C309" i="1"/>
  <c r="B309" i="1"/>
  <c r="I308" i="1"/>
  <c r="H308" i="1"/>
  <c r="F308" i="1"/>
  <c r="E308" i="1"/>
  <c r="D308" i="1"/>
  <c r="C308" i="1"/>
  <c r="B308" i="1"/>
  <c r="I307" i="1"/>
  <c r="H307" i="1"/>
  <c r="F307" i="1"/>
  <c r="E307" i="1"/>
  <c r="D307" i="1"/>
  <c r="C307" i="1"/>
  <c r="B307" i="1"/>
  <c r="I306" i="1"/>
  <c r="H306" i="1"/>
  <c r="F306" i="1"/>
  <c r="E306" i="1"/>
  <c r="D306" i="1"/>
  <c r="C306" i="1"/>
  <c r="B306" i="1"/>
  <c r="I305" i="1"/>
  <c r="H305" i="1"/>
  <c r="F305" i="1"/>
  <c r="E305" i="1"/>
  <c r="D305" i="1"/>
  <c r="C305" i="1"/>
  <c r="B305" i="1"/>
  <c r="I304" i="1"/>
  <c r="H304" i="1"/>
  <c r="F304" i="1"/>
  <c r="E304" i="1"/>
  <c r="D304" i="1"/>
  <c r="C304" i="1"/>
  <c r="B304" i="1"/>
  <c r="I303" i="1"/>
  <c r="H303" i="1"/>
  <c r="F303" i="1"/>
  <c r="E303" i="1"/>
  <c r="D303" i="1"/>
  <c r="C303" i="1"/>
  <c r="B303" i="1"/>
  <c r="I302" i="1"/>
  <c r="H302" i="1"/>
  <c r="F302" i="1"/>
  <c r="E302" i="1"/>
  <c r="D302" i="1"/>
  <c r="C302" i="1"/>
  <c r="B302" i="1"/>
  <c r="I301" i="1"/>
  <c r="H301" i="1"/>
  <c r="F301" i="1"/>
  <c r="E301" i="1"/>
  <c r="D301" i="1"/>
  <c r="C301" i="1"/>
  <c r="B301" i="1"/>
  <c r="I300" i="1"/>
  <c r="H300" i="1"/>
  <c r="F300" i="1"/>
  <c r="E300" i="1"/>
  <c r="D300" i="1"/>
  <c r="C300" i="1"/>
  <c r="B300" i="1"/>
  <c r="I299" i="1"/>
  <c r="H299" i="1"/>
  <c r="F299" i="1"/>
  <c r="E299" i="1"/>
  <c r="D299" i="1"/>
  <c r="C299" i="1"/>
  <c r="B299" i="1"/>
  <c r="I298" i="1"/>
  <c r="H298" i="1"/>
  <c r="F298" i="1"/>
  <c r="E298" i="1"/>
  <c r="D298" i="1"/>
  <c r="C298" i="1"/>
  <c r="B298" i="1"/>
  <c r="I297" i="1"/>
  <c r="H297" i="1"/>
  <c r="F297" i="1"/>
  <c r="E297" i="1"/>
  <c r="D297" i="1"/>
  <c r="C297" i="1"/>
  <c r="B297" i="1"/>
  <c r="I296" i="1"/>
  <c r="H296" i="1"/>
  <c r="F296" i="1"/>
  <c r="E296" i="1"/>
  <c r="D296" i="1"/>
  <c r="C296" i="1"/>
  <c r="B296" i="1"/>
  <c r="I295" i="1"/>
  <c r="H295" i="1"/>
  <c r="F295" i="1"/>
  <c r="E295" i="1"/>
  <c r="D295" i="1"/>
  <c r="C295" i="1"/>
  <c r="B295" i="1"/>
  <c r="I294" i="1"/>
  <c r="H294" i="1"/>
  <c r="F294" i="1"/>
  <c r="E294" i="1"/>
  <c r="D294" i="1"/>
  <c r="C294" i="1"/>
  <c r="B294" i="1"/>
  <c r="I293" i="1"/>
  <c r="H293" i="1"/>
  <c r="F293" i="1"/>
  <c r="E293" i="1"/>
  <c r="D293" i="1"/>
  <c r="C293" i="1"/>
  <c r="B293" i="1"/>
  <c r="I292" i="1"/>
  <c r="H292" i="1"/>
  <c r="F292" i="1"/>
  <c r="E292" i="1"/>
  <c r="D292" i="1"/>
  <c r="C292" i="1"/>
  <c r="B292" i="1"/>
  <c r="I291" i="1"/>
  <c r="H291" i="1"/>
  <c r="F291" i="1"/>
  <c r="E291" i="1"/>
  <c r="D291" i="1"/>
  <c r="C291" i="1"/>
  <c r="B291" i="1"/>
  <c r="I290" i="1"/>
  <c r="H290" i="1"/>
  <c r="F290" i="1"/>
  <c r="E290" i="1"/>
  <c r="D290" i="1"/>
  <c r="C290" i="1"/>
  <c r="B290" i="1"/>
  <c r="I289" i="1"/>
  <c r="H289" i="1"/>
  <c r="F289" i="1"/>
  <c r="E289" i="1"/>
  <c r="D289" i="1"/>
  <c r="C289" i="1"/>
  <c r="B289" i="1"/>
  <c r="I288" i="1"/>
  <c r="H288" i="1"/>
  <c r="F288" i="1"/>
  <c r="E288" i="1"/>
  <c r="D288" i="1"/>
  <c r="C288" i="1"/>
  <c r="B288" i="1"/>
  <c r="I287" i="1"/>
  <c r="H287" i="1"/>
  <c r="F287" i="1"/>
  <c r="E287" i="1"/>
  <c r="D287" i="1"/>
  <c r="C287" i="1"/>
  <c r="B287" i="1"/>
  <c r="I286" i="1"/>
  <c r="H286" i="1"/>
  <c r="F286" i="1"/>
  <c r="E286" i="1"/>
  <c r="D286" i="1"/>
  <c r="C286" i="1"/>
  <c r="B286" i="1"/>
  <c r="I285" i="1"/>
  <c r="H285" i="1"/>
  <c r="F285" i="1"/>
  <c r="E285" i="1"/>
  <c r="D285" i="1"/>
  <c r="C285" i="1"/>
  <c r="B285" i="1"/>
  <c r="I284" i="1"/>
  <c r="H284" i="1"/>
  <c r="F284" i="1"/>
  <c r="E284" i="1"/>
  <c r="D284" i="1"/>
  <c r="C284" i="1"/>
  <c r="B284" i="1"/>
  <c r="I283" i="1"/>
  <c r="H283" i="1"/>
  <c r="F283" i="1"/>
  <c r="E283" i="1"/>
  <c r="D283" i="1"/>
  <c r="C283" i="1"/>
  <c r="B283" i="1"/>
  <c r="I282" i="1"/>
  <c r="H282" i="1"/>
  <c r="F282" i="1"/>
  <c r="E282" i="1"/>
  <c r="D282" i="1"/>
  <c r="C282" i="1"/>
  <c r="B282" i="1"/>
  <c r="I281" i="1"/>
  <c r="H281" i="1"/>
  <c r="F281" i="1"/>
  <c r="E281" i="1"/>
  <c r="D281" i="1"/>
  <c r="C281" i="1"/>
  <c r="B281" i="1"/>
  <c r="I280" i="1"/>
  <c r="H280" i="1"/>
  <c r="F280" i="1"/>
  <c r="E280" i="1"/>
  <c r="D280" i="1"/>
  <c r="C280" i="1"/>
  <c r="B280" i="1"/>
  <c r="I279" i="1"/>
  <c r="H279" i="1"/>
  <c r="F279" i="1"/>
  <c r="E279" i="1"/>
  <c r="D279" i="1"/>
  <c r="C279" i="1"/>
  <c r="B279" i="1"/>
  <c r="I278" i="1"/>
  <c r="H278" i="1"/>
  <c r="F278" i="1"/>
  <c r="E278" i="1"/>
  <c r="D278" i="1"/>
  <c r="C278" i="1"/>
  <c r="B278" i="1"/>
  <c r="I277" i="1"/>
  <c r="H277" i="1"/>
  <c r="F277" i="1"/>
  <c r="E277" i="1"/>
  <c r="D277" i="1"/>
  <c r="C277" i="1"/>
  <c r="B277" i="1"/>
  <c r="I276" i="1"/>
  <c r="H276" i="1"/>
  <c r="F276" i="1"/>
  <c r="E276" i="1"/>
  <c r="D276" i="1"/>
  <c r="C276" i="1"/>
  <c r="B276" i="1"/>
  <c r="I275" i="1"/>
  <c r="H275" i="1"/>
  <c r="F275" i="1"/>
  <c r="E275" i="1"/>
  <c r="D275" i="1"/>
  <c r="C275" i="1"/>
  <c r="B275" i="1"/>
  <c r="I274" i="1"/>
  <c r="H274" i="1"/>
  <c r="F274" i="1"/>
  <c r="E274" i="1"/>
  <c r="D274" i="1"/>
  <c r="C274" i="1"/>
  <c r="B274" i="1"/>
  <c r="I273" i="1"/>
  <c r="H273" i="1"/>
  <c r="F273" i="1"/>
  <c r="E273" i="1"/>
  <c r="D273" i="1"/>
  <c r="C273" i="1"/>
  <c r="B273" i="1"/>
  <c r="I272" i="1"/>
  <c r="H272" i="1"/>
  <c r="F272" i="1"/>
  <c r="E272" i="1"/>
  <c r="D272" i="1"/>
  <c r="C272" i="1"/>
  <c r="B272" i="1"/>
  <c r="I271" i="1"/>
  <c r="H271" i="1"/>
  <c r="F271" i="1"/>
  <c r="E271" i="1"/>
  <c r="D271" i="1"/>
  <c r="C271" i="1"/>
  <c r="B271" i="1"/>
  <c r="I270" i="1"/>
  <c r="H270" i="1"/>
  <c r="F270" i="1"/>
  <c r="E270" i="1"/>
  <c r="D270" i="1"/>
  <c r="C270" i="1"/>
  <c r="B270" i="1"/>
  <c r="I269" i="1"/>
  <c r="H269" i="1"/>
  <c r="F269" i="1"/>
  <c r="E269" i="1"/>
  <c r="D269" i="1"/>
  <c r="C269" i="1"/>
  <c r="B269" i="1"/>
  <c r="I268" i="1"/>
  <c r="H268" i="1"/>
  <c r="F268" i="1"/>
  <c r="E268" i="1"/>
  <c r="D268" i="1"/>
  <c r="C268" i="1"/>
  <c r="B268" i="1"/>
  <c r="I267" i="1"/>
  <c r="H267" i="1"/>
  <c r="F267" i="1"/>
  <c r="E267" i="1"/>
  <c r="D267" i="1"/>
  <c r="C267" i="1"/>
  <c r="B267" i="1"/>
  <c r="I266" i="1"/>
  <c r="H266" i="1"/>
  <c r="F266" i="1"/>
  <c r="E266" i="1"/>
  <c r="D266" i="1"/>
  <c r="C266" i="1"/>
  <c r="B266" i="1"/>
  <c r="I265" i="1"/>
  <c r="H265" i="1"/>
  <c r="F265" i="1"/>
  <c r="E265" i="1"/>
  <c r="D265" i="1"/>
  <c r="C265" i="1"/>
  <c r="B265" i="1"/>
  <c r="I264" i="1"/>
  <c r="H264" i="1"/>
  <c r="F264" i="1"/>
  <c r="E264" i="1"/>
  <c r="D264" i="1"/>
  <c r="C264" i="1"/>
  <c r="B264" i="1"/>
  <c r="I263" i="1"/>
  <c r="H263" i="1"/>
  <c r="F263" i="1"/>
  <c r="E263" i="1"/>
  <c r="D263" i="1"/>
  <c r="C263" i="1"/>
  <c r="B263" i="1"/>
  <c r="I262" i="1"/>
  <c r="H262" i="1"/>
  <c r="F262" i="1"/>
  <c r="E262" i="1"/>
  <c r="D262" i="1"/>
  <c r="C262" i="1"/>
  <c r="B262" i="1"/>
  <c r="I261" i="1"/>
  <c r="H261" i="1"/>
  <c r="F261" i="1"/>
  <c r="E261" i="1"/>
  <c r="D261" i="1"/>
  <c r="C261" i="1"/>
  <c r="B261" i="1"/>
  <c r="I260" i="1"/>
  <c r="H260" i="1"/>
  <c r="F260" i="1"/>
  <c r="E260" i="1"/>
  <c r="D260" i="1"/>
  <c r="C260" i="1"/>
  <c r="B260" i="1"/>
  <c r="I259" i="1"/>
  <c r="H259" i="1"/>
  <c r="F259" i="1"/>
  <c r="E259" i="1"/>
  <c r="D259" i="1"/>
  <c r="C259" i="1"/>
  <c r="B259" i="1"/>
  <c r="I258" i="1"/>
  <c r="H258" i="1"/>
  <c r="F258" i="1"/>
  <c r="E258" i="1"/>
  <c r="D258" i="1"/>
  <c r="C258" i="1"/>
  <c r="B258" i="1"/>
  <c r="I257" i="1"/>
  <c r="H257" i="1"/>
  <c r="F257" i="1"/>
  <c r="E257" i="1"/>
  <c r="D257" i="1"/>
  <c r="C257" i="1"/>
  <c r="B257" i="1"/>
  <c r="I256" i="1"/>
  <c r="H256" i="1"/>
  <c r="F256" i="1"/>
  <c r="E256" i="1"/>
  <c r="D256" i="1"/>
  <c r="C256" i="1"/>
  <c r="B256" i="1"/>
  <c r="I255" i="1"/>
  <c r="H255" i="1"/>
  <c r="F255" i="1"/>
  <c r="E255" i="1"/>
  <c r="D255" i="1"/>
  <c r="C255" i="1"/>
  <c r="B255" i="1"/>
  <c r="I254" i="1"/>
  <c r="H254" i="1"/>
  <c r="F254" i="1"/>
  <c r="E254" i="1"/>
  <c r="D254" i="1"/>
  <c r="C254" i="1"/>
  <c r="B254" i="1"/>
  <c r="I253" i="1"/>
  <c r="H253" i="1"/>
  <c r="F253" i="1"/>
  <c r="E253" i="1"/>
  <c r="D253" i="1"/>
  <c r="C253" i="1"/>
  <c r="B253" i="1"/>
  <c r="I252" i="1"/>
  <c r="H252" i="1"/>
  <c r="F252" i="1"/>
  <c r="E252" i="1"/>
  <c r="D252" i="1"/>
  <c r="C252" i="1"/>
  <c r="B252" i="1"/>
  <c r="I251" i="1"/>
  <c r="H251" i="1"/>
  <c r="F251" i="1"/>
  <c r="E251" i="1"/>
  <c r="D251" i="1"/>
  <c r="C251" i="1"/>
  <c r="B251" i="1"/>
  <c r="I250" i="1"/>
  <c r="H250" i="1"/>
  <c r="F250" i="1"/>
  <c r="E250" i="1"/>
  <c r="D250" i="1"/>
  <c r="C250" i="1"/>
  <c r="B250" i="1"/>
  <c r="I249" i="1"/>
  <c r="H249" i="1"/>
  <c r="F249" i="1"/>
  <c r="E249" i="1"/>
  <c r="D249" i="1"/>
  <c r="C249" i="1"/>
  <c r="B249" i="1"/>
  <c r="I248" i="1"/>
  <c r="H248" i="1"/>
  <c r="F248" i="1"/>
  <c r="E248" i="1"/>
  <c r="D248" i="1"/>
  <c r="C248" i="1"/>
  <c r="B248" i="1"/>
  <c r="I247" i="1"/>
  <c r="H247" i="1"/>
  <c r="F247" i="1"/>
  <c r="E247" i="1"/>
  <c r="D247" i="1"/>
  <c r="C247" i="1"/>
  <c r="B247" i="1"/>
  <c r="I246" i="1"/>
  <c r="H246" i="1"/>
  <c r="F246" i="1"/>
  <c r="E246" i="1"/>
  <c r="D246" i="1"/>
  <c r="C246" i="1"/>
  <c r="B246" i="1"/>
  <c r="I245" i="1"/>
  <c r="H245" i="1"/>
  <c r="F245" i="1"/>
  <c r="E245" i="1"/>
  <c r="D245" i="1"/>
  <c r="C245" i="1"/>
  <c r="B245" i="1"/>
  <c r="I244" i="1"/>
  <c r="H244" i="1"/>
  <c r="F244" i="1"/>
  <c r="E244" i="1"/>
  <c r="D244" i="1"/>
  <c r="C244" i="1"/>
  <c r="B244" i="1"/>
  <c r="I243" i="1"/>
  <c r="H243" i="1"/>
  <c r="F243" i="1"/>
  <c r="E243" i="1"/>
  <c r="D243" i="1"/>
  <c r="C243" i="1"/>
  <c r="B243" i="1"/>
  <c r="I242" i="1"/>
  <c r="H242" i="1"/>
  <c r="F242" i="1"/>
  <c r="E242" i="1"/>
  <c r="D242" i="1"/>
  <c r="C242" i="1"/>
  <c r="B242" i="1"/>
  <c r="I241" i="1"/>
  <c r="H241" i="1"/>
  <c r="F241" i="1"/>
  <c r="E241" i="1"/>
  <c r="D241" i="1"/>
  <c r="C241" i="1"/>
  <c r="B241" i="1"/>
  <c r="I240" i="1"/>
  <c r="H240" i="1"/>
  <c r="F240" i="1"/>
  <c r="E240" i="1"/>
  <c r="D240" i="1"/>
  <c r="C240" i="1"/>
  <c r="B240" i="1"/>
  <c r="I239" i="1"/>
  <c r="H239" i="1"/>
  <c r="F239" i="1"/>
  <c r="E239" i="1"/>
  <c r="D239" i="1"/>
  <c r="C239" i="1"/>
  <c r="B239" i="1"/>
  <c r="I238" i="1"/>
  <c r="H238" i="1"/>
  <c r="F238" i="1"/>
  <c r="E238" i="1"/>
  <c r="D238" i="1"/>
  <c r="C238" i="1"/>
  <c r="B238" i="1"/>
  <c r="I237" i="1"/>
  <c r="H237" i="1"/>
  <c r="F237" i="1"/>
  <c r="E237" i="1"/>
  <c r="D237" i="1"/>
  <c r="C237" i="1"/>
  <c r="B237" i="1"/>
  <c r="I236" i="1"/>
  <c r="H236" i="1"/>
  <c r="F236" i="1"/>
  <c r="E236" i="1"/>
  <c r="D236" i="1"/>
  <c r="C236" i="1"/>
  <c r="B236" i="1"/>
  <c r="I235" i="1"/>
  <c r="H235" i="1"/>
  <c r="F235" i="1"/>
  <c r="E235" i="1"/>
  <c r="D235" i="1"/>
  <c r="C235" i="1"/>
  <c r="B235" i="1"/>
  <c r="I234" i="1"/>
  <c r="H234" i="1"/>
  <c r="F234" i="1"/>
  <c r="E234" i="1"/>
  <c r="D234" i="1"/>
  <c r="C234" i="1"/>
  <c r="B234" i="1"/>
  <c r="I233" i="1"/>
  <c r="H233" i="1"/>
  <c r="F233" i="1"/>
  <c r="E233" i="1"/>
  <c r="D233" i="1"/>
  <c r="C233" i="1"/>
  <c r="B233" i="1"/>
  <c r="I232" i="1"/>
  <c r="H232" i="1"/>
  <c r="F232" i="1"/>
  <c r="E232" i="1"/>
  <c r="D232" i="1"/>
  <c r="C232" i="1"/>
  <c r="B232" i="1"/>
  <c r="I231" i="1"/>
  <c r="H231" i="1"/>
  <c r="F231" i="1"/>
  <c r="E231" i="1"/>
  <c r="D231" i="1"/>
  <c r="C231" i="1"/>
  <c r="B231" i="1"/>
  <c r="I230" i="1"/>
  <c r="H230" i="1"/>
  <c r="F230" i="1"/>
  <c r="E230" i="1"/>
  <c r="D230" i="1"/>
  <c r="C230" i="1"/>
  <c r="B230" i="1"/>
  <c r="I229" i="1"/>
  <c r="H229" i="1"/>
  <c r="F229" i="1"/>
  <c r="E229" i="1"/>
  <c r="D229" i="1"/>
  <c r="C229" i="1"/>
  <c r="B229" i="1"/>
  <c r="I228" i="1"/>
  <c r="H228" i="1"/>
  <c r="F228" i="1"/>
  <c r="E228" i="1"/>
  <c r="D228" i="1"/>
  <c r="C228" i="1"/>
  <c r="B228" i="1"/>
  <c r="I227" i="1"/>
  <c r="H227" i="1"/>
  <c r="F227" i="1"/>
  <c r="E227" i="1"/>
  <c r="D227" i="1"/>
  <c r="C227" i="1"/>
  <c r="B227" i="1"/>
  <c r="I226" i="1"/>
  <c r="H226" i="1"/>
  <c r="F226" i="1"/>
  <c r="E226" i="1"/>
  <c r="D226" i="1"/>
  <c r="C226" i="1"/>
  <c r="B226" i="1"/>
  <c r="I225" i="1"/>
  <c r="H225" i="1"/>
  <c r="F225" i="1"/>
  <c r="E225" i="1"/>
  <c r="D225" i="1"/>
  <c r="C225" i="1"/>
  <c r="B225" i="1"/>
  <c r="I224" i="1"/>
  <c r="H224" i="1"/>
  <c r="F224" i="1"/>
  <c r="E224" i="1"/>
  <c r="D224" i="1"/>
  <c r="C224" i="1"/>
  <c r="B224" i="1"/>
  <c r="I223" i="1"/>
  <c r="H223" i="1"/>
  <c r="F223" i="1"/>
  <c r="E223" i="1"/>
  <c r="D223" i="1"/>
  <c r="C223" i="1"/>
  <c r="B223" i="1"/>
  <c r="I222" i="1"/>
  <c r="H222" i="1"/>
  <c r="F222" i="1"/>
  <c r="E222" i="1"/>
  <c r="D222" i="1"/>
  <c r="C222" i="1"/>
  <c r="B222" i="1"/>
  <c r="I221" i="1"/>
  <c r="H221" i="1"/>
  <c r="F221" i="1"/>
  <c r="E221" i="1"/>
  <c r="D221" i="1"/>
  <c r="C221" i="1"/>
  <c r="B221" i="1"/>
  <c r="I220" i="1"/>
  <c r="H220" i="1"/>
  <c r="F220" i="1"/>
  <c r="E220" i="1"/>
  <c r="D220" i="1"/>
  <c r="C220" i="1"/>
  <c r="B220" i="1"/>
  <c r="I219" i="1"/>
  <c r="H219" i="1"/>
  <c r="F219" i="1"/>
  <c r="E219" i="1"/>
  <c r="D219" i="1"/>
  <c r="C219" i="1"/>
  <c r="B219" i="1"/>
  <c r="I218" i="1"/>
  <c r="H218" i="1"/>
  <c r="F218" i="1"/>
  <c r="E218" i="1"/>
  <c r="D218" i="1"/>
  <c r="C218" i="1"/>
  <c r="B218" i="1"/>
  <c r="I217" i="1"/>
  <c r="H217" i="1"/>
  <c r="F217" i="1"/>
  <c r="E217" i="1"/>
  <c r="D217" i="1"/>
  <c r="C217" i="1"/>
  <c r="B217" i="1"/>
  <c r="I216" i="1"/>
  <c r="H216" i="1"/>
  <c r="F216" i="1"/>
  <c r="E216" i="1"/>
  <c r="D216" i="1"/>
  <c r="C216" i="1"/>
  <c r="B216" i="1"/>
  <c r="I215" i="1"/>
  <c r="H215" i="1"/>
  <c r="F215" i="1"/>
  <c r="E215" i="1"/>
  <c r="D215" i="1"/>
  <c r="C215" i="1"/>
  <c r="B215" i="1"/>
  <c r="I214" i="1"/>
  <c r="H214" i="1"/>
  <c r="F214" i="1"/>
  <c r="E214" i="1"/>
  <c r="D214" i="1"/>
  <c r="C214" i="1"/>
  <c r="B214" i="1"/>
  <c r="I213" i="1"/>
  <c r="H213" i="1"/>
  <c r="F213" i="1"/>
  <c r="E213" i="1"/>
  <c r="D213" i="1"/>
  <c r="C213" i="1"/>
  <c r="B213" i="1"/>
  <c r="I212" i="1"/>
  <c r="H212" i="1"/>
  <c r="F212" i="1"/>
  <c r="E212" i="1"/>
  <c r="D212" i="1"/>
  <c r="C212" i="1"/>
  <c r="B212" i="1"/>
  <c r="I211" i="1"/>
  <c r="H211" i="1"/>
  <c r="F211" i="1"/>
  <c r="E211" i="1"/>
  <c r="D211" i="1"/>
  <c r="C211" i="1"/>
  <c r="B211" i="1"/>
  <c r="I210" i="1"/>
  <c r="H210" i="1"/>
  <c r="F210" i="1"/>
  <c r="E210" i="1"/>
  <c r="D210" i="1"/>
  <c r="C210" i="1"/>
  <c r="B210" i="1"/>
  <c r="I209" i="1"/>
  <c r="H209" i="1"/>
  <c r="F209" i="1"/>
  <c r="E209" i="1"/>
  <c r="D209" i="1"/>
  <c r="C209" i="1"/>
  <c r="B209" i="1"/>
  <c r="I208" i="1"/>
  <c r="H208" i="1"/>
  <c r="F208" i="1"/>
  <c r="E208" i="1"/>
  <c r="D208" i="1"/>
  <c r="C208" i="1"/>
  <c r="B208" i="1"/>
  <c r="I207" i="1"/>
  <c r="H207" i="1"/>
  <c r="F207" i="1"/>
  <c r="E207" i="1"/>
  <c r="D207" i="1"/>
  <c r="C207" i="1"/>
  <c r="B207" i="1"/>
  <c r="I206" i="1"/>
  <c r="H206" i="1"/>
  <c r="F206" i="1"/>
  <c r="E206" i="1"/>
  <c r="D206" i="1"/>
  <c r="C206" i="1"/>
  <c r="B206" i="1"/>
  <c r="I205" i="1"/>
  <c r="H205" i="1"/>
  <c r="F205" i="1"/>
  <c r="E205" i="1"/>
  <c r="D205" i="1"/>
  <c r="C205" i="1"/>
  <c r="B205" i="1"/>
  <c r="I204" i="1"/>
  <c r="H204" i="1"/>
  <c r="F204" i="1"/>
  <c r="E204" i="1"/>
  <c r="D204" i="1"/>
  <c r="C204" i="1"/>
  <c r="B204" i="1"/>
  <c r="I203" i="1"/>
  <c r="H203" i="1"/>
  <c r="F203" i="1"/>
  <c r="E203" i="1"/>
  <c r="D203" i="1"/>
  <c r="C203" i="1"/>
  <c r="B203" i="1"/>
  <c r="I202" i="1"/>
  <c r="H202" i="1"/>
  <c r="F202" i="1"/>
  <c r="E202" i="1"/>
  <c r="D202" i="1"/>
  <c r="C202" i="1"/>
  <c r="B202" i="1"/>
  <c r="I201" i="1"/>
  <c r="H201" i="1"/>
  <c r="F201" i="1"/>
  <c r="E201" i="1"/>
  <c r="D201" i="1"/>
  <c r="C201" i="1"/>
  <c r="B201" i="1"/>
  <c r="I200" i="1"/>
  <c r="H200" i="1"/>
  <c r="F200" i="1"/>
  <c r="E200" i="1"/>
  <c r="D200" i="1"/>
  <c r="C200" i="1"/>
  <c r="B200" i="1"/>
  <c r="I199" i="1"/>
  <c r="H199" i="1"/>
  <c r="F199" i="1"/>
  <c r="E199" i="1"/>
  <c r="D199" i="1"/>
  <c r="C199" i="1"/>
  <c r="B199" i="1"/>
  <c r="I198" i="1"/>
  <c r="H198" i="1"/>
  <c r="F198" i="1"/>
  <c r="E198" i="1"/>
  <c r="D198" i="1"/>
  <c r="C198" i="1"/>
  <c r="B198" i="1"/>
  <c r="I197" i="1"/>
  <c r="H197" i="1"/>
  <c r="F197" i="1"/>
  <c r="E197" i="1"/>
  <c r="D197" i="1"/>
  <c r="C197" i="1"/>
  <c r="B197" i="1"/>
  <c r="I196" i="1"/>
  <c r="H196" i="1"/>
  <c r="F196" i="1"/>
  <c r="E196" i="1"/>
  <c r="D196" i="1"/>
  <c r="C196" i="1"/>
  <c r="B196" i="1"/>
  <c r="I195" i="1"/>
  <c r="H195" i="1"/>
  <c r="F195" i="1"/>
  <c r="E195" i="1"/>
  <c r="D195" i="1"/>
  <c r="C195" i="1"/>
  <c r="B195" i="1"/>
  <c r="I194" i="1"/>
  <c r="H194" i="1"/>
  <c r="F194" i="1"/>
  <c r="E194" i="1"/>
  <c r="D194" i="1"/>
  <c r="C194" i="1"/>
  <c r="B194" i="1"/>
  <c r="I193" i="1"/>
  <c r="H193" i="1"/>
  <c r="F193" i="1"/>
  <c r="E193" i="1"/>
  <c r="D193" i="1"/>
  <c r="C193" i="1"/>
  <c r="B193" i="1"/>
  <c r="I192" i="1"/>
  <c r="H192" i="1"/>
  <c r="F192" i="1"/>
  <c r="E192" i="1"/>
  <c r="D192" i="1"/>
  <c r="C192" i="1"/>
  <c r="B192" i="1"/>
  <c r="I191" i="1"/>
  <c r="H191" i="1"/>
  <c r="F191" i="1"/>
  <c r="E191" i="1"/>
  <c r="D191" i="1"/>
  <c r="C191" i="1"/>
  <c r="B191" i="1"/>
  <c r="I190" i="1"/>
  <c r="H190" i="1"/>
  <c r="F190" i="1"/>
  <c r="E190" i="1"/>
  <c r="D190" i="1"/>
  <c r="C190" i="1"/>
  <c r="B190" i="1"/>
  <c r="I189" i="1"/>
  <c r="H189" i="1"/>
  <c r="F189" i="1"/>
  <c r="E189" i="1"/>
  <c r="D189" i="1"/>
  <c r="C189" i="1"/>
  <c r="B189" i="1"/>
  <c r="I188" i="1"/>
  <c r="H188" i="1"/>
  <c r="F188" i="1"/>
  <c r="E188" i="1"/>
  <c r="D188" i="1"/>
  <c r="C188" i="1"/>
  <c r="B188" i="1"/>
  <c r="I187" i="1"/>
  <c r="H187" i="1"/>
  <c r="F187" i="1"/>
  <c r="E187" i="1"/>
  <c r="D187" i="1"/>
  <c r="C187" i="1"/>
  <c r="B187" i="1"/>
  <c r="I186" i="1"/>
  <c r="H186" i="1"/>
  <c r="F186" i="1"/>
  <c r="E186" i="1"/>
  <c r="D186" i="1"/>
  <c r="C186" i="1"/>
  <c r="B186" i="1"/>
  <c r="I185" i="1"/>
  <c r="H185" i="1"/>
  <c r="F185" i="1"/>
  <c r="E185" i="1"/>
  <c r="D185" i="1"/>
  <c r="C185" i="1"/>
  <c r="B185" i="1"/>
  <c r="I184" i="1"/>
  <c r="H184" i="1"/>
  <c r="F184" i="1"/>
  <c r="E184" i="1"/>
  <c r="D184" i="1"/>
  <c r="C184" i="1"/>
  <c r="B184" i="1"/>
  <c r="I183" i="1"/>
  <c r="H183" i="1"/>
  <c r="F183" i="1"/>
  <c r="E183" i="1"/>
  <c r="D183" i="1"/>
  <c r="C183" i="1"/>
  <c r="B183" i="1"/>
  <c r="I182" i="1"/>
  <c r="H182" i="1"/>
  <c r="F182" i="1"/>
  <c r="E182" i="1"/>
  <c r="D182" i="1"/>
  <c r="C182" i="1"/>
  <c r="B182" i="1"/>
  <c r="I181" i="1"/>
  <c r="H181" i="1"/>
  <c r="F181" i="1"/>
  <c r="E181" i="1"/>
  <c r="D181" i="1"/>
  <c r="C181" i="1"/>
  <c r="B181" i="1"/>
  <c r="I180" i="1"/>
  <c r="H180" i="1"/>
  <c r="F180" i="1"/>
  <c r="E180" i="1"/>
  <c r="D180" i="1"/>
  <c r="C180" i="1"/>
  <c r="B180" i="1"/>
  <c r="I179" i="1"/>
  <c r="H179" i="1"/>
  <c r="F179" i="1"/>
  <c r="E179" i="1"/>
  <c r="D179" i="1"/>
  <c r="C179" i="1"/>
  <c r="B179" i="1"/>
  <c r="I178" i="1"/>
  <c r="H178" i="1"/>
  <c r="F178" i="1"/>
  <c r="E178" i="1"/>
  <c r="D178" i="1"/>
  <c r="C178" i="1"/>
  <c r="B178" i="1"/>
  <c r="I177" i="1"/>
  <c r="H177" i="1"/>
  <c r="F177" i="1"/>
  <c r="E177" i="1"/>
  <c r="D177" i="1"/>
  <c r="C177" i="1"/>
  <c r="B177" i="1"/>
  <c r="I176" i="1"/>
  <c r="H176" i="1"/>
  <c r="F176" i="1"/>
  <c r="E176" i="1"/>
  <c r="D176" i="1"/>
  <c r="C176" i="1"/>
  <c r="B176" i="1"/>
  <c r="I175" i="1"/>
  <c r="H175" i="1"/>
  <c r="F175" i="1"/>
  <c r="E175" i="1"/>
  <c r="D175" i="1"/>
  <c r="C175" i="1"/>
  <c r="B175" i="1"/>
  <c r="I174" i="1"/>
  <c r="H174" i="1"/>
  <c r="F174" i="1"/>
  <c r="E174" i="1"/>
  <c r="D174" i="1"/>
  <c r="C174" i="1"/>
  <c r="B174" i="1"/>
  <c r="I173" i="1"/>
  <c r="H173" i="1"/>
  <c r="F173" i="1"/>
  <c r="E173" i="1"/>
  <c r="D173" i="1"/>
  <c r="C173" i="1"/>
  <c r="B173" i="1"/>
  <c r="I172" i="1"/>
  <c r="H172" i="1"/>
  <c r="F172" i="1"/>
  <c r="E172" i="1"/>
  <c r="D172" i="1"/>
  <c r="C172" i="1"/>
  <c r="B172" i="1"/>
  <c r="I171" i="1"/>
  <c r="H171" i="1"/>
  <c r="F171" i="1"/>
  <c r="E171" i="1"/>
  <c r="D171" i="1"/>
  <c r="C171" i="1"/>
  <c r="B171" i="1"/>
  <c r="I170" i="1"/>
  <c r="H170" i="1"/>
  <c r="F170" i="1"/>
  <c r="E170" i="1"/>
  <c r="D170" i="1"/>
  <c r="C170" i="1"/>
  <c r="B170" i="1"/>
  <c r="I169" i="1"/>
  <c r="H169" i="1"/>
  <c r="F169" i="1"/>
  <c r="E169" i="1"/>
  <c r="D169" i="1"/>
  <c r="C169" i="1"/>
  <c r="B169" i="1"/>
  <c r="I168" i="1"/>
  <c r="H168" i="1"/>
  <c r="F168" i="1"/>
  <c r="E168" i="1"/>
  <c r="D168" i="1"/>
  <c r="C168" i="1"/>
  <c r="B168" i="1"/>
  <c r="I167" i="1"/>
  <c r="H167" i="1"/>
  <c r="F167" i="1"/>
  <c r="E167" i="1"/>
  <c r="D167" i="1"/>
  <c r="C167" i="1"/>
  <c r="B167" i="1"/>
  <c r="I166" i="1"/>
  <c r="H166" i="1"/>
  <c r="F166" i="1"/>
  <c r="E166" i="1"/>
  <c r="D166" i="1"/>
  <c r="C166" i="1"/>
  <c r="B166" i="1"/>
  <c r="I165" i="1"/>
  <c r="H165" i="1"/>
  <c r="F165" i="1"/>
  <c r="E165" i="1"/>
  <c r="D165" i="1"/>
  <c r="C165" i="1"/>
  <c r="B165" i="1"/>
  <c r="I164" i="1"/>
  <c r="H164" i="1"/>
  <c r="F164" i="1"/>
  <c r="E164" i="1"/>
  <c r="D164" i="1"/>
  <c r="C164" i="1"/>
  <c r="B164" i="1"/>
  <c r="I163" i="1"/>
  <c r="H163" i="1"/>
  <c r="F163" i="1"/>
  <c r="E163" i="1"/>
  <c r="D163" i="1"/>
  <c r="C163" i="1"/>
  <c r="B163" i="1"/>
  <c r="I162" i="1"/>
  <c r="H162" i="1"/>
  <c r="F162" i="1"/>
  <c r="E162" i="1"/>
  <c r="D162" i="1"/>
  <c r="C162" i="1"/>
  <c r="B162" i="1"/>
  <c r="I161" i="1"/>
  <c r="H161" i="1"/>
  <c r="F161" i="1"/>
  <c r="E161" i="1"/>
  <c r="D161" i="1"/>
  <c r="C161" i="1"/>
  <c r="B161" i="1"/>
  <c r="I160" i="1"/>
  <c r="H160" i="1"/>
  <c r="F160" i="1"/>
  <c r="E160" i="1"/>
  <c r="D160" i="1"/>
  <c r="C160" i="1"/>
  <c r="B160" i="1"/>
  <c r="I159" i="1"/>
  <c r="H159" i="1"/>
  <c r="F159" i="1"/>
  <c r="E159" i="1"/>
  <c r="D159" i="1"/>
  <c r="C159" i="1"/>
  <c r="B159" i="1"/>
  <c r="I158" i="1"/>
  <c r="H158" i="1"/>
  <c r="F158" i="1"/>
  <c r="E158" i="1"/>
  <c r="D158" i="1"/>
  <c r="C158" i="1"/>
  <c r="B158" i="1"/>
  <c r="I157" i="1"/>
  <c r="H157" i="1"/>
  <c r="F157" i="1"/>
  <c r="E157" i="1"/>
  <c r="D157" i="1"/>
  <c r="C157" i="1"/>
  <c r="B157" i="1"/>
  <c r="I156" i="1"/>
  <c r="H156" i="1"/>
  <c r="F156" i="1"/>
  <c r="E156" i="1"/>
  <c r="D156" i="1"/>
  <c r="C156" i="1"/>
  <c r="B156" i="1"/>
  <c r="I155" i="1"/>
  <c r="H155" i="1"/>
  <c r="F155" i="1"/>
  <c r="E155" i="1"/>
  <c r="D155" i="1"/>
  <c r="C155" i="1"/>
  <c r="B155" i="1"/>
  <c r="I154" i="1"/>
  <c r="H154" i="1"/>
  <c r="F154" i="1"/>
  <c r="E154" i="1"/>
  <c r="D154" i="1"/>
  <c r="C154" i="1"/>
  <c r="B154" i="1"/>
  <c r="I153" i="1"/>
  <c r="H153" i="1"/>
  <c r="F153" i="1"/>
  <c r="E153" i="1"/>
  <c r="D153" i="1"/>
  <c r="C153" i="1"/>
  <c r="B153" i="1"/>
  <c r="I152" i="1"/>
  <c r="H152" i="1"/>
  <c r="F152" i="1"/>
  <c r="E152" i="1"/>
  <c r="D152" i="1"/>
  <c r="C152" i="1"/>
  <c r="B152" i="1"/>
  <c r="I151" i="1"/>
  <c r="H151" i="1"/>
  <c r="F151" i="1"/>
  <c r="E151" i="1"/>
  <c r="D151" i="1"/>
  <c r="C151" i="1"/>
  <c r="B151" i="1"/>
  <c r="I150" i="1"/>
  <c r="H150" i="1"/>
  <c r="F150" i="1"/>
  <c r="E150" i="1"/>
  <c r="D150" i="1"/>
  <c r="C150" i="1"/>
  <c r="B150" i="1"/>
  <c r="I149" i="1"/>
  <c r="H149" i="1"/>
  <c r="F149" i="1"/>
  <c r="E149" i="1"/>
  <c r="D149" i="1"/>
  <c r="C149" i="1"/>
  <c r="B149" i="1"/>
  <c r="I148" i="1"/>
  <c r="H148" i="1"/>
  <c r="F148" i="1"/>
  <c r="E148" i="1"/>
  <c r="D148" i="1"/>
  <c r="C148" i="1"/>
  <c r="B148" i="1"/>
  <c r="I147" i="1"/>
  <c r="H147" i="1"/>
  <c r="F147" i="1"/>
  <c r="E147" i="1"/>
  <c r="D147" i="1"/>
  <c r="C147" i="1"/>
  <c r="B147" i="1"/>
  <c r="I146" i="1"/>
  <c r="H146" i="1"/>
  <c r="F146" i="1"/>
  <c r="E146" i="1"/>
  <c r="D146" i="1"/>
  <c r="C146" i="1"/>
  <c r="B146" i="1"/>
  <c r="I145" i="1"/>
  <c r="H145" i="1"/>
  <c r="F145" i="1"/>
  <c r="E145" i="1"/>
  <c r="D145" i="1"/>
  <c r="C145" i="1"/>
  <c r="B145" i="1"/>
  <c r="I144" i="1"/>
  <c r="H144" i="1"/>
  <c r="F144" i="1"/>
  <c r="E144" i="1"/>
  <c r="D144" i="1"/>
  <c r="C144" i="1"/>
  <c r="B144" i="1"/>
  <c r="I143" i="1"/>
  <c r="H143" i="1"/>
  <c r="F143" i="1"/>
  <c r="E143" i="1"/>
  <c r="D143" i="1"/>
  <c r="C143" i="1"/>
  <c r="B143" i="1"/>
  <c r="I142" i="1"/>
  <c r="H142" i="1"/>
  <c r="F142" i="1"/>
  <c r="E142" i="1"/>
  <c r="D142" i="1"/>
  <c r="C142" i="1"/>
  <c r="B142" i="1"/>
  <c r="I141" i="1"/>
  <c r="H141" i="1"/>
  <c r="F141" i="1"/>
  <c r="E141" i="1"/>
  <c r="D141" i="1"/>
  <c r="C141" i="1"/>
  <c r="B141" i="1"/>
  <c r="I140" i="1"/>
  <c r="H140" i="1"/>
  <c r="F140" i="1"/>
  <c r="E140" i="1"/>
  <c r="D140" i="1"/>
  <c r="C140" i="1"/>
  <c r="B140" i="1"/>
  <c r="I139" i="1"/>
  <c r="H139" i="1"/>
  <c r="F139" i="1"/>
  <c r="E139" i="1"/>
  <c r="D139" i="1"/>
  <c r="C139" i="1"/>
  <c r="B139" i="1"/>
  <c r="I138" i="1"/>
  <c r="H138" i="1"/>
  <c r="F138" i="1"/>
  <c r="E138" i="1"/>
  <c r="D138" i="1"/>
  <c r="C138" i="1"/>
  <c r="B138" i="1"/>
  <c r="I137" i="1"/>
  <c r="H137" i="1"/>
  <c r="F137" i="1"/>
  <c r="E137" i="1"/>
  <c r="D137" i="1"/>
  <c r="C137" i="1"/>
  <c r="B137" i="1"/>
  <c r="I136" i="1"/>
  <c r="H136" i="1"/>
  <c r="F136" i="1"/>
  <c r="E136" i="1"/>
  <c r="D136" i="1"/>
  <c r="C136" i="1"/>
  <c r="B136" i="1"/>
  <c r="I135" i="1"/>
  <c r="H135" i="1"/>
  <c r="F135" i="1"/>
  <c r="E135" i="1"/>
  <c r="D135" i="1"/>
  <c r="C135" i="1"/>
  <c r="B135" i="1"/>
  <c r="I134" i="1"/>
  <c r="H134" i="1"/>
  <c r="F134" i="1"/>
  <c r="E134" i="1"/>
  <c r="D134" i="1"/>
  <c r="C134" i="1"/>
  <c r="B134" i="1"/>
  <c r="I133" i="1"/>
  <c r="H133" i="1"/>
  <c r="F133" i="1"/>
  <c r="E133" i="1"/>
  <c r="D133" i="1"/>
  <c r="C133" i="1"/>
  <c r="B133" i="1"/>
  <c r="I132" i="1"/>
  <c r="H132" i="1"/>
  <c r="F132" i="1"/>
  <c r="E132" i="1"/>
  <c r="D132" i="1"/>
  <c r="C132" i="1"/>
  <c r="B132" i="1"/>
  <c r="I131" i="1"/>
  <c r="H131" i="1"/>
  <c r="F131" i="1"/>
  <c r="E131" i="1"/>
  <c r="D131" i="1"/>
  <c r="C131" i="1"/>
  <c r="B131" i="1"/>
  <c r="I130" i="1"/>
  <c r="H130" i="1"/>
  <c r="F130" i="1"/>
  <c r="E130" i="1"/>
  <c r="D130" i="1"/>
  <c r="C130" i="1"/>
  <c r="B130" i="1"/>
  <c r="I129" i="1"/>
  <c r="H129" i="1"/>
  <c r="F129" i="1"/>
  <c r="E129" i="1"/>
  <c r="D129" i="1"/>
  <c r="C129" i="1"/>
  <c r="B129" i="1"/>
  <c r="I128" i="1"/>
  <c r="H128" i="1"/>
  <c r="F128" i="1"/>
  <c r="E128" i="1"/>
  <c r="D128" i="1"/>
  <c r="C128" i="1"/>
  <c r="B128" i="1"/>
  <c r="I127" i="1"/>
  <c r="H127" i="1"/>
  <c r="F127" i="1"/>
  <c r="E127" i="1"/>
  <c r="D127" i="1"/>
  <c r="C127" i="1"/>
  <c r="B127" i="1"/>
  <c r="I126" i="1"/>
  <c r="H126" i="1"/>
  <c r="F126" i="1"/>
  <c r="E126" i="1"/>
  <c r="D126" i="1"/>
  <c r="C126" i="1"/>
  <c r="B126" i="1"/>
  <c r="I125" i="1"/>
  <c r="H125" i="1"/>
  <c r="F125" i="1"/>
  <c r="E125" i="1"/>
  <c r="D125" i="1"/>
  <c r="C125" i="1"/>
  <c r="B125" i="1"/>
  <c r="I124" i="1"/>
  <c r="H124" i="1"/>
  <c r="F124" i="1"/>
  <c r="E124" i="1"/>
  <c r="D124" i="1"/>
  <c r="C124" i="1"/>
  <c r="B124" i="1"/>
  <c r="I123" i="1"/>
  <c r="H123" i="1"/>
  <c r="F123" i="1"/>
  <c r="E123" i="1"/>
  <c r="D123" i="1"/>
  <c r="C123" i="1"/>
  <c r="B123" i="1"/>
  <c r="I122" i="1"/>
  <c r="H122" i="1"/>
  <c r="F122" i="1"/>
  <c r="E122" i="1"/>
  <c r="D122" i="1"/>
  <c r="C122" i="1"/>
  <c r="B122" i="1"/>
  <c r="I121" i="1"/>
  <c r="H121" i="1"/>
  <c r="F121" i="1"/>
  <c r="E121" i="1"/>
  <c r="D121" i="1"/>
  <c r="C121" i="1"/>
  <c r="B121" i="1"/>
  <c r="I120" i="1"/>
  <c r="H120" i="1"/>
  <c r="F120" i="1"/>
  <c r="E120" i="1"/>
  <c r="D120" i="1"/>
  <c r="C120" i="1"/>
  <c r="B120" i="1"/>
  <c r="I119" i="1"/>
  <c r="H119" i="1"/>
  <c r="F119" i="1"/>
  <c r="E119" i="1"/>
  <c r="D119" i="1"/>
  <c r="C119" i="1"/>
  <c r="B119" i="1"/>
  <c r="I118" i="1"/>
  <c r="H118" i="1"/>
  <c r="F118" i="1"/>
  <c r="E118" i="1"/>
  <c r="D118" i="1"/>
  <c r="C118" i="1"/>
  <c r="B118" i="1"/>
  <c r="I117" i="1"/>
  <c r="H117" i="1"/>
  <c r="F117" i="1"/>
  <c r="E117" i="1"/>
  <c r="D117" i="1"/>
  <c r="C117" i="1"/>
  <c r="B117" i="1"/>
  <c r="I116" i="1"/>
  <c r="H116" i="1"/>
  <c r="F116" i="1"/>
  <c r="E116" i="1"/>
  <c r="D116" i="1"/>
  <c r="C116" i="1"/>
  <c r="B116" i="1"/>
  <c r="I115" i="1"/>
  <c r="H115" i="1"/>
  <c r="F115" i="1"/>
  <c r="E115" i="1"/>
  <c r="D115" i="1"/>
  <c r="C115" i="1"/>
  <c r="B115" i="1"/>
  <c r="I114" i="1"/>
  <c r="H114" i="1"/>
  <c r="F114" i="1"/>
  <c r="E114" i="1"/>
  <c r="D114" i="1"/>
  <c r="C114" i="1"/>
  <c r="B114" i="1"/>
  <c r="I113" i="1"/>
  <c r="H113" i="1"/>
  <c r="F113" i="1"/>
  <c r="E113" i="1"/>
  <c r="D113" i="1"/>
  <c r="C113" i="1"/>
  <c r="B113" i="1"/>
  <c r="I112" i="1"/>
  <c r="H112" i="1"/>
  <c r="F112" i="1"/>
  <c r="E112" i="1"/>
  <c r="D112" i="1"/>
  <c r="C112" i="1"/>
  <c r="B112" i="1"/>
  <c r="I111" i="1"/>
  <c r="H111" i="1"/>
  <c r="F111" i="1"/>
  <c r="E111" i="1"/>
  <c r="D111" i="1"/>
  <c r="C111" i="1"/>
  <c r="B111" i="1"/>
  <c r="I110" i="1"/>
  <c r="H110" i="1"/>
  <c r="F110" i="1"/>
  <c r="E110" i="1"/>
  <c r="D110" i="1"/>
  <c r="C110" i="1"/>
  <c r="B110" i="1"/>
  <c r="I109" i="1"/>
  <c r="H109" i="1"/>
  <c r="F109" i="1"/>
  <c r="E109" i="1"/>
  <c r="D109" i="1"/>
  <c r="C109" i="1"/>
  <c r="B109" i="1"/>
  <c r="I108" i="1"/>
  <c r="H108" i="1"/>
  <c r="F108" i="1"/>
  <c r="E108" i="1"/>
  <c r="D108" i="1"/>
  <c r="C108" i="1"/>
  <c r="B108" i="1"/>
  <c r="I107" i="1"/>
  <c r="H107" i="1"/>
  <c r="F107" i="1"/>
  <c r="E107" i="1"/>
  <c r="D107" i="1"/>
  <c r="C107" i="1"/>
  <c r="B107" i="1"/>
  <c r="I106" i="1"/>
  <c r="H106" i="1"/>
  <c r="F106" i="1"/>
  <c r="E106" i="1"/>
  <c r="D106" i="1"/>
  <c r="C106" i="1"/>
  <c r="B106" i="1"/>
  <c r="I105" i="1"/>
  <c r="H105" i="1"/>
  <c r="F105" i="1"/>
  <c r="E105" i="1"/>
  <c r="D105" i="1"/>
  <c r="C105" i="1"/>
  <c r="B105" i="1"/>
  <c r="I104" i="1"/>
  <c r="H104" i="1"/>
  <c r="F104" i="1"/>
  <c r="E104" i="1"/>
  <c r="D104" i="1"/>
  <c r="C104" i="1"/>
  <c r="B104" i="1"/>
  <c r="I103" i="1"/>
  <c r="H103" i="1"/>
  <c r="F103" i="1"/>
  <c r="E103" i="1"/>
  <c r="D103" i="1"/>
  <c r="C103" i="1"/>
  <c r="B103" i="1"/>
  <c r="I102" i="1"/>
  <c r="H102" i="1"/>
  <c r="F102" i="1"/>
  <c r="E102" i="1"/>
  <c r="D102" i="1"/>
  <c r="C102" i="1"/>
  <c r="B102" i="1"/>
  <c r="I101" i="1"/>
  <c r="H101" i="1"/>
  <c r="F101" i="1"/>
  <c r="E101" i="1"/>
  <c r="D101" i="1"/>
  <c r="C101" i="1"/>
  <c r="B101" i="1"/>
  <c r="I100" i="1"/>
  <c r="H100" i="1"/>
  <c r="F100" i="1"/>
  <c r="E100" i="1"/>
  <c r="D100" i="1"/>
  <c r="C100" i="1"/>
  <c r="B100" i="1"/>
  <c r="I99" i="1"/>
  <c r="H99" i="1"/>
  <c r="F99" i="1"/>
  <c r="E99" i="1"/>
  <c r="D99" i="1"/>
  <c r="C99" i="1"/>
  <c r="B99" i="1"/>
  <c r="I98" i="1"/>
  <c r="H98" i="1"/>
  <c r="F98" i="1"/>
  <c r="E98" i="1"/>
  <c r="D98" i="1"/>
  <c r="C98" i="1"/>
  <c r="B98" i="1"/>
  <c r="I97" i="1"/>
  <c r="H97" i="1"/>
  <c r="F97" i="1"/>
  <c r="E97" i="1"/>
  <c r="D97" i="1"/>
  <c r="C97" i="1"/>
  <c r="B97" i="1"/>
  <c r="I96" i="1"/>
  <c r="H96" i="1"/>
  <c r="F96" i="1"/>
  <c r="E96" i="1"/>
  <c r="D96" i="1"/>
  <c r="C96" i="1"/>
  <c r="B96" i="1"/>
  <c r="I95" i="1"/>
  <c r="H95" i="1"/>
  <c r="F95" i="1"/>
  <c r="E95" i="1"/>
  <c r="D95" i="1"/>
  <c r="C95" i="1"/>
  <c r="B95" i="1"/>
  <c r="I94" i="1"/>
  <c r="H94" i="1"/>
  <c r="F94" i="1"/>
  <c r="E94" i="1"/>
  <c r="D94" i="1"/>
  <c r="C94" i="1"/>
  <c r="B94" i="1"/>
  <c r="I93" i="1"/>
  <c r="H93" i="1"/>
  <c r="F93" i="1"/>
  <c r="E93" i="1"/>
  <c r="D93" i="1"/>
  <c r="C93" i="1"/>
  <c r="B93" i="1"/>
  <c r="I92" i="1"/>
  <c r="H92" i="1"/>
  <c r="F92" i="1"/>
  <c r="E92" i="1"/>
  <c r="D92" i="1"/>
  <c r="C92" i="1"/>
  <c r="B92" i="1"/>
  <c r="I91" i="1"/>
  <c r="H91" i="1"/>
  <c r="F91" i="1"/>
  <c r="E91" i="1"/>
  <c r="D91" i="1"/>
  <c r="C91" i="1"/>
  <c r="B91" i="1"/>
  <c r="I90" i="1"/>
  <c r="H90" i="1"/>
  <c r="F90" i="1"/>
  <c r="E90" i="1"/>
  <c r="D90" i="1"/>
  <c r="C90" i="1"/>
  <c r="B90" i="1"/>
  <c r="I89" i="1"/>
  <c r="H89" i="1"/>
  <c r="F89" i="1"/>
  <c r="E89" i="1"/>
  <c r="D89" i="1"/>
  <c r="C89" i="1"/>
  <c r="B89" i="1"/>
  <c r="I88" i="1"/>
  <c r="H88" i="1"/>
  <c r="F88" i="1"/>
  <c r="E88" i="1"/>
  <c r="D88" i="1"/>
  <c r="C88" i="1"/>
  <c r="B88" i="1"/>
  <c r="I87" i="1"/>
  <c r="H87" i="1"/>
  <c r="F87" i="1"/>
  <c r="E87" i="1"/>
  <c r="D87" i="1"/>
  <c r="C87" i="1"/>
  <c r="B87" i="1"/>
  <c r="I86" i="1"/>
  <c r="H86" i="1"/>
  <c r="F86" i="1"/>
  <c r="E86" i="1"/>
  <c r="D86" i="1"/>
  <c r="C86" i="1"/>
  <c r="B86" i="1"/>
  <c r="I85" i="1"/>
  <c r="H85" i="1"/>
  <c r="F85" i="1"/>
  <c r="E85" i="1"/>
  <c r="D85" i="1"/>
  <c r="C85" i="1"/>
  <c r="B85" i="1"/>
  <c r="I84" i="1"/>
  <c r="H84" i="1"/>
  <c r="F84" i="1"/>
  <c r="E84" i="1"/>
  <c r="D84" i="1"/>
  <c r="C84" i="1"/>
  <c r="B84" i="1"/>
  <c r="I83" i="1"/>
  <c r="H83" i="1"/>
  <c r="F83" i="1"/>
  <c r="E83" i="1"/>
  <c r="D83" i="1"/>
  <c r="C83" i="1"/>
  <c r="B83" i="1"/>
  <c r="I82" i="1"/>
  <c r="H82" i="1"/>
  <c r="F82" i="1"/>
  <c r="E82" i="1"/>
  <c r="D82" i="1"/>
  <c r="C82" i="1"/>
  <c r="B82" i="1"/>
  <c r="I81" i="1"/>
  <c r="H81" i="1"/>
  <c r="F81" i="1"/>
  <c r="E81" i="1"/>
  <c r="D81" i="1"/>
  <c r="C81" i="1"/>
  <c r="B81" i="1"/>
  <c r="I80" i="1"/>
  <c r="H80" i="1"/>
  <c r="F80" i="1"/>
  <c r="E80" i="1"/>
  <c r="D80" i="1"/>
  <c r="C80" i="1"/>
  <c r="B80" i="1"/>
  <c r="I79" i="1"/>
  <c r="H79" i="1"/>
  <c r="F79" i="1"/>
  <c r="E79" i="1"/>
  <c r="D79" i="1"/>
  <c r="C79" i="1"/>
  <c r="B79" i="1"/>
  <c r="I78" i="1"/>
  <c r="H78" i="1"/>
  <c r="F78" i="1"/>
  <c r="E78" i="1"/>
  <c r="D78" i="1"/>
  <c r="C78" i="1"/>
  <c r="B78" i="1"/>
  <c r="I77" i="1"/>
  <c r="H77" i="1"/>
  <c r="F77" i="1"/>
  <c r="E77" i="1"/>
  <c r="D77" i="1"/>
  <c r="C77" i="1"/>
  <c r="B77" i="1"/>
  <c r="I76" i="1"/>
  <c r="H76" i="1"/>
  <c r="F76" i="1"/>
  <c r="E76" i="1"/>
  <c r="D76" i="1"/>
  <c r="C76" i="1"/>
  <c r="B76" i="1"/>
  <c r="I75" i="1"/>
  <c r="H75" i="1"/>
  <c r="F75" i="1"/>
  <c r="E75" i="1"/>
  <c r="D75" i="1"/>
  <c r="C75" i="1"/>
  <c r="B75" i="1"/>
  <c r="I74" i="1"/>
  <c r="H74" i="1"/>
  <c r="F74" i="1"/>
  <c r="E74" i="1"/>
  <c r="D74" i="1"/>
  <c r="C74" i="1"/>
  <c r="B74" i="1"/>
  <c r="I73" i="1"/>
  <c r="H73" i="1"/>
  <c r="F73" i="1"/>
  <c r="E73" i="1"/>
  <c r="D73" i="1"/>
  <c r="C73" i="1"/>
  <c r="B73" i="1"/>
  <c r="I72" i="1"/>
  <c r="H72" i="1"/>
  <c r="F72" i="1"/>
  <c r="E72" i="1"/>
  <c r="D72" i="1"/>
  <c r="C72" i="1"/>
  <c r="B72" i="1"/>
  <c r="I71" i="1"/>
  <c r="H71" i="1"/>
  <c r="F71" i="1"/>
  <c r="E71" i="1"/>
  <c r="D71" i="1"/>
  <c r="C71" i="1"/>
  <c r="B71" i="1"/>
  <c r="I70" i="1"/>
  <c r="H70" i="1"/>
  <c r="F70" i="1"/>
  <c r="E70" i="1"/>
  <c r="D70" i="1"/>
  <c r="C70" i="1"/>
  <c r="B70" i="1"/>
  <c r="I69" i="1"/>
  <c r="H69" i="1"/>
  <c r="F69" i="1"/>
  <c r="E69" i="1"/>
  <c r="D69" i="1"/>
  <c r="C69" i="1"/>
  <c r="B69" i="1"/>
  <c r="I68" i="1"/>
  <c r="H68" i="1"/>
  <c r="F68" i="1"/>
  <c r="E68" i="1"/>
  <c r="D68" i="1"/>
  <c r="C68" i="1"/>
  <c r="B68" i="1"/>
  <c r="I67" i="1"/>
  <c r="H67" i="1"/>
  <c r="F67" i="1"/>
  <c r="E67" i="1"/>
  <c r="D67" i="1"/>
  <c r="C67" i="1"/>
  <c r="B67" i="1"/>
  <c r="I66" i="1"/>
  <c r="H66" i="1"/>
  <c r="F66" i="1"/>
  <c r="E66" i="1"/>
  <c r="D66" i="1"/>
  <c r="C66" i="1"/>
  <c r="B66" i="1"/>
  <c r="I65" i="1"/>
  <c r="H65" i="1"/>
  <c r="F65" i="1"/>
  <c r="E65" i="1"/>
  <c r="D65" i="1"/>
  <c r="C65" i="1"/>
  <c r="B65" i="1"/>
  <c r="I64" i="1"/>
  <c r="H64" i="1"/>
  <c r="F64" i="1"/>
  <c r="E64" i="1"/>
  <c r="D64" i="1"/>
  <c r="C64" i="1"/>
  <c r="B64" i="1"/>
  <c r="I63" i="1"/>
  <c r="H63" i="1"/>
  <c r="F63" i="1"/>
  <c r="E63" i="1"/>
  <c r="D63" i="1"/>
  <c r="C63" i="1"/>
  <c r="B63" i="1"/>
  <c r="I62" i="1"/>
  <c r="H62" i="1"/>
  <c r="F62" i="1"/>
  <c r="E62" i="1"/>
  <c r="D62" i="1"/>
  <c r="C62" i="1"/>
  <c r="B62" i="1"/>
  <c r="I61" i="1"/>
  <c r="H61" i="1"/>
  <c r="F61" i="1"/>
  <c r="E61" i="1"/>
  <c r="D61" i="1"/>
  <c r="C61" i="1"/>
  <c r="B61" i="1"/>
  <c r="I60" i="1"/>
  <c r="H60" i="1"/>
  <c r="F60" i="1"/>
  <c r="E60" i="1"/>
  <c r="D60" i="1"/>
  <c r="C60" i="1"/>
  <c r="B60" i="1"/>
  <c r="I59" i="1"/>
  <c r="H59" i="1"/>
  <c r="F59" i="1"/>
  <c r="E59" i="1"/>
  <c r="D59" i="1"/>
  <c r="C59" i="1"/>
  <c r="B59" i="1"/>
  <c r="I58" i="1"/>
  <c r="H58" i="1"/>
  <c r="F58" i="1"/>
  <c r="E58" i="1"/>
  <c r="D58" i="1"/>
  <c r="C58" i="1"/>
  <c r="B58" i="1"/>
  <c r="I57" i="1"/>
  <c r="H57" i="1"/>
  <c r="F57" i="1"/>
  <c r="E57" i="1"/>
  <c r="D57" i="1"/>
  <c r="C57" i="1"/>
  <c r="B57" i="1"/>
  <c r="I56" i="1"/>
  <c r="H56" i="1"/>
  <c r="F56" i="1"/>
  <c r="E56" i="1"/>
  <c r="D56" i="1"/>
  <c r="C56" i="1"/>
  <c r="B56" i="1"/>
  <c r="I55" i="1"/>
  <c r="H55" i="1"/>
  <c r="F55" i="1"/>
  <c r="E55" i="1"/>
  <c r="D55" i="1"/>
  <c r="C55" i="1"/>
  <c r="B55" i="1"/>
  <c r="I54" i="1"/>
  <c r="H54" i="1"/>
  <c r="F54" i="1"/>
  <c r="E54" i="1"/>
  <c r="D54" i="1"/>
  <c r="C54" i="1"/>
  <c r="B54" i="1"/>
  <c r="I53" i="1"/>
  <c r="H53" i="1"/>
  <c r="F53" i="1"/>
  <c r="E53" i="1"/>
  <c r="D53" i="1"/>
  <c r="C53" i="1"/>
  <c r="B53" i="1"/>
  <c r="I52" i="1"/>
  <c r="H52" i="1"/>
  <c r="F52" i="1"/>
  <c r="E52" i="1"/>
  <c r="D52" i="1"/>
  <c r="C52" i="1"/>
  <c r="B52" i="1"/>
  <c r="I51" i="1"/>
  <c r="H51" i="1"/>
  <c r="F51" i="1"/>
  <c r="E51" i="1"/>
  <c r="D51" i="1"/>
  <c r="C51" i="1"/>
  <c r="B51" i="1"/>
  <c r="I50" i="1"/>
  <c r="H50" i="1"/>
  <c r="F50" i="1"/>
  <c r="E50" i="1"/>
  <c r="D50" i="1"/>
  <c r="C50" i="1"/>
  <c r="B50" i="1"/>
  <c r="I49" i="1"/>
  <c r="H49" i="1"/>
  <c r="F49" i="1"/>
  <c r="E49" i="1"/>
  <c r="D49" i="1"/>
  <c r="C49" i="1"/>
  <c r="B49" i="1"/>
  <c r="I48" i="1"/>
  <c r="H48" i="1"/>
  <c r="F48" i="1"/>
  <c r="E48" i="1"/>
  <c r="D48" i="1"/>
  <c r="C48" i="1"/>
  <c r="B48" i="1"/>
  <c r="I47" i="1"/>
  <c r="H47" i="1"/>
  <c r="F47" i="1"/>
  <c r="E47" i="1"/>
  <c r="D47" i="1"/>
  <c r="C47" i="1"/>
  <c r="B47" i="1"/>
  <c r="I46" i="1"/>
  <c r="H46" i="1"/>
  <c r="F46" i="1"/>
  <c r="E46" i="1"/>
  <c r="D46" i="1"/>
  <c r="C46" i="1"/>
  <c r="B46" i="1"/>
  <c r="I45" i="1"/>
  <c r="H45" i="1"/>
  <c r="F45" i="1"/>
  <c r="E45" i="1"/>
  <c r="D45" i="1"/>
  <c r="C45" i="1"/>
  <c r="B45" i="1"/>
  <c r="I44" i="1"/>
  <c r="H44" i="1"/>
  <c r="F44" i="1"/>
  <c r="E44" i="1"/>
  <c r="D44" i="1"/>
  <c r="C44" i="1"/>
  <c r="B44" i="1"/>
  <c r="I43" i="1"/>
  <c r="H43" i="1"/>
  <c r="F43" i="1"/>
  <c r="E43" i="1"/>
  <c r="D43" i="1"/>
  <c r="C43" i="1"/>
  <c r="B43" i="1"/>
  <c r="I42" i="1"/>
  <c r="H42" i="1"/>
  <c r="F42" i="1"/>
  <c r="E42" i="1"/>
  <c r="D42" i="1"/>
  <c r="C42" i="1"/>
  <c r="B42" i="1"/>
  <c r="I41" i="1"/>
  <c r="H41" i="1"/>
  <c r="F41" i="1"/>
  <c r="E41" i="1"/>
  <c r="D41" i="1"/>
  <c r="C41" i="1"/>
  <c r="B41" i="1"/>
  <c r="I40" i="1"/>
  <c r="H40" i="1"/>
  <c r="F40" i="1"/>
  <c r="E40" i="1"/>
  <c r="D40" i="1"/>
  <c r="C40" i="1"/>
  <c r="B40" i="1"/>
  <c r="I39" i="1"/>
  <c r="H39" i="1"/>
  <c r="F39" i="1"/>
  <c r="E39" i="1"/>
  <c r="D39" i="1"/>
  <c r="C39" i="1"/>
  <c r="B39" i="1"/>
  <c r="I38" i="1"/>
  <c r="H38" i="1"/>
  <c r="F38" i="1"/>
  <c r="E38" i="1"/>
  <c r="D38" i="1"/>
  <c r="C38" i="1"/>
  <c r="B38" i="1"/>
  <c r="I37" i="1"/>
  <c r="H37" i="1"/>
  <c r="F37" i="1"/>
  <c r="E37" i="1"/>
  <c r="D37" i="1"/>
  <c r="C37" i="1"/>
  <c r="B37" i="1"/>
  <c r="I36" i="1"/>
  <c r="H36" i="1"/>
  <c r="F36" i="1"/>
  <c r="E36" i="1"/>
  <c r="D36" i="1"/>
  <c r="C36" i="1"/>
  <c r="B36" i="1"/>
  <c r="I35" i="1"/>
  <c r="H35" i="1"/>
  <c r="F35" i="1"/>
  <c r="E35" i="1"/>
  <c r="D35" i="1"/>
  <c r="C35" i="1"/>
  <c r="B35" i="1"/>
  <c r="I34" i="1"/>
  <c r="H34" i="1"/>
  <c r="F34" i="1"/>
  <c r="E34" i="1"/>
  <c r="D34" i="1"/>
  <c r="C34" i="1"/>
  <c r="B34" i="1"/>
  <c r="I33" i="1"/>
  <c r="H33" i="1"/>
  <c r="F33" i="1"/>
  <c r="E33" i="1"/>
  <c r="D33" i="1"/>
  <c r="C33" i="1"/>
  <c r="B33" i="1"/>
  <c r="I32" i="1"/>
  <c r="H32" i="1"/>
  <c r="F32" i="1"/>
  <c r="E32" i="1"/>
  <c r="D32" i="1"/>
  <c r="C32" i="1"/>
  <c r="B32" i="1"/>
  <c r="I31" i="1"/>
  <c r="H31" i="1"/>
  <c r="F31" i="1"/>
  <c r="E31" i="1"/>
  <c r="D31" i="1"/>
  <c r="C31" i="1"/>
  <c r="B31" i="1"/>
  <c r="I30" i="1"/>
  <c r="H30" i="1"/>
  <c r="F30" i="1"/>
  <c r="E30" i="1"/>
  <c r="D30" i="1"/>
  <c r="C30" i="1"/>
  <c r="B30" i="1"/>
  <c r="I29" i="1"/>
  <c r="H29" i="1"/>
  <c r="F29" i="1"/>
  <c r="E29" i="1"/>
  <c r="D29" i="1"/>
  <c r="C29" i="1"/>
  <c r="B29" i="1"/>
  <c r="I28" i="1"/>
  <c r="H28" i="1"/>
  <c r="F28" i="1"/>
  <c r="E28" i="1"/>
  <c r="D28" i="1"/>
  <c r="C28" i="1"/>
  <c r="B28" i="1"/>
  <c r="I27" i="1"/>
  <c r="H27" i="1"/>
  <c r="F27" i="1"/>
  <c r="E27" i="1"/>
  <c r="D27" i="1"/>
  <c r="C27" i="1"/>
  <c r="B27" i="1"/>
  <c r="I26" i="1"/>
  <c r="H26" i="1"/>
  <c r="F26" i="1"/>
  <c r="E26" i="1"/>
  <c r="D26" i="1"/>
  <c r="C26" i="1"/>
  <c r="B26" i="1"/>
  <c r="I25" i="1"/>
  <c r="H25" i="1"/>
  <c r="F25" i="1"/>
  <c r="E25" i="1"/>
  <c r="D25" i="1"/>
  <c r="C25" i="1"/>
  <c r="B25" i="1"/>
  <c r="I24" i="1"/>
  <c r="H24" i="1"/>
  <c r="F24" i="1"/>
  <c r="E24" i="1"/>
  <c r="D24" i="1"/>
  <c r="C24" i="1"/>
  <c r="B24" i="1"/>
  <c r="I23" i="1"/>
  <c r="H23" i="1"/>
  <c r="F23" i="1"/>
  <c r="E23" i="1"/>
  <c r="D23" i="1"/>
  <c r="C23" i="1"/>
  <c r="B23" i="1"/>
  <c r="I22" i="1"/>
  <c r="H22" i="1"/>
  <c r="F22" i="1"/>
  <c r="E22" i="1"/>
  <c r="D22" i="1"/>
  <c r="C22" i="1"/>
  <c r="B22" i="1"/>
  <c r="I21" i="1"/>
  <c r="H21" i="1"/>
  <c r="F21" i="1"/>
  <c r="E21" i="1"/>
  <c r="D21" i="1"/>
  <c r="C21" i="1"/>
  <c r="B21" i="1"/>
  <c r="I20" i="1"/>
  <c r="H20" i="1"/>
  <c r="F20" i="1"/>
  <c r="E20" i="1"/>
  <c r="D20" i="1"/>
  <c r="C20" i="1"/>
  <c r="B20" i="1"/>
  <c r="I19" i="1"/>
  <c r="H19" i="1"/>
  <c r="F19" i="1"/>
  <c r="E19" i="1"/>
  <c r="D19" i="1"/>
  <c r="C19" i="1"/>
  <c r="B19" i="1"/>
  <c r="I18" i="1"/>
  <c r="H18" i="1"/>
  <c r="F18" i="1"/>
  <c r="E18" i="1"/>
  <c r="D18" i="1"/>
  <c r="C18" i="1"/>
  <c r="B18" i="1"/>
  <c r="I17" i="1"/>
  <c r="H17" i="1"/>
  <c r="F17" i="1"/>
  <c r="E17" i="1"/>
  <c r="D17" i="1"/>
  <c r="C17" i="1"/>
  <c r="B17" i="1"/>
  <c r="I16" i="1"/>
  <c r="H16" i="1"/>
  <c r="F16" i="1"/>
  <c r="E16" i="1"/>
  <c r="D16" i="1"/>
  <c r="C16" i="1"/>
  <c r="B16" i="1"/>
  <c r="I15" i="1"/>
  <c r="H15" i="1"/>
  <c r="F15" i="1"/>
  <c r="E15" i="1"/>
  <c r="D15" i="1"/>
  <c r="C15" i="1"/>
  <c r="B15" i="1"/>
  <c r="I14" i="1"/>
  <c r="H14" i="1"/>
  <c r="F14" i="1"/>
  <c r="E14" i="1"/>
  <c r="D14" i="1"/>
  <c r="C14" i="1"/>
  <c r="B14" i="1"/>
  <c r="I13" i="1"/>
  <c r="H13" i="1"/>
  <c r="F13" i="1"/>
  <c r="E13" i="1"/>
  <c r="D13" i="1"/>
  <c r="C13" i="1"/>
  <c r="B13" i="1"/>
  <c r="I12" i="1"/>
  <c r="H12" i="1"/>
  <c r="F12" i="1"/>
  <c r="E12" i="1"/>
  <c r="D12" i="1"/>
  <c r="C12" i="1"/>
  <c r="B12" i="1"/>
  <c r="I11" i="1"/>
  <c r="H11" i="1"/>
  <c r="F11" i="1"/>
  <c r="E11" i="1"/>
  <c r="D11" i="1"/>
  <c r="C11" i="1"/>
  <c r="B11" i="1"/>
  <c r="I10" i="1"/>
  <c r="H10" i="1"/>
  <c r="F10" i="1"/>
  <c r="E10" i="1"/>
  <c r="D10" i="1"/>
  <c r="C10" i="1"/>
  <c r="B10" i="1"/>
  <c r="I9" i="1"/>
  <c r="H9" i="1"/>
  <c r="F9" i="1"/>
  <c r="E9" i="1"/>
  <c r="D9" i="1"/>
  <c r="C9" i="1"/>
  <c r="B9" i="1"/>
  <c r="I8" i="1"/>
  <c r="H8" i="1"/>
  <c r="F8" i="1"/>
  <c r="E8" i="1"/>
  <c r="D8" i="1"/>
  <c r="C8" i="1"/>
  <c r="B8" i="1"/>
  <c r="I7" i="1"/>
  <c r="H7" i="1"/>
  <c r="F7" i="1"/>
  <c r="E7" i="1"/>
  <c r="D7" i="1"/>
  <c r="C7" i="1"/>
  <c r="B7" i="1"/>
  <c r="I6" i="1"/>
  <c r="H6" i="1"/>
  <c r="F6" i="1"/>
  <c r="E6" i="1"/>
  <c r="D6" i="1"/>
  <c r="C6" i="1"/>
  <c r="B6" i="1"/>
  <c r="I5" i="1"/>
  <c r="H5" i="1"/>
  <c r="F5" i="1"/>
  <c r="E5" i="1"/>
  <c r="D5" i="1"/>
  <c r="C5" i="1"/>
  <c r="B5" i="1"/>
  <c r="I4" i="1"/>
  <c r="H4" i="1"/>
  <c r="F4" i="1"/>
  <c r="E4" i="1"/>
  <c r="D4" i="1"/>
  <c r="C4" i="1"/>
  <c r="B4" i="1"/>
  <c r="I3" i="1"/>
  <c r="H3" i="1"/>
  <c r="F3" i="1"/>
  <c r="E3" i="1"/>
  <c r="D3" i="1"/>
  <c r="C3" i="1"/>
  <c r="B3" i="1"/>
  <c r="I2" i="1"/>
  <c r="H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<sst xmlns="http://schemas.openxmlformats.org/spreadsheetml/2006/main" count="1924" uniqueCount="390">
  <si>
    <t>Date</t>
  </si>
  <si>
    <t>Year</t>
  </si>
  <si>
    <t>Month</t>
  </si>
  <si>
    <t>Weekday</t>
  </si>
  <si>
    <t>AEP</t>
  </si>
  <si>
    <t>SEP_Notes</t>
  </si>
  <si>
    <t>Has_Event</t>
  </si>
  <si>
    <t>Event_Detail</t>
  </si>
  <si>
    <t>Event_Type</t>
  </si>
  <si>
    <t>Affects</t>
  </si>
  <si>
    <t>Date_Type</t>
  </si>
  <si>
    <t>Description</t>
  </si>
  <si>
    <t>Source</t>
  </si>
  <si>
    <t>Legislation</t>
  </si>
  <si>
    <t>Part D</t>
  </si>
  <si>
    <t>Effective</t>
  </si>
  <si>
    <t>IRA phase-in: 5% coinsurance in Part D catastrophic phase eliminated; full Low-Income Subsidy (Extra Help) expanded to 150% FPL</t>
  </si>
  <si>
    <t>https://www.cms.gov/newsroom/fact-sheets/2024-medicare-advantage-and-part-d-final-rule-cms-4201-f</t>
  </si>
  <si>
    <t>Rate Announcement</t>
  </si>
  <si>
    <t>MA / Part D</t>
  </si>
  <si>
    <t>Announced</t>
  </si>
  <si>
    <t>CY2025 Advance Notice released: proposed +3.70% avg payment; year 2 of 3-year phase-in of 2024 CMS-HCC (V28) risk model at 67/33 blend; comments due 3/1/2024</t>
  </si>
  <si>
    <t>https://www.cms.gov/newsroom/fact-sheets/2025-medicare-advantage-part-d-advance-notice-fact-sheet</t>
  </si>
  <si>
    <t>CY2025 Rate Announcement: final MA capitation rates (+3.70% avg) and Part C/D payment policies</t>
  </si>
  <si>
    <t>CMS Rule</t>
  </si>
  <si>
    <t>MA / Part D / D-SNP</t>
  </si>
  <si>
    <t>CY2025 MA &amp; Part D Final Rule (CMS-4205-F): fixed agent/broker compensation (+$100 initial), TPMO one-to-one consent for data sharing, mid-year unused-benefits notice, SSBCI evidence requirements, dual/LIS SEP overhaul, D-SNP look-alike threshold phase-down, behavioral health network adequacy</t>
  </si>
  <si>
    <t>https://www.cms.gov/newsroom/fact-sheets/contract-year-2025-medicare-advantage-part-d-final-rule-cms-4205-f</t>
  </si>
  <si>
    <t>CY2025 Final Rule regulations take effect (most provisions apply to coverage beginning 1/1/2025; agent/broker compensation changes apply beginning with Fall 2024 AEP)</t>
  </si>
  <si>
    <t>https://www.federalregister.gov/documents/2024/04/23/2024-07105/medicare-program-changes-to-the-medicare-advantage-and-the-medicare-prescription-drug-benefit</t>
  </si>
  <si>
    <t>Enrollment Milestone</t>
  </si>
  <si>
    <t>CY2025 plan marketing begins; plan landscape/benefit info for 2025 released ahead of AEP; new agent/broker fixed compensation applies to Fall 2024 AEP enrollments</t>
  </si>
  <si>
    <t>Plan Landscape Release</t>
  </si>
  <si>
    <t>2025 Star Ratings published on Medicare Plan Finder: sharp industry decline - only 7 MA-PD contracts earned 5 stars (vs 38 for 2024); avg rating fell to ~3.92; drives 2026 quality bonus payments</t>
  </si>
  <si>
    <t>https://www.cms.gov/newsroom/fact-sheets/2025-medicare-advantage-part-d-star-ratings</t>
  </si>
  <si>
    <t>CY2026 Proposed Rule (CMS-4208-P): proposed anti-obesity med coverage in Part D, AI guardrails, prior-auth/UM limits (published in Federal Register 12/10/2024; comments due 1/27/2025; several proposals later NOT finalized)</t>
  </si>
  <si>
    <t>https://www.cms.gov/newsroom/fact-sheets/contract-year-2026-policy-and-technical-changes-medicare-advantage-program-medicare-prescription</t>
  </si>
  <si>
    <t>Part D / MA / D-SNP</t>
  </si>
  <si>
    <t>IRA: $2,000 annual Part D OOP cap begins; coverage gap eliminated (3-phase benefit); Medicare Prescription Payment Plan launches; Manufacturer Discount Program replaces Coverage Gap Discount Program; CY2025 Final Rule provisions apply incl. monthly integrated-care SEP for duals (replaces quarterly dual SEP) and D-SNP look-alike threshold lowered to 70%</t>
  </si>
  <si>
    <t>https://www.cms.gov/newsroom/fact-sheets/2025-medicare-advantage-part-d-advance-notice-fact-sheet ; https://www.cms.gov/newsroom/fact-sheets/contract-year-2025-medicare-advantage-part-d-final-rule-cms-4205-f</t>
  </si>
  <si>
    <t>CY2026 Advance Notice released: proposed +4.33% avg payment (~$21B); final year of V28 risk model phase-in; comments due 2/10/2025</t>
  </si>
  <si>
    <t>https://www.cms.gov/newsroom/fact-sheets/2026-medicare-advantage-part-d-advance-notice-fact-sheet</t>
  </si>
  <si>
    <t>CY2026 Final Rule (CMS-4208-F): scaled back vs proposed (dropped anti-obesity meds, AI guardrails, health equity analysis); finalized inpatient prior-auth protections, appeals loophole fixes, SSBCI non-allowable list, Rx Payment Plan auto-renewal, D-SNP integrated ID cards/HRAs by 2027</t>
  </si>
  <si>
    <t>https://www.cms.gov/newsroom/fact-sheets/contract-year-2026-policy-and-technical-changes-medicare-advantage-program-medicare-prescription-final</t>
  </si>
  <si>
    <t>CY2026 Rate Announcement: +5.06% avg payment (~$25B, up from proposed 4.33%); V28 risk model phase-in complete (100%); Final CY2026 Part D Redesign Instructions</t>
  </si>
  <si>
    <t>https://www.cms.gov/newsroom/fact-sheets/2026-medicare-advantage-part-d-rate-announcement</t>
  </si>
  <si>
    <t>MA</t>
  </si>
  <si>
    <t>Deadline</t>
  </si>
  <si>
    <t>CY2026 MA plan bid submission deadline</t>
  </si>
  <si>
    <t>https://www.hklaw.com/en/insights/publications/2025/04/cms-final-rule-on-cy-2026-policy-and-technical-changes</t>
  </si>
  <si>
    <t>First annual Mid-Year Enrollee Notification of Unused Supplemental Benefits window opens (plans must send 6/30-7/31 each year, starting 2025; required by CY2025 Final Rule)</t>
  </si>
  <si>
    <t>CY2026 plan marketing begins; plans notify enrollees of 2026 changes; 2026 landscape released ahead of AEP</t>
  </si>
  <si>
    <t>https://www.cms.gov/files/document/2026-ma-part-d-landscape-state-state-fact-sheet.pdf</t>
  </si>
  <si>
    <t>2026 Star Ratings published on Medicare Plan Finder: 18 contracts earned 5 stars (vs 7 prior yr); measure-set changes (patient-experience weight cut 4 to 2, Kidney Health measure added). NOTE: HCSC enrollment-weighted avg fell ~0.30 stars, remains below 4 stars (HealthScape/Chartis analysis)</t>
  </si>
  <si>
    <t>https://www.cms.gov/files/document/2026-star-ratings-fact-sheet.pdf ; https://www.healthscape.com/insights/early-look-2026-medicare-advantage-stars-ratings-stabilize-without-meaningful-improvement</t>
  </si>
  <si>
    <t>CY2027 Proposed Rule published in Federal Register: Star Ratings measure removals, Part D redesign codification, D-SNP enrollment continuity proposals</t>
  </si>
  <si>
    <t>https://www.cms.gov/files/document/2027-advance-notice.pdf (p.1 cites FR publication 11/28/2025) ; https://medicareadvocacy.org/cms-caves-to-medicare-advantage-industry/</t>
  </si>
  <si>
    <t>Medicare Drug Price Negotiation: negotiated prices (MFPs) for first 10 selected drugs take effect; Part D OOP cap indexed to $2,100; D-SNP look-alike threshold drops to 60%; D-SNP PPO out-of-network cost-sharing limits begin; CY2026 Final Rule provisions apply to coverage</t>
  </si>
  <si>
    <t>https://www.cms.gov/newsroom/fact-sheets/2026-medicare-advantage-part-d-rate-announcement ; https://www.appliedpolicy.com/cms-finalizes-cy-2027-changes-to-medicare-advantage-and-part-d-to-implement-part-d-redesign-update-star-ratings-and-reduce-administrative-burden/ ($2,100) ; https://www.cms.gov/newsroom/fact-sheets/contract-year-2025-medicare-advantage-part-d-final-rule-cms-4205-f (look-alike 60%, PPO limits)</t>
  </si>
  <si>
    <t>CY2027 Advance Notice released: proposed only +0.09% base update (~$700M) - far below prior years; proposed excluding unlinked chart-review and audio-only diagnoses from risk scores; comments due 2/25/2026</t>
  </si>
  <si>
    <t>https://www.cms.gov/files/document/2027-advance-notice.pdf ; https://www.mcdermottplus.com/blog/regs-eggs/cms-issues-cy-2027-medicare-advantage-and-part-d-rate-notice/</t>
  </si>
  <si>
    <t>CY2027 Final Rule released (FR pub 4/6/2026; effective 6/1/2026; applicable to coverage 1/1/2027): Star Ratings overhaul (11 measures removed, Excellent Health Outcomes/Health Equity reward dropped), IRA Part D redesign codified for 2027+, SSBCI chronically-ill definition tightened, D-SNP one-plan-per-MCO rule from 2027</t>
  </si>
  <si>
    <t>https://www.cms.gov/newsroom/fact-sheets/contract-year-2027-medicare-advantage-part-d-final-rule ; https://www.federalregister.gov/documents/2026/04/06/2026-06600/medicare-program-contract-year-2027-and-certain-contract-year-2026-policy-and-technical-changes-to</t>
  </si>
  <si>
    <t>CY2027 Rate Announcement: finalized +2.48% avg payment (~$13B, sharply up from proposed 0.09% after industry lobbying); kept 2024 (V28) risk model instead of proposed update; finalized exclusion of unlinked chart-review diagnoses from risk scores</t>
  </si>
  <si>
    <t>https://www.cms.gov/files/document/2027-announcement.pdf ; https://www.aha.org/news/headline/2026-04-06-cms-finalizes-medicare-advantage-rates-cy-2027</t>
  </si>
  <si>
    <t>Equals 1 during the Annual Enrollment Period (Oct 15 - Dec 7 each year). Row highlights blue.</t>
  </si>
  <si>
    <t>Equals 1 during the Medicare Advantage Open Enrollment Period (Jan 1 - Mar 31 each year). Row highlights green.</t>
  </si>
  <si>
    <t>Has_Event / Event_Detail</t>
  </si>
  <si>
    <t>Counts and pulls the matching row from the Events tab automatically. Row highlights orange when an event lands on that date. If two events share a date, Event_Detail shows only the first - prefer one combined row per date on the Events tab.</t>
  </si>
  <si>
    <t>Events tab</t>
  </si>
  <si>
    <t>Color key</t>
  </si>
  <si>
    <t xml:space="preserve">AEP </t>
  </si>
  <si>
    <t>Anyone with medicare change/switch between Original Medicare and Medicare Advantage, or alter prescription drug plans.</t>
  </si>
  <si>
    <t xml:space="preserve">MA_OEP </t>
  </si>
  <si>
    <t xml:space="preserve">For individuals already in a Medicare Advantage plan, allows single change to switch to other Medicare Advantage plan or return to Original Medicare. </t>
  </si>
  <si>
    <t>GEP</t>
  </si>
  <si>
    <t>For individuals who missed their Initial Enrollment Period when first elligible, allowing to sign up for Part A and/or Part B.</t>
  </si>
  <si>
    <t xml:space="preserve">Announced' = the day the rule/notice was published (matters for market/search reaction). 'Effective' = the day the policy actually changes plan value. </t>
  </si>
  <si>
    <t>Use for date-bound SEPs (e.g., disaster SEPs by state). Most SEPs are triggered by individual circumstances, not calendar dates.</t>
  </si>
  <si>
    <t>For individuals with special life events to outside standard windows.</t>
  </si>
  <si>
    <r>
      <t xml:space="preserve">Equals 1 during General Enrollment Period, </t>
    </r>
    <r>
      <rPr>
        <b/>
        <sz val="10"/>
        <rFont val="Calibri"/>
        <family val="2"/>
      </rPr>
      <t>Same as MA_OEP, same column.</t>
    </r>
    <r>
      <rPr>
        <sz val="10"/>
        <rFont val="Calibri"/>
        <family val="2"/>
      </rPr>
      <t xml:space="preserve"> Row highlights green.</t>
    </r>
  </si>
  <si>
    <t xml:space="preserve">One row per policy/market event. </t>
  </si>
  <si>
    <t>Orange = policy event day | Blue = AEP | Green = MA OEP / GEP | Yellow = cells you edit</t>
  </si>
  <si>
    <t>MA_OEP / GEP</t>
  </si>
  <si>
    <t>FALSE</t>
  </si>
  <si>
    <t>CHEMICAL RELEASE</t>
  </si>
  <si>
    <t>Chemical</t>
  </si>
  <si>
    <t>EM</t>
  </si>
  <si>
    <t>CA</t>
  </si>
  <si>
    <t>BAIN FIRE</t>
  </si>
  <si>
    <t>Fire</t>
  </si>
  <si>
    <t>FM</t>
  </si>
  <si>
    <t>SANDY FIRE</t>
  </si>
  <si>
    <t>STINKY FIRE</t>
  </si>
  <si>
    <t>TX</t>
  </si>
  <si>
    <t>HUNGGATE FIRE</t>
  </si>
  <si>
    <t>SEVERE STORMS, STRAIGHT-LINE WINDS, TORNADOES, AND FLOODING</t>
  </si>
  <si>
    <t>Severe Storm</t>
  </si>
  <si>
    <t>DR</t>
  </si>
  <si>
    <t>MS</t>
  </si>
  <si>
    <t>KS</t>
  </si>
  <si>
    <t>SEVERE STORMS, TORNADOES, AND FLOODING</t>
  </si>
  <si>
    <t>MO</t>
  </si>
  <si>
    <t>COW CREEK FIRE</t>
  </si>
  <si>
    <t>FL</t>
  </si>
  <si>
    <t>HIGHWAY 82 FIRE</t>
  </si>
  <si>
    <t>GA</t>
  </si>
  <si>
    <t>RAILROAD COMPLEX FIRE</t>
  </si>
  <si>
    <t>PINELAND ROAD FIRE</t>
  </si>
  <si>
    <t>Flood</t>
  </si>
  <si>
    <t>WI</t>
  </si>
  <si>
    <t>SUPER TYPHOON SINLAKU</t>
  </si>
  <si>
    <t>Typhoon</t>
  </si>
  <si>
    <t>GU</t>
  </si>
  <si>
    <t>Hurricane</t>
  </si>
  <si>
    <t>MP</t>
  </si>
  <si>
    <t>TYPHOON SINLAKU</t>
  </si>
  <si>
    <t>Tropical Storm</t>
  </si>
  <si>
    <t>MI</t>
  </si>
  <si>
    <t>JUMPING JUNIPER FIRE</t>
  </si>
  <si>
    <t>OK</t>
  </si>
  <si>
    <t>DIBBLE CREEK FIRE</t>
  </si>
  <si>
    <t>BUCK HORN FIRE</t>
  </si>
  <si>
    <t>CORNER POCKET FIRE</t>
  </si>
  <si>
    <t>1170 ROAD FIRE</t>
  </si>
  <si>
    <t>MORRILL-COTTONWOOD FIRE</t>
  </si>
  <si>
    <t>NE</t>
  </si>
  <si>
    <t>QURY FIRE</t>
  </si>
  <si>
    <t>SD</t>
  </si>
  <si>
    <t>WILDFIRES</t>
  </si>
  <si>
    <t>SEVERE STORMS, STRAIGHT-LINE WINDS, FLOODING, LANDSLIDES, AND MUDSLIDES</t>
  </si>
  <si>
    <t>ID</t>
  </si>
  <si>
    <t>SEVERE STORMS, FLOODING, LANDSLIDES, AND MUDSLIDES</t>
  </si>
  <si>
    <t>HI</t>
  </si>
  <si>
    <t>SEVERE WINTER STORM AND SNOWSTORM</t>
  </si>
  <si>
    <t>Winter Storm</t>
  </si>
  <si>
    <t>SEVERE WINTER STORM</t>
  </si>
  <si>
    <t>DE</t>
  </si>
  <si>
    <t>RATTLESNAKE FIRE</t>
  </si>
  <si>
    <t>HOSPITAL ROAD FIRE</t>
  </si>
  <si>
    <t>8 BALL FIRE</t>
  </si>
  <si>
    <t>43 FIRE</t>
  </si>
  <si>
    <t>RANGER ROAD FIRE</t>
  </si>
  <si>
    <t>STEVENS FIRE</t>
  </si>
  <si>
    <t>KY</t>
  </si>
  <si>
    <t>LA</t>
  </si>
  <si>
    <t>IN</t>
  </si>
  <si>
    <t xml:space="preserve">SEVERE WINTER STORM </t>
  </si>
  <si>
    <t>WV</t>
  </si>
  <si>
    <t>AR</t>
  </si>
  <si>
    <t>MD</t>
  </si>
  <si>
    <t>TN</t>
  </si>
  <si>
    <t>VA</t>
  </si>
  <si>
    <t>SC</t>
  </si>
  <si>
    <t>NC</t>
  </si>
  <si>
    <t xml:space="preserve">SEWER LINE COLLAPSE </t>
  </si>
  <si>
    <t>Other</t>
  </si>
  <si>
    <t>DC</t>
  </si>
  <si>
    <t>SUNNY FIRE</t>
  </si>
  <si>
    <t>SEVERE WINTER STORM AND STRAIGHT-LINE WINDS</t>
  </si>
  <si>
    <t>Straight-Line Winds</t>
  </si>
  <si>
    <t>MT</t>
  </si>
  <si>
    <t>STRAIGHT-LINE WINDS</t>
  </si>
  <si>
    <t>OR</t>
  </si>
  <si>
    <t>SEVERE STORMS AND FLOODING</t>
  </si>
  <si>
    <t>WA</t>
  </si>
  <si>
    <t>SEVERE STORM</t>
  </si>
  <si>
    <t>AK</t>
  </si>
  <si>
    <t>AZ</t>
  </si>
  <si>
    <t>SEVERE STORMS, FLOODING, AND REMNANTS OF TYPHOON HALONG</t>
  </si>
  <si>
    <t>NM</t>
  </si>
  <si>
    <t>LOWER SUGARLOAF FIRE</t>
  </si>
  <si>
    <t>HOLOMUA FIRE</t>
  </si>
  <si>
    <t>2-7 FIRE</t>
  </si>
  <si>
    <t>WINDY ROCK FIRE</t>
  </si>
  <si>
    <t xml:space="preserve"> FLAT FIRE </t>
  </si>
  <si>
    <t>KUNIA ROAD FIRE</t>
  </si>
  <si>
    <t>RED CANYON FIRE</t>
  </si>
  <si>
    <t>WY</t>
  </si>
  <si>
    <t>SUNSET FIRE</t>
  </si>
  <si>
    <t>OAK FIRE</t>
  </si>
  <si>
    <t>CO</t>
  </si>
  <si>
    <t>SEVERE STORMS, STRAIGHT-LINE WINDS, FLOODING, AND MUDSLIDES</t>
  </si>
  <si>
    <t>SEVERE STORMS, STRAIGHT-LINE WINDS, AND FLOODING</t>
  </si>
  <si>
    <t>CANYON FIRE</t>
  </si>
  <si>
    <t>SEVERE STORMS, STRAIGHT-LINE WINDS, AND TORNADOES</t>
  </si>
  <si>
    <t>ND</t>
  </si>
  <si>
    <t>ELK FIRE</t>
  </si>
  <si>
    <t>LEE FIRE</t>
  </si>
  <si>
    <t>PEAVINE FIRE</t>
  </si>
  <si>
    <t>NV</t>
  </si>
  <si>
    <t>BURDOIN FIRE</t>
  </si>
  <si>
    <t>MONROE CANYON FIRE</t>
  </si>
  <si>
    <t>UT</t>
  </si>
  <si>
    <t>HIGHLAND FIRE</t>
  </si>
  <si>
    <t>DEER CREEK FIRE</t>
  </si>
  <si>
    <t>TROPICAL DEPRESSION CHANTAL</t>
  </si>
  <si>
    <t>Tropical Depression</t>
  </si>
  <si>
    <t>NENANA RIDGE COMPLEX</t>
  </si>
  <si>
    <t>SEVERE STORMS, FLOODING, AND LANDSLIDES</t>
  </si>
  <si>
    <t xml:space="preserve">BEAR CREEK FIRE </t>
  </si>
  <si>
    <t>COTTON 2 FIRE</t>
  </si>
  <si>
    <t xml:space="preserve">HIMALAYA ROAD FIRE </t>
  </si>
  <si>
    <t>DESERT WILLOW FIRE COMPLEX</t>
  </si>
  <si>
    <t>SEVERE STORMS AND STRAIGHT-LINE WINDS</t>
  </si>
  <si>
    <t>MN</t>
  </si>
  <si>
    <t>CONNER FIRE</t>
  </si>
  <si>
    <t>SEVERE STORM, TORNADOES, AND STRAIGHT-LINE WINDS</t>
  </si>
  <si>
    <t>FORSYTH FIRE</t>
  </si>
  <si>
    <t xml:space="preserve">UPPER APPLEGATE ROAD FIRE </t>
  </si>
  <si>
    <t>ALDER SPRINGS FIRE</t>
  </si>
  <si>
    <t>TROUT FIRE</t>
  </si>
  <si>
    <t>SEVERE STORM AND FLOODING</t>
  </si>
  <si>
    <t xml:space="preserve">ROWENA FIRE </t>
  </si>
  <si>
    <t>MARIE FIRE</t>
  </si>
  <si>
    <t>CODY FIRE</t>
  </si>
  <si>
    <t>GREER FIRE</t>
  </si>
  <si>
    <t>MUNGER SHAW FIRE</t>
  </si>
  <si>
    <t xml:space="preserve">SUNSET DRIVE FIRE </t>
  </si>
  <si>
    <t>JONES ROAD FIRE</t>
  </si>
  <si>
    <t>NJ</t>
  </si>
  <si>
    <t>SAM DAVIS ROAD FIRE</t>
  </si>
  <si>
    <t>RIO GRANDE FIRE</t>
  </si>
  <si>
    <t>SEVERE STORMS, STRAIGHT-LINE WINDS, TORNADOES, FLOODING, LANDSLIDES, AND MUDSLIDES</t>
  </si>
  <si>
    <t>Severe Ice Storm</t>
  </si>
  <si>
    <t>TABLE ROCK FIRE</t>
  </si>
  <si>
    <t xml:space="preserve">ALARKA FIRE </t>
  </si>
  <si>
    <t>TABLE ROCK FIRE COMPLEX</t>
  </si>
  <si>
    <t xml:space="preserve">TABLE ROCK FIRE </t>
  </si>
  <si>
    <t>BLACK COVE FIRE COMPLEX</t>
  </si>
  <si>
    <t>PAULINE ROAD FIRE</t>
  </si>
  <si>
    <t>328 FIRE</t>
  </si>
  <si>
    <t>IA</t>
  </si>
  <si>
    <t>DOUBLE S FIRE</t>
  </si>
  <si>
    <t>CRABAPPLE FIRE</t>
  </si>
  <si>
    <t>NORGE FIRE</t>
  </si>
  <si>
    <t>BARN FIRE</t>
  </si>
  <si>
    <t>KEYSTONE FIRE</t>
  </si>
  <si>
    <t>UNDERWOOD FIRE</t>
  </si>
  <si>
    <t>CLEAR POND FIRE</t>
  </si>
  <si>
    <t>WILDHORSE FIRE</t>
  </si>
  <si>
    <t>EAST THUNDERBIRD FIRE</t>
  </si>
  <si>
    <t>LUTHER FIRE</t>
  </si>
  <si>
    <t>LOGAN FIRE</t>
  </si>
  <si>
    <t>LITTLE SALT CREEK FIRE</t>
  </si>
  <si>
    <t>CHANDLER FIRE</t>
  </si>
  <si>
    <t>STILLWATER FIRE</t>
  </si>
  <si>
    <t>840 ROAD FIRE</t>
  </si>
  <si>
    <t>YATES CENTER FIRE</t>
  </si>
  <si>
    <t>REST AREA FIRE</t>
  </si>
  <si>
    <t>SEVERE WINTER STORM, STRAIGHT-LINE WINDS, FLOODING, AND WILDFIRES</t>
  </si>
  <si>
    <t>SEVERE STORMS, STRAIGHT-LINE WINDS, TORNADOES, AND WILDFIRES</t>
  </si>
  <si>
    <t>WILDFIRES AND STRAIGHT-LINE WINDS</t>
  </si>
  <si>
    <t>SEVERE STORMS AND TORNADOES</t>
  </si>
  <si>
    <t>DUKE FIRE</t>
  </si>
  <si>
    <t>WELDER FIRE</t>
  </si>
  <si>
    <t>COVINGTON DRIVE FIRE</t>
  </si>
  <si>
    <t>SEVERE STORM, STRAIGHT-LINE WINDS, FLOODING, LANDSLIDES, AND MUDSLIDES</t>
  </si>
  <si>
    <t>SEVERE STORMS, STRAIGHT-LINE WINDS, FLOODING, AND LANDSLIDES</t>
  </si>
  <si>
    <t>SEVERE WINTER STORMS AND FLOODING</t>
  </si>
  <si>
    <t>HURST FIRE</t>
  </si>
  <si>
    <t>EATON FIRE</t>
  </si>
  <si>
    <t>PALISADES FIRE</t>
  </si>
  <si>
    <t>FRANKLIN FIRE</t>
  </si>
  <si>
    <t>CALLAHAN FIRE</t>
  </si>
  <si>
    <t>JENNINGS CREEK FIRE</t>
  </si>
  <si>
    <t>NY</t>
  </si>
  <si>
    <t>MOUNTAIN FIRE</t>
  </si>
  <si>
    <t>SEVERE STORMS, TORNADOES, STRAIGHT-LINE WINDS, AND FLOODING</t>
  </si>
  <si>
    <t>NORTH ROAD FIRE</t>
  </si>
  <si>
    <t>EUCHEE CREEK FIRE</t>
  </si>
  <si>
    <t xml:space="preserve">HAWTHORNE FIRE </t>
  </si>
  <si>
    <t>CT</t>
  </si>
  <si>
    <t xml:space="preserve">SEVERE STORM AND FLOODING </t>
  </si>
  <si>
    <t>ELK HORN FIRE</t>
  </si>
  <si>
    <t>BEAR DEN FIRE</t>
  </si>
  <si>
    <t>HURRICANE MILTON</t>
  </si>
  <si>
    <t xml:space="preserve">HURRICANE MILTON </t>
  </si>
  <si>
    <t>REMNANTS OF HURRICANE HELENE</t>
  </si>
  <si>
    <t>TROPICAL STORM HELENE</t>
  </si>
  <si>
    <t>POST-TROPICAL STORM HELENE</t>
  </si>
  <si>
    <t>HURRICANE HELENE</t>
  </si>
  <si>
    <t>POST-TROPICAL CYCLONE HELENE</t>
  </si>
  <si>
    <t>AL</t>
  </si>
  <si>
    <t>POTENTIAL TROPICAL CYCLONE EIGHT</t>
  </si>
  <si>
    <t>AIRPORT FIRE</t>
  </si>
  <si>
    <t>BRIDGE FIRE</t>
  </si>
  <si>
    <t>TROPICAL STORM FRANCINE</t>
  </si>
  <si>
    <t>HURRICANE FRANCINE</t>
  </si>
  <si>
    <t>BOYLES FIRE</t>
  </si>
  <si>
    <t>LINE FIRE</t>
  </si>
  <si>
    <t>DAVIS FIRE</t>
  </si>
  <si>
    <t>RAIL RIDGE FIRE</t>
  </si>
  <si>
    <t>COPPERFIELD FIRE</t>
  </si>
  <si>
    <t>LANDSLIDES</t>
  </si>
  <si>
    <t>Mud/Landslide</t>
  </si>
  <si>
    <t>HOUSE DRAW FIRE</t>
  </si>
  <si>
    <t>FLOODING</t>
  </si>
  <si>
    <t>VT</t>
  </si>
  <si>
    <t>SEVERE STORM, FLOODING, LANDSLIDES, AND MUDSLIDES</t>
  </si>
  <si>
    <t xml:space="preserve">TROPICAL STORM ERNESTO </t>
  </si>
  <si>
    <t>PR</t>
  </si>
  <si>
    <t>TROPICAL STORM ERNESTO</t>
  </si>
  <si>
    <t>VI</t>
  </si>
  <si>
    <t>GOLD RANCH FIRE</t>
  </si>
  <si>
    <t>TROPICAL STORM DEBBY</t>
  </si>
  <si>
    <t>PA</t>
  </si>
  <si>
    <t>LEE FALLS FIRE</t>
  </si>
  <si>
    <t>REMNANTS OF TROPICAL STORM DEBBY</t>
  </si>
  <si>
    <t>TROPICAL DEPRESSION DEBBY</t>
  </si>
  <si>
    <t>SEVERE STORM AND STRAIGHT-LINE WINDS</t>
  </si>
  <si>
    <t>ELK LANE FIRE</t>
  </si>
  <si>
    <t>HURRICANE DEBBY</t>
  </si>
  <si>
    <t>MILE MARKER 132 FIRE</t>
  </si>
  <si>
    <t>QUARRY FIRE</t>
  </si>
  <si>
    <t>ALEXANDER MOUNTAIN FIRE</t>
  </si>
  <si>
    <t>STONE MOUNTAIN FIRE</t>
  </si>
  <si>
    <t>PLEASANT VALLEY FIRE</t>
  </si>
  <si>
    <t>BOREL FIRE</t>
  </si>
  <si>
    <t>RETREAT FIRE</t>
  </si>
  <si>
    <t>GWEN FIRE</t>
  </si>
  <si>
    <t>PARK FIRE</t>
  </si>
  <si>
    <t>WEST WHITE SWAN FIRE</t>
  </si>
  <si>
    <t>DURKEE FIRE</t>
  </si>
  <si>
    <t>HAWARDEN FIRE</t>
  </si>
  <si>
    <t>BATTLE MOUNTAIN FIRE COMPLEX</t>
  </si>
  <si>
    <t>BONEYARD FIRE</t>
  </si>
  <si>
    <t>FALLS FIRE</t>
  </si>
  <si>
    <t xml:space="preserve">SWAWILLA FIRE </t>
  </si>
  <si>
    <t>LONE ROCK FIRE</t>
  </si>
  <si>
    <t>SPRING VALLEY FIRE</t>
  </si>
  <si>
    <t>TEXAS FIRE</t>
  </si>
  <si>
    <t>SEVERE STORM, STRAIGHT-LINE WINDS, AND FLOODING</t>
  </si>
  <si>
    <t>SEVERE STORMS, TORNADOES, STRAIGHT-LINE WINDS, AND FLOODNG</t>
  </si>
  <si>
    <t>IL</t>
  </si>
  <si>
    <t>WATCH FIRE</t>
  </si>
  <si>
    <t>LARCH CREEK FIRE</t>
  </si>
  <si>
    <t>SEVERE STORM, TORNADOES, AND FLOODING</t>
  </si>
  <si>
    <t>NH</t>
  </si>
  <si>
    <t>HORSE GULCH FIRE</t>
  </si>
  <si>
    <t>SHAKE FIRE</t>
  </si>
  <si>
    <t>SILVER KING FIRE</t>
  </si>
  <si>
    <t xml:space="preserve">HURRICANE BERYL </t>
  </si>
  <si>
    <t>FRENCH FIRE</t>
  </si>
  <si>
    <t>THOMPSON FIRE</t>
  </si>
  <si>
    <t>BOULDER VIEW FIRE</t>
  </si>
  <si>
    <t>DARLENE 3 FIRE</t>
  </si>
  <si>
    <t>SLIDE RANCH FIRE</t>
  </si>
  <si>
    <t>SALT FIRE</t>
  </si>
  <si>
    <t>SOUTH FORK FIRE</t>
  </si>
  <si>
    <t>SOUTH FORK FIRE, SALT FIRE, AND FLOODING</t>
  </si>
  <si>
    <t>SEVERE STORMS, FLOODING, STRAIGHT-LINE WINDS, AND TORNADOES</t>
  </si>
  <si>
    <t>ROSE FIRE</t>
  </si>
  <si>
    <t>SULLIVAN FIRE</t>
  </si>
  <si>
    <t>TRAIL FIRE</t>
  </si>
  <si>
    <t>SIMMONS FIRE</t>
  </si>
  <si>
    <t>SEVERE STORMS, STRAIGHT-LINE WINDS, TORNADOES, LANDSLIDES, AND MUDSLIDES</t>
  </si>
  <si>
    <t>SEVERE STORM, STRAIGHT-LINE WINDS, TORNADOES, AND FLOODING</t>
  </si>
  <si>
    <t xml:space="preserve">BLUE 2 FIRE </t>
  </si>
  <si>
    <t>SEVERE WINTER STORM AND FLOODING</t>
  </si>
  <si>
    <t>Tornado</t>
  </si>
  <si>
    <t>57 FIRE</t>
  </si>
  <si>
    <t>ME</t>
  </si>
  <si>
    <t>SEVERE STORMS</t>
  </si>
  <si>
    <t>TORNADOES</t>
  </si>
  <si>
    <t>OH</t>
  </si>
  <si>
    <t>HAPPY JACK FIRE</t>
  </si>
  <si>
    <t>CATESBY FIRE</t>
  </si>
  <si>
    <t>SMOKEHOUSE CREEK FIRE</t>
  </si>
  <si>
    <t>WINDY DEUCE FIRE</t>
  </si>
  <si>
    <t>SEVERE WINTER STORMS, TORNADOES, FLOODING, LANDSLIDES, AND MUDSLIDES</t>
  </si>
  <si>
    <t>SEVERE WINTER STORMS, STRAIGHT-LINE WINDS, LANDSLIDES, AND MUDSLIDES</t>
  </si>
  <si>
    <t>SEVERE STORMS, FLOODING, AND A POTENTIAL DAM BREACH</t>
  </si>
  <si>
    <t>RI</t>
  </si>
  <si>
    <t>SEVERE WINTER STORMS, STRAIGHT-LINE WINDS, FLOODING, LANDSLIDES, AND MUDSLIDES</t>
  </si>
  <si>
    <t>SEP_End_Est</t>
  </si>
  <si>
    <t>Designated_Areas</t>
  </si>
  <si>
    <t>IA_Declared</t>
  </si>
  <si>
    <t>Declaration_Date</t>
  </si>
  <si>
    <t>Incident_End</t>
  </si>
  <si>
    <t>Incident_Begin</t>
  </si>
  <si>
    <t>Title</t>
  </si>
  <si>
    <t>Incident_Type</t>
  </si>
  <si>
    <t>Decl_Type</t>
  </si>
  <si>
    <t>State</t>
  </si>
  <si>
    <t>Disaster_Num</t>
  </si>
  <si>
    <t xml:space="preserve">https://www.cms.gov/newsroom/fact-sheets/2026-medicare-advantage-part-d-rate-announcement </t>
  </si>
  <si>
    <t>Severe Storm begin: [WA]</t>
  </si>
  <si>
    <t>Severe Storm End: [WA]</t>
  </si>
  <si>
    <t>SEP open: [WA]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</si>
</sst>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charset val="1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0" fillId="3" borderId="0" xfId="0" applyFill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7" fillId="0" borderId="0" xfId="0" quotePrefix="1" applyFont="1" applyAlignment="1">
      <alignment vertical="top" wrapText="1"/>
    </xf>
    <xf numFmtId="0" fontId="9" fillId="4" borderId="0" xfId="0" applyFont="1" applyFill="1" applyAlignment="1">
      <alignment horizontal="center"/>
    </xf>
    <xf numFmtId="0" fontId="7" fillId="0" borderId="0" xfId="0" applyFont="1"/>
    <xf numFmtId="164" fontId="7" fillId="0" borderId="0" xfId="0" applyNumberFormat="1" applyFont="1"/>
    <xf numFmtId="0" fontId="9" fillId="2" borderId="0" xfId="0" applyFont="1" applyFill="1" applyAlignment="1">
      <alignment horizontal="center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3" borderId="0" xfId="0" applyFont="1" applyFill="1"/>
    <xf numFmtId="0" fontId="8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ms.gov/newsroom/fact-sheets/2026-medicare-advantage-part-d-rate-announc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3"/>
  <sheetViews>
    <sheetView tabSelected="1" zoomScaleNormal="100" workbookViewId="0">
      <pane ySplit="1" topLeftCell="A2" activePane="bottomLeft" state="frozen"/>
      <selection pane="bottomLeft" activeCell="G31" sqref="G31"/>
    </sheetView>
  </sheetViews>
  <sheetFormatPr defaultColWidth="8.6328125" defaultRowHeight="14.5" x14ac:dyDescent="0.35"/>
  <cols>
    <col min="1" max="1" width="12" customWidth="1"/>
    <col min="2" max="3" width="7" customWidth="1"/>
    <col min="4" max="4" width="9" customWidth="1"/>
    <col min="5" max="5" width="6" customWidth="1"/>
    <col min="6" max="6" width="8" customWidth="1"/>
    <col min="7" max="7" width="30" customWidth="1"/>
    <col min="8" max="8" width="10" customWidth="1"/>
    <col min="9" max="9" width="70" customWidth="1"/>
  </cols>
  <sheetData>
    <row r="1" spans="1:9" ht="15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83</v>
      </c>
      <c r="G1" s="13" t="s">
        <v>5</v>
      </c>
      <c r="H1" s="13" t="s">
        <v>6</v>
      </c>
      <c r="I1" s="13" t="s">
        <v>7</v>
      </c>
    </row>
    <row r="2" spans="1:9" ht="15" customHeight="1" x14ac:dyDescent="0.35">
      <c r="A2" s="12">
        <v>45292</v>
      </c>
      <c r="B2" s="11">
        <f t="shared" ref="B2:B65" si="0">YEAR($A2)</f>
        <v>2024</v>
      </c>
      <c r="C2" s="11">
        <f t="shared" ref="C2:C65" si="1">MONTH($A2)</f>
        <v>1</v>
      </c>
      <c r="D2" s="11" t="str">
        <f t="shared" ref="D2:D65" si="2">TEXT($A2,"ddd")</f>
        <v>Mon</v>
      </c>
      <c r="E2" s="11">
        <f t="shared" ref="E2:E65" si="3">IF(OR(AND(MONTH($A2)=10,DAY($A2)&gt;=15),MONTH($A2)=11,AND(MONTH($A2)=12,DAY($A2)&lt;=7)),1,0)</f>
        <v>0</v>
      </c>
      <c r="F2" s="11">
        <f t="shared" ref="F2:F65" si="4">IF(MONTH($A2)&lt;=3,1,0)</f>
        <v>1</v>
      </c>
      <c r="G2" s="16"/>
      <c r="H2" s="11">
        <f>COUNTIF(Events!$A$2:$A$391,$A2)</f>
        <v>1</v>
      </c>
      <c r="I2" s="11" t="str">
        <f>IFERROR(INDEX(Events!$E$2:$E$391,MATCH($A2,Events!$A$2:$A$391,0)),"")</f>
        <v>IRA phase-in: 5% coinsurance in Part D catastrophic phase eliminated; full Low-Income Subsidy (Extra Help) expanded to 150% FPL</v>
      </c>
    </row>
    <row r="3" spans="1:9" ht="15" customHeight="1" x14ac:dyDescent="0.35">
      <c r="A3" s="12">
        <v>45293</v>
      </c>
      <c r="B3" s="11">
        <f t="shared" si="0"/>
        <v>2024</v>
      </c>
      <c r="C3" s="11">
        <f t="shared" si="1"/>
        <v>1</v>
      </c>
      <c r="D3" s="11" t="str">
        <f t="shared" si="2"/>
        <v>Tue</v>
      </c>
      <c r="E3" s="11">
        <f t="shared" si="3"/>
        <v>0</v>
      </c>
      <c r="F3" s="11">
        <f t="shared" si="4"/>
        <v>1</v>
      </c>
      <c r="G3" s="16"/>
      <c r="H3" s="11">
        <f>COUNTIF(Events!$A$2:$A$391,$A3)</f>
        <v>0</v>
      </c>
      <c r="I3" s="11" t="str">
        <f>IFERROR(INDEX(Events!$E$2:$E$391,MATCH($A3,Events!$A$2:$A$391,0)),"")</f>
        <v/>
      </c>
    </row>
    <row r="4" spans="1:9" ht="15" customHeight="1" x14ac:dyDescent="0.35">
      <c r="A4" s="12">
        <v>45294</v>
      </c>
      <c r="B4" s="11">
        <f t="shared" si="0"/>
        <v>2024</v>
      </c>
      <c r="C4" s="11">
        <f t="shared" si="1"/>
        <v>1</v>
      </c>
      <c r="D4" s="11" t="str">
        <f t="shared" si="2"/>
        <v>Wed</v>
      </c>
      <c r="E4" s="11">
        <f t="shared" si="3"/>
        <v>0</v>
      </c>
      <c r="F4" s="11">
        <f t="shared" si="4"/>
        <v>1</v>
      </c>
      <c r="G4" s="16"/>
      <c r="H4" s="11">
        <f>COUNTIF(Events!$A$2:$A$391,$A4)</f>
        <v>0</v>
      </c>
      <c r="I4" s="11" t="str">
        <f>IFERROR(INDEX(Events!$E$2:$E$391,MATCH($A4,Events!$A$2:$A$391,0)),"")</f>
        <v/>
      </c>
    </row>
    <row r="5" spans="1:9" ht="15" customHeight="1" x14ac:dyDescent="0.35">
      <c r="A5" s="12">
        <v>45295</v>
      </c>
      <c r="B5" s="11">
        <f t="shared" si="0"/>
        <v>2024</v>
      </c>
      <c r="C5" s="11">
        <f t="shared" si="1"/>
        <v>1</v>
      </c>
      <c r="D5" s="11" t="str">
        <f t="shared" si="2"/>
        <v>Thu</v>
      </c>
      <c r="E5" s="11">
        <f t="shared" si="3"/>
        <v>0</v>
      </c>
      <c r="F5" s="11">
        <f t="shared" si="4"/>
        <v>1</v>
      </c>
      <c r="G5" s="16"/>
      <c r="H5" s="11">
        <f>COUNTIF(Events!$A$2:$A$391,$A5)</f>
        <v>0</v>
      </c>
      <c r="I5" s="11" t="str">
        <f>IFERROR(INDEX(Events!$E$2:$E$391,MATCH($A5,Events!$A$2:$A$391,0)),"")</f>
        <v/>
      </c>
    </row>
    <row r="6" spans="1:9" ht="15" customHeight="1" x14ac:dyDescent="0.35">
      <c r="A6" s="12">
        <v>45296</v>
      </c>
      <c r="B6" s="11">
        <f t="shared" si="0"/>
        <v>2024</v>
      </c>
      <c r="C6" s="11">
        <f t="shared" si="1"/>
        <v>1</v>
      </c>
      <c r="D6" s="11" t="str">
        <f t="shared" si="2"/>
        <v>Fri</v>
      </c>
      <c r="E6" s="11">
        <f t="shared" si="3"/>
        <v>0</v>
      </c>
      <c r="F6" s="11">
        <f t="shared" si="4"/>
        <v>1</v>
      </c>
      <c r="G6" s="16" t="s">
        <v>387</v>
      </c>
      <c r="H6" s="11">
        <f>COUNTIF(Events!$A$2:$A$391,$A6)</f>
        <v>0</v>
      </c>
      <c r="I6" s="11" t="str">
        <f>IFERROR(INDEX(Events!$E$2:$E$391,MATCH($A6,Events!$A$2:$A$391,0)),"")</f>
        <v/>
      </c>
    </row>
    <row r="7" spans="1:9" ht="15" customHeight="1" x14ac:dyDescent="0.35">
      <c r="A7" s="12">
        <v>45297</v>
      </c>
      <c r="B7" s="11">
        <f t="shared" si="0"/>
        <v>2024</v>
      </c>
      <c r="C7" s="11">
        <f t="shared" si="1"/>
        <v>1</v>
      </c>
      <c r="D7" s="11" t="str">
        <f t="shared" si="2"/>
        <v>Sat</v>
      </c>
      <c r="E7" s="11">
        <f t="shared" si="3"/>
        <v>0</v>
      </c>
      <c r="F7" s="11">
        <f t="shared" si="4"/>
        <v>1</v>
      </c>
      <c r="G7" s="16"/>
      <c r="H7" s="11">
        <f>COUNTIF(Events!$A$2:$A$391,$A7)</f>
        <v>0</v>
      </c>
      <c r="I7" s="11" t="str">
        <f>IFERROR(INDEX(Events!$E$2:$E$391,MATCH($A7,Events!$A$2:$A$391,0)),"")</f>
        <v/>
      </c>
    </row>
    <row r="8" spans="1:9" ht="15" customHeight="1" x14ac:dyDescent="0.35">
      <c r="A8" s="12">
        <v>45298</v>
      </c>
      <c r="B8" s="11">
        <f t="shared" si="0"/>
        <v>2024</v>
      </c>
      <c r="C8" s="11">
        <f t="shared" si="1"/>
        <v>1</v>
      </c>
      <c r="D8" s="11" t="str">
        <f t="shared" si="2"/>
        <v>Sun</v>
      </c>
      <c r="E8" s="11">
        <f t="shared" si="3"/>
        <v>0</v>
      </c>
      <c r="F8" s="11">
        <f t="shared" si="4"/>
        <v>1</v>
      </c>
      <c r="G8" s="16"/>
      <c r="H8" s="11">
        <f>COUNTIF(Events!$A$2:$A$391,$A8)</f>
        <v>0</v>
      </c>
      <c r="I8" s="11" t="str">
        <f>IFERROR(INDEX(Events!$E$2:$E$391,MATCH($A8,Events!$A$2:$A$391,0)),"")</f>
        <v/>
      </c>
    </row>
    <row r="9" spans="1:9" ht="15" customHeight="1" x14ac:dyDescent="0.35">
      <c r="A9" s="12">
        <v>45299</v>
      </c>
      <c r="B9" s="11">
        <f t="shared" si="0"/>
        <v>2024</v>
      </c>
      <c r="C9" s="11">
        <f t="shared" si="1"/>
        <v>1</v>
      </c>
      <c r="D9" s="11" t="str">
        <f t="shared" si="2"/>
        <v>Mon</v>
      </c>
      <c r="E9" s="11">
        <f t="shared" si="3"/>
        <v>0</v>
      </c>
      <c r="F9" s="11">
        <f t="shared" si="4"/>
        <v>1</v>
      </c>
      <c r="G9" s="16"/>
      <c r="H9" s="11">
        <f>COUNTIF(Events!$A$2:$A$391,$A9)</f>
        <v>0</v>
      </c>
      <c r="I9" s="11" t="str">
        <f>IFERROR(INDEX(Events!$E$2:$E$391,MATCH($A9,Events!$A$2:$A$391,0)),"")</f>
        <v/>
      </c>
    </row>
    <row r="10" spans="1:9" ht="15" customHeight="1" x14ac:dyDescent="0.35">
      <c r="A10" s="12">
        <v>45300</v>
      </c>
      <c r="B10" s="11">
        <f t="shared" si="0"/>
        <v>2024</v>
      </c>
      <c r="C10" s="11">
        <f t="shared" si="1"/>
        <v>1</v>
      </c>
      <c r="D10" s="11" t="str">
        <f t="shared" si="2"/>
        <v>Tue</v>
      </c>
      <c r="E10" s="11">
        <f t="shared" si="3"/>
        <v>0</v>
      </c>
      <c r="F10" s="11">
        <f t="shared" si="4"/>
        <v>1</v>
      </c>
      <c r="G10" s="16"/>
      <c r="H10" s="11">
        <f>COUNTIF(Events!$A$2:$A$391,$A10)</f>
        <v>0</v>
      </c>
      <c r="I10" s="11" t="str">
        <f>IFERROR(INDEX(Events!$E$2:$E$391,MATCH($A10,Events!$A$2:$A$391,0)),"")</f>
        <v/>
      </c>
    </row>
    <row r="11" spans="1:9" ht="15" customHeight="1" x14ac:dyDescent="0.35">
      <c r="A11" s="12">
        <v>45301</v>
      </c>
      <c r="B11" s="11">
        <f t="shared" si="0"/>
        <v>2024</v>
      </c>
      <c r="C11" s="11">
        <f t="shared" si="1"/>
        <v>1</v>
      </c>
      <c r="D11" s="11" t="str">
        <f t="shared" si="2"/>
        <v>Wed</v>
      </c>
      <c r="E11" s="11">
        <f t="shared" si="3"/>
        <v>0</v>
      </c>
      <c r="F11" s="11">
        <f t="shared" si="4"/>
        <v>1</v>
      </c>
      <c r="G11" s="16"/>
      <c r="H11" s="11">
        <f>COUNTIF(Events!$A$2:$A$391,$A11)</f>
        <v>0</v>
      </c>
      <c r="I11" s="11" t="str">
        <f>IFERROR(INDEX(Events!$E$2:$E$391,MATCH($A11,Events!$A$2:$A$391,0)),"")</f>
        <v/>
      </c>
    </row>
    <row r="12" spans="1:9" ht="15" customHeight="1" x14ac:dyDescent="0.35">
      <c r="A12" s="12">
        <v>45302</v>
      </c>
      <c r="B12" s="11">
        <f t="shared" si="0"/>
        <v>2024</v>
      </c>
      <c r="C12" s="11">
        <f t="shared" si="1"/>
        <v>1</v>
      </c>
      <c r="D12" s="11" t="str">
        <f t="shared" si="2"/>
        <v>Thu</v>
      </c>
      <c r="E12" s="11">
        <f t="shared" si="3"/>
        <v>0</v>
      </c>
      <c r="F12" s="11">
        <f t="shared" si="4"/>
        <v>1</v>
      </c>
      <c r="G12" s="16"/>
      <c r="H12" s="11">
        <f>COUNTIF(Events!$A$2:$A$391,$A12)</f>
        <v>0</v>
      </c>
      <c r="I12" s="11" t="str">
        <f>IFERROR(INDEX(Events!$E$2:$E$391,MATCH($A12,Events!$A$2:$A$391,0)),"")</f>
        <v/>
      </c>
    </row>
    <row r="13" spans="1:9" ht="15" customHeight="1" x14ac:dyDescent="0.35">
      <c r="A13" s="12">
        <v>45303</v>
      </c>
      <c r="B13" s="11">
        <f t="shared" si="0"/>
        <v>2024</v>
      </c>
      <c r="C13" s="11">
        <f t="shared" si="1"/>
        <v>1</v>
      </c>
      <c r="D13" s="11" t="str">
        <f t="shared" si="2"/>
        <v>Fri</v>
      </c>
      <c r="E13" s="11">
        <f t="shared" si="3"/>
        <v>0</v>
      </c>
      <c r="F13" s="11">
        <f t="shared" si="4"/>
        <v>1</v>
      </c>
      <c r="G13" s="16"/>
      <c r="H13" s="11">
        <f>COUNTIF(Events!$A$2:$A$391,$A13)</f>
        <v>0</v>
      </c>
      <c r="I13" s="11" t="str">
        <f>IFERROR(INDEX(Events!$E$2:$E$391,MATCH($A13,Events!$A$2:$A$391,0)),"")</f>
        <v/>
      </c>
    </row>
    <row r="14" spans="1:9" ht="15" customHeight="1" x14ac:dyDescent="0.35">
      <c r="A14" s="12">
        <v>45304</v>
      </c>
      <c r="B14" s="11">
        <f t="shared" si="0"/>
        <v>2024</v>
      </c>
      <c r="C14" s="11">
        <f t="shared" si="1"/>
        <v>1</v>
      </c>
      <c r="D14" s="11" t="str">
        <f t="shared" si="2"/>
        <v>Sat</v>
      </c>
      <c r="E14" s="11">
        <f t="shared" si="3"/>
        <v>0</v>
      </c>
      <c r="F14" s="11">
        <f t="shared" si="4"/>
        <v>1</v>
      </c>
      <c r="G14" s="16"/>
      <c r="H14" s="11">
        <f>COUNTIF(Events!$A$2:$A$391,$A14)</f>
        <v>0</v>
      </c>
      <c r="I14" s="11" t="str">
        <f>IFERROR(INDEX(Events!$E$2:$E$391,MATCH($A14,Events!$A$2:$A$391,0)),"")</f>
        <v/>
      </c>
    </row>
    <row r="15" spans="1:9" ht="15" customHeight="1" x14ac:dyDescent="0.35">
      <c r="A15" s="12">
        <v>45305</v>
      </c>
      <c r="B15" s="11">
        <f t="shared" si="0"/>
        <v>2024</v>
      </c>
      <c r="C15" s="11">
        <f t="shared" si="1"/>
        <v>1</v>
      </c>
      <c r="D15" s="11" t="str">
        <f t="shared" si="2"/>
        <v>Sun</v>
      </c>
      <c r="E15" s="11">
        <f t="shared" si="3"/>
        <v>0</v>
      </c>
      <c r="F15" s="11">
        <f t="shared" si="4"/>
        <v>1</v>
      </c>
      <c r="G15" s="16"/>
      <c r="H15" s="11">
        <f>COUNTIF(Events!$A$2:$A$391,$A15)</f>
        <v>0</v>
      </c>
      <c r="I15" s="11" t="str">
        <f>IFERROR(INDEX(Events!$E$2:$E$391,MATCH($A15,Events!$A$2:$A$391,0)),"")</f>
        <v/>
      </c>
    </row>
    <row r="16" spans="1:9" ht="15" customHeight="1" x14ac:dyDescent="0.35">
      <c r="A16" s="12">
        <v>45306</v>
      </c>
      <c r="B16" s="11">
        <f t="shared" si="0"/>
        <v>2024</v>
      </c>
      <c r="C16" s="11">
        <f t="shared" si="1"/>
        <v>1</v>
      </c>
      <c r="D16" s="11" t="str">
        <f t="shared" si="2"/>
        <v>Mon</v>
      </c>
      <c r="E16" s="11">
        <f t="shared" si="3"/>
        <v>0</v>
      </c>
      <c r="F16" s="11">
        <f t="shared" si="4"/>
        <v>1</v>
      </c>
      <c r="G16" s="16"/>
      <c r="H16" s="11">
        <f>COUNTIF(Events!$A$2:$A$391,$A16)</f>
        <v>0</v>
      </c>
      <c r="I16" s="11" t="str">
        <f>IFERROR(INDEX(Events!$E$2:$E$391,MATCH($A16,Events!$A$2:$A$391,0)),"")</f>
        <v/>
      </c>
    </row>
    <row r="17" spans="1:9" ht="15" customHeight="1" x14ac:dyDescent="0.35">
      <c r="A17" s="12">
        <v>45307</v>
      </c>
      <c r="B17" s="11">
        <f t="shared" si="0"/>
        <v>2024</v>
      </c>
      <c r="C17" s="11">
        <f t="shared" si="1"/>
        <v>1</v>
      </c>
      <c r="D17" s="11" t="str">
        <f t="shared" si="2"/>
        <v>Tue</v>
      </c>
      <c r="E17" s="11">
        <f t="shared" si="3"/>
        <v>0</v>
      </c>
      <c r="F17" s="11">
        <f t="shared" si="4"/>
        <v>1</v>
      </c>
      <c r="G17" s="16"/>
      <c r="H17" s="11">
        <f>COUNTIF(Events!$A$2:$A$391,$A17)</f>
        <v>0</v>
      </c>
      <c r="I17" s="11" t="str">
        <f>IFERROR(INDEX(Events!$E$2:$E$391,MATCH($A17,Events!$A$2:$A$391,0)),"")</f>
        <v/>
      </c>
    </row>
    <row r="18" spans="1:9" ht="15" customHeight="1" x14ac:dyDescent="0.35">
      <c r="A18" s="12">
        <v>45308</v>
      </c>
      <c r="B18" s="11">
        <f t="shared" si="0"/>
        <v>2024</v>
      </c>
      <c r="C18" s="11">
        <f t="shared" si="1"/>
        <v>1</v>
      </c>
      <c r="D18" s="11" t="str">
        <f t="shared" si="2"/>
        <v>Wed</v>
      </c>
      <c r="E18" s="11">
        <f t="shared" si="3"/>
        <v>0</v>
      </c>
      <c r="F18" s="11">
        <f t="shared" si="4"/>
        <v>1</v>
      </c>
      <c r="G18" s="16"/>
      <c r="H18" s="11">
        <f>COUNTIF(Events!$A$2:$A$391,$A18)</f>
        <v>0</v>
      </c>
      <c r="I18" s="11" t="str">
        <f>IFERROR(INDEX(Events!$E$2:$E$391,MATCH($A18,Events!$A$2:$A$391,0)),"")</f>
        <v/>
      </c>
    </row>
    <row r="19" spans="1:9" ht="15" customHeight="1" x14ac:dyDescent="0.35">
      <c r="A19" s="12">
        <v>45309</v>
      </c>
      <c r="B19" s="11">
        <f t="shared" si="0"/>
        <v>2024</v>
      </c>
      <c r="C19" s="11">
        <f t="shared" si="1"/>
        <v>1</v>
      </c>
      <c r="D19" s="11" t="str">
        <f t="shared" si="2"/>
        <v>Thu</v>
      </c>
      <c r="E19" s="11">
        <f t="shared" si="3"/>
        <v>0</v>
      </c>
      <c r="F19" s="11">
        <f t="shared" si="4"/>
        <v>1</v>
      </c>
      <c r="G19" s="16"/>
      <c r="H19" s="11">
        <f>COUNTIF(Events!$A$2:$A$391,$A19)</f>
        <v>0</v>
      </c>
      <c r="I19" s="11" t="str">
        <f>IFERROR(INDEX(Events!$E$2:$E$391,MATCH($A19,Events!$A$2:$A$391,0)),"")</f>
        <v/>
      </c>
    </row>
    <row r="20" spans="1:9" ht="15" customHeight="1" x14ac:dyDescent="0.35">
      <c r="A20" s="12">
        <v>45310</v>
      </c>
      <c r="B20" s="11">
        <f t="shared" si="0"/>
        <v>2024</v>
      </c>
      <c r="C20" s="11">
        <f t="shared" si="1"/>
        <v>1</v>
      </c>
      <c r="D20" s="11" t="str">
        <f t="shared" si="2"/>
        <v>Fri</v>
      </c>
      <c r="E20" s="11">
        <f t="shared" si="3"/>
        <v>0</v>
      </c>
      <c r="F20" s="11">
        <f t="shared" si="4"/>
        <v>1</v>
      </c>
      <c r="G20" s="16"/>
      <c r="H20" s="11">
        <f>COUNTIF(Events!$A$2:$A$391,$A20)</f>
        <v>0</v>
      </c>
      <c r="I20" s="11" t="str">
        <f>IFERROR(INDEX(Events!$E$2:$E$391,MATCH($A20,Events!$A$2:$A$391,0)),"")</f>
        <v/>
      </c>
    </row>
    <row r="21" spans="1:9" ht="15" customHeight="1" x14ac:dyDescent="0.35">
      <c r="A21" s="12">
        <v>45311</v>
      </c>
      <c r="B21" s="11">
        <f t="shared" si="0"/>
        <v>2024</v>
      </c>
      <c r="C21" s="11">
        <f t="shared" si="1"/>
        <v>1</v>
      </c>
      <c r="D21" s="11" t="str">
        <f t="shared" si="2"/>
        <v>Sat</v>
      </c>
      <c r="E21" s="11">
        <f t="shared" si="3"/>
        <v>0</v>
      </c>
      <c r="F21" s="11">
        <f t="shared" si="4"/>
        <v>1</v>
      </c>
      <c r="G21" s="16"/>
      <c r="H21" s="11">
        <f>COUNTIF(Events!$A$2:$A$391,$A21)</f>
        <v>0</v>
      </c>
      <c r="I21" s="11" t="str">
        <f>IFERROR(INDEX(Events!$E$2:$E$391,MATCH($A21,Events!$A$2:$A$391,0)),"")</f>
        <v/>
      </c>
    </row>
    <row r="22" spans="1:9" ht="15" customHeight="1" x14ac:dyDescent="0.35">
      <c r="A22" s="12">
        <v>45312</v>
      </c>
      <c r="B22" s="11">
        <f t="shared" si="0"/>
        <v>2024</v>
      </c>
      <c r="C22" s="11">
        <f t="shared" si="1"/>
        <v>1</v>
      </c>
      <c r="D22" s="11" t="str">
        <f t="shared" si="2"/>
        <v>Sun</v>
      </c>
      <c r="E22" s="11">
        <f t="shared" si="3"/>
        <v>0</v>
      </c>
      <c r="F22" s="11">
        <f t="shared" si="4"/>
        <v>1</v>
      </c>
      <c r="G22" s="16"/>
      <c r="H22" s="11">
        <f>COUNTIF(Events!$A$2:$A$391,$A22)</f>
        <v>0</v>
      </c>
      <c r="I22" s="11" t="str">
        <f>IFERROR(INDEX(Events!$E$2:$E$391,MATCH($A22,Events!$A$2:$A$391,0)),"")</f>
        <v/>
      </c>
    </row>
    <row r="23" spans="1:9" ht="15" customHeight="1" x14ac:dyDescent="0.35">
      <c r="A23" s="12">
        <v>45313</v>
      </c>
      <c r="B23" s="11">
        <f t="shared" si="0"/>
        <v>2024</v>
      </c>
      <c r="C23" s="11">
        <f t="shared" si="1"/>
        <v>1</v>
      </c>
      <c r="D23" s="11" t="str">
        <f t="shared" si="2"/>
        <v>Mon</v>
      </c>
      <c r="E23" s="11">
        <f t="shared" si="3"/>
        <v>0</v>
      </c>
      <c r="F23" s="11">
        <f t="shared" si="4"/>
        <v>1</v>
      </c>
      <c r="G23" s="16"/>
      <c r="H23" s="11">
        <f>COUNTIF(Events!$A$2:$A$391,$A23)</f>
        <v>0</v>
      </c>
      <c r="I23" s="11" t="str">
        <f>IFERROR(INDEX(Events!$E$2:$E$391,MATCH($A23,Events!$A$2:$A$391,0)),"")</f>
        <v/>
      </c>
    </row>
    <row r="24" spans="1:9" ht="15" customHeight="1" x14ac:dyDescent="0.35">
      <c r="A24" s="12">
        <v>45314</v>
      </c>
      <c r="B24" s="11">
        <f t="shared" si="0"/>
        <v>2024</v>
      </c>
      <c r="C24" s="11">
        <f t="shared" si="1"/>
        <v>1</v>
      </c>
      <c r="D24" s="11" t="str">
        <f t="shared" si="2"/>
        <v>Tue</v>
      </c>
      <c r="E24" s="11">
        <f t="shared" si="3"/>
        <v>0</v>
      </c>
      <c r="F24" s="11">
        <f t="shared" si="4"/>
        <v>1</v>
      </c>
      <c r="G24" s="16"/>
      <c r="H24" s="11">
        <f>COUNTIF(Events!$A$2:$A$391,$A24)</f>
        <v>0</v>
      </c>
      <c r="I24" s="11" t="str">
        <f>IFERROR(INDEX(Events!$E$2:$E$391,MATCH($A24,Events!$A$2:$A$391,0)),"")</f>
        <v/>
      </c>
    </row>
    <row r="25" spans="1:9" ht="15" customHeight="1" x14ac:dyDescent="0.35">
      <c r="A25" s="12">
        <v>45315</v>
      </c>
      <c r="B25" s="11">
        <f t="shared" si="0"/>
        <v>2024</v>
      </c>
      <c r="C25" s="11">
        <f t="shared" si="1"/>
        <v>1</v>
      </c>
      <c r="D25" s="11" t="str">
        <f t="shared" si="2"/>
        <v>Wed</v>
      </c>
      <c r="E25" s="11">
        <f t="shared" si="3"/>
        <v>0</v>
      </c>
      <c r="F25" s="11">
        <f t="shared" si="4"/>
        <v>1</v>
      </c>
      <c r="G25" s="16"/>
      <c r="H25" s="11">
        <f>COUNTIF(Events!$A$2:$A$391,$A25)</f>
        <v>0</v>
      </c>
      <c r="I25" s="11" t="str">
        <f>IFERROR(INDEX(Events!$E$2:$E$391,MATCH($A25,Events!$A$2:$A$391,0)),"")</f>
        <v/>
      </c>
    </row>
    <row r="26" spans="1:9" ht="15" customHeight="1" x14ac:dyDescent="0.35">
      <c r="A26" s="12">
        <v>45316</v>
      </c>
      <c r="B26" s="11">
        <f t="shared" si="0"/>
        <v>2024</v>
      </c>
      <c r="C26" s="11">
        <f t="shared" si="1"/>
        <v>1</v>
      </c>
      <c r="D26" s="11" t="str">
        <f t="shared" si="2"/>
        <v>Thu</v>
      </c>
      <c r="E26" s="11">
        <f t="shared" si="3"/>
        <v>0</v>
      </c>
      <c r="F26" s="11">
        <f t="shared" si="4"/>
        <v>1</v>
      </c>
      <c r="G26" s="16"/>
      <c r="H26" s="11">
        <f>COUNTIF(Events!$A$2:$A$391,$A26)</f>
        <v>0</v>
      </c>
      <c r="I26" s="11" t="str">
        <f>IFERROR(INDEX(Events!$E$2:$E$391,MATCH($A26,Events!$A$2:$A$391,0)),"")</f>
        <v/>
      </c>
    </row>
    <row r="27" spans="1:9" ht="15" customHeight="1" x14ac:dyDescent="0.35">
      <c r="A27" s="12">
        <v>45317</v>
      </c>
      <c r="B27" s="11">
        <f t="shared" si="0"/>
        <v>2024</v>
      </c>
      <c r="C27" s="11">
        <f t="shared" si="1"/>
        <v>1</v>
      </c>
      <c r="D27" s="11" t="str">
        <f t="shared" si="2"/>
        <v>Fri</v>
      </c>
      <c r="E27" s="11">
        <f t="shared" si="3"/>
        <v>0</v>
      </c>
      <c r="F27" s="11">
        <f t="shared" si="4"/>
        <v>1</v>
      </c>
      <c r="G27" s="16"/>
      <c r="H27" s="11">
        <f>COUNTIF(Events!$A$2:$A$391,$A27)</f>
        <v>0</v>
      </c>
      <c r="I27" s="11" t="str">
        <f>IFERROR(INDEX(Events!$E$2:$E$391,MATCH($A27,Events!$A$2:$A$391,0)),"")</f>
        <v/>
      </c>
    </row>
    <row r="28" spans="1:9" ht="15" customHeight="1" x14ac:dyDescent="0.35">
      <c r="A28" s="12">
        <v>45318</v>
      </c>
      <c r="B28" s="11">
        <f t="shared" si="0"/>
        <v>2024</v>
      </c>
      <c r="C28" s="11">
        <f t="shared" si="1"/>
        <v>1</v>
      </c>
      <c r="D28" s="11" t="str">
        <f t="shared" si="2"/>
        <v>Sat</v>
      </c>
      <c r="E28" s="11">
        <f t="shared" si="3"/>
        <v>0</v>
      </c>
      <c r="F28" s="11">
        <f t="shared" si="4"/>
        <v>1</v>
      </c>
      <c r="G28" s="16"/>
      <c r="H28" s="11">
        <f>COUNTIF(Events!$A$2:$A$391,$A28)</f>
        <v>0</v>
      </c>
      <c r="I28" s="11" t="str">
        <f>IFERROR(INDEX(Events!$E$2:$E$391,MATCH($A28,Events!$A$2:$A$391,0)),"")</f>
        <v/>
      </c>
    </row>
    <row r="29" spans="1:9" ht="15" customHeight="1" x14ac:dyDescent="0.35">
      <c r="A29" s="12">
        <v>45319</v>
      </c>
      <c r="B29" s="11">
        <f t="shared" si="0"/>
        <v>2024</v>
      </c>
      <c r="C29" s="11">
        <f t="shared" si="1"/>
        <v>1</v>
      </c>
      <c r="D29" s="11" t="str">
        <f t="shared" si="2"/>
        <v>Sun</v>
      </c>
      <c r="E29" s="11">
        <f t="shared" si="3"/>
        <v>0</v>
      </c>
      <c r="F29" s="11">
        <f t="shared" si="4"/>
        <v>1</v>
      </c>
      <c r="G29" s="16"/>
      <c r="H29" s="11">
        <f>COUNTIF(Events!$A$2:$A$391,$A29)</f>
        <v>0</v>
      </c>
      <c r="I29" s="11" t="str">
        <f>IFERROR(INDEX(Events!$E$2:$E$391,MATCH($A29,Events!$A$2:$A$391,0)),"")</f>
        <v/>
      </c>
    </row>
    <row r="30" spans="1:9" ht="15" customHeight="1" x14ac:dyDescent="0.35">
      <c r="A30" s="12">
        <v>45320</v>
      </c>
      <c r="B30" s="11">
        <f t="shared" si="0"/>
        <v>2024</v>
      </c>
      <c r="C30" s="11">
        <f t="shared" si="1"/>
        <v>1</v>
      </c>
      <c r="D30" s="11" t="str">
        <f t="shared" si="2"/>
        <v>Mon</v>
      </c>
      <c r="E30" s="11">
        <f t="shared" si="3"/>
        <v>0</v>
      </c>
      <c r="F30" s="11">
        <f t="shared" si="4"/>
        <v>1</v>
      </c>
      <c r="G30" s="16" t="s">
        <v>388</v>
      </c>
      <c r="H30" s="11">
        <f>COUNTIF(Events!$A$2:$A$391,$A30)</f>
        <v>0</v>
      </c>
      <c r="I30" s="11" t="str">
        <f>IFERROR(INDEX(Events!$E$2:$E$391,MATCH($A30,Events!$A$2:$A$391,0)),"")</f>
        <v/>
      </c>
    </row>
    <row r="31" spans="1:9" ht="15" customHeight="1" x14ac:dyDescent="0.35">
      <c r="A31" s="12">
        <v>45321</v>
      </c>
      <c r="B31" s="11">
        <f t="shared" si="0"/>
        <v>2024</v>
      </c>
      <c r="C31" s="11">
        <f t="shared" si="1"/>
        <v>1</v>
      </c>
      <c r="D31" s="11" t="str">
        <f t="shared" si="2"/>
        <v>Tue</v>
      </c>
      <c r="E31" s="11">
        <f t="shared" si="3"/>
        <v>0</v>
      </c>
      <c r="F31" s="11">
        <f t="shared" si="4"/>
        <v>1</v>
      </c>
      <c r="G31" s="16" t="s">
        <v>389</v>
      </c>
      <c r="H31" s="11">
        <f>COUNTIF(Events!$A$2:$A$391,$A31)</f>
        <v>0</v>
      </c>
      <c r="I31" s="11" t="str">
        <f>IFERROR(INDEX(Events!$E$2:$E$391,MATCH($A31,Events!$A$2:$A$391,0)),"")</f>
        <v/>
      </c>
    </row>
    <row r="32" spans="1:9" ht="15" customHeight="1" x14ac:dyDescent="0.35">
      <c r="A32" s="12">
        <v>45322</v>
      </c>
      <c r="B32" s="11">
        <f t="shared" si="0"/>
        <v>2024</v>
      </c>
      <c r="C32" s="11">
        <f t="shared" si="1"/>
        <v>1</v>
      </c>
      <c r="D32" s="11" t="str">
        <f t="shared" si="2"/>
        <v>Wed</v>
      </c>
      <c r="E32" s="11">
        <f t="shared" si="3"/>
        <v>0</v>
      </c>
      <c r="F32" s="11">
        <f t="shared" si="4"/>
        <v>1</v>
      </c>
      <c r="G32" s="16"/>
      <c r="H32" s="11">
        <f>COUNTIF(Events!$A$2:$A$391,$A32)</f>
        <v>1</v>
      </c>
      <c r="I32" s="11" t="str">
        <f>IFERROR(INDEX(Events!$E$2:$E$391,MATCH($A32,Events!$A$2:$A$391,0)),"")</f>
        <v>CY2025 Advance Notice released: proposed +3.70% avg payment; year 2 of 3-year phase-in of 2024 CMS-HCC (V28) risk model at 67/33 blend; comments due 3/1/2024</v>
      </c>
    </row>
    <row r="33" spans="1:9" ht="15" customHeight="1" x14ac:dyDescent="0.35">
      <c r="A33" s="12">
        <v>45323</v>
      </c>
      <c r="B33" s="11">
        <f t="shared" si="0"/>
        <v>2024</v>
      </c>
      <c r="C33" s="11">
        <f t="shared" si="1"/>
        <v>2</v>
      </c>
      <c r="D33" s="11" t="str">
        <f t="shared" si="2"/>
        <v>Thu</v>
      </c>
      <c r="E33" s="11">
        <f t="shared" si="3"/>
        <v>0</v>
      </c>
      <c r="F33" s="11">
        <f t="shared" si="4"/>
        <v>1</v>
      </c>
      <c r="G33" s="16"/>
      <c r="H33" s="11">
        <f>COUNTIF(Events!$A$2:$A$391,$A33)</f>
        <v>0</v>
      </c>
      <c r="I33" s="11" t="str">
        <f>IFERROR(INDEX(Events!$E$2:$E$391,MATCH($A33,Events!$A$2:$A$391,0)),"")</f>
        <v/>
      </c>
    </row>
    <row r="34" spans="1:9" ht="15" customHeight="1" x14ac:dyDescent="0.35">
      <c r="A34" s="12">
        <v>45324</v>
      </c>
      <c r="B34" s="11">
        <f t="shared" si="0"/>
        <v>2024</v>
      </c>
      <c r="C34" s="11">
        <f t="shared" si="1"/>
        <v>2</v>
      </c>
      <c r="D34" s="11" t="str">
        <f t="shared" si="2"/>
        <v>Fri</v>
      </c>
      <c r="E34" s="11">
        <f t="shared" si="3"/>
        <v>0</v>
      </c>
      <c r="F34" s="11">
        <f t="shared" si="4"/>
        <v>1</v>
      </c>
      <c r="G34" s="16"/>
      <c r="H34" s="11">
        <f>COUNTIF(Events!$A$2:$A$391,$A34)</f>
        <v>0</v>
      </c>
      <c r="I34" s="11" t="str">
        <f>IFERROR(INDEX(Events!$E$2:$E$391,MATCH($A34,Events!$A$2:$A$391,0)),"")</f>
        <v/>
      </c>
    </row>
    <row r="35" spans="1:9" ht="15" customHeight="1" x14ac:dyDescent="0.35">
      <c r="A35" s="12">
        <v>45325</v>
      </c>
      <c r="B35" s="11">
        <f t="shared" si="0"/>
        <v>2024</v>
      </c>
      <c r="C35" s="11">
        <f t="shared" si="1"/>
        <v>2</v>
      </c>
      <c r="D35" s="11" t="str">
        <f t="shared" si="2"/>
        <v>Sat</v>
      </c>
      <c r="E35" s="11">
        <f t="shared" si="3"/>
        <v>0</v>
      </c>
      <c r="F35" s="11">
        <f t="shared" si="4"/>
        <v>1</v>
      </c>
      <c r="G35" s="16"/>
      <c r="H35" s="11">
        <f>COUNTIF(Events!$A$2:$A$391,$A35)</f>
        <v>0</v>
      </c>
      <c r="I35" s="11" t="str">
        <f>IFERROR(INDEX(Events!$E$2:$E$391,MATCH($A35,Events!$A$2:$A$391,0)),"")</f>
        <v/>
      </c>
    </row>
    <row r="36" spans="1:9" ht="15" customHeight="1" x14ac:dyDescent="0.35">
      <c r="A36" s="12">
        <v>45326</v>
      </c>
      <c r="B36" s="11">
        <f t="shared" si="0"/>
        <v>2024</v>
      </c>
      <c r="C36" s="11">
        <f t="shared" si="1"/>
        <v>2</v>
      </c>
      <c r="D36" s="11" t="str">
        <f t="shared" si="2"/>
        <v>Sun</v>
      </c>
      <c r="E36" s="11">
        <f t="shared" si="3"/>
        <v>0</v>
      </c>
      <c r="F36" s="11">
        <f t="shared" si="4"/>
        <v>1</v>
      </c>
      <c r="G36" s="16"/>
      <c r="H36" s="11">
        <f>COUNTIF(Events!$A$2:$A$391,$A36)</f>
        <v>0</v>
      </c>
      <c r="I36" s="11" t="str">
        <f>IFERROR(INDEX(Events!$E$2:$E$391,MATCH($A36,Events!$A$2:$A$391,0)),"")</f>
        <v/>
      </c>
    </row>
    <row r="37" spans="1:9" ht="15" customHeight="1" x14ac:dyDescent="0.35">
      <c r="A37" s="12">
        <v>45327</v>
      </c>
      <c r="B37" s="11">
        <f t="shared" si="0"/>
        <v>2024</v>
      </c>
      <c r="C37" s="11">
        <f t="shared" si="1"/>
        <v>2</v>
      </c>
      <c r="D37" s="11" t="str">
        <f t="shared" si="2"/>
        <v>Mon</v>
      </c>
      <c r="E37" s="11">
        <f t="shared" si="3"/>
        <v>0</v>
      </c>
      <c r="F37" s="11">
        <f t="shared" si="4"/>
        <v>1</v>
      </c>
      <c r="G37" s="16"/>
      <c r="H37" s="11">
        <f>COUNTIF(Events!$A$2:$A$391,$A37)</f>
        <v>0</v>
      </c>
      <c r="I37" s="11" t="str">
        <f>IFERROR(INDEX(Events!$E$2:$E$391,MATCH($A37,Events!$A$2:$A$391,0)),"")</f>
        <v/>
      </c>
    </row>
    <row r="38" spans="1:9" ht="15" customHeight="1" x14ac:dyDescent="0.35">
      <c r="A38" s="12">
        <v>45328</v>
      </c>
      <c r="B38" s="11">
        <f t="shared" si="0"/>
        <v>2024</v>
      </c>
      <c r="C38" s="11">
        <f t="shared" si="1"/>
        <v>2</v>
      </c>
      <c r="D38" s="11" t="str">
        <f t="shared" si="2"/>
        <v>Tue</v>
      </c>
      <c r="E38" s="11">
        <f t="shared" si="3"/>
        <v>0</v>
      </c>
      <c r="F38" s="11">
        <f t="shared" si="4"/>
        <v>1</v>
      </c>
      <c r="G38" s="16"/>
      <c r="H38" s="11">
        <f>COUNTIF(Events!$A$2:$A$391,$A38)</f>
        <v>0</v>
      </c>
      <c r="I38" s="11" t="str">
        <f>IFERROR(INDEX(Events!$E$2:$E$391,MATCH($A38,Events!$A$2:$A$391,0)),"")</f>
        <v/>
      </c>
    </row>
    <row r="39" spans="1:9" ht="15" customHeight="1" x14ac:dyDescent="0.35">
      <c r="A39" s="12">
        <v>45329</v>
      </c>
      <c r="B39" s="11">
        <f t="shared" si="0"/>
        <v>2024</v>
      </c>
      <c r="C39" s="11">
        <f t="shared" si="1"/>
        <v>2</v>
      </c>
      <c r="D39" s="11" t="str">
        <f t="shared" si="2"/>
        <v>Wed</v>
      </c>
      <c r="E39" s="11">
        <f t="shared" si="3"/>
        <v>0</v>
      </c>
      <c r="F39" s="11">
        <f t="shared" si="4"/>
        <v>1</v>
      </c>
      <c r="G39" s="16"/>
      <c r="H39" s="11">
        <f>COUNTIF(Events!$A$2:$A$391,$A39)</f>
        <v>0</v>
      </c>
      <c r="I39" s="11" t="str">
        <f>IFERROR(INDEX(Events!$E$2:$E$391,MATCH($A39,Events!$A$2:$A$391,0)),"")</f>
        <v/>
      </c>
    </row>
    <row r="40" spans="1:9" ht="15" customHeight="1" x14ac:dyDescent="0.35">
      <c r="A40" s="12">
        <v>45330</v>
      </c>
      <c r="B40" s="11">
        <f t="shared" si="0"/>
        <v>2024</v>
      </c>
      <c r="C40" s="11">
        <f t="shared" si="1"/>
        <v>2</v>
      </c>
      <c r="D40" s="11" t="str">
        <f t="shared" si="2"/>
        <v>Thu</v>
      </c>
      <c r="E40" s="11">
        <f t="shared" si="3"/>
        <v>0</v>
      </c>
      <c r="F40" s="11">
        <f t="shared" si="4"/>
        <v>1</v>
      </c>
      <c r="G40" s="16"/>
      <c r="H40" s="11">
        <f>COUNTIF(Events!$A$2:$A$391,$A40)</f>
        <v>0</v>
      </c>
      <c r="I40" s="11" t="str">
        <f>IFERROR(INDEX(Events!$E$2:$E$391,MATCH($A40,Events!$A$2:$A$391,0)),"")</f>
        <v/>
      </c>
    </row>
    <row r="41" spans="1:9" ht="15" customHeight="1" x14ac:dyDescent="0.35">
      <c r="A41" s="12">
        <v>45331</v>
      </c>
      <c r="B41" s="11">
        <f t="shared" si="0"/>
        <v>2024</v>
      </c>
      <c r="C41" s="11">
        <f t="shared" si="1"/>
        <v>2</v>
      </c>
      <c r="D41" s="11" t="str">
        <f t="shared" si="2"/>
        <v>Fri</v>
      </c>
      <c r="E41" s="11">
        <f t="shared" si="3"/>
        <v>0</v>
      </c>
      <c r="F41" s="11">
        <f t="shared" si="4"/>
        <v>1</v>
      </c>
      <c r="G41" s="16"/>
      <c r="H41" s="11">
        <f>COUNTIF(Events!$A$2:$A$391,$A41)</f>
        <v>0</v>
      </c>
      <c r="I41" s="11" t="str">
        <f>IFERROR(INDEX(Events!$E$2:$E$391,MATCH($A41,Events!$A$2:$A$391,0)),"")</f>
        <v/>
      </c>
    </row>
    <row r="42" spans="1:9" ht="15" customHeight="1" x14ac:dyDescent="0.35">
      <c r="A42" s="12">
        <v>45332</v>
      </c>
      <c r="B42" s="11">
        <f t="shared" si="0"/>
        <v>2024</v>
      </c>
      <c r="C42" s="11">
        <f t="shared" si="1"/>
        <v>2</v>
      </c>
      <c r="D42" s="11" t="str">
        <f t="shared" si="2"/>
        <v>Sat</v>
      </c>
      <c r="E42" s="11">
        <f t="shared" si="3"/>
        <v>0</v>
      </c>
      <c r="F42" s="11">
        <f t="shared" si="4"/>
        <v>1</v>
      </c>
      <c r="G42" s="16"/>
      <c r="H42" s="11">
        <f>COUNTIF(Events!$A$2:$A$391,$A42)</f>
        <v>0</v>
      </c>
      <c r="I42" s="11" t="str">
        <f>IFERROR(INDEX(Events!$E$2:$E$391,MATCH($A42,Events!$A$2:$A$391,0)),"")</f>
        <v/>
      </c>
    </row>
    <row r="43" spans="1:9" ht="15" customHeight="1" x14ac:dyDescent="0.35">
      <c r="A43" s="12">
        <v>45333</v>
      </c>
      <c r="B43" s="11">
        <f t="shared" si="0"/>
        <v>2024</v>
      </c>
      <c r="C43" s="11">
        <f t="shared" si="1"/>
        <v>2</v>
      </c>
      <c r="D43" s="11" t="str">
        <f t="shared" si="2"/>
        <v>Sun</v>
      </c>
      <c r="E43" s="11">
        <f t="shared" si="3"/>
        <v>0</v>
      </c>
      <c r="F43" s="11">
        <f t="shared" si="4"/>
        <v>1</v>
      </c>
      <c r="G43" s="16"/>
      <c r="H43" s="11">
        <f>COUNTIF(Events!$A$2:$A$391,$A43)</f>
        <v>0</v>
      </c>
      <c r="I43" s="11" t="str">
        <f>IFERROR(INDEX(Events!$E$2:$E$391,MATCH($A43,Events!$A$2:$A$391,0)),"")</f>
        <v/>
      </c>
    </row>
    <row r="44" spans="1:9" ht="15" customHeight="1" x14ac:dyDescent="0.35">
      <c r="A44" s="12">
        <v>45334</v>
      </c>
      <c r="B44" s="11">
        <f t="shared" si="0"/>
        <v>2024</v>
      </c>
      <c r="C44" s="11">
        <f t="shared" si="1"/>
        <v>2</v>
      </c>
      <c r="D44" s="11" t="str">
        <f t="shared" si="2"/>
        <v>Mon</v>
      </c>
      <c r="E44" s="11">
        <f t="shared" si="3"/>
        <v>0</v>
      </c>
      <c r="F44" s="11">
        <f t="shared" si="4"/>
        <v>1</v>
      </c>
      <c r="G44" s="16"/>
      <c r="H44" s="11">
        <f>COUNTIF(Events!$A$2:$A$391,$A44)</f>
        <v>0</v>
      </c>
      <c r="I44" s="11" t="str">
        <f>IFERROR(INDEX(Events!$E$2:$E$391,MATCH($A44,Events!$A$2:$A$391,0)),"")</f>
        <v/>
      </c>
    </row>
    <row r="45" spans="1:9" ht="15" customHeight="1" x14ac:dyDescent="0.35">
      <c r="A45" s="12">
        <v>45335</v>
      </c>
      <c r="B45" s="11">
        <f t="shared" si="0"/>
        <v>2024</v>
      </c>
      <c r="C45" s="11">
        <f t="shared" si="1"/>
        <v>2</v>
      </c>
      <c r="D45" s="11" t="str">
        <f t="shared" si="2"/>
        <v>Tue</v>
      </c>
      <c r="E45" s="11">
        <f t="shared" si="3"/>
        <v>0</v>
      </c>
      <c r="F45" s="11">
        <f t="shared" si="4"/>
        <v>1</v>
      </c>
      <c r="G45" s="16"/>
      <c r="H45" s="11">
        <f>COUNTIF(Events!$A$2:$A$391,$A45)</f>
        <v>0</v>
      </c>
      <c r="I45" s="11" t="str">
        <f>IFERROR(INDEX(Events!$E$2:$E$391,MATCH($A45,Events!$A$2:$A$391,0)),"")</f>
        <v/>
      </c>
    </row>
    <row r="46" spans="1:9" ht="15" customHeight="1" x14ac:dyDescent="0.35">
      <c r="A46" s="12">
        <v>45336</v>
      </c>
      <c r="B46" s="11">
        <f t="shared" si="0"/>
        <v>2024</v>
      </c>
      <c r="C46" s="11">
        <f t="shared" si="1"/>
        <v>2</v>
      </c>
      <c r="D46" s="11" t="str">
        <f t="shared" si="2"/>
        <v>Wed</v>
      </c>
      <c r="E46" s="11">
        <f t="shared" si="3"/>
        <v>0</v>
      </c>
      <c r="F46" s="11">
        <f t="shared" si="4"/>
        <v>1</v>
      </c>
      <c r="G46" s="16"/>
      <c r="H46" s="11">
        <f>COUNTIF(Events!$A$2:$A$391,$A46)</f>
        <v>0</v>
      </c>
      <c r="I46" s="11" t="str">
        <f>IFERROR(INDEX(Events!$E$2:$E$391,MATCH($A46,Events!$A$2:$A$391,0)),"")</f>
        <v/>
      </c>
    </row>
    <row r="47" spans="1:9" ht="15" customHeight="1" x14ac:dyDescent="0.35">
      <c r="A47" s="12">
        <v>45337</v>
      </c>
      <c r="B47" s="11">
        <f t="shared" si="0"/>
        <v>2024</v>
      </c>
      <c r="C47" s="11">
        <f t="shared" si="1"/>
        <v>2</v>
      </c>
      <c r="D47" s="11" t="str">
        <f t="shared" si="2"/>
        <v>Thu</v>
      </c>
      <c r="E47" s="11">
        <f t="shared" si="3"/>
        <v>0</v>
      </c>
      <c r="F47" s="11">
        <f t="shared" si="4"/>
        <v>1</v>
      </c>
      <c r="G47" s="16"/>
      <c r="H47" s="11">
        <f>COUNTIF(Events!$A$2:$A$391,$A47)</f>
        <v>0</v>
      </c>
      <c r="I47" s="11" t="str">
        <f>IFERROR(INDEX(Events!$E$2:$E$391,MATCH($A47,Events!$A$2:$A$391,0)),"")</f>
        <v/>
      </c>
    </row>
    <row r="48" spans="1:9" ht="15" customHeight="1" x14ac:dyDescent="0.35">
      <c r="A48" s="12">
        <v>45338</v>
      </c>
      <c r="B48" s="11">
        <f t="shared" si="0"/>
        <v>2024</v>
      </c>
      <c r="C48" s="11">
        <f t="shared" si="1"/>
        <v>2</v>
      </c>
      <c r="D48" s="11" t="str">
        <f t="shared" si="2"/>
        <v>Fri</v>
      </c>
      <c r="E48" s="11">
        <f t="shared" si="3"/>
        <v>0</v>
      </c>
      <c r="F48" s="11">
        <f t="shared" si="4"/>
        <v>1</v>
      </c>
      <c r="G48" s="16"/>
      <c r="H48" s="11">
        <f>COUNTIF(Events!$A$2:$A$391,$A48)</f>
        <v>0</v>
      </c>
      <c r="I48" s="11" t="str">
        <f>IFERROR(INDEX(Events!$E$2:$E$391,MATCH($A48,Events!$A$2:$A$391,0)),"")</f>
        <v/>
      </c>
    </row>
    <row r="49" spans="1:9" ht="15" customHeight="1" x14ac:dyDescent="0.35">
      <c r="A49" s="12">
        <v>45339</v>
      </c>
      <c r="B49" s="11">
        <f t="shared" si="0"/>
        <v>2024</v>
      </c>
      <c r="C49" s="11">
        <f t="shared" si="1"/>
        <v>2</v>
      </c>
      <c r="D49" s="11" t="str">
        <f t="shared" si="2"/>
        <v>Sat</v>
      </c>
      <c r="E49" s="11">
        <f t="shared" si="3"/>
        <v>0</v>
      </c>
      <c r="F49" s="11">
        <f t="shared" si="4"/>
        <v>1</v>
      </c>
      <c r="G49" s="16"/>
      <c r="H49" s="11">
        <f>COUNTIF(Events!$A$2:$A$391,$A49)</f>
        <v>0</v>
      </c>
      <c r="I49" s="11" t="str">
        <f>IFERROR(INDEX(Events!$E$2:$E$391,MATCH($A49,Events!$A$2:$A$391,0)),"")</f>
        <v/>
      </c>
    </row>
    <row r="50" spans="1:9" ht="15" customHeight="1" x14ac:dyDescent="0.35">
      <c r="A50" s="12">
        <v>45340</v>
      </c>
      <c r="B50" s="11">
        <f t="shared" si="0"/>
        <v>2024</v>
      </c>
      <c r="C50" s="11">
        <f t="shared" si="1"/>
        <v>2</v>
      </c>
      <c r="D50" s="11" t="str">
        <f t="shared" si="2"/>
        <v>Sun</v>
      </c>
      <c r="E50" s="11">
        <f t="shared" si="3"/>
        <v>0</v>
      </c>
      <c r="F50" s="11">
        <f t="shared" si="4"/>
        <v>1</v>
      </c>
      <c r="G50" s="16"/>
      <c r="H50" s="11">
        <f>COUNTIF(Events!$A$2:$A$391,$A50)</f>
        <v>0</v>
      </c>
      <c r="I50" s="11" t="str">
        <f>IFERROR(INDEX(Events!$E$2:$E$391,MATCH($A50,Events!$A$2:$A$391,0)),"")</f>
        <v/>
      </c>
    </row>
    <row r="51" spans="1:9" ht="15" customHeight="1" x14ac:dyDescent="0.35">
      <c r="A51" s="12">
        <v>45341</v>
      </c>
      <c r="B51" s="11">
        <f t="shared" si="0"/>
        <v>2024</v>
      </c>
      <c r="C51" s="11">
        <f t="shared" si="1"/>
        <v>2</v>
      </c>
      <c r="D51" s="11" t="str">
        <f t="shared" si="2"/>
        <v>Mon</v>
      </c>
      <c r="E51" s="11">
        <f t="shared" si="3"/>
        <v>0</v>
      </c>
      <c r="F51" s="11">
        <f t="shared" si="4"/>
        <v>1</v>
      </c>
      <c r="G51" s="16"/>
      <c r="H51" s="11">
        <f>COUNTIF(Events!$A$2:$A$391,$A51)</f>
        <v>0</v>
      </c>
      <c r="I51" s="11" t="str">
        <f>IFERROR(INDEX(Events!$E$2:$E$391,MATCH($A51,Events!$A$2:$A$391,0)),"")</f>
        <v/>
      </c>
    </row>
    <row r="52" spans="1:9" ht="15" customHeight="1" x14ac:dyDescent="0.35">
      <c r="A52" s="12">
        <v>45342</v>
      </c>
      <c r="B52" s="11">
        <f t="shared" si="0"/>
        <v>2024</v>
      </c>
      <c r="C52" s="11">
        <f t="shared" si="1"/>
        <v>2</v>
      </c>
      <c r="D52" s="11" t="str">
        <f t="shared" si="2"/>
        <v>Tue</v>
      </c>
      <c r="E52" s="11">
        <f t="shared" si="3"/>
        <v>0</v>
      </c>
      <c r="F52" s="11">
        <f t="shared" si="4"/>
        <v>1</v>
      </c>
      <c r="G52" s="16"/>
      <c r="H52" s="11">
        <f>COUNTIF(Events!$A$2:$A$391,$A52)</f>
        <v>0</v>
      </c>
      <c r="I52" s="11" t="str">
        <f>IFERROR(INDEX(Events!$E$2:$E$391,MATCH($A52,Events!$A$2:$A$391,0)),"")</f>
        <v/>
      </c>
    </row>
    <row r="53" spans="1:9" ht="15" customHeight="1" x14ac:dyDescent="0.35">
      <c r="A53" s="12">
        <v>45343</v>
      </c>
      <c r="B53" s="11">
        <f t="shared" si="0"/>
        <v>2024</v>
      </c>
      <c r="C53" s="11">
        <f t="shared" si="1"/>
        <v>2</v>
      </c>
      <c r="D53" s="11" t="str">
        <f t="shared" si="2"/>
        <v>Wed</v>
      </c>
      <c r="E53" s="11">
        <f t="shared" si="3"/>
        <v>0</v>
      </c>
      <c r="F53" s="11">
        <f t="shared" si="4"/>
        <v>1</v>
      </c>
      <c r="G53" s="16"/>
      <c r="H53" s="11">
        <f>COUNTIF(Events!$A$2:$A$391,$A53)</f>
        <v>0</v>
      </c>
      <c r="I53" s="11" t="str">
        <f>IFERROR(INDEX(Events!$E$2:$E$391,MATCH($A53,Events!$A$2:$A$391,0)),"")</f>
        <v/>
      </c>
    </row>
    <row r="54" spans="1:9" ht="15" customHeight="1" x14ac:dyDescent="0.35">
      <c r="A54" s="12">
        <v>45344</v>
      </c>
      <c r="B54" s="11">
        <f t="shared" si="0"/>
        <v>2024</v>
      </c>
      <c r="C54" s="11">
        <f t="shared" si="1"/>
        <v>2</v>
      </c>
      <c r="D54" s="11" t="str">
        <f t="shared" si="2"/>
        <v>Thu</v>
      </c>
      <c r="E54" s="11">
        <f t="shared" si="3"/>
        <v>0</v>
      </c>
      <c r="F54" s="11">
        <f t="shared" si="4"/>
        <v>1</v>
      </c>
      <c r="G54" s="16"/>
      <c r="H54" s="11">
        <f>COUNTIF(Events!$A$2:$A$391,$A54)</f>
        <v>0</v>
      </c>
      <c r="I54" s="11" t="str">
        <f>IFERROR(INDEX(Events!$E$2:$E$391,MATCH($A54,Events!$A$2:$A$391,0)),"")</f>
        <v/>
      </c>
    </row>
    <row r="55" spans="1:9" ht="15" customHeight="1" x14ac:dyDescent="0.35">
      <c r="A55" s="12">
        <v>45345</v>
      </c>
      <c r="B55" s="11">
        <f t="shared" si="0"/>
        <v>2024</v>
      </c>
      <c r="C55" s="11">
        <f t="shared" si="1"/>
        <v>2</v>
      </c>
      <c r="D55" s="11" t="str">
        <f t="shared" si="2"/>
        <v>Fri</v>
      </c>
      <c r="E55" s="11">
        <f t="shared" si="3"/>
        <v>0</v>
      </c>
      <c r="F55" s="11">
        <f t="shared" si="4"/>
        <v>1</v>
      </c>
      <c r="G55" s="16"/>
      <c r="H55" s="11">
        <f>COUNTIF(Events!$A$2:$A$391,$A55)</f>
        <v>0</v>
      </c>
      <c r="I55" s="11" t="str">
        <f>IFERROR(INDEX(Events!$E$2:$E$391,MATCH($A55,Events!$A$2:$A$391,0)),"")</f>
        <v/>
      </c>
    </row>
    <row r="56" spans="1:9" ht="15" customHeight="1" x14ac:dyDescent="0.35">
      <c r="A56" s="12">
        <v>45346</v>
      </c>
      <c r="B56" s="11">
        <f t="shared" si="0"/>
        <v>2024</v>
      </c>
      <c r="C56" s="11">
        <f t="shared" si="1"/>
        <v>2</v>
      </c>
      <c r="D56" s="11" t="str">
        <f t="shared" si="2"/>
        <v>Sat</v>
      </c>
      <c r="E56" s="11">
        <f t="shared" si="3"/>
        <v>0</v>
      </c>
      <c r="F56" s="11">
        <f t="shared" si="4"/>
        <v>1</v>
      </c>
      <c r="G56" s="16"/>
      <c r="H56" s="11">
        <f>COUNTIF(Events!$A$2:$A$391,$A56)</f>
        <v>0</v>
      </c>
      <c r="I56" s="11" t="str">
        <f>IFERROR(INDEX(Events!$E$2:$E$391,MATCH($A56,Events!$A$2:$A$391,0)),"")</f>
        <v/>
      </c>
    </row>
    <row r="57" spans="1:9" ht="15" customHeight="1" x14ac:dyDescent="0.35">
      <c r="A57" s="12">
        <v>45347</v>
      </c>
      <c r="B57" s="11">
        <f t="shared" si="0"/>
        <v>2024</v>
      </c>
      <c r="C57" s="11">
        <f t="shared" si="1"/>
        <v>2</v>
      </c>
      <c r="D57" s="11" t="str">
        <f t="shared" si="2"/>
        <v>Sun</v>
      </c>
      <c r="E57" s="11">
        <f t="shared" si="3"/>
        <v>0</v>
      </c>
      <c r="F57" s="11">
        <f t="shared" si="4"/>
        <v>1</v>
      </c>
      <c r="G57" s="16"/>
      <c r="H57" s="11">
        <f>COUNTIF(Events!$A$2:$A$391,$A57)</f>
        <v>0</v>
      </c>
      <c r="I57" s="11" t="str">
        <f>IFERROR(INDEX(Events!$E$2:$E$391,MATCH($A57,Events!$A$2:$A$391,0)),"")</f>
        <v/>
      </c>
    </row>
    <row r="58" spans="1:9" ht="15" customHeight="1" x14ac:dyDescent="0.35">
      <c r="A58" s="12">
        <v>45348</v>
      </c>
      <c r="B58" s="11">
        <f t="shared" si="0"/>
        <v>2024</v>
      </c>
      <c r="C58" s="11">
        <f t="shared" si="1"/>
        <v>2</v>
      </c>
      <c r="D58" s="11" t="str">
        <f t="shared" si="2"/>
        <v>Mon</v>
      </c>
      <c r="E58" s="11">
        <f t="shared" si="3"/>
        <v>0</v>
      </c>
      <c r="F58" s="11">
        <f t="shared" si="4"/>
        <v>1</v>
      </c>
      <c r="G58" s="16"/>
      <c r="H58" s="11">
        <f>COUNTIF(Events!$A$2:$A$391,$A58)</f>
        <v>0</v>
      </c>
      <c r="I58" s="11" t="str">
        <f>IFERROR(INDEX(Events!$E$2:$E$391,MATCH($A58,Events!$A$2:$A$391,0)),"")</f>
        <v/>
      </c>
    </row>
    <row r="59" spans="1:9" ht="15" customHeight="1" x14ac:dyDescent="0.35">
      <c r="A59" s="12">
        <v>45349</v>
      </c>
      <c r="B59" s="11">
        <f t="shared" si="0"/>
        <v>2024</v>
      </c>
      <c r="C59" s="11">
        <f t="shared" si="1"/>
        <v>2</v>
      </c>
      <c r="D59" s="11" t="str">
        <f t="shared" si="2"/>
        <v>Tue</v>
      </c>
      <c r="E59" s="11">
        <f t="shared" si="3"/>
        <v>0</v>
      </c>
      <c r="F59" s="11">
        <f t="shared" si="4"/>
        <v>1</v>
      </c>
      <c r="G59" s="16"/>
      <c r="H59" s="11">
        <f>COUNTIF(Events!$A$2:$A$391,$A59)</f>
        <v>0</v>
      </c>
      <c r="I59" s="11" t="str">
        <f>IFERROR(INDEX(Events!$E$2:$E$391,MATCH($A59,Events!$A$2:$A$391,0)),"")</f>
        <v/>
      </c>
    </row>
    <row r="60" spans="1:9" ht="15" customHeight="1" x14ac:dyDescent="0.35">
      <c r="A60" s="12">
        <v>45350</v>
      </c>
      <c r="B60" s="11">
        <f t="shared" si="0"/>
        <v>2024</v>
      </c>
      <c r="C60" s="11">
        <f t="shared" si="1"/>
        <v>2</v>
      </c>
      <c r="D60" s="11" t="str">
        <f t="shared" si="2"/>
        <v>Wed</v>
      </c>
      <c r="E60" s="11">
        <f t="shared" si="3"/>
        <v>0</v>
      </c>
      <c r="F60" s="11">
        <f t="shared" si="4"/>
        <v>1</v>
      </c>
      <c r="G60" s="16"/>
      <c r="H60" s="11">
        <f>COUNTIF(Events!$A$2:$A$391,$A60)</f>
        <v>0</v>
      </c>
      <c r="I60" s="11" t="str">
        <f>IFERROR(INDEX(Events!$E$2:$E$391,MATCH($A60,Events!$A$2:$A$391,0)),"")</f>
        <v/>
      </c>
    </row>
    <row r="61" spans="1:9" ht="15" customHeight="1" x14ac:dyDescent="0.35">
      <c r="A61" s="12">
        <v>45351</v>
      </c>
      <c r="B61" s="11">
        <f t="shared" si="0"/>
        <v>2024</v>
      </c>
      <c r="C61" s="11">
        <f t="shared" si="1"/>
        <v>2</v>
      </c>
      <c r="D61" s="11" t="str">
        <f t="shared" si="2"/>
        <v>Thu</v>
      </c>
      <c r="E61" s="11">
        <f t="shared" si="3"/>
        <v>0</v>
      </c>
      <c r="F61" s="11">
        <f t="shared" si="4"/>
        <v>1</v>
      </c>
      <c r="G61" s="16"/>
      <c r="H61" s="11">
        <f>COUNTIF(Events!$A$2:$A$391,$A61)</f>
        <v>0</v>
      </c>
      <c r="I61" s="11" t="str">
        <f>IFERROR(INDEX(Events!$E$2:$E$391,MATCH($A61,Events!$A$2:$A$391,0)),"")</f>
        <v/>
      </c>
    </row>
    <row r="62" spans="1:9" ht="15" customHeight="1" x14ac:dyDescent="0.35">
      <c r="A62" s="12">
        <v>45352</v>
      </c>
      <c r="B62" s="11">
        <f t="shared" si="0"/>
        <v>2024</v>
      </c>
      <c r="C62" s="11">
        <f t="shared" si="1"/>
        <v>3</v>
      </c>
      <c r="D62" s="11" t="str">
        <f t="shared" si="2"/>
        <v>Fri</v>
      </c>
      <c r="E62" s="11">
        <f t="shared" si="3"/>
        <v>0</v>
      </c>
      <c r="F62" s="11">
        <f t="shared" si="4"/>
        <v>1</v>
      </c>
      <c r="G62" s="16"/>
      <c r="H62" s="11">
        <f>COUNTIF(Events!$A$2:$A$391,$A62)</f>
        <v>0</v>
      </c>
      <c r="I62" s="11" t="str">
        <f>IFERROR(INDEX(Events!$E$2:$E$391,MATCH($A62,Events!$A$2:$A$391,0)),"")</f>
        <v/>
      </c>
    </row>
    <row r="63" spans="1:9" ht="15" customHeight="1" x14ac:dyDescent="0.35">
      <c r="A63" s="12">
        <v>45353</v>
      </c>
      <c r="B63" s="11">
        <f t="shared" si="0"/>
        <v>2024</v>
      </c>
      <c r="C63" s="11">
        <f t="shared" si="1"/>
        <v>3</v>
      </c>
      <c r="D63" s="11" t="str">
        <f t="shared" si="2"/>
        <v>Sat</v>
      </c>
      <c r="E63" s="11">
        <f t="shared" si="3"/>
        <v>0</v>
      </c>
      <c r="F63" s="11">
        <f t="shared" si="4"/>
        <v>1</v>
      </c>
      <c r="G63" s="16"/>
      <c r="H63" s="11">
        <f>COUNTIF(Events!$A$2:$A$391,$A63)</f>
        <v>0</v>
      </c>
      <c r="I63" s="11" t="str">
        <f>IFERROR(INDEX(Events!$E$2:$E$391,MATCH($A63,Events!$A$2:$A$391,0)),"")</f>
        <v/>
      </c>
    </row>
    <row r="64" spans="1:9" ht="15" customHeight="1" x14ac:dyDescent="0.35">
      <c r="A64" s="12">
        <v>45354</v>
      </c>
      <c r="B64" s="11">
        <f t="shared" si="0"/>
        <v>2024</v>
      </c>
      <c r="C64" s="11">
        <f t="shared" si="1"/>
        <v>3</v>
      </c>
      <c r="D64" s="11" t="str">
        <f t="shared" si="2"/>
        <v>Sun</v>
      </c>
      <c r="E64" s="11">
        <f t="shared" si="3"/>
        <v>0</v>
      </c>
      <c r="F64" s="11">
        <f t="shared" si="4"/>
        <v>1</v>
      </c>
      <c r="G64" s="16"/>
      <c r="H64" s="11">
        <f>COUNTIF(Events!$A$2:$A$391,$A64)</f>
        <v>0</v>
      </c>
      <c r="I64" s="11" t="str">
        <f>IFERROR(INDEX(Events!$E$2:$E$391,MATCH($A64,Events!$A$2:$A$391,0)),"")</f>
        <v/>
      </c>
    </row>
    <row r="65" spans="1:9" ht="15" customHeight="1" x14ac:dyDescent="0.35">
      <c r="A65" s="12">
        <v>45355</v>
      </c>
      <c r="B65" s="11">
        <f t="shared" si="0"/>
        <v>2024</v>
      </c>
      <c r="C65" s="11">
        <f t="shared" si="1"/>
        <v>3</v>
      </c>
      <c r="D65" s="11" t="str">
        <f t="shared" si="2"/>
        <v>Mon</v>
      </c>
      <c r="E65" s="11">
        <f t="shared" si="3"/>
        <v>0</v>
      </c>
      <c r="F65" s="11">
        <f t="shared" si="4"/>
        <v>1</v>
      </c>
      <c r="G65" s="16"/>
      <c r="H65" s="11">
        <f>COUNTIF(Events!$A$2:$A$391,$A65)</f>
        <v>0</v>
      </c>
      <c r="I65" s="11" t="str">
        <f>IFERROR(INDEX(Events!$E$2:$E$391,MATCH($A65,Events!$A$2:$A$391,0)),"")</f>
        <v/>
      </c>
    </row>
    <row r="66" spans="1:9" ht="15" customHeight="1" x14ac:dyDescent="0.35">
      <c r="A66" s="12">
        <v>45356</v>
      </c>
      <c r="B66" s="11">
        <f t="shared" ref="B66:B129" si="5">YEAR($A66)</f>
        <v>2024</v>
      </c>
      <c r="C66" s="11">
        <f t="shared" ref="C66:C129" si="6">MONTH($A66)</f>
        <v>3</v>
      </c>
      <c r="D66" s="11" t="str">
        <f t="shared" ref="D66:D129" si="7">TEXT($A66,"ddd")</f>
        <v>Tue</v>
      </c>
      <c r="E66" s="11">
        <f t="shared" ref="E66:E129" si="8">IF(OR(AND(MONTH($A66)=10,DAY($A66)&gt;=15),MONTH($A66)=11,AND(MONTH($A66)=12,DAY($A66)&lt;=7)),1,0)</f>
        <v>0</v>
      </c>
      <c r="F66" s="11">
        <f t="shared" ref="F66:F129" si="9">IF(MONTH($A66)&lt;=3,1,0)</f>
        <v>1</v>
      </c>
      <c r="G66" s="16"/>
      <c r="H66" s="11">
        <f>COUNTIF(Events!$A$2:$A$391,$A66)</f>
        <v>0</v>
      </c>
      <c r="I66" s="11" t="str">
        <f>IFERROR(INDEX(Events!$E$2:$E$391,MATCH($A66,Events!$A$2:$A$391,0)),"")</f>
        <v/>
      </c>
    </row>
    <row r="67" spans="1:9" ht="15" customHeight="1" x14ac:dyDescent="0.35">
      <c r="A67" s="12">
        <v>45357</v>
      </c>
      <c r="B67" s="11">
        <f t="shared" si="5"/>
        <v>2024</v>
      </c>
      <c r="C67" s="11">
        <f t="shared" si="6"/>
        <v>3</v>
      </c>
      <c r="D67" s="11" t="str">
        <f t="shared" si="7"/>
        <v>Wed</v>
      </c>
      <c r="E67" s="11">
        <f t="shared" si="8"/>
        <v>0</v>
      </c>
      <c r="F67" s="11">
        <f t="shared" si="9"/>
        <v>1</v>
      </c>
      <c r="G67" s="16"/>
      <c r="H67" s="11">
        <f>COUNTIF(Events!$A$2:$A$391,$A67)</f>
        <v>0</v>
      </c>
      <c r="I67" s="11" t="str">
        <f>IFERROR(INDEX(Events!$E$2:$E$391,MATCH($A67,Events!$A$2:$A$391,0)),"")</f>
        <v/>
      </c>
    </row>
    <row r="68" spans="1:9" ht="15" customHeight="1" x14ac:dyDescent="0.35">
      <c r="A68" s="12">
        <v>45358</v>
      </c>
      <c r="B68" s="11">
        <f t="shared" si="5"/>
        <v>2024</v>
      </c>
      <c r="C68" s="11">
        <f t="shared" si="6"/>
        <v>3</v>
      </c>
      <c r="D68" s="11" t="str">
        <f t="shared" si="7"/>
        <v>Thu</v>
      </c>
      <c r="E68" s="11">
        <f t="shared" si="8"/>
        <v>0</v>
      </c>
      <c r="F68" s="11">
        <f t="shared" si="9"/>
        <v>1</v>
      </c>
      <c r="G68" s="16"/>
      <c r="H68" s="11">
        <f>COUNTIF(Events!$A$2:$A$391,$A68)</f>
        <v>0</v>
      </c>
      <c r="I68" s="11" t="str">
        <f>IFERROR(INDEX(Events!$E$2:$E$391,MATCH($A68,Events!$A$2:$A$391,0)),"")</f>
        <v/>
      </c>
    </row>
    <row r="69" spans="1:9" ht="15" customHeight="1" x14ac:dyDescent="0.35">
      <c r="A69" s="12">
        <v>45359</v>
      </c>
      <c r="B69" s="11">
        <f t="shared" si="5"/>
        <v>2024</v>
      </c>
      <c r="C69" s="11">
        <f t="shared" si="6"/>
        <v>3</v>
      </c>
      <c r="D69" s="11" t="str">
        <f t="shared" si="7"/>
        <v>Fri</v>
      </c>
      <c r="E69" s="11">
        <f t="shared" si="8"/>
        <v>0</v>
      </c>
      <c r="F69" s="11">
        <f t="shared" si="9"/>
        <v>1</v>
      </c>
      <c r="G69" s="16"/>
      <c r="H69" s="11">
        <f>COUNTIF(Events!$A$2:$A$391,$A69)</f>
        <v>0</v>
      </c>
      <c r="I69" s="11" t="str">
        <f>IFERROR(INDEX(Events!$E$2:$E$391,MATCH($A69,Events!$A$2:$A$391,0)),"")</f>
        <v/>
      </c>
    </row>
    <row r="70" spans="1:9" ht="15" customHeight="1" x14ac:dyDescent="0.35">
      <c r="A70" s="12">
        <v>45360</v>
      </c>
      <c r="B70" s="11">
        <f t="shared" si="5"/>
        <v>2024</v>
      </c>
      <c r="C70" s="11">
        <f t="shared" si="6"/>
        <v>3</v>
      </c>
      <c r="D70" s="11" t="str">
        <f t="shared" si="7"/>
        <v>Sat</v>
      </c>
      <c r="E70" s="11">
        <f t="shared" si="8"/>
        <v>0</v>
      </c>
      <c r="F70" s="11">
        <f t="shared" si="9"/>
        <v>1</v>
      </c>
      <c r="G70" s="16"/>
      <c r="H70" s="11">
        <f>COUNTIF(Events!$A$2:$A$391,$A70)</f>
        <v>0</v>
      </c>
      <c r="I70" s="11" t="str">
        <f>IFERROR(INDEX(Events!$E$2:$E$391,MATCH($A70,Events!$A$2:$A$391,0)),"")</f>
        <v/>
      </c>
    </row>
    <row r="71" spans="1:9" ht="15" customHeight="1" x14ac:dyDescent="0.35">
      <c r="A71" s="12">
        <v>45361</v>
      </c>
      <c r="B71" s="11">
        <f t="shared" si="5"/>
        <v>2024</v>
      </c>
      <c r="C71" s="11">
        <f t="shared" si="6"/>
        <v>3</v>
      </c>
      <c r="D71" s="11" t="str">
        <f t="shared" si="7"/>
        <v>Sun</v>
      </c>
      <c r="E71" s="11">
        <f t="shared" si="8"/>
        <v>0</v>
      </c>
      <c r="F71" s="11">
        <f t="shared" si="9"/>
        <v>1</v>
      </c>
      <c r="G71" s="16"/>
      <c r="H71" s="11">
        <f>COUNTIF(Events!$A$2:$A$391,$A71)</f>
        <v>0</v>
      </c>
      <c r="I71" s="11" t="str">
        <f>IFERROR(INDEX(Events!$E$2:$E$391,MATCH($A71,Events!$A$2:$A$391,0)),"")</f>
        <v/>
      </c>
    </row>
    <row r="72" spans="1:9" ht="15" customHeight="1" x14ac:dyDescent="0.35">
      <c r="A72" s="12">
        <v>45362</v>
      </c>
      <c r="B72" s="11">
        <f t="shared" si="5"/>
        <v>2024</v>
      </c>
      <c r="C72" s="11">
        <f t="shared" si="6"/>
        <v>3</v>
      </c>
      <c r="D72" s="11" t="str">
        <f t="shared" si="7"/>
        <v>Mon</v>
      </c>
      <c r="E72" s="11">
        <f t="shared" si="8"/>
        <v>0</v>
      </c>
      <c r="F72" s="11">
        <f t="shared" si="9"/>
        <v>1</v>
      </c>
      <c r="G72" s="16"/>
      <c r="H72" s="11">
        <f>COUNTIF(Events!$A$2:$A$391,$A72)</f>
        <v>0</v>
      </c>
      <c r="I72" s="11" t="str">
        <f>IFERROR(INDEX(Events!$E$2:$E$391,MATCH($A72,Events!$A$2:$A$391,0)),"")</f>
        <v/>
      </c>
    </row>
    <row r="73" spans="1:9" ht="15" customHeight="1" x14ac:dyDescent="0.35">
      <c r="A73" s="12">
        <v>45363</v>
      </c>
      <c r="B73" s="11">
        <f t="shared" si="5"/>
        <v>2024</v>
      </c>
      <c r="C73" s="11">
        <f t="shared" si="6"/>
        <v>3</v>
      </c>
      <c r="D73" s="11" t="str">
        <f t="shared" si="7"/>
        <v>Tue</v>
      </c>
      <c r="E73" s="11">
        <f t="shared" si="8"/>
        <v>0</v>
      </c>
      <c r="F73" s="11">
        <f t="shared" si="9"/>
        <v>1</v>
      </c>
      <c r="G73" s="16"/>
      <c r="H73" s="11">
        <f>COUNTIF(Events!$A$2:$A$391,$A73)</f>
        <v>0</v>
      </c>
      <c r="I73" s="11" t="str">
        <f>IFERROR(INDEX(Events!$E$2:$E$391,MATCH($A73,Events!$A$2:$A$391,0)),"")</f>
        <v/>
      </c>
    </row>
    <row r="74" spans="1:9" ht="15" customHeight="1" x14ac:dyDescent="0.35">
      <c r="A74" s="12">
        <v>45364</v>
      </c>
      <c r="B74" s="11">
        <f t="shared" si="5"/>
        <v>2024</v>
      </c>
      <c r="C74" s="11">
        <f t="shared" si="6"/>
        <v>3</v>
      </c>
      <c r="D74" s="11" t="str">
        <f t="shared" si="7"/>
        <v>Wed</v>
      </c>
      <c r="E74" s="11">
        <f t="shared" si="8"/>
        <v>0</v>
      </c>
      <c r="F74" s="11">
        <f t="shared" si="9"/>
        <v>1</v>
      </c>
      <c r="G74" s="16"/>
      <c r="H74" s="11">
        <f>COUNTIF(Events!$A$2:$A$391,$A74)</f>
        <v>0</v>
      </c>
      <c r="I74" s="11" t="str">
        <f>IFERROR(INDEX(Events!$E$2:$E$391,MATCH($A74,Events!$A$2:$A$391,0)),"")</f>
        <v/>
      </c>
    </row>
    <row r="75" spans="1:9" ht="15" customHeight="1" x14ac:dyDescent="0.35">
      <c r="A75" s="12">
        <v>45365</v>
      </c>
      <c r="B75" s="11">
        <f t="shared" si="5"/>
        <v>2024</v>
      </c>
      <c r="C75" s="11">
        <f t="shared" si="6"/>
        <v>3</v>
      </c>
      <c r="D75" s="11" t="str">
        <f t="shared" si="7"/>
        <v>Thu</v>
      </c>
      <c r="E75" s="11">
        <f t="shared" si="8"/>
        <v>0</v>
      </c>
      <c r="F75" s="11">
        <f t="shared" si="9"/>
        <v>1</v>
      </c>
      <c r="G75" s="16"/>
      <c r="H75" s="11">
        <f>COUNTIF(Events!$A$2:$A$391,$A75)</f>
        <v>0</v>
      </c>
      <c r="I75" s="11" t="str">
        <f>IFERROR(INDEX(Events!$E$2:$E$391,MATCH($A75,Events!$A$2:$A$391,0)),"")</f>
        <v/>
      </c>
    </row>
    <row r="76" spans="1:9" ht="15" customHeight="1" x14ac:dyDescent="0.35">
      <c r="A76" s="12">
        <v>45366</v>
      </c>
      <c r="B76" s="11">
        <f t="shared" si="5"/>
        <v>2024</v>
      </c>
      <c r="C76" s="11">
        <f t="shared" si="6"/>
        <v>3</v>
      </c>
      <c r="D76" s="11" t="str">
        <f t="shared" si="7"/>
        <v>Fri</v>
      </c>
      <c r="E76" s="11">
        <f t="shared" si="8"/>
        <v>0</v>
      </c>
      <c r="F76" s="11">
        <f t="shared" si="9"/>
        <v>1</v>
      </c>
      <c r="G76" s="16"/>
      <c r="H76" s="11">
        <f>COUNTIF(Events!$A$2:$A$391,$A76)</f>
        <v>0</v>
      </c>
      <c r="I76" s="11" t="str">
        <f>IFERROR(INDEX(Events!$E$2:$E$391,MATCH($A76,Events!$A$2:$A$391,0)),"")</f>
        <v/>
      </c>
    </row>
    <row r="77" spans="1:9" ht="15" customHeight="1" x14ac:dyDescent="0.35">
      <c r="A77" s="12">
        <v>45367</v>
      </c>
      <c r="B77" s="11">
        <f t="shared" si="5"/>
        <v>2024</v>
      </c>
      <c r="C77" s="11">
        <f t="shared" si="6"/>
        <v>3</v>
      </c>
      <c r="D77" s="11" t="str">
        <f t="shared" si="7"/>
        <v>Sat</v>
      </c>
      <c r="E77" s="11">
        <f t="shared" si="8"/>
        <v>0</v>
      </c>
      <c r="F77" s="11">
        <f t="shared" si="9"/>
        <v>1</v>
      </c>
      <c r="G77" s="16"/>
      <c r="H77" s="11">
        <f>COUNTIF(Events!$A$2:$A$391,$A77)</f>
        <v>0</v>
      </c>
      <c r="I77" s="11" t="str">
        <f>IFERROR(INDEX(Events!$E$2:$E$391,MATCH($A77,Events!$A$2:$A$391,0)),"")</f>
        <v/>
      </c>
    </row>
    <row r="78" spans="1:9" ht="15" customHeight="1" x14ac:dyDescent="0.35">
      <c r="A78" s="12">
        <v>45368</v>
      </c>
      <c r="B78" s="11">
        <f t="shared" si="5"/>
        <v>2024</v>
      </c>
      <c r="C78" s="11">
        <f t="shared" si="6"/>
        <v>3</v>
      </c>
      <c r="D78" s="11" t="str">
        <f t="shared" si="7"/>
        <v>Sun</v>
      </c>
      <c r="E78" s="11">
        <f t="shared" si="8"/>
        <v>0</v>
      </c>
      <c r="F78" s="11">
        <f t="shared" si="9"/>
        <v>1</v>
      </c>
      <c r="G78" s="16"/>
      <c r="H78" s="11">
        <f>COUNTIF(Events!$A$2:$A$391,$A78)</f>
        <v>0</v>
      </c>
      <c r="I78" s="11" t="str">
        <f>IFERROR(INDEX(Events!$E$2:$E$391,MATCH($A78,Events!$A$2:$A$391,0)),"")</f>
        <v/>
      </c>
    </row>
    <row r="79" spans="1:9" ht="15" customHeight="1" x14ac:dyDescent="0.35">
      <c r="A79" s="12">
        <v>45369</v>
      </c>
      <c r="B79" s="11">
        <f t="shared" si="5"/>
        <v>2024</v>
      </c>
      <c r="C79" s="11">
        <f t="shared" si="6"/>
        <v>3</v>
      </c>
      <c r="D79" s="11" t="str">
        <f t="shared" si="7"/>
        <v>Mon</v>
      </c>
      <c r="E79" s="11">
        <f t="shared" si="8"/>
        <v>0</v>
      </c>
      <c r="F79" s="11">
        <f t="shared" si="9"/>
        <v>1</v>
      </c>
      <c r="G79" s="16"/>
      <c r="H79" s="11">
        <f>COUNTIF(Events!$A$2:$A$391,$A79)</f>
        <v>0</v>
      </c>
      <c r="I79" s="11" t="str">
        <f>IFERROR(INDEX(Events!$E$2:$E$391,MATCH($A79,Events!$A$2:$A$391,0)),"")</f>
        <v/>
      </c>
    </row>
    <row r="80" spans="1:9" ht="15" customHeight="1" x14ac:dyDescent="0.35">
      <c r="A80" s="12">
        <v>45370</v>
      </c>
      <c r="B80" s="11">
        <f t="shared" si="5"/>
        <v>2024</v>
      </c>
      <c r="C80" s="11">
        <f t="shared" si="6"/>
        <v>3</v>
      </c>
      <c r="D80" s="11" t="str">
        <f t="shared" si="7"/>
        <v>Tue</v>
      </c>
      <c r="E80" s="11">
        <f t="shared" si="8"/>
        <v>0</v>
      </c>
      <c r="F80" s="11">
        <f t="shared" si="9"/>
        <v>1</v>
      </c>
      <c r="G80" s="16"/>
      <c r="H80" s="11">
        <f>COUNTIF(Events!$A$2:$A$391,$A80)</f>
        <v>0</v>
      </c>
      <c r="I80" s="11" t="str">
        <f>IFERROR(INDEX(Events!$E$2:$E$391,MATCH($A80,Events!$A$2:$A$391,0)),"")</f>
        <v/>
      </c>
    </row>
    <row r="81" spans="1:9" ht="15" customHeight="1" x14ac:dyDescent="0.35">
      <c r="A81" s="12">
        <v>45371</v>
      </c>
      <c r="B81" s="11">
        <f t="shared" si="5"/>
        <v>2024</v>
      </c>
      <c r="C81" s="11">
        <f t="shared" si="6"/>
        <v>3</v>
      </c>
      <c r="D81" s="11" t="str">
        <f t="shared" si="7"/>
        <v>Wed</v>
      </c>
      <c r="E81" s="11">
        <f t="shared" si="8"/>
        <v>0</v>
      </c>
      <c r="F81" s="11">
        <f t="shared" si="9"/>
        <v>1</v>
      </c>
      <c r="G81" s="16"/>
      <c r="H81" s="11">
        <f>COUNTIF(Events!$A$2:$A$391,$A81)</f>
        <v>0</v>
      </c>
      <c r="I81" s="11" t="str">
        <f>IFERROR(INDEX(Events!$E$2:$E$391,MATCH($A81,Events!$A$2:$A$391,0)),"")</f>
        <v/>
      </c>
    </row>
    <row r="82" spans="1:9" ht="15" customHeight="1" x14ac:dyDescent="0.35">
      <c r="A82" s="12">
        <v>45372</v>
      </c>
      <c r="B82" s="11">
        <f t="shared" si="5"/>
        <v>2024</v>
      </c>
      <c r="C82" s="11">
        <f t="shared" si="6"/>
        <v>3</v>
      </c>
      <c r="D82" s="11" t="str">
        <f t="shared" si="7"/>
        <v>Thu</v>
      </c>
      <c r="E82" s="11">
        <f t="shared" si="8"/>
        <v>0</v>
      </c>
      <c r="F82" s="11">
        <f t="shared" si="9"/>
        <v>1</v>
      </c>
      <c r="G82" s="16"/>
      <c r="H82" s="11">
        <f>COUNTIF(Events!$A$2:$A$391,$A82)</f>
        <v>0</v>
      </c>
      <c r="I82" s="11" t="str">
        <f>IFERROR(INDEX(Events!$E$2:$E$391,MATCH($A82,Events!$A$2:$A$391,0)),"")</f>
        <v/>
      </c>
    </row>
    <row r="83" spans="1:9" ht="15" customHeight="1" x14ac:dyDescent="0.35">
      <c r="A83" s="12">
        <v>45373</v>
      </c>
      <c r="B83" s="11">
        <f t="shared" si="5"/>
        <v>2024</v>
      </c>
      <c r="C83" s="11">
        <f t="shared" si="6"/>
        <v>3</v>
      </c>
      <c r="D83" s="11" t="str">
        <f t="shared" si="7"/>
        <v>Fri</v>
      </c>
      <c r="E83" s="11">
        <f t="shared" si="8"/>
        <v>0</v>
      </c>
      <c r="F83" s="11">
        <f t="shared" si="9"/>
        <v>1</v>
      </c>
      <c r="G83" s="16"/>
      <c r="H83" s="11">
        <f>COUNTIF(Events!$A$2:$A$391,$A83)</f>
        <v>0</v>
      </c>
      <c r="I83" s="11" t="str">
        <f>IFERROR(INDEX(Events!$E$2:$E$391,MATCH($A83,Events!$A$2:$A$391,0)),"")</f>
        <v/>
      </c>
    </row>
    <row r="84" spans="1:9" ht="15" customHeight="1" x14ac:dyDescent="0.35">
      <c r="A84" s="12">
        <v>45374</v>
      </c>
      <c r="B84" s="11">
        <f t="shared" si="5"/>
        <v>2024</v>
      </c>
      <c r="C84" s="11">
        <f t="shared" si="6"/>
        <v>3</v>
      </c>
      <c r="D84" s="11" t="str">
        <f t="shared" si="7"/>
        <v>Sat</v>
      </c>
      <c r="E84" s="11">
        <f t="shared" si="8"/>
        <v>0</v>
      </c>
      <c r="F84" s="11">
        <f t="shared" si="9"/>
        <v>1</v>
      </c>
      <c r="G84" s="16"/>
      <c r="H84" s="11">
        <f>COUNTIF(Events!$A$2:$A$391,$A84)</f>
        <v>0</v>
      </c>
      <c r="I84" s="11" t="str">
        <f>IFERROR(INDEX(Events!$E$2:$E$391,MATCH($A84,Events!$A$2:$A$391,0)),"")</f>
        <v/>
      </c>
    </row>
    <row r="85" spans="1:9" ht="15" customHeight="1" x14ac:dyDescent="0.35">
      <c r="A85" s="12">
        <v>45375</v>
      </c>
      <c r="B85" s="11">
        <f t="shared" si="5"/>
        <v>2024</v>
      </c>
      <c r="C85" s="11">
        <f t="shared" si="6"/>
        <v>3</v>
      </c>
      <c r="D85" s="11" t="str">
        <f t="shared" si="7"/>
        <v>Sun</v>
      </c>
      <c r="E85" s="11">
        <f t="shared" si="8"/>
        <v>0</v>
      </c>
      <c r="F85" s="11">
        <f t="shared" si="9"/>
        <v>1</v>
      </c>
      <c r="G85" s="16"/>
      <c r="H85" s="11">
        <f>COUNTIF(Events!$A$2:$A$391,$A85)</f>
        <v>0</v>
      </c>
      <c r="I85" s="11" t="str">
        <f>IFERROR(INDEX(Events!$E$2:$E$391,MATCH($A85,Events!$A$2:$A$391,0)),"")</f>
        <v/>
      </c>
    </row>
    <row r="86" spans="1:9" ht="15" customHeight="1" x14ac:dyDescent="0.35">
      <c r="A86" s="12">
        <v>45376</v>
      </c>
      <c r="B86" s="11">
        <f t="shared" si="5"/>
        <v>2024</v>
      </c>
      <c r="C86" s="11">
        <f t="shared" si="6"/>
        <v>3</v>
      </c>
      <c r="D86" s="11" t="str">
        <f t="shared" si="7"/>
        <v>Mon</v>
      </c>
      <c r="E86" s="11">
        <f t="shared" si="8"/>
        <v>0</v>
      </c>
      <c r="F86" s="11">
        <f t="shared" si="9"/>
        <v>1</v>
      </c>
      <c r="G86" s="16"/>
      <c r="H86" s="11">
        <f>COUNTIF(Events!$A$2:$A$391,$A86)</f>
        <v>0</v>
      </c>
      <c r="I86" s="11" t="str">
        <f>IFERROR(INDEX(Events!$E$2:$E$391,MATCH($A86,Events!$A$2:$A$391,0)),"")</f>
        <v/>
      </c>
    </row>
    <row r="87" spans="1:9" ht="15" customHeight="1" x14ac:dyDescent="0.35">
      <c r="A87" s="12">
        <v>45377</v>
      </c>
      <c r="B87" s="11">
        <f t="shared" si="5"/>
        <v>2024</v>
      </c>
      <c r="C87" s="11">
        <f t="shared" si="6"/>
        <v>3</v>
      </c>
      <c r="D87" s="11" t="str">
        <f t="shared" si="7"/>
        <v>Tue</v>
      </c>
      <c r="E87" s="11">
        <f t="shared" si="8"/>
        <v>0</v>
      </c>
      <c r="F87" s="11">
        <f t="shared" si="9"/>
        <v>1</v>
      </c>
      <c r="G87" s="16"/>
      <c r="H87" s="11">
        <f>COUNTIF(Events!$A$2:$A$391,$A87)</f>
        <v>0</v>
      </c>
      <c r="I87" s="11" t="str">
        <f>IFERROR(INDEX(Events!$E$2:$E$391,MATCH($A87,Events!$A$2:$A$391,0)),"")</f>
        <v/>
      </c>
    </row>
    <row r="88" spans="1:9" ht="15" customHeight="1" x14ac:dyDescent="0.35">
      <c r="A88" s="12">
        <v>45378</v>
      </c>
      <c r="B88" s="11">
        <f t="shared" si="5"/>
        <v>2024</v>
      </c>
      <c r="C88" s="11">
        <f t="shared" si="6"/>
        <v>3</v>
      </c>
      <c r="D88" s="11" t="str">
        <f t="shared" si="7"/>
        <v>Wed</v>
      </c>
      <c r="E88" s="11">
        <f t="shared" si="8"/>
        <v>0</v>
      </c>
      <c r="F88" s="11">
        <f t="shared" si="9"/>
        <v>1</v>
      </c>
      <c r="G88" s="16"/>
      <c r="H88" s="11">
        <f>COUNTIF(Events!$A$2:$A$391,$A88)</f>
        <v>0</v>
      </c>
      <c r="I88" s="11" t="str">
        <f>IFERROR(INDEX(Events!$E$2:$E$391,MATCH($A88,Events!$A$2:$A$391,0)),"")</f>
        <v/>
      </c>
    </row>
    <row r="89" spans="1:9" ht="15" customHeight="1" x14ac:dyDescent="0.35">
      <c r="A89" s="12">
        <v>45379</v>
      </c>
      <c r="B89" s="11">
        <f t="shared" si="5"/>
        <v>2024</v>
      </c>
      <c r="C89" s="11">
        <f t="shared" si="6"/>
        <v>3</v>
      </c>
      <c r="D89" s="11" t="str">
        <f t="shared" si="7"/>
        <v>Thu</v>
      </c>
      <c r="E89" s="11">
        <f t="shared" si="8"/>
        <v>0</v>
      </c>
      <c r="F89" s="11">
        <f t="shared" si="9"/>
        <v>1</v>
      </c>
      <c r="G89" s="16"/>
      <c r="H89" s="11">
        <f>COUNTIF(Events!$A$2:$A$391,$A89)</f>
        <v>0</v>
      </c>
      <c r="I89" s="11" t="str">
        <f>IFERROR(INDEX(Events!$E$2:$E$391,MATCH($A89,Events!$A$2:$A$391,0)),"")</f>
        <v/>
      </c>
    </row>
    <row r="90" spans="1:9" ht="15" customHeight="1" x14ac:dyDescent="0.35">
      <c r="A90" s="12">
        <v>45380</v>
      </c>
      <c r="B90" s="11">
        <f t="shared" si="5"/>
        <v>2024</v>
      </c>
      <c r="C90" s="11">
        <f t="shared" si="6"/>
        <v>3</v>
      </c>
      <c r="D90" s="11" t="str">
        <f t="shared" si="7"/>
        <v>Fri</v>
      </c>
      <c r="E90" s="11">
        <f t="shared" si="8"/>
        <v>0</v>
      </c>
      <c r="F90" s="11">
        <f t="shared" si="9"/>
        <v>1</v>
      </c>
      <c r="G90" s="16"/>
      <c r="H90" s="11">
        <f>COUNTIF(Events!$A$2:$A$391,$A90)</f>
        <v>0</v>
      </c>
      <c r="I90" s="11" t="str">
        <f>IFERROR(INDEX(Events!$E$2:$E$391,MATCH($A90,Events!$A$2:$A$391,0)),"")</f>
        <v/>
      </c>
    </row>
    <row r="91" spans="1:9" ht="15" customHeight="1" x14ac:dyDescent="0.35">
      <c r="A91" s="12">
        <v>45381</v>
      </c>
      <c r="B91" s="11">
        <f t="shared" si="5"/>
        <v>2024</v>
      </c>
      <c r="C91" s="11">
        <f t="shared" si="6"/>
        <v>3</v>
      </c>
      <c r="D91" s="11" t="str">
        <f t="shared" si="7"/>
        <v>Sat</v>
      </c>
      <c r="E91" s="11">
        <f t="shared" si="8"/>
        <v>0</v>
      </c>
      <c r="F91" s="11">
        <f t="shared" si="9"/>
        <v>1</v>
      </c>
      <c r="G91" s="16"/>
      <c r="H91" s="11">
        <f>COUNTIF(Events!$A$2:$A$391,$A91)</f>
        <v>0</v>
      </c>
      <c r="I91" s="11" t="str">
        <f>IFERROR(INDEX(Events!$E$2:$E$391,MATCH($A91,Events!$A$2:$A$391,0)),"")</f>
        <v/>
      </c>
    </row>
    <row r="92" spans="1:9" ht="15" customHeight="1" x14ac:dyDescent="0.35">
      <c r="A92" s="12">
        <v>45382</v>
      </c>
      <c r="B92" s="11">
        <f t="shared" si="5"/>
        <v>2024</v>
      </c>
      <c r="C92" s="11">
        <f t="shared" si="6"/>
        <v>3</v>
      </c>
      <c r="D92" s="11" t="str">
        <f t="shared" si="7"/>
        <v>Sun</v>
      </c>
      <c r="E92" s="11">
        <f t="shared" si="8"/>
        <v>0</v>
      </c>
      <c r="F92" s="11">
        <f t="shared" si="9"/>
        <v>1</v>
      </c>
      <c r="G92" s="16"/>
      <c r="H92" s="11">
        <f>COUNTIF(Events!$A$2:$A$391,$A92)</f>
        <v>0</v>
      </c>
      <c r="I92" s="11" t="str">
        <f>IFERROR(INDEX(Events!$E$2:$E$391,MATCH($A92,Events!$A$2:$A$391,0)),"")</f>
        <v/>
      </c>
    </row>
    <row r="93" spans="1:9" ht="15" customHeight="1" x14ac:dyDescent="0.35">
      <c r="A93" s="12">
        <v>45383</v>
      </c>
      <c r="B93" s="11">
        <f t="shared" si="5"/>
        <v>2024</v>
      </c>
      <c r="C93" s="11">
        <f t="shared" si="6"/>
        <v>4</v>
      </c>
      <c r="D93" s="11" t="str">
        <f t="shared" si="7"/>
        <v>Mon</v>
      </c>
      <c r="E93" s="11">
        <f t="shared" si="8"/>
        <v>0</v>
      </c>
      <c r="F93" s="11">
        <f t="shared" si="9"/>
        <v>0</v>
      </c>
      <c r="G93" s="16"/>
      <c r="H93" s="11">
        <f>COUNTIF(Events!$A$2:$A$391,$A93)</f>
        <v>1</v>
      </c>
      <c r="I93" s="11" t="str">
        <f>IFERROR(INDEX(Events!$E$2:$E$391,MATCH($A93,Events!$A$2:$A$391,0)),"")</f>
        <v>CY2025 Rate Announcement: final MA capitation rates (+3.70% avg) and Part C/D payment policies</v>
      </c>
    </row>
    <row r="94" spans="1:9" ht="15" customHeight="1" x14ac:dyDescent="0.35">
      <c r="A94" s="12">
        <v>45384</v>
      </c>
      <c r="B94" s="11">
        <f t="shared" si="5"/>
        <v>2024</v>
      </c>
      <c r="C94" s="11">
        <f t="shared" si="6"/>
        <v>4</v>
      </c>
      <c r="D94" s="11" t="str">
        <f t="shared" si="7"/>
        <v>Tue</v>
      </c>
      <c r="E94" s="11">
        <f t="shared" si="8"/>
        <v>0</v>
      </c>
      <c r="F94" s="11">
        <f t="shared" si="9"/>
        <v>0</v>
      </c>
      <c r="G94" s="16"/>
      <c r="H94" s="11">
        <f>COUNTIF(Events!$A$2:$A$391,$A94)</f>
        <v>0</v>
      </c>
      <c r="I94" s="11" t="str">
        <f>IFERROR(INDEX(Events!$E$2:$E$391,MATCH($A94,Events!$A$2:$A$391,0)),"")</f>
        <v/>
      </c>
    </row>
    <row r="95" spans="1:9" ht="15" customHeight="1" x14ac:dyDescent="0.35">
      <c r="A95" s="12">
        <v>45385</v>
      </c>
      <c r="B95" s="11">
        <f t="shared" si="5"/>
        <v>2024</v>
      </c>
      <c r="C95" s="11">
        <f t="shared" si="6"/>
        <v>4</v>
      </c>
      <c r="D95" s="11" t="str">
        <f t="shared" si="7"/>
        <v>Wed</v>
      </c>
      <c r="E95" s="11">
        <f t="shared" si="8"/>
        <v>0</v>
      </c>
      <c r="F95" s="11">
        <f t="shared" si="9"/>
        <v>0</v>
      </c>
      <c r="G95" s="16"/>
      <c r="H95" s="11">
        <f>COUNTIF(Events!$A$2:$A$391,$A95)</f>
        <v>0</v>
      </c>
      <c r="I95" s="11" t="str">
        <f>IFERROR(INDEX(Events!$E$2:$E$391,MATCH($A95,Events!$A$2:$A$391,0)),"")</f>
        <v/>
      </c>
    </row>
    <row r="96" spans="1:9" ht="15" customHeight="1" x14ac:dyDescent="0.35">
      <c r="A96" s="12">
        <v>45386</v>
      </c>
      <c r="B96" s="11">
        <f t="shared" si="5"/>
        <v>2024</v>
      </c>
      <c r="C96" s="11">
        <f t="shared" si="6"/>
        <v>4</v>
      </c>
      <c r="D96" s="11" t="str">
        <f t="shared" si="7"/>
        <v>Thu</v>
      </c>
      <c r="E96" s="11">
        <f t="shared" si="8"/>
        <v>0</v>
      </c>
      <c r="F96" s="11">
        <f t="shared" si="9"/>
        <v>0</v>
      </c>
      <c r="G96" s="16"/>
      <c r="H96" s="11">
        <f>COUNTIF(Events!$A$2:$A$391,$A96)</f>
        <v>1</v>
      </c>
      <c r="I96" s="11" t="str">
        <f>IFERROR(INDEX(Events!$E$2:$E$391,MATCH($A96,Events!$A$2:$A$391,0)),"")</f>
        <v>CY2025 MA &amp; Part D Final Rule (CMS-4205-F): fixed agent/broker compensation (+$100 initial), TPMO one-to-one consent for data sharing, mid-year unused-benefits notice, SSBCI evidence requirements, dual/LIS SEP overhaul, D-SNP look-alike threshold phase-down, behavioral health network adequacy</v>
      </c>
    </row>
    <row r="97" spans="1:9" ht="15" customHeight="1" x14ac:dyDescent="0.35">
      <c r="A97" s="12">
        <v>45387</v>
      </c>
      <c r="B97" s="11">
        <f t="shared" si="5"/>
        <v>2024</v>
      </c>
      <c r="C97" s="11">
        <f t="shared" si="6"/>
        <v>4</v>
      </c>
      <c r="D97" s="11" t="str">
        <f t="shared" si="7"/>
        <v>Fri</v>
      </c>
      <c r="E97" s="11">
        <f t="shared" si="8"/>
        <v>0</v>
      </c>
      <c r="F97" s="11">
        <f t="shared" si="9"/>
        <v>0</v>
      </c>
      <c r="G97" s="16"/>
      <c r="H97" s="11">
        <f>COUNTIF(Events!$A$2:$A$391,$A97)</f>
        <v>0</v>
      </c>
      <c r="I97" s="11" t="str">
        <f>IFERROR(INDEX(Events!$E$2:$E$391,MATCH($A97,Events!$A$2:$A$391,0)),"")</f>
        <v/>
      </c>
    </row>
    <row r="98" spans="1:9" ht="15" customHeight="1" x14ac:dyDescent="0.35">
      <c r="A98" s="12">
        <v>45388</v>
      </c>
      <c r="B98" s="11">
        <f t="shared" si="5"/>
        <v>2024</v>
      </c>
      <c r="C98" s="11">
        <f t="shared" si="6"/>
        <v>4</v>
      </c>
      <c r="D98" s="11" t="str">
        <f t="shared" si="7"/>
        <v>Sat</v>
      </c>
      <c r="E98" s="11">
        <f t="shared" si="8"/>
        <v>0</v>
      </c>
      <c r="F98" s="11">
        <f t="shared" si="9"/>
        <v>0</v>
      </c>
      <c r="G98" s="16"/>
      <c r="H98" s="11">
        <f>COUNTIF(Events!$A$2:$A$391,$A98)</f>
        <v>0</v>
      </c>
      <c r="I98" s="11" t="str">
        <f>IFERROR(INDEX(Events!$E$2:$E$391,MATCH($A98,Events!$A$2:$A$391,0)),"")</f>
        <v/>
      </c>
    </row>
    <row r="99" spans="1:9" ht="15" customHeight="1" x14ac:dyDescent="0.35">
      <c r="A99" s="12">
        <v>45389</v>
      </c>
      <c r="B99" s="11">
        <f t="shared" si="5"/>
        <v>2024</v>
      </c>
      <c r="C99" s="11">
        <f t="shared" si="6"/>
        <v>4</v>
      </c>
      <c r="D99" s="11" t="str">
        <f t="shared" si="7"/>
        <v>Sun</v>
      </c>
      <c r="E99" s="11">
        <f t="shared" si="8"/>
        <v>0</v>
      </c>
      <c r="F99" s="11">
        <f t="shared" si="9"/>
        <v>0</v>
      </c>
      <c r="G99" s="16"/>
      <c r="H99" s="11">
        <f>COUNTIF(Events!$A$2:$A$391,$A99)</f>
        <v>0</v>
      </c>
      <c r="I99" s="11" t="str">
        <f>IFERROR(INDEX(Events!$E$2:$E$391,MATCH($A99,Events!$A$2:$A$391,0)),"")</f>
        <v/>
      </c>
    </row>
    <row r="100" spans="1:9" ht="15" customHeight="1" x14ac:dyDescent="0.35">
      <c r="A100" s="12">
        <v>45390</v>
      </c>
      <c r="B100" s="11">
        <f t="shared" si="5"/>
        <v>2024</v>
      </c>
      <c r="C100" s="11">
        <f t="shared" si="6"/>
        <v>4</v>
      </c>
      <c r="D100" s="11" t="str">
        <f t="shared" si="7"/>
        <v>Mon</v>
      </c>
      <c r="E100" s="11">
        <f t="shared" si="8"/>
        <v>0</v>
      </c>
      <c r="F100" s="11">
        <f t="shared" si="9"/>
        <v>0</v>
      </c>
      <c r="G100" s="16"/>
      <c r="H100" s="11">
        <f>COUNTIF(Events!$A$2:$A$391,$A100)</f>
        <v>0</v>
      </c>
      <c r="I100" s="11" t="str">
        <f>IFERROR(INDEX(Events!$E$2:$E$391,MATCH($A100,Events!$A$2:$A$391,0)),"")</f>
        <v/>
      </c>
    </row>
    <row r="101" spans="1:9" ht="15" customHeight="1" x14ac:dyDescent="0.35">
      <c r="A101" s="12">
        <v>45391</v>
      </c>
      <c r="B101" s="11">
        <f t="shared" si="5"/>
        <v>2024</v>
      </c>
      <c r="C101" s="11">
        <f t="shared" si="6"/>
        <v>4</v>
      </c>
      <c r="D101" s="11" t="str">
        <f t="shared" si="7"/>
        <v>Tue</v>
      </c>
      <c r="E101" s="11">
        <f t="shared" si="8"/>
        <v>0</v>
      </c>
      <c r="F101" s="11">
        <f t="shared" si="9"/>
        <v>0</v>
      </c>
      <c r="G101" s="16"/>
      <c r="H101" s="11">
        <f>COUNTIF(Events!$A$2:$A$391,$A101)</f>
        <v>0</v>
      </c>
      <c r="I101" s="11" t="str">
        <f>IFERROR(INDEX(Events!$E$2:$E$391,MATCH($A101,Events!$A$2:$A$391,0)),"")</f>
        <v/>
      </c>
    </row>
    <row r="102" spans="1:9" ht="15" customHeight="1" x14ac:dyDescent="0.35">
      <c r="A102" s="12">
        <v>45392</v>
      </c>
      <c r="B102" s="11">
        <f t="shared" si="5"/>
        <v>2024</v>
      </c>
      <c r="C102" s="11">
        <f t="shared" si="6"/>
        <v>4</v>
      </c>
      <c r="D102" s="11" t="str">
        <f t="shared" si="7"/>
        <v>Wed</v>
      </c>
      <c r="E102" s="11">
        <f t="shared" si="8"/>
        <v>0</v>
      </c>
      <c r="F102" s="11">
        <f t="shared" si="9"/>
        <v>0</v>
      </c>
      <c r="G102" s="16"/>
      <c r="H102" s="11">
        <f>COUNTIF(Events!$A$2:$A$391,$A102)</f>
        <v>0</v>
      </c>
      <c r="I102" s="11" t="str">
        <f>IFERROR(INDEX(Events!$E$2:$E$391,MATCH($A102,Events!$A$2:$A$391,0)),"")</f>
        <v/>
      </c>
    </row>
    <row r="103" spans="1:9" ht="15" customHeight="1" x14ac:dyDescent="0.35">
      <c r="A103" s="12">
        <v>45393</v>
      </c>
      <c r="B103" s="11">
        <f t="shared" si="5"/>
        <v>2024</v>
      </c>
      <c r="C103" s="11">
        <f t="shared" si="6"/>
        <v>4</v>
      </c>
      <c r="D103" s="11" t="str">
        <f t="shared" si="7"/>
        <v>Thu</v>
      </c>
      <c r="E103" s="11">
        <f t="shared" si="8"/>
        <v>0</v>
      </c>
      <c r="F103" s="11">
        <f t="shared" si="9"/>
        <v>0</v>
      </c>
      <c r="G103" s="16"/>
      <c r="H103" s="11">
        <f>COUNTIF(Events!$A$2:$A$391,$A103)</f>
        <v>0</v>
      </c>
      <c r="I103" s="11" t="str">
        <f>IFERROR(INDEX(Events!$E$2:$E$391,MATCH($A103,Events!$A$2:$A$391,0)),"")</f>
        <v/>
      </c>
    </row>
    <row r="104" spans="1:9" ht="15" customHeight="1" x14ac:dyDescent="0.35">
      <c r="A104" s="12">
        <v>45394</v>
      </c>
      <c r="B104" s="11">
        <f t="shared" si="5"/>
        <v>2024</v>
      </c>
      <c r="C104" s="11">
        <f t="shared" si="6"/>
        <v>4</v>
      </c>
      <c r="D104" s="11" t="str">
        <f t="shared" si="7"/>
        <v>Fri</v>
      </c>
      <c r="E104" s="11">
        <f t="shared" si="8"/>
        <v>0</v>
      </c>
      <c r="F104" s="11">
        <f t="shared" si="9"/>
        <v>0</v>
      </c>
      <c r="G104" s="16"/>
      <c r="H104" s="11">
        <f>COUNTIF(Events!$A$2:$A$391,$A104)</f>
        <v>0</v>
      </c>
      <c r="I104" s="11" t="str">
        <f>IFERROR(INDEX(Events!$E$2:$E$391,MATCH($A104,Events!$A$2:$A$391,0)),"")</f>
        <v/>
      </c>
    </row>
    <row r="105" spans="1:9" ht="15" customHeight="1" x14ac:dyDescent="0.35">
      <c r="A105" s="12">
        <v>45395</v>
      </c>
      <c r="B105" s="11">
        <f t="shared" si="5"/>
        <v>2024</v>
      </c>
      <c r="C105" s="11">
        <f t="shared" si="6"/>
        <v>4</v>
      </c>
      <c r="D105" s="11" t="str">
        <f t="shared" si="7"/>
        <v>Sat</v>
      </c>
      <c r="E105" s="11">
        <f t="shared" si="8"/>
        <v>0</v>
      </c>
      <c r="F105" s="11">
        <f t="shared" si="9"/>
        <v>0</v>
      </c>
      <c r="G105" s="16"/>
      <c r="H105" s="11">
        <f>COUNTIF(Events!$A$2:$A$391,$A105)</f>
        <v>0</v>
      </c>
      <c r="I105" s="11" t="str">
        <f>IFERROR(INDEX(Events!$E$2:$E$391,MATCH($A105,Events!$A$2:$A$391,0)),"")</f>
        <v/>
      </c>
    </row>
    <row r="106" spans="1:9" ht="15" customHeight="1" x14ac:dyDescent="0.35">
      <c r="A106" s="12">
        <v>45396</v>
      </c>
      <c r="B106" s="11">
        <f t="shared" si="5"/>
        <v>2024</v>
      </c>
      <c r="C106" s="11">
        <f t="shared" si="6"/>
        <v>4</v>
      </c>
      <c r="D106" s="11" t="str">
        <f t="shared" si="7"/>
        <v>Sun</v>
      </c>
      <c r="E106" s="11">
        <f t="shared" si="8"/>
        <v>0</v>
      </c>
      <c r="F106" s="11">
        <f t="shared" si="9"/>
        <v>0</v>
      </c>
      <c r="G106" s="16"/>
      <c r="H106" s="11">
        <f>COUNTIF(Events!$A$2:$A$391,$A106)</f>
        <v>0</v>
      </c>
      <c r="I106" s="11" t="str">
        <f>IFERROR(INDEX(Events!$E$2:$E$391,MATCH($A106,Events!$A$2:$A$391,0)),"")</f>
        <v/>
      </c>
    </row>
    <row r="107" spans="1:9" ht="15" customHeight="1" x14ac:dyDescent="0.35">
      <c r="A107" s="12">
        <v>45397</v>
      </c>
      <c r="B107" s="11">
        <f t="shared" si="5"/>
        <v>2024</v>
      </c>
      <c r="C107" s="11">
        <f t="shared" si="6"/>
        <v>4</v>
      </c>
      <c r="D107" s="11" t="str">
        <f t="shared" si="7"/>
        <v>Mon</v>
      </c>
      <c r="E107" s="11">
        <f t="shared" si="8"/>
        <v>0</v>
      </c>
      <c r="F107" s="11">
        <f t="shared" si="9"/>
        <v>0</v>
      </c>
      <c r="G107" s="16"/>
      <c r="H107" s="11">
        <f>COUNTIF(Events!$A$2:$A$391,$A107)</f>
        <v>0</v>
      </c>
      <c r="I107" s="11" t="str">
        <f>IFERROR(INDEX(Events!$E$2:$E$391,MATCH($A107,Events!$A$2:$A$391,0)),"")</f>
        <v/>
      </c>
    </row>
    <row r="108" spans="1:9" ht="15" customHeight="1" x14ac:dyDescent="0.35">
      <c r="A108" s="12">
        <v>45398</v>
      </c>
      <c r="B108" s="11">
        <f t="shared" si="5"/>
        <v>2024</v>
      </c>
      <c r="C108" s="11">
        <f t="shared" si="6"/>
        <v>4</v>
      </c>
      <c r="D108" s="11" t="str">
        <f t="shared" si="7"/>
        <v>Tue</v>
      </c>
      <c r="E108" s="11">
        <f t="shared" si="8"/>
        <v>0</v>
      </c>
      <c r="F108" s="11">
        <f t="shared" si="9"/>
        <v>0</v>
      </c>
      <c r="G108" s="16"/>
      <c r="H108" s="11">
        <f>COUNTIF(Events!$A$2:$A$391,$A108)</f>
        <v>0</v>
      </c>
      <c r="I108" s="11" t="str">
        <f>IFERROR(INDEX(Events!$E$2:$E$391,MATCH($A108,Events!$A$2:$A$391,0)),"")</f>
        <v/>
      </c>
    </row>
    <row r="109" spans="1:9" ht="15" customHeight="1" x14ac:dyDescent="0.35">
      <c r="A109" s="12">
        <v>45399</v>
      </c>
      <c r="B109" s="11">
        <f t="shared" si="5"/>
        <v>2024</v>
      </c>
      <c r="C109" s="11">
        <f t="shared" si="6"/>
        <v>4</v>
      </c>
      <c r="D109" s="11" t="str">
        <f t="shared" si="7"/>
        <v>Wed</v>
      </c>
      <c r="E109" s="11">
        <f t="shared" si="8"/>
        <v>0</v>
      </c>
      <c r="F109" s="11">
        <f t="shared" si="9"/>
        <v>0</v>
      </c>
      <c r="G109" s="16"/>
      <c r="H109" s="11">
        <f>COUNTIF(Events!$A$2:$A$391,$A109)</f>
        <v>0</v>
      </c>
      <c r="I109" s="11" t="str">
        <f>IFERROR(INDEX(Events!$E$2:$E$391,MATCH($A109,Events!$A$2:$A$391,0)),"")</f>
        <v/>
      </c>
    </row>
    <row r="110" spans="1:9" ht="15" customHeight="1" x14ac:dyDescent="0.35">
      <c r="A110" s="12">
        <v>45400</v>
      </c>
      <c r="B110" s="11">
        <f t="shared" si="5"/>
        <v>2024</v>
      </c>
      <c r="C110" s="11">
        <f t="shared" si="6"/>
        <v>4</v>
      </c>
      <c r="D110" s="11" t="str">
        <f t="shared" si="7"/>
        <v>Thu</v>
      </c>
      <c r="E110" s="11">
        <f t="shared" si="8"/>
        <v>0</v>
      </c>
      <c r="F110" s="11">
        <f t="shared" si="9"/>
        <v>0</v>
      </c>
      <c r="G110" s="16"/>
      <c r="H110" s="11">
        <f>COUNTIF(Events!$A$2:$A$391,$A110)</f>
        <v>0</v>
      </c>
      <c r="I110" s="11" t="str">
        <f>IFERROR(INDEX(Events!$E$2:$E$391,MATCH($A110,Events!$A$2:$A$391,0)),"")</f>
        <v/>
      </c>
    </row>
    <row r="111" spans="1:9" ht="15" customHeight="1" x14ac:dyDescent="0.35">
      <c r="A111" s="12">
        <v>45401</v>
      </c>
      <c r="B111" s="11">
        <f t="shared" si="5"/>
        <v>2024</v>
      </c>
      <c r="C111" s="11">
        <f t="shared" si="6"/>
        <v>4</v>
      </c>
      <c r="D111" s="11" t="str">
        <f t="shared" si="7"/>
        <v>Fri</v>
      </c>
      <c r="E111" s="11">
        <f t="shared" si="8"/>
        <v>0</v>
      </c>
      <c r="F111" s="11">
        <f t="shared" si="9"/>
        <v>0</v>
      </c>
      <c r="G111" s="16"/>
      <c r="H111" s="11">
        <f>COUNTIF(Events!$A$2:$A$391,$A111)</f>
        <v>0</v>
      </c>
      <c r="I111" s="11" t="str">
        <f>IFERROR(INDEX(Events!$E$2:$E$391,MATCH($A111,Events!$A$2:$A$391,0)),"")</f>
        <v/>
      </c>
    </row>
    <row r="112" spans="1:9" ht="15" customHeight="1" x14ac:dyDescent="0.35">
      <c r="A112" s="12">
        <v>45402</v>
      </c>
      <c r="B112" s="11">
        <f t="shared" si="5"/>
        <v>2024</v>
      </c>
      <c r="C112" s="11">
        <f t="shared" si="6"/>
        <v>4</v>
      </c>
      <c r="D112" s="11" t="str">
        <f t="shared" si="7"/>
        <v>Sat</v>
      </c>
      <c r="E112" s="11">
        <f t="shared" si="8"/>
        <v>0</v>
      </c>
      <c r="F112" s="11">
        <f t="shared" si="9"/>
        <v>0</v>
      </c>
      <c r="G112" s="16"/>
      <c r="H112" s="11">
        <f>COUNTIF(Events!$A$2:$A$391,$A112)</f>
        <v>0</v>
      </c>
      <c r="I112" s="11" t="str">
        <f>IFERROR(INDEX(Events!$E$2:$E$391,MATCH($A112,Events!$A$2:$A$391,0)),"")</f>
        <v/>
      </c>
    </row>
    <row r="113" spans="1:9" ht="15" customHeight="1" x14ac:dyDescent="0.35">
      <c r="A113" s="12">
        <v>45403</v>
      </c>
      <c r="B113" s="11">
        <f t="shared" si="5"/>
        <v>2024</v>
      </c>
      <c r="C113" s="11">
        <f t="shared" si="6"/>
        <v>4</v>
      </c>
      <c r="D113" s="11" t="str">
        <f t="shared" si="7"/>
        <v>Sun</v>
      </c>
      <c r="E113" s="11">
        <f t="shared" si="8"/>
        <v>0</v>
      </c>
      <c r="F113" s="11">
        <f t="shared" si="9"/>
        <v>0</v>
      </c>
      <c r="G113" s="16"/>
      <c r="H113" s="11">
        <f>COUNTIF(Events!$A$2:$A$391,$A113)</f>
        <v>0</v>
      </c>
      <c r="I113" s="11" t="str">
        <f>IFERROR(INDEX(Events!$E$2:$E$391,MATCH($A113,Events!$A$2:$A$391,0)),"")</f>
        <v/>
      </c>
    </row>
    <row r="114" spans="1:9" ht="15" customHeight="1" x14ac:dyDescent="0.35">
      <c r="A114" s="12">
        <v>45404</v>
      </c>
      <c r="B114" s="11">
        <f t="shared" si="5"/>
        <v>2024</v>
      </c>
      <c r="C114" s="11">
        <f t="shared" si="6"/>
        <v>4</v>
      </c>
      <c r="D114" s="11" t="str">
        <f t="shared" si="7"/>
        <v>Mon</v>
      </c>
      <c r="E114" s="11">
        <f t="shared" si="8"/>
        <v>0</v>
      </c>
      <c r="F114" s="11">
        <f t="shared" si="9"/>
        <v>0</v>
      </c>
      <c r="G114" s="16"/>
      <c r="H114" s="11">
        <f>COUNTIF(Events!$A$2:$A$391,$A114)</f>
        <v>0</v>
      </c>
      <c r="I114" s="11" t="str">
        <f>IFERROR(INDEX(Events!$E$2:$E$391,MATCH($A114,Events!$A$2:$A$391,0)),"")</f>
        <v/>
      </c>
    </row>
    <row r="115" spans="1:9" ht="15" customHeight="1" x14ac:dyDescent="0.35">
      <c r="A115" s="12">
        <v>45405</v>
      </c>
      <c r="B115" s="11">
        <f t="shared" si="5"/>
        <v>2024</v>
      </c>
      <c r="C115" s="11">
        <f t="shared" si="6"/>
        <v>4</v>
      </c>
      <c r="D115" s="11" t="str">
        <f t="shared" si="7"/>
        <v>Tue</v>
      </c>
      <c r="E115" s="11">
        <f t="shared" si="8"/>
        <v>0</v>
      </c>
      <c r="F115" s="11">
        <f t="shared" si="9"/>
        <v>0</v>
      </c>
      <c r="G115" s="16"/>
      <c r="H115" s="11">
        <f>COUNTIF(Events!$A$2:$A$391,$A115)</f>
        <v>0</v>
      </c>
      <c r="I115" s="11" t="str">
        <f>IFERROR(INDEX(Events!$E$2:$E$391,MATCH($A115,Events!$A$2:$A$391,0)),"")</f>
        <v/>
      </c>
    </row>
    <row r="116" spans="1:9" ht="15" customHeight="1" x14ac:dyDescent="0.35">
      <c r="A116" s="12">
        <v>45406</v>
      </c>
      <c r="B116" s="11">
        <f t="shared" si="5"/>
        <v>2024</v>
      </c>
      <c r="C116" s="11">
        <f t="shared" si="6"/>
        <v>4</v>
      </c>
      <c r="D116" s="11" t="str">
        <f t="shared" si="7"/>
        <v>Wed</v>
      </c>
      <c r="E116" s="11">
        <f t="shared" si="8"/>
        <v>0</v>
      </c>
      <c r="F116" s="11">
        <f t="shared" si="9"/>
        <v>0</v>
      </c>
      <c r="G116" s="16"/>
      <c r="H116" s="11">
        <f>COUNTIF(Events!$A$2:$A$391,$A116)</f>
        <v>0</v>
      </c>
      <c r="I116" s="11" t="str">
        <f>IFERROR(INDEX(Events!$E$2:$E$391,MATCH($A116,Events!$A$2:$A$391,0)),"")</f>
        <v/>
      </c>
    </row>
    <row r="117" spans="1:9" ht="15" customHeight="1" x14ac:dyDescent="0.35">
      <c r="A117" s="12">
        <v>45407</v>
      </c>
      <c r="B117" s="11">
        <f t="shared" si="5"/>
        <v>2024</v>
      </c>
      <c r="C117" s="11">
        <f t="shared" si="6"/>
        <v>4</v>
      </c>
      <c r="D117" s="11" t="str">
        <f t="shared" si="7"/>
        <v>Thu</v>
      </c>
      <c r="E117" s="11">
        <f t="shared" si="8"/>
        <v>0</v>
      </c>
      <c r="F117" s="11">
        <f t="shared" si="9"/>
        <v>0</v>
      </c>
      <c r="G117" s="16"/>
      <c r="H117" s="11">
        <f>COUNTIF(Events!$A$2:$A$391,$A117)</f>
        <v>0</v>
      </c>
      <c r="I117" s="11" t="str">
        <f>IFERROR(INDEX(Events!$E$2:$E$391,MATCH($A117,Events!$A$2:$A$391,0)),"")</f>
        <v/>
      </c>
    </row>
    <row r="118" spans="1:9" ht="15" customHeight="1" x14ac:dyDescent="0.35">
      <c r="A118" s="12">
        <v>45408</v>
      </c>
      <c r="B118" s="11">
        <f t="shared" si="5"/>
        <v>2024</v>
      </c>
      <c r="C118" s="11">
        <f t="shared" si="6"/>
        <v>4</v>
      </c>
      <c r="D118" s="11" t="str">
        <f t="shared" si="7"/>
        <v>Fri</v>
      </c>
      <c r="E118" s="11">
        <f t="shared" si="8"/>
        <v>0</v>
      </c>
      <c r="F118" s="11">
        <f t="shared" si="9"/>
        <v>0</v>
      </c>
      <c r="G118" s="16"/>
      <c r="H118" s="11">
        <f>COUNTIF(Events!$A$2:$A$391,$A118)</f>
        <v>0</v>
      </c>
      <c r="I118" s="11" t="str">
        <f>IFERROR(INDEX(Events!$E$2:$E$391,MATCH($A118,Events!$A$2:$A$391,0)),"")</f>
        <v/>
      </c>
    </row>
    <row r="119" spans="1:9" ht="15" customHeight="1" x14ac:dyDescent="0.35">
      <c r="A119" s="12">
        <v>45409</v>
      </c>
      <c r="B119" s="11">
        <f t="shared" si="5"/>
        <v>2024</v>
      </c>
      <c r="C119" s="11">
        <f t="shared" si="6"/>
        <v>4</v>
      </c>
      <c r="D119" s="11" t="str">
        <f t="shared" si="7"/>
        <v>Sat</v>
      </c>
      <c r="E119" s="11">
        <f t="shared" si="8"/>
        <v>0</v>
      </c>
      <c r="F119" s="11">
        <f t="shared" si="9"/>
        <v>0</v>
      </c>
      <c r="G119" s="16"/>
      <c r="H119" s="11">
        <f>COUNTIF(Events!$A$2:$A$391,$A119)</f>
        <v>0</v>
      </c>
      <c r="I119" s="11" t="str">
        <f>IFERROR(INDEX(Events!$E$2:$E$391,MATCH($A119,Events!$A$2:$A$391,0)),"")</f>
        <v/>
      </c>
    </row>
    <row r="120" spans="1:9" ht="15" customHeight="1" x14ac:dyDescent="0.35">
      <c r="A120" s="12">
        <v>45410</v>
      </c>
      <c r="B120" s="11">
        <f t="shared" si="5"/>
        <v>2024</v>
      </c>
      <c r="C120" s="11">
        <f t="shared" si="6"/>
        <v>4</v>
      </c>
      <c r="D120" s="11" t="str">
        <f t="shared" si="7"/>
        <v>Sun</v>
      </c>
      <c r="E120" s="11">
        <f t="shared" si="8"/>
        <v>0</v>
      </c>
      <c r="F120" s="11">
        <f t="shared" si="9"/>
        <v>0</v>
      </c>
      <c r="G120" s="16"/>
      <c r="H120" s="11">
        <f>COUNTIF(Events!$A$2:$A$391,$A120)</f>
        <v>0</v>
      </c>
      <c r="I120" s="11" t="str">
        <f>IFERROR(INDEX(Events!$E$2:$E$391,MATCH($A120,Events!$A$2:$A$391,0)),"")</f>
        <v/>
      </c>
    </row>
    <row r="121" spans="1:9" ht="15" customHeight="1" x14ac:dyDescent="0.35">
      <c r="A121" s="12">
        <v>45411</v>
      </c>
      <c r="B121" s="11">
        <f t="shared" si="5"/>
        <v>2024</v>
      </c>
      <c r="C121" s="11">
        <f t="shared" si="6"/>
        <v>4</v>
      </c>
      <c r="D121" s="11" t="str">
        <f t="shared" si="7"/>
        <v>Mon</v>
      </c>
      <c r="E121" s="11">
        <f t="shared" si="8"/>
        <v>0</v>
      </c>
      <c r="F121" s="11">
        <f t="shared" si="9"/>
        <v>0</v>
      </c>
      <c r="G121" s="16"/>
      <c r="H121" s="11">
        <f>COUNTIF(Events!$A$2:$A$391,$A121)</f>
        <v>0</v>
      </c>
      <c r="I121" s="11" t="str">
        <f>IFERROR(INDEX(Events!$E$2:$E$391,MATCH($A121,Events!$A$2:$A$391,0)),"")</f>
        <v/>
      </c>
    </row>
    <row r="122" spans="1:9" ht="15" customHeight="1" x14ac:dyDescent="0.35">
      <c r="A122" s="12">
        <v>45412</v>
      </c>
      <c r="B122" s="11">
        <f t="shared" si="5"/>
        <v>2024</v>
      </c>
      <c r="C122" s="11">
        <f t="shared" si="6"/>
        <v>4</v>
      </c>
      <c r="D122" s="11" t="str">
        <f t="shared" si="7"/>
        <v>Tue</v>
      </c>
      <c r="E122" s="11">
        <f t="shared" si="8"/>
        <v>0</v>
      </c>
      <c r="F122" s="11">
        <f t="shared" si="9"/>
        <v>0</v>
      </c>
      <c r="G122" s="16"/>
      <c r="H122" s="11">
        <f>COUNTIF(Events!$A$2:$A$391,$A122)</f>
        <v>0</v>
      </c>
      <c r="I122" s="11" t="str">
        <f>IFERROR(INDEX(Events!$E$2:$E$391,MATCH($A122,Events!$A$2:$A$391,0)),"")</f>
        <v/>
      </c>
    </row>
    <row r="123" spans="1:9" ht="15" customHeight="1" x14ac:dyDescent="0.35">
      <c r="A123" s="12">
        <v>45413</v>
      </c>
      <c r="B123" s="11">
        <f t="shared" si="5"/>
        <v>2024</v>
      </c>
      <c r="C123" s="11">
        <f t="shared" si="6"/>
        <v>5</v>
      </c>
      <c r="D123" s="11" t="str">
        <f t="shared" si="7"/>
        <v>Wed</v>
      </c>
      <c r="E123" s="11">
        <f t="shared" si="8"/>
        <v>0</v>
      </c>
      <c r="F123" s="11">
        <f t="shared" si="9"/>
        <v>0</v>
      </c>
      <c r="G123" s="16"/>
      <c r="H123" s="11">
        <f>COUNTIF(Events!$A$2:$A$391,$A123)</f>
        <v>0</v>
      </c>
      <c r="I123" s="11" t="str">
        <f>IFERROR(INDEX(Events!$E$2:$E$391,MATCH($A123,Events!$A$2:$A$391,0)),"")</f>
        <v/>
      </c>
    </row>
    <row r="124" spans="1:9" ht="15" customHeight="1" x14ac:dyDescent="0.35">
      <c r="A124" s="12">
        <v>45414</v>
      </c>
      <c r="B124" s="11">
        <f t="shared" si="5"/>
        <v>2024</v>
      </c>
      <c r="C124" s="11">
        <f t="shared" si="6"/>
        <v>5</v>
      </c>
      <c r="D124" s="11" t="str">
        <f t="shared" si="7"/>
        <v>Thu</v>
      </c>
      <c r="E124" s="11">
        <f t="shared" si="8"/>
        <v>0</v>
      </c>
      <c r="F124" s="11">
        <f t="shared" si="9"/>
        <v>0</v>
      </c>
      <c r="G124" s="16"/>
      <c r="H124" s="11">
        <f>COUNTIF(Events!$A$2:$A$391,$A124)</f>
        <v>0</v>
      </c>
      <c r="I124" s="11" t="str">
        <f>IFERROR(INDEX(Events!$E$2:$E$391,MATCH($A124,Events!$A$2:$A$391,0)),"")</f>
        <v/>
      </c>
    </row>
    <row r="125" spans="1:9" ht="15" customHeight="1" x14ac:dyDescent="0.35">
      <c r="A125" s="12">
        <v>45415</v>
      </c>
      <c r="B125" s="11">
        <f t="shared" si="5"/>
        <v>2024</v>
      </c>
      <c r="C125" s="11">
        <f t="shared" si="6"/>
        <v>5</v>
      </c>
      <c r="D125" s="11" t="str">
        <f t="shared" si="7"/>
        <v>Fri</v>
      </c>
      <c r="E125" s="11">
        <f t="shared" si="8"/>
        <v>0</v>
      </c>
      <c r="F125" s="11">
        <f t="shared" si="9"/>
        <v>0</v>
      </c>
      <c r="G125" s="16"/>
      <c r="H125" s="11">
        <f>COUNTIF(Events!$A$2:$A$391,$A125)</f>
        <v>0</v>
      </c>
      <c r="I125" s="11" t="str">
        <f>IFERROR(INDEX(Events!$E$2:$E$391,MATCH($A125,Events!$A$2:$A$391,0)),"")</f>
        <v/>
      </c>
    </row>
    <row r="126" spans="1:9" ht="15" customHeight="1" x14ac:dyDescent="0.35">
      <c r="A126" s="12">
        <v>45416</v>
      </c>
      <c r="B126" s="11">
        <f t="shared" si="5"/>
        <v>2024</v>
      </c>
      <c r="C126" s="11">
        <f t="shared" si="6"/>
        <v>5</v>
      </c>
      <c r="D126" s="11" t="str">
        <f t="shared" si="7"/>
        <v>Sat</v>
      </c>
      <c r="E126" s="11">
        <f t="shared" si="8"/>
        <v>0</v>
      </c>
      <c r="F126" s="11">
        <f t="shared" si="9"/>
        <v>0</v>
      </c>
      <c r="G126" s="16"/>
      <c r="H126" s="11">
        <f>COUNTIF(Events!$A$2:$A$391,$A126)</f>
        <v>0</v>
      </c>
      <c r="I126" s="11" t="str">
        <f>IFERROR(INDEX(Events!$E$2:$E$391,MATCH($A126,Events!$A$2:$A$391,0)),"")</f>
        <v/>
      </c>
    </row>
    <row r="127" spans="1:9" ht="15" customHeight="1" x14ac:dyDescent="0.35">
      <c r="A127" s="12">
        <v>45417</v>
      </c>
      <c r="B127" s="11">
        <f t="shared" si="5"/>
        <v>2024</v>
      </c>
      <c r="C127" s="11">
        <f t="shared" si="6"/>
        <v>5</v>
      </c>
      <c r="D127" s="11" t="str">
        <f t="shared" si="7"/>
        <v>Sun</v>
      </c>
      <c r="E127" s="11">
        <f t="shared" si="8"/>
        <v>0</v>
      </c>
      <c r="F127" s="11">
        <f t="shared" si="9"/>
        <v>0</v>
      </c>
      <c r="G127" s="16"/>
      <c r="H127" s="11">
        <f>COUNTIF(Events!$A$2:$A$391,$A127)</f>
        <v>0</v>
      </c>
      <c r="I127" s="11" t="str">
        <f>IFERROR(INDEX(Events!$E$2:$E$391,MATCH($A127,Events!$A$2:$A$391,0)),"")</f>
        <v/>
      </c>
    </row>
    <row r="128" spans="1:9" ht="15" customHeight="1" x14ac:dyDescent="0.35">
      <c r="A128" s="12">
        <v>45418</v>
      </c>
      <c r="B128" s="11">
        <f t="shared" si="5"/>
        <v>2024</v>
      </c>
      <c r="C128" s="11">
        <f t="shared" si="6"/>
        <v>5</v>
      </c>
      <c r="D128" s="11" t="str">
        <f t="shared" si="7"/>
        <v>Mon</v>
      </c>
      <c r="E128" s="11">
        <f t="shared" si="8"/>
        <v>0</v>
      </c>
      <c r="F128" s="11">
        <f t="shared" si="9"/>
        <v>0</v>
      </c>
      <c r="G128" s="16"/>
      <c r="H128" s="11">
        <f>COUNTIF(Events!$A$2:$A$391,$A128)</f>
        <v>0</v>
      </c>
      <c r="I128" s="11" t="str">
        <f>IFERROR(INDEX(Events!$E$2:$E$391,MATCH($A128,Events!$A$2:$A$391,0)),"")</f>
        <v/>
      </c>
    </row>
    <row r="129" spans="1:9" ht="15" customHeight="1" x14ac:dyDescent="0.35">
      <c r="A129" s="12">
        <v>45419</v>
      </c>
      <c r="B129" s="11">
        <f t="shared" si="5"/>
        <v>2024</v>
      </c>
      <c r="C129" s="11">
        <f t="shared" si="6"/>
        <v>5</v>
      </c>
      <c r="D129" s="11" t="str">
        <f t="shared" si="7"/>
        <v>Tue</v>
      </c>
      <c r="E129" s="11">
        <f t="shared" si="8"/>
        <v>0</v>
      </c>
      <c r="F129" s="11">
        <f t="shared" si="9"/>
        <v>0</v>
      </c>
      <c r="G129" s="16"/>
      <c r="H129" s="11">
        <f>COUNTIF(Events!$A$2:$A$391,$A129)</f>
        <v>0</v>
      </c>
      <c r="I129" s="11" t="str">
        <f>IFERROR(INDEX(Events!$E$2:$E$391,MATCH($A129,Events!$A$2:$A$391,0)),"")</f>
        <v/>
      </c>
    </row>
    <row r="130" spans="1:9" ht="15" customHeight="1" x14ac:dyDescent="0.35">
      <c r="A130" s="12">
        <v>45420</v>
      </c>
      <c r="B130" s="11">
        <f t="shared" ref="B130:B193" si="10">YEAR($A130)</f>
        <v>2024</v>
      </c>
      <c r="C130" s="11">
        <f t="shared" ref="C130:C193" si="11">MONTH($A130)</f>
        <v>5</v>
      </c>
      <c r="D130" s="11" t="str">
        <f t="shared" ref="D130:D193" si="12">TEXT($A130,"ddd")</f>
        <v>Wed</v>
      </c>
      <c r="E130" s="11">
        <f t="shared" ref="E130:E193" si="13">IF(OR(AND(MONTH($A130)=10,DAY($A130)&gt;=15),MONTH($A130)=11,AND(MONTH($A130)=12,DAY($A130)&lt;=7)),1,0)</f>
        <v>0</v>
      </c>
      <c r="F130" s="11">
        <f t="shared" ref="F130:F193" si="14">IF(MONTH($A130)&lt;=3,1,0)</f>
        <v>0</v>
      </c>
      <c r="G130" s="16"/>
      <c r="H130" s="11">
        <f>COUNTIF(Events!$A$2:$A$391,$A130)</f>
        <v>0</v>
      </c>
      <c r="I130" s="11" t="str">
        <f>IFERROR(INDEX(Events!$E$2:$E$391,MATCH($A130,Events!$A$2:$A$391,0)),"")</f>
        <v/>
      </c>
    </row>
    <row r="131" spans="1:9" ht="15" customHeight="1" x14ac:dyDescent="0.35">
      <c r="A131" s="12">
        <v>45421</v>
      </c>
      <c r="B131" s="11">
        <f t="shared" si="10"/>
        <v>2024</v>
      </c>
      <c r="C131" s="11">
        <f t="shared" si="11"/>
        <v>5</v>
      </c>
      <c r="D131" s="11" t="str">
        <f t="shared" si="12"/>
        <v>Thu</v>
      </c>
      <c r="E131" s="11">
        <f t="shared" si="13"/>
        <v>0</v>
      </c>
      <c r="F131" s="11">
        <f t="shared" si="14"/>
        <v>0</v>
      </c>
      <c r="G131" s="16"/>
      <c r="H131" s="11">
        <f>COUNTIF(Events!$A$2:$A$391,$A131)</f>
        <v>0</v>
      </c>
      <c r="I131" s="11" t="str">
        <f>IFERROR(INDEX(Events!$E$2:$E$391,MATCH($A131,Events!$A$2:$A$391,0)),"")</f>
        <v/>
      </c>
    </row>
    <row r="132" spans="1:9" ht="15" customHeight="1" x14ac:dyDescent="0.35">
      <c r="A132" s="12">
        <v>45422</v>
      </c>
      <c r="B132" s="11">
        <f t="shared" si="10"/>
        <v>2024</v>
      </c>
      <c r="C132" s="11">
        <f t="shared" si="11"/>
        <v>5</v>
      </c>
      <c r="D132" s="11" t="str">
        <f t="shared" si="12"/>
        <v>Fri</v>
      </c>
      <c r="E132" s="11">
        <f t="shared" si="13"/>
        <v>0</v>
      </c>
      <c r="F132" s="11">
        <f t="shared" si="14"/>
        <v>0</v>
      </c>
      <c r="G132" s="16"/>
      <c r="H132" s="11">
        <f>COUNTIF(Events!$A$2:$A$391,$A132)</f>
        <v>0</v>
      </c>
      <c r="I132" s="11" t="str">
        <f>IFERROR(INDEX(Events!$E$2:$E$391,MATCH($A132,Events!$A$2:$A$391,0)),"")</f>
        <v/>
      </c>
    </row>
    <row r="133" spans="1:9" ht="15" customHeight="1" x14ac:dyDescent="0.35">
      <c r="A133" s="12">
        <v>45423</v>
      </c>
      <c r="B133" s="11">
        <f t="shared" si="10"/>
        <v>2024</v>
      </c>
      <c r="C133" s="11">
        <f t="shared" si="11"/>
        <v>5</v>
      </c>
      <c r="D133" s="11" t="str">
        <f t="shared" si="12"/>
        <v>Sat</v>
      </c>
      <c r="E133" s="11">
        <f t="shared" si="13"/>
        <v>0</v>
      </c>
      <c r="F133" s="11">
        <f t="shared" si="14"/>
        <v>0</v>
      </c>
      <c r="G133" s="16"/>
      <c r="H133" s="11">
        <f>COUNTIF(Events!$A$2:$A$391,$A133)</f>
        <v>0</v>
      </c>
      <c r="I133" s="11" t="str">
        <f>IFERROR(INDEX(Events!$E$2:$E$391,MATCH($A133,Events!$A$2:$A$391,0)),"")</f>
        <v/>
      </c>
    </row>
    <row r="134" spans="1:9" ht="15" customHeight="1" x14ac:dyDescent="0.35">
      <c r="A134" s="12">
        <v>45424</v>
      </c>
      <c r="B134" s="11">
        <f t="shared" si="10"/>
        <v>2024</v>
      </c>
      <c r="C134" s="11">
        <f t="shared" si="11"/>
        <v>5</v>
      </c>
      <c r="D134" s="11" t="str">
        <f t="shared" si="12"/>
        <v>Sun</v>
      </c>
      <c r="E134" s="11">
        <f t="shared" si="13"/>
        <v>0</v>
      </c>
      <c r="F134" s="11">
        <f t="shared" si="14"/>
        <v>0</v>
      </c>
      <c r="G134" s="16"/>
      <c r="H134" s="11">
        <f>COUNTIF(Events!$A$2:$A$391,$A134)</f>
        <v>0</v>
      </c>
      <c r="I134" s="11" t="str">
        <f>IFERROR(INDEX(Events!$E$2:$E$391,MATCH($A134,Events!$A$2:$A$391,0)),"")</f>
        <v/>
      </c>
    </row>
    <row r="135" spans="1:9" ht="15" customHeight="1" x14ac:dyDescent="0.35">
      <c r="A135" s="12">
        <v>45425</v>
      </c>
      <c r="B135" s="11">
        <f t="shared" si="10"/>
        <v>2024</v>
      </c>
      <c r="C135" s="11">
        <f t="shared" si="11"/>
        <v>5</v>
      </c>
      <c r="D135" s="11" t="str">
        <f t="shared" si="12"/>
        <v>Mon</v>
      </c>
      <c r="E135" s="11">
        <f t="shared" si="13"/>
        <v>0</v>
      </c>
      <c r="F135" s="11">
        <f t="shared" si="14"/>
        <v>0</v>
      </c>
      <c r="G135" s="16"/>
      <c r="H135" s="11">
        <f>COUNTIF(Events!$A$2:$A$391,$A135)</f>
        <v>0</v>
      </c>
      <c r="I135" s="11" t="str">
        <f>IFERROR(INDEX(Events!$E$2:$E$391,MATCH($A135,Events!$A$2:$A$391,0)),"")</f>
        <v/>
      </c>
    </row>
    <row r="136" spans="1:9" ht="15" customHeight="1" x14ac:dyDescent="0.35">
      <c r="A136" s="12">
        <v>45426</v>
      </c>
      <c r="B136" s="11">
        <f t="shared" si="10"/>
        <v>2024</v>
      </c>
      <c r="C136" s="11">
        <f t="shared" si="11"/>
        <v>5</v>
      </c>
      <c r="D136" s="11" t="str">
        <f t="shared" si="12"/>
        <v>Tue</v>
      </c>
      <c r="E136" s="11">
        <f t="shared" si="13"/>
        <v>0</v>
      </c>
      <c r="F136" s="11">
        <f t="shared" si="14"/>
        <v>0</v>
      </c>
      <c r="G136" s="16"/>
      <c r="H136" s="11">
        <f>COUNTIF(Events!$A$2:$A$391,$A136)</f>
        <v>0</v>
      </c>
      <c r="I136" s="11" t="str">
        <f>IFERROR(INDEX(Events!$E$2:$E$391,MATCH($A136,Events!$A$2:$A$391,0)),"")</f>
        <v/>
      </c>
    </row>
    <row r="137" spans="1:9" ht="15" customHeight="1" x14ac:dyDescent="0.35">
      <c r="A137" s="12">
        <v>45427</v>
      </c>
      <c r="B137" s="11">
        <f t="shared" si="10"/>
        <v>2024</v>
      </c>
      <c r="C137" s="11">
        <f t="shared" si="11"/>
        <v>5</v>
      </c>
      <c r="D137" s="11" t="str">
        <f t="shared" si="12"/>
        <v>Wed</v>
      </c>
      <c r="E137" s="11">
        <f t="shared" si="13"/>
        <v>0</v>
      </c>
      <c r="F137" s="11">
        <f t="shared" si="14"/>
        <v>0</v>
      </c>
      <c r="G137" s="16"/>
      <c r="H137" s="11">
        <f>COUNTIF(Events!$A$2:$A$391,$A137)</f>
        <v>0</v>
      </c>
      <c r="I137" s="11" t="str">
        <f>IFERROR(INDEX(Events!$E$2:$E$391,MATCH($A137,Events!$A$2:$A$391,0)),"")</f>
        <v/>
      </c>
    </row>
    <row r="138" spans="1:9" ht="15" customHeight="1" x14ac:dyDescent="0.35">
      <c r="A138" s="12">
        <v>45428</v>
      </c>
      <c r="B138" s="11">
        <f t="shared" si="10"/>
        <v>2024</v>
      </c>
      <c r="C138" s="11">
        <f t="shared" si="11"/>
        <v>5</v>
      </c>
      <c r="D138" s="11" t="str">
        <f t="shared" si="12"/>
        <v>Thu</v>
      </c>
      <c r="E138" s="11">
        <f t="shared" si="13"/>
        <v>0</v>
      </c>
      <c r="F138" s="11">
        <f t="shared" si="14"/>
        <v>0</v>
      </c>
      <c r="G138" s="16"/>
      <c r="H138" s="11">
        <f>COUNTIF(Events!$A$2:$A$391,$A138)</f>
        <v>0</v>
      </c>
      <c r="I138" s="11" t="str">
        <f>IFERROR(INDEX(Events!$E$2:$E$391,MATCH($A138,Events!$A$2:$A$391,0)),"")</f>
        <v/>
      </c>
    </row>
    <row r="139" spans="1:9" ht="15" customHeight="1" x14ac:dyDescent="0.35">
      <c r="A139" s="12">
        <v>45429</v>
      </c>
      <c r="B139" s="11">
        <f t="shared" si="10"/>
        <v>2024</v>
      </c>
      <c r="C139" s="11">
        <f t="shared" si="11"/>
        <v>5</v>
      </c>
      <c r="D139" s="11" t="str">
        <f t="shared" si="12"/>
        <v>Fri</v>
      </c>
      <c r="E139" s="11">
        <f t="shared" si="13"/>
        <v>0</v>
      </c>
      <c r="F139" s="11">
        <f t="shared" si="14"/>
        <v>0</v>
      </c>
      <c r="G139" s="16"/>
      <c r="H139" s="11">
        <f>COUNTIF(Events!$A$2:$A$391,$A139)</f>
        <v>0</v>
      </c>
      <c r="I139" s="11" t="str">
        <f>IFERROR(INDEX(Events!$E$2:$E$391,MATCH($A139,Events!$A$2:$A$391,0)),"")</f>
        <v/>
      </c>
    </row>
    <row r="140" spans="1:9" ht="15" customHeight="1" x14ac:dyDescent="0.35">
      <c r="A140" s="12">
        <v>45430</v>
      </c>
      <c r="B140" s="11">
        <f t="shared" si="10"/>
        <v>2024</v>
      </c>
      <c r="C140" s="11">
        <f t="shared" si="11"/>
        <v>5</v>
      </c>
      <c r="D140" s="11" t="str">
        <f t="shared" si="12"/>
        <v>Sat</v>
      </c>
      <c r="E140" s="11">
        <f t="shared" si="13"/>
        <v>0</v>
      </c>
      <c r="F140" s="11">
        <f t="shared" si="14"/>
        <v>0</v>
      </c>
      <c r="G140" s="16"/>
      <c r="H140" s="11">
        <f>COUNTIF(Events!$A$2:$A$391,$A140)</f>
        <v>0</v>
      </c>
      <c r="I140" s="11" t="str">
        <f>IFERROR(INDEX(Events!$E$2:$E$391,MATCH($A140,Events!$A$2:$A$391,0)),"")</f>
        <v/>
      </c>
    </row>
    <row r="141" spans="1:9" ht="15" customHeight="1" x14ac:dyDescent="0.35">
      <c r="A141" s="12">
        <v>45431</v>
      </c>
      <c r="B141" s="11">
        <f t="shared" si="10"/>
        <v>2024</v>
      </c>
      <c r="C141" s="11">
        <f t="shared" si="11"/>
        <v>5</v>
      </c>
      <c r="D141" s="11" t="str">
        <f t="shared" si="12"/>
        <v>Sun</v>
      </c>
      <c r="E141" s="11">
        <f t="shared" si="13"/>
        <v>0</v>
      </c>
      <c r="F141" s="11">
        <f t="shared" si="14"/>
        <v>0</v>
      </c>
      <c r="G141" s="16"/>
      <c r="H141" s="11">
        <f>COUNTIF(Events!$A$2:$A$391,$A141)</f>
        <v>0</v>
      </c>
      <c r="I141" s="11" t="str">
        <f>IFERROR(INDEX(Events!$E$2:$E$391,MATCH($A141,Events!$A$2:$A$391,0)),"")</f>
        <v/>
      </c>
    </row>
    <row r="142" spans="1:9" ht="15" customHeight="1" x14ac:dyDescent="0.35">
      <c r="A142" s="12">
        <v>45432</v>
      </c>
      <c r="B142" s="11">
        <f t="shared" si="10"/>
        <v>2024</v>
      </c>
      <c r="C142" s="11">
        <f t="shared" si="11"/>
        <v>5</v>
      </c>
      <c r="D142" s="11" t="str">
        <f t="shared" si="12"/>
        <v>Mon</v>
      </c>
      <c r="E142" s="11">
        <f t="shared" si="13"/>
        <v>0</v>
      </c>
      <c r="F142" s="11">
        <f t="shared" si="14"/>
        <v>0</v>
      </c>
      <c r="G142" s="16"/>
      <c r="H142" s="11">
        <f>COUNTIF(Events!$A$2:$A$391,$A142)</f>
        <v>0</v>
      </c>
      <c r="I142" s="11" t="str">
        <f>IFERROR(INDEX(Events!$E$2:$E$391,MATCH($A142,Events!$A$2:$A$391,0)),"")</f>
        <v/>
      </c>
    </row>
    <row r="143" spans="1:9" ht="15" customHeight="1" x14ac:dyDescent="0.35">
      <c r="A143" s="12">
        <v>45433</v>
      </c>
      <c r="B143" s="11">
        <f t="shared" si="10"/>
        <v>2024</v>
      </c>
      <c r="C143" s="11">
        <f t="shared" si="11"/>
        <v>5</v>
      </c>
      <c r="D143" s="11" t="str">
        <f t="shared" si="12"/>
        <v>Tue</v>
      </c>
      <c r="E143" s="11">
        <f t="shared" si="13"/>
        <v>0</v>
      </c>
      <c r="F143" s="11">
        <f t="shared" si="14"/>
        <v>0</v>
      </c>
      <c r="G143" s="16"/>
      <c r="H143" s="11">
        <f>COUNTIF(Events!$A$2:$A$391,$A143)</f>
        <v>0</v>
      </c>
      <c r="I143" s="11" t="str">
        <f>IFERROR(INDEX(Events!$E$2:$E$391,MATCH($A143,Events!$A$2:$A$391,0)),"")</f>
        <v/>
      </c>
    </row>
    <row r="144" spans="1:9" ht="15" customHeight="1" x14ac:dyDescent="0.35">
      <c r="A144" s="12">
        <v>45434</v>
      </c>
      <c r="B144" s="11">
        <f t="shared" si="10"/>
        <v>2024</v>
      </c>
      <c r="C144" s="11">
        <f t="shared" si="11"/>
        <v>5</v>
      </c>
      <c r="D144" s="11" t="str">
        <f t="shared" si="12"/>
        <v>Wed</v>
      </c>
      <c r="E144" s="11">
        <f t="shared" si="13"/>
        <v>0</v>
      </c>
      <c r="F144" s="11">
        <f t="shared" si="14"/>
        <v>0</v>
      </c>
      <c r="G144" s="16"/>
      <c r="H144" s="11">
        <f>COUNTIF(Events!$A$2:$A$391,$A144)</f>
        <v>0</v>
      </c>
      <c r="I144" s="11" t="str">
        <f>IFERROR(INDEX(Events!$E$2:$E$391,MATCH($A144,Events!$A$2:$A$391,0)),"")</f>
        <v/>
      </c>
    </row>
    <row r="145" spans="1:9" ht="15" customHeight="1" x14ac:dyDescent="0.35">
      <c r="A145" s="12">
        <v>45435</v>
      </c>
      <c r="B145" s="11">
        <f t="shared" si="10"/>
        <v>2024</v>
      </c>
      <c r="C145" s="11">
        <f t="shared" si="11"/>
        <v>5</v>
      </c>
      <c r="D145" s="11" t="str">
        <f t="shared" si="12"/>
        <v>Thu</v>
      </c>
      <c r="E145" s="11">
        <f t="shared" si="13"/>
        <v>0</v>
      </c>
      <c r="F145" s="11">
        <f t="shared" si="14"/>
        <v>0</v>
      </c>
      <c r="G145" s="16"/>
      <c r="H145" s="11">
        <f>COUNTIF(Events!$A$2:$A$391,$A145)</f>
        <v>0</v>
      </c>
      <c r="I145" s="11" t="str">
        <f>IFERROR(INDEX(Events!$E$2:$E$391,MATCH($A145,Events!$A$2:$A$391,0)),"")</f>
        <v/>
      </c>
    </row>
    <row r="146" spans="1:9" ht="15" customHeight="1" x14ac:dyDescent="0.35">
      <c r="A146" s="12">
        <v>45436</v>
      </c>
      <c r="B146" s="11">
        <f t="shared" si="10"/>
        <v>2024</v>
      </c>
      <c r="C146" s="11">
        <f t="shared" si="11"/>
        <v>5</v>
      </c>
      <c r="D146" s="11" t="str">
        <f t="shared" si="12"/>
        <v>Fri</v>
      </c>
      <c r="E146" s="11">
        <f t="shared" si="13"/>
        <v>0</v>
      </c>
      <c r="F146" s="11">
        <f t="shared" si="14"/>
        <v>0</v>
      </c>
      <c r="G146" s="16"/>
      <c r="H146" s="11">
        <f>COUNTIF(Events!$A$2:$A$391,$A146)</f>
        <v>0</v>
      </c>
      <c r="I146" s="11" t="str">
        <f>IFERROR(INDEX(Events!$E$2:$E$391,MATCH($A146,Events!$A$2:$A$391,0)),"")</f>
        <v/>
      </c>
    </row>
    <row r="147" spans="1:9" ht="15" customHeight="1" x14ac:dyDescent="0.35">
      <c r="A147" s="12">
        <v>45437</v>
      </c>
      <c r="B147" s="11">
        <f t="shared" si="10"/>
        <v>2024</v>
      </c>
      <c r="C147" s="11">
        <f t="shared" si="11"/>
        <v>5</v>
      </c>
      <c r="D147" s="11" t="str">
        <f t="shared" si="12"/>
        <v>Sat</v>
      </c>
      <c r="E147" s="11">
        <f t="shared" si="13"/>
        <v>0</v>
      </c>
      <c r="F147" s="11">
        <f t="shared" si="14"/>
        <v>0</v>
      </c>
      <c r="G147" s="16"/>
      <c r="H147" s="11">
        <f>COUNTIF(Events!$A$2:$A$391,$A147)</f>
        <v>0</v>
      </c>
      <c r="I147" s="11" t="str">
        <f>IFERROR(INDEX(Events!$E$2:$E$391,MATCH($A147,Events!$A$2:$A$391,0)),"")</f>
        <v/>
      </c>
    </row>
    <row r="148" spans="1:9" ht="15" customHeight="1" x14ac:dyDescent="0.35">
      <c r="A148" s="12">
        <v>45438</v>
      </c>
      <c r="B148" s="11">
        <f t="shared" si="10"/>
        <v>2024</v>
      </c>
      <c r="C148" s="11">
        <f t="shared" si="11"/>
        <v>5</v>
      </c>
      <c r="D148" s="11" t="str">
        <f t="shared" si="12"/>
        <v>Sun</v>
      </c>
      <c r="E148" s="11">
        <f t="shared" si="13"/>
        <v>0</v>
      </c>
      <c r="F148" s="11">
        <f t="shared" si="14"/>
        <v>0</v>
      </c>
      <c r="G148" s="16"/>
      <c r="H148" s="11">
        <f>COUNTIF(Events!$A$2:$A$391,$A148)</f>
        <v>0</v>
      </c>
      <c r="I148" s="11" t="str">
        <f>IFERROR(INDEX(Events!$E$2:$E$391,MATCH($A148,Events!$A$2:$A$391,0)),"")</f>
        <v/>
      </c>
    </row>
    <row r="149" spans="1:9" ht="15" customHeight="1" x14ac:dyDescent="0.35">
      <c r="A149" s="12">
        <v>45439</v>
      </c>
      <c r="B149" s="11">
        <f t="shared" si="10"/>
        <v>2024</v>
      </c>
      <c r="C149" s="11">
        <f t="shared" si="11"/>
        <v>5</v>
      </c>
      <c r="D149" s="11" t="str">
        <f t="shared" si="12"/>
        <v>Mon</v>
      </c>
      <c r="E149" s="11">
        <f t="shared" si="13"/>
        <v>0</v>
      </c>
      <c r="F149" s="11">
        <f t="shared" si="14"/>
        <v>0</v>
      </c>
      <c r="G149" s="16"/>
      <c r="H149" s="11">
        <f>COUNTIF(Events!$A$2:$A$391,$A149)</f>
        <v>0</v>
      </c>
      <c r="I149" s="11" t="str">
        <f>IFERROR(INDEX(Events!$E$2:$E$391,MATCH($A149,Events!$A$2:$A$391,0)),"")</f>
        <v/>
      </c>
    </row>
    <row r="150" spans="1:9" ht="15" customHeight="1" x14ac:dyDescent="0.35">
      <c r="A150" s="12">
        <v>45440</v>
      </c>
      <c r="B150" s="11">
        <f t="shared" si="10"/>
        <v>2024</v>
      </c>
      <c r="C150" s="11">
        <f t="shared" si="11"/>
        <v>5</v>
      </c>
      <c r="D150" s="11" t="str">
        <f t="shared" si="12"/>
        <v>Tue</v>
      </c>
      <c r="E150" s="11">
        <f t="shared" si="13"/>
        <v>0</v>
      </c>
      <c r="F150" s="11">
        <f t="shared" si="14"/>
        <v>0</v>
      </c>
      <c r="G150" s="16"/>
      <c r="H150" s="11">
        <f>COUNTIF(Events!$A$2:$A$391,$A150)</f>
        <v>0</v>
      </c>
      <c r="I150" s="11" t="str">
        <f>IFERROR(INDEX(Events!$E$2:$E$391,MATCH($A150,Events!$A$2:$A$391,0)),"")</f>
        <v/>
      </c>
    </row>
    <row r="151" spans="1:9" ht="15" customHeight="1" x14ac:dyDescent="0.35">
      <c r="A151" s="12">
        <v>45441</v>
      </c>
      <c r="B151" s="11">
        <f t="shared" si="10"/>
        <v>2024</v>
      </c>
      <c r="C151" s="11">
        <f t="shared" si="11"/>
        <v>5</v>
      </c>
      <c r="D151" s="11" t="str">
        <f t="shared" si="12"/>
        <v>Wed</v>
      </c>
      <c r="E151" s="11">
        <f t="shared" si="13"/>
        <v>0</v>
      </c>
      <c r="F151" s="11">
        <f t="shared" si="14"/>
        <v>0</v>
      </c>
      <c r="G151" s="16"/>
      <c r="H151" s="11">
        <f>COUNTIF(Events!$A$2:$A$391,$A151)</f>
        <v>0</v>
      </c>
      <c r="I151" s="11" t="str">
        <f>IFERROR(INDEX(Events!$E$2:$E$391,MATCH($A151,Events!$A$2:$A$391,0)),"")</f>
        <v/>
      </c>
    </row>
    <row r="152" spans="1:9" ht="15" customHeight="1" x14ac:dyDescent="0.35">
      <c r="A152" s="12">
        <v>45442</v>
      </c>
      <c r="B152" s="11">
        <f t="shared" si="10"/>
        <v>2024</v>
      </c>
      <c r="C152" s="11">
        <f t="shared" si="11"/>
        <v>5</v>
      </c>
      <c r="D152" s="11" t="str">
        <f t="shared" si="12"/>
        <v>Thu</v>
      </c>
      <c r="E152" s="11">
        <f t="shared" si="13"/>
        <v>0</v>
      </c>
      <c r="F152" s="11">
        <f t="shared" si="14"/>
        <v>0</v>
      </c>
      <c r="G152" s="16"/>
      <c r="H152" s="11">
        <f>COUNTIF(Events!$A$2:$A$391,$A152)</f>
        <v>0</v>
      </c>
      <c r="I152" s="11" t="str">
        <f>IFERROR(INDEX(Events!$E$2:$E$391,MATCH($A152,Events!$A$2:$A$391,0)),"")</f>
        <v/>
      </c>
    </row>
    <row r="153" spans="1:9" ht="15" customHeight="1" x14ac:dyDescent="0.35">
      <c r="A153" s="12">
        <v>45443</v>
      </c>
      <c r="B153" s="11">
        <f t="shared" si="10"/>
        <v>2024</v>
      </c>
      <c r="C153" s="11">
        <f t="shared" si="11"/>
        <v>5</v>
      </c>
      <c r="D153" s="11" t="str">
        <f t="shared" si="12"/>
        <v>Fri</v>
      </c>
      <c r="E153" s="11">
        <f t="shared" si="13"/>
        <v>0</v>
      </c>
      <c r="F153" s="11">
        <f t="shared" si="14"/>
        <v>0</v>
      </c>
      <c r="G153" s="16"/>
      <c r="H153" s="11">
        <f>COUNTIF(Events!$A$2:$A$391,$A153)</f>
        <v>0</v>
      </c>
      <c r="I153" s="11" t="str">
        <f>IFERROR(INDEX(Events!$E$2:$E$391,MATCH($A153,Events!$A$2:$A$391,0)),"")</f>
        <v/>
      </c>
    </row>
    <row r="154" spans="1:9" ht="15" customHeight="1" x14ac:dyDescent="0.35">
      <c r="A154" s="12">
        <v>45444</v>
      </c>
      <c r="B154" s="11">
        <f t="shared" si="10"/>
        <v>2024</v>
      </c>
      <c r="C154" s="11">
        <f t="shared" si="11"/>
        <v>6</v>
      </c>
      <c r="D154" s="11" t="str">
        <f t="shared" si="12"/>
        <v>Sat</v>
      </c>
      <c r="E154" s="11">
        <f t="shared" si="13"/>
        <v>0</v>
      </c>
      <c r="F154" s="11">
        <f t="shared" si="14"/>
        <v>0</v>
      </c>
      <c r="G154" s="16"/>
      <c r="H154" s="11">
        <f>COUNTIF(Events!$A$2:$A$391,$A154)</f>
        <v>0</v>
      </c>
      <c r="I154" s="11" t="str">
        <f>IFERROR(INDEX(Events!$E$2:$E$391,MATCH($A154,Events!$A$2:$A$391,0)),"")</f>
        <v/>
      </c>
    </row>
    <row r="155" spans="1:9" ht="15" customHeight="1" x14ac:dyDescent="0.35">
      <c r="A155" s="12">
        <v>45445</v>
      </c>
      <c r="B155" s="11">
        <f t="shared" si="10"/>
        <v>2024</v>
      </c>
      <c r="C155" s="11">
        <f t="shared" si="11"/>
        <v>6</v>
      </c>
      <c r="D155" s="11" t="str">
        <f t="shared" si="12"/>
        <v>Sun</v>
      </c>
      <c r="E155" s="11">
        <f t="shared" si="13"/>
        <v>0</v>
      </c>
      <c r="F155" s="11">
        <f t="shared" si="14"/>
        <v>0</v>
      </c>
      <c r="G155" s="16"/>
      <c r="H155" s="11">
        <f>COUNTIF(Events!$A$2:$A$391,$A155)</f>
        <v>0</v>
      </c>
      <c r="I155" s="11" t="str">
        <f>IFERROR(INDEX(Events!$E$2:$E$391,MATCH($A155,Events!$A$2:$A$391,0)),"")</f>
        <v/>
      </c>
    </row>
    <row r="156" spans="1:9" ht="15" customHeight="1" x14ac:dyDescent="0.35">
      <c r="A156" s="12">
        <v>45446</v>
      </c>
      <c r="B156" s="11">
        <f t="shared" si="10"/>
        <v>2024</v>
      </c>
      <c r="C156" s="11">
        <f t="shared" si="11"/>
        <v>6</v>
      </c>
      <c r="D156" s="11" t="str">
        <f t="shared" si="12"/>
        <v>Mon</v>
      </c>
      <c r="E156" s="11">
        <f t="shared" si="13"/>
        <v>0</v>
      </c>
      <c r="F156" s="11">
        <f t="shared" si="14"/>
        <v>0</v>
      </c>
      <c r="G156" s="16"/>
      <c r="H156" s="11">
        <f>COUNTIF(Events!$A$2:$A$391,$A156)</f>
        <v>1</v>
      </c>
      <c r="I156" s="11" t="str">
        <f>IFERROR(INDEX(Events!$E$2:$E$391,MATCH($A156,Events!$A$2:$A$391,0)),"")</f>
        <v>CY2025 Final Rule regulations take effect (most provisions apply to coverage beginning 1/1/2025; agent/broker compensation changes apply beginning with Fall 2024 AEP)</v>
      </c>
    </row>
    <row r="157" spans="1:9" ht="15" customHeight="1" x14ac:dyDescent="0.35">
      <c r="A157" s="12">
        <v>45447</v>
      </c>
      <c r="B157" s="11">
        <f t="shared" si="10"/>
        <v>2024</v>
      </c>
      <c r="C157" s="11">
        <f t="shared" si="11"/>
        <v>6</v>
      </c>
      <c r="D157" s="11" t="str">
        <f t="shared" si="12"/>
        <v>Tue</v>
      </c>
      <c r="E157" s="11">
        <f t="shared" si="13"/>
        <v>0</v>
      </c>
      <c r="F157" s="11">
        <f t="shared" si="14"/>
        <v>0</v>
      </c>
      <c r="G157" s="16"/>
      <c r="H157" s="11">
        <f>COUNTIF(Events!$A$2:$A$391,$A157)</f>
        <v>0</v>
      </c>
      <c r="I157" s="11" t="str">
        <f>IFERROR(INDEX(Events!$E$2:$E$391,MATCH($A157,Events!$A$2:$A$391,0)),"")</f>
        <v/>
      </c>
    </row>
    <row r="158" spans="1:9" ht="15" customHeight="1" x14ac:dyDescent="0.35">
      <c r="A158" s="12">
        <v>45448</v>
      </c>
      <c r="B158" s="11">
        <f t="shared" si="10"/>
        <v>2024</v>
      </c>
      <c r="C158" s="11">
        <f t="shared" si="11"/>
        <v>6</v>
      </c>
      <c r="D158" s="11" t="str">
        <f t="shared" si="12"/>
        <v>Wed</v>
      </c>
      <c r="E158" s="11">
        <f t="shared" si="13"/>
        <v>0</v>
      </c>
      <c r="F158" s="11">
        <f t="shared" si="14"/>
        <v>0</v>
      </c>
      <c r="G158" s="16"/>
      <c r="H158" s="11">
        <f>COUNTIF(Events!$A$2:$A$391,$A158)</f>
        <v>0</v>
      </c>
      <c r="I158" s="11" t="str">
        <f>IFERROR(INDEX(Events!$E$2:$E$391,MATCH($A158,Events!$A$2:$A$391,0)),"")</f>
        <v/>
      </c>
    </row>
    <row r="159" spans="1:9" ht="15" customHeight="1" x14ac:dyDescent="0.35">
      <c r="A159" s="12">
        <v>45449</v>
      </c>
      <c r="B159" s="11">
        <f t="shared" si="10"/>
        <v>2024</v>
      </c>
      <c r="C159" s="11">
        <f t="shared" si="11"/>
        <v>6</v>
      </c>
      <c r="D159" s="11" t="str">
        <f t="shared" si="12"/>
        <v>Thu</v>
      </c>
      <c r="E159" s="11">
        <f t="shared" si="13"/>
        <v>0</v>
      </c>
      <c r="F159" s="11">
        <f t="shared" si="14"/>
        <v>0</v>
      </c>
      <c r="G159" s="16"/>
      <c r="H159" s="11">
        <f>COUNTIF(Events!$A$2:$A$391,$A159)</f>
        <v>0</v>
      </c>
      <c r="I159" s="11" t="str">
        <f>IFERROR(INDEX(Events!$E$2:$E$391,MATCH($A159,Events!$A$2:$A$391,0)),"")</f>
        <v/>
      </c>
    </row>
    <row r="160" spans="1:9" ht="15" customHeight="1" x14ac:dyDescent="0.35">
      <c r="A160" s="12">
        <v>45450</v>
      </c>
      <c r="B160" s="11">
        <f t="shared" si="10"/>
        <v>2024</v>
      </c>
      <c r="C160" s="11">
        <f t="shared" si="11"/>
        <v>6</v>
      </c>
      <c r="D160" s="11" t="str">
        <f t="shared" si="12"/>
        <v>Fri</v>
      </c>
      <c r="E160" s="11">
        <f t="shared" si="13"/>
        <v>0</v>
      </c>
      <c r="F160" s="11">
        <f t="shared" si="14"/>
        <v>0</v>
      </c>
      <c r="G160" s="16"/>
      <c r="H160" s="11">
        <f>COUNTIF(Events!$A$2:$A$391,$A160)</f>
        <v>0</v>
      </c>
      <c r="I160" s="11" t="str">
        <f>IFERROR(INDEX(Events!$E$2:$E$391,MATCH($A160,Events!$A$2:$A$391,0)),"")</f>
        <v/>
      </c>
    </row>
    <row r="161" spans="1:9" ht="15" customHeight="1" x14ac:dyDescent="0.35">
      <c r="A161" s="12">
        <v>45451</v>
      </c>
      <c r="B161" s="11">
        <f t="shared" si="10"/>
        <v>2024</v>
      </c>
      <c r="C161" s="11">
        <f t="shared" si="11"/>
        <v>6</v>
      </c>
      <c r="D161" s="11" t="str">
        <f t="shared" si="12"/>
        <v>Sat</v>
      </c>
      <c r="E161" s="11">
        <f t="shared" si="13"/>
        <v>0</v>
      </c>
      <c r="F161" s="11">
        <f t="shared" si="14"/>
        <v>0</v>
      </c>
      <c r="G161" s="16"/>
      <c r="H161" s="11">
        <f>COUNTIF(Events!$A$2:$A$391,$A161)</f>
        <v>0</v>
      </c>
      <c r="I161" s="11" t="str">
        <f>IFERROR(INDEX(Events!$E$2:$E$391,MATCH($A161,Events!$A$2:$A$391,0)),"")</f>
        <v/>
      </c>
    </row>
    <row r="162" spans="1:9" ht="15" customHeight="1" x14ac:dyDescent="0.35">
      <c r="A162" s="12">
        <v>45452</v>
      </c>
      <c r="B162" s="11">
        <f t="shared" si="10"/>
        <v>2024</v>
      </c>
      <c r="C162" s="11">
        <f t="shared" si="11"/>
        <v>6</v>
      </c>
      <c r="D162" s="11" t="str">
        <f t="shared" si="12"/>
        <v>Sun</v>
      </c>
      <c r="E162" s="11">
        <f t="shared" si="13"/>
        <v>0</v>
      </c>
      <c r="F162" s="11">
        <f t="shared" si="14"/>
        <v>0</v>
      </c>
      <c r="G162" s="16"/>
      <c r="H162" s="11">
        <f>COUNTIF(Events!$A$2:$A$391,$A162)</f>
        <v>0</v>
      </c>
      <c r="I162" s="11" t="str">
        <f>IFERROR(INDEX(Events!$E$2:$E$391,MATCH($A162,Events!$A$2:$A$391,0)),"")</f>
        <v/>
      </c>
    </row>
    <row r="163" spans="1:9" ht="15" customHeight="1" x14ac:dyDescent="0.35">
      <c r="A163" s="12">
        <v>45453</v>
      </c>
      <c r="B163" s="11">
        <f t="shared" si="10"/>
        <v>2024</v>
      </c>
      <c r="C163" s="11">
        <f t="shared" si="11"/>
        <v>6</v>
      </c>
      <c r="D163" s="11" t="str">
        <f t="shared" si="12"/>
        <v>Mon</v>
      </c>
      <c r="E163" s="11">
        <f t="shared" si="13"/>
        <v>0</v>
      </c>
      <c r="F163" s="11">
        <f t="shared" si="14"/>
        <v>0</v>
      </c>
      <c r="G163" s="16"/>
      <c r="H163" s="11">
        <f>COUNTIF(Events!$A$2:$A$391,$A163)</f>
        <v>0</v>
      </c>
      <c r="I163" s="11" t="str">
        <f>IFERROR(INDEX(Events!$E$2:$E$391,MATCH($A163,Events!$A$2:$A$391,0)),"")</f>
        <v/>
      </c>
    </row>
    <row r="164" spans="1:9" ht="15" customHeight="1" x14ac:dyDescent="0.35">
      <c r="A164" s="12">
        <v>45454</v>
      </c>
      <c r="B164" s="11">
        <f t="shared" si="10"/>
        <v>2024</v>
      </c>
      <c r="C164" s="11">
        <f t="shared" si="11"/>
        <v>6</v>
      </c>
      <c r="D164" s="11" t="str">
        <f t="shared" si="12"/>
        <v>Tue</v>
      </c>
      <c r="E164" s="11">
        <f t="shared" si="13"/>
        <v>0</v>
      </c>
      <c r="F164" s="11">
        <f t="shared" si="14"/>
        <v>0</v>
      </c>
      <c r="G164" s="16"/>
      <c r="H164" s="11">
        <f>COUNTIF(Events!$A$2:$A$391,$A164)</f>
        <v>0</v>
      </c>
      <c r="I164" s="11" t="str">
        <f>IFERROR(INDEX(Events!$E$2:$E$391,MATCH($A164,Events!$A$2:$A$391,0)),"")</f>
        <v/>
      </c>
    </row>
    <row r="165" spans="1:9" ht="15" customHeight="1" x14ac:dyDescent="0.35">
      <c r="A165" s="12">
        <v>45455</v>
      </c>
      <c r="B165" s="11">
        <f t="shared" si="10"/>
        <v>2024</v>
      </c>
      <c r="C165" s="11">
        <f t="shared" si="11"/>
        <v>6</v>
      </c>
      <c r="D165" s="11" t="str">
        <f t="shared" si="12"/>
        <v>Wed</v>
      </c>
      <c r="E165" s="11">
        <f t="shared" si="13"/>
        <v>0</v>
      </c>
      <c r="F165" s="11">
        <f t="shared" si="14"/>
        <v>0</v>
      </c>
      <c r="G165" s="16"/>
      <c r="H165" s="11">
        <f>COUNTIF(Events!$A$2:$A$391,$A165)</f>
        <v>0</v>
      </c>
      <c r="I165" s="11" t="str">
        <f>IFERROR(INDEX(Events!$E$2:$E$391,MATCH($A165,Events!$A$2:$A$391,0)),"")</f>
        <v/>
      </c>
    </row>
    <row r="166" spans="1:9" ht="15" customHeight="1" x14ac:dyDescent="0.35">
      <c r="A166" s="12">
        <v>45456</v>
      </c>
      <c r="B166" s="11">
        <f t="shared" si="10"/>
        <v>2024</v>
      </c>
      <c r="C166" s="11">
        <f t="shared" si="11"/>
        <v>6</v>
      </c>
      <c r="D166" s="11" t="str">
        <f t="shared" si="12"/>
        <v>Thu</v>
      </c>
      <c r="E166" s="11">
        <f t="shared" si="13"/>
        <v>0</v>
      </c>
      <c r="F166" s="11">
        <f t="shared" si="14"/>
        <v>0</v>
      </c>
      <c r="G166" s="16"/>
      <c r="H166" s="11">
        <f>COUNTIF(Events!$A$2:$A$391,$A166)</f>
        <v>0</v>
      </c>
      <c r="I166" s="11" t="str">
        <f>IFERROR(INDEX(Events!$E$2:$E$391,MATCH($A166,Events!$A$2:$A$391,0)),"")</f>
        <v/>
      </c>
    </row>
    <row r="167" spans="1:9" ht="15" customHeight="1" x14ac:dyDescent="0.35">
      <c r="A167" s="12">
        <v>45457</v>
      </c>
      <c r="B167" s="11">
        <f t="shared" si="10"/>
        <v>2024</v>
      </c>
      <c r="C167" s="11">
        <f t="shared" si="11"/>
        <v>6</v>
      </c>
      <c r="D167" s="11" t="str">
        <f t="shared" si="12"/>
        <v>Fri</v>
      </c>
      <c r="E167" s="11">
        <f t="shared" si="13"/>
        <v>0</v>
      </c>
      <c r="F167" s="11">
        <f t="shared" si="14"/>
        <v>0</v>
      </c>
      <c r="G167" s="16"/>
      <c r="H167" s="11">
        <f>COUNTIF(Events!$A$2:$A$391,$A167)</f>
        <v>0</v>
      </c>
      <c r="I167" s="11" t="str">
        <f>IFERROR(INDEX(Events!$E$2:$E$391,MATCH($A167,Events!$A$2:$A$391,0)),"")</f>
        <v/>
      </c>
    </row>
    <row r="168" spans="1:9" ht="15" customHeight="1" x14ac:dyDescent="0.35">
      <c r="A168" s="12">
        <v>45458</v>
      </c>
      <c r="B168" s="11">
        <f t="shared" si="10"/>
        <v>2024</v>
      </c>
      <c r="C168" s="11">
        <f t="shared" si="11"/>
        <v>6</v>
      </c>
      <c r="D168" s="11" t="str">
        <f t="shared" si="12"/>
        <v>Sat</v>
      </c>
      <c r="E168" s="11">
        <f t="shared" si="13"/>
        <v>0</v>
      </c>
      <c r="F168" s="11">
        <f t="shared" si="14"/>
        <v>0</v>
      </c>
      <c r="G168" s="16"/>
      <c r="H168" s="11">
        <f>COUNTIF(Events!$A$2:$A$391,$A168)</f>
        <v>0</v>
      </c>
      <c r="I168" s="11" t="str">
        <f>IFERROR(INDEX(Events!$E$2:$E$391,MATCH($A168,Events!$A$2:$A$391,0)),"")</f>
        <v/>
      </c>
    </row>
    <row r="169" spans="1:9" ht="15" customHeight="1" x14ac:dyDescent="0.35">
      <c r="A169" s="12">
        <v>45459</v>
      </c>
      <c r="B169" s="11">
        <f t="shared" si="10"/>
        <v>2024</v>
      </c>
      <c r="C169" s="11">
        <f t="shared" si="11"/>
        <v>6</v>
      </c>
      <c r="D169" s="11" t="str">
        <f t="shared" si="12"/>
        <v>Sun</v>
      </c>
      <c r="E169" s="11">
        <f t="shared" si="13"/>
        <v>0</v>
      </c>
      <c r="F169" s="11">
        <f t="shared" si="14"/>
        <v>0</v>
      </c>
      <c r="G169" s="16"/>
      <c r="H169" s="11">
        <f>COUNTIF(Events!$A$2:$A$391,$A169)</f>
        <v>0</v>
      </c>
      <c r="I169" s="11" t="str">
        <f>IFERROR(INDEX(Events!$E$2:$E$391,MATCH($A169,Events!$A$2:$A$391,0)),"")</f>
        <v/>
      </c>
    </row>
    <row r="170" spans="1:9" ht="15" customHeight="1" x14ac:dyDescent="0.35">
      <c r="A170" s="12">
        <v>45460</v>
      </c>
      <c r="B170" s="11">
        <f t="shared" si="10"/>
        <v>2024</v>
      </c>
      <c r="C170" s="11">
        <f t="shared" si="11"/>
        <v>6</v>
      </c>
      <c r="D170" s="11" t="str">
        <f t="shared" si="12"/>
        <v>Mon</v>
      </c>
      <c r="E170" s="11">
        <f t="shared" si="13"/>
        <v>0</v>
      </c>
      <c r="F170" s="11">
        <f t="shared" si="14"/>
        <v>0</v>
      </c>
      <c r="G170" s="16"/>
      <c r="H170" s="11">
        <f>COUNTIF(Events!$A$2:$A$391,$A170)</f>
        <v>0</v>
      </c>
      <c r="I170" s="11" t="str">
        <f>IFERROR(INDEX(Events!$E$2:$E$391,MATCH($A170,Events!$A$2:$A$391,0)),"")</f>
        <v/>
      </c>
    </row>
    <row r="171" spans="1:9" ht="15" customHeight="1" x14ac:dyDescent="0.35">
      <c r="A171" s="12">
        <v>45461</v>
      </c>
      <c r="B171" s="11">
        <f t="shared" si="10"/>
        <v>2024</v>
      </c>
      <c r="C171" s="11">
        <f t="shared" si="11"/>
        <v>6</v>
      </c>
      <c r="D171" s="11" t="str">
        <f t="shared" si="12"/>
        <v>Tue</v>
      </c>
      <c r="E171" s="11">
        <f t="shared" si="13"/>
        <v>0</v>
      </c>
      <c r="F171" s="11">
        <f t="shared" si="14"/>
        <v>0</v>
      </c>
      <c r="G171" s="16"/>
      <c r="H171" s="11">
        <f>COUNTIF(Events!$A$2:$A$391,$A171)</f>
        <v>0</v>
      </c>
      <c r="I171" s="11" t="str">
        <f>IFERROR(INDEX(Events!$E$2:$E$391,MATCH($A171,Events!$A$2:$A$391,0)),"")</f>
        <v/>
      </c>
    </row>
    <row r="172" spans="1:9" ht="15" customHeight="1" x14ac:dyDescent="0.35">
      <c r="A172" s="12">
        <v>45462</v>
      </c>
      <c r="B172" s="11">
        <f t="shared" si="10"/>
        <v>2024</v>
      </c>
      <c r="C172" s="11">
        <f t="shared" si="11"/>
        <v>6</v>
      </c>
      <c r="D172" s="11" t="str">
        <f t="shared" si="12"/>
        <v>Wed</v>
      </c>
      <c r="E172" s="11">
        <f t="shared" si="13"/>
        <v>0</v>
      </c>
      <c r="F172" s="11">
        <f t="shared" si="14"/>
        <v>0</v>
      </c>
      <c r="G172" s="16"/>
      <c r="H172" s="11">
        <f>COUNTIF(Events!$A$2:$A$391,$A172)</f>
        <v>0</v>
      </c>
      <c r="I172" s="11" t="str">
        <f>IFERROR(INDEX(Events!$E$2:$E$391,MATCH($A172,Events!$A$2:$A$391,0)),"")</f>
        <v/>
      </c>
    </row>
    <row r="173" spans="1:9" ht="15" customHeight="1" x14ac:dyDescent="0.35">
      <c r="A173" s="12">
        <v>45463</v>
      </c>
      <c r="B173" s="11">
        <f t="shared" si="10"/>
        <v>2024</v>
      </c>
      <c r="C173" s="11">
        <f t="shared" si="11"/>
        <v>6</v>
      </c>
      <c r="D173" s="11" t="str">
        <f t="shared" si="12"/>
        <v>Thu</v>
      </c>
      <c r="E173" s="11">
        <f t="shared" si="13"/>
        <v>0</v>
      </c>
      <c r="F173" s="11">
        <f t="shared" si="14"/>
        <v>0</v>
      </c>
      <c r="G173" s="16"/>
      <c r="H173" s="11">
        <f>COUNTIF(Events!$A$2:$A$391,$A173)</f>
        <v>0</v>
      </c>
      <c r="I173" s="11" t="str">
        <f>IFERROR(INDEX(Events!$E$2:$E$391,MATCH($A173,Events!$A$2:$A$391,0)),"")</f>
        <v/>
      </c>
    </row>
    <row r="174" spans="1:9" ht="15" customHeight="1" x14ac:dyDescent="0.35">
      <c r="A174" s="12">
        <v>45464</v>
      </c>
      <c r="B174" s="11">
        <f t="shared" si="10"/>
        <v>2024</v>
      </c>
      <c r="C174" s="11">
        <f t="shared" si="11"/>
        <v>6</v>
      </c>
      <c r="D174" s="11" t="str">
        <f t="shared" si="12"/>
        <v>Fri</v>
      </c>
      <c r="E174" s="11">
        <f t="shared" si="13"/>
        <v>0</v>
      </c>
      <c r="F174" s="11">
        <f t="shared" si="14"/>
        <v>0</v>
      </c>
      <c r="G174" s="16"/>
      <c r="H174" s="11">
        <f>COUNTIF(Events!$A$2:$A$391,$A174)</f>
        <v>0</v>
      </c>
      <c r="I174" s="11" t="str">
        <f>IFERROR(INDEX(Events!$E$2:$E$391,MATCH($A174,Events!$A$2:$A$391,0)),"")</f>
        <v/>
      </c>
    </row>
    <row r="175" spans="1:9" ht="15" customHeight="1" x14ac:dyDescent="0.35">
      <c r="A175" s="12">
        <v>45465</v>
      </c>
      <c r="B175" s="11">
        <f t="shared" si="10"/>
        <v>2024</v>
      </c>
      <c r="C175" s="11">
        <f t="shared" si="11"/>
        <v>6</v>
      </c>
      <c r="D175" s="11" t="str">
        <f t="shared" si="12"/>
        <v>Sat</v>
      </c>
      <c r="E175" s="11">
        <f t="shared" si="13"/>
        <v>0</v>
      </c>
      <c r="F175" s="11">
        <f t="shared" si="14"/>
        <v>0</v>
      </c>
      <c r="G175" s="16"/>
      <c r="H175" s="11">
        <f>COUNTIF(Events!$A$2:$A$391,$A175)</f>
        <v>0</v>
      </c>
      <c r="I175" s="11" t="str">
        <f>IFERROR(INDEX(Events!$E$2:$E$391,MATCH($A175,Events!$A$2:$A$391,0)),"")</f>
        <v/>
      </c>
    </row>
    <row r="176" spans="1:9" ht="15" customHeight="1" x14ac:dyDescent="0.35">
      <c r="A176" s="12">
        <v>45466</v>
      </c>
      <c r="B176" s="11">
        <f t="shared" si="10"/>
        <v>2024</v>
      </c>
      <c r="C176" s="11">
        <f t="shared" si="11"/>
        <v>6</v>
      </c>
      <c r="D176" s="11" t="str">
        <f t="shared" si="12"/>
        <v>Sun</v>
      </c>
      <c r="E176" s="11">
        <f t="shared" si="13"/>
        <v>0</v>
      </c>
      <c r="F176" s="11">
        <f t="shared" si="14"/>
        <v>0</v>
      </c>
      <c r="G176" s="16"/>
      <c r="H176" s="11">
        <f>COUNTIF(Events!$A$2:$A$391,$A176)</f>
        <v>0</v>
      </c>
      <c r="I176" s="11" t="str">
        <f>IFERROR(INDEX(Events!$E$2:$E$391,MATCH($A176,Events!$A$2:$A$391,0)),"")</f>
        <v/>
      </c>
    </row>
    <row r="177" spans="1:9" ht="15" customHeight="1" x14ac:dyDescent="0.35">
      <c r="A177" s="12">
        <v>45467</v>
      </c>
      <c r="B177" s="11">
        <f t="shared" si="10"/>
        <v>2024</v>
      </c>
      <c r="C177" s="11">
        <f t="shared" si="11"/>
        <v>6</v>
      </c>
      <c r="D177" s="11" t="str">
        <f t="shared" si="12"/>
        <v>Mon</v>
      </c>
      <c r="E177" s="11">
        <f t="shared" si="13"/>
        <v>0</v>
      </c>
      <c r="F177" s="11">
        <f t="shared" si="14"/>
        <v>0</v>
      </c>
      <c r="G177" s="16"/>
      <c r="H177" s="11">
        <f>COUNTIF(Events!$A$2:$A$391,$A177)</f>
        <v>0</v>
      </c>
      <c r="I177" s="11" t="str">
        <f>IFERROR(INDEX(Events!$E$2:$E$391,MATCH($A177,Events!$A$2:$A$391,0)),"")</f>
        <v/>
      </c>
    </row>
    <row r="178" spans="1:9" ht="15" customHeight="1" x14ac:dyDescent="0.35">
      <c r="A178" s="12">
        <v>45468</v>
      </c>
      <c r="B178" s="11">
        <f t="shared" si="10"/>
        <v>2024</v>
      </c>
      <c r="C178" s="11">
        <f t="shared" si="11"/>
        <v>6</v>
      </c>
      <c r="D178" s="11" t="str">
        <f t="shared" si="12"/>
        <v>Tue</v>
      </c>
      <c r="E178" s="11">
        <f t="shared" si="13"/>
        <v>0</v>
      </c>
      <c r="F178" s="11">
        <f t="shared" si="14"/>
        <v>0</v>
      </c>
      <c r="G178" s="16"/>
      <c r="H178" s="11">
        <f>COUNTIF(Events!$A$2:$A$391,$A178)</f>
        <v>0</v>
      </c>
      <c r="I178" s="11" t="str">
        <f>IFERROR(INDEX(Events!$E$2:$E$391,MATCH($A178,Events!$A$2:$A$391,0)),"")</f>
        <v/>
      </c>
    </row>
    <row r="179" spans="1:9" ht="15" customHeight="1" x14ac:dyDescent="0.35">
      <c r="A179" s="12">
        <v>45469</v>
      </c>
      <c r="B179" s="11">
        <f t="shared" si="10"/>
        <v>2024</v>
      </c>
      <c r="C179" s="11">
        <f t="shared" si="11"/>
        <v>6</v>
      </c>
      <c r="D179" s="11" t="str">
        <f t="shared" si="12"/>
        <v>Wed</v>
      </c>
      <c r="E179" s="11">
        <f t="shared" si="13"/>
        <v>0</v>
      </c>
      <c r="F179" s="11">
        <f t="shared" si="14"/>
        <v>0</v>
      </c>
      <c r="G179" s="16"/>
      <c r="H179" s="11">
        <f>COUNTIF(Events!$A$2:$A$391,$A179)</f>
        <v>0</v>
      </c>
      <c r="I179" s="11" t="str">
        <f>IFERROR(INDEX(Events!$E$2:$E$391,MATCH($A179,Events!$A$2:$A$391,0)),"")</f>
        <v/>
      </c>
    </row>
    <row r="180" spans="1:9" ht="15" customHeight="1" x14ac:dyDescent="0.35">
      <c r="A180" s="12">
        <v>45470</v>
      </c>
      <c r="B180" s="11">
        <f t="shared" si="10"/>
        <v>2024</v>
      </c>
      <c r="C180" s="11">
        <f t="shared" si="11"/>
        <v>6</v>
      </c>
      <c r="D180" s="11" t="str">
        <f t="shared" si="12"/>
        <v>Thu</v>
      </c>
      <c r="E180" s="11">
        <f t="shared" si="13"/>
        <v>0</v>
      </c>
      <c r="F180" s="11">
        <f t="shared" si="14"/>
        <v>0</v>
      </c>
      <c r="G180" s="16"/>
      <c r="H180" s="11">
        <f>COUNTIF(Events!$A$2:$A$391,$A180)</f>
        <v>0</v>
      </c>
      <c r="I180" s="11" t="str">
        <f>IFERROR(INDEX(Events!$E$2:$E$391,MATCH($A180,Events!$A$2:$A$391,0)),"")</f>
        <v/>
      </c>
    </row>
    <row r="181" spans="1:9" ht="15" customHeight="1" x14ac:dyDescent="0.35">
      <c r="A181" s="12">
        <v>45471</v>
      </c>
      <c r="B181" s="11">
        <f t="shared" si="10"/>
        <v>2024</v>
      </c>
      <c r="C181" s="11">
        <f t="shared" si="11"/>
        <v>6</v>
      </c>
      <c r="D181" s="11" t="str">
        <f t="shared" si="12"/>
        <v>Fri</v>
      </c>
      <c r="E181" s="11">
        <f t="shared" si="13"/>
        <v>0</v>
      </c>
      <c r="F181" s="11">
        <f t="shared" si="14"/>
        <v>0</v>
      </c>
      <c r="G181" s="16"/>
      <c r="H181" s="11">
        <f>COUNTIF(Events!$A$2:$A$391,$A181)</f>
        <v>0</v>
      </c>
      <c r="I181" s="11" t="str">
        <f>IFERROR(INDEX(Events!$E$2:$E$391,MATCH($A181,Events!$A$2:$A$391,0)),"")</f>
        <v/>
      </c>
    </row>
    <row r="182" spans="1:9" ht="15" customHeight="1" x14ac:dyDescent="0.35">
      <c r="A182" s="12">
        <v>45472</v>
      </c>
      <c r="B182" s="11">
        <f t="shared" si="10"/>
        <v>2024</v>
      </c>
      <c r="C182" s="11">
        <f t="shared" si="11"/>
        <v>6</v>
      </c>
      <c r="D182" s="11" t="str">
        <f t="shared" si="12"/>
        <v>Sat</v>
      </c>
      <c r="E182" s="11">
        <f t="shared" si="13"/>
        <v>0</v>
      </c>
      <c r="F182" s="11">
        <f t="shared" si="14"/>
        <v>0</v>
      </c>
      <c r="G182" s="16"/>
      <c r="H182" s="11">
        <f>COUNTIF(Events!$A$2:$A$391,$A182)</f>
        <v>0</v>
      </c>
      <c r="I182" s="11" t="str">
        <f>IFERROR(INDEX(Events!$E$2:$E$391,MATCH($A182,Events!$A$2:$A$391,0)),"")</f>
        <v/>
      </c>
    </row>
    <row r="183" spans="1:9" ht="15" customHeight="1" x14ac:dyDescent="0.35">
      <c r="A183" s="12">
        <v>45473</v>
      </c>
      <c r="B183" s="11">
        <f t="shared" si="10"/>
        <v>2024</v>
      </c>
      <c r="C183" s="11">
        <f t="shared" si="11"/>
        <v>6</v>
      </c>
      <c r="D183" s="11" t="str">
        <f t="shared" si="12"/>
        <v>Sun</v>
      </c>
      <c r="E183" s="11">
        <f t="shared" si="13"/>
        <v>0</v>
      </c>
      <c r="F183" s="11">
        <f t="shared" si="14"/>
        <v>0</v>
      </c>
      <c r="G183" s="16"/>
      <c r="H183" s="11">
        <f>COUNTIF(Events!$A$2:$A$391,$A183)</f>
        <v>0</v>
      </c>
      <c r="I183" s="11" t="str">
        <f>IFERROR(INDEX(Events!$E$2:$E$391,MATCH($A183,Events!$A$2:$A$391,0)),"")</f>
        <v/>
      </c>
    </row>
    <row r="184" spans="1:9" ht="15" customHeight="1" x14ac:dyDescent="0.35">
      <c r="A184" s="12">
        <v>45474</v>
      </c>
      <c r="B184" s="11">
        <f t="shared" si="10"/>
        <v>2024</v>
      </c>
      <c r="C184" s="11">
        <f t="shared" si="11"/>
        <v>7</v>
      </c>
      <c r="D184" s="11" t="str">
        <f t="shared" si="12"/>
        <v>Mon</v>
      </c>
      <c r="E184" s="11">
        <f t="shared" si="13"/>
        <v>0</v>
      </c>
      <c r="F184" s="11">
        <f t="shared" si="14"/>
        <v>0</v>
      </c>
      <c r="G184" s="16"/>
      <c r="H184" s="11">
        <f>COUNTIF(Events!$A$2:$A$391,$A184)</f>
        <v>0</v>
      </c>
      <c r="I184" s="11" t="str">
        <f>IFERROR(INDEX(Events!$E$2:$E$391,MATCH($A184,Events!$A$2:$A$391,0)),"")</f>
        <v/>
      </c>
    </row>
    <row r="185" spans="1:9" ht="15" customHeight="1" x14ac:dyDescent="0.35">
      <c r="A185" s="12">
        <v>45475</v>
      </c>
      <c r="B185" s="11">
        <f t="shared" si="10"/>
        <v>2024</v>
      </c>
      <c r="C185" s="11">
        <f t="shared" si="11"/>
        <v>7</v>
      </c>
      <c r="D185" s="11" t="str">
        <f t="shared" si="12"/>
        <v>Tue</v>
      </c>
      <c r="E185" s="11">
        <f t="shared" si="13"/>
        <v>0</v>
      </c>
      <c r="F185" s="11">
        <f t="shared" si="14"/>
        <v>0</v>
      </c>
      <c r="G185" s="16"/>
      <c r="H185" s="11">
        <f>COUNTIF(Events!$A$2:$A$391,$A185)</f>
        <v>0</v>
      </c>
      <c r="I185" s="11" t="str">
        <f>IFERROR(INDEX(Events!$E$2:$E$391,MATCH($A185,Events!$A$2:$A$391,0)),"")</f>
        <v/>
      </c>
    </row>
    <row r="186" spans="1:9" ht="15" customHeight="1" x14ac:dyDescent="0.35">
      <c r="A186" s="12">
        <v>45476</v>
      </c>
      <c r="B186" s="11">
        <f t="shared" si="10"/>
        <v>2024</v>
      </c>
      <c r="C186" s="11">
        <f t="shared" si="11"/>
        <v>7</v>
      </c>
      <c r="D186" s="11" t="str">
        <f t="shared" si="12"/>
        <v>Wed</v>
      </c>
      <c r="E186" s="11">
        <f t="shared" si="13"/>
        <v>0</v>
      </c>
      <c r="F186" s="11">
        <f t="shared" si="14"/>
        <v>0</v>
      </c>
      <c r="G186" s="16"/>
      <c r="H186" s="11">
        <f>COUNTIF(Events!$A$2:$A$391,$A186)</f>
        <v>0</v>
      </c>
      <c r="I186" s="11" t="str">
        <f>IFERROR(INDEX(Events!$E$2:$E$391,MATCH($A186,Events!$A$2:$A$391,0)),"")</f>
        <v/>
      </c>
    </row>
    <row r="187" spans="1:9" ht="15" customHeight="1" x14ac:dyDescent="0.35">
      <c r="A187" s="12">
        <v>45477</v>
      </c>
      <c r="B187" s="11">
        <f t="shared" si="10"/>
        <v>2024</v>
      </c>
      <c r="C187" s="11">
        <f t="shared" si="11"/>
        <v>7</v>
      </c>
      <c r="D187" s="11" t="str">
        <f t="shared" si="12"/>
        <v>Thu</v>
      </c>
      <c r="E187" s="11">
        <f t="shared" si="13"/>
        <v>0</v>
      </c>
      <c r="F187" s="11">
        <f t="shared" si="14"/>
        <v>0</v>
      </c>
      <c r="G187" s="16"/>
      <c r="H187" s="11">
        <f>COUNTIF(Events!$A$2:$A$391,$A187)</f>
        <v>0</v>
      </c>
      <c r="I187" s="11" t="str">
        <f>IFERROR(INDEX(Events!$E$2:$E$391,MATCH($A187,Events!$A$2:$A$391,0)),"")</f>
        <v/>
      </c>
    </row>
    <row r="188" spans="1:9" ht="15" customHeight="1" x14ac:dyDescent="0.35">
      <c r="A188" s="12">
        <v>45478</v>
      </c>
      <c r="B188" s="11">
        <f t="shared" si="10"/>
        <v>2024</v>
      </c>
      <c r="C188" s="11">
        <f t="shared" si="11"/>
        <v>7</v>
      </c>
      <c r="D188" s="11" t="str">
        <f t="shared" si="12"/>
        <v>Fri</v>
      </c>
      <c r="E188" s="11">
        <f t="shared" si="13"/>
        <v>0</v>
      </c>
      <c r="F188" s="11">
        <f t="shared" si="14"/>
        <v>0</v>
      </c>
      <c r="G188" s="16"/>
      <c r="H188" s="11">
        <f>COUNTIF(Events!$A$2:$A$391,$A188)</f>
        <v>0</v>
      </c>
      <c r="I188" s="11" t="str">
        <f>IFERROR(INDEX(Events!$E$2:$E$391,MATCH($A188,Events!$A$2:$A$391,0)),"")</f>
        <v/>
      </c>
    </row>
    <row r="189" spans="1:9" ht="15" customHeight="1" x14ac:dyDescent="0.35">
      <c r="A189" s="12">
        <v>45479</v>
      </c>
      <c r="B189" s="11">
        <f t="shared" si="10"/>
        <v>2024</v>
      </c>
      <c r="C189" s="11">
        <f t="shared" si="11"/>
        <v>7</v>
      </c>
      <c r="D189" s="11" t="str">
        <f t="shared" si="12"/>
        <v>Sat</v>
      </c>
      <c r="E189" s="11">
        <f t="shared" si="13"/>
        <v>0</v>
      </c>
      <c r="F189" s="11">
        <f t="shared" si="14"/>
        <v>0</v>
      </c>
      <c r="G189" s="16"/>
      <c r="H189" s="11">
        <f>COUNTIF(Events!$A$2:$A$391,$A189)</f>
        <v>0</v>
      </c>
      <c r="I189" s="11" t="str">
        <f>IFERROR(INDEX(Events!$E$2:$E$391,MATCH($A189,Events!$A$2:$A$391,0)),"")</f>
        <v/>
      </c>
    </row>
    <row r="190" spans="1:9" ht="15" customHeight="1" x14ac:dyDescent="0.35">
      <c r="A190" s="12">
        <v>45480</v>
      </c>
      <c r="B190" s="11">
        <f t="shared" si="10"/>
        <v>2024</v>
      </c>
      <c r="C190" s="11">
        <f t="shared" si="11"/>
        <v>7</v>
      </c>
      <c r="D190" s="11" t="str">
        <f t="shared" si="12"/>
        <v>Sun</v>
      </c>
      <c r="E190" s="11">
        <f t="shared" si="13"/>
        <v>0</v>
      </c>
      <c r="F190" s="11">
        <f t="shared" si="14"/>
        <v>0</v>
      </c>
      <c r="G190" s="16"/>
      <c r="H190" s="11">
        <f>COUNTIF(Events!$A$2:$A$391,$A190)</f>
        <v>0</v>
      </c>
      <c r="I190" s="11" t="str">
        <f>IFERROR(INDEX(Events!$E$2:$E$391,MATCH($A190,Events!$A$2:$A$391,0)),"")</f>
        <v/>
      </c>
    </row>
    <row r="191" spans="1:9" ht="15" customHeight="1" x14ac:dyDescent="0.35">
      <c r="A191" s="12">
        <v>45481</v>
      </c>
      <c r="B191" s="11">
        <f t="shared" si="10"/>
        <v>2024</v>
      </c>
      <c r="C191" s="11">
        <f t="shared" si="11"/>
        <v>7</v>
      </c>
      <c r="D191" s="11" t="str">
        <f t="shared" si="12"/>
        <v>Mon</v>
      </c>
      <c r="E191" s="11">
        <f t="shared" si="13"/>
        <v>0</v>
      </c>
      <c r="F191" s="11">
        <f t="shared" si="14"/>
        <v>0</v>
      </c>
      <c r="G191" s="16"/>
      <c r="H191" s="11">
        <f>COUNTIF(Events!$A$2:$A$391,$A191)</f>
        <v>0</v>
      </c>
      <c r="I191" s="11" t="str">
        <f>IFERROR(INDEX(Events!$E$2:$E$391,MATCH($A191,Events!$A$2:$A$391,0)),"")</f>
        <v/>
      </c>
    </row>
    <row r="192" spans="1:9" ht="15" customHeight="1" x14ac:dyDescent="0.35">
      <c r="A192" s="12">
        <v>45482</v>
      </c>
      <c r="B192" s="11">
        <f t="shared" si="10"/>
        <v>2024</v>
      </c>
      <c r="C192" s="11">
        <f t="shared" si="11"/>
        <v>7</v>
      </c>
      <c r="D192" s="11" t="str">
        <f t="shared" si="12"/>
        <v>Tue</v>
      </c>
      <c r="E192" s="11">
        <f t="shared" si="13"/>
        <v>0</v>
      </c>
      <c r="F192" s="11">
        <f t="shared" si="14"/>
        <v>0</v>
      </c>
      <c r="G192" s="16"/>
      <c r="H192" s="11">
        <f>COUNTIF(Events!$A$2:$A$391,$A192)</f>
        <v>0</v>
      </c>
      <c r="I192" s="11" t="str">
        <f>IFERROR(INDEX(Events!$E$2:$E$391,MATCH($A192,Events!$A$2:$A$391,0)),"")</f>
        <v/>
      </c>
    </row>
    <row r="193" spans="1:9" ht="15" customHeight="1" x14ac:dyDescent="0.35">
      <c r="A193" s="12">
        <v>45483</v>
      </c>
      <c r="B193" s="11">
        <f t="shared" si="10"/>
        <v>2024</v>
      </c>
      <c r="C193" s="11">
        <f t="shared" si="11"/>
        <v>7</v>
      </c>
      <c r="D193" s="11" t="str">
        <f t="shared" si="12"/>
        <v>Wed</v>
      </c>
      <c r="E193" s="11">
        <f t="shared" si="13"/>
        <v>0</v>
      </c>
      <c r="F193" s="11">
        <f t="shared" si="14"/>
        <v>0</v>
      </c>
      <c r="G193" s="16"/>
      <c r="H193" s="11">
        <f>COUNTIF(Events!$A$2:$A$391,$A193)</f>
        <v>0</v>
      </c>
      <c r="I193" s="11" t="str">
        <f>IFERROR(INDEX(Events!$E$2:$E$391,MATCH($A193,Events!$A$2:$A$391,0)),"")</f>
        <v/>
      </c>
    </row>
    <row r="194" spans="1:9" ht="15" customHeight="1" x14ac:dyDescent="0.35">
      <c r="A194" s="12">
        <v>45484</v>
      </c>
      <c r="B194" s="11">
        <f t="shared" ref="B194:B257" si="15">YEAR($A194)</f>
        <v>2024</v>
      </c>
      <c r="C194" s="11">
        <f t="shared" ref="C194:C257" si="16">MONTH($A194)</f>
        <v>7</v>
      </c>
      <c r="D194" s="11" t="str">
        <f t="shared" ref="D194:D257" si="17">TEXT($A194,"ddd")</f>
        <v>Thu</v>
      </c>
      <c r="E194" s="11">
        <f t="shared" ref="E194:E257" si="18">IF(OR(AND(MONTH($A194)=10,DAY($A194)&gt;=15),MONTH($A194)=11,AND(MONTH($A194)=12,DAY($A194)&lt;=7)),1,0)</f>
        <v>0</v>
      </c>
      <c r="F194" s="11">
        <f t="shared" ref="F194:F257" si="19">IF(MONTH($A194)&lt;=3,1,0)</f>
        <v>0</v>
      </c>
      <c r="G194" s="16"/>
      <c r="H194" s="11">
        <f>COUNTIF(Events!$A$2:$A$391,$A194)</f>
        <v>0</v>
      </c>
      <c r="I194" s="11" t="str">
        <f>IFERROR(INDEX(Events!$E$2:$E$391,MATCH($A194,Events!$A$2:$A$391,0)),"")</f>
        <v/>
      </c>
    </row>
    <row r="195" spans="1:9" ht="15" customHeight="1" x14ac:dyDescent="0.35">
      <c r="A195" s="12">
        <v>45485</v>
      </c>
      <c r="B195" s="11">
        <f t="shared" si="15"/>
        <v>2024</v>
      </c>
      <c r="C195" s="11">
        <f t="shared" si="16"/>
        <v>7</v>
      </c>
      <c r="D195" s="11" t="str">
        <f t="shared" si="17"/>
        <v>Fri</v>
      </c>
      <c r="E195" s="11">
        <f t="shared" si="18"/>
        <v>0</v>
      </c>
      <c r="F195" s="11">
        <f t="shared" si="19"/>
        <v>0</v>
      </c>
      <c r="G195" s="16"/>
      <c r="H195" s="11">
        <f>COUNTIF(Events!$A$2:$A$391,$A195)</f>
        <v>0</v>
      </c>
      <c r="I195" s="11" t="str">
        <f>IFERROR(INDEX(Events!$E$2:$E$391,MATCH($A195,Events!$A$2:$A$391,0)),"")</f>
        <v/>
      </c>
    </row>
    <row r="196" spans="1:9" ht="15" customHeight="1" x14ac:dyDescent="0.35">
      <c r="A196" s="12">
        <v>45486</v>
      </c>
      <c r="B196" s="11">
        <f t="shared" si="15"/>
        <v>2024</v>
      </c>
      <c r="C196" s="11">
        <f t="shared" si="16"/>
        <v>7</v>
      </c>
      <c r="D196" s="11" t="str">
        <f t="shared" si="17"/>
        <v>Sat</v>
      </c>
      <c r="E196" s="11">
        <f t="shared" si="18"/>
        <v>0</v>
      </c>
      <c r="F196" s="11">
        <f t="shared" si="19"/>
        <v>0</v>
      </c>
      <c r="G196" s="16"/>
      <c r="H196" s="11">
        <f>COUNTIF(Events!$A$2:$A$391,$A196)</f>
        <v>0</v>
      </c>
      <c r="I196" s="11" t="str">
        <f>IFERROR(INDEX(Events!$E$2:$E$391,MATCH($A196,Events!$A$2:$A$391,0)),"")</f>
        <v/>
      </c>
    </row>
    <row r="197" spans="1:9" ht="15" customHeight="1" x14ac:dyDescent="0.35">
      <c r="A197" s="12">
        <v>45487</v>
      </c>
      <c r="B197" s="11">
        <f t="shared" si="15"/>
        <v>2024</v>
      </c>
      <c r="C197" s="11">
        <f t="shared" si="16"/>
        <v>7</v>
      </c>
      <c r="D197" s="11" t="str">
        <f t="shared" si="17"/>
        <v>Sun</v>
      </c>
      <c r="E197" s="11">
        <f t="shared" si="18"/>
        <v>0</v>
      </c>
      <c r="F197" s="11">
        <f t="shared" si="19"/>
        <v>0</v>
      </c>
      <c r="G197" s="16"/>
      <c r="H197" s="11">
        <f>COUNTIF(Events!$A$2:$A$391,$A197)</f>
        <v>0</v>
      </c>
      <c r="I197" s="11" t="str">
        <f>IFERROR(INDEX(Events!$E$2:$E$391,MATCH($A197,Events!$A$2:$A$391,0)),"")</f>
        <v/>
      </c>
    </row>
    <row r="198" spans="1:9" ht="15" customHeight="1" x14ac:dyDescent="0.35">
      <c r="A198" s="12">
        <v>45488</v>
      </c>
      <c r="B198" s="11">
        <f t="shared" si="15"/>
        <v>2024</v>
      </c>
      <c r="C198" s="11">
        <f t="shared" si="16"/>
        <v>7</v>
      </c>
      <c r="D198" s="11" t="str">
        <f t="shared" si="17"/>
        <v>Mon</v>
      </c>
      <c r="E198" s="11">
        <f t="shared" si="18"/>
        <v>0</v>
      </c>
      <c r="F198" s="11">
        <f t="shared" si="19"/>
        <v>0</v>
      </c>
      <c r="G198" s="16"/>
      <c r="H198" s="11">
        <f>COUNTIF(Events!$A$2:$A$391,$A198)</f>
        <v>0</v>
      </c>
      <c r="I198" s="11" t="str">
        <f>IFERROR(INDEX(Events!$E$2:$E$391,MATCH($A198,Events!$A$2:$A$391,0)),"")</f>
        <v/>
      </c>
    </row>
    <row r="199" spans="1:9" ht="15" customHeight="1" x14ac:dyDescent="0.35">
      <c r="A199" s="12">
        <v>45489</v>
      </c>
      <c r="B199" s="11">
        <f t="shared" si="15"/>
        <v>2024</v>
      </c>
      <c r="C199" s="11">
        <f t="shared" si="16"/>
        <v>7</v>
      </c>
      <c r="D199" s="11" t="str">
        <f t="shared" si="17"/>
        <v>Tue</v>
      </c>
      <c r="E199" s="11">
        <f t="shared" si="18"/>
        <v>0</v>
      </c>
      <c r="F199" s="11">
        <f t="shared" si="19"/>
        <v>0</v>
      </c>
      <c r="G199" s="16"/>
      <c r="H199" s="11">
        <f>COUNTIF(Events!$A$2:$A$391,$A199)</f>
        <v>0</v>
      </c>
      <c r="I199" s="11" t="str">
        <f>IFERROR(INDEX(Events!$E$2:$E$391,MATCH($A199,Events!$A$2:$A$391,0)),"")</f>
        <v/>
      </c>
    </row>
    <row r="200" spans="1:9" ht="15" customHeight="1" x14ac:dyDescent="0.35">
      <c r="A200" s="12">
        <v>45490</v>
      </c>
      <c r="B200" s="11">
        <f t="shared" si="15"/>
        <v>2024</v>
      </c>
      <c r="C200" s="11">
        <f t="shared" si="16"/>
        <v>7</v>
      </c>
      <c r="D200" s="11" t="str">
        <f t="shared" si="17"/>
        <v>Wed</v>
      </c>
      <c r="E200" s="11">
        <f t="shared" si="18"/>
        <v>0</v>
      </c>
      <c r="F200" s="11">
        <f t="shared" si="19"/>
        <v>0</v>
      </c>
      <c r="G200" s="16"/>
      <c r="H200" s="11">
        <f>COUNTIF(Events!$A$2:$A$391,$A200)</f>
        <v>0</v>
      </c>
      <c r="I200" s="11" t="str">
        <f>IFERROR(INDEX(Events!$E$2:$E$391,MATCH($A200,Events!$A$2:$A$391,0)),"")</f>
        <v/>
      </c>
    </row>
    <row r="201" spans="1:9" ht="15" customHeight="1" x14ac:dyDescent="0.35">
      <c r="A201" s="12">
        <v>45491</v>
      </c>
      <c r="B201" s="11">
        <f t="shared" si="15"/>
        <v>2024</v>
      </c>
      <c r="C201" s="11">
        <f t="shared" si="16"/>
        <v>7</v>
      </c>
      <c r="D201" s="11" t="str">
        <f t="shared" si="17"/>
        <v>Thu</v>
      </c>
      <c r="E201" s="11">
        <f t="shared" si="18"/>
        <v>0</v>
      </c>
      <c r="F201" s="11">
        <f t="shared" si="19"/>
        <v>0</v>
      </c>
      <c r="G201" s="16"/>
      <c r="H201" s="11">
        <f>COUNTIF(Events!$A$2:$A$391,$A201)</f>
        <v>0</v>
      </c>
      <c r="I201" s="11" t="str">
        <f>IFERROR(INDEX(Events!$E$2:$E$391,MATCH($A201,Events!$A$2:$A$391,0)),"")</f>
        <v/>
      </c>
    </row>
    <row r="202" spans="1:9" ht="15" customHeight="1" x14ac:dyDescent="0.35">
      <c r="A202" s="12">
        <v>45492</v>
      </c>
      <c r="B202" s="11">
        <f t="shared" si="15"/>
        <v>2024</v>
      </c>
      <c r="C202" s="11">
        <f t="shared" si="16"/>
        <v>7</v>
      </c>
      <c r="D202" s="11" t="str">
        <f t="shared" si="17"/>
        <v>Fri</v>
      </c>
      <c r="E202" s="11">
        <f t="shared" si="18"/>
        <v>0</v>
      </c>
      <c r="F202" s="11">
        <f t="shared" si="19"/>
        <v>0</v>
      </c>
      <c r="G202" s="16"/>
      <c r="H202" s="11">
        <f>COUNTIF(Events!$A$2:$A$391,$A202)</f>
        <v>0</v>
      </c>
      <c r="I202" s="11" t="str">
        <f>IFERROR(INDEX(Events!$E$2:$E$391,MATCH($A202,Events!$A$2:$A$391,0)),"")</f>
        <v/>
      </c>
    </row>
    <row r="203" spans="1:9" ht="15" customHeight="1" x14ac:dyDescent="0.35">
      <c r="A203" s="12">
        <v>45493</v>
      </c>
      <c r="B203" s="11">
        <f t="shared" si="15"/>
        <v>2024</v>
      </c>
      <c r="C203" s="11">
        <f t="shared" si="16"/>
        <v>7</v>
      </c>
      <c r="D203" s="11" t="str">
        <f t="shared" si="17"/>
        <v>Sat</v>
      </c>
      <c r="E203" s="11">
        <f t="shared" si="18"/>
        <v>0</v>
      </c>
      <c r="F203" s="11">
        <f t="shared" si="19"/>
        <v>0</v>
      </c>
      <c r="G203" s="16"/>
      <c r="H203" s="11">
        <f>COUNTIF(Events!$A$2:$A$391,$A203)</f>
        <v>0</v>
      </c>
      <c r="I203" s="11" t="str">
        <f>IFERROR(INDEX(Events!$E$2:$E$391,MATCH($A203,Events!$A$2:$A$391,0)),"")</f>
        <v/>
      </c>
    </row>
    <row r="204" spans="1:9" ht="15" customHeight="1" x14ac:dyDescent="0.35">
      <c r="A204" s="12">
        <v>45494</v>
      </c>
      <c r="B204" s="11">
        <f t="shared" si="15"/>
        <v>2024</v>
      </c>
      <c r="C204" s="11">
        <f t="shared" si="16"/>
        <v>7</v>
      </c>
      <c r="D204" s="11" t="str">
        <f t="shared" si="17"/>
        <v>Sun</v>
      </c>
      <c r="E204" s="11">
        <f t="shared" si="18"/>
        <v>0</v>
      </c>
      <c r="F204" s="11">
        <f t="shared" si="19"/>
        <v>0</v>
      </c>
      <c r="G204" s="16"/>
      <c r="H204" s="11">
        <f>COUNTIF(Events!$A$2:$A$391,$A204)</f>
        <v>0</v>
      </c>
      <c r="I204" s="11" t="str">
        <f>IFERROR(INDEX(Events!$E$2:$E$391,MATCH($A204,Events!$A$2:$A$391,0)),"")</f>
        <v/>
      </c>
    </row>
    <row r="205" spans="1:9" ht="15" customHeight="1" x14ac:dyDescent="0.35">
      <c r="A205" s="12">
        <v>45495</v>
      </c>
      <c r="B205" s="11">
        <f t="shared" si="15"/>
        <v>2024</v>
      </c>
      <c r="C205" s="11">
        <f t="shared" si="16"/>
        <v>7</v>
      </c>
      <c r="D205" s="11" t="str">
        <f t="shared" si="17"/>
        <v>Mon</v>
      </c>
      <c r="E205" s="11">
        <f t="shared" si="18"/>
        <v>0</v>
      </c>
      <c r="F205" s="11">
        <f t="shared" si="19"/>
        <v>0</v>
      </c>
      <c r="G205" s="16"/>
      <c r="H205" s="11">
        <f>COUNTIF(Events!$A$2:$A$391,$A205)</f>
        <v>0</v>
      </c>
      <c r="I205" s="11" t="str">
        <f>IFERROR(INDEX(Events!$E$2:$E$391,MATCH($A205,Events!$A$2:$A$391,0)),"")</f>
        <v/>
      </c>
    </row>
    <row r="206" spans="1:9" ht="15" customHeight="1" x14ac:dyDescent="0.35">
      <c r="A206" s="12">
        <v>45496</v>
      </c>
      <c r="B206" s="11">
        <f t="shared" si="15"/>
        <v>2024</v>
      </c>
      <c r="C206" s="11">
        <f t="shared" si="16"/>
        <v>7</v>
      </c>
      <c r="D206" s="11" t="str">
        <f t="shared" si="17"/>
        <v>Tue</v>
      </c>
      <c r="E206" s="11">
        <f t="shared" si="18"/>
        <v>0</v>
      </c>
      <c r="F206" s="11">
        <f t="shared" si="19"/>
        <v>0</v>
      </c>
      <c r="G206" s="16"/>
      <c r="H206" s="11">
        <f>COUNTIF(Events!$A$2:$A$391,$A206)</f>
        <v>0</v>
      </c>
      <c r="I206" s="11" t="str">
        <f>IFERROR(INDEX(Events!$E$2:$E$391,MATCH($A206,Events!$A$2:$A$391,0)),"")</f>
        <v/>
      </c>
    </row>
    <row r="207" spans="1:9" ht="15" customHeight="1" x14ac:dyDescent="0.35">
      <c r="A207" s="12">
        <v>45497</v>
      </c>
      <c r="B207" s="11">
        <f t="shared" si="15"/>
        <v>2024</v>
      </c>
      <c r="C207" s="11">
        <f t="shared" si="16"/>
        <v>7</v>
      </c>
      <c r="D207" s="11" t="str">
        <f t="shared" si="17"/>
        <v>Wed</v>
      </c>
      <c r="E207" s="11">
        <f t="shared" si="18"/>
        <v>0</v>
      </c>
      <c r="F207" s="11">
        <f t="shared" si="19"/>
        <v>0</v>
      </c>
      <c r="G207" s="16"/>
      <c r="H207" s="11">
        <f>COUNTIF(Events!$A$2:$A$391,$A207)</f>
        <v>0</v>
      </c>
      <c r="I207" s="11" t="str">
        <f>IFERROR(INDEX(Events!$E$2:$E$391,MATCH($A207,Events!$A$2:$A$391,0)),"")</f>
        <v/>
      </c>
    </row>
    <row r="208" spans="1:9" ht="15" customHeight="1" x14ac:dyDescent="0.35">
      <c r="A208" s="12">
        <v>45498</v>
      </c>
      <c r="B208" s="11">
        <f t="shared" si="15"/>
        <v>2024</v>
      </c>
      <c r="C208" s="11">
        <f t="shared" si="16"/>
        <v>7</v>
      </c>
      <c r="D208" s="11" t="str">
        <f t="shared" si="17"/>
        <v>Thu</v>
      </c>
      <c r="E208" s="11">
        <f t="shared" si="18"/>
        <v>0</v>
      </c>
      <c r="F208" s="11">
        <f t="shared" si="19"/>
        <v>0</v>
      </c>
      <c r="G208" s="16"/>
      <c r="H208" s="11">
        <f>COUNTIF(Events!$A$2:$A$391,$A208)</f>
        <v>0</v>
      </c>
      <c r="I208" s="11" t="str">
        <f>IFERROR(INDEX(Events!$E$2:$E$391,MATCH($A208,Events!$A$2:$A$391,0)),"")</f>
        <v/>
      </c>
    </row>
    <row r="209" spans="1:9" ht="15" customHeight="1" x14ac:dyDescent="0.35">
      <c r="A209" s="12">
        <v>45499</v>
      </c>
      <c r="B209" s="11">
        <f t="shared" si="15"/>
        <v>2024</v>
      </c>
      <c r="C209" s="11">
        <f t="shared" si="16"/>
        <v>7</v>
      </c>
      <c r="D209" s="11" t="str">
        <f t="shared" si="17"/>
        <v>Fri</v>
      </c>
      <c r="E209" s="11">
        <f t="shared" si="18"/>
        <v>0</v>
      </c>
      <c r="F209" s="11">
        <f t="shared" si="19"/>
        <v>0</v>
      </c>
      <c r="G209" s="16"/>
      <c r="H209" s="11">
        <f>COUNTIF(Events!$A$2:$A$391,$A209)</f>
        <v>0</v>
      </c>
      <c r="I209" s="11" t="str">
        <f>IFERROR(INDEX(Events!$E$2:$E$391,MATCH($A209,Events!$A$2:$A$391,0)),"")</f>
        <v/>
      </c>
    </row>
    <row r="210" spans="1:9" ht="15" customHeight="1" x14ac:dyDescent="0.35">
      <c r="A210" s="12">
        <v>45500</v>
      </c>
      <c r="B210" s="11">
        <f t="shared" si="15"/>
        <v>2024</v>
      </c>
      <c r="C210" s="11">
        <f t="shared" si="16"/>
        <v>7</v>
      </c>
      <c r="D210" s="11" t="str">
        <f t="shared" si="17"/>
        <v>Sat</v>
      </c>
      <c r="E210" s="11">
        <f t="shared" si="18"/>
        <v>0</v>
      </c>
      <c r="F210" s="11">
        <f t="shared" si="19"/>
        <v>0</v>
      </c>
      <c r="G210" s="16"/>
      <c r="H210" s="11">
        <f>COUNTIF(Events!$A$2:$A$391,$A210)</f>
        <v>0</v>
      </c>
      <c r="I210" s="11" t="str">
        <f>IFERROR(INDEX(Events!$E$2:$E$391,MATCH($A210,Events!$A$2:$A$391,0)),"")</f>
        <v/>
      </c>
    </row>
    <row r="211" spans="1:9" ht="15" customHeight="1" x14ac:dyDescent="0.35">
      <c r="A211" s="12">
        <v>45501</v>
      </c>
      <c r="B211" s="11">
        <f t="shared" si="15"/>
        <v>2024</v>
      </c>
      <c r="C211" s="11">
        <f t="shared" si="16"/>
        <v>7</v>
      </c>
      <c r="D211" s="11" t="str">
        <f t="shared" si="17"/>
        <v>Sun</v>
      </c>
      <c r="E211" s="11">
        <f t="shared" si="18"/>
        <v>0</v>
      </c>
      <c r="F211" s="11">
        <f t="shared" si="19"/>
        <v>0</v>
      </c>
      <c r="G211" s="16"/>
      <c r="H211" s="11">
        <f>COUNTIF(Events!$A$2:$A$391,$A211)</f>
        <v>0</v>
      </c>
      <c r="I211" s="11" t="str">
        <f>IFERROR(INDEX(Events!$E$2:$E$391,MATCH($A211,Events!$A$2:$A$391,0)),"")</f>
        <v/>
      </c>
    </row>
    <row r="212" spans="1:9" ht="15" customHeight="1" x14ac:dyDescent="0.35">
      <c r="A212" s="12">
        <v>45502</v>
      </c>
      <c r="B212" s="11">
        <f t="shared" si="15"/>
        <v>2024</v>
      </c>
      <c r="C212" s="11">
        <f t="shared" si="16"/>
        <v>7</v>
      </c>
      <c r="D212" s="11" t="str">
        <f t="shared" si="17"/>
        <v>Mon</v>
      </c>
      <c r="E212" s="11">
        <f t="shared" si="18"/>
        <v>0</v>
      </c>
      <c r="F212" s="11">
        <f t="shared" si="19"/>
        <v>0</v>
      </c>
      <c r="G212" s="16"/>
      <c r="H212" s="11">
        <f>COUNTIF(Events!$A$2:$A$391,$A212)</f>
        <v>0</v>
      </c>
      <c r="I212" s="11" t="str">
        <f>IFERROR(INDEX(Events!$E$2:$E$391,MATCH($A212,Events!$A$2:$A$391,0)),"")</f>
        <v/>
      </c>
    </row>
    <row r="213" spans="1:9" ht="15" customHeight="1" x14ac:dyDescent="0.35">
      <c r="A213" s="12">
        <v>45503</v>
      </c>
      <c r="B213" s="11">
        <f t="shared" si="15"/>
        <v>2024</v>
      </c>
      <c r="C213" s="11">
        <f t="shared" si="16"/>
        <v>7</v>
      </c>
      <c r="D213" s="11" t="str">
        <f t="shared" si="17"/>
        <v>Tue</v>
      </c>
      <c r="E213" s="11">
        <f t="shared" si="18"/>
        <v>0</v>
      </c>
      <c r="F213" s="11">
        <f t="shared" si="19"/>
        <v>0</v>
      </c>
      <c r="G213" s="16"/>
      <c r="H213" s="11">
        <f>COUNTIF(Events!$A$2:$A$391,$A213)</f>
        <v>0</v>
      </c>
      <c r="I213" s="11" t="str">
        <f>IFERROR(INDEX(Events!$E$2:$E$391,MATCH($A213,Events!$A$2:$A$391,0)),"")</f>
        <v/>
      </c>
    </row>
    <row r="214" spans="1:9" ht="15" customHeight="1" x14ac:dyDescent="0.35">
      <c r="A214" s="12">
        <v>45504</v>
      </c>
      <c r="B214" s="11">
        <f t="shared" si="15"/>
        <v>2024</v>
      </c>
      <c r="C214" s="11">
        <f t="shared" si="16"/>
        <v>7</v>
      </c>
      <c r="D214" s="11" t="str">
        <f t="shared" si="17"/>
        <v>Wed</v>
      </c>
      <c r="E214" s="11">
        <f t="shared" si="18"/>
        <v>0</v>
      </c>
      <c r="F214" s="11">
        <f t="shared" si="19"/>
        <v>0</v>
      </c>
      <c r="G214" s="16"/>
      <c r="H214" s="11">
        <f>COUNTIF(Events!$A$2:$A$391,$A214)</f>
        <v>0</v>
      </c>
      <c r="I214" s="11" t="str">
        <f>IFERROR(INDEX(Events!$E$2:$E$391,MATCH($A214,Events!$A$2:$A$391,0)),"")</f>
        <v/>
      </c>
    </row>
    <row r="215" spans="1:9" ht="15" customHeight="1" x14ac:dyDescent="0.35">
      <c r="A215" s="12">
        <v>45505</v>
      </c>
      <c r="B215" s="11">
        <f t="shared" si="15"/>
        <v>2024</v>
      </c>
      <c r="C215" s="11">
        <f t="shared" si="16"/>
        <v>8</v>
      </c>
      <c r="D215" s="11" t="str">
        <f t="shared" si="17"/>
        <v>Thu</v>
      </c>
      <c r="E215" s="11">
        <f t="shared" si="18"/>
        <v>0</v>
      </c>
      <c r="F215" s="11">
        <f t="shared" si="19"/>
        <v>0</v>
      </c>
      <c r="G215" s="16"/>
      <c r="H215" s="11">
        <f>COUNTIF(Events!$A$2:$A$391,$A215)</f>
        <v>0</v>
      </c>
      <c r="I215" s="11" t="str">
        <f>IFERROR(INDEX(Events!$E$2:$E$391,MATCH($A215,Events!$A$2:$A$391,0)),"")</f>
        <v/>
      </c>
    </row>
    <row r="216" spans="1:9" ht="15" customHeight="1" x14ac:dyDescent="0.35">
      <c r="A216" s="12">
        <v>45506</v>
      </c>
      <c r="B216" s="11">
        <f t="shared" si="15"/>
        <v>2024</v>
      </c>
      <c r="C216" s="11">
        <f t="shared" si="16"/>
        <v>8</v>
      </c>
      <c r="D216" s="11" t="str">
        <f t="shared" si="17"/>
        <v>Fri</v>
      </c>
      <c r="E216" s="11">
        <f t="shared" si="18"/>
        <v>0</v>
      </c>
      <c r="F216" s="11">
        <f t="shared" si="19"/>
        <v>0</v>
      </c>
      <c r="G216" s="16"/>
      <c r="H216" s="11">
        <f>COUNTIF(Events!$A$2:$A$391,$A216)</f>
        <v>0</v>
      </c>
      <c r="I216" s="11" t="str">
        <f>IFERROR(INDEX(Events!$E$2:$E$391,MATCH($A216,Events!$A$2:$A$391,0)),"")</f>
        <v/>
      </c>
    </row>
    <row r="217" spans="1:9" ht="15" customHeight="1" x14ac:dyDescent="0.35">
      <c r="A217" s="12">
        <v>45507</v>
      </c>
      <c r="B217" s="11">
        <f t="shared" si="15"/>
        <v>2024</v>
      </c>
      <c r="C217" s="11">
        <f t="shared" si="16"/>
        <v>8</v>
      </c>
      <c r="D217" s="11" t="str">
        <f t="shared" si="17"/>
        <v>Sat</v>
      </c>
      <c r="E217" s="11">
        <f t="shared" si="18"/>
        <v>0</v>
      </c>
      <c r="F217" s="11">
        <f t="shared" si="19"/>
        <v>0</v>
      </c>
      <c r="G217" s="16"/>
      <c r="H217" s="11">
        <f>COUNTIF(Events!$A$2:$A$391,$A217)</f>
        <v>0</v>
      </c>
      <c r="I217" s="11" t="str">
        <f>IFERROR(INDEX(Events!$E$2:$E$391,MATCH($A217,Events!$A$2:$A$391,0)),"")</f>
        <v/>
      </c>
    </row>
    <row r="218" spans="1:9" ht="15" customHeight="1" x14ac:dyDescent="0.35">
      <c r="A218" s="12">
        <v>45508</v>
      </c>
      <c r="B218" s="11">
        <f t="shared" si="15"/>
        <v>2024</v>
      </c>
      <c r="C218" s="11">
        <f t="shared" si="16"/>
        <v>8</v>
      </c>
      <c r="D218" s="11" t="str">
        <f t="shared" si="17"/>
        <v>Sun</v>
      </c>
      <c r="E218" s="11">
        <f t="shared" si="18"/>
        <v>0</v>
      </c>
      <c r="F218" s="11">
        <f t="shared" si="19"/>
        <v>0</v>
      </c>
      <c r="G218" s="16"/>
      <c r="H218" s="11">
        <f>COUNTIF(Events!$A$2:$A$391,$A218)</f>
        <v>0</v>
      </c>
      <c r="I218" s="11" t="str">
        <f>IFERROR(INDEX(Events!$E$2:$E$391,MATCH($A218,Events!$A$2:$A$391,0)),"")</f>
        <v/>
      </c>
    </row>
    <row r="219" spans="1:9" ht="15" customHeight="1" x14ac:dyDescent="0.35">
      <c r="A219" s="12">
        <v>45509</v>
      </c>
      <c r="B219" s="11">
        <f t="shared" si="15"/>
        <v>2024</v>
      </c>
      <c r="C219" s="11">
        <f t="shared" si="16"/>
        <v>8</v>
      </c>
      <c r="D219" s="11" t="str">
        <f t="shared" si="17"/>
        <v>Mon</v>
      </c>
      <c r="E219" s="11">
        <f t="shared" si="18"/>
        <v>0</v>
      </c>
      <c r="F219" s="11">
        <f t="shared" si="19"/>
        <v>0</v>
      </c>
      <c r="G219" s="16"/>
      <c r="H219" s="11">
        <f>COUNTIF(Events!$A$2:$A$391,$A219)</f>
        <v>0</v>
      </c>
      <c r="I219" s="11" t="str">
        <f>IFERROR(INDEX(Events!$E$2:$E$391,MATCH($A219,Events!$A$2:$A$391,0)),"")</f>
        <v/>
      </c>
    </row>
    <row r="220" spans="1:9" ht="15" customHeight="1" x14ac:dyDescent="0.35">
      <c r="A220" s="12">
        <v>45510</v>
      </c>
      <c r="B220" s="11">
        <f t="shared" si="15"/>
        <v>2024</v>
      </c>
      <c r="C220" s="11">
        <f t="shared" si="16"/>
        <v>8</v>
      </c>
      <c r="D220" s="11" t="str">
        <f t="shared" si="17"/>
        <v>Tue</v>
      </c>
      <c r="E220" s="11">
        <f t="shared" si="18"/>
        <v>0</v>
      </c>
      <c r="F220" s="11">
        <f t="shared" si="19"/>
        <v>0</v>
      </c>
      <c r="G220" s="16"/>
      <c r="H220" s="11">
        <f>COUNTIF(Events!$A$2:$A$391,$A220)</f>
        <v>0</v>
      </c>
      <c r="I220" s="11" t="str">
        <f>IFERROR(INDEX(Events!$E$2:$E$391,MATCH($A220,Events!$A$2:$A$391,0)),"")</f>
        <v/>
      </c>
    </row>
    <row r="221" spans="1:9" ht="15" customHeight="1" x14ac:dyDescent="0.35">
      <c r="A221" s="12">
        <v>45511</v>
      </c>
      <c r="B221" s="11">
        <f t="shared" si="15"/>
        <v>2024</v>
      </c>
      <c r="C221" s="11">
        <f t="shared" si="16"/>
        <v>8</v>
      </c>
      <c r="D221" s="11" t="str">
        <f t="shared" si="17"/>
        <v>Wed</v>
      </c>
      <c r="E221" s="11">
        <f t="shared" si="18"/>
        <v>0</v>
      </c>
      <c r="F221" s="11">
        <f t="shared" si="19"/>
        <v>0</v>
      </c>
      <c r="G221" s="16"/>
      <c r="H221" s="11">
        <f>COUNTIF(Events!$A$2:$A$391,$A221)</f>
        <v>0</v>
      </c>
      <c r="I221" s="11" t="str">
        <f>IFERROR(INDEX(Events!$E$2:$E$391,MATCH($A221,Events!$A$2:$A$391,0)),"")</f>
        <v/>
      </c>
    </row>
    <row r="222" spans="1:9" ht="15" customHeight="1" x14ac:dyDescent="0.35">
      <c r="A222" s="12">
        <v>45512</v>
      </c>
      <c r="B222" s="11">
        <f t="shared" si="15"/>
        <v>2024</v>
      </c>
      <c r="C222" s="11">
        <f t="shared" si="16"/>
        <v>8</v>
      </c>
      <c r="D222" s="11" t="str">
        <f t="shared" si="17"/>
        <v>Thu</v>
      </c>
      <c r="E222" s="11">
        <f t="shared" si="18"/>
        <v>0</v>
      </c>
      <c r="F222" s="11">
        <f t="shared" si="19"/>
        <v>0</v>
      </c>
      <c r="G222" s="16"/>
      <c r="H222" s="11">
        <f>COUNTIF(Events!$A$2:$A$391,$A222)</f>
        <v>0</v>
      </c>
      <c r="I222" s="11" t="str">
        <f>IFERROR(INDEX(Events!$E$2:$E$391,MATCH($A222,Events!$A$2:$A$391,0)),"")</f>
        <v/>
      </c>
    </row>
    <row r="223" spans="1:9" ht="15" customHeight="1" x14ac:dyDescent="0.35">
      <c r="A223" s="12">
        <v>45513</v>
      </c>
      <c r="B223" s="11">
        <f t="shared" si="15"/>
        <v>2024</v>
      </c>
      <c r="C223" s="11">
        <f t="shared" si="16"/>
        <v>8</v>
      </c>
      <c r="D223" s="11" t="str">
        <f t="shared" si="17"/>
        <v>Fri</v>
      </c>
      <c r="E223" s="11">
        <f t="shared" si="18"/>
        <v>0</v>
      </c>
      <c r="F223" s="11">
        <f t="shared" si="19"/>
        <v>0</v>
      </c>
      <c r="G223" s="16"/>
      <c r="H223" s="11">
        <f>COUNTIF(Events!$A$2:$A$391,$A223)</f>
        <v>0</v>
      </c>
      <c r="I223" s="11" t="str">
        <f>IFERROR(INDEX(Events!$E$2:$E$391,MATCH($A223,Events!$A$2:$A$391,0)),"")</f>
        <v/>
      </c>
    </row>
    <row r="224" spans="1:9" ht="15" customHeight="1" x14ac:dyDescent="0.35">
      <c r="A224" s="12">
        <v>45514</v>
      </c>
      <c r="B224" s="11">
        <f t="shared" si="15"/>
        <v>2024</v>
      </c>
      <c r="C224" s="11">
        <f t="shared" si="16"/>
        <v>8</v>
      </c>
      <c r="D224" s="11" t="str">
        <f t="shared" si="17"/>
        <v>Sat</v>
      </c>
      <c r="E224" s="11">
        <f t="shared" si="18"/>
        <v>0</v>
      </c>
      <c r="F224" s="11">
        <f t="shared" si="19"/>
        <v>0</v>
      </c>
      <c r="G224" s="16"/>
      <c r="H224" s="11">
        <f>COUNTIF(Events!$A$2:$A$391,$A224)</f>
        <v>0</v>
      </c>
      <c r="I224" s="11" t="str">
        <f>IFERROR(INDEX(Events!$E$2:$E$391,MATCH($A224,Events!$A$2:$A$391,0)),"")</f>
        <v/>
      </c>
    </row>
    <row r="225" spans="1:9" ht="15" customHeight="1" x14ac:dyDescent="0.35">
      <c r="A225" s="12">
        <v>45515</v>
      </c>
      <c r="B225" s="11">
        <f t="shared" si="15"/>
        <v>2024</v>
      </c>
      <c r="C225" s="11">
        <f t="shared" si="16"/>
        <v>8</v>
      </c>
      <c r="D225" s="11" t="str">
        <f t="shared" si="17"/>
        <v>Sun</v>
      </c>
      <c r="E225" s="11">
        <f t="shared" si="18"/>
        <v>0</v>
      </c>
      <c r="F225" s="11">
        <f t="shared" si="19"/>
        <v>0</v>
      </c>
      <c r="G225" s="16"/>
      <c r="H225" s="11">
        <f>COUNTIF(Events!$A$2:$A$391,$A225)</f>
        <v>0</v>
      </c>
      <c r="I225" s="11" t="str">
        <f>IFERROR(INDEX(Events!$E$2:$E$391,MATCH($A225,Events!$A$2:$A$391,0)),"")</f>
        <v/>
      </c>
    </row>
    <row r="226" spans="1:9" ht="15" customHeight="1" x14ac:dyDescent="0.35">
      <c r="A226" s="12">
        <v>45516</v>
      </c>
      <c r="B226" s="11">
        <f t="shared" si="15"/>
        <v>2024</v>
      </c>
      <c r="C226" s="11">
        <f t="shared" si="16"/>
        <v>8</v>
      </c>
      <c r="D226" s="11" t="str">
        <f t="shared" si="17"/>
        <v>Mon</v>
      </c>
      <c r="E226" s="11">
        <f t="shared" si="18"/>
        <v>0</v>
      </c>
      <c r="F226" s="11">
        <f t="shared" si="19"/>
        <v>0</v>
      </c>
      <c r="G226" s="16"/>
      <c r="H226" s="11">
        <f>COUNTIF(Events!$A$2:$A$391,$A226)</f>
        <v>0</v>
      </c>
      <c r="I226" s="11" t="str">
        <f>IFERROR(INDEX(Events!$E$2:$E$391,MATCH($A226,Events!$A$2:$A$391,0)),"")</f>
        <v/>
      </c>
    </row>
    <row r="227" spans="1:9" ht="15" customHeight="1" x14ac:dyDescent="0.35">
      <c r="A227" s="12">
        <v>45517</v>
      </c>
      <c r="B227" s="11">
        <f t="shared" si="15"/>
        <v>2024</v>
      </c>
      <c r="C227" s="11">
        <f t="shared" si="16"/>
        <v>8</v>
      </c>
      <c r="D227" s="11" t="str">
        <f t="shared" si="17"/>
        <v>Tue</v>
      </c>
      <c r="E227" s="11">
        <f t="shared" si="18"/>
        <v>0</v>
      </c>
      <c r="F227" s="11">
        <f t="shared" si="19"/>
        <v>0</v>
      </c>
      <c r="G227" s="16"/>
      <c r="H227" s="11">
        <f>COUNTIF(Events!$A$2:$A$391,$A227)</f>
        <v>0</v>
      </c>
      <c r="I227" s="11" t="str">
        <f>IFERROR(INDEX(Events!$E$2:$E$391,MATCH($A227,Events!$A$2:$A$391,0)),"")</f>
        <v/>
      </c>
    </row>
    <row r="228" spans="1:9" ht="15" customHeight="1" x14ac:dyDescent="0.35">
      <c r="A228" s="12">
        <v>45518</v>
      </c>
      <c r="B228" s="11">
        <f t="shared" si="15"/>
        <v>2024</v>
      </c>
      <c r="C228" s="11">
        <f t="shared" si="16"/>
        <v>8</v>
      </c>
      <c r="D228" s="11" t="str">
        <f t="shared" si="17"/>
        <v>Wed</v>
      </c>
      <c r="E228" s="11">
        <f t="shared" si="18"/>
        <v>0</v>
      </c>
      <c r="F228" s="11">
        <f t="shared" si="19"/>
        <v>0</v>
      </c>
      <c r="G228" s="16"/>
      <c r="H228" s="11">
        <f>COUNTIF(Events!$A$2:$A$391,$A228)</f>
        <v>0</v>
      </c>
      <c r="I228" s="11" t="str">
        <f>IFERROR(INDEX(Events!$E$2:$E$391,MATCH($A228,Events!$A$2:$A$391,0)),"")</f>
        <v/>
      </c>
    </row>
    <row r="229" spans="1:9" ht="15" customHeight="1" x14ac:dyDescent="0.35">
      <c r="A229" s="12">
        <v>45519</v>
      </c>
      <c r="B229" s="11">
        <f t="shared" si="15"/>
        <v>2024</v>
      </c>
      <c r="C229" s="11">
        <f t="shared" si="16"/>
        <v>8</v>
      </c>
      <c r="D229" s="11" t="str">
        <f t="shared" si="17"/>
        <v>Thu</v>
      </c>
      <c r="E229" s="11">
        <f t="shared" si="18"/>
        <v>0</v>
      </c>
      <c r="F229" s="11">
        <f t="shared" si="19"/>
        <v>0</v>
      </c>
      <c r="G229" s="16"/>
      <c r="H229" s="11">
        <f>COUNTIF(Events!$A$2:$A$391,$A229)</f>
        <v>0</v>
      </c>
      <c r="I229" s="11" t="str">
        <f>IFERROR(INDEX(Events!$E$2:$E$391,MATCH($A229,Events!$A$2:$A$391,0)),"")</f>
        <v/>
      </c>
    </row>
    <row r="230" spans="1:9" ht="15" customHeight="1" x14ac:dyDescent="0.35">
      <c r="A230" s="12">
        <v>45520</v>
      </c>
      <c r="B230" s="11">
        <f t="shared" si="15"/>
        <v>2024</v>
      </c>
      <c r="C230" s="11">
        <f t="shared" si="16"/>
        <v>8</v>
      </c>
      <c r="D230" s="11" t="str">
        <f t="shared" si="17"/>
        <v>Fri</v>
      </c>
      <c r="E230" s="11">
        <f t="shared" si="18"/>
        <v>0</v>
      </c>
      <c r="F230" s="11">
        <f t="shared" si="19"/>
        <v>0</v>
      </c>
      <c r="G230" s="16"/>
      <c r="H230" s="11">
        <f>COUNTIF(Events!$A$2:$A$391,$A230)</f>
        <v>0</v>
      </c>
      <c r="I230" s="11" t="str">
        <f>IFERROR(INDEX(Events!$E$2:$E$391,MATCH($A230,Events!$A$2:$A$391,0)),"")</f>
        <v/>
      </c>
    </row>
    <row r="231" spans="1:9" ht="15" customHeight="1" x14ac:dyDescent="0.35">
      <c r="A231" s="12">
        <v>45521</v>
      </c>
      <c r="B231" s="11">
        <f t="shared" si="15"/>
        <v>2024</v>
      </c>
      <c r="C231" s="11">
        <f t="shared" si="16"/>
        <v>8</v>
      </c>
      <c r="D231" s="11" t="str">
        <f t="shared" si="17"/>
        <v>Sat</v>
      </c>
      <c r="E231" s="11">
        <f t="shared" si="18"/>
        <v>0</v>
      </c>
      <c r="F231" s="11">
        <f t="shared" si="19"/>
        <v>0</v>
      </c>
      <c r="G231" s="16"/>
      <c r="H231" s="11">
        <f>COUNTIF(Events!$A$2:$A$391,$A231)</f>
        <v>0</v>
      </c>
      <c r="I231" s="11" t="str">
        <f>IFERROR(INDEX(Events!$E$2:$E$391,MATCH($A231,Events!$A$2:$A$391,0)),"")</f>
        <v/>
      </c>
    </row>
    <row r="232" spans="1:9" ht="15" customHeight="1" x14ac:dyDescent="0.35">
      <c r="A232" s="12">
        <v>45522</v>
      </c>
      <c r="B232" s="11">
        <f t="shared" si="15"/>
        <v>2024</v>
      </c>
      <c r="C232" s="11">
        <f t="shared" si="16"/>
        <v>8</v>
      </c>
      <c r="D232" s="11" t="str">
        <f t="shared" si="17"/>
        <v>Sun</v>
      </c>
      <c r="E232" s="11">
        <f t="shared" si="18"/>
        <v>0</v>
      </c>
      <c r="F232" s="11">
        <f t="shared" si="19"/>
        <v>0</v>
      </c>
      <c r="G232" s="16"/>
      <c r="H232" s="11">
        <f>COUNTIF(Events!$A$2:$A$391,$A232)</f>
        <v>0</v>
      </c>
      <c r="I232" s="11" t="str">
        <f>IFERROR(INDEX(Events!$E$2:$E$391,MATCH($A232,Events!$A$2:$A$391,0)),"")</f>
        <v/>
      </c>
    </row>
    <row r="233" spans="1:9" ht="15" customHeight="1" x14ac:dyDescent="0.35">
      <c r="A233" s="12">
        <v>45523</v>
      </c>
      <c r="B233" s="11">
        <f t="shared" si="15"/>
        <v>2024</v>
      </c>
      <c r="C233" s="11">
        <f t="shared" si="16"/>
        <v>8</v>
      </c>
      <c r="D233" s="11" t="str">
        <f t="shared" si="17"/>
        <v>Mon</v>
      </c>
      <c r="E233" s="11">
        <f t="shared" si="18"/>
        <v>0</v>
      </c>
      <c r="F233" s="11">
        <f t="shared" si="19"/>
        <v>0</v>
      </c>
      <c r="G233" s="16"/>
      <c r="H233" s="11">
        <f>COUNTIF(Events!$A$2:$A$391,$A233)</f>
        <v>0</v>
      </c>
      <c r="I233" s="11" t="str">
        <f>IFERROR(INDEX(Events!$E$2:$E$391,MATCH($A233,Events!$A$2:$A$391,0)),"")</f>
        <v/>
      </c>
    </row>
    <row r="234" spans="1:9" ht="15" customHeight="1" x14ac:dyDescent="0.35">
      <c r="A234" s="12">
        <v>45524</v>
      </c>
      <c r="B234" s="11">
        <f t="shared" si="15"/>
        <v>2024</v>
      </c>
      <c r="C234" s="11">
        <f t="shared" si="16"/>
        <v>8</v>
      </c>
      <c r="D234" s="11" t="str">
        <f t="shared" si="17"/>
        <v>Tue</v>
      </c>
      <c r="E234" s="11">
        <f t="shared" si="18"/>
        <v>0</v>
      </c>
      <c r="F234" s="11">
        <f t="shared" si="19"/>
        <v>0</v>
      </c>
      <c r="G234" s="16"/>
      <c r="H234" s="11">
        <f>COUNTIF(Events!$A$2:$A$391,$A234)</f>
        <v>0</v>
      </c>
      <c r="I234" s="11" t="str">
        <f>IFERROR(INDEX(Events!$E$2:$E$391,MATCH($A234,Events!$A$2:$A$391,0)),"")</f>
        <v/>
      </c>
    </row>
    <row r="235" spans="1:9" ht="15" customHeight="1" x14ac:dyDescent="0.35">
      <c r="A235" s="12">
        <v>45525</v>
      </c>
      <c r="B235" s="11">
        <f t="shared" si="15"/>
        <v>2024</v>
      </c>
      <c r="C235" s="11">
        <f t="shared" si="16"/>
        <v>8</v>
      </c>
      <c r="D235" s="11" t="str">
        <f t="shared" si="17"/>
        <v>Wed</v>
      </c>
      <c r="E235" s="11">
        <f t="shared" si="18"/>
        <v>0</v>
      </c>
      <c r="F235" s="11">
        <f t="shared" si="19"/>
        <v>0</v>
      </c>
      <c r="G235" s="16"/>
      <c r="H235" s="11">
        <f>COUNTIF(Events!$A$2:$A$391,$A235)</f>
        <v>0</v>
      </c>
      <c r="I235" s="11" t="str">
        <f>IFERROR(INDEX(Events!$E$2:$E$391,MATCH($A235,Events!$A$2:$A$391,0)),"")</f>
        <v/>
      </c>
    </row>
    <row r="236" spans="1:9" ht="15" customHeight="1" x14ac:dyDescent="0.35">
      <c r="A236" s="12">
        <v>45526</v>
      </c>
      <c r="B236" s="11">
        <f t="shared" si="15"/>
        <v>2024</v>
      </c>
      <c r="C236" s="11">
        <f t="shared" si="16"/>
        <v>8</v>
      </c>
      <c r="D236" s="11" t="str">
        <f t="shared" si="17"/>
        <v>Thu</v>
      </c>
      <c r="E236" s="11">
        <f t="shared" si="18"/>
        <v>0</v>
      </c>
      <c r="F236" s="11">
        <f t="shared" si="19"/>
        <v>0</v>
      </c>
      <c r="G236" s="16"/>
      <c r="H236" s="11">
        <f>COUNTIF(Events!$A$2:$A$391,$A236)</f>
        <v>0</v>
      </c>
      <c r="I236" s="11" t="str">
        <f>IFERROR(INDEX(Events!$E$2:$E$391,MATCH($A236,Events!$A$2:$A$391,0)),"")</f>
        <v/>
      </c>
    </row>
    <row r="237" spans="1:9" ht="15" customHeight="1" x14ac:dyDescent="0.35">
      <c r="A237" s="12">
        <v>45527</v>
      </c>
      <c r="B237" s="11">
        <f t="shared" si="15"/>
        <v>2024</v>
      </c>
      <c r="C237" s="11">
        <f t="shared" si="16"/>
        <v>8</v>
      </c>
      <c r="D237" s="11" t="str">
        <f t="shared" si="17"/>
        <v>Fri</v>
      </c>
      <c r="E237" s="11">
        <f t="shared" si="18"/>
        <v>0</v>
      </c>
      <c r="F237" s="11">
        <f t="shared" si="19"/>
        <v>0</v>
      </c>
      <c r="G237" s="16"/>
      <c r="H237" s="11">
        <f>COUNTIF(Events!$A$2:$A$391,$A237)</f>
        <v>0</v>
      </c>
      <c r="I237" s="11" t="str">
        <f>IFERROR(INDEX(Events!$E$2:$E$391,MATCH($A237,Events!$A$2:$A$391,0)),"")</f>
        <v/>
      </c>
    </row>
    <row r="238" spans="1:9" ht="15" customHeight="1" x14ac:dyDescent="0.35">
      <c r="A238" s="12">
        <v>45528</v>
      </c>
      <c r="B238" s="11">
        <f t="shared" si="15"/>
        <v>2024</v>
      </c>
      <c r="C238" s="11">
        <f t="shared" si="16"/>
        <v>8</v>
      </c>
      <c r="D238" s="11" t="str">
        <f t="shared" si="17"/>
        <v>Sat</v>
      </c>
      <c r="E238" s="11">
        <f t="shared" si="18"/>
        <v>0</v>
      </c>
      <c r="F238" s="11">
        <f t="shared" si="19"/>
        <v>0</v>
      </c>
      <c r="G238" s="16"/>
      <c r="H238" s="11">
        <f>COUNTIF(Events!$A$2:$A$391,$A238)</f>
        <v>0</v>
      </c>
      <c r="I238" s="11" t="str">
        <f>IFERROR(INDEX(Events!$E$2:$E$391,MATCH($A238,Events!$A$2:$A$391,0)),"")</f>
        <v/>
      </c>
    </row>
    <row r="239" spans="1:9" ht="15" customHeight="1" x14ac:dyDescent="0.35">
      <c r="A239" s="12">
        <v>45529</v>
      </c>
      <c r="B239" s="11">
        <f t="shared" si="15"/>
        <v>2024</v>
      </c>
      <c r="C239" s="11">
        <f t="shared" si="16"/>
        <v>8</v>
      </c>
      <c r="D239" s="11" t="str">
        <f t="shared" si="17"/>
        <v>Sun</v>
      </c>
      <c r="E239" s="11">
        <f t="shared" si="18"/>
        <v>0</v>
      </c>
      <c r="F239" s="11">
        <f t="shared" si="19"/>
        <v>0</v>
      </c>
      <c r="G239" s="16"/>
      <c r="H239" s="11">
        <f>COUNTIF(Events!$A$2:$A$391,$A239)</f>
        <v>0</v>
      </c>
      <c r="I239" s="11" t="str">
        <f>IFERROR(INDEX(Events!$E$2:$E$391,MATCH($A239,Events!$A$2:$A$391,0)),"")</f>
        <v/>
      </c>
    </row>
    <row r="240" spans="1:9" ht="15" customHeight="1" x14ac:dyDescent="0.35">
      <c r="A240" s="12">
        <v>45530</v>
      </c>
      <c r="B240" s="11">
        <f t="shared" si="15"/>
        <v>2024</v>
      </c>
      <c r="C240" s="11">
        <f t="shared" si="16"/>
        <v>8</v>
      </c>
      <c r="D240" s="11" t="str">
        <f t="shared" si="17"/>
        <v>Mon</v>
      </c>
      <c r="E240" s="11">
        <f t="shared" si="18"/>
        <v>0</v>
      </c>
      <c r="F240" s="11">
        <f t="shared" si="19"/>
        <v>0</v>
      </c>
      <c r="G240" s="16"/>
      <c r="H240" s="11">
        <f>COUNTIF(Events!$A$2:$A$391,$A240)</f>
        <v>0</v>
      </c>
      <c r="I240" s="11" t="str">
        <f>IFERROR(INDEX(Events!$E$2:$E$391,MATCH($A240,Events!$A$2:$A$391,0)),"")</f>
        <v/>
      </c>
    </row>
    <row r="241" spans="1:9" ht="15" customHeight="1" x14ac:dyDescent="0.35">
      <c r="A241" s="12">
        <v>45531</v>
      </c>
      <c r="B241" s="11">
        <f t="shared" si="15"/>
        <v>2024</v>
      </c>
      <c r="C241" s="11">
        <f t="shared" si="16"/>
        <v>8</v>
      </c>
      <c r="D241" s="11" t="str">
        <f t="shared" si="17"/>
        <v>Tue</v>
      </c>
      <c r="E241" s="11">
        <f t="shared" si="18"/>
        <v>0</v>
      </c>
      <c r="F241" s="11">
        <f t="shared" si="19"/>
        <v>0</v>
      </c>
      <c r="G241" s="16"/>
      <c r="H241" s="11">
        <f>COUNTIF(Events!$A$2:$A$391,$A241)</f>
        <v>0</v>
      </c>
      <c r="I241" s="11" t="str">
        <f>IFERROR(INDEX(Events!$E$2:$E$391,MATCH($A241,Events!$A$2:$A$391,0)),"")</f>
        <v/>
      </c>
    </row>
    <row r="242" spans="1:9" ht="15" customHeight="1" x14ac:dyDescent="0.35">
      <c r="A242" s="12">
        <v>45532</v>
      </c>
      <c r="B242" s="11">
        <f t="shared" si="15"/>
        <v>2024</v>
      </c>
      <c r="C242" s="11">
        <f t="shared" si="16"/>
        <v>8</v>
      </c>
      <c r="D242" s="11" t="str">
        <f t="shared" si="17"/>
        <v>Wed</v>
      </c>
      <c r="E242" s="11">
        <f t="shared" si="18"/>
        <v>0</v>
      </c>
      <c r="F242" s="11">
        <f t="shared" si="19"/>
        <v>0</v>
      </c>
      <c r="G242" s="16"/>
      <c r="H242" s="11">
        <f>COUNTIF(Events!$A$2:$A$391,$A242)</f>
        <v>0</v>
      </c>
      <c r="I242" s="11" t="str">
        <f>IFERROR(INDEX(Events!$E$2:$E$391,MATCH($A242,Events!$A$2:$A$391,0)),"")</f>
        <v/>
      </c>
    </row>
    <row r="243" spans="1:9" ht="15" customHeight="1" x14ac:dyDescent="0.35">
      <c r="A243" s="12">
        <v>45533</v>
      </c>
      <c r="B243" s="11">
        <f t="shared" si="15"/>
        <v>2024</v>
      </c>
      <c r="C243" s="11">
        <f t="shared" si="16"/>
        <v>8</v>
      </c>
      <c r="D243" s="11" t="str">
        <f t="shared" si="17"/>
        <v>Thu</v>
      </c>
      <c r="E243" s="11">
        <f t="shared" si="18"/>
        <v>0</v>
      </c>
      <c r="F243" s="11">
        <f t="shared" si="19"/>
        <v>0</v>
      </c>
      <c r="G243" s="16"/>
      <c r="H243" s="11">
        <f>COUNTIF(Events!$A$2:$A$391,$A243)</f>
        <v>0</v>
      </c>
      <c r="I243" s="11" t="str">
        <f>IFERROR(INDEX(Events!$E$2:$E$391,MATCH($A243,Events!$A$2:$A$391,0)),"")</f>
        <v/>
      </c>
    </row>
    <row r="244" spans="1:9" ht="15" customHeight="1" x14ac:dyDescent="0.35">
      <c r="A244" s="12">
        <v>45534</v>
      </c>
      <c r="B244" s="11">
        <f t="shared" si="15"/>
        <v>2024</v>
      </c>
      <c r="C244" s="11">
        <f t="shared" si="16"/>
        <v>8</v>
      </c>
      <c r="D244" s="11" t="str">
        <f t="shared" si="17"/>
        <v>Fri</v>
      </c>
      <c r="E244" s="11">
        <f t="shared" si="18"/>
        <v>0</v>
      </c>
      <c r="F244" s="11">
        <f t="shared" si="19"/>
        <v>0</v>
      </c>
      <c r="G244" s="16"/>
      <c r="H244" s="11">
        <f>COUNTIF(Events!$A$2:$A$391,$A244)</f>
        <v>0</v>
      </c>
      <c r="I244" s="11" t="str">
        <f>IFERROR(INDEX(Events!$E$2:$E$391,MATCH($A244,Events!$A$2:$A$391,0)),"")</f>
        <v/>
      </c>
    </row>
    <row r="245" spans="1:9" ht="15" customHeight="1" x14ac:dyDescent="0.35">
      <c r="A245" s="12">
        <v>45535</v>
      </c>
      <c r="B245" s="11">
        <f t="shared" si="15"/>
        <v>2024</v>
      </c>
      <c r="C245" s="11">
        <f t="shared" si="16"/>
        <v>8</v>
      </c>
      <c r="D245" s="11" t="str">
        <f t="shared" si="17"/>
        <v>Sat</v>
      </c>
      <c r="E245" s="11">
        <f t="shared" si="18"/>
        <v>0</v>
      </c>
      <c r="F245" s="11">
        <f t="shared" si="19"/>
        <v>0</v>
      </c>
      <c r="G245" s="16"/>
      <c r="H245" s="11">
        <f>COUNTIF(Events!$A$2:$A$391,$A245)</f>
        <v>0</v>
      </c>
      <c r="I245" s="11" t="str">
        <f>IFERROR(INDEX(Events!$E$2:$E$391,MATCH($A245,Events!$A$2:$A$391,0)),"")</f>
        <v/>
      </c>
    </row>
    <row r="246" spans="1:9" ht="15" customHeight="1" x14ac:dyDescent="0.35">
      <c r="A246" s="12">
        <v>45536</v>
      </c>
      <c r="B246" s="11">
        <f t="shared" si="15"/>
        <v>2024</v>
      </c>
      <c r="C246" s="11">
        <f t="shared" si="16"/>
        <v>9</v>
      </c>
      <c r="D246" s="11" t="str">
        <f t="shared" si="17"/>
        <v>Sun</v>
      </c>
      <c r="E246" s="11">
        <f t="shared" si="18"/>
        <v>0</v>
      </c>
      <c r="F246" s="11">
        <f t="shared" si="19"/>
        <v>0</v>
      </c>
      <c r="G246" s="16"/>
      <c r="H246" s="11">
        <f>COUNTIF(Events!$A$2:$A$391,$A246)</f>
        <v>0</v>
      </c>
      <c r="I246" s="11" t="str">
        <f>IFERROR(INDEX(Events!$E$2:$E$391,MATCH($A246,Events!$A$2:$A$391,0)),"")</f>
        <v/>
      </c>
    </row>
    <row r="247" spans="1:9" ht="15" customHeight="1" x14ac:dyDescent="0.35">
      <c r="A247" s="12">
        <v>45537</v>
      </c>
      <c r="B247" s="11">
        <f t="shared" si="15"/>
        <v>2024</v>
      </c>
      <c r="C247" s="11">
        <f t="shared" si="16"/>
        <v>9</v>
      </c>
      <c r="D247" s="11" t="str">
        <f t="shared" si="17"/>
        <v>Mon</v>
      </c>
      <c r="E247" s="11">
        <f t="shared" si="18"/>
        <v>0</v>
      </c>
      <c r="F247" s="11">
        <f t="shared" si="19"/>
        <v>0</v>
      </c>
      <c r="G247" s="16"/>
      <c r="H247" s="11">
        <f>COUNTIF(Events!$A$2:$A$391,$A247)</f>
        <v>0</v>
      </c>
      <c r="I247" s="11" t="str">
        <f>IFERROR(INDEX(Events!$E$2:$E$391,MATCH($A247,Events!$A$2:$A$391,0)),"")</f>
        <v/>
      </c>
    </row>
    <row r="248" spans="1:9" ht="15" customHeight="1" x14ac:dyDescent="0.35">
      <c r="A248" s="12">
        <v>45538</v>
      </c>
      <c r="B248" s="11">
        <f t="shared" si="15"/>
        <v>2024</v>
      </c>
      <c r="C248" s="11">
        <f t="shared" si="16"/>
        <v>9</v>
      </c>
      <c r="D248" s="11" t="str">
        <f t="shared" si="17"/>
        <v>Tue</v>
      </c>
      <c r="E248" s="11">
        <f t="shared" si="18"/>
        <v>0</v>
      </c>
      <c r="F248" s="11">
        <f t="shared" si="19"/>
        <v>0</v>
      </c>
      <c r="G248" s="16"/>
      <c r="H248" s="11">
        <f>COUNTIF(Events!$A$2:$A$391,$A248)</f>
        <v>0</v>
      </c>
      <c r="I248" s="11" t="str">
        <f>IFERROR(INDEX(Events!$E$2:$E$391,MATCH($A248,Events!$A$2:$A$391,0)),"")</f>
        <v/>
      </c>
    </row>
    <row r="249" spans="1:9" ht="15" customHeight="1" x14ac:dyDescent="0.35">
      <c r="A249" s="12">
        <v>45539</v>
      </c>
      <c r="B249" s="11">
        <f t="shared" si="15"/>
        <v>2024</v>
      </c>
      <c r="C249" s="11">
        <f t="shared" si="16"/>
        <v>9</v>
      </c>
      <c r="D249" s="11" t="str">
        <f t="shared" si="17"/>
        <v>Wed</v>
      </c>
      <c r="E249" s="11">
        <f t="shared" si="18"/>
        <v>0</v>
      </c>
      <c r="F249" s="11">
        <f t="shared" si="19"/>
        <v>0</v>
      </c>
      <c r="G249" s="16"/>
      <c r="H249" s="11">
        <f>COUNTIF(Events!$A$2:$A$391,$A249)</f>
        <v>0</v>
      </c>
      <c r="I249" s="11" t="str">
        <f>IFERROR(INDEX(Events!$E$2:$E$391,MATCH($A249,Events!$A$2:$A$391,0)),"")</f>
        <v/>
      </c>
    </row>
    <row r="250" spans="1:9" ht="15" customHeight="1" x14ac:dyDescent="0.35">
      <c r="A250" s="12">
        <v>45540</v>
      </c>
      <c r="B250" s="11">
        <f t="shared" si="15"/>
        <v>2024</v>
      </c>
      <c r="C250" s="11">
        <f t="shared" si="16"/>
        <v>9</v>
      </c>
      <c r="D250" s="11" t="str">
        <f t="shared" si="17"/>
        <v>Thu</v>
      </c>
      <c r="E250" s="11">
        <f t="shared" si="18"/>
        <v>0</v>
      </c>
      <c r="F250" s="11">
        <f t="shared" si="19"/>
        <v>0</v>
      </c>
      <c r="G250" s="16"/>
      <c r="H250" s="11">
        <f>COUNTIF(Events!$A$2:$A$391,$A250)</f>
        <v>0</v>
      </c>
      <c r="I250" s="11" t="str">
        <f>IFERROR(INDEX(Events!$E$2:$E$391,MATCH($A250,Events!$A$2:$A$391,0)),"")</f>
        <v/>
      </c>
    </row>
    <row r="251" spans="1:9" ht="15" customHeight="1" x14ac:dyDescent="0.35">
      <c r="A251" s="12">
        <v>45541</v>
      </c>
      <c r="B251" s="11">
        <f t="shared" si="15"/>
        <v>2024</v>
      </c>
      <c r="C251" s="11">
        <f t="shared" si="16"/>
        <v>9</v>
      </c>
      <c r="D251" s="11" t="str">
        <f t="shared" si="17"/>
        <v>Fri</v>
      </c>
      <c r="E251" s="11">
        <f t="shared" si="18"/>
        <v>0</v>
      </c>
      <c r="F251" s="11">
        <f t="shared" si="19"/>
        <v>0</v>
      </c>
      <c r="G251" s="16"/>
      <c r="H251" s="11">
        <f>COUNTIF(Events!$A$2:$A$391,$A251)</f>
        <v>0</v>
      </c>
      <c r="I251" s="11" t="str">
        <f>IFERROR(INDEX(Events!$E$2:$E$391,MATCH($A251,Events!$A$2:$A$391,0)),"")</f>
        <v/>
      </c>
    </row>
    <row r="252" spans="1:9" ht="15" customHeight="1" x14ac:dyDescent="0.35">
      <c r="A252" s="12">
        <v>45542</v>
      </c>
      <c r="B252" s="11">
        <f t="shared" si="15"/>
        <v>2024</v>
      </c>
      <c r="C252" s="11">
        <f t="shared" si="16"/>
        <v>9</v>
      </c>
      <c r="D252" s="11" t="str">
        <f t="shared" si="17"/>
        <v>Sat</v>
      </c>
      <c r="E252" s="11">
        <f t="shared" si="18"/>
        <v>0</v>
      </c>
      <c r="F252" s="11">
        <f t="shared" si="19"/>
        <v>0</v>
      </c>
      <c r="G252" s="16"/>
      <c r="H252" s="11">
        <f>COUNTIF(Events!$A$2:$A$391,$A252)</f>
        <v>0</v>
      </c>
      <c r="I252" s="11" t="str">
        <f>IFERROR(INDEX(Events!$E$2:$E$391,MATCH($A252,Events!$A$2:$A$391,0)),"")</f>
        <v/>
      </c>
    </row>
    <row r="253" spans="1:9" ht="15" customHeight="1" x14ac:dyDescent="0.35">
      <c r="A253" s="12">
        <v>45543</v>
      </c>
      <c r="B253" s="11">
        <f t="shared" si="15"/>
        <v>2024</v>
      </c>
      <c r="C253" s="11">
        <f t="shared" si="16"/>
        <v>9</v>
      </c>
      <c r="D253" s="11" t="str">
        <f t="shared" si="17"/>
        <v>Sun</v>
      </c>
      <c r="E253" s="11">
        <f t="shared" si="18"/>
        <v>0</v>
      </c>
      <c r="F253" s="11">
        <f t="shared" si="19"/>
        <v>0</v>
      </c>
      <c r="G253" s="16"/>
      <c r="H253" s="11">
        <f>COUNTIF(Events!$A$2:$A$391,$A253)</f>
        <v>0</v>
      </c>
      <c r="I253" s="11" t="str">
        <f>IFERROR(INDEX(Events!$E$2:$E$391,MATCH($A253,Events!$A$2:$A$391,0)),"")</f>
        <v/>
      </c>
    </row>
    <row r="254" spans="1:9" ht="15" customHeight="1" x14ac:dyDescent="0.35">
      <c r="A254" s="12">
        <v>45544</v>
      </c>
      <c r="B254" s="11">
        <f t="shared" si="15"/>
        <v>2024</v>
      </c>
      <c r="C254" s="11">
        <f t="shared" si="16"/>
        <v>9</v>
      </c>
      <c r="D254" s="11" t="str">
        <f t="shared" si="17"/>
        <v>Mon</v>
      </c>
      <c r="E254" s="11">
        <f t="shared" si="18"/>
        <v>0</v>
      </c>
      <c r="F254" s="11">
        <f t="shared" si="19"/>
        <v>0</v>
      </c>
      <c r="G254" s="16"/>
      <c r="H254" s="11">
        <f>COUNTIF(Events!$A$2:$A$391,$A254)</f>
        <v>0</v>
      </c>
      <c r="I254" s="11" t="str">
        <f>IFERROR(INDEX(Events!$E$2:$E$391,MATCH($A254,Events!$A$2:$A$391,0)),"")</f>
        <v/>
      </c>
    </row>
    <row r="255" spans="1:9" ht="15" customHeight="1" x14ac:dyDescent="0.35">
      <c r="A255" s="12">
        <v>45545</v>
      </c>
      <c r="B255" s="11">
        <f t="shared" si="15"/>
        <v>2024</v>
      </c>
      <c r="C255" s="11">
        <f t="shared" si="16"/>
        <v>9</v>
      </c>
      <c r="D255" s="11" t="str">
        <f t="shared" si="17"/>
        <v>Tue</v>
      </c>
      <c r="E255" s="11">
        <f t="shared" si="18"/>
        <v>0</v>
      </c>
      <c r="F255" s="11">
        <f t="shared" si="19"/>
        <v>0</v>
      </c>
      <c r="G255" s="16"/>
      <c r="H255" s="11">
        <f>COUNTIF(Events!$A$2:$A$391,$A255)</f>
        <v>0</v>
      </c>
      <c r="I255" s="11" t="str">
        <f>IFERROR(INDEX(Events!$E$2:$E$391,MATCH($A255,Events!$A$2:$A$391,0)),"")</f>
        <v/>
      </c>
    </row>
    <row r="256" spans="1:9" ht="15" customHeight="1" x14ac:dyDescent="0.35">
      <c r="A256" s="12">
        <v>45546</v>
      </c>
      <c r="B256" s="11">
        <f t="shared" si="15"/>
        <v>2024</v>
      </c>
      <c r="C256" s="11">
        <f t="shared" si="16"/>
        <v>9</v>
      </c>
      <c r="D256" s="11" t="str">
        <f t="shared" si="17"/>
        <v>Wed</v>
      </c>
      <c r="E256" s="11">
        <f t="shared" si="18"/>
        <v>0</v>
      </c>
      <c r="F256" s="11">
        <f t="shared" si="19"/>
        <v>0</v>
      </c>
      <c r="G256" s="16"/>
      <c r="H256" s="11">
        <f>COUNTIF(Events!$A$2:$A$391,$A256)</f>
        <v>0</v>
      </c>
      <c r="I256" s="11" t="str">
        <f>IFERROR(INDEX(Events!$E$2:$E$391,MATCH($A256,Events!$A$2:$A$391,0)),"")</f>
        <v/>
      </c>
    </row>
    <row r="257" spans="1:9" ht="15" customHeight="1" x14ac:dyDescent="0.35">
      <c r="A257" s="12">
        <v>45547</v>
      </c>
      <c r="B257" s="11">
        <f t="shared" si="15"/>
        <v>2024</v>
      </c>
      <c r="C257" s="11">
        <f t="shared" si="16"/>
        <v>9</v>
      </c>
      <c r="D257" s="11" t="str">
        <f t="shared" si="17"/>
        <v>Thu</v>
      </c>
      <c r="E257" s="11">
        <f t="shared" si="18"/>
        <v>0</v>
      </c>
      <c r="F257" s="11">
        <f t="shared" si="19"/>
        <v>0</v>
      </c>
      <c r="G257" s="16"/>
      <c r="H257" s="11">
        <f>COUNTIF(Events!$A$2:$A$391,$A257)</f>
        <v>0</v>
      </c>
      <c r="I257" s="11" t="str">
        <f>IFERROR(INDEX(Events!$E$2:$E$391,MATCH($A257,Events!$A$2:$A$391,0)),"")</f>
        <v/>
      </c>
    </row>
    <row r="258" spans="1:9" ht="15" customHeight="1" x14ac:dyDescent="0.35">
      <c r="A258" s="12">
        <v>45548</v>
      </c>
      <c r="B258" s="11">
        <f t="shared" ref="B258:B321" si="20">YEAR($A258)</f>
        <v>2024</v>
      </c>
      <c r="C258" s="11">
        <f t="shared" ref="C258:C321" si="21">MONTH($A258)</f>
        <v>9</v>
      </c>
      <c r="D258" s="11" t="str">
        <f t="shared" ref="D258:D321" si="22">TEXT($A258,"ddd")</f>
        <v>Fri</v>
      </c>
      <c r="E258" s="11">
        <f t="shared" ref="E258:E321" si="23">IF(OR(AND(MONTH($A258)=10,DAY($A258)&gt;=15),MONTH($A258)=11,AND(MONTH($A258)=12,DAY($A258)&lt;=7)),1,0)</f>
        <v>0</v>
      </c>
      <c r="F258" s="11">
        <f t="shared" ref="F258:F321" si="24">IF(MONTH($A258)&lt;=3,1,0)</f>
        <v>0</v>
      </c>
      <c r="G258" s="16"/>
      <c r="H258" s="11">
        <f>COUNTIF(Events!$A$2:$A$391,$A258)</f>
        <v>0</v>
      </c>
      <c r="I258" s="11" t="str">
        <f>IFERROR(INDEX(Events!$E$2:$E$391,MATCH($A258,Events!$A$2:$A$391,0)),"")</f>
        <v/>
      </c>
    </row>
    <row r="259" spans="1:9" ht="15" customHeight="1" x14ac:dyDescent="0.35">
      <c r="A259" s="12">
        <v>45549</v>
      </c>
      <c r="B259" s="11">
        <f t="shared" si="20"/>
        <v>2024</v>
      </c>
      <c r="C259" s="11">
        <f t="shared" si="21"/>
        <v>9</v>
      </c>
      <c r="D259" s="11" t="str">
        <f t="shared" si="22"/>
        <v>Sat</v>
      </c>
      <c r="E259" s="11">
        <f t="shared" si="23"/>
        <v>0</v>
      </c>
      <c r="F259" s="11">
        <f t="shared" si="24"/>
        <v>0</v>
      </c>
      <c r="G259" s="16"/>
      <c r="H259" s="11">
        <f>COUNTIF(Events!$A$2:$A$391,$A259)</f>
        <v>0</v>
      </c>
      <c r="I259" s="11" t="str">
        <f>IFERROR(INDEX(Events!$E$2:$E$391,MATCH($A259,Events!$A$2:$A$391,0)),"")</f>
        <v/>
      </c>
    </row>
    <row r="260" spans="1:9" ht="15" customHeight="1" x14ac:dyDescent="0.35">
      <c r="A260" s="12">
        <v>45550</v>
      </c>
      <c r="B260" s="11">
        <f t="shared" si="20"/>
        <v>2024</v>
      </c>
      <c r="C260" s="11">
        <f t="shared" si="21"/>
        <v>9</v>
      </c>
      <c r="D260" s="11" t="str">
        <f t="shared" si="22"/>
        <v>Sun</v>
      </c>
      <c r="E260" s="11">
        <f t="shared" si="23"/>
        <v>0</v>
      </c>
      <c r="F260" s="11">
        <f t="shared" si="24"/>
        <v>0</v>
      </c>
      <c r="G260" s="16"/>
      <c r="H260" s="11">
        <f>COUNTIF(Events!$A$2:$A$391,$A260)</f>
        <v>0</v>
      </c>
      <c r="I260" s="11" t="str">
        <f>IFERROR(INDEX(Events!$E$2:$E$391,MATCH($A260,Events!$A$2:$A$391,0)),"")</f>
        <v/>
      </c>
    </row>
    <row r="261" spans="1:9" ht="15" customHeight="1" x14ac:dyDescent="0.35">
      <c r="A261" s="12">
        <v>45551</v>
      </c>
      <c r="B261" s="11">
        <f t="shared" si="20"/>
        <v>2024</v>
      </c>
      <c r="C261" s="11">
        <f t="shared" si="21"/>
        <v>9</v>
      </c>
      <c r="D261" s="11" t="str">
        <f t="shared" si="22"/>
        <v>Mon</v>
      </c>
      <c r="E261" s="11">
        <f t="shared" si="23"/>
        <v>0</v>
      </c>
      <c r="F261" s="11">
        <f t="shared" si="24"/>
        <v>0</v>
      </c>
      <c r="G261" s="16"/>
      <c r="H261" s="11">
        <f>COUNTIF(Events!$A$2:$A$391,$A261)</f>
        <v>0</v>
      </c>
      <c r="I261" s="11" t="str">
        <f>IFERROR(INDEX(Events!$E$2:$E$391,MATCH($A261,Events!$A$2:$A$391,0)),"")</f>
        <v/>
      </c>
    </row>
    <row r="262" spans="1:9" ht="15" customHeight="1" x14ac:dyDescent="0.35">
      <c r="A262" s="12">
        <v>45552</v>
      </c>
      <c r="B262" s="11">
        <f t="shared" si="20"/>
        <v>2024</v>
      </c>
      <c r="C262" s="11">
        <f t="shared" si="21"/>
        <v>9</v>
      </c>
      <c r="D262" s="11" t="str">
        <f t="shared" si="22"/>
        <v>Tue</v>
      </c>
      <c r="E262" s="11">
        <f t="shared" si="23"/>
        <v>0</v>
      </c>
      <c r="F262" s="11">
        <f t="shared" si="24"/>
        <v>0</v>
      </c>
      <c r="G262" s="16"/>
      <c r="H262" s="11">
        <f>COUNTIF(Events!$A$2:$A$391,$A262)</f>
        <v>0</v>
      </c>
      <c r="I262" s="11" t="str">
        <f>IFERROR(INDEX(Events!$E$2:$E$391,MATCH($A262,Events!$A$2:$A$391,0)),"")</f>
        <v/>
      </c>
    </row>
    <row r="263" spans="1:9" ht="15" customHeight="1" x14ac:dyDescent="0.35">
      <c r="A263" s="12">
        <v>45553</v>
      </c>
      <c r="B263" s="11">
        <f t="shared" si="20"/>
        <v>2024</v>
      </c>
      <c r="C263" s="11">
        <f t="shared" si="21"/>
        <v>9</v>
      </c>
      <c r="D263" s="11" t="str">
        <f t="shared" si="22"/>
        <v>Wed</v>
      </c>
      <c r="E263" s="11">
        <f t="shared" si="23"/>
        <v>0</v>
      </c>
      <c r="F263" s="11">
        <f t="shared" si="24"/>
        <v>0</v>
      </c>
      <c r="G263" s="16"/>
      <c r="H263" s="11">
        <f>COUNTIF(Events!$A$2:$A$391,$A263)</f>
        <v>0</v>
      </c>
      <c r="I263" s="11" t="str">
        <f>IFERROR(INDEX(Events!$E$2:$E$391,MATCH($A263,Events!$A$2:$A$391,0)),"")</f>
        <v/>
      </c>
    </row>
    <row r="264" spans="1:9" ht="15" customHeight="1" x14ac:dyDescent="0.35">
      <c r="A264" s="12">
        <v>45554</v>
      </c>
      <c r="B264" s="11">
        <f t="shared" si="20"/>
        <v>2024</v>
      </c>
      <c r="C264" s="11">
        <f t="shared" si="21"/>
        <v>9</v>
      </c>
      <c r="D264" s="11" t="str">
        <f t="shared" si="22"/>
        <v>Thu</v>
      </c>
      <c r="E264" s="11">
        <f t="shared" si="23"/>
        <v>0</v>
      </c>
      <c r="F264" s="11">
        <f t="shared" si="24"/>
        <v>0</v>
      </c>
      <c r="G264" s="16"/>
      <c r="H264" s="11">
        <f>COUNTIF(Events!$A$2:$A$391,$A264)</f>
        <v>0</v>
      </c>
      <c r="I264" s="11" t="str">
        <f>IFERROR(INDEX(Events!$E$2:$E$391,MATCH($A264,Events!$A$2:$A$391,0)),"")</f>
        <v/>
      </c>
    </row>
    <row r="265" spans="1:9" ht="15" customHeight="1" x14ac:dyDescent="0.35">
      <c r="A265" s="12">
        <v>45555</v>
      </c>
      <c r="B265" s="11">
        <f t="shared" si="20"/>
        <v>2024</v>
      </c>
      <c r="C265" s="11">
        <f t="shared" si="21"/>
        <v>9</v>
      </c>
      <c r="D265" s="11" t="str">
        <f t="shared" si="22"/>
        <v>Fri</v>
      </c>
      <c r="E265" s="11">
        <f t="shared" si="23"/>
        <v>0</v>
      </c>
      <c r="F265" s="11">
        <f t="shared" si="24"/>
        <v>0</v>
      </c>
      <c r="G265" s="16"/>
      <c r="H265" s="11">
        <f>COUNTIF(Events!$A$2:$A$391,$A265)</f>
        <v>0</v>
      </c>
      <c r="I265" s="11" t="str">
        <f>IFERROR(INDEX(Events!$E$2:$E$391,MATCH($A265,Events!$A$2:$A$391,0)),"")</f>
        <v/>
      </c>
    </row>
    <row r="266" spans="1:9" ht="15" customHeight="1" x14ac:dyDescent="0.35">
      <c r="A266" s="12">
        <v>45556</v>
      </c>
      <c r="B266" s="11">
        <f t="shared" si="20"/>
        <v>2024</v>
      </c>
      <c r="C266" s="11">
        <f t="shared" si="21"/>
        <v>9</v>
      </c>
      <c r="D266" s="11" t="str">
        <f t="shared" si="22"/>
        <v>Sat</v>
      </c>
      <c r="E266" s="11">
        <f t="shared" si="23"/>
        <v>0</v>
      </c>
      <c r="F266" s="11">
        <f t="shared" si="24"/>
        <v>0</v>
      </c>
      <c r="G266" s="16"/>
      <c r="H266" s="11">
        <f>COUNTIF(Events!$A$2:$A$391,$A266)</f>
        <v>0</v>
      </c>
      <c r="I266" s="11" t="str">
        <f>IFERROR(INDEX(Events!$E$2:$E$391,MATCH($A266,Events!$A$2:$A$391,0)),"")</f>
        <v/>
      </c>
    </row>
    <row r="267" spans="1:9" ht="15" customHeight="1" x14ac:dyDescent="0.35">
      <c r="A267" s="12">
        <v>45557</v>
      </c>
      <c r="B267" s="11">
        <f t="shared" si="20"/>
        <v>2024</v>
      </c>
      <c r="C267" s="11">
        <f t="shared" si="21"/>
        <v>9</v>
      </c>
      <c r="D267" s="11" t="str">
        <f t="shared" si="22"/>
        <v>Sun</v>
      </c>
      <c r="E267" s="11">
        <f t="shared" si="23"/>
        <v>0</v>
      </c>
      <c r="F267" s="11">
        <f t="shared" si="24"/>
        <v>0</v>
      </c>
      <c r="G267" s="16"/>
      <c r="H267" s="11">
        <f>COUNTIF(Events!$A$2:$A$391,$A267)</f>
        <v>0</v>
      </c>
      <c r="I267" s="11" t="str">
        <f>IFERROR(INDEX(Events!$E$2:$E$391,MATCH($A267,Events!$A$2:$A$391,0)),"")</f>
        <v/>
      </c>
    </row>
    <row r="268" spans="1:9" ht="15" customHeight="1" x14ac:dyDescent="0.35">
      <c r="A268" s="12">
        <v>45558</v>
      </c>
      <c r="B268" s="11">
        <f t="shared" si="20"/>
        <v>2024</v>
      </c>
      <c r="C268" s="11">
        <f t="shared" si="21"/>
        <v>9</v>
      </c>
      <c r="D268" s="11" t="str">
        <f t="shared" si="22"/>
        <v>Mon</v>
      </c>
      <c r="E268" s="11">
        <f t="shared" si="23"/>
        <v>0</v>
      </c>
      <c r="F268" s="11">
        <f t="shared" si="24"/>
        <v>0</v>
      </c>
      <c r="G268" s="16"/>
      <c r="H268" s="11">
        <f>COUNTIF(Events!$A$2:$A$391,$A268)</f>
        <v>0</v>
      </c>
      <c r="I268" s="11" t="str">
        <f>IFERROR(INDEX(Events!$E$2:$E$391,MATCH($A268,Events!$A$2:$A$391,0)),"")</f>
        <v/>
      </c>
    </row>
    <row r="269" spans="1:9" ht="15" customHeight="1" x14ac:dyDescent="0.35">
      <c r="A269" s="12">
        <v>45559</v>
      </c>
      <c r="B269" s="11">
        <f t="shared" si="20"/>
        <v>2024</v>
      </c>
      <c r="C269" s="11">
        <f t="shared" si="21"/>
        <v>9</v>
      </c>
      <c r="D269" s="11" t="str">
        <f t="shared" si="22"/>
        <v>Tue</v>
      </c>
      <c r="E269" s="11">
        <f t="shared" si="23"/>
        <v>0</v>
      </c>
      <c r="F269" s="11">
        <f t="shared" si="24"/>
        <v>0</v>
      </c>
      <c r="G269" s="16"/>
      <c r="H269" s="11">
        <f>COUNTIF(Events!$A$2:$A$391,$A269)</f>
        <v>0</v>
      </c>
      <c r="I269" s="11" t="str">
        <f>IFERROR(INDEX(Events!$E$2:$E$391,MATCH($A269,Events!$A$2:$A$391,0)),"")</f>
        <v/>
      </c>
    </row>
    <row r="270" spans="1:9" ht="15" customHeight="1" x14ac:dyDescent="0.35">
      <c r="A270" s="12">
        <v>45560</v>
      </c>
      <c r="B270" s="11">
        <f t="shared" si="20"/>
        <v>2024</v>
      </c>
      <c r="C270" s="11">
        <f t="shared" si="21"/>
        <v>9</v>
      </c>
      <c r="D270" s="11" t="str">
        <f t="shared" si="22"/>
        <v>Wed</v>
      </c>
      <c r="E270" s="11">
        <f t="shared" si="23"/>
        <v>0</v>
      </c>
      <c r="F270" s="11">
        <f t="shared" si="24"/>
        <v>0</v>
      </c>
      <c r="G270" s="16"/>
      <c r="H270" s="11">
        <f>COUNTIF(Events!$A$2:$A$391,$A270)</f>
        <v>0</v>
      </c>
      <c r="I270" s="11" t="str">
        <f>IFERROR(INDEX(Events!$E$2:$E$391,MATCH($A270,Events!$A$2:$A$391,0)),"")</f>
        <v/>
      </c>
    </row>
    <row r="271" spans="1:9" ht="15" customHeight="1" x14ac:dyDescent="0.35">
      <c r="A271" s="12">
        <v>45561</v>
      </c>
      <c r="B271" s="11">
        <f t="shared" si="20"/>
        <v>2024</v>
      </c>
      <c r="C271" s="11">
        <f t="shared" si="21"/>
        <v>9</v>
      </c>
      <c r="D271" s="11" t="str">
        <f t="shared" si="22"/>
        <v>Thu</v>
      </c>
      <c r="E271" s="11">
        <f t="shared" si="23"/>
        <v>0</v>
      </c>
      <c r="F271" s="11">
        <f t="shared" si="24"/>
        <v>0</v>
      </c>
      <c r="G271" s="16"/>
      <c r="H271" s="11">
        <f>COUNTIF(Events!$A$2:$A$391,$A271)</f>
        <v>0</v>
      </c>
      <c r="I271" s="11" t="str">
        <f>IFERROR(INDEX(Events!$E$2:$E$391,MATCH($A271,Events!$A$2:$A$391,0)),"")</f>
        <v/>
      </c>
    </row>
    <row r="272" spans="1:9" ht="15" customHeight="1" x14ac:dyDescent="0.35">
      <c r="A272" s="12">
        <v>45562</v>
      </c>
      <c r="B272" s="11">
        <f t="shared" si="20"/>
        <v>2024</v>
      </c>
      <c r="C272" s="11">
        <f t="shared" si="21"/>
        <v>9</v>
      </c>
      <c r="D272" s="11" t="str">
        <f t="shared" si="22"/>
        <v>Fri</v>
      </c>
      <c r="E272" s="11">
        <f t="shared" si="23"/>
        <v>0</v>
      </c>
      <c r="F272" s="11">
        <f t="shared" si="24"/>
        <v>0</v>
      </c>
      <c r="G272" s="16"/>
      <c r="H272" s="11">
        <f>COUNTIF(Events!$A$2:$A$391,$A272)</f>
        <v>0</v>
      </c>
      <c r="I272" s="11" t="str">
        <f>IFERROR(INDEX(Events!$E$2:$E$391,MATCH($A272,Events!$A$2:$A$391,0)),"")</f>
        <v/>
      </c>
    </row>
    <row r="273" spans="1:9" ht="15" customHeight="1" x14ac:dyDescent="0.35">
      <c r="A273" s="12">
        <v>45563</v>
      </c>
      <c r="B273" s="11">
        <f t="shared" si="20"/>
        <v>2024</v>
      </c>
      <c r="C273" s="11">
        <f t="shared" si="21"/>
        <v>9</v>
      </c>
      <c r="D273" s="11" t="str">
        <f t="shared" si="22"/>
        <v>Sat</v>
      </c>
      <c r="E273" s="11">
        <f t="shared" si="23"/>
        <v>0</v>
      </c>
      <c r="F273" s="11">
        <f t="shared" si="24"/>
        <v>0</v>
      </c>
      <c r="G273" s="16"/>
      <c r="H273" s="11">
        <f>COUNTIF(Events!$A$2:$A$391,$A273)</f>
        <v>0</v>
      </c>
      <c r="I273" s="11" t="str">
        <f>IFERROR(INDEX(Events!$E$2:$E$391,MATCH($A273,Events!$A$2:$A$391,0)),"")</f>
        <v/>
      </c>
    </row>
    <row r="274" spans="1:9" ht="15" customHeight="1" x14ac:dyDescent="0.35">
      <c r="A274" s="12">
        <v>45564</v>
      </c>
      <c r="B274" s="11">
        <f t="shared" si="20"/>
        <v>2024</v>
      </c>
      <c r="C274" s="11">
        <f t="shared" si="21"/>
        <v>9</v>
      </c>
      <c r="D274" s="11" t="str">
        <f t="shared" si="22"/>
        <v>Sun</v>
      </c>
      <c r="E274" s="11">
        <f t="shared" si="23"/>
        <v>0</v>
      </c>
      <c r="F274" s="11">
        <f t="shared" si="24"/>
        <v>0</v>
      </c>
      <c r="G274" s="16"/>
      <c r="H274" s="11">
        <f>COUNTIF(Events!$A$2:$A$391,$A274)</f>
        <v>0</v>
      </c>
      <c r="I274" s="11" t="str">
        <f>IFERROR(INDEX(Events!$E$2:$E$391,MATCH($A274,Events!$A$2:$A$391,0)),"")</f>
        <v/>
      </c>
    </row>
    <row r="275" spans="1:9" ht="15" customHeight="1" x14ac:dyDescent="0.35">
      <c r="A275" s="12">
        <v>45565</v>
      </c>
      <c r="B275" s="11">
        <f t="shared" si="20"/>
        <v>2024</v>
      </c>
      <c r="C275" s="11">
        <f t="shared" si="21"/>
        <v>9</v>
      </c>
      <c r="D275" s="11" t="str">
        <f t="shared" si="22"/>
        <v>Mon</v>
      </c>
      <c r="E275" s="11">
        <f t="shared" si="23"/>
        <v>0</v>
      </c>
      <c r="F275" s="11">
        <f t="shared" si="24"/>
        <v>0</v>
      </c>
      <c r="G275" s="16"/>
      <c r="H275" s="11">
        <f>COUNTIF(Events!$A$2:$A$391,$A275)</f>
        <v>0</v>
      </c>
      <c r="I275" s="11" t="str">
        <f>IFERROR(INDEX(Events!$E$2:$E$391,MATCH($A275,Events!$A$2:$A$391,0)),"")</f>
        <v/>
      </c>
    </row>
    <row r="276" spans="1:9" ht="15" customHeight="1" x14ac:dyDescent="0.35">
      <c r="A276" s="12">
        <v>45566</v>
      </c>
      <c r="B276" s="11">
        <f t="shared" si="20"/>
        <v>2024</v>
      </c>
      <c r="C276" s="11">
        <f t="shared" si="21"/>
        <v>10</v>
      </c>
      <c r="D276" s="11" t="str">
        <f t="shared" si="22"/>
        <v>Tue</v>
      </c>
      <c r="E276" s="11">
        <f t="shared" si="23"/>
        <v>0</v>
      </c>
      <c r="F276" s="11">
        <f t="shared" si="24"/>
        <v>0</v>
      </c>
      <c r="G276" s="16"/>
      <c r="H276" s="11">
        <f>COUNTIF(Events!$A$2:$A$391,$A276)</f>
        <v>1</v>
      </c>
      <c r="I276" s="11" t="str">
        <f>IFERROR(INDEX(Events!$E$2:$E$391,MATCH($A276,Events!$A$2:$A$391,0)),"")</f>
        <v>CY2025 plan marketing begins; plan landscape/benefit info for 2025 released ahead of AEP; new agent/broker fixed compensation applies to Fall 2024 AEP enrollments</v>
      </c>
    </row>
    <row r="277" spans="1:9" ht="15" customHeight="1" x14ac:dyDescent="0.35">
      <c r="A277" s="12">
        <v>45567</v>
      </c>
      <c r="B277" s="11">
        <f t="shared" si="20"/>
        <v>2024</v>
      </c>
      <c r="C277" s="11">
        <f t="shared" si="21"/>
        <v>10</v>
      </c>
      <c r="D277" s="11" t="str">
        <f t="shared" si="22"/>
        <v>Wed</v>
      </c>
      <c r="E277" s="11">
        <f t="shared" si="23"/>
        <v>0</v>
      </c>
      <c r="F277" s="11">
        <f t="shared" si="24"/>
        <v>0</v>
      </c>
      <c r="G277" s="16"/>
      <c r="H277" s="11">
        <f>COUNTIF(Events!$A$2:$A$391,$A277)</f>
        <v>0</v>
      </c>
      <c r="I277" s="11" t="str">
        <f>IFERROR(INDEX(Events!$E$2:$E$391,MATCH($A277,Events!$A$2:$A$391,0)),"")</f>
        <v/>
      </c>
    </row>
    <row r="278" spans="1:9" ht="15" customHeight="1" x14ac:dyDescent="0.35">
      <c r="A278" s="12">
        <v>45568</v>
      </c>
      <c r="B278" s="11">
        <f t="shared" si="20"/>
        <v>2024</v>
      </c>
      <c r="C278" s="11">
        <f t="shared" si="21"/>
        <v>10</v>
      </c>
      <c r="D278" s="11" t="str">
        <f t="shared" si="22"/>
        <v>Thu</v>
      </c>
      <c r="E278" s="11">
        <f t="shared" si="23"/>
        <v>0</v>
      </c>
      <c r="F278" s="11">
        <f t="shared" si="24"/>
        <v>0</v>
      </c>
      <c r="G278" s="16"/>
      <c r="H278" s="11">
        <f>COUNTIF(Events!$A$2:$A$391,$A278)</f>
        <v>0</v>
      </c>
      <c r="I278" s="11" t="str">
        <f>IFERROR(INDEX(Events!$E$2:$E$391,MATCH($A278,Events!$A$2:$A$391,0)),"")</f>
        <v/>
      </c>
    </row>
    <row r="279" spans="1:9" ht="15" customHeight="1" x14ac:dyDescent="0.35">
      <c r="A279" s="12">
        <v>45569</v>
      </c>
      <c r="B279" s="11">
        <f t="shared" si="20"/>
        <v>2024</v>
      </c>
      <c r="C279" s="11">
        <f t="shared" si="21"/>
        <v>10</v>
      </c>
      <c r="D279" s="11" t="str">
        <f t="shared" si="22"/>
        <v>Fri</v>
      </c>
      <c r="E279" s="11">
        <f t="shared" si="23"/>
        <v>0</v>
      </c>
      <c r="F279" s="11">
        <f t="shared" si="24"/>
        <v>0</v>
      </c>
      <c r="G279" s="16"/>
      <c r="H279" s="11">
        <f>COUNTIF(Events!$A$2:$A$391,$A279)</f>
        <v>0</v>
      </c>
      <c r="I279" s="11" t="str">
        <f>IFERROR(INDEX(Events!$E$2:$E$391,MATCH($A279,Events!$A$2:$A$391,0)),"")</f>
        <v/>
      </c>
    </row>
    <row r="280" spans="1:9" ht="15" customHeight="1" x14ac:dyDescent="0.35">
      <c r="A280" s="12">
        <v>45570</v>
      </c>
      <c r="B280" s="11">
        <f t="shared" si="20"/>
        <v>2024</v>
      </c>
      <c r="C280" s="11">
        <f t="shared" si="21"/>
        <v>10</v>
      </c>
      <c r="D280" s="11" t="str">
        <f t="shared" si="22"/>
        <v>Sat</v>
      </c>
      <c r="E280" s="11">
        <f t="shared" si="23"/>
        <v>0</v>
      </c>
      <c r="F280" s="11">
        <f t="shared" si="24"/>
        <v>0</v>
      </c>
      <c r="G280" s="16"/>
      <c r="H280" s="11">
        <f>COUNTIF(Events!$A$2:$A$391,$A280)</f>
        <v>0</v>
      </c>
      <c r="I280" s="11" t="str">
        <f>IFERROR(INDEX(Events!$E$2:$E$391,MATCH($A280,Events!$A$2:$A$391,0)),"")</f>
        <v/>
      </c>
    </row>
    <row r="281" spans="1:9" ht="15" customHeight="1" x14ac:dyDescent="0.35">
      <c r="A281" s="12">
        <v>45571</v>
      </c>
      <c r="B281" s="11">
        <f t="shared" si="20"/>
        <v>2024</v>
      </c>
      <c r="C281" s="11">
        <f t="shared" si="21"/>
        <v>10</v>
      </c>
      <c r="D281" s="11" t="str">
        <f t="shared" si="22"/>
        <v>Sun</v>
      </c>
      <c r="E281" s="11">
        <f t="shared" si="23"/>
        <v>0</v>
      </c>
      <c r="F281" s="11">
        <f t="shared" si="24"/>
        <v>0</v>
      </c>
      <c r="G281" s="16"/>
      <c r="H281" s="11">
        <f>COUNTIF(Events!$A$2:$A$391,$A281)</f>
        <v>0</v>
      </c>
      <c r="I281" s="11" t="str">
        <f>IFERROR(INDEX(Events!$E$2:$E$391,MATCH($A281,Events!$A$2:$A$391,0)),"")</f>
        <v/>
      </c>
    </row>
    <row r="282" spans="1:9" ht="15" customHeight="1" x14ac:dyDescent="0.35">
      <c r="A282" s="12">
        <v>45572</v>
      </c>
      <c r="B282" s="11">
        <f t="shared" si="20"/>
        <v>2024</v>
      </c>
      <c r="C282" s="11">
        <f t="shared" si="21"/>
        <v>10</v>
      </c>
      <c r="D282" s="11" t="str">
        <f t="shared" si="22"/>
        <v>Mon</v>
      </c>
      <c r="E282" s="11">
        <f t="shared" si="23"/>
        <v>0</v>
      </c>
      <c r="F282" s="11">
        <f t="shared" si="24"/>
        <v>0</v>
      </c>
      <c r="G282" s="16"/>
      <c r="H282" s="11">
        <f>COUNTIF(Events!$A$2:$A$391,$A282)</f>
        <v>0</v>
      </c>
      <c r="I282" s="11" t="str">
        <f>IFERROR(INDEX(Events!$E$2:$E$391,MATCH($A282,Events!$A$2:$A$391,0)),"")</f>
        <v/>
      </c>
    </row>
    <row r="283" spans="1:9" ht="15" customHeight="1" x14ac:dyDescent="0.35">
      <c r="A283" s="12">
        <v>45573</v>
      </c>
      <c r="B283" s="11">
        <f t="shared" si="20"/>
        <v>2024</v>
      </c>
      <c r="C283" s="11">
        <f t="shared" si="21"/>
        <v>10</v>
      </c>
      <c r="D283" s="11" t="str">
        <f t="shared" si="22"/>
        <v>Tue</v>
      </c>
      <c r="E283" s="11">
        <f t="shared" si="23"/>
        <v>0</v>
      </c>
      <c r="F283" s="11">
        <f t="shared" si="24"/>
        <v>0</v>
      </c>
      <c r="G283" s="16"/>
      <c r="H283" s="11">
        <f>COUNTIF(Events!$A$2:$A$391,$A283)</f>
        <v>0</v>
      </c>
      <c r="I283" s="11" t="str">
        <f>IFERROR(INDEX(Events!$E$2:$E$391,MATCH($A283,Events!$A$2:$A$391,0)),"")</f>
        <v/>
      </c>
    </row>
    <row r="284" spans="1:9" ht="15" customHeight="1" x14ac:dyDescent="0.35">
      <c r="A284" s="12">
        <v>45574</v>
      </c>
      <c r="B284" s="11">
        <f t="shared" si="20"/>
        <v>2024</v>
      </c>
      <c r="C284" s="11">
        <f t="shared" si="21"/>
        <v>10</v>
      </c>
      <c r="D284" s="11" t="str">
        <f t="shared" si="22"/>
        <v>Wed</v>
      </c>
      <c r="E284" s="11">
        <f t="shared" si="23"/>
        <v>0</v>
      </c>
      <c r="F284" s="11">
        <f t="shared" si="24"/>
        <v>0</v>
      </c>
      <c r="G284" s="16"/>
      <c r="H284" s="11">
        <f>COUNTIF(Events!$A$2:$A$391,$A284)</f>
        <v>0</v>
      </c>
      <c r="I284" s="11" t="str">
        <f>IFERROR(INDEX(Events!$E$2:$E$391,MATCH($A284,Events!$A$2:$A$391,0)),"")</f>
        <v/>
      </c>
    </row>
    <row r="285" spans="1:9" ht="15" customHeight="1" x14ac:dyDescent="0.35">
      <c r="A285" s="12">
        <v>45575</v>
      </c>
      <c r="B285" s="11">
        <f t="shared" si="20"/>
        <v>2024</v>
      </c>
      <c r="C285" s="11">
        <f t="shared" si="21"/>
        <v>10</v>
      </c>
      <c r="D285" s="11" t="str">
        <f t="shared" si="22"/>
        <v>Thu</v>
      </c>
      <c r="E285" s="11">
        <f t="shared" si="23"/>
        <v>0</v>
      </c>
      <c r="F285" s="11">
        <f t="shared" si="24"/>
        <v>0</v>
      </c>
      <c r="G285" s="16"/>
      <c r="H285" s="11">
        <f>COUNTIF(Events!$A$2:$A$391,$A285)</f>
        <v>1</v>
      </c>
      <c r="I285" s="11" t="str">
        <f>IFERROR(INDEX(Events!$E$2:$E$391,MATCH($A285,Events!$A$2:$A$391,0)),"")</f>
        <v>2025 Star Ratings published on Medicare Plan Finder: sharp industry decline - only 7 MA-PD contracts earned 5 stars (vs 38 for 2024); avg rating fell to ~3.92; drives 2026 quality bonus payments</v>
      </c>
    </row>
    <row r="286" spans="1:9" ht="15" customHeight="1" x14ac:dyDescent="0.35">
      <c r="A286" s="12">
        <v>45576</v>
      </c>
      <c r="B286" s="11">
        <f t="shared" si="20"/>
        <v>2024</v>
      </c>
      <c r="C286" s="11">
        <f t="shared" si="21"/>
        <v>10</v>
      </c>
      <c r="D286" s="11" t="str">
        <f t="shared" si="22"/>
        <v>Fri</v>
      </c>
      <c r="E286" s="11">
        <f t="shared" si="23"/>
        <v>0</v>
      </c>
      <c r="F286" s="11">
        <f t="shared" si="24"/>
        <v>0</v>
      </c>
      <c r="G286" s="16"/>
      <c r="H286" s="11">
        <f>COUNTIF(Events!$A$2:$A$391,$A286)</f>
        <v>0</v>
      </c>
      <c r="I286" s="11" t="str">
        <f>IFERROR(INDEX(Events!$E$2:$E$391,MATCH($A286,Events!$A$2:$A$391,0)),"")</f>
        <v/>
      </c>
    </row>
    <row r="287" spans="1:9" ht="15" customHeight="1" x14ac:dyDescent="0.35">
      <c r="A287" s="12">
        <v>45577</v>
      </c>
      <c r="B287" s="11">
        <f t="shared" si="20"/>
        <v>2024</v>
      </c>
      <c r="C287" s="11">
        <f t="shared" si="21"/>
        <v>10</v>
      </c>
      <c r="D287" s="11" t="str">
        <f t="shared" si="22"/>
        <v>Sat</v>
      </c>
      <c r="E287" s="11">
        <f t="shared" si="23"/>
        <v>0</v>
      </c>
      <c r="F287" s="11">
        <f t="shared" si="24"/>
        <v>0</v>
      </c>
      <c r="G287" s="16"/>
      <c r="H287" s="11">
        <f>COUNTIF(Events!$A$2:$A$391,$A287)</f>
        <v>0</v>
      </c>
      <c r="I287" s="11" t="str">
        <f>IFERROR(INDEX(Events!$E$2:$E$391,MATCH($A287,Events!$A$2:$A$391,0)),"")</f>
        <v/>
      </c>
    </row>
    <row r="288" spans="1:9" ht="15" customHeight="1" x14ac:dyDescent="0.35">
      <c r="A288" s="12">
        <v>45578</v>
      </c>
      <c r="B288" s="11">
        <f t="shared" si="20"/>
        <v>2024</v>
      </c>
      <c r="C288" s="11">
        <f t="shared" si="21"/>
        <v>10</v>
      </c>
      <c r="D288" s="11" t="str">
        <f t="shared" si="22"/>
        <v>Sun</v>
      </c>
      <c r="E288" s="11">
        <f t="shared" si="23"/>
        <v>0</v>
      </c>
      <c r="F288" s="11">
        <f t="shared" si="24"/>
        <v>0</v>
      </c>
      <c r="G288" s="16"/>
      <c r="H288" s="11">
        <f>COUNTIF(Events!$A$2:$A$391,$A288)</f>
        <v>0</v>
      </c>
      <c r="I288" s="11" t="str">
        <f>IFERROR(INDEX(Events!$E$2:$E$391,MATCH($A288,Events!$A$2:$A$391,0)),"")</f>
        <v/>
      </c>
    </row>
    <row r="289" spans="1:9" ht="15" customHeight="1" x14ac:dyDescent="0.35">
      <c r="A289" s="12">
        <v>45579</v>
      </c>
      <c r="B289" s="11">
        <f t="shared" si="20"/>
        <v>2024</v>
      </c>
      <c r="C289" s="11">
        <f t="shared" si="21"/>
        <v>10</v>
      </c>
      <c r="D289" s="11" t="str">
        <f t="shared" si="22"/>
        <v>Mon</v>
      </c>
      <c r="E289" s="11">
        <f t="shared" si="23"/>
        <v>0</v>
      </c>
      <c r="F289" s="11">
        <f t="shared" si="24"/>
        <v>0</v>
      </c>
      <c r="G289" s="16"/>
      <c r="H289" s="11">
        <f>COUNTIF(Events!$A$2:$A$391,$A289)</f>
        <v>0</v>
      </c>
      <c r="I289" s="11" t="str">
        <f>IFERROR(INDEX(Events!$E$2:$E$391,MATCH($A289,Events!$A$2:$A$391,0)),"")</f>
        <v/>
      </c>
    </row>
    <row r="290" spans="1:9" ht="15" customHeight="1" x14ac:dyDescent="0.35">
      <c r="A290" s="12">
        <v>45580</v>
      </c>
      <c r="B290" s="11">
        <f t="shared" si="20"/>
        <v>2024</v>
      </c>
      <c r="C290" s="11">
        <f t="shared" si="21"/>
        <v>10</v>
      </c>
      <c r="D290" s="11" t="str">
        <f t="shared" si="22"/>
        <v>Tue</v>
      </c>
      <c r="E290" s="11">
        <f t="shared" si="23"/>
        <v>1</v>
      </c>
      <c r="F290" s="11">
        <f t="shared" si="24"/>
        <v>0</v>
      </c>
      <c r="G290" s="16"/>
      <c r="H290" s="11">
        <f>COUNTIF(Events!$A$2:$A$391,$A290)</f>
        <v>0</v>
      </c>
      <c r="I290" s="11" t="str">
        <f>IFERROR(INDEX(Events!$E$2:$E$391,MATCH($A290,Events!$A$2:$A$391,0)),"")</f>
        <v/>
      </c>
    </row>
    <row r="291" spans="1:9" ht="15" customHeight="1" x14ac:dyDescent="0.35">
      <c r="A291" s="12">
        <v>45581</v>
      </c>
      <c r="B291" s="11">
        <f t="shared" si="20"/>
        <v>2024</v>
      </c>
      <c r="C291" s="11">
        <f t="shared" si="21"/>
        <v>10</v>
      </c>
      <c r="D291" s="11" t="str">
        <f t="shared" si="22"/>
        <v>Wed</v>
      </c>
      <c r="E291" s="11">
        <f t="shared" si="23"/>
        <v>1</v>
      </c>
      <c r="F291" s="11">
        <f t="shared" si="24"/>
        <v>0</v>
      </c>
      <c r="G291" s="16"/>
      <c r="H291" s="11">
        <f>COUNTIF(Events!$A$2:$A$391,$A291)</f>
        <v>0</v>
      </c>
      <c r="I291" s="11" t="str">
        <f>IFERROR(INDEX(Events!$E$2:$E$391,MATCH($A291,Events!$A$2:$A$391,0)),"")</f>
        <v/>
      </c>
    </row>
    <row r="292" spans="1:9" ht="15" customHeight="1" x14ac:dyDescent="0.35">
      <c r="A292" s="12">
        <v>45582</v>
      </c>
      <c r="B292" s="11">
        <f t="shared" si="20"/>
        <v>2024</v>
      </c>
      <c r="C292" s="11">
        <f t="shared" si="21"/>
        <v>10</v>
      </c>
      <c r="D292" s="11" t="str">
        <f t="shared" si="22"/>
        <v>Thu</v>
      </c>
      <c r="E292" s="11">
        <f t="shared" si="23"/>
        <v>1</v>
      </c>
      <c r="F292" s="11">
        <f t="shared" si="24"/>
        <v>0</v>
      </c>
      <c r="G292" s="16"/>
      <c r="H292" s="11">
        <f>COUNTIF(Events!$A$2:$A$391,$A292)</f>
        <v>0</v>
      </c>
      <c r="I292" s="11" t="str">
        <f>IFERROR(INDEX(Events!$E$2:$E$391,MATCH($A292,Events!$A$2:$A$391,0)),"")</f>
        <v/>
      </c>
    </row>
    <row r="293" spans="1:9" ht="15" customHeight="1" x14ac:dyDescent="0.35">
      <c r="A293" s="12">
        <v>45583</v>
      </c>
      <c r="B293" s="11">
        <f t="shared" si="20"/>
        <v>2024</v>
      </c>
      <c r="C293" s="11">
        <f t="shared" si="21"/>
        <v>10</v>
      </c>
      <c r="D293" s="11" t="str">
        <f t="shared" si="22"/>
        <v>Fri</v>
      </c>
      <c r="E293" s="11">
        <f t="shared" si="23"/>
        <v>1</v>
      </c>
      <c r="F293" s="11">
        <f t="shared" si="24"/>
        <v>0</v>
      </c>
      <c r="G293" s="16"/>
      <c r="H293" s="11">
        <f>COUNTIF(Events!$A$2:$A$391,$A293)</f>
        <v>0</v>
      </c>
      <c r="I293" s="11" t="str">
        <f>IFERROR(INDEX(Events!$E$2:$E$391,MATCH($A293,Events!$A$2:$A$391,0)),"")</f>
        <v/>
      </c>
    </row>
    <row r="294" spans="1:9" ht="15" customHeight="1" x14ac:dyDescent="0.35">
      <c r="A294" s="12">
        <v>45584</v>
      </c>
      <c r="B294" s="11">
        <f t="shared" si="20"/>
        <v>2024</v>
      </c>
      <c r="C294" s="11">
        <f t="shared" si="21"/>
        <v>10</v>
      </c>
      <c r="D294" s="11" t="str">
        <f t="shared" si="22"/>
        <v>Sat</v>
      </c>
      <c r="E294" s="11">
        <f t="shared" si="23"/>
        <v>1</v>
      </c>
      <c r="F294" s="11">
        <f t="shared" si="24"/>
        <v>0</v>
      </c>
      <c r="G294" s="16"/>
      <c r="H294" s="11">
        <f>COUNTIF(Events!$A$2:$A$391,$A294)</f>
        <v>0</v>
      </c>
      <c r="I294" s="11" t="str">
        <f>IFERROR(INDEX(Events!$E$2:$E$391,MATCH($A294,Events!$A$2:$A$391,0)),"")</f>
        <v/>
      </c>
    </row>
    <row r="295" spans="1:9" ht="15" customHeight="1" x14ac:dyDescent="0.35">
      <c r="A295" s="12">
        <v>45585</v>
      </c>
      <c r="B295" s="11">
        <f t="shared" si="20"/>
        <v>2024</v>
      </c>
      <c r="C295" s="11">
        <f t="shared" si="21"/>
        <v>10</v>
      </c>
      <c r="D295" s="11" t="str">
        <f t="shared" si="22"/>
        <v>Sun</v>
      </c>
      <c r="E295" s="11">
        <f t="shared" si="23"/>
        <v>1</v>
      </c>
      <c r="F295" s="11">
        <f t="shared" si="24"/>
        <v>0</v>
      </c>
      <c r="G295" s="16"/>
      <c r="H295" s="11">
        <f>COUNTIF(Events!$A$2:$A$391,$A295)</f>
        <v>0</v>
      </c>
      <c r="I295" s="11" t="str">
        <f>IFERROR(INDEX(Events!$E$2:$E$391,MATCH($A295,Events!$A$2:$A$391,0)),"")</f>
        <v/>
      </c>
    </row>
    <row r="296" spans="1:9" ht="15" customHeight="1" x14ac:dyDescent="0.35">
      <c r="A296" s="12">
        <v>45586</v>
      </c>
      <c r="B296" s="11">
        <f t="shared" si="20"/>
        <v>2024</v>
      </c>
      <c r="C296" s="11">
        <f t="shared" si="21"/>
        <v>10</v>
      </c>
      <c r="D296" s="11" t="str">
        <f t="shared" si="22"/>
        <v>Mon</v>
      </c>
      <c r="E296" s="11">
        <f t="shared" si="23"/>
        <v>1</v>
      </c>
      <c r="F296" s="11">
        <f t="shared" si="24"/>
        <v>0</v>
      </c>
      <c r="G296" s="16"/>
      <c r="H296" s="11">
        <f>COUNTIF(Events!$A$2:$A$391,$A296)</f>
        <v>0</v>
      </c>
      <c r="I296" s="11" t="str">
        <f>IFERROR(INDEX(Events!$E$2:$E$391,MATCH($A296,Events!$A$2:$A$391,0)),"")</f>
        <v/>
      </c>
    </row>
    <row r="297" spans="1:9" ht="15" customHeight="1" x14ac:dyDescent="0.35">
      <c r="A297" s="12">
        <v>45587</v>
      </c>
      <c r="B297" s="11">
        <f t="shared" si="20"/>
        <v>2024</v>
      </c>
      <c r="C297" s="11">
        <f t="shared" si="21"/>
        <v>10</v>
      </c>
      <c r="D297" s="11" t="str">
        <f t="shared" si="22"/>
        <v>Tue</v>
      </c>
      <c r="E297" s="11">
        <f t="shared" si="23"/>
        <v>1</v>
      </c>
      <c r="F297" s="11">
        <f t="shared" si="24"/>
        <v>0</v>
      </c>
      <c r="G297" s="16"/>
      <c r="H297" s="11">
        <f>COUNTIF(Events!$A$2:$A$391,$A297)</f>
        <v>0</v>
      </c>
      <c r="I297" s="11" t="str">
        <f>IFERROR(INDEX(Events!$E$2:$E$391,MATCH($A297,Events!$A$2:$A$391,0)),"")</f>
        <v/>
      </c>
    </row>
    <row r="298" spans="1:9" ht="15" customHeight="1" x14ac:dyDescent="0.35">
      <c r="A298" s="12">
        <v>45588</v>
      </c>
      <c r="B298" s="11">
        <f t="shared" si="20"/>
        <v>2024</v>
      </c>
      <c r="C298" s="11">
        <f t="shared" si="21"/>
        <v>10</v>
      </c>
      <c r="D298" s="11" t="str">
        <f t="shared" si="22"/>
        <v>Wed</v>
      </c>
      <c r="E298" s="11">
        <f t="shared" si="23"/>
        <v>1</v>
      </c>
      <c r="F298" s="11">
        <f t="shared" si="24"/>
        <v>0</v>
      </c>
      <c r="G298" s="16"/>
      <c r="H298" s="11">
        <f>COUNTIF(Events!$A$2:$A$391,$A298)</f>
        <v>0</v>
      </c>
      <c r="I298" s="11" t="str">
        <f>IFERROR(INDEX(Events!$E$2:$E$391,MATCH($A298,Events!$A$2:$A$391,0)),"")</f>
        <v/>
      </c>
    </row>
    <row r="299" spans="1:9" ht="15" customHeight="1" x14ac:dyDescent="0.35">
      <c r="A299" s="12">
        <v>45589</v>
      </c>
      <c r="B299" s="11">
        <f t="shared" si="20"/>
        <v>2024</v>
      </c>
      <c r="C299" s="11">
        <f t="shared" si="21"/>
        <v>10</v>
      </c>
      <c r="D299" s="11" t="str">
        <f t="shared" si="22"/>
        <v>Thu</v>
      </c>
      <c r="E299" s="11">
        <f t="shared" si="23"/>
        <v>1</v>
      </c>
      <c r="F299" s="11">
        <f t="shared" si="24"/>
        <v>0</v>
      </c>
      <c r="G299" s="16"/>
      <c r="H299" s="11">
        <f>COUNTIF(Events!$A$2:$A$391,$A299)</f>
        <v>0</v>
      </c>
      <c r="I299" s="11" t="str">
        <f>IFERROR(INDEX(Events!$E$2:$E$391,MATCH($A299,Events!$A$2:$A$391,0)),"")</f>
        <v/>
      </c>
    </row>
    <row r="300" spans="1:9" ht="15" customHeight="1" x14ac:dyDescent="0.35">
      <c r="A300" s="12">
        <v>45590</v>
      </c>
      <c r="B300" s="11">
        <f t="shared" si="20"/>
        <v>2024</v>
      </c>
      <c r="C300" s="11">
        <f t="shared" si="21"/>
        <v>10</v>
      </c>
      <c r="D300" s="11" t="str">
        <f t="shared" si="22"/>
        <v>Fri</v>
      </c>
      <c r="E300" s="11">
        <f t="shared" si="23"/>
        <v>1</v>
      </c>
      <c r="F300" s="11">
        <f t="shared" si="24"/>
        <v>0</v>
      </c>
      <c r="G300" s="16"/>
      <c r="H300" s="11">
        <f>COUNTIF(Events!$A$2:$A$391,$A300)</f>
        <v>0</v>
      </c>
      <c r="I300" s="11" t="str">
        <f>IFERROR(INDEX(Events!$E$2:$E$391,MATCH($A300,Events!$A$2:$A$391,0)),"")</f>
        <v/>
      </c>
    </row>
    <row r="301" spans="1:9" ht="15" customHeight="1" x14ac:dyDescent="0.35">
      <c r="A301" s="12">
        <v>45591</v>
      </c>
      <c r="B301" s="11">
        <f t="shared" si="20"/>
        <v>2024</v>
      </c>
      <c r="C301" s="11">
        <f t="shared" si="21"/>
        <v>10</v>
      </c>
      <c r="D301" s="11" t="str">
        <f t="shared" si="22"/>
        <v>Sat</v>
      </c>
      <c r="E301" s="11">
        <f t="shared" si="23"/>
        <v>1</v>
      </c>
      <c r="F301" s="11">
        <f t="shared" si="24"/>
        <v>0</v>
      </c>
      <c r="G301" s="16"/>
      <c r="H301" s="11">
        <f>COUNTIF(Events!$A$2:$A$391,$A301)</f>
        <v>0</v>
      </c>
      <c r="I301" s="11" t="str">
        <f>IFERROR(INDEX(Events!$E$2:$E$391,MATCH($A301,Events!$A$2:$A$391,0)),"")</f>
        <v/>
      </c>
    </row>
    <row r="302" spans="1:9" ht="15" customHeight="1" x14ac:dyDescent="0.35">
      <c r="A302" s="12">
        <v>45592</v>
      </c>
      <c r="B302" s="11">
        <f t="shared" si="20"/>
        <v>2024</v>
      </c>
      <c r="C302" s="11">
        <f t="shared" si="21"/>
        <v>10</v>
      </c>
      <c r="D302" s="11" t="str">
        <f t="shared" si="22"/>
        <v>Sun</v>
      </c>
      <c r="E302" s="11">
        <f t="shared" si="23"/>
        <v>1</v>
      </c>
      <c r="F302" s="11">
        <f t="shared" si="24"/>
        <v>0</v>
      </c>
      <c r="G302" s="16"/>
      <c r="H302" s="11">
        <f>COUNTIF(Events!$A$2:$A$391,$A302)</f>
        <v>0</v>
      </c>
      <c r="I302" s="11" t="str">
        <f>IFERROR(INDEX(Events!$E$2:$E$391,MATCH($A302,Events!$A$2:$A$391,0)),"")</f>
        <v/>
      </c>
    </row>
    <row r="303" spans="1:9" ht="15" customHeight="1" x14ac:dyDescent="0.35">
      <c r="A303" s="12">
        <v>45593</v>
      </c>
      <c r="B303" s="11">
        <f t="shared" si="20"/>
        <v>2024</v>
      </c>
      <c r="C303" s="11">
        <f t="shared" si="21"/>
        <v>10</v>
      </c>
      <c r="D303" s="11" t="str">
        <f t="shared" si="22"/>
        <v>Mon</v>
      </c>
      <c r="E303" s="11">
        <f t="shared" si="23"/>
        <v>1</v>
      </c>
      <c r="F303" s="11">
        <f t="shared" si="24"/>
        <v>0</v>
      </c>
      <c r="G303" s="16"/>
      <c r="H303" s="11">
        <f>COUNTIF(Events!$A$2:$A$391,$A303)</f>
        <v>0</v>
      </c>
      <c r="I303" s="11" t="str">
        <f>IFERROR(INDEX(Events!$E$2:$E$391,MATCH($A303,Events!$A$2:$A$391,0)),"")</f>
        <v/>
      </c>
    </row>
    <row r="304" spans="1:9" ht="15" customHeight="1" x14ac:dyDescent="0.35">
      <c r="A304" s="12">
        <v>45594</v>
      </c>
      <c r="B304" s="11">
        <f t="shared" si="20"/>
        <v>2024</v>
      </c>
      <c r="C304" s="11">
        <f t="shared" si="21"/>
        <v>10</v>
      </c>
      <c r="D304" s="11" t="str">
        <f t="shared" si="22"/>
        <v>Tue</v>
      </c>
      <c r="E304" s="11">
        <f t="shared" si="23"/>
        <v>1</v>
      </c>
      <c r="F304" s="11">
        <f t="shared" si="24"/>
        <v>0</v>
      </c>
      <c r="G304" s="16"/>
      <c r="H304" s="11">
        <f>COUNTIF(Events!$A$2:$A$391,$A304)</f>
        <v>0</v>
      </c>
      <c r="I304" s="11" t="str">
        <f>IFERROR(INDEX(Events!$E$2:$E$391,MATCH($A304,Events!$A$2:$A$391,0)),"")</f>
        <v/>
      </c>
    </row>
    <row r="305" spans="1:9" ht="15" customHeight="1" x14ac:dyDescent="0.35">
      <c r="A305" s="12">
        <v>45595</v>
      </c>
      <c r="B305" s="11">
        <f t="shared" si="20"/>
        <v>2024</v>
      </c>
      <c r="C305" s="11">
        <f t="shared" si="21"/>
        <v>10</v>
      </c>
      <c r="D305" s="11" t="str">
        <f t="shared" si="22"/>
        <v>Wed</v>
      </c>
      <c r="E305" s="11">
        <f t="shared" si="23"/>
        <v>1</v>
      </c>
      <c r="F305" s="11">
        <f t="shared" si="24"/>
        <v>0</v>
      </c>
      <c r="G305" s="16"/>
      <c r="H305" s="11">
        <f>COUNTIF(Events!$A$2:$A$391,$A305)</f>
        <v>0</v>
      </c>
      <c r="I305" s="11" t="str">
        <f>IFERROR(INDEX(Events!$E$2:$E$391,MATCH($A305,Events!$A$2:$A$391,0)),"")</f>
        <v/>
      </c>
    </row>
    <row r="306" spans="1:9" ht="15" customHeight="1" x14ac:dyDescent="0.35">
      <c r="A306" s="12">
        <v>45596</v>
      </c>
      <c r="B306" s="11">
        <f t="shared" si="20"/>
        <v>2024</v>
      </c>
      <c r="C306" s="11">
        <f t="shared" si="21"/>
        <v>10</v>
      </c>
      <c r="D306" s="11" t="str">
        <f t="shared" si="22"/>
        <v>Thu</v>
      </c>
      <c r="E306" s="11">
        <f t="shared" si="23"/>
        <v>1</v>
      </c>
      <c r="F306" s="11">
        <f t="shared" si="24"/>
        <v>0</v>
      </c>
      <c r="G306" s="16"/>
      <c r="H306" s="11">
        <f>COUNTIF(Events!$A$2:$A$391,$A306)</f>
        <v>0</v>
      </c>
      <c r="I306" s="11" t="str">
        <f>IFERROR(INDEX(Events!$E$2:$E$391,MATCH($A306,Events!$A$2:$A$391,0)),"")</f>
        <v/>
      </c>
    </row>
    <row r="307" spans="1:9" ht="15" customHeight="1" x14ac:dyDescent="0.35">
      <c r="A307" s="12">
        <v>45597</v>
      </c>
      <c r="B307" s="11">
        <f t="shared" si="20"/>
        <v>2024</v>
      </c>
      <c r="C307" s="11">
        <f t="shared" si="21"/>
        <v>11</v>
      </c>
      <c r="D307" s="11" t="str">
        <f t="shared" si="22"/>
        <v>Fri</v>
      </c>
      <c r="E307" s="11">
        <f t="shared" si="23"/>
        <v>1</v>
      </c>
      <c r="F307" s="11">
        <f t="shared" si="24"/>
        <v>0</v>
      </c>
      <c r="G307" s="16"/>
      <c r="H307" s="11">
        <f>COUNTIF(Events!$A$2:$A$391,$A307)</f>
        <v>0</v>
      </c>
      <c r="I307" s="11" t="str">
        <f>IFERROR(INDEX(Events!$E$2:$E$391,MATCH($A307,Events!$A$2:$A$391,0)),"")</f>
        <v/>
      </c>
    </row>
    <row r="308" spans="1:9" ht="15" customHeight="1" x14ac:dyDescent="0.35">
      <c r="A308" s="12">
        <v>45598</v>
      </c>
      <c r="B308" s="11">
        <f t="shared" si="20"/>
        <v>2024</v>
      </c>
      <c r="C308" s="11">
        <f t="shared" si="21"/>
        <v>11</v>
      </c>
      <c r="D308" s="11" t="str">
        <f t="shared" si="22"/>
        <v>Sat</v>
      </c>
      <c r="E308" s="11">
        <f t="shared" si="23"/>
        <v>1</v>
      </c>
      <c r="F308" s="11">
        <f t="shared" si="24"/>
        <v>0</v>
      </c>
      <c r="G308" s="16"/>
      <c r="H308" s="11">
        <f>COUNTIF(Events!$A$2:$A$391,$A308)</f>
        <v>0</v>
      </c>
      <c r="I308" s="11" t="str">
        <f>IFERROR(INDEX(Events!$E$2:$E$391,MATCH($A308,Events!$A$2:$A$391,0)),"")</f>
        <v/>
      </c>
    </row>
    <row r="309" spans="1:9" ht="15" customHeight="1" x14ac:dyDescent="0.35">
      <c r="A309" s="12">
        <v>45599</v>
      </c>
      <c r="B309" s="11">
        <f t="shared" si="20"/>
        <v>2024</v>
      </c>
      <c r="C309" s="11">
        <f t="shared" si="21"/>
        <v>11</v>
      </c>
      <c r="D309" s="11" t="str">
        <f t="shared" si="22"/>
        <v>Sun</v>
      </c>
      <c r="E309" s="11">
        <f t="shared" si="23"/>
        <v>1</v>
      </c>
      <c r="F309" s="11">
        <f t="shared" si="24"/>
        <v>0</v>
      </c>
      <c r="G309" s="16"/>
      <c r="H309" s="11">
        <f>COUNTIF(Events!$A$2:$A$391,$A309)</f>
        <v>0</v>
      </c>
      <c r="I309" s="11" t="str">
        <f>IFERROR(INDEX(Events!$E$2:$E$391,MATCH($A309,Events!$A$2:$A$391,0)),"")</f>
        <v/>
      </c>
    </row>
    <row r="310" spans="1:9" ht="15" customHeight="1" x14ac:dyDescent="0.35">
      <c r="A310" s="12">
        <v>45600</v>
      </c>
      <c r="B310" s="11">
        <f t="shared" si="20"/>
        <v>2024</v>
      </c>
      <c r="C310" s="11">
        <f t="shared" si="21"/>
        <v>11</v>
      </c>
      <c r="D310" s="11" t="str">
        <f t="shared" si="22"/>
        <v>Mon</v>
      </c>
      <c r="E310" s="11">
        <f t="shared" si="23"/>
        <v>1</v>
      </c>
      <c r="F310" s="11">
        <f t="shared" si="24"/>
        <v>0</v>
      </c>
      <c r="G310" s="16"/>
      <c r="H310" s="11">
        <f>COUNTIF(Events!$A$2:$A$391,$A310)</f>
        <v>0</v>
      </c>
      <c r="I310" s="11" t="str">
        <f>IFERROR(INDEX(Events!$E$2:$E$391,MATCH($A310,Events!$A$2:$A$391,0)),"")</f>
        <v/>
      </c>
    </row>
    <row r="311" spans="1:9" ht="15" customHeight="1" x14ac:dyDescent="0.35">
      <c r="A311" s="12">
        <v>45601</v>
      </c>
      <c r="B311" s="11">
        <f t="shared" si="20"/>
        <v>2024</v>
      </c>
      <c r="C311" s="11">
        <f t="shared" si="21"/>
        <v>11</v>
      </c>
      <c r="D311" s="11" t="str">
        <f t="shared" si="22"/>
        <v>Tue</v>
      </c>
      <c r="E311" s="11">
        <f t="shared" si="23"/>
        <v>1</v>
      </c>
      <c r="F311" s="11">
        <f t="shared" si="24"/>
        <v>0</v>
      </c>
      <c r="G311" s="16"/>
      <c r="H311" s="11">
        <f>COUNTIF(Events!$A$2:$A$391,$A311)</f>
        <v>0</v>
      </c>
      <c r="I311" s="11" t="str">
        <f>IFERROR(INDEX(Events!$E$2:$E$391,MATCH($A311,Events!$A$2:$A$391,0)),"")</f>
        <v/>
      </c>
    </row>
    <row r="312" spans="1:9" ht="15" customHeight="1" x14ac:dyDescent="0.35">
      <c r="A312" s="12">
        <v>45602</v>
      </c>
      <c r="B312" s="11">
        <f t="shared" si="20"/>
        <v>2024</v>
      </c>
      <c r="C312" s="11">
        <f t="shared" si="21"/>
        <v>11</v>
      </c>
      <c r="D312" s="11" t="str">
        <f t="shared" si="22"/>
        <v>Wed</v>
      </c>
      <c r="E312" s="11">
        <f t="shared" si="23"/>
        <v>1</v>
      </c>
      <c r="F312" s="11">
        <f t="shared" si="24"/>
        <v>0</v>
      </c>
      <c r="G312" s="16"/>
      <c r="H312" s="11">
        <f>COUNTIF(Events!$A$2:$A$391,$A312)</f>
        <v>0</v>
      </c>
      <c r="I312" s="11" t="str">
        <f>IFERROR(INDEX(Events!$E$2:$E$391,MATCH($A312,Events!$A$2:$A$391,0)),"")</f>
        <v/>
      </c>
    </row>
    <row r="313" spans="1:9" ht="15" customHeight="1" x14ac:dyDescent="0.35">
      <c r="A313" s="12">
        <v>45603</v>
      </c>
      <c r="B313" s="11">
        <f t="shared" si="20"/>
        <v>2024</v>
      </c>
      <c r="C313" s="11">
        <f t="shared" si="21"/>
        <v>11</v>
      </c>
      <c r="D313" s="11" t="str">
        <f t="shared" si="22"/>
        <v>Thu</v>
      </c>
      <c r="E313" s="11">
        <f t="shared" si="23"/>
        <v>1</v>
      </c>
      <c r="F313" s="11">
        <f t="shared" si="24"/>
        <v>0</v>
      </c>
      <c r="G313" s="16"/>
      <c r="H313" s="11">
        <f>COUNTIF(Events!$A$2:$A$391,$A313)</f>
        <v>0</v>
      </c>
      <c r="I313" s="11" t="str">
        <f>IFERROR(INDEX(Events!$E$2:$E$391,MATCH($A313,Events!$A$2:$A$391,0)),"")</f>
        <v/>
      </c>
    </row>
    <row r="314" spans="1:9" ht="15" customHeight="1" x14ac:dyDescent="0.35">
      <c r="A314" s="12">
        <v>45604</v>
      </c>
      <c r="B314" s="11">
        <f t="shared" si="20"/>
        <v>2024</v>
      </c>
      <c r="C314" s="11">
        <f t="shared" si="21"/>
        <v>11</v>
      </c>
      <c r="D314" s="11" t="str">
        <f t="shared" si="22"/>
        <v>Fri</v>
      </c>
      <c r="E314" s="11">
        <f t="shared" si="23"/>
        <v>1</v>
      </c>
      <c r="F314" s="11">
        <f t="shared" si="24"/>
        <v>0</v>
      </c>
      <c r="G314" s="16"/>
      <c r="H314" s="11">
        <f>COUNTIF(Events!$A$2:$A$391,$A314)</f>
        <v>0</v>
      </c>
      <c r="I314" s="11" t="str">
        <f>IFERROR(INDEX(Events!$E$2:$E$391,MATCH($A314,Events!$A$2:$A$391,0)),"")</f>
        <v/>
      </c>
    </row>
    <row r="315" spans="1:9" ht="15" customHeight="1" x14ac:dyDescent="0.35">
      <c r="A315" s="12">
        <v>45605</v>
      </c>
      <c r="B315" s="11">
        <f t="shared" si="20"/>
        <v>2024</v>
      </c>
      <c r="C315" s="11">
        <f t="shared" si="21"/>
        <v>11</v>
      </c>
      <c r="D315" s="11" t="str">
        <f t="shared" si="22"/>
        <v>Sat</v>
      </c>
      <c r="E315" s="11">
        <f t="shared" si="23"/>
        <v>1</v>
      </c>
      <c r="F315" s="11">
        <f t="shared" si="24"/>
        <v>0</v>
      </c>
      <c r="G315" s="16"/>
      <c r="H315" s="11">
        <f>COUNTIF(Events!$A$2:$A$391,$A315)</f>
        <v>0</v>
      </c>
      <c r="I315" s="11" t="str">
        <f>IFERROR(INDEX(Events!$E$2:$E$391,MATCH($A315,Events!$A$2:$A$391,0)),"")</f>
        <v/>
      </c>
    </row>
    <row r="316" spans="1:9" ht="15" customHeight="1" x14ac:dyDescent="0.35">
      <c r="A316" s="12">
        <v>45606</v>
      </c>
      <c r="B316" s="11">
        <f t="shared" si="20"/>
        <v>2024</v>
      </c>
      <c r="C316" s="11">
        <f t="shared" si="21"/>
        <v>11</v>
      </c>
      <c r="D316" s="11" t="str">
        <f t="shared" si="22"/>
        <v>Sun</v>
      </c>
      <c r="E316" s="11">
        <f t="shared" si="23"/>
        <v>1</v>
      </c>
      <c r="F316" s="11">
        <f t="shared" si="24"/>
        <v>0</v>
      </c>
      <c r="G316" s="16"/>
      <c r="H316" s="11">
        <f>COUNTIF(Events!$A$2:$A$391,$A316)</f>
        <v>0</v>
      </c>
      <c r="I316" s="11" t="str">
        <f>IFERROR(INDEX(Events!$E$2:$E$391,MATCH($A316,Events!$A$2:$A$391,0)),"")</f>
        <v/>
      </c>
    </row>
    <row r="317" spans="1:9" ht="15" customHeight="1" x14ac:dyDescent="0.35">
      <c r="A317" s="12">
        <v>45607</v>
      </c>
      <c r="B317" s="11">
        <f t="shared" si="20"/>
        <v>2024</v>
      </c>
      <c r="C317" s="11">
        <f t="shared" si="21"/>
        <v>11</v>
      </c>
      <c r="D317" s="11" t="str">
        <f t="shared" si="22"/>
        <v>Mon</v>
      </c>
      <c r="E317" s="11">
        <f t="shared" si="23"/>
        <v>1</v>
      </c>
      <c r="F317" s="11">
        <f t="shared" si="24"/>
        <v>0</v>
      </c>
      <c r="G317" s="16"/>
      <c r="H317" s="11">
        <f>COUNTIF(Events!$A$2:$A$391,$A317)</f>
        <v>0</v>
      </c>
      <c r="I317" s="11" t="str">
        <f>IFERROR(INDEX(Events!$E$2:$E$391,MATCH($A317,Events!$A$2:$A$391,0)),"")</f>
        <v/>
      </c>
    </row>
    <row r="318" spans="1:9" ht="15" customHeight="1" x14ac:dyDescent="0.35">
      <c r="A318" s="12">
        <v>45608</v>
      </c>
      <c r="B318" s="11">
        <f t="shared" si="20"/>
        <v>2024</v>
      </c>
      <c r="C318" s="11">
        <f t="shared" si="21"/>
        <v>11</v>
      </c>
      <c r="D318" s="11" t="str">
        <f t="shared" si="22"/>
        <v>Tue</v>
      </c>
      <c r="E318" s="11">
        <f t="shared" si="23"/>
        <v>1</v>
      </c>
      <c r="F318" s="11">
        <f t="shared" si="24"/>
        <v>0</v>
      </c>
      <c r="G318" s="16"/>
      <c r="H318" s="11">
        <f>COUNTIF(Events!$A$2:$A$391,$A318)</f>
        <v>0</v>
      </c>
      <c r="I318" s="11" t="str">
        <f>IFERROR(INDEX(Events!$E$2:$E$391,MATCH($A318,Events!$A$2:$A$391,0)),"")</f>
        <v/>
      </c>
    </row>
    <row r="319" spans="1:9" ht="15" customHeight="1" x14ac:dyDescent="0.35">
      <c r="A319" s="12">
        <v>45609</v>
      </c>
      <c r="B319" s="11">
        <f t="shared" si="20"/>
        <v>2024</v>
      </c>
      <c r="C319" s="11">
        <f t="shared" si="21"/>
        <v>11</v>
      </c>
      <c r="D319" s="11" t="str">
        <f t="shared" si="22"/>
        <v>Wed</v>
      </c>
      <c r="E319" s="11">
        <f t="shared" si="23"/>
        <v>1</v>
      </c>
      <c r="F319" s="11">
        <f t="shared" si="24"/>
        <v>0</v>
      </c>
      <c r="G319" s="16"/>
      <c r="H319" s="11">
        <f>COUNTIF(Events!$A$2:$A$391,$A319)</f>
        <v>0</v>
      </c>
      <c r="I319" s="11" t="str">
        <f>IFERROR(INDEX(Events!$E$2:$E$391,MATCH($A319,Events!$A$2:$A$391,0)),"")</f>
        <v/>
      </c>
    </row>
    <row r="320" spans="1:9" ht="15" customHeight="1" x14ac:dyDescent="0.35">
      <c r="A320" s="12">
        <v>45610</v>
      </c>
      <c r="B320" s="11">
        <f t="shared" si="20"/>
        <v>2024</v>
      </c>
      <c r="C320" s="11">
        <f t="shared" si="21"/>
        <v>11</v>
      </c>
      <c r="D320" s="11" t="str">
        <f t="shared" si="22"/>
        <v>Thu</v>
      </c>
      <c r="E320" s="11">
        <f t="shared" si="23"/>
        <v>1</v>
      </c>
      <c r="F320" s="11">
        <f t="shared" si="24"/>
        <v>0</v>
      </c>
      <c r="G320" s="16"/>
      <c r="H320" s="11">
        <f>COUNTIF(Events!$A$2:$A$391,$A320)</f>
        <v>0</v>
      </c>
      <c r="I320" s="11" t="str">
        <f>IFERROR(INDEX(Events!$E$2:$E$391,MATCH($A320,Events!$A$2:$A$391,0)),"")</f>
        <v/>
      </c>
    </row>
    <row r="321" spans="1:9" ht="15" customHeight="1" x14ac:dyDescent="0.35">
      <c r="A321" s="12">
        <v>45611</v>
      </c>
      <c r="B321" s="11">
        <f t="shared" si="20"/>
        <v>2024</v>
      </c>
      <c r="C321" s="11">
        <f t="shared" si="21"/>
        <v>11</v>
      </c>
      <c r="D321" s="11" t="str">
        <f t="shared" si="22"/>
        <v>Fri</v>
      </c>
      <c r="E321" s="11">
        <f t="shared" si="23"/>
        <v>1</v>
      </c>
      <c r="F321" s="11">
        <f t="shared" si="24"/>
        <v>0</v>
      </c>
      <c r="G321" s="16"/>
      <c r="H321" s="11">
        <f>COUNTIF(Events!$A$2:$A$391,$A321)</f>
        <v>0</v>
      </c>
      <c r="I321" s="11" t="str">
        <f>IFERROR(INDEX(Events!$E$2:$E$391,MATCH($A321,Events!$A$2:$A$391,0)),"")</f>
        <v/>
      </c>
    </row>
    <row r="322" spans="1:9" ht="15" customHeight="1" x14ac:dyDescent="0.35">
      <c r="A322" s="12">
        <v>45612</v>
      </c>
      <c r="B322" s="11">
        <f t="shared" ref="B322:B385" si="25">YEAR($A322)</f>
        <v>2024</v>
      </c>
      <c r="C322" s="11">
        <f t="shared" ref="C322:C385" si="26">MONTH($A322)</f>
        <v>11</v>
      </c>
      <c r="D322" s="11" t="str">
        <f t="shared" ref="D322:D385" si="27">TEXT($A322,"ddd")</f>
        <v>Sat</v>
      </c>
      <c r="E322" s="11">
        <f t="shared" ref="E322:E385" si="28">IF(OR(AND(MONTH($A322)=10,DAY($A322)&gt;=15),MONTH($A322)=11,AND(MONTH($A322)=12,DAY($A322)&lt;=7)),1,0)</f>
        <v>1</v>
      </c>
      <c r="F322" s="11">
        <f t="shared" ref="F322:F385" si="29">IF(MONTH($A322)&lt;=3,1,0)</f>
        <v>0</v>
      </c>
      <c r="G322" s="16"/>
      <c r="H322" s="11">
        <f>COUNTIF(Events!$A$2:$A$391,$A322)</f>
        <v>0</v>
      </c>
      <c r="I322" s="11" t="str">
        <f>IFERROR(INDEX(Events!$E$2:$E$391,MATCH($A322,Events!$A$2:$A$391,0)),"")</f>
        <v/>
      </c>
    </row>
    <row r="323" spans="1:9" ht="15" customHeight="1" x14ac:dyDescent="0.35">
      <c r="A323" s="12">
        <v>45613</v>
      </c>
      <c r="B323" s="11">
        <f t="shared" si="25"/>
        <v>2024</v>
      </c>
      <c r="C323" s="11">
        <f t="shared" si="26"/>
        <v>11</v>
      </c>
      <c r="D323" s="11" t="str">
        <f t="shared" si="27"/>
        <v>Sun</v>
      </c>
      <c r="E323" s="11">
        <f t="shared" si="28"/>
        <v>1</v>
      </c>
      <c r="F323" s="11">
        <f t="shared" si="29"/>
        <v>0</v>
      </c>
      <c r="G323" s="16"/>
      <c r="H323" s="11">
        <f>COUNTIF(Events!$A$2:$A$391,$A323)</f>
        <v>0</v>
      </c>
      <c r="I323" s="11" t="str">
        <f>IFERROR(INDEX(Events!$E$2:$E$391,MATCH($A323,Events!$A$2:$A$391,0)),"")</f>
        <v/>
      </c>
    </row>
    <row r="324" spans="1:9" ht="15" customHeight="1" x14ac:dyDescent="0.35">
      <c r="A324" s="12">
        <v>45614</v>
      </c>
      <c r="B324" s="11">
        <f t="shared" si="25"/>
        <v>2024</v>
      </c>
      <c r="C324" s="11">
        <f t="shared" si="26"/>
        <v>11</v>
      </c>
      <c r="D324" s="11" t="str">
        <f t="shared" si="27"/>
        <v>Mon</v>
      </c>
      <c r="E324" s="11">
        <f t="shared" si="28"/>
        <v>1</v>
      </c>
      <c r="F324" s="11">
        <f t="shared" si="29"/>
        <v>0</v>
      </c>
      <c r="G324" s="16"/>
      <c r="H324" s="11">
        <f>COUNTIF(Events!$A$2:$A$391,$A324)</f>
        <v>0</v>
      </c>
      <c r="I324" s="11" t="str">
        <f>IFERROR(INDEX(Events!$E$2:$E$391,MATCH($A324,Events!$A$2:$A$391,0)),"")</f>
        <v/>
      </c>
    </row>
    <row r="325" spans="1:9" ht="15" customHeight="1" x14ac:dyDescent="0.35">
      <c r="A325" s="12">
        <v>45615</v>
      </c>
      <c r="B325" s="11">
        <f t="shared" si="25"/>
        <v>2024</v>
      </c>
      <c r="C325" s="11">
        <f t="shared" si="26"/>
        <v>11</v>
      </c>
      <c r="D325" s="11" t="str">
        <f t="shared" si="27"/>
        <v>Tue</v>
      </c>
      <c r="E325" s="11">
        <f t="shared" si="28"/>
        <v>1</v>
      </c>
      <c r="F325" s="11">
        <f t="shared" si="29"/>
        <v>0</v>
      </c>
      <c r="G325" s="16"/>
      <c r="H325" s="11">
        <f>COUNTIF(Events!$A$2:$A$391,$A325)</f>
        <v>0</v>
      </c>
      <c r="I325" s="11" t="str">
        <f>IFERROR(INDEX(Events!$E$2:$E$391,MATCH($A325,Events!$A$2:$A$391,0)),"")</f>
        <v/>
      </c>
    </row>
    <row r="326" spans="1:9" ht="15" customHeight="1" x14ac:dyDescent="0.35">
      <c r="A326" s="12">
        <v>45616</v>
      </c>
      <c r="B326" s="11">
        <f t="shared" si="25"/>
        <v>2024</v>
      </c>
      <c r="C326" s="11">
        <f t="shared" si="26"/>
        <v>11</v>
      </c>
      <c r="D326" s="11" t="str">
        <f t="shared" si="27"/>
        <v>Wed</v>
      </c>
      <c r="E326" s="11">
        <f t="shared" si="28"/>
        <v>1</v>
      </c>
      <c r="F326" s="11">
        <f t="shared" si="29"/>
        <v>0</v>
      </c>
      <c r="G326" s="16"/>
      <c r="H326" s="11">
        <f>COUNTIF(Events!$A$2:$A$391,$A326)</f>
        <v>0</v>
      </c>
      <c r="I326" s="11" t="str">
        <f>IFERROR(INDEX(Events!$E$2:$E$391,MATCH($A326,Events!$A$2:$A$391,0)),"")</f>
        <v/>
      </c>
    </row>
    <row r="327" spans="1:9" ht="15" customHeight="1" x14ac:dyDescent="0.35">
      <c r="A327" s="12">
        <v>45617</v>
      </c>
      <c r="B327" s="11">
        <f t="shared" si="25"/>
        <v>2024</v>
      </c>
      <c r="C327" s="11">
        <f t="shared" si="26"/>
        <v>11</v>
      </c>
      <c r="D327" s="11" t="str">
        <f t="shared" si="27"/>
        <v>Thu</v>
      </c>
      <c r="E327" s="11">
        <f t="shared" si="28"/>
        <v>1</v>
      </c>
      <c r="F327" s="11">
        <f t="shared" si="29"/>
        <v>0</v>
      </c>
      <c r="G327" s="16"/>
      <c r="H327" s="11">
        <f>COUNTIF(Events!$A$2:$A$391,$A327)</f>
        <v>0</v>
      </c>
      <c r="I327" s="11" t="str">
        <f>IFERROR(INDEX(Events!$E$2:$E$391,MATCH($A327,Events!$A$2:$A$391,0)),"")</f>
        <v/>
      </c>
    </row>
    <row r="328" spans="1:9" ht="15" customHeight="1" x14ac:dyDescent="0.35">
      <c r="A328" s="12">
        <v>45618</v>
      </c>
      <c r="B328" s="11">
        <f t="shared" si="25"/>
        <v>2024</v>
      </c>
      <c r="C328" s="11">
        <f t="shared" si="26"/>
        <v>11</v>
      </c>
      <c r="D328" s="11" t="str">
        <f t="shared" si="27"/>
        <v>Fri</v>
      </c>
      <c r="E328" s="11">
        <f t="shared" si="28"/>
        <v>1</v>
      </c>
      <c r="F328" s="11">
        <f t="shared" si="29"/>
        <v>0</v>
      </c>
      <c r="G328" s="16"/>
      <c r="H328" s="11">
        <f>COUNTIF(Events!$A$2:$A$391,$A328)</f>
        <v>0</v>
      </c>
      <c r="I328" s="11" t="str">
        <f>IFERROR(INDEX(Events!$E$2:$E$391,MATCH($A328,Events!$A$2:$A$391,0)),"")</f>
        <v/>
      </c>
    </row>
    <row r="329" spans="1:9" ht="15" customHeight="1" x14ac:dyDescent="0.35">
      <c r="A329" s="12">
        <v>45619</v>
      </c>
      <c r="B329" s="11">
        <f t="shared" si="25"/>
        <v>2024</v>
      </c>
      <c r="C329" s="11">
        <f t="shared" si="26"/>
        <v>11</v>
      </c>
      <c r="D329" s="11" t="str">
        <f t="shared" si="27"/>
        <v>Sat</v>
      </c>
      <c r="E329" s="11">
        <f t="shared" si="28"/>
        <v>1</v>
      </c>
      <c r="F329" s="11">
        <f t="shared" si="29"/>
        <v>0</v>
      </c>
      <c r="G329" s="16"/>
      <c r="H329" s="11">
        <f>COUNTIF(Events!$A$2:$A$391,$A329)</f>
        <v>0</v>
      </c>
      <c r="I329" s="11" t="str">
        <f>IFERROR(INDEX(Events!$E$2:$E$391,MATCH($A329,Events!$A$2:$A$391,0)),"")</f>
        <v/>
      </c>
    </row>
    <row r="330" spans="1:9" ht="15" customHeight="1" x14ac:dyDescent="0.35">
      <c r="A330" s="12">
        <v>45620</v>
      </c>
      <c r="B330" s="11">
        <f t="shared" si="25"/>
        <v>2024</v>
      </c>
      <c r="C330" s="11">
        <f t="shared" si="26"/>
        <v>11</v>
      </c>
      <c r="D330" s="11" t="str">
        <f t="shared" si="27"/>
        <v>Sun</v>
      </c>
      <c r="E330" s="11">
        <f t="shared" si="28"/>
        <v>1</v>
      </c>
      <c r="F330" s="11">
        <f t="shared" si="29"/>
        <v>0</v>
      </c>
      <c r="G330" s="16"/>
      <c r="H330" s="11">
        <f>COUNTIF(Events!$A$2:$A$391,$A330)</f>
        <v>0</v>
      </c>
      <c r="I330" s="11" t="str">
        <f>IFERROR(INDEX(Events!$E$2:$E$391,MATCH($A330,Events!$A$2:$A$391,0)),"")</f>
        <v/>
      </c>
    </row>
    <row r="331" spans="1:9" ht="15" customHeight="1" x14ac:dyDescent="0.35">
      <c r="A331" s="12">
        <v>45621</v>
      </c>
      <c r="B331" s="11">
        <f t="shared" si="25"/>
        <v>2024</v>
      </c>
      <c r="C331" s="11">
        <f t="shared" si="26"/>
        <v>11</v>
      </c>
      <c r="D331" s="11" t="str">
        <f t="shared" si="27"/>
        <v>Mon</v>
      </c>
      <c r="E331" s="11">
        <f t="shared" si="28"/>
        <v>1</v>
      </c>
      <c r="F331" s="11">
        <f t="shared" si="29"/>
        <v>0</v>
      </c>
      <c r="G331" s="16"/>
      <c r="H331" s="11">
        <f>COUNTIF(Events!$A$2:$A$391,$A331)</f>
        <v>0</v>
      </c>
      <c r="I331" s="11" t="str">
        <f>IFERROR(INDEX(Events!$E$2:$E$391,MATCH($A331,Events!$A$2:$A$391,0)),"")</f>
        <v/>
      </c>
    </row>
    <row r="332" spans="1:9" ht="15" customHeight="1" x14ac:dyDescent="0.35">
      <c r="A332" s="12">
        <v>45622</v>
      </c>
      <c r="B332" s="11">
        <f t="shared" si="25"/>
        <v>2024</v>
      </c>
      <c r="C332" s="11">
        <f t="shared" si="26"/>
        <v>11</v>
      </c>
      <c r="D332" s="11" t="str">
        <f t="shared" si="27"/>
        <v>Tue</v>
      </c>
      <c r="E332" s="11">
        <f t="shared" si="28"/>
        <v>1</v>
      </c>
      <c r="F332" s="11">
        <f t="shared" si="29"/>
        <v>0</v>
      </c>
      <c r="G332" s="16"/>
      <c r="H332" s="11">
        <f>COUNTIF(Events!$A$2:$A$391,$A332)</f>
        <v>1</v>
      </c>
      <c r="I332" s="11" t="str">
        <f>IFERROR(INDEX(Events!$E$2:$E$391,MATCH($A332,Events!$A$2:$A$391,0)),"")</f>
        <v>CY2026 Proposed Rule (CMS-4208-P): proposed anti-obesity med coverage in Part D, AI guardrails, prior-auth/UM limits (published in Federal Register 12/10/2024; comments due 1/27/2025; several proposals later NOT finalized)</v>
      </c>
    </row>
    <row r="333" spans="1:9" ht="15" customHeight="1" x14ac:dyDescent="0.35">
      <c r="A333" s="12">
        <v>45623</v>
      </c>
      <c r="B333" s="11">
        <f t="shared" si="25"/>
        <v>2024</v>
      </c>
      <c r="C333" s="11">
        <f t="shared" si="26"/>
        <v>11</v>
      </c>
      <c r="D333" s="11" t="str">
        <f t="shared" si="27"/>
        <v>Wed</v>
      </c>
      <c r="E333" s="11">
        <f t="shared" si="28"/>
        <v>1</v>
      </c>
      <c r="F333" s="11">
        <f t="shared" si="29"/>
        <v>0</v>
      </c>
      <c r="G333" s="16"/>
      <c r="H333" s="11">
        <f>COUNTIF(Events!$A$2:$A$391,$A333)</f>
        <v>0</v>
      </c>
      <c r="I333" s="11" t="str">
        <f>IFERROR(INDEX(Events!$E$2:$E$391,MATCH($A333,Events!$A$2:$A$391,0)),"")</f>
        <v/>
      </c>
    </row>
    <row r="334" spans="1:9" ht="15" customHeight="1" x14ac:dyDescent="0.35">
      <c r="A334" s="12">
        <v>45624</v>
      </c>
      <c r="B334" s="11">
        <f t="shared" si="25"/>
        <v>2024</v>
      </c>
      <c r="C334" s="11">
        <f t="shared" si="26"/>
        <v>11</v>
      </c>
      <c r="D334" s="11" t="str">
        <f t="shared" si="27"/>
        <v>Thu</v>
      </c>
      <c r="E334" s="11">
        <f t="shared" si="28"/>
        <v>1</v>
      </c>
      <c r="F334" s="11">
        <f t="shared" si="29"/>
        <v>0</v>
      </c>
      <c r="G334" s="16"/>
      <c r="H334" s="11">
        <f>COUNTIF(Events!$A$2:$A$391,$A334)</f>
        <v>0</v>
      </c>
      <c r="I334" s="11" t="str">
        <f>IFERROR(INDEX(Events!$E$2:$E$391,MATCH($A334,Events!$A$2:$A$391,0)),"")</f>
        <v/>
      </c>
    </row>
    <row r="335" spans="1:9" ht="15" customHeight="1" x14ac:dyDescent="0.35">
      <c r="A335" s="12">
        <v>45625</v>
      </c>
      <c r="B335" s="11">
        <f t="shared" si="25"/>
        <v>2024</v>
      </c>
      <c r="C335" s="11">
        <f t="shared" si="26"/>
        <v>11</v>
      </c>
      <c r="D335" s="11" t="str">
        <f t="shared" si="27"/>
        <v>Fri</v>
      </c>
      <c r="E335" s="11">
        <f t="shared" si="28"/>
        <v>1</v>
      </c>
      <c r="F335" s="11">
        <f t="shared" si="29"/>
        <v>0</v>
      </c>
      <c r="G335" s="16"/>
      <c r="H335" s="11">
        <f>COUNTIF(Events!$A$2:$A$391,$A335)</f>
        <v>0</v>
      </c>
      <c r="I335" s="11" t="str">
        <f>IFERROR(INDEX(Events!$E$2:$E$391,MATCH($A335,Events!$A$2:$A$391,0)),"")</f>
        <v/>
      </c>
    </row>
    <row r="336" spans="1:9" ht="15" customHeight="1" x14ac:dyDescent="0.35">
      <c r="A336" s="12">
        <v>45626</v>
      </c>
      <c r="B336" s="11">
        <f t="shared" si="25"/>
        <v>2024</v>
      </c>
      <c r="C336" s="11">
        <f t="shared" si="26"/>
        <v>11</v>
      </c>
      <c r="D336" s="11" t="str">
        <f t="shared" si="27"/>
        <v>Sat</v>
      </c>
      <c r="E336" s="11">
        <f t="shared" si="28"/>
        <v>1</v>
      </c>
      <c r="F336" s="11">
        <f t="shared" si="29"/>
        <v>0</v>
      </c>
      <c r="G336" s="16"/>
      <c r="H336" s="11">
        <f>COUNTIF(Events!$A$2:$A$391,$A336)</f>
        <v>0</v>
      </c>
      <c r="I336" s="11" t="str">
        <f>IFERROR(INDEX(Events!$E$2:$E$391,MATCH($A336,Events!$A$2:$A$391,0)),"")</f>
        <v/>
      </c>
    </row>
    <row r="337" spans="1:9" ht="15" customHeight="1" x14ac:dyDescent="0.35">
      <c r="A337" s="12">
        <v>45627</v>
      </c>
      <c r="B337" s="11">
        <f t="shared" si="25"/>
        <v>2024</v>
      </c>
      <c r="C337" s="11">
        <f t="shared" si="26"/>
        <v>12</v>
      </c>
      <c r="D337" s="11" t="str">
        <f t="shared" si="27"/>
        <v>Sun</v>
      </c>
      <c r="E337" s="11">
        <f t="shared" si="28"/>
        <v>1</v>
      </c>
      <c r="F337" s="11">
        <f t="shared" si="29"/>
        <v>0</v>
      </c>
      <c r="G337" s="16"/>
      <c r="H337" s="11">
        <f>COUNTIF(Events!$A$2:$A$391,$A337)</f>
        <v>0</v>
      </c>
      <c r="I337" s="11" t="str">
        <f>IFERROR(INDEX(Events!$E$2:$E$391,MATCH($A337,Events!$A$2:$A$391,0)),"")</f>
        <v/>
      </c>
    </row>
    <row r="338" spans="1:9" ht="15" customHeight="1" x14ac:dyDescent="0.35">
      <c r="A338" s="12">
        <v>45628</v>
      </c>
      <c r="B338" s="11">
        <f t="shared" si="25"/>
        <v>2024</v>
      </c>
      <c r="C338" s="11">
        <f t="shared" si="26"/>
        <v>12</v>
      </c>
      <c r="D338" s="11" t="str">
        <f t="shared" si="27"/>
        <v>Mon</v>
      </c>
      <c r="E338" s="11">
        <f t="shared" si="28"/>
        <v>1</v>
      </c>
      <c r="F338" s="11">
        <f t="shared" si="29"/>
        <v>0</v>
      </c>
      <c r="G338" s="16"/>
      <c r="H338" s="11">
        <f>COUNTIF(Events!$A$2:$A$391,$A338)</f>
        <v>0</v>
      </c>
      <c r="I338" s="11" t="str">
        <f>IFERROR(INDEX(Events!$E$2:$E$391,MATCH($A338,Events!$A$2:$A$391,0)),"")</f>
        <v/>
      </c>
    </row>
    <row r="339" spans="1:9" ht="15" customHeight="1" x14ac:dyDescent="0.35">
      <c r="A339" s="12">
        <v>45629</v>
      </c>
      <c r="B339" s="11">
        <f t="shared" si="25"/>
        <v>2024</v>
      </c>
      <c r="C339" s="11">
        <f t="shared" si="26"/>
        <v>12</v>
      </c>
      <c r="D339" s="11" t="str">
        <f t="shared" si="27"/>
        <v>Tue</v>
      </c>
      <c r="E339" s="11">
        <f t="shared" si="28"/>
        <v>1</v>
      </c>
      <c r="F339" s="11">
        <f t="shared" si="29"/>
        <v>0</v>
      </c>
      <c r="G339" s="16"/>
      <c r="H339" s="11">
        <f>COUNTIF(Events!$A$2:$A$391,$A339)</f>
        <v>0</v>
      </c>
      <c r="I339" s="11" t="str">
        <f>IFERROR(INDEX(Events!$E$2:$E$391,MATCH($A339,Events!$A$2:$A$391,0)),"")</f>
        <v/>
      </c>
    </row>
    <row r="340" spans="1:9" ht="15" customHeight="1" x14ac:dyDescent="0.35">
      <c r="A340" s="12">
        <v>45630</v>
      </c>
      <c r="B340" s="11">
        <f t="shared" si="25"/>
        <v>2024</v>
      </c>
      <c r="C340" s="11">
        <f t="shared" si="26"/>
        <v>12</v>
      </c>
      <c r="D340" s="11" t="str">
        <f t="shared" si="27"/>
        <v>Wed</v>
      </c>
      <c r="E340" s="11">
        <f t="shared" si="28"/>
        <v>1</v>
      </c>
      <c r="F340" s="11">
        <f t="shared" si="29"/>
        <v>0</v>
      </c>
      <c r="G340" s="16"/>
      <c r="H340" s="11">
        <f>COUNTIF(Events!$A$2:$A$391,$A340)</f>
        <v>0</v>
      </c>
      <c r="I340" s="11" t="str">
        <f>IFERROR(INDEX(Events!$E$2:$E$391,MATCH($A340,Events!$A$2:$A$391,0)),"")</f>
        <v/>
      </c>
    </row>
    <row r="341" spans="1:9" ht="15" customHeight="1" x14ac:dyDescent="0.35">
      <c r="A341" s="12">
        <v>45631</v>
      </c>
      <c r="B341" s="11">
        <f t="shared" si="25"/>
        <v>2024</v>
      </c>
      <c r="C341" s="11">
        <f t="shared" si="26"/>
        <v>12</v>
      </c>
      <c r="D341" s="11" t="str">
        <f t="shared" si="27"/>
        <v>Thu</v>
      </c>
      <c r="E341" s="11">
        <f t="shared" si="28"/>
        <v>1</v>
      </c>
      <c r="F341" s="11">
        <f t="shared" si="29"/>
        <v>0</v>
      </c>
      <c r="G341" s="16"/>
      <c r="H341" s="11">
        <f>COUNTIF(Events!$A$2:$A$391,$A341)</f>
        <v>0</v>
      </c>
      <c r="I341" s="11" t="str">
        <f>IFERROR(INDEX(Events!$E$2:$E$391,MATCH($A341,Events!$A$2:$A$391,0)),"")</f>
        <v/>
      </c>
    </row>
    <row r="342" spans="1:9" ht="15" customHeight="1" x14ac:dyDescent="0.35">
      <c r="A342" s="12">
        <v>45632</v>
      </c>
      <c r="B342" s="11">
        <f t="shared" si="25"/>
        <v>2024</v>
      </c>
      <c r="C342" s="11">
        <f t="shared" si="26"/>
        <v>12</v>
      </c>
      <c r="D342" s="11" t="str">
        <f t="shared" si="27"/>
        <v>Fri</v>
      </c>
      <c r="E342" s="11">
        <f t="shared" si="28"/>
        <v>1</v>
      </c>
      <c r="F342" s="11">
        <f t="shared" si="29"/>
        <v>0</v>
      </c>
      <c r="G342" s="16"/>
      <c r="H342" s="11">
        <f>COUNTIF(Events!$A$2:$A$391,$A342)</f>
        <v>0</v>
      </c>
      <c r="I342" s="11" t="str">
        <f>IFERROR(INDEX(Events!$E$2:$E$391,MATCH($A342,Events!$A$2:$A$391,0)),"")</f>
        <v/>
      </c>
    </row>
    <row r="343" spans="1:9" ht="15" customHeight="1" x14ac:dyDescent="0.35">
      <c r="A343" s="12">
        <v>45633</v>
      </c>
      <c r="B343" s="11">
        <f t="shared" si="25"/>
        <v>2024</v>
      </c>
      <c r="C343" s="11">
        <f t="shared" si="26"/>
        <v>12</v>
      </c>
      <c r="D343" s="11" t="str">
        <f t="shared" si="27"/>
        <v>Sat</v>
      </c>
      <c r="E343" s="11">
        <f t="shared" si="28"/>
        <v>1</v>
      </c>
      <c r="F343" s="11">
        <f t="shared" si="29"/>
        <v>0</v>
      </c>
      <c r="G343" s="16"/>
      <c r="H343" s="11">
        <f>COUNTIF(Events!$A$2:$A$391,$A343)</f>
        <v>0</v>
      </c>
      <c r="I343" s="11" t="str">
        <f>IFERROR(INDEX(Events!$E$2:$E$391,MATCH($A343,Events!$A$2:$A$391,0)),"")</f>
        <v/>
      </c>
    </row>
    <row r="344" spans="1:9" ht="15" customHeight="1" x14ac:dyDescent="0.35">
      <c r="A344" s="12">
        <v>45634</v>
      </c>
      <c r="B344" s="11">
        <f t="shared" si="25"/>
        <v>2024</v>
      </c>
      <c r="C344" s="11">
        <f t="shared" si="26"/>
        <v>12</v>
      </c>
      <c r="D344" s="11" t="str">
        <f t="shared" si="27"/>
        <v>Sun</v>
      </c>
      <c r="E344" s="11">
        <f t="shared" si="28"/>
        <v>0</v>
      </c>
      <c r="F344" s="11">
        <f t="shared" si="29"/>
        <v>0</v>
      </c>
      <c r="G344" s="16"/>
      <c r="H344" s="11">
        <f>COUNTIF(Events!$A$2:$A$391,$A344)</f>
        <v>0</v>
      </c>
      <c r="I344" s="11" t="str">
        <f>IFERROR(INDEX(Events!$E$2:$E$391,MATCH($A344,Events!$A$2:$A$391,0)),"")</f>
        <v/>
      </c>
    </row>
    <row r="345" spans="1:9" ht="15" customHeight="1" x14ac:dyDescent="0.35">
      <c r="A345" s="12">
        <v>45635</v>
      </c>
      <c r="B345" s="11">
        <f t="shared" si="25"/>
        <v>2024</v>
      </c>
      <c r="C345" s="11">
        <f t="shared" si="26"/>
        <v>12</v>
      </c>
      <c r="D345" s="11" t="str">
        <f t="shared" si="27"/>
        <v>Mon</v>
      </c>
      <c r="E345" s="11">
        <f t="shared" si="28"/>
        <v>0</v>
      </c>
      <c r="F345" s="11">
        <f t="shared" si="29"/>
        <v>0</v>
      </c>
      <c r="G345" s="16"/>
      <c r="H345" s="11">
        <f>COUNTIF(Events!$A$2:$A$391,$A345)</f>
        <v>0</v>
      </c>
      <c r="I345" s="11" t="str">
        <f>IFERROR(INDEX(Events!$E$2:$E$391,MATCH($A345,Events!$A$2:$A$391,0)),"")</f>
        <v/>
      </c>
    </row>
    <row r="346" spans="1:9" ht="15" customHeight="1" x14ac:dyDescent="0.35">
      <c r="A346" s="12">
        <v>45636</v>
      </c>
      <c r="B346" s="11">
        <f t="shared" si="25"/>
        <v>2024</v>
      </c>
      <c r="C346" s="11">
        <f t="shared" si="26"/>
        <v>12</v>
      </c>
      <c r="D346" s="11" t="str">
        <f t="shared" si="27"/>
        <v>Tue</v>
      </c>
      <c r="E346" s="11">
        <f t="shared" si="28"/>
        <v>0</v>
      </c>
      <c r="F346" s="11">
        <f t="shared" si="29"/>
        <v>0</v>
      </c>
      <c r="G346" s="16"/>
      <c r="H346" s="11">
        <f>COUNTIF(Events!$A$2:$A$391,$A346)</f>
        <v>0</v>
      </c>
      <c r="I346" s="11" t="str">
        <f>IFERROR(INDEX(Events!$E$2:$E$391,MATCH($A346,Events!$A$2:$A$391,0)),"")</f>
        <v/>
      </c>
    </row>
    <row r="347" spans="1:9" ht="15" customHeight="1" x14ac:dyDescent="0.35">
      <c r="A347" s="12">
        <v>45637</v>
      </c>
      <c r="B347" s="11">
        <f t="shared" si="25"/>
        <v>2024</v>
      </c>
      <c r="C347" s="11">
        <f t="shared" si="26"/>
        <v>12</v>
      </c>
      <c r="D347" s="11" t="str">
        <f t="shared" si="27"/>
        <v>Wed</v>
      </c>
      <c r="E347" s="11">
        <f t="shared" si="28"/>
        <v>0</v>
      </c>
      <c r="F347" s="11">
        <f t="shared" si="29"/>
        <v>0</v>
      </c>
      <c r="G347" s="16"/>
      <c r="H347" s="11">
        <f>COUNTIF(Events!$A$2:$A$391,$A347)</f>
        <v>0</v>
      </c>
      <c r="I347" s="11" t="str">
        <f>IFERROR(INDEX(Events!$E$2:$E$391,MATCH($A347,Events!$A$2:$A$391,0)),"")</f>
        <v/>
      </c>
    </row>
    <row r="348" spans="1:9" ht="15" customHeight="1" x14ac:dyDescent="0.35">
      <c r="A348" s="12">
        <v>45638</v>
      </c>
      <c r="B348" s="11">
        <f t="shared" si="25"/>
        <v>2024</v>
      </c>
      <c r="C348" s="11">
        <f t="shared" si="26"/>
        <v>12</v>
      </c>
      <c r="D348" s="11" t="str">
        <f t="shared" si="27"/>
        <v>Thu</v>
      </c>
      <c r="E348" s="11">
        <f t="shared" si="28"/>
        <v>0</v>
      </c>
      <c r="F348" s="11">
        <f t="shared" si="29"/>
        <v>0</v>
      </c>
      <c r="G348" s="16"/>
      <c r="H348" s="11">
        <f>COUNTIF(Events!$A$2:$A$391,$A348)</f>
        <v>0</v>
      </c>
      <c r="I348" s="11" t="str">
        <f>IFERROR(INDEX(Events!$E$2:$E$391,MATCH($A348,Events!$A$2:$A$391,0)),"")</f>
        <v/>
      </c>
    </row>
    <row r="349" spans="1:9" ht="15" customHeight="1" x14ac:dyDescent="0.35">
      <c r="A349" s="12">
        <v>45639</v>
      </c>
      <c r="B349" s="11">
        <f t="shared" si="25"/>
        <v>2024</v>
      </c>
      <c r="C349" s="11">
        <f t="shared" si="26"/>
        <v>12</v>
      </c>
      <c r="D349" s="11" t="str">
        <f t="shared" si="27"/>
        <v>Fri</v>
      </c>
      <c r="E349" s="11">
        <f t="shared" si="28"/>
        <v>0</v>
      </c>
      <c r="F349" s="11">
        <f t="shared" si="29"/>
        <v>0</v>
      </c>
      <c r="G349" s="16"/>
      <c r="H349" s="11">
        <f>COUNTIF(Events!$A$2:$A$391,$A349)</f>
        <v>0</v>
      </c>
      <c r="I349" s="11" t="str">
        <f>IFERROR(INDEX(Events!$E$2:$E$391,MATCH($A349,Events!$A$2:$A$391,0)),"")</f>
        <v/>
      </c>
    </row>
    <row r="350" spans="1:9" ht="15" customHeight="1" x14ac:dyDescent="0.35">
      <c r="A350" s="12">
        <v>45640</v>
      </c>
      <c r="B350" s="11">
        <f t="shared" si="25"/>
        <v>2024</v>
      </c>
      <c r="C350" s="11">
        <f t="shared" si="26"/>
        <v>12</v>
      </c>
      <c r="D350" s="11" t="str">
        <f t="shared" si="27"/>
        <v>Sat</v>
      </c>
      <c r="E350" s="11">
        <f t="shared" si="28"/>
        <v>0</v>
      </c>
      <c r="F350" s="11">
        <f t="shared" si="29"/>
        <v>0</v>
      </c>
      <c r="G350" s="16"/>
      <c r="H350" s="11">
        <f>COUNTIF(Events!$A$2:$A$391,$A350)</f>
        <v>0</v>
      </c>
      <c r="I350" s="11" t="str">
        <f>IFERROR(INDEX(Events!$E$2:$E$391,MATCH($A350,Events!$A$2:$A$391,0)),"")</f>
        <v/>
      </c>
    </row>
    <row r="351" spans="1:9" ht="15" customHeight="1" x14ac:dyDescent="0.35">
      <c r="A351" s="12">
        <v>45641</v>
      </c>
      <c r="B351" s="11">
        <f t="shared" si="25"/>
        <v>2024</v>
      </c>
      <c r="C351" s="11">
        <f t="shared" si="26"/>
        <v>12</v>
      </c>
      <c r="D351" s="11" t="str">
        <f t="shared" si="27"/>
        <v>Sun</v>
      </c>
      <c r="E351" s="11">
        <f t="shared" si="28"/>
        <v>0</v>
      </c>
      <c r="F351" s="11">
        <f t="shared" si="29"/>
        <v>0</v>
      </c>
      <c r="G351" s="16"/>
      <c r="H351" s="11">
        <f>COUNTIF(Events!$A$2:$A$391,$A351)</f>
        <v>0</v>
      </c>
      <c r="I351" s="11" t="str">
        <f>IFERROR(INDEX(Events!$E$2:$E$391,MATCH($A351,Events!$A$2:$A$391,0)),"")</f>
        <v/>
      </c>
    </row>
    <row r="352" spans="1:9" ht="15" customHeight="1" x14ac:dyDescent="0.35">
      <c r="A352" s="12">
        <v>45642</v>
      </c>
      <c r="B352" s="11">
        <f t="shared" si="25"/>
        <v>2024</v>
      </c>
      <c r="C352" s="11">
        <f t="shared" si="26"/>
        <v>12</v>
      </c>
      <c r="D352" s="11" t="str">
        <f t="shared" si="27"/>
        <v>Mon</v>
      </c>
      <c r="E352" s="11">
        <f t="shared" si="28"/>
        <v>0</v>
      </c>
      <c r="F352" s="11">
        <f t="shared" si="29"/>
        <v>0</v>
      </c>
      <c r="G352" s="16"/>
      <c r="H352" s="11">
        <f>COUNTIF(Events!$A$2:$A$391,$A352)</f>
        <v>0</v>
      </c>
      <c r="I352" s="11" t="str">
        <f>IFERROR(INDEX(Events!$E$2:$E$391,MATCH($A352,Events!$A$2:$A$391,0)),"")</f>
        <v/>
      </c>
    </row>
    <row r="353" spans="1:9" ht="15" customHeight="1" x14ac:dyDescent="0.35">
      <c r="A353" s="12">
        <v>45643</v>
      </c>
      <c r="B353" s="11">
        <f t="shared" si="25"/>
        <v>2024</v>
      </c>
      <c r="C353" s="11">
        <f t="shared" si="26"/>
        <v>12</v>
      </c>
      <c r="D353" s="11" t="str">
        <f t="shared" si="27"/>
        <v>Tue</v>
      </c>
      <c r="E353" s="11">
        <f t="shared" si="28"/>
        <v>0</v>
      </c>
      <c r="F353" s="11">
        <f t="shared" si="29"/>
        <v>0</v>
      </c>
      <c r="G353" s="16"/>
      <c r="H353" s="11">
        <f>COUNTIF(Events!$A$2:$A$391,$A353)</f>
        <v>0</v>
      </c>
      <c r="I353" s="11" t="str">
        <f>IFERROR(INDEX(Events!$E$2:$E$391,MATCH($A353,Events!$A$2:$A$391,0)),"")</f>
        <v/>
      </c>
    </row>
    <row r="354" spans="1:9" ht="15" customHeight="1" x14ac:dyDescent="0.35">
      <c r="A354" s="12">
        <v>45644</v>
      </c>
      <c r="B354" s="11">
        <f t="shared" si="25"/>
        <v>2024</v>
      </c>
      <c r="C354" s="11">
        <f t="shared" si="26"/>
        <v>12</v>
      </c>
      <c r="D354" s="11" t="str">
        <f t="shared" si="27"/>
        <v>Wed</v>
      </c>
      <c r="E354" s="11">
        <f t="shared" si="28"/>
        <v>0</v>
      </c>
      <c r="F354" s="11">
        <f t="shared" si="29"/>
        <v>0</v>
      </c>
      <c r="G354" s="16"/>
      <c r="H354" s="11">
        <f>COUNTIF(Events!$A$2:$A$391,$A354)</f>
        <v>0</v>
      </c>
      <c r="I354" s="11" t="str">
        <f>IFERROR(INDEX(Events!$E$2:$E$391,MATCH($A354,Events!$A$2:$A$391,0)),"")</f>
        <v/>
      </c>
    </row>
    <row r="355" spans="1:9" ht="15" customHeight="1" x14ac:dyDescent="0.35">
      <c r="A355" s="12">
        <v>45645</v>
      </c>
      <c r="B355" s="11">
        <f t="shared" si="25"/>
        <v>2024</v>
      </c>
      <c r="C355" s="11">
        <f t="shared" si="26"/>
        <v>12</v>
      </c>
      <c r="D355" s="11" t="str">
        <f t="shared" si="27"/>
        <v>Thu</v>
      </c>
      <c r="E355" s="11">
        <f t="shared" si="28"/>
        <v>0</v>
      </c>
      <c r="F355" s="11">
        <f t="shared" si="29"/>
        <v>0</v>
      </c>
      <c r="G355" s="16"/>
      <c r="H355" s="11">
        <f>COUNTIF(Events!$A$2:$A$391,$A355)</f>
        <v>0</v>
      </c>
      <c r="I355" s="11" t="str">
        <f>IFERROR(INDEX(Events!$E$2:$E$391,MATCH($A355,Events!$A$2:$A$391,0)),"")</f>
        <v/>
      </c>
    </row>
    <row r="356" spans="1:9" ht="15" customHeight="1" x14ac:dyDescent="0.35">
      <c r="A356" s="12">
        <v>45646</v>
      </c>
      <c r="B356" s="11">
        <f t="shared" si="25"/>
        <v>2024</v>
      </c>
      <c r="C356" s="11">
        <f t="shared" si="26"/>
        <v>12</v>
      </c>
      <c r="D356" s="11" t="str">
        <f t="shared" si="27"/>
        <v>Fri</v>
      </c>
      <c r="E356" s="11">
        <f t="shared" si="28"/>
        <v>0</v>
      </c>
      <c r="F356" s="11">
        <f t="shared" si="29"/>
        <v>0</v>
      </c>
      <c r="G356" s="16"/>
      <c r="H356" s="11">
        <f>COUNTIF(Events!$A$2:$A$391,$A356)</f>
        <v>0</v>
      </c>
      <c r="I356" s="11" t="str">
        <f>IFERROR(INDEX(Events!$E$2:$E$391,MATCH($A356,Events!$A$2:$A$391,0)),"")</f>
        <v/>
      </c>
    </row>
    <row r="357" spans="1:9" ht="15" customHeight="1" x14ac:dyDescent="0.35">
      <c r="A357" s="12">
        <v>45647</v>
      </c>
      <c r="B357" s="11">
        <f t="shared" si="25"/>
        <v>2024</v>
      </c>
      <c r="C357" s="11">
        <f t="shared" si="26"/>
        <v>12</v>
      </c>
      <c r="D357" s="11" t="str">
        <f t="shared" si="27"/>
        <v>Sat</v>
      </c>
      <c r="E357" s="11">
        <f t="shared" si="28"/>
        <v>0</v>
      </c>
      <c r="F357" s="11">
        <f t="shared" si="29"/>
        <v>0</v>
      </c>
      <c r="G357" s="16"/>
      <c r="H357" s="11">
        <f>COUNTIF(Events!$A$2:$A$391,$A357)</f>
        <v>0</v>
      </c>
      <c r="I357" s="11" t="str">
        <f>IFERROR(INDEX(Events!$E$2:$E$391,MATCH($A357,Events!$A$2:$A$391,0)),"")</f>
        <v/>
      </c>
    </row>
    <row r="358" spans="1:9" ht="15" customHeight="1" x14ac:dyDescent="0.35">
      <c r="A358" s="12">
        <v>45648</v>
      </c>
      <c r="B358" s="11">
        <f t="shared" si="25"/>
        <v>2024</v>
      </c>
      <c r="C358" s="11">
        <f t="shared" si="26"/>
        <v>12</v>
      </c>
      <c r="D358" s="11" t="str">
        <f t="shared" si="27"/>
        <v>Sun</v>
      </c>
      <c r="E358" s="11">
        <f t="shared" si="28"/>
        <v>0</v>
      </c>
      <c r="F358" s="11">
        <f t="shared" si="29"/>
        <v>0</v>
      </c>
      <c r="G358" s="16"/>
      <c r="H358" s="11">
        <f>COUNTIF(Events!$A$2:$A$391,$A358)</f>
        <v>0</v>
      </c>
      <c r="I358" s="11" t="str">
        <f>IFERROR(INDEX(Events!$E$2:$E$391,MATCH($A358,Events!$A$2:$A$391,0)),"")</f>
        <v/>
      </c>
    </row>
    <row r="359" spans="1:9" ht="15" customHeight="1" x14ac:dyDescent="0.35">
      <c r="A359" s="12">
        <v>45649</v>
      </c>
      <c r="B359" s="11">
        <f t="shared" si="25"/>
        <v>2024</v>
      </c>
      <c r="C359" s="11">
        <f t="shared" si="26"/>
        <v>12</v>
      </c>
      <c r="D359" s="11" t="str">
        <f t="shared" si="27"/>
        <v>Mon</v>
      </c>
      <c r="E359" s="11">
        <f t="shared" si="28"/>
        <v>0</v>
      </c>
      <c r="F359" s="11">
        <f t="shared" si="29"/>
        <v>0</v>
      </c>
      <c r="G359" s="16"/>
      <c r="H359" s="11">
        <f>COUNTIF(Events!$A$2:$A$391,$A359)</f>
        <v>0</v>
      </c>
      <c r="I359" s="11" t="str">
        <f>IFERROR(INDEX(Events!$E$2:$E$391,MATCH($A359,Events!$A$2:$A$391,0)),"")</f>
        <v/>
      </c>
    </row>
    <row r="360" spans="1:9" ht="15" customHeight="1" x14ac:dyDescent="0.35">
      <c r="A360" s="12">
        <v>45650</v>
      </c>
      <c r="B360" s="11">
        <f t="shared" si="25"/>
        <v>2024</v>
      </c>
      <c r="C360" s="11">
        <f t="shared" si="26"/>
        <v>12</v>
      </c>
      <c r="D360" s="11" t="str">
        <f t="shared" si="27"/>
        <v>Tue</v>
      </c>
      <c r="E360" s="11">
        <f t="shared" si="28"/>
        <v>0</v>
      </c>
      <c r="F360" s="11">
        <f t="shared" si="29"/>
        <v>0</v>
      </c>
      <c r="G360" s="16"/>
      <c r="H360" s="11">
        <f>COUNTIF(Events!$A$2:$A$391,$A360)</f>
        <v>0</v>
      </c>
      <c r="I360" s="11" t="str">
        <f>IFERROR(INDEX(Events!$E$2:$E$391,MATCH($A360,Events!$A$2:$A$391,0)),"")</f>
        <v/>
      </c>
    </row>
    <row r="361" spans="1:9" ht="15" customHeight="1" x14ac:dyDescent="0.35">
      <c r="A361" s="12">
        <v>45651</v>
      </c>
      <c r="B361" s="11">
        <f t="shared" si="25"/>
        <v>2024</v>
      </c>
      <c r="C361" s="11">
        <f t="shared" si="26"/>
        <v>12</v>
      </c>
      <c r="D361" s="11" t="str">
        <f t="shared" si="27"/>
        <v>Wed</v>
      </c>
      <c r="E361" s="11">
        <f t="shared" si="28"/>
        <v>0</v>
      </c>
      <c r="F361" s="11">
        <f t="shared" si="29"/>
        <v>0</v>
      </c>
      <c r="G361" s="16"/>
      <c r="H361" s="11">
        <f>COUNTIF(Events!$A$2:$A$391,$A361)</f>
        <v>0</v>
      </c>
      <c r="I361" s="11" t="str">
        <f>IFERROR(INDEX(Events!$E$2:$E$391,MATCH($A361,Events!$A$2:$A$391,0)),"")</f>
        <v/>
      </c>
    </row>
    <row r="362" spans="1:9" ht="15" customHeight="1" x14ac:dyDescent="0.35">
      <c r="A362" s="12">
        <v>45652</v>
      </c>
      <c r="B362" s="11">
        <f t="shared" si="25"/>
        <v>2024</v>
      </c>
      <c r="C362" s="11">
        <f t="shared" si="26"/>
        <v>12</v>
      </c>
      <c r="D362" s="11" t="str">
        <f t="shared" si="27"/>
        <v>Thu</v>
      </c>
      <c r="E362" s="11">
        <f t="shared" si="28"/>
        <v>0</v>
      </c>
      <c r="F362" s="11">
        <f t="shared" si="29"/>
        <v>0</v>
      </c>
      <c r="G362" s="16"/>
      <c r="H362" s="11">
        <f>COUNTIF(Events!$A$2:$A$391,$A362)</f>
        <v>0</v>
      </c>
      <c r="I362" s="11" t="str">
        <f>IFERROR(INDEX(Events!$E$2:$E$391,MATCH($A362,Events!$A$2:$A$391,0)),"")</f>
        <v/>
      </c>
    </row>
    <row r="363" spans="1:9" ht="15" customHeight="1" x14ac:dyDescent="0.35">
      <c r="A363" s="12">
        <v>45653</v>
      </c>
      <c r="B363" s="11">
        <f t="shared" si="25"/>
        <v>2024</v>
      </c>
      <c r="C363" s="11">
        <f t="shared" si="26"/>
        <v>12</v>
      </c>
      <c r="D363" s="11" t="str">
        <f t="shared" si="27"/>
        <v>Fri</v>
      </c>
      <c r="E363" s="11">
        <f t="shared" si="28"/>
        <v>0</v>
      </c>
      <c r="F363" s="11">
        <f t="shared" si="29"/>
        <v>0</v>
      </c>
      <c r="G363" s="16"/>
      <c r="H363" s="11">
        <f>COUNTIF(Events!$A$2:$A$391,$A363)</f>
        <v>0</v>
      </c>
      <c r="I363" s="11" t="str">
        <f>IFERROR(INDEX(Events!$E$2:$E$391,MATCH($A363,Events!$A$2:$A$391,0)),"")</f>
        <v/>
      </c>
    </row>
    <row r="364" spans="1:9" ht="15" customHeight="1" x14ac:dyDescent="0.35">
      <c r="A364" s="12">
        <v>45654</v>
      </c>
      <c r="B364" s="11">
        <f t="shared" si="25"/>
        <v>2024</v>
      </c>
      <c r="C364" s="11">
        <f t="shared" si="26"/>
        <v>12</v>
      </c>
      <c r="D364" s="11" t="str">
        <f t="shared" si="27"/>
        <v>Sat</v>
      </c>
      <c r="E364" s="11">
        <f t="shared" si="28"/>
        <v>0</v>
      </c>
      <c r="F364" s="11">
        <f t="shared" si="29"/>
        <v>0</v>
      </c>
      <c r="G364" s="16"/>
      <c r="H364" s="11">
        <f>COUNTIF(Events!$A$2:$A$391,$A364)</f>
        <v>0</v>
      </c>
      <c r="I364" s="11" t="str">
        <f>IFERROR(INDEX(Events!$E$2:$E$391,MATCH($A364,Events!$A$2:$A$391,0)),"")</f>
        <v/>
      </c>
    </row>
    <row r="365" spans="1:9" ht="15" customHeight="1" x14ac:dyDescent="0.35">
      <c r="A365" s="12">
        <v>45655</v>
      </c>
      <c r="B365" s="11">
        <f t="shared" si="25"/>
        <v>2024</v>
      </c>
      <c r="C365" s="11">
        <f t="shared" si="26"/>
        <v>12</v>
      </c>
      <c r="D365" s="11" t="str">
        <f t="shared" si="27"/>
        <v>Sun</v>
      </c>
      <c r="E365" s="11">
        <f t="shared" si="28"/>
        <v>0</v>
      </c>
      <c r="F365" s="11">
        <f t="shared" si="29"/>
        <v>0</v>
      </c>
      <c r="G365" s="16"/>
      <c r="H365" s="11">
        <f>COUNTIF(Events!$A$2:$A$391,$A365)</f>
        <v>0</v>
      </c>
      <c r="I365" s="11" t="str">
        <f>IFERROR(INDEX(Events!$E$2:$E$391,MATCH($A365,Events!$A$2:$A$391,0)),"")</f>
        <v/>
      </c>
    </row>
    <row r="366" spans="1:9" ht="15" customHeight="1" x14ac:dyDescent="0.35">
      <c r="A366" s="12">
        <v>45656</v>
      </c>
      <c r="B366" s="11">
        <f t="shared" si="25"/>
        <v>2024</v>
      </c>
      <c r="C366" s="11">
        <f t="shared" si="26"/>
        <v>12</v>
      </c>
      <c r="D366" s="11" t="str">
        <f t="shared" si="27"/>
        <v>Mon</v>
      </c>
      <c r="E366" s="11">
        <f t="shared" si="28"/>
        <v>0</v>
      </c>
      <c r="F366" s="11">
        <f t="shared" si="29"/>
        <v>0</v>
      </c>
      <c r="G366" s="16"/>
      <c r="H366" s="11">
        <f>COUNTIF(Events!$A$2:$A$391,$A366)</f>
        <v>0</v>
      </c>
      <c r="I366" s="11" t="str">
        <f>IFERROR(INDEX(Events!$E$2:$E$391,MATCH($A366,Events!$A$2:$A$391,0)),"")</f>
        <v/>
      </c>
    </row>
    <row r="367" spans="1:9" ht="15" customHeight="1" x14ac:dyDescent="0.35">
      <c r="A367" s="12">
        <v>45657</v>
      </c>
      <c r="B367" s="11">
        <f t="shared" si="25"/>
        <v>2024</v>
      </c>
      <c r="C367" s="11">
        <f t="shared" si="26"/>
        <v>12</v>
      </c>
      <c r="D367" s="11" t="str">
        <f t="shared" si="27"/>
        <v>Tue</v>
      </c>
      <c r="E367" s="11">
        <f t="shared" si="28"/>
        <v>0</v>
      </c>
      <c r="F367" s="11">
        <f t="shared" si="29"/>
        <v>0</v>
      </c>
      <c r="G367" s="16"/>
      <c r="H367" s="11">
        <f>COUNTIF(Events!$A$2:$A$391,$A367)</f>
        <v>0</v>
      </c>
      <c r="I367" s="11" t="str">
        <f>IFERROR(INDEX(Events!$E$2:$E$391,MATCH($A367,Events!$A$2:$A$391,0)),"")</f>
        <v/>
      </c>
    </row>
    <row r="368" spans="1:9" ht="15" customHeight="1" x14ac:dyDescent="0.35">
      <c r="A368" s="12">
        <v>45658</v>
      </c>
      <c r="B368" s="11">
        <f t="shared" si="25"/>
        <v>2025</v>
      </c>
      <c r="C368" s="11">
        <f t="shared" si="26"/>
        <v>1</v>
      </c>
      <c r="D368" s="11" t="str">
        <f t="shared" si="27"/>
        <v>Wed</v>
      </c>
      <c r="E368" s="11">
        <f t="shared" si="28"/>
        <v>0</v>
      </c>
      <c r="F368" s="11">
        <f t="shared" si="29"/>
        <v>1</v>
      </c>
      <c r="G368" s="16"/>
      <c r="H368" s="11">
        <f>COUNTIF(Events!$A$2:$A$391,$A368)</f>
        <v>1</v>
      </c>
      <c r="I368" s="11" t="str">
        <f>IFERROR(INDEX(Events!$E$2:$E$391,MATCH($A368,Events!$A$2:$A$391,0)),"")</f>
        <v>IRA: $2,000 annual Part D OOP cap begins; coverage gap eliminated (3-phase benefit); Medicare Prescription Payment Plan launches; Manufacturer Discount Program replaces Coverage Gap Discount Program; CY2025 Final Rule provisions apply incl. monthly integrated-care SEP for duals (replaces quarterly dual SEP) and D-SNP look-alike threshold lowered to 70%</v>
      </c>
    </row>
    <row r="369" spans="1:9" ht="15" customHeight="1" x14ac:dyDescent="0.35">
      <c r="A369" s="12">
        <v>45659</v>
      </c>
      <c r="B369" s="11">
        <f t="shared" si="25"/>
        <v>2025</v>
      </c>
      <c r="C369" s="11">
        <f t="shared" si="26"/>
        <v>1</v>
      </c>
      <c r="D369" s="11" t="str">
        <f t="shared" si="27"/>
        <v>Thu</v>
      </c>
      <c r="E369" s="11">
        <f t="shared" si="28"/>
        <v>0</v>
      </c>
      <c r="F369" s="11">
        <f t="shared" si="29"/>
        <v>1</v>
      </c>
      <c r="G369" s="16"/>
      <c r="H369" s="11">
        <f>COUNTIF(Events!$A$2:$A$391,$A369)</f>
        <v>0</v>
      </c>
      <c r="I369" s="11" t="str">
        <f>IFERROR(INDEX(Events!$E$2:$E$391,MATCH($A369,Events!$A$2:$A$391,0)),"")</f>
        <v/>
      </c>
    </row>
    <row r="370" spans="1:9" ht="15" customHeight="1" x14ac:dyDescent="0.35">
      <c r="A370" s="12">
        <v>45660</v>
      </c>
      <c r="B370" s="11">
        <f t="shared" si="25"/>
        <v>2025</v>
      </c>
      <c r="C370" s="11">
        <f t="shared" si="26"/>
        <v>1</v>
      </c>
      <c r="D370" s="11" t="str">
        <f t="shared" si="27"/>
        <v>Fri</v>
      </c>
      <c r="E370" s="11">
        <f t="shared" si="28"/>
        <v>0</v>
      </c>
      <c r="F370" s="11">
        <f t="shared" si="29"/>
        <v>1</v>
      </c>
      <c r="G370" s="16"/>
      <c r="H370" s="11">
        <f>COUNTIF(Events!$A$2:$A$391,$A370)</f>
        <v>0</v>
      </c>
      <c r="I370" s="11" t="str">
        <f>IFERROR(INDEX(Events!$E$2:$E$391,MATCH($A370,Events!$A$2:$A$391,0)),"")</f>
        <v/>
      </c>
    </row>
    <row r="371" spans="1:9" ht="15" customHeight="1" x14ac:dyDescent="0.35">
      <c r="A371" s="12">
        <v>45661</v>
      </c>
      <c r="B371" s="11">
        <f t="shared" si="25"/>
        <v>2025</v>
      </c>
      <c r="C371" s="11">
        <f t="shared" si="26"/>
        <v>1</v>
      </c>
      <c r="D371" s="11" t="str">
        <f t="shared" si="27"/>
        <v>Sat</v>
      </c>
      <c r="E371" s="11">
        <f t="shared" si="28"/>
        <v>0</v>
      </c>
      <c r="F371" s="11">
        <f t="shared" si="29"/>
        <v>1</v>
      </c>
      <c r="G371" s="16"/>
      <c r="H371" s="11">
        <f>COUNTIF(Events!$A$2:$A$391,$A371)</f>
        <v>0</v>
      </c>
      <c r="I371" s="11" t="str">
        <f>IFERROR(INDEX(Events!$E$2:$E$391,MATCH($A371,Events!$A$2:$A$391,0)),"")</f>
        <v/>
      </c>
    </row>
    <row r="372" spans="1:9" ht="15" customHeight="1" x14ac:dyDescent="0.35">
      <c r="A372" s="12">
        <v>45662</v>
      </c>
      <c r="B372" s="11">
        <f t="shared" si="25"/>
        <v>2025</v>
      </c>
      <c r="C372" s="11">
        <f t="shared" si="26"/>
        <v>1</v>
      </c>
      <c r="D372" s="11" t="str">
        <f t="shared" si="27"/>
        <v>Sun</v>
      </c>
      <c r="E372" s="11">
        <f t="shared" si="28"/>
        <v>0</v>
      </c>
      <c r="F372" s="11">
        <f t="shared" si="29"/>
        <v>1</v>
      </c>
      <c r="G372" s="16"/>
      <c r="H372" s="11">
        <f>COUNTIF(Events!$A$2:$A$391,$A372)</f>
        <v>0</v>
      </c>
      <c r="I372" s="11" t="str">
        <f>IFERROR(INDEX(Events!$E$2:$E$391,MATCH($A372,Events!$A$2:$A$391,0)),"")</f>
        <v/>
      </c>
    </row>
    <row r="373" spans="1:9" ht="15" customHeight="1" x14ac:dyDescent="0.35">
      <c r="A373" s="12">
        <v>45663</v>
      </c>
      <c r="B373" s="11">
        <f t="shared" si="25"/>
        <v>2025</v>
      </c>
      <c r="C373" s="11">
        <f t="shared" si="26"/>
        <v>1</v>
      </c>
      <c r="D373" s="11" t="str">
        <f t="shared" si="27"/>
        <v>Mon</v>
      </c>
      <c r="E373" s="11">
        <f t="shared" si="28"/>
        <v>0</v>
      </c>
      <c r="F373" s="11">
        <f t="shared" si="29"/>
        <v>1</v>
      </c>
      <c r="G373" s="16"/>
      <c r="H373" s="11">
        <f>COUNTIF(Events!$A$2:$A$391,$A373)</f>
        <v>0</v>
      </c>
      <c r="I373" s="11" t="str">
        <f>IFERROR(INDEX(Events!$E$2:$E$391,MATCH($A373,Events!$A$2:$A$391,0)),"")</f>
        <v/>
      </c>
    </row>
    <row r="374" spans="1:9" ht="15" customHeight="1" x14ac:dyDescent="0.35">
      <c r="A374" s="12">
        <v>45664</v>
      </c>
      <c r="B374" s="11">
        <f t="shared" si="25"/>
        <v>2025</v>
      </c>
      <c r="C374" s="11">
        <f t="shared" si="26"/>
        <v>1</v>
      </c>
      <c r="D374" s="11" t="str">
        <f t="shared" si="27"/>
        <v>Tue</v>
      </c>
      <c r="E374" s="11">
        <f t="shared" si="28"/>
        <v>0</v>
      </c>
      <c r="F374" s="11">
        <f t="shared" si="29"/>
        <v>1</v>
      </c>
      <c r="G374" s="16"/>
      <c r="H374" s="11">
        <f>COUNTIF(Events!$A$2:$A$391,$A374)</f>
        <v>0</v>
      </c>
      <c r="I374" s="11" t="str">
        <f>IFERROR(INDEX(Events!$E$2:$E$391,MATCH($A374,Events!$A$2:$A$391,0)),"")</f>
        <v/>
      </c>
    </row>
    <row r="375" spans="1:9" ht="15" customHeight="1" x14ac:dyDescent="0.35">
      <c r="A375" s="12">
        <v>45665</v>
      </c>
      <c r="B375" s="11">
        <f t="shared" si="25"/>
        <v>2025</v>
      </c>
      <c r="C375" s="11">
        <f t="shared" si="26"/>
        <v>1</v>
      </c>
      <c r="D375" s="11" t="str">
        <f t="shared" si="27"/>
        <v>Wed</v>
      </c>
      <c r="E375" s="11">
        <f t="shared" si="28"/>
        <v>0</v>
      </c>
      <c r="F375" s="11">
        <f t="shared" si="29"/>
        <v>1</v>
      </c>
      <c r="G375" s="16"/>
      <c r="H375" s="11">
        <f>COUNTIF(Events!$A$2:$A$391,$A375)</f>
        <v>0</v>
      </c>
      <c r="I375" s="11" t="str">
        <f>IFERROR(INDEX(Events!$E$2:$E$391,MATCH($A375,Events!$A$2:$A$391,0)),"")</f>
        <v/>
      </c>
    </row>
    <row r="376" spans="1:9" ht="15" customHeight="1" x14ac:dyDescent="0.35">
      <c r="A376" s="12">
        <v>45666</v>
      </c>
      <c r="B376" s="11">
        <f t="shared" si="25"/>
        <v>2025</v>
      </c>
      <c r="C376" s="11">
        <f t="shared" si="26"/>
        <v>1</v>
      </c>
      <c r="D376" s="11" t="str">
        <f t="shared" si="27"/>
        <v>Thu</v>
      </c>
      <c r="E376" s="11">
        <f t="shared" si="28"/>
        <v>0</v>
      </c>
      <c r="F376" s="11">
        <f t="shared" si="29"/>
        <v>1</v>
      </c>
      <c r="G376" s="16"/>
      <c r="H376" s="11">
        <f>COUNTIF(Events!$A$2:$A$391,$A376)</f>
        <v>0</v>
      </c>
      <c r="I376" s="11" t="str">
        <f>IFERROR(INDEX(Events!$E$2:$E$391,MATCH($A376,Events!$A$2:$A$391,0)),"")</f>
        <v/>
      </c>
    </row>
    <row r="377" spans="1:9" ht="15" customHeight="1" x14ac:dyDescent="0.35">
      <c r="A377" s="12">
        <v>45667</v>
      </c>
      <c r="B377" s="11">
        <f t="shared" si="25"/>
        <v>2025</v>
      </c>
      <c r="C377" s="11">
        <f t="shared" si="26"/>
        <v>1</v>
      </c>
      <c r="D377" s="11" t="str">
        <f t="shared" si="27"/>
        <v>Fri</v>
      </c>
      <c r="E377" s="11">
        <f t="shared" si="28"/>
        <v>0</v>
      </c>
      <c r="F377" s="11">
        <f t="shared" si="29"/>
        <v>1</v>
      </c>
      <c r="G377" s="16"/>
      <c r="H377" s="11">
        <f>COUNTIF(Events!$A$2:$A$391,$A377)</f>
        <v>1</v>
      </c>
      <c r="I377" s="11" t="str">
        <f>IFERROR(INDEX(Events!$E$2:$E$391,MATCH($A377,Events!$A$2:$A$391,0)),"")</f>
        <v>CY2026 Advance Notice released: proposed +4.33% avg payment (~$21B); final year of V28 risk model phase-in; comments due 2/10/2025</v>
      </c>
    </row>
    <row r="378" spans="1:9" ht="15" customHeight="1" x14ac:dyDescent="0.35">
      <c r="A378" s="12">
        <v>45668</v>
      </c>
      <c r="B378" s="11">
        <f t="shared" si="25"/>
        <v>2025</v>
      </c>
      <c r="C378" s="11">
        <f t="shared" si="26"/>
        <v>1</v>
      </c>
      <c r="D378" s="11" t="str">
        <f t="shared" si="27"/>
        <v>Sat</v>
      </c>
      <c r="E378" s="11">
        <f t="shared" si="28"/>
        <v>0</v>
      </c>
      <c r="F378" s="11">
        <f t="shared" si="29"/>
        <v>1</v>
      </c>
      <c r="G378" s="16"/>
      <c r="H378" s="11">
        <f>COUNTIF(Events!$A$2:$A$391,$A378)</f>
        <v>0</v>
      </c>
      <c r="I378" s="11" t="str">
        <f>IFERROR(INDEX(Events!$E$2:$E$391,MATCH($A378,Events!$A$2:$A$391,0)),"")</f>
        <v/>
      </c>
    </row>
    <row r="379" spans="1:9" ht="15" customHeight="1" x14ac:dyDescent="0.35">
      <c r="A379" s="12">
        <v>45669</v>
      </c>
      <c r="B379" s="11">
        <f t="shared" si="25"/>
        <v>2025</v>
      </c>
      <c r="C379" s="11">
        <f t="shared" si="26"/>
        <v>1</v>
      </c>
      <c r="D379" s="11" t="str">
        <f t="shared" si="27"/>
        <v>Sun</v>
      </c>
      <c r="E379" s="11">
        <f t="shared" si="28"/>
        <v>0</v>
      </c>
      <c r="F379" s="11">
        <f t="shared" si="29"/>
        <v>1</v>
      </c>
      <c r="G379" s="16"/>
      <c r="H379" s="11">
        <f>COUNTIF(Events!$A$2:$A$391,$A379)</f>
        <v>0</v>
      </c>
      <c r="I379" s="11" t="str">
        <f>IFERROR(INDEX(Events!$E$2:$E$391,MATCH($A379,Events!$A$2:$A$391,0)),"")</f>
        <v/>
      </c>
    </row>
    <row r="380" spans="1:9" ht="15" customHeight="1" x14ac:dyDescent="0.35">
      <c r="A380" s="12">
        <v>45670</v>
      </c>
      <c r="B380" s="11">
        <f t="shared" si="25"/>
        <v>2025</v>
      </c>
      <c r="C380" s="11">
        <f t="shared" si="26"/>
        <v>1</v>
      </c>
      <c r="D380" s="11" t="str">
        <f t="shared" si="27"/>
        <v>Mon</v>
      </c>
      <c r="E380" s="11">
        <f t="shared" si="28"/>
        <v>0</v>
      </c>
      <c r="F380" s="11">
        <f t="shared" si="29"/>
        <v>1</v>
      </c>
      <c r="G380" s="16"/>
      <c r="H380" s="11">
        <f>COUNTIF(Events!$A$2:$A$391,$A380)</f>
        <v>0</v>
      </c>
      <c r="I380" s="11" t="str">
        <f>IFERROR(INDEX(Events!$E$2:$E$391,MATCH($A380,Events!$A$2:$A$391,0)),"")</f>
        <v/>
      </c>
    </row>
    <row r="381" spans="1:9" ht="15" customHeight="1" x14ac:dyDescent="0.35">
      <c r="A381" s="12">
        <v>45671</v>
      </c>
      <c r="B381" s="11">
        <f t="shared" si="25"/>
        <v>2025</v>
      </c>
      <c r="C381" s="11">
        <f t="shared" si="26"/>
        <v>1</v>
      </c>
      <c r="D381" s="11" t="str">
        <f t="shared" si="27"/>
        <v>Tue</v>
      </c>
      <c r="E381" s="11">
        <f t="shared" si="28"/>
        <v>0</v>
      </c>
      <c r="F381" s="11">
        <f t="shared" si="29"/>
        <v>1</v>
      </c>
      <c r="G381" s="16"/>
      <c r="H381" s="11">
        <f>COUNTIF(Events!$A$2:$A$391,$A381)</f>
        <v>0</v>
      </c>
      <c r="I381" s="11" t="str">
        <f>IFERROR(INDEX(Events!$E$2:$E$391,MATCH($A381,Events!$A$2:$A$391,0)),"")</f>
        <v/>
      </c>
    </row>
    <row r="382" spans="1:9" ht="15" customHeight="1" x14ac:dyDescent="0.35">
      <c r="A382" s="12">
        <v>45672</v>
      </c>
      <c r="B382" s="11">
        <f t="shared" si="25"/>
        <v>2025</v>
      </c>
      <c r="C382" s="11">
        <f t="shared" si="26"/>
        <v>1</v>
      </c>
      <c r="D382" s="11" t="str">
        <f t="shared" si="27"/>
        <v>Wed</v>
      </c>
      <c r="E382" s="11">
        <f t="shared" si="28"/>
        <v>0</v>
      </c>
      <c r="F382" s="11">
        <f t="shared" si="29"/>
        <v>1</v>
      </c>
      <c r="G382" s="16"/>
      <c r="H382" s="11">
        <f>COUNTIF(Events!$A$2:$A$391,$A382)</f>
        <v>0</v>
      </c>
      <c r="I382" s="11" t="str">
        <f>IFERROR(INDEX(Events!$E$2:$E$391,MATCH($A382,Events!$A$2:$A$391,0)),"")</f>
        <v/>
      </c>
    </row>
    <row r="383" spans="1:9" ht="15" customHeight="1" x14ac:dyDescent="0.35">
      <c r="A383" s="12">
        <v>45673</v>
      </c>
      <c r="B383" s="11">
        <f t="shared" si="25"/>
        <v>2025</v>
      </c>
      <c r="C383" s="11">
        <f t="shared" si="26"/>
        <v>1</v>
      </c>
      <c r="D383" s="11" t="str">
        <f t="shared" si="27"/>
        <v>Thu</v>
      </c>
      <c r="E383" s="11">
        <f t="shared" si="28"/>
        <v>0</v>
      </c>
      <c r="F383" s="11">
        <f t="shared" si="29"/>
        <v>1</v>
      </c>
      <c r="G383" s="16"/>
      <c r="H383" s="11">
        <f>COUNTIF(Events!$A$2:$A$391,$A383)</f>
        <v>0</v>
      </c>
      <c r="I383" s="11" t="str">
        <f>IFERROR(INDEX(Events!$E$2:$E$391,MATCH($A383,Events!$A$2:$A$391,0)),"")</f>
        <v/>
      </c>
    </row>
    <row r="384" spans="1:9" ht="15" customHeight="1" x14ac:dyDescent="0.35">
      <c r="A384" s="12">
        <v>45674</v>
      </c>
      <c r="B384" s="11">
        <f t="shared" si="25"/>
        <v>2025</v>
      </c>
      <c r="C384" s="11">
        <f t="shared" si="26"/>
        <v>1</v>
      </c>
      <c r="D384" s="11" t="str">
        <f t="shared" si="27"/>
        <v>Fri</v>
      </c>
      <c r="E384" s="11">
        <f t="shared" si="28"/>
        <v>0</v>
      </c>
      <c r="F384" s="11">
        <f t="shared" si="29"/>
        <v>1</v>
      </c>
      <c r="G384" s="16"/>
      <c r="H384" s="11">
        <f>COUNTIF(Events!$A$2:$A$391,$A384)</f>
        <v>0</v>
      </c>
      <c r="I384" s="11" t="str">
        <f>IFERROR(INDEX(Events!$E$2:$E$391,MATCH($A384,Events!$A$2:$A$391,0)),"")</f>
        <v/>
      </c>
    </row>
    <row r="385" spans="1:9" ht="15" customHeight="1" x14ac:dyDescent="0.35">
      <c r="A385" s="12">
        <v>45675</v>
      </c>
      <c r="B385" s="11">
        <f t="shared" si="25"/>
        <v>2025</v>
      </c>
      <c r="C385" s="11">
        <f t="shared" si="26"/>
        <v>1</v>
      </c>
      <c r="D385" s="11" t="str">
        <f t="shared" si="27"/>
        <v>Sat</v>
      </c>
      <c r="E385" s="11">
        <f t="shared" si="28"/>
        <v>0</v>
      </c>
      <c r="F385" s="11">
        <f t="shared" si="29"/>
        <v>1</v>
      </c>
      <c r="G385" s="16"/>
      <c r="H385" s="11">
        <f>COUNTIF(Events!$A$2:$A$391,$A385)</f>
        <v>0</v>
      </c>
      <c r="I385" s="11" t="str">
        <f>IFERROR(INDEX(Events!$E$2:$E$391,MATCH($A385,Events!$A$2:$A$391,0)),"")</f>
        <v/>
      </c>
    </row>
    <row r="386" spans="1:9" ht="15" customHeight="1" x14ac:dyDescent="0.35">
      <c r="A386" s="12">
        <v>45676</v>
      </c>
      <c r="B386" s="11">
        <f t="shared" ref="B386:B449" si="30">YEAR($A386)</f>
        <v>2025</v>
      </c>
      <c r="C386" s="11">
        <f t="shared" ref="C386:C449" si="31">MONTH($A386)</f>
        <v>1</v>
      </c>
      <c r="D386" s="11" t="str">
        <f t="shared" ref="D386:D449" si="32">TEXT($A386,"ddd")</f>
        <v>Sun</v>
      </c>
      <c r="E386" s="11">
        <f t="shared" ref="E386:E449" si="33">IF(OR(AND(MONTH($A386)=10,DAY($A386)&gt;=15),MONTH($A386)=11,AND(MONTH($A386)=12,DAY($A386)&lt;=7)),1,0)</f>
        <v>0</v>
      </c>
      <c r="F386" s="11">
        <f t="shared" ref="F386:F449" si="34">IF(MONTH($A386)&lt;=3,1,0)</f>
        <v>1</v>
      </c>
      <c r="G386" s="16"/>
      <c r="H386" s="11">
        <f>COUNTIF(Events!$A$2:$A$391,$A386)</f>
        <v>0</v>
      </c>
      <c r="I386" s="11" t="str">
        <f>IFERROR(INDEX(Events!$E$2:$E$391,MATCH($A386,Events!$A$2:$A$391,0)),"")</f>
        <v/>
      </c>
    </row>
    <row r="387" spans="1:9" ht="15" customHeight="1" x14ac:dyDescent="0.35">
      <c r="A387" s="12">
        <v>45677</v>
      </c>
      <c r="B387" s="11">
        <f t="shared" si="30"/>
        <v>2025</v>
      </c>
      <c r="C387" s="11">
        <f t="shared" si="31"/>
        <v>1</v>
      </c>
      <c r="D387" s="11" t="str">
        <f t="shared" si="32"/>
        <v>Mon</v>
      </c>
      <c r="E387" s="11">
        <f t="shared" si="33"/>
        <v>0</v>
      </c>
      <c r="F387" s="11">
        <f t="shared" si="34"/>
        <v>1</v>
      </c>
      <c r="G387" s="16"/>
      <c r="H387" s="11">
        <f>COUNTIF(Events!$A$2:$A$391,$A387)</f>
        <v>0</v>
      </c>
      <c r="I387" s="11" t="str">
        <f>IFERROR(INDEX(Events!$E$2:$E$391,MATCH($A387,Events!$A$2:$A$391,0)),"")</f>
        <v/>
      </c>
    </row>
    <row r="388" spans="1:9" ht="15" customHeight="1" x14ac:dyDescent="0.35">
      <c r="A388" s="12">
        <v>45678</v>
      </c>
      <c r="B388" s="11">
        <f t="shared" si="30"/>
        <v>2025</v>
      </c>
      <c r="C388" s="11">
        <f t="shared" si="31"/>
        <v>1</v>
      </c>
      <c r="D388" s="11" t="str">
        <f t="shared" si="32"/>
        <v>Tue</v>
      </c>
      <c r="E388" s="11">
        <f t="shared" si="33"/>
        <v>0</v>
      </c>
      <c r="F388" s="11">
        <f t="shared" si="34"/>
        <v>1</v>
      </c>
      <c r="G388" s="16"/>
      <c r="H388" s="11">
        <f>COUNTIF(Events!$A$2:$A$391,$A388)</f>
        <v>0</v>
      </c>
      <c r="I388" s="11" t="str">
        <f>IFERROR(INDEX(Events!$E$2:$E$391,MATCH($A388,Events!$A$2:$A$391,0)),"")</f>
        <v/>
      </c>
    </row>
    <row r="389" spans="1:9" ht="15" customHeight="1" x14ac:dyDescent="0.35">
      <c r="A389" s="12">
        <v>45679</v>
      </c>
      <c r="B389" s="11">
        <f t="shared" si="30"/>
        <v>2025</v>
      </c>
      <c r="C389" s="11">
        <f t="shared" si="31"/>
        <v>1</v>
      </c>
      <c r="D389" s="11" t="str">
        <f t="shared" si="32"/>
        <v>Wed</v>
      </c>
      <c r="E389" s="11">
        <f t="shared" si="33"/>
        <v>0</v>
      </c>
      <c r="F389" s="11">
        <f t="shared" si="34"/>
        <v>1</v>
      </c>
      <c r="G389" s="16"/>
      <c r="H389" s="11">
        <f>COUNTIF(Events!$A$2:$A$391,$A389)</f>
        <v>0</v>
      </c>
      <c r="I389" s="11" t="str">
        <f>IFERROR(INDEX(Events!$E$2:$E$391,MATCH($A389,Events!$A$2:$A$391,0)),"")</f>
        <v/>
      </c>
    </row>
    <row r="390" spans="1:9" ht="15" customHeight="1" x14ac:dyDescent="0.35">
      <c r="A390" s="12">
        <v>45680</v>
      </c>
      <c r="B390" s="11">
        <f t="shared" si="30"/>
        <v>2025</v>
      </c>
      <c r="C390" s="11">
        <f t="shared" si="31"/>
        <v>1</v>
      </c>
      <c r="D390" s="11" t="str">
        <f t="shared" si="32"/>
        <v>Thu</v>
      </c>
      <c r="E390" s="11">
        <f t="shared" si="33"/>
        <v>0</v>
      </c>
      <c r="F390" s="11">
        <f t="shared" si="34"/>
        <v>1</v>
      </c>
      <c r="G390" s="16"/>
      <c r="H390" s="11">
        <f>COUNTIF(Events!$A$2:$A$391,$A390)</f>
        <v>0</v>
      </c>
      <c r="I390" s="11" t="str">
        <f>IFERROR(INDEX(Events!$E$2:$E$391,MATCH($A390,Events!$A$2:$A$391,0)),"")</f>
        <v/>
      </c>
    </row>
    <row r="391" spans="1:9" ht="15" customHeight="1" x14ac:dyDescent="0.35">
      <c r="A391" s="12">
        <v>45681</v>
      </c>
      <c r="B391" s="11">
        <f t="shared" si="30"/>
        <v>2025</v>
      </c>
      <c r="C391" s="11">
        <f t="shared" si="31"/>
        <v>1</v>
      </c>
      <c r="D391" s="11" t="str">
        <f t="shared" si="32"/>
        <v>Fri</v>
      </c>
      <c r="E391" s="11">
        <f t="shared" si="33"/>
        <v>0</v>
      </c>
      <c r="F391" s="11">
        <f t="shared" si="34"/>
        <v>1</v>
      </c>
      <c r="G391" s="16"/>
      <c r="H391" s="11">
        <f>COUNTIF(Events!$A$2:$A$391,$A391)</f>
        <v>0</v>
      </c>
      <c r="I391" s="11" t="str">
        <f>IFERROR(INDEX(Events!$E$2:$E$391,MATCH($A391,Events!$A$2:$A$391,0)),"")</f>
        <v/>
      </c>
    </row>
    <row r="392" spans="1:9" ht="15" customHeight="1" x14ac:dyDescent="0.35">
      <c r="A392" s="12">
        <v>45682</v>
      </c>
      <c r="B392" s="11">
        <f t="shared" si="30"/>
        <v>2025</v>
      </c>
      <c r="C392" s="11">
        <f t="shared" si="31"/>
        <v>1</v>
      </c>
      <c r="D392" s="11" t="str">
        <f t="shared" si="32"/>
        <v>Sat</v>
      </c>
      <c r="E392" s="11">
        <f t="shared" si="33"/>
        <v>0</v>
      </c>
      <c r="F392" s="11">
        <f t="shared" si="34"/>
        <v>1</v>
      </c>
      <c r="G392" s="16"/>
      <c r="H392" s="11">
        <f>COUNTIF(Events!$A$2:$A$391,$A392)</f>
        <v>0</v>
      </c>
      <c r="I392" s="11" t="str">
        <f>IFERROR(INDEX(Events!$E$2:$E$391,MATCH($A392,Events!$A$2:$A$391,0)),"")</f>
        <v/>
      </c>
    </row>
    <row r="393" spans="1:9" ht="15" customHeight="1" x14ac:dyDescent="0.35">
      <c r="A393" s="12">
        <v>45683</v>
      </c>
      <c r="B393" s="11">
        <f t="shared" si="30"/>
        <v>2025</v>
      </c>
      <c r="C393" s="11">
        <f t="shared" si="31"/>
        <v>1</v>
      </c>
      <c r="D393" s="11" t="str">
        <f t="shared" si="32"/>
        <v>Sun</v>
      </c>
      <c r="E393" s="11">
        <f t="shared" si="33"/>
        <v>0</v>
      </c>
      <c r="F393" s="11">
        <f t="shared" si="34"/>
        <v>1</v>
      </c>
      <c r="G393" s="16"/>
      <c r="H393" s="11">
        <f>COUNTIF(Events!$A$2:$A$391,$A393)</f>
        <v>0</v>
      </c>
      <c r="I393" s="11" t="str">
        <f>IFERROR(INDEX(Events!$E$2:$E$391,MATCH($A393,Events!$A$2:$A$391,0)),"")</f>
        <v/>
      </c>
    </row>
    <row r="394" spans="1:9" ht="15" customHeight="1" x14ac:dyDescent="0.35">
      <c r="A394" s="12">
        <v>45684</v>
      </c>
      <c r="B394" s="11">
        <f t="shared" si="30"/>
        <v>2025</v>
      </c>
      <c r="C394" s="11">
        <f t="shared" si="31"/>
        <v>1</v>
      </c>
      <c r="D394" s="11" t="str">
        <f t="shared" si="32"/>
        <v>Mon</v>
      </c>
      <c r="E394" s="11">
        <f t="shared" si="33"/>
        <v>0</v>
      </c>
      <c r="F394" s="11">
        <f t="shared" si="34"/>
        <v>1</v>
      </c>
      <c r="G394" s="16"/>
      <c r="H394" s="11">
        <f>COUNTIF(Events!$A$2:$A$391,$A394)</f>
        <v>0</v>
      </c>
      <c r="I394" s="11" t="str">
        <f>IFERROR(INDEX(Events!$E$2:$E$391,MATCH($A394,Events!$A$2:$A$391,0)),"")</f>
        <v/>
      </c>
    </row>
    <row r="395" spans="1:9" ht="15" customHeight="1" x14ac:dyDescent="0.35">
      <c r="A395" s="12">
        <v>45685</v>
      </c>
      <c r="B395" s="11">
        <f t="shared" si="30"/>
        <v>2025</v>
      </c>
      <c r="C395" s="11">
        <f t="shared" si="31"/>
        <v>1</v>
      </c>
      <c r="D395" s="11" t="str">
        <f t="shared" si="32"/>
        <v>Tue</v>
      </c>
      <c r="E395" s="11">
        <f t="shared" si="33"/>
        <v>0</v>
      </c>
      <c r="F395" s="11">
        <f t="shared" si="34"/>
        <v>1</v>
      </c>
      <c r="G395" s="16"/>
      <c r="H395" s="11">
        <f>COUNTIF(Events!$A$2:$A$391,$A395)</f>
        <v>0</v>
      </c>
      <c r="I395" s="11" t="str">
        <f>IFERROR(INDEX(Events!$E$2:$E$391,MATCH($A395,Events!$A$2:$A$391,0)),"")</f>
        <v/>
      </c>
    </row>
    <row r="396" spans="1:9" ht="15" customHeight="1" x14ac:dyDescent="0.35">
      <c r="A396" s="12">
        <v>45686</v>
      </c>
      <c r="B396" s="11">
        <f t="shared" si="30"/>
        <v>2025</v>
      </c>
      <c r="C396" s="11">
        <f t="shared" si="31"/>
        <v>1</v>
      </c>
      <c r="D396" s="11" t="str">
        <f t="shared" si="32"/>
        <v>Wed</v>
      </c>
      <c r="E396" s="11">
        <f t="shared" si="33"/>
        <v>0</v>
      </c>
      <c r="F396" s="11">
        <f t="shared" si="34"/>
        <v>1</v>
      </c>
      <c r="G396" s="16"/>
      <c r="H396" s="11">
        <f>COUNTIF(Events!$A$2:$A$391,$A396)</f>
        <v>0</v>
      </c>
      <c r="I396" s="11" t="str">
        <f>IFERROR(INDEX(Events!$E$2:$E$391,MATCH($A396,Events!$A$2:$A$391,0)),"")</f>
        <v/>
      </c>
    </row>
    <row r="397" spans="1:9" ht="15" customHeight="1" x14ac:dyDescent="0.35">
      <c r="A397" s="12">
        <v>45687</v>
      </c>
      <c r="B397" s="11">
        <f t="shared" si="30"/>
        <v>2025</v>
      </c>
      <c r="C397" s="11">
        <f t="shared" si="31"/>
        <v>1</v>
      </c>
      <c r="D397" s="11" t="str">
        <f t="shared" si="32"/>
        <v>Thu</v>
      </c>
      <c r="E397" s="11">
        <f t="shared" si="33"/>
        <v>0</v>
      </c>
      <c r="F397" s="11">
        <f t="shared" si="34"/>
        <v>1</v>
      </c>
      <c r="G397" s="16"/>
      <c r="H397" s="11">
        <f>COUNTIF(Events!$A$2:$A$391,$A397)</f>
        <v>0</v>
      </c>
      <c r="I397" s="11" t="str">
        <f>IFERROR(INDEX(Events!$E$2:$E$391,MATCH($A397,Events!$A$2:$A$391,0)),"")</f>
        <v/>
      </c>
    </row>
    <row r="398" spans="1:9" ht="15" customHeight="1" x14ac:dyDescent="0.35">
      <c r="A398" s="12">
        <v>45688</v>
      </c>
      <c r="B398" s="11">
        <f t="shared" si="30"/>
        <v>2025</v>
      </c>
      <c r="C398" s="11">
        <f t="shared" si="31"/>
        <v>1</v>
      </c>
      <c r="D398" s="11" t="str">
        <f t="shared" si="32"/>
        <v>Fri</v>
      </c>
      <c r="E398" s="11">
        <f t="shared" si="33"/>
        <v>0</v>
      </c>
      <c r="F398" s="11">
        <f t="shared" si="34"/>
        <v>1</v>
      </c>
      <c r="G398" s="16"/>
      <c r="H398" s="11">
        <f>COUNTIF(Events!$A$2:$A$391,$A398)</f>
        <v>0</v>
      </c>
      <c r="I398" s="11" t="str">
        <f>IFERROR(INDEX(Events!$E$2:$E$391,MATCH($A398,Events!$A$2:$A$391,0)),"")</f>
        <v/>
      </c>
    </row>
    <row r="399" spans="1:9" ht="15" customHeight="1" x14ac:dyDescent="0.35">
      <c r="A399" s="12">
        <v>45689</v>
      </c>
      <c r="B399" s="11">
        <f t="shared" si="30"/>
        <v>2025</v>
      </c>
      <c r="C399" s="11">
        <f t="shared" si="31"/>
        <v>2</v>
      </c>
      <c r="D399" s="11" t="str">
        <f t="shared" si="32"/>
        <v>Sat</v>
      </c>
      <c r="E399" s="11">
        <f t="shared" si="33"/>
        <v>0</v>
      </c>
      <c r="F399" s="11">
        <f t="shared" si="34"/>
        <v>1</v>
      </c>
      <c r="G399" s="16"/>
      <c r="H399" s="11">
        <f>COUNTIF(Events!$A$2:$A$391,$A399)</f>
        <v>0</v>
      </c>
      <c r="I399" s="11" t="str">
        <f>IFERROR(INDEX(Events!$E$2:$E$391,MATCH($A399,Events!$A$2:$A$391,0)),"")</f>
        <v/>
      </c>
    </row>
    <row r="400" spans="1:9" ht="15" customHeight="1" x14ac:dyDescent="0.35">
      <c r="A400" s="12">
        <v>45690</v>
      </c>
      <c r="B400" s="11">
        <f t="shared" si="30"/>
        <v>2025</v>
      </c>
      <c r="C400" s="11">
        <f t="shared" si="31"/>
        <v>2</v>
      </c>
      <c r="D400" s="11" t="str">
        <f t="shared" si="32"/>
        <v>Sun</v>
      </c>
      <c r="E400" s="11">
        <f t="shared" si="33"/>
        <v>0</v>
      </c>
      <c r="F400" s="11">
        <f t="shared" si="34"/>
        <v>1</v>
      </c>
      <c r="G400" s="16"/>
      <c r="H400" s="11">
        <f>COUNTIF(Events!$A$2:$A$391,$A400)</f>
        <v>0</v>
      </c>
      <c r="I400" s="11" t="str">
        <f>IFERROR(INDEX(Events!$E$2:$E$391,MATCH($A400,Events!$A$2:$A$391,0)),"")</f>
        <v/>
      </c>
    </row>
    <row r="401" spans="1:9" ht="15" customHeight="1" x14ac:dyDescent="0.35">
      <c r="A401" s="12">
        <v>45691</v>
      </c>
      <c r="B401" s="11">
        <f t="shared" si="30"/>
        <v>2025</v>
      </c>
      <c r="C401" s="11">
        <f t="shared" si="31"/>
        <v>2</v>
      </c>
      <c r="D401" s="11" t="str">
        <f t="shared" si="32"/>
        <v>Mon</v>
      </c>
      <c r="E401" s="11">
        <f t="shared" si="33"/>
        <v>0</v>
      </c>
      <c r="F401" s="11">
        <f t="shared" si="34"/>
        <v>1</v>
      </c>
      <c r="G401" s="16"/>
      <c r="H401" s="11">
        <f>COUNTIF(Events!$A$2:$A$391,$A401)</f>
        <v>0</v>
      </c>
      <c r="I401" s="11" t="str">
        <f>IFERROR(INDEX(Events!$E$2:$E$391,MATCH($A401,Events!$A$2:$A$391,0)),"")</f>
        <v/>
      </c>
    </row>
    <row r="402" spans="1:9" ht="15" customHeight="1" x14ac:dyDescent="0.35">
      <c r="A402" s="12">
        <v>45692</v>
      </c>
      <c r="B402" s="11">
        <f t="shared" si="30"/>
        <v>2025</v>
      </c>
      <c r="C402" s="11">
        <f t="shared" si="31"/>
        <v>2</v>
      </c>
      <c r="D402" s="11" t="str">
        <f t="shared" si="32"/>
        <v>Tue</v>
      </c>
      <c r="E402" s="11">
        <f t="shared" si="33"/>
        <v>0</v>
      </c>
      <c r="F402" s="11">
        <f t="shared" si="34"/>
        <v>1</v>
      </c>
      <c r="G402" s="16"/>
      <c r="H402" s="11">
        <f>COUNTIF(Events!$A$2:$A$391,$A402)</f>
        <v>0</v>
      </c>
      <c r="I402" s="11" t="str">
        <f>IFERROR(INDEX(Events!$E$2:$E$391,MATCH($A402,Events!$A$2:$A$391,0)),"")</f>
        <v/>
      </c>
    </row>
    <row r="403" spans="1:9" ht="15" customHeight="1" x14ac:dyDescent="0.35">
      <c r="A403" s="12">
        <v>45693</v>
      </c>
      <c r="B403" s="11">
        <f t="shared" si="30"/>
        <v>2025</v>
      </c>
      <c r="C403" s="11">
        <f t="shared" si="31"/>
        <v>2</v>
      </c>
      <c r="D403" s="11" t="str">
        <f t="shared" si="32"/>
        <v>Wed</v>
      </c>
      <c r="E403" s="11">
        <f t="shared" si="33"/>
        <v>0</v>
      </c>
      <c r="F403" s="11">
        <f t="shared" si="34"/>
        <v>1</v>
      </c>
      <c r="G403" s="16"/>
      <c r="H403" s="11">
        <f>COUNTIF(Events!$A$2:$A$391,$A403)</f>
        <v>0</v>
      </c>
      <c r="I403" s="11" t="str">
        <f>IFERROR(INDEX(Events!$E$2:$E$391,MATCH($A403,Events!$A$2:$A$391,0)),"")</f>
        <v/>
      </c>
    </row>
    <row r="404" spans="1:9" ht="15" customHeight="1" x14ac:dyDescent="0.35">
      <c r="A404" s="12">
        <v>45694</v>
      </c>
      <c r="B404" s="11">
        <f t="shared" si="30"/>
        <v>2025</v>
      </c>
      <c r="C404" s="11">
        <f t="shared" si="31"/>
        <v>2</v>
      </c>
      <c r="D404" s="11" t="str">
        <f t="shared" si="32"/>
        <v>Thu</v>
      </c>
      <c r="E404" s="11">
        <f t="shared" si="33"/>
        <v>0</v>
      </c>
      <c r="F404" s="11">
        <f t="shared" si="34"/>
        <v>1</v>
      </c>
      <c r="G404" s="16"/>
      <c r="H404" s="11">
        <f>COUNTIF(Events!$A$2:$A$391,$A404)</f>
        <v>0</v>
      </c>
      <c r="I404" s="11" t="str">
        <f>IFERROR(INDEX(Events!$E$2:$E$391,MATCH($A404,Events!$A$2:$A$391,0)),"")</f>
        <v/>
      </c>
    </row>
    <row r="405" spans="1:9" ht="15" customHeight="1" x14ac:dyDescent="0.35">
      <c r="A405" s="12">
        <v>45695</v>
      </c>
      <c r="B405" s="11">
        <f t="shared" si="30"/>
        <v>2025</v>
      </c>
      <c r="C405" s="11">
        <f t="shared" si="31"/>
        <v>2</v>
      </c>
      <c r="D405" s="11" t="str">
        <f t="shared" si="32"/>
        <v>Fri</v>
      </c>
      <c r="E405" s="11">
        <f t="shared" si="33"/>
        <v>0</v>
      </c>
      <c r="F405" s="11">
        <f t="shared" si="34"/>
        <v>1</v>
      </c>
      <c r="G405" s="16"/>
      <c r="H405" s="11">
        <f>COUNTIF(Events!$A$2:$A$391,$A405)</f>
        <v>0</v>
      </c>
      <c r="I405" s="11" t="str">
        <f>IFERROR(INDEX(Events!$E$2:$E$391,MATCH($A405,Events!$A$2:$A$391,0)),"")</f>
        <v/>
      </c>
    </row>
    <row r="406" spans="1:9" ht="15" customHeight="1" x14ac:dyDescent="0.35">
      <c r="A406" s="12">
        <v>45696</v>
      </c>
      <c r="B406" s="11">
        <f t="shared" si="30"/>
        <v>2025</v>
      </c>
      <c r="C406" s="11">
        <f t="shared" si="31"/>
        <v>2</v>
      </c>
      <c r="D406" s="11" t="str">
        <f t="shared" si="32"/>
        <v>Sat</v>
      </c>
      <c r="E406" s="11">
        <f t="shared" si="33"/>
        <v>0</v>
      </c>
      <c r="F406" s="11">
        <f t="shared" si="34"/>
        <v>1</v>
      </c>
      <c r="G406" s="16"/>
      <c r="H406" s="11">
        <f>COUNTIF(Events!$A$2:$A$391,$A406)</f>
        <v>0</v>
      </c>
      <c r="I406" s="11" t="str">
        <f>IFERROR(INDEX(Events!$E$2:$E$391,MATCH($A406,Events!$A$2:$A$391,0)),"")</f>
        <v/>
      </c>
    </row>
    <row r="407" spans="1:9" ht="15" customHeight="1" x14ac:dyDescent="0.35">
      <c r="A407" s="12">
        <v>45697</v>
      </c>
      <c r="B407" s="11">
        <f t="shared" si="30"/>
        <v>2025</v>
      </c>
      <c r="C407" s="11">
        <f t="shared" si="31"/>
        <v>2</v>
      </c>
      <c r="D407" s="11" t="str">
        <f t="shared" si="32"/>
        <v>Sun</v>
      </c>
      <c r="E407" s="11">
        <f t="shared" si="33"/>
        <v>0</v>
      </c>
      <c r="F407" s="11">
        <f t="shared" si="34"/>
        <v>1</v>
      </c>
      <c r="G407" s="16"/>
      <c r="H407" s="11">
        <f>COUNTIF(Events!$A$2:$A$391,$A407)</f>
        <v>0</v>
      </c>
      <c r="I407" s="11" t="str">
        <f>IFERROR(INDEX(Events!$E$2:$E$391,MATCH($A407,Events!$A$2:$A$391,0)),"")</f>
        <v/>
      </c>
    </row>
    <row r="408" spans="1:9" ht="15" customHeight="1" x14ac:dyDescent="0.35">
      <c r="A408" s="12">
        <v>45698</v>
      </c>
      <c r="B408" s="11">
        <f t="shared" si="30"/>
        <v>2025</v>
      </c>
      <c r="C408" s="11">
        <f t="shared" si="31"/>
        <v>2</v>
      </c>
      <c r="D408" s="11" t="str">
        <f t="shared" si="32"/>
        <v>Mon</v>
      </c>
      <c r="E408" s="11">
        <f t="shared" si="33"/>
        <v>0</v>
      </c>
      <c r="F408" s="11">
        <f t="shared" si="34"/>
        <v>1</v>
      </c>
      <c r="G408" s="16"/>
      <c r="H408" s="11">
        <f>COUNTIF(Events!$A$2:$A$391,$A408)</f>
        <v>0</v>
      </c>
      <c r="I408" s="11" t="str">
        <f>IFERROR(INDEX(Events!$E$2:$E$391,MATCH($A408,Events!$A$2:$A$391,0)),"")</f>
        <v/>
      </c>
    </row>
    <row r="409" spans="1:9" ht="15" customHeight="1" x14ac:dyDescent="0.35">
      <c r="A409" s="12">
        <v>45699</v>
      </c>
      <c r="B409" s="11">
        <f t="shared" si="30"/>
        <v>2025</v>
      </c>
      <c r="C409" s="11">
        <f t="shared" si="31"/>
        <v>2</v>
      </c>
      <c r="D409" s="11" t="str">
        <f t="shared" si="32"/>
        <v>Tue</v>
      </c>
      <c r="E409" s="11">
        <f t="shared" si="33"/>
        <v>0</v>
      </c>
      <c r="F409" s="11">
        <f t="shared" si="34"/>
        <v>1</v>
      </c>
      <c r="G409" s="16"/>
      <c r="H409" s="11">
        <f>COUNTIF(Events!$A$2:$A$391,$A409)</f>
        <v>0</v>
      </c>
      <c r="I409" s="11" t="str">
        <f>IFERROR(INDEX(Events!$E$2:$E$391,MATCH($A409,Events!$A$2:$A$391,0)),"")</f>
        <v/>
      </c>
    </row>
    <row r="410" spans="1:9" ht="15" customHeight="1" x14ac:dyDescent="0.35">
      <c r="A410" s="12">
        <v>45700</v>
      </c>
      <c r="B410" s="11">
        <f t="shared" si="30"/>
        <v>2025</v>
      </c>
      <c r="C410" s="11">
        <f t="shared" si="31"/>
        <v>2</v>
      </c>
      <c r="D410" s="11" t="str">
        <f t="shared" si="32"/>
        <v>Wed</v>
      </c>
      <c r="E410" s="11">
        <f t="shared" si="33"/>
        <v>0</v>
      </c>
      <c r="F410" s="11">
        <f t="shared" si="34"/>
        <v>1</v>
      </c>
      <c r="G410" s="16"/>
      <c r="H410" s="11">
        <f>COUNTIF(Events!$A$2:$A$391,$A410)</f>
        <v>0</v>
      </c>
      <c r="I410" s="11" t="str">
        <f>IFERROR(INDEX(Events!$E$2:$E$391,MATCH($A410,Events!$A$2:$A$391,0)),"")</f>
        <v/>
      </c>
    </row>
    <row r="411" spans="1:9" ht="15" customHeight="1" x14ac:dyDescent="0.35">
      <c r="A411" s="12">
        <v>45701</v>
      </c>
      <c r="B411" s="11">
        <f t="shared" si="30"/>
        <v>2025</v>
      </c>
      <c r="C411" s="11">
        <f t="shared" si="31"/>
        <v>2</v>
      </c>
      <c r="D411" s="11" t="str">
        <f t="shared" si="32"/>
        <v>Thu</v>
      </c>
      <c r="E411" s="11">
        <f t="shared" si="33"/>
        <v>0</v>
      </c>
      <c r="F411" s="11">
        <f t="shared" si="34"/>
        <v>1</v>
      </c>
      <c r="G411" s="16"/>
      <c r="H411" s="11">
        <f>COUNTIF(Events!$A$2:$A$391,$A411)</f>
        <v>0</v>
      </c>
      <c r="I411" s="11" t="str">
        <f>IFERROR(INDEX(Events!$E$2:$E$391,MATCH($A411,Events!$A$2:$A$391,0)),"")</f>
        <v/>
      </c>
    </row>
    <row r="412" spans="1:9" ht="15" customHeight="1" x14ac:dyDescent="0.35">
      <c r="A412" s="12">
        <v>45702</v>
      </c>
      <c r="B412" s="11">
        <f t="shared" si="30"/>
        <v>2025</v>
      </c>
      <c r="C412" s="11">
        <f t="shared" si="31"/>
        <v>2</v>
      </c>
      <c r="D412" s="11" t="str">
        <f t="shared" si="32"/>
        <v>Fri</v>
      </c>
      <c r="E412" s="11">
        <f t="shared" si="33"/>
        <v>0</v>
      </c>
      <c r="F412" s="11">
        <f t="shared" si="34"/>
        <v>1</v>
      </c>
      <c r="G412" s="16"/>
      <c r="H412" s="11">
        <f>COUNTIF(Events!$A$2:$A$391,$A412)</f>
        <v>0</v>
      </c>
      <c r="I412" s="11" t="str">
        <f>IFERROR(INDEX(Events!$E$2:$E$391,MATCH($A412,Events!$A$2:$A$391,0)),"")</f>
        <v/>
      </c>
    </row>
    <row r="413" spans="1:9" ht="15" customHeight="1" x14ac:dyDescent="0.35">
      <c r="A413" s="12">
        <v>45703</v>
      </c>
      <c r="B413" s="11">
        <f t="shared" si="30"/>
        <v>2025</v>
      </c>
      <c r="C413" s="11">
        <f t="shared" si="31"/>
        <v>2</v>
      </c>
      <c r="D413" s="11" t="str">
        <f t="shared" si="32"/>
        <v>Sat</v>
      </c>
      <c r="E413" s="11">
        <f t="shared" si="33"/>
        <v>0</v>
      </c>
      <c r="F413" s="11">
        <f t="shared" si="34"/>
        <v>1</v>
      </c>
      <c r="G413" s="16"/>
      <c r="H413" s="11">
        <f>COUNTIF(Events!$A$2:$A$391,$A413)</f>
        <v>0</v>
      </c>
      <c r="I413" s="11" t="str">
        <f>IFERROR(INDEX(Events!$E$2:$E$391,MATCH($A413,Events!$A$2:$A$391,0)),"")</f>
        <v/>
      </c>
    </row>
    <row r="414" spans="1:9" ht="15" customHeight="1" x14ac:dyDescent="0.35">
      <c r="A414" s="12">
        <v>45704</v>
      </c>
      <c r="B414" s="11">
        <f t="shared" si="30"/>
        <v>2025</v>
      </c>
      <c r="C414" s="11">
        <f t="shared" si="31"/>
        <v>2</v>
      </c>
      <c r="D414" s="11" t="str">
        <f t="shared" si="32"/>
        <v>Sun</v>
      </c>
      <c r="E414" s="11">
        <f t="shared" si="33"/>
        <v>0</v>
      </c>
      <c r="F414" s="11">
        <f t="shared" si="34"/>
        <v>1</v>
      </c>
      <c r="G414" s="16"/>
      <c r="H414" s="11">
        <f>COUNTIF(Events!$A$2:$A$391,$A414)</f>
        <v>0</v>
      </c>
      <c r="I414" s="11" t="str">
        <f>IFERROR(INDEX(Events!$E$2:$E$391,MATCH($A414,Events!$A$2:$A$391,0)),"")</f>
        <v/>
      </c>
    </row>
    <row r="415" spans="1:9" ht="15" customHeight="1" x14ac:dyDescent="0.35">
      <c r="A415" s="12">
        <v>45705</v>
      </c>
      <c r="B415" s="11">
        <f t="shared" si="30"/>
        <v>2025</v>
      </c>
      <c r="C415" s="11">
        <f t="shared" si="31"/>
        <v>2</v>
      </c>
      <c r="D415" s="11" t="str">
        <f t="shared" si="32"/>
        <v>Mon</v>
      </c>
      <c r="E415" s="11">
        <f t="shared" si="33"/>
        <v>0</v>
      </c>
      <c r="F415" s="11">
        <f t="shared" si="34"/>
        <v>1</v>
      </c>
      <c r="G415" s="16"/>
      <c r="H415" s="11">
        <f>COUNTIF(Events!$A$2:$A$391,$A415)</f>
        <v>0</v>
      </c>
      <c r="I415" s="11" t="str">
        <f>IFERROR(INDEX(Events!$E$2:$E$391,MATCH($A415,Events!$A$2:$A$391,0)),"")</f>
        <v/>
      </c>
    </row>
    <row r="416" spans="1:9" ht="15" customHeight="1" x14ac:dyDescent="0.35">
      <c r="A416" s="12">
        <v>45706</v>
      </c>
      <c r="B416" s="11">
        <f t="shared" si="30"/>
        <v>2025</v>
      </c>
      <c r="C416" s="11">
        <f t="shared" si="31"/>
        <v>2</v>
      </c>
      <c r="D416" s="11" t="str">
        <f t="shared" si="32"/>
        <v>Tue</v>
      </c>
      <c r="E416" s="11">
        <f t="shared" si="33"/>
        <v>0</v>
      </c>
      <c r="F416" s="11">
        <f t="shared" si="34"/>
        <v>1</v>
      </c>
      <c r="G416" s="16"/>
      <c r="H416" s="11">
        <f>COUNTIF(Events!$A$2:$A$391,$A416)</f>
        <v>0</v>
      </c>
      <c r="I416" s="11" t="str">
        <f>IFERROR(INDEX(Events!$E$2:$E$391,MATCH($A416,Events!$A$2:$A$391,0)),"")</f>
        <v/>
      </c>
    </row>
    <row r="417" spans="1:9" ht="15" customHeight="1" x14ac:dyDescent="0.35">
      <c r="A417" s="12">
        <v>45707</v>
      </c>
      <c r="B417" s="11">
        <f t="shared" si="30"/>
        <v>2025</v>
      </c>
      <c r="C417" s="11">
        <f t="shared" si="31"/>
        <v>2</v>
      </c>
      <c r="D417" s="11" t="str">
        <f t="shared" si="32"/>
        <v>Wed</v>
      </c>
      <c r="E417" s="11">
        <f t="shared" si="33"/>
        <v>0</v>
      </c>
      <c r="F417" s="11">
        <f t="shared" si="34"/>
        <v>1</v>
      </c>
      <c r="G417" s="16"/>
      <c r="H417" s="11">
        <f>COUNTIF(Events!$A$2:$A$391,$A417)</f>
        <v>0</v>
      </c>
      <c r="I417" s="11" t="str">
        <f>IFERROR(INDEX(Events!$E$2:$E$391,MATCH($A417,Events!$A$2:$A$391,0)),"")</f>
        <v/>
      </c>
    </row>
    <row r="418" spans="1:9" ht="15" customHeight="1" x14ac:dyDescent="0.35">
      <c r="A418" s="12">
        <v>45708</v>
      </c>
      <c r="B418" s="11">
        <f t="shared" si="30"/>
        <v>2025</v>
      </c>
      <c r="C418" s="11">
        <f t="shared" si="31"/>
        <v>2</v>
      </c>
      <c r="D418" s="11" t="str">
        <f t="shared" si="32"/>
        <v>Thu</v>
      </c>
      <c r="E418" s="11">
        <f t="shared" si="33"/>
        <v>0</v>
      </c>
      <c r="F418" s="11">
        <f t="shared" si="34"/>
        <v>1</v>
      </c>
      <c r="G418" s="16"/>
      <c r="H418" s="11">
        <f>COUNTIF(Events!$A$2:$A$391,$A418)</f>
        <v>0</v>
      </c>
      <c r="I418" s="11" t="str">
        <f>IFERROR(INDEX(Events!$E$2:$E$391,MATCH($A418,Events!$A$2:$A$391,0)),"")</f>
        <v/>
      </c>
    </row>
    <row r="419" spans="1:9" ht="15" customHeight="1" x14ac:dyDescent="0.35">
      <c r="A419" s="12">
        <v>45709</v>
      </c>
      <c r="B419" s="11">
        <f t="shared" si="30"/>
        <v>2025</v>
      </c>
      <c r="C419" s="11">
        <f t="shared" si="31"/>
        <v>2</v>
      </c>
      <c r="D419" s="11" t="str">
        <f t="shared" si="32"/>
        <v>Fri</v>
      </c>
      <c r="E419" s="11">
        <f t="shared" si="33"/>
        <v>0</v>
      </c>
      <c r="F419" s="11">
        <f t="shared" si="34"/>
        <v>1</v>
      </c>
      <c r="G419" s="16"/>
      <c r="H419" s="11">
        <f>COUNTIF(Events!$A$2:$A$391,$A419)</f>
        <v>0</v>
      </c>
      <c r="I419" s="11" t="str">
        <f>IFERROR(INDEX(Events!$E$2:$E$391,MATCH($A419,Events!$A$2:$A$391,0)),"")</f>
        <v/>
      </c>
    </row>
    <row r="420" spans="1:9" ht="15" customHeight="1" x14ac:dyDescent="0.35">
      <c r="A420" s="12">
        <v>45710</v>
      </c>
      <c r="B420" s="11">
        <f t="shared" si="30"/>
        <v>2025</v>
      </c>
      <c r="C420" s="11">
        <f t="shared" si="31"/>
        <v>2</v>
      </c>
      <c r="D420" s="11" t="str">
        <f t="shared" si="32"/>
        <v>Sat</v>
      </c>
      <c r="E420" s="11">
        <f t="shared" si="33"/>
        <v>0</v>
      </c>
      <c r="F420" s="11">
        <f t="shared" si="34"/>
        <v>1</v>
      </c>
      <c r="G420" s="16"/>
      <c r="H420" s="11">
        <f>COUNTIF(Events!$A$2:$A$391,$A420)</f>
        <v>0</v>
      </c>
      <c r="I420" s="11" t="str">
        <f>IFERROR(INDEX(Events!$E$2:$E$391,MATCH($A420,Events!$A$2:$A$391,0)),"")</f>
        <v/>
      </c>
    </row>
    <row r="421" spans="1:9" ht="15" customHeight="1" x14ac:dyDescent="0.35">
      <c r="A421" s="12">
        <v>45711</v>
      </c>
      <c r="B421" s="11">
        <f t="shared" si="30"/>
        <v>2025</v>
      </c>
      <c r="C421" s="11">
        <f t="shared" si="31"/>
        <v>2</v>
      </c>
      <c r="D421" s="11" t="str">
        <f t="shared" si="32"/>
        <v>Sun</v>
      </c>
      <c r="E421" s="11">
        <f t="shared" si="33"/>
        <v>0</v>
      </c>
      <c r="F421" s="11">
        <f t="shared" si="34"/>
        <v>1</v>
      </c>
      <c r="G421" s="16"/>
      <c r="H421" s="11">
        <f>COUNTIF(Events!$A$2:$A$391,$A421)</f>
        <v>0</v>
      </c>
      <c r="I421" s="11" t="str">
        <f>IFERROR(INDEX(Events!$E$2:$E$391,MATCH($A421,Events!$A$2:$A$391,0)),"")</f>
        <v/>
      </c>
    </row>
    <row r="422" spans="1:9" ht="15" customHeight="1" x14ac:dyDescent="0.35">
      <c r="A422" s="12">
        <v>45712</v>
      </c>
      <c r="B422" s="11">
        <f t="shared" si="30"/>
        <v>2025</v>
      </c>
      <c r="C422" s="11">
        <f t="shared" si="31"/>
        <v>2</v>
      </c>
      <c r="D422" s="11" t="str">
        <f t="shared" si="32"/>
        <v>Mon</v>
      </c>
      <c r="E422" s="11">
        <f t="shared" si="33"/>
        <v>0</v>
      </c>
      <c r="F422" s="11">
        <f t="shared" si="34"/>
        <v>1</v>
      </c>
      <c r="G422" s="16"/>
      <c r="H422" s="11">
        <f>COUNTIF(Events!$A$2:$A$391,$A422)</f>
        <v>0</v>
      </c>
      <c r="I422" s="11" t="str">
        <f>IFERROR(INDEX(Events!$E$2:$E$391,MATCH($A422,Events!$A$2:$A$391,0)),"")</f>
        <v/>
      </c>
    </row>
    <row r="423" spans="1:9" ht="15" customHeight="1" x14ac:dyDescent="0.35">
      <c r="A423" s="12">
        <v>45713</v>
      </c>
      <c r="B423" s="11">
        <f t="shared" si="30"/>
        <v>2025</v>
      </c>
      <c r="C423" s="11">
        <f t="shared" si="31"/>
        <v>2</v>
      </c>
      <c r="D423" s="11" t="str">
        <f t="shared" si="32"/>
        <v>Tue</v>
      </c>
      <c r="E423" s="11">
        <f t="shared" si="33"/>
        <v>0</v>
      </c>
      <c r="F423" s="11">
        <f t="shared" si="34"/>
        <v>1</v>
      </c>
      <c r="G423" s="16"/>
      <c r="H423" s="11">
        <f>COUNTIF(Events!$A$2:$A$391,$A423)</f>
        <v>0</v>
      </c>
      <c r="I423" s="11" t="str">
        <f>IFERROR(INDEX(Events!$E$2:$E$391,MATCH($A423,Events!$A$2:$A$391,0)),"")</f>
        <v/>
      </c>
    </row>
    <row r="424" spans="1:9" ht="15" customHeight="1" x14ac:dyDescent="0.35">
      <c r="A424" s="12">
        <v>45714</v>
      </c>
      <c r="B424" s="11">
        <f t="shared" si="30"/>
        <v>2025</v>
      </c>
      <c r="C424" s="11">
        <f t="shared" si="31"/>
        <v>2</v>
      </c>
      <c r="D424" s="11" t="str">
        <f t="shared" si="32"/>
        <v>Wed</v>
      </c>
      <c r="E424" s="11">
        <f t="shared" si="33"/>
        <v>0</v>
      </c>
      <c r="F424" s="11">
        <f t="shared" si="34"/>
        <v>1</v>
      </c>
      <c r="G424" s="16"/>
      <c r="H424" s="11">
        <f>COUNTIF(Events!$A$2:$A$391,$A424)</f>
        <v>0</v>
      </c>
      <c r="I424" s="11" t="str">
        <f>IFERROR(INDEX(Events!$E$2:$E$391,MATCH($A424,Events!$A$2:$A$391,0)),"")</f>
        <v/>
      </c>
    </row>
    <row r="425" spans="1:9" ht="15" customHeight="1" x14ac:dyDescent="0.35">
      <c r="A425" s="12">
        <v>45715</v>
      </c>
      <c r="B425" s="11">
        <f t="shared" si="30"/>
        <v>2025</v>
      </c>
      <c r="C425" s="11">
        <f t="shared" si="31"/>
        <v>2</v>
      </c>
      <c r="D425" s="11" t="str">
        <f t="shared" si="32"/>
        <v>Thu</v>
      </c>
      <c r="E425" s="11">
        <f t="shared" si="33"/>
        <v>0</v>
      </c>
      <c r="F425" s="11">
        <f t="shared" si="34"/>
        <v>1</v>
      </c>
      <c r="G425" s="16"/>
      <c r="H425" s="11">
        <f>COUNTIF(Events!$A$2:$A$391,$A425)</f>
        <v>0</v>
      </c>
      <c r="I425" s="11" t="str">
        <f>IFERROR(INDEX(Events!$E$2:$E$391,MATCH($A425,Events!$A$2:$A$391,0)),"")</f>
        <v/>
      </c>
    </row>
    <row r="426" spans="1:9" ht="15" customHeight="1" x14ac:dyDescent="0.35">
      <c r="A426" s="12">
        <v>45716</v>
      </c>
      <c r="B426" s="11">
        <f t="shared" si="30"/>
        <v>2025</v>
      </c>
      <c r="C426" s="11">
        <f t="shared" si="31"/>
        <v>2</v>
      </c>
      <c r="D426" s="11" t="str">
        <f t="shared" si="32"/>
        <v>Fri</v>
      </c>
      <c r="E426" s="11">
        <f t="shared" si="33"/>
        <v>0</v>
      </c>
      <c r="F426" s="11">
        <f t="shared" si="34"/>
        <v>1</v>
      </c>
      <c r="G426" s="16"/>
      <c r="H426" s="11">
        <f>COUNTIF(Events!$A$2:$A$391,$A426)</f>
        <v>0</v>
      </c>
      <c r="I426" s="11" t="str">
        <f>IFERROR(INDEX(Events!$E$2:$E$391,MATCH($A426,Events!$A$2:$A$391,0)),"")</f>
        <v/>
      </c>
    </row>
    <row r="427" spans="1:9" ht="15" customHeight="1" x14ac:dyDescent="0.35">
      <c r="A427" s="12">
        <v>45717</v>
      </c>
      <c r="B427" s="11">
        <f t="shared" si="30"/>
        <v>2025</v>
      </c>
      <c r="C427" s="11">
        <f t="shared" si="31"/>
        <v>3</v>
      </c>
      <c r="D427" s="11" t="str">
        <f t="shared" si="32"/>
        <v>Sat</v>
      </c>
      <c r="E427" s="11">
        <f t="shared" si="33"/>
        <v>0</v>
      </c>
      <c r="F427" s="11">
        <f t="shared" si="34"/>
        <v>1</v>
      </c>
      <c r="G427" s="16"/>
      <c r="H427" s="11">
        <f>COUNTIF(Events!$A$2:$A$391,$A427)</f>
        <v>0</v>
      </c>
      <c r="I427" s="11" t="str">
        <f>IFERROR(INDEX(Events!$E$2:$E$391,MATCH($A427,Events!$A$2:$A$391,0)),"")</f>
        <v/>
      </c>
    </row>
    <row r="428" spans="1:9" ht="15" customHeight="1" x14ac:dyDescent="0.35">
      <c r="A428" s="12">
        <v>45718</v>
      </c>
      <c r="B428" s="11">
        <f t="shared" si="30"/>
        <v>2025</v>
      </c>
      <c r="C428" s="11">
        <f t="shared" si="31"/>
        <v>3</v>
      </c>
      <c r="D428" s="11" t="str">
        <f t="shared" si="32"/>
        <v>Sun</v>
      </c>
      <c r="E428" s="11">
        <f t="shared" si="33"/>
        <v>0</v>
      </c>
      <c r="F428" s="11">
        <f t="shared" si="34"/>
        <v>1</v>
      </c>
      <c r="G428" s="16"/>
      <c r="H428" s="11">
        <f>COUNTIF(Events!$A$2:$A$391,$A428)</f>
        <v>0</v>
      </c>
      <c r="I428" s="11" t="str">
        <f>IFERROR(INDEX(Events!$E$2:$E$391,MATCH($A428,Events!$A$2:$A$391,0)),"")</f>
        <v/>
      </c>
    </row>
    <row r="429" spans="1:9" ht="15" customHeight="1" x14ac:dyDescent="0.35">
      <c r="A429" s="12">
        <v>45719</v>
      </c>
      <c r="B429" s="11">
        <f t="shared" si="30"/>
        <v>2025</v>
      </c>
      <c r="C429" s="11">
        <f t="shared" si="31"/>
        <v>3</v>
      </c>
      <c r="D429" s="11" t="str">
        <f t="shared" si="32"/>
        <v>Mon</v>
      </c>
      <c r="E429" s="11">
        <f t="shared" si="33"/>
        <v>0</v>
      </c>
      <c r="F429" s="11">
        <f t="shared" si="34"/>
        <v>1</v>
      </c>
      <c r="G429" s="16"/>
      <c r="H429" s="11">
        <f>COUNTIF(Events!$A$2:$A$391,$A429)</f>
        <v>0</v>
      </c>
      <c r="I429" s="11" t="str">
        <f>IFERROR(INDEX(Events!$E$2:$E$391,MATCH($A429,Events!$A$2:$A$391,0)),"")</f>
        <v/>
      </c>
    </row>
    <row r="430" spans="1:9" ht="15" customHeight="1" x14ac:dyDescent="0.35">
      <c r="A430" s="12">
        <v>45720</v>
      </c>
      <c r="B430" s="11">
        <f t="shared" si="30"/>
        <v>2025</v>
      </c>
      <c r="C430" s="11">
        <f t="shared" si="31"/>
        <v>3</v>
      </c>
      <c r="D430" s="11" t="str">
        <f t="shared" si="32"/>
        <v>Tue</v>
      </c>
      <c r="E430" s="11">
        <f t="shared" si="33"/>
        <v>0</v>
      </c>
      <c r="F430" s="11">
        <f t="shared" si="34"/>
        <v>1</v>
      </c>
      <c r="G430" s="16"/>
      <c r="H430" s="11">
        <f>COUNTIF(Events!$A$2:$A$391,$A430)</f>
        <v>0</v>
      </c>
      <c r="I430" s="11" t="str">
        <f>IFERROR(INDEX(Events!$E$2:$E$391,MATCH($A430,Events!$A$2:$A$391,0)),"")</f>
        <v/>
      </c>
    </row>
    <row r="431" spans="1:9" ht="15" customHeight="1" x14ac:dyDescent="0.35">
      <c r="A431" s="12">
        <v>45721</v>
      </c>
      <c r="B431" s="11">
        <f t="shared" si="30"/>
        <v>2025</v>
      </c>
      <c r="C431" s="11">
        <f t="shared" si="31"/>
        <v>3</v>
      </c>
      <c r="D431" s="11" t="str">
        <f t="shared" si="32"/>
        <v>Wed</v>
      </c>
      <c r="E431" s="11">
        <f t="shared" si="33"/>
        <v>0</v>
      </c>
      <c r="F431" s="11">
        <f t="shared" si="34"/>
        <v>1</v>
      </c>
      <c r="G431" s="16"/>
      <c r="H431" s="11">
        <f>COUNTIF(Events!$A$2:$A$391,$A431)</f>
        <v>0</v>
      </c>
      <c r="I431" s="11" t="str">
        <f>IFERROR(INDEX(Events!$E$2:$E$391,MATCH($A431,Events!$A$2:$A$391,0)),"")</f>
        <v/>
      </c>
    </row>
    <row r="432" spans="1:9" ht="15" customHeight="1" x14ac:dyDescent="0.35">
      <c r="A432" s="12">
        <v>45722</v>
      </c>
      <c r="B432" s="11">
        <f t="shared" si="30"/>
        <v>2025</v>
      </c>
      <c r="C432" s="11">
        <f t="shared" si="31"/>
        <v>3</v>
      </c>
      <c r="D432" s="11" t="str">
        <f t="shared" si="32"/>
        <v>Thu</v>
      </c>
      <c r="E432" s="11">
        <f t="shared" si="33"/>
        <v>0</v>
      </c>
      <c r="F432" s="11">
        <f t="shared" si="34"/>
        <v>1</v>
      </c>
      <c r="G432" s="16"/>
      <c r="H432" s="11">
        <f>COUNTIF(Events!$A$2:$A$391,$A432)</f>
        <v>0</v>
      </c>
      <c r="I432" s="11" t="str">
        <f>IFERROR(INDEX(Events!$E$2:$E$391,MATCH($A432,Events!$A$2:$A$391,0)),"")</f>
        <v/>
      </c>
    </row>
    <row r="433" spans="1:9" ht="15" customHeight="1" x14ac:dyDescent="0.35">
      <c r="A433" s="12">
        <v>45723</v>
      </c>
      <c r="B433" s="11">
        <f t="shared" si="30"/>
        <v>2025</v>
      </c>
      <c r="C433" s="11">
        <f t="shared" si="31"/>
        <v>3</v>
      </c>
      <c r="D433" s="11" t="str">
        <f t="shared" si="32"/>
        <v>Fri</v>
      </c>
      <c r="E433" s="11">
        <f t="shared" si="33"/>
        <v>0</v>
      </c>
      <c r="F433" s="11">
        <f t="shared" si="34"/>
        <v>1</v>
      </c>
      <c r="G433" s="16"/>
      <c r="H433" s="11">
        <f>COUNTIF(Events!$A$2:$A$391,$A433)</f>
        <v>0</v>
      </c>
      <c r="I433" s="11" t="str">
        <f>IFERROR(INDEX(Events!$E$2:$E$391,MATCH($A433,Events!$A$2:$A$391,0)),"")</f>
        <v/>
      </c>
    </row>
    <row r="434" spans="1:9" ht="15" customHeight="1" x14ac:dyDescent="0.35">
      <c r="A434" s="12">
        <v>45724</v>
      </c>
      <c r="B434" s="11">
        <f t="shared" si="30"/>
        <v>2025</v>
      </c>
      <c r="C434" s="11">
        <f t="shared" si="31"/>
        <v>3</v>
      </c>
      <c r="D434" s="11" t="str">
        <f t="shared" si="32"/>
        <v>Sat</v>
      </c>
      <c r="E434" s="11">
        <f t="shared" si="33"/>
        <v>0</v>
      </c>
      <c r="F434" s="11">
        <f t="shared" si="34"/>
        <v>1</v>
      </c>
      <c r="G434" s="16"/>
      <c r="H434" s="11">
        <f>COUNTIF(Events!$A$2:$A$391,$A434)</f>
        <v>0</v>
      </c>
      <c r="I434" s="11" t="str">
        <f>IFERROR(INDEX(Events!$E$2:$E$391,MATCH($A434,Events!$A$2:$A$391,0)),"")</f>
        <v/>
      </c>
    </row>
    <row r="435" spans="1:9" ht="15" customHeight="1" x14ac:dyDescent="0.35">
      <c r="A435" s="12">
        <v>45725</v>
      </c>
      <c r="B435" s="11">
        <f t="shared" si="30"/>
        <v>2025</v>
      </c>
      <c r="C435" s="11">
        <f t="shared" si="31"/>
        <v>3</v>
      </c>
      <c r="D435" s="11" t="str">
        <f t="shared" si="32"/>
        <v>Sun</v>
      </c>
      <c r="E435" s="11">
        <f t="shared" si="33"/>
        <v>0</v>
      </c>
      <c r="F435" s="11">
        <f t="shared" si="34"/>
        <v>1</v>
      </c>
      <c r="G435" s="16"/>
      <c r="H435" s="11">
        <f>COUNTIF(Events!$A$2:$A$391,$A435)</f>
        <v>0</v>
      </c>
      <c r="I435" s="11" t="str">
        <f>IFERROR(INDEX(Events!$E$2:$E$391,MATCH($A435,Events!$A$2:$A$391,0)),"")</f>
        <v/>
      </c>
    </row>
    <row r="436" spans="1:9" ht="15" customHeight="1" x14ac:dyDescent="0.35">
      <c r="A436" s="12">
        <v>45726</v>
      </c>
      <c r="B436" s="11">
        <f t="shared" si="30"/>
        <v>2025</v>
      </c>
      <c r="C436" s="11">
        <f t="shared" si="31"/>
        <v>3</v>
      </c>
      <c r="D436" s="11" t="str">
        <f t="shared" si="32"/>
        <v>Mon</v>
      </c>
      <c r="E436" s="11">
        <f t="shared" si="33"/>
        <v>0</v>
      </c>
      <c r="F436" s="11">
        <f t="shared" si="34"/>
        <v>1</v>
      </c>
      <c r="G436" s="16"/>
      <c r="H436" s="11">
        <f>COUNTIF(Events!$A$2:$A$391,$A436)</f>
        <v>0</v>
      </c>
      <c r="I436" s="11" t="str">
        <f>IFERROR(INDEX(Events!$E$2:$E$391,MATCH($A436,Events!$A$2:$A$391,0)),"")</f>
        <v/>
      </c>
    </row>
    <row r="437" spans="1:9" ht="15" customHeight="1" x14ac:dyDescent="0.35">
      <c r="A437" s="12">
        <v>45727</v>
      </c>
      <c r="B437" s="11">
        <f t="shared" si="30"/>
        <v>2025</v>
      </c>
      <c r="C437" s="11">
        <f t="shared" si="31"/>
        <v>3</v>
      </c>
      <c r="D437" s="11" t="str">
        <f t="shared" si="32"/>
        <v>Tue</v>
      </c>
      <c r="E437" s="11">
        <f t="shared" si="33"/>
        <v>0</v>
      </c>
      <c r="F437" s="11">
        <f t="shared" si="34"/>
        <v>1</v>
      </c>
      <c r="G437" s="16"/>
      <c r="H437" s="11">
        <f>COUNTIF(Events!$A$2:$A$391,$A437)</f>
        <v>0</v>
      </c>
      <c r="I437" s="11" t="str">
        <f>IFERROR(INDEX(Events!$E$2:$E$391,MATCH($A437,Events!$A$2:$A$391,0)),"")</f>
        <v/>
      </c>
    </row>
    <row r="438" spans="1:9" ht="15" customHeight="1" x14ac:dyDescent="0.35">
      <c r="A438" s="12">
        <v>45728</v>
      </c>
      <c r="B438" s="11">
        <f t="shared" si="30"/>
        <v>2025</v>
      </c>
      <c r="C438" s="11">
        <f t="shared" si="31"/>
        <v>3</v>
      </c>
      <c r="D438" s="11" t="str">
        <f t="shared" si="32"/>
        <v>Wed</v>
      </c>
      <c r="E438" s="11">
        <f t="shared" si="33"/>
        <v>0</v>
      </c>
      <c r="F438" s="11">
        <f t="shared" si="34"/>
        <v>1</v>
      </c>
      <c r="G438" s="16"/>
      <c r="H438" s="11">
        <f>COUNTIF(Events!$A$2:$A$391,$A438)</f>
        <v>0</v>
      </c>
      <c r="I438" s="11" t="str">
        <f>IFERROR(INDEX(Events!$E$2:$E$391,MATCH($A438,Events!$A$2:$A$391,0)),"")</f>
        <v/>
      </c>
    </row>
    <row r="439" spans="1:9" ht="15" customHeight="1" x14ac:dyDescent="0.35">
      <c r="A439" s="12">
        <v>45729</v>
      </c>
      <c r="B439" s="11">
        <f t="shared" si="30"/>
        <v>2025</v>
      </c>
      <c r="C439" s="11">
        <f t="shared" si="31"/>
        <v>3</v>
      </c>
      <c r="D439" s="11" t="str">
        <f t="shared" si="32"/>
        <v>Thu</v>
      </c>
      <c r="E439" s="11">
        <f t="shared" si="33"/>
        <v>0</v>
      </c>
      <c r="F439" s="11">
        <f t="shared" si="34"/>
        <v>1</v>
      </c>
      <c r="G439" s="16"/>
      <c r="H439" s="11">
        <f>COUNTIF(Events!$A$2:$A$391,$A439)</f>
        <v>0</v>
      </c>
      <c r="I439" s="11" t="str">
        <f>IFERROR(INDEX(Events!$E$2:$E$391,MATCH($A439,Events!$A$2:$A$391,0)),"")</f>
        <v/>
      </c>
    </row>
    <row r="440" spans="1:9" ht="15" customHeight="1" x14ac:dyDescent="0.35">
      <c r="A440" s="12">
        <v>45730</v>
      </c>
      <c r="B440" s="11">
        <f t="shared" si="30"/>
        <v>2025</v>
      </c>
      <c r="C440" s="11">
        <f t="shared" si="31"/>
        <v>3</v>
      </c>
      <c r="D440" s="11" t="str">
        <f t="shared" si="32"/>
        <v>Fri</v>
      </c>
      <c r="E440" s="11">
        <f t="shared" si="33"/>
        <v>0</v>
      </c>
      <c r="F440" s="11">
        <f t="shared" si="34"/>
        <v>1</v>
      </c>
      <c r="G440" s="16"/>
      <c r="H440" s="11">
        <f>COUNTIF(Events!$A$2:$A$391,$A440)</f>
        <v>0</v>
      </c>
      <c r="I440" s="11" t="str">
        <f>IFERROR(INDEX(Events!$E$2:$E$391,MATCH($A440,Events!$A$2:$A$391,0)),"")</f>
        <v/>
      </c>
    </row>
    <row r="441" spans="1:9" ht="15" customHeight="1" x14ac:dyDescent="0.35">
      <c r="A441" s="12">
        <v>45731</v>
      </c>
      <c r="B441" s="11">
        <f t="shared" si="30"/>
        <v>2025</v>
      </c>
      <c r="C441" s="11">
        <f t="shared" si="31"/>
        <v>3</v>
      </c>
      <c r="D441" s="11" t="str">
        <f t="shared" si="32"/>
        <v>Sat</v>
      </c>
      <c r="E441" s="11">
        <f t="shared" si="33"/>
        <v>0</v>
      </c>
      <c r="F441" s="11">
        <f t="shared" si="34"/>
        <v>1</v>
      </c>
      <c r="G441" s="16"/>
      <c r="H441" s="11">
        <f>COUNTIF(Events!$A$2:$A$391,$A441)</f>
        <v>0</v>
      </c>
      <c r="I441" s="11" t="str">
        <f>IFERROR(INDEX(Events!$E$2:$E$391,MATCH($A441,Events!$A$2:$A$391,0)),"")</f>
        <v/>
      </c>
    </row>
    <row r="442" spans="1:9" ht="15" customHeight="1" x14ac:dyDescent="0.35">
      <c r="A442" s="12">
        <v>45732</v>
      </c>
      <c r="B442" s="11">
        <f t="shared" si="30"/>
        <v>2025</v>
      </c>
      <c r="C442" s="11">
        <f t="shared" si="31"/>
        <v>3</v>
      </c>
      <c r="D442" s="11" t="str">
        <f t="shared" si="32"/>
        <v>Sun</v>
      </c>
      <c r="E442" s="11">
        <f t="shared" si="33"/>
        <v>0</v>
      </c>
      <c r="F442" s="11">
        <f t="shared" si="34"/>
        <v>1</v>
      </c>
      <c r="G442" s="16"/>
      <c r="H442" s="11">
        <f>COUNTIF(Events!$A$2:$A$391,$A442)</f>
        <v>0</v>
      </c>
      <c r="I442" s="11" t="str">
        <f>IFERROR(INDEX(Events!$E$2:$E$391,MATCH($A442,Events!$A$2:$A$391,0)),"")</f>
        <v/>
      </c>
    </row>
    <row r="443" spans="1:9" ht="15" customHeight="1" x14ac:dyDescent="0.35">
      <c r="A443" s="12">
        <v>45733</v>
      </c>
      <c r="B443" s="11">
        <f t="shared" si="30"/>
        <v>2025</v>
      </c>
      <c r="C443" s="11">
        <f t="shared" si="31"/>
        <v>3</v>
      </c>
      <c r="D443" s="11" t="str">
        <f t="shared" si="32"/>
        <v>Mon</v>
      </c>
      <c r="E443" s="11">
        <f t="shared" si="33"/>
        <v>0</v>
      </c>
      <c r="F443" s="11">
        <f t="shared" si="34"/>
        <v>1</v>
      </c>
      <c r="G443" s="16"/>
      <c r="H443" s="11">
        <f>COUNTIF(Events!$A$2:$A$391,$A443)</f>
        <v>0</v>
      </c>
      <c r="I443" s="11" t="str">
        <f>IFERROR(INDEX(Events!$E$2:$E$391,MATCH($A443,Events!$A$2:$A$391,0)),"")</f>
        <v/>
      </c>
    </row>
    <row r="444" spans="1:9" ht="15" customHeight="1" x14ac:dyDescent="0.35">
      <c r="A444" s="12">
        <v>45734</v>
      </c>
      <c r="B444" s="11">
        <f t="shared" si="30"/>
        <v>2025</v>
      </c>
      <c r="C444" s="11">
        <f t="shared" si="31"/>
        <v>3</v>
      </c>
      <c r="D444" s="11" t="str">
        <f t="shared" si="32"/>
        <v>Tue</v>
      </c>
      <c r="E444" s="11">
        <f t="shared" si="33"/>
        <v>0</v>
      </c>
      <c r="F444" s="11">
        <f t="shared" si="34"/>
        <v>1</v>
      </c>
      <c r="G444" s="16"/>
      <c r="H444" s="11">
        <f>COUNTIF(Events!$A$2:$A$391,$A444)</f>
        <v>0</v>
      </c>
      <c r="I444" s="11" t="str">
        <f>IFERROR(INDEX(Events!$E$2:$E$391,MATCH($A444,Events!$A$2:$A$391,0)),"")</f>
        <v/>
      </c>
    </row>
    <row r="445" spans="1:9" ht="15" customHeight="1" x14ac:dyDescent="0.35">
      <c r="A445" s="12">
        <v>45735</v>
      </c>
      <c r="B445" s="11">
        <f t="shared" si="30"/>
        <v>2025</v>
      </c>
      <c r="C445" s="11">
        <f t="shared" si="31"/>
        <v>3</v>
      </c>
      <c r="D445" s="11" t="str">
        <f t="shared" si="32"/>
        <v>Wed</v>
      </c>
      <c r="E445" s="11">
        <f t="shared" si="33"/>
        <v>0</v>
      </c>
      <c r="F445" s="11">
        <f t="shared" si="34"/>
        <v>1</v>
      </c>
      <c r="G445" s="16"/>
      <c r="H445" s="11">
        <f>COUNTIF(Events!$A$2:$A$391,$A445)</f>
        <v>0</v>
      </c>
      <c r="I445" s="11" t="str">
        <f>IFERROR(INDEX(Events!$E$2:$E$391,MATCH($A445,Events!$A$2:$A$391,0)),"")</f>
        <v/>
      </c>
    </row>
    <row r="446" spans="1:9" ht="15" customHeight="1" x14ac:dyDescent="0.35">
      <c r="A446" s="12">
        <v>45736</v>
      </c>
      <c r="B446" s="11">
        <f t="shared" si="30"/>
        <v>2025</v>
      </c>
      <c r="C446" s="11">
        <f t="shared" si="31"/>
        <v>3</v>
      </c>
      <c r="D446" s="11" t="str">
        <f t="shared" si="32"/>
        <v>Thu</v>
      </c>
      <c r="E446" s="11">
        <f t="shared" si="33"/>
        <v>0</v>
      </c>
      <c r="F446" s="11">
        <f t="shared" si="34"/>
        <v>1</v>
      </c>
      <c r="G446" s="16"/>
      <c r="H446" s="11">
        <f>COUNTIF(Events!$A$2:$A$391,$A446)</f>
        <v>0</v>
      </c>
      <c r="I446" s="11" t="str">
        <f>IFERROR(INDEX(Events!$E$2:$E$391,MATCH($A446,Events!$A$2:$A$391,0)),"")</f>
        <v/>
      </c>
    </row>
    <row r="447" spans="1:9" ht="15" customHeight="1" x14ac:dyDescent="0.35">
      <c r="A447" s="12">
        <v>45737</v>
      </c>
      <c r="B447" s="11">
        <f t="shared" si="30"/>
        <v>2025</v>
      </c>
      <c r="C447" s="11">
        <f t="shared" si="31"/>
        <v>3</v>
      </c>
      <c r="D447" s="11" t="str">
        <f t="shared" si="32"/>
        <v>Fri</v>
      </c>
      <c r="E447" s="11">
        <f t="shared" si="33"/>
        <v>0</v>
      </c>
      <c r="F447" s="11">
        <f t="shared" si="34"/>
        <v>1</v>
      </c>
      <c r="G447" s="16"/>
      <c r="H447" s="11">
        <f>COUNTIF(Events!$A$2:$A$391,$A447)</f>
        <v>0</v>
      </c>
      <c r="I447" s="11" t="str">
        <f>IFERROR(INDEX(Events!$E$2:$E$391,MATCH($A447,Events!$A$2:$A$391,0)),"")</f>
        <v/>
      </c>
    </row>
    <row r="448" spans="1:9" ht="15" customHeight="1" x14ac:dyDescent="0.35">
      <c r="A448" s="12">
        <v>45738</v>
      </c>
      <c r="B448" s="11">
        <f t="shared" si="30"/>
        <v>2025</v>
      </c>
      <c r="C448" s="11">
        <f t="shared" si="31"/>
        <v>3</v>
      </c>
      <c r="D448" s="11" t="str">
        <f t="shared" si="32"/>
        <v>Sat</v>
      </c>
      <c r="E448" s="11">
        <f t="shared" si="33"/>
        <v>0</v>
      </c>
      <c r="F448" s="11">
        <f t="shared" si="34"/>
        <v>1</v>
      </c>
      <c r="G448" s="16"/>
      <c r="H448" s="11">
        <f>COUNTIF(Events!$A$2:$A$391,$A448)</f>
        <v>0</v>
      </c>
      <c r="I448" s="11" t="str">
        <f>IFERROR(INDEX(Events!$E$2:$E$391,MATCH($A448,Events!$A$2:$A$391,0)),"")</f>
        <v/>
      </c>
    </row>
    <row r="449" spans="1:9" ht="15" customHeight="1" x14ac:dyDescent="0.35">
      <c r="A449" s="12">
        <v>45739</v>
      </c>
      <c r="B449" s="11">
        <f t="shared" si="30"/>
        <v>2025</v>
      </c>
      <c r="C449" s="11">
        <f t="shared" si="31"/>
        <v>3</v>
      </c>
      <c r="D449" s="11" t="str">
        <f t="shared" si="32"/>
        <v>Sun</v>
      </c>
      <c r="E449" s="11">
        <f t="shared" si="33"/>
        <v>0</v>
      </c>
      <c r="F449" s="11">
        <f t="shared" si="34"/>
        <v>1</v>
      </c>
      <c r="G449" s="16"/>
      <c r="H449" s="11">
        <f>COUNTIF(Events!$A$2:$A$391,$A449)</f>
        <v>0</v>
      </c>
      <c r="I449" s="11" t="str">
        <f>IFERROR(INDEX(Events!$E$2:$E$391,MATCH($A449,Events!$A$2:$A$391,0)),"")</f>
        <v/>
      </c>
    </row>
    <row r="450" spans="1:9" ht="15" customHeight="1" x14ac:dyDescent="0.35">
      <c r="A450" s="12">
        <v>45740</v>
      </c>
      <c r="B450" s="11">
        <f t="shared" ref="B450:B513" si="35">YEAR($A450)</f>
        <v>2025</v>
      </c>
      <c r="C450" s="11">
        <f t="shared" ref="C450:C513" si="36">MONTH($A450)</f>
        <v>3</v>
      </c>
      <c r="D450" s="11" t="str">
        <f t="shared" ref="D450:D513" si="37">TEXT($A450,"ddd")</f>
        <v>Mon</v>
      </c>
      <c r="E450" s="11">
        <f t="shared" ref="E450:E513" si="38">IF(OR(AND(MONTH($A450)=10,DAY($A450)&gt;=15),MONTH($A450)=11,AND(MONTH($A450)=12,DAY($A450)&lt;=7)),1,0)</f>
        <v>0</v>
      </c>
      <c r="F450" s="11">
        <f t="shared" ref="F450:F513" si="39">IF(MONTH($A450)&lt;=3,1,0)</f>
        <v>1</v>
      </c>
      <c r="G450" s="16"/>
      <c r="H450" s="11">
        <f>COUNTIF(Events!$A$2:$A$391,$A450)</f>
        <v>0</v>
      </c>
      <c r="I450" s="11" t="str">
        <f>IFERROR(INDEX(Events!$E$2:$E$391,MATCH($A450,Events!$A$2:$A$391,0)),"")</f>
        <v/>
      </c>
    </row>
    <row r="451" spans="1:9" ht="15" customHeight="1" x14ac:dyDescent="0.35">
      <c r="A451" s="12">
        <v>45741</v>
      </c>
      <c r="B451" s="11">
        <f t="shared" si="35"/>
        <v>2025</v>
      </c>
      <c r="C451" s="11">
        <f t="shared" si="36"/>
        <v>3</v>
      </c>
      <c r="D451" s="11" t="str">
        <f t="shared" si="37"/>
        <v>Tue</v>
      </c>
      <c r="E451" s="11">
        <f t="shared" si="38"/>
        <v>0</v>
      </c>
      <c r="F451" s="11">
        <f t="shared" si="39"/>
        <v>1</v>
      </c>
      <c r="G451" s="16"/>
      <c r="H451" s="11">
        <f>COUNTIF(Events!$A$2:$A$391,$A451)</f>
        <v>0</v>
      </c>
      <c r="I451" s="11" t="str">
        <f>IFERROR(INDEX(Events!$E$2:$E$391,MATCH($A451,Events!$A$2:$A$391,0)),"")</f>
        <v/>
      </c>
    </row>
    <row r="452" spans="1:9" ht="15" customHeight="1" x14ac:dyDescent="0.35">
      <c r="A452" s="12">
        <v>45742</v>
      </c>
      <c r="B452" s="11">
        <f t="shared" si="35"/>
        <v>2025</v>
      </c>
      <c r="C452" s="11">
        <f t="shared" si="36"/>
        <v>3</v>
      </c>
      <c r="D452" s="11" t="str">
        <f t="shared" si="37"/>
        <v>Wed</v>
      </c>
      <c r="E452" s="11">
        <f t="shared" si="38"/>
        <v>0</v>
      </c>
      <c r="F452" s="11">
        <f t="shared" si="39"/>
        <v>1</v>
      </c>
      <c r="G452" s="16"/>
      <c r="H452" s="11">
        <f>COUNTIF(Events!$A$2:$A$391,$A452)</f>
        <v>0</v>
      </c>
      <c r="I452" s="11" t="str">
        <f>IFERROR(INDEX(Events!$E$2:$E$391,MATCH($A452,Events!$A$2:$A$391,0)),"")</f>
        <v/>
      </c>
    </row>
    <row r="453" spans="1:9" ht="15" customHeight="1" x14ac:dyDescent="0.35">
      <c r="A453" s="12">
        <v>45743</v>
      </c>
      <c r="B453" s="11">
        <f t="shared" si="35"/>
        <v>2025</v>
      </c>
      <c r="C453" s="11">
        <f t="shared" si="36"/>
        <v>3</v>
      </c>
      <c r="D453" s="11" t="str">
        <f t="shared" si="37"/>
        <v>Thu</v>
      </c>
      <c r="E453" s="11">
        <f t="shared" si="38"/>
        <v>0</v>
      </c>
      <c r="F453" s="11">
        <f t="shared" si="39"/>
        <v>1</v>
      </c>
      <c r="G453" s="16"/>
      <c r="H453" s="11">
        <f>COUNTIF(Events!$A$2:$A$391,$A453)</f>
        <v>0</v>
      </c>
      <c r="I453" s="11" t="str">
        <f>IFERROR(INDEX(Events!$E$2:$E$391,MATCH($A453,Events!$A$2:$A$391,0)),"")</f>
        <v/>
      </c>
    </row>
    <row r="454" spans="1:9" ht="15" customHeight="1" x14ac:dyDescent="0.35">
      <c r="A454" s="12">
        <v>45744</v>
      </c>
      <c r="B454" s="11">
        <f t="shared" si="35"/>
        <v>2025</v>
      </c>
      <c r="C454" s="11">
        <f t="shared" si="36"/>
        <v>3</v>
      </c>
      <c r="D454" s="11" t="str">
        <f t="shared" si="37"/>
        <v>Fri</v>
      </c>
      <c r="E454" s="11">
        <f t="shared" si="38"/>
        <v>0</v>
      </c>
      <c r="F454" s="11">
        <f t="shared" si="39"/>
        <v>1</v>
      </c>
      <c r="G454" s="16"/>
      <c r="H454" s="11">
        <f>COUNTIF(Events!$A$2:$A$391,$A454)</f>
        <v>0</v>
      </c>
      <c r="I454" s="11" t="str">
        <f>IFERROR(INDEX(Events!$E$2:$E$391,MATCH($A454,Events!$A$2:$A$391,0)),"")</f>
        <v/>
      </c>
    </row>
    <row r="455" spans="1:9" ht="15" customHeight="1" x14ac:dyDescent="0.35">
      <c r="A455" s="12">
        <v>45745</v>
      </c>
      <c r="B455" s="11">
        <f t="shared" si="35"/>
        <v>2025</v>
      </c>
      <c r="C455" s="11">
        <f t="shared" si="36"/>
        <v>3</v>
      </c>
      <c r="D455" s="11" t="str">
        <f t="shared" si="37"/>
        <v>Sat</v>
      </c>
      <c r="E455" s="11">
        <f t="shared" si="38"/>
        <v>0</v>
      </c>
      <c r="F455" s="11">
        <f t="shared" si="39"/>
        <v>1</v>
      </c>
      <c r="G455" s="16"/>
      <c r="H455" s="11">
        <f>COUNTIF(Events!$A$2:$A$391,$A455)</f>
        <v>0</v>
      </c>
      <c r="I455" s="11" t="str">
        <f>IFERROR(INDEX(Events!$E$2:$E$391,MATCH($A455,Events!$A$2:$A$391,0)),"")</f>
        <v/>
      </c>
    </row>
    <row r="456" spans="1:9" ht="15" customHeight="1" x14ac:dyDescent="0.35">
      <c r="A456" s="12">
        <v>45746</v>
      </c>
      <c r="B456" s="11">
        <f t="shared" si="35"/>
        <v>2025</v>
      </c>
      <c r="C456" s="11">
        <f t="shared" si="36"/>
        <v>3</v>
      </c>
      <c r="D456" s="11" t="str">
        <f t="shared" si="37"/>
        <v>Sun</v>
      </c>
      <c r="E456" s="11">
        <f t="shared" si="38"/>
        <v>0</v>
      </c>
      <c r="F456" s="11">
        <f t="shared" si="39"/>
        <v>1</v>
      </c>
      <c r="G456" s="16"/>
      <c r="H456" s="11">
        <f>COUNTIF(Events!$A$2:$A$391,$A456)</f>
        <v>0</v>
      </c>
      <c r="I456" s="11" t="str">
        <f>IFERROR(INDEX(Events!$E$2:$E$391,MATCH($A456,Events!$A$2:$A$391,0)),"")</f>
        <v/>
      </c>
    </row>
    <row r="457" spans="1:9" ht="15" customHeight="1" x14ac:dyDescent="0.35">
      <c r="A457" s="12">
        <v>45747</v>
      </c>
      <c r="B457" s="11">
        <f t="shared" si="35"/>
        <v>2025</v>
      </c>
      <c r="C457" s="11">
        <f t="shared" si="36"/>
        <v>3</v>
      </c>
      <c r="D457" s="11" t="str">
        <f t="shared" si="37"/>
        <v>Mon</v>
      </c>
      <c r="E457" s="11">
        <f t="shared" si="38"/>
        <v>0</v>
      </c>
      <c r="F457" s="11">
        <f t="shared" si="39"/>
        <v>1</v>
      </c>
      <c r="G457" s="16"/>
      <c r="H457" s="11">
        <f>COUNTIF(Events!$A$2:$A$391,$A457)</f>
        <v>0</v>
      </c>
      <c r="I457" s="11" t="str">
        <f>IFERROR(INDEX(Events!$E$2:$E$391,MATCH($A457,Events!$A$2:$A$391,0)),"")</f>
        <v/>
      </c>
    </row>
    <row r="458" spans="1:9" ht="15" customHeight="1" x14ac:dyDescent="0.35">
      <c r="A458" s="12">
        <v>45748</v>
      </c>
      <c r="B458" s="11">
        <f t="shared" si="35"/>
        <v>2025</v>
      </c>
      <c r="C458" s="11">
        <f t="shared" si="36"/>
        <v>4</v>
      </c>
      <c r="D458" s="11" t="str">
        <f t="shared" si="37"/>
        <v>Tue</v>
      </c>
      <c r="E458" s="11">
        <f t="shared" si="38"/>
        <v>0</v>
      </c>
      <c r="F458" s="11">
        <f t="shared" si="39"/>
        <v>0</v>
      </c>
      <c r="G458" s="16"/>
      <c r="H458" s="11">
        <f>COUNTIF(Events!$A$2:$A$391,$A458)</f>
        <v>0</v>
      </c>
      <c r="I458" s="11" t="str">
        <f>IFERROR(INDEX(Events!$E$2:$E$391,MATCH($A458,Events!$A$2:$A$391,0)),"")</f>
        <v/>
      </c>
    </row>
    <row r="459" spans="1:9" ht="15" customHeight="1" x14ac:dyDescent="0.35">
      <c r="A459" s="12">
        <v>45749</v>
      </c>
      <c r="B459" s="11">
        <f t="shared" si="35"/>
        <v>2025</v>
      </c>
      <c r="C459" s="11">
        <f t="shared" si="36"/>
        <v>4</v>
      </c>
      <c r="D459" s="11" t="str">
        <f t="shared" si="37"/>
        <v>Wed</v>
      </c>
      <c r="E459" s="11">
        <f t="shared" si="38"/>
        <v>0</v>
      </c>
      <c r="F459" s="11">
        <f t="shared" si="39"/>
        <v>0</v>
      </c>
      <c r="G459" s="16"/>
      <c r="H459" s="11">
        <f>COUNTIF(Events!$A$2:$A$391,$A459)</f>
        <v>0</v>
      </c>
      <c r="I459" s="11" t="str">
        <f>IFERROR(INDEX(Events!$E$2:$E$391,MATCH($A459,Events!$A$2:$A$391,0)),"")</f>
        <v/>
      </c>
    </row>
    <row r="460" spans="1:9" ht="15" customHeight="1" x14ac:dyDescent="0.35">
      <c r="A460" s="12">
        <v>45750</v>
      </c>
      <c r="B460" s="11">
        <f t="shared" si="35"/>
        <v>2025</v>
      </c>
      <c r="C460" s="11">
        <f t="shared" si="36"/>
        <v>4</v>
      </c>
      <c r="D460" s="11" t="str">
        <f t="shared" si="37"/>
        <v>Thu</v>
      </c>
      <c r="E460" s="11">
        <f t="shared" si="38"/>
        <v>0</v>
      </c>
      <c r="F460" s="11">
        <f t="shared" si="39"/>
        <v>0</v>
      </c>
      <c r="G460" s="16"/>
      <c r="H460" s="11">
        <f>COUNTIF(Events!$A$2:$A$391,$A460)</f>
        <v>0</v>
      </c>
      <c r="I460" s="11" t="str">
        <f>IFERROR(INDEX(Events!$E$2:$E$391,MATCH($A460,Events!$A$2:$A$391,0)),"")</f>
        <v/>
      </c>
    </row>
    <row r="461" spans="1:9" ht="15" customHeight="1" x14ac:dyDescent="0.35">
      <c r="A461" s="12">
        <v>45751</v>
      </c>
      <c r="B461" s="11">
        <f t="shared" si="35"/>
        <v>2025</v>
      </c>
      <c r="C461" s="11">
        <f t="shared" si="36"/>
        <v>4</v>
      </c>
      <c r="D461" s="11" t="str">
        <f t="shared" si="37"/>
        <v>Fri</v>
      </c>
      <c r="E461" s="11">
        <f t="shared" si="38"/>
        <v>0</v>
      </c>
      <c r="F461" s="11">
        <f t="shared" si="39"/>
        <v>0</v>
      </c>
      <c r="G461" s="16"/>
      <c r="H461" s="11">
        <f>COUNTIF(Events!$A$2:$A$391,$A461)</f>
        <v>1</v>
      </c>
      <c r="I461" s="11" t="str">
        <f>IFERROR(INDEX(Events!$E$2:$E$391,MATCH($A461,Events!$A$2:$A$391,0)),"")</f>
        <v>CY2026 Final Rule (CMS-4208-F): scaled back vs proposed (dropped anti-obesity meds, AI guardrails, health equity analysis); finalized inpatient prior-auth protections, appeals loophole fixes, SSBCI non-allowable list, Rx Payment Plan auto-renewal, D-SNP integrated ID cards/HRAs by 2027</v>
      </c>
    </row>
    <row r="462" spans="1:9" ht="15" customHeight="1" x14ac:dyDescent="0.35">
      <c r="A462" s="12">
        <v>45752</v>
      </c>
      <c r="B462" s="11">
        <f t="shared" si="35"/>
        <v>2025</v>
      </c>
      <c r="C462" s="11">
        <f t="shared" si="36"/>
        <v>4</v>
      </c>
      <c r="D462" s="11" t="str">
        <f t="shared" si="37"/>
        <v>Sat</v>
      </c>
      <c r="E462" s="11">
        <f t="shared" si="38"/>
        <v>0</v>
      </c>
      <c r="F462" s="11">
        <f t="shared" si="39"/>
        <v>0</v>
      </c>
      <c r="G462" s="16"/>
      <c r="H462" s="11">
        <f>COUNTIF(Events!$A$2:$A$391,$A462)</f>
        <v>0</v>
      </c>
      <c r="I462" s="11" t="str">
        <f>IFERROR(INDEX(Events!$E$2:$E$391,MATCH($A462,Events!$A$2:$A$391,0)),"")</f>
        <v/>
      </c>
    </row>
    <row r="463" spans="1:9" ht="15" customHeight="1" x14ac:dyDescent="0.35">
      <c r="A463" s="12">
        <v>45753</v>
      </c>
      <c r="B463" s="11">
        <f t="shared" si="35"/>
        <v>2025</v>
      </c>
      <c r="C463" s="11">
        <f t="shared" si="36"/>
        <v>4</v>
      </c>
      <c r="D463" s="11" t="str">
        <f t="shared" si="37"/>
        <v>Sun</v>
      </c>
      <c r="E463" s="11">
        <f t="shared" si="38"/>
        <v>0</v>
      </c>
      <c r="F463" s="11">
        <f t="shared" si="39"/>
        <v>0</v>
      </c>
      <c r="G463" s="16"/>
      <c r="H463" s="11">
        <f>COUNTIF(Events!$A$2:$A$391,$A463)</f>
        <v>0</v>
      </c>
      <c r="I463" s="11" t="str">
        <f>IFERROR(INDEX(Events!$E$2:$E$391,MATCH($A463,Events!$A$2:$A$391,0)),"")</f>
        <v/>
      </c>
    </row>
    <row r="464" spans="1:9" ht="15" customHeight="1" x14ac:dyDescent="0.35">
      <c r="A464" s="12">
        <v>45754</v>
      </c>
      <c r="B464" s="11">
        <f t="shared" si="35"/>
        <v>2025</v>
      </c>
      <c r="C464" s="11">
        <f t="shared" si="36"/>
        <v>4</v>
      </c>
      <c r="D464" s="11" t="str">
        <f t="shared" si="37"/>
        <v>Mon</v>
      </c>
      <c r="E464" s="11">
        <f t="shared" si="38"/>
        <v>0</v>
      </c>
      <c r="F464" s="11">
        <f t="shared" si="39"/>
        <v>0</v>
      </c>
      <c r="G464" s="16"/>
      <c r="H464" s="11">
        <f>COUNTIF(Events!$A$2:$A$391,$A464)</f>
        <v>1</v>
      </c>
      <c r="I464" s="11" t="str">
        <f>IFERROR(INDEX(Events!$E$2:$E$391,MATCH($A464,Events!$A$2:$A$391,0)),"")</f>
        <v>CY2026 Rate Announcement: +5.06% avg payment (~$25B, up from proposed 4.33%); V28 risk model phase-in complete (100%); Final CY2026 Part D Redesign Instructions</v>
      </c>
    </row>
    <row r="465" spans="1:9" ht="15" customHeight="1" x14ac:dyDescent="0.35">
      <c r="A465" s="12">
        <v>45755</v>
      </c>
      <c r="B465" s="11">
        <f t="shared" si="35"/>
        <v>2025</v>
      </c>
      <c r="C465" s="11">
        <f t="shared" si="36"/>
        <v>4</v>
      </c>
      <c r="D465" s="11" t="str">
        <f t="shared" si="37"/>
        <v>Tue</v>
      </c>
      <c r="E465" s="11">
        <f t="shared" si="38"/>
        <v>0</v>
      </c>
      <c r="F465" s="11">
        <f t="shared" si="39"/>
        <v>0</v>
      </c>
      <c r="G465" s="16"/>
      <c r="H465" s="11">
        <f>COUNTIF(Events!$A$2:$A$391,$A465)</f>
        <v>0</v>
      </c>
      <c r="I465" s="11" t="str">
        <f>IFERROR(INDEX(Events!$E$2:$E$391,MATCH($A465,Events!$A$2:$A$391,0)),"")</f>
        <v/>
      </c>
    </row>
    <row r="466" spans="1:9" ht="15" customHeight="1" x14ac:dyDescent="0.35">
      <c r="A466" s="12">
        <v>45756</v>
      </c>
      <c r="B466" s="11">
        <f t="shared" si="35"/>
        <v>2025</v>
      </c>
      <c r="C466" s="11">
        <f t="shared" si="36"/>
        <v>4</v>
      </c>
      <c r="D466" s="11" t="str">
        <f t="shared" si="37"/>
        <v>Wed</v>
      </c>
      <c r="E466" s="11">
        <f t="shared" si="38"/>
        <v>0</v>
      </c>
      <c r="F466" s="11">
        <f t="shared" si="39"/>
        <v>0</v>
      </c>
      <c r="G466" s="16"/>
      <c r="H466" s="11">
        <f>COUNTIF(Events!$A$2:$A$391,$A466)</f>
        <v>0</v>
      </c>
      <c r="I466" s="11" t="str">
        <f>IFERROR(INDEX(Events!$E$2:$E$391,MATCH($A466,Events!$A$2:$A$391,0)),"")</f>
        <v/>
      </c>
    </row>
    <row r="467" spans="1:9" ht="15" customHeight="1" x14ac:dyDescent="0.35">
      <c r="A467" s="12">
        <v>45757</v>
      </c>
      <c r="B467" s="11">
        <f t="shared" si="35"/>
        <v>2025</v>
      </c>
      <c r="C467" s="11">
        <f t="shared" si="36"/>
        <v>4</v>
      </c>
      <c r="D467" s="11" t="str">
        <f t="shared" si="37"/>
        <v>Thu</v>
      </c>
      <c r="E467" s="11">
        <f t="shared" si="38"/>
        <v>0</v>
      </c>
      <c r="F467" s="11">
        <f t="shared" si="39"/>
        <v>0</v>
      </c>
      <c r="G467" s="16"/>
      <c r="H467" s="11">
        <f>COUNTIF(Events!$A$2:$A$391,$A467)</f>
        <v>0</v>
      </c>
      <c r="I467" s="11" t="str">
        <f>IFERROR(INDEX(Events!$E$2:$E$391,MATCH($A467,Events!$A$2:$A$391,0)),"")</f>
        <v/>
      </c>
    </row>
    <row r="468" spans="1:9" ht="15" customHeight="1" x14ac:dyDescent="0.35">
      <c r="A468" s="12">
        <v>45758</v>
      </c>
      <c r="B468" s="11">
        <f t="shared" si="35"/>
        <v>2025</v>
      </c>
      <c r="C468" s="11">
        <f t="shared" si="36"/>
        <v>4</v>
      </c>
      <c r="D468" s="11" t="str">
        <f t="shared" si="37"/>
        <v>Fri</v>
      </c>
      <c r="E468" s="11">
        <f t="shared" si="38"/>
        <v>0</v>
      </c>
      <c r="F468" s="11">
        <f t="shared" si="39"/>
        <v>0</v>
      </c>
      <c r="G468" s="16"/>
      <c r="H468" s="11">
        <f>COUNTIF(Events!$A$2:$A$391,$A468)</f>
        <v>0</v>
      </c>
      <c r="I468" s="11" t="str">
        <f>IFERROR(INDEX(Events!$E$2:$E$391,MATCH($A468,Events!$A$2:$A$391,0)),"")</f>
        <v/>
      </c>
    </row>
    <row r="469" spans="1:9" ht="15" customHeight="1" x14ac:dyDescent="0.35">
      <c r="A469" s="12">
        <v>45759</v>
      </c>
      <c r="B469" s="11">
        <f t="shared" si="35"/>
        <v>2025</v>
      </c>
      <c r="C469" s="11">
        <f t="shared" si="36"/>
        <v>4</v>
      </c>
      <c r="D469" s="11" t="str">
        <f t="shared" si="37"/>
        <v>Sat</v>
      </c>
      <c r="E469" s="11">
        <f t="shared" si="38"/>
        <v>0</v>
      </c>
      <c r="F469" s="11">
        <f t="shared" si="39"/>
        <v>0</v>
      </c>
      <c r="G469" s="16"/>
      <c r="H469" s="11">
        <f>COUNTIF(Events!$A$2:$A$391,$A469)</f>
        <v>0</v>
      </c>
      <c r="I469" s="11" t="str">
        <f>IFERROR(INDEX(Events!$E$2:$E$391,MATCH($A469,Events!$A$2:$A$391,0)),"")</f>
        <v/>
      </c>
    </row>
    <row r="470" spans="1:9" ht="15" customHeight="1" x14ac:dyDescent="0.35">
      <c r="A470" s="12">
        <v>45760</v>
      </c>
      <c r="B470" s="11">
        <f t="shared" si="35"/>
        <v>2025</v>
      </c>
      <c r="C470" s="11">
        <f t="shared" si="36"/>
        <v>4</v>
      </c>
      <c r="D470" s="11" t="str">
        <f t="shared" si="37"/>
        <v>Sun</v>
      </c>
      <c r="E470" s="11">
        <f t="shared" si="38"/>
        <v>0</v>
      </c>
      <c r="F470" s="11">
        <f t="shared" si="39"/>
        <v>0</v>
      </c>
      <c r="G470" s="16"/>
      <c r="H470" s="11">
        <f>COUNTIF(Events!$A$2:$A$391,$A470)</f>
        <v>0</v>
      </c>
      <c r="I470" s="11" t="str">
        <f>IFERROR(INDEX(Events!$E$2:$E$391,MATCH($A470,Events!$A$2:$A$391,0)),"")</f>
        <v/>
      </c>
    </row>
    <row r="471" spans="1:9" ht="15" customHeight="1" x14ac:dyDescent="0.35">
      <c r="A471" s="12">
        <v>45761</v>
      </c>
      <c r="B471" s="11">
        <f t="shared" si="35"/>
        <v>2025</v>
      </c>
      <c r="C471" s="11">
        <f t="shared" si="36"/>
        <v>4</v>
      </c>
      <c r="D471" s="11" t="str">
        <f t="shared" si="37"/>
        <v>Mon</v>
      </c>
      <c r="E471" s="11">
        <f t="shared" si="38"/>
        <v>0</v>
      </c>
      <c r="F471" s="11">
        <f t="shared" si="39"/>
        <v>0</v>
      </c>
      <c r="G471" s="16"/>
      <c r="H471" s="11">
        <f>COUNTIF(Events!$A$2:$A$391,$A471)</f>
        <v>0</v>
      </c>
      <c r="I471" s="11" t="str">
        <f>IFERROR(INDEX(Events!$E$2:$E$391,MATCH($A471,Events!$A$2:$A$391,0)),"")</f>
        <v/>
      </c>
    </row>
    <row r="472" spans="1:9" ht="15" customHeight="1" x14ac:dyDescent="0.35">
      <c r="A472" s="12">
        <v>45762</v>
      </c>
      <c r="B472" s="11">
        <f t="shared" si="35"/>
        <v>2025</v>
      </c>
      <c r="C472" s="11">
        <f t="shared" si="36"/>
        <v>4</v>
      </c>
      <c r="D472" s="11" t="str">
        <f t="shared" si="37"/>
        <v>Tue</v>
      </c>
      <c r="E472" s="11">
        <f t="shared" si="38"/>
        <v>0</v>
      </c>
      <c r="F472" s="11">
        <f t="shared" si="39"/>
        <v>0</v>
      </c>
      <c r="G472" s="16"/>
      <c r="H472" s="11">
        <f>COUNTIF(Events!$A$2:$A$391,$A472)</f>
        <v>0</v>
      </c>
      <c r="I472" s="11" t="str">
        <f>IFERROR(INDEX(Events!$E$2:$E$391,MATCH($A472,Events!$A$2:$A$391,0)),"")</f>
        <v/>
      </c>
    </row>
    <row r="473" spans="1:9" ht="15" customHeight="1" x14ac:dyDescent="0.35">
      <c r="A473" s="12">
        <v>45763</v>
      </c>
      <c r="B473" s="11">
        <f t="shared" si="35"/>
        <v>2025</v>
      </c>
      <c r="C473" s="11">
        <f t="shared" si="36"/>
        <v>4</v>
      </c>
      <c r="D473" s="11" t="str">
        <f t="shared" si="37"/>
        <v>Wed</v>
      </c>
      <c r="E473" s="11">
        <f t="shared" si="38"/>
        <v>0</v>
      </c>
      <c r="F473" s="11">
        <f t="shared" si="39"/>
        <v>0</v>
      </c>
      <c r="G473" s="16"/>
      <c r="H473" s="11">
        <f>COUNTIF(Events!$A$2:$A$391,$A473)</f>
        <v>0</v>
      </c>
      <c r="I473" s="11" t="str">
        <f>IFERROR(INDEX(Events!$E$2:$E$391,MATCH($A473,Events!$A$2:$A$391,0)),"")</f>
        <v/>
      </c>
    </row>
    <row r="474" spans="1:9" ht="15" customHeight="1" x14ac:dyDescent="0.35">
      <c r="A474" s="12">
        <v>45764</v>
      </c>
      <c r="B474" s="11">
        <f t="shared" si="35"/>
        <v>2025</v>
      </c>
      <c r="C474" s="11">
        <f t="shared" si="36"/>
        <v>4</v>
      </c>
      <c r="D474" s="11" t="str">
        <f t="shared" si="37"/>
        <v>Thu</v>
      </c>
      <c r="E474" s="11">
        <f t="shared" si="38"/>
        <v>0</v>
      </c>
      <c r="F474" s="11">
        <f t="shared" si="39"/>
        <v>0</v>
      </c>
      <c r="G474" s="16"/>
      <c r="H474" s="11">
        <f>COUNTIF(Events!$A$2:$A$391,$A474)</f>
        <v>0</v>
      </c>
      <c r="I474" s="11" t="str">
        <f>IFERROR(INDEX(Events!$E$2:$E$391,MATCH($A474,Events!$A$2:$A$391,0)),"")</f>
        <v/>
      </c>
    </row>
    <row r="475" spans="1:9" ht="15" customHeight="1" x14ac:dyDescent="0.35">
      <c r="A475" s="12">
        <v>45765</v>
      </c>
      <c r="B475" s="11">
        <f t="shared" si="35"/>
        <v>2025</v>
      </c>
      <c r="C475" s="11">
        <f t="shared" si="36"/>
        <v>4</v>
      </c>
      <c r="D475" s="11" t="str">
        <f t="shared" si="37"/>
        <v>Fri</v>
      </c>
      <c r="E475" s="11">
        <f t="shared" si="38"/>
        <v>0</v>
      </c>
      <c r="F475" s="11">
        <f t="shared" si="39"/>
        <v>0</v>
      </c>
      <c r="G475" s="16"/>
      <c r="H475" s="11">
        <f>COUNTIF(Events!$A$2:$A$391,$A475)</f>
        <v>0</v>
      </c>
      <c r="I475" s="11" t="str">
        <f>IFERROR(INDEX(Events!$E$2:$E$391,MATCH($A475,Events!$A$2:$A$391,0)),"")</f>
        <v/>
      </c>
    </row>
    <row r="476" spans="1:9" ht="15" customHeight="1" x14ac:dyDescent="0.35">
      <c r="A476" s="12">
        <v>45766</v>
      </c>
      <c r="B476" s="11">
        <f t="shared" si="35"/>
        <v>2025</v>
      </c>
      <c r="C476" s="11">
        <f t="shared" si="36"/>
        <v>4</v>
      </c>
      <c r="D476" s="11" t="str">
        <f t="shared" si="37"/>
        <v>Sat</v>
      </c>
      <c r="E476" s="11">
        <f t="shared" si="38"/>
        <v>0</v>
      </c>
      <c r="F476" s="11">
        <f t="shared" si="39"/>
        <v>0</v>
      </c>
      <c r="G476" s="16"/>
      <c r="H476" s="11">
        <f>COUNTIF(Events!$A$2:$A$391,$A476)</f>
        <v>0</v>
      </c>
      <c r="I476" s="11" t="str">
        <f>IFERROR(INDEX(Events!$E$2:$E$391,MATCH($A476,Events!$A$2:$A$391,0)),"")</f>
        <v/>
      </c>
    </row>
    <row r="477" spans="1:9" ht="15" customHeight="1" x14ac:dyDescent="0.35">
      <c r="A477" s="12">
        <v>45767</v>
      </c>
      <c r="B477" s="11">
        <f t="shared" si="35"/>
        <v>2025</v>
      </c>
      <c r="C477" s="11">
        <f t="shared" si="36"/>
        <v>4</v>
      </c>
      <c r="D477" s="11" t="str">
        <f t="shared" si="37"/>
        <v>Sun</v>
      </c>
      <c r="E477" s="11">
        <f t="shared" si="38"/>
        <v>0</v>
      </c>
      <c r="F477" s="11">
        <f t="shared" si="39"/>
        <v>0</v>
      </c>
      <c r="G477" s="16"/>
      <c r="H477" s="11">
        <f>COUNTIF(Events!$A$2:$A$391,$A477)</f>
        <v>0</v>
      </c>
      <c r="I477" s="11" t="str">
        <f>IFERROR(INDEX(Events!$E$2:$E$391,MATCH($A477,Events!$A$2:$A$391,0)),"")</f>
        <v/>
      </c>
    </row>
    <row r="478" spans="1:9" ht="15" customHeight="1" x14ac:dyDescent="0.35">
      <c r="A478" s="12">
        <v>45768</v>
      </c>
      <c r="B478" s="11">
        <f t="shared" si="35"/>
        <v>2025</v>
      </c>
      <c r="C478" s="11">
        <f t="shared" si="36"/>
        <v>4</v>
      </c>
      <c r="D478" s="11" t="str">
        <f t="shared" si="37"/>
        <v>Mon</v>
      </c>
      <c r="E478" s="11">
        <f t="shared" si="38"/>
        <v>0</v>
      </c>
      <c r="F478" s="11">
        <f t="shared" si="39"/>
        <v>0</v>
      </c>
      <c r="G478" s="16"/>
      <c r="H478" s="11">
        <f>COUNTIF(Events!$A$2:$A$391,$A478)</f>
        <v>0</v>
      </c>
      <c r="I478" s="11" t="str">
        <f>IFERROR(INDEX(Events!$E$2:$E$391,MATCH($A478,Events!$A$2:$A$391,0)),"")</f>
        <v/>
      </c>
    </row>
    <row r="479" spans="1:9" ht="15" customHeight="1" x14ac:dyDescent="0.35">
      <c r="A479" s="12">
        <v>45769</v>
      </c>
      <c r="B479" s="11">
        <f t="shared" si="35"/>
        <v>2025</v>
      </c>
      <c r="C479" s="11">
        <f t="shared" si="36"/>
        <v>4</v>
      </c>
      <c r="D479" s="11" t="str">
        <f t="shared" si="37"/>
        <v>Tue</v>
      </c>
      <c r="E479" s="11">
        <f t="shared" si="38"/>
        <v>0</v>
      </c>
      <c r="F479" s="11">
        <f t="shared" si="39"/>
        <v>0</v>
      </c>
      <c r="G479" s="16"/>
      <c r="H479" s="11">
        <f>COUNTIF(Events!$A$2:$A$391,$A479)</f>
        <v>0</v>
      </c>
      <c r="I479" s="11" t="str">
        <f>IFERROR(INDEX(Events!$E$2:$E$391,MATCH($A479,Events!$A$2:$A$391,0)),"")</f>
        <v/>
      </c>
    </row>
    <row r="480" spans="1:9" ht="15" customHeight="1" x14ac:dyDescent="0.35">
      <c r="A480" s="12">
        <v>45770</v>
      </c>
      <c r="B480" s="11">
        <f t="shared" si="35"/>
        <v>2025</v>
      </c>
      <c r="C480" s="11">
        <f t="shared" si="36"/>
        <v>4</v>
      </c>
      <c r="D480" s="11" t="str">
        <f t="shared" si="37"/>
        <v>Wed</v>
      </c>
      <c r="E480" s="11">
        <f t="shared" si="38"/>
        <v>0</v>
      </c>
      <c r="F480" s="11">
        <f t="shared" si="39"/>
        <v>0</v>
      </c>
      <c r="G480" s="16"/>
      <c r="H480" s="11">
        <f>COUNTIF(Events!$A$2:$A$391,$A480)</f>
        <v>0</v>
      </c>
      <c r="I480" s="11" t="str">
        <f>IFERROR(INDEX(Events!$E$2:$E$391,MATCH($A480,Events!$A$2:$A$391,0)),"")</f>
        <v/>
      </c>
    </row>
    <row r="481" spans="1:9" ht="15" customHeight="1" x14ac:dyDescent="0.35">
      <c r="A481" s="12">
        <v>45771</v>
      </c>
      <c r="B481" s="11">
        <f t="shared" si="35"/>
        <v>2025</v>
      </c>
      <c r="C481" s="11">
        <f t="shared" si="36"/>
        <v>4</v>
      </c>
      <c r="D481" s="11" t="str">
        <f t="shared" si="37"/>
        <v>Thu</v>
      </c>
      <c r="E481" s="11">
        <f t="shared" si="38"/>
        <v>0</v>
      </c>
      <c r="F481" s="11">
        <f t="shared" si="39"/>
        <v>0</v>
      </c>
      <c r="G481" s="16"/>
      <c r="H481" s="11">
        <f>COUNTIF(Events!$A$2:$A$391,$A481)</f>
        <v>0</v>
      </c>
      <c r="I481" s="11" t="str">
        <f>IFERROR(INDEX(Events!$E$2:$E$391,MATCH($A481,Events!$A$2:$A$391,0)),"")</f>
        <v/>
      </c>
    </row>
    <row r="482" spans="1:9" ht="15" customHeight="1" x14ac:dyDescent="0.35">
      <c r="A482" s="12">
        <v>45772</v>
      </c>
      <c r="B482" s="11">
        <f t="shared" si="35"/>
        <v>2025</v>
      </c>
      <c r="C482" s="11">
        <f t="shared" si="36"/>
        <v>4</v>
      </c>
      <c r="D482" s="11" t="str">
        <f t="shared" si="37"/>
        <v>Fri</v>
      </c>
      <c r="E482" s="11">
        <f t="shared" si="38"/>
        <v>0</v>
      </c>
      <c r="F482" s="11">
        <f t="shared" si="39"/>
        <v>0</v>
      </c>
      <c r="G482" s="16"/>
      <c r="H482" s="11">
        <f>COUNTIF(Events!$A$2:$A$391,$A482)</f>
        <v>0</v>
      </c>
      <c r="I482" s="11" t="str">
        <f>IFERROR(INDEX(Events!$E$2:$E$391,MATCH($A482,Events!$A$2:$A$391,0)),"")</f>
        <v/>
      </c>
    </row>
    <row r="483" spans="1:9" ht="15" customHeight="1" x14ac:dyDescent="0.35">
      <c r="A483" s="12">
        <v>45773</v>
      </c>
      <c r="B483" s="11">
        <f t="shared" si="35"/>
        <v>2025</v>
      </c>
      <c r="C483" s="11">
        <f t="shared" si="36"/>
        <v>4</v>
      </c>
      <c r="D483" s="11" t="str">
        <f t="shared" si="37"/>
        <v>Sat</v>
      </c>
      <c r="E483" s="11">
        <f t="shared" si="38"/>
        <v>0</v>
      </c>
      <c r="F483" s="11">
        <f t="shared" si="39"/>
        <v>0</v>
      </c>
      <c r="G483" s="16"/>
      <c r="H483" s="11">
        <f>COUNTIF(Events!$A$2:$A$391,$A483)</f>
        <v>0</v>
      </c>
      <c r="I483" s="11" t="str">
        <f>IFERROR(INDEX(Events!$E$2:$E$391,MATCH($A483,Events!$A$2:$A$391,0)),"")</f>
        <v/>
      </c>
    </row>
    <row r="484" spans="1:9" ht="15" customHeight="1" x14ac:dyDescent="0.35">
      <c r="A484" s="12">
        <v>45774</v>
      </c>
      <c r="B484" s="11">
        <f t="shared" si="35"/>
        <v>2025</v>
      </c>
      <c r="C484" s="11">
        <f t="shared" si="36"/>
        <v>4</v>
      </c>
      <c r="D484" s="11" t="str">
        <f t="shared" si="37"/>
        <v>Sun</v>
      </c>
      <c r="E484" s="11">
        <f t="shared" si="38"/>
        <v>0</v>
      </c>
      <c r="F484" s="11">
        <f t="shared" si="39"/>
        <v>0</v>
      </c>
      <c r="G484" s="16"/>
      <c r="H484" s="11">
        <f>COUNTIF(Events!$A$2:$A$391,$A484)</f>
        <v>0</v>
      </c>
      <c r="I484" s="11" t="str">
        <f>IFERROR(INDEX(Events!$E$2:$E$391,MATCH($A484,Events!$A$2:$A$391,0)),"")</f>
        <v/>
      </c>
    </row>
    <row r="485" spans="1:9" ht="15" customHeight="1" x14ac:dyDescent="0.35">
      <c r="A485" s="12">
        <v>45775</v>
      </c>
      <c r="B485" s="11">
        <f t="shared" si="35"/>
        <v>2025</v>
      </c>
      <c r="C485" s="11">
        <f t="shared" si="36"/>
        <v>4</v>
      </c>
      <c r="D485" s="11" t="str">
        <f t="shared" si="37"/>
        <v>Mon</v>
      </c>
      <c r="E485" s="11">
        <f t="shared" si="38"/>
        <v>0</v>
      </c>
      <c r="F485" s="11">
        <f t="shared" si="39"/>
        <v>0</v>
      </c>
      <c r="G485" s="16"/>
      <c r="H485" s="11">
        <f>COUNTIF(Events!$A$2:$A$391,$A485)</f>
        <v>0</v>
      </c>
      <c r="I485" s="11" t="str">
        <f>IFERROR(INDEX(Events!$E$2:$E$391,MATCH($A485,Events!$A$2:$A$391,0)),"")</f>
        <v/>
      </c>
    </row>
    <row r="486" spans="1:9" ht="15" customHeight="1" x14ac:dyDescent="0.35">
      <c r="A486" s="12">
        <v>45776</v>
      </c>
      <c r="B486" s="11">
        <f t="shared" si="35"/>
        <v>2025</v>
      </c>
      <c r="C486" s="11">
        <f t="shared" si="36"/>
        <v>4</v>
      </c>
      <c r="D486" s="11" t="str">
        <f t="shared" si="37"/>
        <v>Tue</v>
      </c>
      <c r="E486" s="11">
        <f t="shared" si="38"/>
        <v>0</v>
      </c>
      <c r="F486" s="11">
        <f t="shared" si="39"/>
        <v>0</v>
      </c>
      <c r="G486" s="16"/>
      <c r="H486" s="11">
        <f>COUNTIF(Events!$A$2:$A$391,$A486)</f>
        <v>0</v>
      </c>
      <c r="I486" s="11" t="str">
        <f>IFERROR(INDEX(Events!$E$2:$E$391,MATCH($A486,Events!$A$2:$A$391,0)),"")</f>
        <v/>
      </c>
    </row>
    <row r="487" spans="1:9" ht="15" customHeight="1" x14ac:dyDescent="0.35">
      <c r="A487" s="12">
        <v>45777</v>
      </c>
      <c r="B487" s="11">
        <f t="shared" si="35"/>
        <v>2025</v>
      </c>
      <c r="C487" s="11">
        <f t="shared" si="36"/>
        <v>4</v>
      </c>
      <c r="D487" s="11" t="str">
        <f t="shared" si="37"/>
        <v>Wed</v>
      </c>
      <c r="E487" s="11">
        <f t="shared" si="38"/>
        <v>0</v>
      </c>
      <c r="F487" s="11">
        <f t="shared" si="39"/>
        <v>0</v>
      </c>
      <c r="G487" s="16"/>
      <c r="H487" s="11">
        <f>COUNTIF(Events!$A$2:$A$391,$A487)</f>
        <v>0</v>
      </c>
      <c r="I487" s="11" t="str">
        <f>IFERROR(INDEX(Events!$E$2:$E$391,MATCH($A487,Events!$A$2:$A$391,0)),"")</f>
        <v/>
      </c>
    </row>
    <row r="488" spans="1:9" ht="15" customHeight="1" x14ac:dyDescent="0.35">
      <c r="A488" s="12">
        <v>45778</v>
      </c>
      <c r="B488" s="11">
        <f t="shared" si="35"/>
        <v>2025</v>
      </c>
      <c r="C488" s="11">
        <f t="shared" si="36"/>
        <v>5</v>
      </c>
      <c r="D488" s="11" t="str">
        <f t="shared" si="37"/>
        <v>Thu</v>
      </c>
      <c r="E488" s="11">
        <f t="shared" si="38"/>
        <v>0</v>
      </c>
      <c r="F488" s="11">
        <f t="shared" si="39"/>
        <v>0</v>
      </c>
      <c r="G488" s="16"/>
      <c r="H488" s="11">
        <f>COUNTIF(Events!$A$2:$A$391,$A488)</f>
        <v>0</v>
      </c>
      <c r="I488" s="11" t="str">
        <f>IFERROR(INDEX(Events!$E$2:$E$391,MATCH($A488,Events!$A$2:$A$391,0)),"")</f>
        <v/>
      </c>
    </row>
    <row r="489" spans="1:9" ht="15" customHeight="1" x14ac:dyDescent="0.35">
      <c r="A489" s="12">
        <v>45779</v>
      </c>
      <c r="B489" s="11">
        <f t="shared" si="35"/>
        <v>2025</v>
      </c>
      <c r="C489" s="11">
        <f t="shared" si="36"/>
        <v>5</v>
      </c>
      <c r="D489" s="11" t="str">
        <f t="shared" si="37"/>
        <v>Fri</v>
      </c>
      <c r="E489" s="11">
        <f t="shared" si="38"/>
        <v>0</v>
      </c>
      <c r="F489" s="11">
        <f t="shared" si="39"/>
        <v>0</v>
      </c>
      <c r="G489" s="16"/>
      <c r="H489" s="11">
        <f>COUNTIF(Events!$A$2:$A$391,$A489)</f>
        <v>0</v>
      </c>
      <c r="I489" s="11" t="str">
        <f>IFERROR(INDEX(Events!$E$2:$E$391,MATCH($A489,Events!$A$2:$A$391,0)),"")</f>
        <v/>
      </c>
    </row>
    <row r="490" spans="1:9" ht="15" customHeight="1" x14ac:dyDescent="0.35">
      <c r="A490" s="12">
        <v>45780</v>
      </c>
      <c r="B490" s="11">
        <f t="shared" si="35"/>
        <v>2025</v>
      </c>
      <c r="C490" s="11">
        <f t="shared" si="36"/>
        <v>5</v>
      </c>
      <c r="D490" s="11" t="str">
        <f t="shared" si="37"/>
        <v>Sat</v>
      </c>
      <c r="E490" s="11">
        <f t="shared" si="38"/>
        <v>0</v>
      </c>
      <c r="F490" s="11">
        <f t="shared" si="39"/>
        <v>0</v>
      </c>
      <c r="G490" s="16"/>
      <c r="H490" s="11">
        <f>COUNTIF(Events!$A$2:$A$391,$A490)</f>
        <v>0</v>
      </c>
      <c r="I490" s="11" t="str">
        <f>IFERROR(INDEX(Events!$E$2:$E$391,MATCH($A490,Events!$A$2:$A$391,0)),"")</f>
        <v/>
      </c>
    </row>
    <row r="491" spans="1:9" ht="15" customHeight="1" x14ac:dyDescent="0.35">
      <c r="A491" s="12">
        <v>45781</v>
      </c>
      <c r="B491" s="11">
        <f t="shared" si="35"/>
        <v>2025</v>
      </c>
      <c r="C491" s="11">
        <f t="shared" si="36"/>
        <v>5</v>
      </c>
      <c r="D491" s="11" t="str">
        <f t="shared" si="37"/>
        <v>Sun</v>
      </c>
      <c r="E491" s="11">
        <f t="shared" si="38"/>
        <v>0</v>
      </c>
      <c r="F491" s="11">
        <f t="shared" si="39"/>
        <v>0</v>
      </c>
      <c r="G491" s="16"/>
      <c r="H491" s="11">
        <f>COUNTIF(Events!$A$2:$A$391,$A491)</f>
        <v>0</v>
      </c>
      <c r="I491" s="11" t="str">
        <f>IFERROR(INDEX(Events!$E$2:$E$391,MATCH($A491,Events!$A$2:$A$391,0)),"")</f>
        <v/>
      </c>
    </row>
    <row r="492" spans="1:9" ht="15" customHeight="1" x14ac:dyDescent="0.35">
      <c r="A492" s="12">
        <v>45782</v>
      </c>
      <c r="B492" s="11">
        <f t="shared" si="35"/>
        <v>2025</v>
      </c>
      <c r="C492" s="11">
        <f t="shared" si="36"/>
        <v>5</v>
      </c>
      <c r="D492" s="11" t="str">
        <f t="shared" si="37"/>
        <v>Mon</v>
      </c>
      <c r="E492" s="11">
        <f t="shared" si="38"/>
        <v>0</v>
      </c>
      <c r="F492" s="11">
        <f t="shared" si="39"/>
        <v>0</v>
      </c>
      <c r="G492" s="16"/>
      <c r="H492" s="11">
        <f>COUNTIF(Events!$A$2:$A$391,$A492)</f>
        <v>0</v>
      </c>
      <c r="I492" s="11" t="str">
        <f>IFERROR(INDEX(Events!$E$2:$E$391,MATCH($A492,Events!$A$2:$A$391,0)),"")</f>
        <v/>
      </c>
    </row>
    <row r="493" spans="1:9" ht="15" customHeight="1" x14ac:dyDescent="0.35">
      <c r="A493" s="12">
        <v>45783</v>
      </c>
      <c r="B493" s="11">
        <f t="shared" si="35"/>
        <v>2025</v>
      </c>
      <c r="C493" s="11">
        <f t="shared" si="36"/>
        <v>5</v>
      </c>
      <c r="D493" s="11" t="str">
        <f t="shared" si="37"/>
        <v>Tue</v>
      </c>
      <c r="E493" s="11">
        <f t="shared" si="38"/>
        <v>0</v>
      </c>
      <c r="F493" s="11">
        <f t="shared" si="39"/>
        <v>0</v>
      </c>
      <c r="G493" s="16"/>
      <c r="H493" s="11">
        <f>COUNTIF(Events!$A$2:$A$391,$A493)</f>
        <v>0</v>
      </c>
      <c r="I493" s="11" t="str">
        <f>IFERROR(INDEX(Events!$E$2:$E$391,MATCH($A493,Events!$A$2:$A$391,0)),"")</f>
        <v/>
      </c>
    </row>
    <row r="494" spans="1:9" ht="15" customHeight="1" x14ac:dyDescent="0.35">
      <c r="A494" s="12">
        <v>45784</v>
      </c>
      <c r="B494" s="11">
        <f t="shared" si="35"/>
        <v>2025</v>
      </c>
      <c r="C494" s="11">
        <f t="shared" si="36"/>
        <v>5</v>
      </c>
      <c r="D494" s="11" t="str">
        <f t="shared" si="37"/>
        <v>Wed</v>
      </c>
      <c r="E494" s="11">
        <f t="shared" si="38"/>
        <v>0</v>
      </c>
      <c r="F494" s="11">
        <f t="shared" si="39"/>
        <v>0</v>
      </c>
      <c r="G494" s="16"/>
      <c r="H494" s="11">
        <f>COUNTIF(Events!$A$2:$A$391,$A494)</f>
        <v>0</v>
      </c>
      <c r="I494" s="11" t="str">
        <f>IFERROR(INDEX(Events!$E$2:$E$391,MATCH($A494,Events!$A$2:$A$391,0)),"")</f>
        <v/>
      </c>
    </row>
    <row r="495" spans="1:9" ht="15" customHeight="1" x14ac:dyDescent="0.35">
      <c r="A495" s="12">
        <v>45785</v>
      </c>
      <c r="B495" s="11">
        <f t="shared" si="35"/>
        <v>2025</v>
      </c>
      <c r="C495" s="11">
        <f t="shared" si="36"/>
        <v>5</v>
      </c>
      <c r="D495" s="11" t="str">
        <f t="shared" si="37"/>
        <v>Thu</v>
      </c>
      <c r="E495" s="11">
        <f t="shared" si="38"/>
        <v>0</v>
      </c>
      <c r="F495" s="11">
        <f t="shared" si="39"/>
        <v>0</v>
      </c>
      <c r="G495" s="16"/>
      <c r="H495" s="11">
        <f>COUNTIF(Events!$A$2:$A$391,$A495)</f>
        <v>0</v>
      </c>
      <c r="I495" s="11" t="str">
        <f>IFERROR(INDEX(Events!$E$2:$E$391,MATCH($A495,Events!$A$2:$A$391,0)),"")</f>
        <v/>
      </c>
    </row>
    <row r="496" spans="1:9" ht="15" customHeight="1" x14ac:dyDescent="0.35">
      <c r="A496" s="12">
        <v>45786</v>
      </c>
      <c r="B496" s="11">
        <f t="shared" si="35"/>
        <v>2025</v>
      </c>
      <c r="C496" s="11">
        <f t="shared" si="36"/>
        <v>5</v>
      </c>
      <c r="D496" s="11" t="str">
        <f t="shared" si="37"/>
        <v>Fri</v>
      </c>
      <c r="E496" s="11">
        <f t="shared" si="38"/>
        <v>0</v>
      </c>
      <c r="F496" s="11">
        <f t="shared" si="39"/>
        <v>0</v>
      </c>
      <c r="G496" s="16"/>
      <c r="H496" s="11">
        <f>COUNTIF(Events!$A$2:$A$391,$A496)</f>
        <v>0</v>
      </c>
      <c r="I496" s="11" t="str">
        <f>IFERROR(INDEX(Events!$E$2:$E$391,MATCH($A496,Events!$A$2:$A$391,0)),"")</f>
        <v/>
      </c>
    </row>
    <row r="497" spans="1:9" ht="15" customHeight="1" x14ac:dyDescent="0.35">
      <c r="A497" s="12">
        <v>45787</v>
      </c>
      <c r="B497" s="11">
        <f t="shared" si="35"/>
        <v>2025</v>
      </c>
      <c r="C497" s="11">
        <f t="shared" si="36"/>
        <v>5</v>
      </c>
      <c r="D497" s="11" t="str">
        <f t="shared" si="37"/>
        <v>Sat</v>
      </c>
      <c r="E497" s="11">
        <f t="shared" si="38"/>
        <v>0</v>
      </c>
      <c r="F497" s="11">
        <f t="shared" si="39"/>
        <v>0</v>
      </c>
      <c r="G497" s="16"/>
      <c r="H497" s="11">
        <f>COUNTIF(Events!$A$2:$A$391,$A497)</f>
        <v>0</v>
      </c>
      <c r="I497" s="11" t="str">
        <f>IFERROR(INDEX(Events!$E$2:$E$391,MATCH($A497,Events!$A$2:$A$391,0)),"")</f>
        <v/>
      </c>
    </row>
    <row r="498" spans="1:9" ht="15" customHeight="1" x14ac:dyDescent="0.35">
      <c r="A498" s="12">
        <v>45788</v>
      </c>
      <c r="B498" s="11">
        <f t="shared" si="35"/>
        <v>2025</v>
      </c>
      <c r="C498" s="11">
        <f t="shared" si="36"/>
        <v>5</v>
      </c>
      <c r="D498" s="11" t="str">
        <f t="shared" si="37"/>
        <v>Sun</v>
      </c>
      <c r="E498" s="11">
        <f t="shared" si="38"/>
        <v>0</v>
      </c>
      <c r="F498" s="11">
        <f t="shared" si="39"/>
        <v>0</v>
      </c>
      <c r="G498" s="16"/>
      <c r="H498" s="11">
        <f>COUNTIF(Events!$A$2:$A$391,$A498)</f>
        <v>0</v>
      </c>
      <c r="I498" s="11" t="str">
        <f>IFERROR(INDEX(Events!$E$2:$E$391,MATCH($A498,Events!$A$2:$A$391,0)),"")</f>
        <v/>
      </c>
    </row>
    <row r="499" spans="1:9" ht="15" customHeight="1" x14ac:dyDescent="0.35">
      <c r="A499" s="12">
        <v>45789</v>
      </c>
      <c r="B499" s="11">
        <f t="shared" si="35"/>
        <v>2025</v>
      </c>
      <c r="C499" s="11">
        <f t="shared" si="36"/>
        <v>5</v>
      </c>
      <c r="D499" s="11" t="str">
        <f t="shared" si="37"/>
        <v>Mon</v>
      </c>
      <c r="E499" s="11">
        <f t="shared" si="38"/>
        <v>0</v>
      </c>
      <c r="F499" s="11">
        <f t="shared" si="39"/>
        <v>0</v>
      </c>
      <c r="G499" s="16"/>
      <c r="H499" s="11">
        <f>COUNTIF(Events!$A$2:$A$391,$A499)</f>
        <v>0</v>
      </c>
      <c r="I499" s="11" t="str">
        <f>IFERROR(INDEX(Events!$E$2:$E$391,MATCH($A499,Events!$A$2:$A$391,0)),"")</f>
        <v/>
      </c>
    </row>
    <row r="500" spans="1:9" ht="15" customHeight="1" x14ac:dyDescent="0.35">
      <c r="A500" s="12">
        <v>45790</v>
      </c>
      <c r="B500" s="11">
        <f t="shared" si="35"/>
        <v>2025</v>
      </c>
      <c r="C500" s="11">
        <f t="shared" si="36"/>
        <v>5</v>
      </c>
      <c r="D500" s="11" t="str">
        <f t="shared" si="37"/>
        <v>Tue</v>
      </c>
      <c r="E500" s="11">
        <f t="shared" si="38"/>
        <v>0</v>
      </c>
      <c r="F500" s="11">
        <f t="shared" si="39"/>
        <v>0</v>
      </c>
      <c r="G500" s="16"/>
      <c r="H500" s="11">
        <f>COUNTIF(Events!$A$2:$A$391,$A500)</f>
        <v>0</v>
      </c>
      <c r="I500" s="11" t="str">
        <f>IFERROR(INDEX(Events!$E$2:$E$391,MATCH($A500,Events!$A$2:$A$391,0)),"")</f>
        <v/>
      </c>
    </row>
    <row r="501" spans="1:9" ht="15" customHeight="1" x14ac:dyDescent="0.35">
      <c r="A501" s="12">
        <v>45791</v>
      </c>
      <c r="B501" s="11">
        <f t="shared" si="35"/>
        <v>2025</v>
      </c>
      <c r="C501" s="11">
        <f t="shared" si="36"/>
        <v>5</v>
      </c>
      <c r="D501" s="11" t="str">
        <f t="shared" si="37"/>
        <v>Wed</v>
      </c>
      <c r="E501" s="11">
        <f t="shared" si="38"/>
        <v>0</v>
      </c>
      <c r="F501" s="11">
        <f t="shared" si="39"/>
        <v>0</v>
      </c>
      <c r="G501" s="16"/>
      <c r="H501" s="11">
        <f>COUNTIF(Events!$A$2:$A$391,$A501)</f>
        <v>0</v>
      </c>
      <c r="I501" s="11" t="str">
        <f>IFERROR(INDEX(Events!$E$2:$E$391,MATCH($A501,Events!$A$2:$A$391,0)),"")</f>
        <v/>
      </c>
    </row>
    <row r="502" spans="1:9" ht="15" customHeight="1" x14ac:dyDescent="0.35">
      <c r="A502" s="12">
        <v>45792</v>
      </c>
      <c r="B502" s="11">
        <f t="shared" si="35"/>
        <v>2025</v>
      </c>
      <c r="C502" s="11">
        <f t="shared" si="36"/>
        <v>5</v>
      </c>
      <c r="D502" s="11" t="str">
        <f t="shared" si="37"/>
        <v>Thu</v>
      </c>
      <c r="E502" s="11">
        <f t="shared" si="38"/>
        <v>0</v>
      </c>
      <c r="F502" s="11">
        <f t="shared" si="39"/>
        <v>0</v>
      </c>
      <c r="G502" s="16"/>
      <c r="H502" s="11">
        <f>COUNTIF(Events!$A$2:$A$391,$A502)</f>
        <v>0</v>
      </c>
      <c r="I502" s="11" t="str">
        <f>IFERROR(INDEX(Events!$E$2:$E$391,MATCH($A502,Events!$A$2:$A$391,0)),"")</f>
        <v/>
      </c>
    </row>
    <row r="503" spans="1:9" ht="15" customHeight="1" x14ac:dyDescent="0.35">
      <c r="A503" s="12">
        <v>45793</v>
      </c>
      <c r="B503" s="11">
        <f t="shared" si="35"/>
        <v>2025</v>
      </c>
      <c r="C503" s="11">
        <f t="shared" si="36"/>
        <v>5</v>
      </c>
      <c r="D503" s="11" t="str">
        <f t="shared" si="37"/>
        <v>Fri</v>
      </c>
      <c r="E503" s="11">
        <f t="shared" si="38"/>
        <v>0</v>
      </c>
      <c r="F503" s="11">
        <f t="shared" si="39"/>
        <v>0</v>
      </c>
      <c r="G503" s="16"/>
      <c r="H503" s="11">
        <f>COUNTIF(Events!$A$2:$A$391,$A503)</f>
        <v>0</v>
      </c>
      <c r="I503" s="11" t="str">
        <f>IFERROR(INDEX(Events!$E$2:$E$391,MATCH($A503,Events!$A$2:$A$391,0)),"")</f>
        <v/>
      </c>
    </row>
    <row r="504" spans="1:9" ht="15" customHeight="1" x14ac:dyDescent="0.35">
      <c r="A504" s="12">
        <v>45794</v>
      </c>
      <c r="B504" s="11">
        <f t="shared" si="35"/>
        <v>2025</v>
      </c>
      <c r="C504" s="11">
        <f t="shared" si="36"/>
        <v>5</v>
      </c>
      <c r="D504" s="11" t="str">
        <f t="shared" si="37"/>
        <v>Sat</v>
      </c>
      <c r="E504" s="11">
        <f t="shared" si="38"/>
        <v>0</v>
      </c>
      <c r="F504" s="11">
        <f t="shared" si="39"/>
        <v>0</v>
      </c>
      <c r="G504" s="16"/>
      <c r="H504" s="11">
        <f>COUNTIF(Events!$A$2:$A$391,$A504)</f>
        <v>0</v>
      </c>
      <c r="I504" s="11" t="str">
        <f>IFERROR(INDEX(Events!$E$2:$E$391,MATCH($A504,Events!$A$2:$A$391,0)),"")</f>
        <v/>
      </c>
    </row>
    <row r="505" spans="1:9" ht="15" customHeight="1" x14ac:dyDescent="0.35">
      <c r="A505" s="12">
        <v>45795</v>
      </c>
      <c r="B505" s="11">
        <f t="shared" si="35"/>
        <v>2025</v>
      </c>
      <c r="C505" s="11">
        <f t="shared" si="36"/>
        <v>5</v>
      </c>
      <c r="D505" s="11" t="str">
        <f t="shared" si="37"/>
        <v>Sun</v>
      </c>
      <c r="E505" s="11">
        <f t="shared" si="38"/>
        <v>0</v>
      </c>
      <c r="F505" s="11">
        <f t="shared" si="39"/>
        <v>0</v>
      </c>
      <c r="G505" s="16"/>
      <c r="H505" s="11">
        <f>COUNTIF(Events!$A$2:$A$391,$A505)</f>
        <v>0</v>
      </c>
      <c r="I505" s="11" t="str">
        <f>IFERROR(INDEX(Events!$E$2:$E$391,MATCH($A505,Events!$A$2:$A$391,0)),"")</f>
        <v/>
      </c>
    </row>
    <row r="506" spans="1:9" ht="15" customHeight="1" x14ac:dyDescent="0.35">
      <c r="A506" s="12">
        <v>45796</v>
      </c>
      <c r="B506" s="11">
        <f t="shared" si="35"/>
        <v>2025</v>
      </c>
      <c r="C506" s="11">
        <f t="shared" si="36"/>
        <v>5</v>
      </c>
      <c r="D506" s="11" t="str">
        <f t="shared" si="37"/>
        <v>Mon</v>
      </c>
      <c r="E506" s="11">
        <f t="shared" si="38"/>
        <v>0</v>
      </c>
      <c r="F506" s="11">
        <f t="shared" si="39"/>
        <v>0</v>
      </c>
      <c r="G506" s="16"/>
      <c r="H506" s="11">
        <f>COUNTIF(Events!$A$2:$A$391,$A506)</f>
        <v>0</v>
      </c>
      <c r="I506" s="11" t="str">
        <f>IFERROR(INDEX(Events!$E$2:$E$391,MATCH($A506,Events!$A$2:$A$391,0)),"")</f>
        <v/>
      </c>
    </row>
    <row r="507" spans="1:9" ht="15" customHeight="1" x14ac:dyDescent="0.35">
      <c r="A507" s="12">
        <v>45797</v>
      </c>
      <c r="B507" s="11">
        <f t="shared" si="35"/>
        <v>2025</v>
      </c>
      <c r="C507" s="11">
        <f t="shared" si="36"/>
        <v>5</v>
      </c>
      <c r="D507" s="11" t="str">
        <f t="shared" si="37"/>
        <v>Tue</v>
      </c>
      <c r="E507" s="11">
        <f t="shared" si="38"/>
        <v>0</v>
      </c>
      <c r="F507" s="11">
        <f t="shared" si="39"/>
        <v>0</v>
      </c>
      <c r="G507" s="16"/>
      <c r="H507" s="11">
        <f>COUNTIF(Events!$A$2:$A$391,$A507)</f>
        <v>0</v>
      </c>
      <c r="I507" s="11" t="str">
        <f>IFERROR(INDEX(Events!$E$2:$E$391,MATCH($A507,Events!$A$2:$A$391,0)),"")</f>
        <v/>
      </c>
    </row>
    <row r="508" spans="1:9" ht="15" customHeight="1" x14ac:dyDescent="0.35">
      <c r="A508" s="12">
        <v>45798</v>
      </c>
      <c r="B508" s="11">
        <f t="shared" si="35"/>
        <v>2025</v>
      </c>
      <c r="C508" s="11">
        <f t="shared" si="36"/>
        <v>5</v>
      </c>
      <c r="D508" s="11" t="str">
        <f t="shared" si="37"/>
        <v>Wed</v>
      </c>
      <c r="E508" s="11">
        <f t="shared" si="38"/>
        <v>0</v>
      </c>
      <c r="F508" s="11">
        <f t="shared" si="39"/>
        <v>0</v>
      </c>
      <c r="G508" s="16"/>
      <c r="H508" s="11">
        <f>COUNTIF(Events!$A$2:$A$391,$A508)</f>
        <v>0</v>
      </c>
      <c r="I508" s="11" t="str">
        <f>IFERROR(INDEX(Events!$E$2:$E$391,MATCH($A508,Events!$A$2:$A$391,0)),"")</f>
        <v/>
      </c>
    </row>
    <row r="509" spans="1:9" ht="15" customHeight="1" x14ac:dyDescent="0.35">
      <c r="A509" s="12">
        <v>45799</v>
      </c>
      <c r="B509" s="11">
        <f t="shared" si="35"/>
        <v>2025</v>
      </c>
      <c r="C509" s="11">
        <f t="shared" si="36"/>
        <v>5</v>
      </c>
      <c r="D509" s="11" t="str">
        <f t="shared" si="37"/>
        <v>Thu</v>
      </c>
      <c r="E509" s="11">
        <f t="shared" si="38"/>
        <v>0</v>
      </c>
      <c r="F509" s="11">
        <f t="shared" si="39"/>
        <v>0</v>
      </c>
      <c r="G509" s="16"/>
      <c r="H509" s="11">
        <f>COUNTIF(Events!$A$2:$A$391,$A509)</f>
        <v>0</v>
      </c>
      <c r="I509" s="11" t="str">
        <f>IFERROR(INDEX(Events!$E$2:$E$391,MATCH($A509,Events!$A$2:$A$391,0)),"")</f>
        <v/>
      </c>
    </row>
    <row r="510" spans="1:9" ht="15" customHeight="1" x14ac:dyDescent="0.35">
      <c r="A510" s="12">
        <v>45800</v>
      </c>
      <c r="B510" s="11">
        <f t="shared" si="35"/>
        <v>2025</v>
      </c>
      <c r="C510" s="11">
        <f t="shared" si="36"/>
        <v>5</v>
      </c>
      <c r="D510" s="11" t="str">
        <f t="shared" si="37"/>
        <v>Fri</v>
      </c>
      <c r="E510" s="11">
        <f t="shared" si="38"/>
        <v>0</v>
      </c>
      <c r="F510" s="11">
        <f t="shared" si="39"/>
        <v>0</v>
      </c>
      <c r="G510" s="16"/>
      <c r="H510" s="11">
        <f>COUNTIF(Events!$A$2:$A$391,$A510)</f>
        <v>0</v>
      </c>
      <c r="I510" s="11" t="str">
        <f>IFERROR(INDEX(Events!$E$2:$E$391,MATCH($A510,Events!$A$2:$A$391,0)),"")</f>
        <v/>
      </c>
    </row>
    <row r="511" spans="1:9" ht="15" customHeight="1" x14ac:dyDescent="0.35">
      <c r="A511" s="12">
        <v>45801</v>
      </c>
      <c r="B511" s="11">
        <f t="shared" si="35"/>
        <v>2025</v>
      </c>
      <c r="C511" s="11">
        <f t="shared" si="36"/>
        <v>5</v>
      </c>
      <c r="D511" s="11" t="str">
        <f t="shared" si="37"/>
        <v>Sat</v>
      </c>
      <c r="E511" s="11">
        <f t="shared" si="38"/>
        <v>0</v>
      </c>
      <c r="F511" s="11">
        <f t="shared" si="39"/>
        <v>0</v>
      </c>
      <c r="G511" s="16"/>
      <c r="H511" s="11">
        <f>COUNTIF(Events!$A$2:$A$391,$A511)</f>
        <v>0</v>
      </c>
      <c r="I511" s="11" t="str">
        <f>IFERROR(INDEX(Events!$E$2:$E$391,MATCH($A511,Events!$A$2:$A$391,0)),"")</f>
        <v/>
      </c>
    </row>
    <row r="512" spans="1:9" ht="15" customHeight="1" x14ac:dyDescent="0.35">
      <c r="A512" s="12">
        <v>45802</v>
      </c>
      <c r="B512" s="11">
        <f t="shared" si="35"/>
        <v>2025</v>
      </c>
      <c r="C512" s="11">
        <f t="shared" si="36"/>
        <v>5</v>
      </c>
      <c r="D512" s="11" t="str">
        <f t="shared" si="37"/>
        <v>Sun</v>
      </c>
      <c r="E512" s="11">
        <f t="shared" si="38"/>
        <v>0</v>
      </c>
      <c r="F512" s="11">
        <f t="shared" si="39"/>
        <v>0</v>
      </c>
      <c r="G512" s="16"/>
      <c r="H512" s="11">
        <f>COUNTIF(Events!$A$2:$A$391,$A512)</f>
        <v>0</v>
      </c>
      <c r="I512" s="11" t="str">
        <f>IFERROR(INDEX(Events!$E$2:$E$391,MATCH($A512,Events!$A$2:$A$391,0)),"")</f>
        <v/>
      </c>
    </row>
    <row r="513" spans="1:9" ht="15" customHeight="1" x14ac:dyDescent="0.35">
      <c r="A513" s="12">
        <v>45803</v>
      </c>
      <c r="B513" s="11">
        <f t="shared" si="35"/>
        <v>2025</v>
      </c>
      <c r="C513" s="11">
        <f t="shared" si="36"/>
        <v>5</v>
      </c>
      <c r="D513" s="11" t="str">
        <f t="shared" si="37"/>
        <v>Mon</v>
      </c>
      <c r="E513" s="11">
        <f t="shared" si="38"/>
        <v>0</v>
      </c>
      <c r="F513" s="11">
        <f t="shared" si="39"/>
        <v>0</v>
      </c>
      <c r="G513" s="16"/>
      <c r="H513" s="11">
        <f>COUNTIF(Events!$A$2:$A$391,$A513)</f>
        <v>0</v>
      </c>
      <c r="I513" s="11" t="str">
        <f>IFERROR(INDEX(Events!$E$2:$E$391,MATCH($A513,Events!$A$2:$A$391,0)),"")</f>
        <v/>
      </c>
    </row>
    <row r="514" spans="1:9" ht="15" customHeight="1" x14ac:dyDescent="0.35">
      <c r="A514" s="12">
        <v>45804</v>
      </c>
      <c r="B514" s="11">
        <f t="shared" ref="B514:B577" si="40">YEAR($A514)</f>
        <v>2025</v>
      </c>
      <c r="C514" s="11">
        <f t="shared" ref="C514:C577" si="41">MONTH($A514)</f>
        <v>5</v>
      </c>
      <c r="D514" s="11" t="str">
        <f t="shared" ref="D514:D577" si="42">TEXT($A514,"ddd")</f>
        <v>Tue</v>
      </c>
      <c r="E514" s="11">
        <f t="shared" ref="E514:E577" si="43">IF(OR(AND(MONTH($A514)=10,DAY($A514)&gt;=15),MONTH($A514)=11,AND(MONTH($A514)=12,DAY($A514)&lt;=7)),1,0)</f>
        <v>0</v>
      </c>
      <c r="F514" s="11">
        <f t="shared" ref="F514:F577" si="44">IF(MONTH($A514)&lt;=3,1,0)</f>
        <v>0</v>
      </c>
      <c r="G514" s="16"/>
      <c r="H514" s="11">
        <f>COUNTIF(Events!$A$2:$A$391,$A514)</f>
        <v>0</v>
      </c>
      <c r="I514" s="11" t="str">
        <f>IFERROR(INDEX(Events!$E$2:$E$391,MATCH($A514,Events!$A$2:$A$391,0)),"")</f>
        <v/>
      </c>
    </row>
    <row r="515" spans="1:9" ht="15" customHeight="1" x14ac:dyDescent="0.35">
      <c r="A515" s="12">
        <v>45805</v>
      </c>
      <c r="B515" s="11">
        <f t="shared" si="40"/>
        <v>2025</v>
      </c>
      <c r="C515" s="11">
        <f t="shared" si="41"/>
        <v>5</v>
      </c>
      <c r="D515" s="11" t="str">
        <f t="shared" si="42"/>
        <v>Wed</v>
      </c>
      <c r="E515" s="11">
        <f t="shared" si="43"/>
        <v>0</v>
      </c>
      <c r="F515" s="11">
        <f t="shared" si="44"/>
        <v>0</v>
      </c>
      <c r="G515" s="16"/>
      <c r="H515" s="11">
        <f>COUNTIF(Events!$A$2:$A$391,$A515)</f>
        <v>0</v>
      </c>
      <c r="I515" s="11" t="str">
        <f>IFERROR(INDEX(Events!$E$2:$E$391,MATCH($A515,Events!$A$2:$A$391,0)),"")</f>
        <v/>
      </c>
    </row>
    <row r="516" spans="1:9" ht="15" customHeight="1" x14ac:dyDescent="0.35">
      <c r="A516" s="12">
        <v>45806</v>
      </c>
      <c r="B516" s="11">
        <f t="shared" si="40"/>
        <v>2025</v>
      </c>
      <c r="C516" s="11">
        <f t="shared" si="41"/>
        <v>5</v>
      </c>
      <c r="D516" s="11" t="str">
        <f t="shared" si="42"/>
        <v>Thu</v>
      </c>
      <c r="E516" s="11">
        <f t="shared" si="43"/>
        <v>0</v>
      </c>
      <c r="F516" s="11">
        <f t="shared" si="44"/>
        <v>0</v>
      </c>
      <c r="G516" s="16"/>
      <c r="H516" s="11">
        <f>COUNTIF(Events!$A$2:$A$391,$A516)</f>
        <v>0</v>
      </c>
      <c r="I516" s="11" t="str">
        <f>IFERROR(INDEX(Events!$E$2:$E$391,MATCH($A516,Events!$A$2:$A$391,0)),"")</f>
        <v/>
      </c>
    </row>
    <row r="517" spans="1:9" ht="15" customHeight="1" x14ac:dyDescent="0.35">
      <c r="A517" s="12">
        <v>45807</v>
      </c>
      <c r="B517" s="11">
        <f t="shared" si="40"/>
        <v>2025</v>
      </c>
      <c r="C517" s="11">
        <f t="shared" si="41"/>
        <v>5</v>
      </c>
      <c r="D517" s="11" t="str">
        <f t="shared" si="42"/>
        <v>Fri</v>
      </c>
      <c r="E517" s="11">
        <f t="shared" si="43"/>
        <v>0</v>
      </c>
      <c r="F517" s="11">
        <f t="shared" si="44"/>
        <v>0</v>
      </c>
      <c r="G517" s="16"/>
      <c r="H517" s="11">
        <f>COUNTIF(Events!$A$2:$A$391,$A517)</f>
        <v>0</v>
      </c>
      <c r="I517" s="11" t="str">
        <f>IFERROR(INDEX(Events!$E$2:$E$391,MATCH($A517,Events!$A$2:$A$391,0)),"")</f>
        <v/>
      </c>
    </row>
    <row r="518" spans="1:9" ht="15" customHeight="1" x14ac:dyDescent="0.35">
      <c r="A518" s="12">
        <v>45808</v>
      </c>
      <c r="B518" s="11">
        <f t="shared" si="40"/>
        <v>2025</v>
      </c>
      <c r="C518" s="11">
        <f t="shared" si="41"/>
        <v>5</v>
      </c>
      <c r="D518" s="11" t="str">
        <f t="shared" si="42"/>
        <v>Sat</v>
      </c>
      <c r="E518" s="11">
        <f t="shared" si="43"/>
        <v>0</v>
      </c>
      <c r="F518" s="11">
        <f t="shared" si="44"/>
        <v>0</v>
      </c>
      <c r="G518" s="16"/>
      <c r="H518" s="11">
        <f>COUNTIF(Events!$A$2:$A$391,$A518)</f>
        <v>0</v>
      </c>
      <c r="I518" s="11" t="str">
        <f>IFERROR(INDEX(Events!$E$2:$E$391,MATCH($A518,Events!$A$2:$A$391,0)),"")</f>
        <v/>
      </c>
    </row>
    <row r="519" spans="1:9" ht="15" customHeight="1" x14ac:dyDescent="0.35">
      <c r="A519" s="12">
        <v>45809</v>
      </c>
      <c r="B519" s="11">
        <f t="shared" si="40"/>
        <v>2025</v>
      </c>
      <c r="C519" s="11">
        <f t="shared" si="41"/>
        <v>6</v>
      </c>
      <c r="D519" s="11" t="str">
        <f t="shared" si="42"/>
        <v>Sun</v>
      </c>
      <c r="E519" s="11">
        <f t="shared" si="43"/>
        <v>0</v>
      </c>
      <c r="F519" s="11">
        <f t="shared" si="44"/>
        <v>0</v>
      </c>
      <c r="G519" s="16"/>
      <c r="H519" s="11">
        <f>COUNTIF(Events!$A$2:$A$391,$A519)</f>
        <v>0</v>
      </c>
      <c r="I519" s="11" t="str">
        <f>IFERROR(INDEX(Events!$E$2:$E$391,MATCH($A519,Events!$A$2:$A$391,0)),"")</f>
        <v/>
      </c>
    </row>
    <row r="520" spans="1:9" ht="15" customHeight="1" x14ac:dyDescent="0.35">
      <c r="A520" s="12">
        <v>45810</v>
      </c>
      <c r="B520" s="11">
        <f t="shared" si="40"/>
        <v>2025</v>
      </c>
      <c r="C520" s="11">
        <f t="shared" si="41"/>
        <v>6</v>
      </c>
      <c r="D520" s="11" t="str">
        <f t="shared" si="42"/>
        <v>Mon</v>
      </c>
      <c r="E520" s="11">
        <f t="shared" si="43"/>
        <v>0</v>
      </c>
      <c r="F520" s="11">
        <f t="shared" si="44"/>
        <v>0</v>
      </c>
      <c r="G520" s="16"/>
      <c r="H520" s="11">
        <f>COUNTIF(Events!$A$2:$A$391,$A520)</f>
        <v>1</v>
      </c>
      <c r="I520" s="11" t="str">
        <f>IFERROR(INDEX(Events!$E$2:$E$391,MATCH($A520,Events!$A$2:$A$391,0)),"")</f>
        <v>CY2026 MA plan bid submission deadline</v>
      </c>
    </row>
    <row r="521" spans="1:9" ht="15" customHeight="1" x14ac:dyDescent="0.35">
      <c r="A521" s="12">
        <v>45811</v>
      </c>
      <c r="B521" s="11">
        <f t="shared" si="40"/>
        <v>2025</v>
      </c>
      <c r="C521" s="11">
        <f t="shared" si="41"/>
        <v>6</v>
      </c>
      <c r="D521" s="11" t="str">
        <f t="shared" si="42"/>
        <v>Tue</v>
      </c>
      <c r="E521" s="11">
        <f t="shared" si="43"/>
        <v>0</v>
      </c>
      <c r="F521" s="11">
        <f t="shared" si="44"/>
        <v>0</v>
      </c>
      <c r="G521" s="16"/>
      <c r="H521" s="11">
        <f>COUNTIF(Events!$A$2:$A$391,$A521)</f>
        <v>0</v>
      </c>
      <c r="I521" s="11" t="str">
        <f>IFERROR(INDEX(Events!$E$2:$E$391,MATCH($A521,Events!$A$2:$A$391,0)),"")</f>
        <v/>
      </c>
    </row>
    <row r="522" spans="1:9" ht="15" customHeight="1" x14ac:dyDescent="0.35">
      <c r="A522" s="12">
        <v>45812</v>
      </c>
      <c r="B522" s="11">
        <f t="shared" si="40"/>
        <v>2025</v>
      </c>
      <c r="C522" s="11">
        <f t="shared" si="41"/>
        <v>6</v>
      </c>
      <c r="D522" s="11" t="str">
        <f t="shared" si="42"/>
        <v>Wed</v>
      </c>
      <c r="E522" s="11">
        <f t="shared" si="43"/>
        <v>0</v>
      </c>
      <c r="F522" s="11">
        <f t="shared" si="44"/>
        <v>0</v>
      </c>
      <c r="G522" s="16"/>
      <c r="H522" s="11">
        <f>COUNTIF(Events!$A$2:$A$391,$A522)</f>
        <v>0</v>
      </c>
      <c r="I522" s="11" t="str">
        <f>IFERROR(INDEX(Events!$E$2:$E$391,MATCH($A522,Events!$A$2:$A$391,0)),"")</f>
        <v/>
      </c>
    </row>
    <row r="523" spans="1:9" ht="15" customHeight="1" x14ac:dyDescent="0.35">
      <c r="A523" s="12">
        <v>45813</v>
      </c>
      <c r="B523" s="11">
        <f t="shared" si="40"/>
        <v>2025</v>
      </c>
      <c r="C523" s="11">
        <f t="shared" si="41"/>
        <v>6</v>
      </c>
      <c r="D523" s="11" t="str">
        <f t="shared" si="42"/>
        <v>Thu</v>
      </c>
      <c r="E523" s="11">
        <f t="shared" si="43"/>
        <v>0</v>
      </c>
      <c r="F523" s="11">
        <f t="shared" si="44"/>
        <v>0</v>
      </c>
      <c r="G523" s="16"/>
      <c r="H523" s="11">
        <f>COUNTIF(Events!$A$2:$A$391,$A523)</f>
        <v>0</v>
      </c>
      <c r="I523" s="11" t="str">
        <f>IFERROR(INDEX(Events!$E$2:$E$391,MATCH($A523,Events!$A$2:$A$391,0)),"")</f>
        <v/>
      </c>
    </row>
    <row r="524" spans="1:9" ht="15" customHeight="1" x14ac:dyDescent="0.35">
      <c r="A524" s="12">
        <v>45814</v>
      </c>
      <c r="B524" s="11">
        <f t="shared" si="40"/>
        <v>2025</v>
      </c>
      <c r="C524" s="11">
        <f t="shared" si="41"/>
        <v>6</v>
      </c>
      <c r="D524" s="11" t="str">
        <f t="shared" si="42"/>
        <v>Fri</v>
      </c>
      <c r="E524" s="11">
        <f t="shared" si="43"/>
        <v>0</v>
      </c>
      <c r="F524" s="11">
        <f t="shared" si="44"/>
        <v>0</v>
      </c>
      <c r="G524" s="16"/>
      <c r="H524" s="11">
        <f>COUNTIF(Events!$A$2:$A$391,$A524)</f>
        <v>0</v>
      </c>
      <c r="I524" s="11" t="str">
        <f>IFERROR(INDEX(Events!$E$2:$E$391,MATCH($A524,Events!$A$2:$A$391,0)),"")</f>
        <v/>
      </c>
    </row>
    <row r="525" spans="1:9" ht="15" customHeight="1" x14ac:dyDescent="0.35">
      <c r="A525" s="12">
        <v>45815</v>
      </c>
      <c r="B525" s="11">
        <f t="shared" si="40"/>
        <v>2025</v>
      </c>
      <c r="C525" s="11">
        <f t="shared" si="41"/>
        <v>6</v>
      </c>
      <c r="D525" s="11" t="str">
        <f t="shared" si="42"/>
        <v>Sat</v>
      </c>
      <c r="E525" s="11">
        <f t="shared" si="43"/>
        <v>0</v>
      </c>
      <c r="F525" s="11">
        <f t="shared" si="44"/>
        <v>0</v>
      </c>
      <c r="G525" s="16"/>
      <c r="H525" s="11">
        <f>COUNTIF(Events!$A$2:$A$391,$A525)</f>
        <v>0</v>
      </c>
      <c r="I525" s="11" t="str">
        <f>IFERROR(INDEX(Events!$E$2:$E$391,MATCH($A525,Events!$A$2:$A$391,0)),"")</f>
        <v/>
      </c>
    </row>
    <row r="526" spans="1:9" ht="15" customHeight="1" x14ac:dyDescent="0.35">
      <c r="A526" s="12">
        <v>45816</v>
      </c>
      <c r="B526" s="11">
        <f t="shared" si="40"/>
        <v>2025</v>
      </c>
      <c r="C526" s="11">
        <f t="shared" si="41"/>
        <v>6</v>
      </c>
      <c r="D526" s="11" t="str">
        <f t="shared" si="42"/>
        <v>Sun</v>
      </c>
      <c r="E526" s="11">
        <f t="shared" si="43"/>
        <v>0</v>
      </c>
      <c r="F526" s="11">
        <f t="shared" si="44"/>
        <v>0</v>
      </c>
      <c r="G526" s="16"/>
      <c r="H526" s="11">
        <f>COUNTIF(Events!$A$2:$A$391,$A526)</f>
        <v>0</v>
      </c>
      <c r="I526" s="11" t="str">
        <f>IFERROR(INDEX(Events!$E$2:$E$391,MATCH($A526,Events!$A$2:$A$391,0)),"")</f>
        <v/>
      </c>
    </row>
    <row r="527" spans="1:9" ht="15" customHeight="1" x14ac:dyDescent="0.35">
      <c r="A527" s="12">
        <v>45817</v>
      </c>
      <c r="B527" s="11">
        <f t="shared" si="40"/>
        <v>2025</v>
      </c>
      <c r="C527" s="11">
        <f t="shared" si="41"/>
        <v>6</v>
      </c>
      <c r="D527" s="11" t="str">
        <f t="shared" si="42"/>
        <v>Mon</v>
      </c>
      <c r="E527" s="11">
        <f t="shared" si="43"/>
        <v>0</v>
      </c>
      <c r="F527" s="11">
        <f t="shared" si="44"/>
        <v>0</v>
      </c>
      <c r="G527" s="16"/>
      <c r="H527" s="11">
        <f>COUNTIF(Events!$A$2:$A$391,$A527)</f>
        <v>0</v>
      </c>
      <c r="I527" s="11" t="str">
        <f>IFERROR(INDEX(Events!$E$2:$E$391,MATCH($A527,Events!$A$2:$A$391,0)),"")</f>
        <v/>
      </c>
    </row>
    <row r="528" spans="1:9" ht="15" customHeight="1" x14ac:dyDescent="0.35">
      <c r="A528" s="12">
        <v>45818</v>
      </c>
      <c r="B528" s="11">
        <f t="shared" si="40"/>
        <v>2025</v>
      </c>
      <c r="C528" s="11">
        <f t="shared" si="41"/>
        <v>6</v>
      </c>
      <c r="D528" s="11" t="str">
        <f t="shared" si="42"/>
        <v>Tue</v>
      </c>
      <c r="E528" s="11">
        <f t="shared" si="43"/>
        <v>0</v>
      </c>
      <c r="F528" s="11">
        <f t="shared" si="44"/>
        <v>0</v>
      </c>
      <c r="G528" s="16"/>
      <c r="H528" s="11">
        <f>COUNTIF(Events!$A$2:$A$391,$A528)</f>
        <v>0</v>
      </c>
      <c r="I528" s="11" t="str">
        <f>IFERROR(INDEX(Events!$E$2:$E$391,MATCH($A528,Events!$A$2:$A$391,0)),"")</f>
        <v/>
      </c>
    </row>
    <row r="529" spans="1:9" ht="15" customHeight="1" x14ac:dyDescent="0.35">
      <c r="A529" s="12">
        <v>45819</v>
      </c>
      <c r="B529" s="11">
        <f t="shared" si="40"/>
        <v>2025</v>
      </c>
      <c r="C529" s="11">
        <f t="shared" si="41"/>
        <v>6</v>
      </c>
      <c r="D529" s="11" t="str">
        <f t="shared" si="42"/>
        <v>Wed</v>
      </c>
      <c r="E529" s="11">
        <f t="shared" si="43"/>
        <v>0</v>
      </c>
      <c r="F529" s="11">
        <f t="shared" si="44"/>
        <v>0</v>
      </c>
      <c r="G529" s="16"/>
      <c r="H529" s="11">
        <f>COUNTIF(Events!$A$2:$A$391,$A529)</f>
        <v>0</v>
      </c>
      <c r="I529" s="11" t="str">
        <f>IFERROR(INDEX(Events!$E$2:$E$391,MATCH($A529,Events!$A$2:$A$391,0)),"")</f>
        <v/>
      </c>
    </row>
    <row r="530" spans="1:9" ht="15" customHeight="1" x14ac:dyDescent="0.35">
      <c r="A530" s="12">
        <v>45820</v>
      </c>
      <c r="B530" s="11">
        <f t="shared" si="40"/>
        <v>2025</v>
      </c>
      <c r="C530" s="11">
        <f t="shared" si="41"/>
        <v>6</v>
      </c>
      <c r="D530" s="11" t="str">
        <f t="shared" si="42"/>
        <v>Thu</v>
      </c>
      <c r="E530" s="11">
        <f t="shared" si="43"/>
        <v>0</v>
      </c>
      <c r="F530" s="11">
        <f t="shared" si="44"/>
        <v>0</v>
      </c>
      <c r="G530" s="16"/>
      <c r="H530" s="11">
        <f>COUNTIF(Events!$A$2:$A$391,$A530)</f>
        <v>0</v>
      </c>
      <c r="I530" s="11" t="str">
        <f>IFERROR(INDEX(Events!$E$2:$E$391,MATCH($A530,Events!$A$2:$A$391,0)),"")</f>
        <v/>
      </c>
    </row>
    <row r="531" spans="1:9" ht="15" customHeight="1" x14ac:dyDescent="0.35">
      <c r="A531" s="12">
        <v>45821</v>
      </c>
      <c r="B531" s="11">
        <f t="shared" si="40"/>
        <v>2025</v>
      </c>
      <c r="C531" s="11">
        <f t="shared" si="41"/>
        <v>6</v>
      </c>
      <c r="D531" s="11" t="str">
        <f t="shared" si="42"/>
        <v>Fri</v>
      </c>
      <c r="E531" s="11">
        <f t="shared" si="43"/>
        <v>0</v>
      </c>
      <c r="F531" s="11">
        <f t="shared" si="44"/>
        <v>0</v>
      </c>
      <c r="G531" s="16"/>
      <c r="H531" s="11">
        <f>COUNTIF(Events!$A$2:$A$391,$A531)</f>
        <v>0</v>
      </c>
      <c r="I531" s="11" t="str">
        <f>IFERROR(INDEX(Events!$E$2:$E$391,MATCH($A531,Events!$A$2:$A$391,0)),"")</f>
        <v/>
      </c>
    </row>
    <row r="532" spans="1:9" ht="15" customHeight="1" x14ac:dyDescent="0.35">
      <c r="A532" s="12">
        <v>45822</v>
      </c>
      <c r="B532" s="11">
        <f t="shared" si="40"/>
        <v>2025</v>
      </c>
      <c r="C532" s="11">
        <f t="shared" si="41"/>
        <v>6</v>
      </c>
      <c r="D532" s="11" t="str">
        <f t="shared" si="42"/>
        <v>Sat</v>
      </c>
      <c r="E532" s="11">
        <f t="shared" si="43"/>
        <v>0</v>
      </c>
      <c r="F532" s="11">
        <f t="shared" si="44"/>
        <v>0</v>
      </c>
      <c r="G532" s="16"/>
      <c r="H532" s="11">
        <f>COUNTIF(Events!$A$2:$A$391,$A532)</f>
        <v>0</v>
      </c>
      <c r="I532" s="11" t="str">
        <f>IFERROR(INDEX(Events!$E$2:$E$391,MATCH($A532,Events!$A$2:$A$391,0)),"")</f>
        <v/>
      </c>
    </row>
    <row r="533" spans="1:9" ht="15" customHeight="1" x14ac:dyDescent="0.35">
      <c r="A533" s="12">
        <v>45823</v>
      </c>
      <c r="B533" s="11">
        <f t="shared" si="40"/>
        <v>2025</v>
      </c>
      <c r="C533" s="11">
        <f t="shared" si="41"/>
        <v>6</v>
      </c>
      <c r="D533" s="11" t="str">
        <f t="shared" si="42"/>
        <v>Sun</v>
      </c>
      <c r="E533" s="11">
        <f t="shared" si="43"/>
        <v>0</v>
      </c>
      <c r="F533" s="11">
        <f t="shared" si="44"/>
        <v>0</v>
      </c>
      <c r="G533" s="16"/>
      <c r="H533" s="11">
        <f>COUNTIF(Events!$A$2:$A$391,$A533)</f>
        <v>0</v>
      </c>
      <c r="I533" s="11" t="str">
        <f>IFERROR(INDEX(Events!$E$2:$E$391,MATCH($A533,Events!$A$2:$A$391,0)),"")</f>
        <v/>
      </c>
    </row>
    <row r="534" spans="1:9" ht="15" customHeight="1" x14ac:dyDescent="0.35">
      <c r="A534" s="12">
        <v>45824</v>
      </c>
      <c r="B534" s="11">
        <f t="shared" si="40"/>
        <v>2025</v>
      </c>
      <c r="C534" s="11">
        <f t="shared" si="41"/>
        <v>6</v>
      </c>
      <c r="D534" s="11" t="str">
        <f t="shared" si="42"/>
        <v>Mon</v>
      </c>
      <c r="E534" s="11">
        <f t="shared" si="43"/>
        <v>0</v>
      </c>
      <c r="F534" s="11">
        <f t="shared" si="44"/>
        <v>0</v>
      </c>
      <c r="G534" s="16"/>
      <c r="H534" s="11">
        <f>COUNTIF(Events!$A$2:$A$391,$A534)</f>
        <v>0</v>
      </c>
      <c r="I534" s="11" t="str">
        <f>IFERROR(INDEX(Events!$E$2:$E$391,MATCH($A534,Events!$A$2:$A$391,0)),"")</f>
        <v/>
      </c>
    </row>
    <row r="535" spans="1:9" ht="15" customHeight="1" x14ac:dyDescent="0.35">
      <c r="A535" s="12">
        <v>45825</v>
      </c>
      <c r="B535" s="11">
        <f t="shared" si="40"/>
        <v>2025</v>
      </c>
      <c r="C535" s="11">
        <f t="shared" si="41"/>
        <v>6</v>
      </c>
      <c r="D535" s="11" t="str">
        <f t="shared" si="42"/>
        <v>Tue</v>
      </c>
      <c r="E535" s="11">
        <f t="shared" si="43"/>
        <v>0</v>
      </c>
      <c r="F535" s="11">
        <f t="shared" si="44"/>
        <v>0</v>
      </c>
      <c r="G535" s="16"/>
      <c r="H535" s="11">
        <f>COUNTIF(Events!$A$2:$A$391,$A535)</f>
        <v>0</v>
      </c>
      <c r="I535" s="11" t="str">
        <f>IFERROR(INDEX(Events!$E$2:$E$391,MATCH($A535,Events!$A$2:$A$391,0)),"")</f>
        <v/>
      </c>
    </row>
    <row r="536" spans="1:9" ht="15" customHeight="1" x14ac:dyDescent="0.35">
      <c r="A536" s="12">
        <v>45826</v>
      </c>
      <c r="B536" s="11">
        <f t="shared" si="40"/>
        <v>2025</v>
      </c>
      <c r="C536" s="11">
        <f t="shared" si="41"/>
        <v>6</v>
      </c>
      <c r="D536" s="11" t="str">
        <f t="shared" si="42"/>
        <v>Wed</v>
      </c>
      <c r="E536" s="11">
        <f t="shared" si="43"/>
        <v>0</v>
      </c>
      <c r="F536" s="11">
        <f t="shared" si="44"/>
        <v>0</v>
      </c>
      <c r="G536" s="16"/>
      <c r="H536" s="11">
        <f>COUNTIF(Events!$A$2:$A$391,$A536)</f>
        <v>0</v>
      </c>
      <c r="I536" s="11" t="str">
        <f>IFERROR(INDEX(Events!$E$2:$E$391,MATCH($A536,Events!$A$2:$A$391,0)),"")</f>
        <v/>
      </c>
    </row>
    <row r="537" spans="1:9" ht="15" customHeight="1" x14ac:dyDescent="0.35">
      <c r="A537" s="12">
        <v>45827</v>
      </c>
      <c r="B537" s="11">
        <f t="shared" si="40"/>
        <v>2025</v>
      </c>
      <c r="C537" s="11">
        <f t="shared" si="41"/>
        <v>6</v>
      </c>
      <c r="D537" s="11" t="str">
        <f t="shared" si="42"/>
        <v>Thu</v>
      </c>
      <c r="E537" s="11">
        <f t="shared" si="43"/>
        <v>0</v>
      </c>
      <c r="F537" s="11">
        <f t="shared" si="44"/>
        <v>0</v>
      </c>
      <c r="G537" s="16"/>
      <c r="H537" s="11">
        <f>COUNTIF(Events!$A$2:$A$391,$A537)</f>
        <v>0</v>
      </c>
      <c r="I537" s="11" t="str">
        <f>IFERROR(INDEX(Events!$E$2:$E$391,MATCH($A537,Events!$A$2:$A$391,0)),"")</f>
        <v/>
      </c>
    </row>
    <row r="538" spans="1:9" ht="15" customHeight="1" x14ac:dyDescent="0.35">
      <c r="A538" s="12">
        <v>45828</v>
      </c>
      <c r="B538" s="11">
        <f t="shared" si="40"/>
        <v>2025</v>
      </c>
      <c r="C538" s="11">
        <f t="shared" si="41"/>
        <v>6</v>
      </c>
      <c r="D538" s="11" t="str">
        <f t="shared" si="42"/>
        <v>Fri</v>
      </c>
      <c r="E538" s="11">
        <f t="shared" si="43"/>
        <v>0</v>
      </c>
      <c r="F538" s="11">
        <f t="shared" si="44"/>
        <v>0</v>
      </c>
      <c r="G538" s="16"/>
      <c r="H538" s="11">
        <f>COUNTIF(Events!$A$2:$A$391,$A538)</f>
        <v>0</v>
      </c>
      <c r="I538" s="11" t="str">
        <f>IFERROR(INDEX(Events!$E$2:$E$391,MATCH($A538,Events!$A$2:$A$391,0)),"")</f>
        <v/>
      </c>
    </row>
    <row r="539" spans="1:9" ht="15" customHeight="1" x14ac:dyDescent="0.35">
      <c r="A539" s="12">
        <v>45829</v>
      </c>
      <c r="B539" s="11">
        <f t="shared" si="40"/>
        <v>2025</v>
      </c>
      <c r="C539" s="11">
        <f t="shared" si="41"/>
        <v>6</v>
      </c>
      <c r="D539" s="11" t="str">
        <f t="shared" si="42"/>
        <v>Sat</v>
      </c>
      <c r="E539" s="11">
        <f t="shared" si="43"/>
        <v>0</v>
      </c>
      <c r="F539" s="11">
        <f t="shared" si="44"/>
        <v>0</v>
      </c>
      <c r="G539" s="16"/>
      <c r="H539" s="11">
        <f>COUNTIF(Events!$A$2:$A$391,$A539)</f>
        <v>0</v>
      </c>
      <c r="I539" s="11" t="str">
        <f>IFERROR(INDEX(Events!$E$2:$E$391,MATCH($A539,Events!$A$2:$A$391,0)),"")</f>
        <v/>
      </c>
    </row>
    <row r="540" spans="1:9" ht="15" customHeight="1" x14ac:dyDescent="0.35">
      <c r="A540" s="12">
        <v>45830</v>
      </c>
      <c r="B540" s="11">
        <f t="shared" si="40"/>
        <v>2025</v>
      </c>
      <c r="C540" s="11">
        <f t="shared" si="41"/>
        <v>6</v>
      </c>
      <c r="D540" s="11" t="str">
        <f t="shared" si="42"/>
        <v>Sun</v>
      </c>
      <c r="E540" s="11">
        <f t="shared" si="43"/>
        <v>0</v>
      </c>
      <c r="F540" s="11">
        <f t="shared" si="44"/>
        <v>0</v>
      </c>
      <c r="G540" s="16"/>
      <c r="H540" s="11">
        <f>COUNTIF(Events!$A$2:$A$391,$A540)</f>
        <v>0</v>
      </c>
      <c r="I540" s="11" t="str">
        <f>IFERROR(INDEX(Events!$E$2:$E$391,MATCH($A540,Events!$A$2:$A$391,0)),"")</f>
        <v/>
      </c>
    </row>
    <row r="541" spans="1:9" ht="15" customHeight="1" x14ac:dyDescent="0.35">
      <c r="A541" s="12">
        <v>45831</v>
      </c>
      <c r="B541" s="11">
        <f t="shared" si="40"/>
        <v>2025</v>
      </c>
      <c r="C541" s="11">
        <f t="shared" si="41"/>
        <v>6</v>
      </c>
      <c r="D541" s="11" t="str">
        <f t="shared" si="42"/>
        <v>Mon</v>
      </c>
      <c r="E541" s="11">
        <f t="shared" si="43"/>
        <v>0</v>
      </c>
      <c r="F541" s="11">
        <f t="shared" si="44"/>
        <v>0</v>
      </c>
      <c r="G541" s="16"/>
      <c r="H541" s="11">
        <f>COUNTIF(Events!$A$2:$A$391,$A541)</f>
        <v>0</v>
      </c>
      <c r="I541" s="11" t="str">
        <f>IFERROR(INDEX(Events!$E$2:$E$391,MATCH($A541,Events!$A$2:$A$391,0)),"")</f>
        <v/>
      </c>
    </row>
    <row r="542" spans="1:9" ht="15" customHeight="1" x14ac:dyDescent="0.35">
      <c r="A542" s="12">
        <v>45832</v>
      </c>
      <c r="B542" s="11">
        <f t="shared" si="40"/>
        <v>2025</v>
      </c>
      <c r="C542" s="11">
        <f t="shared" si="41"/>
        <v>6</v>
      </c>
      <c r="D542" s="11" t="str">
        <f t="shared" si="42"/>
        <v>Tue</v>
      </c>
      <c r="E542" s="11">
        <f t="shared" si="43"/>
        <v>0</v>
      </c>
      <c r="F542" s="11">
        <f t="shared" si="44"/>
        <v>0</v>
      </c>
      <c r="G542" s="16"/>
      <c r="H542" s="11">
        <f>COUNTIF(Events!$A$2:$A$391,$A542)</f>
        <v>0</v>
      </c>
      <c r="I542" s="11" t="str">
        <f>IFERROR(INDEX(Events!$E$2:$E$391,MATCH($A542,Events!$A$2:$A$391,0)),"")</f>
        <v/>
      </c>
    </row>
    <row r="543" spans="1:9" ht="15" customHeight="1" x14ac:dyDescent="0.35">
      <c r="A543" s="12">
        <v>45833</v>
      </c>
      <c r="B543" s="11">
        <f t="shared" si="40"/>
        <v>2025</v>
      </c>
      <c r="C543" s="11">
        <f t="shared" si="41"/>
        <v>6</v>
      </c>
      <c r="D543" s="11" t="str">
        <f t="shared" si="42"/>
        <v>Wed</v>
      </c>
      <c r="E543" s="11">
        <f t="shared" si="43"/>
        <v>0</v>
      </c>
      <c r="F543" s="11">
        <f t="shared" si="44"/>
        <v>0</v>
      </c>
      <c r="G543" s="16"/>
      <c r="H543" s="11">
        <f>COUNTIF(Events!$A$2:$A$391,$A543)</f>
        <v>0</v>
      </c>
      <c r="I543" s="11" t="str">
        <f>IFERROR(INDEX(Events!$E$2:$E$391,MATCH($A543,Events!$A$2:$A$391,0)),"")</f>
        <v/>
      </c>
    </row>
    <row r="544" spans="1:9" ht="15" customHeight="1" x14ac:dyDescent="0.35">
      <c r="A544" s="12">
        <v>45834</v>
      </c>
      <c r="B544" s="11">
        <f t="shared" si="40"/>
        <v>2025</v>
      </c>
      <c r="C544" s="11">
        <f t="shared" si="41"/>
        <v>6</v>
      </c>
      <c r="D544" s="11" t="str">
        <f t="shared" si="42"/>
        <v>Thu</v>
      </c>
      <c r="E544" s="11">
        <f t="shared" si="43"/>
        <v>0</v>
      </c>
      <c r="F544" s="11">
        <f t="shared" si="44"/>
        <v>0</v>
      </c>
      <c r="G544" s="16"/>
      <c r="H544" s="11">
        <f>COUNTIF(Events!$A$2:$A$391,$A544)</f>
        <v>0</v>
      </c>
      <c r="I544" s="11" t="str">
        <f>IFERROR(INDEX(Events!$E$2:$E$391,MATCH($A544,Events!$A$2:$A$391,0)),"")</f>
        <v/>
      </c>
    </row>
    <row r="545" spans="1:9" ht="15" customHeight="1" x14ac:dyDescent="0.35">
      <c r="A545" s="12">
        <v>45835</v>
      </c>
      <c r="B545" s="11">
        <f t="shared" si="40"/>
        <v>2025</v>
      </c>
      <c r="C545" s="11">
        <f t="shared" si="41"/>
        <v>6</v>
      </c>
      <c r="D545" s="11" t="str">
        <f t="shared" si="42"/>
        <v>Fri</v>
      </c>
      <c r="E545" s="11">
        <f t="shared" si="43"/>
        <v>0</v>
      </c>
      <c r="F545" s="11">
        <f t="shared" si="44"/>
        <v>0</v>
      </c>
      <c r="G545" s="16"/>
      <c r="H545" s="11">
        <f>COUNTIF(Events!$A$2:$A$391,$A545)</f>
        <v>0</v>
      </c>
      <c r="I545" s="11" t="str">
        <f>IFERROR(INDEX(Events!$E$2:$E$391,MATCH($A545,Events!$A$2:$A$391,0)),"")</f>
        <v/>
      </c>
    </row>
    <row r="546" spans="1:9" ht="15" customHeight="1" x14ac:dyDescent="0.35">
      <c r="A546" s="12">
        <v>45836</v>
      </c>
      <c r="B546" s="11">
        <f t="shared" si="40"/>
        <v>2025</v>
      </c>
      <c r="C546" s="11">
        <f t="shared" si="41"/>
        <v>6</v>
      </c>
      <c r="D546" s="11" t="str">
        <f t="shared" si="42"/>
        <v>Sat</v>
      </c>
      <c r="E546" s="11">
        <f t="shared" si="43"/>
        <v>0</v>
      </c>
      <c r="F546" s="11">
        <f t="shared" si="44"/>
        <v>0</v>
      </c>
      <c r="G546" s="16"/>
      <c r="H546" s="11">
        <f>COUNTIF(Events!$A$2:$A$391,$A546)</f>
        <v>0</v>
      </c>
      <c r="I546" s="11" t="str">
        <f>IFERROR(INDEX(Events!$E$2:$E$391,MATCH($A546,Events!$A$2:$A$391,0)),"")</f>
        <v/>
      </c>
    </row>
    <row r="547" spans="1:9" ht="15" customHeight="1" x14ac:dyDescent="0.35">
      <c r="A547" s="12">
        <v>45837</v>
      </c>
      <c r="B547" s="11">
        <f t="shared" si="40"/>
        <v>2025</v>
      </c>
      <c r="C547" s="11">
        <f t="shared" si="41"/>
        <v>6</v>
      </c>
      <c r="D547" s="11" t="str">
        <f t="shared" si="42"/>
        <v>Sun</v>
      </c>
      <c r="E547" s="11">
        <f t="shared" si="43"/>
        <v>0</v>
      </c>
      <c r="F547" s="11">
        <f t="shared" si="44"/>
        <v>0</v>
      </c>
      <c r="G547" s="16"/>
      <c r="H547" s="11">
        <f>COUNTIF(Events!$A$2:$A$391,$A547)</f>
        <v>0</v>
      </c>
      <c r="I547" s="11" t="str">
        <f>IFERROR(INDEX(Events!$E$2:$E$391,MATCH($A547,Events!$A$2:$A$391,0)),"")</f>
        <v/>
      </c>
    </row>
    <row r="548" spans="1:9" ht="15" customHeight="1" x14ac:dyDescent="0.35">
      <c r="A548" s="12">
        <v>45838</v>
      </c>
      <c r="B548" s="11">
        <f t="shared" si="40"/>
        <v>2025</v>
      </c>
      <c r="C548" s="11">
        <f t="shared" si="41"/>
        <v>6</v>
      </c>
      <c r="D548" s="11" t="str">
        <f t="shared" si="42"/>
        <v>Mon</v>
      </c>
      <c r="E548" s="11">
        <f t="shared" si="43"/>
        <v>0</v>
      </c>
      <c r="F548" s="11">
        <f t="shared" si="44"/>
        <v>0</v>
      </c>
      <c r="G548" s="16"/>
      <c r="H548" s="11">
        <f>COUNTIF(Events!$A$2:$A$391,$A548)</f>
        <v>1</v>
      </c>
      <c r="I548" s="11" t="str">
        <f>IFERROR(INDEX(Events!$E$2:$E$391,MATCH($A548,Events!$A$2:$A$391,0)),"")</f>
        <v>First annual Mid-Year Enrollee Notification of Unused Supplemental Benefits window opens (plans must send 6/30-7/31 each year, starting 2025; required by CY2025 Final Rule)</v>
      </c>
    </row>
    <row r="549" spans="1:9" ht="15" customHeight="1" x14ac:dyDescent="0.35">
      <c r="A549" s="12">
        <v>45839</v>
      </c>
      <c r="B549" s="11">
        <f t="shared" si="40"/>
        <v>2025</v>
      </c>
      <c r="C549" s="11">
        <f t="shared" si="41"/>
        <v>7</v>
      </c>
      <c r="D549" s="11" t="str">
        <f t="shared" si="42"/>
        <v>Tue</v>
      </c>
      <c r="E549" s="11">
        <f t="shared" si="43"/>
        <v>0</v>
      </c>
      <c r="F549" s="11">
        <f t="shared" si="44"/>
        <v>0</v>
      </c>
      <c r="G549" s="16"/>
      <c r="H549" s="11">
        <f>COUNTIF(Events!$A$2:$A$391,$A549)</f>
        <v>0</v>
      </c>
      <c r="I549" s="11" t="str">
        <f>IFERROR(INDEX(Events!$E$2:$E$391,MATCH($A549,Events!$A$2:$A$391,0)),"")</f>
        <v/>
      </c>
    </row>
    <row r="550" spans="1:9" ht="15" customHeight="1" x14ac:dyDescent="0.35">
      <c r="A550" s="12">
        <v>45840</v>
      </c>
      <c r="B550" s="11">
        <f t="shared" si="40"/>
        <v>2025</v>
      </c>
      <c r="C550" s="11">
        <f t="shared" si="41"/>
        <v>7</v>
      </c>
      <c r="D550" s="11" t="str">
        <f t="shared" si="42"/>
        <v>Wed</v>
      </c>
      <c r="E550" s="11">
        <f t="shared" si="43"/>
        <v>0</v>
      </c>
      <c r="F550" s="11">
        <f t="shared" si="44"/>
        <v>0</v>
      </c>
      <c r="G550" s="16"/>
      <c r="H550" s="11">
        <f>COUNTIF(Events!$A$2:$A$391,$A550)</f>
        <v>0</v>
      </c>
      <c r="I550" s="11" t="str">
        <f>IFERROR(INDEX(Events!$E$2:$E$391,MATCH($A550,Events!$A$2:$A$391,0)),"")</f>
        <v/>
      </c>
    </row>
    <row r="551" spans="1:9" ht="15" customHeight="1" x14ac:dyDescent="0.35">
      <c r="A551" s="12">
        <v>45841</v>
      </c>
      <c r="B551" s="11">
        <f t="shared" si="40"/>
        <v>2025</v>
      </c>
      <c r="C551" s="11">
        <f t="shared" si="41"/>
        <v>7</v>
      </c>
      <c r="D551" s="11" t="str">
        <f t="shared" si="42"/>
        <v>Thu</v>
      </c>
      <c r="E551" s="11">
        <f t="shared" si="43"/>
        <v>0</v>
      </c>
      <c r="F551" s="11">
        <f t="shared" si="44"/>
        <v>0</v>
      </c>
      <c r="G551" s="16"/>
      <c r="H551" s="11">
        <f>COUNTIF(Events!$A$2:$A$391,$A551)</f>
        <v>0</v>
      </c>
      <c r="I551" s="11" t="str">
        <f>IFERROR(INDEX(Events!$E$2:$E$391,MATCH($A551,Events!$A$2:$A$391,0)),"")</f>
        <v/>
      </c>
    </row>
    <row r="552" spans="1:9" ht="15" customHeight="1" x14ac:dyDescent="0.35">
      <c r="A552" s="12">
        <v>45842</v>
      </c>
      <c r="B552" s="11">
        <f t="shared" si="40"/>
        <v>2025</v>
      </c>
      <c r="C552" s="11">
        <f t="shared" si="41"/>
        <v>7</v>
      </c>
      <c r="D552" s="11" t="str">
        <f t="shared" si="42"/>
        <v>Fri</v>
      </c>
      <c r="E552" s="11">
        <f t="shared" si="43"/>
        <v>0</v>
      </c>
      <c r="F552" s="11">
        <f t="shared" si="44"/>
        <v>0</v>
      </c>
      <c r="G552" s="16"/>
      <c r="H552" s="11">
        <f>COUNTIF(Events!$A$2:$A$391,$A552)</f>
        <v>0</v>
      </c>
      <c r="I552" s="11" t="str">
        <f>IFERROR(INDEX(Events!$E$2:$E$391,MATCH($A552,Events!$A$2:$A$391,0)),"")</f>
        <v/>
      </c>
    </row>
    <row r="553" spans="1:9" ht="15" customHeight="1" x14ac:dyDescent="0.35">
      <c r="A553" s="12">
        <v>45843</v>
      </c>
      <c r="B553" s="11">
        <f t="shared" si="40"/>
        <v>2025</v>
      </c>
      <c r="C553" s="11">
        <f t="shared" si="41"/>
        <v>7</v>
      </c>
      <c r="D553" s="11" t="str">
        <f t="shared" si="42"/>
        <v>Sat</v>
      </c>
      <c r="E553" s="11">
        <f t="shared" si="43"/>
        <v>0</v>
      </c>
      <c r="F553" s="11">
        <f t="shared" si="44"/>
        <v>0</v>
      </c>
      <c r="G553" s="16"/>
      <c r="H553" s="11">
        <f>COUNTIF(Events!$A$2:$A$391,$A553)</f>
        <v>0</v>
      </c>
      <c r="I553" s="11" t="str">
        <f>IFERROR(INDEX(Events!$E$2:$E$391,MATCH($A553,Events!$A$2:$A$391,0)),"")</f>
        <v/>
      </c>
    </row>
    <row r="554" spans="1:9" ht="15" customHeight="1" x14ac:dyDescent="0.35">
      <c r="A554" s="12">
        <v>45844</v>
      </c>
      <c r="B554" s="11">
        <f t="shared" si="40"/>
        <v>2025</v>
      </c>
      <c r="C554" s="11">
        <f t="shared" si="41"/>
        <v>7</v>
      </c>
      <c r="D554" s="11" t="str">
        <f t="shared" si="42"/>
        <v>Sun</v>
      </c>
      <c r="E554" s="11">
        <f t="shared" si="43"/>
        <v>0</v>
      </c>
      <c r="F554" s="11">
        <f t="shared" si="44"/>
        <v>0</v>
      </c>
      <c r="G554" s="16"/>
      <c r="H554" s="11">
        <f>COUNTIF(Events!$A$2:$A$391,$A554)</f>
        <v>0</v>
      </c>
      <c r="I554" s="11" t="str">
        <f>IFERROR(INDEX(Events!$E$2:$E$391,MATCH($A554,Events!$A$2:$A$391,0)),"")</f>
        <v/>
      </c>
    </row>
    <row r="555" spans="1:9" ht="15" customHeight="1" x14ac:dyDescent="0.35">
      <c r="A555" s="12">
        <v>45845</v>
      </c>
      <c r="B555" s="11">
        <f t="shared" si="40"/>
        <v>2025</v>
      </c>
      <c r="C555" s="11">
        <f t="shared" si="41"/>
        <v>7</v>
      </c>
      <c r="D555" s="11" t="str">
        <f t="shared" si="42"/>
        <v>Mon</v>
      </c>
      <c r="E555" s="11">
        <f t="shared" si="43"/>
        <v>0</v>
      </c>
      <c r="F555" s="11">
        <f t="shared" si="44"/>
        <v>0</v>
      </c>
      <c r="G555" s="16"/>
      <c r="H555" s="11">
        <f>COUNTIF(Events!$A$2:$A$391,$A555)</f>
        <v>0</v>
      </c>
      <c r="I555" s="11" t="str">
        <f>IFERROR(INDEX(Events!$E$2:$E$391,MATCH($A555,Events!$A$2:$A$391,0)),"")</f>
        <v/>
      </c>
    </row>
    <row r="556" spans="1:9" ht="15" customHeight="1" x14ac:dyDescent="0.35">
      <c r="A556" s="12">
        <v>45846</v>
      </c>
      <c r="B556" s="11">
        <f t="shared" si="40"/>
        <v>2025</v>
      </c>
      <c r="C556" s="11">
        <f t="shared" si="41"/>
        <v>7</v>
      </c>
      <c r="D556" s="11" t="str">
        <f t="shared" si="42"/>
        <v>Tue</v>
      </c>
      <c r="E556" s="11">
        <f t="shared" si="43"/>
        <v>0</v>
      </c>
      <c r="F556" s="11">
        <f t="shared" si="44"/>
        <v>0</v>
      </c>
      <c r="G556" s="16"/>
      <c r="H556" s="11">
        <f>COUNTIF(Events!$A$2:$A$391,$A556)</f>
        <v>0</v>
      </c>
      <c r="I556" s="11" t="str">
        <f>IFERROR(INDEX(Events!$E$2:$E$391,MATCH($A556,Events!$A$2:$A$391,0)),"")</f>
        <v/>
      </c>
    </row>
    <row r="557" spans="1:9" ht="15" customHeight="1" x14ac:dyDescent="0.35">
      <c r="A557" s="12">
        <v>45847</v>
      </c>
      <c r="B557" s="11">
        <f t="shared" si="40"/>
        <v>2025</v>
      </c>
      <c r="C557" s="11">
        <f t="shared" si="41"/>
        <v>7</v>
      </c>
      <c r="D557" s="11" t="str">
        <f t="shared" si="42"/>
        <v>Wed</v>
      </c>
      <c r="E557" s="11">
        <f t="shared" si="43"/>
        <v>0</v>
      </c>
      <c r="F557" s="11">
        <f t="shared" si="44"/>
        <v>0</v>
      </c>
      <c r="G557" s="16"/>
      <c r="H557" s="11">
        <f>COUNTIF(Events!$A$2:$A$391,$A557)</f>
        <v>0</v>
      </c>
      <c r="I557" s="11" t="str">
        <f>IFERROR(INDEX(Events!$E$2:$E$391,MATCH($A557,Events!$A$2:$A$391,0)),"")</f>
        <v/>
      </c>
    </row>
    <row r="558" spans="1:9" ht="15" customHeight="1" x14ac:dyDescent="0.35">
      <c r="A558" s="12">
        <v>45848</v>
      </c>
      <c r="B558" s="11">
        <f t="shared" si="40"/>
        <v>2025</v>
      </c>
      <c r="C558" s="11">
        <f t="shared" si="41"/>
        <v>7</v>
      </c>
      <c r="D558" s="11" t="str">
        <f t="shared" si="42"/>
        <v>Thu</v>
      </c>
      <c r="E558" s="11">
        <f t="shared" si="43"/>
        <v>0</v>
      </c>
      <c r="F558" s="11">
        <f t="shared" si="44"/>
        <v>0</v>
      </c>
      <c r="G558" s="16"/>
      <c r="H558" s="11">
        <f>COUNTIF(Events!$A$2:$A$391,$A558)</f>
        <v>0</v>
      </c>
      <c r="I558" s="11" t="str">
        <f>IFERROR(INDEX(Events!$E$2:$E$391,MATCH($A558,Events!$A$2:$A$391,0)),"")</f>
        <v/>
      </c>
    </row>
    <row r="559" spans="1:9" ht="15" customHeight="1" x14ac:dyDescent="0.35">
      <c r="A559" s="12">
        <v>45849</v>
      </c>
      <c r="B559" s="11">
        <f t="shared" si="40"/>
        <v>2025</v>
      </c>
      <c r="C559" s="11">
        <f t="shared" si="41"/>
        <v>7</v>
      </c>
      <c r="D559" s="11" t="str">
        <f t="shared" si="42"/>
        <v>Fri</v>
      </c>
      <c r="E559" s="11">
        <f t="shared" si="43"/>
        <v>0</v>
      </c>
      <c r="F559" s="11">
        <f t="shared" si="44"/>
        <v>0</v>
      </c>
      <c r="G559" s="16"/>
      <c r="H559" s="11">
        <f>COUNTIF(Events!$A$2:$A$391,$A559)</f>
        <v>0</v>
      </c>
      <c r="I559" s="11" t="str">
        <f>IFERROR(INDEX(Events!$E$2:$E$391,MATCH($A559,Events!$A$2:$A$391,0)),"")</f>
        <v/>
      </c>
    </row>
    <row r="560" spans="1:9" ht="15" customHeight="1" x14ac:dyDescent="0.35">
      <c r="A560" s="12">
        <v>45850</v>
      </c>
      <c r="B560" s="11">
        <f t="shared" si="40"/>
        <v>2025</v>
      </c>
      <c r="C560" s="11">
        <f t="shared" si="41"/>
        <v>7</v>
      </c>
      <c r="D560" s="11" t="str">
        <f t="shared" si="42"/>
        <v>Sat</v>
      </c>
      <c r="E560" s="11">
        <f t="shared" si="43"/>
        <v>0</v>
      </c>
      <c r="F560" s="11">
        <f t="shared" si="44"/>
        <v>0</v>
      </c>
      <c r="G560" s="16"/>
      <c r="H560" s="11">
        <f>COUNTIF(Events!$A$2:$A$391,$A560)</f>
        <v>0</v>
      </c>
      <c r="I560" s="11" t="str">
        <f>IFERROR(INDEX(Events!$E$2:$E$391,MATCH($A560,Events!$A$2:$A$391,0)),"")</f>
        <v/>
      </c>
    </row>
    <row r="561" spans="1:9" ht="15" customHeight="1" x14ac:dyDescent="0.35">
      <c r="A561" s="12">
        <v>45851</v>
      </c>
      <c r="B561" s="11">
        <f t="shared" si="40"/>
        <v>2025</v>
      </c>
      <c r="C561" s="11">
        <f t="shared" si="41"/>
        <v>7</v>
      </c>
      <c r="D561" s="11" t="str">
        <f t="shared" si="42"/>
        <v>Sun</v>
      </c>
      <c r="E561" s="11">
        <f t="shared" si="43"/>
        <v>0</v>
      </c>
      <c r="F561" s="11">
        <f t="shared" si="44"/>
        <v>0</v>
      </c>
      <c r="G561" s="16"/>
      <c r="H561" s="11">
        <f>COUNTIF(Events!$A$2:$A$391,$A561)</f>
        <v>0</v>
      </c>
      <c r="I561" s="11" t="str">
        <f>IFERROR(INDEX(Events!$E$2:$E$391,MATCH($A561,Events!$A$2:$A$391,0)),"")</f>
        <v/>
      </c>
    </row>
    <row r="562" spans="1:9" ht="15" customHeight="1" x14ac:dyDescent="0.35">
      <c r="A562" s="12">
        <v>45852</v>
      </c>
      <c r="B562" s="11">
        <f t="shared" si="40"/>
        <v>2025</v>
      </c>
      <c r="C562" s="11">
        <f t="shared" si="41"/>
        <v>7</v>
      </c>
      <c r="D562" s="11" t="str">
        <f t="shared" si="42"/>
        <v>Mon</v>
      </c>
      <c r="E562" s="11">
        <f t="shared" si="43"/>
        <v>0</v>
      </c>
      <c r="F562" s="11">
        <f t="shared" si="44"/>
        <v>0</v>
      </c>
      <c r="G562" s="16"/>
      <c r="H562" s="11">
        <f>COUNTIF(Events!$A$2:$A$391,$A562)</f>
        <v>0</v>
      </c>
      <c r="I562" s="11" t="str">
        <f>IFERROR(INDEX(Events!$E$2:$E$391,MATCH($A562,Events!$A$2:$A$391,0)),"")</f>
        <v/>
      </c>
    </row>
    <row r="563" spans="1:9" ht="15" customHeight="1" x14ac:dyDescent="0.35">
      <c r="A563" s="12">
        <v>45853</v>
      </c>
      <c r="B563" s="11">
        <f t="shared" si="40"/>
        <v>2025</v>
      </c>
      <c r="C563" s="11">
        <f t="shared" si="41"/>
        <v>7</v>
      </c>
      <c r="D563" s="11" t="str">
        <f t="shared" si="42"/>
        <v>Tue</v>
      </c>
      <c r="E563" s="11">
        <f t="shared" si="43"/>
        <v>0</v>
      </c>
      <c r="F563" s="11">
        <f t="shared" si="44"/>
        <v>0</v>
      </c>
      <c r="G563" s="16"/>
      <c r="H563" s="11">
        <f>COUNTIF(Events!$A$2:$A$391,$A563)</f>
        <v>0</v>
      </c>
      <c r="I563" s="11" t="str">
        <f>IFERROR(INDEX(Events!$E$2:$E$391,MATCH($A563,Events!$A$2:$A$391,0)),"")</f>
        <v/>
      </c>
    </row>
    <row r="564" spans="1:9" ht="15" customHeight="1" x14ac:dyDescent="0.35">
      <c r="A564" s="12">
        <v>45854</v>
      </c>
      <c r="B564" s="11">
        <f t="shared" si="40"/>
        <v>2025</v>
      </c>
      <c r="C564" s="11">
        <f t="shared" si="41"/>
        <v>7</v>
      </c>
      <c r="D564" s="11" t="str">
        <f t="shared" si="42"/>
        <v>Wed</v>
      </c>
      <c r="E564" s="11">
        <f t="shared" si="43"/>
        <v>0</v>
      </c>
      <c r="F564" s="11">
        <f t="shared" si="44"/>
        <v>0</v>
      </c>
      <c r="G564" s="16"/>
      <c r="H564" s="11">
        <f>COUNTIF(Events!$A$2:$A$391,$A564)</f>
        <v>0</v>
      </c>
      <c r="I564" s="11" t="str">
        <f>IFERROR(INDEX(Events!$E$2:$E$391,MATCH($A564,Events!$A$2:$A$391,0)),"")</f>
        <v/>
      </c>
    </row>
    <row r="565" spans="1:9" ht="15" customHeight="1" x14ac:dyDescent="0.35">
      <c r="A565" s="12">
        <v>45855</v>
      </c>
      <c r="B565" s="11">
        <f t="shared" si="40"/>
        <v>2025</v>
      </c>
      <c r="C565" s="11">
        <f t="shared" si="41"/>
        <v>7</v>
      </c>
      <c r="D565" s="11" t="str">
        <f t="shared" si="42"/>
        <v>Thu</v>
      </c>
      <c r="E565" s="11">
        <f t="shared" si="43"/>
        <v>0</v>
      </c>
      <c r="F565" s="11">
        <f t="shared" si="44"/>
        <v>0</v>
      </c>
      <c r="G565" s="16"/>
      <c r="H565" s="11">
        <f>COUNTIF(Events!$A$2:$A$391,$A565)</f>
        <v>0</v>
      </c>
      <c r="I565" s="11" t="str">
        <f>IFERROR(INDEX(Events!$E$2:$E$391,MATCH($A565,Events!$A$2:$A$391,0)),"")</f>
        <v/>
      </c>
    </row>
    <row r="566" spans="1:9" ht="15" customHeight="1" x14ac:dyDescent="0.35">
      <c r="A566" s="12">
        <v>45856</v>
      </c>
      <c r="B566" s="11">
        <f t="shared" si="40"/>
        <v>2025</v>
      </c>
      <c r="C566" s="11">
        <f t="shared" si="41"/>
        <v>7</v>
      </c>
      <c r="D566" s="11" t="str">
        <f t="shared" si="42"/>
        <v>Fri</v>
      </c>
      <c r="E566" s="11">
        <f t="shared" si="43"/>
        <v>0</v>
      </c>
      <c r="F566" s="11">
        <f t="shared" si="44"/>
        <v>0</v>
      </c>
      <c r="G566" s="16"/>
      <c r="H566" s="11">
        <f>COUNTIF(Events!$A$2:$A$391,$A566)</f>
        <v>0</v>
      </c>
      <c r="I566" s="11" t="str">
        <f>IFERROR(INDEX(Events!$E$2:$E$391,MATCH($A566,Events!$A$2:$A$391,0)),"")</f>
        <v/>
      </c>
    </row>
    <row r="567" spans="1:9" ht="15" customHeight="1" x14ac:dyDescent="0.35">
      <c r="A567" s="12">
        <v>45857</v>
      </c>
      <c r="B567" s="11">
        <f t="shared" si="40"/>
        <v>2025</v>
      </c>
      <c r="C567" s="11">
        <f t="shared" si="41"/>
        <v>7</v>
      </c>
      <c r="D567" s="11" t="str">
        <f t="shared" si="42"/>
        <v>Sat</v>
      </c>
      <c r="E567" s="11">
        <f t="shared" si="43"/>
        <v>0</v>
      </c>
      <c r="F567" s="11">
        <f t="shared" si="44"/>
        <v>0</v>
      </c>
      <c r="G567" s="16"/>
      <c r="H567" s="11">
        <f>COUNTIF(Events!$A$2:$A$391,$A567)</f>
        <v>0</v>
      </c>
      <c r="I567" s="11" t="str">
        <f>IFERROR(INDEX(Events!$E$2:$E$391,MATCH($A567,Events!$A$2:$A$391,0)),"")</f>
        <v/>
      </c>
    </row>
    <row r="568" spans="1:9" ht="15" customHeight="1" x14ac:dyDescent="0.35">
      <c r="A568" s="12">
        <v>45858</v>
      </c>
      <c r="B568" s="11">
        <f t="shared" si="40"/>
        <v>2025</v>
      </c>
      <c r="C568" s="11">
        <f t="shared" si="41"/>
        <v>7</v>
      </c>
      <c r="D568" s="11" t="str">
        <f t="shared" si="42"/>
        <v>Sun</v>
      </c>
      <c r="E568" s="11">
        <f t="shared" si="43"/>
        <v>0</v>
      </c>
      <c r="F568" s="11">
        <f t="shared" si="44"/>
        <v>0</v>
      </c>
      <c r="G568" s="16"/>
      <c r="H568" s="11">
        <f>COUNTIF(Events!$A$2:$A$391,$A568)</f>
        <v>0</v>
      </c>
      <c r="I568" s="11" t="str">
        <f>IFERROR(INDEX(Events!$E$2:$E$391,MATCH($A568,Events!$A$2:$A$391,0)),"")</f>
        <v/>
      </c>
    </row>
    <row r="569" spans="1:9" ht="15" customHeight="1" x14ac:dyDescent="0.35">
      <c r="A569" s="12">
        <v>45859</v>
      </c>
      <c r="B569" s="11">
        <f t="shared" si="40"/>
        <v>2025</v>
      </c>
      <c r="C569" s="11">
        <f t="shared" si="41"/>
        <v>7</v>
      </c>
      <c r="D569" s="11" t="str">
        <f t="shared" si="42"/>
        <v>Mon</v>
      </c>
      <c r="E569" s="11">
        <f t="shared" si="43"/>
        <v>0</v>
      </c>
      <c r="F569" s="11">
        <f t="shared" si="44"/>
        <v>0</v>
      </c>
      <c r="G569" s="16"/>
      <c r="H569" s="11">
        <f>COUNTIF(Events!$A$2:$A$391,$A569)</f>
        <v>0</v>
      </c>
      <c r="I569" s="11" t="str">
        <f>IFERROR(INDEX(Events!$E$2:$E$391,MATCH($A569,Events!$A$2:$A$391,0)),"")</f>
        <v/>
      </c>
    </row>
    <row r="570" spans="1:9" ht="15" customHeight="1" x14ac:dyDescent="0.35">
      <c r="A570" s="12">
        <v>45860</v>
      </c>
      <c r="B570" s="11">
        <f t="shared" si="40"/>
        <v>2025</v>
      </c>
      <c r="C570" s="11">
        <f t="shared" si="41"/>
        <v>7</v>
      </c>
      <c r="D570" s="11" t="str">
        <f t="shared" si="42"/>
        <v>Tue</v>
      </c>
      <c r="E570" s="11">
        <f t="shared" si="43"/>
        <v>0</v>
      </c>
      <c r="F570" s="11">
        <f t="shared" si="44"/>
        <v>0</v>
      </c>
      <c r="G570" s="16"/>
      <c r="H570" s="11">
        <f>COUNTIF(Events!$A$2:$A$391,$A570)</f>
        <v>0</v>
      </c>
      <c r="I570" s="11" t="str">
        <f>IFERROR(INDEX(Events!$E$2:$E$391,MATCH($A570,Events!$A$2:$A$391,0)),"")</f>
        <v/>
      </c>
    </row>
    <row r="571" spans="1:9" ht="15" customHeight="1" x14ac:dyDescent="0.35">
      <c r="A571" s="12">
        <v>45861</v>
      </c>
      <c r="B571" s="11">
        <f t="shared" si="40"/>
        <v>2025</v>
      </c>
      <c r="C571" s="11">
        <f t="shared" si="41"/>
        <v>7</v>
      </c>
      <c r="D571" s="11" t="str">
        <f t="shared" si="42"/>
        <v>Wed</v>
      </c>
      <c r="E571" s="11">
        <f t="shared" si="43"/>
        <v>0</v>
      </c>
      <c r="F571" s="11">
        <f t="shared" si="44"/>
        <v>0</v>
      </c>
      <c r="G571" s="16"/>
      <c r="H571" s="11">
        <f>COUNTIF(Events!$A$2:$A$391,$A571)</f>
        <v>0</v>
      </c>
      <c r="I571" s="11" t="str">
        <f>IFERROR(INDEX(Events!$E$2:$E$391,MATCH($A571,Events!$A$2:$A$391,0)),"")</f>
        <v/>
      </c>
    </row>
    <row r="572" spans="1:9" ht="15" customHeight="1" x14ac:dyDescent="0.35">
      <c r="A572" s="12">
        <v>45862</v>
      </c>
      <c r="B572" s="11">
        <f t="shared" si="40"/>
        <v>2025</v>
      </c>
      <c r="C572" s="11">
        <f t="shared" si="41"/>
        <v>7</v>
      </c>
      <c r="D572" s="11" t="str">
        <f t="shared" si="42"/>
        <v>Thu</v>
      </c>
      <c r="E572" s="11">
        <f t="shared" si="43"/>
        <v>0</v>
      </c>
      <c r="F572" s="11">
        <f t="shared" si="44"/>
        <v>0</v>
      </c>
      <c r="G572" s="16"/>
      <c r="H572" s="11">
        <f>COUNTIF(Events!$A$2:$A$391,$A572)</f>
        <v>0</v>
      </c>
      <c r="I572" s="11" t="str">
        <f>IFERROR(INDEX(Events!$E$2:$E$391,MATCH($A572,Events!$A$2:$A$391,0)),"")</f>
        <v/>
      </c>
    </row>
    <row r="573" spans="1:9" ht="15" customHeight="1" x14ac:dyDescent="0.35">
      <c r="A573" s="12">
        <v>45863</v>
      </c>
      <c r="B573" s="11">
        <f t="shared" si="40"/>
        <v>2025</v>
      </c>
      <c r="C573" s="11">
        <f t="shared" si="41"/>
        <v>7</v>
      </c>
      <c r="D573" s="11" t="str">
        <f t="shared" si="42"/>
        <v>Fri</v>
      </c>
      <c r="E573" s="11">
        <f t="shared" si="43"/>
        <v>0</v>
      </c>
      <c r="F573" s="11">
        <f t="shared" si="44"/>
        <v>0</v>
      </c>
      <c r="G573" s="16"/>
      <c r="H573" s="11">
        <f>COUNTIF(Events!$A$2:$A$391,$A573)</f>
        <v>0</v>
      </c>
      <c r="I573" s="11" t="str">
        <f>IFERROR(INDEX(Events!$E$2:$E$391,MATCH($A573,Events!$A$2:$A$391,0)),"")</f>
        <v/>
      </c>
    </row>
    <row r="574" spans="1:9" ht="15" customHeight="1" x14ac:dyDescent="0.35">
      <c r="A574" s="12">
        <v>45864</v>
      </c>
      <c r="B574" s="11">
        <f t="shared" si="40"/>
        <v>2025</v>
      </c>
      <c r="C574" s="11">
        <f t="shared" si="41"/>
        <v>7</v>
      </c>
      <c r="D574" s="11" t="str">
        <f t="shared" si="42"/>
        <v>Sat</v>
      </c>
      <c r="E574" s="11">
        <f t="shared" si="43"/>
        <v>0</v>
      </c>
      <c r="F574" s="11">
        <f t="shared" si="44"/>
        <v>0</v>
      </c>
      <c r="G574" s="16"/>
      <c r="H574" s="11">
        <f>COUNTIF(Events!$A$2:$A$391,$A574)</f>
        <v>0</v>
      </c>
      <c r="I574" s="11" t="str">
        <f>IFERROR(INDEX(Events!$E$2:$E$391,MATCH($A574,Events!$A$2:$A$391,0)),"")</f>
        <v/>
      </c>
    </row>
    <row r="575" spans="1:9" ht="15" customHeight="1" x14ac:dyDescent="0.35">
      <c r="A575" s="12">
        <v>45865</v>
      </c>
      <c r="B575" s="11">
        <f t="shared" si="40"/>
        <v>2025</v>
      </c>
      <c r="C575" s="11">
        <f t="shared" si="41"/>
        <v>7</v>
      </c>
      <c r="D575" s="11" t="str">
        <f t="shared" si="42"/>
        <v>Sun</v>
      </c>
      <c r="E575" s="11">
        <f t="shared" si="43"/>
        <v>0</v>
      </c>
      <c r="F575" s="11">
        <f t="shared" si="44"/>
        <v>0</v>
      </c>
      <c r="G575" s="16"/>
      <c r="H575" s="11">
        <f>COUNTIF(Events!$A$2:$A$391,$A575)</f>
        <v>0</v>
      </c>
      <c r="I575" s="11" t="str">
        <f>IFERROR(INDEX(Events!$E$2:$E$391,MATCH($A575,Events!$A$2:$A$391,0)),"")</f>
        <v/>
      </c>
    </row>
    <row r="576" spans="1:9" ht="15" customHeight="1" x14ac:dyDescent="0.35">
      <c r="A576" s="12">
        <v>45866</v>
      </c>
      <c r="B576" s="11">
        <f t="shared" si="40"/>
        <v>2025</v>
      </c>
      <c r="C576" s="11">
        <f t="shared" si="41"/>
        <v>7</v>
      </c>
      <c r="D576" s="11" t="str">
        <f t="shared" si="42"/>
        <v>Mon</v>
      </c>
      <c r="E576" s="11">
        <f t="shared" si="43"/>
        <v>0</v>
      </c>
      <c r="F576" s="11">
        <f t="shared" si="44"/>
        <v>0</v>
      </c>
      <c r="G576" s="16"/>
      <c r="H576" s="11">
        <f>COUNTIF(Events!$A$2:$A$391,$A576)</f>
        <v>0</v>
      </c>
      <c r="I576" s="11" t="str">
        <f>IFERROR(INDEX(Events!$E$2:$E$391,MATCH($A576,Events!$A$2:$A$391,0)),"")</f>
        <v/>
      </c>
    </row>
    <row r="577" spans="1:9" ht="15" customHeight="1" x14ac:dyDescent="0.35">
      <c r="A577" s="12">
        <v>45867</v>
      </c>
      <c r="B577" s="11">
        <f t="shared" si="40"/>
        <v>2025</v>
      </c>
      <c r="C577" s="11">
        <f t="shared" si="41"/>
        <v>7</v>
      </c>
      <c r="D577" s="11" t="str">
        <f t="shared" si="42"/>
        <v>Tue</v>
      </c>
      <c r="E577" s="11">
        <f t="shared" si="43"/>
        <v>0</v>
      </c>
      <c r="F577" s="11">
        <f t="shared" si="44"/>
        <v>0</v>
      </c>
      <c r="G577" s="16"/>
      <c r="H577" s="11">
        <f>COUNTIF(Events!$A$2:$A$391,$A577)</f>
        <v>0</v>
      </c>
      <c r="I577" s="11" t="str">
        <f>IFERROR(INDEX(Events!$E$2:$E$391,MATCH($A577,Events!$A$2:$A$391,0)),"")</f>
        <v/>
      </c>
    </row>
    <row r="578" spans="1:9" ht="15" customHeight="1" x14ac:dyDescent="0.35">
      <c r="A578" s="12">
        <v>45868</v>
      </c>
      <c r="B578" s="11">
        <f t="shared" ref="B578:B641" si="45">YEAR($A578)</f>
        <v>2025</v>
      </c>
      <c r="C578" s="11">
        <f t="shared" ref="C578:C641" si="46">MONTH($A578)</f>
        <v>7</v>
      </c>
      <c r="D578" s="11" t="str">
        <f t="shared" ref="D578:D641" si="47">TEXT($A578,"ddd")</f>
        <v>Wed</v>
      </c>
      <c r="E578" s="11">
        <f t="shared" ref="E578:E641" si="48">IF(OR(AND(MONTH($A578)=10,DAY($A578)&gt;=15),MONTH($A578)=11,AND(MONTH($A578)=12,DAY($A578)&lt;=7)),1,0)</f>
        <v>0</v>
      </c>
      <c r="F578" s="11">
        <f t="shared" ref="F578:F641" si="49">IF(MONTH($A578)&lt;=3,1,0)</f>
        <v>0</v>
      </c>
      <c r="G578" s="16"/>
      <c r="H578" s="11">
        <f>COUNTIF(Events!$A$2:$A$391,$A578)</f>
        <v>0</v>
      </c>
      <c r="I578" s="11" t="str">
        <f>IFERROR(INDEX(Events!$E$2:$E$391,MATCH($A578,Events!$A$2:$A$391,0)),"")</f>
        <v/>
      </c>
    </row>
    <row r="579" spans="1:9" ht="15" customHeight="1" x14ac:dyDescent="0.35">
      <c r="A579" s="12">
        <v>45869</v>
      </c>
      <c r="B579" s="11">
        <f t="shared" si="45"/>
        <v>2025</v>
      </c>
      <c r="C579" s="11">
        <f t="shared" si="46"/>
        <v>7</v>
      </c>
      <c r="D579" s="11" t="str">
        <f t="shared" si="47"/>
        <v>Thu</v>
      </c>
      <c r="E579" s="11">
        <f t="shared" si="48"/>
        <v>0</v>
      </c>
      <c r="F579" s="11">
        <f t="shared" si="49"/>
        <v>0</v>
      </c>
      <c r="G579" s="16"/>
      <c r="H579" s="11">
        <f>COUNTIF(Events!$A$2:$A$391,$A579)</f>
        <v>0</v>
      </c>
      <c r="I579" s="11" t="str">
        <f>IFERROR(INDEX(Events!$E$2:$E$391,MATCH($A579,Events!$A$2:$A$391,0)),"")</f>
        <v/>
      </c>
    </row>
    <row r="580" spans="1:9" ht="15" customHeight="1" x14ac:dyDescent="0.35">
      <c r="A580" s="12">
        <v>45870</v>
      </c>
      <c r="B580" s="11">
        <f t="shared" si="45"/>
        <v>2025</v>
      </c>
      <c r="C580" s="11">
        <f t="shared" si="46"/>
        <v>8</v>
      </c>
      <c r="D580" s="11" t="str">
        <f t="shared" si="47"/>
        <v>Fri</v>
      </c>
      <c r="E580" s="11">
        <f t="shared" si="48"/>
        <v>0</v>
      </c>
      <c r="F580" s="11">
        <f t="shared" si="49"/>
        <v>0</v>
      </c>
      <c r="G580" s="16"/>
      <c r="H580" s="11">
        <f>COUNTIF(Events!$A$2:$A$391,$A580)</f>
        <v>0</v>
      </c>
      <c r="I580" s="11" t="str">
        <f>IFERROR(INDEX(Events!$E$2:$E$391,MATCH($A580,Events!$A$2:$A$391,0)),"")</f>
        <v/>
      </c>
    </row>
    <row r="581" spans="1:9" ht="15" customHeight="1" x14ac:dyDescent="0.35">
      <c r="A581" s="12">
        <v>45871</v>
      </c>
      <c r="B581" s="11">
        <f t="shared" si="45"/>
        <v>2025</v>
      </c>
      <c r="C581" s="11">
        <f t="shared" si="46"/>
        <v>8</v>
      </c>
      <c r="D581" s="11" t="str">
        <f t="shared" si="47"/>
        <v>Sat</v>
      </c>
      <c r="E581" s="11">
        <f t="shared" si="48"/>
        <v>0</v>
      </c>
      <c r="F581" s="11">
        <f t="shared" si="49"/>
        <v>0</v>
      </c>
      <c r="G581" s="16"/>
      <c r="H581" s="11">
        <f>COUNTIF(Events!$A$2:$A$391,$A581)</f>
        <v>0</v>
      </c>
      <c r="I581" s="11" t="str">
        <f>IFERROR(INDEX(Events!$E$2:$E$391,MATCH($A581,Events!$A$2:$A$391,0)),"")</f>
        <v/>
      </c>
    </row>
    <row r="582" spans="1:9" ht="15" customHeight="1" x14ac:dyDescent="0.35">
      <c r="A582" s="12">
        <v>45872</v>
      </c>
      <c r="B582" s="11">
        <f t="shared" si="45"/>
        <v>2025</v>
      </c>
      <c r="C582" s="11">
        <f t="shared" si="46"/>
        <v>8</v>
      </c>
      <c r="D582" s="11" t="str">
        <f t="shared" si="47"/>
        <v>Sun</v>
      </c>
      <c r="E582" s="11">
        <f t="shared" si="48"/>
        <v>0</v>
      </c>
      <c r="F582" s="11">
        <f t="shared" si="49"/>
        <v>0</v>
      </c>
      <c r="G582" s="16"/>
      <c r="H582" s="11">
        <f>COUNTIF(Events!$A$2:$A$391,$A582)</f>
        <v>0</v>
      </c>
      <c r="I582" s="11" t="str">
        <f>IFERROR(INDEX(Events!$E$2:$E$391,MATCH($A582,Events!$A$2:$A$391,0)),"")</f>
        <v/>
      </c>
    </row>
    <row r="583" spans="1:9" ht="15" customHeight="1" x14ac:dyDescent="0.35">
      <c r="A583" s="12">
        <v>45873</v>
      </c>
      <c r="B583" s="11">
        <f t="shared" si="45"/>
        <v>2025</v>
      </c>
      <c r="C583" s="11">
        <f t="shared" si="46"/>
        <v>8</v>
      </c>
      <c r="D583" s="11" t="str">
        <f t="shared" si="47"/>
        <v>Mon</v>
      </c>
      <c r="E583" s="11">
        <f t="shared" si="48"/>
        <v>0</v>
      </c>
      <c r="F583" s="11">
        <f t="shared" si="49"/>
        <v>0</v>
      </c>
      <c r="G583" s="16"/>
      <c r="H583" s="11">
        <f>COUNTIF(Events!$A$2:$A$391,$A583)</f>
        <v>0</v>
      </c>
      <c r="I583" s="11" t="str">
        <f>IFERROR(INDEX(Events!$E$2:$E$391,MATCH($A583,Events!$A$2:$A$391,0)),"")</f>
        <v/>
      </c>
    </row>
    <row r="584" spans="1:9" ht="15" customHeight="1" x14ac:dyDescent="0.35">
      <c r="A584" s="12">
        <v>45874</v>
      </c>
      <c r="B584" s="11">
        <f t="shared" si="45"/>
        <v>2025</v>
      </c>
      <c r="C584" s="11">
        <f t="shared" si="46"/>
        <v>8</v>
      </c>
      <c r="D584" s="11" t="str">
        <f t="shared" si="47"/>
        <v>Tue</v>
      </c>
      <c r="E584" s="11">
        <f t="shared" si="48"/>
        <v>0</v>
      </c>
      <c r="F584" s="11">
        <f t="shared" si="49"/>
        <v>0</v>
      </c>
      <c r="G584" s="16"/>
      <c r="H584" s="11">
        <f>COUNTIF(Events!$A$2:$A$391,$A584)</f>
        <v>0</v>
      </c>
      <c r="I584" s="11" t="str">
        <f>IFERROR(INDEX(Events!$E$2:$E$391,MATCH($A584,Events!$A$2:$A$391,0)),"")</f>
        <v/>
      </c>
    </row>
    <row r="585" spans="1:9" ht="15" customHeight="1" x14ac:dyDescent="0.35">
      <c r="A585" s="12">
        <v>45875</v>
      </c>
      <c r="B585" s="11">
        <f t="shared" si="45"/>
        <v>2025</v>
      </c>
      <c r="C585" s="11">
        <f t="shared" si="46"/>
        <v>8</v>
      </c>
      <c r="D585" s="11" t="str">
        <f t="shared" si="47"/>
        <v>Wed</v>
      </c>
      <c r="E585" s="11">
        <f t="shared" si="48"/>
        <v>0</v>
      </c>
      <c r="F585" s="11">
        <f t="shared" si="49"/>
        <v>0</v>
      </c>
      <c r="G585" s="16"/>
      <c r="H585" s="11">
        <f>COUNTIF(Events!$A$2:$A$391,$A585)</f>
        <v>0</v>
      </c>
      <c r="I585" s="11" t="str">
        <f>IFERROR(INDEX(Events!$E$2:$E$391,MATCH($A585,Events!$A$2:$A$391,0)),"")</f>
        <v/>
      </c>
    </row>
    <row r="586" spans="1:9" ht="15" customHeight="1" x14ac:dyDescent="0.35">
      <c r="A586" s="12">
        <v>45876</v>
      </c>
      <c r="B586" s="11">
        <f t="shared" si="45"/>
        <v>2025</v>
      </c>
      <c r="C586" s="11">
        <f t="shared" si="46"/>
        <v>8</v>
      </c>
      <c r="D586" s="11" t="str">
        <f t="shared" si="47"/>
        <v>Thu</v>
      </c>
      <c r="E586" s="11">
        <f t="shared" si="48"/>
        <v>0</v>
      </c>
      <c r="F586" s="11">
        <f t="shared" si="49"/>
        <v>0</v>
      </c>
      <c r="G586" s="16"/>
      <c r="H586" s="11">
        <f>COUNTIF(Events!$A$2:$A$391,$A586)</f>
        <v>0</v>
      </c>
      <c r="I586" s="11" t="str">
        <f>IFERROR(INDEX(Events!$E$2:$E$391,MATCH($A586,Events!$A$2:$A$391,0)),"")</f>
        <v/>
      </c>
    </row>
    <row r="587" spans="1:9" ht="15" customHeight="1" x14ac:dyDescent="0.35">
      <c r="A587" s="12">
        <v>45877</v>
      </c>
      <c r="B587" s="11">
        <f t="shared" si="45"/>
        <v>2025</v>
      </c>
      <c r="C587" s="11">
        <f t="shared" si="46"/>
        <v>8</v>
      </c>
      <c r="D587" s="11" t="str">
        <f t="shared" si="47"/>
        <v>Fri</v>
      </c>
      <c r="E587" s="11">
        <f t="shared" si="48"/>
        <v>0</v>
      </c>
      <c r="F587" s="11">
        <f t="shared" si="49"/>
        <v>0</v>
      </c>
      <c r="G587" s="16"/>
      <c r="H587" s="11">
        <f>COUNTIF(Events!$A$2:$A$391,$A587)</f>
        <v>0</v>
      </c>
      <c r="I587" s="11" t="str">
        <f>IFERROR(INDEX(Events!$E$2:$E$391,MATCH($A587,Events!$A$2:$A$391,0)),"")</f>
        <v/>
      </c>
    </row>
    <row r="588" spans="1:9" ht="15" customHeight="1" x14ac:dyDescent="0.35">
      <c r="A588" s="12">
        <v>45878</v>
      </c>
      <c r="B588" s="11">
        <f t="shared" si="45"/>
        <v>2025</v>
      </c>
      <c r="C588" s="11">
        <f t="shared" si="46"/>
        <v>8</v>
      </c>
      <c r="D588" s="11" t="str">
        <f t="shared" si="47"/>
        <v>Sat</v>
      </c>
      <c r="E588" s="11">
        <f t="shared" si="48"/>
        <v>0</v>
      </c>
      <c r="F588" s="11">
        <f t="shared" si="49"/>
        <v>0</v>
      </c>
      <c r="G588" s="16"/>
      <c r="H588" s="11">
        <f>COUNTIF(Events!$A$2:$A$391,$A588)</f>
        <v>0</v>
      </c>
      <c r="I588" s="11" t="str">
        <f>IFERROR(INDEX(Events!$E$2:$E$391,MATCH($A588,Events!$A$2:$A$391,0)),"")</f>
        <v/>
      </c>
    </row>
    <row r="589" spans="1:9" ht="15" customHeight="1" x14ac:dyDescent="0.35">
      <c r="A589" s="12">
        <v>45879</v>
      </c>
      <c r="B589" s="11">
        <f t="shared" si="45"/>
        <v>2025</v>
      </c>
      <c r="C589" s="11">
        <f t="shared" si="46"/>
        <v>8</v>
      </c>
      <c r="D589" s="11" t="str">
        <f t="shared" si="47"/>
        <v>Sun</v>
      </c>
      <c r="E589" s="11">
        <f t="shared" si="48"/>
        <v>0</v>
      </c>
      <c r="F589" s="11">
        <f t="shared" si="49"/>
        <v>0</v>
      </c>
      <c r="G589" s="16"/>
      <c r="H589" s="11">
        <f>COUNTIF(Events!$A$2:$A$391,$A589)</f>
        <v>0</v>
      </c>
      <c r="I589" s="11" t="str">
        <f>IFERROR(INDEX(Events!$E$2:$E$391,MATCH($A589,Events!$A$2:$A$391,0)),"")</f>
        <v/>
      </c>
    </row>
    <row r="590" spans="1:9" ht="15" customHeight="1" x14ac:dyDescent="0.35">
      <c r="A590" s="12">
        <v>45880</v>
      </c>
      <c r="B590" s="11">
        <f t="shared" si="45"/>
        <v>2025</v>
      </c>
      <c r="C590" s="11">
        <f t="shared" si="46"/>
        <v>8</v>
      </c>
      <c r="D590" s="11" t="str">
        <f t="shared" si="47"/>
        <v>Mon</v>
      </c>
      <c r="E590" s="11">
        <f t="shared" si="48"/>
        <v>0</v>
      </c>
      <c r="F590" s="11">
        <f t="shared" si="49"/>
        <v>0</v>
      </c>
      <c r="G590" s="16"/>
      <c r="H590" s="11">
        <f>COUNTIF(Events!$A$2:$A$391,$A590)</f>
        <v>0</v>
      </c>
      <c r="I590" s="11" t="str">
        <f>IFERROR(INDEX(Events!$E$2:$E$391,MATCH($A590,Events!$A$2:$A$391,0)),"")</f>
        <v/>
      </c>
    </row>
    <row r="591" spans="1:9" ht="15" customHeight="1" x14ac:dyDescent="0.35">
      <c r="A591" s="12">
        <v>45881</v>
      </c>
      <c r="B591" s="11">
        <f t="shared" si="45"/>
        <v>2025</v>
      </c>
      <c r="C591" s="11">
        <f t="shared" si="46"/>
        <v>8</v>
      </c>
      <c r="D591" s="11" t="str">
        <f t="shared" si="47"/>
        <v>Tue</v>
      </c>
      <c r="E591" s="11">
        <f t="shared" si="48"/>
        <v>0</v>
      </c>
      <c r="F591" s="11">
        <f t="shared" si="49"/>
        <v>0</v>
      </c>
      <c r="G591" s="16"/>
      <c r="H591" s="11">
        <f>COUNTIF(Events!$A$2:$A$391,$A591)</f>
        <v>0</v>
      </c>
      <c r="I591" s="11" t="str">
        <f>IFERROR(INDEX(Events!$E$2:$E$391,MATCH($A591,Events!$A$2:$A$391,0)),"")</f>
        <v/>
      </c>
    </row>
    <row r="592" spans="1:9" ht="15" customHeight="1" x14ac:dyDescent="0.35">
      <c r="A592" s="12">
        <v>45882</v>
      </c>
      <c r="B592" s="11">
        <f t="shared" si="45"/>
        <v>2025</v>
      </c>
      <c r="C592" s="11">
        <f t="shared" si="46"/>
        <v>8</v>
      </c>
      <c r="D592" s="11" t="str">
        <f t="shared" si="47"/>
        <v>Wed</v>
      </c>
      <c r="E592" s="11">
        <f t="shared" si="48"/>
        <v>0</v>
      </c>
      <c r="F592" s="11">
        <f t="shared" si="49"/>
        <v>0</v>
      </c>
      <c r="G592" s="16"/>
      <c r="H592" s="11">
        <f>COUNTIF(Events!$A$2:$A$391,$A592)</f>
        <v>0</v>
      </c>
      <c r="I592" s="11" t="str">
        <f>IFERROR(INDEX(Events!$E$2:$E$391,MATCH($A592,Events!$A$2:$A$391,0)),"")</f>
        <v/>
      </c>
    </row>
    <row r="593" spans="1:9" ht="15" customHeight="1" x14ac:dyDescent="0.35">
      <c r="A593" s="12">
        <v>45883</v>
      </c>
      <c r="B593" s="11">
        <f t="shared" si="45"/>
        <v>2025</v>
      </c>
      <c r="C593" s="11">
        <f t="shared" si="46"/>
        <v>8</v>
      </c>
      <c r="D593" s="11" t="str">
        <f t="shared" si="47"/>
        <v>Thu</v>
      </c>
      <c r="E593" s="11">
        <f t="shared" si="48"/>
        <v>0</v>
      </c>
      <c r="F593" s="11">
        <f t="shared" si="49"/>
        <v>0</v>
      </c>
      <c r="G593" s="16"/>
      <c r="H593" s="11">
        <f>COUNTIF(Events!$A$2:$A$391,$A593)</f>
        <v>0</v>
      </c>
      <c r="I593" s="11" t="str">
        <f>IFERROR(INDEX(Events!$E$2:$E$391,MATCH($A593,Events!$A$2:$A$391,0)),"")</f>
        <v/>
      </c>
    </row>
    <row r="594" spans="1:9" ht="15" customHeight="1" x14ac:dyDescent="0.35">
      <c r="A594" s="12">
        <v>45884</v>
      </c>
      <c r="B594" s="11">
        <f t="shared" si="45"/>
        <v>2025</v>
      </c>
      <c r="C594" s="11">
        <f t="shared" si="46"/>
        <v>8</v>
      </c>
      <c r="D594" s="11" t="str">
        <f t="shared" si="47"/>
        <v>Fri</v>
      </c>
      <c r="E594" s="11">
        <f t="shared" si="48"/>
        <v>0</v>
      </c>
      <c r="F594" s="11">
        <f t="shared" si="49"/>
        <v>0</v>
      </c>
      <c r="G594" s="16"/>
      <c r="H594" s="11">
        <f>COUNTIF(Events!$A$2:$A$391,$A594)</f>
        <v>0</v>
      </c>
      <c r="I594" s="11" t="str">
        <f>IFERROR(INDEX(Events!$E$2:$E$391,MATCH($A594,Events!$A$2:$A$391,0)),"")</f>
        <v/>
      </c>
    </row>
    <row r="595" spans="1:9" ht="15" customHeight="1" x14ac:dyDescent="0.35">
      <c r="A595" s="12">
        <v>45885</v>
      </c>
      <c r="B595" s="11">
        <f t="shared" si="45"/>
        <v>2025</v>
      </c>
      <c r="C595" s="11">
        <f t="shared" si="46"/>
        <v>8</v>
      </c>
      <c r="D595" s="11" t="str">
        <f t="shared" si="47"/>
        <v>Sat</v>
      </c>
      <c r="E595" s="11">
        <f t="shared" si="48"/>
        <v>0</v>
      </c>
      <c r="F595" s="11">
        <f t="shared" si="49"/>
        <v>0</v>
      </c>
      <c r="G595" s="16"/>
      <c r="H595" s="11">
        <f>COUNTIF(Events!$A$2:$A$391,$A595)</f>
        <v>0</v>
      </c>
      <c r="I595" s="11" t="str">
        <f>IFERROR(INDEX(Events!$E$2:$E$391,MATCH($A595,Events!$A$2:$A$391,0)),"")</f>
        <v/>
      </c>
    </row>
    <row r="596" spans="1:9" ht="15" customHeight="1" x14ac:dyDescent="0.35">
      <c r="A596" s="12">
        <v>45886</v>
      </c>
      <c r="B596" s="11">
        <f t="shared" si="45"/>
        <v>2025</v>
      </c>
      <c r="C596" s="11">
        <f t="shared" si="46"/>
        <v>8</v>
      </c>
      <c r="D596" s="11" t="str">
        <f t="shared" si="47"/>
        <v>Sun</v>
      </c>
      <c r="E596" s="11">
        <f t="shared" si="48"/>
        <v>0</v>
      </c>
      <c r="F596" s="11">
        <f t="shared" si="49"/>
        <v>0</v>
      </c>
      <c r="G596" s="16"/>
      <c r="H596" s="11">
        <f>COUNTIF(Events!$A$2:$A$391,$A596)</f>
        <v>0</v>
      </c>
      <c r="I596" s="11" t="str">
        <f>IFERROR(INDEX(Events!$E$2:$E$391,MATCH($A596,Events!$A$2:$A$391,0)),"")</f>
        <v/>
      </c>
    </row>
    <row r="597" spans="1:9" ht="15" customHeight="1" x14ac:dyDescent="0.35">
      <c r="A597" s="12">
        <v>45887</v>
      </c>
      <c r="B597" s="11">
        <f t="shared" si="45"/>
        <v>2025</v>
      </c>
      <c r="C597" s="11">
        <f t="shared" si="46"/>
        <v>8</v>
      </c>
      <c r="D597" s="11" t="str">
        <f t="shared" si="47"/>
        <v>Mon</v>
      </c>
      <c r="E597" s="11">
        <f t="shared" si="48"/>
        <v>0</v>
      </c>
      <c r="F597" s="11">
        <f t="shared" si="49"/>
        <v>0</v>
      </c>
      <c r="G597" s="16"/>
      <c r="H597" s="11">
        <f>COUNTIF(Events!$A$2:$A$391,$A597)</f>
        <v>0</v>
      </c>
      <c r="I597" s="11" t="str">
        <f>IFERROR(INDEX(Events!$E$2:$E$391,MATCH($A597,Events!$A$2:$A$391,0)),"")</f>
        <v/>
      </c>
    </row>
    <row r="598" spans="1:9" ht="15" customHeight="1" x14ac:dyDescent="0.35">
      <c r="A598" s="12">
        <v>45888</v>
      </c>
      <c r="B598" s="11">
        <f t="shared" si="45"/>
        <v>2025</v>
      </c>
      <c r="C598" s="11">
        <f t="shared" si="46"/>
        <v>8</v>
      </c>
      <c r="D598" s="11" t="str">
        <f t="shared" si="47"/>
        <v>Tue</v>
      </c>
      <c r="E598" s="11">
        <f t="shared" si="48"/>
        <v>0</v>
      </c>
      <c r="F598" s="11">
        <f t="shared" si="49"/>
        <v>0</v>
      </c>
      <c r="G598" s="16"/>
      <c r="H598" s="11">
        <f>COUNTIF(Events!$A$2:$A$391,$A598)</f>
        <v>0</v>
      </c>
      <c r="I598" s="11" t="str">
        <f>IFERROR(INDEX(Events!$E$2:$E$391,MATCH($A598,Events!$A$2:$A$391,0)),"")</f>
        <v/>
      </c>
    </row>
    <row r="599" spans="1:9" ht="15" customHeight="1" x14ac:dyDescent="0.35">
      <c r="A599" s="12">
        <v>45889</v>
      </c>
      <c r="B599" s="11">
        <f t="shared" si="45"/>
        <v>2025</v>
      </c>
      <c r="C599" s="11">
        <f t="shared" si="46"/>
        <v>8</v>
      </c>
      <c r="D599" s="11" t="str">
        <f t="shared" si="47"/>
        <v>Wed</v>
      </c>
      <c r="E599" s="11">
        <f t="shared" si="48"/>
        <v>0</v>
      </c>
      <c r="F599" s="11">
        <f t="shared" si="49"/>
        <v>0</v>
      </c>
      <c r="G599" s="16"/>
      <c r="H599" s="11">
        <f>COUNTIF(Events!$A$2:$A$391,$A599)</f>
        <v>0</v>
      </c>
      <c r="I599" s="11" t="str">
        <f>IFERROR(INDEX(Events!$E$2:$E$391,MATCH($A599,Events!$A$2:$A$391,0)),"")</f>
        <v/>
      </c>
    </row>
    <row r="600" spans="1:9" ht="15" customHeight="1" x14ac:dyDescent="0.35">
      <c r="A600" s="12">
        <v>45890</v>
      </c>
      <c r="B600" s="11">
        <f t="shared" si="45"/>
        <v>2025</v>
      </c>
      <c r="C600" s="11">
        <f t="shared" si="46"/>
        <v>8</v>
      </c>
      <c r="D600" s="11" t="str">
        <f t="shared" si="47"/>
        <v>Thu</v>
      </c>
      <c r="E600" s="11">
        <f t="shared" si="48"/>
        <v>0</v>
      </c>
      <c r="F600" s="11">
        <f t="shared" si="49"/>
        <v>0</v>
      </c>
      <c r="G600" s="16"/>
      <c r="H600" s="11">
        <f>COUNTIF(Events!$A$2:$A$391,$A600)</f>
        <v>0</v>
      </c>
      <c r="I600" s="11" t="str">
        <f>IFERROR(INDEX(Events!$E$2:$E$391,MATCH($A600,Events!$A$2:$A$391,0)),"")</f>
        <v/>
      </c>
    </row>
    <row r="601" spans="1:9" ht="15" customHeight="1" x14ac:dyDescent="0.35">
      <c r="A601" s="12">
        <v>45891</v>
      </c>
      <c r="B601" s="11">
        <f t="shared" si="45"/>
        <v>2025</v>
      </c>
      <c r="C601" s="11">
        <f t="shared" si="46"/>
        <v>8</v>
      </c>
      <c r="D601" s="11" t="str">
        <f t="shared" si="47"/>
        <v>Fri</v>
      </c>
      <c r="E601" s="11">
        <f t="shared" si="48"/>
        <v>0</v>
      </c>
      <c r="F601" s="11">
        <f t="shared" si="49"/>
        <v>0</v>
      </c>
      <c r="G601" s="16"/>
      <c r="H601" s="11">
        <f>COUNTIF(Events!$A$2:$A$391,$A601)</f>
        <v>0</v>
      </c>
      <c r="I601" s="11" t="str">
        <f>IFERROR(INDEX(Events!$E$2:$E$391,MATCH($A601,Events!$A$2:$A$391,0)),"")</f>
        <v/>
      </c>
    </row>
    <row r="602" spans="1:9" ht="15" customHeight="1" x14ac:dyDescent="0.35">
      <c r="A602" s="12">
        <v>45892</v>
      </c>
      <c r="B602" s="11">
        <f t="shared" si="45"/>
        <v>2025</v>
      </c>
      <c r="C602" s="11">
        <f t="shared" si="46"/>
        <v>8</v>
      </c>
      <c r="D602" s="11" t="str">
        <f t="shared" si="47"/>
        <v>Sat</v>
      </c>
      <c r="E602" s="11">
        <f t="shared" si="48"/>
        <v>0</v>
      </c>
      <c r="F602" s="11">
        <f t="shared" si="49"/>
        <v>0</v>
      </c>
      <c r="G602" s="16"/>
      <c r="H602" s="11">
        <f>COUNTIF(Events!$A$2:$A$391,$A602)</f>
        <v>0</v>
      </c>
      <c r="I602" s="11" t="str">
        <f>IFERROR(INDEX(Events!$E$2:$E$391,MATCH($A602,Events!$A$2:$A$391,0)),"")</f>
        <v/>
      </c>
    </row>
    <row r="603" spans="1:9" ht="15" customHeight="1" x14ac:dyDescent="0.35">
      <c r="A603" s="12">
        <v>45893</v>
      </c>
      <c r="B603" s="11">
        <f t="shared" si="45"/>
        <v>2025</v>
      </c>
      <c r="C603" s="11">
        <f t="shared" si="46"/>
        <v>8</v>
      </c>
      <c r="D603" s="11" t="str">
        <f t="shared" si="47"/>
        <v>Sun</v>
      </c>
      <c r="E603" s="11">
        <f t="shared" si="48"/>
        <v>0</v>
      </c>
      <c r="F603" s="11">
        <f t="shared" si="49"/>
        <v>0</v>
      </c>
      <c r="G603" s="16"/>
      <c r="H603" s="11">
        <f>COUNTIF(Events!$A$2:$A$391,$A603)</f>
        <v>0</v>
      </c>
      <c r="I603" s="11" t="str">
        <f>IFERROR(INDEX(Events!$E$2:$E$391,MATCH($A603,Events!$A$2:$A$391,0)),"")</f>
        <v/>
      </c>
    </row>
    <row r="604" spans="1:9" ht="15" customHeight="1" x14ac:dyDescent="0.35">
      <c r="A604" s="12">
        <v>45894</v>
      </c>
      <c r="B604" s="11">
        <f t="shared" si="45"/>
        <v>2025</v>
      </c>
      <c r="C604" s="11">
        <f t="shared" si="46"/>
        <v>8</v>
      </c>
      <c r="D604" s="11" t="str">
        <f t="shared" si="47"/>
        <v>Mon</v>
      </c>
      <c r="E604" s="11">
        <f t="shared" si="48"/>
        <v>0</v>
      </c>
      <c r="F604" s="11">
        <f t="shared" si="49"/>
        <v>0</v>
      </c>
      <c r="G604" s="16"/>
      <c r="H604" s="11">
        <f>COUNTIF(Events!$A$2:$A$391,$A604)</f>
        <v>0</v>
      </c>
      <c r="I604" s="11" t="str">
        <f>IFERROR(INDEX(Events!$E$2:$E$391,MATCH($A604,Events!$A$2:$A$391,0)),"")</f>
        <v/>
      </c>
    </row>
    <row r="605" spans="1:9" ht="15" customHeight="1" x14ac:dyDescent="0.35">
      <c r="A605" s="12">
        <v>45895</v>
      </c>
      <c r="B605" s="11">
        <f t="shared" si="45"/>
        <v>2025</v>
      </c>
      <c r="C605" s="11">
        <f t="shared" si="46"/>
        <v>8</v>
      </c>
      <c r="D605" s="11" t="str">
        <f t="shared" si="47"/>
        <v>Tue</v>
      </c>
      <c r="E605" s="11">
        <f t="shared" si="48"/>
        <v>0</v>
      </c>
      <c r="F605" s="11">
        <f t="shared" si="49"/>
        <v>0</v>
      </c>
      <c r="G605" s="16"/>
      <c r="H605" s="11">
        <f>COUNTIF(Events!$A$2:$A$391,$A605)</f>
        <v>0</v>
      </c>
      <c r="I605" s="11" t="str">
        <f>IFERROR(INDEX(Events!$E$2:$E$391,MATCH($A605,Events!$A$2:$A$391,0)),"")</f>
        <v/>
      </c>
    </row>
    <row r="606" spans="1:9" ht="15" customHeight="1" x14ac:dyDescent="0.35">
      <c r="A606" s="12">
        <v>45896</v>
      </c>
      <c r="B606" s="11">
        <f t="shared" si="45"/>
        <v>2025</v>
      </c>
      <c r="C606" s="11">
        <f t="shared" si="46"/>
        <v>8</v>
      </c>
      <c r="D606" s="11" t="str">
        <f t="shared" si="47"/>
        <v>Wed</v>
      </c>
      <c r="E606" s="11">
        <f t="shared" si="48"/>
        <v>0</v>
      </c>
      <c r="F606" s="11">
        <f t="shared" si="49"/>
        <v>0</v>
      </c>
      <c r="G606" s="16"/>
      <c r="H606" s="11">
        <f>COUNTIF(Events!$A$2:$A$391,$A606)</f>
        <v>0</v>
      </c>
      <c r="I606" s="11" t="str">
        <f>IFERROR(INDEX(Events!$E$2:$E$391,MATCH($A606,Events!$A$2:$A$391,0)),"")</f>
        <v/>
      </c>
    </row>
    <row r="607" spans="1:9" ht="15" customHeight="1" x14ac:dyDescent="0.35">
      <c r="A607" s="12">
        <v>45897</v>
      </c>
      <c r="B607" s="11">
        <f t="shared" si="45"/>
        <v>2025</v>
      </c>
      <c r="C607" s="11">
        <f t="shared" si="46"/>
        <v>8</v>
      </c>
      <c r="D607" s="11" t="str">
        <f t="shared" si="47"/>
        <v>Thu</v>
      </c>
      <c r="E607" s="11">
        <f t="shared" si="48"/>
        <v>0</v>
      </c>
      <c r="F607" s="11">
        <f t="shared" si="49"/>
        <v>0</v>
      </c>
      <c r="G607" s="16"/>
      <c r="H607" s="11">
        <f>COUNTIF(Events!$A$2:$A$391,$A607)</f>
        <v>0</v>
      </c>
      <c r="I607" s="11" t="str">
        <f>IFERROR(INDEX(Events!$E$2:$E$391,MATCH($A607,Events!$A$2:$A$391,0)),"")</f>
        <v/>
      </c>
    </row>
    <row r="608" spans="1:9" ht="15" customHeight="1" x14ac:dyDescent="0.35">
      <c r="A608" s="12">
        <v>45898</v>
      </c>
      <c r="B608" s="11">
        <f t="shared" si="45"/>
        <v>2025</v>
      </c>
      <c r="C608" s="11">
        <f t="shared" si="46"/>
        <v>8</v>
      </c>
      <c r="D608" s="11" t="str">
        <f t="shared" si="47"/>
        <v>Fri</v>
      </c>
      <c r="E608" s="11">
        <f t="shared" si="48"/>
        <v>0</v>
      </c>
      <c r="F608" s="11">
        <f t="shared" si="49"/>
        <v>0</v>
      </c>
      <c r="G608" s="16"/>
      <c r="H608" s="11">
        <f>COUNTIF(Events!$A$2:$A$391,$A608)</f>
        <v>0</v>
      </c>
      <c r="I608" s="11" t="str">
        <f>IFERROR(INDEX(Events!$E$2:$E$391,MATCH($A608,Events!$A$2:$A$391,0)),"")</f>
        <v/>
      </c>
    </row>
    <row r="609" spans="1:9" ht="15" customHeight="1" x14ac:dyDescent="0.35">
      <c r="A609" s="12">
        <v>45899</v>
      </c>
      <c r="B609" s="11">
        <f t="shared" si="45"/>
        <v>2025</v>
      </c>
      <c r="C609" s="11">
        <f t="shared" si="46"/>
        <v>8</v>
      </c>
      <c r="D609" s="11" t="str">
        <f t="shared" si="47"/>
        <v>Sat</v>
      </c>
      <c r="E609" s="11">
        <f t="shared" si="48"/>
        <v>0</v>
      </c>
      <c r="F609" s="11">
        <f t="shared" si="49"/>
        <v>0</v>
      </c>
      <c r="G609" s="16"/>
      <c r="H609" s="11">
        <f>COUNTIF(Events!$A$2:$A$391,$A609)</f>
        <v>0</v>
      </c>
      <c r="I609" s="11" t="str">
        <f>IFERROR(INDEX(Events!$E$2:$E$391,MATCH($A609,Events!$A$2:$A$391,0)),"")</f>
        <v/>
      </c>
    </row>
    <row r="610" spans="1:9" ht="15" customHeight="1" x14ac:dyDescent="0.35">
      <c r="A610" s="12">
        <v>45900</v>
      </c>
      <c r="B610" s="11">
        <f t="shared" si="45"/>
        <v>2025</v>
      </c>
      <c r="C610" s="11">
        <f t="shared" si="46"/>
        <v>8</v>
      </c>
      <c r="D610" s="11" t="str">
        <f t="shared" si="47"/>
        <v>Sun</v>
      </c>
      <c r="E610" s="11">
        <f t="shared" si="48"/>
        <v>0</v>
      </c>
      <c r="F610" s="11">
        <f t="shared" si="49"/>
        <v>0</v>
      </c>
      <c r="G610" s="16"/>
      <c r="H610" s="11">
        <f>COUNTIF(Events!$A$2:$A$391,$A610)</f>
        <v>0</v>
      </c>
      <c r="I610" s="11" t="str">
        <f>IFERROR(INDEX(Events!$E$2:$E$391,MATCH($A610,Events!$A$2:$A$391,0)),"")</f>
        <v/>
      </c>
    </row>
    <row r="611" spans="1:9" ht="15" customHeight="1" x14ac:dyDescent="0.35">
      <c r="A611" s="12">
        <v>45901</v>
      </c>
      <c r="B611" s="11">
        <f t="shared" si="45"/>
        <v>2025</v>
      </c>
      <c r="C611" s="11">
        <f t="shared" si="46"/>
        <v>9</v>
      </c>
      <c r="D611" s="11" t="str">
        <f t="shared" si="47"/>
        <v>Mon</v>
      </c>
      <c r="E611" s="11">
        <f t="shared" si="48"/>
        <v>0</v>
      </c>
      <c r="F611" s="11">
        <f t="shared" si="49"/>
        <v>0</v>
      </c>
      <c r="G611" s="16"/>
      <c r="H611" s="11">
        <f>COUNTIF(Events!$A$2:$A$391,$A611)</f>
        <v>0</v>
      </c>
      <c r="I611" s="11" t="str">
        <f>IFERROR(INDEX(Events!$E$2:$E$391,MATCH($A611,Events!$A$2:$A$391,0)),"")</f>
        <v/>
      </c>
    </row>
    <row r="612" spans="1:9" ht="15" customHeight="1" x14ac:dyDescent="0.35">
      <c r="A612" s="12">
        <v>45902</v>
      </c>
      <c r="B612" s="11">
        <f t="shared" si="45"/>
        <v>2025</v>
      </c>
      <c r="C612" s="11">
        <f t="shared" si="46"/>
        <v>9</v>
      </c>
      <c r="D612" s="11" t="str">
        <f t="shared" si="47"/>
        <v>Tue</v>
      </c>
      <c r="E612" s="11">
        <f t="shared" si="48"/>
        <v>0</v>
      </c>
      <c r="F612" s="11">
        <f t="shared" si="49"/>
        <v>0</v>
      </c>
      <c r="G612" s="16"/>
      <c r="H612" s="11">
        <f>COUNTIF(Events!$A$2:$A$391,$A612)</f>
        <v>0</v>
      </c>
      <c r="I612" s="11" t="str">
        <f>IFERROR(INDEX(Events!$E$2:$E$391,MATCH($A612,Events!$A$2:$A$391,0)),"")</f>
        <v/>
      </c>
    </row>
    <row r="613" spans="1:9" ht="15" customHeight="1" x14ac:dyDescent="0.35">
      <c r="A613" s="12">
        <v>45903</v>
      </c>
      <c r="B613" s="11">
        <f t="shared" si="45"/>
        <v>2025</v>
      </c>
      <c r="C613" s="11">
        <f t="shared" si="46"/>
        <v>9</v>
      </c>
      <c r="D613" s="11" t="str">
        <f t="shared" si="47"/>
        <v>Wed</v>
      </c>
      <c r="E613" s="11">
        <f t="shared" si="48"/>
        <v>0</v>
      </c>
      <c r="F613" s="11">
        <f t="shared" si="49"/>
        <v>0</v>
      </c>
      <c r="G613" s="16"/>
      <c r="H613" s="11">
        <f>COUNTIF(Events!$A$2:$A$391,$A613)</f>
        <v>0</v>
      </c>
      <c r="I613" s="11" t="str">
        <f>IFERROR(INDEX(Events!$E$2:$E$391,MATCH($A613,Events!$A$2:$A$391,0)),"")</f>
        <v/>
      </c>
    </row>
    <row r="614" spans="1:9" ht="15" customHeight="1" x14ac:dyDescent="0.35">
      <c r="A614" s="12">
        <v>45904</v>
      </c>
      <c r="B614" s="11">
        <f t="shared" si="45"/>
        <v>2025</v>
      </c>
      <c r="C614" s="11">
        <f t="shared" si="46"/>
        <v>9</v>
      </c>
      <c r="D614" s="11" t="str">
        <f t="shared" si="47"/>
        <v>Thu</v>
      </c>
      <c r="E614" s="11">
        <f t="shared" si="48"/>
        <v>0</v>
      </c>
      <c r="F614" s="11">
        <f t="shared" si="49"/>
        <v>0</v>
      </c>
      <c r="G614" s="16"/>
      <c r="H614" s="11">
        <f>COUNTIF(Events!$A$2:$A$391,$A614)</f>
        <v>0</v>
      </c>
      <c r="I614" s="11" t="str">
        <f>IFERROR(INDEX(Events!$E$2:$E$391,MATCH($A614,Events!$A$2:$A$391,0)),"")</f>
        <v/>
      </c>
    </row>
    <row r="615" spans="1:9" ht="15" customHeight="1" x14ac:dyDescent="0.35">
      <c r="A615" s="12">
        <v>45905</v>
      </c>
      <c r="B615" s="11">
        <f t="shared" si="45"/>
        <v>2025</v>
      </c>
      <c r="C615" s="11">
        <f t="shared" si="46"/>
        <v>9</v>
      </c>
      <c r="D615" s="11" t="str">
        <f t="shared" si="47"/>
        <v>Fri</v>
      </c>
      <c r="E615" s="11">
        <f t="shared" si="48"/>
        <v>0</v>
      </c>
      <c r="F615" s="11">
        <f t="shared" si="49"/>
        <v>0</v>
      </c>
      <c r="G615" s="16"/>
      <c r="H615" s="11">
        <f>COUNTIF(Events!$A$2:$A$391,$A615)</f>
        <v>0</v>
      </c>
      <c r="I615" s="11" t="str">
        <f>IFERROR(INDEX(Events!$E$2:$E$391,MATCH($A615,Events!$A$2:$A$391,0)),"")</f>
        <v/>
      </c>
    </row>
    <row r="616" spans="1:9" ht="15" customHeight="1" x14ac:dyDescent="0.35">
      <c r="A616" s="12">
        <v>45906</v>
      </c>
      <c r="B616" s="11">
        <f t="shared" si="45"/>
        <v>2025</v>
      </c>
      <c r="C616" s="11">
        <f t="shared" si="46"/>
        <v>9</v>
      </c>
      <c r="D616" s="11" t="str">
        <f t="shared" si="47"/>
        <v>Sat</v>
      </c>
      <c r="E616" s="11">
        <f t="shared" si="48"/>
        <v>0</v>
      </c>
      <c r="F616" s="11">
        <f t="shared" si="49"/>
        <v>0</v>
      </c>
      <c r="G616" s="16"/>
      <c r="H616" s="11">
        <f>COUNTIF(Events!$A$2:$A$391,$A616)</f>
        <v>0</v>
      </c>
      <c r="I616" s="11" t="str">
        <f>IFERROR(INDEX(Events!$E$2:$E$391,MATCH($A616,Events!$A$2:$A$391,0)),"")</f>
        <v/>
      </c>
    </row>
    <row r="617" spans="1:9" ht="15" customHeight="1" x14ac:dyDescent="0.35">
      <c r="A617" s="12">
        <v>45907</v>
      </c>
      <c r="B617" s="11">
        <f t="shared" si="45"/>
        <v>2025</v>
      </c>
      <c r="C617" s="11">
        <f t="shared" si="46"/>
        <v>9</v>
      </c>
      <c r="D617" s="11" t="str">
        <f t="shared" si="47"/>
        <v>Sun</v>
      </c>
      <c r="E617" s="11">
        <f t="shared" si="48"/>
        <v>0</v>
      </c>
      <c r="F617" s="11">
        <f t="shared" si="49"/>
        <v>0</v>
      </c>
      <c r="G617" s="16"/>
      <c r="H617" s="11">
        <f>COUNTIF(Events!$A$2:$A$391,$A617)</f>
        <v>0</v>
      </c>
      <c r="I617" s="11" t="str">
        <f>IFERROR(INDEX(Events!$E$2:$E$391,MATCH($A617,Events!$A$2:$A$391,0)),"")</f>
        <v/>
      </c>
    </row>
    <row r="618" spans="1:9" ht="15" customHeight="1" x14ac:dyDescent="0.35">
      <c r="A618" s="12">
        <v>45908</v>
      </c>
      <c r="B618" s="11">
        <f t="shared" si="45"/>
        <v>2025</v>
      </c>
      <c r="C618" s="11">
        <f t="shared" si="46"/>
        <v>9</v>
      </c>
      <c r="D618" s="11" t="str">
        <f t="shared" si="47"/>
        <v>Mon</v>
      </c>
      <c r="E618" s="11">
        <f t="shared" si="48"/>
        <v>0</v>
      </c>
      <c r="F618" s="11">
        <f t="shared" si="49"/>
        <v>0</v>
      </c>
      <c r="G618" s="16"/>
      <c r="H618" s="11">
        <f>COUNTIF(Events!$A$2:$A$391,$A618)</f>
        <v>0</v>
      </c>
      <c r="I618" s="11" t="str">
        <f>IFERROR(INDEX(Events!$E$2:$E$391,MATCH($A618,Events!$A$2:$A$391,0)),"")</f>
        <v/>
      </c>
    </row>
    <row r="619" spans="1:9" ht="15" customHeight="1" x14ac:dyDescent="0.35">
      <c r="A619" s="12">
        <v>45909</v>
      </c>
      <c r="B619" s="11">
        <f t="shared" si="45"/>
        <v>2025</v>
      </c>
      <c r="C619" s="11">
        <f t="shared" si="46"/>
        <v>9</v>
      </c>
      <c r="D619" s="11" t="str">
        <f t="shared" si="47"/>
        <v>Tue</v>
      </c>
      <c r="E619" s="11">
        <f t="shared" si="48"/>
        <v>0</v>
      </c>
      <c r="F619" s="11">
        <f t="shared" si="49"/>
        <v>0</v>
      </c>
      <c r="G619" s="16"/>
      <c r="H619" s="11">
        <f>COUNTIF(Events!$A$2:$A$391,$A619)</f>
        <v>0</v>
      </c>
      <c r="I619" s="11" t="str">
        <f>IFERROR(INDEX(Events!$E$2:$E$391,MATCH($A619,Events!$A$2:$A$391,0)),"")</f>
        <v/>
      </c>
    </row>
    <row r="620" spans="1:9" ht="15" customHeight="1" x14ac:dyDescent="0.35">
      <c r="A620" s="12">
        <v>45910</v>
      </c>
      <c r="B620" s="11">
        <f t="shared" si="45"/>
        <v>2025</v>
      </c>
      <c r="C620" s="11">
        <f t="shared" si="46"/>
        <v>9</v>
      </c>
      <c r="D620" s="11" t="str">
        <f t="shared" si="47"/>
        <v>Wed</v>
      </c>
      <c r="E620" s="11">
        <f t="shared" si="48"/>
        <v>0</v>
      </c>
      <c r="F620" s="11">
        <f t="shared" si="49"/>
        <v>0</v>
      </c>
      <c r="G620" s="16"/>
      <c r="H620" s="11">
        <f>COUNTIF(Events!$A$2:$A$391,$A620)</f>
        <v>0</v>
      </c>
      <c r="I620" s="11" t="str">
        <f>IFERROR(INDEX(Events!$E$2:$E$391,MATCH($A620,Events!$A$2:$A$391,0)),"")</f>
        <v/>
      </c>
    </row>
    <row r="621" spans="1:9" ht="15" customHeight="1" x14ac:dyDescent="0.35">
      <c r="A621" s="12">
        <v>45911</v>
      </c>
      <c r="B621" s="11">
        <f t="shared" si="45"/>
        <v>2025</v>
      </c>
      <c r="C621" s="11">
        <f t="shared" si="46"/>
        <v>9</v>
      </c>
      <c r="D621" s="11" t="str">
        <f t="shared" si="47"/>
        <v>Thu</v>
      </c>
      <c r="E621" s="11">
        <f t="shared" si="48"/>
        <v>0</v>
      </c>
      <c r="F621" s="11">
        <f t="shared" si="49"/>
        <v>0</v>
      </c>
      <c r="G621" s="16"/>
      <c r="H621" s="11">
        <f>COUNTIF(Events!$A$2:$A$391,$A621)</f>
        <v>0</v>
      </c>
      <c r="I621" s="11" t="str">
        <f>IFERROR(INDEX(Events!$E$2:$E$391,MATCH($A621,Events!$A$2:$A$391,0)),"")</f>
        <v/>
      </c>
    </row>
    <row r="622" spans="1:9" ht="15" customHeight="1" x14ac:dyDescent="0.35">
      <c r="A622" s="12">
        <v>45912</v>
      </c>
      <c r="B622" s="11">
        <f t="shared" si="45"/>
        <v>2025</v>
      </c>
      <c r="C622" s="11">
        <f t="shared" si="46"/>
        <v>9</v>
      </c>
      <c r="D622" s="11" t="str">
        <f t="shared" si="47"/>
        <v>Fri</v>
      </c>
      <c r="E622" s="11">
        <f t="shared" si="48"/>
        <v>0</v>
      </c>
      <c r="F622" s="11">
        <f t="shared" si="49"/>
        <v>0</v>
      </c>
      <c r="G622" s="16"/>
      <c r="H622" s="11">
        <f>COUNTIF(Events!$A$2:$A$391,$A622)</f>
        <v>0</v>
      </c>
      <c r="I622" s="11" t="str">
        <f>IFERROR(INDEX(Events!$E$2:$E$391,MATCH($A622,Events!$A$2:$A$391,0)),"")</f>
        <v/>
      </c>
    </row>
    <row r="623" spans="1:9" ht="15" customHeight="1" x14ac:dyDescent="0.35">
      <c r="A623" s="12">
        <v>45913</v>
      </c>
      <c r="B623" s="11">
        <f t="shared" si="45"/>
        <v>2025</v>
      </c>
      <c r="C623" s="11">
        <f t="shared" si="46"/>
        <v>9</v>
      </c>
      <c r="D623" s="11" t="str">
        <f t="shared" si="47"/>
        <v>Sat</v>
      </c>
      <c r="E623" s="11">
        <f t="shared" si="48"/>
        <v>0</v>
      </c>
      <c r="F623" s="11">
        <f t="shared" si="49"/>
        <v>0</v>
      </c>
      <c r="G623" s="16"/>
      <c r="H623" s="11">
        <f>COUNTIF(Events!$A$2:$A$391,$A623)</f>
        <v>0</v>
      </c>
      <c r="I623" s="11" t="str">
        <f>IFERROR(INDEX(Events!$E$2:$E$391,MATCH($A623,Events!$A$2:$A$391,0)),"")</f>
        <v/>
      </c>
    </row>
    <row r="624" spans="1:9" ht="15" customHeight="1" x14ac:dyDescent="0.35">
      <c r="A624" s="12">
        <v>45914</v>
      </c>
      <c r="B624" s="11">
        <f t="shared" si="45"/>
        <v>2025</v>
      </c>
      <c r="C624" s="11">
        <f t="shared" si="46"/>
        <v>9</v>
      </c>
      <c r="D624" s="11" t="str">
        <f t="shared" si="47"/>
        <v>Sun</v>
      </c>
      <c r="E624" s="11">
        <f t="shared" si="48"/>
        <v>0</v>
      </c>
      <c r="F624" s="11">
        <f t="shared" si="49"/>
        <v>0</v>
      </c>
      <c r="G624" s="16"/>
      <c r="H624" s="11">
        <f>COUNTIF(Events!$A$2:$A$391,$A624)</f>
        <v>0</v>
      </c>
      <c r="I624" s="11" t="str">
        <f>IFERROR(INDEX(Events!$E$2:$E$391,MATCH($A624,Events!$A$2:$A$391,0)),"")</f>
        <v/>
      </c>
    </row>
    <row r="625" spans="1:9" ht="15" customHeight="1" x14ac:dyDescent="0.35">
      <c r="A625" s="12">
        <v>45915</v>
      </c>
      <c r="B625" s="11">
        <f t="shared" si="45"/>
        <v>2025</v>
      </c>
      <c r="C625" s="11">
        <f t="shared" si="46"/>
        <v>9</v>
      </c>
      <c r="D625" s="11" t="str">
        <f t="shared" si="47"/>
        <v>Mon</v>
      </c>
      <c r="E625" s="11">
        <f t="shared" si="48"/>
        <v>0</v>
      </c>
      <c r="F625" s="11">
        <f t="shared" si="49"/>
        <v>0</v>
      </c>
      <c r="G625" s="16"/>
      <c r="H625" s="11">
        <f>COUNTIF(Events!$A$2:$A$391,$A625)</f>
        <v>0</v>
      </c>
      <c r="I625" s="11" t="str">
        <f>IFERROR(INDEX(Events!$E$2:$E$391,MATCH($A625,Events!$A$2:$A$391,0)),"")</f>
        <v/>
      </c>
    </row>
    <row r="626" spans="1:9" ht="15" customHeight="1" x14ac:dyDescent="0.35">
      <c r="A626" s="12">
        <v>45916</v>
      </c>
      <c r="B626" s="11">
        <f t="shared" si="45"/>
        <v>2025</v>
      </c>
      <c r="C626" s="11">
        <f t="shared" si="46"/>
        <v>9</v>
      </c>
      <c r="D626" s="11" t="str">
        <f t="shared" si="47"/>
        <v>Tue</v>
      </c>
      <c r="E626" s="11">
        <f t="shared" si="48"/>
        <v>0</v>
      </c>
      <c r="F626" s="11">
        <f t="shared" si="49"/>
        <v>0</v>
      </c>
      <c r="G626" s="16"/>
      <c r="H626" s="11">
        <f>COUNTIF(Events!$A$2:$A$391,$A626)</f>
        <v>0</v>
      </c>
      <c r="I626" s="11" t="str">
        <f>IFERROR(INDEX(Events!$E$2:$E$391,MATCH($A626,Events!$A$2:$A$391,0)),"")</f>
        <v/>
      </c>
    </row>
    <row r="627" spans="1:9" ht="15" customHeight="1" x14ac:dyDescent="0.35">
      <c r="A627" s="12">
        <v>45917</v>
      </c>
      <c r="B627" s="11">
        <f t="shared" si="45"/>
        <v>2025</v>
      </c>
      <c r="C627" s="11">
        <f t="shared" si="46"/>
        <v>9</v>
      </c>
      <c r="D627" s="11" t="str">
        <f t="shared" si="47"/>
        <v>Wed</v>
      </c>
      <c r="E627" s="11">
        <f t="shared" si="48"/>
        <v>0</v>
      </c>
      <c r="F627" s="11">
        <f t="shared" si="49"/>
        <v>0</v>
      </c>
      <c r="G627" s="16"/>
      <c r="H627" s="11">
        <f>COUNTIF(Events!$A$2:$A$391,$A627)</f>
        <v>0</v>
      </c>
      <c r="I627" s="11" t="str">
        <f>IFERROR(INDEX(Events!$E$2:$E$391,MATCH($A627,Events!$A$2:$A$391,0)),"")</f>
        <v/>
      </c>
    </row>
    <row r="628" spans="1:9" ht="15" customHeight="1" x14ac:dyDescent="0.35">
      <c r="A628" s="12">
        <v>45918</v>
      </c>
      <c r="B628" s="11">
        <f t="shared" si="45"/>
        <v>2025</v>
      </c>
      <c r="C628" s="11">
        <f t="shared" si="46"/>
        <v>9</v>
      </c>
      <c r="D628" s="11" t="str">
        <f t="shared" si="47"/>
        <v>Thu</v>
      </c>
      <c r="E628" s="11">
        <f t="shared" si="48"/>
        <v>0</v>
      </c>
      <c r="F628" s="11">
        <f t="shared" si="49"/>
        <v>0</v>
      </c>
      <c r="G628" s="16"/>
      <c r="H628" s="11">
        <f>COUNTIF(Events!$A$2:$A$391,$A628)</f>
        <v>0</v>
      </c>
      <c r="I628" s="11" t="str">
        <f>IFERROR(INDEX(Events!$E$2:$E$391,MATCH($A628,Events!$A$2:$A$391,0)),"")</f>
        <v/>
      </c>
    </row>
    <row r="629" spans="1:9" ht="15" customHeight="1" x14ac:dyDescent="0.35">
      <c r="A629" s="12">
        <v>45919</v>
      </c>
      <c r="B629" s="11">
        <f t="shared" si="45"/>
        <v>2025</v>
      </c>
      <c r="C629" s="11">
        <f t="shared" si="46"/>
        <v>9</v>
      </c>
      <c r="D629" s="11" t="str">
        <f t="shared" si="47"/>
        <v>Fri</v>
      </c>
      <c r="E629" s="11">
        <f t="shared" si="48"/>
        <v>0</v>
      </c>
      <c r="F629" s="11">
        <f t="shared" si="49"/>
        <v>0</v>
      </c>
      <c r="G629" s="16"/>
      <c r="H629" s="11">
        <f>COUNTIF(Events!$A$2:$A$391,$A629)</f>
        <v>0</v>
      </c>
      <c r="I629" s="11" t="str">
        <f>IFERROR(INDEX(Events!$E$2:$E$391,MATCH($A629,Events!$A$2:$A$391,0)),"")</f>
        <v/>
      </c>
    </row>
    <row r="630" spans="1:9" ht="15" customHeight="1" x14ac:dyDescent="0.35">
      <c r="A630" s="12">
        <v>45920</v>
      </c>
      <c r="B630" s="11">
        <f t="shared" si="45"/>
        <v>2025</v>
      </c>
      <c r="C630" s="11">
        <f t="shared" si="46"/>
        <v>9</v>
      </c>
      <c r="D630" s="11" t="str">
        <f t="shared" si="47"/>
        <v>Sat</v>
      </c>
      <c r="E630" s="11">
        <f t="shared" si="48"/>
        <v>0</v>
      </c>
      <c r="F630" s="11">
        <f t="shared" si="49"/>
        <v>0</v>
      </c>
      <c r="G630" s="16"/>
      <c r="H630" s="11">
        <f>COUNTIF(Events!$A$2:$A$391,$A630)</f>
        <v>0</v>
      </c>
      <c r="I630" s="11" t="str">
        <f>IFERROR(INDEX(Events!$E$2:$E$391,MATCH($A630,Events!$A$2:$A$391,0)),"")</f>
        <v/>
      </c>
    </row>
    <row r="631" spans="1:9" ht="15" customHeight="1" x14ac:dyDescent="0.35">
      <c r="A631" s="12">
        <v>45921</v>
      </c>
      <c r="B631" s="11">
        <f t="shared" si="45"/>
        <v>2025</v>
      </c>
      <c r="C631" s="11">
        <f t="shared" si="46"/>
        <v>9</v>
      </c>
      <c r="D631" s="11" t="str">
        <f t="shared" si="47"/>
        <v>Sun</v>
      </c>
      <c r="E631" s="11">
        <f t="shared" si="48"/>
        <v>0</v>
      </c>
      <c r="F631" s="11">
        <f t="shared" si="49"/>
        <v>0</v>
      </c>
      <c r="G631" s="16"/>
      <c r="H631" s="11">
        <f>COUNTIF(Events!$A$2:$A$391,$A631)</f>
        <v>0</v>
      </c>
      <c r="I631" s="11" t="str">
        <f>IFERROR(INDEX(Events!$E$2:$E$391,MATCH($A631,Events!$A$2:$A$391,0)),"")</f>
        <v/>
      </c>
    </row>
    <row r="632" spans="1:9" ht="15" customHeight="1" x14ac:dyDescent="0.35">
      <c r="A632" s="12">
        <v>45922</v>
      </c>
      <c r="B632" s="11">
        <f t="shared" si="45"/>
        <v>2025</v>
      </c>
      <c r="C632" s="11">
        <f t="shared" si="46"/>
        <v>9</v>
      </c>
      <c r="D632" s="11" t="str">
        <f t="shared" si="47"/>
        <v>Mon</v>
      </c>
      <c r="E632" s="11">
        <f t="shared" si="48"/>
        <v>0</v>
      </c>
      <c r="F632" s="11">
        <f t="shared" si="49"/>
        <v>0</v>
      </c>
      <c r="G632" s="16"/>
      <c r="H632" s="11">
        <f>COUNTIF(Events!$A$2:$A$391,$A632)</f>
        <v>0</v>
      </c>
      <c r="I632" s="11" t="str">
        <f>IFERROR(INDEX(Events!$E$2:$E$391,MATCH($A632,Events!$A$2:$A$391,0)),"")</f>
        <v/>
      </c>
    </row>
    <row r="633" spans="1:9" ht="15" customHeight="1" x14ac:dyDescent="0.35">
      <c r="A633" s="12">
        <v>45923</v>
      </c>
      <c r="B633" s="11">
        <f t="shared" si="45"/>
        <v>2025</v>
      </c>
      <c r="C633" s="11">
        <f t="shared" si="46"/>
        <v>9</v>
      </c>
      <c r="D633" s="11" t="str">
        <f t="shared" si="47"/>
        <v>Tue</v>
      </c>
      <c r="E633" s="11">
        <f t="shared" si="48"/>
        <v>0</v>
      </c>
      <c r="F633" s="11">
        <f t="shared" si="49"/>
        <v>0</v>
      </c>
      <c r="G633" s="16"/>
      <c r="H633" s="11">
        <f>COUNTIF(Events!$A$2:$A$391,$A633)</f>
        <v>0</v>
      </c>
      <c r="I633" s="11" t="str">
        <f>IFERROR(INDEX(Events!$E$2:$E$391,MATCH($A633,Events!$A$2:$A$391,0)),"")</f>
        <v/>
      </c>
    </row>
    <row r="634" spans="1:9" ht="15" customHeight="1" x14ac:dyDescent="0.35">
      <c r="A634" s="12">
        <v>45924</v>
      </c>
      <c r="B634" s="11">
        <f t="shared" si="45"/>
        <v>2025</v>
      </c>
      <c r="C634" s="11">
        <f t="shared" si="46"/>
        <v>9</v>
      </c>
      <c r="D634" s="11" t="str">
        <f t="shared" si="47"/>
        <v>Wed</v>
      </c>
      <c r="E634" s="11">
        <f t="shared" si="48"/>
        <v>0</v>
      </c>
      <c r="F634" s="11">
        <f t="shared" si="49"/>
        <v>0</v>
      </c>
      <c r="G634" s="16"/>
      <c r="H634" s="11">
        <f>COUNTIF(Events!$A$2:$A$391,$A634)</f>
        <v>0</v>
      </c>
      <c r="I634" s="11" t="str">
        <f>IFERROR(INDEX(Events!$E$2:$E$391,MATCH($A634,Events!$A$2:$A$391,0)),"")</f>
        <v/>
      </c>
    </row>
    <row r="635" spans="1:9" ht="15" customHeight="1" x14ac:dyDescent="0.35">
      <c r="A635" s="12">
        <v>45925</v>
      </c>
      <c r="B635" s="11">
        <f t="shared" si="45"/>
        <v>2025</v>
      </c>
      <c r="C635" s="11">
        <f t="shared" si="46"/>
        <v>9</v>
      </c>
      <c r="D635" s="11" t="str">
        <f t="shared" si="47"/>
        <v>Thu</v>
      </c>
      <c r="E635" s="11">
        <f t="shared" si="48"/>
        <v>0</v>
      </c>
      <c r="F635" s="11">
        <f t="shared" si="49"/>
        <v>0</v>
      </c>
      <c r="G635" s="16"/>
      <c r="H635" s="11">
        <f>COUNTIF(Events!$A$2:$A$391,$A635)</f>
        <v>0</v>
      </c>
      <c r="I635" s="11" t="str">
        <f>IFERROR(INDEX(Events!$E$2:$E$391,MATCH($A635,Events!$A$2:$A$391,0)),"")</f>
        <v/>
      </c>
    </row>
    <row r="636" spans="1:9" ht="15" customHeight="1" x14ac:dyDescent="0.35">
      <c r="A636" s="12">
        <v>45926</v>
      </c>
      <c r="B636" s="11">
        <f t="shared" si="45"/>
        <v>2025</v>
      </c>
      <c r="C636" s="11">
        <f t="shared" si="46"/>
        <v>9</v>
      </c>
      <c r="D636" s="11" t="str">
        <f t="shared" si="47"/>
        <v>Fri</v>
      </c>
      <c r="E636" s="11">
        <f t="shared" si="48"/>
        <v>0</v>
      </c>
      <c r="F636" s="11">
        <f t="shared" si="49"/>
        <v>0</v>
      </c>
      <c r="G636" s="16"/>
      <c r="H636" s="11">
        <f>COUNTIF(Events!$A$2:$A$391,$A636)</f>
        <v>0</v>
      </c>
      <c r="I636" s="11" t="str">
        <f>IFERROR(INDEX(Events!$E$2:$E$391,MATCH($A636,Events!$A$2:$A$391,0)),"")</f>
        <v/>
      </c>
    </row>
    <row r="637" spans="1:9" ht="15" customHeight="1" x14ac:dyDescent="0.35">
      <c r="A637" s="12">
        <v>45927</v>
      </c>
      <c r="B637" s="11">
        <f t="shared" si="45"/>
        <v>2025</v>
      </c>
      <c r="C637" s="11">
        <f t="shared" si="46"/>
        <v>9</v>
      </c>
      <c r="D637" s="11" t="str">
        <f t="shared" si="47"/>
        <v>Sat</v>
      </c>
      <c r="E637" s="11">
        <f t="shared" si="48"/>
        <v>0</v>
      </c>
      <c r="F637" s="11">
        <f t="shared" si="49"/>
        <v>0</v>
      </c>
      <c r="G637" s="16"/>
      <c r="H637" s="11">
        <f>COUNTIF(Events!$A$2:$A$391,$A637)</f>
        <v>0</v>
      </c>
      <c r="I637" s="11" t="str">
        <f>IFERROR(INDEX(Events!$E$2:$E$391,MATCH($A637,Events!$A$2:$A$391,0)),"")</f>
        <v/>
      </c>
    </row>
    <row r="638" spans="1:9" ht="15" customHeight="1" x14ac:dyDescent="0.35">
      <c r="A638" s="12">
        <v>45928</v>
      </c>
      <c r="B638" s="11">
        <f t="shared" si="45"/>
        <v>2025</v>
      </c>
      <c r="C638" s="11">
        <f t="shared" si="46"/>
        <v>9</v>
      </c>
      <c r="D638" s="11" t="str">
        <f t="shared" si="47"/>
        <v>Sun</v>
      </c>
      <c r="E638" s="11">
        <f t="shared" si="48"/>
        <v>0</v>
      </c>
      <c r="F638" s="11">
        <f t="shared" si="49"/>
        <v>0</v>
      </c>
      <c r="G638" s="16"/>
      <c r="H638" s="11">
        <f>COUNTIF(Events!$A$2:$A$391,$A638)</f>
        <v>0</v>
      </c>
      <c r="I638" s="11" t="str">
        <f>IFERROR(INDEX(Events!$E$2:$E$391,MATCH($A638,Events!$A$2:$A$391,0)),"")</f>
        <v/>
      </c>
    </row>
    <row r="639" spans="1:9" ht="15" customHeight="1" x14ac:dyDescent="0.35">
      <c r="A639" s="12">
        <v>45929</v>
      </c>
      <c r="B639" s="11">
        <f t="shared" si="45"/>
        <v>2025</v>
      </c>
      <c r="C639" s="11">
        <f t="shared" si="46"/>
        <v>9</v>
      </c>
      <c r="D639" s="11" t="str">
        <f t="shared" si="47"/>
        <v>Mon</v>
      </c>
      <c r="E639" s="11">
        <f t="shared" si="48"/>
        <v>0</v>
      </c>
      <c r="F639" s="11">
        <f t="shared" si="49"/>
        <v>0</v>
      </c>
      <c r="G639" s="16"/>
      <c r="H639" s="11">
        <f>COUNTIF(Events!$A$2:$A$391,$A639)</f>
        <v>0</v>
      </c>
      <c r="I639" s="11" t="str">
        <f>IFERROR(INDEX(Events!$E$2:$E$391,MATCH($A639,Events!$A$2:$A$391,0)),"")</f>
        <v/>
      </c>
    </row>
    <row r="640" spans="1:9" ht="15" customHeight="1" x14ac:dyDescent="0.35">
      <c r="A640" s="12">
        <v>45930</v>
      </c>
      <c r="B640" s="11">
        <f t="shared" si="45"/>
        <v>2025</v>
      </c>
      <c r="C640" s="11">
        <f t="shared" si="46"/>
        <v>9</v>
      </c>
      <c r="D640" s="11" t="str">
        <f t="shared" si="47"/>
        <v>Tue</v>
      </c>
      <c r="E640" s="11">
        <f t="shared" si="48"/>
        <v>0</v>
      </c>
      <c r="F640" s="11">
        <f t="shared" si="49"/>
        <v>0</v>
      </c>
      <c r="G640" s="16"/>
      <c r="H640" s="11">
        <f>COUNTIF(Events!$A$2:$A$391,$A640)</f>
        <v>0</v>
      </c>
      <c r="I640" s="11" t="str">
        <f>IFERROR(INDEX(Events!$E$2:$E$391,MATCH($A640,Events!$A$2:$A$391,0)),"")</f>
        <v/>
      </c>
    </row>
    <row r="641" spans="1:9" ht="15" customHeight="1" x14ac:dyDescent="0.35">
      <c r="A641" s="12">
        <v>45931</v>
      </c>
      <c r="B641" s="11">
        <f t="shared" si="45"/>
        <v>2025</v>
      </c>
      <c r="C641" s="11">
        <f t="shared" si="46"/>
        <v>10</v>
      </c>
      <c r="D641" s="11" t="str">
        <f t="shared" si="47"/>
        <v>Wed</v>
      </c>
      <c r="E641" s="11">
        <f t="shared" si="48"/>
        <v>0</v>
      </c>
      <c r="F641" s="11">
        <f t="shared" si="49"/>
        <v>0</v>
      </c>
      <c r="G641" s="16"/>
      <c r="H641" s="11">
        <f>COUNTIF(Events!$A$2:$A$391,$A641)</f>
        <v>1</v>
      </c>
      <c r="I641" s="11" t="str">
        <f>IFERROR(INDEX(Events!$E$2:$E$391,MATCH($A641,Events!$A$2:$A$391,0)),"")</f>
        <v>CY2026 plan marketing begins; plans notify enrollees of 2026 changes; 2026 landscape released ahead of AEP</v>
      </c>
    </row>
    <row r="642" spans="1:9" ht="15" customHeight="1" x14ac:dyDescent="0.35">
      <c r="A642" s="12">
        <v>45932</v>
      </c>
      <c r="B642" s="11">
        <f t="shared" ref="B642:B705" si="50">YEAR($A642)</f>
        <v>2025</v>
      </c>
      <c r="C642" s="11">
        <f t="shared" ref="C642:C705" si="51">MONTH($A642)</f>
        <v>10</v>
      </c>
      <c r="D642" s="11" t="str">
        <f t="shared" ref="D642:D705" si="52">TEXT($A642,"ddd")</f>
        <v>Thu</v>
      </c>
      <c r="E642" s="11">
        <f t="shared" ref="E642:E705" si="53">IF(OR(AND(MONTH($A642)=10,DAY($A642)&gt;=15),MONTH($A642)=11,AND(MONTH($A642)=12,DAY($A642)&lt;=7)),1,0)</f>
        <v>0</v>
      </c>
      <c r="F642" s="11">
        <f t="shared" ref="F642:F705" si="54">IF(MONTH($A642)&lt;=3,1,0)</f>
        <v>0</v>
      </c>
      <c r="G642" s="16"/>
      <c r="H642" s="11">
        <f>COUNTIF(Events!$A$2:$A$391,$A642)</f>
        <v>0</v>
      </c>
      <c r="I642" s="11" t="str">
        <f>IFERROR(INDEX(Events!$E$2:$E$391,MATCH($A642,Events!$A$2:$A$391,0)),"")</f>
        <v/>
      </c>
    </row>
    <row r="643" spans="1:9" ht="15" customHeight="1" x14ac:dyDescent="0.35">
      <c r="A643" s="12">
        <v>45933</v>
      </c>
      <c r="B643" s="11">
        <f t="shared" si="50"/>
        <v>2025</v>
      </c>
      <c r="C643" s="11">
        <f t="shared" si="51"/>
        <v>10</v>
      </c>
      <c r="D643" s="11" t="str">
        <f t="shared" si="52"/>
        <v>Fri</v>
      </c>
      <c r="E643" s="11">
        <f t="shared" si="53"/>
        <v>0</v>
      </c>
      <c r="F643" s="11">
        <f t="shared" si="54"/>
        <v>0</v>
      </c>
      <c r="G643" s="16"/>
      <c r="H643" s="11">
        <f>COUNTIF(Events!$A$2:$A$391,$A643)</f>
        <v>0</v>
      </c>
      <c r="I643" s="11" t="str">
        <f>IFERROR(INDEX(Events!$E$2:$E$391,MATCH($A643,Events!$A$2:$A$391,0)),"")</f>
        <v/>
      </c>
    </row>
    <row r="644" spans="1:9" ht="15" customHeight="1" x14ac:dyDescent="0.35">
      <c r="A644" s="12">
        <v>45934</v>
      </c>
      <c r="B644" s="11">
        <f t="shared" si="50"/>
        <v>2025</v>
      </c>
      <c r="C644" s="11">
        <f t="shared" si="51"/>
        <v>10</v>
      </c>
      <c r="D644" s="11" t="str">
        <f t="shared" si="52"/>
        <v>Sat</v>
      </c>
      <c r="E644" s="11">
        <f t="shared" si="53"/>
        <v>0</v>
      </c>
      <c r="F644" s="11">
        <f t="shared" si="54"/>
        <v>0</v>
      </c>
      <c r="G644" s="16"/>
      <c r="H644" s="11">
        <f>COUNTIF(Events!$A$2:$A$391,$A644)</f>
        <v>0</v>
      </c>
      <c r="I644" s="11" t="str">
        <f>IFERROR(INDEX(Events!$E$2:$E$391,MATCH($A644,Events!$A$2:$A$391,0)),"")</f>
        <v/>
      </c>
    </row>
    <row r="645" spans="1:9" ht="15" customHeight="1" x14ac:dyDescent="0.35">
      <c r="A645" s="12">
        <v>45935</v>
      </c>
      <c r="B645" s="11">
        <f t="shared" si="50"/>
        <v>2025</v>
      </c>
      <c r="C645" s="11">
        <f t="shared" si="51"/>
        <v>10</v>
      </c>
      <c r="D645" s="11" t="str">
        <f t="shared" si="52"/>
        <v>Sun</v>
      </c>
      <c r="E645" s="11">
        <f t="shared" si="53"/>
        <v>0</v>
      </c>
      <c r="F645" s="11">
        <f t="shared" si="54"/>
        <v>0</v>
      </c>
      <c r="G645" s="16"/>
      <c r="H645" s="11">
        <f>COUNTIF(Events!$A$2:$A$391,$A645)</f>
        <v>0</v>
      </c>
      <c r="I645" s="11" t="str">
        <f>IFERROR(INDEX(Events!$E$2:$E$391,MATCH($A645,Events!$A$2:$A$391,0)),"")</f>
        <v/>
      </c>
    </row>
    <row r="646" spans="1:9" ht="15" customHeight="1" x14ac:dyDescent="0.35">
      <c r="A646" s="12">
        <v>45936</v>
      </c>
      <c r="B646" s="11">
        <f t="shared" si="50"/>
        <v>2025</v>
      </c>
      <c r="C646" s="11">
        <f t="shared" si="51"/>
        <v>10</v>
      </c>
      <c r="D646" s="11" t="str">
        <f t="shared" si="52"/>
        <v>Mon</v>
      </c>
      <c r="E646" s="11">
        <f t="shared" si="53"/>
        <v>0</v>
      </c>
      <c r="F646" s="11">
        <f t="shared" si="54"/>
        <v>0</v>
      </c>
      <c r="G646" s="16"/>
      <c r="H646" s="11">
        <f>COUNTIF(Events!$A$2:$A$391,$A646)</f>
        <v>0</v>
      </c>
      <c r="I646" s="11" t="str">
        <f>IFERROR(INDEX(Events!$E$2:$E$391,MATCH($A646,Events!$A$2:$A$391,0)),"")</f>
        <v/>
      </c>
    </row>
    <row r="647" spans="1:9" ht="15" customHeight="1" x14ac:dyDescent="0.35">
      <c r="A647" s="12">
        <v>45937</v>
      </c>
      <c r="B647" s="11">
        <f t="shared" si="50"/>
        <v>2025</v>
      </c>
      <c r="C647" s="11">
        <f t="shared" si="51"/>
        <v>10</v>
      </c>
      <c r="D647" s="11" t="str">
        <f t="shared" si="52"/>
        <v>Tue</v>
      </c>
      <c r="E647" s="11">
        <f t="shared" si="53"/>
        <v>0</v>
      </c>
      <c r="F647" s="11">
        <f t="shared" si="54"/>
        <v>0</v>
      </c>
      <c r="G647" s="16"/>
      <c r="H647" s="11">
        <f>COUNTIF(Events!$A$2:$A$391,$A647)</f>
        <v>0</v>
      </c>
      <c r="I647" s="11" t="str">
        <f>IFERROR(INDEX(Events!$E$2:$E$391,MATCH($A647,Events!$A$2:$A$391,0)),"")</f>
        <v/>
      </c>
    </row>
    <row r="648" spans="1:9" ht="15" customHeight="1" x14ac:dyDescent="0.35">
      <c r="A648" s="12">
        <v>45938</v>
      </c>
      <c r="B648" s="11">
        <f t="shared" si="50"/>
        <v>2025</v>
      </c>
      <c r="C648" s="11">
        <f t="shared" si="51"/>
        <v>10</v>
      </c>
      <c r="D648" s="11" t="str">
        <f t="shared" si="52"/>
        <v>Wed</v>
      </c>
      <c r="E648" s="11">
        <f t="shared" si="53"/>
        <v>0</v>
      </c>
      <c r="F648" s="11">
        <f t="shared" si="54"/>
        <v>0</v>
      </c>
      <c r="G648" s="16"/>
      <c r="H648" s="11">
        <f>COUNTIF(Events!$A$2:$A$391,$A648)</f>
        <v>0</v>
      </c>
      <c r="I648" s="11" t="str">
        <f>IFERROR(INDEX(Events!$E$2:$E$391,MATCH($A648,Events!$A$2:$A$391,0)),"")</f>
        <v/>
      </c>
    </row>
    <row r="649" spans="1:9" ht="15" customHeight="1" x14ac:dyDescent="0.35">
      <c r="A649" s="12">
        <v>45939</v>
      </c>
      <c r="B649" s="11">
        <f t="shared" si="50"/>
        <v>2025</v>
      </c>
      <c r="C649" s="11">
        <f t="shared" si="51"/>
        <v>10</v>
      </c>
      <c r="D649" s="11" t="str">
        <f t="shared" si="52"/>
        <v>Thu</v>
      </c>
      <c r="E649" s="11">
        <f t="shared" si="53"/>
        <v>0</v>
      </c>
      <c r="F649" s="11">
        <f t="shared" si="54"/>
        <v>0</v>
      </c>
      <c r="G649" s="16"/>
      <c r="H649" s="11">
        <f>COUNTIF(Events!$A$2:$A$391,$A649)</f>
        <v>1</v>
      </c>
      <c r="I649" s="11" t="str">
        <f>IFERROR(INDEX(Events!$E$2:$E$391,MATCH($A649,Events!$A$2:$A$391,0)),"")</f>
        <v>2026 Star Ratings published on Medicare Plan Finder: 18 contracts earned 5 stars (vs 7 prior yr); measure-set changes (patient-experience weight cut 4 to 2, Kidney Health measure added). NOTE: HCSC enrollment-weighted avg fell ~0.30 stars, remains below 4 stars (HealthScape/Chartis analysis)</v>
      </c>
    </row>
    <row r="650" spans="1:9" ht="15" customHeight="1" x14ac:dyDescent="0.35">
      <c r="A650" s="12">
        <v>45940</v>
      </c>
      <c r="B650" s="11">
        <f t="shared" si="50"/>
        <v>2025</v>
      </c>
      <c r="C650" s="11">
        <f t="shared" si="51"/>
        <v>10</v>
      </c>
      <c r="D650" s="11" t="str">
        <f t="shared" si="52"/>
        <v>Fri</v>
      </c>
      <c r="E650" s="11">
        <f t="shared" si="53"/>
        <v>0</v>
      </c>
      <c r="F650" s="11">
        <f t="shared" si="54"/>
        <v>0</v>
      </c>
      <c r="G650" s="16"/>
      <c r="H650" s="11">
        <f>COUNTIF(Events!$A$2:$A$391,$A650)</f>
        <v>0</v>
      </c>
      <c r="I650" s="11" t="str">
        <f>IFERROR(INDEX(Events!$E$2:$E$391,MATCH($A650,Events!$A$2:$A$391,0)),"")</f>
        <v/>
      </c>
    </row>
    <row r="651" spans="1:9" ht="15" customHeight="1" x14ac:dyDescent="0.35">
      <c r="A651" s="12">
        <v>45941</v>
      </c>
      <c r="B651" s="11">
        <f t="shared" si="50"/>
        <v>2025</v>
      </c>
      <c r="C651" s="11">
        <f t="shared" si="51"/>
        <v>10</v>
      </c>
      <c r="D651" s="11" t="str">
        <f t="shared" si="52"/>
        <v>Sat</v>
      </c>
      <c r="E651" s="11">
        <f t="shared" si="53"/>
        <v>0</v>
      </c>
      <c r="F651" s="11">
        <f t="shared" si="54"/>
        <v>0</v>
      </c>
      <c r="G651" s="16"/>
      <c r="H651" s="11">
        <f>COUNTIF(Events!$A$2:$A$391,$A651)</f>
        <v>0</v>
      </c>
      <c r="I651" s="11" t="str">
        <f>IFERROR(INDEX(Events!$E$2:$E$391,MATCH($A651,Events!$A$2:$A$391,0)),"")</f>
        <v/>
      </c>
    </row>
    <row r="652" spans="1:9" ht="15" customHeight="1" x14ac:dyDescent="0.35">
      <c r="A652" s="12">
        <v>45942</v>
      </c>
      <c r="B652" s="11">
        <f t="shared" si="50"/>
        <v>2025</v>
      </c>
      <c r="C652" s="11">
        <f t="shared" si="51"/>
        <v>10</v>
      </c>
      <c r="D652" s="11" t="str">
        <f t="shared" si="52"/>
        <v>Sun</v>
      </c>
      <c r="E652" s="11">
        <f t="shared" si="53"/>
        <v>0</v>
      </c>
      <c r="F652" s="11">
        <f t="shared" si="54"/>
        <v>0</v>
      </c>
      <c r="G652" s="16"/>
      <c r="H652" s="11">
        <f>COUNTIF(Events!$A$2:$A$391,$A652)</f>
        <v>0</v>
      </c>
      <c r="I652" s="11" t="str">
        <f>IFERROR(INDEX(Events!$E$2:$E$391,MATCH($A652,Events!$A$2:$A$391,0)),"")</f>
        <v/>
      </c>
    </row>
    <row r="653" spans="1:9" ht="15" customHeight="1" x14ac:dyDescent="0.35">
      <c r="A653" s="12">
        <v>45943</v>
      </c>
      <c r="B653" s="11">
        <f t="shared" si="50"/>
        <v>2025</v>
      </c>
      <c r="C653" s="11">
        <f t="shared" si="51"/>
        <v>10</v>
      </c>
      <c r="D653" s="11" t="str">
        <f t="shared" si="52"/>
        <v>Mon</v>
      </c>
      <c r="E653" s="11">
        <f t="shared" si="53"/>
        <v>0</v>
      </c>
      <c r="F653" s="11">
        <f t="shared" si="54"/>
        <v>0</v>
      </c>
      <c r="G653" s="16"/>
      <c r="H653" s="11">
        <f>COUNTIF(Events!$A$2:$A$391,$A653)</f>
        <v>0</v>
      </c>
      <c r="I653" s="11" t="str">
        <f>IFERROR(INDEX(Events!$E$2:$E$391,MATCH($A653,Events!$A$2:$A$391,0)),"")</f>
        <v/>
      </c>
    </row>
    <row r="654" spans="1:9" ht="15" customHeight="1" x14ac:dyDescent="0.35">
      <c r="A654" s="12">
        <v>45944</v>
      </c>
      <c r="B654" s="11">
        <f t="shared" si="50"/>
        <v>2025</v>
      </c>
      <c r="C654" s="11">
        <f t="shared" si="51"/>
        <v>10</v>
      </c>
      <c r="D654" s="11" t="str">
        <f t="shared" si="52"/>
        <v>Tue</v>
      </c>
      <c r="E654" s="11">
        <f t="shared" si="53"/>
        <v>0</v>
      </c>
      <c r="F654" s="11">
        <f t="shared" si="54"/>
        <v>0</v>
      </c>
      <c r="G654" s="16"/>
      <c r="H654" s="11">
        <f>COUNTIF(Events!$A$2:$A$391,$A654)</f>
        <v>0</v>
      </c>
      <c r="I654" s="11" t="str">
        <f>IFERROR(INDEX(Events!$E$2:$E$391,MATCH($A654,Events!$A$2:$A$391,0)),"")</f>
        <v/>
      </c>
    </row>
    <row r="655" spans="1:9" ht="15" customHeight="1" x14ac:dyDescent="0.35">
      <c r="A655" s="12">
        <v>45945</v>
      </c>
      <c r="B655" s="11">
        <f t="shared" si="50"/>
        <v>2025</v>
      </c>
      <c r="C655" s="11">
        <f t="shared" si="51"/>
        <v>10</v>
      </c>
      <c r="D655" s="11" t="str">
        <f t="shared" si="52"/>
        <v>Wed</v>
      </c>
      <c r="E655" s="11">
        <f t="shared" si="53"/>
        <v>1</v>
      </c>
      <c r="F655" s="11">
        <f t="shared" si="54"/>
        <v>0</v>
      </c>
      <c r="G655" s="16"/>
      <c r="H655" s="11">
        <f>COUNTIF(Events!$A$2:$A$391,$A655)</f>
        <v>0</v>
      </c>
      <c r="I655" s="11" t="str">
        <f>IFERROR(INDEX(Events!$E$2:$E$391,MATCH($A655,Events!$A$2:$A$391,0)),"")</f>
        <v/>
      </c>
    </row>
    <row r="656" spans="1:9" ht="15" customHeight="1" x14ac:dyDescent="0.35">
      <c r="A656" s="12">
        <v>45946</v>
      </c>
      <c r="B656" s="11">
        <f t="shared" si="50"/>
        <v>2025</v>
      </c>
      <c r="C656" s="11">
        <f t="shared" si="51"/>
        <v>10</v>
      </c>
      <c r="D656" s="11" t="str">
        <f t="shared" si="52"/>
        <v>Thu</v>
      </c>
      <c r="E656" s="11">
        <f t="shared" si="53"/>
        <v>1</v>
      </c>
      <c r="F656" s="11">
        <f t="shared" si="54"/>
        <v>0</v>
      </c>
      <c r="G656" s="16"/>
      <c r="H656" s="11">
        <f>COUNTIF(Events!$A$2:$A$391,$A656)</f>
        <v>0</v>
      </c>
      <c r="I656" s="11" t="str">
        <f>IFERROR(INDEX(Events!$E$2:$E$391,MATCH($A656,Events!$A$2:$A$391,0)),"")</f>
        <v/>
      </c>
    </row>
    <row r="657" spans="1:9" ht="15" customHeight="1" x14ac:dyDescent="0.35">
      <c r="A657" s="12">
        <v>45947</v>
      </c>
      <c r="B657" s="11">
        <f t="shared" si="50"/>
        <v>2025</v>
      </c>
      <c r="C657" s="11">
        <f t="shared" si="51"/>
        <v>10</v>
      </c>
      <c r="D657" s="11" t="str">
        <f t="shared" si="52"/>
        <v>Fri</v>
      </c>
      <c r="E657" s="11">
        <f t="shared" si="53"/>
        <v>1</v>
      </c>
      <c r="F657" s="11">
        <f t="shared" si="54"/>
        <v>0</v>
      </c>
      <c r="G657" s="16"/>
      <c r="H657" s="11">
        <f>COUNTIF(Events!$A$2:$A$391,$A657)</f>
        <v>0</v>
      </c>
      <c r="I657" s="11" t="str">
        <f>IFERROR(INDEX(Events!$E$2:$E$391,MATCH($A657,Events!$A$2:$A$391,0)),"")</f>
        <v/>
      </c>
    </row>
    <row r="658" spans="1:9" ht="15" customHeight="1" x14ac:dyDescent="0.35">
      <c r="A658" s="12">
        <v>45948</v>
      </c>
      <c r="B658" s="11">
        <f t="shared" si="50"/>
        <v>2025</v>
      </c>
      <c r="C658" s="11">
        <f t="shared" si="51"/>
        <v>10</v>
      </c>
      <c r="D658" s="11" t="str">
        <f t="shared" si="52"/>
        <v>Sat</v>
      </c>
      <c r="E658" s="11">
        <f t="shared" si="53"/>
        <v>1</v>
      </c>
      <c r="F658" s="11">
        <f t="shared" si="54"/>
        <v>0</v>
      </c>
      <c r="G658" s="16"/>
      <c r="H658" s="11">
        <f>COUNTIF(Events!$A$2:$A$391,$A658)</f>
        <v>0</v>
      </c>
      <c r="I658" s="11" t="str">
        <f>IFERROR(INDEX(Events!$E$2:$E$391,MATCH($A658,Events!$A$2:$A$391,0)),"")</f>
        <v/>
      </c>
    </row>
    <row r="659" spans="1:9" ht="15" customHeight="1" x14ac:dyDescent="0.35">
      <c r="A659" s="12">
        <v>45949</v>
      </c>
      <c r="B659" s="11">
        <f t="shared" si="50"/>
        <v>2025</v>
      </c>
      <c r="C659" s="11">
        <f t="shared" si="51"/>
        <v>10</v>
      </c>
      <c r="D659" s="11" t="str">
        <f t="shared" si="52"/>
        <v>Sun</v>
      </c>
      <c r="E659" s="11">
        <f t="shared" si="53"/>
        <v>1</v>
      </c>
      <c r="F659" s="11">
        <f t="shared" si="54"/>
        <v>0</v>
      </c>
      <c r="G659" s="16"/>
      <c r="H659" s="11">
        <f>COUNTIF(Events!$A$2:$A$391,$A659)</f>
        <v>0</v>
      </c>
      <c r="I659" s="11" t="str">
        <f>IFERROR(INDEX(Events!$E$2:$E$391,MATCH($A659,Events!$A$2:$A$391,0)),"")</f>
        <v/>
      </c>
    </row>
    <row r="660" spans="1:9" ht="15" customHeight="1" x14ac:dyDescent="0.35">
      <c r="A660" s="12">
        <v>45950</v>
      </c>
      <c r="B660" s="11">
        <f t="shared" si="50"/>
        <v>2025</v>
      </c>
      <c r="C660" s="11">
        <f t="shared" si="51"/>
        <v>10</v>
      </c>
      <c r="D660" s="11" t="str">
        <f t="shared" si="52"/>
        <v>Mon</v>
      </c>
      <c r="E660" s="11">
        <f t="shared" si="53"/>
        <v>1</v>
      </c>
      <c r="F660" s="11">
        <f t="shared" si="54"/>
        <v>0</v>
      </c>
      <c r="G660" s="16"/>
      <c r="H660" s="11">
        <f>COUNTIF(Events!$A$2:$A$391,$A660)</f>
        <v>0</v>
      </c>
      <c r="I660" s="11" t="str">
        <f>IFERROR(INDEX(Events!$E$2:$E$391,MATCH($A660,Events!$A$2:$A$391,0)),"")</f>
        <v/>
      </c>
    </row>
    <row r="661" spans="1:9" ht="15" customHeight="1" x14ac:dyDescent="0.35">
      <c r="A661" s="12">
        <v>45951</v>
      </c>
      <c r="B661" s="11">
        <f t="shared" si="50"/>
        <v>2025</v>
      </c>
      <c r="C661" s="11">
        <f t="shared" si="51"/>
        <v>10</v>
      </c>
      <c r="D661" s="11" t="str">
        <f t="shared" si="52"/>
        <v>Tue</v>
      </c>
      <c r="E661" s="11">
        <f t="shared" si="53"/>
        <v>1</v>
      </c>
      <c r="F661" s="11">
        <f t="shared" si="54"/>
        <v>0</v>
      </c>
      <c r="G661" s="16"/>
      <c r="H661" s="11">
        <f>COUNTIF(Events!$A$2:$A$391,$A661)</f>
        <v>0</v>
      </c>
      <c r="I661" s="11" t="str">
        <f>IFERROR(INDEX(Events!$E$2:$E$391,MATCH($A661,Events!$A$2:$A$391,0)),"")</f>
        <v/>
      </c>
    </row>
    <row r="662" spans="1:9" ht="15" customHeight="1" x14ac:dyDescent="0.35">
      <c r="A662" s="12">
        <v>45952</v>
      </c>
      <c r="B662" s="11">
        <f t="shared" si="50"/>
        <v>2025</v>
      </c>
      <c r="C662" s="11">
        <f t="shared" si="51"/>
        <v>10</v>
      </c>
      <c r="D662" s="11" t="str">
        <f t="shared" si="52"/>
        <v>Wed</v>
      </c>
      <c r="E662" s="11">
        <f t="shared" si="53"/>
        <v>1</v>
      </c>
      <c r="F662" s="11">
        <f t="shared" si="54"/>
        <v>0</v>
      </c>
      <c r="G662" s="16"/>
      <c r="H662" s="11">
        <f>COUNTIF(Events!$A$2:$A$391,$A662)</f>
        <v>0</v>
      </c>
      <c r="I662" s="11" t="str">
        <f>IFERROR(INDEX(Events!$E$2:$E$391,MATCH($A662,Events!$A$2:$A$391,0)),"")</f>
        <v/>
      </c>
    </row>
    <row r="663" spans="1:9" ht="15" customHeight="1" x14ac:dyDescent="0.35">
      <c r="A663" s="12">
        <v>45953</v>
      </c>
      <c r="B663" s="11">
        <f t="shared" si="50"/>
        <v>2025</v>
      </c>
      <c r="C663" s="11">
        <f t="shared" si="51"/>
        <v>10</v>
      </c>
      <c r="D663" s="11" t="str">
        <f t="shared" si="52"/>
        <v>Thu</v>
      </c>
      <c r="E663" s="11">
        <f t="shared" si="53"/>
        <v>1</v>
      </c>
      <c r="F663" s="11">
        <f t="shared" si="54"/>
        <v>0</v>
      </c>
      <c r="G663" s="16"/>
      <c r="H663" s="11">
        <f>COUNTIF(Events!$A$2:$A$391,$A663)</f>
        <v>0</v>
      </c>
      <c r="I663" s="11" t="str">
        <f>IFERROR(INDEX(Events!$E$2:$E$391,MATCH($A663,Events!$A$2:$A$391,0)),"")</f>
        <v/>
      </c>
    </row>
    <row r="664" spans="1:9" ht="15" customHeight="1" x14ac:dyDescent="0.35">
      <c r="A664" s="12">
        <v>45954</v>
      </c>
      <c r="B664" s="11">
        <f t="shared" si="50"/>
        <v>2025</v>
      </c>
      <c r="C664" s="11">
        <f t="shared" si="51"/>
        <v>10</v>
      </c>
      <c r="D664" s="11" t="str">
        <f t="shared" si="52"/>
        <v>Fri</v>
      </c>
      <c r="E664" s="11">
        <f t="shared" si="53"/>
        <v>1</v>
      </c>
      <c r="F664" s="11">
        <f t="shared" si="54"/>
        <v>0</v>
      </c>
      <c r="G664" s="16"/>
      <c r="H664" s="11">
        <f>COUNTIF(Events!$A$2:$A$391,$A664)</f>
        <v>0</v>
      </c>
      <c r="I664" s="11" t="str">
        <f>IFERROR(INDEX(Events!$E$2:$E$391,MATCH($A664,Events!$A$2:$A$391,0)),"")</f>
        <v/>
      </c>
    </row>
    <row r="665" spans="1:9" ht="15" customHeight="1" x14ac:dyDescent="0.35">
      <c r="A665" s="12">
        <v>45955</v>
      </c>
      <c r="B665" s="11">
        <f t="shared" si="50"/>
        <v>2025</v>
      </c>
      <c r="C665" s="11">
        <f t="shared" si="51"/>
        <v>10</v>
      </c>
      <c r="D665" s="11" t="str">
        <f t="shared" si="52"/>
        <v>Sat</v>
      </c>
      <c r="E665" s="11">
        <f t="shared" si="53"/>
        <v>1</v>
      </c>
      <c r="F665" s="11">
        <f t="shared" si="54"/>
        <v>0</v>
      </c>
      <c r="G665" s="16"/>
      <c r="H665" s="11">
        <f>COUNTIF(Events!$A$2:$A$391,$A665)</f>
        <v>0</v>
      </c>
      <c r="I665" s="11" t="str">
        <f>IFERROR(INDEX(Events!$E$2:$E$391,MATCH($A665,Events!$A$2:$A$391,0)),"")</f>
        <v/>
      </c>
    </row>
    <row r="666" spans="1:9" ht="15" customHeight="1" x14ac:dyDescent="0.35">
      <c r="A666" s="12">
        <v>45956</v>
      </c>
      <c r="B666" s="11">
        <f t="shared" si="50"/>
        <v>2025</v>
      </c>
      <c r="C666" s="11">
        <f t="shared" si="51"/>
        <v>10</v>
      </c>
      <c r="D666" s="11" t="str">
        <f t="shared" si="52"/>
        <v>Sun</v>
      </c>
      <c r="E666" s="11">
        <f t="shared" si="53"/>
        <v>1</v>
      </c>
      <c r="F666" s="11">
        <f t="shared" si="54"/>
        <v>0</v>
      </c>
      <c r="G666" s="16"/>
      <c r="H666" s="11">
        <f>COUNTIF(Events!$A$2:$A$391,$A666)</f>
        <v>0</v>
      </c>
      <c r="I666" s="11" t="str">
        <f>IFERROR(INDEX(Events!$E$2:$E$391,MATCH($A666,Events!$A$2:$A$391,0)),"")</f>
        <v/>
      </c>
    </row>
    <row r="667" spans="1:9" ht="15" customHeight="1" x14ac:dyDescent="0.35">
      <c r="A667" s="12">
        <v>45957</v>
      </c>
      <c r="B667" s="11">
        <f t="shared" si="50"/>
        <v>2025</v>
      </c>
      <c r="C667" s="11">
        <f t="shared" si="51"/>
        <v>10</v>
      </c>
      <c r="D667" s="11" t="str">
        <f t="shared" si="52"/>
        <v>Mon</v>
      </c>
      <c r="E667" s="11">
        <f t="shared" si="53"/>
        <v>1</v>
      </c>
      <c r="F667" s="11">
        <f t="shared" si="54"/>
        <v>0</v>
      </c>
      <c r="G667" s="16"/>
      <c r="H667" s="11">
        <f>COUNTIF(Events!$A$2:$A$391,$A667)</f>
        <v>0</v>
      </c>
      <c r="I667" s="11" t="str">
        <f>IFERROR(INDEX(Events!$E$2:$E$391,MATCH($A667,Events!$A$2:$A$391,0)),"")</f>
        <v/>
      </c>
    </row>
    <row r="668" spans="1:9" ht="15" customHeight="1" x14ac:dyDescent="0.35">
      <c r="A668" s="12">
        <v>45958</v>
      </c>
      <c r="B668" s="11">
        <f t="shared" si="50"/>
        <v>2025</v>
      </c>
      <c r="C668" s="11">
        <f t="shared" si="51"/>
        <v>10</v>
      </c>
      <c r="D668" s="11" t="str">
        <f t="shared" si="52"/>
        <v>Tue</v>
      </c>
      <c r="E668" s="11">
        <f t="shared" si="53"/>
        <v>1</v>
      </c>
      <c r="F668" s="11">
        <f t="shared" si="54"/>
        <v>0</v>
      </c>
      <c r="G668" s="16"/>
      <c r="H668" s="11">
        <f>COUNTIF(Events!$A$2:$A$391,$A668)</f>
        <v>0</v>
      </c>
      <c r="I668" s="11" t="str">
        <f>IFERROR(INDEX(Events!$E$2:$E$391,MATCH($A668,Events!$A$2:$A$391,0)),"")</f>
        <v/>
      </c>
    </row>
    <row r="669" spans="1:9" ht="15" customHeight="1" x14ac:dyDescent="0.35">
      <c r="A669" s="12">
        <v>45959</v>
      </c>
      <c r="B669" s="11">
        <f t="shared" si="50"/>
        <v>2025</v>
      </c>
      <c r="C669" s="11">
        <f t="shared" si="51"/>
        <v>10</v>
      </c>
      <c r="D669" s="11" t="str">
        <f t="shared" si="52"/>
        <v>Wed</v>
      </c>
      <c r="E669" s="11">
        <f t="shared" si="53"/>
        <v>1</v>
      </c>
      <c r="F669" s="11">
        <f t="shared" si="54"/>
        <v>0</v>
      </c>
      <c r="G669" s="16"/>
      <c r="H669" s="11">
        <f>COUNTIF(Events!$A$2:$A$391,$A669)</f>
        <v>0</v>
      </c>
      <c r="I669" s="11" t="str">
        <f>IFERROR(INDEX(Events!$E$2:$E$391,MATCH($A669,Events!$A$2:$A$391,0)),"")</f>
        <v/>
      </c>
    </row>
    <row r="670" spans="1:9" ht="15" customHeight="1" x14ac:dyDescent="0.35">
      <c r="A670" s="12">
        <v>45960</v>
      </c>
      <c r="B670" s="11">
        <f t="shared" si="50"/>
        <v>2025</v>
      </c>
      <c r="C670" s="11">
        <f t="shared" si="51"/>
        <v>10</v>
      </c>
      <c r="D670" s="11" t="str">
        <f t="shared" si="52"/>
        <v>Thu</v>
      </c>
      <c r="E670" s="11">
        <f t="shared" si="53"/>
        <v>1</v>
      </c>
      <c r="F670" s="11">
        <f t="shared" si="54"/>
        <v>0</v>
      </c>
      <c r="G670" s="16"/>
      <c r="H670" s="11">
        <f>COUNTIF(Events!$A$2:$A$391,$A670)</f>
        <v>0</v>
      </c>
      <c r="I670" s="11" t="str">
        <f>IFERROR(INDEX(Events!$E$2:$E$391,MATCH($A670,Events!$A$2:$A$391,0)),"")</f>
        <v/>
      </c>
    </row>
    <row r="671" spans="1:9" ht="15" customHeight="1" x14ac:dyDescent="0.35">
      <c r="A671" s="12">
        <v>45961</v>
      </c>
      <c r="B671" s="11">
        <f t="shared" si="50"/>
        <v>2025</v>
      </c>
      <c r="C671" s="11">
        <f t="shared" si="51"/>
        <v>10</v>
      </c>
      <c r="D671" s="11" t="str">
        <f t="shared" si="52"/>
        <v>Fri</v>
      </c>
      <c r="E671" s="11">
        <f t="shared" si="53"/>
        <v>1</v>
      </c>
      <c r="F671" s="11">
        <f t="shared" si="54"/>
        <v>0</v>
      </c>
      <c r="G671" s="16"/>
      <c r="H671" s="11">
        <f>COUNTIF(Events!$A$2:$A$391,$A671)</f>
        <v>0</v>
      </c>
      <c r="I671" s="11" t="str">
        <f>IFERROR(INDEX(Events!$E$2:$E$391,MATCH($A671,Events!$A$2:$A$391,0)),"")</f>
        <v/>
      </c>
    </row>
    <row r="672" spans="1:9" ht="15" customHeight="1" x14ac:dyDescent="0.35">
      <c r="A672" s="12">
        <v>45962</v>
      </c>
      <c r="B672" s="11">
        <f t="shared" si="50"/>
        <v>2025</v>
      </c>
      <c r="C672" s="11">
        <f t="shared" si="51"/>
        <v>11</v>
      </c>
      <c r="D672" s="11" t="str">
        <f t="shared" si="52"/>
        <v>Sat</v>
      </c>
      <c r="E672" s="11">
        <f t="shared" si="53"/>
        <v>1</v>
      </c>
      <c r="F672" s="11">
        <f t="shared" si="54"/>
        <v>0</v>
      </c>
      <c r="G672" s="16"/>
      <c r="H672" s="11">
        <f>COUNTIF(Events!$A$2:$A$391,$A672)</f>
        <v>0</v>
      </c>
      <c r="I672" s="11" t="str">
        <f>IFERROR(INDEX(Events!$E$2:$E$391,MATCH($A672,Events!$A$2:$A$391,0)),"")</f>
        <v/>
      </c>
    </row>
    <row r="673" spans="1:9" ht="15" customHeight="1" x14ac:dyDescent="0.35">
      <c r="A673" s="12">
        <v>45963</v>
      </c>
      <c r="B673" s="11">
        <f t="shared" si="50"/>
        <v>2025</v>
      </c>
      <c r="C673" s="11">
        <f t="shared" si="51"/>
        <v>11</v>
      </c>
      <c r="D673" s="11" t="str">
        <f t="shared" si="52"/>
        <v>Sun</v>
      </c>
      <c r="E673" s="11">
        <f t="shared" si="53"/>
        <v>1</v>
      </c>
      <c r="F673" s="11">
        <f t="shared" si="54"/>
        <v>0</v>
      </c>
      <c r="G673" s="16"/>
      <c r="H673" s="11">
        <f>COUNTIF(Events!$A$2:$A$391,$A673)</f>
        <v>0</v>
      </c>
      <c r="I673" s="11" t="str">
        <f>IFERROR(INDEX(Events!$E$2:$E$391,MATCH($A673,Events!$A$2:$A$391,0)),"")</f>
        <v/>
      </c>
    </row>
    <row r="674" spans="1:9" ht="15" customHeight="1" x14ac:dyDescent="0.35">
      <c r="A674" s="12">
        <v>45964</v>
      </c>
      <c r="B674" s="11">
        <f t="shared" si="50"/>
        <v>2025</v>
      </c>
      <c r="C674" s="11">
        <f t="shared" si="51"/>
        <v>11</v>
      </c>
      <c r="D674" s="11" t="str">
        <f t="shared" si="52"/>
        <v>Mon</v>
      </c>
      <c r="E674" s="11">
        <f t="shared" si="53"/>
        <v>1</v>
      </c>
      <c r="F674" s="11">
        <f t="shared" si="54"/>
        <v>0</v>
      </c>
      <c r="G674" s="16"/>
      <c r="H674" s="11">
        <f>COUNTIF(Events!$A$2:$A$391,$A674)</f>
        <v>0</v>
      </c>
      <c r="I674" s="11" t="str">
        <f>IFERROR(INDEX(Events!$E$2:$E$391,MATCH($A674,Events!$A$2:$A$391,0)),"")</f>
        <v/>
      </c>
    </row>
    <row r="675" spans="1:9" ht="15" customHeight="1" x14ac:dyDescent="0.35">
      <c r="A675" s="12">
        <v>45965</v>
      </c>
      <c r="B675" s="11">
        <f t="shared" si="50"/>
        <v>2025</v>
      </c>
      <c r="C675" s="11">
        <f t="shared" si="51"/>
        <v>11</v>
      </c>
      <c r="D675" s="11" t="str">
        <f t="shared" si="52"/>
        <v>Tue</v>
      </c>
      <c r="E675" s="11">
        <f t="shared" si="53"/>
        <v>1</v>
      </c>
      <c r="F675" s="11">
        <f t="shared" si="54"/>
        <v>0</v>
      </c>
      <c r="G675" s="16"/>
      <c r="H675" s="11">
        <f>COUNTIF(Events!$A$2:$A$391,$A675)</f>
        <v>0</v>
      </c>
      <c r="I675" s="11" t="str">
        <f>IFERROR(INDEX(Events!$E$2:$E$391,MATCH($A675,Events!$A$2:$A$391,0)),"")</f>
        <v/>
      </c>
    </row>
    <row r="676" spans="1:9" ht="15" customHeight="1" x14ac:dyDescent="0.35">
      <c r="A676" s="12">
        <v>45966</v>
      </c>
      <c r="B676" s="11">
        <f t="shared" si="50"/>
        <v>2025</v>
      </c>
      <c r="C676" s="11">
        <f t="shared" si="51"/>
        <v>11</v>
      </c>
      <c r="D676" s="11" t="str">
        <f t="shared" si="52"/>
        <v>Wed</v>
      </c>
      <c r="E676" s="11">
        <f t="shared" si="53"/>
        <v>1</v>
      </c>
      <c r="F676" s="11">
        <f t="shared" si="54"/>
        <v>0</v>
      </c>
      <c r="G676" s="16"/>
      <c r="H676" s="11">
        <f>COUNTIF(Events!$A$2:$A$391,$A676)</f>
        <v>0</v>
      </c>
      <c r="I676" s="11" t="str">
        <f>IFERROR(INDEX(Events!$E$2:$E$391,MATCH($A676,Events!$A$2:$A$391,0)),"")</f>
        <v/>
      </c>
    </row>
    <row r="677" spans="1:9" ht="15" customHeight="1" x14ac:dyDescent="0.35">
      <c r="A677" s="12">
        <v>45967</v>
      </c>
      <c r="B677" s="11">
        <f t="shared" si="50"/>
        <v>2025</v>
      </c>
      <c r="C677" s="11">
        <f t="shared" si="51"/>
        <v>11</v>
      </c>
      <c r="D677" s="11" t="str">
        <f t="shared" si="52"/>
        <v>Thu</v>
      </c>
      <c r="E677" s="11">
        <f t="shared" si="53"/>
        <v>1</v>
      </c>
      <c r="F677" s="11">
        <f t="shared" si="54"/>
        <v>0</v>
      </c>
      <c r="G677" s="16"/>
      <c r="H677" s="11">
        <f>COUNTIF(Events!$A$2:$A$391,$A677)</f>
        <v>0</v>
      </c>
      <c r="I677" s="11" t="str">
        <f>IFERROR(INDEX(Events!$E$2:$E$391,MATCH($A677,Events!$A$2:$A$391,0)),"")</f>
        <v/>
      </c>
    </row>
    <row r="678" spans="1:9" ht="15" customHeight="1" x14ac:dyDescent="0.35">
      <c r="A678" s="12">
        <v>45968</v>
      </c>
      <c r="B678" s="11">
        <f t="shared" si="50"/>
        <v>2025</v>
      </c>
      <c r="C678" s="11">
        <f t="shared" si="51"/>
        <v>11</v>
      </c>
      <c r="D678" s="11" t="str">
        <f t="shared" si="52"/>
        <v>Fri</v>
      </c>
      <c r="E678" s="11">
        <f t="shared" si="53"/>
        <v>1</v>
      </c>
      <c r="F678" s="11">
        <f t="shared" si="54"/>
        <v>0</v>
      </c>
      <c r="G678" s="16"/>
      <c r="H678" s="11">
        <f>COUNTIF(Events!$A$2:$A$391,$A678)</f>
        <v>0</v>
      </c>
      <c r="I678" s="11" t="str">
        <f>IFERROR(INDEX(Events!$E$2:$E$391,MATCH($A678,Events!$A$2:$A$391,0)),"")</f>
        <v/>
      </c>
    </row>
    <row r="679" spans="1:9" ht="15" customHeight="1" x14ac:dyDescent="0.35">
      <c r="A679" s="12">
        <v>45969</v>
      </c>
      <c r="B679" s="11">
        <f t="shared" si="50"/>
        <v>2025</v>
      </c>
      <c r="C679" s="11">
        <f t="shared" si="51"/>
        <v>11</v>
      </c>
      <c r="D679" s="11" t="str">
        <f t="shared" si="52"/>
        <v>Sat</v>
      </c>
      <c r="E679" s="11">
        <f t="shared" si="53"/>
        <v>1</v>
      </c>
      <c r="F679" s="11">
        <f t="shared" si="54"/>
        <v>0</v>
      </c>
      <c r="G679" s="16"/>
      <c r="H679" s="11">
        <f>COUNTIF(Events!$A$2:$A$391,$A679)</f>
        <v>0</v>
      </c>
      <c r="I679" s="11" t="str">
        <f>IFERROR(INDEX(Events!$E$2:$E$391,MATCH($A679,Events!$A$2:$A$391,0)),"")</f>
        <v/>
      </c>
    </row>
    <row r="680" spans="1:9" ht="15" customHeight="1" x14ac:dyDescent="0.35">
      <c r="A680" s="12">
        <v>45970</v>
      </c>
      <c r="B680" s="11">
        <f t="shared" si="50"/>
        <v>2025</v>
      </c>
      <c r="C680" s="11">
        <f t="shared" si="51"/>
        <v>11</v>
      </c>
      <c r="D680" s="11" t="str">
        <f t="shared" si="52"/>
        <v>Sun</v>
      </c>
      <c r="E680" s="11">
        <f t="shared" si="53"/>
        <v>1</v>
      </c>
      <c r="F680" s="11">
        <f t="shared" si="54"/>
        <v>0</v>
      </c>
      <c r="G680" s="16"/>
      <c r="H680" s="11">
        <f>COUNTIF(Events!$A$2:$A$391,$A680)</f>
        <v>0</v>
      </c>
      <c r="I680" s="11" t="str">
        <f>IFERROR(INDEX(Events!$E$2:$E$391,MATCH($A680,Events!$A$2:$A$391,0)),"")</f>
        <v/>
      </c>
    </row>
    <row r="681" spans="1:9" ht="15" customHeight="1" x14ac:dyDescent="0.35">
      <c r="A681" s="12">
        <v>45971</v>
      </c>
      <c r="B681" s="11">
        <f t="shared" si="50"/>
        <v>2025</v>
      </c>
      <c r="C681" s="11">
        <f t="shared" si="51"/>
        <v>11</v>
      </c>
      <c r="D681" s="11" t="str">
        <f t="shared" si="52"/>
        <v>Mon</v>
      </c>
      <c r="E681" s="11">
        <f t="shared" si="53"/>
        <v>1</v>
      </c>
      <c r="F681" s="11">
        <f t="shared" si="54"/>
        <v>0</v>
      </c>
      <c r="G681" s="16"/>
      <c r="H681" s="11">
        <f>COUNTIF(Events!$A$2:$A$391,$A681)</f>
        <v>0</v>
      </c>
      <c r="I681" s="11" t="str">
        <f>IFERROR(INDEX(Events!$E$2:$E$391,MATCH($A681,Events!$A$2:$A$391,0)),"")</f>
        <v/>
      </c>
    </row>
    <row r="682" spans="1:9" ht="15" customHeight="1" x14ac:dyDescent="0.35">
      <c r="A682" s="12">
        <v>45972</v>
      </c>
      <c r="B682" s="11">
        <f t="shared" si="50"/>
        <v>2025</v>
      </c>
      <c r="C682" s="11">
        <f t="shared" si="51"/>
        <v>11</v>
      </c>
      <c r="D682" s="11" t="str">
        <f t="shared" si="52"/>
        <v>Tue</v>
      </c>
      <c r="E682" s="11">
        <f t="shared" si="53"/>
        <v>1</v>
      </c>
      <c r="F682" s="11">
        <f t="shared" si="54"/>
        <v>0</v>
      </c>
      <c r="G682" s="16"/>
      <c r="H682" s="11">
        <f>COUNTIF(Events!$A$2:$A$391,$A682)</f>
        <v>0</v>
      </c>
      <c r="I682" s="11" t="str">
        <f>IFERROR(INDEX(Events!$E$2:$E$391,MATCH($A682,Events!$A$2:$A$391,0)),"")</f>
        <v/>
      </c>
    </row>
    <row r="683" spans="1:9" ht="15" customHeight="1" x14ac:dyDescent="0.35">
      <c r="A683" s="12">
        <v>45973</v>
      </c>
      <c r="B683" s="11">
        <f t="shared" si="50"/>
        <v>2025</v>
      </c>
      <c r="C683" s="11">
        <f t="shared" si="51"/>
        <v>11</v>
      </c>
      <c r="D683" s="11" t="str">
        <f t="shared" si="52"/>
        <v>Wed</v>
      </c>
      <c r="E683" s="11">
        <f t="shared" si="53"/>
        <v>1</v>
      </c>
      <c r="F683" s="11">
        <f t="shared" si="54"/>
        <v>0</v>
      </c>
      <c r="G683" s="16"/>
      <c r="H683" s="11">
        <f>COUNTIF(Events!$A$2:$A$391,$A683)</f>
        <v>0</v>
      </c>
      <c r="I683" s="11" t="str">
        <f>IFERROR(INDEX(Events!$E$2:$E$391,MATCH($A683,Events!$A$2:$A$391,0)),"")</f>
        <v/>
      </c>
    </row>
    <row r="684" spans="1:9" ht="15" customHeight="1" x14ac:dyDescent="0.35">
      <c r="A684" s="12">
        <v>45974</v>
      </c>
      <c r="B684" s="11">
        <f t="shared" si="50"/>
        <v>2025</v>
      </c>
      <c r="C684" s="11">
        <f t="shared" si="51"/>
        <v>11</v>
      </c>
      <c r="D684" s="11" t="str">
        <f t="shared" si="52"/>
        <v>Thu</v>
      </c>
      <c r="E684" s="11">
        <f t="shared" si="53"/>
        <v>1</v>
      </c>
      <c r="F684" s="11">
        <f t="shared" si="54"/>
        <v>0</v>
      </c>
      <c r="G684" s="16"/>
      <c r="H684" s="11">
        <f>COUNTIF(Events!$A$2:$A$391,$A684)</f>
        <v>0</v>
      </c>
      <c r="I684" s="11" t="str">
        <f>IFERROR(INDEX(Events!$E$2:$E$391,MATCH($A684,Events!$A$2:$A$391,0)),"")</f>
        <v/>
      </c>
    </row>
    <row r="685" spans="1:9" ht="15" customHeight="1" x14ac:dyDescent="0.35">
      <c r="A685" s="12">
        <v>45975</v>
      </c>
      <c r="B685" s="11">
        <f t="shared" si="50"/>
        <v>2025</v>
      </c>
      <c r="C685" s="11">
        <f t="shared" si="51"/>
        <v>11</v>
      </c>
      <c r="D685" s="11" t="str">
        <f t="shared" si="52"/>
        <v>Fri</v>
      </c>
      <c r="E685" s="11">
        <f t="shared" si="53"/>
        <v>1</v>
      </c>
      <c r="F685" s="11">
        <f t="shared" si="54"/>
        <v>0</v>
      </c>
      <c r="G685" s="16"/>
      <c r="H685" s="11">
        <f>COUNTIF(Events!$A$2:$A$391,$A685)</f>
        <v>0</v>
      </c>
      <c r="I685" s="11" t="str">
        <f>IFERROR(INDEX(Events!$E$2:$E$391,MATCH($A685,Events!$A$2:$A$391,0)),"")</f>
        <v/>
      </c>
    </row>
    <row r="686" spans="1:9" ht="15" customHeight="1" x14ac:dyDescent="0.35">
      <c r="A686" s="12">
        <v>45976</v>
      </c>
      <c r="B686" s="11">
        <f t="shared" si="50"/>
        <v>2025</v>
      </c>
      <c r="C686" s="11">
        <f t="shared" si="51"/>
        <v>11</v>
      </c>
      <c r="D686" s="11" t="str">
        <f t="shared" si="52"/>
        <v>Sat</v>
      </c>
      <c r="E686" s="11">
        <f t="shared" si="53"/>
        <v>1</v>
      </c>
      <c r="F686" s="11">
        <f t="shared" si="54"/>
        <v>0</v>
      </c>
      <c r="G686" s="16"/>
      <c r="H686" s="11">
        <f>COUNTIF(Events!$A$2:$A$391,$A686)</f>
        <v>0</v>
      </c>
      <c r="I686" s="11" t="str">
        <f>IFERROR(INDEX(Events!$E$2:$E$391,MATCH($A686,Events!$A$2:$A$391,0)),"")</f>
        <v/>
      </c>
    </row>
    <row r="687" spans="1:9" ht="15" customHeight="1" x14ac:dyDescent="0.35">
      <c r="A687" s="12">
        <v>45977</v>
      </c>
      <c r="B687" s="11">
        <f t="shared" si="50"/>
        <v>2025</v>
      </c>
      <c r="C687" s="11">
        <f t="shared" si="51"/>
        <v>11</v>
      </c>
      <c r="D687" s="11" t="str">
        <f t="shared" si="52"/>
        <v>Sun</v>
      </c>
      <c r="E687" s="11">
        <f t="shared" si="53"/>
        <v>1</v>
      </c>
      <c r="F687" s="11">
        <f t="shared" si="54"/>
        <v>0</v>
      </c>
      <c r="G687" s="16"/>
      <c r="H687" s="11">
        <f>COUNTIF(Events!$A$2:$A$391,$A687)</f>
        <v>0</v>
      </c>
      <c r="I687" s="11" t="str">
        <f>IFERROR(INDEX(Events!$E$2:$E$391,MATCH($A687,Events!$A$2:$A$391,0)),"")</f>
        <v/>
      </c>
    </row>
    <row r="688" spans="1:9" ht="15" customHeight="1" x14ac:dyDescent="0.35">
      <c r="A688" s="12">
        <v>45978</v>
      </c>
      <c r="B688" s="11">
        <f t="shared" si="50"/>
        <v>2025</v>
      </c>
      <c r="C688" s="11">
        <f t="shared" si="51"/>
        <v>11</v>
      </c>
      <c r="D688" s="11" t="str">
        <f t="shared" si="52"/>
        <v>Mon</v>
      </c>
      <c r="E688" s="11">
        <f t="shared" si="53"/>
        <v>1</v>
      </c>
      <c r="F688" s="11">
        <f t="shared" si="54"/>
        <v>0</v>
      </c>
      <c r="G688" s="16"/>
      <c r="H688" s="11">
        <f>COUNTIF(Events!$A$2:$A$391,$A688)</f>
        <v>0</v>
      </c>
      <c r="I688" s="11" t="str">
        <f>IFERROR(INDEX(Events!$E$2:$E$391,MATCH($A688,Events!$A$2:$A$391,0)),"")</f>
        <v/>
      </c>
    </row>
    <row r="689" spans="1:9" ht="15" customHeight="1" x14ac:dyDescent="0.35">
      <c r="A689" s="12">
        <v>45979</v>
      </c>
      <c r="B689" s="11">
        <f t="shared" si="50"/>
        <v>2025</v>
      </c>
      <c r="C689" s="11">
        <f t="shared" si="51"/>
        <v>11</v>
      </c>
      <c r="D689" s="11" t="str">
        <f t="shared" si="52"/>
        <v>Tue</v>
      </c>
      <c r="E689" s="11">
        <f t="shared" si="53"/>
        <v>1</v>
      </c>
      <c r="F689" s="11">
        <f t="shared" si="54"/>
        <v>0</v>
      </c>
      <c r="G689" s="16"/>
      <c r="H689" s="11">
        <f>COUNTIF(Events!$A$2:$A$391,$A689)</f>
        <v>0</v>
      </c>
      <c r="I689" s="11" t="str">
        <f>IFERROR(INDEX(Events!$E$2:$E$391,MATCH($A689,Events!$A$2:$A$391,0)),"")</f>
        <v/>
      </c>
    </row>
    <row r="690" spans="1:9" ht="15" customHeight="1" x14ac:dyDescent="0.35">
      <c r="A690" s="12">
        <v>45980</v>
      </c>
      <c r="B690" s="11">
        <f t="shared" si="50"/>
        <v>2025</v>
      </c>
      <c r="C690" s="11">
        <f t="shared" si="51"/>
        <v>11</v>
      </c>
      <c r="D690" s="11" t="str">
        <f t="shared" si="52"/>
        <v>Wed</v>
      </c>
      <c r="E690" s="11">
        <f t="shared" si="53"/>
        <v>1</v>
      </c>
      <c r="F690" s="11">
        <f t="shared" si="54"/>
        <v>0</v>
      </c>
      <c r="G690" s="16"/>
      <c r="H690" s="11">
        <f>COUNTIF(Events!$A$2:$A$391,$A690)</f>
        <v>0</v>
      </c>
      <c r="I690" s="11" t="str">
        <f>IFERROR(INDEX(Events!$E$2:$E$391,MATCH($A690,Events!$A$2:$A$391,0)),"")</f>
        <v/>
      </c>
    </row>
    <row r="691" spans="1:9" ht="15" customHeight="1" x14ac:dyDescent="0.35">
      <c r="A691" s="12">
        <v>45981</v>
      </c>
      <c r="B691" s="11">
        <f t="shared" si="50"/>
        <v>2025</v>
      </c>
      <c r="C691" s="11">
        <f t="shared" si="51"/>
        <v>11</v>
      </c>
      <c r="D691" s="11" t="str">
        <f t="shared" si="52"/>
        <v>Thu</v>
      </c>
      <c r="E691" s="11">
        <f t="shared" si="53"/>
        <v>1</v>
      </c>
      <c r="F691" s="11">
        <f t="shared" si="54"/>
        <v>0</v>
      </c>
      <c r="G691" s="16"/>
      <c r="H691" s="11">
        <f>COUNTIF(Events!$A$2:$A$391,$A691)</f>
        <v>0</v>
      </c>
      <c r="I691" s="11" t="str">
        <f>IFERROR(INDEX(Events!$E$2:$E$391,MATCH($A691,Events!$A$2:$A$391,0)),"")</f>
        <v/>
      </c>
    </row>
    <row r="692" spans="1:9" ht="15" customHeight="1" x14ac:dyDescent="0.35">
      <c r="A692" s="12">
        <v>45982</v>
      </c>
      <c r="B692" s="11">
        <f t="shared" si="50"/>
        <v>2025</v>
      </c>
      <c r="C692" s="11">
        <f t="shared" si="51"/>
        <v>11</v>
      </c>
      <c r="D692" s="11" t="str">
        <f t="shared" si="52"/>
        <v>Fri</v>
      </c>
      <c r="E692" s="11">
        <f t="shared" si="53"/>
        <v>1</v>
      </c>
      <c r="F692" s="11">
        <f t="shared" si="54"/>
        <v>0</v>
      </c>
      <c r="G692" s="16"/>
      <c r="H692" s="11">
        <f>COUNTIF(Events!$A$2:$A$391,$A692)</f>
        <v>0</v>
      </c>
      <c r="I692" s="11" t="str">
        <f>IFERROR(INDEX(Events!$E$2:$E$391,MATCH($A692,Events!$A$2:$A$391,0)),"")</f>
        <v/>
      </c>
    </row>
    <row r="693" spans="1:9" ht="15" customHeight="1" x14ac:dyDescent="0.35">
      <c r="A693" s="12">
        <v>45983</v>
      </c>
      <c r="B693" s="11">
        <f t="shared" si="50"/>
        <v>2025</v>
      </c>
      <c r="C693" s="11">
        <f t="shared" si="51"/>
        <v>11</v>
      </c>
      <c r="D693" s="11" t="str">
        <f t="shared" si="52"/>
        <v>Sat</v>
      </c>
      <c r="E693" s="11">
        <f t="shared" si="53"/>
        <v>1</v>
      </c>
      <c r="F693" s="11">
        <f t="shared" si="54"/>
        <v>0</v>
      </c>
      <c r="G693" s="16"/>
      <c r="H693" s="11">
        <f>COUNTIF(Events!$A$2:$A$391,$A693)</f>
        <v>0</v>
      </c>
      <c r="I693" s="11" t="str">
        <f>IFERROR(INDEX(Events!$E$2:$E$391,MATCH($A693,Events!$A$2:$A$391,0)),"")</f>
        <v/>
      </c>
    </row>
    <row r="694" spans="1:9" ht="15" customHeight="1" x14ac:dyDescent="0.35">
      <c r="A694" s="12">
        <v>45984</v>
      </c>
      <c r="B694" s="11">
        <f t="shared" si="50"/>
        <v>2025</v>
      </c>
      <c r="C694" s="11">
        <f t="shared" si="51"/>
        <v>11</v>
      </c>
      <c r="D694" s="11" t="str">
        <f t="shared" si="52"/>
        <v>Sun</v>
      </c>
      <c r="E694" s="11">
        <f t="shared" si="53"/>
        <v>1</v>
      </c>
      <c r="F694" s="11">
        <f t="shared" si="54"/>
        <v>0</v>
      </c>
      <c r="G694" s="16"/>
      <c r="H694" s="11">
        <f>COUNTIF(Events!$A$2:$A$391,$A694)</f>
        <v>0</v>
      </c>
      <c r="I694" s="11" t="str">
        <f>IFERROR(INDEX(Events!$E$2:$E$391,MATCH($A694,Events!$A$2:$A$391,0)),"")</f>
        <v/>
      </c>
    </row>
    <row r="695" spans="1:9" ht="15" customHeight="1" x14ac:dyDescent="0.35">
      <c r="A695" s="12">
        <v>45985</v>
      </c>
      <c r="B695" s="11">
        <f t="shared" si="50"/>
        <v>2025</v>
      </c>
      <c r="C695" s="11">
        <f t="shared" si="51"/>
        <v>11</v>
      </c>
      <c r="D695" s="11" t="str">
        <f t="shared" si="52"/>
        <v>Mon</v>
      </c>
      <c r="E695" s="11">
        <f t="shared" si="53"/>
        <v>1</v>
      </c>
      <c r="F695" s="11">
        <f t="shared" si="54"/>
        <v>0</v>
      </c>
      <c r="G695" s="16"/>
      <c r="H695" s="11">
        <f>COUNTIF(Events!$A$2:$A$391,$A695)</f>
        <v>0</v>
      </c>
      <c r="I695" s="11" t="str">
        <f>IFERROR(INDEX(Events!$E$2:$E$391,MATCH($A695,Events!$A$2:$A$391,0)),"")</f>
        <v/>
      </c>
    </row>
    <row r="696" spans="1:9" ht="15" customHeight="1" x14ac:dyDescent="0.35">
      <c r="A696" s="12">
        <v>45986</v>
      </c>
      <c r="B696" s="11">
        <f t="shared" si="50"/>
        <v>2025</v>
      </c>
      <c r="C696" s="11">
        <f t="shared" si="51"/>
        <v>11</v>
      </c>
      <c r="D696" s="11" t="str">
        <f t="shared" si="52"/>
        <v>Tue</v>
      </c>
      <c r="E696" s="11">
        <f t="shared" si="53"/>
        <v>1</v>
      </c>
      <c r="F696" s="11">
        <f t="shared" si="54"/>
        <v>0</v>
      </c>
      <c r="G696" s="16"/>
      <c r="H696" s="11">
        <f>COUNTIF(Events!$A$2:$A$391,$A696)</f>
        <v>0</v>
      </c>
      <c r="I696" s="11" t="str">
        <f>IFERROR(INDEX(Events!$E$2:$E$391,MATCH($A696,Events!$A$2:$A$391,0)),"")</f>
        <v/>
      </c>
    </row>
    <row r="697" spans="1:9" ht="15" customHeight="1" x14ac:dyDescent="0.35">
      <c r="A697" s="12">
        <v>45987</v>
      </c>
      <c r="B697" s="11">
        <f t="shared" si="50"/>
        <v>2025</v>
      </c>
      <c r="C697" s="11">
        <f t="shared" si="51"/>
        <v>11</v>
      </c>
      <c r="D697" s="11" t="str">
        <f t="shared" si="52"/>
        <v>Wed</v>
      </c>
      <c r="E697" s="11">
        <f t="shared" si="53"/>
        <v>1</v>
      </c>
      <c r="F697" s="11">
        <f t="shared" si="54"/>
        <v>0</v>
      </c>
      <c r="G697" s="16"/>
      <c r="H697" s="11">
        <f>COUNTIF(Events!$A$2:$A$391,$A697)</f>
        <v>0</v>
      </c>
      <c r="I697" s="11" t="str">
        <f>IFERROR(INDEX(Events!$E$2:$E$391,MATCH($A697,Events!$A$2:$A$391,0)),"")</f>
        <v/>
      </c>
    </row>
    <row r="698" spans="1:9" ht="15" customHeight="1" x14ac:dyDescent="0.35">
      <c r="A698" s="12">
        <v>45988</v>
      </c>
      <c r="B698" s="11">
        <f t="shared" si="50"/>
        <v>2025</v>
      </c>
      <c r="C698" s="11">
        <f t="shared" si="51"/>
        <v>11</v>
      </c>
      <c r="D698" s="11" t="str">
        <f t="shared" si="52"/>
        <v>Thu</v>
      </c>
      <c r="E698" s="11">
        <f t="shared" si="53"/>
        <v>1</v>
      </c>
      <c r="F698" s="11">
        <f t="shared" si="54"/>
        <v>0</v>
      </c>
      <c r="G698" s="16"/>
      <c r="H698" s="11">
        <f>COUNTIF(Events!$A$2:$A$391,$A698)</f>
        <v>0</v>
      </c>
      <c r="I698" s="11" t="str">
        <f>IFERROR(INDEX(Events!$E$2:$E$391,MATCH($A698,Events!$A$2:$A$391,0)),"")</f>
        <v/>
      </c>
    </row>
    <row r="699" spans="1:9" ht="15" customHeight="1" x14ac:dyDescent="0.35">
      <c r="A699" s="12">
        <v>45989</v>
      </c>
      <c r="B699" s="11">
        <f t="shared" si="50"/>
        <v>2025</v>
      </c>
      <c r="C699" s="11">
        <f t="shared" si="51"/>
        <v>11</v>
      </c>
      <c r="D699" s="11" t="str">
        <f t="shared" si="52"/>
        <v>Fri</v>
      </c>
      <c r="E699" s="11">
        <f t="shared" si="53"/>
        <v>1</v>
      </c>
      <c r="F699" s="11">
        <f t="shared" si="54"/>
        <v>0</v>
      </c>
      <c r="G699" s="16"/>
      <c r="H699" s="11">
        <f>COUNTIF(Events!$A$2:$A$391,$A699)</f>
        <v>1</v>
      </c>
      <c r="I699" s="11" t="str">
        <f>IFERROR(INDEX(Events!$E$2:$E$391,MATCH($A699,Events!$A$2:$A$391,0)),"")</f>
        <v>CY2027 Proposed Rule published in Federal Register: Star Ratings measure removals, Part D redesign codification, D-SNP enrollment continuity proposals</v>
      </c>
    </row>
    <row r="700" spans="1:9" ht="15" customHeight="1" x14ac:dyDescent="0.35">
      <c r="A700" s="12">
        <v>45990</v>
      </c>
      <c r="B700" s="11">
        <f t="shared" si="50"/>
        <v>2025</v>
      </c>
      <c r="C700" s="11">
        <f t="shared" si="51"/>
        <v>11</v>
      </c>
      <c r="D700" s="11" t="str">
        <f t="shared" si="52"/>
        <v>Sat</v>
      </c>
      <c r="E700" s="11">
        <f t="shared" si="53"/>
        <v>1</v>
      </c>
      <c r="F700" s="11">
        <f t="shared" si="54"/>
        <v>0</v>
      </c>
      <c r="G700" s="16"/>
      <c r="H700" s="11">
        <f>COUNTIF(Events!$A$2:$A$391,$A700)</f>
        <v>0</v>
      </c>
      <c r="I700" s="11" t="str">
        <f>IFERROR(INDEX(Events!$E$2:$E$391,MATCH($A700,Events!$A$2:$A$391,0)),"")</f>
        <v/>
      </c>
    </row>
    <row r="701" spans="1:9" ht="15" customHeight="1" x14ac:dyDescent="0.35">
      <c r="A701" s="12">
        <v>45991</v>
      </c>
      <c r="B701" s="11">
        <f t="shared" si="50"/>
        <v>2025</v>
      </c>
      <c r="C701" s="11">
        <f t="shared" si="51"/>
        <v>11</v>
      </c>
      <c r="D701" s="11" t="str">
        <f t="shared" si="52"/>
        <v>Sun</v>
      </c>
      <c r="E701" s="11">
        <f t="shared" si="53"/>
        <v>1</v>
      </c>
      <c r="F701" s="11">
        <f t="shared" si="54"/>
        <v>0</v>
      </c>
      <c r="G701" s="16"/>
      <c r="H701" s="11">
        <f>COUNTIF(Events!$A$2:$A$391,$A701)</f>
        <v>0</v>
      </c>
      <c r="I701" s="11" t="str">
        <f>IFERROR(INDEX(Events!$E$2:$E$391,MATCH($A701,Events!$A$2:$A$391,0)),"")</f>
        <v/>
      </c>
    </row>
    <row r="702" spans="1:9" ht="15" customHeight="1" x14ac:dyDescent="0.35">
      <c r="A702" s="12">
        <v>45992</v>
      </c>
      <c r="B702" s="11">
        <f t="shared" si="50"/>
        <v>2025</v>
      </c>
      <c r="C702" s="11">
        <f t="shared" si="51"/>
        <v>12</v>
      </c>
      <c r="D702" s="11" t="str">
        <f t="shared" si="52"/>
        <v>Mon</v>
      </c>
      <c r="E702" s="11">
        <f t="shared" si="53"/>
        <v>1</v>
      </c>
      <c r="F702" s="11">
        <f t="shared" si="54"/>
        <v>0</v>
      </c>
      <c r="G702" s="16"/>
      <c r="H702" s="11">
        <f>COUNTIF(Events!$A$2:$A$391,$A702)</f>
        <v>0</v>
      </c>
      <c r="I702" s="11" t="str">
        <f>IFERROR(INDEX(Events!$E$2:$E$391,MATCH($A702,Events!$A$2:$A$391,0)),"")</f>
        <v/>
      </c>
    </row>
    <row r="703" spans="1:9" ht="15" customHeight="1" x14ac:dyDescent="0.35">
      <c r="A703" s="12">
        <v>45993</v>
      </c>
      <c r="B703" s="11">
        <f t="shared" si="50"/>
        <v>2025</v>
      </c>
      <c r="C703" s="11">
        <f t="shared" si="51"/>
        <v>12</v>
      </c>
      <c r="D703" s="11" t="str">
        <f t="shared" si="52"/>
        <v>Tue</v>
      </c>
      <c r="E703" s="11">
        <f t="shared" si="53"/>
        <v>1</v>
      </c>
      <c r="F703" s="11">
        <f t="shared" si="54"/>
        <v>0</v>
      </c>
      <c r="G703" s="16"/>
      <c r="H703" s="11">
        <f>COUNTIF(Events!$A$2:$A$391,$A703)</f>
        <v>0</v>
      </c>
      <c r="I703" s="11" t="str">
        <f>IFERROR(INDEX(Events!$E$2:$E$391,MATCH($A703,Events!$A$2:$A$391,0)),"")</f>
        <v/>
      </c>
    </row>
    <row r="704" spans="1:9" ht="15" customHeight="1" x14ac:dyDescent="0.35">
      <c r="A704" s="12">
        <v>45994</v>
      </c>
      <c r="B704" s="11">
        <f t="shared" si="50"/>
        <v>2025</v>
      </c>
      <c r="C704" s="11">
        <f t="shared" si="51"/>
        <v>12</v>
      </c>
      <c r="D704" s="11" t="str">
        <f t="shared" si="52"/>
        <v>Wed</v>
      </c>
      <c r="E704" s="11">
        <f t="shared" si="53"/>
        <v>1</v>
      </c>
      <c r="F704" s="11">
        <f t="shared" si="54"/>
        <v>0</v>
      </c>
      <c r="G704" s="16"/>
      <c r="H704" s="11">
        <f>COUNTIF(Events!$A$2:$A$391,$A704)</f>
        <v>0</v>
      </c>
      <c r="I704" s="11" t="str">
        <f>IFERROR(INDEX(Events!$E$2:$E$391,MATCH($A704,Events!$A$2:$A$391,0)),"")</f>
        <v/>
      </c>
    </row>
    <row r="705" spans="1:9" ht="15" customHeight="1" x14ac:dyDescent="0.35">
      <c r="A705" s="12">
        <v>45995</v>
      </c>
      <c r="B705" s="11">
        <f t="shared" si="50"/>
        <v>2025</v>
      </c>
      <c r="C705" s="11">
        <f t="shared" si="51"/>
        <v>12</v>
      </c>
      <c r="D705" s="11" t="str">
        <f t="shared" si="52"/>
        <v>Thu</v>
      </c>
      <c r="E705" s="11">
        <f t="shared" si="53"/>
        <v>1</v>
      </c>
      <c r="F705" s="11">
        <f t="shared" si="54"/>
        <v>0</v>
      </c>
      <c r="G705" s="16"/>
      <c r="H705" s="11">
        <f>COUNTIF(Events!$A$2:$A$391,$A705)</f>
        <v>0</v>
      </c>
      <c r="I705" s="11" t="str">
        <f>IFERROR(INDEX(Events!$E$2:$E$391,MATCH($A705,Events!$A$2:$A$391,0)),"")</f>
        <v/>
      </c>
    </row>
    <row r="706" spans="1:9" ht="15" customHeight="1" x14ac:dyDescent="0.35">
      <c r="A706" s="12">
        <v>45996</v>
      </c>
      <c r="B706" s="11">
        <f t="shared" ref="B706:B769" si="55">YEAR($A706)</f>
        <v>2025</v>
      </c>
      <c r="C706" s="11">
        <f t="shared" ref="C706:C769" si="56">MONTH($A706)</f>
        <v>12</v>
      </c>
      <c r="D706" s="11" t="str">
        <f t="shared" ref="D706:D769" si="57">TEXT($A706,"ddd")</f>
        <v>Fri</v>
      </c>
      <c r="E706" s="11">
        <f t="shared" ref="E706:E769" si="58">IF(OR(AND(MONTH($A706)=10,DAY($A706)&gt;=15),MONTH($A706)=11,AND(MONTH($A706)=12,DAY($A706)&lt;=7)),1,0)</f>
        <v>1</v>
      </c>
      <c r="F706" s="11">
        <f t="shared" ref="F706:F769" si="59">IF(MONTH($A706)&lt;=3,1,0)</f>
        <v>0</v>
      </c>
      <c r="G706" s="16"/>
      <c r="H706" s="11">
        <f>COUNTIF(Events!$A$2:$A$391,$A706)</f>
        <v>0</v>
      </c>
      <c r="I706" s="11" t="str">
        <f>IFERROR(INDEX(Events!$E$2:$E$391,MATCH($A706,Events!$A$2:$A$391,0)),"")</f>
        <v/>
      </c>
    </row>
    <row r="707" spans="1:9" ht="15" customHeight="1" x14ac:dyDescent="0.35">
      <c r="A707" s="12">
        <v>45997</v>
      </c>
      <c r="B707" s="11">
        <f t="shared" si="55"/>
        <v>2025</v>
      </c>
      <c r="C707" s="11">
        <f t="shared" si="56"/>
        <v>12</v>
      </c>
      <c r="D707" s="11" t="str">
        <f t="shared" si="57"/>
        <v>Sat</v>
      </c>
      <c r="E707" s="11">
        <f t="shared" si="58"/>
        <v>1</v>
      </c>
      <c r="F707" s="11">
        <f t="shared" si="59"/>
        <v>0</v>
      </c>
      <c r="G707" s="16"/>
      <c r="H707" s="11">
        <f>COUNTIF(Events!$A$2:$A$391,$A707)</f>
        <v>0</v>
      </c>
      <c r="I707" s="11" t="str">
        <f>IFERROR(INDEX(Events!$E$2:$E$391,MATCH($A707,Events!$A$2:$A$391,0)),"")</f>
        <v/>
      </c>
    </row>
    <row r="708" spans="1:9" ht="15" customHeight="1" x14ac:dyDescent="0.35">
      <c r="A708" s="12">
        <v>45998</v>
      </c>
      <c r="B708" s="11">
        <f t="shared" si="55"/>
        <v>2025</v>
      </c>
      <c r="C708" s="11">
        <f t="shared" si="56"/>
        <v>12</v>
      </c>
      <c r="D708" s="11" t="str">
        <f t="shared" si="57"/>
        <v>Sun</v>
      </c>
      <c r="E708" s="11">
        <f t="shared" si="58"/>
        <v>1</v>
      </c>
      <c r="F708" s="11">
        <f t="shared" si="59"/>
        <v>0</v>
      </c>
      <c r="G708" s="16"/>
      <c r="H708" s="11">
        <f>COUNTIF(Events!$A$2:$A$391,$A708)</f>
        <v>0</v>
      </c>
      <c r="I708" s="11" t="str">
        <f>IFERROR(INDEX(Events!$E$2:$E$391,MATCH($A708,Events!$A$2:$A$391,0)),"")</f>
        <v/>
      </c>
    </row>
    <row r="709" spans="1:9" ht="15" customHeight="1" x14ac:dyDescent="0.35">
      <c r="A709" s="12">
        <v>45999</v>
      </c>
      <c r="B709" s="11">
        <f t="shared" si="55"/>
        <v>2025</v>
      </c>
      <c r="C709" s="11">
        <f t="shared" si="56"/>
        <v>12</v>
      </c>
      <c r="D709" s="11" t="str">
        <f t="shared" si="57"/>
        <v>Mon</v>
      </c>
      <c r="E709" s="11">
        <f t="shared" si="58"/>
        <v>0</v>
      </c>
      <c r="F709" s="11">
        <f t="shared" si="59"/>
        <v>0</v>
      </c>
      <c r="G709" s="16"/>
      <c r="H709" s="11">
        <f>COUNTIF(Events!$A$2:$A$391,$A709)</f>
        <v>0</v>
      </c>
      <c r="I709" s="11" t="str">
        <f>IFERROR(INDEX(Events!$E$2:$E$391,MATCH($A709,Events!$A$2:$A$391,0)),"")</f>
        <v/>
      </c>
    </row>
    <row r="710" spans="1:9" ht="15" customHeight="1" x14ac:dyDescent="0.35">
      <c r="A710" s="12">
        <v>46000</v>
      </c>
      <c r="B710" s="11">
        <f t="shared" si="55"/>
        <v>2025</v>
      </c>
      <c r="C710" s="11">
        <f t="shared" si="56"/>
        <v>12</v>
      </c>
      <c r="D710" s="11" t="str">
        <f t="shared" si="57"/>
        <v>Tue</v>
      </c>
      <c r="E710" s="11">
        <f t="shared" si="58"/>
        <v>0</v>
      </c>
      <c r="F710" s="11">
        <f t="shared" si="59"/>
        <v>0</v>
      </c>
      <c r="G710" s="16"/>
      <c r="H710" s="11">
        <f>COUNTIF(Events!$A$2:$A$391,$A710)</f>
        <v>0</v>
      </c>
      <c r="I710" s="11" t="str">
        <f>IFERROR(INDEX(Events!$E$2:$E$391,MATCH($A710,Events!$A$2:$A$391,0)),"")</f>
        <v/>
      </c>
    </row>
    <row r="711" spans="1:9" ht="15" customHeight="1" x14ac:dyDescent="0.35">
      <c r="A711" s="12">
        <v>46001</v>
      </c>
      <c r="B711" s="11">
        <f t="shared" si="55"/>
        <v>2025</v>
      </c>
      <c r="C711" s="11">
        <f t="shared" si="56"/>
        <v>12</v>
      </c>
      <c r="D711" s="11" t="str">
        <f t="shared" si="57"/>
        <v>Wed</v>
      </c>
      <c r="E711" s="11">
        <f t="shared" si="58"/>
        <v>0</v>
      </c>
      <c r="F711" s="11">
        <f t="shared" si="59"/>
        <v>0</v>
      </c>
      <c r="G711" s="16"/>
      <c r="H711" s="11">
        <f>COUNTIF(Events!$A$2:$A$391,$A711)</f>
        <v>0</v>
      </c>
      <c r="I711" s="11" t="str">
        <f>IFERROR(INDEX(Events!$E$2:$E$391,MATCH($A711,Events!$A$2:$A$391,0)),"")</f>
        <v/>
      </c>
    </row>
    <row r="712" spans="1:9" ht="15" customHeight="1" x14ac:dyDescent="0.35">
      <c r="A712" s="12">
        <v>46002</v>
      </c>
      <c r="B712" s="11">
        <f t="shared" si="55"/>
        <v>2025</v>
      </c>
      <c r="C712" s="11">
        <f t="shared" si="56"/>
        <v>12</v>
      </c>
      <c r="D712" s="11" t="str">
        <f t="shared" si="57"/>
        <v>Thu</v>
      </c>
      <c r="E712" s="11">
        <f t="shared" si="58"/>
        <v>0</v>
      </c>
      <c r="F712" s="11">
        <f t="shared" si="59"/>
        <v>0</v>
      </c>
      <c r="G712" s="16"/>
      <c r="H712" s="11">
        <f>COUNTIF(Events!$A$2:$A$391,$A712)</f>
        <v>0</v>
      </c>
      <c r="I712" s="11" t="str">
        <f>IFERROR(INDEX(Events!$E$2:$E$391,MATCH($A712,Events!$A$2:$A$391,0)),"")</f>
        <v/>
      </c>
    </row>
    <row r="713" spans="1:9" ht="15" customHeight="1" x14ac:dyDescent="0.35">
      <c r="A713" s="12">
        <v>46003</v>
      </c>
      <c r="B713" s="11">
        <f t="shared" si="55"/>
        <v>2025</v>
      </c>
      <c r="C713" s="11">
        <f t="shared" si="56"/>
        <v>12</v>
      </c>
      <c r="D713" s="11" t="str">
        <f t="shared" si="57"/>
        <v>Fri</v>
      </c>
      <c r="E713" s="11">
        <f t="shared" si="58"/>
        <v>0</v>
      </c>
      <c r="F713" s="11">
        <f t="shared" si="59"/>
        <v>0</v>
      </c>
      <c r="G713" s="16"/>
      <c r="H713" s="11">
        <f>COUNTIF(Events!$A$2:$A$391,$A713)</f>
        <v>0</v>
      </c>
      <c r="I713" s="11" t="str">
        <f>IFERROR(INDEX(Events!$E$2:$E$391,MATCH($A713,Events!$A$2:$A$391,0)),"")</f>
        <v/>
      </c>
    </row>
    <row r="714" spans="1:9" ht="15" customHeight="1" x14ac:dyDescent="0.35">
      <c r="A714" s="12">
        <v>46004</v>
      </c>
      <c r="B714" s="11">
        <f t="shared" si="55"/>
        <v>2025</v>
      </c>
      <c r="C714" s="11">
        <f t="shared" si="56"/>
        <v>12</v>
      </c>
      <c r="D714" s="11" t="str">
        <f t="shared" si="57"/>
        <v>Sat</v>
      </c>
      <c r="E714" s="11">
        <f t="shared" si="58"/>
        <v>0</v>
      </c>
      <c r="F714" s="11">
        <f t="shared" si="59"/>
        <v>0</v>
      </c>
      <c r="G714" s="16"/>
      <c r="H714" s="11">
        <f>COUNTIF(Events!$A$2:$A$391,$A714)</f>
        <v>0</v>
      </c>
      <c r="I714" s="11" t="str">
        <f>IFERROR(INDEX(Events!$E$2:$E$391,MATCH($A714,Events!$A$2:$A$391,0)),"")</f>
        <v/>
      </c>
    </row>
    <row r="715" spans="1:9" ht="15" customHeight="1" x14ac:dyDescent="0.35">
      <c r="A715" s="12">
        <v>46005</v>
      </c>
      <c r="B715" s="11">
        <f t="shared" si="55"/>
        <v>2025</v>
      </c>
      <c r="C715" s="11">
        <f t="shared" si="56"/>
        <v>12</v>
      </c>
      <c r="D715" s="11" t="str">
        <f t="shared" si="57"/>
        <v>Sun</v>
      </c>
      <c r="E715" s="11">
        <f t="shared" si="58"/>
        <v>0</v>
      </c>
      <c r="F715" s="11">
        <f t="shared" si="59"/>
        <v>0</v>
      </c>
      <c r="G715" s="16"/>
      <c r="H715" s="11">
        <f>COUNTIF(Events!$A$2:$A$391,$A715)</f>
        <v>0</v>
      </c>
      <c r="I715" s="11" t="str">
        <f>IFERROR(INDEX(Events!$E$2:$E$391,MATCH($A715,Events!$A$2:$A$391,0)),"")</f>
        <v/>
      </c>
    </row>
    <row r="716" spans="1:9" ht="15" customHeight="1" x14ac:dyDescent="0.35">
      <c r="A716" s="12">
        <v>46006</v>
      </c>
      <c r="B716" s="11">
        <f t="shared" si="55"/>
        <v>2025</v>
      </c>
      <c r="C716" s="11">
        <f t="shared" si="56"/>
        <v>12</v>
      </c>
      <c r="D716" s="11" t="str">
        <f t="shared" si="57"/>
        <v>Mon</v>
      </c>
      <c r="E716" s="11">
        <f t="shared" si="58"/>
        <v>0</v>
      </c>
      <c r="F716" s="11">
        <f t="shared" si="59"/>
        <v>0</v>
      </c>
      <c r="G716" s="16"/>
      <c r="H716" s="11">
        <f>COUNTIF(Events!$A$2:$A$391,$A716)</f>
        <v>0</v>
      </c>
      <c r="I716" s="11" t="str">
        <f>IFERROR(INDEX(Events!$E$2:$E$391,MATCH($A716,Events!$A$2:$A$391,0)),"")</f>
        <v/>
      </c>
    </row>
    <row r="717" spans="1:9" ht="15" customHeight="1" x14ac:dyDescent="0.35">
      <c r="A717" s="12">
        <v>46007</v>
      </c>
      <c r="B717" s="11">
        <f t="shared" si="55"/>
        <v>2025</v>
      </c>
      <c r="C717" s="11">
        <f t="shared" si="56"/>
        <v>12</v>
      </c>
      <c r="D717" s="11" t="str">
        <f t="shared" si="57"/>
        <v>Tue</v>
      </c>
      <c r="E717" s="11">
        <f t="shared" si="58"/>
        <v>0</v>
      </c>
      <c r="F717" s="11">
        <f t="shared" si="59"/>
        <v>0</v>
      </c>
      <c r="G717" s="16"/>
      <c r="H717" s="11">
        <f>COUNTIF(Events!$A$2:$A$391,$A717)</f>
        <v>0</v>
      </c>
      <c r="I717" s="11" t="str">
        <f>IFERROR(INDEX(Events!$E$2:$E$391,MATCH($A717,Events!$A$2:$A$391,0)),"")</f>
        <v/>
      </c>
    </row>
    <row r="718" spans="1:9" ht="15" customHeight="1" x14ac:dyDescent="0.35">
      <c r="A718" s="12">
        <v>46008</v>
      </c>
      <c r="B718" s="11">
        <f t="shared" si="55"/>
        <v>2025</v>
      </c>
      <c r="C718" s="11">
        <f t="shared" si="56"/>
        <v>12</v>
      </c>
      <c r="D718" s="11" t="str">
        <f t="shared" si="57"/>
        <v>Wed</v>
      </c>
      <c r="E718" s="11">
        <f t="shared" si="58"/>
        <v>0</v>
      </c>
      <c r="F718" s="11">
        <f t="shared" si="59"/>
        <v>0</v>
      </c>
      <c r="G718" s="16"/>
      <c r="H718" s="11">
        <f>COUNTIF(Events!$A$2:$A$391,$A718)</f>
        <v>0</v>
      </c>
      <c r="I718" s="11" t="str">
        <f>IFERROR(INDEX(Events!$E$2:$E$391,MATCH($A718,Events!$A$2:$A$391,0)),"")</f>
        <v/>
      </c>
    </row>
    <row r="719" spans="1:9" ht="15" customHeight="1" x14ac:dyDescent="0.35">
      <c r="A719" s="12">
        <v>46009</v>
      </c>
      <c r="B719" s="11">
        <f t="shared" si="55"/>
        <v>2025</v>
      </c>
      <c r="C719" s="11">
        <f t="shared" si="56"/>
        <v>12</v>
      </c>
      <c r="D719" s="11" t="str">
        <f t="shared" si="57"/>
        <v>Thu</v>
      </c>
      <c r="E719" s="11">
        <f t="shared" si="58"/>
        <v>0</v>
      </c>
      <c r="F719" s="11">
        <f t="shared" si="59"/>
        <v>0</v>
      </c>
      <c r="G719" s="16"/>
      <c r="H719" s="11">
        <f>COUNTIF(Events!$A$2:$A$391,$A719)</f>
        <v>0</v>
      </c>
      <c r="I719" s="11" t="str">
        <f>IFERROR(INDEX(Events!$E$2:$E$391,MATCH($A719,Events!$A$2:$A$391,0)),"")</f>
        <v/>
      </c>
    </row>
    <row r="720" spans="1:9" ht="15" customHeight="1" x14ac:dyDescent="0.35">
      <c r="A720" s="12">
        <v>46010</v>
      </c>
      <c r="B720" s="11">
        <f t="shared" si="55"/>
        <v>2025</v>
      </c>
      <c r="C720" s="11">
        <f t="shared" si="56"/>
        <v>12</v>
      </c>
      <c r="D720" s="11" t="str">
        <f t="shared" si="57"/>
        <v>Fri</v>
      </c>
      <c r="E720" s="11">
        <f t="shared" si="58"/>
        <v>0</v>
      </c>
      <c r="F720" s="11">
        <f t="shared" si="59"/>
        <v>0</v>
      </c>
      <c r="G720" s="16"/>
      <c r="H720" s="11">
        <f>COUNTIF(Events!$A$2:$A$391,$A720)</f>
        <v>0</v>
      </c>
      <c r="I720" s="11" t="str">
        <f>IFERROR(INDEX(Events!$E$2:$E$391,MATCH($A720,Events!$A$2:$A$391,0)),"")</f>
        <v/>
      </c>
    </row>
    <row r="721" spans="1:9" ht="15" customHeight="1" x14ac:dyDescent="0.35">
      <c r="A721" s="12">
        <v>46011</v>
      </c>
      <c r="B721" s="11">
        <f t="shared" si="55"/>
        <v>2025</v>
      </c>
      <c r="C721" s="11">
        <f t="shared" si="56"/>
        <v>12</v>
      </c>
      <c r="D721" s="11" t="str">
        <f t="shared" si="57"/>
        <v>Sat</v>
      </c>
      <c r="E721" s="11">
        <f t="shared" si="58"/>
        <v>0</v>
      </c>
      <c r="F721" s="11">
        <f t="shared" si="59"/>
        <v>0</v>
      </c>
      <c r="G721" s="16"/>
      <c r="H721" s="11">
        <f>COUNTIF(Events!$A$2:$A$391,$A721)</f>
        <v>0</v>
      </c>
      <c r="I721" s="11" t="str">
        <f>IFERROR(INDEX(Events!$E$2:$E$391,MATCH($A721,Events!$A$2:$A$391,0)),"")</f>
        <v/>
      </c>
    </row>
    <row r="722" spans="1:9" ht="15" customHeight="1" x14ac:dyDescent="0.35">
      <c r="A722" s="12">
        <v>46012</v>
      </c>
      <c r="B722" s="11">
        <f t="shared" si="55"/>
        <v>2025</v>
      </c>
      <c r="C722" s="11">
        <f t="shared" si="56"/>
        <v>12</v>
      </c>
      <c r="D722" s="11" t="str">
        <f t="shared" si="57"/>
        <v>Sun</v>
      </c>
      <c r="E722" s="11">
        <f t="shared" si="58"/>
        <v>0</v>
      </c>
      <c r="F722" s="11">
        <f t="shared" si="59"/>
        <v>0</v>
      </c>
      <c r="G722" s="16"/>
      <c r="H722" s="11">
        <f>COUNTIF(Events!$A$2:$A$391,$A722)</f>
        <v>0</v>
      </c>
      <c r="I722" s="11" t="str">
        <f>IFERROR(INDEX(Events!$E$2:$E$391,MATCH($A722,Events!$A$2:$A$391,0)),"")</f>
        <v/>
      </c>
    </row>
    <row r="723" spans="1:9" ht="15" customHeight="1" x14ac:dyDescent="0.35">
      <c r="A723" s="12">
        <v>46013</v>
      </c>
      <c r="B723" s="11">
        <f t="shared" si="55"/>
        <v>2025</v>
      </c>
      <c r="C723" s="11">
        <f t="shared" si="56"/>
        <v>12</v>
      </c>
      <c r="D723" s="11" t="str">
        <f t="shared" si="57"/>
        <v>Mon</v>
      </c>
      <c r="E723" s="11">
        <f t="shared" si="58"/>
        <v>0</v>
      </c>
      <c r="F723" s="11">
        <f t="shared" si="59"/>
        <v>0</v>
      </c>
      <c r="G723" s="16"/>
      <c r="H723" s="11">
        <f>COUNTIF(Events!$A$2:$A$391,$A723)</f>
        <v>0</v>
      </c>
      <c r="I723" s="11" t="str">
        <f>IFERROR(INDEX(Events!$E$2:$E$391,MATCH($A723,Events!$A$2:$A$391,0)),"")</f>
        <v/>
      </c>
    </row>
    <row r="724" spans="1:9" ht="15" customHeight="1" x14ac:dyDescent="0.35">
      <c r="A724" s="12">
        <v>46014</v>
      </c>
      <c r="B724" s="11">
        <f t="shared" si="55"/>
        <v>2025</v>
      </c>
      <c r="C724" s="11">
        <f t="shared" si="56"/>
        <v>12</v>
      </c>
      <c r="D724" s="11" t="str">
        <f t="shared" si="57"/>
        <v>Tue</v>
      </c>
      <c r="E724" s="11">
        <f t="shared" si="58"/>
        <v>0</v>
      </c>
      <c r="F724" s="11">
        <f t="shared" si="59"/>
        <v>0</v>
      </c>
      <c r="G724" s="16"/>
      <c r="H724" s="11">
        <f>COUNTIF(Events!$A$2:$A$391,$A724)</f>
        <v>0</v>
      </c>
      <c r="I724" s="11" t="str">
        <f>IFERROR(INDEX(Events!$E$2:$E$391,MATCH($A724,Events!$A$2:$A$391,0)),"")</f>
        <v/>
      </c>
    </row>
    <row r="725" spans="1:9" ht="15" customHeight="1" x14ac:dyDescent="0.35">
      <c r="A725" s="12">
        <v>46015</v>
      </c>
      <c r="B725" s="11">
        <f t="shared" si="55"/>
        <v>2025</v>
      </c>
      <c r="C725" s="11">
        <f t="shared" si="56"/>
        <v>12</v>
      </c>
      <c r="D725" s="11" t="str">
        <f t="shared" si="57"/>
        <v>Wed</v>
      </c>
      <c r="E725" s="11">
        <f t="shared" si="58"/>
        <v>0</v>
      </c>
      <c r="F725" s="11">
        <f t="shared" si="59"/>
        <v>0</v>
      </c>
      <c r="G725" s="16"/>
      <c r="H725" s="11">
        <f>COUNTIF(Events!$A$2:$A$391,$A725)</f>
        <v>0</v>
      </c>
      <c r="I725" s="11" t="str">
        <f>IFERROR(INDEX(Events!$E$2:$E$391,MATCH($A725,Events!$A$2:$A$391,0)),"")</f>
        <v/>
      </c>
    </row>
    <row r="726" spans="1:9" ht="15" customHeight="1" x14ac:dyDescent="0.35">
      <c r="A726" s="12">
        <v>46016</v>
      </c>
      <c r="B726" s="11">
        <f t="shared" si="55"/>
        <v>2025</v>
      </c>
      <c r="C726" s="11">
        <f t="shared" si="56"/>
        <v>12</v>
      </c>
      <c r="D726" s="11" t="str">
        <f t="shared" si="57"/>
        <v>Thu</v>
      </c>
      <c r="E726" s="11">
        <f t="shared" si="58"/>
        <v>0</v>
      </c>
      <c r="F726" s="11">
        <f t="shared" si="59"/>
        <v>0</v>
      </c>
      <c r="G726" s="16"/>
      <c r="H726" s="11">
        <f>COUNTIF(Events!$A$2:$A$391,$A726)</f>
        <v>0</v>
      </c>
      <c r="I726" s="11" t="str">
        <f>IFERROR(INDEX(Events!$E$2:$E$391,MATCH($A726,Events!$A$2:$A$391,0)),"")</f>
        <v/>
      </c>
    </row>
    <row r="727" spans="1:9" ht="15" customHeight="1" x14ac:dyDescent="0.35">
      <c r="A727" s="12">
        <v>46017</v>
      </c>
      <c r="B727" s="11">
        <f t="shared" si="55"/>
        <v>2025</v>
      </c>
      <c r="C727" s="11">
        <f t="shared" si="56"/>
        <v>12</v>
      </c>
      <c r="D727" s="11" t="str">
        <f t="shared" si="57"/>
        <v>Fri</v>
      </c>
      <c r="E727" s="11">
        <f t="shared" si="58"/>
        <v>0</v>
      </c>
      <c r="F727" s="11">
        <f t="shared" si="59"/>
        <v>0</v>
      </c>
      <c r="G727" s="16"/>
      <c r="H727" s="11">
        <f>COUNTIF(Events!$A$2:$A$391,$A727)</f>
        <v>0</v>
      </c>
      <c r="I727" s="11" t="str">
        <f>IFERROR(INDEX(Events!$E$2:$E$391,MATCH($A727,Events!$A$2:$A$391,0)),"")</f>
        <v/>
      </c>
    </row>
    <row r="728" spans="1:9" ht="15" customHeight="1" x14ac:dyDescent="0.35">
      <c r="A728" s="12">
        <v>46018</v>
      </c>
      <c r="B728" s="11">
        <f t="shared" si="55"/>
        <v>2025</v>
      </c>
      <c r="C728" s="11">
        <f t="shared" si="56"/>
        <v>12</v>
      </c>
      <c r="D728" s="11" t="str">
        <f t="shared" si="57"/>
        <v>Sat</v>
      </c>
      <c r="E728" s="11">
        <f t="shared" si="58"/>
        <v>0</v>
      </c>
      <c r="F728" s="11">
        <f t="shared" si="59"/>
        <v>0</v>
      </c>
      <c r="G728" s="16"/>
      <c r="H728" s="11">
        <f>COUNTIF(Events!$A$2:$A$391,$A728)</f>
        <v>0</v>
      </c>
      <c r="I728" s="11" t="str">
        <f>IFERROR(INDEX(Events!$E$2:$E$391,MATCH($A728,Events!$A$2:$A$391,0)),"")</f>
        <v/>
      </c>
    </row>
    <row r="729" spans="1:9" ht="15" customHeight="1" x14ac:dyDescent="0.35">
      <c r="A729" s="12">
        <v>46019</v>
      </c>
      <c r="B729" s="11">
        <f t="shared" si="55"/>
        <v>2025</v>
      </c>
      <c r="C729" s="11">
        <f t="shared" si="56"/>
        <v>12</v>
      </c>
      <c r="D729" s="11" t="str">
        <f t="shared" si="57"/>
        <v>Sun</v>
      </c>
      <c r="E729" s="11">
        <f t="shared" si="58"/>
        <v>0</v>
      </c>
      <c r="F729" s="11">
        <f t="shared" si="59"/>
        <v>0</v>
      </c>
      <c r="G729" s="16"/>
      <c r="H729" s="11">
        <f>COUNTIF(Events!$A$2:$A$391,$A729)</f>
        <v>0</v>
      </c>
      <c r="I729" s="11" t="str">
        <f>IFERROR(INDEX(Events!$E$2:$E$391,MATCH($A729,Events!$A$2:$A$391,0)),"")</f>
        <v/>
      </c>
    </row>
    <row r="730" spans="1:9" ht="15" customHeight="1" x14ac:dyDescent="0.35">
      <c r="A730" s="12">
        <v>46020</v>
      </c>
      <c r="B730" s="11">
        <f t="shared" si="55"/>
        <v>2025</v>
      </c>
      <c r="C730" s="11">
        <f t="shared" si="56"/>
        <v>12</v>
      </c>
      <c r="D730" s="11" t="str">
        <f t="shared" si="57"/>
        <v>Mon</v>
      </c>
      <c r="E730" s="11">
        <f t="shared" si="58"/>
        <v>0</v>
      </c>
      <c r="F730" s="11">
        <f t="shared" si="59"/>
        <v>0</v>
      </c>
      <c r="G730" s="16"/>
      <c r="H730" s="11">
        <f>COUNTIF(Events!$A$2:$A$391,$A730)</f>
        <v>0</v>
      </c>
      <c r="I730" s="11" t="str">
        <f>IFERROR(INDEX(Events!$E$2:$E$391,MATCH($A730,Events!$A$2:$A$391,0)),"")</f>
        <v/>
      </c>
    </row>
    <row r="731" spans="1:9" ht="15" customHeight="1" x14ac:dyDescent="0.35">
      <c r="A731" s="12">
        <v>46021</v>
      </c>
      <c r="B731" s="11">
        <f t="shared" si="55"/>
        <v>2025</v>
      </c>
      <c r="C731" s="11">
        <f t="shared" si="56"/>
        <v>12</v>
      </c>
      <c r="D731" s="11" t="str">
        <f t="shared" si="57"/>
        <v>Tue</v>
      </c>
      <c r="E731" s="11">
        <f t="shared" si="58"/>
        <v>0</v>
      </c>
      <c r="F731" s="11">
        <f t="shared" si="59"/>
        <v>0</v>
      </c>
      <c r="G731" s="16"/>
      <c r="H731" s="11">
        <f>COUNTIF(Events!$A$2:$A$391,$A731)</f>
        <v>0</v>
      </c>
      <c r="I731" s="11" t="str">
        <f>IFERROR(INDEX(Events!$E$2:$E$391,MATCH($A731,Events!$A$2:$A$391,0)),"")</f>
        <v/>
      </c>
    </row>
    <row r="732" spans="1:9" ht="15" customHeight="1" x14ac:dyDescent="0.35">
      <c r="A732" s="12">
        <v>46022</v>
      </c>
      <c r="B732" s="11">
        <f t="shared" si="55"/>
        <v>2025</v>
      </c>
      <c r="C732" s="11">
        <f t="shared" si="56"/>
        <v>12</v>
      </c>
      <c r="D732" s="11" t="str">
        <f t="shared" si="57"/>
        <v>Wed</v>
      </c>
      <c r="E732" s="11">
        <f t="shared" si="58"/>
        <v>0</v>
      </c>
      <c r="F732" s="11">
        <f t="shared" si="59"/>
        <v>0</v>
      </c>
      <c r="G732" s="16"/>
      <c r="H732" s="11">
        <f>COUNTIF(Events!$A$2:$A$391,$A732)</f>
        <v>0</v>
      </c>
      <c r="I732" s="11" t="str">
        <f>IFERROR(INDEX(Events!$E$2:$E$391,MATCH($A732,Events!$A$2:$A$391,0)),"")</f>
        <v/>
      </c>
    </row>
    <row r="733" spans="1:9" ht="15" customHeight="1" x14ac:dyDescent="0.35">
      <c r="A733" s="12">
        <v>46023</v>
      </c>
      <c r="B733" s="11">
        <f t="shared" si="55"/>
        <v>2026</v>
      </c>
      <c r="C733" s="11">
        <f t="shared" si="56"/>
        <v>1</v>
      </c>
      <c r="D733" s="11" t="str">
        <f t="shared" si="57"/>
        <v>Thu</v>
      </c>
      <c r="E733" s="11">
        <f t="shared" si="58"/>
        <v>0</v>
      </c>
      <c r="F733" s="11">
        <f t="shared" si="59"/>
        <v>1</v>
      </c>
      <c r="G733" s="16"/>
      <c r="H733" s="11">
        <f>COUNTIF(Events!$A$2:$A$391,$A733)</f>
        <v>1</v>
      </c>
      <c r="I733" s="11" t="str">
        <f>IFERROR(INDEX(Events!$E$2:$E$391,MATCH($A733,Events!$A$2:$A$391,0)),"")</f>
        <v>Medicare Drug Price Negotiation: negotiated prices (MFPs) for first 10 selected drugs take effect; Part D OOP cap indexed to $2,100; D-SNP look-alike threshold drops to 60%; D-SNP PPO out-of-network cost-sharing limits begin; CY2026 Final Rule provisions apply to coverage</v>
      </c>
    </row>
    <row r="734" spans="1:9" ht="15" customHeight="1" x14ac:dyDescent="0.35">
      <c r="A734" s="12">
        <v>46024</v>
      </c>
      <c r="B734" s="11">
        <f t="shared" si="55"/>
        <v>2026</v>
      </c>
      <c r="C734" s="11">
        <f t="shared" si="56"/>
        <v>1</v>
      </c>
      <c r="D734" s="11" t="str">
        <f t="shared" si="57"/>
        <v>Fri</v>
      </c>
      <c r="E734" s="11">
        <f t="shared" si="58"/>
        <v>0</v>
      </c>
      <c r="F734" s="11">
        <f t="shared" si="59"/>
        <v>1</v>
      </c>
      <c r="G734" s="16"/>
      <c r="H734" s="11">
        <f>COUNTIF(Events!$A$2:$A$391,$A734)</f>
        <v>0</v>
      </c>
      <c r="I734" s="11" t="str">
        <f>IFERROR(INDEX(Events!$E$2:$E$391,MATCH($A734,Events!$A$2:$A$391,0)),"")</f>
        <v/>
      </c>
    </row>
    <row r="735" spans="1:9" ht="15" customHeight="1" x14ac:dyDescent="0.35">
      <c r="A735" s="12">
        <v>46025</v>
      </c>
      <c r="B735" s="11">
        <f t="shared" si="55"/>
        <v>2026</v>
      </c>
      <c r="C735" s="11">
        <f t="shared" si="56"/>
        <v>1</v>
      </c>
      <c r="D735" s="11" t="str">
        <f t="shared" si="57"/>
        <v>Sat</v>
      </c>
      <c r="E735" s="11">
        <f t="shared" si="58"/>
        <v>0</v>
      </c>
      <c r="F735" s="11">
        <f t="shared" si="59"/>
        <v>1</v>
      </c>
      <c r="G735" s="16"/>
      <c r="H735" s="11">
        <f>COUNTIF(Events!$A$2:$A$391,$A735)</f>
        <v>0</v>
      </c>
      <c r="I735" s="11" t="str">
        <f>IFERROR(INDEX(Events!$E$2:$E$391,MATCH($A735,Events!$A$2:$A$391,0)),"")</f>
        <v/>
      </c>
    </row>
    <row r="736" spans="1:9" ht="15" customHeight="1" x14ac:dyDescent="0.35">
      <c r="A736" s="12">
        <v>46026</v>
      </c>
      <c r="B736" s="11">
        <f t="shared" si="55"/>
        <v>2026</v>
      </c>
      <c r="C736" s="11">
        <f t="shared" si="56"/>
        <v>1</v>
      </c>
      <c r="D736" s="11" t="str">
        <f t="shared" si="57"/>
        <v>Sun</v>
      </c>
      <c r="E736" s="11">
        <f t="shared" si="58"/>
        <v>0</v>
      </c>
      <c r="F736" s="11">
        <f t="shared" si="59"/>
        <v>1</v>
      </c>
      <c r="G736" s="16"/>
      <c r="H736" s="11">
        <f>COUNTIF(Events!$A$2:$A$391,$A736)</f>
        <v>0</v>
      </c>
      <c r="I736" s="11" t="str">
        <f>IFERROR(INDEX(Events!$E$2:$E$391,MATCH($A736,Events!$A$2:$A$391,0)),"")</f>
        <v/>
      </c>
    </row>
    <row r="737" spans="1:9" ht="15" customHeight="1" x14ac:dyDescent="0.35">
      <c r="A737" s="12">
        <v>46027</v>
      </c>
      <c r="B737" s="11">
        <f t="shared" si="55"/>
        <v>2026</v>
      </c>
      <c r="C737" s="11">
        <f t="shared" si="56"/>
        <v>1</v>
      </c>
      <c r="D737" s="11" t="str">
        <f t="shared" si="57"/>
        <v>Mon</v>
      </c>
      <c r="E737" s="11">
        <f t="shared" si="58"/>
        <v>0</v>
      </c>
      <c r="F737" s="11">
        <f t="shared" si="59"/>
        <v>1</v>
      </c>
      <c r="G737" s="16"/>
      <c r="H737" s="11">
        <f>COUNTIF(Events!$A$2:$A$391,$A737)</f>
        <v>0</v>
      </c>
      <c r="I737" s="11" t="str">
        <f>IFERROR(INDEX(Events!$E$2:$E$391,MATCH($A737,Events!$A$2:$A$391,0)),"")</f>
        <v/>
      </c>
    </row>
    <row r="738" spans="1:9" ht="15" customHeight="1" x14ac:dyDescent="0.35">
      <c r="A738" s="12">
        <v>46028</v>
      </c>
      <c r="B738" s="11">
        <f t="shared" si="55"/>
        <v>2026</v>
      </c>
      <c r="C738" s="11">
        <f t="shared" si="56"/>
        <v>1</v>
      </c>
      <c r="D738" s="11" t="str">
        <f t="shared" si="57"/>
        <v>Tue</v>
      </c>
      <c r="E738" s="11">
        <f t="shared" si="58"/>
        <v>0</v>
      </c>
      <c r="F738" s="11">
        <f t="shared" si="59"/>
        <v>1</v>
      </c>
      <c r="G738" s="16"/>
      <c r="H738" s="11">
        <f>COUNTIF(Events!$A$2:$A$391,$A738)</f>
        <v>0</v>
      </c>
      <c r="I738" s="11" t="str">
        <f>IFERROR(INDEX(Events!$E$2:$E$391,MATCH($A738,Events!$A$2:$A$391,0)),"")</f>
        <v/>
      </c>
    </row>
    <row r="739" spans="1:9" ht="15" customHeight="1" x14ac:dyDescent="0.35">
      <c r="A739" s="12">
        <v>46029</v>
      </c>
      <c r="B739" s="11">
        <f t="shared" si="55"/>
        <v>2026</v>
      </c>
      <c r="C739" s="11">
        <f t="shared" si="56"/>
        <v>1</v>
      </c>
      <c r="D739" s="11" t="str">
        <f t="shared" si="57"/>
        <v>Wed</v>
      </c>
      <c r="E739" s="11">
        <f t="shared" si="58"/>
        <v>0</v>
      </c>
      <c r="F739" s="11">
        <f t="shared" si="59"/>
        <v>1</v>
      </c>
      <c r="G739" s="16"/>
      <c r="H739" s="11">
        <f>COUNTIF(Events!$A$2:$A$391,$A739)</f>
        <v>0</v>
      </c>
      <c r="I739" s="11" t="str">
        <f>IFERROR(INDEX(Events!$E$2:$E$391,MATCH($A739,Events!$A$2:$A$391,0)),"")</f>
        <v/>
      </c>
    </row>
    <row r="740" spans="1:9" ht="15" customHeight="1" x14ac:dyDescent="0.35">
      <c r="A740" s="12">
        <v>46030</v>
      </c>
      <c r="B740" s="11">
        <f t="shared" si="55"/>
        <v>2026</v>
      </c>
      <c r="C740" s="11">
        <f t="shared" si="56"/>
        <v>1</v>
      </c>
      <c r="D740" s="11" t="str">
        <f t="shared" si="57"/>
        <v>Thu</v>
      </c>
      <c r="E740" s="11">
        <f t="shared" si="58"/>
        <v>0</v>
      </c>
      <c r="F740" s="11">
        <f t="shared" si="59"/>
        <v>1</v>
      </c>
      <c r="G740" s="16"/>
      <c r="H740" s="11">
        <f>COUNTIF(Events!$A$2:$A$391,$A740)</f>
        <v>0</v>
      </c>
      <c r="I740" s="11" t="str">
        <f>IFERROR(INDEX(Events!$E$2:$E$391,MATCH($A740,Events!$A$2:$A$391,0)),"")</f>
        <v/>
      </c>
    </row>
    <row r="741" spans="1:9" ht="15" customHeight="1" x14ac:dyDescent="0.35">
      <c r="A741" s="12">
        <v>46031</v>
      </c>
      <c r="B741" s="11">
        <f t="shared" si="55"/>
        <v>2026</v>
      </c>
      <c r="C741" s="11">
        <f t="shared" si="56"/>
        <v>1</v>
      </c>
      <c r="D741" s="11" t="str">
        <f t="shared" si="57"/>
        <v>Fri</v>
      </c>
      <c r="E741" s="11">
        <f t="shared" si="58"/>
        <v>0</v>
      </c>
      <c r="F741" s="11">
        <f t="shared" si="59"/>
        <v>1</v>
      </c>
      <c r="G741" s="16"/>
      <c r="H741" s="11">
        <f>COUNTIF(Events!$A$2:$A$391,$A741)</f>
        <v>0</v>
      </c>
      <c r="I741" s="11" t="str">
        <f>IFERROR(INDEX(Events!$E$2:$E$391,MATCH($A741,Events!$A$2:$A$391,0)),"")</f>
        <v/>
      </c>
    </row>
    <row r="742" spans="1:9" ht="15" customHeight="1" x14ac:dyDescent="0.35">
      <c r="A742" s="12">
        <v>46032</v>
      </c>
      <c r="B742" s="11">
        <f t="shared" si="55"/>
        <v>2026</v>
      </c>
      <c r="C742" s="11">
        <f t="shared" si="56"/>
        <v>1</v>
      </c>
      <c r="D742" s="11" t="str">
        <f t="shared" si="57"/>
        <v>Sat</v>
      </c>
      <c r="E742" s="11">
        <f t="shared" si="58"/>
        <v>0</v>
      </c>
      <c r="F742" s="11">
        <f t="shared" si="59"/>
        <v>1</v>
      </c>
      <c r="G742" s="16"/>
      <c r="H742" s="11">
        <f>COUNTIF(Events!$A$2:$A$391,$A742)</f>
        <v>0</v>
      </c>
      <c r="I742" s="11" t="str">
        <f>IFERROR(INDEX(Events!$E$2:$E$391,MATCH($A742,Events!$A$2:$A$391,0)),"")</f>
        <v/>
      </c>
    </row>
    <row r="743" spans="1:9" ht="15" customHeight="1" x14ac:dyDescent="0.35">
      <c r="A743" s="12">
        <v>46033</v>
      </c>
      <c r="B743" s="11">
        <f t="shared" si="55"/>
        <v>2026</v>
      </c>
      <c r="C743" s="11">
        <f t="shared" si="56"/>
        <v>1</v>
      </c>
      <c r="D743" s="11" t="str">
        <f t="shared" si="57"/>
        <v>Sun</v>
      </c>
      <c r="E743" s="11">
        <f t="shared" si="58"/>
        <v>0</v>
      </c>
      <c r="F743" s="11">
        <f t="shared" si="59"/>
        <v>1</v>
      </c>
      <c r="G743" s="16"/>
      <c r="H743" s="11">
        <f>COUNTIF(Events!$A$2:$A$391,$A743)</f>
        <v>0</v>
      </c>
      <c r="I743" s="11" t="str">
        <f>IFERROR(INDEX(Events!$E$2:$E$391,MATCH($A743,Events!$A$2:$A$391,0)),"")</f>
        <v/>
      </c>
    </row>
    <row r="744" spans="1:9" ht="15" customHeight="1" x14ac:dyDescent="0.35">
      <c r="A744" s="12">
        <v>46034</v>
      </c>
      <c r="B744" s="11">
        <f t="shared" si="55"/>
        <v>2026</v>
      </c>
      <c r="C744" s="11">
        <f t="shared" si="56"/>
        <v>1</v>
      </c>
      <c r="D744" s="11" t="str">
        <f t="shared" si="57"/>
        <v>Mon</v>
      </c>
      <c r="E744" s="11">
        <f t="shared" si="58"/>
        <v>0</v>
      </c>
      <c r="F744" s="11">
        <f t="shared" si="59"/>
        <v>1</v>
      </c>
      <c r="G744" s="16"/>
      <c r="H744" s="11">
        <f>COUNTIF(Events!$A$2:$A$391,$A744)</f>
        <v>0</v>
      </c>
      <c r="I744" s="11" t="str">
        <f>IFERROR(INDEX(Events!$E$2:$E$391,MATCH($A744,Events!$A$2:$A$391,0)),"")</f>
        <v/>
      </c>
    </row>
    <row r="745" spans="1:9" ht="15" customHeight="1" x14ac:dyDescent="0.35">
      <c r="A745" s="12">
        <v>46035</v>
      </c>
      <c r="B745" s="11">
        <f t="shared" si="55"/>
        <v>2026</v>
      </c>
      <c r="C745" s="11">
        <f t="shared" si="56"/>
        <v>1</v>
      </c>
      <c r="D745" s="11" t="str">
        <f t="shared" si="57"/>
        <v>Tue</v>
      </c>
      <c r="E745" s="11">
        <f t="shared" si="58"/>
        <v>0</v>
      </c>
      <c r="F745" s="11">
        <f t="shared" si="59"/>
        <v>1</v>
      </c>
      <c r="G745" s="16"/>
      <c r="H745" s="11">
        <f>COUNTIF(Events!$A$2:$A$391,$A745)</f>
        <v>0</v>
      </c>
      <c r="I745" s="11" t="str">
        <f>IFERROR(INDEX(Events!$E$2:$E$391,MATCH($A745,Events!$A$2:$A$391,0)),"")</f>
        <v/>
      </c>
    </row>
    <row r="746" spans="1:9" ht="15" customHeight="1" x14ac:dyDescent="0.35">
      <c r="A746" s="12">
        <v>46036</v>
      </c>
      <c r="B746" s="11">
        <f t="shared" si="55"/>
        <v>2026</v>
      </c>
      <c r="C746" s="11">
        <f t="shared" si="56"/>
        <v>1</v>
      </c>
      <c r="D746" s="11" t="str">
        <f t="shared" si="57"/>
        <v>Wed</v>
      </c>
      <c r="E746" s="11">
        <f t="shared" si="58"/>
        <v>0</v>
      </c>
      <c r="F746" s="11">
        <f t="shared" si="59"/>
        <v>1</v>
      </c>
      <c r="G746" s="16"/>
      <c r="H746" s="11">
        <f>COUNTIF(Events!$A$2:$A$391,$A746)</f>
        <v>0</v>
      </c>
      <c r="I746" s="11" t="str">
        <f>IFERROR(INDEX(Events!$E$2:$E$391,MATCH($A746,Events!$A$2:$A$391,0)),"")</f>
        <v/>
      </c>
    </row>
    <row r="747" spans="1:9" ht="15" customHeight="1" x14ac:dyDescent="0.35">
      <c r="A747" s="12">
        <v>46037</v>
      </c>
      <c r="B747" s="11">
        <f t="shared" si="55"/>
        <v>2026</v>
      </c>
      <c r="C747" s="11">
        <f t="shared" si="56"/>
        <v>1</v>
      </c>
      <c r="D747" s="11" t="str">
        <f t="shared" si="57"/>
        <v>Thu</v>
      </c>
      <c r="E747" s="11">
        <f t="shared" si="58"/>
        <v>0</v>
      </c>
      <c r="F747" s="11">
        <f t="shared" si="59"/>
        <v>1</v>
      </c>
      <c r="G747" s="16"/>
      <c r="H747" s="11">
        <f>COUNTIF(Events!$A$2:$A$391,$A747)</f>
        <v>0</v>
      </c>
      <c r="I747" s="11" t="str">
        <f>IFERROR(INDEX(Events!$E$2:$E$391,MATCH($A747,Events!$A$2:$A$391,0)),"")</f>
        <v/>
      </c>
    </row>
    <row r="748" spans="1:9" ht="15" customHeight="1" x14ac:dyDescent="0.35">
      <c r="A748" s="12">
        <v>46038</v>
      </c>
      <c r="B748" s="11">
        <f t="shared" si="55"/>
        <v>2026</v>
      </c>
      <c r="C748" s="11">
        <f t="shared" si="56"/>
        <v>1</v>
      </c>
      <c r="D748" s="11" t="str">
        <f t="shared" si="57"/>
        <v>Fri</v>
      </c>
      <c r="E748" s="11">
        <f t="shared" si="58"/>
        <v>0</v>
      </c>
      <c r="F748" s="11">
        <f t="shared" si="59"/>
        <v>1</v>
      </c>
      <c r="G748" s="16"/>
      <c r="H748" s="11">
        <f>COUNTIF(Events!$A$2:$A$391,$A748)</f>
        <v>0</v>
      </c>
      <c r="I748" s="11" t="str">
        <f>IFERROR(INDEX(Events!$E$2:$E$391,MATCH($A748,Events!$A$2:$A$391,0)),"")</f>
        <v/>
      </c>
    </row>
    <row r="749" spans="1:9" ht="15" customHeight="1" x14ac:dyDescent="0.35">
      <c r="A749" s="12">
        <v>46039</v>
      </c>
      <c r="B749" s="11">
        <f t="shared" si="55"/>
        <v>2026</v>
      </c>
      <c r="C749" s="11">
        <f t="shared" si="56"/>
        <v>1</v>
      </c>
      <c r="D749" s="11" t="str">
        <f t="shared" si="57"/>
        <v>Sat</v>
      </c>
      <c r="E749" s="11">
        <f t="shared" si="58"/>
        <v>0</v>
      </c>
      <c r="F749" s="11">
        <f t="shared" si="59"/>
        <v>1</v>
      </c>
      <c r="G749" s="16"/>
      <c r="H749" s="11">
        <f>COUNTIF(Events!$A$2:$A$391,$A749)</f>
        <v>0</v>
      </c>
      <c r="I749" s="11" t="str">
        <f>IFERROR(INDEX(Events!$E$2:$E$391,MATCH($A749,Events!$A$2:$A$391,0)),"")</f>
        <v/>
      </c>
    </row>
    <row r="750" spans="1:9" ht="15" customHeight="1" x14ac:dyDescent="0.35">
      <c r="A750" s="12">
        <v>46040</v>
      </c>
      <c r="B750" s="11">
        <f t="shared" si="55"/>
        <v>2026</v>
      </c>
      <c r="C750" s="11">
        <f t="shared" si="56"/>
        <v>1</v>
      </c>
      <c r="D750" s="11" t="str">
        <f t="shared" si="57"/>
        <v>Sun</v>
      </c>
      <c r="E750" s="11">
        <f t="shared" si="58"/>
        <v>0</v>
      </c>
      <c r="F750" s="11">
        <f t="shared" si="59"/>
        <v>1</v>
      </c>
      <c r="G750" s="16"/>
      <c r="H750" s="11">
        <f>COUNTIF(Events!$A$2:$A$391,$A750)</f>
        <v>0</v>
      </c>
      <c r="I750" s="11" t="str">
        <f>IFERROR(INDEX(Events!$E$2:$E$391,MATCH($A750,Events!$A$2:$A$391,0)),"")</f>
        <v/>
      </c>
    </row>
    <row r="751" spans="1:9" ht="15" customHeight="1" x14ac:dyDescent="0.35">
      <c r="A751" s="12">
        <v>46041</v>
      </c>
      <c r="B751" s="11">
        <f t="shared" si="55"/>
        <v>2026</v>
      </c>
      <c r="C751" s="11">
        <f t="shared" si="56"/>
        <v>1</v>
      </c>
      <c r="D751" s="11" t="str">
        <f t="shared" si="57"/>
        <v>Mon</v>
      </c>
      <c r="E751" s="11">
        <f t="shared" si="58"/>
        <v>0</v>
      </c>
      <c r="F751" s="11">
        <f t="shared" si="59"/>
        <v>1</v>
      </c>
      <c r="G751" s="16"/>
      <c r="H751" s="11">
        <f>COUNTIF(Events!$A$2:$A$391,$A751)</f>
        <v>0</v>
      </c>
      <c r="I751" s="11" t="str">
        <f>IFERROR(INDEX(Events!$E$2:$E$391,MATCH($A751,Events!$A$2:$A$391,0)),"")</f>
        <v/>
      </c>
    </row>
    <row r="752" spans="1:9" ht="15" customHeight="1" x14ac:dyDescent="0.35">
      <c r="A752" s="12">
        <v>46042</v>
      </c>
      <c r="B752" s="11">
        <f t="shared" si="55"/>
        <v>2026</v>
      </c>
      <c r="C752" s="11">
        <f t="shared" si="56"/>
        <v>1</v>
      </c>
      <c r="D752" s="11" t="str">
        <f t="shared" si="57"/>
        <v>Tue</v>
      </c>
      <c r="E752" s="11">
        <f t="shared" si="58"/>
        <v>0</v>
      </c>
      <c r="F752" s="11">
        <f t="shared" si="59"/>
        <v>1</v>
      </c>
      <c r="G752" s="16"/>
      <c r="H752" s="11">
        <f>COUNTIF(Events!$A$2:$A$391,$A752)</f>
        <v>0</v>
      </c>
      <c r="I752" s="11" t="str">
        <f>IFERROR(INDEX(Events!$E$2:$E$391,MATCH($A752,Events!$A$2:$A$391,0)),"")</f>
        <v/>
      </c>
    </row>
    <row r="753" spans="1:9" ht="15" customHeight="1" x14ac:dyDescent="0.35">
      <c r="A753" s="12">
        <v>46043</v>
      </c>
      <c r="B753" s="11">
        <f t="shared" si="55"/>
        <v>2026</v>
      </c>
      <c r="C753" s="11">
        <f t="shared" si="56"/>
        <v>1</v>
      </c>
      <c r="D753" s="11" t="str">
        <f t="shared" si="57"/>
        <v>Wed</v>
      </c>
      <c r="E753" s="11">
        <f t="shared" si="58"/>
        <v>0</v>
      </c>
      <c r="F753" s="11">
        <f t="shared" si="59"/>
        <v>1</v>
      </c>
      <c r="G753" s="16"/>
      <c r="H753" s="11">
        <f>COUNTIF(Events!$A$2:$A$391,$A753)</f>
        <v>0</v>
      </c>
      <c r="I753" s="11" t="str">
        <f>IFERROR(INDEX(Events!$E$2:$E$391,MATCH($A753,Events!$A$2:$A$391,0)),"")</f>
        <v/>
      </c>
    </row>
    <row r="754" spans="1:9" ht="15" customHeight="1" x14ac:dyDescent="0.35">
      <c r="A754" s="12">
        <v>46044</v>
      </c>
      <c r="B754" s="11">
        <f t="shared" si="55"/>
        <v>2026</v>
      </c>
      <c r="C754" s="11">
        <f t="shared" si="56"/>
        <v>1</v>
      </c>
      <c r="D754" s="11" t="str">
        <f t="shared" si="57"/>
        <v>Thu</v>
      </c>
      <c r="E754" s="11">
        <f t="shared" si="58"/>
        <v>0</v>
      </c>
      <c r="F754" s="11">
        <f t="shared" si="59"/>
        <v>1</v>
      </c>
      <c r="G754" s="16"/>
      <c r="H754" s="11">
        <f>COUNTIF(Events!$A$2:$A$391,$A754)</f>
        <v>0</v>
      </c>
      <c r="I754" s="11" t="str">
        <f>IFERROR(INDEX(Events!$E$2:$E$391,MATCH($A754,Events!$A$2:$A$391,0)),"")</f>
        <v/>
      </c>
    </row>
    <row r="755" spans="1:9" ht="15" customHeight="1" x14ac:dyDescent="0.35">
      <c r="A755" s="12">
        <v>46045</v>
      </c>
      <c r="B755" s="11">
        <f t="shared" si="55"/>
        <v>2026</v>
      </c>
      <c r="C755" s="11">
        <f t="shared" si="56"/>
        <v>1</v>
      </c>
      <c r="D755" s="11" t="str">
        <f t="shared" si="57"/>
        <v>Fri</v>
      </c>
      <c r="E755" s="11">
        <f t="shared" si="58"/>
        <v>0</v>
      </c>
      <c r="F755" s="11">
        <f t="shared" si="59"/>
        <v>1</v>
      </c>
      <c r="G755" s="16"/>
      <c r="H755" s="11">
        <f>COUNTIF(Events!$A$2:$A$391,$A755)</f>
        <v>0</v>
      </c>
      <c r="I755" s="11" t="str">
        <f>IFERROR(INDEX(Events!$E$2:$E$391,MATCH($A755,Events!$A$2:$A$391,0)),"")</f>
        <v/>
      </c>
    </row>
    <row r="756" spans="1:9" ht="15" customHeight="1" x14ac:dyDescent="0.35">
      <c r="A756" s="12">
        <v>46046</v>
      </c>
      <c r="B756" s="11">
        <f t="shared" si="55"/>
        <v>2026</v>
      </c>
      <c r="C756" s="11">
        <f t="shared" si="56"/>
        <v>1</v>
      </c>
      <c r="D756" s="11" t="str">
        <f t="shared" si="57"/>
        <v>Sat</v>
      </c>
      <c r="E756" s="11">
        <f t="shared" si="58"/>
        <v>0</v>
      </c>
      <c r="F756" s="11">
        <f t="shared" si="59"/>
        <v>1</v>
      </c>
      <c r="G756" s="16"/>
      <c r="H756" s="11">
        <f>COUNTIF(Events!$A$2:$A$391,$A756)</f>
        <v>0</v>
      </c>
      <c r="I756" s="11" t="str">
        <f>IFERROR(INDEX(Events!$E$2:$E$391,MATCH($A756,Events!$A$2:$A$391,0)),"")</f>
        <v/>
      </c>
    </row>
    <row r="757" spans="1:9" ht="15" customHeight="1" x14ac:dyDescent="0.35">
      <c r="A757" s="12">
        <v>46047</v>
      </c>
      <c r="B757" s="11">
        <f t="shared" si="55"/>
        <v>2026</v>
      </c>
      <c r="C757" s="11">
        <f t="shared" si="56"/>
        <v>1</v>
      </c>
      <c r="D757" s="11" t="str">
        <f t="shared" si="57"/>
        <v>Sun</v>
      </c>
      <c r="E757" s="11">
        <f t="shared" si="58"/>
        <v>0</v>
      </c>
      <c r="F757" s="11">
        <f t="shared" si="59"/>
        <v>1</v>
      </c>
      <c r="G757" s="16"/>
      <c r="H757" s="11">
        <f>COUNTIF(Events!$A$2:$A$391,$A757)</f>
        <v>0</v>
      </c>
      <c r="I757" s="11" t="str">
        <f>IFERROR(INDEX(Events!$E$2:$E$391,MATCH($A757,Events!$A$2:$A$391,0)),"")</f>
        <v/>
      </c>
    </row>
    <row r="758" spans="1:9" ht="15" customHeight="1" x14ac:dyDescent="0.35">
      <c r="A758" s="12">
        <v>46048</v>
      </c>
      <c r="B758" s="11">
        <f t="shared" si="55"/>
        <v>2026</v>
      </c>
      <c r="C758" s="11">
        <f t="shared" si="56"/>
        <v>1</v>
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     <c r="G758" s="16"/>
      <c r="H758" s="11">
        <f>COUNTIF(Events!$A$2:$A$391,$A758)</f>
        <v>1</v>
      </c>
      <c r="I758" s="11" t="str">
        <f>IFERROR(INDEX(Events!$E$2:$E$391,MATCH($A758,Events!$A$2:$A$391,0)),"")</f>
        <v>CY2027 Advance Notice released: proposed only +0.09% base update (~$700M) - far below prior years; proposed excluding unlinked chart-review and audio-only diagnoses from risk scores; comments due 2/25/2026</v>
      </c>
    </row>
    <row r="759" spans="1:9" ht="15" customHeight="1" x14ac:dyDescent="0.35">
      <c r="A759" s="12">
        <v>46049</v>
      </c>
      <c r="B759" s="11">
        <f t="shared" si="55"/>
        <v>2026</v>
      </c>
      <c r="C759" s="11">
        <f t="shared" si="56"/>
        <v>1</v>
      </c>
      <c r="D759" s="11" t="str">
        <f t="shared" si="57"/>
        <v>Tue</v>
      </c>
      <c r="E759" s="11">
        <f t="shared" si="58"/>
        <v>0</v>
      </c>
      <c r="F759" s="11">
        <f t="shared" si="59"/>
        <v>1</v>
      </c>
      <c r="G759" s="16"/>
      <c r="H759" s="11">
        <f>COUNTIF(Events!$A$2:$A$391,$A759)</f>
        <v>0</v>
      </c>
      <c r="I759" s="11" t="str">
        <f>IFERROR(INDEX(Events!$E$2:$E$391,MATCH($A759,Events!$A$2:$A$391,0)),"")</f>
        <v/>
      </c>
    </row>
    <row r="760" spans="1:9" ht="15" customHeight="1" x14ac:dyDescent="0.35">
      <c r="A760" s="12">
        <v>46050</v>
      </c>
      <c r="B760" s="11">
        <f t="shared" si="55"/>
        <v>2026</v>
      </c>
      <c r="C760" s="11">
        <f t="shared" si="56"/>
        <v>1</v>
      </c>
      <c r="D760" s="11" t="str">
        <f t="shared" si="57"/>
        <v>Wed</v>
      </c>
      <c r="E760" s="11">
        <f t="shared" si="58"/>
        <v>0</v>
      </c>
      <c r="F760" s="11">
        <f t="shared" si="59"/>
        <v>1</v>
      </c>
      <c r="G760" s="16"/>
      <c r="H760" s="11">
        <f>COUNTIF(Events!$A$2:$A$391,$A760)</f>
        <v>0</v>
      </c>
      <c r="I760" s="11" t="str">
        <f>IFERROR(INDEX(Events!$E$2:$E$391,MATCH($A760,Events!$A$2:$A$391,0)),"")</f>
        <v/>
      </c>
    </row>
    <row r="761" spans="1:9" ht="15" customHeight="1" x14ac:dyDescent="0.35">
      <c r="A761" s="12">
        <v>46051</v>
      </c>
      <c r="B761" s="11">
        <f t="shared" si="55"/>
        <v>2026</v>
      </c>
      <c r="C761" s="11">
        <f t="shared" si="56"/>
        <v>1</v>
      </c>
      <c r="D761" s="11" t="str">
        <f t="shared" si="57"/>
        <v>Thu</v>
      </c>
      <c r="E761" s="11">
        <f t="shared" si="58"/>
        <v>0</v>
      </c>
      <c r="F761" s="11">
        <f t="shared" si="59"/>
        <v>1</v>
      </c>
      <c r="G761" s="16"/>
      <c r="H761" s="11">
        <f>COUNTIF(Events!$A$2:$A$391,$A761)</f>
        <v>0</v>
      </c>
      <c r="I761" s="11" t="str">
        <f>IFERROR(INDEX(Events!$E$2:$E$391,MATCH($A761,Events!$A$2:$A$391,0)),"")</f>
        <v/>
      </c>
    </row>
    <row r="762" spans="1:9" ht="15" customHeight="1" x14ac:dyDescent="0.35">
      <c r="A762" s="12">
        <v>46052</v>
      </c>
      <c r="B762" s="11">
        <f t="shared" si="55"/>
        <v>2026</v>
      </c>
      <c r="C762" s="11">
        <f t="shared" si="56"/>
        <v>1</v>
      </c>
      <c r="D762" s="11" t="str">
        <f t="shared" si="57"/>
        <v>Fri</v>
      </c>
      <c r="E762" s="11">
        <f t="shared" si="58"/>
        <v>0</v>
      </c>
      <c r="F762" s="11">
        <f t="shared" si="59"/>
        <v>1</v>
      </c>
      <c r="G762" s="16"/>
      <c r="H762" s="11">
        <f>COUNTIF(Events!$A$2:$A$391,$A762)</f>
        <v>0</v>
      </c>
      <c r="I762" s="11" t="str">
        <f>IFERROR(INDEX(Events!$E$2:$E$391,MATCH($A762,Events!$A$2:$A$391,0)),"")</f>
        <v/>
      </c>
    </row>
    <row r="763" spans="1:9" ht="15" customHeight="1" x14ac:dyDescent="0.35">
      <c r="A763" s="12">
        <v>46053</v>
      </c>
      <c r="B763" s="11">
        <f t="shared" si="55"/>
        <v>2026</v>
      </c>
      <c r="C763" s="11">
        <f t="shared" si="56"/>
        <v>1</v>
      </c>
      <c r="D763" s="11" t="str">
        <f t="shared" si="57"/>
        <v>Sat</v>
      </c>
      <c r="E763" s="11">
        <f t="shared" si="58"/>
        <v>0</v>
      </c>
      <c r="F763" s="11">
        <f t="shared" si="59"/>
        <v>1</v>
      </c>
      <c r="G763" s="16"/>
      <c r="H763" s="11">
        <f>COUNTIF(Events!$A$2:$A$391,$A763)</f>
        <v>0</v>
      </c>
      <c r="I763" s="11" t="str">
        <f>IFERROR(INDEX(Events!$E$2:$E$391,MATCH($A763,Events!$A$2:$A$391,0)),"")</f>
        <v/>
      </c>
    </row>
    <row r="764" spans="1:9" ht="15" customHeight="1" x14ac:dyDescent="0.35">
      <c r="A764" s="12">
        <v>46054</v>
      </c>
      <c r="B764" s="11">
        <f t="shared" si="55"/>
        <v>2026</v>
      </c>
      <c r="C764" s="11">
        <f t="shared" si="56"/>
        <v>2</v>
      </c>
      <c r="D764" s="11" t="str">
        <f t="shared" si="57"/>
        <v>Sun</v>
      </c>
      <c r="E764" s="11">
        <f t="shared" si="58"/>
        <v>0</v>
      </c>
      <c r="F764" s="11">
        <f t="shared" si="59"/>
        <v>1</v>
      </c>
      <c r="G764" s="16"/>
      <c r="H764" s="11">
        <f>COUNTIF(Events!$A$2:$A$391,$A764)</f>
        <v>0</v>
      </c>
      <c r="I764" s="11" t="str">
        <f>IFERROR(INDEX(Events!$E$2:$E$391,MATCH($A764,Events!$A$2:$A$391,0)),"")</f>
        <v/>
      </c>
    </row>
    <row r="765" spans="1:9" ht="15" customHeight="1" x14ac:dyDescent="0.35">
      <c r="A765" s="12">
        <v>46055</v>
      </c>
      <c r="B765" s="11">
        <f t="shared" si="55"/>
        <v>2026</v>
      </c>
      <c r="C765" s="11">
        <f t="shared" si="56"/>
        <v>2</v>
      </c>
      <c r="D765" s="11" t="str">
        <f t="shared" si="57"/>
        <v>Mon</v>
      </c>
      <c r="E765" s="11">
        <f t="shared" si="58"/>
        <v>0</v>
      </c>
      <c r="F765" s="11">
        <f t="shared" si="59"/>
        <v>1</v>
      </c>
      <c r="G765" s="16"/>
      <c r="H765" s="11">
        <f>COUNTIF(Events!$A$2:$A$391,$A765)</f>
        <v>0</v>
      </c>
      <c r="I765" s="11" t="str">
        <f>IFERROR(INDEX(Events!$E$2:$E$391,MATCH($A765,Events!$A$2:$A$391,0)),"")</f>
        <v/>
      </c>
    </row>
    <row r="766" spans="1:9" ht="15" customHeight="1" x14ac:dyDescent="0.35">
      <c r="A766" s="12">
        <v>46056</v>
      </c>
      <c r="B766" s="11">
        <f t="shared" si="55"/>
        <v>2026</v>
      </c>
      <c r="C766" s="11">
        <f t="shared" si="56"/>
        <v>2</v>
      </c>
      <c r="D766" s="11" t="str">
        <f t="shared" si="57"/>
        <v>Tue</v>
      </c>
      <c r="E766" s="11">
        <f t="shared" si="58"/>
        <v>0</v>
      </c>
      <c r="F766" s="11">
        <f t="shared" si="59"/>
        <v>1</v>
      </c>
      <c r="G766" s="16"/>
      <c r="H766" s="11">
        <f>COUNTIF(Events!$A$2:$A$391,$A766)</f>
        <v>0</v>
      </c>
      <c r="I766" s="11" t="str">
        <f>IFERROR(INDEX(Events!$E$2:$E$391,MATCH($A766,Events!$A$2:$A$391,0)),"")</f>
        <v/>
      </c>
    </row>
    <row r="767" spans="1:9" ht="15" customHeight="1" x14ac:dyDescent="0.35">
      <c r="A767" s="12">
        <v>46057</v>
      </c>
      <c r="B767" s="11">
        <f t="shared" si="55"/>
        <v>2026</v>
      </c>
      <c r="C767" s="11">
        <f t="shared" si="56"/>
        <v>2</v>
      </c>
      <c r="D767" s="11" t="str">
        <f t="shared" si="57"/>
        <v>Wed</v>
      </c>
      <c r="E767" s="11">
        <f t="shared" si="58"/>
        <v>0</v>
      </c>
      <c r="F767" s="11">
        <f t="shared" si="59"/>
        <v>1</v>
      </c>
      <c r="G767" s="16"/>
      <c r="H767" s="11">
        <f>COUNTIF(Events!$A$2:$A$391,$A767)</f>
        <v>0</v>
      </c>
      <c r="I767" s="11" t="str">
        <f>IFERROR(INDEX(Events!$E$2:$E$391,MATCH($A767,Events!$A$2:$A$391,0)),"")</f>
        <v/>
      </c>
    </row>
    <row r="768" spans="1:9" ht="15" customHeight="1" x14ac:dyDescent="0.35">
      <c r="A768" s="12">
        <v>46058</v>
      </c>
      <c r="B768" s="11">
        <f t="shared" si="55"/>
        <v>2026</v>
      </c>
      <c r="C768" s="11">
        <f t="shared" si="56"/>
        <v>2</v>
      </c>
      <c r="D768" s="11" t="str">
        <f t="shared" si="57"/>
        <v>Thu</v>
      </c>
      <c r="E768" s="11">
        <f t="shared" si="58"/>
        <v>0</v>
      </c>
      <c r="F768" s="11">
        <f t="shared" si="59"/>
        <v>1</v>
      </c>
      <c r="G768" s="16"/>
      <c r="H768" s="11">
        <f>COUNTIF(Events!$A$2:$A$391,$A768)</f>
        <v>0</v>
      </c>
      <c r="I768" s="11" t="str">
        <f>IFERROR(INDEX(Events!$E$2:$E$391,MATCH($A768,Events!$A$2:$A$391,0)),"")</f>
        <v/>
      </c>
    </row>
    <row r="769" spans="1:9" ht="15" customHeight="1" x14ac:dyDescent="0.35">
      <c r="A769" s="12">
        <v>46059</v>
      </c>
      <c r="B769" s="11">
        <f t="shared" si="55"/>
        <v>2026</v>
      </c>
      <c r="C769" s="11">
        <f t="shared" si="56"/>
        <v>2</v>
      </c>
      <c r="D769" s="11" t="str">
        <f t="shared" si="57"/>
        <v>Fri</v>
      </c>
      <c r="E769" s="11">
        <f t="shared" si="58"/>
        <v>0</v>
      </c>
      <c r="F769" s="11">
        <f t="shared" si="59"/>
        <v>1</v>
      </c>
      <c r="G769" s="16"/>
      <c r="H769" s="11">
        <f>COUNTIF(Events!$A$2:$A$391,$A769)</f>
        <v>0</v>
      </c>
      <c r="I769" s="11" t="str">
        <f>IFERROR(INDEX(Events!$E$2:$E$391,MATCH($A769,Events!$A$2:$A$391,0)),"")</f>
        <v/>
      </c>
    </row>
    <row r="770" spans="1:9" ht="15" customHeight="1" x14ac:dyDescent="0.35">
      <c r="A770" s="12">
        <v>46060</v>
      </c>
      <c r="B770" s="11">
        <f t="shared" ref="B770:B833" si="60">YEAR($A770)</f>
        <v>2026</v>
      </c>
      <c r="C770" s="11">
        <f t="shared" ref="C770:C833" si="61">MONTH($A770)</f>
        <v>2</v>
      </c>
      <c r="D770" s="11" t="str">
        <f t="shared" ref="D770:D833" si="62">TEXT($A770,"ddd")</f>
        <v>Sat</v>
      </c>
      <c r="E770" s="11">
        <f t="shared" ref="E770:E833" si="63">IF(OR(AND(MONTH($A770)=10,DAY($A770)&gt;=15),MONTH($A770)=11,AND(MONTH($A770)=12,DAY($A770)&lt;=7)),1,0)</f>
        <v>0</v>
      </c>
      <c r="F770" s="11">
        <f t="shared" ref="F770:F833" si="64">IF(MONTH($A770)&lt;=3,1,0)</f>
        <v>1</v>
      </c>
      <c r="G770" s="16"/>
      <c r="H770" s="11">
        <f>COUNTIF(Events!$A$2:$A$391,$A770)</f>
        <v>0</v>
      </c>
      <c r="I770" s="11" t="str">
        <f>IFERROR(INDEX(Events!$E$2:$E$391,MATCH($A770,Events!$A$2:$A$391,0)),"")</f>
        <v/>
      </c>
    </row>
    <row r="771" spans="1:9" ht="15" customHeight="1" x14ac:dyDescent="0.35">
      <c r="A771" s="12">
        <v>46061</v>
      </c>
      <c r="B771" s="11">
        <f t="shared" si="60"/>
        <v>2026</v>
      </c>
      <c r="C771" s="11">
        <f t="shared" si="61"/>
        <v>2</v>
      </c>
      <c r="D771" s="11" t="str">
        <f t="shared" si="62"/>
        <v>Sun</v>
      </c>
      <c r="E771" s="11">
        <f t="shared" si="63"/>
        <v>0</v>
      </c>
      <c r="F771" s="11">
        <f t="shared" si="64"/>
        <v>1</v>
      </c>
      <c r="G771" s="16"/>
      <c r="H771" s="11">
        <f>COUNTIF(Events!$A$2:$A$391,$A771)</f>
        <v>0</v>
      </c>
      <c r="I771" s="11" t="str">
        <f>IFERROR(INDEX(Events!$E$2:$E$391,MATCH($A771,Events!$A$2:$A$391,0)),"")</f>
        <v/>
      </c>
    </row>
    <row r="772" spans="1:9" ht="15" customHeight="1" x14ac:dyDescent="0.35">
      <c r="A772" s="12">
        <v>46062</v>
      </c>
      <c r="B772" s="11">
        <f t="shared" si="60"/>
        <v>2026</v>
      </c>
      <c r="C772" s="11">
        <f t="shared" si="61"/>
        <v>2</v>
      </c>
      <c r="D772" s="11" t="str">
        <f t="shared" si="62"/>
        <v>Mon</v>
      </c>
      <c r="E772" s="11">
        <f t="shared" si="63"/>
        <v>0</v>
      </c>
      <c r="F772" s="11">
        <f t="shared" si="64"/>
        <v>1</v>
      </c>
      <c r="G772" s="16"/>
      <c r="H772" s="11">
        <f>COUNTIF(Events!$A$2:$A$391,$A772)</f>
        <v>0</v>
      </c>
      <c r="I772" s="11" t="str">
        <f>IFERROR(INDEX(Events!$E$2:$E$391,MATCH($A772,Events!$A$2:$A$391,0)),"")</f>
        <v/>
      </c>
    </row>
    <row r="773" spans="1:9" ht="15" customHeight="1" x14ac:dyDescent="0.35">
      <c r="A773" s="12">
        <v>46063</v>
      </c>
      <c r="B773" s="11">
        <f t="shared" si="60"/>
        <v>2026</v>
      </c>
      <c r="C773" s="11">
        <f t="shared" si="61"/>
        <v>2</v>
      </c>
      <c r="D773" s="11" t="str">
        <f t="shared" si="62"/>
        <v>Tue</v>
      </c>
      <c r="E773" s="11">
        <f t="shared" si="63"/>
        <v>0</v>
      </c>
      <c r="F773" s="11">
        <f t="shared" si="64"/>
        <v>1</v>
      </c>
      <c r="G773" s="16"/>
      <c r="H773" s="11">
        <f>COUNTIF(Events!$A$2:$A$391,$A773)</f>
        <v>0</v>
      </c>
      <c r="I773" s="11" t="str">
        <f>IFERROR(INDEX(Events!$E$2:$E$391,MATCH($A773,Events!$A$2:$A$391,0)),"")</f>
        <v/>
      </c>
    </row>
    <row r="774" spans="1:9" ht="15" customHeight="1" x14ac:dyDescent="0.35">
      <c r="A774" s="12">
        <v>46064</v>
      </c>
      <c r="B774" s="11">
        <f t="shared" si="60"/>
        <v>2026</v>
      </c>
      <c r="C774" s="11">
        <f t="shared" si="61"/>
        <v>2</v>
      </c>
      <c r="D774" s="11" t="str">
        <f t="shared" si="62"/>
        <v>Wed</v>
      </c>
      <c r="E774" s="11">
        <f t="shared" si="63"/>
        <v>0</v>
      </c>
      <c r="F774" s="11">
        <f t="shared" si="64"/>
        <v>1</v>
      </c>
      <c r="G774" s="16"/>
      <c r="H774" s="11">
        <f>COUNTIF(Events!$A$2:$A$391,$A774)</f>
        <v>0</v>
      </c>
      <c r="I774" s="11" t="str">
        <f>IFERROR(INDEX(Events!$E$2:$E$391,MATCH($A774,Events!$A$2:$A$391,0)),"")</f>
        <v/>
      </c>
    </row>
    <row r="775" spans="1:9" ht="15" customHeight="1" x14ac:dyDescent="0.35">
      <c r="A775" s="12">
        <v>46065</v>
      </c>
      <c r="B775" s="11">
        <f t="shared" si="60"/>
        <v>2026</v>
      </c>
      <c r="C775" s="11">
        <f t="shared" si="61"/>
        <v>2</v>
      </c>
      <c r="D775" s="11" t="str">
        <f t="shared" si="62"/>
        <v>Thu</v>
      </c>
      <c r="E775" s="11">
        <f t="shared" si="63"/>
        <v>0</v>
      </c>
      <c r="F775" s="11">
        <f t="shared" si="64"/>
        <v>1</v>
      </c>
      <c r="G775" s="16"/>
      <c r="H775" s="11">
        <f>COUNTIF(Events!$A$2:$A$391,$A775)</f>
        <v>0</v>
      </c>
      <c r="I775" s="11" t="str">
        <f>IFERROR(INDEX(Events!$E$2:$E$391,MATCH($A775,Events!$A$2:$A$391,0)),"")</f>
        <v/>
      </c>
    </row>
    <row r="776" spans="1:9" ht="15" customHeight="1" x14ac:dyDescent="0.35">
      <c r="A776" s="12">
        <v>46066</v>
      </c>
      <c r="B776" s="11">
        <f t="shared" si="60"/>
        <v>2026</v>
      </c>
      <c r="C776" s="11">
        <f t="shared" si="61"/>
        <v>2</v>
      </c>
      <c r="D776" s="11" t="str">
        <f t="shared" si="62"/>
        <v>Fri</v>
      </c>
      <c r="E776" s="11">
        <f t="shared" si="63"/>
        <v>0</v>
      </c>
      <c r="F776" s="11">
        <f t="shared" si="64"/>
        <v>1</v>
      </c>
      <c r="G776" s="16"/>
      <c r="H776" s="11">
        <f>COUNTIF(Events!$A$2:$A$391,$A776)</f>
        <v>0</v>
      </c>
      <c r="I776" s="11" t="str">
        <f>IFERROR(INDEX(Events!$E$2:$E$391,MATCH($A776,Events!$A$2:$A$391,0)),"")</f>
        <v/>
      </c>
    </row>
    <row r="777" spans="1:9" ht="15" customHeight="1" x14ac:dyDescent="0.35">
      <c r="A777" s="12">
        <v>46067</v>
      </c>
      <c r="B777" s="11">
        <f t="shared" si="60"/>
        <v>2026</v>
      </c>
      <c r="C777" s="11">
        <f t="shared" si="61"/>
        <v>2</v>
      </c>
      <c r="D777" s="11" t="str">
        <f t="shared" si="62"/>
        <v>Sat</v>
      </c>
      <c r="E777" s="11">
        <f t="shared" si="63"/>
        <v>0</v>
      </c>
      <c r="F777" s="11">
        <f t="shared" si="64"/>
        <v>1</v>
      </c>
      <c r="G777" s="16"/>
      <c r="H777" s="11">
        <f>COUNTIF(Events!$A$2:$A$391,$A777)</f>
        <v>0</v>
      </c>
      <c r="I777" s="11" t="str">
        <f>IFERROR(INDEX(Events!$E$2:$E$391,MATCH($A777,Events!$A$2:$A$391,0)),"")</f>
        <v/>
      </c>
    </row>
    <row r="778" spans="1:9" ht="15" customHeight="1" x14ac:dyDescent="0.35">
      <c r="A778" s="12">
        <v>46068</v>
      </c>
      <c r="B778" s="11">
        <f t="shared" si="60"/>
        <v>2026</v>
      </c>
      <c r="C778" s="11">
        <f t="shared" si="61"/>
        <v>2</v>
      </c>
      <c r="D778" s="11" t="str">
        <f t="shared" si="62"/>
        <v>Sun</v>
      </c>
      <c r="E778" s="11">
        <f t="shared" si="63"/>
        <v>0</v>
      </c>
      <c r="F778" s="11">
        <f t="shared" si="64"/>
        <v>1</v>
      </c>
      <c r="G778" s="16"/>
      <c r="H778" s="11">
        <f>COUNTIF(Events!$A$2:$A$391,$A778)</f>
        <v>0</v>
      </c>
      <c r="I778" s="11" t="str">
        <f>IFERROR(INDEX(Events!$E$2:$E$391,MATCH($A778,Events!$A$2:$A$391,0)),"")</f>
        <v/>
      </c>
    </row>
    <row r="779" spans="1:9" ht="15" customHeight="1" x14ac:dyDescent="0.35">
      <c r="A779" s="12">
        <v>46069</v>
      </c>
      <c r="B779" s="11">
        <f t="shared" si="60"/>
        <v>2026</v>
      </c>
      <c r="C779" s="11">
        <f t="shared" si="61"/>
        <v>2</v>
      </c>
      <c r="D779" s="11" t="str">
        <f t="shared" si="62"/>
        <v>Mon</v>
      </c>
      <c r="E779" s="11">
        <f t="shared" si="63"/>
        <v>0</v>
      </c>
      <c r="F779" s="11">
        <f t="shared" si="64"/>
        <v>1</v>
      </c>
      <c r="G779" s="16"/>
      <c r="H779" s="11">
        <f>COUNTIF(Events!$A$2:$A$391,$A779)</f>
        <v>0</v>
      </c>
      <c r="I779" s="11" t="str">
        <f>IFERROR(INDEX(Events!$E$2:$E$391,MATCH($A779,Events!$A$2:$A$391,0)),"")</f>
        <v/>
      </c>
    </row>
    <row r="780" spans="1:9" ht="15" customHeight="1" x14ac:dyDescent="0.35">
      <c r="A780" s="12">
        <v>46070</v>
      </c>
      <c r="B780" s="11">
        <f t="shared" si="60"/>
        <v>2026</v>
      </c>
      <c r="C780" s="11">
        <f t="shared" si="61"/>
        <v>2</v>
      </c>
      <c r="D780" s="11" t="str">
        <f t="shared" si="62"/>
        <v>Tue</v>
      </c>
      <c r="E780" s="11">
        <f t="shared" si="63"/>
        <v>0</v>
      </c>
      <c r="F780" s="11">
        <f t="shared" si="64"/>
        <v>1</v>
      </c>
      <c r="G780" s="16"/>
      <c r="H780" s="11">
        <f>COUNTIF(Events!$A$2:$A$391,$A780)</f>
        <v>0</v>
      </c>
      <c r="I780" s="11" t="str">
        <f>IFERROR(INDEX(Events!$E$2:$E$391,MATCH($A780,Events!$A$2:$A$391,0)),"")</f>
        <v/>
      </c>
    </row>
    <row r="781" spans="1:9" ht="15" customHeight="1" x14ac:dyDescent="0.35">
      <c r="A781" s="12">
        <v>46071</v>
      </c>
      <c r="B781" s="11">
        <f t="shared" si="60"/>
        <v>2026</v>
      </c>
      <c r="C781" s="11">
        <f t="shared" si="61"/>
        <v>2</v>
      </c>
      <c r="D781" s="11" t="str">
        <f t="shared" si="62"/>
        <v>Wed</v>
      </c>
      <c r="E781" s="11">
        <f t="shared" si="63"/>
        <v>0</v>
      </c>
      <c r="F781" s="11">
        <f t="shared" si="64"/>
        <v>1</v>
      </c>
      <c r="G781" s="16"/>
      <c r="H781" s="11">
        <f>COUNTIF(Events!$A$2:$A$391,$A781)</f>
        <v>0</v>
      </c>
      <c r="I781" s="11" t="str">
        <f>IFERROR(INDEX(Events!$E$2:$E$391,MATCH($A781,Events!$A$2:$A$391,0)),"")</f>
        <v/>
      </c>
    </row>
    <row r="782" spans="1:9" ht="15" customHeight="1" x14ac:dyDescent="0.35">
      <c r="A782" s="12">
        <v>46072</v>
      </c>
      <c r="B782" s="11">
        <f t="shared" si="60"/>
        <v>2026</v>
      </c>
      <c r="C782" s="11">
        <f t="shared" si="61"/>
        <v>2</v>
      </c>
      <c r="D782" s="11" t="str">
        <f t="shared" si="62"/>
        <v>Thu</v>
      </c>
      <c r="E782" s="11">
        <f t="shared" si="63"/>
        <v>0</v>
      </c>
      <c r="F782" s="11">
        <f t="shared" si="64"/>
        <v>1</v>
      </c>
      <c r="G782" s="16"/>
      <c r="H782" s="11">
        <f>COUNTIF(Events!$A$2:$A$391,$A782)</f>
        <v>0</v>
      </c>
      <c r="I782" s="11" t="str">
        <f>IFERROR(INDEX(Events!$E$2:$E$391,MATCH($A782,Events!$A$2:$A$391,0)),"")</f>
        <v/>
      </c>
    </row>
    <row r="783" spans="1:9" ht="15" customHeight="1" x14ac:dyDescent="0.35">
      <c r="A783" s="12">
        <v>46073</v>
      </c>
      <c r="B783" s="11">
        <f t="shared" si="60"/>
        <v>2026</v>
      </c>
      <c r="C783" s="11">
        <f t="shared" si="61"/>
        <v>2</v>
      </c>
      <c r="D783" s="11" t="str">
        <f t="shared" si="62"/>
        <v>Fri</v>
      </c>
      <c r="E783" s="11">
        <f t="shared" si="63"/>
        <v>0</v>
      </c>
      <c r="F783" s="11">
        <f t="shared" si="64"/>
        <v>1</v>
      </c>
      <c r="G783" s="16"/>
      <c r="H783" s="11">
        <f>COUNTIF(Events!$A$2:$A$391,$A783)</f>
        <v>0</v>
      </c>
      <c r="I783" s="11" t="str">
        <f>IFERROR(INDEX(Events!$E$2:$E$391,MATCH($A783,Events!$A$2:$A$391,0)),"")</f>
        <v/>
      </c>
    </row>
    <row r="784" spans="1:9" ht="15" customHeight="1" x14ac:dyDescent="0.35">
      <c r="A784" s="12">
        <v>46074</v>
      </c>
      <c r="B784" s="11">
        <f t="shared" si="60"/>
        <v>2026</v>
      </c>
      <c r="C784" s="11">
        <f t="shared" si="61"/>
        <v>2</v>
      </c>
      <c r="D784" s="11" t="str">
        <f t="shared" si="62"/>
        <v>Sat</v>
      </c>
      <c r="E784" s="11">
        <f t="shared" si="63"/>
        <v>0</v>
      </c>
      <c r="F784" s="11">
        <f t="shared" si="64"/>
        <v>1</v>
      </c>
      <c r="G784" s="16"/>
      <c r="H784" s="11">
        <f>COUNTIF(Events!$A$2:$A$391,$A784)</f>
        <v>0</v>
      </c>
      <c r="I784" s="11" t="str">
        <f>IFERROR(INDEX(Events!$E$2:$E$391,MATCH($A784,Events!$A$2:$A$391,0)),"")</f>
        <v/>
      </c>
    </row>
    <row r="785" spans="1:9" ht="15" customHeight="1" x14ac:dyDescent="0.35">
      <c r="A785" s="12">
        <v>46075</v>
      </c>
      <c r="B785" s="11">
        <f t="shared" si="60"/>
        <v>2026</v>
      </c>
      <c r="C785" s="11">
        <f t="shared" si="61"/>
        <v>2</v>
      </c>
      <c r="D785" s="11" t="str">
        <f t="shared" si="62"/>
        <v>Sun</v>
      </c>
      <c r="E785" s="11">
        <f t="shared" si="63"/>
        <v>0</v>
      </c>
      <c r="F785" s="11">
        <f t="shared" si="64"/>
        <v>1</v>
      </c>
      <c r="G785" s="16"/>
      <c r="H785" s="11">
        <f>COUNTIF(Events!$A$2:$A$391,$A785)</f>
        <v>0</v>
      </c>
      <c r="I785" s="11" t="str">
        <f>IFERROR(INDEX(Events!$E$2:$E$391,MATCH($A785,Events!$A$2:$A$391,0)),"")</f>
        <v/>
      </c>
    </row>
    <row r="786" spans="1:9" ht="15" customHeight="1" x14ac:dyDescent="0.35">
      <c r="A786" s="12">
        <v>46076</v>
      </c>
      <c r="B786" s="11">
        <f t="shared" si="60"/>
        <v>2026</v>
      </c>
      <c r="C786" s="11">
        <f t="shared" si="61"/>
        <v>2</v>
      </c>
      <c r="D786" s="11" t="str">
        <f t="shared" si="62"/>
        <v>Mon</v>
      </c>
      <c r="E786" s="11">
        <f t="shared" si="63"/>
        <v>0</v>
      </c>
      <c r="F786" s="11">
        <f t="shared" si="64"/>
        <v>1</v>
      </c>
      <c r="G786" s="16"/>
      <c r="H786" s="11">
        <f>COUNTIF(Events!$A$2:$A$391,$A786)</f>
        <v>0</v>
      </c>
      <c r="I786" s="11" t="str">
        <f>IFERROR(INDEX(Events!$E$2:$E$391,MATCH($A786,Events!$A$2:$A$391,0)),"")</f>
        <v/>
      </c>
    </row>
    <row r="787" spans="1:9" ht="15" customHeight="1" x14ac:dyDescent="0.35">
      <c r="A787" s="12">
        <v>46077</v>
      </c>
      <c r="B787" s="11">
        <f t="shared" si="60"/>
        <v>2026</v>
      </c>
      <c r="C787" s="11">
        <f t="shared" si="61"/>
        <v>2</v>
      </c>
      <c r="D787" s="11" t="str">
        <f t="shared" si="62"/>
        <v>Tue</v>
      </c>
      <c r="E787" s="11">
        <f t="shared" si="63"/>
        <v>0</v>
      </c>
      <c r="F787" s="11">
        <f t="shared" si="64"/>
        <v>1</v>
      </c>
      <c r="G787" s="16"/>
      <c r="H787" s="11">
        <f>COUNTIF(Events!$A$2:$A$391,$A787)</f>
        <v>0</v>
      </c>
      <c r="I787" s="11" t="str">
        <f>IFERROR(INDEX(Events!$E$2:$E$391,MATCH($A787,Events!$A$2:$A$391,0)),"")</f>
        <v/>
      </c>
    </row>
    <row r="788" spans="1:9" ht="15" customHeight="1" x14ac:dyDescent="0.35">
      <c r="A788" s="12">
        <v>46078</v>
      </c>
      <c r="B788" s="11">
        <f t="shared" si="60"/>
        <v>2026</v>
      </c>
      <c r="C788" s="11">
        <f t="shared" si="61"/>
        <v>2</v>
      </c>
      <c r="D788" s="11" t="str">
        <f t="shared" si="62"/>
        <v>Wed</v>
      </c>
      <c r="E788" s="11">
        <f t="shared" si="63"/>
        <v>0</v>
      </c>
      <c r="F788" s="11">
        <f t="shared" si="64"/>
        <v>1</v>
      </c>
      <c r="G788" s="16"/>
      <c r="H788" s="11">
        <f>COUNTIF(Events!$A$2:$A$391,$A788)</f>
        <v>0</v>
      </c>
      <c r="I788" s="11" t="str">
        <f>IFERROR(INDEX(Events!$E$2:$E$391,MATCH($A788,Events!$A$2:$A$391,0)),"")</f>
        <v/>
      </c>
    </row>
    <row r="789" spans="1:9" ht="15" customHeight="1" x14ac:dyDescent="0.35">
      <c r="A789" s="12">
        <v>46079</v>
      </c>
      <c r="B789" s="11">
        <f t="shared" si="60"/>
        <v>2026</v>
      </c>
      <c r="C789" s="11">
        <f t="shared" si="61"/>
        <v>2</v>
      </c>
      <c r="D789" s="11" t="str">
        <f t="shared" si="62"/>
        <v>Thu</v>
      </c>
      <c r="E789" s="11">
        <f t="shared" si="63"/>
        <v>0</v>
      </c>
      <c r="F789" s="11">
        <f t="shared" si="64"/>
        <v>1</v>
      </c>
      <c r="G789" s="16"/>
      <c r="H789" s="11">
        <f>COUNTIF(Events!$A$2:$A$391,$A789)</f>
        <v>0</v>
      </c>
      <c r="I789" s="11" t="str">
        <f>IFERROR(INDEX(Events!$E$2:$E$391,MATCH($A789,Events!$A$2:$A$391,0)),"")</f>
        <v/>
      </c>
    </row>
    <row r="790" spans="1:9" ht="15" customHeight="1" x14ac:dyDescent="0.35">
      <c r="A790" s="12">
        <v>46080</v>
      </c>
      <c r="B790" s="11">
        <f t="shared" si="60"/>
        <v>2026</v>
      </c>
      <c r="C790" s="11">
        <f t="shared" si="61"/>
        <v>2</v>
      </c>
      <c r="D790" s="11" t="str">
        <f t="shared" si="62"/>
        <v>Fri</v>
      </c>
      <c r="E790" s="11">
        <f t="shared" si="63"/>
        <v>0</v>
      </c>
      <c r="F790" s="11">
        <f t="shared" si="64"/>
        <v>1</v>
      </c>
      <c r="G790" s="16"/>
      <c r="H790" s="11">
        <f>COUNTIF(Events!$A$2:$A$391,$A790)</f>
        <v>0</v>
      </c>
      <c r="I790" s="11" t="str">
        <f>IFERROR(INDEX(Events!$E$2:$E$391,MATCH($A790,Events!$A$2:$A$391,0)),"")</f>
        <v/>
      </c>
    </row>
    <row r="791" spans="1:9" ht="15" customHeight="1" x14ac:dyDescent="0.35">
      <c r="A791" s="12">
        <v>46081</v>
      </c>
      <c r="B791" s="11">
        <f t="shared" si="60"/>
        <v>2026</v>
      </c>
      <c r="C791" s="11">
        <f t="shared" si="61"/>
        <v>2</v>
      </c>
      <c r="D791" s="11" t="str">
        <f t="shared" si="62"/>
        <v>Sat</v>
      </c>
      <c r="E791" s="11">
        <f t="shared" si="63"/>
        <v>0</v>
      </c>
      <c r="F791" s="11">
        <f t="shared" si="64"/>
        <v>1</v>
      </c>
      <c r="G791" s="16"/>
      <c r="H791" s="11">
        <f>COUNTIF(Events!$A$2:$A$391,$A791)</f>
        <v>0</v>
      </c>
      <c r="I791" s="11" t="str">
        <f>IFERROR(INDEX(Events!$E$2:$E$391,MATCH($A791,Events!$A$2:$A$391,0)),"")</f>
        <v/>
      </c>
    </row>
    <row r="792" spans="1:9" ht="15" customHeight="1" x14ac:dyDescent="0.35">
      <c r="A792" s="12">
        <v>46082</v>
      </c>
      <c r="B792" s="11">
        <f t="shared" si="60"/>
        <v>2026</v>
      </c>
      <c r="C792" s="11">
        <f t="shared" si="61"/>
        <v>3</v>
      </c>
      <c r="D792" s="11" t="str">
        <f t="shared" si="62"/>
        <v>Sun</v>
      </c>
      <c r="E792" s="11">
        <f t="shared" si="63"/>
        <v>0</v>
      </c>
      <c r="F792" s="11">
        <f t="shared" si="64"/>
        <v>1</v>
      </c>
      <c r="G792" s="16"/>
      <c r="H792" s="11">
        <f>COUNTIF(Events!$A$2:$A$391,$A792)</f>
        <v>0</v>
      </c>
      <c r="I792" s="11" t="str">
        <f>IFERROR(INDEX(Events!$E$2:$E$391,MATCH($A792,Events!$A$2:$A$391,0)),"")</f>
        <v/>
      </c>
    </row>
    <row r="793" spans="1:9" ht="15" customHeight="1" x14ac:dyDescent="0.35">
      <c r="A793" s="12">
        <v>46083</v>
      </c>
      <c r="B793" s="11">
        <f t="shared" si="60"/>
        <v>2026</v>
      </c>
      <c r="C793" s="11">
        <f t="shared" si="61"/>
        <v>3</v>
      </c>
      <c r="D793" s="11" t="str">
        <f t="shared" si="62"/>
        <v>Mon</v>
      </c>
      <c r="E793" s="11">
        <f t="shared" si="63"/>
        <v>0</v>
      </c>
      <c r="F793" s="11">
        <f t="shared" si="64"/>
        <v>1</v>
      </c>
      <c r="G793" s="16"/>
      <c r="H793" s="11">
        <f>COUNTIF(Events!$A$2:$A$391,$A793)</f>
        <v>0</v>
      </c>
      <c r="I793" s="11" t="str">
        <f>IFERROR(INDEX(Events!$E$2:$E$391,MATCH($A793,Events!$A$2:$A$391,0)),"")</f>
        <v/>
      </c>
    </row>
    <row r="794" spans="1:9" ht="15" customHeight="1" x14ac:dyDescent="0.35">
      <c r="A794" s="12">
        <v>46084</v>
      </c>
      <c r="B794" s="11">
        <f t="shared" si="60"/>
        <v>2026</v>
      </c>
      <c r="C794" s="11">
        <f t="shared" si="61"/>
        <v>3</v>
      </c>
      <c r="D794" s="11" t="str">
        <f t="shared" si="62"/>
        <v>Tue</v>
      </c>
      <c r="E794" s="11">
        <f t="shared" si="63"/>
        <v>0</v>
      </c>
      <c r="F794" s="11">
        <f t="shared" si="64"/>
        <v>1</v>
      </c>
      <c r="G794" s="16"/>
      <c r="H794" s="11">
        <f>COUNTIF(Events!$A$2:$A$391,$A794)</f>
        <v>0</v>
      </c>
      <c r="I794" s="11" t="str">
        <f>IFERROR(INDEX(Events!$E$2:$E$391,MATCH($A794,Events!$A$2:$A$391,0)),"")</f>
        <v/>
      </c>
    </row>
    <row r="795" spans="1:9" ht="15" customHeight="1" x14ac:dyDescent="0.35">
      <c r="A795" s="12">
        <v>46085</v>
      </c>
      <c r="B795" s="11">
        <f t="shared" si="60"/>
        <v>2026</v>
      </c>
      <c r="C795" s="11">
        <f t="shared" si="61"/>
        <v>3</v>
      </c>
      <c r="D795" s="11" t="str">
        <f t="shared" si="62"/>
        <v>Wed</v>
      </c>
      <c r="E795" s="11">
        <f t="shared" si="63"/>
        <v>0</v>
      </c>
      <c r="F795" s="11">
        <f t="shared" si="64"/>
        <v>1</v>
      </c>
      <c r="G795" s="16"/>
      <c r="H795" s="11">
        <f>COUNTIF(Events!$A$2:$A$391,$A795)</f>
        <v>0</v>
      </c>
      <c r="I795" s="11" t="str">
        <f>IFERROR(INDEX(Events!$E$2:$E$391,MATCH($A795,Events!$A$2:$A$391,0)),"")</f>
        <v/>
      </c>
    </row>
    <row r="796" spans="1:9" ht="15" customHeight="1" x14ac:dyDescent="0.35">
      <c r="A796" s="12">
        <v>46086</v>
      </c>
      <c r="B796" s="11">
        <f t="shared" si="60"/>
        <v>2026</v>
      </c>
      <c r="C796" s="11">
        <f t="shared" si="61"/>
        <v>3</v>
      </c>
      <c r="D796" s="11" t="str">
        <f t="shared" si="62"/>
        <v>Thu</v>
      </c>
      <c r="E796" s="11">
        <f t="shared" si="63"/>
        <v>0</v>
      </c>
      <c r="F796" s="11">
        <f t="shared" si="64"/>
        <v>1</v>
      </c>
      <c r="G796" s="16"/>
      <c r="H796" s="11">
        <f>COUNTIF(Events!$A$2:$A$391,$A796)</f>
        <v>0</v>
      </c>
      <c r="I796" s="11" t="str">
        <f>IFERROR(INDEX(Events!$E$2:$E$391,MATCH($A796,Events!$A$2:$A$391,0)),"")</f>
        <v/>
      </c>
    </row>
    <row r="797" spans="1:9" ht="15" customHeight="1" x14ac:dyDescent="0.35">
      <c r="A797" s="12">
        <v>46087</v>
      </c>
      <c r="B797" s="11">
        <f t="shared" si="60"/>
        <v>2026</v>
      </c>
      <c r="C797" s="11">
        <f t="shared" si="61"/>
        <v>3</v>
      </c>
      <c r="D797" s="11" t="str">
        <f t="shared" si="62"/>
        <v>Fri</v>
      </c>
      <c r="E797" s="11">
        <f t="shared" si="63"/>
        <v>0</v>
      </c>
      <c r="F797" s="11">
        <f t="shared" si="64"/>
        <v>1</v>
      </c>
      <c r="G797" s="16"/>
      <c r="H797" s="11">
        <f>COUNTIF(Events!$A$2:$A$391,$A797)</f>
        <v>0</v>
      </c>
      <c r="I797" s="11" t="str">
        <f>IFERROR(INDEX(Events!$E$2:$E$391,MATCH($A797,Events!$A$2:$A$391,0)),"")</f>
        <v/>
      </c>
    </row>
    <row r="798" spans="1:9" ht="15" customHeight="1" x14ac:dyDescent="0.35">
      <c r="A798" s="12">
        <v>46088</v>
      </c>
      <c r="B798" s="11">
        <f t="shared" si="60"/>
        <v>2026</v>
      </c>
      <c r="C798" s="11">
        <f t="shared" si="61"/>
        <v>3</v>
      </c>
      <c r="D798" s="11" t="str">
        <f t="shared" si="62"/>
        <v>Sat</v>
      </c>
      <c r="E798" s="11">
        <f t="shared" si="63"/>
        <v>0</v>
      </c>
      <c r="F798" s="11">
        <f t="shared" si="64"/>
        <v>1</v>
      </c>
      <c r="G798" s="16"/>
      <c r="H798" s="11">
        <f>COUNTIF(Events!$A$2:$A$391,$A798)</f>
        <v>0</v>
      </c>
      <c r="I798" s="11" t="str">
        <f>IFERROR(INDEX(Events!$E$2:$E$391,MATCH($A798,Events!$A$2:$A$391,0)),"")</f>
        <v/>
      </c>
    </row>
    <row r="799" spans="1:9" ht="15" customHeight="1" x14ac:dyDescent="0.35">
      <c r="A799" s="12">
        <v>46089</v>
      </c>
      <c r="B799" s="11">
        <f t="shared" si="60"/>
        <v>2026</v>
      </c>
      <c r="C799" s="11">
        <f t="shared" si="61"/>
        <v>3</v>
      </c>
      <c r="D799" s="11" t="str">
        <f t="shared" si="62"/>
        <v>Sun</v>
      </c>
      <c r="E799" s="11">
        <f t="shared" si="63"/>
        <v>0</v>
      </c>
      <c r="F799" s="11">
        <f t="shared" si="64"/>
        <v>1</v>
      </c>
      <c r="G799" s="16"/>
      <c r="H799" s="11">
        <f>COUNTIF(Events!$A$2:$A$391,$A799)</f>
        <v>0</v>
      </c>
      <c r="I799" s="11" t="str">
        <f>IFERROR(INDEX(Events!$E$2:$E$391,MATCH($A799,Events!$A$2:$A$391,0)),"")</f>
        <v/>
      </c>
    </row>
    <row r="800" spans="1:9" ht="15" customHeight="1" x14ac:dyDescent="0.35">
      <c r="A800" s="12">
        <v>46090</v>
      </c>
      <c r="B800" s="11">
        <f t="shared" si="60"/>
        <v>2026</v>
      </c>
      <c r="C800" s="11">
        <f t="shared" si="61"/>
        <v>3</v>
      </c>
      <c r="D800" s="11" t="str">
        <f t="shared" si="62"/>
        <v>Mon</v>
      </c>
      <c r="E800" s="11">
        <f t="shared" si="63"/>
        <v>0</v>
      </c>
      <c r="F800" s="11">
        <f t="shared" si="64"/>
        <v>1</v>
      </c>
      <c r="G800" s="16"/>
      <c r="H800" s="11">
        <f>COUNTIF(Events!$A$2:$A$391,$A800)</f>
        <v>0</v>
      </c>
      <c r="I800" s="11" t="str">
        <f>IFERROR(INDEX(Events!$E$2:$E$391,MATCH($A800,Events!$A$2:$A$391,0)),"")</f>
        <v/>
      </c>
    </row>
    <row r="801" spans="1:9" ht="15" customHeight="1" x14ac:dyDescent="0.35">
      <c r="A801" s="12">
        <v>46091</v>
      </c>
      <c r="B801" s="11">
        <f t="shared" si="60"/>
        <v>2026</v>
      </c>
      <c r="C801" s="11">
        <f t="shared" si="61"/>
        <v>3</v>
      </c>
      <c r="D801" s="11" t="str">
        <f t="shared" si="62"/>
        <v>Tue</v>
      </c>
      <c r="E801" s="11">
        <f t="shared" si="63"/>
        <v>0</v>
      </c>
      <c r="F801" s="11">
        <f t="shared" si="64"/>
        <v>1</v>
      </c>
      <c r="G801" s="16"/>
      <c r="H801" s="11">
        <f>COUNTIF(Events!$A$2:$A$391,$A801)</f>
        <v>0</v>
      </c>
      <c r="I801" s="11" t="str">
        <f>IFERROR(INDEX(Events!$E$2:$E$391,MATCH($A801,Events!$A$2:$A$391,0)),"")</f>
        <v/>
      </c>
    </row>
    <row r="802" spans="1:9" ht="15" customHeight="1" x14ac:dyDescent="0.35">
      <c r="A802" s="12">
        <v>46092</v>
      </c>
      <c r="B802" s="11">
        <f t="shared" si="60"/>
        <v>2026</v>
      </c>
      <c r="C802" s="11">
        <f t="shared" si="61"/>
        <v>3</v>
      </c>
      <c r="D802" s="11" t="str">
        <f t="shared" si="62"/>
        <v>Wed</v>
      </c>
      <c r="E802" s="11">
        <f t="shared" si="63"/>
        <v>0</v>
      </c>
      <c r="F802" s="11">
        <f t="shared" si="64"/>
        <v>1</v>
      </c>
      <c r="G802" s="16"/>
      <c r="H802" s="11">
        <f>COUNTIF(Events!$A$2:$A$391,$A802)</f>
        <v>0</v>
      </c>
      <c r="I802" s="11" t="str">
        <f>IFERROR(INDEX(Events!$E$2:$E$391,MATCH($A802,Events!$A$2:$A$391,0)),"")</f>
        <v/>
      </c>
    </row>
    <row r="803" spans="1:9" ht="15" customHeight="1" x14ac:dyDescent="0.35">
      <c r="A803" s="12">
        <v>46093</v>
      </c>
      <c r="B803" s="11">
        <f t="shared" si="60"/>
        <v>2026</v>
      </c>
      <c r="C803" s="11">
        <f t="shared" si="61"/>
        <v>3</v>
      </c>
      <c r="D803" s="11" t="str">
        <f t="shared" si="62"/>
        <v>Thu</v>
      </c>
      <c r="E803" s="11">
        <f t="shared" si="63"/>
        <v>0</v>
      </c>
      <c r="F803" s="11">
        <f t="shared" si="64"/>
        <v>1</v>
      </c>
      <c r="G803" s="16"/>
      <c r="H803" s="11">
        <f>COUNTIF(Events!$A$2:$A$391,$A803)</f>
        <v>0</v>
      </c>
      <c r="I803" s="11" t="str">
        <f>IFERROR(INDEX(Events!$E$2:$E$391,MATCH($A803,Events!$A$2:$A$391,0)),"")</f>
        <v/>
      </c>
    </row>
    <row r="804" spans="1:9" ht="15" customHeight="1" x14ac:dyDescent="0.35">
      <c r="A804" s="12">
        <v>46094</v>
      </c>
      <c r="B804" s="11">
        <f t="shared" si="60"/>
        <v>2026</v>
      </c>
      <c r="C804" s="11">
        <f t="shared" si="61"/>
        <v>3</v>
      </c>
      <c r="D804" s="11" t="str">
        <f t="shared" si="62"/>
        <v>Fri</v>
      </c>
      <c r="E804" s="11">
        <f t="shared" si="63"/>
        <v>0</v>
      </c>
      <c r="F804" s="11">
        <f t="shared" si="64"/>
        <v>1</v>
      </c>
      <c r="G804" s="16"/>
      <c r="H804" s="11">
        <f>COUNTIF(Events!$A$2:$A$391,$A804)</f>
        <v>0</v>
      </c>
      <c r="I804" s="11" t="str">
        <f>IFERROR(INDEX(Events!$E$2:$E$391,MATCH($A804,Events!$A$2:$A$391,0)),"")</f>
        <v/>
      </c>
    </row>
    <row r="805" spans="1:9" ht="15" customHeight="1" x14ac:dyDescent="0.35">
      <c r="A805" s="12">
        <v>46095</v>
      </c>
      <c r="B805" s="11">
        <f t="shared" si="60"/>
        <v>2026</v>
      </c>
      <c r="C805" s="11">
        <f t="shared" si="61"/>
        <v>3</v>
      </c>
      <c r="D805" s="11" t="str">
        <f t="shared" si="62"/>
        <v>Sat</v>
      </c>
      <c r="E805" s="11">
        <f t="shared" si="63"/>
        <v>0</v>
      </c>
      <c r="F805" s="11">
        <f t="shared" si="64"/>
        <v>1</v>
      </c>
      <c r="G805" s="16"/>
      <c r="H805" s="11">
        <f>COUNTIF(Events!$A$2:$A$391,$A805)</f>
        <v>0</v>
      </c>
      <c r="I805" s="11" t="str">
        <f>IFERROR(INDEX(Events!$E$2:$E$391,MATCH($A805,Events!$A$2:$A$391,0)),"")</f>
        <v/>
      </c>
    </row>
    <row r="806" spans="1:9" ht="15" customHeight="1" x14ac:dyDescent="0.35">
      <c r="A806" s="12">
        <v>46096</v>
      </c>
      <c r="B806" s="11">
        <f t="shared" si="60"/>
        <v>2026</v>
      </c>
      <c r="C806" s="11">
        <f t="shared" si="61"/>
        <v>3</v>
      </c>
      <c r="D806" s="11" t="str">
        <f t="shared" si="62"/>
        <v>Sun</v>
      </c>
      <c r="E806" s="11">
        <f t="shared" si="63"/>
        <v>0</v>
      </c>
      <c r="F806" s="11">
        <f t="shared" si="64"/>
        <v>1</v>
      </c>
      <c r="G806" s="16"/>
      <c r="H806" s="11">
        <f>COUNTIF(Events!$A$2:$A$391,$A806)</f>
        <v>0</v>
      </c>
      <c r="I806" s="11" t="str">
        <f>IFERROR(INDEX(Events!$E$2:$E$391,MATCH($A806,Events!$A$2:$A$391,0)),"")</f>
        <v/>
      </c>
    </row>
    <row r="807" spans="1:9" ht="15" customHeight="1" x14ac:dyDescent="0.35">
      <c r="A807" s="12">
        <v>46097</v>
      </c>
      <c r="B807" s="11">
        <f t="shared" si="60"/>
        <v>2026</v>
      </c>
      <c r="C807" s="11">
        <f t="shared" si="61"/>
        <v>3</v>
      </c>
      <c r="D807" s="11" t="str">
        <f t="shared" si="62"/>
        <v>Mon</v>
      </c>
      <c r="E807" s="11">
        <f t="shared" si="63"/>
        <v>0</v>
      </c>
      <c r="F807" s="11">
        <f t="shared" si="64"/>
        <v>1</v>
      </c>
      <c r="G807" s="16"/>
      <c r="H807" s="11">
        <f>COUNTIF(Events!$A$2:$A$391,$A807)</f>
        <v>0</v>
      </c>
      <c r="I807" s="11" t="str">
        <f>IFERROR(INDEX(Events!$E$2:$E$391,MATCH($A807,Events!$A$2:$A$391,0)),"")</f>
        <v/>
      </c>
    </row>
    <row r="808" spans="1:9" ht="15" customHeight="1" x14ac:dyDescent="0.35">
      <c r="A808" s="12">
        <v>46098</v>
      </c>
      <c r="B808" s="11">
        <f t="shared" si="60"/>
        <v>2026</v>
      </c>
      <c r="C808" s="11">
        <f t="shared" si="61"/>
        <v>3</v>
      </c>
      <c r="D808" s="11" t="str">
        <f t="shared" si="62"/>
        <v>Tue</v>
      </c>
      <c r="E808" s="11">
        <f t="shared" si="63"/>
        <v>0</v>
      </c>
      <c r="F808" s="11">
        <f t="shared" si="64"/>
        <v>1</v>
      </c>
      <c r="G808" s="16"/>
      <c r="H808" s="11">
        <f>COUNTIF(Events!$A$2:$A$391,$A808)</f>
        <v>0</v>
      </c>
      <c r="I808" s="11" t="str">
        <f>IFERROR(INDEX(Events!$E$2:$E$391,MATCH($A808,Events!$A$2:$A$391,0)),"")</f>
        <v/>
      </c>
    </row>
    <row r="809" spans="1:9" ht="15" customHeight="1" x14ac:dyDescent="0.35">
      <c r="A809" s="12">
        <v>46099</v>
      </c>
      <c r="B809" s="11">
        <f t="shared" si="60"/>
        <v>2026</v>
      </c>
      <c r="C809" s="11">
        <f t="shared" si="61"/>
        <v>3</v>
      </c>
      <c r="D809" s="11" t="str">
        <f t="shared" si="62"/>
        <v>Wed</v>
      </c>
      <c r="E809" s="11">
        <f t="shared" si="63"/>
        <v>0</v>
      </c>
      <c r="F809" s="11">
        <f t="shared" si="64"/>
        <v>1</v>
      </c>
      <c r="G809" s="16"/>
      <c r="H809" s="11">
        <f>COUNTIF(Events!$A$2:$A$391,$A809)</f>
        <v>0</v>
      </c>
      <c r="I809" s="11" t="str">
        <f>IFERROR(INDEX(Events!$E$2:$E$391,MATCH($A809,Events!$A$2:$A$391,0)),"")</f>
        <v/>
      </c>
    </row>
    <row r="810" spans="1:9" ht="15" customHeight="1" x14ac:dyDescent="0.35">
      <c r="A810" s="12">
        <v>46100</v>
      </c>
      <c r="B810" s="11">
        <f t="shared" si="60"/>
        <v>2026</v>
      </c>
      <c r="C810" s="11">
        <f t="shared" si="61"/>
        <v>3</v>
      </c>
      <c r="D810" s="11" t="str">
        <f t="shared" si="62"/>
        <v>Thu</v>
      </c>
      <c r="E810" s="11">
        <f t="shared" si="63"/>
        <v>0</v>
      </c>
      <c r="F810" s="11">
        <f t="shared" si="64"/>
        <v>1</v>
      </c>
      <c r="G810" s="16"/>
      <c r="H810" s="11">
        <f>COUNTIF(Events!$A$2:$A$391,$A810)</f>
        <v>0</v>
      </c>
      <c r="I810" s="11" t="str">
        <f>IFERROR(INDEX(Events!$E$2:$E$391,MATCH($A810,Events!$A$2:$A$391,0)),"")</f>
        <v/>
      </c>
    </row>
    <row r="811" spans="1:9" ht="15" customHeight="1" x14ac:dyDescent="0.35">
      <c r="A811" s="12">
        <v>46101</v>
      </c>
      <c r="B811" s="11">
        <f t="shared" si="60"/>
        <v>2026</v>
      </c>
      <c r="C811" s="11">
        <f t="shared" si="61"/>
        <v>3</v>
      </c>
      <c r="D811" s="11" t="str">
        <f t="shared" si="62"/>
        <v>Fri</v>
      </c>
      <c r="E811" s="11">
        <f t="shared" si="63"/>
        <v>0</v>
      </c>
      <c r="F811" s="11">
        <f t="shared" si="64"/>
        <v>1</v>
      </c>
      <c r="G811" s="16"/>
      <c r="H811" s="11">
        <f>COUNTIF(Events!$A$2:$A$391,$A811)</f>
        <v>0</v>
      </c>
      <c r="I811" s="11" t="str">
        <f>IFERROR(INDEX(Events!$E$2:$E$391,MATCH($A811,Events!$A$2:$A$391,0)),"")</f>
        <v/>
      </c>
    </row>
    <row r="812" spans="1:9" ht="15" customHeight="1" x14ac:dyDescent="0.35">
      <c r="A812" s="12">
        <v>46102</v>
      </c>
      <c r="B812" s="11">
        <f t="shared" si="60"/>
        <v>2026</v>
      </c>
      <c r="C812" s="11">
        <f t="shared" si="61"/>
        <v>3</v>
      </c>
      <c r="D812" s="11" t="str">
        <f t="shared" si="62"/>
        <v>Sat</v>
      </c>
      <c r="E812" s="11">
        <f t="shared" si="63"/>
        <v>0</v>
      </c>
      <c r="F812" s="11">
        <f t="shared" si="64"/>
        <v>1</v>
      </c>
      <c r="G812" s="16"/>
      <c r="H812" s="11">
        <f>COUNTIF(Events!$A$2:$A$391,$A812)</f>
        <v>0</v>
      </c>
      <c r="I812" s="11" t="str">
        <f>IFERROR(INDEX(Events!$E$2:$E$391,MATCH($A812,Events!$A$2:$A$391,0)),"")</f>
        <v/>
      </c>
    </row>
    <row r="813" spans="1:9" ht="15" customHeight="1" x14ac:dyDescent="0.35">
      <c r="A813" s="12">
        <v>46103</v>
      </c>
      <c r="B813" s="11">
        <f t="shared" si="60"/>
        <v>2026</v>
      </c>
      <c r="C813" s="11">
        <f t="shared" si="61"/>
        <v>3</v>
      </c>
      <c r="D813" s="11" t="str">
        <f t="shared" si="62"/>
        <v>Sun</v>
      </c>
      <c r="E813" s="11">
        <f t="shared" si="63"/>
        <v>0</v>
      </c>
      <c r="F813" s="11">
        <f t="shared" si="64"/>
        <v>1</v>
      </c>
      <c r="G813" s="16"/>
      <c r="H813" s="11">
        <f>COUNTIF(Events!$A$2:$A$391,$A813)</f>
        <v>0</v>
      </c>
      <c r="I813" s="11" t="str">
        <f>IFERROR(INDEX(Events!$E$2:$E$391,MATCH($A813,Events!$A$2:$A$391,0)),"")</f>
        <v/>
      </c>
    </row>
    <row r="814" spans="1:9" ht="15" customHeight="1" x14ac:dyDescent="0.35">
      <c r="A814" s="12">
        <v>46104</v>
      </c>
      <c r="B814" s="11">
        <f t="shared" si="60"/>
        <v>2026</v>
      </c>
      <c r="C814" s="11">
        <f t="shared" si="61"/>
        <v>3</v>
      </c>
      <c r="D814" s="11" t="str">
        <f t="shared" si="62"/>
        <v>Mon</v>
      </c>
      <c r="E814" s="11">
        <f t="shared" si="63"/>
        <v>0</v>
      </c>
      <c r="F814" s="11">
        <f t="shared" si="64"/>
        <v>1</v>
      </c>
      <c r="G814" s="16"/>
      <c r="H814" s="11">
        <f>COUNTIF(Events!$A$2:$A$391,$A814)</f>
        <v>0</v>
      </c>
      <c r="I814" s="11" t="str">
        <f>IFERROR(INDEX(Events!$E$2:$E$391,MATCH($A814,Events!$A$2:$A$391,0)),"")</f>
        <v/>
      </c>
    </row>
    <row r="815" spans="1:9" ht="15" customHeight="1" x14ac:dyDescent="0.35">
      <c r="A815" s="12">
        <v>46105</v>
      </c>
      <c r="B815" s="11">
        <f t="shared" si="60"/>
        <v>2026</v>
      </c>
      <c r="C815" s="11">
        <f t="shared" si="61"/>
        <v>3</v>
      </c>
      <c r="D815" s="11" t="str">
        <f t="shared" si="62"/>
        <v>Tue</v>
      </c>
      <c r="E815" s="11">
        <f t="shared" si="63"/>
        <v>0</v>
      </c>
      <c r="F815" s="11">
        <f t="shared" si="64"/>
        <v>1</v>
      </c>
      <c r="G815" s="16"/>
      <c r="H815" s="11">
        <f>COUNTIF(Events!$A$2:$A$391,$A815)</f>
        <v>0</v>
      </c>
      <c r="I815" s="11" t="str">
        <f>IFERROR(INDEX(Events!$E$2:$E$391,MATCH($A815,Events!$A$2:$A$391,0)),"")</f>
        <v/>
      </c>
    </row>
    <row r="816" spans="1:9" ht="15" customHeight="1" x14ac:dyDescent="0.35">
      <c r="A816" s="12">
        <v>46106</v>
      </c>
      <c r="B816" s="11">
        <f t="shared" si="60"/>
        <v>2026</v>
      </c>
      <c r="C816" s="11">
        <f t="shared" si="61"/>
        <v>3</v>
      </c>
      <c r="D816" s="11" t="str">
        <f t="shared" si="62"/>
        <v>Wed</v>
      </c>
      <c r="E816" s="11">
        <f t="shared" si="63"/>
        <v>0</v>
      </c>
      <c r="F816" s="11">
        <f t="shared" si="64"/>
        <v>1</v>
      </c>
      <c r="G816" s="16"/>
      <c r="H816" s="11">
        <f>COUNTIF(Events!$A$2:$A$391,$A816)</f>
        <v>0</v>
      </c>
      <c r="I816" s="11" t="str">
        <f>IFERROR(INDEX(Events!$E$2:$E$391,MATCH($A816,Events!$A$2:$A$391,0)),"")</f>
        <v/>
      </c>
    </row>
    <row r="817" spans="1:9" ht="15" customHeight="1" x14ac:dyDescent="0.35">
      <c r="A817" s="12">
        <v>46107</v>
      </c>
      <c r="B817" s="11">
        <f t="shared" si="60"/>
        <v>2026</v>
      </c>
      <c r="C817" s="11">
        <f t="shared" si="61"/>
        <v>3</v>
      </c>
      <c r="D817" s="11" t="str">
        <f t="shared" si="62"/>
        <v>Thu</v>
      </c>
      <c r="E817" s="11">
        <f t="shared" si="63"/>
        <v>0</v>
      </c>
      <c r="F817" s="11">
        <f t="shared" si="64"/>
        <v>1</v>
      </c>
      <c r="G817" s="16"/>
      <c r="H817" s="11">
        <f>COUNTIF(Events!$A$2:$A$391,$A817)</f>
        <v>0</v>
      </c>
      <c r="I817" s="11" t="str">
        <f>IFERROR(INDEX(Events!$E$2:$E$391,MATCH($A817,Events!$A$2:$A$391,0)),"")</f>
        <v/>
      </c>
    </row>
    <row r="818" spans="1:9" ht="15" customHeight="1" x14ac:dyDescent="0.35">
      <c r="A818" s="12">
        <v>46108</v>
      </c>
      <c r="B818" s="11">
        <f t="shared" si="60"/>
        <v>2026</v>
      </c>
      <c r="C818" s="11">
        <f t="shared" si="61"/>
        <v>3</v>
      </c>
      <c r="D818" s="11" t="str">
        <f t="shared" si="62"/>
        <v>Fri</v>
      </c>
      <c r="E818" s="11">
        <f t="shared" si="63"/>
        <v>0</v>
      </c>
      <c r="F818" s="11">
        <f t="shared" si="64"/>
        <v>1</v>
      </c>
      <c r="G818" s="16"/>
      <c r="H818" s="11">
        <f>COUNTIF(Events!$A$2:$A$391,$A818)</f>
        <v>0</v>
      </c>
      <c r="I818" s="11" t="str">
        <f>IFERROR(INDEX(Events!$E$2:$E$391,MATCH($A818,Events!$A$2:$A$391,0)),"")</f>
        <v/>
      </c>
    </row>
    <row r="819" spans="1:9" ht="15" customHeight="1" x14ac:dyDescent="0.35">
      <c r="A819" s="12">
        <v>46109</v>
      </c>
      <c r="B819" s="11">
        <f t="shared" si="60"/>
        <v>2026</v>
      </c>
      <c r="C819" s="11">
        <f t="shared" si="61"/>
        <v>3</v>
      </c>
      <c r="D819" s="11" t="str">
        <f t="shared" si="62"/>
        <v>Sat</v>
      </c>
      <c r="E819" s="11">
        <f t="shared" si="63"/>
        <v>0</v>
      </c>
      <c r="F819" s="11">
        <f t="shared" si="64"/>
        <v>1</v>
      </c>
      <c r="G819" s="16"/>
      <c r="H819" s="11">
        <f>COUNTIF(Events!$A$2:$A$391,$A819)</f>
        <v>0</v>
      </c>
      <c r="I819" s="11" t="str">
        <f>IFERROR(INDEX(Events!$E$2:$E$391,MATCH($A819,Events!$A$2:$A$391,0)),"")</f>
        <v/>
      </c>
    </row>
    <row r="820" spans="1:9" ht="15" customHeight="1" x14ac:dyDescent="0.35">
      <c r="A820" s="12">
        <v>46110</v>
      </c>
      <c r="B820" s="11">
        <f t="shared" si="60"/>
        <v>2026</v>
      </c>
      <c r="C820" s="11">
        <f t="shared" si="61"/>
        <v>3</v>
      </c>
      <c r="D820" s="11" t="str">
        <f t="shared" si="62"/>
        <v>Sun</v>
      </c>
      <c r="E820" s="11">
        <f t="shared" si="63"/>
        <v>0</v>
      </c>
      <c r="F820" s="11">
        <f t="shared" si="64"/>
        <v>1</v>
      </c>
      <c r="G820" s="16"/>
      <c r="H820" s="11">
        <f>COUNTIF(Events!$A$2:$A$391,$A820)</f>
        <v>0</v>
      </c>
      <c r="I820" s="11" t="str">
        <f>IFERROR(INDEX(Events!$E$2:$E$391,MATCH($A820,Events!$A$2:$A$391,0)),"")</f>
        <v/>
      </c>
    </row>
    <row r="821" spans="1:9" ht="15" customHeight="1" x14ac:dyDescent="0.35">
      <c r="A821" s="12">
        <v>46111</v>
      </c>
      <c r="B821" s="11">
        <f t="shared" si="60"/>
        <v>2026</v>
      </c>
      <c r="C821" s="11">
        <f t="shared" si="61"/>
        <v>3</v>
      </c>
      <c r="D821" s="11" t="str">
        <f t="shared" si="62"/>
        <v>Mon</v>
      </c>
      <c r="E821" s="11">
        <f t="shared" si="63"/>
        <v>0</v>
      </c>
      <c r="F821" s="11">
        <f t="shared" si="64"/>
        <v>1</v>
      </c>
      <c r="G821" s="16"/>
      <c r="H821" s="11">
        <f>COUNTIF(Events!$A$2:$A$391,$A821)</f>
        <v>0</v>
      </c>
      <c r="I821" s="11" t="str">
        <f>IFERROR(INDEX(Events!$E$2:$E$391,MATCH($A821,Events!$A$2:$A$391,0)),"")</f>
        <v/>
      </c>
    </row>
    <row r="822" spans="1:9" ht="15" customHeight="1" x14ac:dyDescent="0.35">
      <c r="A822" s="12">
        <v>46112</v>
      </c>
      <c r="B822" s="11">
        <f t="shared" si="60"/>
        <v>2026</v>
      </c>
      <c r="C822" s="11">
        <f t="shared" si="61"/>
        <v>3</v>
      </c>
      <c r="D822" s="11" t="str">
        <f t="shared" si="62"/>
        <v>Tue</v>
      </c>
      <c r="E822" s="11">
        <f t="shared" si="63"/>
        <v>0</v>
      </c>
      <c r="F822" s="11">
        <f t="shared" si="64"/>
        <v>1</v>
      </c>
      <c r="G822" s="16"/>
      <c r="H822" s="11">
        <f>COUNTIF(Events!$A$2:$A$391,$A822)</f>
        <v>0</v>
      </c>
      <c r="I822" s="11" t="str">
        <f>IFERROR(INDEX(Events!$E$2:$E$391,MATCH($A822,Events!$A$2:$A$391,0)),"")</f>
        <v/>
      </c>
    </row>
    <row r="823" spans="1:9" ht="15" customHeight="1" x14ac:dyDescent="0.35">
      <c r="A823" s="12">
        <v>46113</v>
      </c>
      <c r="B823" s="11">
        <f t="shared" si="60"/>
        <v>2026</v>
      </c>
      <c r="C823" s="11">
        <f t="shared" si="61"/>
        <v>4</v>
      </c>
      <c r="D823" s="11" t="str">
        <f t="shared" si="62"/>
        <v>Wed</v>
      </c>
      <c r="E823" s="11">
        <f t="shared" si="63"/>
        <v>0</v>
      </c>
      <c r="F823" s="11">
        <f t="shared" si="64"/>
        <v>0</v>
      </c>
      <c r="G823" s="16"/>
      <c r="H823" s="11">
        <f>COUNTIF(Events!$A$2:$A$391,$A823)</f>
        <v>0</v>
      </c>
      <c r="I823" s="11" t="str">
        <f>IFERROR(INDEX(Events!$E$2:$E$391,MATCH($A823,Events!$A$2:$A$391,0)),"")</f>
        <v/>
      </c>
    </row>
    <row r="824" spans="1:9" ht="15" customHeight="1" x14ac:dyDescent="0.35">
      <c r="A824" s="12">
        <v>46114</v>
      </c>
      <c r="B824" s="11">
        <f t="shared" si="60"/>
        <v>2026</v>
      </c>
      <c r="C824" s="11">
        <f t="shared" si="61"/>
        <v>4</v>
      </c>
      <c r="D824" s="11" t="str">
        <f t="shared" si="62"/>
        <v>Thu</v>
      </c>
      <c r="E824" s="11">
        <f t="shared" si="63"/>
        <v>0</v>
      </c>
      <c r="F824" s="11">
        <f t="shared" si="64"/>
        <v>0</v>
      </c>
      <c r="G824" s="16"/>
      <c r="H824" s="11">
        <f>COUNTIF(Events!$A$2:$A$391,$A824)</f>
        <v>1</v>
      </c>
      <c r="I824" s="11" t="str">
        <f>IFERROR(INDEX(Events!$E$2:$E$391,MATCH($A824,Events!$A$2:$A$391,0)),"")</f>
        <v>CY2027 Final Rule released (FR pub 4/6/2026; effective 6/1/2026; applicable to coverage 1/1/2027): Star Ratings overhaul (11 measures removed, Excellent Health Outcomes/Health Equity reward dropped), IRA Part D redesign codified for 2027+, SSBCI chronically-ill definition tightened, D-SNP one-plan-per-MCO rule from 2027</v>
      </c>
    </row>
    <row r="825" spans="1:9" ht="15" customHeight="1" x14ac:dyDescent="0.35">
      <c r="A825" s="12">
        <v>46115</v>
      </c>
      <c r="B825" s="11">
        <f t="shared" si="60"/>
        <v>2026</v>
      </c>
      <c r="C825" s="11">
        <f t="shared" si="61"/>
        <v>4</v>
      </c>
      <c r="D825" s="11" t="str">
        <f t="shared" si="62"/>
        <v>Fri</v>
      </c>
      <c r="E825" s="11">
        <f t="shared" si="63"/>
        <v>0</v>
      </c>
      <c r="F825" s="11">
        <f t="shared" si="64"/>
        <v>0</v>
      </c>
      <c r="G825" s="16"/>
      <c r="H825" s="11">
        <f>COUNTIF(Events!$A$2:$A$391,$A825)</f>
        <v>0</v>
      </c>
      <c r="I825" s="11" t="str">
        <f>IFERROR(INDEX(Events!$E$2:$E$391,MATCH($A825,Events!$A$2:$A$391,0)),"")</f>
        <v/>
      </c>
    </row>
    <row r="826" spans="1:9" ht="15" customHeight="1" x14ac:dyDescent="0.35">
      <c r="A826" s="12">
        <v>46116</v>
      </c>
      <c r="B826" s="11">
        <f t="shared" si="60"/>
        <v>2026</v>
      </c>
      <c r="C826" s="11">
        <f t="shared" si="61"/>
        <v>4</v>
      </c>
      <c r="D826" s="11" t="str">
        <f t="shared" si="62"/>
        <v>Sat</v>
      </c>
      <c r="E826" s="11">
        <f t="shared" si="63"/>
        <v>0</v>
      </c>
      <c r="F826" s="11">
        <f t="shared" si="64"/>
        <v>0</v>
      </c>
      <c r="G826" s="16"/>
      <c r="H826" s="11">
        <f>COUNTIF(Events!$A$2:$A$391,$A826)</f>
        <v>0</v>
      </c>
      <c r="I826" s="11" t="str">
        <f>IFERROR(INDEX(Events!$E$2:$E$391,MATCH($A826,Events!$A$2:$A$391,0)),"")</f>
        <v/>
      </c>
    </row>
    <row r="827" spans="1:9" ht="15" customHeight="1" x14ac:dyDescent="0.35">
      <c r="A827" s="12">
        <v>46117</v>
      </c>
      <c r="B827" s="11">
        <f t="shared" si="60"/>
        <v>2026</v>
      </c>
      <c r="C827" s="11">
        <f t="shared" si="61"/>
        <v>4</v>
      </c>
      <c r="D827" s="11" t="str">
        <f t="shared" si="62"/>
        <v>Sun</v>
      </c>
      <c r="E827" s="11">
        <f t="shared" si="63"/>
        <v>0</v>
      </c>
      <c r="F827" s="11">
        <f t="shared" si="64"/>
        <v>0</v>
      </c>
      <c r="G827" s="16"/>
      <c r="H827" s="11">
        <f>COUNTIF(Events!$A$2:$A$391,$A827)</f>
        <v>0</v>
      </c>
      <c r="I827" s="11" t="str">
        <f>IFERROR(INDEX(Events!$E$2:$E$391,MATCH($A827,Events!$A$2:$A$391,0)),"")</f>
        <v/>
      </c>
    </row>
    <row r="828" spans="1:9" ht="15" customHeight="1" x14ac:dyDescent="0.35">
      <c r="A828" s="12">
        <v>46118</v>
      </c>
      <c r="B828" s="11">
        <f t="shared" si="60"/>
        <v>2026</v>
      </c>
      <c r="C828" s="11">
        <f t="shared" si="61"/>
        <v>4</v>
      </c>
      <c r="D828" s="11" t="str">
        <f t="shared" si="62"/>
        <v>Mon</v>
      </c>
      <c r="E828" s="11">
        <f t="shared" si="63"/>
        <v>0</v>
      </c>
      <c r="F828" s="11">
        <f t="shared" si="64"/>
        <v>0</v>
      </c>
      <c r="G828" s="16"/>
      <c r="H828" s="11">
        <f>COUNTIF(Events!$A$2:$A$391,$A828)</f>
        <v>1</v>
      </c>
      <c r="I828" s="11" t="str">
        <f>IFERROR(INDEX(Events!$E$2:$E$391,MATCH($A828,Events!$A$2:$A$391,0)),"")</f>
        <v>CY2027 Rate Announcement: finalized +2.48% avg payment (~$13B, sharply up from proposed 0.09% after industry lobbying); kept 2024 (V28) risk model instead of proposed update; finalized exclusion of unlinked chart-review diagnoses from risk scores</v>
      </c>
    </row>
    <row r="829" spans="1:9" ht="15" customHeight="1" x14ac:dyDescent="0.35">
      <c r="A829" s="12">
        <v>46119</v>
      </c>
      <c r="B829" s="11">
        <f t="shared" si="60"/>
        <v>2026</v>
      </c>
      <c r="C829" s="11">
        <f t="shared" si="61"/>
        <v>4</v>
      </c>
      <c r="D829" s="11" t="str">
        <f t="shared" si="62"/>
        <v>Tue</v>
      </c>
      <c r="E829" s="11">
        <f t="shared" si="63"/>
        <v>0</v>
      </c>
      <c r="F829" s="11">
        <f t="shared" si="64"/>
        <v>0</v>
      </c>
      <c r="G829" s="16"/>
      <c r="H829" s="11">
        <f>COUNTIF(Events!$A$2:$A$391,$A829)</f>
        <v>0</v>
      </c>
      <c r="I829" s="11" t="str">
        <f>IFERROR(INDEX(Events!$E$2:$E$391,MATCH($A829,Events!$A$2:$A$391,0)),"")</f>
        <v/>
      </c>
    </row>
    <row r="830" spans="1:9" ht="15" customHeight="1" x14ac:dyDescent="0.35">
      <c r="A830" s="12">
        <v>46120</v>
      </c>
      <c r="B830" s="11">
        <f t="shared" si="60"/>
        <v>2026</v>
      </c>
      <c r="C830" s="11">
        <f t="shared" si="61"/>
        <v>4</v>
      </c>
      <c r="D830" s="11" t="str">
        <f t="shared" si="62"/>
        <v>Wed</v>
      </c>
      <c r="E830" s="11">
        <f t="shared" si="63"/>
        <v>0</v>
      </c>
      <c r="F830" s="11">
        <f t="shared" si="64"/>
        <v>0</v>
      </c>
      <c r="G830" s="16"/>
      <c r="H830" s="11">
        <f>COUNTIF(Events!$A$2:$A$391,$A830)</f>
        <v>0</v>
      </c>
      <c r="I830" s="11" t="str">
        <f>IFERROR(INDEX(Events!$E$2:$E$391,MATCH($A830,Events!$A$2:$A$391,0)),"")</f>
        <v/>
      </c>
    </row>
    <row r="831" spans="1:9" ht="15" customHeight="1" x14ac:dyDescent="0.35">
      <c r="A831" s="12">
        <v>46121</v>
      </c>
      <c r="B831" s="11">
        <f t="shared" si="60"/>
        <v>2026</v>
      </c>
      <c r="C831" s="11">
        <f t="shared" si="61"/>
        <v>4</v>
      </c>
      <c r="D831" s="11" t="str">
        <f t="shared" si="62"/>
        <v>Thu</v>
      </c>
      <c r="E831" s="11">
        <f t="shared" si="63"/>
        <v>0</v>
      </c>
      <c r="F831" s="11">
        <f t="shared" si="64"/>
        <v>0</v>
      </c>
      <c r="G831" s="16"/>
      <c r="H831" s="11">
        <f>COUNTIF(Events!$A$2:$A$391,$A831)</f>
        <v>0</v>
      </c>
      <c r="I831" s="11" t="str">
        <f>IFERROR(INDEX(Events!$E$2:$E$391,MATCH($A831,Events!$A$2:$A$391,0)),"")</f>
        <v/>
      </c>
    </row>
    <row r="832" spans="1:9" ht="15" customHeight="1" x14ac:dyDescent="0.35">
      <c r="A832" s="12">
        <v>46122</v>
      </c>
      <c r="B832" s="11">
        <f t="shared" si="60"/>
        <v>2026</v>
      </c>
      <c r="C832" s="11">
        <f t="shared" si="61"/>
        <v>4</v>
      </c>
      <c r="D832" s="11" t="str">
        <f t="shared" si="62"/>
        <v>Fri</v>
      </c>
      <c r="E832" s="11">
        <f t="shared" si="63"/>
        <v>0</v>
      </c>
      <c r="F832" s="11">
        <f t="shared" si="64"/>
        <v>0</v>
      </c>
      <c r="G832" s="16"/>
      <c r="H832" s="11">
        <f>COUNTIF(Events!$A$2:$A$391,$A832)</f>
        <v>0</v>
      </c>
      <c r="I832" s="11" t="str">
        <f>IFERROR(INDEX(Events!$E$2:$E$391,MATCH($A832,Events!$A$2:$A$391,0)),"")</f>
        <v/>
      </c>
    </row>
    <row r="833" spans="1:9" ht="15" customHeight="1" x14ac:dyDescent="0.35">
      <c r="A833" s="12">
        <v>46123</v>
      </c>
      <c r="B833" s="11">
        <f t="shared" si="60"/>
        <v>2026</v>
      </c>
      <c r="C833" s="11">
        <f t="shared" si="61"/>
        <v>4</v>
      </c>
      <c r="D833" s="11" t="str">
        <f t="shared" si="62"/>
        <v>Sat</v>
      </c>
      <c r="E833" s="11">
        <f t="shared" si="63"/>
        <v>0</v>
      </c>
      <c r="F833" s="11">
        <f t="shared" si="64"/>
        <v>0</v>
      </c>
      <c r="G833" s="16"/>
      <c r="H833" s="11">
        <f>COUNTIF(Events!$A$2:$A$391,$A833)</f>
        <v>0</v>
      </c>
      <c r="I833" s="11" t="str">
        <f>IFERROR(INDEX(Events!$E$2:$E$391,MATCH($A833,Events!$A$2:$A$391,0)),"")</f>
        <v/>
      </c>
    </row>
    <row r="834" spans="1:9" ht="15" customHeight="1" x14ac:dyDescent="0.35">
      <c r="A834" s="12">
        <v>46124</v>
      </c>
      <c r="B834" s="11">
        <f t="shared" ref="B834:B883" si="65">YEAR($A834)</f>
        <v>2026</v>
      </c>
      <c r="C834" s="11">
        <f t="shared" ref="C834:C883" si="66">MONTH($A834)</f>
        <v>4</v>
      </c>
      <c r="D834" s="11" t="str">
        <f t="shared" ref="D834:D883" si="67">TEXT($A834,"ddd")</f>
        <v>Sun</v>
      </c>
      <c r="E834" s="11">
        <f t="shared" ref="E834:E883" si="68">IF(OR(AND(MONTH($A834)=10,DAY($A834)&gt;=15),MONTH($A834)=11,AND(MONTH($A834)=12,DAY($A834)&lt;=7)),1,0)</f>
        <v>0</v>
      </c>
      <c r="F834" s="11">
        <f t="shared" ref="F834:F883" si="69">IF(MONTH($A834)&lt;=3,1,0)</f>
        <v>0</v>
      </c>
      <c r="G834" s="16"/>
      <c r="H834" s="11">
        <f>COUNTIF(Events!$A$2:$A$391,$A834)</f>
        <v>0</v>
      </c>
      <c r="I834" s="11" t="str">
        <f>IFERROR(INDEX(Events!$E$2:$E$391,MATCH($A834,Events!$A$2:$A$391,0)),"")</f>
        <v/>
      </c>
    </row>
    <row r="835" spans="1:9" ht="15" customHeight="1" x14ac:dyDescent="0.35">
      <c r="A835" s="12">
        <v>46125</v>
      </c>
      <c r="B835" s="11">
        <f t="shared" si="65"/>
        <v>2026</v>
      </c>
      <c r="C835" s="11">
        <f t="shared" si="66"/>
        <v>4</v>
      </c>
      <c r="D835" s="11" t="str">
        <f t="shared" si="67"/>
        <v>Mon</v>
      </c>
      <c r="E835" s="11">
        <f t="shared" si="68"/>
        <v>0</v>
      </c>
      <c r="F835" s="11">
        <f t="shared" si="69"/>
        <v>0</v>
      </c>
      <c r="G835" s="16"/>
      <c r="H835" s="11">
        <f>COUNTIF(Events!$A$2:$A$391,$A835)</f>
        <v>0</v>
      </c>
      <c r="I835" s="11" t="str">
        <f>IFERROR(INDEX(Events!$E$2:$E$391,MATCH($A835,Events!$A$2:$A$391,0)),"")</f>
        <v/>
      </c>
    </row>
    <row r="836" spans="1:9" ht="15" customHeight="1" x14ac:dyDescent="0.35">
      <c r="A836" s="12">
        <v>46126</v>
      </c>
      <c r="B836" s="11">
        <f t="shared" si="65"/>
        <v>2026</v>
      </c>
      <c r="C836" s="11">
        <f t="shared" si="66"/>
        <v>4</v>
      </c>
      <c r="D836" s="11" t="str">
        <f t="shared" si="67"/>
        <v>Tue</v>
      </c>
      <c r="E836" s="11">
        <f t="shared" si="68"/>
        <v>0</v>
      </c>
      <c r="F836" s="11">
        <f t="shared" si="69"/>
        <v>0</v>
      </c>
      <c r="G836" s="16"/>
      <c r="H836" s="11">
        <f>COUNTIF(Events!$A$2:$A$391,$A836)</f>
        <v>0</v>
      </c>
      <c r="I836" s="11" t="str">
        <f>IFERROR(INDEX(Events!$E$2:$E$391,MATCH($A836,Events!$A$2:$A$391,0)),"")</f>
        <v/>
      </c>
    </row>
    <row r="837" spans="1:9" ht="15" customHeight="1" x14ac:dyDescent="0.35">
      <c r="A837" s="12">
        <v>46127</v>
      </c>
      <c r="B837" s="11">
        <f t="shared" si="65"/>
        <v>2026</v>
      </c>
      <c r="C837" s="11">
        <f t="shared" si="66"/>
        <v>4</v>
      </c>
      <c r="D837" s="11" t="str">
        <f t="shared" si="67"/>
        <v>Wed</v>
      </c>
      <c r="E837" s="11">
        <f t="shared" si="68"/>
        <v>0</v>
      </c>
      <c r="F837" s="11">
        <f t="shared" si="69"/>
        <v>0</v>
      </c>
      <c r="G837" s="16"/>
      <c r="H837" s="11">
        <f>COUNTIF(Events!$A$2:$A$391,$A837)</f>
        <v>0</v>
      </c>
      <c r="I837" s="11" t="str">
        <f>IFERROR(INDEX(Events!$E$2:$E$391,MATCH($A837,Events!$A$2:$A$391,0)),"")</f>
        <v/>
      </c>
    </row>
    <row r="838" spans="1:9" ht="15" customHeight="1" x14ac:dyDescent="0.35">
      <c r="A838" s="12">
        <v>46128</v>
      </c>
      <c r="B838" s="11">
        <f t="shared" si="65"/>
        <v>2026</v>
      </c>
      <c r="C838" s="11">
        <f t="shared" si="66"/>
        <v>4</v>
      </c>
      <c r="D838" s="11" t="str">
        <f t="shared" si="67"/>
        <v>Thu</v>
      </c>
      <c r="E838" s="11">
        <f t="shared" si="68"/>
        <v>0</v>
      </c>
      <c r="F838" s="11">
        <f t="shared" si="69"/>
        <v>0</v>
      </c>
      <c r="G838" s="16"/>
      <c r="H838" s="11">
        <f>COUNTIF(Events!$A$2:$A$391,$A838)</f>
        <v>0</v>
      </c>
      <c r="I838" s="11" t="str">
        <f>IFERROR(INDEX(Events!$E$2:$E$391,MATCH($A838,Events!$A$2:$A$391,0)),"")</f>
        <v/>
      </c>
    </row>
    <row r="839" spans="1:9" ht="15" customHeight="1" x14ac:dyDescent="0.35">
      <c r="A839" s="12">
        <v>46129</v>
      </c>
      <c r="B839" s="11">
        <f t="shared" si="65"/>
        <v>2026</v>
      </c>
      <c r="C839" s="11">
        <f t="shared" si="66"/>
        <v>4</v>
      </c>
      <c r="D839" s="11" t="str">
        <f t="shared" si="67"/>
        <v>Fri</v>
      </c>
      <c r="E839" s="11">
        <f t="shared" si="68"/>
        <v>0</v>
      </c>
      <c r="F839" s="11">
        <f t="shared" si="69"/>
        <v>0</v>
      </c>
      <c r="G839" s="16"/>
      <c r="H839" s="11">
        <f>COUNTIF(Events!$A$2:$A$391,$A839)</f>
        <v>0</v>
      </c>
      <c r="I839" s="11" t="str">
        <f>IFERROR(INDEX(Events!$E$2:$E$391,MATCH($A839,Events!$A$2:$A$391,0)),"")</f>
        <v/>
      </c>
    </row>
    <row r="840" spans="1:9" ht="15" customHeight="1" x14ac:dyDescent="0.35">
      <c r="A840" s="12">
        <v>46130</v>
      </c>
      <c r="B840" s="11">
        <f t="shared" si="65"/>
        <v>2026</v>
      </c>
      <c r="C840" s="11">
        <f t="shared" si="66"/>
        <v>4</v>
      </c>
      <c r="D840" s="11" t="str">
        <f t="shared" si="67"/>
        <v>Sat</v>
      </c>
      <c r="E840" s="11">
        <f t="shared" si="68"/>
        <v>0</v>
      </c>
      <c r="F840" s="11">
        <f t="shared" si="69"/>
        <v>0</v>
      </c>
      <c r="G840" s="16"/>
      <c r="H840" s="11">
        <f>COUNTIF(Events!$A$2:$A$391,$A840)</f>
        <v>0</v>
      </c>
      <c r="I840" s="11" t="str">
        <f>IFERROR(INDEX(Events!$E$2:$E$391,MATCH($A840,Events!$A$2:$A$391,0)),"")</f>
        <v/>
      </c>
    </row>
    <row r="841" spans="1:9" ht="15" customHeight="1" x14ac:dyDescent="0.35">
      <c r="A841" s="12">
        <v>46131</v>
      </c>
      <c r="B841" s="11">
        <f t="shared" si="65"/>
        <v>2026</v>
      </c>
      <c r="C841" s="11">
        <f t="shared" si="66"/>
        <v>4</v>
      </c>
      <c r="D841" s="11" t="str">
        <f t="shared" si="67"/>
        <v>Sun</v>
      </c>
      <c r="E841" s="11">
        <f t="shared" si="68"/>
        <v>0</v>
      </c>
      <c r="F841" s="11">
        <f t="shared" si="69"/>
        <v>0</v>
      </c>
      <c r="G841" s="16"/>
      <c r="H841" s="11">
        <f>COUNTIF(Events!$A$2:$A$391,$A841)</f>
        <v>0</v>
      </c>
      <c r="I841" s="11" t="str">
        <f>IFERROR(INDEX(Events!$E$2:$E$391,MATCH($A841,Events!$A$2:$A$391,0)),"")</f>
        <v/>
      </c>
    </row>
    <row r="842" spans="1:9" ht="15" customHeight="1" x14ac:dyDescent="0.35">
      <c r="A842" s="12">
        <v>46132</v>
      </c>
      <c r="B842" s="11">
        <f t="shared" si="65"/>
        <v>2026</v>
      </c>
      <c r="C842" s="11">
        <f t="shared" si="66"/>
        <v>4</v>
      </c>
      <c r="D842" s="11" t="str">
        <f t="shared" si="67"/>
        <v>Mon</v>
      </c>
      <c r="E842" s="11">
        <f t="shared" si="68"/>
        <v>0</v>
      </c>
      <c r="F842" s="11">
        <f t="shared" si="69"/>
        <v>0</v>
      </c>
      <c r="G842" s="16"/>
      <c r="H842" s="11">
        <f>COUNTIF(Events!$A$2:$A$391,$A842)</f>
        <v>0</v>
      </c>
      <c r="I842" s="11" t="str">
        <f>IFERROR(INDEX(Events!$E$2:$E$391,MATCH($A842,Events!$A$2:$A$391,0)),"")</f>
        <v/>
      </c>
    </row>
    <row r="843" spans="1:9" ht="15" customHeight="1" x14ac:dyDescent="0.35">
      <c r="A843" s="12">
        <v>46133</v>
      </c>
      <c r="B843" s="11">
        <f t="shared" si="65"/>
        <v>2026</v>
      </c>
      <c r="C843" s="11">
        <f t="shared" si="66"/>
        <v>4</v>
      </c>
      <c r="D843" s="11" t="str">
        <f t="shared" si="67"/>
        <v>Tue</v>
      </c>
      <c r="E843" s="11">
        <f t="shared" si="68"/>
        <v>0</v>
      </c>
      <c r="F843" s="11">
        <f t="shared" si="69"/>
        <v>0</v>
      </c>
      <c r="G843" s="16"/>
      <c r="H843" s="11">
        <f>COUNTIF(Events!$A$2:$A$391,$A843)</f>
        <v>0</v>
      </c>
      <c r="I843" s="11" t="str">
        <f>IFERROR(INDEX(Events!$E$2:$E$391,MATCH($A843,Events!$A$2:$A$391,0)),"")</f>
        <v/>
      </c>
    </row>
    <row r="844" spans="1:9" ht="15" customHeight="1" x14ac:dyDescent="0.35">
      <c r="A844" s="12">
        <v>46134</v>
      </c>
      <c r="B844" s="11">
        <f t="shared" si="65"/>
        <v>2026</v>
      </c>
      <c r="C844" s="11">
        <f t="shared" si="66"/>
        <v>4</v>
      </c>
      <c r="D844" s="11" t="str">
        <f t="shared" si="67"/>
        <v>Wed</v>
      </c>
      <c r="E844" s="11">
        <f t="shared" si="68"/>
        <v>0</v>
      </c>
      <c r="F844" s="11">
        <f t="shared" si="69"/>
        <v>0</v>
      </c>
      <c r="G844" s="16"/>
      <c r="H844" s="11">
        <f>COUNTIF(Events!$A$2:$A$391,$A844)</f>
        <v>0</v>
      </c>
      <c r="I844" s="11" t="str">
        <f>IFERROR(INDEX(Events!$E$2:$E$391,MATCH($A844,Events!$A$2:$A$391,0)),"")</f>
        <v/>
      </c>
    </row>
    <row r="845" spans="1:9" ht="15" customHeight="1" x14ac:dyDescent="0.35">
      <c r="A845" s="12">
        <v>46135</v>
      </c>
      <c r="B845" s="11">
        <f t="shared" si="65"/>
        <v>2026</v>
      </c>
      <c r="C845" s="11">
        <f t="shared" si="66"/>
        <v>4</v>
      </c>
      <c r="D845" s="11" t="str">
        <f t="shared" si="67"/>
        <v>Thu</v>
      </c>
      <c r="E845" s="11">
        <f t="shared" si="68"/>
        <v>0</v>
      </c>
      <c r="F845" s="11">
        <f t="shared" si="69"/>
        <v>0</v>
      </c>
      <c r="G845" s="16"/>
      <c r="H845" s="11">
        <f>COUNTIF(Events!$A$2:$A$391,$A845)</f>
        <v>0</v>
      </c>
      <c r="I845" s="11" t="str">
        <f>IFERROR(INDEX(Events!$E$2:$E$391,MATCH($A845,Events!$A$2:$A$391,0)),"")</f>
        <v/>
      </c>
    </row>
    <row r="846" spans="1:9" ht="15" customHeight="1" x14ac:dyDescent="0.35">
      <c r="A846" s="12">
        <v>46136</v>
      </c>
      <c r="B846" s="11">
        <f t="shared" si="65"/>
        <v>2026</v>
      </c>
      <c r="C846" s="11">
        <f t="shared" si="66"/>
        <v>4</v>
      </c>
      <c r="D846" s="11" t="str">
        <f t="shared" si="67"/>
        <v>Fri</v>
      </c>
      <c r="E846" s="11">
        <f t="shared" si="68"/>
        <v>0</v>
      </c>
      <c r="F846" s="11">
        <f t="shared" si="69"/>
        <v>0</v>
      </c>
      <c r="G846" s="16"/>
      <c r="H846" s="11">
        <f>COUNTIF(Events!$A$2:$A$391,$A846)</f>
        <v>0</v>
      </c>
      <c r="I846" s="11" t="str">
        <f>IFERROR(INDEX(Events!$E$2:$E$391,MATCH($A846,Events!$A$2:$A$391,0)),"")</f>
        <v/>
      </c>
    </row>
    <row r="847" spans="1:9" ht="15" customHeight="1" x14ac:dyDescent="0.35">
      <c r="A847" s="12">
        <v>46137</v>
      </c>
      <c r="B847" s="11">
        <f t="shared" si="65"/>
        <v>2026</v>
      </c>
      <c r="C847" s="11">
        <f t="shared" si="66"/>
        <v>4</v>
      </c>
      <c r="D847" s="11" t="str">
        <f t="shared" si="67"/>
        <v>Sat</v>
      </c>
      <c r="E847" s="11">
        <f t="shared" si="68"/>
        <v>0</v>
      </c>
      <c r="F847" s="11">
        <f t="shared" si="69"/>
        <v>0</v>
      </c>
      <c r="G847" s="16"/>
      <c r="H847" s="11">
        <f>COUNTIF(Events!$A$2:$A$391,$A847)</f>
        <v>0</v>
      </c>
      <c r="I847" s="11" t="str">
        <f>IFERROR(INDEX(Events!$E$2:$E$391,MATCH($A847,Events!$A$2:$A$391,0)),"")</f>
        <v/>
      </c>
    </row>
    <row r="848" spans="1:9" ht="15" customHeight="1" x14ac:dyDescent="0.35">
      <c r="A848" s="12">
        <v>46138</v>
      </c>
      <c r="B848" s="11">
        <f t="shared" si="65"/>
        <v>2026</v>
      </c>
      <c r="C848" s="11">
        <f t="shared" si="66"/>
        <v>4</v>
      </c>
      <c r="D848" s="11" t="str">
        <f t="shared" si="67"/>
        <v>Sun</v>
      </c>
      <c r="E848" s="11">
        <f t="shared" si="68"/>
        <v>0</v>
      </c>
      <c r="F848" s="11">
        <f t="shared" si="69"/>
        <v>0</v>
      </c>
      <c r="G848" s="16"/>
      <c r="H848" s="11">
        <f>COUNTIF(Events!$A$2:$A$391,$A848)</f>
        <v>0</v>
      </c>
      <c r="I848" s="11" t="str">
        <f>IFERROR(INDEX(Events!$E$2:$E$391,MATCH($A848,Events!$A$2:$A$391,0)),"")</f>
        <v/>
      </c>
    </row>
    <row r="849" spans="1:9" ht="15" customHeight="1" x14ac:dyDescent="0.35">
      <c r="A849" s="12">
        <v>46139</v>
      </c>
      <c r="B849" s="11">
        <f t="shared" si="65"/>
        <v>2026</v>
      </c>
      <c r="C849" s="11">
        <f t="shared" si="66"/>
        <v>4</v>
      </c>
      <c r="D849" s="11" t="str">
        <f t="shared" si="67"/>
        <v>Mon</v>
      </c>
      <c r="E849" s="11">
        <f t="shared" si="68"/>
        <v>0</v>
      </c>
      <c r="F849" s="11">
        <f t="shared" si="69"/>
        <v>0</v>
      </c>
      <c r="G849" s="16"/>
      <c r="H849" s="11">
        <f>COUNTIF(Events!$A$2:$A$391,$A849)</f>
        <v>0</v>
      </c>
      <c r="I849" s="11" t="str">
        <f>IFERROR(INDEX(Events!$E$2:$E$391,MATCH($A849,Events!$A$2:$A$391,0)),"")</f>
        <v/>
      </c>
    </row>
    <row r="850" spans="1:9" ht="15" customHeight="1" x14ac:dyDescent="0.35">
      <c r="A850" s="12">
        <v>46140</v>
      </c>
      <c r="B850" s="11">
        <f t="shared" si="65"/>
        <v>2026</v>
      </c>
      <c r="C850" s="11">
        <f t="shared" si="66"/>
        <v>4</v>
      </c>
      <c r="D850" s="11" t="str">
        <f t="shared" si="67"/>
        <v>Tue</v>
      </c>
      <c r="E850" s="11">
        <f t="shared" si="68"/>
        <v>0</v>
      </c>
      <c r="F850" s="11">
        <f t="shared" si="69"/>
        <v>0</v>
      </c>
      <c r="G850" s="16"/>
      <c r="H850" s="11">
        <f>COUNTIF(Events!$A$2:$A$391,$A850)</f>
        <v>0</v>
      </c>
      <c r="I850" s="11" t="str">
        <f>IFERROR(INDEX(Events!$E$2:$E$391,MATCH($A850,Events!$A$2:$A$391,0)),"")</f>
        <v/>
      </c>
    </row>
    <row r="851" spans="1:9" ht="15" customHeight="1" x14ac:dyDescent="0.35">
      <c r="A851" s="12">
        <v>46141</v>
      </c>
      <c r="B851" s="11">
        <f t="shared" si="65"/>
        <v>2026</v>
      </c>
      <c r="C851" s="11">
        <f t="shared" si="66"/>
        <v>4</v>
      </c>
      <c r="D851" s="11" t="str">
        <f t="shared" si="67"/>
        <v>Wed</v>
      </c>
      <c r="E851" s="11">
        <f t="shared" si="68"/>
        <v>0</v>
      </c>
      <c r="F851" s="11">
        <f t="shared" si="69"/>
        <v>0</v>
      </c>
      <c r="G851" s="16"/>
      <c r="H851" s="11">
        <f>COUNTIF(Events!$A$2:$A$391,$A851)</f>
        <v>0</v>
      </c>
      <c r="I851" s="11" t="str">
        <f>IFERROR(INDEX(Events!$E$2:$E$391,MATCH($A851,Events!$A$2:$A$391,0)),"")</f>
        <v/>
      </c>
    </row>
    <row r="852" spans="1:9" ht="15" customHeight="1" x14ac:dyDescent="0.35">
      <c r="A852" s="12">
        <v>46142</v>
      </c>
      <c r="B852" s="11">
        <f t="shared" si="65"/>
        <v>2026</v>
      </c>
      <c r="C852" s="11">
        <f t="shared" si="66"/>
        <v>4</v>
      </c>
      <c r="D852" s="11" t="str">
        <f t="shared" si="67"/>
        <v>Thu</v>
      </c>
      <c r="E852" s="11">
        <f t="shared" si="68"/>
        <v>0</v>
      </c>
      <c r="F852" s="11">
        <f t="shared" si="69"/>
        <v>0</v>
      </c>
      <c r="G852" s="16"/>
      <c r="H852" s="11">
        <f>COUNTIF(Events!$A$2:$A$391,$A852)</f>
        <v>0</v>
      </c>
      <c r="I852" s="11" t="str">
        <f>IFERROR(INDEX(Events!$E$2:$E$391,MATCH($A852,Events!$A$2:$A$391,0)),"")</f>
        <v/>
      </c>
    </row>
    <row r="853" spans="1:9" ht="15" customHeight="1" x14ac:dyDescent="0.35">
      <c r="A853" s="12">
        <v>46143</v>
      </c>
      <c r="B853" s="11">
        <f t="shared" si="65"/>
        <v>2026</v>
      </c>
      <c r="C853" s="11">
        <f t="shared" si="66"/>
        <v>5</v>
      </c>
      <c r="D853" s="11" t="str">
        <f t="shared" si="67"/>
        <v>Fri</v>
      </c>
      <c r="E853" s="11">
        <f t="shared" si="68"/>
        <v>0</v>
      </c>
      <c r="F853" s="11">
        <f t="shared" si="69"/>
        <v>0</v>
      </c>
      <c r="G853" s="16"/>
      <c r="H853" s="11">
        <f>COUNTIF(Events!$A$2:$A$391,$A853)</f>
        <v>0</v>
      </c>
      <c r="I853" s="11" t="str">
        <f>IFERROR(INDEX(Events!$E$2:$E$391,MATCH($A853,Events!$A$2:$A$391,0)),"")</f>
        <v/>
      </c>
    </row>
    <row r="854" spans="1:9" ht="15" customHeight="1" x14ac:dyDescent="0.35">
      <c r="A854" s="12">
        <v>46144</v>
      </c>
      <c r="B854" s="11">
        <f t="shared" si="65"/>
        <v>2026</v>
      </c>
      <c r="C854" s="11">
        <f t="shared" si="66"/>
        <v>5</v>
      </c>
      <c r="D854" s="11" t="str">
        <f t="shared" si="67"/>
        <v>Sat</v>
      </c>
      <c r="E854" s="11">
        <f t="shared" si="68"/>
        <v>0</v>
      </c>
      <c r="F854" s="11">
        <f t="shared" si="69"/>
        <v>0</v>
      </c>
      <c r="G854" s="16"/>
      <c r="H854" s="11">
        <f>COUNTIF(Events!$A$2:$A$391,$A854)</f>
        <v>0</v>
      </c>
      <c r="I854" s="11" t="str">
        <f>IFERROR(INDEX(Events!$E$2:$E$391,MATCH($A854,Events!$A$2:$A$391,0)),"")</f>
        <v/>
      </c>
    </row>
    <row r="855" spans="1:9" ht="15" customHeight="1" x14ac:dyDescent="0.35">
      <c r="A855" s="12">
        <v>46145</v>
      </c>
      <c r="B855" s="11">
        <f t="shared" si="65"/>
        <v>2026</v>
      </c>
      <c r="C855" s="11">
        <f t="shared" si="66"/>
        <v>5</v>
      </c>
      <c r="D855" s="11" t="str">
        <f t="shared" si="67"/>
        <v>Sun</v>
      </c>
      <c r="E855" s="11">
        <f t="shared" si="68"/>
        <v>0</v>
      </c>
      <c r="F855" s="11">
        <f t="shared" si="69"/>
        <v>0</v>
      </c>
      <c r="G855" s="16"/>
      <c r="H855" s="11">
        <f>COUNTIF(Events!$A$2:$A$391,$A855)</f>
        <v>0</v>
      </c>
      <c r="I855" s="11" t="str">
        <f>IFERROR(INDEX(Events!$E$2:$E$391,MATCH($A855,Events!$A$2:$A$391,0)),"")</f>
        <v/>
      </c>
    </row>
    <row r="856" spans="1:9" ht="15" customHeight="1" x14ac:dyDescent="0.35">
      <c r="A856" s="12">
        <v>46146</v>
      </c>
      <c r="B856" s="11">
        <f t="shared" si="65"/>
        <v>2026</v>
      </c>
      <c r="C856" s="11">
        <f t="shared" si="66"/>
        <v>5</v>
      </c>
      <c r="D856" s="11" t="str">
        <f t="shared" si="67"/>
        <v>Mon</v>
      </c>
      <c r="E856" s="11">
        <f t="shared" si="68"/>
        <v>0</v>
      </c>
      <c r="F856" s="11">
        <f t="shared" si="69"/>
        <v>0</v>
      </c>
      <c r="G856" s="16"/>
      <c r="H856" s="11">
        <f>COUNTIF(Events!$A$2:$A$391,$A856)</f>
        <v>0</v>
      </c>
      <c r="I856" s="11" t="str">
        <f>IFERROR(INDEX(Events!$E$2:$E$391,MATCH($A856,Events!$A$2:$A$391,0)),"")</f>
        <v/>
      </c>
    </row>
    <row r="857" spans="1:9" ht="15" customHeight="1" x14ac:dyDescent="0.35">
      <c r="A857" s="12">
        <v>46147</v>
      </c>
      <c r="B857" s="11">
        <f t="shared" si="65"/>
        <v>2026</v>
      </c>
      <c r="C857" s="11">
        <f t="shared" si="66"/>
        <v>5</v>
      </c>
      <c r="D857" s="11" t="str">
        <f t="shared" si="67"/>
        <v>Tue</v>
      </c>
      <c r="E857" s="11">
        <f t="shared" si="68"/>
        <v>0</v>
      </c>
      <c r="F857" s="11">
        <f t="shared" si="69"/>
        <v>0</v>
      </c>
      <c r="G857" s="16"/>
      <c r="H857" s="11">
        <f>COUNTIF(Events!$A$2:$A$391,$A857)</f>
        <v>0</v>
      </c>
      <c r="I857" s="11" t="str">
        <f>IFERROR(INDEX(Events!$E$2:$E$391,MATCH($A857,Events!$A$2:$A$391,0)),"")</f>
        <v/>
      </c>
    </row>
    <row r="858" spans="1:9" ht="15" customHeight="1" x14ac:dyDescent="0.35">
      <c r="A858" s="12">
        <v>46148</v>
      </c>
      <c r="B858" s="11">
        <f t="shared" si="65"/>
        <v>2026</v>
      </c>
      <c r="C858" s="11">
        <f t="shared" si="66"/>
        <v>5</v>
      </c>
      <c r="D858" s="11" t="str">
        <f t="shared" si="67"/>
        <v>Wed</v>
      </c>
      <c r="E858" s="11">
        <f t="shared" si="68"/>
        <v>0</v>
      </c>
      <c r="F858" s="11">
        <f t="shared" si="69"/>
        <v>0</v>
      </c>
      <c r="G858" s="16"/>
      <c r="H858" s="11">
        <f>COUNTIF(Events!$A$2:$A$391,$A858)</f>
        <v>0</v>
      </c>
      <c r="I858" s="11" t="str">
        <f>IFERROR(INDEX(Events!$E$2:$E$391,MATCH($A858,Events!$A$2:$A$391,0)),"")</f>
        <v/>
      </c>
    </row>
    <row r="859" spans="1:9" ht="15" customHeight="1" x14ac:dyDescent="0.35">
      <c r="A859" s="12">
        <v>46149</v>
      </c>
      <c r="B859" s="11">
        <f t="shared" si="65"/>
        <v>2026</v>
      </c>
      <c r="C859" s="11">
        <f t="shared" si="66"/>
        <v>5</v>
      </c>
      <c r="D859" s="11" t="str">
        <f t="shared" si="67"/>
        <v>Thu</v>
      </c>
      <c r="E859" s="11">
        <f t="shared" si="68"/>
        <v>0</v>
      </c>
      <c r="F859" s="11">
        <f t="shared" si="69"/>
        <v>0</v>
      </c>
      <c r="G859" s="16"/>
      <c r="H859" s="11">
        <f>COUNTIF(Events!$A$2:$A$391,$A859)</f>
        <v>0</v>
      </c>
      <c r="I859" s="11" t="str">
        <f>IFERROR(INDEX(Events!$E$2:$E$391,MATCH($A859,Events!$A$2:$A$391,0)),"")</f>
        <v/>
      </c>
    </row>
    <row r="860" spans="1:9" ht="15" customHeight="1" x14ac:dyDescent="0.35">
      <c r="A860" s="12">
        <v>46150</v>
      </c>
      <c r="B860" s="11">
        <f t="shared" si="65"/>
        <v>2026</v>
      </c>
      <c r="C860" s="11">
        <f t="shared" si="66"/>
        <v>5</v>
      </c>
      <c r="D860" s="11" t="str">
        <f t="shared" si="67"/>
        <v>Fri</v>
      </c>
      <c r="E860" s="11">
        <f t="shared" si="68"/>
        <v>0</v>
      </c>
      <c r="F860" s="11">
        <f t="shared" si="69"/>
        <v>0</v>
      </c>
      <c r="G860" s="16"/>
      <c r="H860" s="11">
        <f>COUNTIF(Events!$A$2:$A$391,$A860)</f>
        <v>0</v>
      </c>
      <c r="I860" s="11" t="str">
        <f>IFERROR(INDEX(Events!$E$2:$E$391,MATCH($A860,Events!$A$2:$A$391,0)),"")</f>
        <v/>
      </c>
    </row>
    <row r="861" spans="1:9" ht="15" customHeight="1" x14ac:dyDescent="0.35">
      <c r="A861" s="12">
        <v>46151</v>
      </c>
      <c r="B861" s="11">
        <f t="shared" si="65"/>
        <v>2026</v>
      </c>
      <c r="C861" s="11">
        <f t="shared" si="66"/>
        <v>5</v>
      </c>
      <c r="D861" s="11" t="str">
        <f t="shared" si="67"/>
        <v>Sat</v>
      </c>
      <c r="E861" s="11">
        <f t="shared" si="68"/>
        <v>0</v>
      </c>
      <c r="F861" s="11">
        <f t="shared" si="69"/>
        <v>0</v>
      </c>
      <c r="G861" s="16"/>
      <c r="H861" s="11">
        <f>COUNTIF(Events!$A$2:$A$391,$A861)</f>
        <v>0</v>
      </c>
      <c r="I861" s="11" t="str">
        <f>IFERROR(INDEX(Events!$E$2:$E$391,MATCH($A861,Events!$A$2:$A$391,0)),"")</f>
        <v/>
      </c>
    </row>
    <row r="862" spans="1:9" ht="15" customHeight="1" x14ac:dyDescent="0.35">
      <c r="A862" s="12">
        <v>46152</v>
      </c>
      <c r="B862" s="11">
        <f t="shared" si="65"/>
        <v>2026</v>
      </c>
      <c r="C862" s="11">
        <f t="shared" si="66"/>
        <v>5</v>
      </c>
      <c r="D862" s="11" t="str">
        <f t="shared" si="67"/>
        <v>Sun</v>
      </c>
      <c r="E862" s="11">
        <f t="shared" si="68"/>
        <v>0</v>
      </c>
      <c r="F862" s="11">
        <f t="shared" si="69"/>
        <v>0</v>
      </c>
      <c r="G862" s="16"/>
      <c r="H862" s="11">
        <f>COUNTIF(Events!$A$2:$A$391,$A862)</f>
        <v>0</v>
      </c>
      <c r="I862" s="11" t="str">
        <f>IFERROR(INDEX(Events!$E$2:$E$391,MATCH($A862,Events!$A$2:$A$391,0)),"")</f>
        <v/>
      </c>
    </row>
    <row r="863" spans="1:9" ht="15" customHeight="1" x14ac:dyDescent="0.35">
      <c r="A863" s="12">
        <v>46153</v>
      </c>
      <c r="B863" s="11">
        <f t="shared" si="65"/>
        <v>2026</v>
      </c>
      <c r="C863" s="11">
        <f t="shared" si="66"/>
        <v>5</v>
      </c>
      <c r="D863" s="11" t="str">
        <f t="shared" si="67"/>
        <v>Mon</v>
      </c>
      <c r="E863" s="11">
        <f t="shared" si="68"/>
        <v>0</v>
      </c>
      <c r="F863" s="11">
        <f t="shared" si="69"/>
        <v>0</v>
      </c>
      <c r="G863" s="16"/>
      <c r="H863" s="11">
        <f>COUNTIF(Events!$A$2:$A$391,$A863)</f>
        <v>0</v>
      </c>
      <c r="I863" s="11" t="str">
        <f>IFERROR(INDEX(Events!$E$2:$E$391,MATCH($A863,Events!$A$2:$A$391,0)),"")</f>
        <v/>
      </c>
    </row>
    <row r="864" spans="1:9" ht="15" customHeight="1" x14ac:dyDescent="0.35">
      <c r="A864" s="12">
        <v>46154</v>
      </c>
      <c r="B864" s="11">
        <f t="shared" si="65"/>
        <v>2026</v>
      </c>
      <c r="C864" s="11">
        <f t="shared" si="66"/>
        <v>5</v>
      </c>
      <c r="D864" s="11" t="str">
        <f t="shared" si="67"/>
        <v>Tue</v>
      </c>
      <c r="E864" s="11">
        <f t="shared" si="68"/>
        <v>0</v>
      </c>
      <c r="F864" s="11">
        <f t="shared" si="69"/>
        <v>0</v>
      </c>
      <c r="G864" s="16"/>
      <c r="H864" s="11">
        <f>COUNTIF(Events!$A$2:$A$391,$A864)</f>
        <v>0</v>
      </c>
      <c r="I864" s="11" t="str">
        <f>IFERROR(INDEX(Events!$E$2:$E$391,MATCH($A864,Events!$A$2:$A$391,0)),"")</f>
        <v/>
      </c>
    </row>
    <row r="865" spans="1:9" ht="15" customHeight="1" x14ac:dyDescent="0.35">
      <c r="A865" s="12">
        <v>46155</v>
      </c>
      <c r="B865" s="11">
        <f t="shared" si="65"/>
        <v>2026</v>
      </c>
      <c r="C865" s="11">
        <f t="shared" si="66"/>
        <v>5</v>
      </c>
      <c r="D865" s="11" t="str">
        <f t="shared" si="67"/>
        <v>Wed</v>
      </c>
      <c r="E865" s="11">
        <f t="shared" si="68"/>
        <v>0</v>
      </c>
      <c r="F865" s="11">
        <f t="shared" si="69"/>
        <v>0</v>
      </c>
      <c r="G865" s="16"/>
      <c r="H865" s="11">
        <f>COUNTIF(Events!$A$2:$A$391,$A865)</f>
        <v>0</v>
      </c>
      <c r="I865" s="11" t="str">
        <f>IFERROR(INDEX(Events!$E$2:$E$391,MATCH($A865,Events!$A$2:$A$391,0)),"")</f>
        <v/>
      </c>
    </row>
    <row r="866" spans="1:9" ht="15" customHeight="1" x14ac:dyDescent="0.35">
      <c r="A866" s="12">
        <v>46156</v>
      </c>
      <c r="B866" s="11">
        <f t="shared" si="65"/>
        <v>2026</v>
      </c>
      <c r="C866" s="11">
        <f t="shared" si="66"/>
        <v>5</v>
      </c>
      <c r="D866" s="11" t="str">
        <f t="shared" si="67"/>
        <v>Thu</v>
      </c>
      <c r="E866" s="11">
        <f t="shared" si="68"/>
        <v>0</v>
      </c>
      <c r="F866" s="11">
        <f t="shared" si="69"/>
        <v>0</v>
      </c>
      <c r="G866" s="16"/>
      <c r="H866" s="11">
        <f>COUNTIF(Events!$A$2:$A$391,$A866)</f>
        <v>0</v>
      </c>
      <c r="I866" s="11" t="str">
        <f>IFERROR(INDEX(Events!$E$2:$E$391,MATCH($A866,Events!$A$2:$A$391,0)),"")</f>
        <v/>
      </c>
    </row>
    <row r="867" spans="1:9" ht="15" customHeight="1" x14ac:dyDescent="0.35">
      <c r="A867" s="12">
        <v>46157</v>
      </c>
      <c r="B867" s="11">
        <f t="shared" si="65"/>
        <v>2026</v>
      </c>
      <c r="C867" s="11">
        <f t="shared" si="66"/>
        <v>5</v>
      </c>
      <c r="D867" s="11" t="str">
        <f t="shared" si="67"/>
        <v>Fri</v>
      </c>
      <c r="E867" s="11">
        <f t="shared" si="68"/>
        <v>0</v>
      </c>
      <c r="F867" s="11">
        <f t="shared" si="69"/>
        <v>0</v>
      </c>
      <c r="G867" s="16"/>
      <c r="H867" s="11">
        <f>COUNTIF(Events!$A$2:$A$391,$A867)</f>
        <v>0</v>
      </c>
      <c r="I867" s="11" t="str">
        <f>IFERROR(INDEX(Events!$E$2:$E$391,MATCH($A867,Events!$A$2:$A$391,0)),"")</f>
        <v/>
      </c>
    </row>
    <row r="868" spans="1:9" ht="15" customHeight="1" x14ac:dyDescent="0.35">
      <c r="A868" s="12">
        <v>46158</v>
      </c>
      <c r="B868" s="11">
        <f t="shared" si="65"/>
        <v>2026</v>
      </c>
      <c r="C868" s="11">
        <f t="shared" si="66"/>
        <v>5</v>
      </c>
      <c r="D868" s="11" t="str">
        <f t="shared" si="67"/>
        <v>Sat</v>
      </c>
      <c r="E868" s="11">
        <f t="shared" si="68"/>
        <v>0</v>
      </c>
      <c r="F868" s="11">
        <f t="shared" si="69"/>
        <v>0</v>
      </c>
      <c r="G868" s="16"/>
      <c r="H868" s="11">
        <f>COUNTIF(Events!$A$2:$A$391,$A868)</f>
        <v>0</v>
      </c>
      <c r="I868" s="11" t="str">
        <f>IFERROR(INDEX(Events!$E$2:$E$391,MATCH($A868,Events!$A$2:$A$391,0)),"")</f>
        <v/>
      </c>
    </row>
    <row r="869" spans="1:9" ht="15" customHeight="1" x14ac:dyDescent="0.35">
      <c r="A869" s="12">
        <v>46159</v>
      </c>
      <c r="B869" s="11">
        <f t="shared" si="65"/>
        <v>2026</v>
      </c>
      <c r="C869" s="11">
        <f t="shared" si="66"/>
        <v>5</v>
      </c>
      <c r="D869" s="11" t="str">
        <f t="shared" si="67"/>
        <v>Sun</v>
      </c>
      <c r="E869" s="11">
        <f t="shared" si="68"/>
        <v>0</v>
      </c>
      <c r="F869" s="11">
        <f t="shared" si="69"/>
        <v>0</v>
      </c>
      <c r="G869" s="16"/>
      <c r="H869" s="11">
        <f>COUNTIF(Events!$A$2:$A$391,$A869)</f>
        <v>0</v>
      </c>
      <c r="I869" s="11" t="str">
        <f>IFERROR(INDEX(Events!$E$2:$E$391,MATCH($A869,Events!$A$2:$A$391,0)),"")</f>
        <v/>
      </c>
    </row>
    <row r="870" spans="1:9" ht="15" customHeight="1" x14ac:dyDescent="0.35">
      <c r="A870" s="12">
        <v>46160</v>
      </c>
      <c r="B870" s="11">
        <f t="shared" si="65"/>
        <v>2026</v>
      </c>
      <c r="C870" s="11">
        <f t="shared" si="66"/>
        <v>5</v>
      </c>
      <c r="D870" s="11" t="str">
        <f t="shared" si="67"/>
        <v>Mon</v>
      </c>
      <c r="E870" s="11">
        <f t="shared" si="68"/>
        <v>0</v>
      </c>
      <c r="F870" s="11">
        <f t="shared" si="69"/>
        <v>0</v>
      </c>
      <c r="G870" s="16"/>
      <c r="H870" s="11">
        <f>COUNTIF(Events!$A$2:$A$391,$A870)</f>
        <v>0</v>
      </c>
      <c r="I870" s="11" t="str">
        <f>IFERROR(INDEX(Events!$E$2:$E$391,MATCH($A870,Events!$A$2:$A$391,0)),"")</f>
        <v/>
      </c>
    </row>
    <row r="871" spans="1:9" ht="15" customHeight="1" x14ac:dyDescent="0.35">
      <c r="A871" s="12">
        <v>46161</v>
      </c>
      <c r="B871" s="11">
        <f t="shared" si="65"/>
        <v>2026</v>
      </c>
      <c r="C871" s="11">
        <f t="shared" si="66"/>
        <v>5</v>
      </c>
      <c r="D871" s="11" t="str">
        <f t="shared" si="67"/>
        <v>Tue</v>
      </c>
      <c r="E871" s="11">
        <f t="shared" si="68"/>
        <v>0</v>
      </c>
      <c r="F871" s="11">
        <f t="shared" si="69"/>
        <v>0</v>
      </c>
      <c r="G871" s="16"/>
      <c r="H871" s="11">
        <f>COUNTIF(Events!$A$2:$A$391,$A871)</f>
        <v>0</v>
      </c>
      <c r="I871" s="11" t="str">
        <f>IFERROR(INDEX(Events!$E$2:$E$391,MATCH($A871,Events!$A$2:$A$391,0)),"")</f>
        <v/>
      </c>
    </row>
    <row r="872" spans="1:9" ht="15" customHeight="1" x14ac:dyDescent="0.35">
      <c r="A872" s="12">
        <v>46162</v>
      </c>
      <c r="B872" s="11">
        <f t="shared" si="65"/>
        <v>2026</v>
      </c>
      <c r="C872" s="11">
        <f t="shared" si="66"/>
        <v>5</v>
      </c>
      <c r="D872" s="11" t="str">
        <f t="shared" si="67"/>
        <v>Wed</v>
      </c>
      <c r="E872" s="11">
        <f t="shared" si="68"/>
        <v>0</v>
      </c>
      <c r="F872" s="11">
        <f t="shared" si="69"/>
        <v>0</v>
      </c>
      <c r="G872" s="16"/>
      <c r="H872" s="11">
        <f>COUNTIF(Events!$A$2:$A$391,$A872)</f>
        <v>0</v>
      </c>
      <c r="I872" s="11" t="str">
        <f>IFERROR(INDEX(Events!$E$2:$E$391,MATCH($A872,Events!$A$2:$A$391,0)),"")</f>
        <v/>
      </c>
    </row>
    <row r="873" spans="1:9" ht="15" customHeight="1" x14ac:dyDescent="0.35">
      <c r="A873" s="12">
        <v>46163</v>
      </c>
      <c r="B873" s="11">
        <f t="shared" si="65"/>
        <v>2026</v>
      </c>
      <c r="C873" s="11">
        <f t="shared" si="66"/>
        <v>5</v>
      </c>
      <c r="D873" s="11" t="str">
        <f t="shared" si="67"/>
        <v>Thu</v>
      </c>
      <c r="E873" s="11">
        <f t="shared" si="68"/>
        <v>0</v>
      </c>
      <c r="F873" s="11">
        <f t="shared" si="69"/>
        <v>0</v>
      </c>
      <c r="G873" s="16"/>
      <c r="H873" s="11">
        <f>COUNTIF(Events!$A$2:$A$391,$A873)</f>
        <v>0</v>
      </c>
      <c r="I873" s="11" t="str">
        <f>IFERROR(INDEX(Events!$E$2:$E$391,MATCH($A873,Events!$A$2:$A$391,0)),"")</f>
        <v/>
      </c>
    </row>
    <row r="874" spans="1:9" ht="15" customHeight="1" x14ac:dyDescent="0.35">
      <c r="A874" s="12">
        <v>46164</v>
      </c>
      <c r="B874" s="11">
        <f t="shared" si="65"/>
        <v>2026</v>
      </c>
      <c r="C874" s="11">
        <f t="shared" si="66"/>
        <v>5</v>
      </c>
      <c r="D874" s="11" t="str">
        <f t="shared" si="67"/>
        <v>Fri</v>
      </c>
      <c r="E874" s="11">
        <f t="shared" si="68"/>
        <v>0</v>
      </c>
      <c r="F874" s="11">
        <f t="shared" si="69"/>
        <v>0</v>
      </c>
      <c r="G874" s="16"/>
      <c r="H874" s="11">
        <f>COUNTIF(Events!$A$2:$A$391,$A874)</f>
        <v>0</v>
      </c>
      <c r="I874" s="11" t="str">
        <f>IFERROR(INDEX(Events!$E$2:$E$391,MATCH($A874,Events!$A$2:$A$391,0)),"")</f>
        <v/>
      </c>
    </row>
    <row r="875" spans="1:9" ht="15" customHeight="1" x14ac:dyDescent="0.35">
      <c r="A875" s="12">
        <v>46165</v>
      </c>
      <c r="B875" s="11">
        <f t="shared" si="65"/>
        <v>2026</v>
      </c>
      <c r="C875" s="11">
        <f t="shared" si="66"/>
        <v>5</v>
      </c>
      <c r="D875" s="11" t="str">
        <f t="shared" si="67"/>
        <v>Sat</v>
      </c>
      <c r="E875" s="11">
        <f t="shared" si="68"/>
        <v>0</v>
      </c>
      <c r="F875" s="11">
        <f t="shared" si="69"/>
        <v>0</v>
      </c>
      <c r="G875" s="16"/>
      <c r="H875" s="11">
        <f>COUNTIF(Events!$A$2:$A$391,$A875)</f>
        <v>0</v>
      </c>
      <c r="I875" s="11" t="str">
        <f>IFERROR(INDEX(Events!$E$2:$E$391,MATCH($A875,Events!$A$2:$A$391,0)),"")</f>
        <v/>
      </c>
    </row>
    <row r="876" spans="1:9" ht="15" customHeight="1" x14ac:dyDescent="0.35">
      <c r="A876" s="12">
        <v>46166</v>
      </c>
      <c r="B876" s="11">
        <f t="shared" si="65"/>
        <v>2026</v>
      </c>
      <c r="C876" s="11">
        <f t="shared" si="66"/>
        <v>5</v>
      </c>
      <c r="D876" s="11" t="str">
        <f t="shared" si="67"/>
        <v>Sun</v>
      </c>
      <c r="E876" s="11">
        <f t="shared" si="68"/>
        <v>0</v>
      </c>
      <c r="F876" s="11">
        <f t="shared" si="69"/>
        <v>0</v>
      </c>
      <c r="G876" s="16"/>
      <c r="H876" s="11">
        <f>COUNTIF(Events!$A$2:$A$391,$A876)</f>
        <v>0</v>
      </c>
      <c r="I876" s="11" t="str">
        <f>IFERROR(INDEX(Events!$E$2:$E$391,MATCH($A876,Events!$A$2:$A$391,0)),"")</f>
        <v/>
      </c>
    </row>
    <row r="877" spans="1:9" ht="15" customHeight="1" x14ac:dyDescent="0.35">
      <c r="A877" s="12">
        <v>46167</v>
      </c>
      <c r="B877" s="11">
        <f t="shared" si="65"/>
        <v>2026</v>
      </c>
      <c r="C877" s="11">
        <f t="shared" si="66"/>
        <v>5</v>
      </c>
      <c r="D877" s="11" t="str">
        <f t="shared" si="67"/>
        <v>Mon</v>
      </c>
      <c r="E877" s="11">
        <f t="shared" si="68"/>
        <v>0</v>
      </c>
      <c r="F877" s="11">
        <f t="shared" si="69"/>
        <v>0</v>
      </c>
      <c r="G877" s="16"/>
      <c r="H877" s="11">
        <f>COUNTIF(Events!$A$2:$A$391,$A877)</f>
        <v>0</v>
      </c>
      <c r="I877" s="11" t="str">
        <f>IFERROR(INDEX(Events!$E$2:$E$391,MATCH($A877,Events!$A$2:$A$391,0)),"")</f>
        <v/>
      </c>
    </row>
    <row r="878" spans="1:9" ht="15" customHeight="1" x14ac:dyDescent="0.35">
      <c r="A878" s="12">
        <v>46168</v>
      </c>
      <c r="B878" s="11">
        <f t="shared" si="65"/>
        <v>2026</v>
      </c>
      <c r="C878" s="11">
        <f t="shared" si="66"/>
        <v>5</v>
      </c>
      <c r="D878" s="11" t="str">
        <f t="shared" si="67"/>
        <v>Tue</v>
      </c>
      <c r="E878" s="11">
        <f t="shared" si="68"/>
        <v>0</v>
      </c>
      <c r="F878" s="11">
        <f t="shared" si="69"/>
        <v>0</v>
      </c>
      <c r="G878" s="16"/>
      <c r="H878" s="11">
        <f>COUNTIF(Events!$A$2:$A$391,$A878)</f>
        <v>0</v>
      </c>
      <c r="I878" s="11" t="str">
        <f>IFERROR(INDEX(Events!$E$2:$E$391,MATCH($A878,Events!$A$2:$A$391,0)),"")</f>
        <v/>
      </c>
    </row>
    <row r="879" spans="1:9" ht="15" customHeight="1" x14ac:dyDescent="0.35">
      <c r="A879" s="12">
        <v>46169</v>
      </c>
      <c r="B879" s="11">
        <f t="shared" si="65"/>
        <v>2026</v>
      </c>
      <c r="C879" s="11">
        <f t="shared" si="66"/>
        <v>5</v>
      </c>
      <c r="D879" s="11" t="str">
        <f t="shared" si="67"/>
        <v>Wed</v>
      </c>
      <c r="E879" s="11">
        <f t="shared" si="68"/>
        <v>0</v>
      </c>
      <c r="F879" s="11">
        <f t="shared" si="69"/>
        <v>0</v>
      </c>
      <c r="G879" s="16"/>
      <c r="H879" s="11">
        <f>COUNTIF(Events!$A$2:$A$391,$A879)</f>
        <v>0</v>
      </c>
      <c r="I879" s="11" t="str">
        <f>IFERROR(INDEX(Events!$E$2:$E$391,MATCH($A879,Events!$A$2:$A$391,0)),"")</f>
        <v/>
      </c>
    </row>
    <row r="880" spans="1:9" ht="15" customHeight="1" x14ac:dyDescent="0.35">
      <c r="A880" s="12">
        <v>46170</v>
      </c>
      <c r="B880" s="11">
        <f t="shared" si="65"/>
        <v>2026</v>
      </c>
      <c r="C880" s="11">
        <f t="shared" si="66"/>
        <v>5</v>
      </c>
      <c r="D880" s="11" t="str">
        <f t="shared" si="67"/>
        <v>Thu</v>
      </c>
      <c r="E880" s="11">
        <f t="shared" si="68"/>
        <v>0</v>
      </c>
      <c r="F880" s="11">
        <f t="shared" si="69"/>
        <v>0</v>
      </c>
      <c r="G880" s="16"/>
      <c r="H880" s="11">
        <f>COUNTIF(Events!$A$2:$A$391,$A880)</f>
        <v>0</v>
      </c>
      <c r="I880" s="11" t="str">
        <f>IFERROR(INDEX(Events!$E$2:$E$391,MATCH($A880,Events!$A$2:$A$391,0)),"")</f>
        <v/>
      </c>
    </row>
    <row r="881" spans="1:9" ht="15" customHeight="1" x14ac:dyDescent="0.35">
      <c r="A881" s="12">
        <v>46171</v>
      </c>
      <c r="B881" s="11">
        <f t="shared" si="65"/>
        <v>2026</v>
      </c>
      <c r="C881" s="11">
        <f t="shared" si="66"/>
        <v>5</v>
      </c>
      <c r="D881" s="11" t="str">
        <f t="shared" si="67"/>
        <v>Fri</v>
      </c>
      <c r="E881" s="11">
        <f t="shared" si="68"/>
        <v>0</v>
      </c>
      <c r="F881" s="11">
        <f t="shared" si="69"/>
        <v>0</v>
      </c>
      <c r="G881" s="16"/>
      <c r="H881" s="11">
        <f>COUNTIF(Events!$A$2:$A$391,$A881)</f>
        <v>0</v>
      </c>
      <c r="I881" s="11" t="str">
        <f>IFERROR(INDEX(Events!$E$2:$E$391,MATCH($A881,Events!$A$2:$A$391,0)),"")</f>
        <v/>
      </c>
    </row>
    <row r="882" spans="1:9" ht="15" customHeight="1" x14ac:dyDescent="0.35">
      <c r="A882" s="12">
        <v>46172</v>
      </c>
      <c r="B882" s="11">
        <f t="shared" si="65"/>
        <v>2026</v>
      </c>
      <c r="C882" s="11">
        <f t="shared" si="66"/>
        <v>5</v>
      </c>
      <c r="D882" s="11" t="str">
        <f t="shared" si="67"/>
        <v>Sat</v>
      </c>
      <c r="E882" s="11">
        <f t="shared" si="68"/>
        <v>0</v>
      </c>
      <c r="F882" s="11">
        <f t="shared" si="69"/>
        <v>0</v>
      </c>
      <c r="G882" s="16"/>
      <c r="H882" s="11">
        <f>COUNTIF(Events!$A$2:$A$391,$A882)</f>
        <v>0</v>
      </c>
      <c r="I882" s="11" t="str">
        <f>IFERROR(INDEX(Events!$E$2:$E$391,MATCH($A882,Events!$A$2:$A$391,0)),"")</f>
        <v/>
      </c>
    </row>
    <row r="883" spans="1:9" ht="15" customHeight="1" x14ac:dyDescent="0.35">
      <c r="A883" s="12">
        <v>46173</v>
      </c>
      <c r="B883" s="11">
        <f t="shared" si="65"/>
        <v>2026</v>
      </c>
      <c r="C883" s="11">
        <f t="shared" si="66"/>
        <v>5</v>
      </c>
      <c r="D883" s="11" t="str">
        <f t="shared" si="67"/>
        <v>Sun</v>
      </c>
      <c r="E883" s="11">
        <f t="shared" si="68"/>
        <v>0</v>
      </c>
      <c r="F883" s="11">
        <f t="shared" si="69"/>
        <v>0</v>
      </c>
      <c r="G883" s="16"/>
      <c r="H883" s="11">
        <f>COUNTIF(Events!$A$2:$A$391,$A883)</f>
        <v>0</v>
      </c>
      <c r="I883" s="11" t="str">
        <f>IFERROR(INDEX(Events!$E$2:$E$391,MATCH($A883,Events!$A$2:$A$391,0)),"")</f>
        <v/>
      </c>
    </row>
  </sheetData>
  <autoFilter ref="A1:I883" xr:uid="{00000000-0009-0000-0000-000000000000}"/>
  <conditionalFormatting sqref="A2:I883">
    <cfRule type="expression" dxfId="2" priority="2">
      <formula>$H2&gt;0</formula>
    </cfRule>
    <cfRule type="expression" dxfId="1" priority="3">
      <formula>$E2=1</formula>
    </cfRule>
    <cfRule type="expression" dxfId="0" priority="4">
      <formula>$F2=1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1"/>
  <sheetViews>
    <sheetView zoomScaleNormal="100" workbookViewId="0">
      <pane ySplit="1" topLeftCell="A2" activePane="bottomLeft" state="frozen"/>
      <selection pane="bottomLeft" activeCell="A23" sqref="A23:XFD23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22" customWidth="1"/>
    <col min="4" max="4" width="12" customWidth="1"/>
    <col min="5" max="5" width="80" customWidth="1"/>
    <col min="6" max="6" width="45" customWidth="1"/>
  </cols>
  <sheetData>
    <row r="1" spans="1:6" ht="15" customHeight="1" x14ac:dyDescent="0.35">
      <c r="A1" s="13" t="s">
        <v>0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</row>
    <row r="2" spans="1:6" ht="26" x14ac:dyDescent="0.35">
      <c r="A2" s="14">
        <v>45292</v>
      </c>
      <c r="B2" s="15" t="s">
        <v>13</v>
      </c>
      <c r="C2" s="15" t="s">
        <v>14</v>
      </c>
      <c r="D2" s="15" t="s">
        <v>15</v>
      </c>
      <c r="E2" s="8" t="s">
        <v>16</v>
      </c>
      <c r="F2" s="8" t="s">
        <v>17</v>
      </c>
    </row>
    <row r="3" spans="1:6" ht="26" x14ac:dyDescent="0.35">
      <c r="A3" s="14">
        <v>45322</v>
      </c>
      <c r="B3" s="15" t="s">
        <v>18</v>
      </c>
      <c r="C3" s="15" t="s">
        <v>19</v>
      </c>
      <c r="D3" s="15" t="s">
        <v>20</v>
      </c>
      <c r="E3" s="8" t="s">
        <v>21</v>
      </c>
      <c r="F3" s="8" t="s">
        <v>22</v>
      </c>
    </row>
    <row r="4" spans="1:6" ht="29" x14ac:dyDescent="0.35">
      <c r="A4" s="14">
        <v>45383</v>
      </c>
      <c r="B4" s="15" t="s">
        <v>18</v>
      </c>
      <c r="C4" s="15" t="s">
        <v>19</v>
      </c>
      <c r="D4" s="15" t="s">
        <v>20</v>
      </c>
      <c r="E4" s="8" t="s">
        <v>23</v>
      </c>
      <c r="F4" s="17" t="s">
        <v>386</v>
      </c>
    </row>
    <row r="5" spans="1:6" ht="39" x14ac:dyDescent="0.35">
      <c r="A5" s="14">
        <v>45386</v>
      </c>
      <c r="B5" s="15" t="s">
        <v>24</v>
      </c>
      <c r="C5" s="15" t="s">
        <v>25</v>
      </c>
      <c r="D5" s="15" t="s">
        <v>20</v>
      </c>
      <c r="E5" s="8" t="s">
        <v>26</v>
      </c>
      <c r="F5" s="8" t="s">
        <v>27</v>
      </c>
    </row>
    <row r="6" spans="1:6" ht="52" x14ac:dyDescent="0.35">
      <c r="A6" s="14">
        <v>45446</v>
      </c>
      <c r="B6" s="15" t="s">
        <v>24</v>
      </c>
      <c r="C6" s="15" t="s">
        <v>19</v>
      </c>
      <c r="D6" s="15" t="s">
        <v>15</v>
      </c>
      <c r="E6" s="8" t="s">
        <v>28</v>
      </c>
      <c r="F6" s="8" t="s">
        <v>29</v>
      </c>
    </row>
    <row r="7" spans="1:6" ht="39" x14ac:dyDescent="0.35">
      <c r="A7" s="14">
        <v>45566</v>
      </c>
      <c r="B7" s="15" t="s">
        <v>30</v>
      </c>
      <c r="C7" s="15" t="s">
        <v>19</v>
      </c>
      <c r="D7" s="15" t="s">
        <v>15</v>
      </c>
      <c r="E7" s="8" t="s">
        <v>31</v>
      </c>
      <c r="F7" s="8" t="s">
        <v>27</v>
      </c>
    </row>
    <row r="8" spans="1:6" ht="26" x14ac:dyDescent="0.35">
      <c r="A8" s="14">
        <v>45575</v>
      </c>
      <c r="B8" s="15" t="s">
        <v>32</v>
      </c>
      <c r="C8" s="15" t="s">
        <v>19</v>
      </c>
      <c r="D8" s="15" t="s">
        <v>20</v>
      </c>
      <c r="E8" s="8" t="s">
        <v>33</v>
      </c>
      <c r="F8" s="8" t="s">
        <v>34</v>
      </c>
    </row>
    <row r="9" spans="1:6" ht="15" customHeight="1" x14ac:dyDescent="0.35">
      <c r="A9" s="14">
        <v>45622</v>
      </c>
      <c r="B9" s="15" t="s">
        <v>24</v>
      </c>
      <c r="C9" s="15" t="s">
        <v>25</v>
      </c>
      <c r="D9" s="15" t="s">
        <v>20</v>
      </c>
      <c r="E9" s="8" t="s">
        <v>35</v>
      </c>
      <c r="F9" s="8" t="s">
        <v>36</v>
      </c>
    </row>
    <row r="10" spans="1:6" ht="15" customHeight="1" x14ac:dyDescent="0.35">
      <c r="A10" s="14">
        <v>45658</v>
      </c>
      <c r="B10" s="15" t="s">
        <v>13</v>
      </c>
      <c r="C10" s="15" t="s">
        <v>37</v>
      </c>
      <c r="D10" s="15" t="s">
        <v>15</v>
      </c>
      <c r="E10" s="8" t="s">
        <v>38</v>
      </c>
      <c r="F10" s="8" t="s">
        <v>39</v>
      </c>
    </row>
    <row r="11" spans="1:6" ht="15" customHeight="1" x14ac:dyDescent="0.35">
      <c r="A11" s="14">
        <v>45667</v>
      </c>
      <c r="B11" s="15" t="s">
        <v>18</v>
      </c>
      <c r="C11" s="15" t="s">
        <v>19</v>
      </c>
      <c r="D11" s="15" t="s">
        <v>20</v>
      </c>
      <c r="E11" s="8" t="s">
        <v>40</v>
      </c>
      <c r="F11" s="8" t="s">
        <v>41</v>
      </c>
    </row>
    <row r="12" spans="1:6" ht="15" customHeight="1" x14ac:dyDescent="0.35">
      <c r="A12" s="14">
        <v>45751</v>
      </c>
      <c r="B12" s="15" t="s">
        <v>24</v>
      </c>
      <c r="C12" s="15" t="s">
        <v>25</v>
      </c>
      <c r="D12" s="15" t="s">
        <v>20</v>
      </c>
      <c r="E12" s="8" t="s">
        <v>42</v>
      </c>
      <c r="F12" s="8" t="s">
        <v>43</v>
      </c>
    </row>
    <row r="13" spans="1:6" ht="15" customHeight="1" x14ac:dyDescent="0.35">
      <c r="A13" s="14">
        <v>45754</v>
      </c>
      <c r="B13" s="15" t="s">
        <v>18</v>
      </c>
      <c r="C13" s="15" t="s">
        <v>19</v>
      </c>
      <c r="D13" s="15" t="s">
        <v>20</v>
      </c>
      <c r="E13" s="8" t="s">
        <v>44</v>
      </c>
      <c r="F13" s="8" t="s">
        <v>45</v>
      </c>
    </row>
    <row r="14" spans="1:6" ht="15" customHeight="1" x14ac:dyDescent="0.35">
      <c r="A14" s="14">
        <v>45810</v>
      </c>
      <c r="B14" s="15" t="s">
        <v>30</v>
      </c>
      <c r="C14" s="15" t="s">
        <v>46</v>
      </c>
      <c r="D14" s="15" t="s">
        <v>47</v>
      </c>
      <c r="E14" s="8" t="s">
        <v>48</v>
      </c>
      <c r="F14" s="8" t="s">
        <v>49</v>
      </c>
    </row>
    <row r="15" spans="1:6" ht="39" x14ac:dyDescent="0.35">
      <c r="A15" s="14">
        <v>45838</v>
      </c>
      <c r="B15" s="15" t="s">
        <v>24</v>
      </c>
      <c r="C15" s="15" t="s">
        <v>46</v>
      </c>
      <c r="D15" s="15" t="s">
        <v>15</v>
      </c>
      <c r="E15" s="8" t="s">
        <v>50</v>
      </c>
      <c r="F15" s="8" t="s">
        <v>27</v>
      </c>
    </row>
    <row r="16" spans="1:6" ht="15" customHeight="1" x14ac:dyDescent="0.35">
      <c r="A16" s="14">
        <v>45931</v>
      </c>
      <c r="B16" s="15" t="s">
        <v>30</v>
      </c>
      <c r="C16" s="15" t="s">
        <v>19</v>
      </c>
      <c r="D16" s="15" t="s">
        <v>15</v>
      </c>
      <c r="E16" s="8" t="s">
        <v>51</v>
      </c>
      <c r="F16" s="8" t="s">
        <v>52</v>
      </c>
    </row>
    <row r="17" spans="1:6" ht="15" customHeight="1" x14ac:dyDescent="0.35">
      <c r="A17" s="14">
        <v>45939</v>
      </c>
      <c r="B17" s="15" t="s">
        <v>32</v>
      </c>
      <c r="C17" s="15" t="s">
        <v>19</v>
      </c>
      <c r="D17" s="15" t="s">
        <v>20</v>
      </c>
      <c r="E17" s="8" t="s">
        <v>53</v>
      </c>
      <c r="F17" s="8" t="s">
        <v>54</v>
      </c>
    </row>
    <row r="18" spans="1:6" ht="15" customHeight="1" x14ac:dyDescent="0.35">
      <c r="A18" s="14">
        <v>45989</v>
      </c>
      <c r="B18" s="15" t="s">
        <v>24</v>
      </c>
      <c r="C18" s="15" t="s">
        <v>25</v>
      </c>
      <c r="D18" s="15" t="s">
        <v>20</v>
      </c>
      <c r="E18" s="8" t="s">
        <v>55</v>
      </c>
      <c r="F18" s="8" t="s">
        <v>56</v>
      </c>
    </row>
    <row r="19" spans="1:6" ht="15" customHeight="1" x14ac:dyDescent="0.35">
      <c r="A19" s="14">
        <v>46023</v>
      </c>
      <c r="B19" s="15" t="s">
        <v>13</v>
      </c>
      <c r="C19" s="15" t="s">
        <v>37</v>
      </c>
      <c r="D19" s="15" t="s">
        <v>15</v>
      </c>
      <c r="E19" s="8" t="s">
        <v>57</v>
      </c>
      <c r="F19" s="8" t="s">
        <v>58</v>
      </c>
    </row>
    <row r="20" spans="1:6" ht="15" customHeight="1" x14ac:dyDescent="0.35">
      <c r="A20" s="14">
        <v>46048</v>
      </c>
      <c r="B20" s="15" t="s">
        <v>18</v>
      </c>
      <c r="C20" s="15" t="s">
        <v>19</v>
      </c>
      <c r="D20" s="15" t="s">
        <v>20</v>
      </c>
      <c r="E20" s="8" t="s">
        <v>59</v>
      </c>
      <c r="F20" s="8" t="s">
        <v>60</v>
      </c>
    </row>
    <row r="21" spans="1:6" ht="15" customHeight="1" x14ac:dyDescent="0.35">
      <c r="A21" s="14">
        <v>46114</v>
      </c>
      <c r="B21" s="15" t="s">
        <v>24</v>
      </c>
      <c r="C21" s="15" t="s">
        <v>25</v>
      </c>
      <c r="D21" s="15" t="s">
        <v>20</v>
      </c>
      <c r="E21" s="8" t="s">
        <v>61</v>
      </c>
      <c r="F21" s="8" t="s">
        <v>62</v>
      </c>
    </row>
    <row r="22" spans="1:6" ht="15" customHeight="1" x14ac:dyDescent="0.35">
      <c r="A22" s="14">
        <v>46118</v>
      </c>
      <c r="B22" s="15" t="s">
        <v>18</v>
      </c>
      <c r="C22" s="15" t="s">
        <v>19</v>
      </c>
      <c r="D22" s="15" t="s">
        <v>20</v>
      </c>
      <c r="E22" s="8" t="s">
        <v>63</v>
      </c>
      <c r="F22" s="8" t="s">
        <v>64</v>
      </c>
    </row>
    <row r="23" spans="1:6" ht="15" customHeight="1" x14ac:dyDescent="0.35">
      <c r="A23" s="1"/>
      <c r="B23" s="1"/>
      <c r="C23" s="1"/>
      <c r="D23" s="1"/>
      <c r="E23" s="1"/>
      <c r="F23" s="1"/>
    </row>
    <row r="24" spans="1:6" ht="15" customHeight="1" x14ac:dyDescent="0.35">
      <c r="A24" s="1"/>
      <c r="B24" s="1"/>
      <c r="C24" s="1"/>
      <c r="D24" s="1"/>
      <c r="E24" s="1"/>
      <c r="F24" s="1"/>
    </row>
    <row r="25" spans="1:6" ht="15" customHeight="1" x14ac:dyDescent="0.35">
      <c r="A25" s="1"/>
      <c r="B25" s="1"/>
      <c r="C25" s="1"/>
      <c r="D25" s="1"/>
      <c r="E25" s="1"/>
      <c r="F25" s="1"/>
    </row>
    <row r="26" spans="1:6" ht="15" customHeight="1" x14ac:dyDescent="0.35">
      <c r="A26" s="1"/>
      <c r="B26" s="1"/>
      <c r="C26" s="1"/>
      <c r="D26" s="1"/>
      <c r="E26" s="1"/>
      <c r="F26" s="1"/>
    </row>
    <row r="27" spans="1:6" ht="15" customHeight="1" x14ac:dyDescent="0.35">
      <c r="A27" s="1"/>
      <c r="B27" s="1"/>
      <c r="C27" s="1"/>
      <c r="D27" s="1"/>
      <c r="E27" s="1"/>
      <c r="F27" s="1"/>
    </row>
    <row r="28" spans="1:6" ht="15" customHeight="1" x14ac:dyDescent="0.35">
      <c r="A28" s="1"/>
      <c r="B28" s="1"/>
      <c r="C28" s="1"/>
      <c r="D28" s="1"/>
      <c r="E28" s="1"/>
      <c r="F28" s="1"/>
    </row>
    <row r="29" spans="1:6" ht="15" customHeight="1" x14ac:dyDescent="0.35">
      <c r="A29" s="1"/>
      <c r="B29" s="1"/>
      <c r="C29" s="1"/>
      <c r="D29" s="1"/>
      <c r="E29" s="1"/>
      <c r="F29" s="1"/>
    </row>
    <row r="30" spans="1:6" ht="15" customHeight="1" x14ac:dyDescent="0.35">
      <c r="A30" s="1"/>
      <c r="B30" s="1"/>
      <c r="C30" s="1"/>
      <c r="D30" s="1"/>
      <c r="E30" s="1"/>
      <c r="F30" s="1"/>
    </row>
    <row r="31" spans="1:6" ht="15" customHeight="1" x14ac:dyDescent="0.35">
      <c r="A31" s="1"/>
      <c r="B31" s="1"/>
      <c r="C31" s="1"/>
      <c r="D31" s="1"/>
      <c r="E31" s="1"/>
      <c r="F31" s="1"/>
    </row>
    <row r="32" spans="1:6" ht="15" customHeight="1" x14ac:dyDescent="0.35">
      <c r="A32" s="1"/>
      <c r="B32" s="1"/>
      <c r="C32" s="1"/>
      <c r="D32" s="1"/>
      <c r="E32" s="1"/>
      <c r="F32" s="1"/>
    </row>
    <row r="33" spans="1:6" ht="15" customHeight="1" x14ac:dyDescent="0.35">
      <c r="A33" s="1"/>
      <c r="B33" s="1"/>
      <c r="C33" s="1"/>
      <c r="D33" s="1"/>
      <c r="E33" s="1"/>
      <c r="F33" s="1"/>
    </row>
    <row r="34" spans="1:6" ht="15" customHeight="1" x14ac:dyDescent="0.35">
      <c r="A34" s="1"/>
      <c r="B34" s="1"/>
      <c r="C34" s="1"/>
      <c r="D34" s="1"/>
      <c r="E34" s="1"/>
      <c r="F34" s="1"/>
    </row>
    <row r="35" spans="1:6" ht="15" customHeight="1" x14ac:dyDescent="0.35">
      <c r="A35" s="1"/>
      <c r="B35" s="1"/>
      <c r="C35" s="1"/>
      <c r="D35" s="1"/>
      <c r="E35" s="1"/>
      <c r="F35" s="1"/>
    </row>
    <row r="36" spans="1:6" ht="15" customHeight="1" x14ac:dyDescent="0.35">
      <c r="A36" s="1"/>
      <c r="B36" s="1"/>
      <c r="C36" s="1"/>
      <c r="D36" s="1"/>
      <c r="E36" s="1"/>
      <c r="F36" s="1"/>
    </row>
    <row r="37" spans="1:6" ht="15" customHeight="1" x14ac:dyDescent="0.35">
      <c r="A37" s="1"/>
      <c r="B37" s="1"/>
      <c r="C37" s="1"/>
      <c r="D37" s="1"/>
      <c r="E37" s="1"/>
      <c r="F37" s="1"/>
    </row>
    <row r="38" spans="1:6" ht="15" customHeight="1" x14ac:dyDescent="0.35">
      <c r="A38" s="1"/>
      <c r="B38" s="1"/>
      <c r="C38" s="1"/>
      <c r="D38" s="1"/>
      <c r="E38" s="1"/>
      <c r="F38" s="1"/>
    </row>
    <row r="39" spans="1:6" ht="15" customHeight="1" x14ac:dyDescent="0.35">
      <c r="A39" s="1"/>
      <c r="B39" s="1"/>
      <c r="C39" s="1"/>
      <c r="D39" s="1"/>
      <c r="E39" s="1"/>
      <c r="F39" s="1"/>
    </row>
    <row r="40" spans="1:6" ht="15" customHeight="1" x14ac:dyDescent="0.35">
      <c r="A40" s="1"/>
      <c r="B40" s="1"/>
      <c r="C40" s="1"/>
      <c r="D40" s="1"/>
      <c r="E40" s="1"/>
      <c r="F40" s="1"/>
    </row>
    <row r="41" spans="1:6" ht="15" customHeight="1" x14ac:dyDescent="0.35">
      <c r="A41" s="1"/>
      <c r="B41" s="1"/>
      <c r="C41" s="1"/>
      <c r="D41" s="1"/>
      <c r="E41" s="1"/>
      <c r="F41" s="1"/>
    </row>
    <row r="42" spans="1:6" ht="15" customHeight="1" x14ac:dyDescent="0.35">
      <c r="A42" s="1"/>
      <c r="B42" s="1"/>
      <c r="C42" s="1"/>
      <c r="D42" s="1"/>
      <c r="E42" s="1"/>
      <c r="F42" s="1"/>
    </row>
    <row r="43" spans="1:6" ht="15" customHeight="1" x14ac:dyDescent="0.35">
      <c r="A43" s="1"/>
      <c r="B43" s="1"/>
      <c r="C43" s="1"/>
      <c r="D43" s="1"/>
      <c r="E43" s="1"/>
      <c r="F43" s="1"/>
    </row>
    <row r="44" spans="1:6" ht="15" customHeight="1" x14ac:dyDescent="0.35">
      <c r="A44" s="1"/>
      <c r="B44" s="1"/>
      <c r="C44" s="1"/>
      <c r="D44" s="1"/>
      <c r="E44" s="1"/>
      <c r="F44" s="1"/>
    </row>
    <row r="45" spans="1:6" ht="15" customHeight="1" x14ac:dyDescent="0.35">
      <c r="A45" s="1"/>
      <c r="B45" s="1"/>
      <c r="C45" s="1"/>
      <c r="D45" s="1"/>
      <c r="E45" s="1"/>
      <c r="F45" s="1"/>
    </row>
    <row r="46" spans="1:6" ht="15" customHeight="1" x14ac:dyDescent="0.35">
      <c r="A46" s="1"/>
      <c r="B46" s="1"/>
      <c r="C46" s="1"/>
      <c r="D46" s="1"/>
      <c r="E46" s="1"/>
      <c r="F46" s="1"/>
    </row>
    <row r="47" spans="1:6" ht="15" customHeight="1" x14ac:dyDescent="0.35">
      <c r="A47" s="1"/>
      <c r="B47" s="1"/>
      <c r="C47" s="1"/>
      <c r="D47" s="1"/>
      <c r="E47" s="1"/>
      <c r="F47" s="1"/>
    </row>
    <row r="48" spans="1:6" ht="15" customHeight="1" x14ac:dyDescent="0.35">
      <c r="A48" s="1"/>
      <c r="B48" s="1"/>
      <c r="C48" s="1"/>
      <c r="D48" s="1"/>
      <c r="E48" s="1"/>
      <c r="F48" s="1"/>
    </row>
    <row r="49" spans="1:6" ht="15" customHeight="1" x14ac:dyDescent="0.35">
      <c r="A49" s="1"/>
      <c r="B49" s="1"/>
      <c r="C49" s="1"/>
      <c r="D49" s="1"/>
      <c r="E49" s="1"/>
      <c r="F49" s="1"/>
    </row>
    <row r="50" spans="1:6" ht="15" customHeight="1" x14ac:dyDescent="0.35">
      <c r="A50" s="1"/>
      <c r="B50" s="1"/>
      <c r="C50" s="1"/>
      <c r="D50" s="1"/>
      <c r="E50" s="1"/>
      <c r="F50" s="1"/>
    </row>
    <row r="51" spans="1:6" ht="15" customHeight="1" x14ac:dyDescent="0.35">
      <c r="A51" s="1"/>
      <c r="B51" s="1"/>
      <c r="C51" s="1"/>
      <c r="D51" s="1"/>
      <c r="E51" s="1"/>
      <c r="F51" s="1"/>
    </row>
    <row r="52" spans="1:6" ht="15" customHeight="1" x14ac:dyDescent="0.35">
      <c r="A52" s="1"/>
      <c r="B52" s="1"/>
      <c r="C52" s="1"/>
      <c r="D52" s="1"/>
      <c r="E52" s="1"/>
      <c r="F52" s="1"/>
    </row>
    <row r="53" spans="1:6" ht="15" customHeight="1" x14ac:dyDescent="0.35">
      <c r="A53" s="1"/>
      <c r="B53" s="1"/>
      <c r="C53" s="1"/>
      <c r="D53" s="1"/>
      <c r="E53" s="1"/>
      <c r="F53" s="1"/>
    </row>
    <row r="54" spans="1:6" ht="15" customHeight="1" x14ac:dyDescent="0.35">
      <c r="A54" s="1"/>
      <c r="B54" s="1"/>
      <c r="C54" s="1"/>
      <c r="D54" s="1"/>
      <c r="E54" s="1"/>
      <c r="F54" s="1"/>
    </row>
    <row r="55" spans="1:6" ht="15" customHeight="1" x14ac:dyDescent="0.35">
      <c r="A55" s="1"/>
      <c r="B55" s="1"/>
      <c r="C55" s="1"/>
      <c r="D55" s="1"/>
      <c r="E55" s="1"/>
      <c r="F55" s="1"/>
    </row>
    <row r="56" spans="1:6" ht="15" customHeight="1" x14ac:dyDescent="0.35">
      <c r="A56" s="1"/>
      <c r="B56" s="1"/>
      <c r="C56" s="1"/>
      <c r="D56" s="1"/>
      <c r="E56" s="1"/>
      <c r="F56" s="1"/>
    </row>
    <row r="57" spans="1:6" ht="15" customHeight="1" x14ac:dyDescent="0.35">
      <c r="A57" s="1"/>
      <c r="B57" s="1"/>
      <c r="C57" s="1"/>
      <c r="D57" s="1"/>
      <c r="E57" s="1"/>
      <c r="F57" s="1"/>
    </row>
    <row r="58" spans="1:6" ht="15" customHeight="1" x14ac:dyDescent="0.35">
      <c r="A58" s="1"/>
      <c r="B58" s="1"/>
      <c r="C58" s="1"/>
      <c r="D58" s="1"/>
      <c r="E58" s="1"/>
      <c r="F58" s="1"/>
    </row>
    <row r="59" spans="1:6" ht="15" customHeight="1" x14ac:dyDescent="0.35">
      <c r="A59" s="1"/>
      <c r="B59" s="1"/>
      <c r="C59" s="1"/>
      <c r="D59" s="1"/>
      <c r="E59" s="1"/>
      <c r="F59" s="1"/>
    </row>
    <row r="60" spans="1:6" ht="15" customHeight="1" x14ac:dyDescent="0.35">
      <c r="A60" s="1"/>
      <c r="B60" s="1"/>
      <c r="C60" s="1"/>
      <c r="D60" s="1"/>
      <c r="E60" s="1"/>
      <c r="F60" s="1"/>
    </row>
    <row r="61" spans="1:6" ht="15" customHeight="1" x14ac:dyDescent="0.35">
      <c r="A61" s="1"/>
      <c r="B61" s="1"/>
      <c r="C61" s="1"/>
      <c r="D61" s="1"/>
      <c r="E61" s="1"/>
      <c r="F61" s="1"/>
    </row>
    <row r="62" spans="1:6" ht="15" customHeight="1" x14ac:dyDescent="0.35">
      <c r="A62" s="1"/>
      <c r="B62" s="1"/>
      <c r="C62" s="1"/>
      <c r="D62" s="1"/>
      <c r="E62" s="1"/>
      <c r="F62" s="1"/>
    </row>
    <row r="63" spans="1:6" ht="15" customHeight="1" x14ac:dyDescent="0.35">
      <c r="A63" s="1"/>
      <c r="B63" s="1"/>
      <c r="C63" s="1"/>
      <c r="D63" s="1"/>
      <c r="E63" s="1"/>
      <c r="F63" s="1"/>
    </row>
    <row r="64" spans="1:6" ht="15" customHeight="1" x14ac:dyDescent="0.35">
      <c r="A64" s="1"/>
      <c r="B64" s="1"/>
      <c r="C64" s="1"/>
      <c r="D64" s="1"/>
      <c r="E64" s="1"/>
      <c r="F64" s="1"/>
    </row>
    <row r="65" spans="1:6" ht="15" customHeight="1" x14ac:dyDescent="0.35">
      <c r="A65" s="1"/>
      <c r="B65" s="1"/>
      <c r="C65" s="1"/>
      <c r="D65" s="1"/>
      <c r="E65" s="1"/>
      <c r="F65" s="1"/>
    </row>
    <row r="66" spans="1:6" ht="15" customHeight="1" x14ac:dyDescent="0.35">
      <c r="A66" s="1"/>
      <c r="B66" s="1"/>
      <c r="C66" s="1"/>
      <c r="D66" s="1"/>
      <c r="E66" s="1"/>
      <c r="F66" s="1"/>
    </row>
    <row r="67" spans="1:6" ht="15" customHeight="1" x14ac:dyDescent="0.35">
      <c r="A67" s="1"/>
      <c r="B67" s="1"/>
      <c r="C67" s="1"/>
      <c r="D67" s="1"/>
      <c r="E67" s="1"/>
      <c r="F67" s="1"/>
    </row>
    <row r="68" spans="1:6" ht="15" customHeight="1" x14ac:dyDescent="0.35">
      <c r="A68" s="1"/>
      <c r="B68" s="1"/>
      <c r="C68" s="1"/>
      <c r="D68" s="1"/>
      <c r="E68" s="1"/>
      <c r="F68" s="1"/>
    </row>
    <row r="69" spans="1:6" ht="15" customHeight="1" x14ac:dyDescent="0.35">
      <c r="A69" s="1"/>
      <c r="B69" s="1"/>
      <c r="C69" s="1"/>
      <c r="D69" s="1"/>
      <c r="E69" s="1"/>
      <c r="F69" s="1"/>
    </row>
    <row r="70" spans="1:6" ht="15" customHeight="1" x14ac:dyDescent="0.35">
      <c r="A70" s="1"/>
      <c r="B70" s="1"/>
      <c r="C70" s="1"/>
      <c r="D70" s="1"/>
      <c r="E70" s="1"/>
      <c r="F70" s="1"/>
    </row>
    <row r="71" spans="1:6" ht="15" customHeight="1" x14ac:dyDescent="0.35">
      <c r="A71" s="1"/>
      <c r="B71" s="1"/>
      <c r="C71" s="1"/>
      <c r="D71" s="1"/>
      <c r="E71" s="1"/>
      <c r="F71" s="1"/>
    </row>
    <row r="72" spans="1:6" ht="15" customHeight="1" x14ac:dyDescent="0.35">
      <c r="A72" s="1"/>
      <c r="B72" s="1"/>
      <c r="C72" s="1"/>
      <c r="D72" s="1"/>
      <c r="E72" s="1"/>
      <c r="F72" s="1"/>
    </row>
    <row r="73" spans="1:6" ht="15" customHeight="1" x14ac:dyDescent="0.35">
      <c r="A73" s="1"/>
      <c r="B73" s="1"/>
      <c r="C73" s="1"/>
      <c r="D73" s="1"/>
      <c r="E73" s="1"/>
      <c r="F73" s="1"/>
    </row>
    <row r="74" spans="1:6" ht="15" customHeight="1" x14ac:dyDescent="0.35">
      <c r="A74" s="1"/>
      <c r="B74" s="1"/>
      <c r="C74" s="1"/>
      <c r="D74" s="1"/>
      <c r="E74" s="1"/>
      <c r="F74" s="1"/>
    </row>
    <row r="75" spans="1:6" ht="15" customHeight="1" x14ac:dyDescent="0.35">
      <c r="A75" s="1"/>
      <c r="B75" s="1"/>
      <c r="C75" s="1"/>
      <c r="D75" s="1"/>
      <c r="E75" s="1"/>
      <c r="F75" s="1"/>
    </row>
    <row r="76" spans="1:6" ht="15" customHeight="1" x14ac:dyDescent="0.35">
      <c r="A76" s="1"/>
      <c r="B76" s="1"/>
      <c r="C76" s="1"/>
      <c r="D76" s="1"/>
      <c r="E76" s="1"/>
      <c r="F76" s="1"/>
    </row>
    <row r="77" spans="1:6" ht="15" customHeight="1" x14ac:dyDescent="0.35">
      <c r="A77" s="1"/>
      <c r="B77" s="1"/>
      <c r="C77" s="1"/>
      <c r="D77" s="1"/>
      <c r="E77" s="1"/>
      <c r="F77" s="1"/>
    </row>
    <row r="78" spans="1:6" ht="15" customHeight="1" x14ac:dyDescent="0.35">
      <c r="A78" s="1"/>
      <c r="B78" s="1"/>
      <c r="C78" s="1"/>
      <c r="D78" s="1"/>
      <c r="E78" s="1"/>
      <c r="F78" s="1"/>
    </row>
    <row r="79" spans="1:6" ht="15" customHeight="1" x14ac:dyDescent="0.35">
      <c r="A79" s="1"/>
      <c r="B79" s="1"/>
      <c r="C79" s="1"/>
      <c r="D79" s="1"/>
      <c r="E79" s="1"/>
      <c r="F79" s="1"/>
    </row>
    <row r="80" spans="1:6" ht="15" customHeight="1" x14ac:dyDescent="0.35">
      <c r="A80" s="1"/>
      <c r="B80" s="1"/>
      <c r="C80" s="1"/>
      <c r="D80" s="1"/>
      <c r="E80" s="1"/>
      <c r="F80" s="1"/>
    </row>
    <row r="81" spans="1:6" ht="15" customHeight="1" x14ac:dyDescent="0.35">
      <c r="A81" s="1"/>
      <c r="B81" s="1"/>
      <c r="C81" s="1"/>
      <c r="D81" s="1"/>
      <c r="E81" s="1"/>
      <c r="F81" s="1"/>
    </row>
    <row r="82" spans="1:6" ht="15" customHeight="1" x14ac:dyDescent="0.35">
      <c r="A82" s="1"/>
      <c r="B82" s="1"/>
      <c r="C82" s="1"/>
      <c r="D82" s="1"/>
      <c r="E82" s="1"/>
      <c r="F82" s="1"/>
    </row>
    <row r="83" spans="1:6" ht="15" customHeight="1" x14ac:dyDescent="0.35">
      <c r="A83" s="1"/>
      <c r="B83" s="1"/>
      <c r="C83" s="1"/>
      <c r="D83" s="1"/>
      <c r="E83" s="1"/>
      <c r="F83" s="1"/>
    </row>
    <row r="84" spans="1:6" ht="15" customHeight="1" x14ac:dyDescent="0.35">
      <c r="A84" s="1"/>
      <c r="B84" s="1"/>
      <c r="C84" s="1"/>
      <c r="D84" s="1"/>
      <c r="E84" s="1"/>
      <c r="F84" s="1"/>
    </row>
    <row r="85" spans="1:6" ht="15" customHeight="1" x14ac:dyDescent="0.35">
      <c r="A85" s="1"/>
      <c r="B85" s="1"/>
      <c r="C85" s="1"/>
      <c r="D85" s="1"/>
      <c r="E85" s="1"/>
      <c r="F85" s="1"/>
    </row>
    <row r="86" spans="1:6" ht="15" customHeight="1" x14ac:dyDescent="0.35">
      <c r="A86" s="1"/>
      <c r="B86" s="1"/>
      <c r="C86" s="1"/>
      <c r="D86" s="1"/>
      <c r="E86" s="1"/>
      <c r="F86" s="1"/>
    </row>
    <row r="87" spans="1:6" ht="15" customHeight="1" x14ac:dyDescent="0.35">
      <c r="A87" s="1"/>
      <c r="B87" s="1"/>
      <c r="C87" s="1"/>
      <c r="D87" s="1"/>
      <c r="E87" s="1"/>
      <c r="F87" s="1"/>
    </row>
    <row r="88" spans="1:6" ht="15" customHeight="1" x14ac:dyDescent="0.35">
      <c r="A88" s="1"/>
      <c r="B88" s="1"/>
      <c r="C88" s="1"/>
      <c r="D88" s="1"/>
      <c r="E88" s="1"/>
      <c r="F88" s="1"/>
    </row>
    <row r="89" spans="1:6" ht="15" customHeight="1" x14ac:dyDescent="0.35">
      <c r="A89" s="1"/>
      <c r="B89" s="1"/>
      <c r="C89" s="1"/>
      <c r="D89" s="1"/>
      <c r="E89" s="1"/>
      <c r="F89" s="1"/>
    </row>
    <row r="90" spans="1:6" ht="15" customHeight="1" x14ac:dyDescent="0.35">
      <c r="A90" s="1"/>
      <c r="B90" s="1"/>
      <c r="C90" s="1"/>
      <c r="D90" s="1"/>
      <c r="E90" s="1"/>
      <c r="F90" s="1"/>
    </row>
    <row r="91" spans="1:6" ht="15" customHeight="1" x14ac:dyDescent="0.35">
      <c r="A91" s="1"/>
      <c r="B91" s="1"/>
      <c r="C91" s="1"/>
      <c r="D91" s="1"/>
      <c r="E91" s="1"/>
      <c r="F91" s="1"/>
    </row>
    <row r="92" spans="1:6" ht="15" customHeight="1" x14ac:dyDescent="0.35">
      <c r="A92" s="1"/>
      <c r="B92" s="1"/>
      <c r="C92" s="1"/>
      <c r="D92" s="1"/>
      <c r="E92" s="1"/>
      <c r="F92" s="1"/>
    </row>
    <row r="93" spans="1:6" ht="15" customHeight="1" x14ac:dyDescent="0.35">
      <c r="A93" s="1"/>
      <c r="B93" s="1"/>
      <c r="C93" s="1"/>
      <c r="D93" s="1"/>
      <c r="E93" s="1"/>
      <c r="F93" s="1"/>
    </row>
    <row r="94" spans="1:6" ht="15" customHeight="1" x14ac:dyDescent="0.35">
      <c r="A94" s="1"/>
      <c r="B94" s="1"/>
      <c r="C94" s="1"/>
      <c r="D94" s="1"/>
      <c r="E94" s="1"/>
      <c r="F94" s="1"/>
    </row>
    <row r="95" spans="1:6" ht="15" customHeight="1" x14ac:dyDescent="0.35">
      <c r="A95" s="1"/>
      <c r="B95" s="1"/>
      <c r="C95" s="1"/>
      <c r="D95" s="1"/>
      <c r="E95" s="1"/>
      <c r="F95" s="1"/>
    </row>
    <row r="96" spans="1:6" ht="15" customHeight="1" x14ac:dyDescent="0.35">
      <c r="A96" s="1"/>
      <c r="B96" s="1"/>
      <c r="C96" s="1"/>
      <c r="D96" s="1"/>
      <c r="E96" s="1"/>
      <c r="F96" s="1"/>
    </row>
    <row r="97" spans="1:6" ht="15" customHeight="1" x14ac:dyDescent="0.35">
      <c r="A97" s="1"/>
      <c r="B97" s="1"/>
      <c r="C97" s="1"/>
      <c r="D97" s="1"/>
      <c r="E97" s="1"/>
      <c r="F97" s="1"/>
    </row>
    <row r="98" spans="1:6" ht="15" customHeight="1" x14ac:dyDescent="0.35">
      <c r="A98" s="1"/>
      <c r="B98" s="1"/>
      <c r="C98" s="1"/>
      <c r="D98" s="1"/>
      <c r="E98" s="1"/>
      <c r="F98" s="1"/>
    </row>
    <row r="99" spans="1:6" ht="15" customHeight="1" x14ac:dyDescent="0.35">
      <c r="A99" s="1"/>
      <c r="B99" s="1"/>
      <c r="C99" s="1"/>
      <c r="D99" s="1"/>
      <c r="E99" s="1"/>
      <c r="F99" s="1"/>
    </row>
    <row r="100" spans="1:6" ht="15" customHeight="1" x14ac:dyDescent="0.35">
      <c r="A100" s="1"/>
      <c r="B100" s="1"/>
      <c r="C100" s="1"/>
      <c r="D100" s="1"/>
      <c r="E100" s="1"/>
      <c r="F100" s="1"/>
    </row>
    <row r="101" spans="1:6" ht="15" customHeight="1" x14ac:dyDescent="0.35">
      <c r="A101" s="1"/>
      <c r="B101" s="1"/>
      <c r="C101" s="1"/>
      <c r="D101" s="1"/>
      <c r="E101" s="1"/>
      <c r="F101" s="1"/>
    </row>
    <row r="102" spans="1:6" ht="15" customHeight="1" x14ac:dyDescent="0.35">
      <c r="A102" s="1"/>
      <c r="B102" s="1"/>
      <c r="C102" s="1"/>
      <c r="D102" s="1"/>
      <c r="E102" s="1"/>
      <c r="F102" s="1"/>
    </row>
    <row r="103" spans="1:6" ht="15" customHeight="1" x14ac:dyDescent="0.35">
      <c r="A103" s="1"/>
      <c r="B103" s="1"/>
      <c r="C103" s="1"/>
      <c r="D103" s="1"/>
      <c r="E103" s="1"/>
      <c r="F103" s="1"/>
    </row>
    <row r="104" spans="1:6" ht="15" customHeight="1" x14ac:dyDescent="0.35">
      <c r="A104" s="1"/>
      <c r="B104" s="1"/>
      <c r="C104" s="1"/>
      <c r="D104" s="1"/>
      <c r="E104" s="1"/>
      <c r="F104" s="1"/>
    </row>
    <row r="105" spans="1:6" ht="15" customHeight="1" x14ac:dyDescent="0.35">
      <c r="A105" s="1"/>
      <c r="B105" s="1"/>
      <c r="C105" s="1"/>
      <c r="D105" s="1"/>
      <c r="E105" s="1"/>
      <c r="F105" s="1"/>
    </row>
    <row r="106" spans="1:6" ht="15" customHeight="1" x14ac:dyDescent="0.35">
      <c r="A106" s="1"/>
      <c r="B106" s="1"/>
      <c r="C106" s="1"/>
      <c r="D106" s="1"/>
      <c r="E106" s="1"/>
      <c r="F106" s="1"/>
    </row>
    <row r="107" spans="1:6" ht="15" customHeight="1" x14ac:dyDescent="0.35">
      <c r="A107" s="1"/>
      <c r="B107" s="1"/>
      <c r="C107" s="1"/>
      <c r="D107" s="1"/>
      <c r="E107" s="1"/>
      <c r="F107" s="1"/>
    </row>
    <row r="108" spans="1:6" ht="15" customHeight="1" x14ac:dyDescent="0.35">
      <c r="A108" s="1"/>
      <c r="B108" s="1"/>
      <c r="C108" s="1"/>
      <c r="D108" s="1"/>
      <c r="E108" s="1"/>
      <c r="F108" s="1"/>
    </row>
    <row r="109" spans="1:6" ht="15" customHeight="1" x14ac:dyDescent="0.35">
      <c r="A109" s="1"/>
      <c r="B109" s="1"/>
      <c r="C109" s="1"/>
      <c r="D109" s="1"/>
      <c r="E109" s="1"/>
      <c r="F109" s="1"/>
    </row>
    <row r="110" spans="1:6" ht="15" customHeight="1" x14ac:dyDescent="0.35">
      <c r="A110" s="1"/>
      <c r="B110" s="1"/>
      <c r="C110" s="1"/>
      <c r="D110" s="1"/>
      <c r="E110" s="1"/>
      <c r="F110" s="1"/>
    </row>
    <row r="111" spans="1:6" ht="15" customHeight="1" x14ac:dyDescent="0.35">
      <c r="A111" s="1"/>
      <c r="B111" s="1"/>
      <c r="C111" s="1"/>
      <c r="D111" s="1"/>
      <c r="E111" s="1"/>
      <c r="F111" s="1"/>
    </row>
    <row r="112" spans="1:6" ht="15" customHeight="1" x14ac:dyDescent="0.35">
      <c r="A112" s="1"/>
      <c r="B112" s="1"/>
      <c r="C112" s="1"/>
      <c r="D112" s="1"/>
      <c r="E112" s="1"/>
      <c r="F112" s="1"/>
    </row>
    <row r="113" spans="1:6" ht="15" customHeight="1" x14ac:dyDescent="0.35">
      <c r="A113" s="1"/>
      <c r="B113" s="1"/>
      <c r="C113" s="1"/>
      <c r="D113" s="1"/>
      <c r="E113" s="1"/>
      <c r="F113" s="1"/>
    </row>
    <row r="114" spans="1:6" ht="15" customHeight="1" x14ac:dyDescent="0.35">
      <c r="A114" s="1"/>
      <c r="B114" s="1"/>
      <c r="C114" s="1"/>
      <c r="D114" s="1"/>
      <c r="E114" s="1"/>
      <c r="F114" s="1"/>
    </row>
    <row r="115" spans="1:6" ht="15" customHeight="1" x14ac:dyDescent="0.35">
      <c r="A115" s="1"/>
      <c r="B115" s="1"/>
      <c r="C115" s="1"/>
      <c r="D115" s="1"/>
      <c r="E115" s="1"/>
      <c r="F115" s="1"/>
    </row>
    <row r="116" spans="1:6" ht="15" customHeight="1" x14ac:dyDescent="0.35">
      <c r="A116" s="1"/>
      <c r="B116" s="1"/>
      <c r="C116" s="1"/>
      <c r="D116" s="1"/>
      <c r="E116" s="1"/>
      <c r="F116" s="1"/>
    </row>
    <row r="117" spans="1:6" ht="15" customHeight="1" x14ac:dyDescent="0.35">
      <c r="A117" s="1"/>
      <c r="B117" s="1"/>
      <c r="C117" s="1"/>
      <c r="D117" s="1"/>
      <c r="E117" s="1"/>
      <c r="F117" s="1"/>
    </row>
    <row r="118" spans="1:6" ht="15" customHeight="1" x14ac:dyDescent="0.35">
      <c r="A118" s="1"/>
      <c r="B118" s="1"/>
      <c r="C118" s="1"/>
      <c r="D118" s="1"/>
      <c r="E118" s="1"/>
      <c r="F118" s="1"/>
    </row>
    <row r="119" spans="1:6" ht="15" customHeight="1" x14ac:dyDescent="0.35">
      <c r="A119" s="1"/>
      <c r="B119" s="1"/>
      <c r="C119" s="1"/>
      <c r="D119" s="1"/>
      <c r="E119" s="1"/>
      <c r="F119" s="1"/>
    </row>
    <row r="120" spans="1:6" ht="15" customHeight="1" x14ac:dyDescent="0.35">
      <c r="A120" s="1"/>
      <c r="B120" s="1"/>
      <c r="C120" s="1"/>
      <c r="D120" s="1"/>
      <c r="E120" s="1"/>
      <c r="F120" s="1"/>
    </row>
    <row r="121" spans="1:6" ht="15" customHeight="1" x14ac:dyDescent="0.35">
      <c r="A121" s="1"/>
      <c r="B121" s="1"/>
      <c r="C121" s="1"/>
      <c r="D121" s="1"/>
      <c r="E121" s="1"/>
      <c r="F121" s="1"/>
    </row>
    <row r="122" spans="1:6" ht="15" customHeight="1" x14ac:dyDescent="0.35">
      <c r="A122" s="1"/>
      <c r="B122" s="1"/>
      <c r="C122" s="1"/>
      <c r="D122" s="1"/>
      <c r="E122" s="1"/>
      <c r="F122" s="1"/>
    </row>
    <row r="123" spans="1:6" ht="15" customHeight="1" x14ac:dyDescent="0.35">
      <c r="A123" s="1"/>
      <c r="B123" s="1"/>
      <c r="C123" s="1"/>
      <c r="D123" s="1"/>
      <c r="E123" s="1"/>
      <c r="F123" s="1"/>
    </row>
    <row r="124" spans="1:6" ht="15" customHeight="1" x14ac:dyDescent="0.35">
      <c r="A124" s="1"/>
      <c r="B124" s="1"/>
      <c r="C124" s="1"/>
      <c r="D124" s="1"/>
      <c r="E124" s="1"/>
      <c r="F124" s="1"/>
    </row>
    <row r="125" spans="1:6" ht="15" customHeight="1" x14ac:dyDescent="0.35">
      <c r="A125" s="1"/>
      <c r="B125" s="1"/>
      <c r="C125" s="1"/>
      <c r="D125" s="1"/>
      <c r="E125" s="1"/>
      <c r="F125" s="1"/>
    </row>
    <row r="126" spans="1:6" ht="15" customHeight="1" x14ac:dyDescent="0.35">
      <c r="A126" s="1"/>
      <c r="B126" s="1"/>
      <c r="C126" s="1"/>
      <c r="D126" s="1"/>
      <c r="E126" s="1"/>
      <c r="F126" s="1"/>
    </row>
    <row r="127" spans="1:6" ht="15" customHeight="1" x14ac:dyDescent="0.35">
      <c r="A127" s="1"/>
      <c r="B127" s="1"/>
      <c r="C127" s="1"/>
      <c r="D127" s="1"/>
      <c r="E127" s="1"/>
      <c r="F127" s="1"/>
    </row>
    <row r="128" spans="1:6" ht="15" customHeight="1" x14ac:dyDescent="0.35">
      <c r="A128" s="1"/>
      <c r="B128" s="1"/>
      <c r="C128" s="1"/>
      <c r="D128" s="1"/>
      <c r="E128" s="1"/>
      <c r="F128" s="1"/>
    </row>
    <row r="129" spans="1:6" ht="15" customHeight="1" x14ac:dyDescent="0.35">
      <c r="A129" s="1"/>
      <c r="B129" s="1"/>
      <c r="C129" s="1"/>
      <c r="D129" s="1"/>
      <c r="E129" s="1"/>
      <c r="F129" s="1"/>
    </row>
    <row r="130" spans="1:6" ht="15" customHeight="1" x14ac:dyDescent="0.35">
      <c r="A130" s="1"/>
      <c r="B130" s="1"/>
      <c r="C130" s="1"/>
      <c r="D130" s="1"/>
      <c r="E130" s="1"/>
      <c r="F130" s="1"/>
    </row>
    <row r="131" spans="1:6" ht="15" customHeight="1" x14ac:dyDescent="0.35">
      <c r="A131" s="1"/>
      <c r="B131" s="1"/>
      <c r="C131" s="1"/>
      <c r="D131" s="1"/>
      <c r="E131" s="1"/>
      <c r="F131" s="1"/>
    </row>
    <row r="132" spans="1:6" ht="15" customHeight="1" x14ac:dyDescent="0.35">
      <c r="A132" s="1"/>
      <c r="B132" s="1"/>
      <c r="C132" s="1"/>
      <c r="D132" s="1"/>
      <c r="E132" s="1"/>
      <c r="F132" s="1"/>
    </row>
    <row r="133" spans="1:6" ht="15" customHeight="1" x14ac:dyDescent="0.35">
      <c r="A133" s="1"/>
      <c r="B133" s="1"/>
      <c r="C133" s="1"/>
      <c r="D133" s="1"/>
      <c r="E133" s="1"/>
      <c r="F133" s="1"/>
    </row>
    <row r="134" spans="1:6" ht="15" customHeight="1" x14ac:dyDescent="0.35">
      <c r="A134" s="1"/>
      <c r="B134" s="1"/>
      <c r="C134" s="1"/>
      <c r="D134" s="1"/>
      <c r="E134" s="1"/>
      <c r="F134" s="1"/>
    </row>
    <row r="135" spans="1:6" ht="15" customHeight="1" x14ac:dyDescent="0.35">
      <c r="A135" s="1"/>
      <c r="B135" s="1"/>
      <c r="C135" s="1"/>
      <c r="D135" s="1"/>
      <c r="E135" s="1"/>
      <c r="F135" s="1"/>
    </row>
    <row r="136" spans="1:6" ht="15" customHeight="1" x14ac:dyDescent="0.35">
      <c r="A136" s="1"/>
      <c r="B136" s="1"/>
      <c r="C136" s="1"/>
      <c r="D136" s="1"/>
      <c r="E136" s="1"/>
      <c r="F136" s="1"/>
    </row>
    <row r="137" spans="1:6" ht="15" customHeight="1" x14ac:dyDescent="0.35">
      <c r="A137" s="1"/>
      <c r="B137" s="1"/>
      <c r="C137" s="1"/>
      <c r="D137" s="1"/>
      <c r="E137" s="1"/>
      <c r="F137" s="1"/>
    </row>
    <row r="138" spans="1:6" ht="15" customHeight="1" x14ac:dyDescent="0.35">
      <c r="A138" s="1"/>
      <c r="B138" s="1"/>
      <c r="C138" s="1"/>
      <c r="D138" s="1"/>
      <c r="E138" s="1"/>
      <c r="F138" s="1"/>
    </row>
    <row r="139" spans="1:6" ht="15" customHeight="1" x14ac:dyDescent="0.35">
      <c r="A139" s="1"/>
      <c r="B139" s="1"/>
      <c r="C139" s="1"/>
      <c r="D139" s="1"/>
      <c r="E139" s="1"/>
      <c r="F139" s="1"/>
    </row>
    <row r="140" spans="1:6" ht="15" customHeight="1" x14ac:dyDescent="0.35">
      <c r="A140" s="1"/>
      <c r="B140" s="1"/>
      <c r="C140" s="1"/>
      <c r="D140" s="1"/>
      <c r="E140" s="1"/>
      <c r="F140" s="1"/>
    </row>
    <row r="141" spans="1:6" ht="15" customHeight="1" x14ac:dyDescent="0.35">
      <c r="A141" s="1"/>
      <c r="B141" s="1"/>
      <c r="C141" s="1"/>
      <c r="D141" s="1"/>
      <c r="E141" s="1"/>
      <c r="F141" s="1"/>
    </row>
    <row r="142" spans="1:6" ht="15" customHeight="1" x14ac:dyDescent="0.35">
      <c r="A142" s="1"/>
      <c r="B142" s="1"/>
      <c r="C142" s="1"/>
      <c r="D142" s="1"/>
      <c r="E142" s="1"/>
      <c r="F142" s="1"/>
    </row>
    <row r="143" spans="1:6" ht="15" customHeight="1" x14ac:dyDescent="0.35">
      <c r="A143" s="1"/>
      <c r="B143" s="1"/>
      <c r="C143" s="1"/>
      <c r="D143" s="1"/>
      <c r="E143" s="1"/>
      <c r="F143" s="1"/>
    </row>
    <row r="144" spans="1:6" ht="15" customHeight="1" x14ac:dyDescent="0.35">
      <c r="A144" s="1"/>
      <c r="B144" s="1"/>
      <c r="C144" s="1"/>
      <c r="D144" s="1"/>
      <c r="E144" s="1"/>
      <c r="F144" s="1"/>
    </row>
    <row r="145" spans="1:6" ht="15" customHeight="1" x14ac:dyDescent="0.35">
      <c r="A145" s="1"/>
      <c r="B145" s="1"/>
      <c r="C145" s="1"/>
      <c r="D145" s="1"/>
      <c r="E145" s="1"/>
      <c r="F145" s="1"/>
    </row>
    <row r="146" spans="1:6" ht="15" customHeight="1" x14ac:dyDescent="0.35">
      <c r="A146" s="1"/>
      <c r="B146" s="1"/>
      <c r="C146" s="1"/>
      <c r="D146" s="1"/>
      <c r="E146" s="1"/>
      <c r="F146" s="1"/>
    </row>
    <row r="147" spans="1:6" ht="15" customHeight="1" x14ac:dyDescent="0.35">
      <c r="A147" s="1"/>
      <c r="B147" s="1"/>
      <c r="C147" s="1"/>
      <c r="D147" s="1"/>
      <c r="E147" s="1"/>
      <c r="F147" s="1"/>
    </row>
    <row r="148" spans="1:6" ht="15" customHeight="1" x14ac:dyDescent="0.35">
      <c r="A148" s="1"/>
      <c r="B148" s="1"/>
      <c r="C148" s="1"/>
      <c r="D148" s="1"/>
      <c r="E148" s="1"/>
      <c r="F148" s="1"/>
    </row>
    <row r="149" spans="1:6" ht="15" customHeight="1" x14ac:dyDescent="0.35">
      <c r="A149" s="1"/>
      <c r="B149" s="1"/>
      <c r="C149" s="1"/>
      <c r="D149" s="1"/>
      <c r="E149" s="1"/>
      <c r="F149" s="1"/>
    </row>
    <row r="150" spans="1:6" ht="15" customHeight="1" x14ac:dyDescent="0.35">
      <c r="A150" s="1"/>
      <c r="B150" s="1"/>
      <c r="C150" s="1"/>
      <c r="D150" s="1"/>
      <c r="E150" s="1"/>
      <c r="F150" s="1"/>
    </row>
    <row r="151" spans="1:6" ht="15" customHeight="1" x14ac:dyDescent="0.35">
      <c r="A151" s="1"/>
      <c r="B151" s="1"/>
      <c r="C151" s="1"/>
      <c r="D151" s="1"/>
      <c r="E151" s="1"/>
      <c r="F151" s="1"/>
    </row>
    <row r="152" spans="1:6" ht="15" customHeight="1" x14ac:dyDescent="0.35">
      <c r="A152" s="1"/>
      <c r="B152" s="1"/>
      <c r="C152" s="1"/>
      <c r="D152" s="1"/>
      <c r="E152" s="1"/>
      <c r="F152" s="1"/>
    </row>
    <row r="153" spans="1:6" ht="15" customHeight="1" x14ac:dyDescent="0.35">
      <c r="A153" s="1"/>
      <c r="B153" s="1"/>
      <c r="C153" s="1"/>
      <c r="D153" s="1"/>
      <c r="E153" s="1"/>
      <c r="F153" s="1"/>
    </row>
    <row r="154" spans="1:6" ht="15" customHeight="1" x14ac:dyDescent="0.35">
      <c r="A154" s="1"/>
      <c r="B154" s="1"/>
      <c r="C154" s="1"/>
      <c r="D154" s="1"/>
      <c r="E154" s="1"/>
      <c r="F154" s="1"/>
    </row>
    <row r="155" spans="1:6" ht="15" customHeight="1" x14ac:dyDescent="0.35">
      <c r="A155" s="1"/>
      <c r="B155" s="1"/>
      <c r="C155" s="1"/>
      <c r="D155" s="1"/>
      <c r="E155" s="1"/>
      <c r="F155" s="1"/>
    </row>
    <row r="156" spans="1:6" ht="15" customHeight="1" x14ac:dyDescent="0.35">
      <c r="A156" s="1"/>
      <c r="B156" s="1"/>
      <c r="C156" s="1"/>
      <c r="D156" s="1"/>
      <c r="E156" s="1"/>
      <c r="F156" s="1"/>
    </row>
    <row r="157" spans="1:6" ht="15" customHeight="1" x14ac:dyDescent="0.35">
      <c r="A157" s="1"/>
      <c r="B157" s="1"/>
      <c r="C157" s="1"/>
      <c r="D157" s="1"/>
      <c r="E157" s="1"/>
      <c r="F157" s="1"/>
    </row>
    <row r="158" spans="1:6" ht="15" customHeight="1" x14ac:dyDescent="0.35">
      <c r="A158" s="1"/>
      <c r="B158" s="1"/>
      <c r="C158" s="1"/>
      <c r="D158" s="1"/>
      <c r="E158" s="1"/>
      <c r="F158" s="1"/>
    </row>
    <row r="159" spans="1:6" ht="15" customHeight="1" x14ac:dyDescent="0.35">
      <c r="A159" s="1"/>
      <c r="B159" s="1"/>
      <c r="C159" s="1"/>
      <c r="D159" s="1"/>
      <c r="E159" s="1"/>
      <c r="F159" s="1"/>
    </row>
    <row r="160" spans="1:6" ht="15" customHeight="1" x14ac:dyDescent="0.35">
      <c r="A160" s="1"/>
      <c r="B160" s="1"/>
      <c r="C160" s="1"/>
      <c r="D160" s="1"/>
      <c r="E160" s="1"/>
      <c r="F160" s="1"/>
    </row>
    <row r="161" spans="1:6" ht="15" customHeight="1" x14ac:dyDescent="0.35">
      <c r="A161" s="1"/>
      <c r="B161" s="1"/>
      <c r="C161" s="1"/>
      <c r="D161" s="1"/>
      <c r="E161" s="1"/>
      <c r="F161" s="1"/>
    </row>
    <row r="162" spans="1:6" ht="15" customHeight="1" x14ac:dyDescent="0.35">
      <c r="A162" s="1"/>
      <c r="B162" s="1"/>
      <c r="C162" s="1"/>
      <c r="D162" s="1"/>
      <c r="E162" s="1"/>
      <c r="F162" s="1"/>
    </row>
    <row r="163" spans="1:6" ht="15" customHeight="1" x14ac:dyDescent="0.35">
      <c r="A163" s="1"/>
      <c r="B163" s="1"/>
      <c r="C163" s="1"/>
      <c r="D163" s="1"/>
      <c r="E163" s="1"/>
      <c r="F163" s="1"/>
    </row>
    <row r="164" spans="1:6" ht="15" customHeight="1" x14ac:dyDescent="0.35">
      <c r="A164" s="1"/>
      <c r="B164" s="1"/>
      <c r="C164" s="1"/>
      <c r="D164" s="1"/>
      <c r="E164" s="1"/>
      <c r="F164" s="1"/>
    </row>
    <row r="165" spans="1:6" ht="15" customHeight="1" x14ac:dyDescent="0.35">
      <c r="A165" s="1"/>
      <c r="B165" s="1"/>
      <c r="C165" s="1"/>
      <c r="D165" s="1"/>
      <c r="E165" s="1"/>
      <c r="F165" s="1"/>
    </row>
    <row r="166" spans="1:6" ht="15" customHeight="1" x14ac:dyDescent="0.35">
      <c r="A166" s="1"/>
      <c r="B166" s="1"/>
      <c r="C166" s="1"/>
      <c r="D166" s="1"/>
      <c r="E166" s="1"/>
      <c r="F166" s="1"/>
    </row>
    <row r="167" spans="1:6" ht="15" customHeight="1" x14ac:dyDescent="0.35">
      <c r="A167" s="1"/>
      <c r="B167" s="1"/>
      <c r="C167" s="1"/>
      <c r="D167" s="1"/>
      <c r="E167" s="1"/>
      <c r="F167" s="1"/>
    </row>
    <row r="168" spans="1:6" ht="15" customHeight="1" x14ac:dyDescent="0.35">
      <c r="A168" s="1"/>
      <c r="B168" s="1"/>
      <c r="C168" s="1"/>
      <c r="D168" s="1"/>
      <c r="E168" s="1"/>
      <c r="F168" s="1"/>
    </row>
    <row r="169" spans="1:6" ht="15" customHeight="1" x14ac:dyDescent="0.35">
      <c r="A169" s="1"/>
      <c r="B169" s="1"/>
      <c r="C169" s="1"/>
      <c r="D169" s="1"/>
      <c r="E169" s="1"/>
      <c r="F169" s="1"/>
    </row>
    <row r="170" spans="1:6" ht="15" customHeight="1" x14ac:dyDescent="0.35">
      <c r="A170" s="1"/>
      <c r="B170" s="1"/>
      <c r="C170" s="1"/>
      <c r="D170" s="1"/>
      <c r="E170" s="1"/>
      <c r="F170" s="1"/>
    </row>
    <row r="171" spans="1:6" ht="15" customHeight="1" x14ac:dyDescent="0.35">
      <c r="A171" s="1"/>
      <c r="B171" s="1"/>
      <c r="C171" s="1"/>
      <c r="D171" s="1"/>
      <c r="E171" s="1"/>
      <c r="F171" s="1"/>
    </row>
    <row r="172" spans="1:6" ht="15" customHeight="1" x14ac:dyDescent="0.35">
      <c r="A172" s="1"/>
      <c r="B172" s="1"/>
      <c r="C172" s="1"/>
      <c r="D172" s="1"/>
      <c r="E172" s="1"/>
      <c r="F172" s="1"/>
    </row>
    <row r="173" spans="1:6" ht="15" customHeight="1" x14ac:dyDescent="0.35">
      <c r="A173" s="1"/>
      <c r="B173" s="1"/>
      <c r="C173" s="1"/>
      <c r="D173" s="1"/>
      <c r="E173" s="1"/>
      <c r="F173" s="1"/>
    </row>
    <row r="174" spans="1:6" ht="15" customHeight="1" x14ac:dyDescent="0.35">
      <c r="A174" s="1"/>
      <c r="B174" s="1"/>
      <c r="C174" s="1"/>
      <c r="D174" s="1"/>
      <c r="E174" s="1"/>
      <c r="F174" s="1"/>
    </row>
    <row r="175" spans="1:6" ht="15" customHeight="1" x14ac:dyDescent="0.35">
      <c r="A175" s="1"/>
      <c r="B175" s="1"/>
      <c r="C175" s="1"/>
      <c r="D175" s="1"/>
      <c r="E175" s="1"/>
      <c r="F175" s="1"/>
    </row>
    <row r="176" spans="1:6" ht="15" customHeight="1" x14ac:dyDescent="0.35">
      <c r="A176" s="1"/>
      <c r="B176" s="1"/>
      <c r="C176" s="1"/>
      <c r="D176" s="1"/>
      <c r="E176" s="1"/>
      <c r="F176" s="1"/>
    </row>
    <row r="177" spans="1:6" ht="15" customHeight="1" x14ac:dyDescent="0.35">
      <c r="A177" s="1"/>
      <c r="B177" s="1"/>
      <c r="C177" s="1"/>
      <c r="D177" s="1"/>
      <c r="E177" s="1"/>
      <c r="F177" s="1"/>
    </row>
    <row r="178" spans="1:6" ht="15" customHeight="1" x14ac:dyDescent="0.35">
      <c r="A178" s="1"/>
      <c r="B178" s="1"/>
      <c r="C178" s="1"/>
      <c r="D178" s="1"/>
      <c r="E178" s="1"/>
      <c r="F178" s="1"/>
    </row>
    <row r="179" spans="1:6" ht="15" customHeight="1" x14ac:dyDescent="0.35">
      <c r="A179" s="1"/>
      <c r="B179" s="1"/>
      <c r="C179" s="1"/>
      <c r="D179" s="1"/>
      <c r="E179" s="1"/>
      <c r="F179" s="1"/>
    </row>
    <row r="180" spans="1:6" ht="15" customHeight="1" x14ac:dyDescent="0.35">
      <c r="A180" s="1"/>
      <c r="B180" s="1"/>
      <c r="C180" s="1"/>
      <c r="D180" s="1"/>
      <c r="E180" s="1"/>
      <c r="F180" s="1"/>
    </row>
    <row r="181" spans="1:6" ht="15" customHeight="1" x14ac:dyDescent="0.35">
      <c r="A181" s="1"/>
      <c r="B181" s="1"/>
      <c r="C181" s="1"/>
      <c r="D181" s="1"/>
      <c r="E181" s="1"/>
      <c r="F181" s="1"/>
    </row>
    <row r="182" spans="1:6" ht="15" customHeight="1" x14ac:dyDescent="0.35">
      <c r="A182" s="1"/>
      <c r="B182" s="1"/>
      <c r="C182" s="1"/>
      <c r="D182" s="1"/>
      <c r="E182" s="1"/>
      <c r="F182" s="1"/>
    </row>
    <row r="183" spans="1:6" ht="15" customHeight="1" x14ac:dyDescent="0.35">
      <c r="A183" s="1"/>
      <c r="B183" s="1"/>
      <c r="C183" s="1"/>
      <c r="D183" s="1"/>
      <c r="E183" s="1"/>
      <c r="F183" s="1"/>
    </row>
    <row r="184" spans="1:6" ht="15" customHeight="1" x14ac:dyDescent="0.35">
      <c r="A184" s="1"/>
      <c r="B184" s="1"/>
      <c r="C184" s="1"/>
      <c r="D184" s="1"/>
      <c r="E184" s="1"/>
      <c r="F184" s="1"/>
    </row>
    <row r="185" spans="1:6" ht="15" customHeight="1" x14ac:dyDescent="0.35">
      <c r="A185" s="1"/>
      <c r="B185" s="1"/>
      <c r="C185" s="1"/>
      <c r="D185" s="1"/>
      <c r="E185" s="1"/>
      <c r="F185" s="1"/>
    </row>
    <row r="186" spans="1:6" ht="15" customHeight="1" x14ac:dyDescent="0.35">
      <c r="A186" s="1"/>
      <c r="B186" s="1"/>
      <c r="C186" s="1"/>
      <c r="D186" s="1"/>
      <c r="E186" s="1"/>
      <c r="F186" s="1"/>
    </row>
    <row r="187" spans="1:6" ht="15" customHeight="1" x14ac:dyDescent="0.35">
      <c r="A187" s="1"/>
      <c r="B187" s="1"/>
      <c r="C187" s="1"/>
      <c r="D187" s="1"/>
      <c r="E187" s="1"/>
      <c r="F187" s="1"/>
    </row>
    <row r="188" spans="1:6" ht="15" customHeight="1" x14ac:dyDescent="0.35">
      <c r="A188" s="1"/>
      <c r="B188" s="1"/>
      <c r="C188" s="1"/>
      <c r="D188" s="1"/>
      <c r="E188" s="1"/>
      <c r="F188" s="1"/>
    </row>
    <row r="189" spans="1:6" ht="15" customHeight="1" x14ac:dyDescent="0.35">
      <c r="A189" s="1"/>
      <c r="B189" s="1"/>
      <c r="C189" s="1"/>
      <c r="D189" s="1"/>
      <c r="E189" s="1"/>
      <c r="F189" s="1"/>
    </row>
    <row r="190" spans="1:6" ht="15" customHeight="1" x14ac:dyDescent="0.35">
      <c r="A190" s="1"/>
      <c r="B190" s="1"/>
      <c r="C190" s="1"/>
      <c r="D190" s="1"/>
      <c r="E190" s="1"/>
      <c r="F190" s="1"/>
    </row>
    <row r="191" spans="1:6" ht="15" customHeight="1" x14ac:dyDescent="0.35">
      <c r="A191" s="1"/>
      <c r="B191" s="1"/>
      <c r="C191" s="1"/>
      <c r="D191" s="1"/>
      <c r="E191" s="1"/>
      <c r="F191" s="1"/>
    </row>
    <row r="192" spans="1:6" ht="15" customHeight="1" x14ac:dyDescent="0.35">
      <c r="A192" s="1"/>
      <c r="B192" s="1"/>
      <c r="C192" s="1"/>
      <c r="D192" s="1"/>
      <c r="E192" s="1"/>
      <c r="F192" s="1"/>
    </row>
    <row r="193" spans="1:6" ht="15" customHeight="1" x14ac:dyDescent="0.35">
      <c r="A193" s="1"/>
      <c r="B193" s="1"/>
      <c r="C193" s="1"/>
      <c r="D193" s="1"/>
      <c r="E193" s="1"/>
      <c r="F193" s="1"/>
    </row>
    <row r="194" spans="1:6" ht="15" customHeight="1" x14ac:dyDescent="0.35">
      <c r="A194" s="1"/>
      <c r="B194" s="1"/>
      <c r="C194" s="1"/>
      <c r="D194" s="1"/>
      <c r="E194" s="1"/>
      <c r="F194" s="1"/>
    </row>
    <row r="195" spans="1:6" ht="15" customHeight="1" x14ac:dyDescent="0.35">
      <c r="A195" s="1"/>
      <c r="B195" s="1"/>
      <c r="C195" s="1"/>
      <c r="D195" s="1"/>
      <c r="E195" s="1"/>
      <c r="F195" s="1"/>
    </row>
    <row r="196" spans="1:6" ht="15" customHeight="1" x14ac:dyDescent="0.35">
      <c r="A196" s="1"/>
      <c r="B196" s="1"/>
      <c r="C196" s="1"/>
      <c r="D196" s="1"/>
      <c r="E196" s="1"/>
      <c r="F196" s="1"/>
    </row>
    <row r="197" spans="1:6" ht="15" customHeight="1" x14ac:dyDescent="0.35">
      <c r="A197" s="1"/>
      <c r="B197" s="1"/>
      <c r="C197" s="1"/>
      <c r="D197" s="1"/>
      <c r="E197" s="1"/>
      <c r="F197" s="1"/>
    </row>
    <row r="198" spans="1:6" ht="15" customHeight="1" x14ac:dyDescent="0.35">
      <c r="A198" s="1"/>
      <c r="B198" s="1"/>
      <c r="C198" s="1"/>
      <c r="D198" s="1"/>
      <c r="E198" s="1"/>
      <c r="F198" s="1"/>
    </row>
    <row r="199" spans="1:6" ht="15" customHeight="1" x14ac:dyDescent="0.35">
      <c r="A199" s="1"/>
      <c r="B199" s="1"/>
      <c r="C199" s="1"/>
      <c r="D199" s="1"/>
      <c r="E199" s="1"/>
      <c r="F199" s="1"/>
    </row>
    <row r="200" spans="1:6" ht="15" customHeight="1" x14ac:dyDescent="0.35">
      <c r="A200" s="1"/>
      <c r="B200" s="1"/>
      <c r="C200" s="1"/>
      <c r="D200" s="1"/>
      <c r="E200" s="1"/>
      <c r="F200" s="1"/>
    </row>
    <row r="201" spans="1:6" ht="15" customHeight="1" x14ac:dyDescent="0.35">
      <c r="A201" s="1"/>
      <c r="B201" s="1"/>
      <c r="C201" s="1"/>
      <c r="D201" s="1"/>
      <c r="E201" s="1"/>
      <c r="F201" s="1"/>
    </row>
    <row r="202" spans="1:6" ht="15" customHeight="1" x14ac:dyDescent="0.35">
      <c r="A202" s="1"/>
      <c r="B202" s="1"/>
      <c r="C202" s="1"/>
      <c r="D202" s="1"/>
      <c r="E202" s="1"/>
      <c r="F202" s="1"/>
    </row>
    <row r="203" spans="1:6" ht="15" customHeight="1" x14ac:dyDescent="0.35">
      <c r="A203" s="1"/>
      <c r="B203" s="1"/>
      <c r="C203" s="1"/>
      <c r="D203" s="1"/>
      <c r="E203" s="1"/>
      <c r="F203" s="1"/>
    </row>
    <row r="204" spans="1:6" ht="15" customHeight="1" x14ac:dyDescent="0.35">
      <c r="A204" s="1"/>
      <c r="B204" s="1"/>
      <c r="C204" s="1"/>
      <c r="D204" s="1"/>
      <c r="E204" s="1"/>
      <c r="F204" s="1"/>
    </row>
    <row r="205" spans="1:6" ht="15" customHeight="1" x14ac:dyDescent="0.35">
      <c r="A205" s="1"/>
      <c r="B205" s="1"/>
      <c r="C205" s="1"/>
      <c r="D205" s="1"/>
      <c r="E205" s="1"/>
      <c r="F205" s="1"/>
    </row>
    <row r="206" spans="1:6" ht="15" customHeight="1" x14ac:dyDescent="0.35">
      <c r="A206" s="1"/>
      <c r="B206" s="1"/>
      <c r="C206" s="1"/>
      <c r="D206" s="1"/>
      <c r="E206" s="1"/>
      <c r="F206" s="1"/>
    </row>
    <row r="207" spans="1:6" ht="15" customHeight="1" x14ac:dyDescent="0.35">
      <c r="A207" s="1"/>
      <c r="B207" s="1"/>
      <c r="C207" s="1"/>
      <c r="D207" s="1"/>
      <c r="E207" s="1"/>
      <c r="F207" s="1"/>
    </row>
    <row r="208" spans="1:6" ht="15" customHeight="1" x14ac:dyDescent="0.35">
      <c r="A208" s="1"/>
      <c r="B208" s="1"/>
      <c r="C208" s="1"/>
      <c r="D208" s="1"/>
      <c r="E208" s="1"/>
      <c r="F208" s="1"/>
    </row>
    <row r="209" spans="1:6" ht="15" customHeight="1" x14ac:dyDescent="0.35">
      <c r="A209" s="1"/>
      <c r="B209" s="1"/>
      <c r="C209" s="1"/>
      <c r="D209" s="1"/>
      <c r="E209" s="1"/>
      <c r="F209" s="1"/>
    </row>
    <row r="210" spans="1:6" ht="15" customHeight="1" x14ac:dyDescent="0.35">
      <c r="A210" s="1"/>
      <c r="B210" s="1"/>
      <c r="C210" s="1"/>
      <c r="D210" s="1"/>
      <c r="E210" s="1"/>
      <c r="F210" s="1"/>
    </row>
    <row r="211" spans="1:6" ht="15" customHeight="1" x14ac:dyDescent="0.35">
      <c r="A211" s="1"/>
      <c r="B211" s="1"/>
      <c r="C211" s="1"/>
      <c r="D211" s="1"/>
      <c r="E211" s="1"/>
      <c r="F211" s="1"/>
    </row>
    <row r="212" spans="1:6" ht="15" customHeight="1" x14ac:dyDescent="0.35">
      <c r="A212" s="1"/>
      <c r="B212" s="1"/>
      <c r="C212" s="1"/>
      <c r="D212" s="1"/>
      <c r="E212" s="1"/>
      <c r="F212" s="1"/>
    </row>
    <row r="213" spans="1:6" ht="15" customHeight="1" x14ac:dyDescent="0.35">
      <c r="A213" s="1"/>
      <c r="B213" s="1"/>
      <c r="C213" s="1"/>
      <c r="D213" s="1"/>
      <c r="E213" s="1"/>
      <c r="F213" s="1"/>
    </row>
    <row r="214" spans="1:6" ht="15" customHeight="1" x14ac:dyDescent="0.35">
      <c r="A214" s="1"/>
      <c r="B214" s="1"/>
      <c r="C214" s="1"/>
      <c r="D214" s="1"/>
      <c r="E214" s="1"/>
      <c r="F214" s="1"/>
    </row>
    <row r="215" spans="1:6" ht="15" customHeight="1" x14ac:dyDescent="0.35">
      <c r="A215" s="1"/>
      <c r="B215" s="1"/>
      <c r="C215" s="1"/>
      <c r="D215" s="1"/>
      <c r="E215" s="1"/>
      <c r="F215" s="1"/>
    </row>
    <row r="216" spans="1:6" ht="15" customHeight="1" x14ac:dyDescent="0.35">
      <c r="A216" s="1"/>
      <c r="B216" s="1"/>
      <c r="C216" s="1"/>
      <c r="D216" s="1"/>
      <c r="E216" s="1"/>
      <c r="F216" s="1"/>
    </row>
    <row r="217" spans="1:6" ht="15" customHeight="1" x14ac:dyDescent="0.35">
      <c r="A217" s="1"/>
      <c r="B217" s="1"/>
      <c r="C217" s="1"/>
      <c r="D217" s="1"/>
      <c r="E217" s="1"/>
      <c r="F217" s="1"/>
    </row>
    <row r="218" spans="1:6" ht="15" customHeight="1" x14ac:dyDescent="0.35">
      <c r="A218" s="1"/>
      <c r="B218" s="1"/>
      <c r="C218" s="1"/>
      <c r="D218" s="1"/>
      <c r="E218" s="1"/>
      <c r="F218" s="1"/>
    </row>
    <row r="219" spans="1:6" ht="15" customHeight="1" x14ac:dyDescent="0.35">
      <c r="A219" s="1"/>
      <c r="B219" s="1"/>
      <c r="C219" s="1"/>
      <c r="D219" s="1"/>
      <c r="E219" s="1"/>
      <c r="F219" s="1"/>
    </row>
    <row r="220" spans="1:6" ht="15" customHeight="1" x14ac:dyDescent="0.35">
      <c r="A220" s="1"/>
      <c r="B220" s="1"/>
      <c r="C220" s="1"/>
      <c r="D220" s="1"/>
      <c r="E220" s="1"/>
      <c r="F220" s="1"/>
    </row>
    <row r="221" spans="1:6" ht="15" customHeight="1" x14ac:dyDescent="0.35">
      <c r="A221" s="1"/>
      <c r="B221" s="1"/>
      <c r="C221" s="1"/>
      <c r="D221" s="1"/>
      <c r="E221" s="1"/>
      <c r="F221" s="1"/>
    </row>
    <row r="222" spans="1:6" ht="15" customHeight="1" x14ac:dyDescent="0.35">
      <c r="A222" s="1"/>
      <c r="B222" s="1"/>
      <c r="C222" s="1"/>
      <c r="D222" s="1"/>
      <c r="E222" s="1"/>
      <c r="F222" s="1"/>
    </row>
    <row r="223" spans="1:6" ht="15" customHeight="1" x14ac:dyDescent="0.35">
      <c r="A223" s="1"/>
      <c r="B223" s="1"/>
      <c r="C223" s="1"/>
      <c r="D223" s="1"/>
      <c r="E223" s="1"/>
      <c r="F223" s="1"/>
    </row>
    <row r="224" spans="1:6" ht="15" customHeight="1" x14ac:dyDescent="0.35">
      <c r="A224" s="1"/>
      <c r="B224" s="1"/>
      <c r="C224" s="1"/>
      <c r="D224" s="1"/>
      <c r="E224" s="1"/>
      <c r="F224" s="1"/>
    </row>
    <row r="225" spans="1:6" ht="15" customHeight="1" x14ac:dyDescent="0.35">
      <c r="A225" s="1"/>
      <c r="B225" s="1"/>
      <c r="C225" s="1"/>
      <c r="D225" s="1"/>
      <c r="E225" s="1"/>
      <c r="F225" s="1"/>
    </row>
    <row r="226" spans="1:6" ht="15" customHeight="1" x14ac:dyDescent="0.35">
      <c r="A226" s="1"/>
      <c r="B226" s="1"/>
      <c r="C226" s="1"/>
      <c r="D226" s="1"/>
      <c r="E226" s="1"/>
      <c r="F226" s="1"/>
    </row>
    <row r="227" spans="1:6" ht="15" customHeight="1" x14ac:dyDescent="0.35">
      <c r="A227" s="1"/>
      <c r="B227" s="1"/>
      <c r="C227" s="1"/>
      <c r="D227" s="1"/>
      <c r="E227" s="1"/>
      <c r="F227" s="1"/>
    </row>
    <row r="228" spans="1:6" ht="15" customHeight="1" x14ac:dyDescent="0.35">
      <c r="A228" s="1"/>
      <c r="B228" s="1"/>
      <c r="C228" s="1"/>
      <c r="D228" s="1"/>
      <c r="E228" s="1"/>
      <c r="F228" s="1"/>
    </row>
    <row r="229" spans="1:6" ht="15" customHeight="1" x14ac:dyDescent="0.35">
      <c r="A229" s="1"/>
      <c r="B229" s="1"/>
      <c r="C229" s="1"/>
      <c r="D229" s="1"/>
      <c r="E229" s="1"/>
      <c r="F229" s="1"/>
    </row>
    <row r="230" spans="1:6" ht="15" customHeight="1" x14ac:dyDescent="0.35">
      <c r="A230" s="1"/>
      <c r="B230" s="1"/>
      <c r="C230" s="1"/>
      <c r="D230" s="1"/>
      <c r="E230" s="1"/>
      <c r="F230" s="1"/>
    </row>
    <row r="231" spans="1:6" ht="15" customHeight="1" x14ac:dyDescent="0.35">
      <c r="A231" s="1"/>
      <c r="B231" s="1"/>
      <c r="C231" s="1"/>
      <c r="D231" s="1"/>
      <c r="E231" s="1"/>
      <c r="F231" s="1"/>
    </row>
    <row r="232" spans="1:6" ht="15" customHeight="1" x14ac:dyDescent="0.35">
      <c r="A232" s="1"/>
      <c r="B232" s="1"/>
      <c r="C232" s="1"/>
      <c r="D232" s="1"/>
      <c r="E232" s="1"/>
      <c r="F232" s="1"/>
    </row>
    <row r="233" spans="1:6" ht="15" customHeight="1" x14ac:dyDescent="0.35">
      <c r="A233" s="1"/>
      <c r="B233" s="1"/>
      <c r="C233" s="1"/>
      <c r="D233" s="1"/>
      <c r="E233" s="1"/>
      <c r="F233" s="1"/>
    </row>
    <row r="234" spans="1:6" ht="15" customHeight="1" x14ac:dyDescent="0.35">
      <c r="A234" s="1"/>
      <c r="B234" s="1"/>
      <c r="C234" s="1"/>
      <c r="D234" s="1"/>
      <c r="E234" s="1"/>
      <c r="F234" s="1"/>
    </row>
    <row r="235" spans="1:6" ht="15" customHeight="1" x14ac:dyDescent="0.35">
      <c r="A235" s="1"/>
      <c r="B235" s="1"/>
      <c r="C235" s="1"/>
      <c r="D235" s="1"/>
      <c r="E235" s="1"/>
      <c r="F235" s="1"/>
    </row>
    <row r="236" spans="1:6" ht="15" customHeight="1" x14ac:dyDescent="0.35">
      <c r="A236" s="1"/>
      <c r="B236" s="1"/>
      <c r="C236" s="1"/>
      <c r="D236" s="1"/>
      <c r="E236" s="1"/>
      <c r="F236" s="1"/>
    </row>
    <row r="237" spans="1:6" ht="15" customHeight="1" x14ac:dyDescent="0.35">
      <c r="A237" s="1"/>
      <c r="B237" s="1"/>
      <c r="C237" s="1"/>
      <c r="D237" s="1"/>
      <c r="E237" s="1"/>
      <c r="F237" s="1"/>
    </row>
    <row r="238" spans="1:6" ht="15" customHeight="1" x14ac:dyDescent="0.35">
      <c r="A238" s="1"/>
      <c r="B238" s="1"/>
      <c r="C238" s="1"/>
      <c r="D238" s="1"/>
      <c r="E238" s="1"/>
      <c r="F238" s="1"/>
    </row>
    <row r="239" spans="1:6" ht="15" customHeight="1" x14ac:dyDescent="0.35">
      <c r="A239" s="1"/>
      <c r="B239" s="1"/>
      <c r="C239" s="1"/>
      <c r="D239" s="1"/>
      <c r="E239" s="1"/>
      <c r="F239" s="1"/>
    </row>
    <row r="240" spans="1:6" ht="15" customHeight="1" x14ac:dyDescent="0.35">
      <c r="A240" s="1"/>
      <c r="B240" s="1"/>
      <c r="C240" s="1"/>
      <c r="D240" s="1"/>
      <c r="E240" s="1"/>
      <c r="F240" s="1"/>
    </row>
    <row r="241" spans="1:6" ht="15" customHeight="1" x14ac:dyDescent="0.35">
      <c r="A241" s="1"/>
      <c r="B241" s="1"/>
      <c r="C241" s="1"/>
      <c r="D241" s="1"/>
      <c r="E241" s="1"/>
      <c r="F241" s="1"/>
    </row>
    <row r="242" spans="1:6" ht="15" customHeight="1" x14ac:dyDescent="0.35">
      <c r="A242" s="1"/>
      <c r="B242" s="1"/>
      <c r="C242" s="1"/>
      <c r="D242" s="1"/>
      <c r="E242" s="1"/>
      <c r="F242" s="1"/>
    </row>
    <row r="243" spans="1:6" ht="15" customHeight="1" x14ac:dyDescent="0.35">
      <c r="A243" s="1"/>
      <c r="B243" s="1"/>
      <c r="C243" s="1"/>
      <c r="D243" s="1"/>
      <c r="E243" s="1"/>
      <c r="F243" s="1"/>
    </row>
    <row r="244" spans="1:6" ht="15" customHeight="1" x14ac:dyDescent="0.35">
      <c r="A244" s="1"/>
      <c r="B244" s="1"/>
      <c r="C244" s="1"/>
      <c r="D244" s="1"/>
      <c r="E244" s="1"/>
      <c r="F244" s="1"/>
    </row>
    <row r="245" spans="1:6" ht="15" customHeight="1" x14ac:dyDescent="0.35">
      <c r="A245" s="1"/>
      <c r="B245" s="1"/>
      <c r="C245" s="1"/>
      <c r="D245" s="1"/>
      <c r="E245" s="1"/>
      <c r="F245" s="1"/>
    </row>
    <row r="246" spans="1:6" ht="15" customHeight="1" x14ac:dyDescent="0.35">
      <c r="A246" s="1"/>
      <c r="B246" s="1"/>
      <c r="C246" s="1"/>
      <c r="D246" s="1"/>
      <c r="E246" s="1"/>
      <c r="F246" s="1"/>
    </row>
    <row r="247" spans="1:6" ht="15" customHeight="1" x14ac:dyDescent="0.35">
      <c r="A247" s="1"/>
      <c r="B247" s="1"/>
      <c r="C247" s="1"/>
      <c r="D247" s="1"/>
      <c r="E247" s="1"/>
      <c r="F247" s="1"/>
    </row>
    <row r="248" spans="1:6" ht="15" customHeight="1" x14ac:dyDescent="0.35">
      <c r="A248" s="1"/>
      <c r="B248" s="1"/>
      <c r="C248" s="1"/>
      <c r="D248" s="1"/>
      <c r="E248" s="1"/>
      <c r="F248" s="1"/>
    </row>
    <row r="249" spans="1:6" ht="15" customHeight="1" x14ac:dyDescent="0.35">
      <c r="A249" s="1"/>
      <c r="B249" s="1"/>
      <c r="C249" s="1"/>
      <c r="D249" s="1"/>
      <c r="E249" s="1"/>
      <c r="F249" s="1"/>
    </row>
    <row r="250" spans="1:6" ht="15" customHeight="1" x14ac:dyDescent="0.35">
      <c r="A250" s="1"/>
      <c r="B250" s="1"/>
      <c r="C250" s="1"/>
      <c r="D250" s="1"/>
      <c r="E250" s="1"/>
      <c r="F250" s="1"/>
    </row>
    <row r="251" spans="1:6" ht="15" customHeight="1" x14ac:dyDescent="0.35">
      <c r="A251" s="1"/>
      <c r="B251" s="1"/>
      <c r="C251" s="1"/>
      <c r="D251" s="1"/>
      <c r="E251" s="1"/>
      <c r="F251" s="1"/>
    </row>
    <row r="252" spans="1:6" ht="15" customHeight="1" x14ac:dyDescent="0.35">
      <c r="A252" s="1"/>
      <c r="B252" s="1"/>
      <c r="C252" s="1"/>
      <c r="D252" s="1"/>
      <c r="E252" s="1"/>
      <c r="F252" s="1"/>
    </row>
    <row r="253" spans="1:6" ht="15" customHeight="1" x14ac:dyDescent="0.35">
      <c r="A253" s="1"/>
      <c r="B253" s="1"/>
      <c r="C253" s="1"/>
      <c r="D253" s="1"/>
      <c r="E253" s="1"/>
      <c r="F253" s="1"/>
    </row>
    <row r="254" spans="1:6" ht="15" customHeight="1" x14ac:dyDescent="0.35">
      <c r="A254" s="1"/>
      <c r="B254" s="1"/>
      <c r="C254" s="1"/>
      <c r="D254" s="1"/>
      <c r="E254" s="1"/>
      <c r="F254" s="1"/>
    </row>
    <row r="255" spans="1:6" ht="15" customHeight="1" x14ac:dyDescent="0.35">
      <c r="A255" s="1"/>
      <c r="B255" s="1"/>
      <c r="C255" s="1"/>
      <c r="D255" s="1"/>
      <c r="E255" s="1"/>
      <c r="F255" s="1"/>
    </row>
    <row r="256" spans="1:6" ht="15" customHeight="1" x14ac:dyDescent="0.35">
      <c r="A256" s="1"/>
      <c r="B256" s="1"/>
      <c r="C256" s="1"/>
      <c r="D256" s="1"/>
      <c r="E256" s="1"/>
      <c r="F256" s="1"/>
    </row>
    <row r="257" spans="1:6" ht="15" customHeight="1" x14ac:dyDescent="0.35">
      <c r="A257" s="1"/>
      <c r="B257" s="1"/>
      <c r="C257" s="1"/>
      <c r="D257" s="1"/>
      <c r="E257" s="1"/>
      <c r="F257" s="1"/>
    </row>
    <row r="258" spans="1:6" ht="15" customHeight="1" x14ac:dyDescent="0.35">
      <c r="A258" s="1"/>
      <c r="B258" s="1"/>
      <c r="C258" s="1"/>
      <c r="D258" s="1"/>
      <c r="E258" s="1"/>
      <c r="F258" s="1"/>
    </row>
    <row r="259" spans="1:6" ht="15" customHeight="1" x14ac:dyDescent="0.35">
      <c r="A259" s="1"/>
      <c r="B259" s="1"/>
      <c r="C259" s="1"/>
      <c r="D259" s="1"/>
      <c r="E259" s="1"/>
      <c r="F259" s="1"/>
    </row>
    <row r="260" spans="1:6" ht="15" customHeight="1" x14ac:dyDescent="0.35">
      <c r="A260" s="1"/>
      <c r="B260" s="1"/>
      <c r="C260" s="1"/>
      <c r="D260" s="1"/>
      <c r="E260" s="1"/>
      <c r="F260" s="1"/>
    </row>
    <row r="261" spans="1:6" ht="15" customHeight="1" x14ac:dyDescent="0.35">
      <c r="A261" s="1"/>
      <c r="B261" s="1"/>
      <c r="C261" s="1"/>
      <c r="D261" s="1"/>
      <c r="E261" s="1"/>
      <c r="F261" s="1"/>
    </row>
    <row r="262" spans="1:6" ht="15" customHeight="1" x14ac:dyDescent="0.35">
      <c r="A262" s="1"/>
      <c r="B262" s="1"/>
      <c r="C262" s="1"/>
      <c r="D262" s="1"/>
      <c r="E262" s="1"/>
      <c r="F262" s="1"/>
    </row>
    <row r="263" spans="1:6" ht="15" customHeight="1" x14ac:dyDescent="0.35">
      <c r="A263" s="1"/>
      <c r="B263" s="1"/>
      <c r="C263" s="1"/>
      <c r="D263" s="1"/>
      <c r="E263" s="1"/>
      <c r="F263" s="1"/>
    </row>
    <row r="264" spans="1:6" ht="15" customHeight="1" x14ac:dyDescent="0.35">
      <c r="A264" s="1"/>
      <c r="B264" s="1"/>
      <c r="C264" s="1"/>
      <c r="D264" s="1"/>
      <c r="E264" s="1"/>
      <c r="F264" s="1"/>
    </row>
    <row r="265" spans="1:6" ht="15" customHeight="1" x14ac:dyDescent="0.35">
      <c r="A265" s="1"/>
      <c r="B265" s="1"/>
      <c r="C265" s="1"/>
      <c r="D265" s="1"/>
      <c r="E265" s="1"/>
      <c r="F265" s="1"/>
    </row>
    <row r="266" spans="1:6" ht="15" customHeight="1" x14ac:dyDescent="0.35">
      <c r="A266" s="1"/>
      <c r="B266" s="1"/>
      <c r="C266" s="1"/>
      <c r="D266" s="1"/>
      <c r="E266" s="1"/>
      <c r="F266" s="1"/>
    </row>
    <row r="267" spans="1:6" ht="15" customHeight="1" x14ac:dyDescent="0.35">
      <c r="A267" s="1"/>
      <c r="B267" s="1"/>
      <c r="C267" s="1"/>
      <c r="D267" s="1"/>
      <c r="E267" s="1"/>
      <c r="F267" s="1"/>
    </row>
    <row r="268" spans="1:6" ht="15" customHeight="1" x14ac:dyDescent="0.35">
      <c r="A268" s="1"/>
      <c r="B268" s="1"/>
      <c r="C268" s="1"/>
      <c r="D268" s="1"/>
      <c r="E268" s="1"/>
      <c r="F268" s="1"/>
    </row>
    <row r="269" spans="1:6" ht="15" customHeight="1" x14ac:dyDescent="0.35">
      <c r="A269" s="1"/>
      <c r="B269" s="1"/>
      <c r="C269" s="1"/>
      <c r="D269" s="1"/>
      <c r="E269" s="1"/>
      <c r="F269" s="1"/>
    </row>
    <row r="270" spans="1:6" ht="15" customHeight="1" x14ac:dyDescent="0.35">
      <c r="A270" s="1"/>
      <c r="B270" s="1"/>
      <c r="C270" s="1"/>
      <c r="D270" s="1"/>
      <c r="E270" s="1"/>
      <c r="F270" s="1"/>
    </row>
    <row r="271" spans="1:6" ht="15" customHeight="1" x14ac:dyDescent="0.35">
      <c r="A271" s="1"/>
      <c r="B271" s="1"/>
      <c r="C271" s="1"/>
      <c r="D271" s="1"/>
      <c r="E271" s="1"/>
      <c r="F271" s="1"/>
    </row>
    <row r="272" spans="1:6" ht="15" customHeight="1" x14ac:dyDescent="0.35">
      <c r="A272" s="1"/>
      <c r="B272" s="1"/>
      <c r="C272" s="1"/>
      <c r="D272" s="1"/>
      <c r="E272" s="1"/>
      <c r="F272" s="1"/>
    </row>
    <row r="273" spans="1:6" ht="15" customHeight="1" x14ac:dyDescent="0.35">
      <c r="A273" s="1"/>
      <c r="B273" s="1"/>
      <c r="C273" s="1"/>
      <c r="D273" s="1"/>
      <c r="E273" s="1"/>
      <c r="F273" s="1"/>
    </row>
    <row r="274" spans="1:6" ht="15" customHeight="1" x14ac:dyDescent="0.35">
      <c r="A274" s="1"/>
      <c r="B274" s="1"/>
      <c r="C274" s="1"/>
      <c r="D274" s="1"/>
      <c r="E274" s="1"/>
      <c r="F274" s="1"/>
    </row>
    <row r="275" spans="1:6" ht="15" customHeight="1" x14ac:dyDescent="0.35">
      <c r="A275" s="1"/>
      <c r="B275" s="1"/>
      <c r="C275" s="1"/>
      <c r="D275" s="1"/>
      <c r="E275" s="1"/>
      <c r="F275" s="1"/>
    </row>
    <row r="276" spans="1:6" ht="15" customHeight="1" x14ac:dyDescent="0.35">
      <c r="A276" s="1"/>
      <c r="B276" s="1"/>
      <c r="C276" s="1"/>
      <c r="D276" s="1"/>
      <c r="E276" s="1"/>
      <c r="F276" s="1"/>
    </row>
    <row r="277" spans="1:6" ht="15" customHeight="1" x14ac:dyDescent="0.35">
      <c r="A277" s="1"/>
      <c r="B277" s="1"/>
      <c r="C277" s="1"/>
      <c r="D277" s="1"/>
      <c r="E277" s="1"/>
      <c r="F277" s="1"/>
    </row>
    <row r="278" spans="1:6" ht="15" customHeight="1" x14ac:dyDescent="0.35">
      <c r="A278" s="1"/>
      <c r="B278" s="1"/>
      <c r="C278" s="1"/>
      <c r="D278" s="1"/>
      <c r="E278" s="1"/>
      <c r="F278" s="1"/>
    </row>
    <row r="279" spans="1:6" ht="15" customHeight="1" x14ac:dyDescent="0.35">
      <c r="A279" s="1"/>
      <c r="B279" s="1"/>
      <c r="C279" s="1"/>
      <c r="D279" s="1"/>
      <c r="E279" s="1"/>
      <c r="F279" s="1"/>
    </row>
    <row r="280" spans="1:6" ht="15" customHeight="1" x14ac:dyDescent="0.35">
      <c r="A280" s="1"/>
      <c r="B280" s="1"/>
      <c r="C280" s="1"/>
      <c r="D280" s="1"/>
      <c r="E280" s="1"/>
      <c r="F280" s="1"/>
    </row>
    <row r="281" spans="1:6" ht="15" customHeight="1" x14ac:dyDescent="0.35">
      <c r="A281" s="1"/>
      <c r="B281" s="1"/>
      <c r="C281" s="1"/>
      <c r="D281" s="1"/>
      <c r="E281" s="1"/>
      <c r="F281" s="1"/>
    </row>
    <row r="282" spans="1:6" ht="15" customHeight="1" x14ac:dyDescent="0.35">
      <c r="A282" s="1"/>
      <c r="B282" s="1"/>
      <c r="C282" s="1"/>
      <c r="D282" s="1"/>
      <c r="E282" s="1"/>
      <c r="F282" s="1"/>
    </row>
    <row r="283" spans="1:6" ht="15" customHeight="1" x14ac:dyDescent="0.35">
      <c r="A283" s="1"/>
      <c r="B283" s="1"/>
      <c r="C283" s="1"/>
      <c r="D283" s="1"/>
      <c r="E283" s="1"/>
      <c r="F283" s="1"/>
    </row>
    <row r="284" spans="1:6" ht="15" customHeight="1" x14ac:dyDescent="0.35">
      <c r="A284" s="1"/>
      <c r="B284" s="1"/>
      <c r="C284" s="1"/>
      <c r="D284" s="1"/>
      <c r="E284" s="1"/>
      <c r="F284" s="1"/>
    </row>
    <row r="285" spans="1:6" ht="15" customHeight="1" x14ac:dyDescent="0.35">
      <c r="A285" s="1"/>
      <c r="B285" s="1"/>
      <c r="C285" s="1"/>
      <c r="D285" s="1"/>
      <c r="E285" s="1"/>
      <c r="F285" s="1"/>
    </row>
    <row r="286" spans="1:6" ht="15" customHeight="1" x14ac:dyDescent="0.35">
      <c r="A286" s="1"/>
      <c r="B286" s="1"/>
      <c r="C286" s="1"/>
      <c r="D286" s="1"/>
      <c r="E286" s="1"/>
      <c r="F286" s="1"/>
    </row>
    <row r="287" spans="1:6" ht="15" customHeight="1" x14ac:dyDescent="0.35">
      <c r="A287" s="1"/>
      <c r="B287" s="1"/>
      <c r="C287" s="1"/>
      <c r="D287" s="1"/>
      <c r="E287" s="1"/>
      <c r="F287" s="1"/>
    </row>
    <row r="288" spans="1:6" ht="15" customHeight="1" x14ac:dyDescent="0.35">
      <c r="A288" s="1"/>
      <c r="B288" s="1"/>
      <c r="C288" s="1"/>
      <c r="D288" s="1"/>
      <c r="E288" s="1"/>
      <c r="F288" s="1"/>
    </row>
    <row r="289" spans="1:6" ht="15" customHeight="1" x14ac:dyDescent="0.35">
      <c r="A289" s="1"/>
      <c r="B289" s="1"/>
      <c r="C289" s="1"/>
      <c r="D289" s="1"/>
      <c r="E289" s="1"/>
      <c r="F289" s="1"/>
    </row>
    <row r="290" spans="1:6" ht="15" customHeight="1" x14ac:dyDescent="0.35">
      <c r="A290" s="1"/>
      <c r="B290" s="1"/>
      <c r="C290" s="1"/>
      <c r="D290" s="1"/>
      <c r="E290" s="1"/>
      <c r="F290" s="1"/>
    </row>
    <row r="291" spans="1:6" ht="15" customHeight="1" x14ac:dyDescent="0.35">
      <c r="A291" s="1"/>
      <c r="B291" s="1"/>
      <c r="C291" s="1"/>
      <c r="D291" s="1"/>
      <c r="E291" s="1"/>
      <c r="F291" s="1"/>
    </row>
    <row r="292" spans="1:6" ht="15" customHeight="1" x14ac:dyDescent="0.35">
      <c r="A292" s="1"/>
      <c r="B292" s="1"/>
      <c r="C292" s="1"/>
      <c r="D292" s="1"/>
      <c r="E292" s="1"/>
      <c r="F292" s="1"/>
    </row>
    <row r="293" spans="1:6" ht="15" customHeight="1" x14ac:dyDescent="0.35">
      <c r="A293" s="1"/>
      <c r="B293" s="1"/>
      <c r="C293" s="1"/>
      <c r="D293" s="1"/>
      <c r="E293" s="1"/>
      <c r="F293" s="1"/>
    </row>
    <row r="294" spans="1:6" ht="15" customHeight="1" x14ac:dyDescent="0.35">
      <c r="A294" s="1"/>
      <c r="B294" s="1"/>
      <c r="C294" s="1"/>
      <c r="D294" s="1"/>
      <c r="E294" s="1"/>
      <c r="F294" s="1"/>
    </row>
    <row r="295" spans="1:6" ht="15" customHeight="1" x14ac:dyDescent="0.35">
      <c r="A295" s="1"/>
      <c r="B295" s="1"/>
      <c r="C295" s="1"/>
      <c r="D295" s="1"/>
      <c r="E295" s="1"/>
      <c r="F295" s="1"/>
    </row>
    <row r="296" spans="1:6" ht="15" customHeight="1" x14ac:dyDescent="0.35">
      <c r="A296" s="1"/>
      <c r="B296" s="1"/>
      <c r="C296" s="1"/>
      <c r="D296" s="1"/>
      <c r="E296" s="1"/>
      <c r="F296" s="1"/>
    </row>
    <row r="297" spans="1:6" ht="15" customHeight="1" x14ac:dyDescent="0.35">
      <c r="A297" s="1"/>
      <c r="B297" s="1"/>
      <c r="C297" s="1"/>
      <c r="D297" s="1"/>
      <c r="E297" s="1"/>
      <c r="F297" s="1"/>
    </row>
    <row r="298" spans="1:6" ht="15" customHeight="1" x14ac:dyDescent="0.35">
      <c r="A298" s="1"/>
      <c r="B298" s="1"/>
      <c r="C298" s="1"/>
      <c r="D298" s="1"/>
      <c r="E298" s="1"/>
      <c r="F298" s="1"/>
    </row>
    <row r="299" spans="1:6" ht="15" customHeight="1" x14ac:dyDescent="0.35">
      <c r="A299" s="1"/>
      <c r="B299" s="1"/>
      <c r="C299" s="1"/>
      <c r="D299" s="1"/>
      <c r="E299" s="1"/>
      <c r="F299" s="1"/>
    </row>
    <row r="300" spans="1:6" ht="15" customHeight="1" x14ac:dyDescent="0.35">
      <c r="A300" s="1"/>
      <c r="B300" s="1"/>
      <c r="C300" s="1"/>
      <c r="D300" s="1"/>
      <c r="E300" s="1"/>
      <c r="F300" s="1"/>
    </row>
    <row r="301" spans="1:6" ht="15" customHeight="1" x14ac:dyDescent="0.35">
      <c r="A301" s="1"/>
      <c r="B301" s="1"/>
      <c r="C301" s="1"/>
      <c r="D301" s="1"/>
      <c r="E301" s="1"/>
      <c r="F301" s="1"/>
    </row>
    <row r="302" spans="1:6" ht="15" customHeight="1" x14ac:dyDescent="0.35">
      <c r="A302" s="1"/>
      <c r="B302" s="1"/>
      <c r="C302" s="1"/>
      <c r="D302" s="1"/>
      <c r="E302" s="1"/>
      <c r="F302" s="1"/>
    </row>
    <row r="303" spans="1:6" ht="15" customHeight="1" x14ac:dyDescent="0.35">
      <c r="A303" s="1"/>
      <c r="B303" s="1"/>
      <c r="C303" s="1"/>
      <c r="D303" s="1"/>
      <c r="E303" s="1"/>
      <c r="F303" s="1"/>
    </row>
    <row r="304" spans="1:6" ht="15" customHeight="1" x14ac:dyDescent="0.35">
      <c r="A304" s="1"/>
      <c r="B304" s="1"/>
      <c r="C304" s="1"/>
      <c r="D304" s="1"/>
      <c r="E304" s="1"/>
      <c r="F304" s="1"/>
    </row>
    <row r="305" spans="1:6" ht="15" customHeight="1" x14ac:dyDescent="0.35">
      <c r="A305" s="1"/>
      <c r="B305" s="1"/>
      <c r="C305" s="1"/>
      <c r="D305" s="1"/>
      <c r="E305" s="1"/>
      <c r="F305" s="1"/>
    </row>
    <row r="306" spans="1:6" ht="15" customHeight="1" x14ac:dyDescent="0.35">
      <c r="A306" s="1"/>
      <c r="B306" s="1"/>
      <c r="C306" s="1"/>
      <c r="D306" s="1"/>
      <c r="E306" s="1"/>
      <c r="F306" s="1"/>
    </row>
    <row r="307" spans="1:6" ht="15" customHeight="1" x14ac:dyDescent="0.35">
      <c r="A307" s="1"/>
      <c r="B307" s="1"/>
      <c r="C307" s="1"/>
      <c r="D307" s="1"/>
      <c r="E307" s="1"/>
      <c r="F307" s="1"/>
    </row>
    <row r="308" spans="1:6" ht="15" customHeight="1" x14ac:dyDescent="0.35">
      <c r="A308" s="1"/>
      <c r="B308" s="1"/>
      <c r="C308" s="1"/>
      <c r="D308" s="1"/>
      <c r="E308" s="1"/>
      <c r="F308" s="1"/>
    </row>
    <row r="309" spans="1:6" ht="15" customHeight="1" x14ac:dyDescent="0.35">
      <c r="A309" s="1"/>
      <c r="B309" s="1"/>
      <c r="C309" s="1"/>
      <c r="D309" s="1"/>
      <c r="E309" s="1"/>
      <c r="F309" s="1"/>
    </row>
    <row r="310" spans="1:6" ht="15" customHeight="1" x14ac:dyDescent="0.35">
      <c r="A310" s="1"/>
      <c r="B310" s="1"/>
      <c r="C310" s="1"/>
      <c r="D310" s="1"/>
      <c r="E310" s="1"/>
      <c r="F310" s="1"/>
    </row>
    <row r="311" spans="1:6" ht="15" customHeight="1" x14ac:dyDescent="0.35">
      <c r="A311" s="1"/>
      <c r="B311" s="1"/>
      <c r="C311" s="1"/>
      <c r="D311" s="1"/>
      <c r="E311" s="1"/>
      <c r="F311" s="1"/>
    </row>
    <row r="312" spans="1:6" ht="15" customHeight="1" x14ac:dyDescent="0.35">
      <c r="A312" s="1"/>
      <c r="B312" s="1"/>
      <c r="C312" s="1"/>
      <c r="D312" s="1"/>
      <c r="E312" s="1"/>
      <c r="F312" s="1"/>
    </row>
    <row r="313" spans="1:6" ht="15" customHeight="1" x14ac:dyDescent="0.35">
      <c r="A313" s="1"/>
      <c r="B313" s="1"/>
      <c r="C313" s="1"/>
      <c r="D313" s="1"/>
      <c r="E313" s="1"/>
      <c r="F313" s="1"/>
    </row>
    <row r="314" spans="1:6" ht="15" customHeight="1" x14ac:dyDescent="0.35">
      <c r="A314" s="1"/>
      <c r="B314" s="1"/>
      <c r="C314" s="1"/>
      <c r="D314" s="1"/>
      <c r="E314" s="1"/>
      <c r="F314" s="1"/>
    </row>
    <row r="315" spans="1:6" ht="15" customHeight="1" x14ac:dyDescent="0.35">
      <c r="A315" s="1"/>
      <c r="B315" s="1"/>
      <c r="C315" s="1"/>
      <c r="D315" s="1"/>
      <c r="E315" s="1"/>
      <c r="F315" s="1"/>
    </row>
    <row r="316" spans="1:6" ht="15" customHeight="1" x14ac:dyDescent="0.35">
      <c r="A316" s="1"/>
      <c r="B316" s="1"/>
      <c r="C316" s="1"/>
      <c r="D316" s="1"/>
      <c r="E316" s="1"/>
      <c r="F316" s="1"/>
    </row>
    <row r="317" spans="1:6" ht="15" customHeight="1" x14ac:dyDescent="0.35">
      <c r="A317" s="1"/>
      <c r="B317" s="1"/>
      <c r="C317" s="1"/>
      <c r="D317" s="1"/>
      <c r="E317" s="1"/>
      <c r="F317" s="1"/>
    </row>
    <row r="318" spans="1:6" ht="15" customHeight="1" x14ac:dyDescent="0.35">
      <c r="A318" s="1"/>
      <c r="B318" s="1"/>
      <c r="C318" s="1"/>
      <c r="D318" s="1"/>
      <c r="E318" s="1"/>
      <c r="F318" s="1"/>
    </row>
    <row r="319" spans="1:6" ht="15" customHeight="1" x14ac:dyDescent="0.35">
      <c r="A319" s="1"/>
      <c r="B319" s="1"/>
      <c r="C319" s="1"/>
      <c r="D319" s="1"/>
      <c r="E319" s="1"/>
      <c r="F319" s="1"/>
    </row>
    <row r="320" spans="1:6" ht="15" customHeight="1" x14ac:dyDescent="0.35">
      <c r="A320" s="1"/>
      <c r="B320" s="1"/>
      <c r="C320" s="1"/>
      <c r="D320" s="1"/>
      <c r="E320" s="1"/>
      <c r="F320" s="1"/>
    </row>
    <row r="321" spans="1:6" ht="15" customHeight="1" x14ac:dyDescent="0.35">
      <c r="A321" s="1"/>
      <c r="B321" s="1"/>
      <c r="C321" s="1"/>
      <c r="D321" s="1"/>
      <c r="E321" s="1"/>
      <c r="F321" s="1"/>
    </row>
    <row r="322" spans="1:6" ht="15" customHeight="1" x14ac:dyDescent="0.35">
      <c r="A322" s="1"/>
      <c r="B322" s="1"/>
      <c r="C322" s="1"/>
      <c r="D322" s="1"/>
      <c r="E322" s="1"/>
      <c r="F322" s="1"/>
    </row>
    <row r="323" spans="1:6" ht="15" customHeight="1" x14ac:dyDescent="0.35">
      <c r="A323" s="1"/>
      <c r="B323" s="1"/>
      <c r="C323" s="1"/>
      <c r="D323" s="1"/>
      <c r="E323" s="1"/>
      <c r="F323" s="1"/>
    </row>
    <row r="324" spans="1:6" ht="15" customHeight="1" x14ac:dyDescent="0.35">
      <c r="A324" s="1"/>
      <c r="B324" s="1"/>
      <c r="C324" s="1"/>
      <c r="D324" s="1"/>
      <c r="E324" s="1"/>
      <c r="F324" s="1"/>
    </row>
    <row r="325" spans="1:6" ht="15" customHeight="1" x14ac:dyDescent="0.35">
      <c r="A325" s="1"/>
      <c r="B325" s="1"/>
      <c r="C325" s="1"/>
      <c r="D325" s="1"/>
      <c r="E325" s="1"/>
      <c r="F325" s="1"/>
    </row>
    <row r="326" spans="1:6" ht="15" customHeight="1" x14ac:dyDescent="0.35">
      <c r="A326" s="1"/>
      <c r="B326" s="1"/>
      <c r="C326" s="1"/>
      <c r="D326" s="1"/>
      <c r="E326" s="1"/>
      <c r="F326" s="1"/>
    </row>
    <row r="327" spans="1:6" ht="15" customHeight="1" x14ac:dyDescent="0.35">
      <c r="A327" s="1"/>
      <c r="B327" s="1"/>
      <c r="C327" s="1"/>
      <c r="D327" s="1"/>
      <c r="E327" s="1"/>
      <c r="F327" s="1"/>
    </row>
    <row r="328" spans="1:6" ht="15" customHeight="1" x14ac:dyDescent="0.35">
      <c r="A328" s="1"/>
      <c r="B328" s="1"/>
      <c r="C328" s="1"/>
      <c r="D328" s="1"/>
      <c r="E328" s="1"/>
      <c r="F328" s="1"/>
    </row>
    <row r="329" spans="1:6" ht="15" customHeight="1" x14ac:dyDescent="0.35">
      <c r="A329" s="1"/>
      <c r="B329" s="1"/>
      <c r="C329" s="1"/>
      <c r="D329" s="1"/>
      <c r="E329" s="1"/>
      <c r="F329" s="1"/>
    </row>
    <row r="330" spans="1:6" ht="15" customHeight="1" x14ac:dyDescent="0.35">
      <c r="A330" s="1"/>
      <c r="B330" s="1"/>
      <c r="C330" s="1"/>
      <c r="D330" s="1"/>
      <c r="E330" s="1"/>
      <c r="F330" s="1"/>
    </row>
    <row r="331" spans="1:6" ht="15" customHeight="1" x14ac:dyDescent="0.35">
      <c r="A331" s="1"/>
      <c r="B331" s="1"/>
      <c r="C331" s="1"/>
      <c r="D331" s="1"/>
      <c r="E331" s="1"/>
      <c r="F331" s="1"/>
    </row>
    <row r="332" spans="1:6" ht="15" customHeight="1" x14ac:dyDescent="0.35">
      <c r="A332" s="1"/>
      <c r="B332" s="1"/>
      <c r="C332" s="1"/>
      <c r="D332" s="1"/>
      <c r="E332" s="1"/>
      <c r="F332" s="1"/>
    </row>
    <row r="333" spans="1:6" ht="15" customHeight="1" x14ac:dyDescent="0.35">
      <c r="A333" s="1"/>
      <c r="B333" s="1"/>
      <c r="C333" s="1"/>
      <c r="D333" s="1"/>
      <c r="E333" s="1"/>
      <c r="F333" s="1"/>
    </row>
    <row r="334" spans="1:6" ht="15" customHeight="1" x14ac:dyDescent="0.35">
      <c r="A334" s="1"/>
      <c r="B334" s="1"/>
      <c r="C334" s="1"/>
      <c r="D334" s="1"/>
      <c r="E334" s="1"/>
      <c r="F334" s="1"/>
    </row>
    <row r="335" spans="1:6" ht="15" customHeight="1" x14ac:dyDescent="0.35">
      <c r="A335" s="1"/>
      <c r="B335" s="1"/>
      <c r="C335" s="1"/>
      <c r="D335" s="1"/>
      <c r="E335" s="1"/>
      <c r="F335" s="1"/>
    </row>
    <row r="336" spans="1:6" ht="15" customHeight="1" x14ac:dyDescent="0.35">
      <c r="A336" s="1"/>
      <c r="B336" s="1"/>
      <c r="C336" s="1"/>
      <c r="D336" s="1"/>
      <c r="E336" s="1"/>
      <c r="F336" s="1"/>
    </row>
    <row r="337" spans="1:6" ht="15" customHeight="1" x14ac:dyDescent="0.35">
      <c r="A337" s="1"/>
      <c r="B337" s="1"/>
      <c r="C337" s="1"/>
      <c r="D337" s="1"/>
      <c r="E337" s="1"/>
      <c r="F337" s="1"/>
    </row>
    <row r="338" spans="1:6" ht="15" customHeight="1" x14ac:dyDescent="0.35">
      <c r="A338" s="1"/>
      <c r="B338" s="1"/>
      <c r="C338" s="1"/>
      <c r="D338" s="1"/>
      <c r="E338" s="1"/>
      <c r="F338" s="1"/>
    </row>
    <row r="339" spans="1:6" ht="15" customHeight="1" x14ac:dyDescent="0.35">
      <c r="A339" s="1"/>
      <c r="B339" s="1"/>
      <c r="C339" s="1"/>
      <c r="D339" s="1"/>
      <c r="E339" s="1"/>
      <c r="F339" s="1"/>
    </row>
    <row r="340" spans="1:6" ht="15" customHeight="1" x14ac:dyDescent="0.35">
      <c r="A340" s="1"/>
      <c r="B340" s="1"/>
      <c r="C340" s="1"/>
      <c r="D340" s="1"/>
      <c r="E340" s="1"/>
      <c r="F340" s="1"/>
    </row>
    <row r="341" spans="1:6" ht="15" customHeight="1" x14ac:dyDescent="0.35">
      <c r="A341" s="1"/>
      <c r="B341" s="1"/>
      <c r="C341" s="1"/>
      <c r="D341" s="1"/>
      <c r="E341" s="1"/>
      <c r="F341" s="1"/>
    </row>
    <row r="342" spans="1:6" ht="15" customHeight="1" x14ac:dyDescent="0.35">
      <c r="A342" s="1"/>
      <c r="B342" s="1"/>
      <c r="C342" s="1"/>
      <c r="D342" s="1"/>
      <c r="E342" s="1"/>
      <c r="F342" s="1"/>
    </row>
    <row r="343" spans="1:6" ht="15" customHeight="1" x14ac:dyDescent="0.35">
      <c r="A343" s="1"/>
      <c r="B343" s="1"/>
      <c r="C343" s="1"/>
      <c r="D343" s="1"/>
      <c r="E343" s="1"/>
      <c r="F343" s="1"/>
    </row>
    <row r="344" spans="1:6" ht="15" customHeight="1" x14ac:dyDescent="0.35">
      <c r="A344" s="1"/>
      <c r="B344" s="1"/>
      <c r="C344" s="1"/>
      <c r="D344" s="1"/>
      <c r="E344" s="1"/>
      <c r="F344" s="1"/>
    </row>
    <row r="345" spans="1:6" ht="15" customHeight="1" x14ac:dyDescent="0.35">
      <c r="A345" s="1"/>
      <c r="B345" s="1"/>
      <c r="C345" s="1"/>
      <c r="D345" s="1"/>
      <c r="E345" s="1"/>
      <c r="F345" s="1"/>
    </row>
    <row r="346" spans="1:6" ht="15" customHeight="1" x14ac:dyDescent="0.35">
      <c r="A346" s="1"/>
      <c r="B346" s="1"/>
      <c r="C346" s="1"/>
      <c r="D346" s="1"/>
      <c r="E346" s="1"/>
      <c r="F346" s="1"/>
    </row>
    <row r="347" spans="1:6" ht="15" customHeight="1" x14ac:dyDescent="0.35">
      <c r="A347" s="1"/>
      <c r="B347" s="1"/>
      <c r="C347" s="1"/>
      <c r="D347" s="1"/>
      <c r="E347" s="1"/>
      <c r="F347" s="1"/>
    </row>
    <row r="348" spans="1:6" ht="15" customHeight="1" x14ac:dyDescent="0.35">
      <c r="A348" s="1"/>
      <c r="B348" s="1"/>
      <c r="C348" s="1"/>
      <c r="D348" s="1"/>
      <c r="E348" s="1"/>
      <c r="F348" s="1"/>
    </row>
    <row r="349" spans="1:6" ht="15" customHeight="1" x14ac:dyDescent="0.35">
      <c r="A349" s="1"/>
      <c r="B349" s="1"/>
      <c r="C349" s="1"/>
      <c r="D349" s="1"/>
      <c r="E349" s="1"/>
      <c r="F349" s="1"/>
    </row>
    <row r="350" spans="1:6" ht="15" customHeight="1" x14ac:dyDescent="0.35">
      <c r="A350" s="1"/>
      <c r="B350" s="1"/>
      <c r="C350" s="1"/>
      <c r="D350" s="1"/>
      <c r="E350" s="1"/>
      <c r="F350" s="1"/>
    </row>
    <row r="351" spans="1:6" ht="15" customHeight="1" x14ac:dyDescent="0.35">
      <c r="A351" s="1"/>
      <c r="B351" s="1"/>
      <c r="C351" s="1"/>
      <c r="D351" s="1"/>
      <c r="E351" s="1"/>
      <c r="F351" s="1"/>
    </row>
    <row r="352" spans="1:6" ht="15" customHeight="1" x14ac:dyDescent="0.35">
      <c r="A352" s="1"/>
      <c r="B352" s="1"/>
      <c r="C352" s="1"/>
      <c r="D352" s="1"/>
      <c r="E352" s="1"/>
      <c r="F352" s="1"/>
    </row>
    <row r="353" spans="1:6" ht="15" customHeight="1" x14ac:dyDescent="0.35">
      <c r="A353" s="1"/>
      <c r="B353" s="1"/>
      <c r="C353" s="1"/>
      <c r="D353" s="1"/>
      <c r="E353" s="1"/>
      <c r="F353" s="1"/>
    </row>
    <row r="354" spans="1:6" ht="15" customHeight="1" x14ac:dyDescent="0.35">
      <c r="A354" s="1"/>
      <c r="B354" s="1"/>
      <c r="C354" s="1"/>
      <c r="D354" s="1"/>
      <c r="E354" s="1"/>
      <c r="F354" s="1"/>
    </row>
    <row r="355" spans="1:6" ht="15" customHeight="1" x14ac:dyDescent="0.35">
      <c r="A355" s="1"/>
      <c r="B355" s="1"/>
      <c r="C355" s="1"/>
      <c r="D355" s="1"/>
      <c r="E355" s="1"/>
      <c r="F355" s="1"/>
    </row>
    <row r="356" spans="1:6" ht="15" customHeight="1" x14ac:dyDescent="0.35">
      <c r="A356" s="1"/>
      <c r="B356" s="1"/>
      <c r="C356" s="1"/>
      <c r="D356" s="1"/>
      <c r="E356" s="1"/>
      <c r="F356" s="1"/>
    </row>
    <row r="357" spans="1:6" ht="15" customHeight="1" x14ac:dyDescent="0.35">
      <c r="A357" s="1"/>
      <c r="B357" s="1"/>
      <c r="C357" s="1"/>
      <c r="D357" s="1"/>
      <c r="E357" s="1"/>
      <c r="F357" s="1"/>
    </row>
    <row r="358" spans="1:6" ht="15" customHeight="1" x14ac:dyDescent="0.35">
      <c r="A358" s="1"/>
      <c r="B358" s="1"/>
      <c r="C358" s="1"/>
      <c r="D358" s="1"/>
      <c r="E358" s="1"/>
      <c r="F358" s="1"/>
    </row>
    <row r="359" spans="1:6" ht="15" customHeight="1" x14ac:dyDescent="0.35">
      <c r="A359" s="1"/>
      <c r="B359" s="1"/>
      <c r="C359" s="1"/>
      <c r="D359" s="1"/>
      <c r="E359" s="1"/>
      <c r="F359" s="1"/>
    </row>
    <row r="360" spans="1:6" ht="15" customHeight="1" x14ac:dyDescent="0.35">
      <c r="A360" s="1"/>
      <c r="B360" s="1"/>
      <c r="C360" s="1"/>
      <c r="D360" s="1"/>
      <c r="E360" s="1"/>
      <c r="F360" s="1"/>
    </row>
    <row r="361" spans="1:6" ht="15" customHeight="1" x14ac:dyDescent="0.35">
      <c r="A361" s="1"/>
      <c r="B361" s="1"/>
      <c r="C361" s="1"/>
      <c r="D361" s="1"/>
      <c r="E361" s="1"/>
      <c r="F361" s="1"/>
    </row>
    <row r="362" spans="1:6" ht="15" customHeight="1" x14ac:dyDescent="0.35">
      <c r="A362" s="1"/>
      <c r="B362" s="1"/>
      <c r="C362" s="1"/>
      <c r="D362" s="1"/>
      <c r="E362" s="1"/>
      <c r="F362" s="1"/>
    </row>
    <row r="363" spans="1:6" ht="15" customHeight="1" x14ac:dyDescent="0.35">
      <c r="A363" s="1"/>
      <c r="B363" s="1"/>
      <c r="C363" s="1"/>
      <c r="D363" s="1"/>
      <c r="E363" s="1"/>
      <c r="F363" s="1"/>
    </row>
    <row r="364" spans="1:6" ht="15" customHeight="1" x14ac:dyDescent="0.35">
      <c r="A364" s="1"/>
      <c r="B364" s="1"/>
      <c r="C364" s="1"/>
      <c r="D364" s="1"/>
      <c r="E364" s="1"/>
      <c r="F364" s="1"/>
    </row>
    <row r="365" spans="1:6" ht="15" customHeight="1" x14ac:dyDescent="0.35">
      <c r="A365" s="1"/>
      <c r="B365" s="1"/>
      <c r="C365" s="1"/>
      <c r="D365" s="1"/>
      <c r="E365" s="1"/>
      <c r="F365" s="1"/>
    </row>
    <row r="366" spans="1:6" ht="15" customHeight="1" x14ac:dyDescent="0.35">
      <c r="A366" s="1"/>
      <c r="B366" s="1"/>
      <c r="C366" s="1"/>
      <c r="D366" s="1"/>
      <c r="E366" s="1"/>
      <c r="F366" s="1"/>
    </row>
    <row r="367" spans="1:6" ht="15" customHeight="1" x14ac:dyDescent="0.35">
      <c r="A367" s="1"/>
      <c r="B367" s="1"/>
      <c r="C367" s="1"/>
      <c r="D367" s="1"/>
      <c r="E367" s="1"/>
      <c r="F367" s="1"/>
    </row>
    <row r="368" spans="1:6" ht="15" customHeight="1" x14ac:dyDescent="0.35">
      <c r="A368" s="1"/>
      <c r="B368" s="1"/>
      <c r="C368" s="1"/>
      <c r="D368" s="1"/>
      <c r="E368" s="1"/>
      <c r="F368" s="1"/>
    </row>
    <row r="369" spans="1:6" ht="15" customHeight="1" x14ac:dyDescent="0.35">
      <c r="A369" s="1"/>
      <c r="B369" s="1"/>
      <c r="C369" s="1"/>
      <c r="D369" s="1"/>
      <c r="E369" s="1"/>
      <c r="F369" s="1"/>
    </row>
    <row r="370" spans="1:6" ht="15" customHeight="1" x14ac:dyDescent="0.35">
      <c r="A370" s="1"/>
      <c r="B370" s="1"/>
      <c r="C370" s="1"/>
      <c r="D370" s="1"/>
      <c r="E370" s="1"/>
      <c r="F370" s="1"/>
    </row>
    <row r="371" spans="1:6" ht="15" customHeight="1" x14ac:dyDescent="0.35">
      <c r="A371" s="1"/>
      <c r="B371" s="1"/>
      <c r="C371" s="1"/>
      <c r="D371" s="1"/>
      <c r="E371" s="1"/>
      <c r="F371" s="1"/>
    </row>
    <row r="372" spans="1:6" ht="15" customHeight="1" x14ac:dyDescent="0.35">
      <c r="A372" s="1"/>
      <c r="B372" s="1"/>
      <c r="C372" s="1"/>
      <c r="D372" s="1"/>
      <c r="E372" s="1"/>
      <c r="F372" s="1"/>
    </row>
    <row r="373" spans="1:6" ht="15" customHeight="1" x14ac:dyDescent="0.35">
      <c r="A373" s="1"/>
      <c r="B373" s="1"/>
      <c r="C373" s="1"/>
      <c r="D373" s="1"/>
      <c r="E373" s="1"/>
      <c r="F373" s="1"/>
    </row>
    <row r="374" spans="1:6" ht="15" customHeight="1" x14ac:dyDescent="0.35">
      <c r="A374" s="1"/>
      <c r="B374" s="1"/>
      <c r="C374" s="1"/>
      <c r="D374" s="1"/>
      <c r="E374" s="1"/>
      <c r="F374" s="1"/>
    </row>
    <row r="375" spans="1:6" ht="15" customHeight="1" x14ac:dyDescent="0.35">
      <c r="A375" s="1"/>
      <c r="B375" s="1"/>
      <c r="C375" s="1"/>
      <c r="D375" s="1"/>
      <c r="E375" s="1"/>
      <c r="F375" s="1"/>
    </row>
    <row r="376" spans="1:6" ht="15" customHeight="1" x14ac:dyDescent="0.35">
      <c r="A376" s="1"/>
      <c r="B376" s="1"/>
      <c r="C376" s="1"/>
      <c r="D376" s="1"/>
      <c r="E376" s="1"/>
      <c r="F376" s="1"/>
    </row>
    <row r="377" spans="1:6" ht="15" customHeight="1" x14ac:dyDescent="0.35">
      <c r="A377" s="1"/>
      <c r="B377" s="1"/>
      <c r="C377" s="1"/>
      <c r="D377" s="1"/>
      <c r="E377" s="1"/>
      <c r="F377" s="1"/>
    </row>
    <row r="378" spans="1:6" ht="15" customHeight="1" x14ac:dyDescent="0.35">
      <c r="A378" s="1"/>
      <c r="B378" s="1"/>
      <c r="C378" s="1"/>
      <c r="D378" s="1"/>
      <c r="E378" s="1"/>
      <c r="F378" s="1"/>
    </row>
    <row r="379" spans="1:6" ht="15" customHeight="1" x14ac:dyDescent="0.35">
      <c r="A379" s="1"/>
      <c r="B379" s="1"/>
      <c r="C379" s="1"/>
      <c r="D379" s="1"/>
      <c r="E379" s="1"/>
      <c r="F379" s="1"/>
    </row>
    <row r="380" spans="1:6" ht="15" customHeight="1" x14ac:dyDescent="0.35">
      <c r="A380" s="1"/>
      <c r="B380" s="1"/>
      <c r="C380" s="1"/>
      <c r="D380" s="1"/>
      <c r="E380" s="1"/>
      <c r="F380" s="1"/>
    </row>
    <row r="381" spans="1:6" ht="15" customHeight="1" x14ac:dyDescent="0.35">
      <c r="A381" s="1"/>
      <c r="B381" s="1"/>
      <c r="C381" s="1"/>
      <c r="D381" s="1"/>
      <c r="E381" s="1"/>
      <c r="F381" s="1"/>
    </row>
    <row r="382" spans="1:6" ht="15" customHeight="1" x14ac:dyDescent="0.35">
      <c r="A382" s="1"/>
      <c r="B382" s="1"/>
      <c r="C382" s="1"/>
      <c r="D382" s="1"/>
      <c r="E382" s="1"/>
      <c r="F382" s="1"/>
    </row>
    <row r="383" spans="1:6" ht="15" customHeight="1" x14ac:dyDescent="0.35">
      <c r="A383" s="1"/>
      <c r="B383" s="1"/>
      <c r="C383" s="1"/>
      <c r="D383" s="1"/>
      <c r="E383" s="1"/>
      <c r="F383" s="1"/>
    </row>
    <row r="384" spans="1:6" ht="15" customHeight="1" x14ac:dyDescent="0.35">
      <c r="A384" s="1"/>
      <c r="B384" s="1"/>
      <c r="C384" s="1"/>
      <c r="D384" s="1"/>
      <c r="E384" s="1"/>
      <c r="F384" s="1"/>
    </row>
    <row r="385" spans="1:6" ht="15" customHeight="1" x14ac:dyDescent="0.35">
      <c r="A385" s="1"/>
      <c r="B385" s="1"/>
      <c r="C385" s="1"/>
      <c r="D385" s="1"/>
      <c r="E385" s="1"/>
      <c r="F385" s="1"/>
    </row>
    <row r="386" spans="1:6" ht="15" customHeight="1" x14ac:dyDescent="0.35">
      <c r="A386" s="1"/>
      <c r="B386" s="1"/>
      <c r="C386" s="1"/>
      <c r="D386" s="1"/>
      <c r="E386" s="1"/>
      <c r="F386" s="1"/>
    </row>
    <row r="387" spans="1:6" ht="15" customHeight="1" x14ac:dyDescent="0.35">
      <c r="A387" s="1"/>
      <c r="B387" s="1"/>
      <c r="C387" s="1"/>
      <c r="D387" s="1"/>
      <c r="E387" s="1"/>
      <c r="F387" s="1"/>
    </row>
    <row r="388" spans="1:6" ht="15" customHeight="1" x14ac:dyDescent="0.35">
      <c r="A388" s="1"/>
      <c r="B388" s="1"/>
      <c r="C388" s="1"/>
      <c r="D388" s="1"/>
      <c r="E388" s="1"/>
      <c r="F388" s="1"/>
    </row>
    <row r="389" spans="1:6" ht="15" customHeight="1" x14ac:dyDescent="0.35">
      <c r="A389" s="1"/>
      <c r="B389" s="1"/>
      <c r="C389" s="1"/>
      <c r="D389" s="1"/>
      <c r="E389" s="1"/>
      <c r="F389" s="1"/>
    </row>
    <row r="390" spans="1:6" ht="15" customHeight="1" x14ac:dyDescent="0.35">
      <c r="A390" s="1"/>
      <c r="B390" s="1"/>
      <c r="C390" s="1"/>
      <c r="D390" s="1"/>
      <c r="E390" s="1"/>
      <c r="F390" s="1"/>
    </row>
    <row r="391" spans="1:6" ht="15" customHeight="1" x14ac:dyDescent="0.35">
      <c r="A391" s="1"/>
      <c r="B391" s="1"/>
      <c r="C391" s="1"/>
      <c r="D391" s="1"/>
      <c r="E391" s="1"/>
      <c r="F391" s="1"/>
    </row>
  </sheetData>
  <autoFilter ref="A1:F391" xr:uid="{00000000-0009-0000-0000-000001000000}"/>
  <dataValidations count="3">
    <dataValidation type="list" allowBlank="1" sqref="B2:B391" xr:uid="{00000000-0002-0000-0100-000000000000}">
      <formula1>"Legislation,CMS Rule,Rate Announcement,Enrollment Milestone,Plan Landscape Release,Disaster SEP,Other"</formula1>
      <formula2>0</formula2>
    </dataValidation>
    <dataValidation type="list" allowBlank="1" sqref="C2:C391" xr:uid="{00000000-0002-0000-0100-000001000000}">
      <formula1>"MA,Med Supp,Part D,D-SNP,C-SNP,MA / Part D,MA / Part D / D-SNP,Part D / MA,Part D / MA / D-SNP,Multiple"</formula1>
      <formula2>0</formula2>
    </dataValidation>
    <dataValidation type="list" allowBlank="1" sqref="D2:D391" xr:uid="{00000000-0002-0000-0100-000002000000}">
      <formula1>"Announced,Effective,Deadline"</formula1>
      <formula2>0</formula2>
    </dataValidation>
  </dataValidations>
  <hyperlinks>
    <hyperlink ref="F4" r:id="rId1" xr:uid="{A17BF668-39C6-4D91-B795-74BA3DBD3181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E23A-4DBC-489D-883A-63F8E48E5D14}">
  <dimension ref="A1:K355"/>
  <sheetViews>
    <sheetView workbookViewId="0">
      <pane ySplit="1" topLeftCell="A2" activePane="bottomLeft" state="frozen"/>
      <selection pane="bottomLeft" activeCell="E4" sqref="E4:E5"/>
    </sheetView>
  </sheetViews>
  <sheetFormatPr defaultRowHeight="14.5" x14ac:dyDescent="0.35"/>
  <cols>
    <col min="1" max="1" width="12" customWidth="1"/>
    <col min="2" max="2" width="7" customWidth="1"/>
    <col min="3" max="3" width="10" customWidth="1"/>
    <col min="4" max="4" width="16" customWidth="1"/>
    <col min="5" max="5" width="55" customWidth="1"/>
    <col min="6" max="7" width="14" customWidth="1"/>
    <col min="8" max="8" width="15" customWidth="1"/>
    <col min="9" max="9" width="11" customWidth="1"/>
    <col min="10" max="10" width="16" customWidth="1"/>
    <col min="11" max="11" width="12" customWidth="1"/>
  </cols>
  <sheetData>
    <row r="1" spans="1:11" x14ac:dyDescent="0.35">
      <c r="A1" s="10" t="s">
        <v>385</v>
      </c>
      <c r="B1" s="10" t="s">
        <v>384</v>
      </c>
      <c r="C1" s="10" t="s">
        <v>383</v>
      </c>
      <c r="D1" s="10" t="s">
        <v>382</v>
      </c>
      <c r="E1" s="10" t="s">
        <v>381</v>
      </c>
      <c r="F1" s="10" t="s">
        <v>380</v>
      </c>
      <c r="G1" s="10" t="s">
        <v>379</v>
      </c>
      <c r="H1" s="10" t="s">
        <v>378</v>
      </c>
      <c r="I1" s="10" t="s">
        <v>377</v>
      </c>
      <c r="J1" s="10" t="s">
        <v>376</v>
      </c>
      <c r="K1" s="10" t="s">
        <v>375</v>
      </c>
    </row>
    <row r="2" spans="1:11" ht="26" x14ac:dyDescent="0.35">
      <c r="A2" s="11">
        <v>4775</v>
      </c>
      <c r="B2" s="11" t="s">
        <v>165</v>
      </c>
      <c r="C2" s="11" t="s">
        <v>98</v>
      </c>
      <c r="D2" s="11" t="s">
        <v>97</v>
      </c>
      <c r="E2" s="8" t="s">
        <v>374</v>
      </c>
      <c r="F2" s="12">
        <v>45296</v>
      </c>
      <c r="G2" s="12">
        <v>45320</v>
      </c>
      <c r="H2" s="12">
        <v>45410</v>
      </c>
      <c r="I2" s="11" t="s">
        <v>84</v>
      </c>
      <c r="J2" s="11">
        <v>17</v>
      </c>
      <c r="K2" s="12">
        <v>45382</v>
      </c>
    </row>
    <row r="3" spans="1:11" x14ac:dyDescent="0.35">
      <c r="A3" s="11">
        <v>4774</v>
      </c>
      <c r="B3" s="11" t="s">
        <v>100</v>
      </c>
      <c r="C3" s="11" t="s">
        <v>98</v>
      </c>
      <c r="D3" s="11" t="s">
        <v>135</v>
      </c>
      <c r="E3" s="8" t="s">
        <v>136</v>
      </c>
      <c r="F3" s="12">
        <v>45299</v>
      </c>
      <c r="G3" s="12">
        <v>45307</v>
      </c>
      <c r="H3" s="12">
        <v>45410</v>
      </c>
      <c r="I3" s="11" t="s">
        <v>84</v>
      </c>
      <c r="J3" s="11">
        <v>17</v>
      </c>
      <c r="K3" s="12">
        <v>45382</v>
      </c>
    </row>
    <row r="4" spans="1:11" x14ac:dyDescent="0.35">
      <c r="A4" s="11">
        <v>4764</v>
      </c>
      <c r="B4" s="11" t="s">
        <v>362</v>
      </c>
      <c r="C4" s="11" t="s">
        <v>98</v>
      </c>
      <c r="D4" s="11" t="s">
        <v>97</v>
      </c>
      <c r="E4" s="8" t="s">
        <v>164</v>
      </c>
      <c r="F4" s="12">
        <v>45300</v>
      </c>
      <c r="G4" s="12">
        <v>45304</v>
      </c>
      <c r="H4" s="12">
        <v>45371</v>
      </c>
      <c r="I4" s="11" t="s">
        <v>84</v>
      </c>
      <c r="J4" s="11">
        <v>8</v>
      </c>
      <c r="K4" s="12">
        <v>45382</v>
      </c>
    </row>
    <row r="5" spans="1:11" x14ac:dyDescent="0.35">
      <c r="A5" s="11">
        <v>4766</v>
      </c>
      <c r="B5" s="11" t="s">
        <v>373</v>
      </c>
      <c r="C5" s="11" t="s">
        <v>98</v>
      </c>
      <c r="D5" s="11" t="s">
        <v>97</v>
      </c>
      <c r="E5" s="8" t="s">
        <v>164</v>
      </c>
      <c r="F5" s="12">
        <v>45300</v>
      </c>
      <c r="G5" s="12">
        <v>45304</v>
      </c>
      <c r="H5" s="12">
        <v>45371</v>
      </c>
      <c r="I5" s="11" t="s">
        <v>84</v>
      </c>
      <c r="J5" s="11">
        <v>4</v>
      </c>
      <c r="K5" s="12">
        <v>45382</v>
      </c>
    </row>
    <row r="6" spans="1:11" x14ac:dyDescent="0.35">
      <c r="A6" s="11">
        <v>4770</v>
      </c>
      <c r="B6" s="11" t="s">
        <v>298</v>
      </c>
      <c r="C6" s="11" t="s">
        <v>98</v>
      </c>
      <c r="D6" s="11" t="s">
        <v>97</v>
      </c>
      <c r="E6" s="8" t="s">
        <v>136</v>
      </c>
      <c r="F6" s="12">
        <v>45300</v>
      </c>
      <c r="G6" s="12">
        <v>45304</v>
      </c>
      <c r="H6" s="12">
        <v>45401</v>
      </c>
      <c r="I6" s="11" t="s">
        <v>84</v>
      </c>
      <c r="J6" s="11">
        <v>5</v>
      </c>
      <c r="K6" s="12">
        <v>45382</v>
      </c>
    </row>
    <row r="7" spans="1:11" x14ac:dyDescent="0.35">
      <c r="A7" s="11">
        <v>4771</v>
      </c>
      <c r="B7" s="11" t="s">
        <v>338</v>
      </c>
      <c r="C7" s="11" t="s">
        <v>98</v>
      </c>
      <c r="D7" s="11" t="s">
        <v>97</v>
      </c>
      <c r="E7" s="8" t="s">
        <v>164</v>
      </c>
      <c r="F7" s="12">
        <v>45300</v>
      </c>
      <c r="G7" s="12">
        <v>45305</v>
      </c>
      <c r="H7" s="12">
        <v>45401</v>
      </c>
      <c r="I7" s="11" t="s">
        <v>84</v>
      </c>
      <c r="J7" s="11">
        <v>2</v>
      </c>
      <c r="K7" s="12">
        <v>45382</v>
      </c>
    </row>
    <row r="8" spans="1:11" x14ac:dyDescent="0.35">
      <c r="A8" s="11">
        <v>3604</v>
      </c>
      <c r="B8" s="11" t="s">
        <v>272</v>
      </c>
      <c r="C8" s="11" t="s">
        <v>87</v>
      </c>
      <c r="D8" s="11" t="s">
        <v>97</v>
      </c>
      <c r="E8" s="8" t="s">
        <v>372</v>
      </c>
      <c r="F8" s="12">
        <v>45301</v>
      </c>
      <c r="G8" s="12">
        <v>45304</v>
      </c>
      <c r="H8" s="12">
        <v>45304</v>
      </c>
      <c r="I8" s="11" t="s">
        <v>84</v>
      </c>
      <c r="J8" s="11">
        <v>3</v>
      </c>
      <c r="K8" s="12">
        <v>45382</v>
      </c>
    </row>
    <row r="9" spans="1:11" ht="26" x14ac:dyDescent="0.35">
      <c r="A9" s="11">
        <v>4768</v>
      </c>
      <c r="B9" s="11" t="s">
        <v>163</v>
      </c>
      <c r="C9" s="11" t="s">
        <v>98</v>
      </c>
      <c r="D9" s="11" t="s">
        <v>97</v>
      </c>
      <c r="E9" s="8" t="s">
        <v>371</v>
      </c>
      <c r="F9" s="12">
        <v>45301</v>
      </c>
      <c r="G9" s="12">
        <v>45313</v>
      </c>
      <c r="H9" s="12">
        <v>45395</v>
      </c>
      <c r="I9" s="11" t="s">
        <v>84</v>
      </c>
      <c r="J9" s="11">
        <v>13</v>
      </c>
      <c r="K9" s="12">
        <v>45382</v>
      </c>
    </row>
    <row r="10" spans="1:11" x14ac:dyDescent="0.35">
      <c r="A10" s="11">
        <v>4758</v>
      </c>
      <c r="B10" s="11" t="s">
        <v>88</v>
      </c>
      <c r="C10" s="11" t="s">
        <v>98</v>
      </c>
      <c r="D10" s="11" t="s">
        <v>109</v>
      </c>
      <c r="E10" s="8" t="s">
        <v>212</v>
      </c>
      <c r="F10" s="12">
        <v>45312</v>
      </c>
      <c r="G10" s="12">
        <v>45314</v>
      </c>
      <c r="H10" s="12">
        <v>45341</v>
      </c>
      <c r="I10" s="11" t="s">
        <v>84</v>
      </c>
      <c r="J10" s="11">
        <v>1</v>
      </c>
      <c r="K10" s="12">
        <v>45382</v>
      </c>
    </row>
    <row r="11" spans="1:11" x14ac:dyDescent="0.35">
      <c r="A11" s="11">
        <v>4773</v>
      </c>
      <c r="B11" s="11" t="s">
        <v>88</v>
      </c>
      <c r="C11" s="11" t="s">
        <v>98</v>
      </c>
      <c r="D11" s="11" t="s">
        <v>97</v>
      </c>
      <c r="E11" s="8" t="s">
        <v>136</v>
      </c>
      <c r="F11" s="12">
        <v>45321</v>
      </c>
      <c r="G11" s="12">
        <v>45322</v>
      </c>
      <c r="H11" s="12">
        <v>45401</v>
      </c>
      <c r="I11" s="11" t="s">
        <v>84</v>
      </c>
      <c r="J11" s="11">
        <v>1</v>
      </c>
      <c r="K11" s="12">
        <v>45382</v>
      </c>
    </row>
    <row r="12" spans="1:11" ht="26" x14ac:dyDescent="0.35">
      <c r="A12" s="11">
        <v>4769</v>
      </c>
      <c r="B12" s="11" t="s">
        <v>88</v>
      </c>
      <c r="C12" s="11" t="s">
        <v>98</v>
      </c>
      <c r="D12" s="11" t="s">
        <v>97</v>
      </c>
      <c r="E12" s="8" t="s">
        <v>370</v>
      </c>
      <c r="F12" s="12">
        <v>45322</v>
      </c>
      <c r="G12" s="12">
        <v>45331</v>
      </c>
      <c r="H12" s="12">
        <v>45395</v>
      </c>
      <c r="I12" s="11" t="s">
        <v>84</v>
      </c>
      <c r="J12" s="11">
        <v>9</v>
      </c>
      <c r="K12" s="12">
        <v>45412</v>
      </c>
    </row>
    <row r="13" spans="1:11" x14ac:dyDescent="0.35">
      <c r="A13" s="11">
        <v>4772</v>
      </c>
      <c r="B13" s="11" t="s">
        <v>88</v>
      </c>
      <c r="C13" s="11" t="s">
        <v>98</v>
      </c>
      <c r="D13" s="11" t="s">
        <v>97</v>
      </c>
      <c r="E13" s="8" t="s">
        <v>164</v>
      </c>
      <c r="F13" s="12">
        <v>45322</v>
      </c>
      <c r="G13" s="12">
        <v>45331</v>
      </c>
      <c r="H13" s="12">
        <v>45401</v>
      </c>
      <c r="I13" s="11" t="s">
        <v>84</v>
      </c>
      <c r="J13" s="11">
        <v>1</v>
      </c>
      <c r="K13" s="12">
        <v>45412</v>
      </c>
    </row>
    <row r="14" spans="1:11" x14ac:dyDescent="0.35">
      <c r="A14" s="11">
        <v>5487</v>
      </c>
      <c r="B14" s="11" t="s">
        <v>94</v>
      </c>
      <c r="C14" s="11" t="s">
        <v>91</v>
      </c>
      <c r="D14" s="11" t="s">
        <v>90</v>
      </c>
      <c r="E14" s="8" t="s">
        <v>369</v>
      </c>
      <c r="F14" s="12">
        <v>45349</v>
      </c>
      <c r="G14" s="12">
        <v>45367</v>
      </c>
      <c r="H14" s="12">
        <v>45349</v>
      </c>
      <c r="I14" s="11" t="s">
        <v>84</v>
      </c>
      <c r="J14" s="11">
        <v>1</v>
      </c>
      <c r="K14" s="12">
        <v>45443</v>
      </c>
    </row>
    <row r="15" spans="1:11" x14ac:dyDescent="0.35">
      <c r="A15" s="11">
        <v>5488</v>
      </c>
      <c r="B15" s="11" t="s">
        <v>94</v>
      </c>
      <c r="C15" s="11" t="s">
        <v>91</v>
      </c>
      <c r="D15" s="11" t="s">
        <v>90</v>
      </c>
      <c r="E15" s="8" t="s">
        <v>368</v>
      </c>
      <c r="F15" s="12">
        <v>45349</v>
      </c>
      <c r="G15" s="12">
        <v>45367</v>
      </c>
      <c r="H15" s="12">
        <v>45349</v>
      </c>
      <c r="I15" s="11" t="s">
        <v>84</v>
      </c>
      <c r="J15" s="11">
        <v>3</v>
      </c>
      <c r="K15" s="12">
        <v>45443</v>
      </c>
    </row>
    <row r="16" spans="1:11" x14ac:dyDescent="0.35">
      <c r="A16" s="11">
        <v>5489</v>
      </c>
      <c r="B16" s="11" t="s">
        <v>120</v>
      </c>
      <c r="C16" s="11" t="s">
        <v>91</v>
      </c>
      <c r="D16" s="11" t="s">
        <v>90</v>
      </c>
      <c r="E16" s="8" t="s">
        <v>367</v>
      </c>
      <c r="F16" s="12">
        <v>45349</v>
      </c>
      <c r="G16" s="12">
        <v>45371</v>
      </c>
      <c r="H16" s="12">
        <v>45349</v>
      </c>
      <c r="I16" s="11" t="s">
        <v>84</v>
      </c>
      <c r="J16" s="11">
        <v>1</v>
      </c>
      <c r="K16" s="12">
        <v>45443</v>
      </c>
    </row>
    <row r="17" spans="1:11" x14ac:dyDescent="0.35">
      <c r="A17" s="11">
        <v>5490</v>
      </c>
      <c r="B17" s="11" t="s">
        <v>178</v>
      </c>
      <c r="C17" s="11" t="s">
        <v>91</v>
      </c>
      <c r="D17" s="11" t="s">
        <v>90</v>
      </c>
      <c r="E17" s="8" t="s">
        <v>366</v>
      </c>
      <c r="F17" s="12">
        <v>45352</v>
      </c>
      <c r="G17" s="12">
        <v>45355</v>
      </c>
      <c r="H17" s="12">
        <v>45352</v>
      </c>
      <c r="I17" s="11" t="s">
        <v>84</v>
      </c>
      <c r="J17" s="11">
        <v>1</v>
      </c>
      <c r="K17" s="12">
        <v>45443</v>
      </c>
    </row>
    <row r="18" spans="1:11" x14ac:dyDescent="0.35">
      <c r="A18" s="11">
        <v>4777</v>
      </c>
      <c r="B18" s="11" t="s">
        <v>365</v>
      </c>
      <c r="C18" s="11" t="s">
        <v>98</v>
      </c>
      <c r="D18" s="11" t="s">
        <v>360</v>
      </c>
      <c r="E18" s="8" t="s">
        <v>364</v>
      </c>
      <c r="F18" s="12">
        <v>45365</v>
      </c>
      <c r="G18" s="12">
        <v>45365</v>
      </c>
      <c r="H18" s="12">
        <v>45414</v>
      </c>
      <c r="I18" s="11" t="s">
        <v>84</v>
      </c>
      <c r="J18" s="11">
        <v>11</v>
      </c>
      <c r="K18" s="12">
        <v>45443</v>
      </c>
    </row>
    <row r="19" spans="1:11" x14ac:dyDescent="0.35">
      <c r="A19" s="11">
        <v>4802</v>
      </c>
      <c r="B19" s="11" t="s">
        <v>120</v>
      </c>
      <c r="C19" s="11" t="s">
        <v>98</v>
      </c>
      <c r="D19" s="11" t="s">
        <v>97</v>
      </c>
      <c r="E19" s="8" t="s">
        <v>363</v>
      </c>
      <c r="F19" s="12">
        <v>45365</v>
      </c>
      <c r="G19" s="12">
        <v>45366</v>
      </c>
      <c r="H19" s="12">
        <v>45496</v>
      </c>
      <c r="I19" s="11" t="s">
        <v>84</v>
      </c>
      <c r="J19" s="11">
        <v>1</v>
      </c>
      <c r="K19" s="12">
        <v>45443</v>
      </c>
    </row>
    <row r="20" spans="1:11" ht="26" x14ac:dyDescent="0.35">
      <c r="A20" s="11">
        <v>4782</v>
      </c>
      <c r="B20" s="11" t="s">
        <v>144</v>
      </c>
      <c r="C20" s="11" t="s">
        <v>98</v>
      </c>
      <c r="D20" s="11" t="s">
        <v>97</v>
      </c>
      <c r="E20" s="8" t="s">
        <v>356</v>
      </c>
      <c r="F20" s="12">
        <v>45384</v>
      </c>
      <c r="G20" s="12">
        <v>45384</v>
      </c>
      <c r="H20" s="12">
        <v>45434</v>
      </c>
      <c r="I20" s="11" t="s">
        <v>84</v>
      </c>
      <c r="J20" s="11">
        <v>11</v>
      </c>
      <c r="K20" s="12">
        <v>45473</v>
      </c>
    </row>
    <row r="21" spans="1:11" ht="26" x14ac:dyDescent="0.35">
      <c r="A21" s="11">
        <v>4783</v>
      </c>
      <c r="B21" s="11" t="s">
        <v>148</v>
      </c>
      <c r="C21" s="11" t="s">
        <v>98</v>
      </c>
      <c r="D21" s="11" t="s">
        <v>97</v>
      </c>
      <c r="E21" s="8" t="s">
        <v>223</v>
      </c>
      <c r="F21" s="12">
        <v>45384</v>
      </c>
      <c r="G21" s="12">
        <v>45388</v>
      </c>
      <c r="H21" s="12">
        <v>45434</v>
      </c>
      <c r="I21" s="11" t="s">
        <v>84</v>
      </c>
      <c r="J21" s="11">
        <v>15</v>
      </c>
      <c r="K21" s="12">
        <v>45473</v>
      </c>
    </row>
    <row r="22" spans="1:11" x14ac:dyDescent="0.35">
      <c r="A22" s="11">
        <v>4785</v>
      </c>
      <c r="B22" s="11" t="s">
        <v>362</v>
      </c>
      <c r="C22" s="11" t="s">
        <v>98</v>
      </c>
      <c r="D22" s="11" t="s">
        <v>135</v>
      </c>
      <c r="E22" s="8" t="s">
        <v>136</v>
      </c>
      <c r="F22" s="12">
        <v>45385</v>
      </c>
      <c r="G22" s="12">
        <v>45387</v>
      </c>
      <c r="H22" s="12">
        <v>45436</v>
      </c>
      <c r="I22" s="11" t="s">
        <v>84</v>
      </c>
      <c r="J22" s="11">
        <v>2</v>
      </c>
      <c r="K22" s="12">
        <v>45473</v>
      </c>
    </row>
    <row r="23" spans="1:11" x14ac:dyDescent="0.35">
      <c r="A23" s="11">
        <v>4799</v>
      </c>
      <c r="B23" s="11" t="s">
        <v>338</v>
      </c>
      <c r="C23" s="11" t="s">
        <v>98</v>
      </c>
      <c r="D23" s="11" t="s">
        <v>135</v>
      </c>
      <c r="E23" s="8" t="s">
        <v>359</v>
      </c>
      <c r="F23" s="12">
        <v>45385</v>
      </c>
      <c r="G23" s="12">
        <v>45387</v>
      </c>
      <c r="H23" s="12">
        <v>45483</v>
      </c>
      <c r="I23" s="11" t="s">
        <v>84</v>
      </c>
      <c r="J23" s="11">
        <v>5</v>
      </c>
      <c r="K23" s="12">
        <v>45473</v>
      </c>
    </row>
    <row r="24" spans="1:11" x14ac:dyDescent="0.35">
      <c r="A24" s="11">
        <v>4786</v>
      </c>
      <c r="B24" s="11" t="s">
        <v>126</v>
      </c>
      <c r="C24" s="11" t="s">
        <v>98</v>
      </c>
      <c r="D24" s="11" t="s">
        <v>97</v>
      </c>
      <c r="E24" s="8" t="s">
        <v>159</v>
      </c>
      <c r="F24" s="12">
        <v>45388</v>
      </c>
      <c r="G24" s="12">
        <v>45389</v>
      </c>
      <c r="H24" s="12">
        <v>45436</v>
      </c>
      <c r="I24" s="11" t="s">
        <v>84</v>
      </c>
      <c r="J24" s="11">
        <v>8</v>
      </c>
      <c r="K24" s="12">
        <v>45473</v>
      </c>
    </row>
    <row r="25" spans="1:11" x14ac:dyDescent="0.35">
      <c r="A25" s="11">
        <v>5491</v>
      </c>
      <c r="B25" s="11" t="s">
        <v>120</v>
      </c>
      <c r="C25" s="11" t="s">
        <v>91</v>
      </c>
      <c r="D25" s="11" t="s">
        <v>90</v>
      </c>
      <c r="E25" s="8" t="s">
        <v>361</v>
      </c>
      <c r="F25" s="12">
        <v>45388</v>
      </c>
      <c r="G25" s="12">
        <v>45394</v>
      </c>
      <c r="H25" s="12">
        <v>45388</v>
      </c>
      <c r="I25" s="11" t="s">
        <v>84</v>
      </c>
      <c r="J25" s="11">
        <v>1</v>
      </c>
      <c r="K25" s="12">
        <v>45473</v>
      </c>
    </row>
    <row r="26" spans="1:11" x14ac:dyDescent="0.35">
      <c r="A26" s="11">
        <v>4790</v>
      </c>
      <c r="B26" s="11" t="s">
        <v>99</v>
      </c>
      <c r="C26" s="11" t="s">
        <v>98</v>
      </c>
      <c r="D26" s="11" t="s">
        <v>97</v>
      </c>
      <c r="E26" s="8" t="s">
        <v>96</v>
      </c>
      <c r="F26" s="12">
        <v>45390</v>
      </c>
      <c r="G26" s="12">
        <v>45393</v>
      </c>
      <c r="H26" s="12">
        <v>45453</v>
      </c>
      <c r="I26" s="11" t="s">
        <v>84</v>
      </c>
      <c r="J26" s="11">
        <v>6</v>
      </c>
      <c r="K26" s="12">
        <v>45473</v>
      </c>
    </row>
    <row r="27" spans="1:11" x14ac:dyDescent="0.35">
      <c r="A27" s="11">
        <v>4787</v>
      </c>
      <c r="B27" s="11" t="s">
        <v>148</v>
      </c>
      <c r="C27" s="11" t="s">
        <v>98</v>
      </c>
      <c r="D27" s="11" t="s">
        <v>109</v>
      </c>
      <c r="E27" s="8" t="s">
        <v>132</v>
      </c>
      <c r="F27" s="12">
        <v>45393</v>
      </c>
      <c r="G27" s="12">
        <v>45394</v>
      </c>
      <c r="H27" s="12">
        <v>45436</v>
      </c>
      <c r="I27" s="11" t="s">
        <v>84</v>
      </c>
      <c r="J27" s="11">
        <v>13</v>
      </c>
      <c r="K27" s="12">
        <v>45473</v>
      </c>
    </row>
    <row r="28" spans="1:11" x14ac:dyDescent="0.35">
      <c r="A28" s="11">
        <v>4793</v>
      </c>
      <c r="B28" s="11" t="s">
        <v>133</v>
      </c>
      <c r="C28" s="11" t="s">
        <v>98</v>
      </c>
      <c r="D28" s="11" t="s">
        <v>109</v>
      </c>
      <c r="E28" s="8" t="s">
        <v>199</v>
      </c>
      <c r="F28" s="12">
        <v>45393</v>
      </c>
      <c r="G28" s="12">
        <v>45396</v>
      </c>
      <c r="H28" s="12">
        <v>45460</v>
      </c>
      <c r="I28" s="11" t="s">
        <v>84</v>
      </c>
      <c r="J28" s="11">
        <v>1</v>
      </c>
      <c r="K28" s="12">
        <v>45473</v>
      </c>
    </row>
    <row r="29" spans="1:11" x14ac:dyDescent="0.35">
      <c r="A29" s="11">
        <v>4789</v>
      </c>
      <c r="B29" s="11" t="s">
        <v>131</v>
      </c>
      <c r="C29" s="11" t="s">
        <v>98</v>
      </c>
      <c r="D29" s="11" t="s">
        <v>109</v>
      </c>
      <c r="E29" s="8" t="s">
        <v>299</v>
      </c>
      <c r="F29" s="12">
        <v>45396</v>
      </c>
      <c r="G29" s="12">
        <v>45397</v>
      </c>
      <c r="H29" s="12">
        <v>45453</v>
      </c>
      <c r="I29" s="11" t="s">
        <v>84</v>
      </c>
      <c r="J29" s="11">
        <v>3</v>
      </c>
      <c r="K29" s="12">
        <v>45473</v>
      </c>
    </row>
    <row r="30" spans="1:11" x14ac:dyDescent="0.35">
      <c r="A30" s="11">
        <v>4776</v>
      </c>
      <c r="B30" s="11" t="s">
        <v>120</v>
      </c>
      <c r="C30" s="11" t="s">
        <v>98</v>
      </c>
      <c r="D30" s="11" t="s">
        <v>360</v>
      </c>
      <c r="E30" s="8" t="s">
        <v>96</v>
      </c>
      <c r="F30" s="12">
        <v>45407</v>
      </c>
      <c r="G30" s="12">
        <v>45421</v>
      </c>
      <c r="H30" s="12">
        <v>45412</v>
      </c>
      <c r="I30" s="11" t="s">
        <v>84</v>
      </c>
      <c r="J30" s="11">
        <v>25</v>
      </c>
      <c r="K30" s="12">
        <v>45504</v>
      </c>
    </row>
    <row r="31" spans="1:11" x14ac:dyDescent="0.35">
      <c r="A31" s="11">
        <v>4778</v>
      </c>
      <c r="B31" s="11" t="s">
        <v>126</v>
      </c>
      <c r="C31" s="11" t="s">
        <v>98</v>
      </c>
      <c r="D31" s="11" t="s">
        <v>360</v>
      </c>
      <c r="E31" s="8" t="s">
        <v>185</v>
      </c>
      <c r="F31" s="12">
        <v>45407</v>
      </c>
      <c r="G31" s="12">
        <v>45409</v>
      </c>
      <c r="H31" s="12">
        <v>45415</v>
      </c>
      <c r="I31" s="11" t="s">
        <v>84</v>
      </c>
      <c r="J31" s="11">
        <v>6</v>
      </c>
      <c r="K31" s="12">
        <v>45473</v>
      </c>
    </row>
    <row r="32" spans="1:11" x14ac:dyDescent="0.35">
      <c r="A32" s="11">
        <v>4800</v>
      </c>
      <c r="B32" s="11" t="s">
        <v>100</v>
      </c>
      <c r="C32" s="11" t="s">
        <v>98</v>
      </c>
      <c r="D32" s="11" t="s">
        <v>97</v>
      </c>
      <c r="E32" s="8" t="s">
        <v>96</v>
      </c>
      <c r="F32" s="12">
        <v>45407</v>
      </c>
      <c r="G32" s="12">
        <v>45412</v>
      </c>
      <c r="H32" s="12">
        <v>45488</v>
      </c>
      <c r="I32" s="11" t="s">
        <v>84</v>
      </c>
      <c r="J32" s="11">
        <v>13</v>
      </c>
      <c r="K32" s="12">
        <v>45473</v>
      </c>
    </row>
    <row r="33" spans="1:11" x14ac:dyDescent="0.35">
      <c r="A33" s="11">
        <v>4779</v>
      </c>
      <c r="B33" s="11" t="s">
        <v>232</v>
      </c>
      <c r="C33" s="11" t="s">
        <v>98</v>
      </c>
      <c r="D33" s="11" t="s">
        <v>360</v>
      </c>
      <c r="E33" s="8" t="s">
        <v>253</v>
      </c>
      <c r="F33" s="12">
        <v>45408</v>
      </c>
      <c r="G33" s="12">
        <v>45409</v>
      </c>
      <c r="H33" s="12">
        <v>45426</v>
      </c>
      <c r="I33" s="11" t="s">
        <v>84</v>
      </c>
      <c r="J33" s="11">
        <v>9</v>
      </c>
      <c r="K33" s="12">
        <v>45473</v>
      </c>
    </row>
    <row r="34" spans="1:11" x14ac:dyDescent="0.35">
      <c r="A34" s="11">
        <v>4781</v>
      </c>
      <c r="B34" s="11" t="s">
        <v>94</v>
      </c>
      <c r="C34" s="11" t="s">
        <v>98</v>
      </c>
      <c r="D34" s="11" t="s">
        <v>109</v>
      </c>
      <c r="E34" s="8" t="s">
        <v>96</v>
      </c>
      <c r="F34" s="12">
        <v>45408</v>
      </c>
      <c r="G34" s="12">
        <v>45448</v>
      </c>
      <c r="H34" s="12">
        <v>45429</v>
      </c>
      <c r="I34" s="11" t="s">
        <v>84</v>
      </c>
      <c r="J34" s="11">
        <v>83</v>
      </c>
      <c r="K34" s="12">
        <v>45535</v>
      </c>
    </row>
    <row r="35" spans="1:11" x14ac:dyDescent="0.35">
      <c r="A35" s="11">
        <v>4805</v>
      </c>
      <c r="B35" s="11" t="s">
        <v>301</v>
      </c>
      <c r="C35" s="11" t="s">
        <v>98</v>
      </c>
      <c r="D35" s="11" t="s">
        <v>109</v>
      </c>
      <c r="E35" s="8" t="s">
        <v>132</v>
      </c>
      <c r="F35" s="12">
        <v>45411</v>
      </c>
      <c r="G35" s="12">
        <v>45422</v>
      </c>
      <c r="H35" s="12">
        <v>45496</v>
      </c>
      <c r="I35" s="11" t="s">
        <v>84</v>
      </c>
      <c r="J35" s="11">
        <v>13</v>
      </c>
      <c r="K35" s="12">
        <v>45504</v>
      </c>
    </row>
    <row r="36" spans="1:11" x14ac:dyDescent="0.35">
      <c r="A36" s="11">
        <v>4801</v>
      </c>
      <c r="B36" s="11" t="s">
        <v>161</v>
      </c>
      <c r="C36" s="11" t="s">
        <v>98</v>
      </c>
      <c r="D36" s="11" t="s">
        <v>97</v>
      </c>
      <c r="E36" s="8" t="s">
        <v>359</v>
      </c>
      <c r="F36" s="12">
        <v>45418</v>
      </c>
      <c r="G36" s="12">
        <v>45421</v>
      </c>
      <c r="H36" s="12">
        <v>45491</v>
      </c>
      <c r="I36" s="11" t="s">
        <v>84</v>
      </c>
      <c r="J36" s="11">
        <v>12</v>
      </c>
      <c r="K36" s="12">
        <v>45504</v>
      </c>
    </row>
    <row r="37" spans="1:11" x14ac:dyDescent="0.35">
      <c r="A37" s="11">
        <v>4792</v>
      </c>
      <c r="B37" s="11" t="s">
        <v>151</v>
      </c>
      <c r="C37" s="11" t="s">
        <v>98</v>
      </c>
      <c r="D37" s="11" t="s">
        <v>97</v>
      </c>
      <c r="E37" s="8" t="s">
        <v>101</v>
      </c>
      <c r="F37" s="12">
        <v>45420</v>
      </c>
      <c r="G37" s="12">
        <v>45421</v>
      </c>
      <c r="H37" s="12">
        <v>45460</v>
      </c>
      <c r="I37" s="11" t="s">
        <v>84</v>
      </c>
      <c r="J37" s="11">
        <v>12</v>
      </c>
      <c r="K37" s="12">
        <v>45504</v>
      </c>
    </row>
    <row r="38" spans="1:11" x14ac:dyDescent="0.35">
      <c r="A38" s="11">
        <v>4794</v>
      </c>
      <c r="B38" s="11" t="s">
        <v>104</v>
      </c>
      <c r="C38" s="11" t="s">
        <v>98</v>
      </c>
      <c r="D38" s="11" t="s">
        <v>97</v>
      </c>
      <c r="E38" s="8" t="s">
        <v>185</v>
      </c>
      <c r="F38" s="12">
        <v>45422</v>
      </c>
      <c r="G38" s="12">
        <v>45422</v>
      </c>
      <c r="H38" s="12">
        <v>45460</v>
      </c>
      <c r="I38" s="11" t="s">
        <v>84</v>
      </c>
      <c r="J38" s="11">
        <v>13</v>
      </c>
      <c r="K38" s="12">
        <v>45504</v>
      </c>
    </row>
    <row r="39" spans="1:11" x14ac:dyDescent="0.35">
      <c r="A39" s="11">
        <v>5492</v>
      </c>
      <c r="B39" s="11" t="s">
        <v>170</v>
      </c>
      <c r="C39" s="11" t="s">
        <v>91</v>
      </c>
      <c r="D39" s="11" t="s">
        <v>90</v>
      </c>
      <c r="E39" s="8" t="s">
        <v>358</v>
      </c>
      <c r="F39" s="12">
        <v>45428</v>
      </c>
      <c r="G39" s="11"/>
      <c r="H39" s="12">
        <v>45438</v>
      </c>
      <c r="I39" s="11" t="s">
        <v>84</v>
      </c>
      <c r="J39" s="11">
        <v>1</v>
      </c>
      <c r="K39" s="11"/>
    </row>
    <row r="40" spans="1:11" x14ac:dyDescent="0.35">
      <c r="A40" s="11">
        <v>4791</v>
      </c>
      <c r="B40" s="11" t="s">
        <v>120</v>
      </c>
      <c r="C40" s="11" t="s">
        <v>98</v>
      </c>
      <c r="D40" s="11" t="s">
        <v>97</v>
      </c>
      <c r="E40" s="8" t="s">
        <v>96</v>
      </c>
      <c r="F40" s="12">
        <v>45431</v>
      </c>
      <c r="G40" s="12">
        <v>45440</v>
      </c>
      <c r="H40" s="12">
        <v>45457</v>
      </c>
      <c r="I40" s="11" t="s">
        <v>84</v>
      </c>
      <c r="J40" s="11">
        <v>10</v>
      </c>
      <c r="K40" s="12">
        <v>45504</v>
      </c>
    </row>
    <row r="41" spans="1:11" x14ac:dyDescent="0.35">
      <c r="A41" s="11">
        <v>4803</v>
      </c>
      <c r="B41" s="11" t="s">
        <v>102</v>
      </c>
      <c r="C41" s="11" t="s">
        <v>98</v>
      </c>
      <c r="D41" s="11" t="s">
        <v>97</v>
      </c>
      <c r="E41" s="8" t="s">
        <v>96</v>
      </c>
      <c r="F41" s="12">
        <v>45431</v>
      </c>
      <c r="G41" s="12">
        <v>45439</v>
      </c>
      <c r="H41" s="12">
        <v>45496</v>
      </c>
      <c r="I41" s="11" t="s">
        <v>84</v>
      </c>
      <c r="J41" s="11">
        <v>15</v>
      </c>
      <c r="K41" s="12">
        <v>45504</v>
      </c>
    </row>
    <row r="42" spans="1:11" x14ac:dyDescent="0.35">
      <c r="A42" s="11">
        <v>4811</v>
      </c>
      <c r="B42" s="11" t="s">
        <v>100</v>
      </c>
      <c r="C42" s="11" t="s">
        <v>98</v>
      </c>
      <c r="D42" s="11" t="s">
        <v>97</v>
      </c>
      <c r="E42" s="8" t="s">
        <v>357</v>
      </c>
      <c r="F42" s="12">
        <v>45431</v>
      </c>
      <c r="G42" s="12">
        <v>45431</v>
      </c>
      <c r="H42" s="12">
        <v>45524</v>
      </c>
      <c r="I42" s="11" t="s">
        <v>84</v>
      </c>
      <c r="J42" s="11">
        <v>14</v>
      </c>
      <c r="K42" s="12">
        <v>45504</v>
      </c>
    </row>
    <row r="43" spans="1:11" x14ac:dyDescent="0.35">
      <c r="A43" s="11">
        <v>4784</v>
      </c>
      <c r="B43" s="11" t="s">
        <v>232</v>
      </c>
      <c r="C43" s="11" t="s">
        <v>98</v>
      </c>
      <c r="D43" s="11" t="s">
        <v>97</v>
      </c>
      <c r="E43" s="8" t="s">
        <v>101</v>
      </c>
      <c r="F43" s="12">
        <v>45432</v>
      </c>
      <c r="G43" s="12">
        <v>45443</v>
      </c>
      <c r="H43" s="12">
        <v>45436</v>
      </c>
      <c r="I43" s="11" t="s">
        <v>84</v>
      </c>
      <c r="J43" s="11">
        <v>29</v>
      </c>
      <c r="K43" s="12">
        <v>45504</v>
      </c>
    </row>
    <row r="44" spans="1:11" x14ac:dyDescent="0.35">
      <c r="A44" s="11">
        <v>4808</v>
      </c>
      <c r="B44" s="11" t="s">
        <v>126</v>
      </c>
      <c r="C44" s="11" t="s">
        <v>98</v>
      </c>
      <c r="D44" s="11" t="s">
        <v>97</v>
      </c>
      <c r="E44" s="8" t="s">
        <v>96</v>
      </c>
      <c r="F44" s="12">
        <v>45432</v>
      </c>
      <c r="G44" s="12">
        <v>45446</v>
      </c>
      <c r="H44" s="12">
        <v>45524</v>
      </c>
      <c r="I44" s="11" t="s">
        <v>84</v>
      </c>
      <c r="J44" s="11">
        <v>19</v>
      </c>
      <c r="K44" s="12">
        <v>45535</v>
      </c>
    </row>
    <row r="45" spans="1:11" ht="26" x14ac:dyDescent="0.35">
      <c r="A45" s="11">
        <v>4804</v>
      </c>
      <c r="B45" s="11" t="s">
        <v>144</v>
      </c>
      <c r="C45" s="11" t="s">
        <v>98</v>
      </c>
      <c r="D45" s="11" t="s">
        <v>97</v>
      </c>
      <c r="E45" s="8" t="s">
        <v>356</v>
      </c>
      <c r="F45" s="12">
        <v>45433</v>
      </c>
      <c r="G45" s="12">
        <v>45439</v>
      </c>
      <c r="H45" s="12">
        <v>45496</v>
      </c>
      <c r="I45" s="11" t="s">
        <v>84</v>
      </c>
      <c r="J45" s="11">
        <v>58</v>
      </c>
      <c r="K45" s="12">
        <v>45504</v>
      </c>
    </row>
    <row r="46" spans="1:11" x14ac:dyDescent="0.35">
      <c r="A46" s="11">
        <v>4788</v>
      </c>
      <c r="B46" s="11" t="s">
        <v>149</v>
      </c>
      <c r="C46" s="11" t="s">
        <v>98</v>
      </c>
      <c r="D46" s="11" t="s">
        <v>97</v>
      </c>
      <c r="E46" s="8" t="s">
        <v>96</v>
      </c>
      <c r="F46" s="12">
        <v>45436</v>
      </c>
      <c r="G46" s="12">
        <v>45439</v>
      </c>
      <c r="H46" s="12">
        <v>45442</v>
      </c>
      <c r="I46" s="11" t="s">
        <v>84</v>
      </c>
      <c r="J46" s="11">
        <v>11</v>
      </c>
      <c r="K46" s="12">
        <v>45504</v>
      </c>
    </row>
    <row r="47" spans="1:11" x14ac:dyDescent="0.35">
      <c r="A47" s="11">
        <v>5493</v>
      </c>
      <c r="B47" s="11" t="s">
        <v>168</v>
      </c>
      <c r="C47" s="11" t="s">
        <v>91</v>
      </c>
      <c r="D47" s="11" t="s">
        <v>90</v>
      </c>
      <c r="E47" s="8" t="s">
        <v>355</v>
      </c>
      <c r="F47" s="12">
        <v>45440</v>
      </c>
      <c r="G47" s="12">
        <v>45443</v>
      </c>
      <c r="H47" s="12">
        <v>45441</v>
      </c>
      <c r="I47" s="11" t="s">
        <v>84</v>
      </c>
      <c r="J47" s="11">
        <v>1</v>
      </c>
      <c r="K47" s="12">
        <v>45504</v>
      </c>
    </row>
    <row r="48" spans="1:11" x14ac:dyDescent="0.35">
      <c r="A48" s="11">
        <v>5494</v>
      </c>
      <c r="B48" s="11" t="s">
        <v>190</v>
      </c>
      <c r="C48" s="11" t="s">
        <v>91</v>
      </c>
      <c r="D48" s="11" t="s">
        <v>90</v>
      </c>
      <c r="E48" s="8" t="s">
        <v>354</v>
      </c>
      <c r="F48" s="12">
        <v>45454</v>
      </c>
      <c r="G48" s="12">
        <v>45456</v>
      </c>
      <c r="H48" s="12">
        <v>45454</v>
      </c>
      <c r="I48" s="11" t="s">
        <v>84</v>
      </c>
      <c r="J48" s="11">
        <v>1</v>
      </c>
      <c r="K48" s="12">
        <v>45535</v>
      </c>
    </row>
    <row r="49" spans="1:11" x14ac:dyDescent="0.35">
      <c r="A49" s="11">
        <v>5495</v>
      </c>
      <c r="B49" s="11" t="s">
        <v>190</v>
      </c>
      <c r="C49" s="11" t="s">
        <v>91</v>
      </c>
      <c r="D49" s="11" t="s">
        <v>90</v>
      </c>
      <c r="E49" s="8" t="s">
        <v>353</v>
      </c>
      <c r="F49" s="12">
        <v>45454</v>
      </c>
      <c r="G49" s="12">
        <v>45455</v>
      </c>
      <c r="H49" s="12">
        <v>45455</v>
      </c>
      <c r="I49" s="11" t="s">
        <v>84</v>
      </c>
      <c r="J49" s="11">
        <v>1</v>
      </c>
      <c r="K49" s="12">
        <v>45535</v>
      </c>
    </row>
    <row r="50" spans="1:11" x14ac:dyDescent="0.35">
      <c r="A50" s="11">
        <v>5496</v>
      </c>
      <c r="B50" s="11" t="s">
        <v>168</v>
      </c>
      <c r="C50" s="11" t="s">
        <v>91</v>
      </c>
      <c r="D50" s="11" t="s">
        <v>90</v>
      </c>
      <c r="E50" s="8" t="s">
        <v>352</v>
      </c>
      <c r="F50" s="12">
        <v>45455</v>
      </c>
      <c r="G50" s="12">
        <v>45457</v>
      </c>
      <c r="H50" s="12">
        <v>45455</v>
      </c>
      <c r="I50" s="11" t="s">
        <v>84</v>
      </c>
      <c r="J50" s="11">
        <v>1</v>
      </c>
      <c r="K50" s="12">
        <v>45535</v>
      </c>
    </row>
    <row r="51" spans="1:11" x14ac:dyDescent="0.35">
      <c r="A51" s="11">
        <v>4796</v>
      </c>
      <c r="B51" s="11" t="s">
        <v>232</v>
      </c>
      <c r="C51" s="11" t="s">
        <v>98</v>
      </c>
      <c r="D51" s="11" t="s">
        <v>97</v>
      </c>
      <c r="E51" s="8" t="s">
        <v>351</v>
      </c>
      <c r="F51" s="12">
        <v>45459</v>
      </c>
      <c r="G51" s="12">
        <v>45496</v>
      </c>
      <c r="H51" s="12">
        <v>45467</v>
      </c>
      <c r="I51" s="11" t="s">
        <v>84</v>
      </c>
      <c r="J51" s="11">
        <v>29</v>
      </c>
      <c r="K51" s="12">
        <v>45565</v>
      </c>
    </row>
    <row r="52" spans="1:11" x14ac:dyDescent="0.35">
      <c r="A52" s="11">
        <v>4797</v>
      </c>
      <c r="B52" s="11" t="s">
        <v>205</v>
      </c>
      <c r="C52" s="11" t="s">
        <v>98</v>
      </c>
      <c r="D52" s="11" t="s">
        <v>109</v>
      </c>
      <c r="E52" s="8" t="s">
        <v>164</v>
      </c>
      <c r="F52" s="12">
        <v>45459</v>
      </c>
      <c r="G52" s="12">
        <v>45477</v>
      </c>
      <c r="H52" s="12">
        <v>45471</v>
      </c>
      <c r="I52" s="11" t="s">
        <v>84</v>
      </c>
      <c r="J52" s="11">
        <v>32</v>
      </c>
      <c r="K52" s="12">
        <v>45565</v>
      </c>
    </row>
    <row r="53" spans="1:11" x14ac:dyDescent="0.35">
      <c r="A53" s="11">
        <v>4807</v>
      </c>
      <c r="B53" s="11" t="s">
        <v>128</v>
      </c>
      <c r="C53" s="11" t="s">
        <v>98</v>
      </c>
      <c r="D53" s="11" t="s">
        <v>109</v>
      </c>
      <c r="E53" s="8" t="s">
        <v>183</v>
      </c>
      <c r="F53" s="12">
        <v>45459</v>
      </c>
      <c r="G53" s="12">
        <v>45481</v>
      </c>
      <c r="H53" s="12">
        <v>45519</v>
      </c>
      <c r="I53" s="11" t="s">
        <v>84</v>
      </c>
      <c r="J53" s="11">
        <v>25</v>
      </c>
      <c r="K53" s="12">
        <v>45565</v>
      </c>
    </row>
    <row r="54" spans="1:11" x14ac:dyDescent="0.35">
      <c r="A54" s="11">
        <v>4795</v>
      </c>
      <c r="B54" s="11" t="s">
        <v>170</v>
      </c>
      <c r="C54" s="11" t="s">
        <v>98</v>
      </c>
      <c r="D54" s="11" t="s">
        <v>90</v>
      </c>
      <c r="E54" s="8" t="s">
        <v>350</v>
      </c>
      <c r="F54" s="12">
        <v>45460</v>
      </c>
      <c r="G54" s="12">
        <v>45524</v>
      </c>
      <c r="H54" s="12">
        <v>45463</v>
      </c>
      <c r="I54" s="11" t="s">
        <v>84</v>
      </c>
      <c r="J54" s="11">
        <v>5</v>
      </c>
      <c r="K54" s="12">
        <v>45596</v>
      </c>
    </row>
    <row r="55" spans="1:11" x14ac:dyDescent="0.35">
      <c r="A55" s="11">
        <v>5497</v>
      </c>
      <c r="B55" s="11" t="s">
        <v>170</v>
      </c>
      <c r="C55" s="11" t="s">
        <v>91</v>
      </c>
      <c r="D55" s="11" t="s">
        <v>90</v>
      </c>
      <c r="E55" s="8" t="s">
        <v>349</v>
      </c>
      <c r="F55" s="12">
        <v>45460</v>
      </c>
      <c r="G55" s="11"/>
      <c r="H55" s="12">
        <v>45460</v>
      </c>
      <c r="I55" s="11" t="s">
        <v>84</v>
      </c>
      <c r="J55" s="11">
        <v>3</v>
      </c>
      <c r="K55" s="11"/>
    </row>
    <row r="56" spans="1:11" x14ac:dyDescent="0.35">
      <c r="A56" s="11">
        <v>5498</v>
      </c>
      <c r="B56" s="11" t="s">
        <v>170</v>
      </c>
      <c r="C56" s="11" t="s">
        <v>91</v>
      </c>
      <c r="D56" s="11" t="s">
        <v>90</v>
      </c>
      <c r="E56" s="8" t="s">
        <v>348</v>
      </c>
      <c r="F56" s="12">
        <v>45460</v>
      </c>
      <c r="G56" s="11"/>
      <c r="H56" s="12">
        <v>45461</v>
      </c>
      <c r="I56" s="11" t="s">
        <v>84</v>
      </c>
      <c r="J56" s="11">
        <v>3</v>
      </c>
      <c r="K56" s="11"/>
    </row>
    <row r="57" spans="1:11" x14ac:dyDescent="0.35">
      <c r="A57" s="11">
        <v>4822</v>
      </c>
      <c r="B57" s="11" t="s">
        <v>126</v>
      </c>
      <c r="C57" s="11" t="s">
        <v>98</v>
      </c>
      <c r="D57" s="11" t="s">
        <v>97</v>
      </c>
      <c r="E57" s="8" t="s">
        <v>96</v>
      </c>
      <c r="F57" s="12">
        <v>45462</v>
      </c>
      <c r="G57" s="12">
        <v>45481</v>
      </c>
      <c r="H57" s="12">
        <v>45559</v>
      </c>
      <c r="I57" s="11" t="s">
        <v>84</v>
      </c>
      <c r="J57" s="11">
        <v>17</v>
      </c>
      <c r="K57" s="12">
        <v>45565</v>
      </c>
    </row>
    <row r="58" spans="1:11" x14ac:dyDescent="0.35">
      <c r="A58" s="11">
        <v>4809</v>
      </c>
      <c r="B58" s="11" t="s">
        <v>170</v>
      </c>
      <c r="C58" s="11" t="s">
        <v>98</v>
      </c>
      <c r="D58" s="11" t="s">
        <v>109</v>
      </c>
      <c r="E58" s="8" t="s">
        <v>164</v>
      </c>
      <c r="F58" s="12">
        <v>45463</v>
      </c>
      <c r="G58" s="12">
        <v>45464</v>
      </c>
      <c r="H58" s="12">
        <v>45524</v>
      </c>
      <c r="I58" s="11" t="s">
        <v>84</v>
      </c>
      <c r="J58" s="11">
        <v>1</v>
      </c>
      <c r="K58" s="12">
        <v>45535</v>
      </c>
    </row>
    <row r="59" spans="1:11" x14ac:dyDescent="0.35">
      <c r="A59" s="11">
        <v>4823</v>
      </c>
      <c r="B59" s="11" t="s">
        <v>165</v>
      </c>
      <c r="C59" s="11" t="s">
        <v>98</v>
      </c>
      <c r="D59" s="11" t="s">
        <v>90</v>
      </c>
      <c r="E59" s="8" t="s">
        <v>129</v>
      </c>
      <c r="F59" s="12">
        <v>45465</v>
      </c>
      <c r="G59" s="12">
        <v>45481</v>
      </c>
      <c r="H59" s="12">
        <v>45559</v>
      </c>
      <c r="I59" s="11" t="s">
        <v>84</v>
      </c>
      <c r="J59" s="11">
        <v>1</v>
      </c>
      <c r="K59" s="12">
        <v>45565</v>
      </c>
    </row>
    <row r="60" spans="1:11" x14ac:dyDescent="0.35">
      <c r="A60" s="11">
        <v>5499</v>
      </c>
      <c r="B60" s="11" t="s">
        <v>165</v>
      </c>
      <c r="C60" s="11" t="s">
        <v>91</v>
      </c>
      <c r="D60" s="11" t="s">
        <v>90</v>
      </c>
      <c r="E60" s="8" t="s">
        <v>347</v>
      </c>
      <c r="F60" s="12">
        <v>45465</v>
      </c>
      <c r="G60" s="12">
        <v>45484</v>
      </c>
      <c r="H60" s="12">
        <v>45466</v>
      </c>
      <c r="I60" s="11" t="s">
        <v>84</v>
      </c>
      <c r="J60" s="11">
        <v>2</v>
      </c>
      <c r="K60" s="12">
        <v>45565</v>
      </c>
    </row>
    <row r="61" spans="1:11" x14ac:dyDescent="0.35">
      <c r="A61" s="11">
        <v>5500</v>
      </c>
      <c r="B61" s="11" t="s">
        <v>163</v>
      </c>
      <c r="C61" s="11" t="s">
        <v>91</v>
      </c>
      <c r="D61" s="11" t="s">
        <v>90</v>
      </c>
      <c r="E61" s="8" t="s">
        <v>346</v>
      </c>
      <c r="F61" s="12">
        <v>45468</v>
      </c>
      <c r="G61" s="11"/>
      <c r="H61" s="12">
        <v>45468</v>
      </c>
      <c r="I61" s="11" t="s">
        <v>84</v>
      </c>
      <c r="J61" s="11">
        <v>1</v>
      </c>
      <c r="K61" s="11"/>
    </row>
    <row r="62" spans="1:11" x14ac:dyDescent="0.35">
      <c r="A62" s="11">
        <v>4824</v>
      </c>
      <c r="B62" s="11" t="s">
        <v>100</v>
      </c>
      <c r="C62" s="11" t="s">
        <v>98</v>
      </c>
      <c r="D62" s="11" t="s">
        <v>97</v>
      </c>
      <c r="E62" s="8" t="s">
        <v>96</v>
      </c>
      <c r="F62" s="12">
        <v>45469</v>
      </c>
      <c r="G62" s="12">
        <v>45480</v>
      </c>
      <c r="H62" s="12">
        <v>45559</v>
      </c>
      <c r="I62" s="11" t="s">
        <v>84</v>
      </c>
      <c r="J62" s="11">
        <v>17</v>
      </c>
      <c r="K62" s="12">
        <v>45565</v>
      </c>
    </row>
    <row r="63" spans="1:11" x14ac:dyDescent="0.35">
      <c r="A63" s="11">
        <v>5501</v>
      </c>
      <c r="B63" s="11" t="s">
        <v>168</v>
      </c>
      <c r="C63" s="11" t="s">
        <v>91</v>
      </c>
      <c r="D63" s="11" t="s">
        <v>90</v>
      </c>
      <c r="E63" s="8" t="s">
        <v>345</v>
      </c>
      <c r="F63" s="12">
        <v>45471</v>
      </c>
      <c r="G63" s="12">
        <v>45473</v>
      </c>
      <c r="H63" s="12">
        <v>45471</v>
      </c>
      <c r="I63" s="11" t="s">
        <v>84</v>
      </c>
      <c r="J63" s="11">
        <v>1</v>
      </c>
      <c r="K63" s="12">
        <v>45535</v>
      </c>
    </row>
    <row r="64" spans="1:11" x14ac:dyDescent="0.35">
      <c r="A64" s="11">
        <v>5502</v>
      </c>
      <c r="B64" s="11" t="s">
        <v>88</v>
      </c>
      <c r="C64" s="11" t="s">
        <v>91</v>
      </c>
      <c r="D64" s="11" t="s">
        <v>90</v>
      </c>
      <c r="E64" s="8" t="s">
        <v>344</v>
      </c>
      <c r="F64" s="12">
        <v>45475</v>
      </c>
      <c r="G64" s="12">
        <v>45479</v>
      </c>
      <c r="H64" s="12">
        <v>45475</v>
      </c>
      <c r="I64" s="11" t="s">
        <v>84</v>
      </c>
      <c r="J64" s="11">
        <v>1</v>
      </c>
      <c r="K64" s="12">
        <v>45565</v>
      </c>
    </row>
    <row r="65" spans="1:11" x14ac:dyDescent="0.35">
      <c r="A65" s="11">
        <v>5503</v>
      </c>
      <c r="B65" s="11" t="s">
        <v>88</v>
      </c>
      <c r="C65" s="11" t="s">
        <v>91</v>
      </c>
      <c r="D65" s="11" t="s">
        <v>90</v>
      </c>
      <c r="E65" s="8" t="s">
        <v>343</v>
      </c>
      <c r="F65" s="12">
        <v>45477</v>
      </c>
      <c r="G65" s="12">
        <v>45480</v>
      </c>
      <c r="H65" s="12">
        <v>45478</v>
      </c>
      <c r="I65" s="11" t="s">
        <v>84</v>
      </c>
      <c r="J65" s="11">
        <v>1</v>
      </c>
      <c r="K65" s="12">
        <v>45565</v>
      </c>
    </row>
    <row r="66" spans="1:11" x14ac:dyDescent="0.35">
      <c r="A66" s="11">
        <v>4798</v>
      </c>
      <c r="B66" s="11" t="s">
        <v>94</v>
      </c>
      <c r="C66" s="11" t="s">
        <v>98</v>
      </c>
      <c r="D66" s="11" t="s">
        <v>114</v>
      </c>
      <c r="E66" s="8" t="s">
        <v>342</v>
      </c>
      <c r="F66" s="12">
        <v>45478</v>
      </c>
      <c r="G66" s="12">
        <v>45482</v>
      </c>
      <c r="H66" s="12">
        <v>45482</v>
      </c>
      <c r="I66" s="11" t="s">
        <v>84</v>
      </c>
      <c r="J66" s="11">
        <v>67</v>
      </c>
      <c r="K66" s="12">
        <v>45565</v>
      </c>
    </row>
    <row r="67" spans="1:11" x14ac:dyDescent="0.35">
      <c r="A67" s="11">
        <v>5504</v>
      </c>
      <c r="B67" s="11" t="s">
        <v>193</v>
      </c>
      <c r="C67" s="11" t="s">
        <v>91</v>
      </c>
      <c r="D67" s="11" t="s">
        <v>90</v>
      </c>
      <c r="E67" s="8" t="s">
        <v>341</v>
      </c>
      <c r="F67" s="12">
        <v>45480</v>
      </c>
      <c r="G67" s="12">
        <v>45506</v>
      </c>
      <c r="H67" s="12">
        <v>45480</v>
      </c>
      <c r="I67" s="11" t="s">
        <v>84</v>
      </c>
      <c r="J67" s="11">
        <v>1</v>
      </c>
      <c r="K67" s="12">
        <v>45596</v>
      </c>
    </row>
    <row r="68" spans="1:11" x14ac:dyDescent="0.35">
      <c r="A68" s="11">
        <v>4810</v>
      </c>
      <c r="B68" s="11" t="s">
        <v>298</v>
      </c>
      <c r="C68" s="11" t="s">
        <v>98</v>
      </c>
      <c r="D68" s="11" t="s">
        <v>97</v>
      </c>
      <c r="E68" s="8" t="s">
        <v>299</v>
      </c>
      <c r="F68" s="12">
        <v>45482</v>
      </c>
      <c r="G68" s="12">
        <v>45484</v>
      </c>
      <c r="H68" s="12">
        <v>45524</v>
      </c>
      <c r="I68" s="11" t="s">
        <v>84</v>
      </c>
      <c r="J68" s="11">
        <v>8</v>
      </c>
      <c r="K68" s="12">
        <v>45565</v>
      </c>
    </row>
    <row r="69" spans="1:11" x14ac:dyDescent="0.35">
      <c r="A69" s="11">
        <v>5505</v>
      </c>
      <c r="B69" s="11" t="s">
        <v>168</v>
      </c>
      <c r="C69" s="11" t="s">
        <v>91</v>
      </c>
      <c r="D69" s="11" t="s">
        <v>90</v>
      </c>
      <c r="E69" s="8" t="s">
        <v>340</v>
      </c>
      <c r="F69" s="12">
        <v>45482</v>
      </c>
      <c r="G69" s="12">
        <v>45483</v>
      </c>
      <c r="H69" s="12">
        <v>45482</v>
      </c>
      <c r="I69" s="11" t="s">
        <v>84</v>
      </c>
      <c r="J69" s="11">
        <v>1</v>
      </c>
      <c r="K69" s="12">
        <v>45565</v>
      </c>
    </row>
    <row r="70" spans="1:11" x14ac:dyDescent="0.35">
      <c r="A70" s="11">
        <v>5507</v>
      </c>
      <c r="B70" s="11" t="s">
        <v>161</v>
      </c>
      <c r="C70" s="11" t="s">
        <v>91</v>
      </c>
      <c r="D70" s="11" t="s">
        <v>90</v>
      </c>
      <c r="E70" s="8" t="s">
        <v>339</v>
      </c>
      <c r="F70" s="12">
        <v>45482</v>
      </c>
      <c r="G70" s="11"/>
      <c r="H70" s="12">
        <v>45485</v>
      </c>
      <c r="I70" s="11" t="s">
        <v>84</v>
      </c>
      <c r="J70" s="11">
        <v>2</v>
      </c>
      <c r="K70" s="11"/>
    </row>
    <row r="71" spans="1:11" x14ac:dyDescent="0.35">
      <c r="A71" s="11">
        <v>4812</v>
      </c>
      <c r="B71" s="11" t="s">
        <v>338</v>
      </c>
      <c r="C71" s="11" t="s">
        <v>98</v>
      </c>
      <c r="D71" s="11" t="s">
        <v>97</v>
      </c>
      <c r="E71" s="8" t="s">
        <v>212</v>
      </c>
      <c r="F71" s="12">
        <v>45483</v>
      </c>
      <c r="G71" s="12">
        <v>45486</v>
      </c>
      <c r="H71" s="12">
        <v>45524</v>
      </c>
      <c r="I71" s="11" t="s">
        <v>84</v>
      </c>
      <c r="J71" s="11">
        <v>2</v>
      </c>
      <c r="K71" s="12">
        <v>45565</v>
      </c>
    </row>
    <row r="72" spans="1:11" x14ac:dyDescent="0.35">
      <c r="A72" s="11">
        <v>4814</v>
      </c>
      <c r="B72" s="11" t="s">
        <v>266</v>
      </c>
      <c r="C72" s="11" t="s">
        <v>98</v>
      </c>
      <c r="D72" s="11" t="s">
        <v>109</v>
      </c>
      <c r="E72" s="8" t="s">
        <v>337</v>
      </c>
      <c r="F72" s="12">
        <v>45483</v>
      </c>
      <c r="G72" s="12">
        <v>45484</v>
      </c>
      <c r="H72" s="12">
        <v>45533</v>
      </c>
      <c r="I72" s="11" t="s">
        <v>84</v>
      </c>
      <c r="J72" s="11">
        <v>5</v>
      </c>
      <c r="K72" s="12">
        <v>45565</v>
      </c>
    </row>
    <row r="73" spans="1:11" x14ac:dyDescent="0.35">
      <c r="A73" s="11">
        <v>4833</v>
      </c>
      <c r="B73" s="11" t="s">
        <v>168</v>
      </c>
      <c r="C73" s="11" t="s">
        <v>98</v>
      </c>
      <c r="D73" s="11" t="s">
        <v>90</v>
      </c>
      <c r="E73" s="8" t="s">
        <v>335</v>
      </c>
      <c r="F73" s="12">
        <v>45483</v>
      </c>
      <c r="G73" s="12">
        <v>45490</v>
      </c>
      <c r="H73" s="12">
        <v>45569</v>
      </c>
      <c r="I73" s="11" t="s">
        <v>84</v>
      </c>
      <c r="J73" s="11">
        <v>1</v>
      </c>
      <c r="K73" s="12">
        <v>45565</v>
      </c>
    </row>
    <row r="74" spans="1:11" x14ac:dyDescent="0.35">
      <c r="A74" s="11">
        <v>4854</v>
      </c>
      <c r="B74" s="11" t="s">
        <v>163</v>
      </c>
      <c r="C74" s="11" t="s">
        <v>98</v>
      </c>
      <c r="D74" s="11" t="s">
        <v>90</v>
      </c>
      <c r="E74" s="8" t="s">
        <v>129</v>
      </c>
      <c r="F74" s="12">
        <v>45483</v>
      </c>
      <c r="G74" s="12">
        <v>45527</v>
      </c>
      <c r="H74" s="12">
        <v>45658</v>
      </c>
      <c r="I74" s="11" t="s">
        <v>84</v>
      </c>
      <c r="J74" s="11">
        <v>5</v>
      </c>
      <c r="K74" s="12">
        <v>45596</v>
      </c>
    </row>
    <row r="75" spans="1:11" x14ac:dyDescent="0.35">
      <c r="A75" s="11">
        <v>5506</v>
      </c>
      <c r="B75" s="11" t="s">
        <v>163</v>
      </c>
      <c r="C75" s="11" t="s">
        <v>91</v>
      </c>
      <c r="D75" s="11" t="s">
        <v>90</v>
      </c>
      <c r="E75" s="8" t="s">
        <v>336</v>
      </c>
      <c r="F75" s="12">
        <v>45483</v>
      </c>
      <c r="G75" s="11"/>
      <c r="H75" s="12">
        <v>45484</v>
      </c>
      <c r="I75" s="11" t="s">
        <v>84</v>
      </c>
      <c r="J75" s="11">
        <v>1</v>
      </c>
      <c r="K75" s="11"/>
    </row>
    <row r="76" spans="1:11" x14ac:dyDescent="0.35">
      <c r="A76" s="11">
        <v>5508</v>
      </c>
      <c r="B76" s="11" t="s">
        <v>168</v>
      </c>
      <c r="C76" s="11" t="s">
        <v>91</v>
      </c>
      <c r="D76" s="11" t="s">
        <v>90</v>
      </c>
      <c r="E76" s="8" t="s">
        <v>335</v>
      </c>
      <c r="F76" s="12">
        <v>45483</v>
      </c>
      <c r="G76" s="12">
        <v>45488</v>
      </c>
      <c r="H76" s="12">
        <v>45486</v>
      </c>
      <c r="I76" s="11" t="s">
        <v>84</v>
      </c>
      <c r="J76" s="11">
        <v>1</v>
      </c>
      <c r="K76" s="12">
        <v>45565</v>
      </c>
    </row>
    <row r="77" spans="1:11" x14ac:dyDescent="0.35">
      <c r="A77" s="11">
        <v>4819</v>
      </c>
      <c r="B77" s="11" t="s">
        <v>334</v>
      </c>
      <c r="C77" s="11" t="s">
        <v>98</v>
      </c>
      <c r="D77" s="11" t="s">
        <v>109</v>
      </c>
      <c r="E77" s="8" t="s">
        <v>333</v>
      </c>
      <c r="F77" s="12">
        <v>45486</v>
      </c>
      <c r="G77" s="12">
        <v>45489</v>
      </c>
      <c r="H77" s="12">
        <v>45555</v>
      </c>
      <c r="I77" s="11" t="s">
        <v>84</v>
      </c>
      <c r="J77" s="11">
        <v>7</v>
      </c>
      <c r="K77" s="12">
        <v>45565</v>
      </c>
    </row>
    <row r="78" spans="1:11" x14ac:dyDescent="0.35">
      <c r="A78" s="11">
        <v>4842</v>
      </c>
      <c r="B78" s="11" t="s">
        <v>128</v>
      </c>
      <c r="C78" s="11" t="s">
        <v>98</v>
      </c>
      <c r="D78" s="11" t="s">
        <v>97</v>
      </c>
      <c r="E78" s="8" t="s">
        <v>332</v>
      </c>
      <c r="F78" s="12">
        <v>45486</v>
      </c>
      <c r="G78" s="12">
        <v>45487</v>
      </c>
      <c r="H78" s="12">
        <v>45597</v>
      </c>
      <c r="I78" s="11" t="s">
        <v>84</v>
      </c>
      <c r="J78" s="11">
        <v>1</v>
      </c>
      <c r="K78" s="12">
        <v>45565</v>
      </c>
    </row>
    <row r="79" spans="1:11" x14ac:dyDescent="0.35">
      <c r="A79" s="11">
        <v>5510</v>
      </c>
      <c r="B79" s="11" t="s">
        <v>131</v>
      </c>
      <c r="C79" s="11" t="s">
        <v>91</v>
      </c>
      <c r="D79" s="11" t="s">
        <v>90</v>
      </c>
      <c r="E79" s="8" t="s">
        <v>331</v>
      </c>
      <c r="F79" s="12">
        <v>45488</v>
      </c>
      <c r="G79" s="12">
        <v>45494</v>
      </c>
      <c r="H79" s="12">
        <v>45489</v>
      </c>
      <c r="I79" s="11" t="s">
        <v>84</v>
      </c>
      <c r="J79" s="11">
        <v>2</v>
      </c>
      <c r="K79" s="12">
        <v>45565</v>
      </c>
    </row>
    <row r="80" spans="1:11" x14ac:dyDescent="0.35">
      <c r="A80" s="11">
        <v>5509</v>
      </c>
      <c r="B80" s="11" t="s">
        <v>190</v>
      </c>
      <c r="C80" s="11" t="s">
        <v>91</v>
      </c>
      <c r="D80" s="11" t="s">
        <v>90</v>
      </c>
      <c r="E80" s="8" t="s">
        <v>330</v>
      </c>
      <c r="F80" s="12">
        <v>45489</v>
      </c>
      <c r="G80" s="12">
        <v>45490</v>
      </c>
      <c r="H80" s="12">
        <v>45489</v>
      </c>
      <c r="I80" s="11" t="s">
        <v>84</v>
      </c>
      <c r="J80" s="11">
        <v>1</v>
      </c>
      <c r="K80" s="12">
        <v>45565</v>
      </c>
    </row>
    <row r="81" spans="1:11" x14ac:dyDescent="0.35">
      <c r="A81" s="11">
        <v>4849</v>
      </c>
      <c r="B81" s="11" t="s">
        <v>165</v>
      </c>
      <c r="C81" s="11" t="s">
        <v>98</v>
      </c>
      <c r="D81" s="11" t="s">
        <v>90</v>
      </c>
      <c r="E81" s="8" t="s">
        <v>129</v>
      </c>
      <c r="F81" s="12">
        <v>45490</v>
      </c>
      <c r="G81" s="12">
        <v>45525</v>
      </c>
      <c r="H81" s="12">
        <v>45622</v>
      </c>
      <c r="I81" s="11" t="s">
        <v>84</v>
      </c>
      <c r="J81" s="11">
        <v>1</v>
      </c>
      <c r="K81" s="12">
        <v>45596</v>
      </c>
    </row>
    <row r="82" spans="1:11" x14ac:dyDescent="0.35">
      <c r="A82" s="11">
        <v>5511</v>
      </c>
      <c r="B82" s="11" t="s">
        <v>163</v>
      </c>
      <c r="C82" s="11" t="s">
        <v>91</v>
      </c>
      <c r="D82" s="11" t="s">
        <v>90</v>
      </c>
      <c r="E82" s="8" t="s">
        <v>329</v>
      </c>
      <c r="F82" s="12">
        <v>45490</v>
      </c>
      <c r="G82" s="11"/>
      <c r="H82" s="12">
        <v>45491</v>
      </c>
      <c r="I82" s="11" t="s">
        <v>84</v>
      </c>
      <c r="J82" s="11">
        <v>3</v>
      </c>
      <c r="K82" s="11"/>
    </row>
    <row r="83" spans="1:11" x14ac:dyDescent="0.35">
      <c r="A83" s="11">
        <v>5518</v>
      </c>
      <c r="B83" s="11" t="s">
        <v>165</v>
      </c>
      <c r="C83" s="11" t="s">
        <v>91</v>
      </c>
      <c r="D83" s="11" t="s">
        <v>90</v>
      </c>
      <c r="E83" s="8" t="s">
        <v>328</v>
      </c>
      <c r="F83" s="12">
        <v>45490</v>
      </c>
      <c r="G83" s="12">
        <v>45494</v>
      </c>
      <c r="H83" s="12">
        <v>45497</v>
      </c>
      <c r="I83" s="11" t="s">
        <v>84</v>
      </c>
      <c r="J83" s="11">
        <v>3</v>
      </c>
      <c r="K83" s="12">
        <v>45565</v>
      </c>
    </row>
    <row r="84" spans="1:11" x14ac:dyDescent="0.35">
      <c r="A84" s="11">
        <v>5512</v>
      </c>
      <c r="B84" s="11" t="s">
        <v>163</v>
      </c>
      <c r="C84" s="11" t="s">
        <v>91</v>
      </c>
      <c r="D84" s="11" t="s">
        <v>90</v>
      </c>
      <c r="E84" s="8" t="s">
        <v>327</v>
      </c>
      <c r="F84" s="12">
        <v>45491</v>
      </c>
      <c r="G84" s="11"/>
      <c r="H84" s="12">
        <v>45491</v>
      </c>
      <c r="I84" s="11" t="s">
        <v>84</v>
      </c>
      <c r="J84" s="11">
        <v>2</v>
      </c>
      <c r="K84" s="11"/>
    </row>
    <row r="85" spans="1:11" x14ac:dyDescent="0.35">
      <c r="A85" s="11">
        <v>5513</v>
      </c>
      <c r="B85" s="11" t="s">
        <v>163</v>
      </c>
      <c r="C85" s="11" t="s">
        <v>91</v>
      </c>
      <c r="D85" s="11" t="s">
        <v>90</v>
      </c>
      <c r="E85" s="8" t="s">
        <v>326</v>
      </c>
      <c r="F85" s="12">
        <v>45493</v>
      </c>
      <c r="G85" s="11"/>
      <c r="H85" s="12">
        <v>45494</v>
      </c>
      <c r="I85" s="11" t="s">
        <v>84</v>
      </c>
      <c r="J85" s="11">
        <v>1</v>
      </c>
      <c r="K85" s="11"/>
    </row>
    <row r="86" spans="1:11" x14ac:dyDescent="0.35">
      <c r="A86" s="11">
        <v>5514</v>
      </c>
      <c r="B86" s="11" t="s">
        <v>163</v>
      </c>
      <c r="C86" s="11" t="s">
        <v>91</v>
      </c>
      <c r="D86" s="11" t="s">
        <v>90</v>
      </c>
      <c r="E86" s="8" t="s">
        <v>325</v>
      </c>
      <c r="F86" s="12">
        <v>45494</v>
      </c>
      <c r="G86" s="11"/>
      <c r="H86" s="12">
        <v>45494</v>
      </c>
      <c r="I86" s="11" t="s">
        <v>84</v>
      </c>
      <c r="J86" s="11">
        <v>3</v>
      </c>
      <c r="K86" s="11"/>
    </row>
    <row r="87" spans="1:11" x14ac:dyDescent="0.35">
      <c r="A87" s="11">
        <v>5515</v>
      </c>
      <c r="B87" s="11" t="s">
        <v>88</v>
      </c>
      <c r="C87" s="11" t="s">
        <v>91</v>
      </c>
      <c r="D87" s="11" t="s">
        <v>90</v>
      </c>
      <c r="E87" s="8" t="s">
        <v>324</v>
      </c>
      <c r="F87" s="12">
        <v>45494</v>
      </c>
      <c r="G87" s="12">
        <v>45495</v>
      </c>
      <c r="H87" s="12">
        <v>45494</v>
      </c>
      <c r="I87" s="11" t="s">
        <v>84</v>
      </c>
      <c r="J87" s="11">
        <v>1</v>
      </c>
      <c r="K87" s="12">
        <v>45565</v>
      </c>
    </row>
    <row r="88" spans="1:11" x14ac:dyDescent="0.35">
      <c r="A88" s="11">
        <v>5516</v>
      </c>
      <c r="B88" s="11" t="s">
        <v>163</v>
      </c>
      <c r="C88" s="11" t="s">
        <v>91</v>
      </c>
      <c r="D88" s="11" t="s">
        <v>90</v>
      </c>
      <c r="E88" s="8" t="s">
        <v>323</v>
      </c>
      <c r="F88" s="12">
        <v>45494</v>
      </c>
      <c r="G88" s="11"/>
      <c r="H88" s="12">
        <v>45495</v>
      </c>
      <c r="I88" s="11" t="s">
        <v>84</v>
      </c>
      <c r="J88" s="11">
        <v>2</v>
      </c>
      <c r="K88" s="11"/>
    </row>
    <row r="89" spans="1:11" x14ac:dyDescent="0.35">
      <c r="A89" s="11">
        <v>5517</v>
      </c>
      <c r="B89" s="11" t="s">
        <v>165</v>
      </c>
      <c r="C89" s="11" t="s">
        <v>91</v>
      </c>
      <c r="D89" s="11" t="s">
        <v>90</v>
      </c>
      <c r="E89" s="8" t="s">
        <v>322</v>
      </c>
      <c r="F89" s="12">
        <v>45495</v>
      </c>
      <c r="G89" s="12">
        <v>45501</v>
      </c>
      <c r="H89" s="12">
        <v>45496</v>
      </c>
      <c r="I89" s="11" t="s">
        <v>84</v>
      </c>
      <c r="J89" s="11">
        <v>2</v>
      </c>
      <c r="K89" s="12">
        <v>45565</v>
      </c>
    </row>
    <row r="90" spans="1:11" x14ac:dyDescent="0.35">
      <c r="A90" s="11">
        <v>4813</v>
      </c>
      <c r="B90" s="11" t="s">
        <v>161</v>
      </c>
      <c r="C90" s="11" t="s">
        <v>98</v>
      </c>
      <c r="D90" s="11" t="s">
        <v>160</v>
      </c>
      <c r="E90" s="8" t="s">
        <v>162</v>
      </c>
      <c r="F90" s="12">
        <v>45497</v>
      </c>
      <c r="G90" s="12">
        <v>45497</v>
      </c>
      <c r="H90" s="12">
        <v>45527</v>
      </c>
      <c r="I90" s="11" t="s">
        <v>84</v>
      </c>
      <c r="J90" s="11">
        <v>2</v>
      </c>
      <c r="K90" s="12">
        <v>45565</v>
      </c>
    </row>
    <row r="91" spans="1:11" x14ac:dyDescent="0.35">
      <c r="A91" s="11">
        <v>5519</v>
      </c>
      <c r="B91" s="11" t="s">
        <v>88</v>
      </c>
      <c r="C91" s="11" t="s">
        <v>91</v>
      </c>
      <c r="D91" s="11" t="s">
        <v>90</v>
      </c>
      <c r="E91" s="8" t="s">
        <v>321</v>
      </c>
      <c r="F91" s="12">
        <v>45497</v>
      </c>
      <c r="G91" s="12">
        <v>45524</v>
      </c>
      <c r="H91" s="12">
        <v>45498</v>
      </c>
      <c r="I91" s="11" t="s">
        <v>84</v>
      </c>
      <c r="J91" s="11">
        <v>2</v>
      </c>
      <c r="K91" s="12">
        <v>45596</v>
      </c>
    </row>
    <row r="92" spans="1:11" x14ac:dyDescent="0.35">
      <c r="A92" s="11">
        <v>5520</v>
      </c>
      <c r="B92" s="11" t="s">
        <v>131</v>
      </c>
      <c r="C92" s="11" t="s">
        <v>91</v>
      </c>
      <c r="D92" s="11" t="s">
        <v>90</v>
      </c>
      <c r="E92" s="8" t="s">
        <v>320</v>
      </c>
      <c r="F92" s="12">
        <v>45498</v>
      </c>
      <c r="G92" s="12">
        <v>45513</v>
      </c>
      <c r="H92" s="12">
        <v>45499</v>
      </c>
      <c r="I92" s="11" t="s">
        <v>84</v>
      </c>
      <c r="J92" s="11">
        <v>3</v>
      </c>
      <c r="K92" s="12">
        <v>45596</v>
      </c>
    </row>
    <row r="93" spans="1:11" x14ac:dyDescent="0.35">
      <c r="A93" s="11">
        <v>5521</v>
      </c>
      <c r="B93" s="11" t="s">
        <v>165</v>
      </c>
      <c r="C93" s="11" t="s">
        <v>91</v>
      </c>
      <c r="D93" s="11" t="s">
        <v>90</v>
      </c>
      <c r="E93" s="8" t="s">
        <v>319</v>
      </c>
      <c r="F93" s="12">
        <v>45498</v>
      </c>
      <c r="G93" s="12">
        <v>45527</v>
      </c>
      <c r="H93" s="12">
        <v>45499</v>
      </c>
      <c r="I93" s="11" t="s">
        <v>84</v>
      </c>
      <c r="J93" s="11">
        <v>1</v>
      </c>
      <c r="K93" s="12">
        <v>45596</v>
      </c>
    </row>
    <row r="94" spans="1:11" x14ac:dyDescent="0.35">
      <c r="A94" s="11">
        <v>5522</v>
      </c>
      <c r="B94" s="11" t="s">
        <v>88</v>
      </c>
      <c r="C94" s="11" t="s">
        <v>91</v>
      </c>
      <c r="D94" s="11" t="s">
        <v>90</v>
      </c>
      <c r="E94" s="8" t="s">
        <v>318</v>
      </c>
      <c r="F94" s="12">
        <v>45498</v>
      </c>
      <c r="G94" s="12">
        <v>45514</v>
      </c>
      <c r="H94" s="12">
        <v>45500</v>
      </c>
      <c r="I94" s="11" t="s">
        <v>84</v>
      </c>
      <c r="J94" s="11">
        <v>1</v>
      </c>
      <c r="K94" s="12">
        <v>45596</v>
      </c>
    </row>
    <row r="95" spans="1:11" x14ac:dyDescent="0.35">
      <c r="A95" s="11">
        <v>4826</v>
      </c>
      <c r="B95" s="11" t="s">
        <v>298</v>
      </c>
      <c r="C95" s="11" t="s">
        <v>98</v>
      </c>
      <c r="D95" s="11" t="s">
        <v>109</v>
      </c>
      <c r="E95" s="8" t="s">
        <v>132</v>
      </c>
      <c r="F95" s="12">
        <v>45502</v>
      </c>
      <c r="G95" s="12">
        <v>45504</v>
      </c>
      <c r="H95" s="12">
        <v>45561</v>
      </c>
      <c r="I95" s="11" t="s">
        <v>84</v>
      </c>
      <c r="J95" s="11">
        <v>3</v>
      </c>
      <c r="K95" s="12">
        <v>45565</v>
      </c>
    </row>
    <row r="96" spans="1:11" x14ac:dyDescent="0.35">
      <c r="A96" s="11">
        <v>5523</v>
      </c>
      <c r="B96" s="11" t="s">
        <v>178</v>
      </c>
      <c r="C96" s="11" t="s">
        <v>91</v>
      </c>
      <c r="D96" s="11" t="s">
        <v>90</v>
      </c>
      <c r="E96" s="8" t="s">
        <v>317</v>
      </c>
      <c r="F96" s="12">
        <v>45503</v>
      </c>
      <c r="G96" s="12">
        <v>45508</v>
      </c>
      <c r="H96" s="12">
        <v>45503</v>
      </c>
      <c r="I96" s="11" t="s">
        <v>84</v>
      </c>
      <c r="J96" s="11">
        <v>1</v>
      </c>
      <c r="K96" s="12">
        <v>45596</v>
      </c>
    </row>
    <row r="97" spans="1:11" x14ac:dyDescent="0.35">
      <c r="A97" s="11">
        <v>5525</v>
      </c>
      <c r="B97" s="11" t="s">
        <v>181</v>
      </c>
      <c r="C97" s="11" t="s">
        <v>91</v>
      </c>
      <c r="D97" s="11" t="s">
        <v>90</v>
      </c>
      <c r="E97" s="8" t="s">
        <v>316</v>
      </c>
      <c r="F97" s="12">
        <v>45503</v>
      </c>
      <c r="G97" s="12">
        <v>45534</v>
      </c>
      <c r="H97" s="12">
        <v>45504</v>
      </c>
      <c r="I97" s="11" t="s">
        <v>84</v>
      </c>
      <c r="J97" s="11">
        <v>2</v>
      </c>
      <c r="K97" s="12">
        <v>45596</v>
      </c>
    </row>
    <row r="98" spans="1:11" x14ac:dyDescent="0.35">
      <c r="A98" s="11">
        <v>4838</v>
      </c>
      <c r="B98" s="11" t="s">
        <v>126</v>
      </c>
      <c r="C98" s="11" t="s">
        <v>98</v>
      </c>
      <c r="D98" s="11" t="s">
        <v>97</v>
      </c>
      <c r="E98" s="8" t="s">
        <v>96</v>
      </c>
      <c r="F98" s="12">
        <v>45504</v>
      </c>
      <c r="G98" s="12">
        <v>45504</v>
      </c>
      <c r="H98" s="12">
        <v>45586</v>
      </c>
      <c r="I98" s="11" t="s">
        <v>84</v>
      </c>
      <c r="J98" s="11">
        <v>5</v>
      </c>
      <c r="K98" s="12">
        <v>45565</v>
      </c>
    </row>
    <row r="99" spans="1:11" x14ac:dyDescent="0.35">
      <c r="A99" s="11">
        <v>5524</v>
      </c>
      <c r="B99" s="11" t="s">
        <v>181</v>
      </c>
      <c r="C99" s="11" t="s">
        <v>91</v>
      </c>
      <c r="D99" s="11" t="s">
        <v>90</v>
      </c>
      <c r="E99" s="8" t="s">
        <v>315</v>
      </c>
      <c r="F99" s="12">
        <v>45504</v>
      </c>
      <c r="G99" s="12">
        <v>45513</v>
      </c>
      <c r="H99" s="12">
        <v>45504</v>
      </c>
      <c r="I99" s="11" t="s">
        <v>84</v>
      </c>
      <c r="J99" s="11">
        <v>1</v>
      </c>
      <c r="K99" s="12">
        <v>45596</v>
      </c>
    </row>
    <row r="100" spans="1:11" x14ac:dyDescent="0.35">
      <c r="A100" s="11">
        <v>3605</v>
      </c>
      <c r="B100" s="11" t="s">
        <v>104</v>
      </c>
      <c r="C100" s="11" t="s">
        <v>87</v>
      </c>
      <c r="D100" s="11" t="s">
        <v>117</v>
      </c>
      <c r="E100" s="8" t="s">
        <v>305</v>
      </c>
      <c r="F100" s="12">
        <v>45505</v>
      </c>
      <c r="G100" s="12">
        <v>45531</v>
      </c>
      <c r="H100" s="12">
        <v>45507</v>
      </c>
      <c r="I100" s="11" t="s">
        <v>84</v>
      </c>
      <c r="J100" s="11">
        <v>61</v>
      </c>
      <c r="K100" s="12">
        <v>45596</v>
      </c>
    </row>
    <row r="101" spans="1:11" x14ac:dyDescent="0.35">
      <c r="A101" s="11">
        <v>4806</v>
      </c>
      <c r="B101" s="11" t="s">
        <v>104</v>
      </c>
      <c r="C101" s="11" t="s">
        <v>98</v>
      </c>
      <c r="D101" s="11" t="s">
        <v>117</v>
      </c>
      <c r="E101" s="8" t="s">
        <v>312</v>
      </c>
      <c r="F101" s="12">
        <v>45505</v>
      </c>
      <c r="G101" s="12">
        <v>45531</v>
      </c>
      <c r="H101" s="12">
        <v>45514</v>
      </c>
      <c r="I101" s="11" t="s">
        <v>84</v>
      </c>
      <c r="J101" s="11">
        <v>61</v>
      </c>
      <c r="K101" s="12">
        <v>45596</v>
      </c>
    </row>
    <row r="102" spans="1:11" x14ac:dyDescent="0.35">
      <c r="A102" s="11">
        <v>5526</v>
      </c>
      <c r="B102" s="11" t="s">
        <v>181</v>
      </c>
      <c r="C102" s="11" t="s">
        <v>91</v>
      </c>
      <c r="D102" s="11" t="s">
        <v>90</v>
      </c>
      <c r="E102" s="8" t="s">
        <v>314</v>
      </c>
      <c r="F102" s="12">
        <v>45505</v>
      </c>
      <c r="G102" s="12">
        <v>45511</v>
      </c>
      <c r="H102" s="12">
        <v>45505</v>
      </c>
      <c r="I102" s="11" t="s">
        <v>84</v>
      </c>
      <c r="J102" s="11">
        <v>1</v>
      </c>
      <c r="K102" s="12">
        <v>45596</v>
      </c>
    </row>
    <row r="103" spans="1:11" x14ac:dyDescent="0.35">
      <c r="A103" s="11">
        <v>5527</v>
      </c>
      <c r="B103" s="11" t="s">
        <v>163</v>
      </c>
      <c r="C103" s="11" t="s">
        <v>91</v>
      </c>
      <c r="D103" s="11" t="s">
        <v>90</v>
      </c>
      <c r="E103" s="8" t="s">
        <v>313</v>
      </c>
      <c r="F103" s="12">
        <v>45506</v>
      </c>
      <c r="G103" s="11"/>
      <c r="H103" s="12">
        <v>45506</v>
      </c>
      <c r="I103" s="11" t="s">
        <v>84</v>
      </c>
      <c r="J103" s="11">
        <v>1</v>
      </c>
      <c r="K103" s="11"/>
    </row>
    <row r="104" spans="1:11" x14ac:dyDescent="0.35">
      <c r="A104" s="11">
        <v>3606</v>
      </c>
      <c r="B104" s="11" t="s">
        <v>153</v>
      </c>
      <c r="C104" s="11" t="s">
        <v>87</v>
      </c>
      <c r="D104" s="11" t="s">
        <v>117</v>
      </c>
      <c r="E104" s="8" t="s">
        <v>312</v>
      </c>
      <c r="F104" s="12">
        <v>45508</v>
      </c>
      <c r="G104" s="12">
        <v>45526</v>
      </c>
      <c r="H104" s="12">
        <v>45509</v>
      </c>
      <c r="I104" s="11" t="s">
        <v>84</v>
      </c>
      <c r="J104" s="11">
        <v>46</v>
      </c>
      <c r="K104" s="12">
        <v>45596</v>
      </c>
    </row>
    <row r="105" spans="1:11" x14ac:dyDescent="0.35">
      <c r="A105" s="11">
        <v>3607</v>
      </c>
      <c r="B105" s="11" t="s">
        <v>106</v>
      </c>
      <c r="C105" s="11" t="s">
        <v>87</v>
      </c>
      <c r="D105" s="11" t="s">
        <v>117</v>
      </c>
      <c r="E105" s="8" t="s">
        <v>312</v>
      </c>
      <c r="F105" s="12">
        <v>45508</v>
      </c>
      <c r="G105" s="12">
        <v>45524</v>
      </c>
      <c r="H105" s="12">
        <v>45509</v>
      </c>
      <c r="I105" s="11" t="s">
        <v>84</v>
      </c>
      <c r="J105" s="11">
        <v>55</v>
      </c>
      <c r="K105" s="12">
        <v>45596</v>
      </c>
    </row>
    <row r="106" spans="1:11" x14ac:dyDescent="0.35">
      <c r="A106" s="11">
        <v>4821</v>
      </c>
      <c r="B106" s="11" t="s">
        <v>106</v>
      </c>
      <c r="C106" s="11" t="s">
        <v>98</v>
      </c>
      <c r="D106" s="11" t="s">
        <v>117</v>
      </c>
      <c r="E106" s="8" t="s">
        <v>305</v>
      </c>
      <c r="F106" s="12">
        <v>45508</v>
      </c>
      <c r="G106" s="12">
        <v>45524</v>
      </c>
      <c r="H106" s="12">
        <v>45559</v>
      </c>
      <c r="I106" s="11" t="s">
        <v>84</v>
      </c>
      <c r="J106" s="11">
        <v>35</v>
      </c>
      <c r="K106" s="12">
        <v>45596</v>
      </c>
    </row>
    <row r="107" spans="1:11" x14ac:dyDescent="0.35">
      <c r="A107" s="11">
        <v>4835</v>
      </c>
      <c r="B107" s="11" t="s">
        <v>153</v>
      </c>
      <c r="C107" s="11" t="s">
        <v>98</v>
      </c>
      <c r="D107" s="11" t="s">
        <v>117</v>
      </c>
      <c r="E107" s="8" t="s">
        <v>305</v>
      </c>
      <c r="F107" s="12">
        <v>45508</v>
      </c>
      <c r="G107" s="12">
        <v>45526</v>
      </c>
      <c r="H107" s="12">
        <v>45564</v>
      </c>
      <c r="I107" s="11" t="s">
        <v>84</v>
      </c>
      <c r="J107" s="11">
        <v>14</v>
      </c>
      <c r="K107" s="12">
        <v>45596</v>
      </c>
    </row>
    <row r="108" spans="1:11" x14ac:dyDescent="0.35">
      <c r="A108" s="11">
        <v>5528</v>
      </c>
      <c r="B108" s="11" t="s">
        <v>163</v>
      </c>
      <c r="C108" s="11" t="s">
        <v>91</v>
      </c>
      <c r="D108" s="11" t="s">
        <v>90</v>
      </c>
      <c r="E108" s="8" t="s">
        <v>311</v>
      </c>
      <c r="F108" s="12">
        <v>45508</v>
      </c>
      <c r="G108" s="11"/>
      <c r="H108" s="12">
        <v>45510</v>
      </c>
      <c r="I108" s="11" t="s">
        <v>84</v>
      </c>
      <c r="J108" s="11">
        <v>1</v>
      </c>
      <c r="K108" s="11"/>
    </row>
    <row r="109" spans="1:11" x14ac:dyDescent="0.35">
      <c r="A109" s="11">
        <v>3608</v>
      </c>
      <c r="B109" s="11" t="s">
        <v>154</v>
      </c>
      <c r="C109" s="11" t="s">
        <v>87</v>
      </c>
      <c r="D109" s="11" t="s">
        <v>117</v>
      </c>
      <c r="E109" s="8" t="s">
        <v>305</v>
      </c>
      <c r="F109" s="12">
        <v>45509</v>
      </c>
      <c r="G109" s="12">
        <v>45523</v>
      </c>
      <c r="H109" s="12">
        <v>45510</v>
      </c>
      <c r="I109" s="11" t="s">
        <v>84</v>
      </c>
      <c r="J109" s="11">
        <v>74</v>
      </c>
      <c r="K109" s="12">
        <v>45596</v>
      </c>
    </row>
    <row r="110" spans="1:11" x14ac:dyDescent="0.35">
      <c r="A110" s="11">
        <v>4836</v>
      </c>
      <c r="B110" s="11" t="s">
        <v>167</v>
      </c>
      <c r="C110" s="11" t="s">
        <v>98</v>
      </c>
      <c r="D110" s="11" t="s">
        <v>109</v>
      </c>
      <c r="E110" s="8" t="s">
        <v>297</v>
      </c>
      <c r="F110" s="12">
        <v>45509</v>
      </c>
      <c r="G110" s="12">
        <v>45510</v>
      </c>
      <c r="H110" s="12">
        <v>45581</v>
      </c>
      <c r="I110" s="11" t="s">
        <v>84</v>
      </c>
      <c r="J110" s="11">
        <v>1</v>
      </c>
      <c r="K110" s="12">
        <v>45596</v>
      </c>
    </row>
    <row r="111" spans="1:11" x14ac:dyDescent="0.35">
      <c r="A111" s="11">
        <v>4847</v>
      </c>
      <c r="B111" s="11" t="s">
        <v>161</v>
      </c>
      <c r="C111" s="11" t="s">
        <v>98</v>
      </c>
      <c r="D111" s="11" t="s">
        <v>97</v>
      </c>
      <c r="E111" s="8" t="s">
        <v>310</v>
      </c>
      <c r="F111" s="12">
        <v>45510</v>
      </c>
      <c r="G111" s="12">
        <v>45510</v>
      </c>
      <c r="H111" s="12">
        <v>45610</v>
      </c>
      <c r="I111" s="11" t="s">
        <v>84</v>
      </c>
      <c r="J111" s="11">
        <v>1</v>
      </c>
      <c r="K111" s="12">
        <v>45596</v>
      </c>
    </row>
    <row r="112" spans="1:11" x14ac:dyDescent="0.35">
      <c r="A112" s="11">
        <v>3609</v>
      </c>
      <c r="B112" s="11" t="s">
        <v>298</v>
      </c>
      <c r="C112" s="11" t="s">
        <v>87</v>
      </c>
      <c r="D112" s="11" t="s">
        <v>117</v>
      </c>
      <c r="E112" s="8" t="s">
        <v>309</v>
      </c>
      <c r="F112" s="12">
        <v>45512</v>
      </c>
      <c r="G112" s="12">
        <v>45514</v>
      </c>
      <c r="H112" s="12">
        <v>45512</v>
      </c>
      <c r="I112" s="11" t="s">
        <v>84</v>
      </c>
      <c r="J112" s="11">
        <v>14</v>
      </c>
      <c r="K112" s="12">
        <v>45596</v>
      </c>
    </row>
    <row r="113" spans="1:11" x14ac:dyDescent="0.35">
      <c r="A113" s="11">
        <v>4818</v>
      </c>
      <c r="B113" s="11" t="s">
        <v>266</v>
      </c>
      <c r="C113" s="11" t="s">
        <v>98</v>
      </c>
      <c r="D113" s="11" t="s">
        <v>117</v>
      </c>
      <c r="E113" s="8" t="s">
        <v>212</v>
      </c>
      <c r="F113" s="12">
        <v>45512</v>
      </c>
      <c r="G113" s="12">
        <v>45514</v>
      </c>
      <c r="H113" s="12">
        <v>45555</v>
      </c>
      <c r="I113" s="11" t="s">
        <v>84</v>
      </c>
      <c r="J113" s="11">
        <v>1</v>
      </c>
      <c r="K113" s="12">
        <v>45596</v>
      </c>
    </row>
    <row r="114" spans="1:11" x14ac:dyDescent="0.35">
      <c r="A114" s="11">
        <v>4825</v>
      </c>
      <c r="B114" s="11" t="s">
        <v>266</v>
      </c>
      <c r="C114" s="11" t="s">
        <v>98</v>
      </c>
      <c r="D114" s="11" t="s">
        <v>117</v>
      </c>
      <c r="E114" s="8" t="s">
        <v>308</v>
      </c>
      <c r="F114" s="12">
        <v>45512</v>
      </c>
      <c r="G114" s="12">
        <v>45514</v>
      </c>
      <c r="H114" s="12">
        <v>45559</v>
      </c>
      <c r="I114" s="11" t="s">
        <v>84</v>
      </c>
      <c r="J114" s="11">
        <v>11</v>
      </c>
      <c r="K114" s="12">
        <v>45596</v>
      </c>
    </row>
    <row r="115" spans="1:11" x14ac:dyDescent="0.35">
      <c r="A115" s="11">
        <v>5529</v>
      </c>
      <c r="B115" s="11" t="s">
        <v>163</v>
      </c>
      <c r="C115" s="11" t="s">
        <v>91</v>
      </c>
      <c r="D115" s="11" t="s">
        <v>90</v>
      </c>
      <c r="E115" s="8" t="s">
        <v>307</v>
      </c>
      <c r="F115" s="12">
        <v>45512</v>
      </c>
      <c r="G115" s="11"/>
      <c r="H115" s="12">
        <v>45513</v>
      </c>
      <c r="I115" s="11" t="s">
        <v>84</v>
      </c>
      <c r="J115" s="11">
        <v>1</v>
      </c>
      <c r="K115" s="11"/>
    </row>
    <row r="116" spans="1:11" x14ac:dyDescent="0.35">
      <c r="A116" s="11">
        <v>4815</v>
      </c>
      <c r="B116" s="11" t="s">
        <v>306</v>
      </c>
      <c r="C116" s="11" t="s">
        <v>98</v>
      </c>
      <c r="D116" s="11" t="s">
        <v>117</v>
      </c>
      <c r="E116" s="8" t="s">
        <v>305</v>
      </c>
      <c r="F116" s="12">
        <v>45513</v>
      </c>
      <c r="G116" s="12">
        <v>45514</v>
      </c>
      <c r="H116" s="12">
        <v>45546</v>
      </c>
      <c r="I116" s="11" t="s">
        <v>84</v>
      </c>
      <c r="J116" s="11">
        <v>13</v>
      </c>
      <c r="K116" s="12">
        <v>45596</v>
      </c>
    </row>
    <row r="117" spans="1:11" x14ac:dyDescent="0.35">
      <c r="A117" s="11">
        <v>5530</v>
      </c>
      <c r="B117" s="11" t="s">
        <v>190</v>
      </c>
      <c r="C117" s="11" t="s">
        <v>91</v>
      </c>
      <c r="D117" s="11" t="s">
        <v>90</v>
      </c>
      <c r="E117" s="8" t="s">
        <v>304</v>
      </c>
      <c r="F117" s="12">
        <v>45515</v>
      </c>
      <c r="G117" s="12">
        <v>45517</v>
      </c>
      <c r="H117" s="12">
        <v>45516</v>
      </c>
      <c r="I117" s="11" t="s">
        <v>84</v>
      </c>
      <c r="J117" s="11">
        <v>1</v>
      </c>
      <c r="K117" s="12">
        <v>45596</v>
      </c>
    </row>
    <row r="118" spans="1:11" x14ac:dyDescent="0.35">
      <c r="A118" s="11">
        <v>3610</v>
      </c>
      <c r="B118" s="11" t="s">
        <v>301</v>
      </c>
      <c r="C118" s="11" t="s">
        <v>87</v>
      </c>
      <c r="D118" s="11" t="s">
        <v>97</v>
      </c>
      <c r="E118" s="8" t="s">
        <v>302</v>
      </c>
      <c r="F118" s="12">
        <v>45517</v>
      </c>
      <c r="G118" s="12">
        <v>45520</v>
      </c>
      <c r="H118" s="12">
        <v>45517</v>
      </c>
      <c r="I118" s="11" t="s">
        <v>84</v>
      </c>
      <c r="J118" s="11">
        <v>78</v>
      </c>
      <c r="K118" s="12">
        <v>45596</v>
      </c>
    </row>
    <row r="119" spans="1:11" x14ac:dyDescent="0.35">
      <c r="A119" s="11">
        <v>3611</v>
      </c>
      <c r="B119" s="11" t="s">
        <v>303</v>
      </c>
      <c r="C119" s="11" t="s">
        <v>87</v>
      </c>
      <c r="D119" s="11" t="s">
        <v>117</v>
      </c>
      <c r="E119" s="8" t="s">
        <v>302</v>
      </c>
      <c r="F119" s="12">
        <v>45517</v>
      </c>
      <c r="G119" s="12">
        <v>45520</v>
      </c>
      <c r="H119" s="12">
        <v>45522</v>
      </c>
      <c r="I119" s="11" t="s">
        <v>84</v>
      </c>
      <c r="J119" s="11">
        <v>3</v>
      </c>
      <c r="K119" s="12">
        <v>45596</v>
      </c>
    </row>
    <row r="120" spans="1:11" x14ac:dyDescent="0.35">
      <c r="A120" s="11">
        <v>4841</v>
      </c>
      <c r="B120" s="11" t="s">
        <v>303</v>
      </c>
      <c r="C120" s="11" t="s">
        <v>98</v>
      </c>
      <c r="D120" s="11" t="s">
        <v>117</v>
      </c>
      <c r="E120" s="8" t="s">
        <v>302</v>
      </c>
      <c r="F120" s="12">
        <v>45517</v>
      </c>
      <c r="G120" s="12">
        <v>45520</v>
      </c>
      <c r="H120" s="12">
        <v>45590</v>
      </c>
      <c r="I120" s="11" t="s">
        <v>84</v>
      </c>
      <c r="J120" s="11">
        <v>3</v>
      </c>
      <c r="K120" s="12">
        <v>45596</v>
      </c>
    </row>
    <row r="121" spans="1:11" x14ac:dyDescent="0.35">
      <c r="A121" s="11">
        <v>4850</v>
      </c>
      <c r="B121" s="11" t="s">
        <v>301</v>
      </c>
      <c r="C121" s="11" t="s">
        <v>98</v>
      </c>
      <c r="D121" s="11" t="s">
        <v>117</v>
      </c>
      <c r="E121" s="8" t="s">
        <v>300</v>
      </c>
      <c r="F121" s="12">
        <v>45517</v>
      </c>
      <c r="G121" s="12">
        <v>45520</v>
      </c>
      <c r="H121" s="12">
        <v>45623</v>
      </c>
      <c r="I121" s="11" t="s">
        <v>84</v>
      </c>
      <c r="J121" s="11">
        <v>38</v>
      </c>
      <c r="K121" s="12">
        <v>45596</v>
      </c>
    </row>
    <row r="122" spans="1:11" x14ac:dyDescent="0.35">
      <c r="A122" s="11">
        <v>4857</v>
      </c>
      <c r="B122" s="11" t="s">
        <v>167</v>
      </c>
      <c r="C122" s="11" t="s">
        <v>98</v>
      </c>
      <c r="D122" s="11" t="s">
        <v>97</v>
      </c>
      <c r="E122" s="8" t="s">
        <v>212</v>
      </c>
      <c r="F122" s="12">
        <v>45519</v>
      </c>
      <c r="G122" s="12">
        <v>45522</v>
      </c>
      <c r="H122" s="12">
        <v>45667</v>
      </c>
      <c r="I122" s="11" t="s">
        <v>84</v>
      </c>
      <c r="J122" s="11">
        <v>1</v>
      </c>
      <c r="K122" s="12">
        <v>45596</v>
      </c>
    </row>
    <row r="123" spans="1:11" x14ac:dyDescent="0.35">
      <c r="A123" s="11">
        <v>4853</v>
      </c>
      <c r="B123" s="11" t="s">
        <v>167</v>
      </c>
      <c r="C123" s="11" t="s">
        <v>98</v>
      </c>
      <c r="D123" s="11" t="s">
        <v>97</v>
      </c>
      <c r="E123" s="8" t="s">
        <v>212</v>
      </c>
      <c r="F123" s="12">
        <v>45520</v>
      </c>
      <c r="G123" s="12">
        <v>45522</v>
      </c>
      <c r="H123" s="12">
        <v>45658</v>
      </c>
      <c r="I123" s="11" t="s">
        <v>84</v>
      </c>
      <c r="J123" s="11">
        <v>1</v>
      </c>
      <c r="K123" s="12">
        <v>45596</v>
      </c>
    </row>
    <row r="124" spans="1:11" x14ac:dyDescent="0.35">
      <c r="A124" s="11">
        <v>3612</v>
      </c>
      <c r="B124" s="11" t="s">
        <v>272</v>
      </c>
      <c r="C124" s="11" t="s">
        <v>87</v>
      </c>
      <c r="D124" s="11" t="s">
        <v>97</v>
      </c>
      <c r="E124" s="8" t="s">
        <v>132</v>
      </c>
      <c r="F124" s="12">
        <v>45522</v>
      </c>
      <c r="G124" s="12">
        <v>45523</v>
      </c>
      <c r="H124" s="12">
        <v>45525</v>
      </c>
      <c r="I124" s="11" t="s">
        <v>84</v>
      </c>
      <c r="J124" s="11">
        <v>3</v>
      </c>
      <c r="K124" s="12">
        <v>45596</v>
      </c>
    </row>
    <row r="125" spans="1:11" x14ac:dyDescent="0.35">
      <c r="A125" s="11">
        <v>3613</v>
      </c>
      <c r="B125" s="11" t="s">
        <v>266</v>
      </c>
      <c r="C125" s="11" t="s">
        <v>87</v>
      </c>
      <c r="D125" s="11" t="s">
        <v>97</v>
      </c>
      <c r="E125" s="8" t="s">
        <v>212</v>
      </c>
      <c r="F125" s="12">
        <v>45522</v>
      </c>
      <c r="G125" s="12">
        <v>45523</v>
      </c>
      <c r="H125" s="12">
        <v>45529</v>
      </c>
      <c r="I125" s="11" t="s">
        <v>84</v>
      </c>
      <c r="J125" s="11">
        <v>1</v>
      </c>
      <c r="K125" s="12">
        <v>45596</v>
      </c>
    </row>
    <row r="126" spans="1:11" x14ac:dyDescent="0.35">
      <c r="A126" s="11">
        <v>4820</v>
      </c>
      <c r="B126" s="11" t="s">
        <v>272</v>
      </c>
      <c r="C126" s="11" t="s">
        <v>98</v>
      </c>
      <c r="D126" s="11" t="s">
        <v>97</v>
      </c>
      <c r="E126" s="8" t="s">
        <v>299</v>
      </c>
      <c r="F126" s="12">
        <v>45522</v>
      </c>
      <c r="G126" s="12">
        <v>45523</v>
      </c>
      <c r="H126" s="12">
        <v>45555</v>
      </c>
      <c r="I126" s="11" t="s">
        <v>84</v>
      </c>
      <c r="J126" s="11">
        <v>3</v>
      </c>
      <c r="K126" s="12">
        <v>45596</v>
      </c>
    </row>
    <row r="127" spans="1:11" x14ac:dyDescent="0.35">
      <c r="A127" s="11">
        <v>4839</v>
      </c>
      <c r="B127" s="11" t="s">
        <v>266</v>
      </c>
      <c r="C127" s="11" t="s">
        <v>98</v>
      </c>
      <c r="D127" s="11" t="s">
        <v>97</v>
      </c>
      <c r="E127" s="8" t="s">
        <v>212</v>
      </c>
      <c r="F127" s="12">
        <v>45522</v>
      </c>
      <c r="G127" s="12">
        <v>45523</v>
      </c>
      <c r="H127" s="12">
        <v>45586</v>
      </c>
      <c r="I127" s="11" t="s">
        <v>84</v>
      </c>
      <c r="J127" s="11">
        <v>3</v>
      </c>
      <c r="K127" s="12">
        <v>45596</v>
      </c>
    </row>
    <row r="128" spans="1:11" x14ac:dyDescent="0.35">
      <c r="A128" s="11">
        <v>4845</v>
      </c>
      <c r="B128" s="11" t="s">
        <v>178</v>
      </c>
      <c r="C128" s="11" t="s">
        <v>98</v>
      </c>
      <c r="D128" s="11" t="s">
        <v>90</v>
      </c>
      <c r="E128" s="8" t="s">
        <v>129</v>
      </c>
      <c r="F128" s="12">
        <v>45525</v>
      </c>
      <c r="G128" s="12">
        <v>45535</v>
      </c>
      <c r="H128" s="12">
        <v>45609</v>
      </c>
      <c r="I128" s="11" t="s">
        <v>84</v>
      </c>
      <c r="J128" s="11">
        <v>2</v>
      </c>
      <c r="K128" s="12">
        <v>45596</v>
      </c>
    </row>
    <row r="129" spans="1:11" x14ac:dyDescent="0.35">
      <c r="A129" s="11">
        <v>4816</v>
      </c>
      <c r="B129" s="11" t="s">
        <v>298</v>
      </c>
      <c r="C129" s="11" t="s">
        <v>98</v>
      </c>
      <c r="D129" s="11" t="s">
        <v>109</v>
      </c>
      <c r="E129" s="8" t="s">
        <v>164</v>
      </c>
      <c r="F129" s="12">
        <v>45526</v>
      </c>
      <c r="G129" s="12">
        <v>45528</v>
      </c>
      <c r="H129" s="12">
        <v>45546</v>
      </c>
      <c r="I129" s="11" t="s">
        <v>84</v>
      </c>
      <c r="J129" s="11">
        <v>1</v>
      </c>
      <c r="K129" s="12">
        <v>45596</v>
      </c>
    </row>
    <row r="130" spans="1:11" x14ac:dyDescent="0.35">
      <c r="A130" s="11">
        <v>4840</v>
      </c>
      <c r="B130" s="11" t="s">
        <v>168</v>
      </c>
      <c r="C130" s="11" t="s">
        <v>98</v>
      </c>
      <c r="D130" s="11" t="s">
        <v>109</v>
      </c>
      <c r="E130" s="8" t="s">
        <v>297</v>
      </c>
      <c r="F130" s="12">
        <v>45526</v>
      </c>
      <c r="G130" s="12">
        <v>45527</v>
      </c>
      <c r="H130" s="12">
        <v>45590</v>
      </c>
      <c r="I130" s="11" t="s">
        <v>84</v>
      </c>
      <c r="J130" s="11">
        <v>1</v>
      </c>
      <c r="K130" s="12">
        <v>45596</v>
      </c>
    </row>
    <row r="131" spans="1:11" x14ac:dyDescent="0.35">
      <c r="A131" s="11">
        <v>5531</v>
      </c>
      <c r="B131" s="11" t="s">
        <v>178</v>
      </c>
      <c r="C131" s="11" t="s">
        <v>91</v>
      </c>
      <c r="D131" s="11" t="s">
        <v>90</v>
      </c>
      <c r="E131" s="8" t="s">
        <v>296</v>
      </c>
      <c r="F131" s="12">
        <v>45526</v>
      </c>
      <c r="G131" s="12">
        <v>45535</v>
      </c>
      <c r="H131" s="12">
        <v>45526</v>
      </c>
      <c r="I131" s="11" t="s">
        <v>84</v>
      </c>
      <c r="J131" s="11">
        <v>1</v>
      </c>
      <c r="K131" s="12">
        <v>45596</v>
      </c>
    </row>
    <row r="132" spans="1:11" x14ac:dyDescent="0.35">
      <c r="A132" s="11">
        <v>4846</v>
      </c>
      <c r="B132" s="11" t="s">
        <v>167</v>
      </c>
      <c r="C132" s="11" t="s">
        <v>98</v>
      </c>
      <c r="D132" s="11" t="s">
        <v>295</v>
      </c>
      <c r="E132" s="8" t="s">
        <v>294</v>
      </c>
      <c r="F132" s="12">
        <v>45529</v>
      </c>
      <c r="G132" s="12">
        <v>45529</v>
      </c>
      <c r="H132" s="12">
        <v>45609</v>
      </c>
      <c r="I132" s="11" t="s">
        <v>84</v>
      </c>
      <c r="J132" s="11">
        <v>1</v>
      </c>
      <c r="K132" s="12">
        <v>45596</v>
      </c>
    </row>
    <row r="133" spans="1:11" x14ac:dyDescent="0.35">
      <c r="A133" s="11">
        <v>5532</v>
      </c>
      <c r="B133" s="11" t="s">
        <v>163</v>
      </c>
      <c r="C133" s="11" t="s">
        <v>91</v>
      </c>
      <c r="D133" s="11" t="s">
        <v>90</v>
      </c>
      <c r="E133" s="8" t="s">
        <v>293</v>
      </c>
      <c r="F133" s="12">
        <v>45536</v>
      </c>
      <c r="G133" s="11"/>
      <c r="H133" s="12">
        <v>45537</v>
      </c>
      <c r="I133" s="11" t="s">
        <v>84</v>
      </c>
      <c r="J133" s="11">
        <v>1</v>
      </c>
      <c r="K133" s="11"/>
    </row>
    <row r="134" spans="1:11" x14ac:dyDescent="0.35">
      <c r="A134" s="11">
        <v>5534</v>
      </c>
      <c r="B134" s="11" t="s">
        <v>163</v>
      </c>
      <c r="C134" s="11" t="s">
        <v>91</v>
      </c>
      <c r="D134" s="11" t="s">
        <v>90</v>
      </c>
      <c r="E134" s="8" t="s">
        <v>292</v>
      </c>
      <c r="F134" s="12">
        <v>45537</v>
      </c>
      <c r="G134" s="11"/>
      <c r="H134" s="12">
        <v>45542</v>
      </c>
      <c r="I134" s="11" t="s">
        <v>84</v>
      </c>
      <c r="J134" s="11">
        <v>3</v>
      </c>
      <c r="K134" s="11"/>
    </row>
    <row r="135" spans="1:11" x14ac:dyDescent="0.35">
      <c r="A135" s="11">
        <v>5533</v>
      </c>
      <c r="B135" s="11" t="s">
        <v>190</v>
      </c>
      <c r="C135" s="11" t="s">
        <v>91</v>
      </c>
      <c r="D135" s="11" t="s">
        <v>90</v>
      </c>
      <c r="E135" s="8" t="s">
        <v>291</v>
      </c>
      <c r="F135" s="12">
        <v>45542</v>
      </c>
      <c r="G135" s="12">
        <v>45550</v>
      </c>
      <c r="H135" s="12">
        <v>45542</v>
      </c>
      <c r="I135" s="11" t="s">
        <v>84</v>
      </c>
      <c r="J135" s="11">
        <v>1</v>
      </c>
      <c r="K135" s="12">
        <v>45626</v>
      </c>
    </row>
    <row r="136" spans="1:11" x14ac:dyDescent="0.35">
      <c r="A136" s="11">
        <v>5535</v>
      </c>
      <c r="B136" s="11" t="s">
        <v>88</v>
      </c>
      <c r="C136" s="11" t="s">
        <v>91</v>
      </c>
      <c r="D136" s="11" t="s">
        <v>90</v>
      </c>
      <c r="E136" s="8" t="s">
        <v>290</v>
      </c>
      <c r="F136" s="12">
        <v>45542</v>
      </c>
      <c r="G136" s="12">
        <v>45577</v>
      </c>
      <c r="H136" s="12">
        <v>45542</v>
      </c>
      <c r="I136" s="11" t="s">
        <v>84</v>
      </c>
      <c r="J136" s="11">
        <v>1</v>
      </c>
      <c r="K136" s="12">
        <v>45657</v>
      </c>
    </row>
    <row r="137" spans="1:11" x14ac:dyDescent="0.35">
      <c r="A137" s="11">
        <v>5536</v>
      </c>
      <c r="B137" s="11" t="s">
        <v>88</v>
      </c>
      <c r="C137" s="11" t="s">
        <v>91</v>
      </c>
      <c r="D137" s="11" t="s">
        <v>90</v>
      </c>
      <c r="E137" s="8" t="s">
        <v>289</v>
      </c>
      <c r="F137" s="12">
        <v>45543</v>
      </c>
      <c r="G137" s="12">
        <v>45546</v>
      </c>
      <c r="H137" s="12">
        <v>45543</v>
      </c>
      <c r="I137" s="11" t="s">
        <v>84</v>
      </c>
      <c r="J137" s="11">
        <v>1</v>
      </c>
      <c r="K137" s="12">
        <v>45626</v>
      </c>
    </row>
    <row r="138" spans="1:11" x14ac:dyDescent="0.35">
      <c r="A138" s="11">
        <v>4817</v>
      </c>
      <c r="B138" s="11" t="s">
        <v>145</v>
      </c>
      <c r="C138" s="11" t="s">
        <v>98</v>
      </c>
      <c r="D138" s="11" t="s">
        <v>114</v>
      </c>
      <c r="E138" s="8" t="s">
        <v>288</v>
      </c>
      <c r="F138" s="12">
        <v>45544</v>
      </c>
      <c r="G138" s="12">
        <v>45547</v>
      </c>
      <c r="H138" s="12">
        <v>45551</v>
      </c>
      <c r="I138" s="11" t="s">
        <v>84</v>
      </c>
      <c r="J138" s="11">
        <v>22</v>
      </c>
      <c r="K138" s="12">
        <v>45626</v>
      </c>
    </row>
    <row r="139" spans="1:11" x14ac:dyDescent="0.35">
      <c r="A139" s="11">
        <v>3614</v>
      </c>
      <c r="B139" s="11" t="s">
        <v>145</v>
      </c>
      <c r="C139" s="11" t="s">
        <v>87</v>
      </c>
      <c r="D139" s="11" t="s">
        <v>114</v>
      </c>
      <c r="E139" s="8" t="s">
        <v>287</v>
      </c>
      <c r="F139" s="12">
        <v>45545</v>
      </c>
      <c r="G139" s="12">
        <v>45547</v>
      </c>
      <c r="H139" s="12">
        <v>45545</v>
      </c>
      <c r="I139" s="11" t="s">
        <v>84</v>
      </c>
      <c r="J139" s="11">
        <v>64</v>
      </c>
      <c r="K139" s="12">
        <v>45626</v>
      </c>
    </row>
    <row r="140" spans="1:11" x14ac:dyDescent="0.35">
      <c r="A140" s="11">
        <v>5537</v>
      </c>
      <c r="B140" s="11" t="s">
        <v>88</v>
      </c>
      <c r="C140" s="11" t="s">
        <v>91</v>
      </c>
      <c r="D140" s="11" t="s">
        <v>90</v>
      </c>
      <c r="E140" s="8" t="s">
        <v>286</v>
      </c>
      <c r="F140" s="12">
        <v>45545</v>
      </c>
      <c r="G140" s="12">
        <v>45559</v>
      </c>
      <c r="H140" s="12">
        <v>45546</v>
      </c>
      <c r="I140" s="11" t="s">
        <v>84</v>
      </c>
      <c r="J140" s="11">
        <v>2</v>
      </c>
      <c r="K140" s="12">
        <v>45626</v>
      </c>
    </row>
    <row r="141" spans="1:11" x14ac:dyDescent="0.35">
      <c r="A141" s="11">
        <v>5538</v>
      </c>
      <c r="B141" s="11" t="s">
        <v>88</v>
      </c>
      <c r="C141" s="11" t="s">
        <v>91</v>
      </c>
      <c r="D141" s="11" t="s">
        <v>90</v>
      </c>
      <c r="E141" s="8" t="s">
        <v>285</v>
      </c>
      <c r="F141" s="12">
        <v>45546</v>
      </c>
      <c r="G141" s="12">
        <v>45556</v>
      </c>
      <c r="H141" s="12">
        <v>45546</v>
      </c>
      <c r="I141" s="11" t="s">
        <v>84</v>
      </c>
      <c r="J141" s="11">
        <v>1</v>
      </c>
      <c r="K141" s="12">
        <v>45626</v>
      </c>
    </row>
    <row r="142" spans="1:11" x14ac:dyDescent="0.35">
      <c r="A142" s="11">
        <v>4837</v>
      </c>
      <c r="B142" s="11" t="s">
        <v>154</v>
      </c>
      <c r="C142" s="11" t="s">
        <v>98</v>
      </c>
      <c r="D142" s="11" t="s">
        <v>117</v>
      </c>
      <c r="E142" s="8" t="s">
        <v>284</v>
      </c>
      <c r="F142" s="12">
        <v>45551</v>
      </c>
      <c r="G142" s="12">
        <v>45555</v>
      </c>
      <c r="H142" s="12">
        <v>45584</v>
      </c>
      <c r="I142" s="11" t="s">
        <v>84</v>
      </c>
      <c r="J142" s="11">
        <v>6</v>
      </c>
      <c r="K142" s="12">
        <v>45626</v>
      </c>
    </row>
    <row r="143" spans="1:11" x14ac:dyDescent="0.35">
      <c r="A143" s="11">
        <v>3618</v>
      </c>
      <c r="B143" s="11" t="s">
        <v>283</v>
      </c>
      <c r="C143" s="11" t="s">
        <v>87</v>
      </c>
      <c r="D143" s="11" t="s">
        <v>114</v>
      </c>
      <c r="E143" s="8" t="s">
        <v>281</v>
      </c>
      <c r="F143" s="12">
        <v>45557</v>
      </c>
      <c r="G143" s="12">
        <v>45564</v>
      </c>
      <c r="H143" s="12">
        <v>45561</v>
      </c>
      <c r="I143" s="11" t="s">
        <v>84</v>
      </c>
      <c r="J143" s="11">
        <v>67</v>
      </c>
      <c r="K143" s="12">
        <v>45626</v>
      </c>
    </row>
    <row r="144" spans="1:11" x14ac:dyDescent="0.35">
      <c r="A144" s="11">
        <v>3615</v>
      </c>
      <c r="B144" s="11" t="s">
        <v>104</v>
      </c>
      <c r="C144" s="11" t="s">
        <v>87</v>
      </c>
      <c r="D144" s="11" t="s">
        <v>117</v>
      </c>
      <c r="E144" s="8" t="s">
        <v>279</v>
      </c>
      <c r="F144" s="12">
        <v>45558</v>
      </c>
      <c r="G144" s="12">
        <v>45572</v>
      </c>
      <c r="H144" s="12">
        <v>45559</v>
      </c>
      <c r="I144" s="11" t="s">
        <v>84</v>
      </c>
      <c r="J144" s="11">
        <v>41</v>
      </c>
      <c r="K144" s="12">
        <v>45657</v>
      </c>
    </row>
    <row r="145" spans="1:11" x14ac:dyDescent="0.35">
      <c r="A145" s="11">
        <v>4828</v>
      </c>
      <c r="B145" s="11" t="s">
        <v>104</v>
      </c>
      <c r="C145" s="11" t="s">
        <v>98</v>
      </c>
      <c r="D145" s="11" t="s">
        <v>114</v>
      </c>
      <c r="E145" s="8" t="s">
        <v>281</v>
      </c>
      <c r="F145" s="12">
        <v>45558</v>
      </c>
      <c r="G145" s="12">
        <v>45572</v>
      </c>
      <c r="H145" s="12">
        <v>45563</v>
      </c>
      <c r="I145" s="11" t="s">
        <v>84</v>
      </c>
      <c r="J145" s="11">
        <v>47</v>
      </c>
      <c r="K145" s="12">
        <v>45657</v>
      </c>
    </row>
    <row r="146" spans="1:11" x14ac:dyDescent="0.35">
      <c r="A146" s="11">
        <v>3616</v>
      </c>
      <c r="B146" s="11" t="s">
        <v>106</v>
      </c>
      <c r="C146" s="11" t="s">
        <v>87</v>
      </c>
      <c r="D146" s="11" t="s">
        <v>117</v>
      </c>
      <c r="E146" s="8" t="s">
        <v>281</v>
      </c>
      <c r="F146" s="12">
        <v>45559</v>
      </c>
      <c r="G146" s="12">
        <v>45595</v>
      </c>
      <c r="H146" s="12">
        <v>45561</v>
      </c>
      <c r="I146" s="11" t="s">
        <v>84</v>
      </c>
      <c r="J146" s="11">
        <v>159</v>
      </c>
      <c r="K146" s="12">
        <v>45657</v>
      </c>
    </row>
    <row r="147" spans="1:11" x14ac:dyDescent="0.35">
      <c r="A147" s="11">
        <v>4830</v>
      </c>
      <c r="B147" s="11" t="s">
        <v>106</v>
      </c>
      <c r="C147" s="11" t="s">
        <v>98</v>
      </c>
      <c r="D147" s="11" t="s">
        <v>114</v>
      </c>
      <c r="E147" s="8" t="s">
        <v>281</v>
      </c>
      <c r="F147" s="12">
        <v>45559</v>
      </c>
      <c r="G147" s="12">
        <v>45595</v>
      </c>
      <c r="H147" s="12">
        <v>45565</v>
      </c>
      <c r="I147" s="11" t="s">
        <v>84</v>
      </c>
      <c r="J147" s="11">
        <v>94</v>
      </c>
      <c r="K147" s="12">
        <v>45657</v>
      </c>
    </row>
    <row r="148" spans="1:11" x14ac:dyDescent="0.35">
      <c r="A148" s="11">
        <v>3617</v>
      </c>
      <c r="B148" s="11" t="s">
        <v>154</v>
      </c>
      <c r="C148" s="11" t="s">
        <v>87</v>
      </c>
      <c r="D148" s="11" t="s">
        <v>117</v>
      </c>
      <c r="E148" s="8" t="s">
        <v>281</v>
      </c>
      <c r="F148" s="12">
        <v>45560</v>
      </c>
      <c r="G148" s="12">
        <v>45644</v>
      </c>
      <c r="H148" s="12">
        <v>45561</v>
      </c>
      <c r="I148" s="11" t="s">
        <v>84</v>
      </c>
      <c r="J148" s="11">
        <v>101</v>
      </c>
      <c r="K148" s="12">
        <v>45716</v>
      </c>
    </row>
    <row r="149" spans="1:11" x14ac:dyDescent="0.35">
      <c r="A149" s="11">
        <v>3619</v>
      </c>
      <c r="B149" s="11" t="s">
        <v>153</v>
      </c>
      <c r="C149" s="11" t="s">
        <v>87</v>
      </c>
      <c r="D149" s="11" t="s">
        <v>117</v>
      </c>
      <c r="E149" s="8" t="s">
        <v>281</v>
      </c>
      <c r="F149" s="12">
        <v>45560</v>
      </c>
      <c r="G149" s="12">
        <v>45572</v>
      </c>
      <c r="H149" s="12">
        <v>45561</v>
      </c>
      <c r="I149" s="11" t="s">
        <v>84</v>
      </c>
      <c r="J149" s="11">
        <v>46</v>
      </c>
      <c r="K149" s="12">
        <v>45657</v>
      </c>
    </row>
    <row r="150" spans="1:11" x14ac:dyDescent="0.35">
      <c r="A150" s="11">
        <v>3621</v>
      </c>
      <c r="B150" s="11" t="s">
        <v>152</v>
      </c>
      <c r="C150" s="11" t="s">
        <v>87</v>
      </c>
      <c r="D150" s="11" t="s">
        <v>117</v>
      </c>
      <c r="E150" s="8" t="s">
        <v>282</v>
      </c>
      <c r="F150" s="12">
        <v>45560</v>
      </c>
      <c r="G150" s="12">
        <v>45568</v>
      </c>
      <c r="H150" s="12">
        <v>45564</v>
      </c>
      <c r="I150" s="11" t="s">
        <v>84</v>
      </c>
      <c r="J150" s="11">
        <v>24</v>
      </c>
      <c r="K150" s="12">
        <v>45657</v>
      </c>
    </row>
    <row r="151" spans="1:11" x14ac:dyDescent="0.35">
      <c r="A151" s="11">
        <v>4827</v>
      </c>
      <c r="B151" s="11" t="s">
        <v>154</v>
      </c>
      <c r="C151" s="11" t="s">
        <v>98</v>
      </c>
      <c r="D151" s="11" t="s">
        <v>117</v>
      </c>
      <c r="E151" s="8" t="s">
        <v>279</v>
      </c>
      <c r="F151" s="12">
        <v>45560</v>
      </c>
      <c r="G151" s="12">
        <v>45644</v>
      </c>
      <c r="H151" s="12">
        <v>45563</v>
      </c>
      <c r="I151" s="11" t="s">
        <v>84</v>
      </c>
      <c r="J151" s="11">
        <v>40</v>
      </c>
      <c r="K151" s="12">
        <v>45716</v>
      </c>
    </row>
    <row r="152" spans="1:11" x14ac:dyDescent="0.35">
      <c r="A152" s="11">
        <v>4829</v>
      </c>
      <c r="B152" s="11" t="s">
        <v>153</v>
      </c>
      <c r="C152" s="11" t="s">
        <v>98</v>
      </c>
      <c r="D152" s="11" t="s">
        <v>114</v>
      </c>
      <c r="E152" s="8" t="s">
        <v>281</v>
      </c>
      <c r="F152" s="12">
        <v>45560</v>
      </c>
      <c r="G152" s="12">
        <v>45572</v>
      </c>
      <c r="H152" s="12">
        <v>45564</v>
      </c>
      <c r="I152" s="11" t="s">
        <v>84</v>
      </c>
      <c r="J152" s="11">
        <v>34</v>
      </c>
      <c r="K152" s="12">
        <v>45657</v>
      </c>
    </row>
    <row r="153" spans="1:11" x14ac:dyDescent="0.35">
      <c r="A153" s="11">
        <v>4831</v>
      </c>
      <c r="B153" s="11" t="s">
        <v>152</v>
      </c>
      <c r="C153" s="11" t="s">
        <v>98</v>
      </c>
      <c r="D153" s="11" t="s">
        <v>117</v>
      </c>
      <c r="E153" s="8" t="s">
        <v>279</v>
      </c>
      <c r="F153" s="12">
        <v>45560</v>
      </c>
      <c r="G153" s="12">
        <v>45568</v>
      </c>
      <c r="H153" s="12">
        <v>45566</v>
      </c>
      <c r="I153" s="11" t="s">
        <v>84</v>
      </c>
      <c r="J153" s="11">
        <v>37</v>
      </c>
      <c r="K153" s="12">
        <v>45657</v>
      </c>
    </row>
    <row r="154" spans="1:11" x14ac:dyDescent="0.35">
      <c r="A154" s="11">
        <v>4851</v>
      </c>
      <c r="B154" s="11" t="s">
        <v>148</v>
      </c>
      <c r="C154" s="11" t="s">
        <v>98</v>
      </c>
      <c r="D154" s="11" t="s">
        <v>117</v>
      </c>
      <c r="E154" s="8" t="s">
        <v>280</v>
      </c>
      <c r="F154" s="12">
        <v>45560</v>
      </c>
      <c r="G154" s="12">
        <v>45563</v>
      </c>
      <c r="H154" s="12">
        <v>45635</v>
      </c>
      <c r="I154" s="11" t="s">
        <v>84</v>
      </c>
      <c r="J154" s="11">
        <v>1</v>
      </c>
      <c r="K154" s="12">
        <v>45626</v>
      </c>
    </row>
    <row r="155" spans="1:11" x14ac:dyDescent="0.35">
      <c r="A155" s="11">
        <v>3620</v>
      </c>
      <c r="B155" s="11" t="s">
        <v>151</v>
      </c>
      <c r="C155" s="11" t="s">
        <v>87</v>
      </c>
      <c r="D155" s="11" t="s">
        <v>117</v>
      </c>
      <c r="E155" s="8" t="s">
        <v>279</v>
      </c>
      <c r="F155" s="12">
        <v>45561</v>
      </c>
      <c r="G155" s="12">
        <v>45565</v>
      </c>
      <c r="H155" s="12">
        <v>45562</v>
      </c>
      <c r="I155" s="11" t="s">
        <v>84</v>
      </c>
      <c r="J155" s="11">
        <v>8</v>
      </c>
      <c r="K155" s="12">
        <v>45626</v>
      </c>
    </row>
    <row r="156" spans="1:11" x14ac:dyDescent="0.35">
      <c r="A156" s="11">
        <v>4832</v>
      </c>
      <c r="B156" s="11" t="s">
        <v>151</v>
      </c>
      <c r="C156" s="11" t="s">
        <v>98</v>
      </c>
      <c r="D156" s="11" t="s">
        <v>117</v>
      </c>
      <c r="E156" s="8" t="s">
        <v>279</v>
      </c>
      <c r="F156" s="12">
        <v>45561</v>
      </c>
      <c r="G156" s="12">
        <v>45565</v>
      </c>
      <c r="H156" s="12">
        <v>45567</v>
      </c>
      <c r="I156" s="11" t="s">
        <v>84</v>
      </c>
      <c r="J156" s="11">
        <v>14</v>
      </c>
      <c r="K156" s="12">
        <v>45626</v>
      </c>
    </row>
    <row r="157" spans="1:11" x14ac:dyDescent="0.35">
      <c r="A157" s="11">
        <v>4848</v>
      </c>
      <c r="B157" s="11" t="s">
        <v>144</v>
      </c>
      <c r="C157" s="11" t="s">
        <v>98</v>
      </c>
      <c r="D157" s="11" t="s">
        <v>117</v>
      </c>
      <c r="E157" s="8" t="s">
        <v>278</v>
      </c>
      <c r="F157" s="12">
        <v>45562</v>
      </c>
      <c r="G157" s="12">
        <v>45565</v>
      </c>
      <c r="H157" s="12">
        <v>45622</v>
      </c>
      <c r="I157" s="11" t="s">
        <v>84</v>
      </c>
      <c r="J157" s="11">
        <v>34</v>
      </c>
      <c r="K157" s="12">
        <v>45626</v>
      </c>
    </row>
    <row r="158" spans="1:11" x14ac:dyDescent="0.35">
      <c r="A158" s="11">
        <v>5539</v>
      </c>
      <c r="B158" s="11" t="s">
        <v>178</v>
      </c>
      <c r="C158" s="11" t="s">
        <v>91</v>
      </c>
      <c r="D158" s="11" t="s">
        <v>90</v>
      </c>
      <c r="E158" s="8" t="s">
        <v>187</v>
      </c>
      <c r="F158" s="12">
        <v>45563</v>
      </c>
      <c r="G158" s="12">
        <v>45587</v>
      </c>
      <c r="H158" s="12">
        <v>45565</v>
      </c>
      <c r="I158" s="11" t="s">
        <v>84</v>
      </c>
      <c r="J158" s="11">
        <v>1</v>
      </c>
      <c r="K158" s="12">
        <v>45657</v>
      </c>
    </row>
    <row r="159" spans="1:11" x14ac:dyDescent="0.35">
      <c r="A159" s="11">
        <v>3622</v>
      </c>
      <c r="B159" s="11" t="s">
        <v>104</v>
      </c>
      <c r="C159" s="11" t="s">
        <v>87</v>
      </c>
      <c r="D159" s="11" t="s">
        <v>114</v>
      </c>
      <c r="E159" s="8" t="s">
        <v>276</v>
      </c>
      <c r="F159" s="12">
        <v>45570</v>
      </c>
      <c r="G159" s="12">
        <v>45598</v>
      </c>
      <c r="H159" s="12">
        <v>45572</v>
      </c>
      <c r="I159" s="11" t="s">
        <v>84</v>
      </c>
      <c r="J159" s="11">
        <v>51</v>
      </c>
      <c r="K159" s="12">
        <v>45688</v>
      </c>
    </row>
    <row r="160" spans="1:11" x14ac:dyDescent="0.35">
      <c r="A160" s="11">
        <v>3623</v>
      </c>
      <c r="B160" s="11" t="s">
        <v>104</v>
      </c>
      <c r="C160" s="11" t="s">
        <v>87</v>
      </c>
      <c r="D160" s="11" t="s">
        <v>114</v>
      </c>
      <c r="E160" s="8" t="s">
        <v>276</v>
      </c>
      <c r="F160" s="12">
        <v>45570</v>
      </c>
      <c r="G160" s="12">
        <v>45598</v>
      </c>
      <c r="H160" s="12">
        <v>45573</v>
      </c>
      <c r="I160" s="11" t="s">
        <v>84</v>
      </c>
      <c r="J160" s="11">
        <v>7</v>
      </c>
      <c r="K160" s="12">
        <v>45688</v>
      </c>
    </row>
    <row r="161" spans="1:11" x14ac:dyDescent="0.35">
      <c r="A161" s="11">
        <v>4834</v>
      </c>
      <c r="B161" s="11" t="s">
        <v>104</v>
      </c>
      <c r="C161" s="11" t="s">
        <v>98</v>
      </c>
      <c r="D161" s="11" t="s">
        <v>114</v>
      </c>
      <c r="E161" s="8" t="s">
        <v>277</v>
      </c>
      <c r="F161" s="12">
        <v>45570</v>
      </c>
      <c r="G161" s="12">
        <v>45598</v>
      </c>
      <c r="H161" s="12">
        <v>45576</v>
      </c>
      <c r="I161" s="11" t="s">
        <v>84</v>
      </c>
      <c r="J161" s="11">
        <v>52</v>
      </c>
      <c r="K161" s="12">
        <v>45688</v>
      </c>
    </row>
    <row r="162" spans="1:11" x14ac:dyDescent="0.35">
      <c r="A162" s="11">
        <v>4844</v>
      </c>
      <c r="B162" s="11" t="s">
        <v>104</v>
      </c>
      <c r="C162" s="11" t="s">
        <v>98</v>
      </c>
      <c r="D162" s="11" t="s">
        <v>114</v>
      </c>
      <c r="E162" s="8" t="s">
        <v>276</v>
      </c>
      <c r="F162" s="12">
        <v>45570</v>
      </c>
      <c r="G162" s="12">
        <v>45598</v>
      </c>
      <c r="H162" s="12">
        <v>45601</v>
      </c>
      <c r="I162" s="11" t="s">
        <v>84</v>
      </c>
      <c r="J162" s="11">
        <v>7</v>
      </c>
      <c r="K162" s="12">
        <v>45688</v>
      </c>
    </row>
    <row r="163" spans="1:11" x14ac:dyDescent="0.35">
      <c r="A163" s="11">
        <v>4852</v>
      </c>
      <c r="B163" s="11" t="s">
        <v>186</v>
      </c>
      <c r="C163" s="11" t="s">
        <v>98</v>
      </c>
      <c r="D163" s="11" t="s">
        <v>90</v>
      </c>
      <c r="E163" s="8" t="s">
        <v>252</v>
      </c>
      <c r="F163" s="12">
        <v>45570</v>
      </c>
      <c r="G163" s="12">
        <v>45571</v>
      </c>
      <c r="H163" s="12">
        <v>45650</v>
      </c>
      <c r="I163" s="11" t="s">
        <v>84</v>
      </c>
      <c r="J163" s="11">
        <v>2</v>
      </c>
      <c r="K163" s="12">
        <v>45657</v>
      </c>
    </row>
    <row r="164" spans="1:11" x14ac:dyDescent="0.35">
      <c r="A164" s="11">
        <v>5540</v>
      </c>
      <c r="B164" s="11" t="s">
        <v>186</v>
      </c>
      <c r="C164" s="11" t="s">
        <v>91</v>
      </c>
      <c r="D164" s="11" t="s">
        <v>90</v>
      </c>
      <c r="E164" s="8" t="s">
        <v>275</v>
      </c>
      <c r="F164" s="12">
        <v>45570</v>
      </c>
      <c r="G164" s="12">
        <v>45586</v>
      </c>
      <c r="H164" s="12">
        <v>45571</v>
      </c>
      <c r="I164" s="11" t="s">
        <v>84</v>
      </c>
      <c r="J164" s="11">
        <v>1</v>
      </c>
      <c r="K164" s="12">
        <v>45657</v>
      </c>
    </row>
    <row r="165" spans="1:11" x14ac:dyDescent="0.35">
      <c r="A165" s="11">
        <v>5541</v>
      </c>
      <c r="B165" s="11" t="s">
        <v>186</v>
      </c>
      <c r="C165" s="11" t="s">
        <v>91</v>
      </c>
      <c r="D165" s="11" t="s">
        <v>90</v>
      </c>
      <c r="E165" s="8" t="s">
        <v>274</v>
      </c>
      <c r="F165" s="12">
        <v>45570</v>
      </c>
      <c r="G165" s="12">
        <v>45582</v>
      </c>
      <c r="H165" s="12">
        <v>45571</v>
      </c>
      <c r="I165" s="11" t="s">
        <v>84</v>
      </c>
      <c r="J165" s="11">
        <v>1</v>
      </c>
      <c r="K165" s="12">
        <v>45657</v>
      </c>
    </row>
    <row r="166" spans="1:11" x14ac:dyDescent="0.35">
      <c r="A166" s="11">
        <v>4843</v>
      </c>
      <c r="B166" s="11" t="s">
        <v>170</v>
      </c>
      <c r="C166" s="11" t="s">
        <v>98</v>
      </c>
      <c r="D166" s="11" t="s">
        <v>109</v>
      </c>
      <c r="E166" s="8" t="s">
        <v>273</v>
      </c>
      <c r="F166" s="12">
        <v>45584</v>
      </c>
      <c r="G166" s="12">
        <v>45585</v>
      </c>
      <c r="H166" s="12">
        <v>45597</v>
      </c>
      <c r="I166" s="11" t="s">
        <v>84</v>
      </c>
      <c r="J166" s="11">
        <v>1</v>
      </c>
      <c r="K166" s="12">
        <v>45657</v>
      </c>
    </row>
    <row r="167" spans="1:11" x14ac:dyDescent="0.35">
      <c r="A167" s="11">
        <v>4859</v>
      </c>
      <c r="B167" s="11" t="s">
        <v>167</v>
      </c>
      <c r="C167" s="11" t="s">
        <v>98</v>
      </c>
      <c r="D167" s="11" t="s">
        <v>97</v>
      </c>
      <c r="E167" s="8" t="s">
        <v>212</v>
      </c>
      <c r="F167" s="12">
        <v>45585</v>
      </c>
      <c r="G167" s="12">
        <v>45588</v>
      </c>
      <c r="H167" s="12">
        <v>45672</v>
      </c>
      <c r="I167" s="11" t="s">
        <v>84</v>
      </c>
      <c r="J167" s="11">
        <v>2</v>
      </c>
      <c r="K167" s="12">
        <v>45657</v>
      </c>
    </row>
    <row r="168" spans="1:11" x14ac:dyDescent="0.35">
      <c r="A168" s="11">
        <v>5542</v>
      </c>
      <c r="B168" s="11" t="s">
        <v>272</v>
      </c>
      <c r="C168" s="11" t="s">
        <v>91</v>
      </c>
      <c r="D168" s="11" t="s">
        <v>90</v>
      </c>
      <c r="E168" s="8" t="s">
        <v>271</v>
      </c>
      <c r="F168" s="12">
        <v>45586</v>
      </c>
      <c r="G168" s="11"/>
      <c r="H168" s="12">
        <v>45589</v>
      </c>
      <c r="I168" s="11" t="s">
        <v>84</v>
      </c>
      <c r="J168" s="11">
        <v>2</v>
      </c>
      <c r="K168" s="11"/>
    </row>
    <row r="169" spans="1:11" x14ac:dyDescent="0.35">
      <c r="A169" s="11">
        <v>5543</v>
      </c>
      <c r="B169" s="11" t="s">
        <v>120</v>
      </c>
      <c r="C169" s="11" t="s">
        <v>91</v>
      </c>
      <c r="D169" s="11" t="s">
        <v>90</v>
      </c>
      <c r="E169" s="8" t="s">
        <v>270</v>
      </c>
      <c r="F169" s="12">
        <v>45594</v>
      </c>
      <c r="G169" s="11"/>
      <c r="H169" s="12">
        <v>45595</v>
      </c>
      <c r="I169" s="11" t="s">
        <v>84</v>
      </c>
      <c r="J169" s="11">
        <v>2</v>
      </c>
      <c r="K169" s="11"/>
    </row>
    <row r="170" spans="1:11" x14ac:dyDescent="0.35">
      <c r="A170" s="11">
        <v>5544</v>
      </c>
      <c r="B170" s="11" t="s">
        <v>120</v>
      </c>
      <c r="C170" s="11" t="s">
        <v>91</v>
      </c>
      <c r="D170" s="11" t="s">
        <v>90</v>
      </c>
      <c r="E170" s="8" t="s">
        <v>269</v>
      </c>
      <c r="F170" s="12">
        <v>45594</v>
      </c>
      <c r="G170" s="11"/>
      <c r="H170" s="12">
        <v>45595</v>
      </c>
      <c r="I170" s="11" t="s">
        <v>84</v>
      </c>
      <c r="J170" s="11">
        <v>1</v>
      </c>
      <c r="K170" s="11"/>
    </row>
    <row r="171" spans="1:11" x14ac:dyDescent="0.35">
      <c r="A171" s="11">
        <v>4862</v>
      </c>
      <c r="B171" s="11" t="s">
        <v>120</v>
      </c>
      <c r="C171" s="11" t="s">
        <v>98</v>
      </c>
      <c r="D171" s="11" t="s">
        <v>97</v>
      </c>
      <c r="E171" s="8" t="s">
        <v>96</v>
      </c>
      <c r="F171" s="12">
        <v>45598</v>
      </c>
      <c r="G171" s="12">
        <v>45601</v>
      </c>
      <c r="H171" s="12">
        <v>45734</v>
      </c>
      <c r="I171" s="11" t="s">
        <v>84</v>
      </c>
      <c r="J171" s="11">
        <v>8</v>
      </c>
      <c r="K171" s="12">
        <v>45688</v>
      </c>
    </row>
    <row r="172" spans="1:11" x14ac:dyDescent="0.35">
      <c r="A172" s="11">
        <v>4855</v>
      </c>
      <c r="B172" s="11" t="s">
        <v>102</v>
      </c>
      <c r="C172" s="11" t="s">
        <v>98</v>
      </c>
      <c r="D172" s="11" t="s">
        <v>97</v>
      </c>
      <c r="E172" s="8" t="s">
        <v>268</v>
      </c>
      <c r="F172" s="12">
        <v>45599</v>
      </c>
      <c r="G172" s="12">
        <v>45605</v>
      </c>
      <c r="H172" s="12">
        <v>45658</v>
      </c>
      <c r="I172" s="11" t="s">
        <v>84</v>
      </c>
      <c r="J172" s="11">
        <v>14</v>
      </c>
      <c r="K172" s="12">
        <v>45688</v>
      </c>
    </row>
    <row r="173" spans="1:11" x14ac:dyDescent="0.35">
      <c r="A173" s="11">
        <v>4858</v>
      </c>
      <c r="B173" s="11" t="s">
        <v>153</v>
      </c>
      <c r="C173" s="11" t="s">
        <v>98</v>
      </c>
      <c r="D173" s="11" t="s">
        <v>109</v>
      </c>
      <c r="E173" s="8" t="s">
        <v>164</v>
      </c>
      <c r="F173" s="12">
        <v>45602</v>
      </c>
      <c r="G173" s="12">
        <v>45610</v>
      </c>
      <c r="H173" s="12">
        <v>45667</v>
      </c>
      <c r="I173" s="11" t="s">
        <v>84</v>
      </c>
      <c r="J173" s="11">
        <v>3</v>
      </c>
      <c r="K173" s="12">
        <v>45688</v>
      </c>
    </row>
    <row r="174" spans="1:11" x14ac:dyDescent="0.35">
      <c r="A174" s="11">
        <v>5545</v>
      </c>
      <c r="B174" s="11" t="s">
        <v>88</v>
      </c>
      <c r="C174" s="11" t="s">
        <v>91</v>
      </c>
      <c r="D174" s="11" t="s">
        <v>90</v>
      </c>
      <c r="E174" s="8" t="s">
        <v>267</v>
      </c>
      <c r="F174" s="12">
        <v>45602</v>
      </c>
      <c r="G174" s="12">
        <v>45611</v>
      </c>
      <c r="H174" s="12">
        <v>45602</v>
      </c>
      <c r="I174" s="11" t="s">
        <v>84</v>
      </c>
      <c r="J174" s="11">
        <v>1</v>
      </c>
      <c r="K174" s="12">
        <v>45688</v>
      </c>
    </row>
    <row r="175" spans="1:11" x14ac:dyDescent="0.35">
      <c r="A175" s="11">
        <v>5547</v>
      </c>
      <c r="B175" s="11" t="s">
        <v>266</v>
      </c>
      <c r="C175" s="11" t="s">
        <v>91</v>
      </c>
      <c r="D175" s="11" t="s">
        <v>90</v>
      </c>
      <c r="E175" s="8" t="s">
        <v>265</v>
      </c>
      <c r="F175" s="12">
        <v>45604</v>
      </c>
      <c r="G175" s="12">
        <v>45618</v>
      </c>
      <c r="H175" s="12">
        <v>45611</v>
      </c>
      <c r="I175" s="11" t="s">
        <v>84</v>
      </c>
      <c r="J175" s="11">
        <v>1</v>
      </c>
      <c r="K175" s="12">
        <v>45688</v>
      </c>
    </row>
    <row r="176" spans="1:11" x14ac:dyDescent="0.35">
      <c r="A176" s="11">
        <v>5546</v>
      </c>
      <c r="B176" s="11" t="s">
        <v>190</v>
      </c>
      <c r="C176" s="11" t="s">
        <v>91</v>
      </c>
      <c r="D176" s="11" t="s">
        <v>90</v>
      </c>
      <c r="E176" s="8" t="s">
        <v>264</v>
      </c>
      <c r="F176" s="12">
        <v>45607</v>
      </c>
      <c r="G176" s="12">
        <v>45609</v>
      </c>
      <c r="H176" s="12">
        <v>45607</v>
      </c>
      <c r="I176" s="11" t="s">
        <v>84</v>
      </c>
      <c r="J176" s="11">
        <v>1</v>
      </c>
      <c r="K176" s="12">
        <v>45688</v>
      </c>
    </row>
    <row r="177" spans="1:11" x14ac:dyDescent="0.35">
      <c r="A177" s="11">
        <v>5548</v>
      </c>
      <c r="B177" s="11" t="s">
        <v>88</v>
      </c>
      <c r="C177" s="11" t="s">
        <v>91</v>
      </c>
      <c r="D177" s="11" t="s">
        <v>90</v>
      </c>
      <c r="E177" s="8" t="s">
        <v>263</v>
      </c>
      <c r="F177" s="12">
        <v>45636</v>
      </c>
      <c r="G177" s="12">
        <v>45644</v>
      </c>
      <c r="H177" s="12">
        <v>45636</v>
      </c>
      <c r="I177" s="11" t="s">
        <v>84</v>
      </c>
      <c r="J177" s="11">
        <v>1</v>
      </c>
      <c r="K177" s="12">
        <v>45716</v>
      </c>
    </row>
    <row r="178" spans="1:11" x14ac:dyDescent="0.35">
      <c r="A178" s="11">
        <v>4856</v>
      </c>
      <c r="B178" s="11" t="s">
        <v>88</v>
      </c>
      <c r="C178" s="11" t="s">
        <v>98</v>
      </c>
      <c r="D178" s="11" t="s">
        <v>90</v>
      </c>
      <c r="E178" s="8" t="s">
        <v>252</v>
      </c>
      <c r="F178" s="12">
        <v>45664</v>
      </c>
      <c r="G178" s="12">
        <v>45688</v>
      </c>
      <c r="H178" s="12">
        <v>45665</v>
      </c>
      <c r="I178" s="11" t="s">
        <v>84</v>
      </c>
      <c r="J178" s="11">
        <v>1</v>
      </c>
      <c r="K178" s="12">
        <v>45747</v>
      </c>
    </row>
    <row r="179" spans="1:11" x14ac:dyDescent="0.35">
      <c r="A179" s="11">
        <v>5549</v>
      </c>
      <c r="B179" s="11" t="s">
        <v>88</v>
      </c>
      <c r="C179" s="11" t="s">
        <v>91</v>
      </c>
      <c r="D179" s="11" t="s">
        <v>90</v>
      </c>
      <c r="E179" s="8" t="s">
        <v>262</v>
      </c>
      <c r="F179" s="12">
        <v>45664</v>
      </c>
      <c r="G179" s="11"/>
      <c r="H179" s="12">
        <v>45664</v>
      </c>
      <c r="I179" s="11" t="s">
        <v>84</v>
      </c>
      <c r="J179" s="11">
        <v>1</v>
      </c>
      <c r="K179" s="11"/>
    </row>
    <row r="180" spans="1:11" x14ac:dyDescent="0.35">
      <c r="A180" s="11">
        <v>5550</v>
      </c>
      <c r="B180" s="11" t="s">
        <v>88</v>
      </c>
      <c r="C180" s="11" t="s">
        <v>91</v>
      </c>
      <c r="D180" s="11" t="s">
        <v>90</v>
      </c>
      <c r="E180" s="8" t="s">
        <v>261</v>
      </c>
      <c r="F180" s="12">
        <v>45664</v>
      </c>
      <c r="G180" s="11"/>
      <c r="H180" s="12">
        <v>45665</v>
      </c>
      <c r="I180" s="11" t="s">
        <v>84</v>
      </c>
      <c r="J180" s="11">
        <v>1</v>
      </c>
      <c r="K180" s="11"/>
    </row>
    <row r="181" spans="1:11" x14ac:dyDescent="0.35">
      <c r="A181" s="11">
        <v>5551</v>
      </c>
      <c r="B181" s="11" t="s">
        <v>88</v>
      </c>
      <c r="C181" s="11" t="s">
        <v>91</v>
      </c>
      <c r="D181" s="11" t="s">
        <v>90</v>
      </c>
      <c r="E181" s="8" t="s">
        <v>260</v>
      </c>
      <c r="F181" s="12">
        <v>45664</v>
      </c>
      <c r="G181" s="11"/>
      <c r="H181" s="12">
        <v>45665</v>
      </c>
      <c r="I181" s="11" t="s">
        <v>84</v>
      </c>
      <c r="J181" s="11">
        <v>1</v>
      </c>
      <c r="K181" s="11"/>
    </row>
    <row r="182" spans="1:11" x14ac:dyDescent="0.35">
      <c r="A182" s="11">
        <v>4863</v>
      </c>
      <c r="B182" s="11" t="s">
        <v>152</v>
      </c>
      <c r="C182" s="11" t="s">
        <v>98</v>
      </c>
      <c r="D182" s="11" t="s">
        <v>97</v>
      </c>
      <c r="E182" s="8" t="s">
        <v>259</v>
      </c>
      <c r="F182" s="12">
        <v>45698</v>
      </c>
      <c r="G182" s="12">
        <v>45706</v>
      </c>
      <c r="H182" s="12">
        <v>45751</v>
      </c>
      <c r="I182" s="11" t="s">
        <v>84</v>
      </c>
      <c r="J182" s="11">
        <v>36</v>
      </c>
      <c r="K182" s="12">
        <v>45777</v>
      </c>
    </row>
    <row r="183" spans="1:11" x14ac:dyDescent="0.35">
      <c r="A183" s="11">
        <v>3624</v>
      </c>
      <c r="B183" s="11" t="s">
        <v>144</v>
      </c>
      <c r="C183" s="11" t="s">
        <v>87</v>
      </c>
      <c r="D183" s="11" t="s">
        <v>97</v>
      </c>
      <c r="E183" s="8" t="s">
        <v>258</v>
      </c>
      <c r="F183" s="12">
        <v>45702</v>
      </c>
      <c r="G183" s="12">
        <v>45723</v>
      </c>
      <c r="H183" s="12">
        <v>45704</v>
      </c>
      <c r="I183" s="11" t="s">
        <v>84</v>
      </c>
      <c r="J183" s="11">
        <v>120</v>
      </c>
      <c r="K183" s="12">
        <v>45808</v>
      </c>
    </row>
    <row r="184" spans="1:11" ht="26" x14ac:dyDescent="0.35">
      <c r="A184" s="11">
        <v>4860</v>
      </c>
      <c r="B184" s="11" t="s">
        <v>144</v>
      </c>
      <c r="C184" s="11" t="s">
        <v>98</v>
      </c>
      <c r="D184" s="11" t="s">
        <v>97</v>
      </c>
      <c r="E184" s="8" t="s">
        <v>130</v>
      </c>
      <c r="F184" s="12">
        <v>45702</v>
      </c>
      <c r="G184" s="12">
        <v>45723</v>
      </c>
      <c r="H184" s="12">
        <v>45712</v>
      </c>
      <c r="I184" s="11" t="s">
        <v>84</v>
      </c>
      <c r="J184" s="11">
        <v>69</v>
      </c>
      <c r="K184" s="12">
        <v>45808</v>
      </c>
    </row>
    <row r="185" spans="1:11" ht="26" x14ac:dyDescent="0.35">
      <c r="A185" s="11">
        <v>4861</v>
      </c>
      <c r="B185" s="11" t="s">
        <v>148</v>
      </c>
      <c r="C185" s="11" t="s">
        <v>98</v>
      </c>
      <c r="D185" s="11" t="s">
        <v>97</v>
      </c>
      <c r="E185" s="8" t="s">
        <v>257</v>
      </c>
      <c r="F185" s="12">
        <v>45703</v>
      </c>
      <c r="G185" s="12">
        <v>45706</v>
      </c>
      <c r="H185" s="12">
        <v>45714</v>
      </c>
      <c r="I185" s="11" t="s">
        <v>84</v>
      </c>
      <c r="J185" s="11">
        <v>12</v>
      </c>
      <c r="K185" s="12">
        <v>45777</v>
      </c>
    </row>
    <row r="186" spans="1:11" x14ac:dyDescent="0.35">
      <c r="A186" s="11">
        <v>5554</v>
      </c>
      <c r="B186" s="11" t="s">
        <v>153</v>
      </c>
      <c r="C186" s="11" t="s">
        <v>91</v>
      </c>
      <c r="D186" s="11" t="s">
        <v>90</v>
      </c>
      <c r="E186" s="8" t="s">
        <v>256</v>
      </c>
      <c r="F186" s="12">
        <v>45717</v>
      </c>
      <c r="G186" s="11"/>
      <c r="H186" s="12">
        <v>45723</v>
      </c>
      <c r="I186" s="11" t="s">
        <v>84</v>
      </c>
      <c r="J186" s="11">
        <v>1</v>
      </c>
      <c r="K186" s="11"/>
    </row>
    <row r="187" spans="1:11" x14ac:dyDescent="0.35">
      <c r="A187" s="11">
        <v>5552</v>
      </c>
      <c r="B187" s="11" t="s">
        <v>94</v>
      </c>
      <c r="C187" s="11" t="s">
        <v>91</v>
      </c>
      <c r="D187" s="11" t="s">
        <v>90</v>
      </c>
      <c r="E187" s="8" t="s">
        <v>255</v>
      </c>
      <c r="F187" s="12">
        <v>45720</v>
      </c>
      <c r="G187" s="12">
        <v>45725</v>
      </c>
      <c r="H187" s="12">
        <v>45720</v>
      </c>
      <c r="I187" s="11" t="s">
        <v>84</v>
      </c>
      <c r="J187" s="11">
        <v>1</v>
      </c>
      <c r="K187" s="12">
        <v>45808</v>
      </c>
    </row>
    <row r="188" spans="1:11" x14ac:dyDescent="0.35">
      <c r="A188" s="11">
        <v>5553</v>
      </c>
      <c r="B188" s="11" t="s">
        <v>94</v>
      </c>
      <c r="C188" s="11" t="s">
        <v>91</v>
      </c>
      <c r="D188" s="11" t="s">
        <v>90</v>
      </c>
      <c r="E188" s="8" t="s">
        <v>254</v>
      </c>
      <c r="F188" s="12">
        <v>45720</v>
      </c>
      <c r="G188" s="12">
        <v>45721</v>
      </c>
      <c r="H188" s="12">
        <v>45721</v>
      </c>
      <c r="I188" s="11" t="s">
        <v>84</v>
      </c>
      <c r="J188" s="11">
        <v>2</v>
      </c>
      <c r="K188" s="12">
        <v>45808</v>
      </c>
    </row>
    <row r="189" spans="1:11" x14ac:dyDescent="0.35">
      <c r="A189" s="11">
        <v>4881</v>
      </c>
      <c r="B189" s="11" t="s">
        <v>163</v>
      </c>
      <c r="C189" s="11" t="s">
        <v>98</v>
      </c>
      <c r="D189" s="11" t="s">
        <v>97</v>
      </c>
      <c r="E189" s="8" t="s">
        <v>132</v>
      </c>
      <c r="F189" s="12">
        <v>45729</v>
      </c>
      <c r="G189" s="12">
        <v>45736</v>
      </c>
      <c r="H189" s="12">
        <v>45860</v>
      </c>
      <c r="I189" s="11" t="s">
        <v>84</v>
      </c>
      <c r="J189" s="11">
        <v>4</v>
      </c>
      <c r="K189" s="12">
        <v>45808</v>
      </c>
    </row>
    <row r="190" spans="1:11" x14ac:dyDescent="0.35">
      <c r="A190" s="11">
        <v>4865</v>
      </c>
      <c r="B190" s="11" t="s">
        <v>149</v>
      </c>
      <c r="C190" s="11" t="s">
        <v>98</v>
      </c>
      <c r="D190" s="11" t="s">
        <v>97</v>
      </c>
      <c r="E190" s="8" t="s">
        <v>253</v>
      </c>
      <c r="F190" s="12">
        <v>45730</v>
      </c>
      <c r="G190" s="12">
        <v>45731</v>
      </c>
      <c r="H190" s="12">
        <v>45785</v>
      </c>
      <c r="I190" s="11" t="s">
        <v>84</v>
      </c>
      <c r="J190" s="11">
        <v>9</v>
      </c>
      <c r="K190" s="12">
        <v>45808</v>
      </c>
    </row>
    <row r="191" spans="1:11" x14ac:dyDescent="0.35">
      <c r="A191" s="11">
        <v>4866</v>
      </c>
      <c r="B191" s="11" t="s">
        <v>120</v>
      </c>
      <c r="C191" s="11" t="s">
        <v>98</v>
      </c>
      <c r="D191" s="11" t="s">
        <v>90</v>
      </c>
      <c r="E191" s="8" t="s">
        <v>252</v>
      </c>
      <c r="F191" s="12">
        <v>45730</v>
      </c>
      <c r="G191" s="12">
        <v>45737</v>
      </c>
      <c r="H191" s="12">
        <v>45798</v>
      </c>
      <c r="I191" s="11" t="s">
        <v>84</v>
      </c>
      <c r="J191" s="11">
        <v>7</v>
      </c>
      <c r="K191" s="12">
        <v>45808</v>
      </c>
    </row>
    <row r="192" spans="1:11" x14ac:dyDescent="0.35">
      <c r="A192" s="11">
        <v>4867</v>
      </c>
      <c r="B192" s="11" t="s">
        <v>102</v>
      </c>
      <c r="C192" s="11" t="s">
        <v>98</v>
      </c>
      <c r="D192" s="11" t="s">
        <v>97</v>
      </c>
      <c r="E192" s="8" t="s">
        <v>251</v>
      </c>
      <c r="F192" s="12">
        <v>45730</v>
      </c>
      <c r="G192" s="12">
        <v>45731</v>
      </c>
      <c r="H192" s="12">
        <v>45798</v>
      </c>
      <c r="I192" s="11" t="s">
        <v>84</v>
      </c>
      <c r="J192" s="11">
        <v>25</v>
      </c>
      <c r="K192" s="12">
        <v>45808</v>
      </c>
    </row>
    <row r="193" spans="1:11" ht="26" x14ac:dyDescent="0.35">
      <c r="A193" s="11">
        <v>4869</v>
      </c>
      <c r="B193" s="11" t="s">
        <v>100</v>
      </c>
      <c r="C193" s="11" t="s">
        <v>98</v>
      </c>
      <c r="D193" s="11" t="s">
        <v>97</v>
      </c>
      <c r="E193" s="8" t="s">
        <v>250</v>
      </c>
      <c r="F193" s="12">
        <v>45730</v>
      </c>
      <c r="G193" s="12">
        <v>45735</v>
      </c>
      <c r="H193" s="12">
        <v>45798</v>
      </c>
      <c r="I193" s="11" t="s">
        <v>84</v>
      </c>
      <c r="J193" s="11">
        <v>28</v>
      </c>
      <c r="K193" s="12">
        <v>45808</v>
      </c>
    </row>
    <row r="194" spans="1:11" x14ac:dyDescent="0.35">
      <c r="A194" s="11">
        <v>4874</v>
      </c>
      <c r="B194" s="11" t="s">
        <v>99</v>
      </c>
      <c r="C194" s="11" t="s">
        <v>98</v>
      </c>
      <c r="D194" s="11" t="s">
        <v>97</v>
      </c>
      <c r="E194" s="8" t="s">
        <v>96</v>
      </c>
      <c r="F194" s="12">
        <v>45730</v>
      </c>
      <c r="G194" s="12">
        <v>45731</v>
      </c>
      <c r="H194" s="12">
        <v>45798</v>
      </c>
      <c r="I194" s="11" t="s">
        <v>84</v>
      </c>
      <c r="J194" s="11">
        <v>18</v>
      </c>
      <c r="K194" s="12">
        <v>45808</v>
      </c>
    </row>
    <row r="195" spans="1:11" x14ac:dyDescent="0.35">
      <c r="A195" s="11">
        <v>5555</v>
      </c>
      <c r="B195" s="11" t="s">
        <v>94</v>
      </c>
      <c r="C195" s="11" t="s">
        <v>91</v>
      </c>
      <c r="D195" s="11" t="s">
        <v>90</v>
      </c>
      <c r="E195" s="8" t="s">
        <v>249</v>
      </c>
      <c r="F195" s="12">
        <v>45730</v>
      </c>
      <c r="G195" s="12">
        <v>45732</v>
      </c>
      <c r="H195" s="12">
        <v>45730</v>
      </c>
      <c r="I195" s="11" t="s">
        <v>84</v>
      </c>
      <c r="J195" s="11">
        <v>2</v>
      </c>
      <c r="K195" s="12">
        <v>45808</v>
      </c>
    </row>
    <row r="196" spans="1:11" x14ac:dyDescent="0.35">
      <c r="A196" s="11">
        <v>5556</v>
      </c>
      <c r="B196" s="11" t="s">
        <v>100</v>
      </c>
      <c r="C196" s="11" t="s">
        <v>91</v>
      </c>
      <c r="D196" s="11" t="s">
        <v>90</v>
      </c>
      <c r="E196" s="8" t="s">
        <v>248</v>
      </c>
      <c r="F196" s="12">
        <v>45730</v>
      </c>
      <c r="G196" s="12">
        <v>45732</v>
      </c>
      <c r="H196" s="12">
        <v>45730</v>
      </c>
      <c r="I196" s="11" t="s">
        <v>84</v>
      </c>
      <c r="J196" s="11">
        <v>1</v>
      </c>
      <c r="K196" s="12">
        <v>45808</v>
      </c>
    </row>
    <row r="197" spans="1:11" x14ac:dyDescent="0.35">
      <c r="A197" s="11">
        <v>5557</v>
      </c>
      <c r="B197" s="11" t="s">
        <v>120</v>
      </c>
      <c r="C197" s="11" t="s">
        <v>91</v>
      </c>
      <c r="D197" s="11" t="s">
        <v>90</v>
      </c>
      <c r="E197" s="8" t="s">
        <v>247</v>
      </c>
      <c r="F197" s="12">
        <v>45730</v>
      </c>
      <c r="G197" s="12">
        <v>45741</v>
      </c>
      <c r="H197" s="12">
        <v>45730</v>
      </c>
      <c r="I197" s="11" t="s">
        <v>84</v>
      </c>
      <c r="J197" s="11">
        <v>3</v>
      </c>
      <c r="K197" s="12">
        <v>45808</v>
      </c>
    </row>
    <row r="198" spans="1:11" x14ac:dyDescent="0.35">
      <c r="A198" s="11">
        <v>5558</v>
      </c>
      <c r="B198" s="11" t="s">
        <v>120</v>
      </c>
      <c r="C198" s="11" t="s">
        <v>91</v>
      </c>
      <c r="D198" s="11" t="s">
        <v>90</v>
      </c>
      <c r="E198" s="8" t="s">
        <v>246</v>
      </c>
      <c r="F198" s="12">
        <v>45730</v>
      </c>
      <c r="G198" s="12">
        <v>45742</v>
      </c>
      <c r="H198" s="12">
        <v>45730</v>
      </c>
      <c r="I198" s="11" t="s">
        <v>84</v>
      </c>
      <c r="J198" s="11">
        <v>1</v>
      </c>
      <c r="K198" s="12">
        <v>45808</v>
      </c>
    </row>
    <row r="199" spans="1:11" x14ac:dyDescent="0.35">
      <c r="A199" s="11">
        <v>5559</v>
      </c>
      <c r="B199" s="11" t="s">
        <v>120</v>
      </c>
      <c r="C199" s="11" t="s">
        <v>91</v>
      </c>
      <c r="D199" s="11" t="s">
        <v>90</v>
      </c>
      <c r="E199" s="8" t="s">
        <v>245</v>
      </c>
      <c r="F199" s="12">
        <v>45730</v>
      </c>
      <c r="G199" s="12">
        <v>45735</v>
      </c>
      <c r="H199" s="12">
        <v>45730</v>
      </c>
      <c r="I199" s="11" t="s">
        <v>84</v>
      </c>
      <c r="J199" s="11">
        <v>1</v>
      </c>
      <c r="K199" s="12">
        <v>45808</v>
      </c>
    </row>
    <row r="200" spans="1:11" x14ac:dyDescent="0.35">
      <c r="A200" s="11">
        <v>5560</v>
      </c>
      <c r="B200" s="11" t="s">
        <v>120</v>
      </c>
      <c r="C200" s="11" t="s">
        <v>91</v>
      </c>
      <c r="D200" s="11" t="s">
        <v>90</v>
      </c>
      <c r="E200" s="8" t="s">
        <v>244</v>
      </c>
      <c r="F200" s="12">
        <v>45730</v>
      </c>
      <c r="G200" s="12">
        <v>45742</v>
      </c>
      <c r="H200" s="12">
        <v>45730</v>
      </c>
      <c r="I200" s="11" t="s">
        <v>84</v>
      </c>
      <c r="J200" s="11">
        <v>1</v>
      </c>
      <c r="K200" s="12">
        <v>45808</v>
      </c>
    </row>
    <row r="201" spans="1:11" x14ac:dyDescent="0.35">
      <c r="A201" s="11">
        <v>5561</v>
      </c>
      <c r="B201" s="11" t="s">
        <v>120</v>
      </c>
      <c r="C201" s="11" t="s">
        <v>91</v>
      </c>
      <c r="D201" s="11" t="s">
        <v>90</v>
      </c>
      <c r="E201" s="8" t="s">
        <v>243</v>
      </c>
      <c r="F201" s="12">
        <v>45730</v>
      </c>
      <c r="G201" s="12">
        <v>45746</v>
      </c>
      <c r="H201" s="12">
        <v>45730</v>
      </c>
      <c r="I201" s="11" t="s">
        <v>84</v>
      </c>
      <c r="J201" s="11">
        <v>2</v>
      </c>
      <c r="K201" s="12">
        <v>45808</v>
      </c>
    </row>
    <row r="202" spans="1:11" x14ac:dyDescent="0.35">
      <c r="A202" s="11">
        <v>5562</v>
      </c>
      <c r="B202" s="11" t="s">
        <v>120</v>
      </c>
      <c r="C202" s="11" t="s">
        <v>91</v>
      </c>
      <c r="D202" s="11" t="s">
        <v>90</v>
      </c>
      <c r="E202" s="8" t="s">
        <v>242</v>
      </c>
      <c r="F202" s="12">
        <v>45730</v>
      </c>
      <c r="G202" s="12">
        <v>45740</v>
      </c>
      <c r="H202" s="12">
        <v>45730</v>
      </c>
      <c r="I202" s="11" t="s">
        <v>84</v>
      </c>
      <c r="J202" s="11">
        <v>2</v>
      </c>
      <c r="K202" s="12">
        <v>45808</v>
      </c>
    </row>
    <row r="203" spans="1:11" x14ac:dyDescent="0.35">
      <c r="A203" s="11">
        <v>5563</v>
      </c>
      <c r="B203" s="11" t="s">
        <v>120</v>
      </c>
      <c r="C203" s="11" t="s">
        <v>91</v>
      </c>
      <c r="D203" s="11" t="s">
        <v>90</v>
      </c>
      <c r="E203" s="8" t="s">
        <v>241</v>
      </c>
      <c r="F203" s="12">
        <v>45730</v>
      </c>
      <c r="G203" s="12">
        <v>45743</v>
      </c>
      <c r="H203" s="12">
        <v>45731</v>
      </c>
      <c r="I203" s="11" t="s">
        <v>84</v>
      </c>
      <c r="J203" s="11">
        <v>2</v>
      </c>
      <c r="K203" s="12">
        <v>45808</v>
      </c>
    </row>
    <row r="204" spans="1:11" x14ac:dyDescent="0.35">
      <c r="A204" s="11">
        <v>5564</v>
      </c>
      <c r="B204" s="11" t="s">
        <v>120</v>
      </c>
      <c r="C204" s="11" t="s">
        <v>91</v>
      </c>
      <c r="D204" s="11" t="s">
        <v>90</v>
      </c>
      <c r="E204" s="8" t="s">
        <v>240</v>
      </c>
      <c r="F204" s="12">
        <v>45730</v>
      </c>
      <c r="G204" s="12">
        <v>45735</v>
      </c>
      <c r="H204" s="12">
        <v>45731</v>
      </c>
      <c r="I204" s="11" t="s">
        <v>84</v>
      </c>
      <c r="J204" s="11">
        <v>1</v>
      </c>
      <c r="K204" s="12">
        <v>45808</v>
      </c>
    </row>
    <row r="205" spans="1:11" x14ac:dyDescent="0.35">
      <c r="A205" s="11">
        <v>5565</v>
      </c>
      <c r="B205" s="11" t="s">
        <v>120</v>
      </c>
      <c r="C205" s="11" t="s">
        <v>91</v>
      </c>
      <c r="D205" s="11" t="s">
        <v>90</v>
      </c>
      <c r="E205" s="8" t="s">
        <v>239</v>
      </c>
      <c r="F205" s="12">
        <v>45730</v>
      </c>
      <c r="G205" s="12">
        <v>45731</v>
      </c>
      <c r="H205" s="12">
        <v>45731</v>
      </c>
      <c r="I205" s="11" t="s">
        <v>84</v>
      </c>
      <c r="J205" s="11">
        <v>1</v>
      </c>
      <c r="K205" s="12">
        <v>45808</v>
      </c>
    </row>
    <row r="206" spans="1:11" x14ac:dyDescent="0.35">
      <c r="A206" s="11">
        <v>5566</v>
      </c>
      <c r="B206" s="11" t="s">
        <v>120</v>
      </c>
      <c r="C206" s="11" t="s">
        <v>91</v>
      </c>
      <c r="D206" s="11" t="s">
        <v>90</v>
      </c>
      <c r="E206" s="8" t="s">
        <v>238</v>
      </c>
      <c r="F206" s="12">
        <v>45730</v>
      </c>
      <c r="G206" s="12">
        <v>45742</v>
      </c>
      <c r="H206" s="12">
        <v>45731</v>
      </c>
      <c r="I206" s="11" t="s">
        <v>84</v>
      </c>
      <c r="J206" s="11">
        <v>2</v>
      </c>
      <c r="K206" s="12">
        <v>45808</v>
      </c>
    </row>
    <row r="207" spans="1:11" x14ac:dyDescent="0.35">
      <c r="A207" s="11">
        <v>5567</v>
      </c>
      <c r="B207" s="11" t="s">
        <v>120</v>
      </c>
      <c r="C207" s="11" t="s">
        <v>91</v>
      </c>
      <c r="D207" s="11" t="s">
        <v>90</v>
      </c>
      <c r="E207" s="8" t="s">
        <v>237</v>
      </c>
      <c r="F207" s="12">
        <v>45730</v>
      </c>
      <c r="G207" s="12">
        <v>45744</v>
      </c>
      <c r="H207" s="12">
        <v>45731</v>
      </c>
      <c r="I207" s="11" t="s">
        <v>84</v>
      </c>
      <c r="J207" s="11">
        <v>1</v>
      </c>
      <c r="K207" s="12">
        <v>45808</v>
      </c>
    </row>
    <row r="208" spans="1:11" x14ac:dyDescent="0.35">
      <c r="A208" s="11">
        <v>5568</v>
      </c>
      <c r="B208" s="11" t="s">
        <v>120</v>
      </c>
      <c r="C208" s="11" t="s">
        <v>91</v>
      </c>
      <c r="D208" s="11" t="s">
        <v>90</v>
      </c>
      <c r="E208" s="8" t="s">
        <v>236</v>
      </c>
      <c r="F208" s="12">
        <v>45730</v>
      </c>
      <c r="G208" s="12">
        <v>45733</v>
      </c>
      <c r="H208" s="12">
        <v>45731</v>
      </c>
      <c r="I208" s="11" t="s">
        <v>84</v>
      </c>
      <c r="J208" s="11">
        <v>1</v>
      </c>
      <c r="K208" s="12">
        <v>45808</v>
      </c>
    </row>
    <row r="209" spans="1:11" x14ac:dyDescent="0.35">
      <c r="A209" s="11">
        <v>5569</v>
      </c>
      <c r="B209" s="11" t="s">
        <v>120</v>
      </c>
      <c r="C209" s="11" t="s">
        <v>91</v>
      </c>
      <c r="D209" s="11" t="s">
        <v>90</v>
      </c>
      <c r="E209" s="8" t="s">
        <v>235</v>
      </c>
      <c r="F209" s="12">
        <v>45730</v>
      </c>
      <c r="G209" s="12">
        <v>45733</v>
      </c>
      <c r="H209" s="12">
        <v>45731</v>
      </c>
      <c r="I209" s="11" t="s">
        <v>84</v>
      </c>
      <c r="J209" s="11">
        <v>1</v>
      </c>
      <c r="K209" s="12">
        <v>45808</v>
      </c>
    </row>
    <row r="210" spans="1:11" x14ac:dyDescent="0.35">
      <c r="A210" s="11">
        <v>5570</v>
      </c>
      <c r="B210" s="11" t="s">
        <v>94</v>
      </c>
      <c r="C210" s="11" t="s">
        <v>91</v>
      </c>
      <c r="D210" s="11" t="s">
        <v>90</v>
      </c>
      <c r="E210" s="8" t="s">
        <v>234</v>
      </c>
      <c r="F210" s="12">
        <v>45731</v>
      </c>
      <c r="G210" s="12">
        <v>45737</v>
      </c>
      <c r="H210" s="12">
        <v>45731</v>
      </c>
      <c r="I210" s="11" t="s">
        <v>84</v>
      </c>
      <c r="J210" s="11">
        <v>1</v>
      </c>
      <c r="K210" s="12">
        <v>45808</v>
      </c>
    </row>
    <row r="211" spans="1:11" x14ac:dyDescent="0.35">
      <c r="A211" s="11">
        <v>4868</v>
      </c>
      <c r="B211" s="11" t="s">
        <v>126</v>
      </c>
      <c r="C211" s="11" t="s">
        <v>98</v>
      </c>
      <c r="D211" s="11" t="s">
        <v>135</v>
      </c>
      <c r="E211" s="8" t="s">
        <v>159</v>
      </c>
      <c r="F211" s="12">
        <v>45734</v>
      </c>
      <c r="G211" s="12">
        <v>45735</v>
      </c>
      <c r="H211" s="12">
        <v>45798</v>
      </c>
      <c r="I211" s="11" t="s">
        <v>84</v>
      </c>
      <c r="J211" s="11">
        <v>28</v>
      </c>
      <c r="K211" s="12">
        <v>45808</v>
      </c>
    </row>
    <row r="212" spans="1:11" x14ac:dyDescent="0.35">
      <c r="A212" s="11">
        <v>5571</v>
      </c>
      <c r="B212" s="11" t="s">
        <v>94</v>
      </c>
      <c r="C212" s="11" t="s">
        <v>91</v>
      </c>
      <c r="D212" s="11" t="s">
        <v>90</v>
      </c>
      <c r="E212" s="8" t="s">
        <v>233</v>
      </c>
      <c r="F212" s="12">
        <v>45734</v>
      </c>
      <c r="G212" s="12">
        <v>45737</v>
      </c>
      <c r="H212" s="12">
        <v>45734</v>
      </c>
      <c r="I212" s="11" t="s">
        <v>84</v>
      </c>
      <c r="J212" s="11">
        <v>1</v>
      </c>
      <c r="K212" s="12">
        <v>45808</v>
      </c>
    </row>
    <row r="213" spans="1:11" x14ac:dyDescent="0.35">
      <c r="A213" s="11">
        <v>4870</v>
      </c>
      <c r="B213" s="11" t="s">
        <v>232</v>
      </c>
      <c r="C213" s="11" t="s">
        <v>98</v>
      </c>
      <c r="D213" s="11" t="s">
        <v>135</v>
      </c>
      <c r="E213" s="8" t="s">
        <v>136</v>
      </c>
      <c r="F213" s="12">
        <v>45735</v>
      </c>
      <c r="G213" s="12">
        <v>45735</v>
      </c>
      <c r="H213" s="12">
        <v>45798</v>
      </c>
      <c r="I213" s="11" t="s">
        <v>84</v>
      </c>
      <c r="J213" s="11">
        <v>4</v>
      </c>
      <c r="K213" s="12">
        <v>45808</v>
      </c>
    </row>
    <row r="214" spans="1:11" x14ac:dyDescent="0.35">
      <c r="A214" s="11">
        <v>5572</v>
      </c>
      <c r="B214" s="11" t="s">
        <v>120</v>
      </c>
      <c r="C214" s="11" t="s">
        <v>91</v>
      </c>
      <c r="D214" s="11" t="s">
        <v>90</v>
      </c>
      <c r="E214" s="8" t="s">
        <v>231</v>
      </c>
      <c r="F214" s="12">
        <v>45735</v>
      </c>
      <c r="G214" s="12">
        <v>45744</v>
      </c>
      <c r="H214" s="12">
        <v>45735</v>
      </c>
      <c r="I214" s="11" t="s">
        <v>84</v>
      </c>
      <c r="J214" s="11">
        <v>1</v>
      </c>
      <c r="K214" s="12">
        <v>45808</v>
      </c>
    </row>
    <row r="215" spans="1:11" x14ac:dyDescent="0.35">
      <c r="A215" s="11">
        <v>5573</v>
      </c>
      <c r="B215" s="11" t="s">
        <v>94</v>
      </c>
      <c r="C215" s="11" t="s">
        <v>91</v>
      </c>
      <c r="D215" s="11" t="s">
        <v>90</v>
      </c>
      <c r="E215" s="8" t="s">
        <v>230</v>
      </c>
      <c r="F215" s="12">
        <v>45735</v>
      </c>
      <c r="G215" s="12">
        <v>45742</v>
      </c>
      <c r="H215" s="12">
        <v>45736</v>
      </c>
      <c r="I215" s="11" t="s">
        <v>84</v>
      </c>
      <c r="J215" s="11">
        <v>2</v>
      </c>
      <c r="K215" s="12">
        <v>45808</v>
      </c>
    </row>
    <row r="216" spans="1:11" x14ac:dyDescent="0.35">
      <c r="A216" s="11">
        <v>5574</v>
      </c>
      <c r="B216" s="11" t="s">
        <v>154</v>
      </c>
      <c r="C216" s="11" t="s">
        <v>91</v>
      </c>
      <c r="D216" s="11" t="s">
        <v>90</v>
      </c>
      <c r="E216" s="8" t="s">
        <v>229</v>
      </c>
      <c r="F216" s="12">
        <v>45735</v>
      </c>
      <c r="G216" s="11"/>
      <c r="H216" s="12">
        <v>45738</v>
      </c>
      <c r="I216" s="11" t="s">
        <v>84</v>
      </c>
      <c r="J216" s="11">
        <v>1</v>
      </c>
      <c r="K216" s="11"/>
    </row>
    <row r="217" spans="1:11" x14ac:dyDescent="0.35">
      <c r="A217" s="11">
        <v>5575</v>
      </c>
      <c r="B217" s="11" t="s">
        <v>153</v>
      </c>
      <c r="C217" s="11" t="s">
        <v>91</v>
      </c>
      <c r="D217" s="11" t="s">
        <v>90</v>
      </c>
      <c r="E217" s="8" t="s">
        <v>228</v>
      </c>
      <c r="F217" s="12">
        <v>45737</v>
      </c>
      <c r="G217" s="11"/>
      <c r="H217" s="12">
        <v>45739</v>
      </c>
      <c r="I217" s="11" t="s">
        <v>84</v>
      </c>
      <c r="J217" s="11">
        <v>1</v>
      </c>
      <c r="K217" s="11"/>
    </row>
    <row r="218" spans="1:11" x14ac:dyDescent="0.35">
      <c r="A218" s="11">
        <v>5576</v>
      </c>
      <c r="B218" s="11" t="s">
        <v>153</v>
      </c>
      <c r="C218" s="11" t="s">
        <v>91</v>
      </c>
      <c r="D218" s="11" t="s">
        <v>90</v>
      </c>
      <c r="E218" s="8" t="s">
        <v>227</v>
      </c>
      <c r="F218" s="12">
        <v>45739</v>
      </c>
      <c r="G218" s="11"/>
      <c r="H218" s="12">
        <v>45739</v>
      </c>
      <c r="I218" s="11" t="s">
        <v>84</v>
      </c>
      <c r="J218" s="11">
        <v>2</v>
      </c>
      <c r="K218" s="11"/>
    </row>
    <row r="219" spans="1:11" x14ac:dyDescent="0.35">
      <c r="A219" s="11">
        <v>5577</v>
      </c>
      <c r="B219" s="11" t="s">
        <v>154</v>
      </c>
      <c r="C219" s="11" t="s">
        <v>91</v>
      </c>
      <c r="D219" s="11" t="s">
        <v>90</v>
      </c>
      <c r="E219" s="8" t="s">
        <v>226</v>
      </c>
      <c r="F219" s="12">
        <v>45741</v>
      </c>
      <c r="G219" s="11"/>
      <c r="H219" s="12">
        <v>45742</v>
      </c>
      <c r="I219" s="11" t="s">
        <v>84</v>
      </c>
      <c r="J219" s="11">
        <v>1</v>
      </c>
      <c r="K219" s="11"/>
    </row>
    <row r="220" spans="1:11" x14ac:dyDescent="0.35">
      <c r="A220" s="11">
        <v>4871</v>
      </c>
      <c r="B220" s="11" t="s">
        <v>94</v>
      </c>
      <c r="C220" s="11" t="s">
        <v>98</v>
      </c>
      <c r="D220" s="11" t="s">
        <v>109</v>
      </c>
      <c r="E220" s="8" t="s">
        <v>164</v>
      </c>
      <c r="F220" s="12">
        <v>45742</v>
      </c>
      <c r="G220" s="12">
        <v>45744</v>
      </c>
      <c r="H220" s="12">
        <v>45798</v>
      </c>
      <c r="I220" s="11" t="s">
        <v>84</v>
      </c>
      <c r="J220" s="11">
        <v>4</v>
      </c>
      <c r="K220" s="12">
        <v>45808</v>
      </c>
    </row>
    <row r="221" spans="1:11" x14ac:dyDescent="0.35">
      <c r="A221" s="11">
        <v>5578</v>
      </c>
      <c r="B221" s="11" t="s">
        <v>154</v>
      </c>
      <c r="C221" s="11" t="s">
        <v>91</v>
      </c>
      <c r="D221" s="11" t="s">
        <v>90</v>
      </c>
      <c r="E221" s="8" t="s">
        <v>225</v>
      </c>
      <c r="F221" s="12">
        <v>45742</v>
      </c>
      <c r="G221" s="11"/>
      <c r="H221" s="12">
        <v>45743</v>
      </c>
      <c r="I221" s="11" t="s">
        <v>84</v>
      </c>
      <c r="J221" s="11">
        <v>1</v>
      </c>
      <c r="K221" s="11"/>
    </row>
    <row r="222" spans="1:11" x14ac:dyDescent="0.35">
      <c r="A222" s="11">
        <v>4880</v>
      </c>
      <c r="B222" s="11" t="s">
        <v>118</v>
      </c>
      <c r="C222" s="11" t="s">
        <v>98</v>
      </c>
      <c r="D222" s="11" t="s">
        <v>224</v>
      </c>
      <c r="E222" s="8" t="s">
        <v>136</v>
      </c>
      <c r="F222" s="12">
        <v>45744</v>
      </c>
      <c r="G222" s="12">
        <v>45746</v>
      </c>
      <c r="H222" s="12">
        <v>45860</v>
      </c>
      <c r="I222" s="11" t="s">
        <v>84</v>
      </c>
      <c r="J222" s="11">
        <v>14</v>
      </c>
      <c r="K222" s="12">
        <v>45808</v>
      </c>
    </row>
    <row r="223" spans="1:11" x14ac:dyDescent="0.35">
      <c r="A223" s="11">
        <v>4872</v>
      </c>
      <c r="B223" s="11" t="s">
        <v>102</v>
      </c>
      <c r="C223" s="11" t="s">
        <v>98</v>
      </c>
      <c r="D223" s="11" t="s">
        <v>97</v>
      </c>
      <c r="E223" s="8" t="s">
        <v>96</v>
      </c>
      <c r="F223" s="12">
        <v>45746</v>
      </c>
      <c r="G223" s="12">
        <v>45755</v>
      </c>
      <c r="H223" s="12">
        <v>45798</v>
      </c>
      <c r="I223" s="11" t="s">
        <v>84</v>
      </c>
      <c r="J223" s="11">
        <v>27</v>
      </c>
      <c r="K223" s="12">
        <v>45838</v>
      </c>
    </row>
    <row r="224" spans="1:11" x14ac:dyDescent="0.35">
      <c r="A224" s="11">
        <v>4882</v>
      </c>
      <c r="B224" s="11" t="s">
        <v>146</v>
      </c>
      <c r="C224" s="11" t="s">
        <v>98</v>
      </c>
      <c r="D224" s="11" t="s">
        <v>109</v>
      </c>
      <c r="E224" s="8" t="s">
        <v>96</v>
      </c>
      <c r="F224" s="12">
        <v>45746</v>
      </c>
      <c r="G224" s="12">
        <v>45756</v>
      </c>
      <c r="H224" s="12">
        <v>45860</v>
      </c>
      <c r="I224" s="11" t="s">
        <v>84</v>
      </c>
      <c r="J224" s="11">
        <v>25</v>
      </c>
      <c r="K224" s="12">
        <v>45838</v>
      </c>
    </row>
    <row r="225" spans="1:11" x14ac:dyDescent="0.35">
      <c r="A225" s="11">
        <v>3625</v>
      </c>
      <c r="B225" s="11" t="s">
        <v>151</v>
      </c>
      <c r="C225" s="11" t="s">
        <v>87</v>
      </c>
      <c r="D225" s="11" t="s">
        <v>97</v>
      </c>
      <c r="E225" s="8" t="s">
        <v>96</v>
      </c>
      <c r="F225" s="12">
        <v>45749</v>
      </c>
      <c r="G225" s="12">
        <v>45771</v>
      </c>
      <c r="H225" s="12">
        <v>45749</v>
      </c>
      <c r="I225" s="11" t="s">
        <v>84</v>
      </c>
      <c r="J225" s="11">
        <v>95</v>
      </c>
      <c r="K225" s="12">
        <v>45838</v>
      </c>
    </row>
    <row r="226" spans="1:11" x14ac:dyDescent="0.35">
      <c r="A226" s="11">
        <v>3626</v>
      </c>
      <c r="B226" s="11" t="s">
        <v>144</v>
      </c>
      <c r="C226" s="11" t="s">
        <v>87</v>
      </c>
      <c r="D226" s="11" t="s">
        <v>97</v>
      </c>
      <c r="E226" s="8" t="s">
        <v>96</v>
      </c>
      <c r="F226" s="12">
        <v>45749</v>
      </c>
      <c r="G226" s="12">
        <v>45793</v>
      </c>
      <c r="H226" s="12">
        <v>45750</v>
      </c>
      <c r="I226" s="11" t="s">
        <v>84</v>
      </c>
      <c r="J226" s="11">
        <v>120</v>
      </c>
      <c r="K226" s="12">
        <v>45869</v>
      </c>
    </row>
    <row r="227" spans="1:11" x14ac:dyDescent="0.35">
      <c r="A227" s="11">
        <v>3627</v>
      </c>
      <c r="B227" s="11" t="s">
        <v>149</v>
      </c>
      <c r="C227" s="11" t="s">
        <v>87</v>
      </c>
      <c r="D227" s="11" t="s">
        <v>97</v>
      </c>
      <c r="E227" s="8" t="s">
        <v>101</v>
      </c>
      <c r="F227" s="12">
        <v>45749</v>
      </c>
      <c r="G227" s="12">
        <v>45769</v>
      </c>
      <c r="H227" s="12">
        <v>45752</v>
      </c>
      <c r="I227" s="11" t="s">
        <v>84</v>
      </c>
      <c r="J227" s="11">
        <v>75</v>
      </c>
      <c r="K227" s="12">
        <v>45838</v>
      </c>
    </row>
    <row r="228" spans="1:11" ht="26" x14ac:dyDescent="0.35">
      <c r="A228" s="11">
        <v>4864</v>
      </c>
      <c r="B228" s="11" t="s">
        <v>144</v>
      </c>
      <c r="C228" s="11" t="s">
        <v>98</v>
      </c>
      <c r="D228" s="11" t="s">
        <v>97</v>
      </c>
      <c r="E228" s="8" t="s">
        <v>223</v>
      </c>
      <c r="F228" s="12">
        <v>45749</v>
      </c>
      <c r="G228" s="12">
        <v>45793</v>
      </c>
      <c r="H228" s="12">
        <v>45771</v>
      </c>
      <c r="I228" s="11" t="s">
        <v>84</v>
      </c>
      <c r="J228" s="11">
        <v>91</v>
      </c>
      <c r="K228" s="12">
        <v>45869</v>
      </c>
    </row>
    <row r="229" spans="1:11" x14ac:dyDescent="0.35">
      <c r="A229" s="11">
        <v>4873</v>
      </c>
      <c r="B229" s="11" t="s">
        <v>149</v>
      </c>
      <c r="C229" s="11" t="s">
        <v>98</v>
      </c>
      <c r="D229" s="11" t="s">
        <v>109</v>
      </c>
      <c r="E229" s="8" t="s">
        <v>101</v>
      </c>
      <c r="F229" s="12">
        <v>45749</v>
      </c>
      <c r="G229" s="12">
        <v>45769</v>
      </c>
      <c r="H229" s="12">
        <v>45798</v>
      </c>
      <c r="I229" s="11" t="s">
        <v>84</v>
      </c>
      <c r="J229" s="11">
        <v>41</v>
      </c>
      <c r="K229" s="12">
        <v>45838</v>
      </c>
    </row>
    <row r="230" spans="1:11" x14ac:dyDescent="0.35">
      <c r="A230" s="11">
        <v>4878</v>
      </c>
      <c r="B230" s="11" t="s">
        <v>151</v>
      </c>
      <c r="C230" s="11" t="s">
        <v>98</v>
      </c>
      <c r="D230" s="11" t="s">
        <v>97</v>
      </c>
      <c r="E230" s="8" t="s">
        <v>96</v>
      </c>
      <c r="F230" s="12">
        <v>45749</v>
      </c>
      <c r="G230" s="12">
        <v>45771</v>
      </c>
      <c r="H230" s="12">
        <v>45827</v>
      </c>
      <c r="I230" s="11" t="s">
        <v>84</v>
      </c>
      <c r="J230" s="11">
        <v>30</v>
      </c>
      <c r="K230" s="12">
        <v>45838</v>
      </c>
    </row>
    <row r="231" spans="1:11" x14ac:dyDescent="0.35">
      <c r="A231" s="11">
        <v>5579</v>
      </c>
      <c r="B231" s="11" t="s">
        <v>170</v>
      </c>
      <c r="C231" s="11" t="s">
        <v>91</v>
      </c>
      <c r="D231" s="11" t="s">
        <v>90</v>
      </c>
      <c r="E231" s="8" t="s">
        <v>222</v>
      </c>
      <c r="F231" s="12">
        <v>45764</v>
      </c>
      <c r="G231" s="11"/>
      <c r="H231" s="12">
        <v>45765</v>
      </c>
      <c r="I231" s="11" t="s">
        <v>84</v>
      </c>
      <c r="J231" s="11">
        <v>1</v>
      </c>
      <c r="K231" s="11"/>
    </row>
    <row r="232" spans="1:11" x14ac:dyDescent="0.35">
      <c r="A232" s="11">
        <v>5580</v>
      </c>
      <c r="B232" s="11" t="s">
        <v>154</v>
      </c>
      <c r="C232" s="11" t="s">
        <v>91</v>
      </c>
      <c r="D232" s="11" t="s">
        <v>90</v>
      </c>
      <c r="E232" s="8" t="s">
        <v>221</v>
      </c>
      <c r="F232" s="12">
        <v>45765</v>
      </c>
      <c r="G232" s="11"/>
      <c r="H232" s="12">
        <v>45767</v>
      </c>
      <c r="I232" s="11" t="s">
        <v>84</v>
      </c>
      <c r="J232" s="11">
        <v>1</v>
      </c>
      <c r="K232" s="11"/>
    </row>
    <row r="233" spans="1:11" x14ac:dyDescent="0.35">
      <c r="A233" s="11">
        <v>5581</v>
      </c>
      <c r="B233" s="11" t="s">
        <v>220</v>
      </c>
      <c r="C233" s="11" t="s">
        <v>91</v>
      </c>
      <c r="D233" s="11" t="s">
        <v>90</v>
      </c>
      <c r="E233" s="8" t="s">
        <v>219</v>
      </c>
      <c r="F233" s="12">
        <v>45769</v>
      </c>
      <c r="G233" s="11"/>
      <c r="H233" s="12">
        <v>45771</v>
      </c>
      <c r="I233" s="11" t="s">
        <v>84</v>
      </c>
      <c r="J233" s="11">
        <v>1</v>
      </c>
      <c r="K233" s="11"/>
    </row>
    <row r="234" spans="1:11" x14ac:dyDescent="0.35">
      <c r="A234" s="11">
        <v>4876</v>
      </c>
      <c r="B234" s="11" t="s">
        <v>102</v>
      </c>
      <c r="C234" s="11" t="s">
        <v>98</v>
      </c>
      <c r="D234" s="11" t="s">
        <v>97</v>
      </c>
      <c r="E234" s="8" t="s">
        <v>96</v>
      </c>
      <c r="F234" s="12">
        <v>45776</v>
      </c>
      <c r="G234" s="12">
        <v>45776</v>
      </c>
      <c r="H234" s="12">
        <v>45817</v>
      </c>
      <c r="I234" s="11" t="s">
        <v>84</v>
      </c>
      <c r="J234" s="11">
        <v>6</v>
      </c>
      <c r="K234" s="12">
        <v>45838</v>
      </c>
    </row>
    <row r="235" spans="1:11" x14ac:dyDescent="0.35">
      <c r="A235" s="11">
        <v>5582</v>
      </c>
      <c r="B235" s="11" t="s">
        <v>154</v>
      </c>
      <c r="C235" s="11" t="s">
        <v>91</v>
      </c>
      <c r="D235" s="11" t="s">
        <v>90</v>
      </c>
      <c r="E235" s="8" t="s">
        <v>218</v>
      </c>
      <c r="F235" s="12">
        <v>45779</v>
      </c>
      <c r="G235" s="11"/>
      <c r="H235" s="12">
        <v>45780</v>
      </c>
      <c r="I235" s="11" t="s">
        <v>84</v>
      </c>
      <c r="J235" s="11">
        <v>1</v>
      </c>
      <c r="K235" s="11"/>
    </row>
    <row r="236" spans="1:11" x14ac:dyDescent="0.35">
      <c r="A236" s="11">
        <v>5583</v>
      </c>
      <c r="B236" s="11" t="s">
        <v>205</v>
      </c>
      <c r="C236" s="11" t="s">
        <v>91</v>
      </c>
      <c r="D236" s="11" t="s">
        <v>90</v>
      </c>
      <c r="E236" s="8" t="s">
        <v>217</v>
      </c>
      <c r="F236" s="12">
        <v>45789</v>
      </c>
      <c r="G236" s="12">
        <v>45797</v>
      </c>
      <c r="H236" s="12">
        <v>45791</v>
      </c>
      <c r="I236" s="11" t="s">
        <v>84</v>
      </c>
      <c r="J236" s="11">
        <v>1</v>
      </c>
      <c r="K236" s="12">
        <v>45869</v>
      </c>
    </row>
    <row r="237" spans="1:11" x14ac:dyDescent="0.35">
      <c r="A237" s="11">
        <v>5584</v>
      </c>
      <c r="B237" s="11" t="s">
        <v>168</v>
      </c>
      <c r="C237" s="11" t="s">
        <v>91</v>
      </c>
      <c r="D237" s="11" t="s">
        <v>90</v>
      </c>
      <c r="E237" s="8" t="s">
        <v>216</v>
      </c>
      <c r="F237" s="12">
        <v>45791</v>
      </c>
      <c r="G237" s="12">
        <v>45797</v>
      </c>
      <c r="H237" s="12">
        <v>45791</v>
      </c>
      <c r="I237" s="11" t="s">
        <v>84</v>
      </c>
      <c r="J237" s="11">
        <v>1</v>
      </c>
      <c r="K237" s="12">
        <v>45869</v>
      </c>
    </row>
    <row r="238" spans="1:11" x14ac:dyDescent="0.35">
      <c r="A238" s="11">
        <v>4875</v>
      </c>
      <c r="B238" s="11" t="s">
        <v>144</v>
      </c>
      <c r="C238" s="11" t="s">
        <v>98</v>
      </c>
      <c r="D238" s="11" t="s">
        <v>97</v>
      </c>
      <c r="E238" s="8" t="s">
        <v>185</v>
      </c>
      <c r="F238" s="12">
        <v>45793</v>
      </c>
      <c r="G238" s="12">
        <v>45794</v>
      </c>
      <c r="H238" s="12">
        <v>45800</v>
      </c>
      <c r="I238" s="11" t="s">
        <v>84</v>
      </c>
      <c r="J238" s="11">
        <v>39</v>
      </c>
      <c r="K238" s="12">
        <v>45869</v>
      </c>
    </row>
    <row r="239" spans="1:11" x14ac:dyDescent="0.35">
      <c r="A239" s="11">
        <v>4877</v>
      </c>
      <c r="B239" s="11" t="s">
        <v>102</v>
      </c>
      <c r="C239" s="11" t="s">
        <v>98</v>
      </c>
      <c r="D239" s="11" t="s">
        <v>97</v>
      </c>
      <c r="E239" s="8" t="s">
        <v>96</v>
      </c>
      <c r="F239" s="12">
        <v>45793</v>
      </c>
      <c r="G239" s="12">
        <v>45793</v>
      </c>
      <c r="H239" s="12">
        <v>45817</v>
      </c>
      <c r="I239" s="11" t="s">
        <v>84</v>
      </c>
      <c r="J239" s="11">
        <v>3</v>
      </c>
      <c r="K239" s="12">
        <v>45869</v>
      </c>
    </row>
    <row r="240" spans="1:11" x14ac:dyDescent="0.35">
      <c r="A240" s="11">
        <v>4883</v>
      </c>
      <c r="B240" s="11" t="s">
        <v>100</v>
      </c>
      <c r="C240" s="11" t="s">
        <v>98</v>
      </c>
      <c r="D240" s="11" t="s">
        <v>97</v>
      </c>
      <c r="E240" s="8" t="s">
        <v>96</v>
      </c>
      <c r="F240" s="12">
        <v>45795</v>
      </c>
      <c r="G240" s="12">
        <v>45796</v>
      </c>
      <c r="H240" s="12">
        <v>45860</v>
      </c>
      <c r="I240" s="11" t="s">
        <v>84</v>
      </c>
      <c r="J240" s="11">
        <v>11</v>
      </c>
      <c r="K240" s="12">
        <v>45869</v>
      </c>
    </row>
    <row r="241" spans="1:11" x14ac:dyDescent="0.35">
      <c r="A241" s="11">
        <v>4887</v>
      </c>
      <c r="B241" s="11" t="s">
        <v>161</v>
      </c>
      <c r="C241" s="11" t="s">
        <v>98</v>
      </c>
      <c r="D241" s="11" t="s">
        <v>109</v>
      </c>
      <c r="E241" s="8" t="s">
        <v>183</v>
      </c>
      <c r="F241" s="12">
        <v>45795</v>
      </c>
      <c r="G241" s="12">
        <v>45799</v>
      </c>
      <c r="H241" s="12">
        <v>45911</v>
      </c>
      <c r="I241" s="11" t="s">
        <v>84</v>
      </c>
      <c r="J241" s="11">
        <v>1</v>
      </c>
      <c r="K241" s="12">
        <v>45869</v>
      </c>
    </row>
    <row r="242" spans="1:11" x14ac:dyDescent="0.35">
      <c r="A242" s="11">
        <v>5585</v>
      </c>
      <c r="B242" s="11" t="s">
        <v>168</v>
      </c>
      <c r="C242" s="11" t="s">
        <v>91</v>
      </c>
      <c r="D242" s="11" t="s">
        <v>90</v>
      </c>
      <c r="E242" s="8" t="s">
        <v>215</v>
      </c>
      <c r="F242" s="12">
        <v>45798</v>
      </c>
      <c r="G242" s="12">
        <v>45804</v>
      </c>
      <c r="H242" s="12">
        <v>45799</v>
      </c>
      <c r="I242" s="11" t="s">
        <v>84</v>
      </c>
      <c r="J242" s="11">
        <v>1</v>
      </c>
      <c r="K242" s="12">
        <v>45869</v>
      </c>
    </row>
    <row r="243" spans="1:11" x14ac:dyDescent="0.35">
      <c r="A243" s="11">
        <v>4885</v>
      </c>
      <c r="B243" s="11" t="s">
        <v>102</v>
      </c>
      <c r="C243" s="11" t="s">
        <v>98</v>
      </c>
      <c r="D243" s="11" t="s">
        <v>97</v>
      </c>
      <c r="E243" s="8" t="s">
        <v>164</v>
      </c>
      <c r="F243" s="12">
        <v>45800</v>
      </c>
      <c r="G243" s="12">
        <v>45803</v>
      </c>
      <c r="H243" s="12">
        <v>45860</v>
      </c>
      <c r="I243" s="11" t="s">
        <v>84</v>
      </c>
      <c r="J243" s="11">
        <v>5</v>
      </c>
      <c r="K243" s="12">
        <v>45869</v>
      </c>
    </row>
    <row r="244" spans="1:11" x14ac:dyDescent="0.35">
      <c r="A244" s="11">
        <v>4891</v>
      </c>
      <c r="B244" s="11" t="s">
        <v>100</v>
      </c>
      <c r="C244" s="11" t="s">
        <v>98</v>
      </c>
      <c r="D244" s="11" t="s">
        <v>97</v>
      </c>
      <c r="E244" s="8" t="s">
        <v>96</v>
      </c>
      <c r="F244" s="12">
        <v>45811</v>
      </c>
      <c r="G244" s="12">
        <v>45815</v>
      </c>
      <c r="H244" s="12">
        <v>45911</v>
      </c>
      <c r="I244" s="11" t="s">
        <v>84</v>
      </c>
      <c r="J244" s="11">
        <v>16</v>
      </c>
      <c r="K244" s="12">
        <v>45900</v>
      </c>
    </row>
    <row r="245" spans="1:11" x14ac:dyDescent="0.35">
      <c r="A245" s="11">
        <v>5586</v>
      </c>
      <c r="B245" s="11" t="s">
        <v>190</v>
      </c>
      <c r="C245" s="11" t="s">
        <v>91</v>
      </c>
      <c r="D245" s="11" t="s">
        <v>90</v>
      </c>
      <c r="E245" s="8" t="s">
        <v>214</v>
      </c>
      <c r="F245" s="12">
        <v>45818</v>
      </c>
      <c r="G245" s="12">
        <v>45820</v>
      </c>
      <c r="H245" s="12">
        <v>45818</v>
      </c>
      <c r="I245" s="11" t="s">
        <v>84</v>
      </c>
      <c r="J245" s="11">
        <v>1</v>
      </c>
      <c r="K245" s="12">
        <v>45900</v>
      </c>
    </row>
    <row r="246" spans="1:11" x14ac:dyDescent="0.35">
      <c r="A246" s="11">
        <v>5587</v>
      </c>
      <c r="B246" s="11" t="s">
        <v>163</v>
      </c>
      <c r="C246" s="11" t="s">
        <v>91</v>
      </c>
      <c r="D246" s="11" t="s">
        <v>90</v>
      </c>
      <c r="E246" s="8" t="s">
        <v>213</v>
      </c>
      <c r="F246" s="12">
        <v>45819</v>
      </c>
      <c r="G246" s="12">
        <v>45827</v>
      </c>
      <c r="H246" s="12">
        <v>45819</v>
      </c>
      <c r="I246" s="11" t="s">
        <v>84</v>
      </c>
      <c r="J246" s="11">
        <v>1</v>
      </c>
      <c r="K246" s="12">
        <v>45900</v>
      </c>
    </row>
    <row r="247" spans="1:11" x14ac:dyDescent="0.35">
      <c r="A247" s="11">
        <v>4890</v>
      </c>
      <c r="B247" s="11" t="s">
        <v>128</v>
      </c>
      <c r="C247" s="11" t="s">
        <v>98</v>
      </c>
      <c r="D247" s="11" t="s">
        <v>109</v>
      </c>
      <c r="E247" s="8" t="s">
        <v>212</v>
      </c>
      <c r="F247" s="12">
        <v>45820</v>
      </c>
      <c r="G247" s="12">
        <v>45824</v>
      </c>
      <c r="H247" s="12">
        <v>45911</v>
      </c>
      <c r="I247" s="11" t="s">
        <v>84</v>
      </c>
      <c r="J247" s="11">
        <v>1</v>
      </c>
      <c r="K247" s="12">
        <v>45900</v>
      </c>
    </row>
    <row r="248" spans="1:11" ht="26" x14ac:dyDescent="0.35">
      <c r="A248" s="11">
        <v>4884</v>
      </c>
      <c r="B248" s="11" t="s">
        <v>148</v>
      </c>
      <c r="C248" s="11" t="s">
        <v>98</v>
      </c>
      <c r="D248" s="11" t="s">
        <v>109</v>
      </c>
      <c r="E248" s="8" t="s">
        <v>130</v>
      </c>
      <c r="F248" s="12">
        <v>45822</v>
      </c>
      <c r="G248" s="12">
        <v>45823</v>
      </c>
      <c r="H248" s="12">
        <v>45860</v>
      </c>
      <c r="I248" s="11" t="s">
        <v>84</v>
      </c>
      <c r="J248" s="11">
        <v>2</v>
      </c>
      <c r="K248" s="12">
        <v>45900</v>
      </c>
    </row>
    <row r="249" spans="1:11" x14ac:dyDescent="0.35">
      <c r="A249" s="11">
        <v>5588</v>
      </c>
      <c r="B249" s="11" t="s">
        <v>170</v>
      </c>
      <c r="C249" s="11" t="s">
        <v>91</v>
      </c>
      <c r="D249" s="11" t="s">
        <v>90</v>
      </c>
      <c r="E249" s="8" t="s">
        <v>211</v>
      </c>
      <c r="F249" s="12">
        <v>45824</v>
      </c>
      <c r="G249" s="12">
        <v>45851</v>
      </c>
      <c r="H249" s="12">
        <v>45824</v>
      </c>
      <c r="I249" s="11" t="s">
        <v>84</v>
      </c>
      <c r="J249" s="11">
        <v>1</v>
      </c>
      <c r="K249" s="12">
        <v>45930</v>
      </c>
    </row>
    <row r="250" spans="1:11" x14ac:dyDescent="0.35">
      <c r="A250" s="11">
        <v>5589</v>
      </c>
      <c r="B250" s="11" t="s">
        <v>163</v>
      </c>
      <c r="C250" s="11" t="s">
        <v>91</v>
      </c>
      <c r="D250" s="11" t="s">
        <v>90</v>
      </c>
      <c r="E250" s="8" t="s">
        <v>210</v>
      </c>
      <c r="F250" s="12">
        <v>45824</v>
      </c>
      <c r="G250" s="12">
        <v>45830</v>
      </c>
      <c r="H250" s="12">
        <v>45825</v>
      </c>
      <c r="I250" s="11" t="s">
        <v>84</v>
      </c>
      <c r="J250" s="11">
        <v>1</v>
      </c>
      <c r="K250" s="12">
        <v>45900</v>
      </c>
    </row>
    <row r="251" spans="1:11" x14ac:dyDescent="0.35">
      <c r="A251" s="11">
        <v>5590</v>
      </c>
      <c r="B251" s="11" t="s">
        <v>163</v>
      </c>
      <c r="C251" s="11" t="s">
        <v>91</v>
      </c>
      <c r="D251" s="11" t="s">
        <v>90</v>
      </c>
      <c r="E251" s="8" t="s">
        <v>209</v>
      </c>
      <c r="F251" s="12">
        <v>45826</v>
      </c>
      <c r="G251" s="12">
        <v>45829</v>
      </c>
      <c r="H251" s="12">
        <v>45826</v>
      </c>
      <c r="I251" s="11" t="s">
        <v>84</v>
      </c>
      <c r="J251" s="11">
        <v>1</v>
      </c>
      <c r="K251" s="12">
        <v>45900</v>
      </c>
    </row>
    <row r="252" spans="1:11" x14ac:dyDescent="0.35">
      <c r="A252" s="11">
        <v>5591</v>
      </c>
      <c r="B252" s="11" t="s">
        <v>193</v>
      </c>
      <c r="C252" s="11" t="s">
        <v>91</v>
      </c>
      <c r="D252" s="11" t="s">
        <v>90</v>
      </c>
      <c r="E252" s="8" t="s">
        <v>208</v>
      </c>
      <c r="F252" s="12">
        <v>45827</v>
      </c>
      <c r="G252" s="12">
        <v>45856</v>
      </c>
      <c r="H252" s="12">
        <v>45828</v>
      </c>
      <c r="I252" s="11" t="s">
        <v>84</v>
      </c>
      <c r="J252" s="11">
        <v>1</v>
      </c>
      <c r="K252" s="12">
        <v>45930</v>
      </c>
    </row>
    <row r="253" spans="1:11" x14ac:dyDescent="0.35">
      <c r="A253" s="11">
        <v>4888</v>
      </c>
      <c r="B253" s="11" t="s">
        <v>186</v>
      </c>
      <c r="C253" s="11" t="s">
        <v>98</v>
      </c>
      <c r="D253" s="11" t="s">
        <v>97</v>
      </c>
      <c r="E253" s="8" t="s">
        <v>207</v>
      </c>
      <c r="F253" s="12">
        <v>45828</v>
      </c>
      <c r="G253" s="12">
        <v>45829</v>
      </c>
      <c r="H253" s="12">
        <v>45911</v>
      </c>
      <c r="I253" s="11" t="s">
        <v>84</v>
      </c>
      <c r="J253" s="11">
        <v>19</v>
      </c>
      <c r="K253" s="12">
        <v>45900</v>
      </c>
    </row>
    <row r="254" spans="1:11" x14ac:dyDescent="0.35">
      <c r="A254" s="11">
        <v>5592</v>
      </c>
      <c r="B254" s="11" t="s">
        <v>190</v>
      </c>
      <c r="C254" s="11" t="s">
        <v>91</v>
      </c>
      <c r="D254" s="11" t="s">
        <v>90</v>
      </c>
      <c r="E254" s="8" t="s">
        <v>206</v>
      </c>
      <c r="F254" s="12">
        <v>45828</v>
      </c>
      <c r="G254" s="12">
        <v>45832</v>
      </c>
      <c r="H254" s="12">
        <v>45828</v>
      </c>
      <c r="I254" s="11" t="s">
        <v>84</v>
      </c>
      <c r="J254" s="11">
        <v>1</v>
      </c>
      <c r="K254" s="12">
        <v>45900</v>
      </c>
    </row>
    <row r="255" spans="1:11" x14ac:dyDescent="0.35">
      <c r="A255" s="11">
        <v>4894</v>
      </c>
      <c r="B255" s="11" t="s">
        <v>205</v>
      </c>
      <c r="C255" s="11" t="s">
        <v>98</v>
      </c>
      <c r="D255" s="11" t="s">
        <v>160</v>
      </c>
      <c r="E255" s="8" t="s">
        <v>204</v>
      </c>
      <c r="F255" s="12">
        <v>45829</v>
      </c>
      <c r="G255" s="12">
        <v>45829</v>
      </c>
      <c r="H255" s="12">
        <v>45952</v>
      </c>
      <c r="I255" s="11" t="s">
        <v>84</v>
      </c>
      <c r="J255" s="11">
        <v>1</v>
      </c>
      <c r="K255" s="12">
        <v>45900</v>
      </c>
    </row>
    <row r="256" spans="1:11" x14ac:dyDescent="0.35">
      <c r="A256" s="11">
        <v>5593</v>
      </c>
      <c r="B256" s="11" t="s">
        <v>170</v>
      </c>
      <c r="C256" s="11" t="s">
        <v>91</v>
      </c>
      <c r="D256" s="11" t="s">
        <v>90</v>
      </c>
      <c r="E256" s="8" t="s">
        <v>203</v>
      </c>
      <c r="F256" s="12">
        <v>45829</v>
      </c>
      <c r="G256" s="12">
        <v>45866</v>
      </c>
      <c r="H256" s="12">
        <v>45829</v>
      </c>
      <c r="I256" s="11" t="s">
        <v>84</v>
      </c>
      <c r="J256" s="11">
        <v>1</v>
      </c>
      <c r="K256" s="12">
        <v>45930</v>
      </c>
    </row>
    <row r="257" spans="1:11" x14ac:dyDescent="0.35">
      <c r="A257" s="11">
        <v>5596</v>
      </c>
      <c r="B257" s="11" t="s">
        <v>167</v>
      </c>
      <c r="C257" s="11" t="s">
        <v>91</v>
      </c>
      <c r="D257" s="11" t="s">
        <v>90</v>
      </c>
      <c r="E257" s="8" t="s">
        <v>202</v>
      </c>
      <c r="F257" s="12">
        <v>45829</v>
      </c>
      <c r="G257" s="12">
        <v>45834</v>
      </c>
      <c r="H257" s="12">
        <v>45831</v>
      </c>
      <c r="I257" s="11" t="s">
        <v>84</v>
      </c>
      <c r="J257" s="11">
        <v>1</v>
      </c>
      <c r="K257" s="12">
        <v>45900</v>
      </c>
    </row>
    <row r="258" spans="1:11" x14ac:dyDescent="0.35">
      <c r="A258" s="11">
        <v>5594</v>
      </c>
      <c r="B258" s="11" t="s">
        <v>170</v>
      </c>
      <c r="C258" s="11" t="s">
        <v>91</v>
      </c>
      <c r="D258" s="11" t="s">
        <v>90</v>
      </c>
      <c r="E258" s="8" t="s">
        <v>201</v>
      </c>
      <c r="F258" s="12">
        <v>45830</v>
      </c>
      <c r="G258" s="12">
        <v>45866</v>
      </c>
      <c r="H258" s="12">
        <v>45830</v>
      </c>
      <c r="I258" s="11" t="s">
        <v>84</v>
      </c>
      <c r="J258" s="11">
        <v>1</v>
      </c>
      <c r="K258" s="12">
        <v>45930</v>
      </c>
    </row>
    <row r="259" spans="1:11" x14ac:dyDescent="0.35">
      <c r="A259" s="11">
        <v>5595</v>
      </c>
      <c r="B259" s="11" t="s">
        <v>167</v>
      </c>
      <c r="C259" s="11" t="s">
        <v>91</v>
      </c>
      <c r="D259" s="11" t="s">
        <v>90</v>
      </c>
      <c r="E259" s="8" t="s">
        <v>200</v>
      </c>
      <c r="F259" s="12">
        <v>45830</v>
      </c>
      <c r="G259" s="12">
        <v>45852</v>
      </c>
      <c r="H259" s="12">
        <v>45831</v>
      </c>
      <c r="I259" s="11" t="s">
        <v>84</v>
      </c>
      <c r="J259" s="11">
        <v>1</v>
      </c>
      <c r="K259" s="12">
        <v>45930</v>
      </c>
    </row>
    <row r="260" spans="1:11" x14ac:dyDescent="0.35">
      <c r="A260" s="11">
        <v>3628</v>
      </c>
      <c r="B260" s="11" t="s">
        <v>170</v>
      </c>
      <c r="C260" s="11" t="s">
        <v>87</v>
      </c>
      <c r="D260" s="11" t="s">
        <v>109</v>
      </c>
      <c r="E260" s="8" t="s">
        <v>199</v>
      </c>
      <c r="F260" s="12">
        <v>45831</v>
      </c>
      <c r="G260" s="12">
        <v>45874</v>
      </c>
      <c r="H260" s="12">
        <v>45848</v>
      </c>
      <c r="I260" s="11" t="s">
        <v>84</v>
      </c>
      <c r="J260" s="11">
        <v>4</v>
      </c>
      <c r="K260" s="12">
        <v>45961</v>
      </c>
    </row>
    <row r="261" spans="1:11" x14ac:dyDescent="0.35">
      <c r="A261" s="11">
        <v>4886</v>
      </c>
      <c r="B261" s="11" t="s">
        <v>170</v>
      </c>
      <c r="C261" s="11" t="s">
        <v>98</v>
      </c>
      <c r="D261" s="11" t="s">
        <v>109</v>
      </c>
      <c r="E261" s="8" t="s">
        <v>199</v>
      </c>
      <c r="F261" s="12">
        <v>45831</v>
      </c>
      <c r="G261" s="12">
        <v>45874</v>
      </c>
      <c r="H261" s="12">
        <v>45860</v>
      </c>
      <c r="I261" s="11" t="s">
        <v>84</v>
      </c>
      <c r="J261" s="11">
        <v>4</v>
      </c>
      <c r="K261" s="12">
        <v>45961</v>
      </c>
    </row>
    <row r="262" spans="1:11" x14ac:dyDescent="0.35">
      <c r="A262" s="11">
        <v>4879</v>
      </c>
      <c r="B262" s="11" t="s">
        <v>94</v>
      </c>
      <c r="C262" s="11" t="s">
        <v>98</v>
      </c>
      <c r="D262" s="11" t="s">
        <v>109</v>
      </c>
      <c r="E262" s="8" t="s">
        <v>183</v>
      </c>
      <c r="F262" s="12">
        <v>45840</v>
      </c>
      <c r="G262" s="12">
        <v>45856</v>
      </c>
      <c r="H262" s="12">
        <v>45844</v>
      </c>
      <c r="I262" s="11" t="s">
        <v>84</v>
      </c>
      <c r="J262" s="11">
        <v>23</v>
      </c>
      <c r="K262" s="12">
        <v>45930</v>
      </c>
    </row>
    <row r="263" spans="1:11" x14ac:dyDescent="0.35">
      <c r="A263" s="11">
        <v>5597</v>
      </c>
      <c r="B263" s="11" t="s">
        <v>167</v>
      </c>
      <c r="C263" s="11" t="s">
        <v>91</v>
      </c>
      <c r="D263" s="11" t="s">
        <v>90</v>
      </c>
      <c r="E263" s="8" t="s">
        <v>198</v>
      </c>
      <c r="F263" s="12">
        <v>45842</v>
      </c>
      <c r="G263" s="12">
        <v>45861</v>
      </c>
      <c r="H263" s="12">
        <v>45844</v>
      </c>
      <c r="I263" s="11" t="s">
        <v>84</v>
      </c>
      <c r="J263" s="11">
        <v>2</v>
      </c>
      <c r="K263" s="12">
        <v>45930</v>
      </c>
    </row>
    <row r="264" spans="1:11" x14ac:dyDescent="0.35">
      <c r="A264" s="11">
        <v>4889</v>
      </c>
      <c r="B264" s="11" t="s">
        <v>154</v>
      </c>
      <c r="C264" s="11" t="s">
        <v>98</v>
      </c>
      <c r="D264" s="11" t="s">
        <v>197</v>
      </c>
      <c r="E264" s="8" t="s">
        <v>196</v>
      </c>
      <c r="F264" s="12">
        <v>45844</v>
      </c>
      <c r="G264" s="12">
        <v>45845</v>
      </c>
      <c r="H264" s="12">
        <v>45911</v>
      </c>
      <c r="I264" s="11" t="s">
        <v>84</v>
      </c>
      <c r="J264" s="11">
        <v>7</v>
      </c>
      <c r="K264" s="12">
        <v>45930</v>
      </c>
    </row>
    <row r="265" spans="1:11" x14ac:dyDescent="0.35">
      <c r="A265" s="11">
        <v>5598</v>
      </c>
      <c r="B265" s="11" t="s">
        <v>193</v>
      </c>
      <c r="C265" s="11" t="s">
        <v>91</v>
      </c>
      <c r="D265" s="11" t="s">
        <v>90</v>
      </c>
      <c r="E265" s="8" t="s">
        <v>195</v>
      </c>
      <c r="F265" s="12">
        <v>45848</v>
      </c>
      <c r="G265" s="12">
        <v>45880</v>
      </c>
      <c r="H265" s="12">
        <v>45850</v>
      </c>
      <c r="I265" s="11" t="s">
        <v>84</v>
      </c>
      <c r="J265" s="11">
        <v>1</v>
      </c>
      <c r="K265" s="12">
        <v>45961</v>
      </c>
    </row>
    <row r="266" spans="1:11" x14ac:dyDescent="0.35">
      <c r="A266" s="11">
        <v>5599</v>
      </c>
      <c r="B266" s="11" t="s">
        <v>163</v>
      </c>
      <c r="C266" s="11" t="s">
        <v>91</v>
      </c>
      <c r="D266" s="11" t="s">
        <v>90</v>
      </c>
      <c r="E266" s="8" t="s">
        <v>194</v>
      </c>
      <c r="F266" s="12">
        <v>45850</v>
      </c>
      <c r="G266" s="12">
        <v>45858</v>
      </c>
      <c r="H266" s="12">
        <v>45851</v>
      </c>
      <c r="I266" s="11" t="s">
        <v>84</v>
      </c>
      <c r="J266" s="11">
        <v>1</v>
      </c>
      <c r="K266" s="12">
        <v>45930</v>
      </c>
    </row>
    <row r="267" spans="1:11" x14ac:dyDescent="0.35">
      <c r="A267" s="11">
        <v>5600</v>
      </c>
      <c r="B267" s="11" t="s">
        <v>193</v>
      </c>
      <c r="C267" s="11" t="s">
        <v>91</v>
      </c>
      <c r="D267" s="11" t="s">
        <v>90</v>
      </c>
      <c r="E267" s="8" t="s">
        <v>192</v>
      </c>
      <c r="F267" s="12">
        <v>45851</v>
      </c>
      <c r="G267" s="12">
        <v>45892</v>
      </c>
      <c r="H267" s="12">
        <v>45854</v>
      </c>
      <c r="I267" s="11" t="s">
        <v>84</v>
      </c>
      <c r="J267" s="11">
        <v>2</v>
      </c>
      <c r="K267" s="12">
        <v>45961</v>
      </c>
    </row>
    <row r="268" spans="1:11" x14ac:dyDescent="0.35">
      <c r="A268" s="11">
        <v>4897</v>
      </c>
      <c r="B268" s="11" t="s">
        <v>100</v>
      </c>
      <c r="C268" s="11" t="s">
        <v>98</v>
      </c>
      <c r="D268" s="11" t="s">
        <v>97</v>
      </c>
      <c r="E268" s="8" t="s">
        <v>183</v>
      </c>
      <c r="F268" s="12">
        <v>45855</v>
      </c>
      <c r="G268" s="12">
        <v>45860</v>
      </c>
      <c r="H268" s="12">
        <v>46010</v>
      </c>
      <c r="I268" s="11" t="s">
        <v>84</v>
      </c>
      <c r="J268" s="11">
        <v>12</v>
      </c>
      <c r="K268" s="12">
        <v>45930</v>
      </c>
    </row>
    <row r="269" spans="1:11" x14ac:dyDescent="0.35">
      <c r="A269" s="11">
        <v>5601</v>
      </c>
      <c r="B269" s="11" t="s">
        <v>165</v>
      </c>
      <c r="C269" s="11" t="s">
        <v>91</v>
      </c>
      <c r="D269" s="11" t="s">
        <v>90</v>
      </c>
      <c r="E269" s="8" t="s">
        <v>191</v>
      </c>
      <c r="F269" s="12">
        <v>45856</v>
      </c>
      <c r="G269" s="12">
        <v>45872</v>
      </c>
      <c r="H269" s="12">
        <v>45857</v>
      </c>
      <c r="I269" s="11" t="s">
        <v>84</v>
      </c>
      <c r="J269" s="11">
        <v>1</v>
      </c>
      <c r="K269" s="12">
        <v>45961</v>
      </c>
    </row>
    <row r="270" spans="1:11" x14ac:dyDescent="0.35">
      <c r="A270" s="11">
        <v>5602</v>
      </c>
      <c r="B270" s="11" t="s">
        <v>190</v>
      </c>
      <c r="C270" s="11" t="s">
        <v>91</v>
      </c>
      <c r="D270" s="11" t="s">
        <v>90</v>
      </c>
      <c r="E270" s="8" t="s">
        <v>189</v>
      </c>
      <c r="F270" s="12">
        <v>45871</v>
      </c>
      <c r="G270" s="12">
        <v>45873</v>
      </c>
      <c r="H270" s="12">
        <v>45871</v>
      </c>
      <c r="I270" s="11" t="s">
        <v>84</v>
      </c>
      <c r="J270" s="11">
        <v>1</v>
      </c>
      <c r="K270" s="12">
        <v>45961</v>
      </c>
    </row>
    <row r="271" spans="1:11" x14ac:dyDescent="0.35">
      <c r="A271" s="11">
        <v>5603</v>
      </c>
      <c r="B271" s="11" t="s">
        <v>181</v>
      </c>
      <c r="C271" s="11" t="s">
        <v>91</v>
      </c>
      <c r="D271" s="11" t="s">
        <v>90</v>
      </c>
      <c r="E271" s="8" t="s">
        <v>188</v>
      </c>
      <c r="F271" s="12">
        <v>45871</v>
      </c>
      <c r="G271" s="11"/>
      <c r="H271" s="12">
        <v>45875</v>
      </c>
      <c r="I271" s="11" t="s">
        <v>84</v>
      </c>
      <c r="J271" s="11">
        <v>1</v>
      </c>
      <c r="K271" s="11"/>
    </row>
    <row r="272" spans="1:11" x14ac:dyDescent="0.35">
      <c r="A272" s="11">
        <v>5604</v>
      </c>
      <c r="B272" s="11" t="s">
        <v>181</v>
      </c>
      <c r="C272" s="11" t="s">
        <v>91</v>
      </c>
      <c r="D272" s="11" t="s">
        <v>90</v>
      </c>
      <c r="E272" s="8" t="s">
        <v>187</v>
      </c>
      <c r="F272" s="12">
        <v>45871</v>
      </c>
      <c r="G272" s="11"/>
      <c r="H272" s="12">
        <v>45875</v>
      </c>
      <c r="I272" s="11" t="s">
        <v>84</v>
      </c>
      <c r="J272" s="11">
        <v>1</v>
      </c>
      <c r="K272" s="11"/>
    </row>
    <row r="273" spans="1:11" x14ac:dyDescent="0.35">
      <c r="A273" s="11">
        <v>4895</v>
      </c>
      <c r="B273" s="11" t="s">
        <v>186</v>
      </c>
      <c r="C273" s="11" t="s">
        <v>98</v>
      </c>
      <c r="D273" s="11" t="s">
        <v>97</v>
      </c>
      <c r="E273" s="8" t="s">
        <v>185</v>
      </c>
      <c r="F273" s="12">
        <v>45876</v>
      </c>
      <c r="G273" s="12">
        <v>45877</v>
      </c>
      <c r="H273" s="12">
        <v>45952</v>
      </c>
      <c r="I273" s="11" t="s">
        <v>84</v>
      </c>
      <c r="J273" s="11">
        <v>7</v>
      </c>
      <c r="K273" s="12">
        <v>45961</v>
      </c>
    </row>
    <row r="274" spans="1:11" x14ac:dyDescent="0.35">
      <c r="A274" s="11">
        <v>5605</v>
      </c>
      <c r="B274" s="11" t="s">
        <v>88</v>
      </c>
      <c r="C274" s="11" t="s">
        <v>91</v>
      </c>
      <c r="D274" s="11" t="s">
        <v>90</v>
      </c>
      <c r="E274" s="8" t="s">
        <v>184</v>
      </c>
      <c r="F274" s="12">
        <v>45876</v>
      </c>
      <c r="G274" s="11"/>
      <c r="H274" s="12">
        <v>45877</v>
      </c>
      <c r="I274" s="11" t="s">
        <v>84</v>
      </c>
      <c r="J274" s="11">
        <v>1</v>
      </c>
      <c r="K274" s="11"/>
    </row>
    <row r="275" spans="1:11" x14ac:dyDescent="0.35">
      <c r="A275" s="11">
        <v>4896</v>
      </c>
      <c r="B275" s="11" t="s">
        <v>126</v>
      </c>
      <c r="C275" s="11" t="s">
        <v>98</v>
      </c>
      <c r="D275" s="11" t="s">
        <v>97</v>
      </c>
      <c r="E275" s="8" t="s">
        <v>183</v>
      </c>
      <c r="F275" s="12">
        <v>45877</v>
      </c>
      <c r="G275" s="12">
        <v>45879</v>
      </c>
      <c r="H275" s="12">
        <v>45952</v>
      </c>
      <c r="I275" s="11" t="s">
        <v>84</v>
      </c>
      <c r="J275" s="11">
        <v>12</v>
      </c>
      <c r="K275" s="12">
        <v>45961</v>
      </c>
    </row>
    <row r="276" spans="1:11" x14ac:dyDescent="0.35">
      <c r="A276" s="11">
        <v>4892</v>
      </c>
      <c r="B276" s="11" t="s">
        <v>110</v>
      </c>
      <c r="C276" s="11" t="s">
        <v>98</v>
      </c>
      <c r="D276" s="11" t="s">
        <v>109</v>
      </c>
      <c r="E276" s="8" t="s">
        <v>182</v>
      </c>
      <c r="F276" s="12">
        <v>45878</v>
      </c>
      <c r="G276" s="12">
        <v>45881</v>
      </c>
      <c r="H276" s="12">
        <v>45911</v>
      </c>
      <c r="I276" s="11" t="s">
        <v>84</v>
      </c>
      <c r="J276" s="11">
        <v>3</v>
      </c>
      <c r="K276" s="12">
        <v>45961</v>
      </c>
    </row>
    <row r="277" spans="1:11" x14ac:dyDescent="0.35">
      <c r="A277" s="11">
        <v>5606</v>
      </c>
      <c r="B277" s="11" t="s">
        <v>181</v>
      </c>
      <c r="C277" s="11" t="s">
        <v>91</v>
      </c>
      <c r="D277" s="11" t="s">
        <v>90</v>
      </c>
      <c r="E277" s="8" t="s">
        <v>180</v>
      </c>
      <c r="F277" s="12">
        <v>45879</v>
      </c>
      <c r="G277" s="11"/>
      <c r="H277" s="12">
        <v>45880</v>
      </c>
      <c r="I277" s="11" t="s">
        <v>84</v>
      </c>
      <c r="J277" s="11">
        <v>1</v>
      </c>
      <c r="K277" s="11"/>
    </row>
    <row r="278" spans="1:11" x14ac:dyDescent="0.35">
      <c r="A278" s="11">
        <v>5607</v>
      </c>
      <c r="B278" s="11" t="s">
        <v>131</v>
      </c>
      <c r="C278" s="11" t="s">
        <v>91</v>
      </c>
      <c r="D278" s="11" t="s">
        <v>90</v>
      </c>
      <c r="E278" s="8" t="s">
        <v>179</v>
      </c>
      <c r="F278" s="12">
        <v>45883</v>
      </c>
      <c r="G278" s="12">
        <v>45901</v>
      </c>
      <c r="H278" s="12">
        <v>45884</v>
      </c>
      <c r="I278" s="11" t="s">
        <v>84</v>
      </c>
      <c r="J278" s="11">
        <v>1</v>
      </c>
      <c r="K278" s="12">
        <v>45991</v>
      </c>
    </row>
    <row r="279" spans="1:11" x14ac:dyDescent="0.35">
      <c r="A279" s="11">
        <v>5608</v>
      </c>
      <c r="B279" s="11" t="s">
        <v>178</v>
      </c>
      <c r="C279" s="11" t="s">
        <v>91</v>
      </c>
      <c r="D279" s="11" t="s">
        <v>90</v>
      </c>
      <c r="E279" s="8" t="s">
        <v>177</v>
      </c>
      <c r="F279" s="12">
        <v>45884</v>
      </c>
      <c r="G279" s="11"/>
      <c r="H279" s="12">
        <v>45884</v>
      </c>
      <c r="I279" s="11" t="s">
        <v>84</v>
      </c>
      <c r="J279" s="11">
        <v>1</v>
      </c>
      <c r="K279" s="11"/>
    </row>
    <row r="280" spans="1:11" x14ac:dyDescent="0.35">
      <c r="A280" s="11">
        <v>5609</v>
      </c>
      <c r="B280" s="11" t="s">
        <v>133</v>
      </c>
      <c r="C280" s="11" t="s">
        <v>91</v>
      </c>
      <c r="D280" s="11" t="s">
        <v>90</v>
      </c>
      <c r="E280" s="8" t="s">
        <v>176</v>
      </c>
      <c r="F280" s="12">
        <v>45888</v>
      </c>
      <c r="G280" s="12">
        <v>45892</v>
      </c>
      <c r="H280" s="12">
        <v>45888</v>
      </c>
      <c r="I280" s="11" t="s">
        <v>84</v>
      </c>
      <c r="J280" s="11">
        <v>1</v>
      </c>
      <c r="K280" s="12">
        <v>45961</v>
      </c>
    </row>
    <row r="281" spans="1:11" x14ac:dyDescent="0.35">
      <c r="A281" s="11">
        <v>5610</v>
      </c>
      <c r="B281" s="11" t="s">
        <v>163</v>
      </c>
      <c r="C281" s="11" t="s">
        <v>91</v>
      </c>
      <c r="D281" s="11" t="s">
        <v>90</v>
      </c>
      <c r="E281" s="8" t="s">
        <v>175</v>
      </c>
      <c r="F281" s="12">
        <v>45891</v>
      </c>
      <c r="G281" s="12">
        <v>45905</v>
      </c>
      <c r="H281" s="12">
        <v>45892</v>
      </c>
      <c r="I281" s="11" t="s">
        <v>84</v>
      </c>
      <c r="J281" s="11">
        <v>2</v>
      </c>
      <c r="K281" s="12">
        <v>45991</v>
      </c>
    </row>
    <row r="282" spans="1:11" x14ac:dyDescent="0.35">
      <c r="A282" s="11">
        <v>5611</v>
      </c>
      <c r="B282" s="11" t="s">
        <v>161</v>
      </c>
      <c r="C282" s="11" t="s">
        <v>91</v>
      </c>
      <c r="D282" s="11" t="s">
        <v>90</v>
      </c>
      <c r="E282" s="8" t="s">
        <v>174</v>
      </c>
      <c r="F282" s="12">
        <v>45895</v>
      </c>
      <c r="G282" s="12">
        <v>45919</v>
      </c>
      <c r="H282" s="12">
        <v>45895</v>
      </c>
      <c r="I282" s="11" t="s">
        <v>84</v>
      </c>
      <c r="J282" s="11">
        <v>1</v>
      </c>
      <c r="K282" s="12">
        <v>45991</v>
      </c>
    </row>
    <row r="283" spans="1:11" x14ac:dyDescent="0.35">
      <c r="A283" s="11">
        <v>5612</v>
      </c>
      <c r="B283" s="11" t="s">
        <v>88</v>
      </c>
      <c r="C283" s="11" t="s">
        <v>91</v>
      </c>
      <c r="D283" s="11" t="s">
        <v>90</v>
      </c>
      <c r="E283" s="8" t="s">
        <v>173</v>
      </c>
      <c r="F283" s="12">
        <v>45902</v>
      </c>
      <c r="G283" s="11"/>
      <c r="H283" s="12">
        <v>45903</v>
      </c>
      <c r="I283" s="11" t="s">
        <v>84</v>
      </c>
      <c r="J283" s="11">
        <v>1</v>
      </c>
      <c r="K283" s="11"/>
    </row>
    <row r="284" spans="1:11" x14ac:dyDescent="0.35">
      <c r="A284" s="11">
        <v>5613</v>
      </c>
      <c r="B284" s="11" t="s">
        <v>133</v>
      </c>
      <c r="C284" s="11" t="s">
        <v>91</v>
      </c>
      <c r="D284" s="11" t="s">
        <v>90</v>
      </c>
      <c r="E284" s="8" t="s">
        <v>172</v>
      </c>
      <c r="F284" s="12">
        <v>45923</v>
      </c>
      <c r="G284" s="12">
        <v>45923</v>
      </c>
      <c r="H284" s="12">
        <v>45923</v>
      </c>
      <c r="I284" s="11" t="s">
        <v>84</v>
      </c>
      <c r="J284" s="11">
        <v>1</v>
      </c>
      <c r="K284" s="12">
        <v>45991</v>
      </c>
    </row>
    <row r="285" spans="1:11" x14ac:dyDescent="0.35">
      <c r="A285" s="11">
        <v>5614</v>
      </c>
      <c r="B285" s="11" t="s">
        <v>165</v>
      </c>
      <c r="C285" s="11" t="s">
        <v>91</v>
      </c>
      <c r="D285" s="11" t="s">
        <v>90</v>
      </c>
      <c r="E285" s="8" t="s">
        <v>171</v>
      </c>
      <c r="F285" s="12">
        <v>45925</v>
      </c>
      <c r="G285" s="12">
        <v>45940</v>
      </c>
      <c r="H285" s="12">
        <v>45926</v>
      </c>
      <c r="I285" s="11" t="s">
        <v>84</v>
      </c>
      <c r="J285" s="11">
        <v>1</v>
      </c>
      <c r="K285" s="12">
        <v>46022</v>
      </c>
    </row>
    <row r="286" spans="1:11" x14ac:dyDescent="0.35">
      <c r="A286" s="11">
        <v>4918</v>
      </c>
      <c r="B286" s="11" t="s">
        <v>170</v>
      </c>
      <c r="C286" s="11" t="s">
        <v>98</v>
      </c>
      <c r="D286" s="11" t="s">
        <v>97</v>
      </c>
      <c r="E286" s="8" t="s">
        <v>164</v>
      </c>
      <c r="F286" s="12">
        <v>45928</v>
      </c>
      <c r="G286" s="12">
        <v>45929</v>
      </c>
      <c r="H286" s="12">
        <v>46203</v>
      </c>
      <c r="I286" s="11" t="s">
        <v>84</v>
      </c>
      <c r="J286" s="11">
        <v>1</v>
      </c>
      <c r="K286" s="12">
        <v>45991</v>
      </c>
    </row>
    <row r="287" spans="1:11" x14ac:dyDescent="0.35">
      <c r="A287" s="11">
        <v>4893</v>
      </c>
      <c r="B287" s="11" t="s">
        <v>167</v>
      </c>
      <c r="C287" s="11" t="s">
        <v>98</v>
      </c>
      <c r="D287" s="11" t="s">
        <v>109</v>
      </c>
      <c r="E287" s="8" t="s">
        <v>169</v>
      </c>
      <c r="F287" s="12">
        <v>45938</v>
      </c>
      <c r="G287" s="12">
        <v>45943</v>
      </c>
      <c r="H287" s="12">
        <v>45952</v>
      </c>
      <c r="I287" s="11" t="s">
        <v>84</v>
      </c>
      <c r="J287" s="11">
        <v>10</v>
      </c>
      <c r="K287" s="12">
        <v>46022</v>
      </c>
    </row>
    <row r="288" spans="1:11" x14ac:dyDescent="0.35">
      <c r="A288" s="11">
        <v>4912</v>
      </c>
      <c r="B288" s="11" t="s">
        <v>167</v>
      </c>
      <c r="C288" s="11" t="s">
        <v>98</v>
      </c>
      <c r="D288" s="11" t="s">
        <v>109</v>
      </c>
      <c r="E288" s="8" t="s">
        <v>169</v>
      </c>
      <c r="F288" s="12">
        <v>45938</v>
      </c>
      <c r="G288" s="12">
        <v>45943</v>
      </c>
      <c r="H288" s="12">
        <v>46171</v>
      </c>
      <c r="I288" s="11" t="s">
        <v>84</v>
      </c>
      <c r="J288" s="11">
        <v>1</v>
      </c>
      <c r="K288" s="12">
        <v>46022</v>
      </c>
    </row>
    <row r="289" spans="1:11" x14ac:dyDescent="0.35">
      <c r="A289" s="11">
        <v>4911</v>
      </c>
      <c r="B289" s="11" t="s">
        <v>168</v>
      </c>
      <c r="C289" s="11" t="s">
        <v>98</v>
      </c>
      <c r="D289" s="11" t="s">
        <v>97</v>
      </c>
      <c r="E289" s="8" t="s">
        <v>164</v>
      </c>
      <c r="F289" s="12">
        <v>45940</v>
      </c>
      <c r="G289" s="12">
        <v>45943</v>
      </c>
      <c r="H289" s="12">
        <v>46171</v>
      </c>
      <c r="I289" s="11" t="s">
        <v>84</v>
      </c>
      <c r="J289" s="11">
        <v>1</v>
      </c>
      <c r="K289" s="12">
        <v>46022</v>
      </c>
    </row>
    <row r="290" spans="1:11" ht="26" x14ac:dyDescent="0.35">
      <c r="A290" s="11">
        <v>4906</v>
      </c>
      <c r="B290" s="11" t="s">
        <v>165</v>
      </c>
      <c r="C290" s="11" t="s">
        <v>98</v>
      </c>
      <c r="D290" s="11" t="s">
        <v>109</v>
      </c>
      <c r="E290" s="8" t="s">
        <v>130</v>
      </c>
      <c r="F290" s="12">
        <v>45996</v>
      </c>
      <c r="G290" s="12">
        <v>46010</v>
      </c>
      <c r="H290" s="12">
        <v>46119</v>
      </c>
      <c r="I290" s="11" t="s">
        <v>84</v>
      </c>
      <c r="J290" s="11">
        <v>49</v>
      </c>
      <c r="K290" s="12">
        <v>46081</v>
      </c>
    </row>
    <row r="291" spans="1:11" x14ac:dyDescent="0.35">
      <c r="A291" s="11">
        <v>4904</v>
      </c>
      <c r="B291" s="11" t="s">
        <v>167</v>
      </c>
      <c r="C291" s="11" t="s">
        <v>98</v>
      </c>
      <c r="D291" s="11" t="s">
        <v>135</v>
      </c>
      <c r="E291" s="8" t="s">
        <v>166</v>
      </c>
      <c r="F291" s="12">
        <v>45997</v>
      </c>
      <c r="G291" s="12">
        <v>46000</v>
      </c>
      <c r="H291" s="12">
        <v>46119</v>
      </c>
      <c r="I291" s="11" t="s">
        <v>84</v>
      </c>
      <c r="J291" s="11">
        <v>1</v>
      </c>
      <c r="K291" s="12">
        <v>46081</v>
      </c>
    </row>
    <row r="292" spans="1:11" ht="26" x14ac:dyDescent="0.35">
      <c r="A292" s="11">
        <v>3629</v>
      </c>
      <c r="B292" s="11" t="s">
        <v>165</v>
      </c>
      <c r="C292" s="11" t="s">
        <v>87</v>
      </c>
      <c r="D292" s="11" t="s">
        <v>109</v>
      </c>
      <c r="E292" s="8" t="s">
        <v>130</v>
      </c>
      <c r="F292" s="12">
        <v>46000</v>
      </c>
      <c r="G292" s="12">
        <v>46010</v>
      </c>
      <c r="H292" s="12">
        <v>46003</v>
      </c>
      <c r="I292" s="11" t="s">
        <v>84</v>
      </c>
      <c r="J292" s="11">
        <v>17</v>
      </c>
      <c r="K292" s="12">
        <v>46081</v>
      </c>
    </row>
    <row r="293" spans="1:11" x14ac:dyDescent="0.35">
      <c r="A293" s="11">
        <v>4901</v>
      </c>
      <c r="B293" s="11" t="s">
        <v>161</v>
      </c>
      <c r="C293" s="11" t="s">
        <v>98</v>
      </c>
      <c r="D293" s="11" t="s">
        <v>109</v>
      </c>
      <c r="E293" s="8" t="s">
        <v>164</v>
      </c>
      <c r="F293" s="12">
        <v>46000</v>
      </c>
      <c r="G293" s="12">
        <v>46002</v>
      </c>
      <c r="H293" s="12">
        <v>46119</v>
      </c>
      <c r="I293" s="11" t="s">
        <v>84</v>
      </c>
      <c r="J293" s="11">
        <v>1</v>
      </c>
      <c r="K293" s="12">
        <v>46081</v>
      </c>
    </row>
    <row r="294" spans="1:11" x14ac:dyDescent="0.35">
      <c r="A294" s="11">
        <v>3630</v>
      </c>
      <c r="B294" s="11" t="s">
        <v>161</v>
      </c>
      <c r="C294" s="11" t="s">
        <v>87</v>
      </c>
      <c r="D294" s="11" t="s">
        <v>109</v>
      </c>
      <c r="E294" s="8" t="s">
        <v>164</v>
      </c>
      <c r="F294" s="12">
        <v>46001</v>
      </c>
      <c r="G294" s="12">
        <v>46002</v>
      </c>
      <c r="H294" s="12">
        <v>46010</v>
      </c>
      <c r="I294" s="11" t="s">
        <v>84</v>
      </c>
      <c r="J294" s="11">
        <v>3</v>
      </c>
      <c r="K294" s="12">
        <v>46081</v>
      </c>
    </row>
    <row r="295" spans="1:11" ht="26" x14ac:dyDescent="0.35">
      <c r="A295" s="11">
        <v>4907</v>
      </c>
      <c r="B295" s="11" t="s">
        <v>163</v>
      </c>
      <c r="C295" s="11" t="s">
        <v>98</v>
      </c>
      <c r="D295" s="11" t="s">
        <v>97</v>
      </c>
      <c r="E295" s="8" t="s">
        <v>130</v>
      </c>
      <c r="F295" s="12">
        <v>46006</v>
      </c>
      <c r="G295" s="12">
        <v>46012</v>
      </c>
      <c r="H295" s="12">
        <v>46119</v>
      </c>
      <c r="I295" s="11" t="s">
        <v>84</v>
      </c>
      <c r="J295" s="11">
        <v>11</v>
      </c>
      <c r="K295" s="12">
        <v>46081</v>
      </c>
    </row>
    <row r="296" spans="1:11" x14ac:dyDescent="0.35">
      <c r="A296" s="11">
        <v>4905</v>
      </c>
      <c r="B296" s="11" t="s">
        <v>131</v>
      </c>
      <c r="C296" s="11" t="s">
        <v>98</v>
      </c>
      <c r="D296" s="11" t="s">
        <v>160</v>
      </c>
      <c r="E296" s="8" t="s">
        <v>162</v>
      </c>
      <c r="F296" s="12">
        <v>46007</v>
      </c>
      <c r="G296" s="12">
        <v>46009</v>
      </c>
      <c r="H296" s="12">
        <v>46119</v>
      </c>
      <c r="I296" s="11" t="s">
        <v>84</v>
      </c>
      <c r="J296" s="11">
        <v>10</v>
      </c>
      <c r="K296" s="12">
        <v>46081</v>
      </c>
    </row>
    <row r="297" spans="1:11" x14ac:dyDescent="0.35">
      <c r="A297" s="11">
        <v>4902</v>
      </c>
      <c r="B297" s="11" t="s">
        <v>161</v>
      </c>
      <c r="C297" s="11" t="s">
        <v>98</v>
      </c>
      <c r="D297" s="11" t="s">
        <v>160</v>
      </c>
      <c r="E297" s="8" t="s">
        <v>159</v>
      </c>
      <c r="F297" s="12">
        <v>46008</v>
      </c>
      <c r="G297" s="12">
        <v>46009</v>
      </c>
      <c r="H297" s="12">
        <v>46119</v>
      </c>
      <c r="I297" s="11" t="s">
        <v>84</v>
      </c>
      <c r="J297" s="11">
        <v>32</v>
      </c>
      <c r="K297" s="12">
        <v>46081</v>
      </c>
    </row>
    <row r="298" spans="1:11" x14ac:dyDescent="0.35">
      <c r="A298" s="11">
        <v>4903</v>
      </c>
      <c r="B298" s="11" t="s">
        <v>128</v>
      </c>
      <c r="C298" s="11" t="s">
        <v>98</v>
      </c>
      <c r="D298" s="11" t="s">
        <v>160</v>
      </c>
      <c r="E298" s="8" t="s">
        <v>162</v>
      </c>
      <c r="F298" s="12">
        <v>46008</v>
      </c>
      <c r="G298" s="12">
        <v>46009</v>
      </c>
      <c r="H298" s="12">
        <v>46119</v>
      </c>
      <c r="I298" s="11" t="s">
        <v>84</v>
      </c>
      <c r="J298" s="11">
        <v>3</v>
      </c>
      <c r="K298" s="12">
        <v>46081</v>
      </c>
    </row>
    <row r="299" spans="1:11" x14ac:dyDescent="0.35">
      <c r="A299" s="11">
        <v>4914</v>
      </c>
      <c r="B299" s="11" t="s">
        <v>161</v>
      </c>
      <c r="C299" s="11" t="s">
        <v>98</v>
      </c>
      <c r="D299" s="11" t="s">
        <v>135</v>
      </c>
      <c r="E299" s="8" t="s">
        <v>159</v>
      </c>
      <c r="F299" s="12">
        <v>46008</v>
      </c>
      <c r="G299" s="12">
        <v>46009</v>
      </c>
      <c r="H299" s="12">
        <v>46171</v>
      </c>
      <c r="I299" s="11" t="s">
        <v>84</v>
      </c>
      <c r="J299" s="11">
        <v>1</v>
      </c>
      <c r="K299" s="12">
        <v>46081</v>
      </c>
    </row>
    <row r="300" spans="1:11" x14ac:dyDescent="0.35">
      <c r="A300" s="11">
        <v>4915</v>
      </c>
      <c r="B300" s="11" t="s">
        <v>161</v>
      </c>
      <c r="C300" s="11" t="s">
        <v>98</v>
      </c>
      <c r="D300" s="11" t="s">
        <v>160</v>
      </c>
      <c r="E300" s="8" t="s">
        <v>159</v>
      </c>
      <c r="F300" s="12">
        <v>46008</v>
      </c>
      <c r="G300" s="12">
        <v>46010</v>
      </c>
      <c r="H300" s="12">
        <v>46171</v>
      </c>
      <c r="I300" s="11" t="s">
        <v>84</v>
      </c>
      <c r="J300" s="11">
        <v>1</v>
      </c>
      <c r="K300" s="12">
        <v>46081</v>
      </c>
    </row>
    <row r="301" spans="1:11" x14ac:dyDescent="0.35">
      <c r="A301" s="11">
        <v>5615</v>
      </c>
      <c r="B301" s="11" t="s">
        <v>120</v>
      </c>
      <c r="C301" s="11" t="s">
        <v>91</v>
      </c>
      <c r="D301" s="11" t="s">
        <v>90</v>
      </c>
      <c r="E301" s="8" t="s">
        <v>158</v>
      </c>
      <c r="F301" s="12">
        <v>46010</v>
      </c>
      <c r="G301" s="12">
        <v>46021</v>
      </c>
      <c r="H301" s="12">
        <v>46010</v>
      </c>
      <c r="I301" s="11" t="s">
        <v>84</v>
      </c>
      <c r="J301" s="11">
        <v>1</v>
      </c>
      <c r="K301" s="12">
        <v>46081</v>
      </c>
    </row>
    <row r="302" spans="1:11" x14ac:dyDescent="0.35">
      <c r="A302" s="11">
        <v>3643</v>
      </c>
      <c r="B302" s="11" t="s">
        <v>157</v>
      </c>
      <c r="C302" s="11" t="s">
        <v>87</v>
      </c>
      <c r="D302" s="11" t="s">
        <v>156</v>
      </c>
      <c r="E302" s="8" t="s">
        <v>155</v>
      </c>
      <c r="F302" s="12">
        <v>46041</v>
      </c>
      <c r="G302" s="12">
        <v>46095</v>
      </c>
      <c r="H302" s="12">
        <v>46073</v>
      </c>
      <c r="I302" s="11" t="s">
        <v>84</v>
      </c>
      <c r="J302" s="11">
        <v>1</v>
      </c>
      <c r="K302" s="12">
        <v>46173</v>
      </c>
    </row>
    <row r="303" spans="1:11" x14ac:dyDescent="0.35">
      <c r="A303" s="11">
        <v>3632</v>
      </c>
      <c r="B303" s="11" t="s">
        <v>153</v>
      </c>
      <c r="C303" s="11" t="s">
        <v>87</v>
      </c>
      <c r="D303" s="11" t="s">
        <v>135</v>
      </c>
      <c r="E303" s="8" t="s">
        <v>136</v>
      </c>
      <c r="F303" s="12">
        <v>46043</v>
      </c>
      <c r="G303" s="12">
        <v>46049</v>
      </c>
      <c r="H303" s="12">
        <v>46045</v>
      </c>
      <c r="I303" s="11" t="s">
        <v>84</v>
      </c>
      <c r="J303" s="11">
        <v>47</v>
      </c>
      <c r="K303" s="12">
        <v>46112</v>
      </c>
    </row>
    <row r="304" spans="1:11" x14ac:dyDescent="0.35">
      <c r="A304" s="11">
        <v>3637</v>
      </c>
      <c r="B304" s="11" t="s">
        <v>154</v>
      </c>
      <c r="C304" s="11" t="s">
        <v>87</v>
      </c>
      <c r="D304" s="11" t="s">
        <v>135</v>
      </c>
      <c r="E304" s="8" t="s">
        <v>136</v>
      </c>
      <c r="F304" s="12">
        <v>46043</v>
      </c>
      <c r="G304" s="12">
        <v>46049</v>
      </c>
      <c r="H304" s="12">
        <v>46046</v>
      </c>
      <c r="I304" s="11" t="s">
        <v>84</v>
      </c>
      <c r="J304" s="11">
        <v>102</v>
      </c>
      <c r="K304" s="12">
        <v>46112</v>
      </c>
    </row>
    <row r="305" spans="1:11" x14ac:dyDescent="0.35">
      <c r="A305" s="11">
        <v>4908</v>
      </c>
      <c r="B305" s="11" t="s">
        <v>153</v>
      </c>
      <c r="C305" s="11" t="s">
        <v>98</v>
      </c>
      <c r="D305" s="11" t="s">
        <v>135</v>
      </c>
      <c r="E305" s="8" t="s">
        <v>136</v>
      </c>
      <c r="F305" s="12">
        <v>46043</v>
      </c>
      <c r="G305" s="12">
        <v>46049</v>
      </c>
      <c r="H305" s="12">
        <v>46119</v>
      </c>
      <c r="I305" s="11" t="s">
        <v>84</v>
      </c>
      <c r="J305" s="11">
        <v>3</v>
      </c>
      <c r="K305" s="12">
        <v>46112</v>
      </c>
    </row>
    <row r="306" spans="1:11" x14ac:dyDescent="0.35">
      <c r="A306" s="11">
        <v>3631</v>
      </c>
      <c r="B306" s="11" t="s">
        <v>152</v>
      </c>
      <c r="C306" s="11" t="s">
        <v>87</v>
      </c>
      <c r="D306" s="11" t="s">
        <v>135</v>
      </c>
      <c r="E306" s="8" t="s">
        <v>136</v>
      </c>
      <c r="F306" s="12">
        <v>46044</v>
      </c>
      <c r="G306" s="12">
        <v>46049</v>
      </c>
      <c r="H306" s="12">
        <v>46045</v>
      </c>
      <c r="I306" s="11" t="s">
        <v>84</v>
      </c>
      <c r="J306" s="11">
        <v>135</v>
      </c>
      <c r="K306" s="12">
        <v>46112</v>
      </c>
    </row>
    <row r="307" spans="1:11" x14ac:dyDescent="0.35">
      <c r="A307" s="11">
        <v>3635</v>
      </c>
      <c r="B307" s="11" t="s">
        <v>151</v>
      </c>
      <c r="C307" s="11" t="s">
        <v>87</v>
      </c>
      <c r="D307" s="11" t="s">
        <v>135</v>
      </c>
      <c r="E307" s="8" t="s">
        <v>136</v>
      </c>
      <c r="F307" s="12">
        <v>46044</v>
      </c>
      <c r="G307" s="12">
        <v>46049</v>
      </c>
      <c r="H307" s="12">
        <v>46046</v>
      </c>
      <c r="I307" s="11" t="s">
        <v>84</v>
      </c>
      <c r="J307" s="11">
        <v>95</v>
      </c>
      <c r="K307" s="12">
        <v>46112</v>
      </c>
    </row>
    <row r="308" spans="1:11" x14ac:dyDescent="0.35">
      <c r="A308" s="11">
        <v>3642</v>
      </c>
      <c r="B308" s="11" t="s">
        <v>106</v>
      </c>
      <c r="C308" s="11" t="s">
        <v>87</v>
      </c>
      <c r="D308" s="11" t="s">
        <v>135</v>
      </c>
      <c r="E308" s="8" t="s">
        <v>136</v>
      </c>
      <c r="F308" s="12">
        <v>46044</v>
      </c>
      <c r="G308" s="12">
        <v>46049</v>
      </c>
      <c r="H308" s="12">
        <v>46046</v>
      </c>
      <c r="I308" s="11" t="s">
        <v>84</v>
      </c>
      <c r="J308" s="11">
        <v>112</v>
      </c>
      <c r="K308" s="12">
        <v>46112</v>
      </c>
    </row>
    <row r="309" spans="1:11" x14ac:dyDescent="0.35">
      <c r="A309" s="11">
        <v>4898</v>
      </c>
      <c r="B309" s="11" t="s">
        <v>151</v>
      </c>
      <c r="C309" s="11" t="s">
        <v>98</v>
      </c>
      <c r="D309" s="11" t="s">
        <v>135</v>
      </c>
      <c r="E309" s="8" t="s">
        <v>136</v>
      </c>
      <c r="F309" s="12">
        <v>46044</v>
      </c>
      <c r="G309" s="12">
        <v>46049</v>
      </c>
      <c r="H309" s="12">
        <v>46059</v>
      </c>
      <c r="I309" s="11" t="s">
        <v>84</v>
      </c>
      <c r="J309" s="11">
        <v>95</v>
      </c>
      <c r="K309" s="12">
        <v>46112</v>
      </c>
    </row>
    <row r="310" spans="1:11" x14ac:dyDescent="0.35">
      <c r="A310" s="11">
        <v>3633</v>
      </c>
      <c r="B310" s="11" t="s">
        <v>144</v>
      </c>
      <c r="C310" s="11" t="s">
        <v>87</v>
      </c>
      <c r="D310" s="11" t="s">
        <v>135</v>
      </c>
      <c r="E310" s="8" t="s">
        <v>136</v>
      </c>
      <c r="F310" s="12">
        <v>46045</v>
      </c>
      <c r="G310" s="12">
        <v>46049</v>
      </c>
      <c r="H310" s="12">
        <v>46046</v>
      </c>
      <c r="I310" s="11" t="s">
        <v>84</v>
      </c>
      <c r="J310" s="11">
        <v>120</v>
      </c>
      <c r="K310" s="12">
        <v>46112</v>
      </c>
    </row>
    <row r="311" spans="1:11" x14ac:dyDescent="0.35">
      <c r="A311" s="11">
        <v>3634</v>
      </c>
      <c r="B311" s="11" t="s">
        <v>150</v>
      </c>
      <c r="C311" s="11" t="s">
        <v>87</v>
      </c>
      <c r="D311" s="11" t="s">
        <v>135</v>
      </c>
      <c r="E311" s="8" t="s">
        <v>136</v>
      </c>
      <c r="F311" s="12">
        <v>46045</v>
      </c>
      <c r="G311" s="12">
        <v>46049</v>
      </c>
      <c r="H311" s="12">
        <v>46046</v>
      </c>
      <c r="I311" s="11" t="s">
        <v>84</v>
      </c>
      <c r="J311" s="11">
        <v>24</v>
      </c>
      <c r="K311" s="12">
        <v>46112</v>
      </c>
    </row>
    <row r="312" spans="1:11" x14ac:dyDescent="0.35">
      <c r="A312" s="11">
        <v>3636</v>
      </c>
      <c r="B312" s="11" t="s">
        <v>149</v>
      </c>
      <c r="C312" s="11" t="s">
        <v>87</v>
      </c>
      <c r="D312" s="11" t="s">
        <v>135</v>
      </c>
      <c r="E312" s="8" t="s">
        <v>136</v>
      </c>
      <c r="F312" s="12">
        <v>46045</v>
      </c>
      <c r="G312" s="12">
        <v>46049</v>
      </c>
      <c r="H312" s="12">
        <v>46046</v>
      </c>
      <c r="I312" s="11" t="s">
        <v>84</v>
      </c>
      <c r="J312" s="11">
        <v>75</v>
      </c>
      <c r="K312" s="12">
        <v>46112</v>
      </c>
    </row>
    <row r="313" spans="1:11" x14ac:dyDescent="0.35">
      <c r="A313" s="11">
        <v>3638</v>
      </c>
      <c r="B313" s="11" t="s">
        <v>145</v>
      </c>
      <c r="C313" s="11" t="s">
        <v>87</v>
      </c>
      <c r="D313" s="11" t="s">
        <v>135</v>
      </c>
      <c r="E313" s="8" t="s">
        <v>136</v>
      </c>
      <c r="F313" s="12">
        <v>46045</v>
      </c>
      <c r="G313" s="12">
        <v>46049</v>
      </c>
      <c r="H313" s="12">
        <v>46046</v>
      </c>
      <c r="I313" s="11" t="s">
        <v>84</v>
      </c>
      <c r="J313" s="11">
        <v>64</v>
      </c>
      <c r="K313" s="12">
        <v>46112</v>
      </c>
    </row>
    <row r="314" spans="1:11" x14ac:dyDescent="0.35">
      <c r="A314" s="11">
        <v>3639</v>
      </c>
      <c r="B314" s="11" t="s">
        <v>148</v>
      </c>
      <c r="C314" s="11" t="s">
        <v>87</v>
      </c>
      <c r="D314" s="11" t="s">
        <v>135</v>
      </c>
      <c r="E314" s="8" t="s">
        <v>136</v>
      </c>
      <c r="F314" s="12">
        <v>46045</v>
      </c>
      <c r="G314" s="12">
        <v>46049</v>
      </c>
      <c r="H314" s="12">
        <v>46046</v>
      </c>
      <c r="I314" s="11" t="s">
        <v>84</v>
      </c>
      <c r="J314" s="11">
        <v>55</v>
      </c>
      <c r="K314" s="12">
        <v>46112</v>
      </c>
    </row>
    <row r="315" spans="1:11" x14ac:dyDescent="0.35">
      <c r="A315" s="11">
        <v>3640</v>
      </c>
      <c r="B315" s="11" t="s">
        <v>99</v>
      </c>
      <c r="C315" s="11" t="s">
        <v>87</v>
      </c>
      <c r="D315" s="11" t="s">
        <v>135</v>
      </c>
      <c r="E315" s="8" t="s">
        <v>147</v>
      </c>
      <c r="F315" s="12">
        <v>46045</v>
      </c>
      <c r="G315" s="12">
        <v>46049</v>
      </c>
      <c r="H315" s="12">
        <v>46046</v>
      </c>
      <c r="I315" s="11" t="s">
        <v>84</v>
      </c>
      <c r="J315" s="11">
        <v>83</v>
      </c>
      <c r="K315" s="12">
        <v>46112</v>
      </c>
    </row>
    <row r="316" spans="1:11" x14ac:dyDescent="0.35">
      <c r="A316" s="11">
        <v>3641</v>
      </c>
      <c r="B316" s="11" t="s">
        <v>146</v>
      </c>
      <c r="C316" s="11" t="s">
        <v>87</v>
      </c>
      <c r="D316" s="11" t="s">
        <v>135</v>
      </c>
      <c r="E316" s="8" t="s">
        <v>136</v>
      </c>
      <c r="F316" s="12">
        <v>46045</v>
      </c>
      <c r="G316" s="12">
        <v>46049</v>
      </c>
      <c r="H316" s="12">
        <v>46046</v>
      </c>
      <c r="I316" s="11" t="s">
        <v>84</v>
      </c>
      <c r="J316" s="11">
        <v>92</v>
      </c>
      <c r="K316" s="12">
        <v>46112</v>
      </c>
    </row>
    <row r="317" spans="1:11" x14ac:dyDescent="0.35">
      <c r="A317" s="11">
        <v>4899</v>
      </c>
      <c r="B317" s="11" t="s">
        <v>99</v>
      </c>
      <c r="C317" s="11" t="s">
        <v>98</v>
      </c>
      <c r="D317" s="11" t="s">
        <v>135</v>
      </c>
      <c r="E317" s="8" t="s">
        <v>136</v>
      </c>
      <c r="F317" s="12">
        <v>46045</v>
      </c>
      <c r="G317" s="12">
        <v>46049</v>
      </c>
      <c r="H317" s="12">
        <v>46059</v>
      </c>
      <c r="I317" s="11" t="s">
        <v>84</v>
      </c>
      <c r="J317" s="11">
        <v>83</v>
      </c>
      <c r="K317" s="12">
        <v>46112</v>
      </c>
    </row>
    <row r="318" spans="1:11" x14ac:dyDescent="0.35">
      <c r="A318" s="11">
        <v>4900</v>
      </c>
      <c r="B318" s="11" t="s">
        <v>145</v>
      </c>
      <c r="C318" s="11" t="s">
        <v>98</v>
      </c>
      <c r="D318" s="11" t="s">
        <v>135</v>
      </c>
      <c r="E318" s="8" t="s">
        <v>136</v>
      </c>
      <c r="F318" s="12">
        <v>46045</v>
      </c>
      <c r="G318" s="12">
        <v>46049</v>
      </c>
      <c r="H318" s="12">
        <v>46071</v>
      </c>
      <c r="I318" s="11" t="s">
        <v>84</v>
      </c>
      <c r="J318" s="11">
        <v>18</v>
      </c>
      <c r="K318" s="12">
        <v>46112</v>
      </c>
    </row>
    <row r="319" spans="1:11" x14ac:dyDescent="0.35">
      <c r="A319" s="11">
        <v>4913</v>
      </c>
      <c r="B319" s="11" t="s">
        <v>144</v>
      </c>
      <c r="C319" s="11" t="s">
        <v>98</v>
      </c>
      <c r="D319" s="11" t="s">
        <v>135</v>
      </c>
      <c r="E319" s="8" t="s">
        <v>136</v>
      </c>
      <c r="F319" s="12">
        <v>46045</v>
      </c>
      <c r="G319" s="12">
        <v>46049</v>
      </c>
      <c r="H319" s="12">
        <v>46171</v>
      </c>
      <c r="I319" s="11" t="s">
        <v>84</v>
      </c>
      <c r="J319" s="11">
        <v>21</v>
      </c>
      <c r="K319" s="12">
        <v>46112</v>
      </c>
    </row>
    <row r="320" spans="1:11" x14ac:dyDescent="0.35">
      <c r="A320" s="11">
        <v>5616</v>
      </c>
      <c r="B320" s="11" t="s">
        <v>120</v>
      </c>
      <c r="C320" s="11" t="s">
        <v>91</v>
      </c>
      <c r="D320" s="11" t="s">
        <v>90</v>
      </c>
      <c r="E320" s="8" t="s">
        <v>143</v>
      </c>
      <c r="F320" s="12">
        <v>46070</v>
      </c>
      <c r="G320" s="12">
        <v>46076</v>
      </c>
      <c r="H320" s="12">
        <v>46070</v>
      </c>
      <c r="I320" s="11" t="s">
        <v>84</v>
      </c>
      <c r="J320" s="11">
        <v>2</v>
      </c>
      <c r="K320" s="12">
        <v>46142</v>
      </c>
    </row>
    <row r="321" spans="1:11" x14ac:dyDescent="0.35">
      <c r="A321" s="11">
        <v>5617</v>
      </c>
      <c r="B321" s="11" t="s">
        <v>120</v>
      </c>
      <c r="C321" s="11" t="s">
        <v>91</v>
      </c>
      <c r="D321" s="11" t="s">
        <v>90</v>
      </c>
      <c r="E321" s="8" t="s">
        <v>142</v>
      </c>
      <c r="F321" s="12">
        <v>46070</v>
      </c>
      <c r="G321" s="12">
        <v>46077</v>
      </c>
      <c r="H321" s="12">
        <v>46070</v>
      </c>
      <c r="I321" s="11" t="s">
        <v>84</v>
      </c>
      <c r="J321" s="11">
        <v>1</v>
      </c>
      <c r="K321" s="12">
        <v>46142</v>
      </c>
    </row>
    <row r="322" spans="1:11" x14ac:dyDescent="0.35">
      <c r="A322" s="11">
        <v>5618</v>
      </c>
      <c r="B322" s="11" t="s">
        <v>120</v>
      </c>
      <c r="C322" s="11" t="s">
        <v>91</v>
      </c>
      <c r="D322" s="11" t="s">
        <v>90</v>
      </c>
      <c r="E322" s="8" t="s">
        <v>141</v>
      </c>
      <c r="F322" s="12">
        <v>46070</v>
      </c>
      <c r="G322" s="12">
        <v>46075</v>
      </c>
      <c r="H322" s="12">
        <v>46070</v>
      </c>
      <c r="I322" s="11" t="s">
        <v>84</v>
      </c>
      <c r="J322" s="11">
        <v>1</v>
      </c>
      <c r="K322" s="12">
        <v>46142</v>
      </c>
    </row>
    <row r="323" spans="1:11" x14ac:dyDescent="0.35">
      <c r="A323" s="11">
        <v>5619</v>
      </c>
      <c r="B323" s="11" t="s">
        <v>94</v>
      </c>
      <c r="C323" s="11" t="s">
        <v>91</v>
      </c>
      <c r="D323" s="11" t="s">
        <v>90</v>
      </c>
      <c r="E323" s="8" t="s">
        <v>140</v>
      </c>
      <c r="F323" s="12">
        <v>46070</v>
      </c>
      <c r="G323" s="11"/>
      <c r="H323" s="12">
        <v>46071</v>
      </c>
      <c r="I323" s="11" t="s">
        <v>84</v>
      </c>
      <c r="J323" s="11">
        <v>2</v>
      </c>
      <c r="K323" s="11"/>
    </row>
    <row r="324" spans="1:11" x14ac:dyDescent="0.35">
      <c r="A324" s="11">
        <v>5620</v>
      </c>
      <c r="B324" s="11" t="s">
        <v>120</v>
      </c>
      <c r="C324" s="11" t="s">
        <v>91</v>
      </c>
      <c r="D324" s="11" t="s">
        <v>90</v>
      </c>
      <c r="E324" s="8" t="s">
        <v>139</v>
      </c>
      <c r="F324" s="12">
        <v>46072</v>
      </c>
      <c r="G324" s="12">
        <v>46075</v>
      </c>
      <c r="H324" s="12">
        <v>46072</v>
      </c>
      <c r="I324" s="11" t="s">
        <v>84</v>
      </c>
      <c r="J324" s="11">
        <v>1</v>
      </c>
      <c r="K324" s="12">
        <v>46142</v>
      </c>
    </row>
    <row r="325" spans="1:11" x14ac:dyDescent="0.35">
      <c r="A325" s="11">
        <v>5621</v>
      </c>
      <c r="B325" s="11" t="s">
        <v>120</v>
      </c>
      <c r="C325" s="11" t="s">
        <v>91</v>
      </c>
      <c r="D325" s="11" t="s">
        <v>90</v>
      </c>
      <c r="E325" s="8" t="s">
        <v>138</v>
      </c>
      <c r="F325" s="12">
        <v>46072</v>
      </c>
      <c r="G325" s="12">
        <v>46079</v>
      </c>
      <c r="H325" s="12">
        <v>46072</v>
      </c>
      <c r="I325" s="11" t="s">
        <v>84</v>
      </c>
      <c r="J325" s="11">
        <v>2</v>
      </c>
      <c r="K325" s="12">
        <v>46142</v>
      </c>
    </row>
    <row r="326" spans="1:11" x14ac:dyDescent="0.35">
      <c r="A326" s="11">
        <v>4916</v>
      </c>
      <c r="B326" s="11" t="s">
        <v>137</v>
      </c>
      <c r="C326" s="11" t="s">
        <v>98</v>
      </c>
      <c r="D326" s="11" t="s">
        <v>135</v>
      </c>
      <c r="E326" s="8" t="s">
        <v>136</v>
      </c>
      <c r="F326" s="12">
        <v>46075</v>
      </c>
      <c r="G326" s="12">
        <v>46076</v>
      </c>
      <c r="H326" s="12">
        <v>46171</v>
      </c>
      <c r="I326" s="11" t="s">
        <v>84</v>
      </c>
      <c r="J326" s="11">
        <v>2</v>
      </c>
      <c r="K326" s="12">
        <v>46142</v>
      </c>
    </row>
    <row r="327" spans="1:11" x14ac:dyDescent="0.35">
      <c r="A327" s="11">
        <v>4919</v>
      </c>
      <c r="B327" s="11" t="s">
        <v>46</v>
      </c>
      <c r="C327" s="11" t="s">
        <v>98</v>
      </c>
      <c r="D327" s="11" t="s">
        <v>135</v>
      </c>
      <c r="E327" s="8" t="s">
        <v>134</v>
      </c>
      <c r="F327" s="12">
        <v>46075</v>
      </c>
      <c r="G327" s="12">
        <v>46076</v>
      </c>
      <c r="H327" s="12">
        <v>46203</v>
      </c>
      <c r="I327" s="11" t="s">
        <v>84</v>
      </c>
      <c r="J327" s="11">
        <v>1</v>
      </c>
      <c r="K327" s="12">
        <v>46142</v>
      </c>
    </row>
    <row r="328" spans="1:11" x14ac:dyDescent="0.35">
      <c r="A328" s="11">
        <v>4909</v>
      </c>
      <c r="B328" s="11" t="s">
        <v>133</v>
      </c>
      <c r="C328" s="11" t="s">
        <v>98</v>
      </c>
      <c r="D328" s="11" t="s">
        <v>109</v>
      </c>
      <c r="E328" s="8" t="s">
        <v>132</v>
      </c>
      <c r="F328" s="12">
        <v>46091</v>
      </c>
      <c r="G328" s="12">
        <v>46105</v>
      </c>
      <c r="H328" s="12">
        <v>46119</v>
      </c>
      <c r="I328" s="11" t="s">
        <v>84</v>
      </c>
      <c r="J328" s="11">
        <v>3</v>
      </c>
      <c r="K328" s="12">
        <v>46173</v>
      </c>
    </row>
    <row r="329" spans="1:11" ht="26" x14ac:dyDescent="0.35">
      <c r="A329" s="11">
        <v>4917</v>
      </c>
      <c r="B329" s="11" t="s">
        <v>131</v>
      </c>
      <c r="C329" s="11" t="s">
        <v>98</v>
      </c>
      <c r="D329" s="11" t="s">
        <v>97</v>
      </c>
      <c r="E329" s="8" t="s">
        <v>130</v>
      </c>
      <c r="F329" s="12">
        <v>46092</v>
      </c>
      <c r="G329" s="12">
        <v>46096</v>
      </c>
      <c r="H329" s="12">
        <v>46203</v>
      </c>
      <c r="I329" s="11" t="s">
        <v>84</v>
      </c>
      <c r="J329" s="11">
        <v>6</v>
      </c>
      <c r="K329" s="12">
        <v>46173</v>
      </c>
    </row>
    <row r="330" spans="1:11" x14ac:dyDescent="0.35">
      <c r="A330" s="11">
        <v>4920</v>
      </c>
      <c r="B330" s="11" t="s">
        <v>126</v>
      </c>
      <c r="C330" s="11" t="s">
        <v>98</v>
      </c>
      <c r="D330" s="11" t="s">
        <v>90</v>
      </c>
      <c r="E330" s="8" t="s">
        <v>129</v>
      </c>
      <c r="F330" s="12">
        <v>46093</v>
      </c>
      <c r="G330" s="12">
        <v>46114</v>
      </c>
      <c r="H330" s="12">
        <v>46203</v>
      </c>
      <c r="I330" s="11" t="s">
        <v>84</v>
      </c>
      <c r="J330" s="11">
        <v>5</v>
      </c>
      <c r="K330" s="12">
        <v>46203</v>
      </c>
    </row>
    <row r="331" spans="1:11" x14ac:dyDescent="0.35">
      <c r="A331" s="11">
        <v>5622</v>
      </c>
      <c r="B331" s="11" t="s">
        <v>128</v>
      </c>
      <c r="C331" s="11" t="s">
        <v>91</v>
      </c>
      <c r="D331" s="11" t="s">
        <v>90</v>
      </c>
      <c r="E331" s="8" t="s">
        <v>127</v>
      </c>
      <c r="F331" s="12">
        <v>46093</v>
      </c>
      <c r="G331" s="11"/>
      <c r="H331" s="12">
        <v>46094</v>
      </c>
      <c r="I331" s="11" t="s">
        <v>84</v>
      </c>
      <c r="J331" s="11">
        <v>1</v>
      </c>
      <c r="K331" s="11"/>
    </row>
    <row r="332" spans="1:11" x14ac:dyDescent="0.35">
      <c r="A332" s="11">
        <v>5623</v>
      </c>
      <c r="B332" s="11" t="s">
        <v>126</v>
      </c>
      <c r="C332" s="11" t="s">
        <v>91</v>
      </c>
      <c r="D332" s="11" t="s">
        <v>90</v>
      </c>
      <c r="E332" s="8" t="s">
        <v>125</v>
      </c>
      <c r="F332" s="12">
        <v>46093</v>
      </c>
      <c r="G332" s="12">
        <v>46108</v>
      </c>
      <c r="H332" s="12">
        <v>46094</v>
      </c>
      <c r="I332" s="11" t="s">
        <v>84</v>
      </c>
      <c r="J332" s="11">
        <v>7</v>
      </c>
      <c r="K332" s="12">
        <v>46173</v>
      </c>
    </row>
    <row r="333" spans="1:11" x14ac:dyDescent="0.35">
      <c r="A333" s="11">
        <v>5624</v>
      </c>
      <c r="B333" s="11" t="s">
        <v>120</v>
      </c>
      <c r="C333" s="11" t="s">
        <v>91</v>
      </c>
      <c r="D333" s="11" t="s">
        <v>90</v>
      </c>
      <c r="E333" s="8" t="s">
        <v>124</v>
      </c>
      <c r="F333" s="12">
        <v>46096</v>
      </c>
      <c r="G333" s="12">
        <v>46097</v>
      </c>
      <c r="H333" s="12">
        <v>46096</v>
      </c>
      <c r="I333" s="11" t="s">
        <v>84</v>
      </c>
      <c r="J333" s="11">
        <v>1</v>
      </c>
      <c r="K333" s="12">
        <v>46173</v>
      </c>
    </row>
    <row r="334" spans="1:11" x14ac:dyDescent="0.35">
      <c r="A334" s="11">
        <v>5625</v>
      </c>
      <c r="B334" s="11" t="s">
        <v>94</v>
      </c>
      <c r="C334" s="11" t="s">
        <v>91</v>
      </c>
      <c r="D334" s="11" t="s">
        <v>90</v>
      </c>
      <c r="E334" s="8" t="s">
        <v>123</v>
      </c>
      <c r="F334" s="12">
        <v>46096</v>
      </c>
      <c r="G334" s="11"/>
      <c r="H334" s="12">
        <v>46096</v>
      </c>
      <c r="I334" s="11" t="s">
        <v>84</v>
      </c>
      <c r="J334" s="11">
        <v>1</v>
      </c>
      <c r="K334" s="11"/>
    </row>
    <row r="335" spans="1:11" x14ac:dyDescent="0.35">
      <c r="A335" s="11">
        <v>5626</v>
      </c>
      <c r="B335" s="11" t="s">
        <v>120</v>
      </c>
      <c r="C335" s="11" t="s">
        <v>91</v>
      </c>
      <c r="D335" s="11" t="s">
        <v>90</v>
      </c>
      <c r="E335" s="8" t="s">
        <v>122</v>
      </c>
      <c r="F335" s="12">
        <v>46100</v>
      </c>
      <c r="G335" s="11"/>
      <c r="H335" s="12">
        <v>46100</v>
      </c>
      <c r="I335" s="11" t="s">
        <v>84</v>
      </c>
      <c r="J335" s="11">
        <v>1</v>
      </c>
      <c r="K335" s="11"/>
    </row>
    <row r="336" spans="1:11" x14ac:dyDescent="0.35">
      <c r="A336" s="11">
        <v>5627</v>
      </c>
      <c r="B336" s="11" t="s">
        <v>120</v>
      </c>
      <c r="C336" s="11" t="s">
        <v>91</v>
      </c>
      <c r="D336" s="11" t="s">
        <v>90</v>
      </c>
      <c r="E336" s="8" t="s">
        <v>121</v>
      </c>
      <c r="F336" s="12">
        <v>46103</v>
      </c>
      <c r="G336" s="11"/>
      <c r="H336" s="12">
        <v>46103</v>
      </c>
      <c r="I336" s="11" t="s">
        <v>84</v>
      </c>
      <c r="J336" s="11">
        <v>1</v>
      </c>
      <c r="K336" s="11"/>
    </row>
    <row r="337" spans="1:11" x14ac:dyDescent="0.35">
      <c r="A337" s="11">
        <v>5628</v>
      </c>
      <c r="B337" s="11" t="s">
        <v>120</v>
      </c>
      <c r="C337" s="11" t="s">
        <v>91</v>
      </c>
      <c r="D337" s="11" t="s">
        <v>90</v>
      </c>
      <c r="E337" s="8" t="s">
        <v>119</v>
      </c>
      <c r="F337" s="12">
        <v>46103</v>
      </c>
      <c r="G337" s="11"/>
      <c r="H337" s="12">
        <v>46103</v>
      </c>
      <c r="I337" s="11" t="s">
        <v>84</v>
      </c>
      <c r="J337" s="11">
        <v>1</v>
      </c>
      <c r="K337" s="11"/>
    </row>
    <row r="338" spans="1:11" x14ac:dyDescent="0.35">
      <c r="A338" s="11">
        <v>4925</v>
      </c>
      <c r="B338" s="11" t="s">
        <v>118</v>
      </c>
      <c r="C338" s="11" t="s">
        <v>98</v>
      </c>
      <c r="D338" s="11" t="s">
        <v>109</v>
      </c>
      <c r="E338" s="8" t="s">
        <v>101</v>
      </c>
      <c r="F338" s="12">
        <v>46122</v>
      </c>
      <c r="G338" s="12">
        <v>46133</v>
      </c>
      <c r="H338" s="12">
        <v>46203</v>
      </c>
      <c r="I338" s="11" t="s">
        <v>84</v>
      </c>
      <c r="J338" s="11">
        <v>36</v>
      </c>
      <c r="K338" s="12">
        <v>46203</v>
      </c>
    </row>
    <row r="339" spans="1:11" x14ac:dyDescent="0.35">
      <c r="A339" s="11">
        <v>3644</v>
      </c>
      <c r="B339" s="11" t="s">
        <v>113</v>
      </c>
      <c r="C339" s="11" t="s">
        <v>87</v>
      </c>
      <c r="D339" s="11" t="s">
        <v>117</v>
      </c>
      <c r="E339" s="8" t="s">
        <v>116</v>
      </c>
      <c r="F339" s="12">
        <v>46123</v>
      </c>
      <c r="G339" s="12">
        <v>46130</v>
      </c>
      <c r="H339" s="12">
        <v>46123</v>
      </c>
      <c r="I339" s="11" t="s">
        <v>84</v>
      </c>
      <c r="J339" s="11">
        <v>1</v>
      </c>
      <c r="K339" s="12">
        <v>46203</v>
      </c>
    </row>
    <row r="340" spans="1:11" x14ac:dyDescent="0.35">
      <c r="A340" s="11">
        <v>3645</v>
      </c>
      <c r="B340" s="11" t="s">
        <v>115</v>
      </c>
      <c r="C340" s="11" t="s">
        <v>87</v>
      </c>
      <c r="D340" s="11" t="s">
        <v>117</v>
      </c>
      <c r="E340" s="8" t="s">
        <v>116</v>
      </c>
      <c r="F340" s="12">
        <v>46123</v>
      </c>
      <c r="G340" s="12">
        <v>46130</v>
      </c>
      <c r="H340" s="12">
        <v>46123</v>
      </c>
      <c r="I340" s="11" t="s">
        <v>84</v>
      </c>
      <c r="J340" s="11">
        <v>5</v>
      </c>
      <c r="K340" s="12">
        <v>46203</v>
      </c>
    </row>
    <row r="341" spans="1:11" x14ac:dyDescent="0.35">
      <c r="A341" s="11">
        <v>4910</v>
      </c>
      <c r="B341" s="11" t="s">
        <v>115</v>
      </c>
      <c r="C341" s="11" t="s">
        <v>98</v>
      </c>
      <c r="D341" s="11" t="s">
        <v>114</v>
      </c>
      <c r="E341" s="8" t="s">
        <v>111</v>
      </c>
      <c r="F341" s="12">
        <v>46123</v>
      </c>
      <c r="G341" s="12">
        <v>46130</v>
      </c>
      <c r="H341" s="12">
        <v>46135</v>
      </c>
      <c r="I341" s="11" t="s">
        <v>84</v>
      </c>
      <c r="J341" s="11">
        <v>5</v>
      </c>
      <c r="K341" s="12">
        <v>46203</v>
      </c>
    </row>
    <row r="342" spans="1:11" x14ac:dyDescent="0.35">
      <c r="A342" s="11">
        <v>4921</v>
      </c>
      <c r="B342" s="11" t="s">
        <v>113</v>
      </c>
      <c r="C342" s="11" t="s">
        <v>98</v>
      </c>
      <c r="D342" s="11" t="s">
        <v>112</v>
      </c>
      <c r="E342" s="8" t="s">
        <v>111</v>
      </c>
      <c r="F342" s="12">
        <v>46123</v>
      </c>
      <c r="G342" s="12">
        <v>46130</v>
      </c>
      <c r="H342" s="12">
        <v>46203</v>
      </c>
      <c r="I342" s="11" t="s">
        <v>84</v>
      </c>
      <c r="J342" s="11">
        <v>1</v>
      </c>
      <c r="K342" s="12">
        <v>46203</v>
      </c>
    </row>
    <row r="343" spans="1:11" x14ac:dyDescent="0.35">
      <c r="A343" s="11">
        <v>4923</v>
      </c>
      <c r="B343" s="11" t="s">
        <v>110</v>
      </c>
      <c r="C343" s="11" t="s">
        <v>98</v>
      </c>
      <c r="D343" s="11" t="s">
        <v>109</v>
      </c>
      <c r="E343" s="8" t="s">
        <v>101</v>
      </c>
      <c r="F343" s="12">
        <v>46125</v>
      </c>
      <c r="G343" s="12">
        <v>46135</v>
      </c>
      <c r="H343" s="12">
        <v>46203</v>
      </c>
      <c r="I343" s="11" t="s">
        <v>84</v>
      </c>
      <c r="J343" s="11">
        <v>22</v>
      </c>
      <c r="K343" s="12">
        <v>46203</v>
      </c>
    </row>
    <row r="344" spans="1:11" x14ac:dyDescent="0.35">
      <c r="A344" s="11">
        <v>5629</v>
      </c>
      <c r="B344" s="11" t="s">
        <v>106</v>
      </c>
      <c r="C344" s="11" t="s">
        <v>91</v>
      </c>
      <c r="D344" s="11" t="s">
        <v>90</v>
      </c>
      <c r="E344" s="8" t="s">
        <v>108</v>
      </c>
      <c r="F344" s="12">
        <v>46130</v>
      </c>
      <c r="G344" s="11"/>
      <c r="H344" s="12">
        <v>46133</v>
      </c>
      <c r="I344" s="11" t="s">
        <v>84</v>
      </c>
      <c r="J344" s="11">
        <v>2</v>
      </c>
      <c r="K344" s="11"/>
    </row>
    <row r="345" spans="1:11" x14ac:dyDescent="0.35">
      <c r="A345" s="11">
        <v>5631</v>
      </c>
      <c r="B345" s="11" t="s">
        <v>104</v>
      </c>
      <c r="C345" s="11" t="s">
        <v>91</v>
      </c>
      <c r="D345" s="11" t="s">
        <v>90</v>
      </c>
      <c r="E345" s="8" t="s">
        <v>107</v>
      </c>
      <c r="F345" s="12">
        <v>46131</v>
      </c>
      <c r="G345" s="11"/>
      <c r="H345" s="12">
        <v>46134</v>
      </c>
      <c r="I345" s="11" t="s">
        <v>84</v>
      </c>
      <c r="J345" s="11">
        <v>2</v>
      </c>
      <c r="K345" s="11"/>
    </row>
    <row r="346" spans="1:11" x14ac:dyDescent="0.35">
      <c r="A346" s="11">
        <v>5630</v>
      </c>
      <c r="B346" s="11" t="s">
        <v>106</v>
      </c>
      <c r="C346" s="11" t="s">
        <v>91</v>
      </c>
      <c r="D346" s="11" t="s">
        <v>90</v>
      </c>
      <c r="E346" s="8" t="s">
        <v>105</v>
      </c>
      <c r="F346" s="12">
        <v>46132</v>
      </c>
      <c r="G346" s="11"/>
      <c r="H346" s="12">
        <v>46134</v>
      </c>
      <c r="I346" s="11" t="s">
        <v>84</v>
      </c>
      <c r="J346" s="11">
        <v>1</v>
      </c>
      <c r="K346" s="11"/>
    </row>
    <row r="347" spans="1:11" x14ac:dyDescent="0.35">
      <c r="A347" s="11">
        <v>5632</v>
      </c>
      <c r="B347" s="11" t="s">
        <v>104</v>
      </c>
      <c r="C347" s="11" t="s">
        <v>91</v>
      </c>
      <c r="D347" s="11" t="s">
        <v>90</v>
      </c>
      <c r="E347" s="8" t="s">
        <v>103</v>
      </c>
      <c r="F347" s="12">
        <v>46133</v>
      </c>
      <c r="G347" s="11"/>
      <c r="H347" s="12">
        <v>46135</v>
      </c>
      <c r="I347" s="11" t="s">
        <v>84</v>
      </c>
      <c r="J347" s="11">
        <v>1</v>
      </c>
      <c r="K347" s="11"/>
    </row>
    <row r="348" spans="1:11" x14ac:dyDescent="0.35">
      <c r="A348" s="11">
        <v>4924</v>
      </c>
      <c r="B348" s="11" t="s">
        <v>102</v>
      </c>
      <c r="C348" s="11" t="s">
        <v>98</v>
      </c>
      <c r="D348" s="11" t="s">
        <v>97</v>
      </c>
      <c r="E348" s="8" t="s">
        <v>101</v>
      </c>
      <c r="F348" s="12">
        <v>46135</v>
      </c>
      <c r="G348" s="12">
        <v>46140</v>
      </c>
      <c r="H348" s="12">
        <v>46203</v>
      </c>
      <c r="I348" s="11" t="s">
        <v>84</v>
      </c>
      <c r="J348" s="11">
        <v>10</v>
      </c>
      <c r="K348" s="12">
        <v>46203</v>
      </c>
    </row>
    <row r="349" spans="1:11" x14ac:dyDescent="0.35">
      <c r="A349" s="11">
        <v>4926</v>
      </c>
      <c r="B349" s="11" t="s">
        <v>100</v>
      </c>
      <c r="C349" s="11" t="s">
        <v>98</v>
      </c>
      <c r="D349" s="11" t="s">
        <v>97</v>
      </c>
      <c r="E349" s="8" t="s">
        <v>96</v>
      </c>
      <c r="F349" s="12">
        <v>46138</v>
      </c>
      <c r="G349" s="12">
        <v>46139</v>
      </c>
      <c r="H349" s="12">
        <v>46203</v>
      </c>
      <c r="I349" s="11" t="s">
        <v>84</v>
      </c>
      <c r="J349" s="11">
        <v>5</v>
      </c>
      <c r="K349" s="12">
        <v>46203</v>
      </c>
    </row>
    <row r="350" spans="1:11" x14ac:dyDescent="0.35">
      <c r="A350" s="11">
        <v>4922</v>
      </c>
      <c r="B350" s="11" t="s">
        <v>99</v>
      </c>
      <c r="C350" s="11" t="s">
        <v>98</v>
      </c>
      <c r="D350" s="11" t="s">
        <v>97</v>
      </c>
      <c r="E350" s="8" t="s">
        <v>96</v>
      </c>
      <c r="F350" s="12">
        <v>46148</v>
      </c>
      <c r="G350" s="12">
        <v>46149</v>
      </c>
      <c r="H350" s="12">
        <v>46203</v>
      </c>
      <c r="I350" s="11" t="s">
        <v>84</v>
      </c>
      <c r="J350" s="11">
        <v>5</v>
      </c>
      <c r="K350" s="12">
        <v>46234</v>
      </c>
    </row>
    <row r="351" spans="1:11" x14ac:dyDescent="0.35">
      <c r="A351" s="11">
        <v>5633</v>
      </c>
      <c r="B351" s="11" t="s">
        <v>94</v>
      </c>
      <c r="C351" s="11" t="s">
        <v>91</v>
      </c>
      <c r="D351" s="11" t="s">
        <v>90</v>
      </c>
      <c r="E351" s="8" t="s">
        <v>95</v>
      </c>
      <c r="F351" s="12">
        <v>46156</v>
      </c>
      <c r="G351" s="12">
        <v>46161</v>
      </c>
      <c r="H351" s="12">
        <v>46156</v>
      </c>
      <c r="I351" s="11" t="s">
        <v>84</v>
      </c>
      <c r="J351" s="11">
        <v>1</v>
      </c>
      <c r="K351" s="12">
        <v>46234</v>
      </c>
    </row>
    <row r="352" spans="1:11" x14ac:dyDescent="0.35">
      <c r="A352" s="11">
        <v>5634</v>
      </c>
      <c r="B352" s="11" t="s">
        <v>94</v>
      </c>
      <c r="C352" s="11" t="s">
        <v>91</v>
      </c>
      <c r="D352" s="11" t="s">
        <v>90</v>
      </c>
      <c r="E352" s="8" t="s">
        <v>93</v>
      </c>
      <c r="F352" s="12">
        <v>46160</v>
      </c>
      <c r="G352" s="12">
        <v>46163</v>
      </c>
      <c r="H352" s="12">
        <v>46160</v>
      </c>
      <c r="I352" s="11" t="s">
        <v>84</v>
      </c>
      <c r="J352" s="11">
        <v>1</v>
      </c>
      <c r="K352" s="12">
        <v>46234</v>
      </c>
    </row>
    <row r="353" spans="1:11" x14ac:dyDescent="0.35">
      <c r="A353" s="11">
        <v>5635</v>
      </c>
      <c r="B353" s="11" t="s">
        <v>88</v>
      </c>
      <c r="C353" s="11" t="s">
        <v>91</v>
      </c>
      <c r="D353" s="11" t="s">
        <v>90</v>
      </c>
      <c r="E353" s="8" t="s">
        <v>92</v>
      </c>
      <c r="F353" s="12">
        <v>46160</v>
      </c>
      <c r="G353" s="11"/>
      <c r="H353" s="12">
        <v>46160</v>
      </c>
      <c r="I353" s="11" t="s">
        <v>84</v>
      </c>
      <c r="J353" s="11">
        <v>1</v>
      </c>
      <c r="K353" s="11"/>
    </row>
    <row r="354" spans="1:11" x14ac:dyDescent="0.35">
      <c r="A354" s="11">
        <v>5636</v>
      </c>
      <c r="B354" s="11" t="s">
        <v>88</v>
      </c>
      <c r="C354" s="11" t="s">
        <v>91</v>
      </c>
      <c r="D354" s="11" t="s">
        <v>90</v>
      </c>
      <c r="E354" s="8" t="s">
        <v>89</v>
      </c>
      <c r="F354" s="12">
        <v>46161</v>
      </c>
      <c r="G354" s="11"/>
      <c r="H354" s="12">
        <v>46162</v>
      </c>
      <c r="I354" s="11" t="s">
        <v>84</v>
      </c>
      <c r="J354" s="11">
        <v>1</v>
      </c>
      <c r="K354" s="11"/>
    </row>
    <row r="355" spans="1:11" x14ac:dyDescent="0.35">
      <c r="A355" s="11">
        <v>3646</v>
      </c>
      <c r="B355" s="11" t="s">
        <v>88</v>
      </c>
      <c r="C355" s="11" t="s">
        <v>87</v>
      </c>
      <c r="D355" s="11" t="s">
        <v>86</v>
      </c>
      <c r="E355" s="8" t="s">
        <v>85</v>
      </c>
      <c r="F355" s="12">
        <v>46163</v>
      </c>
      <c r="G355" s="12">
        <v>46171</v>
      </c>
      <c r="H355" s="12">
        <v>46167</v>
      </c>
      <c r="I355" s="11" t="s">
        <v>84</v>
      </c>
      <c r="J355" s="11">
        <v>1</v>
      </c>
      <c r="K355" s="12">
        <v>46234</v>
      </c>
    </row>
  </sheetData>
  <autoFilter ref="A1:K355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selection activeCell="A5" sqref="A5:B5"/>
    </sheetView>
  </sheetViews>
  <sheetFormatPr defaultColWidth="8.6328125" defaultRowHeight="14.5" x14ac:dyDescent="0.35"/>
  <cols>
    <col min="1" max="1" width="28" customWidth="1"/>
    <col min="2" max="2" width="110" customWidth="1"/>
  </cols>
  <sheetData>
    <row r="1" spans="1:3" ht="15" customHeight="1" x14ac:dyDescent="0.35">
      <c r="A1" s="2"/>
      <c r="B1" s="3"/>
    </row>
    <row r="2" spans="1:3" ht="15" customHeight="1" x14ac:dyDescent="0.35">
      <c r="A2" s="4" t="s">
        <v>71</v>
      </c>
      <c r="B2" s="5" t="s">
        <v>65</v>
      </c>
      <c r="C2" s="6" t="s">
        <v>72</v>
      </c>
    </row>
    <row r="3" spans="1:3" ht="15" customHeight="1" x14ac:dyDescent="0.35">
      <c r="A3" s="4" t="s">
        <v>73</v>
      </c>
      <c r="B3" s="5" t="s">
        <v>66</v>
      </c>
      <c r="C3" s="6" t="s">
        <v>74</v>
      </c>
    </row>
    <row r="4" spans="1:3" ht="15" customHeight="1" x14ac:dyDescent="0.35">
      <c r="A4" s="4" t="s">
        <v>75</v>
      </c>
      <c r="B4" s="5" t="s">
        <v>80</v>
      </c>
      <c r="C4" s="6" t="s">
        <v>76</v>
      </c>
    </row>
    <row r="5" spans="1:3" x14ac:dyDescent="0.35">
      <c r="A5" s="4" t="s">
        <v>5</v>
      </c>
      <c r="B5" s="5" t="s">
        <v>78</v>
      </c>
      <c r="C5" s="6" t="s">
        <v>79</v>
      </c>
    </row>
    <row r="6" spans="1:3" ht="23.25" customHeight="1" x14ac:dyDescent="0.35">
      <c r="A6" s="4" t="s">
        <v>67</v>
      </c>
      <c r="B6" s="5" t="s">
        <v>68</v>
      </c>
      <c r="C6" s="6"/>
    </row>
    <row r="7" spans="1:3" ht="23.25" customHeight="1" x14ac:dyDescent="0.35">
      <c r="A7" s="2"/>
      <c r="B7" s="3"/>
    </row>
    <row r="8" spans="1:3" ht="15" customHeight="1" x14ac:dyDescent="0.35">
      <c r="A8" s="7" t="s">
        <v>69</v>
      </c>
      <c r="B8" s="8" t="s">
        <v>81</v>
      </c>
    </row>
    <row r="9" spans="1:3" ht="26" x14ac:dyDescent="0.35">
      <c r="A9" s="7" t="s">
        <v>10</v>
      </c>
      <c r="B9" s="9" t="s">
        <v>77</v>
      </c>
    </row>
    <row r="10" spans="1:3" ht="23.25" customHeight="1" x14ac:dyDescent="0.35">
      <c r="A10" s="7"/>
      <c r="B10" s="8"/>
    </row>
    <row r="11" spans="1:3" ht="15" customHeight="1" x14ac:dyDescent="0.35">
      <c r="A11" s="7" t="s">
        <v>70</v>
      </c>
      <c r="B11" s="8" t="s">
        <v>82</v>
      </c>
    </row>
    <row r="12" spans="1:3" ht="15" customHeight="1" x14ac:dyDescent="0.35">
      <c r="A12" s="2"/>
      <c r="B12" s="3"/>
    </row>
    <row r="13" spans="1:3" ht="15" customHeight="1" x14ac:dyDescent="0.35">
      <c r="A13" s="2"/>
      <c r="B13" s="3"/>
    </row>
    <row r="14" spans="1:3" ht="23.2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Grid</vt:lpstr>
      <vt:lpstr>Events</vt:lpstr>
      <vt:lpstr>FEMA Disasters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Alicia Jin</cp:lastModifiedBy>
  <cp:revision>0</cp:revision>
  <dcterms:created xsi:type="dcterms:W3CDTF">2026-07-14T19:03:06Z</dcterms:created>
  <dcterms:modified xsi:type="dcterms:W3CDTF">2026-07-15T13:29:44Z</dcterms:modified>
  <dc:language>en-US</dc:language>
</cp:coreProperties>
</file>