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4.xml.rels" ContentType="application/vnd.openxmlformats-package.relationships+xml"/>
  <Override PartName="/xl/worksheets/_rels/sheet3.xml.rels" ContentType="application/vnd.openxmlformats-package.relationships+xml"/>
  <Override PartName="/xl/worksheets/_rels/sheet2.xml.rels" ContentType="application/vnd.openxmlformats-package.relationships+xml"/>
  <Override PartName="/xl/worksheets/_rels/sheet1.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Daily Grid" sheetId="1" state="visible" r:id="rId3"/>
    <sheet name="Events" sheetId="2" state="visible" r:id="rId4"/>
    <sheet name="FEMA Disasters" sheetId="3" state="visible" r:id="rId5"/>
    <sheet name="Fed Register" sheetId="4" state="visible" r:id="rId6"/>
    <sheet name="Legend" sheetId="5" state="visible" r:id="rId7"/>
  </sheets>
  <definedNames>
    <definedName function="false" hidden="true" localSheetId="0" name="_xlnm._FilterDatabase" vbProcedure="false">'Daily Grid'!$A$1:$I$883</definedName>
    <definedName function="false" hidden="true" localSheetId="1" name="_xlnm._FilterDatabase" vbProcedure="false">Events!$A$1:$F$397</definedName>
    <definedName function="false" hidden="true" localSheetId="3" name="_xlnm._FilterDatabase" vbProcedure="false">'Fed Register'!$A$1:$L$642</definedName>
    <definedName function="false" hidden="true" localSheetId="2" name="_xlnm._FilterDatabase" vbProcedure="false">'FEMA Disasters'!$A$1:$K$355</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<sst xmlns="http://schemas.openxmlformats.org/spreadsheetml/2006/main" count="6690" uniqueCount="2472">
  <si>
    <t xml:space="preserve">Date</t>
  </si>
  <si>
    <t xml:space="preserve">Year</t>
  </si>
  <si>
    <t xml:space="preserve">Month</t>
  </si>
  <si>
    <t xml:space="preserve">Weekday</t>
  </si>
  <si>
    <t xml:space="preserve">AEP</t>
  </si>
  <si>
    <t xml:space="preserve">MA_OEP / GEP</t>
  </si>
  <si>
    <t xml:space="preserve">SEP_Notes</t>
  </si>
  <si>
    <t xml:space="preserve">Has_Event</t>
  </si>
  <si>
    <t xml:space="preserve">Event_Detail</t>
  </si>
  <si>
    <t xml:space="preserve">Event_Type</t>
  </si>
  <si>
    <t xml:space="preserve">Affects</t>
  </si>
  <si>
    <t xml:space="preserve">Date_Type</t>
  </si>
  <si>
    <t xml:space="preserve">Description</t>
  </si>
  <si>
    <t xml:space="preserve">Source</t>
  </si>
  <si>
    <t xml:space="preserve">States</t>
  </si>
  <si>
    <t xml:space="preserve">Value_Mechanism</t>
  </si>
  <si>
    <t xml:space="preserve">Legislation</t>
  </si>
  <si>
    <t xml:space="preserve">Part D</t>
  </si>
  <si>
    <t xml:space="preserve">Effective</t>
  </si>
  <si>
    <t xml:space="preserve">IRA phase-in: 5% coinsurance in Part D catastrophic phase eliminated; full Low-Income Subsidy (Extra Help) expanded to 150% FPL</t>
  </si>
  <si>
    <t xml:space="preserve">https://www.cms.gov/newsroom/fact-sheets/2024-medicare-advantage-and-part-d-final-rule-cms-4201-f</t>
  </si>
  <si>
    <t xml:space="preserve">National</t>
  </si>
  <si>
    <t xml:space="preserve">Benefit/Cost Value</t>
  </si>
  <si>
    <t xml:space="preserve">State Regulation</t>
  </si>
  <si>
    <t xml:space="preserve">MS</t>
  </si>
  <si>
    <t xml:space="preserve">Kentucky Medigap birthday rule takes effect (2023 HB 345, Ch. 182; KRS 304.14-525): enrollees may switch to another insurer's same-letter policy within 60 days after their birthday, no medical underwriting; law also added under-65 open enrollment protections</t>
  </si>
  <si>
    <t xml:space="preserve">https://insurance.ky.gov/ppc/Documents/2024.01.24%20Medicare%20Supplement%20Enrollment%20Changes.pdf</t>
  </si>
  <si>
    <t xml:space="preserve">KY</t>
  </si>
  <si>
    <t xml:space="preserve">Switching Window</t>
  </si>
  <si>
    <t xml:space="preserve">CMS Rule</t>
  </si>
  <si>
    <t xml:space="preserve">MA / Part D</t>
  </si>
  <si>
    <t xml:space="preserve">Announced</t>
  </si>
  <si>
    <t xml:space="preserve">CY2025 Advance Notice released: proposed +3.70% avg payment; year 2 of 3-year phase-in of 2024 CMS-HCC (V28) risk model at 67/33 blend; comments due 3/1/2024</t>
  </si>
  <si>
    <t xml:space="preserve">https://www.cms.gov/newsroom/fact-sheets/2025-medicare-advantage-part-d-advance-notice-fact-sheet</t>
  </si>
  <si>
    <t xml:space="preserve">Forward Signal</t>
  </si>
  <si>
    <t xml:space="preserve">Rate Announcement</t>
  </si>
  <si>
    <t xml:space="preserve">CY2025 Rate Announcement: final MA capitation rates (+3.70% avg) and Part C/D payment policies</t>
  </si>
  <si>
    <t xml:space="preserve">https://www.cms.gov/newsroom/fact-sheets/2026-medicare-advantage-part-d-rate-announcement </t>
  </si>
  <si>
    <t xml:space="preserve">MA / Part D / D-SNP / MS / C-SNP</t>
  </si>
  <si>
    <t xml:space="preserve">CY2025 MA &amp; Part D Final Rule (CMS-4205-F): fixed agent/broker compensation (+$100 initial), TPMO one-to-one consent for data sharing, mid-year unused-benefits notice, SSBCI evidence requirements, dual/LIS SEP overhaul, D-SNP look-alike threshold phase-down, behavioral health network adequacy || C-SNP: this rule created both main C-SNP push factors - the look-alike phase-down (70% for 2025, 60% for 2026) and the dual/LIS SEP overhaul - while C-SNPs are exempt from both.</t>
  </si>
  <si>
    <t xml:space="preserve">https://www.cms.gov/newsroom/fact-sheets/contract-year-2025-medicare-advantage-part-d-final-rule-cms-4205-f ; https://www.federalregister.gov/documents/2024/04/23/2024-07105/medicare-program-changes-to-the-medicare-advantage-and-the-medicare-prescription-drug-benefit</t>
  </si>
  <si>
    <t xml:space="preserve">Plan Rules/Structure</t>
  </si>
  <si>
    <t xml:space="preserve">Litigation</t>
  </si>
  <si>
    <t xml:space="preserve">MA</t>
  </si>
  <si>
    <t xml:space="preserve">D.D.C. rules for SCAN Health Plan: CMS's 2024 Star Ratings methodology (guardrail/Tukey sequencing) violated the APA; SCAN's rating ordered recalculated; Elevance won a parallel case ~6/11</t>
  </si>
  <si>
    <t xml:space="preserve">https://www.scanhealthplan.com/about-scan/press-release-archive/scan-health-plan-prevails-in-2024-star-ratings-lawsuit-against-cms</t>
  </si>
  <si>
    <t xml:space="preserve">Quality Ratings</t>
  </si>
  <si>
    <t xml:space="preserve">MA / MS</t>
  </si>
  <si>
    <t xml:space="preserve">N.D. Tex. (Judge O'Connor) stays the CY2025 rule's broker fixed-compensation cap and FMO contract-term restrictions before AEP 2025 - these provisions of the 4/4/2024 final rule never took effect; broker steering incentives persisted (relative MA-vs-Medigap commission economics unchanged)</t>
  </si>
  <si>
    <t xml:space="preserve">https://www.fiercehealthcare.com/payers/court-stops-cms-broker-compensation-rule-medicare-advantage-plans</t>
  </si>
  <si>
    <t xml:space="preserve">Distribution/Commission</t>
  </si>
  <si>
    <t xml:space="preserve">Following SCAN/Elevance rulings, CMS recalculates 2024 Star Ratings industry-wide: 60+ plans across 40 insurers upgraded, ~$1.4B in additional quality bonus payments (date approximate - recalc rolled out late June/early July)</t>
  </si>
  <si>
    <t xml:space="preserve">https://www.beckerspayer.com/payer/unitedhealthcare-beats-cms-in-medicare-advantage-star-ratings/</t>
  </si>
  <si>
    <t xml:space="preserve">CMS publishes negotiated maximum fair prices (MFPs) for the first 10 Part D drugs (effective 1/1/2026)</t>
  </si>
  <si>
    <t xml:space="preserve">https://www.cms.gov/files/document/10522-inflation-reduction-act-timeline.pdf</t>
  </si>
  <si>
    <t xml:space="preserve">Enrollment Milestone</t>
  </si>
  <si>
    <t xml:space="preserve">Deadline</t>
  </si>
  <si>
    <t xml:space="preserve">ANOC delivery deadline: every MA/MA-PD/PDP enrollee must receive their plan's Annual Notice of Change by 9/30 - the day enrollees are actually notified of their plan's CY2025 premium, benefit, and cost-sharing changes ahead of AEP. Not a policy change itself, but a synchronized mass-notification shock (~34M MA members); CY2025 ANOCs carried the post-IRA changes ($2,000 OOP cap, Prescription Payment Plan, supplemental-benefit trims), making this the date the 2025 benefit-cut news reached consumers</t>
  </si>
  <si>
    <t xml:space="preserve">https://www.cms.gov/medicare/health-drug-plans/managed-care-marketing/models-standard-documents-educational-materials</t>
  </si>
  <si>
    <t xml:space="preserve">Shopping Cycle</t>
  </si>
  <si>
    <t xml:space="preserve">CY2025 plan marketing begins; plan landscape/benefit info for 2025 released ahead of AEP; NOTE: the stayed fixed-compensation provisions did NOT apply - per CMS 7/18/2024 memo, pre-rule compensation regs governed AEP 2024; the $100/$50 administrative add-ons were removed from the CY2025 FMV amounts, leaving only the routine annual FMV update (~+2.3%), and administrative payments remained outside the compensation cap</t>
  </si>
  <si>
    <t xml:space="preserve">https://www.cms.gov/newsroom/fact-sheets/contract-year-2025-medicare-advantage-part-d-final-rule-cms-4205-f</t>
  </si>
  <si>
    <t xml:space="preserve">Plan Landscape Release</t>
  </si>
  <si>
    <t xml:space="preserve">MA / Part D / MS</t>
  </si>
  <si>
    <t xml:space="preserve">2025 Star Ratings published on Medicare Plan Finder: sharp industry decline - only 7 MA-PD contracts earned 5 stars (vs 38 for 2024); avg rating fell to ~3.92; drives 2026 quality bonus payments</t>
  </si>
  <si>
    <t xml:space="preserve">https://www.cms.gov/newsroom/fact-sheets/2025-medicare-advantage-part-d-star-ratings</t>
  </si>
  <si>
    <t xml:space="preserve">All</t>
  </si>
  <si>
    <t xml:space="preserve">CY2025 Part B premium set: standard $185.00/mo (+$10.30) and deductible $257; baseline cost every enrolle pays regardless of plan type (affects cost math for MA vs Medigap shoppers during AEP)</t>
  </si>
  <si>
    <t xml:space="preserve">https://www.federalregister.gov/documents/2024/11/14/2024-26474/medicare-program-medicare-part-b-monthly-actuarial-rates-premium-rates-and-annual-deductible</t>
  </si>
  <si>
    <t xml:space="preserve">E.D. Tex. orders CMS to recalculate UnitedHealthcare's 2025 Star Ratings over one disputed test call and immediately republish in Medicare Plan Finder - a mid-AEP ratings change for the largest MA carrier, 15 days before the enrollment deadline</t>
  </si>
  <si>
    <t xml:space="preserve">https://www.fiercehealthcare.com/payers/unitedhealthcare-wins-star-ratings-lawsuit-requiring-cms-recalculate-results</t>
  </si>
  <si>
    <t xml:space="preserve">MA / Part D / D-SNP</t>
  </si>
  <si>
    <t xml:space="preserve">CY2026 Proposed Rule (CMS-4208-P): proposed anti-obesity med coverage in Part D, AI guardrails, prior-auth/UM limits (published in Federal Register 12/10/2024; comments due 1/27/2025; several proposals later NOT finalized)</t>
  </si>
  <si>
    <t xml:space="preserve">https://www.cms.gov/newsroom/fact-sheets/contract-year-2026-policy-and-technical-changes-medicare-advantage-program-medicare-prescription ; https://www.federalregister.gov/documents/2024/12/10/2024-27939/medicare-and-medicaid-programs-contract-year-2026-policy-and-technical-changes-to-the-medicare</t>
  </si>
  <si>
    <t xml:space="preserve">D-SNP / MA / Part D / C-SNP</t>
  </si>
  <si>
    <t xml:space="preserve">CY2025 rule dual-SEP restructure takes effect: quarterly dual/LIS SEP replaced by a monthly SEP to switch to Original Medicare + standalone PDP plus a new monthly integrated-care SEP into integrated D-SNPs - D-SNP switching timing changes from quarterly to continuous || C-SNP: with the quarterly dual SEP gone, the year-round chronic-condition SEP into C-SNPs becomes the main continuous off-cycle enrollment path for duals with qualifying conditions - a direct broker steering channel.</t>
  </si>
  <si>
    <t xml:space="preserve">https://www.federalregister.gov/documents/2024/04/23/2024-07105/medicare-program-changes-to-the-medicare-advantage-and-the-medicare-prescription-drug-benefit</t>
  </si>
  <si>
    <t xml:space="preserve">D-SNP / C-SNP</t>
  </si>
  <si>
    <t xml:space="preserve">D-SNP look-alike enrollment threshold drops 80%-&gt;70% (60% for 2026): non-SNP plans with high dual enrollment must convert or terminate, pushing duals toward true D-SNPs || C-SNP: C-SNPs are NOT subject to look-alike thresholds, making them the natural conversion/cross-walk destination for dual-heavy plans forced to terminate.</t>
  </si>
  <si>
    <t xml:space="preserve">Part D / MA / D-SNP / MS / C-SNP</t>
  </si>
  <si>
    <t xml:space="preserve">IRA: $2,000 annual Part D OOP cap begins; coverage gap eliminated (3-phase benefit); Medicare Prescription Payment Plan launches; Manufacturer Discount Program replaces Coverage Gap Discount Program; Government reinsurance (Part D) drops 80%-&gt;20% (brand-name, biological, biosimilar)/40&amp; (generics); CY2025 Final Rule provisions apply incl. monthly integrated-care SEP for duals (replaces quarterly dual SEP) and D-SNP look-alike threshold lowered to 70% || C-SNP: 70% look-alike threshold + monthly integrated-care SEP take effect; ALSO NEW 1/1/2025: HIDE SNPs must have aligned service areas (Medicaid plan in same counties) and FIDE SNPs must have exclusively aligned enrollment with LTSS/all Medicaid benefits via capitated arrangement. C-SNPs are exempt from all of these; KFF ties this date to the D-SNP growth stall (+159K, +3% in 2025) and C-SNP surge (+476K, +71%, = 75% of 2024-25 SNP growth).</t>
  </si>
  <si>
    <t xml:space="preserve">https://www.cms.gov/newsroom/fact-sheets/2025-medicare-advantage-part-d-advance-notice-fact-sheet ; https://www.cms.gov/newsroom/fact-sheets/contract-year-2025-medicare-advantage-part-d-final-rule-cms-4205-f</t>
  </si>
  <si>
    <t xml:space="preserve">CY2026 Advance Notice released: proposed +4.33% avg payment (~$21B); final year of V28 risk model phase-in; comments due 2/10/2025</t>
  </si>
  <si>
    <t xml:space="preserve">https://www.cms.gov/newsroom/fact-sheets/2026-medicare-advantage-part-d-advance-notice-fact-sheet</t>
  </si>
  <si>
    <t xml:space="preserve">CMS announces 15 additional Part D drugs selected for negotiation round 2 (effective 1/1/2027)</t>
  </si>
  <si>
    <t xml:space="preserve">MA / Part D / D-SNP / C-SNP</t>
  </si>
  <si>
    <t xml:space="preserve">CY2026 Final Rule (CMS-4208-F): scaled back vs proposed (dropped anti-obesity meds, AI guardrails, health equity analysis); finalized inpatient prior-auth protections, appeals loophole fixes, SSBCI non-allowable list, Rx Payment Plan auto-renewal, D-SNP integrated ID cards/HRAs by 2027 || C-SNP (indirect): adds further D-SNP integration burdens (integrated ID cards/HRAs by 2027) with no parallel C-SNP requirements - widens the regulatory-cost gap favoring C-SNP offerings.</t>
  </si>
  <si>
    <t xml:space="preserve">https://www.cms.gov/newsroom/fact-sheets/contract-year-2026-policy-and-technical-changes-medicare-advantage-program-medicare-prescription-final ; https://www.federalregister.gov/documents/2025/04/15/2025-06008/medicare-and-medicaid-programs-contract-year-2026-policy-and-technical-changes-to-the-medicare</t>
  </si>
  <si>
    <t xml:space="preserve">MA / Part D / C-SNP</t>
  </si>
  <si>
    <t xml:space="preserve">CY2026 Rate Announcement: +5.06% avg payment (~$25B, up from proposed 4.33%); V28 risk model phase-in complete (100%); Final CY2026 Part D Redesign Instructions || C-SNP (payment side): V28 consolidated/recalibrated diabetes and vascular HCCs - the conditions defining ~97% of C-SNPs - directly affecting C-SNP risk-score economics at full phase-in.</t>
  </si>
  <si>
    <t xml:space="preserve">https://www.cms.gov/newsroom/fact-sheets/2026-medicare-advantage-part-d-rate-announcement</t>
  </si>
  <si>
    <t xml:space="preserve">Utah Medigap birthday rule takes effect (HB 258, enacted 3/26/2025): 60-day window from birthday to switch to an equal-or-lesser plan with the current insurer only, no underwriting</t>
  </si>
  <si>
    <t xml:space="preserve">https://legiscan.com/UT/bill/HB0258/2025</t>
  </si>
  <si>
    <t xml:space="preserve">UT</t>
  </si>
  <si>
    <t xml:space="preserve">Wyoming Medigap birthday rule takes effect - adopted as a Wyoming Department of Insurance rule (proposed late 2024, public comment through 2/19/2025, signed by Governor), not a statute: 63-day post-birthday window, same-or-lesser benefits, carrier switching allowed, no underwriting</t>
  </si>
  <si>
    <t xml:space="preserve">https://states.aarp.org/wyoming/what-is-the-birthday-rule-and-why-can-it-help-wyomings-medigap-policyholders</t>
  </si>
  <si>
    <t xml:space="preserve">WY</t>
  </si>
  <si>
    <t xml:space="preserve">Virginia Medigap birthday rule takes effect (SB 1199 / HB 2100, enacted 3/24/2025): 60-day open enrollment from birthday to switch to any Medigap policy with the same benefits from any insurer, no underwriting; insurers must send advance written notice of the window</t>
  </si>
  <si>
    <t xml:space="preserve">https://www.scc.virginia.gov/consumers/insurance/health-insurance-consumer/tips,-guides-publications/medigap-birthday-rule/</t>
  </si>
  <si>
    <t xml:space="preserve">VA</t>
  </si>
  <si>
    <t xml:space="preserve">Rhode Island SB 610 signed: creates an annual guaranteed-issue Medigap window aligned with the Medicare AEP (Oct 15-Dec 7) - NOT birthday-based - for anyone with continuous Medigap/MA coverage since their Initial Enrollment Period (no gap &gt;90 days) to switch to ANY Medigap plan; adds 6-month open enrollment at 65 for under-65 enrollees; bans gender/attained-age/issue-age rating from 1/1/2026</t>
  </si>
  <si>
    <t xml:space="preserve">https://ohic.ri.gov/sites/g/files/xkgbur736/files/2025-09/OHIC%20Bulletin%202025-05%20Medicare%20Supplement.pdf</t>
  </si>
  <si>
    <t xml:space="preserve">RI</t>
  </si>
  <si>
    <t xml:space="preserve">D-SNP / MS / MA / C-SNP</t>
  </si>
  <si>
    <t xml:space="preserve">OBBBA (P.L. 119-21) signed: immediate moratorium through 2034 on the MSP eligibility-streamlining rule (CBO: $66B less MSP/Medicaid enrollment support; ~1.3M fewer duals in Medicaid by 2034); Medicare eligibility restricted for certain lawfully present non-citizens; Medicaid work requirements and 6-month redeterminations effective after 2026 - shrinks the D-SNP-eligible pipeline long-run || C-SNP: duals losing Medicaid via work requirements/6-mo redeterminations/MSP moratorium exit D-SNP eligibility but often retain C-SNP-qualifying chronic conditions - long-run C-SNP tailwind.</t>
  </si>
  <si>
    <t xml:space="preserve">https://www.kff.org/medicaid/the-impact-of-h-r-1-on-two-medicaid-eligibility-rules/</t>
  </si>
  <si>
    <t xml:space="preserve">N.D. Tex. vacates the CY2025 rule's fixed-fee and FMO contract-terms provisions outright (upholds the beneficiary data-consent restriction) - broker-compensation reform dead, not just paused, heading into AEP 2026 (ruling week of 8/18/2025)</t>
  </si>
  <si>
    <t xml:space="preserve">https://www.risehealth.org/insights-articles/regulatory-roundup-judge-vacates-cms-regulation-to-limit-ma-broker-agent-pay-caps-elevance-health-loses-star-ratings-case-and-more/</t>
  </si>
  <si>
    <t xml:space="preserve">Provider directory rule (CMS-4208-F2): MA plans must submit provider directory data to CMS for publication in Mediare Plan Finder, with 30 day update requirements and annual accurancy attestations (target "ghost networks"; effective 11/17/2025; applicable plan years begin 1/1/2026)</t>
  </si>
  <si>
    <t xml:space="preserve">https://www.federalregister.gov/documents/2025/09/19/2025-18236/medicare-and-medicaid-programs-contract-year-2026-policy-and-technical-changes-to-the-medicare</t>
  </si>
  <si>
    <t xml:space="preserve">ANOC delivery deadline: every MA/MA-PD/PDP enrollee must receive their plan's Annual Notice of Change by 9/30 - the day enrollees are actually notified of their plan's CY2026 premium, benefit, and cost-sharing changes ahead of AEP (first 10 negotiated drug prices, OOP cap indexed to $2,100, insulin lesser-of-$35/25% language, VBID removal). Not a policy change itself, but the synchronized mass-notification shock preceding AEP 2026</t>
  </si>
  <si>
    <t xml:space="preserve">CY2026 plan marketing begins; plans notify enrollees of 2026 changes; 2026 landscape released ahead of AEP</t>
  </si>
  <si>
    <t xml:space="preserve">https://www.cms.gov/files/document/2026-ma-part-d-landscape-state-state-fact-sheet.pdf</t>
  </si>
  <si>
    <t xml:space="preserve">2026 Star Ratings published on Medicare Plan Finder: 18 contracts earned 5 stars (vs 7 prior yr); measure-set changes (patient-experience weight cut 4 to 2, Kidney Health measure added). NOTE: HCSC enrollment-weighted avg fell ~0.30 stars, remains below 4 stars (HealthScape/Chartis analysis)</t>
  </si>
  <si>
    <t xml:space="preserve">https://www.cms.gov/files/document/2026-star-ratings-fact-sheet.pdf ; https://www.healthscape.com/insights/early-look-2026-medicare-advantage-stars-ratings-stabilize-without-meaningful-improvement</t>
  </si>
  <si>
    <t xml:space="preserve">AEP opens with California's new Medi-Medi (exclusively aligned D-SNP) plans available for enrollment statewide for 1/1/2026 coverage start || C-SNP: CA's closure of non-aligned D-SNP enrollment creates steering pressure toward C-SNPs for duals not in aligned plans (largest state market).</t>
  </si>
  <si>
    <t xml:space="preserve">https://www.dhcs.ca.gov/providers-partners/dual-eligible-special-needs-plans-in-california/</t>
  </si>
  <si>
    <t xml:space="preserve">CA</t>
  </si>
  <si>
    <t xml:space="preserve">First Rhode Island annual Medigap guaranteed-issue window opens with the AEP (RIGL 27-18.2-3(h); OHIC Bulletin 2025-05, effective 9/26/2025): continuous-coverage enrollees may switch to any Medigap plan, and MA enrollees gain a guaranteed off-ramp to Medigap, without underwriting</t>
  </si>
  <si>
    <t xml:space="preserve">CY2026 Part B premium set: standard premium $202.90/mo, up 9.7% ($17.90) from $185, deductible $283 (+$26); press release 11/14/2025, FR notice 11/19/2025. Mid AEP, second largest dollar jump on record.</t>
  </si>
  <si>
    <t xml:space="preserve">https://www.federalregister.gov/documents/2025/11/19/2025-20251/medicare-program-medicare-part-b-monthly-actuarial-rates-premium-rates-and-annual-deductible</t>
  </si>
  <si>
    <t xml:space="preserve">CY2027 Proposed Rule published in Federal Register: Star Ratings measure removals, Part D redesign codification, D-SNP enrollment continuity proposals || C-SNP-CRITICAL: rule contains a formal RFI on C-SNP/I-SNP growth among dually eligible individuals - CMS explicitly flags C-SNP growth as possible circumvention of D-SNP integration rules and floats extending look-alike contracting limits, SMAC requirements, and care-coordination standards to C-SNPs. First direct CMS policy signal aimed at C-SNPs; comments due 1/26/2026.</t>
  </si>
  <si>
    <t xml:space="preserve">https://www.cms.gov/files/document/2027-advance-notice.pdf (p.1 cites FR publication 11/28/2025) ; https://medicareadvocacy.org/cms-caves-to-medicare-advantage-industry/ ; https://www.federalregister.gov/documents/2025/11/28/2025-21456/medicare-program-contract-year-2027-policy-and-technical-changes-to-the-medicare-advantage-program</t>
  </si>
  <si>
    <t xml:space="preserve">CMS publishes MFPs for the 15 rounds-2 drugs (statutory deadline; effective 1/1/2027)</t>
  </si>
  <si>
    <t xml:space="preserve">Part D / MA / D-SNP / C-SNP</t>
  </si>
  <si>
    <t xml:space="preserve">Medicare Drug Price Negotiation: negotiated prices (MFPs) for first 10 selected drugs take effect; Part D OOP cap indexed to $2,100; D-SNP look-alike threshold drops to 60%; D-SNP PPO out-of-network cost-sharing limits begin; CY2026 Final Rule provisions apply to coverage || C-SNP: 60% look-alike threshold further squeezes dual-heavy conventional plans; C-SNPs remain exempt - continued migration pressure.</t>
  </si>
  <si>
    <t xml:space="preserve">https://www.cms.gov/newsroom/fact-sheets/2026-medicare-advantage-part-d-rate-announcement ; https://www.appliedpolicy.com/cms-finalizes-cy-2027-changes-to-medicare-advantage-and-part-d-to-implement-part-d-redesign-update-star-ratings-and-reduce-administrative-burden/ ($2,100) ; https://www.cms.gov/newsroom/fact-sheets/contract-year-2025-medicare-advantage-part-d-final-rule-cms-4205-f (look-alike 60%, PPO limits)</t>
  </si>
  <si>
    <t xml:space="preserve">CalAIM statewide EAE D-SNP launch: all Medi-Cal managed care plans must operate exclusively aligned D-SNPs (1.7M+ dual eligibles); new enrollment into non-aligned D-SNPs closed under state law - only Medi-Medi plans and SCAN FIDE-SNP accept new members || C-SNP: same steering mechanism as 10/15/2025 AEP row, now at full statewide scale (1.7M+ duals).</t>
  </si>
  <si>
    <t xml:space="preserve">Indiana Medigap birthday rule takes effect (HB 1226, enacted April 2025): window from ~1 month before to ~1 month after birthday to switch to any insurer's version of the current same-letter policy, no underwriting</t>
  </si>
  <si>
    <t xml:space="preserve">https://legiscan.com/IN/bill/HB1226/2025</t>
  </si>
  <si>
    <t xml:space="preserve">IN</t>
  </si>
  <si>
    <t xml:space="preserve">Delaware Medigap birthday rule takes effect (SB 71, signed 9/3/2025): annual SEP from 30 days before birthday to at least 30 days after; switch to any same-or-lesser Medigap plan from any carrier, no underwriting; insurers must notify policyholders 30-60 days before their birthday; law also strengthens MA-to-Medigap transition rights</t>
  </si>
  <si>
    <t xml:space="preserve">https://www.legis.delaware.gov/BillDetail/141935</t>
  </si>
  <si>
    <t xml:space="preserve">DE</t>
  </si>
  <si>
    <t xml:space="preserve">Illinois birthday-rule expansion takes effect (SB 56 / P.A. 103-0747, enacted 8/2/2024): during the 45-day post-birthday window (ages 65-75), enrollees may purchase an equal-or-lesser Medigap policy from the same issuer OR any authorized affiliate - previously same-issuer only</t>
  </si>
  <si>
    <t xml:space="preserve">https://www.ilga.gov/documents/legislation/103/SB/PDF/10300SB0056.pdf</t>
  </si>
  <si>
    <t xml:space="preserve">IL</t>
  </si>
  <si>
    <t xml:space="preserve">Rhode Island Medigap community rating mandate takes effect (SB 610): issuers may no longer use gender, attained-age, or issue-age as rating factors - restructures Medigap premium schedules statewide</t>
  </si>
  <si>
    <t xml:space="preserve">https://legiscan.com/RI/text/S0610/id/3156115/Rhode_Island-2025-S0610-Introduced.pdf</t>
  </si>
  <si>
    <t xml:space="preserve">CY2027 Advance Notice released: proposed only +0.09% base update (~$700M) - far below prior years; proposed excluding unlinked chart-review and audio-only diagnoses from risk scores; comments due 2/25/2026</t>
  </si>
  <si>
    <t xml:space="preserve">https://www.cms.gov/files/document/2027-advance-notice.pdf ; https://www.mcdermottplus.com/blog/regs-eggs/cms-issues-cy-2027-medicare-advantage-and-part-d-rate-notice/</t>
  </si>
  <si>
    <t xml:space="preserve">CMS announces 15 round-3 drugs (first round eligible to include Part B drugs; effective 2028)</t>
  </si>
  <si>
    <t xml:space="preserve">New Mexico SB21 'Medicare Supplement Open Enrollment' signed by Governor (Chapter 10): creates a birthday-rule guaranteed-issue window of 60+ days from the first day of the birth month, equal-or-lesser plans - effective 1/1/2027 (outside data window; signing is the in-window event)</t>
  </si>
  <si>
    <t xml:space="preserve">https://legiscan.com/NM/bill/SB21/2026</t>
  </si>
  <si>
    <t xml:space="preserve">NM</t>
  </si>
  <si>
    <t xml:space="preserve">CY2027 Final Rule released (FR pub 4/6/2026; effective 6/1/2026; applicable to coverage 1/1/2027): Star Ratings overhaul (11 measures removed, Excellent Health Outcomes/Health Equity reward dropped), IRA Part D redesign codified for 2027+, SSBCI chronically-ill definition tightened, D-SNP one-plan-per-MCO rule from 2027 || C-SNP: RFI on C-SNP/I-SNP growth summarized but NO C-SNP policy finalized - guardrails deferred to future rulemaking, so the C-SNP regulatory window stays open through at least CY2027.</t>
  </si>
  <si>
    <t xml:space="preserve">https://www.cms.gov/newsroom/fact-sheets/contract-year-2027-medicare-advantage-part-d-final-rule ; https://www.federalregister.gov/documents/2026/04/06/2026-06600/medicare-program-contract-year-2027-and-certain-contract-year-2026-policy-and-technical-changes-to</t>
  </si>
  <si>
    <t xml:space="preserve">CY2027 Rate Announcement: finalized +2.48% avg payment (~$13B, sharply up from proposed 0.09% after industry lobbying); kept 2024 (V28) risk model instead of proposed update; finalized exclusion of unlinked chart-review diagnoses from risk scores</t>
  </si>
  <si>
    <t xml:space="preserve">https://www.cms.gov/files/document/2027-announcement.pdf ; https://www.aha.org/news/headline/2026-04-06-cms-finalizes-medicare-advantage-rates-cy-2027</t>
  </si>
  <si>
    <t xml:space="preserve">Clover v. HHS: federal court in Georgia finds CMS improperly used two groups of 10 measures in calculating Clover's 2026 Star Rating - the ruling that triggered CMS's June 2026 industry-wide recalculation (recalc itself is post-window)</t>
  </si>
  <si>
    <t xml:space="preserve">https://www.healthcarefinancenews.com/news/scan-alignment-sue-cms-over-medicare-advantage-star-ratings</t>
  </si>
  <si>
    <t xml:space="preserve">Disaster_Num</t>
  </si>
  <si>
    <t xml:space="preserve">State</t>
  </si>
  <si>
    <t xml:space="preserve">Decl_Type</t>
  </si>
  <si>
    <t xml:space="preserve">Incident_Type</t>
  </si>
  <si>
    <t xml:space="preserve">Title</t>
  </si>
  <si>
    <t xml:space="preserve">Incident_Begin</t>
  </si>
  <si>
    <t xml:space="preserve">Incident_End</t>
  </si>
  <si>
    <t xml:space="preserve">Declaration_Date</t>
  </si>
  <si>
    <t xml:space="preserve">IA_Declared</t>
  </si>
  <si>
    <t xml:space="preserve">Designated_Areas</t>
  </si>
  <si>
    <t xml:space="preserve">SEP_Start</t>
  </si>
  <si>
    <t xml:space="preserve">SEP_End</t>
  </si>
  <si>
    <t xml:space="preserve">WA</t>
  </si>
  <si>
    <t xml:space="preserve">DR</t>
  </si>
  <si>
    <t xml:space="preserve">Severe Storm</t>
  </si>
  <si>
    <t xml:space="preserve">SEVERE WINTER STORMS, STRAIGHT-LINE WINDS, FLOODING, LANDSLIDES, AND MUDSLIDES</t>
  </si>
  <si>
    <t xml:space="preserve">FALSE</t>
  </si>
  <si>
    <t xml:space="preserve">KS</t>
  </si>
  <si>
    <t xml:space="preserve">Winter Storm</t>
  </si>
  <si>
    <t xml:space="preserve">SEVERE WINTER STORM</t>
  </si>
  <si>
    <t xml:space="preserve">ME</t>
  </si>
  <si>
    <t xml:space="preserve">SEVERE STORMS AND FLOODING</t>
  </si>
  <si>
    <t xml:space="preserve">VT</t>
  </si>
  <si>
    <t xml:space="preserve">NH</t>
  </si>
  <si>
    <t xml:space="preserve">CT</t>
  </si>
  <si>
    <t xml:space="preserve">EM</t>
  </si>
  <si>
    <t xml:space="preserve">SEVERE STORMS, FLOODING, AND A POTENTIAL DAM BREACH</t>
  </si>
  <si>
    <t xml:space="preserve">OR</t>
  </si>
  <si>
    <t xml:space="preserve">SEVERE WINTER STORMS, STRAIGHT-LINE WINDS, LANDSLIDES, AND MUDSLIDES</t>
  </si>
  <si>
    <t xml:space="preserve">Flood</t>
  </si>
  <si>
    <t xml:space="preserve">SEVERE STORM AND FLOODING</t>
  </si>
  <si>
    <t xml:space="preserve">SEVERE WINTER STORMS, TORNADOES, FLOODING, LANDSLIDES, AND MUDSLIDES</t>
  </si>
  <si>
    <t xml:space="preserve">TX</t>
  </si>
  <si>
    <t xml:space="preserve">FM</t>
  </si>
  <si>
    <t xml:space="preserve">Fire</t>
  </si>
  <si>
    <t xml:space="preserve">WINDY DEUCE FIRE</t>
  </si>
  <si>
    <t xml:space="preserve">SMOKEHOUSE CREEK FIRE</t>
  </si>
  <si>
    <t xml:space="preserve">OK</t>
  </si>
  <si>
    <t xml:space="preserve">CATESBY FIRE</t>
  </si>
  <si>
    <t xml:space="preserve">HAPPY JACK FIRE</t>
  </si>
  <si>
    <t xml:space="preserve">OH</t>
  </si>
  <si>
    <t xml:space="preserve">Tornado</t>
  </si>
  <si>
    <t xml:space="preserve">TORNADOES</t>
  </si>
  <si>
    <t xml:space="preserve">SEVERE STORMS</t>
  </si>
  <si>
    <t xml:space="preserve">SEVERE STORMS, STRAIGHT-LINE WINDS, TORNADOES, LANDSLIDES, AND MUDSLIDES</t>
  </si>
  <si>
    <t xml:space="preserve">WV</t>
  </si>
  <si>
    <t xml:space="preserve">SEVERE STORMS, STRAIGHT-LINE WINDS, TORNADOES, FLOODING, LANDSLIDES, AND MUDSLIDES</t>
  </si>
  <si>
    <t xml:space="preserve">SEVERE WINTER STORM AND FLOODING</t>
  </si>
  <si>
    <t xml:space="preserve">NE</t>
  </si>
  <si>
    <t xml:space="preserve">SEVERE WINTER STORM AND STRAIGHT-LINE WINDS</t>
  </si>
  <si>
    <t xml:space="preserve">57 FIRE</t>
  </si>
  <si>
    <t xml:space="preserve">SEVERE STORMS, STRAIGHT-LINE WINDS, TORNADOES, AND FLOODING</t>
  </si>
  <si>
    <t xml:space="preserve">SEVERE STORMS, FLOODING, LANDSLIDES, AND MUDSLIDES</t>
  </si>
  <si>
    <t xml:space="preserve">HI</t>
  </si>
  <si>
    <t xml:space="preserve">SEVERE STORMS, FLOODING, AND LANDSLIDES</t>
  </si>
  <si>
    <t xml:space="preserve">ID</t>
  </si>
  <si>
    <t xml:space="preserve">SEVERE STORM, FLOODING, LANDSLIDES, AND MUDSLIDES</t>
  </si>
  <si>
    <t xml:space="preserve">SEVERE STORMS, STRAIGHT-LINE WINDS, AND TORNADOES</t>
  </si>
  <si>
    <t xml:space="preserve">IA</t>
  </si>
  <si>
    <t xml:space="preserve">SEVERE STORMS AND TORNADOES</t>
  </si>
  <si>
    <t xml:space="preserve">PR</t>
  </si>
  <si>
    <t xml:space="preserve">MT</t>
  </si>
  <si>
    <t xml:space="preserve">TN</t>
  </si>
  <si>
    <t xml:space="preserve">SEVERE STORMS, TORNADOES, AND FLOODING</t>
  </si>
  <si>
    <t xml:space="preserve">FL</t>
  </si>
  <si>
    <t xml:space="preserve">BLUE 2 FIRE </t>
  </si>
  <si>
    <t xml:space="preserve">MO</t>
  </si>
  <si>
    <t xml:space="preserve">SEVERE STORM, STRAIGHT-LINE WINDS, TORNADOES, AND FLOODING</t>
  </si>
  <si>
    <t xml:space="preserve">AR</t>
  </si>
  <si>
    <t xml:space="preserve">AZ</t>
  </si>
  <si>
    <t xml:space="preserve">SIMMONS FIRE</t>
  </si>
  <si>
    <t xml:space="preserve">NV</t>
  </si>
  <si>
    <t xml:space="preserve">TRAIL FIRE</t>
  </si>
  <si>
    <t xml:space="preserve">SULLIVAN FIRE</t>
  </si>
  <si>
    <t xml:space="preserve">ROSE FIRE</t>
  </si>
  <si>
    <t xml:space="preserve">SEVERE STORMS, FLOODING, STRAIGHT-LINE WINDS, AND TORNADOES</t>
  </si>
  <si>
    <t xml:space="preserve">MN</t>
  </si>
  <si>
    <t xml:space="preserve">SD</t>
  </si>
  <si>
    <t xml:space="preserve">SEVERE STORMS, STRAIGHT-LINE WINDS, AND FLOODING</t>
  </si>
  <si>
    <t xml:space="preserve">SOUTH FORK FIRE, SALT FIRE, AND FLOODING</t>
  </si>
  <si>
    <t xml:space="preserve">SOUTH FORK FIRE</t>
  </si>
  <si>
    <t xml:space="preserve">SALT FIRE</t>
  </si>
  <si>
    <t xml:space="preserve">WILDFIRES</t>
  </si>
  <si>
    <t xml:space="preserve">SLIDE RANCH FIRE</t>
  </si>
  <si>
    <t xml:space="preserve">DARLENE 3 FIRE</t>
  </si>
  <si>
    <t xml:space="preserve">BOULDER VIEW FIRE</t>
  </si>
  <si>
    <t xml:space="preserve">THOMPSON FIRE</t>
  </si>
  <si>
    <t xml:space="preserve">FRENCH FIRE</t>
  </si>
  <si>
    <t xml:space="preserve">Hurricane</t>
  </si>
  <si>
    <t xml:space="preserve">HURRICANE BERYL </t>
  </si>
  <si>
    <t xml:space="preserve">SILVER KING FIRE</t>
  </si>
  <si>
    <t xml:space="preserve">SHAKE FIRE</t>
  </si>
  <si>
    <t xml:space="preserve">HORSE GULCH FIRE</t>
  </si>
  <si>
    <t xml:space="preserve">NY</t>
  </si>
  <si>
    <t xml:space="preserve">SEVERE STORM, TORNADOES, AND FLOODING</t>
  </si>
  <si>
    <t xml:space="preserve">WATCH FIRE</t>
  </si>
  <si>
    <t xml:space="preserve">LARCH CREEK FIRE</t>
  </si>
  <si>
    <t xml:space="preserve">SEVERE STORMS, TORNADOES, STRAIGHT-LINE WINDS, AND FLOODNG</t>
  </si>
  <si>
    <t xml:space="preserve">SEVERE STORM, STRAIGHT-LINE WINDS, AND FLOODING</t>
  </si>
  <si>
    <t xml:space="preserve">TEXAS FIRE</t>
  </si>
  <si>
    <t xml:space="preserve">SPRING VALLEY FIRE</t>
  </si>
  <si>
    <t xml:space="preserve">LONE ROCK FIRE</t>
  </si>
  <si>
    <t xml:space="preserve">SWAWILLA FIRE </t>
  </si>
  <si>
    <t xml:space="preserve">FALLS FIRE</t>
  </si>
  <si>
    <t xml:space="preserve">BONEYARD FIRE</t>
  </si>
  <si>
    <t xml:space="preserve">BATTLE MOUNTAIN FIRE COMPLEX</t>
  </si>
  <si>
    <t xml:space="preserve">HAWARDEN FIRE</t>
  </si>
  <si>
    <t xml:space="preserve">DURKEE FIRE</t>
  </si>
  <si>
    <t xml:space="preserve">WEST WHITE SWAN FIRE</t>
  </si>
  <si>
    <t xml:space="preserve">Straight-Line Winds</t>
  </si>
  <si>
    <t xml:space="preserve">STRAIGHT-LINE WINDS</t>
  </si>
  <si>
    <t xml:space="preserve">PARK FIRE</t>
  </si>
  <si>
    <t xml:space="preserve">GWEN FIRE</t>
  </si>
  <si>
    <t xml:space="preserve">RETREAT FIRE</t>
  </si>
  <si>
    <t xml:space="preserve">BOREL FIRE</t>
  </si>
  <si>
    <t xml:space="preserve">PLEASANT VALLEY FIRE</t>
  </si>
  <si>
    <t xml:space="preserve">CO</t>
  </si>
  <si>
    <t xml:space="preserve">STONE MOUNTAIN FIRE</t>
  </si>
  <si>
    <t xml:space="preserve">ALEXANDER MOUNTAIN FIRE</t>
  </si>
  <si>
    <t xml:space="preserve">Tropical Storm</t>
  </si>
  <si>
    <t xml:space="preserve">TROPICAL STORM DEBBY</t>
  </si>
  <si>
    <t xml:space="preserve">HURRICANE DEBBY</t>
  </si>
  <si>
    <t xml:space="preserve">QUARRY FIRE</t>
  </si>
  <si>
    <t xml:space="preserve">MILE MARKER 132 FIRE</t>
  </si>
  <si>
    <t xml:space="preserve">SC</t>
  </si>
  <si>
    <t xml:space="preserve">GA</t>
  </si>
  <si>
    <t xml:space="preserve">ELK LANE FIRE</t>
  </si>
  <si>
    <t xml:space="preserve">NC</t>
  </si>
  <si>
    <t xml:space="preserve">AK</t>
  </si>
  <si>
    <t xml:space="preserve">FLOODING</t>
  </si>
  <si>
    <t xml:space="preserve">SEVERE STORM AND STRAIGHT-LINE WINDS</t>
  </si>
  <si>
    <t xml:space="preserve">TROPICAL DEPRESSION DEBBY</t>
  </si>
  <si>
    <t xml:space="preserve">REMNANTS OF TROPICAL STORM DEBBY</t>
  </si>
  <si>
    <t xml:space="preserve">LEE FALLS FIRE</t>
  </si>
  <si>
    <t xml:space="preserve">PA</t>
  </si>
  <si>
    <t xml:space="preserve">GOLD RANCH FIRE</t>
  </si>
  <si>
    <t xml:space="preserve">TROPICAL STORM ERNESTO</t>
  </si>
  <si>
    <t xml:space="preserve">VI</t>
  </si>
  <si>
    <t xml:space="preserve">TROPICAL STORM ERNESTO </t>
  </si>
  <si>
    <t xml:space="preserve">HOUSE DRAW FIRE</t>
  </si>
  <si>
    <t xml:space="preserve">Mud/Landslide</t>
  </si>
  <si>
    <t xml:space="preserve">LANDSLIDES</t>
  </si>
  <si>
    <t xml:space="preserve">COPPERFIELD FIRE</t>
  </si>
  <si>
    <t xml:space="preserve">RAIL RIDGE FIRE</t>
  </si>
  <si>
    <t xml:space="preserve">DAVIS FIRE</t>
  </si>
  <si>
    <t xml:space="preserve">LINE FIRE</t>
  </si>
  <si>
    <t xml:space="preserve">BOYLES FIRE</t>
  </si>
  <si>
    <t xml:space="preserve">LA</t>
  </si>
  <si>
    <t xml:space="preserve">HURRICANE FRANCINE</t>
  </si>
  <si>
    <t xml:space="preserve">TROPICAL STORM FRANCINE</t>
  </si>
  <si>
    <t xml:space="preserve">BRIDGE FIRE</t>
  </si>
  <si>
    <t xml:space="preserve">AIRPORT FIRE</t>
  </si>
  <si>
    <t xml:space="preserve">POTENTIAL TROPICAL CYCLONE EIGHT</t>
  </si>
  <si>
    <t xml:space="preserve">AL</t>
  </si>
  <si>
    <t xml:space="preserve">HURRICANE HELENE</t>
  </si>
  <si>
    <t xml:space="preserve">TROPICAL STORM HELENE</t>
  </si>
  <si>
    <t xml:space="preserve">POST-TROPICAL CYCLONE HELENE</t>
  </si>
  <si>
    <t xml:space="preserve">POST-TROPICAL STORM HELENE</t>
  </si>
  <si>
    <t xml:space="preserve">REMNANTS OF HURRICANE HELENE</t>
  </si>
  <si>
    <t xml:space="preserve">ELK FIRE</t>
  </si>
  <si>
    <t xml:space="preserve">HURRICANE MILTON</t>
  </si>
  <si>
    <t xml:space="preserve">HURRICANE MILTON </t>
  </si>
  <si>
    <t xml:space="preserve">ND</t>
  </si>
  <si>
    <t xml:space="preserve">WILDFIRES AND STRAIGHT-LINE WINDS</t>
  </si>
  <si>
    <t xml:space="preserve">BEAR DEN FIRE</t>
  </si>
  <si>
    <t xml:space="preserve">ELK HORN FIRE</t>
  </si>
  <si>
    <t xml:space="preserve">SEVERE STORM AND FLOODING </t>
  </si>
  <si>
    <t xml:space="preserve">HAWTHORNE FIRE </t>
  </si>
  <si>
    <t xml:space="preserve">EUCHEE CREEK FIRE</t>
  </si>
  <si>
    <t xml:space="preserve">NORTH ROAD FIRE</t>
  </si>
  <si>
    <t xml:space="preserve">SEVERE STORMS, TORNADOES, STRAIGHT-LINE WINDS, AND FLOODING</t>
  </si>
  <si>
    <t xml:space="preserve">MOUNTAIN FIRE</t>
  </si>
  <si>
    <t xml:space="preserve">JENNINGS CREEK FIRE</t>
  </si>
  <si>
    <t xml:space="preserve">CALLAHAN FIRE</t>
  </si>
  <si>
    <t xml:space="preserve">FRANKLIN FIRE</t>
  </si>
  <si>
    <t xml:space="preserve">PALISADES FIRE</t>
  </si>
  <si>
    <t xml:space="preserve">EATON FIRE</t>
  </si>
  <si>
    <t xml:space="preserve">HURST FIRE</t>
  </si>
  <si>
    <t xml:space="preserve">SEVERE WINTER STORMS AND FLOODING</t>
  </si>
  <si>
    <t xml:space="preserve">SEVERE STORMS, STRAIGHT-LINE WINDS, FLOODING, AND LANDSLIDES</t>
  </si>
  <si>
    <t xml:space="preserve">SEVERE STORMS, STRAIGHT-LINE WINDS, FLOODING, LANDSLIDES, AND MUDSLIDES</t>
  </si>
  <si>
    <t xml:space="preserve">SEVERE STORM, STRAIGHT-LINE WINDS, FLOODING, LANDSLIDES, AND MUDSLIDES</t>
  </si>
  <si>
    <t xml:space="preserve">COVINGTON DRIVE FIRE</t>
  </si>
  <si>
    <t xml:space="preserve">WELDER FIRE</t>
  </si>
  <si>
    <t xml:space="preserve">DUKE FIRE</t>
  </si>
  <si>
    <t xml:space="preserve">SEVERE STORMS, STRAIGHT-LINE WINDS, TORNADOES, AND WILDFIRES</t>
  </si>
  <si>
    <t xml:space="preserve">SEVERE WINTER STORM, STRAIGHT-LINE WINDS, FLOODING, AND WILDFIRES</t>
  </si>
  <si>
    <t xml:space="preserve">REST AREA FIRE</t>
  </si>
  <si>
    <t xml:space="preserve">YATES CENTER FIRE</t>
  </si>
  <si>
    <t xml:space="preserve">840 ROAD FIRE</t>
  </si>
  <si>
    <t xml:space="preserve">STILLWATER FIRE</t>
  </si>
  <si>
    <t xml:space="preserve">CHANDLER FIRE</t>
  </si>
  <si>
    <t xml:space="preserve">LITTLE SALT CREEK FIRE</t>
  </si>
  <si>
    <t xml:space="preserve">LOGAN FIRE</t>
  </si>
  <si>
    <t xml:space="preserve">LUTHER FIRE</t>
  </si>
  <si>
    <t xml:space="preserve">EAST THUNDERBIRD FIRE</t>
  </si>
  <si>
    <t xml:space="preserve">WILDHORSE FIRE</t>
  </si>
  <si>
    <t xml:space="preserve">CLEAR POND FIRE</t>
  </si>
  <si>
    <t xml:space="preserve">UNDERWOOD FIRE</t>
  </si>
  <si>
    <t xml:space="preserve">KEYSTONE FIRE</t>
  </si>
  <si>
    <t xml:space="preserve">BARN FIRE</t>
  </si>
  <si>
    <t xml:space="preserve">NORGE FIRE</t>
  </si>
  <si>
    <t xml:space="preserve">CRABAPPLE FIRE</t>
  </si>
  <si>
    <t xml:space="preserve">DOUBLE S FIRE</t>
  </si>
  <si>
    <t xml:space="preserve">328 FIRE</t>
  </si>
  <si>
    <t xml:space="preserve">PAULINE ROAD FIRE</t>
  </si>
  <si>
    <t xml:space="preserve">BLACK COVE FIRE COMPLEX</t>
  </si>
  <si>
    <t xml:space="preserve">TABLE ROCK FIRE </t>
  </si>
  <si>
    <t xml:space="preserve">TABLE ROCK FIRE COMPLEX</t>
  </si>
  <si>
    <t xml:space="preserve">ALARKA FIRE </t>
  </si>
  <si>
    <t xml:space="preserve">TABLE ROCK FIRE</t>
  </si>
  <si>
    <t xml:space="preserve">MI</t>
  </si>
  <si>
    <t xml:space="preserve">Severe Ice Storm</t>
  </si>
  <si>
    <t xml:space="preserve">RIO GRANDE FIRE</t>
  </si>
  <si>
    <t xml:space="preserve">SAM DAVIS ROAD FIRE</t>
  </si>
  <si>
    <t xml:space="preserve">NJ</t>
  </si>
  <si>
    <t xml:space="preserve">JONES ROAD FIRE</t>
  </si>
  <si>
    <t xml:space="preserve">SUNSET DRIVE FIRE </t>
  </si>
  <si>
    <t xml:space="preserve">MUNGER SHAW FIRE</t>
  </si>
  <si>
    <t xml:space="preserve">GREER FIRE</t>
  </si>
  <si>
    <t xml:space="preserve">CODY FIRE</t>
  </si>
  <si>
    <t xml:space="preserve">MARIE FIRE</t>
  </si>
  <si>
    <t xml:space="preserve">ROWENA FIRE </t>
  </si>
  <si>
    <t xml:space="preserve">TROUT FIRE</t>
  </si>
  <si>
    <t xml:space="preserve">ALDER SPRINGS FIRE</t>
  </si>
  <si>
    <t xml:space="preserve">UPPER APPLEGATE ROAD FIRE </t>
  </si>
  <si>
    <t xml:space="preserve">FORSYTH FIRE</t>
  </si>
  <si>
    <t xml:space="preserve">SEVERE STORM, TORNADOES, AND STRAIGHT-LINE WINDS</t>
  </si>
  <si>
    <t xml:space="preserve">CONNER FIRE</t>
  </si>
  <si>
    <t xml:space="preserve">SEVERE STORMS AND STRAIGHT-LINE WINDS</t>
  </si>
  <si>
    <t xml:space="preserve">DESERT WILLOW FIRE COMPLEX</t>
  </si>
  <si>
    <t xml:space="preserve">HIMALAYA ROAD FIRE </t>
  </si>
  <si>
    <t xml:space="preserve">COTTON 2 FIRE</t>
  </si>
  <si>
    <t xml:space="preserve">BEAR CREEK FIRE </t>
  </si>
  <si>
    <t xml:space="preserve">NENANA RIDGE COMPLEX</t>
  </si>
  <si>
    <t xml:space="preserve">Tropical Depression</t>
  </si>
  <si>
    <t xml:space="preserve">TROPICAL DEPRESSION CHANTAL</t>
  </si>
  <si>
    <t xml:space="preserve">DEER CREEK FIRE</t>
  </si>
  <si>
    <t xml:space="preserve">HIGHLAND FIRE</t>
  </si>
  <si>
    <t xml:space="preserve">MONROE CANYON FIRE</t>
  </si>
  <si>
    <t xml:space="preserve">BURDOIN FIRE</t>
  </si>
  <si>
    <t xml:space="preserve">PEAVINE FIRE</t>
  </si>
  <si>
    <t xml:space="preserve">LEE FIRE</t>
  </si>
  <si>
    <t xml:space="preserve">CANYON FIRE</t>
  </si>
  <si>
    <t xml:space="preserve">WI</t>
  </si>
  <si>
    <t xml:space="preserve">SEVERE STORMS, STRAIGHT-LINE WINDS, FLOODING, AND MUDSLIDES</t>
  </si>
  <si>
    <t xml:space="preserve">OAK FIRE</t>
  </si>
  <si>
    <t xml:space="preserve">SUNSET FIRE</t>
  </si>
  <si>
    <t xml:space="preserve">RED CANYON FIRE</t>
  </si>
  <si>
    <t xml:space="preserve">KUNIA ROAD FIRE</t>
  </si>
  <si>
    <t xml:space="preserve"> FLAT FIRE </t>
  </si>
  <si>
    <t xml:space="preserve">WINDY ROCK FIRE</t>
  </si>
  <si>
    <t xml:space="preserve">2-7 FIRE</t>
  </si>
  <si>
    <t xml:space="preserve">HOLOMUA FIRE</t>
  </si>
  <si>
    <t xml:space="preserve">LOWER SUGARLOAF FIRE</t>
  </si>
  <si>
    <t xml:space="preserve">SEVERE STORMS, FLOODING, AND REMNANTS OF TYPHOON HALONG</t>
  </si>
  <si>
    <t xml:space="preserve">SEVERE STORM</t>
  </si>
  <si>
    <t xml:space="preserve">SUNNY FIRE</t>
  </si>
  <si>
    <t xml:space="preserve">DC</t>
  </si>
  <si>
    <t xml:space="preserve">Other</t>
  </si>
  <si>
    <t xml:space="preserve">SEWER LINE COLLAPSE </t>
  </si>
  <si>
    <t xml:space="preserve">MD</t>
  </si>
  <si>
    <t xml:space="preserve">SEVERE WINTER STORM </t>
  </si>
  <si>
    <t xml:space="preserve">STEVENS FIRE</t>
  </si>
  <si>
    <t xml:space="preserve">RANGER ROAD FIRE</t>
  </si>
  <si>
    <t xml:space="preserve">43 FIRE</t>
  </si>
  <si>
    <t xml:space="preserve">8 BALL FIRE</t>
  </si>
  <si>
    <t xml:space="preserve">HOSPITAL ROAD FIRE</t>
  </si>
  <si>
    <t xml:space="preserve">RATTLESNAKE FIRE</t>
  </si>
  <si>
    <t xml:space="preserve">SEVERE WINTER STORM AND SNOWSTORM</t>
  </si>
  <si>
    <t xml:space="preserve">QURY FIRE</t>
  </si>
  <si>
    <t xml:space="preserve">MORRILL-COTTONWOOD FIRE</t>
  </si>
  <si>
    <t xml:space="preserve">1170 ROAD FIRE</t>
  </si>
  <si>
    <t xml:space="preserve">CORNER POCKET FIRE</t>
  </si>
  <si>
    <t xml:space="preserve">BUCK HORN FIRE</t>
  </si>
  <si>
    <t xml:space="preserve">DIBBLE CREEK FIRE</t>
  </si>
  <si>
    <t xml:space="preserve">JUMPING JUNIPER FIRE</t>
  </si>
  <si>
    <t xml:space="preserve">GU</t>
  </si>
  <si>
    <t xml:space="preserve">TYPHOON SINLAKU</t>
  </si>
  <si>
    <t xml:space="preserve">MP</t>
  </si>
  <si>
    <t xml:space="preserve">SUPER TYPHOON SINLAKU</t>
  </si>
  <si>
    <t xml:space="preserve">Typhoon</t>
  </si>
  <si>
    <t xml:space="preserve">PINELAND ROAD FIRE</t>
  </si>
  <si>
    <t xml:space="preserve">RAILROAD COMPLEX FIRE</t>
  </si>
  <si>
    <t xml:space="preserve">HIGHWAY 82 FIRE</t>
  </si>
  <si>
    <t xml:space="preserve">COW CREEK FIRE</t>
  </si>
  <si>
    <t xml:space="preserve">HUNGGATE FIRE</t>
  </si>
  <si>
    <t xml:space="preserve">STINKY FIRE</t>
  </si>
  <si>
    <t xml:space="preserve">SANDY FIRE</t>
  </si>
  <si>
    <t xml:space="preserve">BAIN FIRE</t>
  </si>
  <si>
    <t xml:space="preserve">Chemical</t>
  </si>
  <si>
    <t xml:space="preserve">CHEMICAL RELEASE</t>
  </si>
  <si>
    <t xml:space="preserve">Doc_Number</t>
  </si>
  <si>
    <t xml:space="preserve">Type</t>
  </si>
  <si>
    <t xml:space="preserve">Pub_Date</t>
  </si>
  <si>
    <t xml:space="preserve">Effective_Date</t>
  </si>
  <si>
    <t xml:space="preserve">Match</t>
  </si>
  <si>
    <t xml:space="preserve">Matched_Keywords</t>
  </si>
  <si>
    <t xml:space="preserve">Abstract</t>
  </si>
  <si>
    <t xml:space="preserve">URL</t>
  </si>
  <si>
    <t xml:space="preserve">Full_Text_Scanned</t>
  </si>
  <si>
    <t xml:space="preserve">Priority</t>
  </si>
  <si>
    <t xml:space="preserve">Trim_Note</t>
  </si>
  <si>
    <t xml:space="preserve">2023-28831</t>
  </si>
  <si>
    <t xml:space="preserve">Notice</t>
  </si>
  <si>
    <t xml:space="preserve">Medicare and Medicaid Programs; Application from the Community Health Accreditation Program (CHAP) for Continued Approval of Its Home Health Agency Accreditation Program</t>
  </si>
  <si>
    <t xml:space="preserve">This notice announces our decision to approve the Community Health Accreditation Program (CHAP) for continued recognition as a national accrediting organization for home health agencies (HHAs) that wish to participate in the Medicare or Medicaid programs.</t>
  </si>
  <si>
    <t xml:space="preserve">https://www.federalregister.gov/documents/2024/01/02/2023-28831/medicare-and-medicaid-programs-application-from-the-community-health-accreditation-program-chap-for</t>
  </si>
  <si>
    <t xml:space="preserve">Y</t>
  </si>
  <si>
    <t xml:space="preserve">2024-00205</t>
  </si>
  <si>
    <t xml:space="preserve">Medicaid and Children's Health Insurance Program (CHIP) Generic Information Collection Activities: Proposed Collection; Comment Request</t>
  </si>
  <si>
    <t xml:space="preserve">On May 28, 2010, the Office of Management and Budget (OMB) issued Paperwork Reduction Act (PRA) guidance related to the "generic" clearance process. Generally, this is an expedited process by which agencies may obtain OMB's approval of collection of information requests that are "usually voluntary, low-burden, and uncontroversial collections," do not raise any substantive or policy issues, and do not require policy or methodological review. The process requires the submission of an overarching p</t>
  </si>
  <si>
    <t xml:space="preserve">https://www.federalregister.gov/documents/2024/01/09/2024-00205/medicaid-and-childrens-health-insurance-program-chip-generic-information-collection-activities</t>
  </si>
  <si>
    <t xml:space="preserve">2024-00270</t>
  </si>
  <si>
    <t xml:space="preserve">Agency Information Collection Activities: Proposed Collection; Comment Request</t>
  </si>
  <si>
    <t xml:space="preserve">The Centers for Medicare &amp; Medicaid Services (CMS) is announcing an opportunity for the public to comment on CMS' intention to collect information from the public. Under the Paperwork Reduction Act of 1995 (PRA), Federal agencies are required to publish notice in the Federal Register concerning each proposed collection of information (including each proposed extension or reinstatement of an existing collection of information) and to allow 60 days for public comment on the proposed action. Intere</t>
  </si>
  <si>
    <t xml:space="preserve">https://www.federalregister.gov/documents/2024/01/10/2024-00270/agency-information-collection-activities-proposed-collection-comment-request</t>
  </si>
  <si>
    <t xml:space="preserve">2024-00474</t>
  </si>
  <si>
    <t xml:space="preserve">part d(4); medicare advantage(1)</t>
  </si>
  <si>
    <t xml:space="preserve">Agency Information Collection Activities: Submission for OMB Review; Comment Request</t>
  </si>
  <si>
    <t xml:space="preserve">The Centers for Medicare &amp; Medicaid Services (CMS) is announcing an opportunity for the public to comment on CMS' intention to collect information from the public. Under the Paperwork Reduction Act of 1995 (PRA), Federal agencies are required to publish notice in the Federal Register concerning each proposed collection of information, including each proposed extension or reinstatement of an existing collection of information, and to allow a second opportunity for public comment on the notice. In</t>
  </si>
  <si>
    <t xml:space="preserve">https://www.federalregister.gov/documents/2024/01/11/2024-00474/agency-information-collection-activities-submission-for-omb-review-comment-request</t>
  </si>
  <si>
    <t xml:space="preserve">SKIP</t>
  </si>
  <si>
    <t xml:space="preserve">PRA paperwork notice</t>
  </si>
  <si>
    <t xml:space="preserve">2024-00657</t>
  </si>
  <si>
    <t xml:space="preserve">dual eligible(3)</t>
  </si>
  <si>
    <t xml:space="preserve">The Centers for Medicare &amp; Medicaid Services (CMS) is announcing an opportunity for the public to comment on CMS' intention to collect information from the public. Under the Paperwork Reduction Act of 1995 (PRA), federal agencies are required to publish notice in the Federal Register concerning each proposed collection of information, including each proposed extension or reinstatement of an existing collection of information, and to allow a second opportunity for public comment on the notice. In</t>
  </si>
  <si>
    <t xml:space="preserve">https://www.federalregister.gov/documents/2024/01/16/2024-00657/agency-information-collection-activities-submission-for-omb-review-comment-request</t>
  </si>
  <si>
    <t xml:space="preserve">2024-00897</t>
  </si>
  <si>
    <t xml:space="preserve">ma organization(6); part c(1)</t>
  </si>
  <si>
    <t xml:space="preserve">https://www.federalregister.gov/documents/2024/01/18/2024-00897/agency-information-collection-activities-submission-for-omb-review-comment-request</t>
  </si>
  <si>
    <t xml:space="preserve">2024-01072</t>
  </si>
  <si>
    <t xml:space="preserve">Proposed Rule</t>
  </si>
  <si>
    <t xml:space="preserve">Federal Independent Dispute Resolution Operations; Reopening of Comment Period</t>
  </si>
  <si>
    <t xml:space="preserve">This document reopens the comment period for the proposed rules entitled "Federal Independent Dispute Resolution Operations" that appeared in the November 3, 2023, issue of the Federal Register. The comment period for the proposed rules, which closed on January 2, 2024, is reopened from January 22, 2024 to February 5, 2024.</t>
  </si>
  <si>
    <t xml:space="preserve">https://www.federalregister.gov/documents/2024/01/22/2024-01072/federal-independent-dispute-resolution-operations-reopening-of-comment-period</t>
  </si>
  <si>
    <t xml:space="preserve">2024-01383</t>
  </si>
  <si>
    <t xml:space="preserve">medicare advantage(2)</t>
  </si>
  <si>
    <t xml:space="preserve">https://www.federalregister.gov/documents/2024/01/25/2024-01383/agency-information-collection-activities-submission-for-omb-review-comment-request</t>
  </si>
  <si>
    <t xml:space="preserve">2024-01582</t>
  </si>
  <si>
    <t xml:space="preserve">part d(8); medicare advantage(4); part c(2)</t>
  </si>
  <si>
    <t xml:space="preserve">The Centers for Medicare &amp; Medicaid Services (CMS) is announcing an opportunity for the public to comment on CMS' intention to collect information from the public. Under the Paperwork Reduction Act of 1995 (PRA), federal agencies are required to publish notice in the Federal Register concerning each proposed collection of information (including each proposed extension or reinstatement of an existing collection of information) and to allow 60 days for public comment on the proposed action. Intere</t>
  </si>
  <si>
    <t xml:space="preserve">https://www.federalregister.gov/documents/2024/01/26/2024-01582/agency-information-collection-activities-proposed-collection-comment-request</t>
  </si>
  <si>
    <t xml:space="preserve">2024-01723</t>
  </si>
  <si>
    <t xml:space="preserve">part d(10)</t>
  </si>
  <si>
    <t xml:space="preserve">https://www.federalregister.gov/documents/2024/01/29/2024-01723/agency-information-collection-activities-proposed-collection-comment-request</t>
  </si>
  <si>
    <t xml:space="preserve">2024-01785</t>
  </si>
  <si>
    <t xml:space="preserve">medicare advantage(2); part d(1)</t>
  </si>
  <si>
    <t xml:space="preserve">Medicare and Medicaid Programs; Quarterly Listing of Program Issuances-October Through December 2023</t>
  </si>
  <si>
    <t xml:space="preserve">This quarterly notice lists CMS manual instructions, substantive and interpretive regulations, and other Federal Register notices that were published in the 3-month period, relating to the Medicare and Medicaid programs and other programs administered by CMS.</t>
  </si>
  <si>
    <t xml:space="preserve">https://www.federalregister.gov/documents/2024/01/30/2024-01785/medicare-and-medicaid-programs-quarterly-listing-of-program-issuances-october-through-december-2023</t>
  </si>
  <si>
    <t xml:space="preserve">catalog of issuances</t>
  </si>
  <si>
    <t xml:space="preserve">2024-00895</t>
  </si>
  <si>
    <t xml:space="preserve">Rule</t>
  </si>
  <si>
    <t xml:space="preserve">ma organization(237); part d(26); medicare advantage(15); d-snp(11); part c(9); special needs plan(4); dual eligible(2)</t>
  </si>
  <si>
    <t xml:space="preserve">Medicare and Medicaid Programs; Patient Protection and Affordable Care Act; Advancing Interoperability and Improving Prior Authorization Processes for Medicare Advantage Organizations, Medicaid Managed Care Plans, State Medicaid Agencies, Children's Health Insurance Program (CHIP) Agencies and CHIP Managed Care Entities, Issuers of Qualified Health Plans on the Federally-Facilitated Exchanges, Merit-Based Incentive Payment System (MIPS) Eligible Clinicians, and Eligible Hospitals and Critical Access Hospitals in the Medicare Promoting Interoperability Program</t>
  </si>
  <si>
    <t xml:space="preserve">This final rule will improve the electronic exchange of health care data and streamline processes related to prior authorization through new requirements for Medicare Advantage (MA) organizations, state Medicaid fee-for-service (FFS) programs, state Children's Health Insurance Program (CHIP) FFS programs, Medicaid managed care plans, CHIP managed care entities, and Qualified Health Plan (QHP) issuers on the Federally-facilitated Exchanges (FFEs). This final rule will also add new measures for el</t>
  </si>
  <si>
    <t xml:space="preserve">https://www.federalregister.gov/documents/2024/02/08/2024-00895/medicare-and-medicaid-programs-patient-protection-and-affordable-care-act-advancing-interoperability</t>
  </si>
  <si>
    <t xml:space="preserve">HIGH</t>
  </si>
  <si>
    <t xml:space="preserve">core MA/Part D policy doc (strong kw=269)</t>
  </si>
  <si>
    <t xml:space="preserve">2024-01094</t>
  </si>
  <si>
    <t xml:space="preserve">Medicare Program; Calendar Year (CY) 2024 Home Health (HH) Prospective Payment System Rate Update; HH Quality Reporting Program Requirements; HH Value-Based Purchasing Expanded Model Requirements; Home Intravenous Immune Globulin Items and Services; Hospice Informal Dispute Resolution and Special Focus Program Requirements, Certain Requirements for Durable Medical Equipment Prosthetics and Orthotics Supplies; and Provider and Supplier Enrollment Requirements; Correction</t>
  </si>
  <si>
    <t xml:space="preserve">This document corrects technical errors in the final rule that appeared in the November 13, 2023 Federal Register titled "Medicare Program; Calendar Year (CY) 2024 Home Health (HH) Prospective Payment System Rate Update; HH Quality Reporting Program Requirements; HH Value-Based Purchasing Expanded Model Requirements; Home Intravenous Immune Globulin Items and Services; Hospice Informal Dispute Resolution and Special Focus Program Requirements, Certain Requirements for Durable Medical Equipment P</t>
  </si>
  <si>
    <t xml:space="preserve">https://www.federalregister.gov/documents/2024/01/31/2024-01094/medicare-program-calendar-year-cy-2024-home-health-hh-prospective-payment-system-rate-update-hh</t>
  </si>
  <si>
    <t xml:space="preserve">2024-01831</t>
  </si>
  <si>
    <t xml:space="preserve">https://www.federalregister.gov/documents/2024/01/31/2024-01831/agency-information-collection-activities-proposed-collection-comment-request</t>
  </si>
  <si>
    <t xml:space="preserve">2024-01942</t>
  </si>
  <si>
    <t xml:space="preserve">Clinical Laboratory Improvement Amendments of 1988 (CLIA) Fees; Histocompatibility, Personnel, and Alternative Sanctions for Certificate of Waiver Laboratories; Correction</t>
  </si>
  <si>
    <t xml:space="preserve">This document corrects technical and typographical errors in the final rule that appeared in the December 28, 2023, Federal Register entitled, "Clinical Laboratory Improvement Amendments of 1988 (CLIA) Fees; Histocompatibility, Personnel, and Alternative Sanctions for Certificate of Waiver Laboratories" (referred to hereafter as the "December 2023 final rule").</t>
  </si>
  <si>
    <t xml:space="preserve">https://www.federalregister.gov/documents/2024/02/01/2024-01942/clinical-laboratory-improvement-amendments-of-1988-clia-fees-histocompatibility-personnel-and</t>
  </si>
  <si>
    <t xml:space="preserve">2024-02095</t>
  </si>
  <si>
    <t xml:space="preserve">part d(5); part c(1)</t>
  </si>
  <si>
    <t xml:space="preserve">https://www.federalregister.gov/documents/2024/02/02/2024-02095/agency-information-collection-activities-proposed-collection-comment-request</t>
  </si>
  <si>
    <t xml:space="preserve">2024-02243</t>
  </si>
  <si>
    <t xml:space="preserve">On May 28, 2010, the Office of Management and Budget (OMB) issued Paperwork Reduction Act (PRA) guidance related to the "generic" clearance process. Generally, this is an expedited clearance process by which agencies may obtain OMB's approval of collection of information requests that are "usually voluntary, low- burden, and uncontroversial," do not raise any substantive or policy issues, and do not require policy or methodological review. The process requires the submission of an overarching pl</t>
  </si>
  <si>
    <t xml:space="preserve">https://www.federalregister.gov/documents/2024/02/05/2024-02243/agency-information-collection-activities-proposed-collection-comment-request</t>
  </si>
  <si>
    <t xml:space="preserve">2024-02306</t>
  </si>
  <si>
    <t xml:space="preserve">ma organization(2)</t>
  </si>
  <si>
    <t xml:space="preserve">https://www.federalregister.gov/documents/2024/02/06/2024-02306/agency-information-collection-activities-submission-for-omb-review-comment-request</t>
  </si>
  <si>
    <t xml:space="preserve">2024-02342</t>
  </si>
  <si>
    <t xml:space="preserve">Medicare and Medicaid Programs; Application by DNV Healthcare USA Inc. (DNV) for Continued CMS Approval of Its Psychiatric Hospital Accreditation Program</t>
  </si>
  <si>
    <t xml:space="preserve">This proposed notice acknowledges the receipt of a deeming application from DNV Healthcare USA Inc. (DNV) for continued Centers for Medicare &amp; Medicaid Services (CMS) approval of its psychiatric hospital accreditation program. The statute requires that within 60 days of receipt of an organization's complete application, CMS must publish a notice that identifies the national accrediting body making the request, describes the nature of the request, and provides at least a 30-day public comment per</t>
  </si>
  <si>
    <t xml:space="preserve">https://www.federalregister.gov/documents/2024/02/06/2024-02342/medicare-and-medicaid-programs-application-by-dnv-healthcare-usa-inc-dnv-for-continued-cms-approval</t>
  </si>
  <si>
    <t xml:space="preserve">2024-02444</t>
  </si>
  <si>
    <t xml:space="preserve">medicare advantage(2); part d(2)</t>
  </si>
  <si>
    <t xml:space="preserve">https://www.federalregister.gov/documents/2024/02/07/2024-02444/agency-information-collection-activities-proposed-collection-comment-request</t>
  </si>
  <si>
    <t xml:space="preserve">2024-02445</t>
  </si>
  <si>
    <t xml:space="preserve">https://www.federalregister.gov/documents/2024/02/07/2024-02445/agency-information-collection-activities-submission-for-omb-review-comment-request</t>
  </si>
  <si>
    <t xml:space="preserve">2024-07105</t>
  </si>
  <si>
    <t xml:space="preserve">part d(1594); d-snp(1275); ma organization(1179); c-snp(230); part c(202); medicare advantage(128); special needs plan(76); dual eligible(62); medigap(10); medicare supplement(2)</t>
  </si>
  <si>
    <t xml:space="preserve">Medicare Program; Changes to the Medicare Advantage and the Medicare Prescription Drug Benefit Program for Contract Year 2024-Remaining Provisions and Contract Year 2025 Policy and Technical Changes to the Medicare Advantage Program, Medicare Prescription Drug Benefit Program, Medicare Cost Plan Program, and Programs of All-Inclusive Care for the Elderly (PACE)</t>
  </si>
  <si>
    <t xml:space="preserve">This final rule will revise the Medicare Advantage (Part C), Medicare Prescription Drug Benefit (Part D), Medicare cost plan, and Programs of All-Inclusive Care for the Elderly (PACE) regulations to implement changes related to Star Ratings, marketing and communications, agent/broker compensation, health equity, dual eligible special needs plans (D-SNPs), utilization management, network adequacy, and other programmatic areas. This final rule also codifies existing sub-regulatory guidance in the </t>
  </si>
  <si>
    <t xml:space="preserve">core MA/Part D policy doc (strong kw=2962)</t>
  </si>
  <si>
    <t xml:space="preserve">2024-02631</t>
  </si>
  <si>
    <t xml:space="preserve">Medicare Program: Hospital Outpatient Prospective Payment and Ambulatory Surgical Center Payment Systems; Quality Reporting Programs; Payment for Intensive Outpatient Services in Hospital Outpatient Departments, Community Mental Health Centers, Rural Health Clinics, Federally Qualified Health Centers, and Opioid Treatment Programs; Hospital Price Transparency; Changes to Community Mental Health Centers Conditions of Participation, Changes to the Inpatient Prospective Payment System Medicare Code Editor; Rural Emergency Hospital Conditions of Participation Technical Correction; Correction</t>
  </si>
  <si>
    <t xml:space="preserve">This document corrects technical and typographical errors in the final rule with comment period that appeared in the Federal Register on November 22, 2023, titled "Medicare Program: Hospital Outpatient Prospective Payment and Ambulatory Surgical Center Payment Systems; Quality Reporting Programs; Payment for Intensive Outpatient Services in Hospital Outpatient Departments, Community Mental Health Centers, Rural Health Clinics, Federally Qualified Health Centers, and Opioid Treatment Programs; Ho</t>
  </si>
  <si>
    <t xml:space="preserve">https://www.federalregister.gov/documents/2024/02/09/2024-02631/medicare-program-hospital-outpatient-prospective-payment-and-ambulatory-surgical-center-payment</t>
  </si>
  <si>
    <t xml:space="preserve">2024-02662</t>
  </si>
  <si>
    <t xml:space="preserve">https://www.federalregister.gov/documents/2024/02/09/2024-02662/agency-information-collection-activities-proposed-collection-comment-request</t>
  </si>
  <si>
    <t xml:space="preserve">2024-02705</t>
  </si>
  <si>
    <t xml:space="preserve">Medicare and Medicaid Programs; CY 2024 Payment Policies Under the Physician Fee Schedule and Other Changes to Part B Payment and Coverage Policies; Medicare Shared Savings Program Requirements; Medicare Advantage; Medicare and Medicaid Provider and Supplier Enrollment Policies; and Basic Health Program; Corrections</t>
  </si>
  <si>
    <t xml:space="preserve">This document corrects technical and typographical errors in the final rule that appeared in the November 16, 2023 issue of the Federal Register, entitled "Medicare and Medicaid Programs; CY 2024 Payment Policies Under the Physician Fee Schedule and Other Changes to Part B Payment and Coverage Policies; Medicare Shared Savings Program Requirements; Medicare Advantage; Medicare and Medicaid Provider and Supplier Enrollment Policies; and Basic Health Program" (referred to hereafter as the "CY 2024</t>
  </si>
  <si>
    <t xml:space="preserve">https://www.federalregister.gov/documents/2024/02/12/2024-02705/medicare-and-medicaid-programs-cy-2024-payment-policies-under-the-physician-fee-schedule-and-other</t>
  </si>
  <si>
    <t xml:space="preserve">provider payment rule (MA mentions incidental)</t>
  </si>
  <si>
    <t xml:space="preserve">2024-02137</t>
  </si>
  <si>
    <t xml:space="preserve">Medicare Program; Strengthening Oversight of Accrediting Organizations (AOs) and Preventing AO Conflict of Interest, and Related Provisions</t>
  </si>
  <si>
    <t xml:space="preserve">This proposed rule would set forth a number of provisions to strengthen the oversight of accrediting organizations (AOs) by addressing conflicts of interest, establishing consistent standards, processes and definitions, and updating the validation and performance standards systems. Additionally, this proposed rule would revise the psychiatric hospital survey process, add a limitation on terminated deemed providers and suppliers when reentering the program, and provides technical corrections for </t>
  </si>
  <si>
    <t xml:space="preserve">https://www.federalregister.gov/documents/2024/02/15/2024-02137/medicare-program-strengthening-oversight-of-accrediting-organizations-aos-and-preventing-ao-conflict</t>
  </si>
  <si>
    <t xml:space="preserve">2024-03294</t>
  </si>
  <si>
    <t xml:space="preserve">https://www.federalregister.gov/documents/2024/02/16/2024-03294/agency-information-collection-activities-proposed-collection-comment-request</t>
  </si>
  <si>
    <t xml:space="preserve">2024-03344</t>
  </si>
  <si>
    <t xml:space="preserve">medicare advantage(3); part c(3)</t>
  </si>
  <si>
    <t xml:space="preserve">https://www.federalregister.gov/documents/2024/02/20/2024-03344/agency-information-collection-activities-submission-for-omb-review-comment-request</t>
  </si>
  <si>
    <t xml:space="preserve">2024-03348</t>
  </si>
  <si>
    <t xml:space="preserve">https://www.federalregister.gov/documents/2024/02/20/2024-03348/agency-information-collection-activities-proposed-collection-comment-request</t>
  </si>
  <si>
    <t xml:space="preserve">2024-03363</t>
  </si>
  <si>
    <t xml:space="preserve">https://www.federalregister.gov/documents/2024/02/20/2024-03363/agency-information-collection-activities-submission-for-omb-review-comment-request</t>
  </si>
  <si>
    <t xml:space="preserve">2024-03476</t>
  </si>
  <si>
    <t xml:space="preserve">https://www.federalregister.gov/documents/2024/02/21/2024-03476/agency-information-collection-activities-submission-for-omb-review-comment-request</t>
  </si>
  <si>
    <t xml:space="preserve">2024-03542</t>
  </si>
  <si>
    <t xml:space="preserve">dual eligible(1)</t>
  </si>
  <si>
    <t xml:space="preserve">Medicaid Program; Disproportionate Share Hospital Third-Party Payer Rule</t>
  </si>
  <si>
    <t xml:space="preserve">This final rule primarily addresses recent legislative changes to the Social Security Act as a result of the Consolidated Appropriations Act, 2021 changes to the hospital-specific limit on Medicaid disproportionate share hospital (DSH) payments. This final rule affords States and hospitals more clarity on how the limit, the changes that took effect on October 1, 2021, will be calculated. Additionally, this final rule enhances administrative efficiency by making technical changes and clarificatio</t>
  </si>
  <si>
    <t xml:space="preserve">https://www.federalregister.gov/documents/2024/02/23/2024-03542/medicaid-program-disproportionate-share-hospital-third-party-payer-rule</t>
  </si>
  <si>
    <t xml:space="preserve">2024-03675</t>
  </si>
  <si>
    <t xml:space="preserve">https://www.federalregister.gov/documents/2024/02/23/2024-03675/agency-information-collection-activities-submission-for-omb-review-comment-request</t>
  </si>
  <si>
    <t xml:space="preserve">2024-03676</t>
  </si>
  <si>
    <t xml:space="preserve">https://www.federalregister.gov/documents/2024/02/23/2024-03676/agency-information-collection-activities-proposed-collection-comment-request</t>
  </si>
  <si>
    <t xml:space="preserve">2024-03821</t>
  </si>
  <si>
    <t xml:space="preserve">Medicare and Medicaid Programs; Application From the Joint Commission for Continued CMS-Approval of Its Ambulatory Surgical Center Accreditation Program</t>
  </si>
  <si>
    <t xml:space="preserve">This notice acknowledges the receipt of an application from the Joint Commission for continued recognition as a national accrediting organization for Ambulatory Surgical Centers that wish to participate in the Medicare or Medicaid programs.</t>
  </si>
  <si>
    <t xml:space="preserve">https://www.federalregister.gov/documents/2024/02/26/2024-03821/medicare-and-medicaid-programs-application-from-the-joint-commission-for-continued-cms-approval-of</t>
  </si>
  <si>
    <t xml:space="preserve">2024-03866</t>
  </si>
  <si>
    <t xml:space="preserve">https://www.federalregister.gov/documents/2024/02/26/2024-03866/agency-information-collection-activities-submission-for-omb-review-comment-request</t>
  </si>
  <si>
    <t xml:space="preserve">2024-04151</t>
  </si>
  <si>
    <t xml:space="preserve">https://www.federalregister.gov/documents/2024/02/29/2024-04151/agency-information-collection-activities-proposed-collection-comment-request</t>
  </si>
  <si>
    <t xml:space="preserve">2024-04302</t>
  </si>
  <si>
    <t xml:space="preserve">part d(4); medicare advantage(2); part c(2); ma organization(1)</t>
  </si>
  <si>
    <t xml:space="preserve">https://www.federalregister.gov/documents/2024/02/29/2024-04302/agency-information-collection-activities-proposed-collection-comment-request</t>
  </si>
  <si>
    <t xml:space="preserve">2024-04341</t>
  </si>
  <si>
    <t xml:space="preserve">part d(5)</t>
  </si>
  <si>
    <t xml:space="preserve">https://www.federalregister.gov/documents/2024/03/01/2024-04341/agency-information-collection-activities-submission-for-omb-review-comment-request</t>
  </si>
  <si>
    <t xml:space="preserve">2024-04517</t>
  </si>
  <si>
    <t xml:space="preserve">part c(2)</t>
  </si>
  <si>
    <t xml:space="preserve">National Plan and Provider Enumeration System (NPPES) Data Changes</t>
  </si>
  <si>
    <t xml:space="preserve">This notice provides information on changes to data elements that providers are required to submit to the National Plan and Provider Enumeration System (NPPES) to obtain and maintain a National Provider Identifier (NPI). The changes to the required data elements affect the data that is made available to the public from NPPES in downloadable files and in a query-only database on the internet.</t>
  </si>
  <si>
    <t xml:space="preserve">https://www.federalregister.gov/documents/2024/03/04/2024-04517/national-plan-and-provider-enumeration-system-nppes-data-changes</t>
  </si>
  <si>
    <t xml:space="preserve">admin systems notice</t>
  </si>
  <si>
    <t xml:space="preserve">2024-04590</t>
  </si>
  <si>
    <t xml:space="preserve">https://www.federalregister.gov/documents/2024/03/05/2024-04590/clinical-laboratory-improvement-amendments-of-1988-clia-fees-histocompatibility-personnel-and</t>
  </si>
  <si>
    <t xml:space="preserve">2024-04591</t>
  </si>
  <si>
    <t xml:space="preserve">https://www.federalregister.gov/documents/2024/03/05/2024-04591/agency-information-collection-activities-submission-for-omb-review-comment-request</t>
  </si>
  <si>
    <t xml:space="preserve">2024-04674</t>
  </si>
  <si>
    <t xml:space="preserve">Medicare Program; Announcement of the Re-Approval of COLA Under the Clinical Laboratory Improvement Amendments of 1988</t>
  </si>
  <si>
    <t xml:space="preserve">This notice announces the application of COLA for re-approval as an accreditation organization for clinical laboratories under the Clinical Laboratory Improvement Amendments of 1988 (CLIA) program for the following specialty and subspecialty areas under CLIA: Microbiology, including Bacteriology, Mycobacteriology, Mycology, Parasitology, and Virology; Diagnostic Immunology, including Syphilis Serology, and General Immunology; Chemistry, including Routine Chemistry, Toxicology, and Endocrinology;</t>
  </si>
  <si>
    <t xml:space="preserve">https://www.federalregister.gov/documents/2024/03/06/2024-04674/medicare-program-announcement-of-the-re-approval-of-cola-under-the-clinical-laboratory-improvement</t>
  </si>
  <si>
    <t xml:space="preserve">2024-04878</t>
  </si>
  <si>
    <t xml:space="preserve">https://www.federalregister.gov/documents/2024/03/07/2024-04878/agency-information-collection-activities-proposed-collection-comment-request</t>
  </si>
  <si>
    <t xml:space="preserve">2024-05210</t>
  </si>
  <si>
    <t xml:space="preserve">Principles of Reasonable Cost Reimbursement; Payment for End-Stage Renal Disease Services; Prospectively Determined Payment Rates for Skilled Nursing Facilities; Payment for Acute Kidney Injury Dialysis</t>
  </si>
  <si>
    <t xml:space="preserve">https://www.federalregister.gov/documents/2024/03/11/2024-05210/principles-of-reasonable-cost-reimbursement-payment-for-end-stage-renal-disease-services</t>
  </si>
  <si>
    <t xml:space="preserve">2024-05291</t>
  </si>
  <si>
    <t xml:space="preserve">medicare advantage(3); part d(1)</t>
  </si>
  <si>
    <t xml:space="preserve">https://www.federalregister.gov/documents/2024/03/13/2024-05291/agency-information-collection-activities-proposed-collection-comment-request</t>
  </si>
  <si>
    <t xml:space="preserve">2024-05332</t>
  </si>
  <si>
    <t xml:space="preserve">https://www.federalregister.gov/documents/2024/03/13/2024-05332/agency-information-collection-activities-proposed-collection-comment-request</t>
  </si>
  <si>
    <t xml:space="preserve">2024-05622</t>
  </si>
  <si>
    <t xml:space="preserve">https://www.federalregister.gov/documents/2024/03/18/2024-05622/agency-information-collection-activities-submission-for-omb-review-comment-request</t>
  </si>
  <si>
    <t xml:space="preserve">2024-05710</t>
  </si>
  <si>
    <t xml:space="preserve">https://www.federalregister.gov/documents/2024/03/18/2024-05710/agency-information-collection-activities-proposed-collection-comment-request</t>
  </si>
  <si>
    <t xml:space="preserve">2024-05712</t>
  </si>
  <si>
    <t xml:space="preserve">ma organization(5); part d(2)</t>
  </si>
  <si>
    <t xml:space="preserve">https://www.federalregister.gov/documents/2024/03/18/2024-05712/agency-information-collection-activities-submission-for-omb-review-comment-request</t>
  </si>
  <si>
    <t xml:space="preserve">2024-05722</t>
  </si>
  <si>
    <t xml:space="preserve">https://www.federalregister.gov/documents/2024/03/18/2024-05722/medicaid-and-childrens-health-insurance-program-chip-generic-information-collection-activities</t>
  </si>
  <si>
    <t xml:space="preserve">2024-06144</t>
  </si>
  <si>
    <t xml:space="preserve">Medicare Program; Application by the Utilization Review Accreditation Commission (URAC) for Continued CMS Approval of Its Home Infusion Therapy (HIT) Accreditation Program</t>
  </si>
  <si>
    <t xml:space="preserve">This final notice announces our decision to approve the Utilization Review Accreditation Commission (URAC) for continued recognition as a national accrediting organization that accredits suppliers of home infusion therapy (HIT) services that wish to participate in the Medicare or Medicaid programs.</t>
  </si>
  <si>
    <t xml:space="preserve">https://www.federalregister.gov/documents/2024/03/22/2024-06144/medicare-program-application-by-the-utilization-review-accreditation-commission-urac-for-continued</t>
  </si>
  <si>
    <t xml:space="preserve">2024-06148</t>
  </si>
  <si>
    <t xml:space="preserve">Medicare Program; Virtual Meeting of the Medicare Evidence Development and Coverage Advisory Committee-May 21, 2024</t>
  </si>
  <si>
    <t xml:space="preserve">This notice announces a virtual public meeting of the Medicare Evidence Development &amp; Coverage Advisory Committee (MEDCAC) ("Committee") will be held on Tuesday, May 21, 2024. The MEDCAC panel will consider which health outcomes in studies of devices for self- management of Type 1 and insulin-dependent Type 2 diabetes should be of interest to CMS. Given the increased emphasis on new and innovative medical products for difficult to manage conditions, some studies of new medical technologies have </t>
  </si>
  <si>
    <t xml:space="preserve">https://www.federalregister.gov/documents/2024/03/25/2024-06148/medicare-program-virtual-meeting-of-the-medicare-evidence-development-and-coverage-advisory</t>
  </si>
  <si>
    <t xml:space="preserve">2024-06239</t>
  </si>
  <si>
    <t xml:space="preserve">medicare advantage(2); ma organization(1)</t>
  </si>
  <si>
    <t xml:space="preserve">https://www.federalregister.gov/documents/2024/03/25/2024-06239/agency-information-collection-activities-proposed-collection-comment-request</t>
  </si>
  <si>
    <t xml:space="preserve">2024-06424</t>
  </si>
  <si>
    <t xml:space="preserve">Announcement of the Advisory Panel on Outreach and Education (APOE) In-Person Meeting</t>
  </si>
  <si>
    <t xml:space="preserve">This notice announces the next meeting of the APOE (the Panel) in accordance with the Federal Advisory Committee Act. The Panel advises and makes recommendations to the Secretary of the U.S. Department of Health and Human Services (HHS) (the Secretary) and the Administrator of the Centers for Medicare &amp; Medicaid Services (CMS) on opportunities to enhance the effectiveness of consumer education strategies concerning the Health Insurance Marketplace[supreg], Medicare, Medicaid, and the Children's </t>
  </si>
  <si>
    <t xml:space="preserve">https://www.federalregister.gov/documents/2024/03/26/2024-06424/announcement-of-the-advisory-panel-on-outreach-and-education-apoe-in-person-meeting</t>
  </si>
  <si>
    <t xml:space="preserve">2024-06439</t>
  </si>
  <si>
    <t xml:space="preserve">https://www.federalregister.gov/documents/2024/03/27/2024-06439/agency-information-collection-activities-submission-for-omb-review-comment-request</t>
  </si>
  <si>
    <t xml:space="preserve">2024-06645</t>
  </si>
  <si>
    <t xml:space="preserve">https://www.federalregister.gov/documents/2024/03/28/2024-06645/agency-information-collection-activities-proposed-collection-comment-request</t>
  </si>
  <si>
    <t xml:space="preserve">2024-06647</t>
  </si>
  <si>
    <t xml:space="preserve">https://www.federalregister.gov/documents/2024/03/28/2024-06647/agency-information-collection-activities-submission-for-omb-review-comment-request</t>
  </si>
  <si>
    <t xml:space="preserve">2024-06550</t>
  </si>
  <si>
    <t xml:space="preserve">part c(2); medicare advantage(1)</t>
  </si>
  <si>
    <t xml:space="preserve">Medicare Program; Inpatient Rehabilitation Facility Prospective Payment System for Federal Fiscal Year 2025 and Updates to the IRF Quality Reporting Program</t>
  </si>
  <si>
    <t xml:space="preserve">This rule proposes updates to the prospective payment rates for inpatient rehabilitation facilities (IRFs) for Federal fiscal year (FY) 2025. As required by statute, this proposed rule includes the classification and weighting factors for the IRF prospective payment system's case-mix groups and a description of the methodologies and data used in computing the prospective payment rates for FY 2025. We are proposing updates to the Office of Management and Budget (OMB) market area delineations for </t>
  </si>
  <si>
    <t xml:space="preserve">https://www.federalregister.gov/documents/2024/03/29/2024-06550/medicare-program-inpatient-rehabilitation-facility-prospective-payment-system-for-federal-fiscal</t>
  </si>
  <si>
    <t xml:space="preserve">2024-06802</t>
  </si>
  <si>
    <t xml:space="preserve">Medicare, Medicaid, and CLIA Programs; Clinical Laboratory Improvement Amendments of 1988 Exemption of Laboratories Licensed by the State of Washington</t>
  </si>
  <si>
    <t xml:space="preserve">This notice announces that laboratories located in and licensed by the State of Washington that possess a valid license under the Medical Test Site law, chapter 70.42 of the Revised Code of Washington, are exempt from the requirements of the Clinical Laboratory Improvement Amendments of 1988 (CLIA) for a period of 4 years.</t>
  </si>
  <si>
    <t xml:space="preserve">https://www.federalregister.gov/documents/2024/04/01/2024-06802/medicare-medicaid-and-clia-programs-clinical-laboratory-improvement-amendments-of-1988-exemption-of</t>
  </si>
  <si>
    <t xml:space="preserve">2024-27939</t>
  </si>
  <si>
    <t xml:space="preserve">part d(1832); ma organization(684); d-snp(147); medicare advantage(96); part c(84); medigap(54); special needs plan(17); dual eligible(13); medicare supplement(2); c-snp(1)</t>
  </si>
  <si>
    <t xml:space="preserve">Medicare and Medicaid Programs; Contract Year 2026 Policy and Technical Changes to the Medicare Advantage Program, Medicare Prescription Drug Benefit Program, Medicare Cost Plan Program, and Programs of All-Inclusive Care for the Elderly</t>
  </si>
  <si>
    <t xml:space="preserve">This proposed rule would revise the Medicare Advantage (Part C), Medicare Prescription Drug Benefit (Part D), Medicaid, Medicare cost plan, and Programs of All-Inclusive Care for the Elderly (PACE) regulations to implement changes related to Star Ratings, marketing and communications, agent/broker compensation, health equity, drug coverage, dual eligible special needs plans (D-SNPs), utilization management, network adequacy, and other programmatic areas, including the Medicare Drug Price Negotia</t>
  </si>
  <si>
    <t xml:space="preserve">https://www.federalregister.gov/documents/2024/12/10/2024-27939/medicare-and-medicaid-programs-contract-year-2026-policy-and-technical-changes-to-the-medicare</t>
  </si>
  <si>
    <t xml:space="preserve">core MA/Part D policy doc (strong kw=1014)</t>
  </si>
  <si>
    <t xml:space="preserve">2024-06764</t>
  </si>
  <si>
    <t xml:space="preserve">part d(1)</t>
  </si>
  <si>
    <t xml:space="preserve">Medicare Program; FY 2025 Inpatient Psychiatric Facilities Prospective Payment System-Rate Update</t>
  </si>
  <si>
    <t xml:space="preserve">This rulemaking proposes to update the prospective payment rates, the outlier threshold, and the wage index for Medicare inpatient hospital services provided by Inpatient Psychiatric Facilities (IPF), which include psychiatric hospitals and excluded psychiatric units of an acute care hospital or critical access hospital. This rulemaking also proposes to revise the patient-level adjustment factors, the Emergency Department adjustment, and the payment amount for electroconvulsive therapy. These pr</t>
  </si>
  <si>
    <t xml:space="preserve">https://www.federalregister.gov/documents/2024/04/03/2024-06764/medicare-program-fy-2025-inpatient-psychiatric-facilities-prospective-payment-system-rate-update</t>
  </si>
  <si>
    <t xml:space="preserve">2024-06812</t>
  </si>
  <si>
    <t xml:space="preserve">dual eligible(13); part d(5); part c(2)</t>
  </si>
  <si>
    <t xml:space="preserve">Medicare Program; Prospective Payment System and Consolidated Billing for Skilled Nursing Facilities; Updates to the Quality Reporting Program and Value-Based Purchasing Program for Federal Fiscal Year 2025</t>
  </si>
  <si>
    <t xml:space="preserve">This rule proposes changes and updates to the policies and payment rates used under the Skilled Nursing Facility (SNF) Prospective Payment System (PPS) for FY 2025. First, we are proposing to rebase and revise the SNF market basket to reflect a 2022 base year. Next, we are proposing to update the wage index used under the SNF PPS to reflect data collected during the most recent decennial census. Additionally, we are proposing several technical revisions to the code mappings used to classify pati</t>
  </si>
  <si>
    <t xml:space="preserve">https://www.federalregister.gov/documents/2024/04/03/2024-06812/medicare-program-prospective-payment-system-and-consolidated-billing-for-skilled-nursing-facilities</t>
  </si>
  <si>
    <t xml:space="preserve">2024-06921</t>
  </si>
  <si>
    <t xml:space="preserve">medicare advantage(1)</t>
  </si>
  <si>
    <t xml:space="preserve">Medicare Program; FY 2025 Hospice Wage Index and Payment Rate Update, Hospice Conditions of Participation Updates, and Hospice Quality Reporting Program Requirements</t>
  </si>
  <si>
    <t xml:space="preserve">This proposed rule would update the hospice wage index, payment rates, and aggregate cap amount for Fiscal Year (FY) 2025. This rule proposes changes to the Hospice Quality Reporting Program. This rule also proposes to adopt the most recent Office of Management and Budget statistical area delineations, which would change the hospice wage index. This rule proposes to clarify current policy related to the "election statement" and the "notice of election", as well as to add clarifying language rega</t>
  </si>
  <si>
    <t xml:space="preserve">https://www.federalregister.gov/documents/2024/04/04/2024-06921/medicare-program-fy-2025-hospice-wage-index-and-payment-rate-update-hospice-conditions-of</t>
  </si>
  <si>
    <t xml:space="preserve">2024-07162</t>
  </si>
  <si>
    <t xml:space="preserve">https://www.federalregister.gov/documents/2024/04/04/2024-07162/agency-information-collection-activities-proposed-collection-comment-request</t>
  </si>
  <si>
    <t xml:space="preserve">2024-07202</t>
  </si>
  <si>
    <t xml:space="preserve">medicare advantage(2); part c(2); part d(2)</t>
  </si>
  <si>
    <t xml:space="preserve">https://www.federalregister.gov/documents/2024/04/05/2024-07202/agency-information-collection-activities-proposed-collection-comment-request</t>
  </si>
  <si>
    <t xml:space="preserve">2024-07393</t>
  </si>
  <si>
    <t xml:space="preserve">https://www.federalregister.gov/documents/2024/04/08/2024-07393/agency-information-collection-activities-submission-for-omb-review-comment-request</t>
  </si>
  <si>
    <t xml:space="preserve">2024-07415</t>
  </si>
  <si>
    <t xml:space="preserve">https://www.federalregister.gov/documents/2024/04/08/2024-07415/agency-information-collection-activities-submission-for-omb-review-comment-request</t>
  </si>
  <si>
    <t xml:space="preserve">2024-07429</t>
  </si>
  <si>
    <t xml:space="preserve">part d(7); medicare advantage(2); part c(1)</t>
  </si>
  <si>
    <t xml:space="preserve">https://www.federalregister.gov/documents/2024/04/08/2024-07429/agency-information-collection-activities-submission-for-omb-review-comment-request</t>
  </si>
  <si>
    <t xml:space="preserve">2024-07522</t>
  </si>
  <si>
    <t xml:space="preserve">Medicare Program; Prospective Payment System and Consolidated Billing for Skilled Nursing Facilities; Updates to the Quality Reporting Program and Value-Based Purchasing Program for Federal Fiscal Year 2024; Corrections</t>
  </si>
  <si>
    <t xml:space="preserve">This document corrects technical errors in the final rule that appeared in the August 7, 2023 Federal Register, entitled "Medicare Program; Prospective Payment System and Consolidated Billing for Skilled Nursing Facilities; Updates to the Quality Reporting Program and Value-Based Purchasing Program for Federal Fiscal Year 2024". The effective date was October 1, 2023.</t>
  </si>
  <si>
    <t xml:space="preserve">https://www.federalregister.gov/documents/2024/04/10/2024-07522/medicare-program-prospective-payment-system-and-consolidated-billing-for-skilled-nursing-facilities</t>
  </si>
  <si>
    <t xml:space="preserve">2024-07790</t>
  </si>
  <si>
    <t xml:space="preserve">part d(7)</t>
  </si>
  <si>
    <t xml:space="preserve">https://www.federalregister.gov/documents/2024/04/12/2024-07790/agency-information-collection-activities-proposed-collection-comment-request</t>
  </si>
  <si>
    <t xml:space="preserve">2025-06008</t>
  </si>
  <si>
    <t xml:space="preserve">part d(1225); ma organization(418); d-snp(175); part c(69); medicare advantage(38); dual eligible(14); special needs plan(13); c-snp(7); medicare supplement(1)</t>
  </si>
  <si>
    <t xml:space="preserve">This final rule revises the Medicare Advantage (Part C), Medicare Prescription Drug Benefit (Part D), Medicare cost plan, and Programs of All-Inclusive Care for the Elderly (PACE) regulations to implement changes related to prescription drug coverage, the Medicare Prescription Payment Plan, dual eligible special needs plans (D-SNPs), Part C and D Star Ratings, and other programmatic areas, including the Medicare Drug Price Negotiation Program. This final rule also codifies existing sub-regulator</t>
  </si>
  <si>
    <t xml:space="preserve">https://www.federalregister.gov/documents/2025/04/15/2025-06008/medicare-and-medicaid-programs-contract-year-2026-policy-and-technical-changes-to-the-medicare</t>
  </si>
  <si>
    <t xml:space="preserve">core MA/Part D policy doc (strong kw=666)</t>
  </si>
  <si>
    <t xml:space="preserve">2024-07884</t>
  </si>
  <si>
    <t xml:space="preserve">Medicare Program; Application by the Accreditation Commission for Health Care (ACHC) for Continued CMS Approval of Its Home Infusion Therapy (HIT) Accreditation Program</t>
  </si>
  <si>
    <t xml:space="preserve">This final notice announces our decision to approve the Accreditation Commission for Health Care (ACHC) for continued recognition as a national accrediting organization that accredits suppliers of home infusion therapy (HIT) services that wish to participate in the Medicare or Medicaid programs.</t>
  </si>
  <si>
    <t xml:space="preserve">https://www.federalregister.gov/documents/2024/04/15/2024-07884/medicare-program-application-by-the-accreditation-commission-for-health-care-achc-for-continued-cms</t>
  </si>
  <si>
    <t xml:space="preserve">2024-08005</t>
  </si>
  <si>
    <t xml:space="preserve">Public Meeting on June 25, 2024 Regarding New and Reconsidered Clinical Diagnostic Laboratory Test Codes for the Clinical Laboratory Fee Schedule for Calendar Year 2025</t>
  </si>
  <si>
    <t xml:space="preserve">This notice announces a public meeting to receive comments and recommendations (including data on which recommendations are based) on the appropriate basis for establishing payment amounts for new or substantially revised Healthcare Common Procedure Coding System codes being considered for Medicare payment under the Clinical Laboratory Fee Schedule for calendar year 2025. This meeting also provides a forum for those who submitted certain reconsideration requests regarding final determinations ma</t>
  </si>
  <si>
    <t xml:space="preserve">https://www.federalregister.gov/documents/2024/04/16/2024-08005/public-meeting-on-june-25-2024-regarding-new-and-reconsidered-clinical-diagnostic-laboratory-test</t>
  </si>
  <si>
    <t xml:space="preserve">2024-08008</t>
  </si>
  <si>
    <t xml:space="preserve">Medicare Program; Meeting Announcement for the Medicare Advisory Panel on Clinical Diagnostic Laboratory Tests, July 25-26, 2024</t>
  </si>
  <si>
    <t xml:space="preserve">This notice announces the public meeting dates for the Medicare Advisory Panel on Clinical Diagnostic Laboratory Tests (the Panel) on Thursday, July 25, 2024 and Friday, July 26, 2024. The purpose of the Panel is to advise the Secretary of the Department of Health and Human Services and the Administrator of the Centers for Medicare &amp; Medicaid Services on issues related to clinical diagnostic laboratory tests.</t>
  </si>
  <si>
    <t xml:space="preserve">https://www.federalregister.gov/documents/2024/04/16/2024-08008/medicare-program-meeting-announcement-for-the-medicare-advisory-panel-on-clinical-diagnostic</t>
  </si>
  <si>
    <t xml:space="preserve">2024-08011</t>
  </si>
  <si>
    <t xml:space="preserve">https://www.federalregister.gov/documents/2024/04/16/2024-08011/agency-information-collection-activities-proposed-collection-comment-request</t>
  </si>
  <si>
    <t xml:space="preserve">2024-08164</t>
  </si>
  <si>
    <t xml:space="preserve">https://www.federalregister.gov/documents/2024/04/17/2024-08164/agency-information-collection-activities-submission-for-omb-review-comment-request</t>
  </si>
  <si>
    <t xml:space="preserve">2024-08223</t>
  </si>
  <si>
    <t xml:space="preserve">https://www.federalregister.gov/documents/2024/04/18/2024-08223/agency-information-collection-activities-proposed-collection-comment-request</t>
  </si>
  <si>
    <t xml:space="preserve">2024-08551</t>
  </si>
  <si>
    <t xml:space="preserve">Medicare Program Public Meeting for New Revisions to the Healthcare Common Procedure Coding System (HCPCS) Coding-May 28-30, 2024</t>
  </si>
  <si>
    <t xml:space="preserve">This notice announces the dates and times of the virtual Healthcare Common Procedure Coding System (HCPCS) public meeting to be held from May 28, 2024, through May 30, 2024, to discuss CMS' preliminary coding, Medicare benefit category, and payment determinations, if applicable, for new revisions to the HCPCS Level II code set for non-drug and non-biological items and services, as well as how to register for those meetings.</t>
  </si>
  <si>
    <t xml:space="preserve">https://www.federalregister.gov/documents/2024/04/22/2024-08551/medicare-program-public-meeting-for-new-revisions-to-the-healthcare-common-procedure-coding-system</t>
  </si>
  <si>
    <t xml:space="preserve">2025-18236</t>
  </si>
  <si>
    <t xml:space="preserve">ma organization(92); medicare advantage(9); part d(2); part c(1)</t>
  </si>
  <si>
    <t xml:space="preserve">Medicare and Medicaid Programs; Contract Year 2026 Policy and Technical Changes to the Medicare Advantage Program, Medicare Prescription Drug Benefit Program, Medicare Cost Plan Program, and Programs of All-Inclusive Care for the Elderly (PACE)-Finalization of Format Provider Directories for Medicare Plan Finder</t>
  </si>
  <si>
    <t xml:space="preserve">This final rule implements Medicare Advantage disclosure requirement changes.</t>
  </si>
  <si>
    <t xml:space="preserve">core MA/Part D policy doc (strong kw=101)</t>
  </si>
  <si>
    <t xml:space="preserve">2024-08658</t>
  </si>
  <si>
    <t xml:space="preserve">https://www.federalregister.gov/documents/2024/04/23/2024-08658/agency-information-collection-activities-submission-for-omb-review-comment-request</t>
  </si>
  <si>
    <t xml:space="preserve">2024-08809</t>
  </si>
  <si>
    <t xml:space="preserve">Announcement of the Re-Approval of AABB (Association for the Advancement of Blood and Biotherapies) as an Accreditation Organization Under the Clinical Laboratory Improvement Amendments of 1988</t>
  </si>
  <si>
    <t xml:space="preserve">This notice announces the application of the Association for the Advancement of Blood and Biotherapies (AABB) for re-approval as an accreditation organization for clinical laboratories under the Clinical Laboratory Improvement Amendments of 1988 (CLIA) program. This deeming authority is granted to AABB for the Blood Bank and Transfusion Service (BB/TS) program, the Immunohematology Reference Laboratory (IRL) program, the Molecular Testing (MT) program, and the Cellular Therapy (CT) program. We h</t>
  </si>
  <si>
    <t xml:space="preserve">https://www.federalregister.gov/documents/2024/04/25/2024-08809/announcement-of-the-re-approval-of-aabb-association-for-the-advancement-of-blood-and-biotherapies-as</t>
  </si>
  <si>
    <t xml:space="preserve">2024-08828</t>
  </si>
  <si>
    <t xml:space="preserve">https://www.federalregister.gov/documents/2024/04/25/2024-08828/agency-information-collection-activities-submission-for-omb-review-comment-request</t>
  </si>
  <si>
    <t xml:space="preserve">2024-08921</t>
  </si>
  <si>
    <t xml:space="preserve">https://www.federalregister.gov/documents/2024/04/26/2024-08921/agency-information-collection-activities-proposed-collection-comment-request</t>
  </si>
  <si>
    <t xml:space="preserve">2024-09040</t>
  </si>
  <si>
    <t xml:space="preserve">https://www.federalregister.gov/documents/2024/04/26/2024-09040/agency-information-collection-activities-proposed-collection-comment-request</t>
  </si>
  <si>
    <t xml:space="preserve">2024-09041</t>
  </si>
  <si>
    <t xml:space="preserve">https://www.federalregister.gov/documents/2024/04/26/2024-09041/agency-information-collection-activities-proposed-collection-comment-request</t>
  </si>
  <si>
    <t xml:space="preserve">2024-09044</t>
  </si>
  <si>
    <t xml:space="preserve">Medicare Program; Application by the National Association of Boards of Pharmacy (NABP) for Continued CMS Approval of its Home Infusion Therapy (HIT) Accreditation Program</t>
  </si>
  <si>
    <t xml:space="preserve">This notice acknowledges the receipt of an application from the National Association of Boards of Pharmacy (NABP) for continued approval by the Centers for Medicare &amp; Medicaid Services (CMS) of NABP's national accrediting organization program for suppliers providing home infusion therapy (HIT) services and that wish to participate in the Medicare or Medicaid programs. The statute requires that within 60 days of receipt of an organization's complete application, CMS will publish a notice that ide</t>
  </si>
  <si>
    <t xml:space="preserve">https://www.federalregister.gov/documents/2024/04/26/2024-09044/medicare-program-application-by-the-national-association-of-boards-of-pharmacy-nabp-for-continued</t>
  </si>
  <si>
    <t xml:space="preserve">2024-09165</t>
  </si>
  <si>
    <t xml:space="preserve">Medicare and Medicaid Programs; Quarterly Listing of Program Issuances-January through March 2024</t>
  </si>
  <si>
    <t xml:space="preserve">https://www.federalregister.gov/documents/2024/04/29/2024-09165/medicare-and-medicaid-programs-quarterly-listing-of-program-issuances-january-through-march-2024</t>
  </si>
  <si>
    <t xml:space="preserve">2024-09172</t>
  </si>
  <si>
    <t xml:space="preserve">Medicare Program; Application by The Compliance Team (TCT) for Continued CMS Approval of its Home Infusion Therapy (HIT) Accreditation Program</t>
  </si>
  <si>
    <t xml:space="preserve">This notice acknowledges the receipt of an application from The Compliance Team (TCT) for continued approval by the Centers for Medicare &amp; Medicaid Services (CMS) of TCT's national accrediting organization program for suppliers providing home infusion therapy (HIT) services and that wish to participate in the Medicare or Medicaid programs. The statute requires that within 60 days of receipt of an organization's complete application, CMS will publish a notice that identifies the national accredit</t>
  </si>
  <si>
    <t xml:space="preserve">https://www.federalregister.gov/documents/2024/04/29/2024-09172/medicare-program-application-by-the-compliance-team-tct-for-continued-cms-approval-of-its-home</t>
  </si>
  <si>
    <t xml:space="preserve">2024-09176</t>
  </si>
  <si>
    <t xml:space="preserve">Medicare Program; Application by the Community Health Accreditation Partner (CHAP) for Continued CMS Approval of Its Home Infusion Therapy (HIT) Accreditation Program</t>
  </si>
  <si>
    <t xml:space="preserve">This notice acknowledges the receipt of an application from the Community Health Accreditation Partner (CHAP) for continued approval by the Centers for Medicare &amp; Medicaid Services (CMS) of CHAP's national accrediting organization program for suppliers providing home infusion therapy (HIT) services and that wish to participate in the Medicare or Medicaid programs. The statute requires that within 60 days of receipt of an organization's complete application, CMS will publish a notice that identif</t>
  </si>
  <si>
    <t xml:space="preserve">https://www.federalregister.gov/documents/2024/04/30/2024-09176/medicare-program-application-by-the-community-health-accreditation-partner-chap-for-continued-cms</t>
  </si>
  <si>
    <t xml:space="preserve">2024-09314</t>
  </si>
  <si>
    <t xml:space="preserve">https://www.federalregister.gov/documents/2024/04/30/2024-09314/agency-information-collection-activities-submission-for-omb-review-comment-request</t>
  </si>
  <si>
    <t xml:space="preserve">2024-09426</t>
  </si>
  <si>
    <t xml:space="preserve">Medicare and Medicaid Programs: Application From the Joint Commission for Initial CMS-Approval of Its Rural Health Clinic (RHC) Accreditation Program</t>
  </si>
  <si>
    <t xml:space="preserve">This final notice announces our decision to approve The Joint Commission (TJC) for initial recognition as a national accrediting organization (AO) for rural health clinics (RHCs) that wish to participate in the Medicare or Medicaid programs.</t>
  </si>
  <si>
    <t xml:space="preserve">https://www.federalregister.gov/documents/2024/05/01/2024-09426/medicare-and-medicaid-programs-application-from-the-joint-commission-for-initial-cms-approval-of-its</t>
  </si>
  <si>
    <t xml:space="preserve">2024-07567</t>
  </si>
  <si>
    <t xml:space="preserve">medicare advantage(25); part d(16); dual eligible(4); part c(1)</t>
  </si>
  <si>
    <t xml:space="preserve">Medicare and Medicaid Programs and the Children's Health Insurance Program; Hospital Inpatient Prospective Payment Systems for Acute Care Hospitals and the Long-Term Care Hospital Prospective Payment System and Policy Changes and Fiscal Year 2025 Rates; Quality Programs Requirements; and Other Policy Changes</t>
  </si>
  <si>
    <t xml:space="preserve">This proposed rule would revise the Medicare hospital inpatient prospective payment systems (IPPS) for operating and capital- related costs of acute care hospitals; make changes relating to Medicare graduate medical education (GME) for teaching hospitals; update the payment policies and the annual payment rates for the Medicare prospective payment system (PPS) for inpatient hospital services provided by long-term care hospitals (LTCHs); and make other policy-related changes.</t>
  </si>
  <si>
    <t xml:space="preserve">https://www.federalregister.gov/documents/2024/05/02/2024-07567/medicare-and-medicaid-programs-and-the-childrens-health-insurance-program-hospital-inpatient</t>
  </si>
  <si>
    <t xml:space="preserve">2024-09699</t>
  </si>
  <si>
    <t xml:space="preserve">part d(3)</t>
  </si>
  <si>
    <t xml:space="preserve">https://www.federalregister.gov/documents/2024/05/03/2024-09699/agency-information-collection-activities-proposed-collection-comment-request</t>
  </si>
  <si>
    <t xml:space="preserve">2025-21456</t>
  </si>
  <si>
    <t xml:space="preserve">part d(1031); d-snp(307); ma organization(250); c-snp(118); medicare advantage(88); part c(74); dual eligible(27); special needs plan(21); medigap(4); medicare supplement(3)</t>
  </si>
  <si>
    <t xml:space="preserve">Medicare Program; Contract Year 2027 Policy and Technical Changes to the Medicare Advantage Program, Medicare Prescription Drug Benefit Program, and Medicare Cost Plan Program</t>
  </si>
  <si>
    <t xml:space="preserve">This proposed rule would revise the Medicare Advantage (Part C), Medicare Prescription Drug Benefit (Part D), and Medicare cost plan regulations to implement changes related to Star Ratings, marketing and communications, drug coverage, enrollment processes, special needs plans, and other programmatic areas.</t>
  </si>
  <si>
    <t xml:space="preserve">https://www.federalregister.gov/documents/2025/11/28/2025-21456/medicare-program-contract-year-2027-policy-and-technical-changes-to-the-medicare-advantage-program</t>
  </si>
  <si>
    <t xml:space="preserve">core MA/Part D policy doc (strong kw=818)</t>
  </si>
  <si>
    <t xml:space="preserve">2024-09745</t>
  </si>
  <si>
    <t xml:space="preserve">https://www.federalregister.gov/documents/2024/05/06/2024-09745/agency-information-collection-activities-proposed-collection-comment-request</t>
  </si>
  <si>
    <t xml:space="preserve">2024-09750</t>
  </si>
  <si>
    <t xml:space="preserve">Inflation Reduction Act (IRA) Medicare Drug Price Negotiation Program Draft Guidance; Comment Request</t>
  </si>
  <si>
    <t xml:space="preserve">The Centers for Medicare &amp; Medicaid Services (CMS) is announcing an opportunity for the public to comment on CMS' draft guidance for the second cycle of the Medicare Drug Price Negotiation Program and manufacturer effectuation of the maximum fair price for 2026 and 2027 for the implementation of the Inflation Reduction Act. This and other Inflation Reduction Act-related guidance can be viewed on the dedicated Inflation Reduction Act section of the CMS website at https://www.cms.gov/inflation-red</t>
  </si>
  <si>
    <t xml:space="preserve">https://www.federalregister.gov/documents/2024/05/06/2024-09750/inflation-reduction-act-ira-medicare-drug-price-negotiation-program-draft-guidance-comment-request</t>
  </si>
  <si>
    <t xml:space="preserve">2024-09812</t>
  </si>
  <si>
    <t xml:space="preserve">part d(9); medicare advantage(2)</t>
  </si>
  <si>
    <t xml:space="preserve">https://www.federalregister.gov/documents/2024/05/06/2024-09812/agency-information-collection-activities-proposed-collection-comment-request</t>
  </si>
  <si>
    <t xml:space="preserve">2026-06600</t>
  </si>
  <si>
    <t xml:space="preserve">part d(1204); d-snp(543); ma organization(435); medicare advantage(108); part c(104); c-snp(46); dual eligible(30); special needs plan(23); medicare supplement(2)</t>
  </si>
  <si>
    <t xml:space="preserve">Medicare Program; Contract Year 2027 and Certain Contract Year 2026 Policy and Technical Changes to the Medicare Advantage Program, Medicare Prescription Drug Benefit Program, and Medicare Cost Plan Program</t>
  </si>
  <si>
    <t xml:space="preserve">This final rule revises the Medicare Advantage (Part C), Medicare Prescription Drug Benefit (Part D), and Medicare cost plan regulations to implement changes related to Star Ratings, marketing and communications, drug coverage, enrollment processes, special needs plans, and other programmatic areas.</t>
  </si>
  <si>
    <t xml:space="preserve">https://www.federalregister.gov/documents/2026/04/06/2026-06600/medicare-program-contract-year-2027-and-certain-contract-year-2026-policy-and-technical-changes-to</t>
  </si>
  <si>
    <t xml:space="preserve">core MA/Part D policy doc (strong kw=1187)</t>
  </si>
  <si>
    <t xml:space="preserve">2024-09998</t>
  </si>
  <si>
    <t xml:space="preserve">https://www.federalregister.gov/documents/2024/05/08/2024-09998/agency-information-collection-activities-submission-for-omb-review-comment-request</t>
  </si>
  <si>
    <t xml:space="preserve">2026-07205</t>
  </si>
  <si>
    <t xml:space="preserve">ma organization(199); part d(86); medicare advantage(19); part c(18); special needs plan(2); d-snp(2); dual eligible(2); medigap(2); medicare supplement(1)</t>
  </si>
  <si>
    <t xml:space="preserve">Medicare and Medicaid Programs; Patient Protection and Affordable Care Act; Interoperability Standards and Prior Authorization for Drugs for Medicare Advantage Organizations, Medicaid Managed Care Plans, State Medicaid Agencies, Children's Health Insurance Program (CHIP) Agencies and CHIP Managed Care Entities, and Issuers of Qualified Health Plans on the Federally-Facilitated Exchanges</t>
  </si>
  <si>
    <t xml:space="preserve">These proposals are intended to improve the electronic exchange of health care data and streamline processes related to prior authorization by increasing the interoperability of systems used across the health care industry. We are proposing new requirements for Medicare Advantage (MA) organizations, state Medicaid fee-for-service (FFS) programs, state Children's Health Insurance Program (CHIP) FFS programs, Medicaid managed care plans, CHIP managed care entities, and Qualified Health Plan (QHP) </t>
  </si>
  <si>
    <t xml:space="preserve">https://www.federalregister.gov/documents/2026/04/14/2026-07205/medicare-and-medicaid-programs-patient-protection-and-affordable-care-act-interoperability-standards</t>
  </si>
  <si>
    <t xml:space="preserve">core MA/Part D policy doc (strong kw=227)</t>
  </si>
  <si>
    <t xml:space="preserve">2024-08273</t>
  </si>
  <si>
    <t xml:space="preserve">Medicare and Medicaid Programs; Minimum Staffing Standards for Long-Term Care Facilities and Medicaid Institutional Payment Transparency Reporting</t>
  </si>
  <si>
    <t xml:space="preserve">This final rule establishes minimum staffing standards for long-term care facilities, as part of the Biden-Harris Administration's nursing home reform initiative to ensure safe and quality care in long- term care facilities. In addition, this rule requires States to report the percent of Medicaid payments for certain Medicaid-covered institutional services that are spent on compensation for direct care workers and support staff.</t>
  </si>
  <si>
    <t xml:space="preserve">https://www.federalregister.gov/documents/2024/05/10/2024-08273/medicare-and-medicaid-programs-minimum-staffing-standards-for-long-term-care-facilities-and-medicaid</t>
  </si>
  <si>
    <t xml:space="preserve">2024-07274</t>
  </si>
  <si>
    <t xml:space="preserve">medicare advantage(33); part c(10); part d(7)</t>
  </si>
  <si>
    <t xml:space="preserve">Patient Protection and Affordable Care Act, HHS Notice of Benefit and Payment Parameters for 2025; Updating Section 1332 Waiver Public Notice Procedures; Medicaid; Consumer Operated and Oriented Plan (CO-OP) Program; and Basic Health Program</t>
  </si>
  <si>
    <t xml:space="preserve">This final rule includes payment parameters and provisions related to the HHS-operated risk adjustment program, as well as 2025 user fee rates for issuers offering qualified health plans (QHPs) through federally facilitated Exchanges (FFEs) and State-based Exchanges on the Federal platform (SBE-FPs). This final rule also includes requirements related to the auto re-enrollment hierarchy; essential health benefits; failure to file Federal income taxes to reconcile advance payments of the premium t</t>
  </si>
  <si>
    <t xml:space="preserve">https://www.federalregister.gov/documents/2024/04/15/2024-07274/patient-protection-and-affordable-care-act-hhs-notice-of-benefit-and-payment-parameters-for-2025</t>
  </si>
  <si>
    <t xml:space="preserve">MEDIUM</t>
  </si>
  <si>
    <t xml:space="preserve">skim - moderate MA/SNP relevance (strong kw=33)</t>
  </si>
  <si>
    <t xml:space="preserve">2024-10250</t>
  </si>
  <si>
    <t xml:space="preserve">Medicare and Medicaid Programs: Application From The Compliance Team (TCT) for Continued Approval of Its Rural Health Clinic (RHC) Accreditation Program</t>
  </si>
  <si>
    <t xml:space="preserve">This final notice announces our decision to approve The Compliance Team (TCT) for continued recognition as a national accrediting organization (AO) for Rural Health Clinics (RHCs) that wish to participate in the Medicare or Medicaid programs.</t>
  </si>
  <si>
    <t xml:space="preserve">https://www.federalregister.gov/documents/2024/05/10/2024-10250/medicare-and-medicaid-programs-application-from-the-compliance-team-tct-for-continued-approval-of</t>
  </si>
  <si>
    <t xml:space="preserve">2024-10255</t>
  </si>
  <si>
    <t xml:space="preserve">https://www.federalregister.gov/documents/2024/05/10/2024-10255/agency-information-collection-activities-submission-for-omb-review-comment-request</t>
  </si>
  <si>
    <t xml:space="preserve">2024-10256</t>
  </si>
  <si>
    <t xml:space="preserve">https://www.federalregister.gov/documents/2024/05/10/2024-10256/agency-information-collection-activities-proposed-collection-comment-request</t>
  </si>
  <si>
    <t xml:space="preserve">2024-10356</t>
  </si>
  <si>
    <t xml:space="preserve">Medicare Program; Updates to the Master List of Items Potentially Subject to Face-to-Face Encounter and Written Order Prior To Delivery and/or Prior Authorization Requirements; Updates to the Required Face-to-Face and Written Order Prior To Delivery List; and Updates to the Required Prior Authorization List</t>
  </si>
  <si>
    <t xml:space="preserve">This document announces the updated Healthcare Common Procedure Coding System (HCPCS) codes on the Master List. It also announces updates to the HCPCS codes on the Required Face-to-Face and Written Order Prior to Delivery List and the Required Prior Authorization List.</t>
  </si>
  <si>
    <t xml:space="preserve">https://www.federalregister.gov/documents/2024/05/13/2024-10356/medicare-program-updates-to-the-master-list-of-items-potentially-subject-to-face-to-face-encounter</t>
  </si>
  <si>
    <t xml:space="preserve">2024-10541</t>
  </si>
  <si>
    <t xml:space="preserve">https://www.federalregister.gov/documents/2024/05/14/2024-10541/agency-information-collection-activities-submission-for-omb-review-comment-request</t>
  </si>
  <si>
    <t xml:space="preserve">2024-10545</t>
  </si>
  <si>
    <t xml:space="preserve">https://www.federalregister.gov/documents/2024/05/14/2024-10545/agency-information-collection-activities-proposed-collection-comment-request</t>
  </si>
  <si>
    <t xml:space="preserve">2024-10771</t>
  </si>
  <si>
    <t xml:space="preserve">https://www.federalregister.gov/documents/2024/05/16/2024-10771/agency-information-collection-activities-proposed-collection-comment-request</t>
  </si>
  <si>
    <t xml:space="preserve">2024-10784</t>
  </si>
  <si>
    <t xml:space="preserve">https://www.federalregister.gov/documents/2024/05/16/2024-10784/agency-information-collection-activities-submission-for-omb-review-comment-request</t>
  </si>
  <si>
    <t xml:space="preserve">2024-09989</t>
  </si>
  <si>
    <t xml:space="preserve">part d(70); medicare advantage(1); dual eligible(1); medigap(1)</t>
  </si>
  <si>
    <t xml:space="preserve">Medicare Program; Alternative Payment Model Updates and the Increasing Organ Transplant Access (IOTA) Model</t>
  </si>
  <si>
    <t xml:space="preserve">This proposed rule describes a new mandatory Medicare payment model, the Increasing Organ Transplant Access Model (IOTA Model), that would test whether performance-based incentive payments paid to or owed by participating kidney transplant hospitals increase access to kidney transplants for patients with end-stage renal disease (ESRD) while preserving or enhancing the quality of care and reducing Medicare expenditures. This proposed rule also includes standard provisions that would apply to Inno</t>
  </si>
  <si>
    <t xml:space="preserve">https://www.federalregister.gov/documents/2024/05/17/2024-09989/medicare-program-alternative-payment-model-updates-and-the-increasing-organ-transplant-access-iota</t>
  </si>
  <si>
    <t xml:space="preserve">2024-10900</t>
  </si>
  <si>
    <t xml:space="preserve">https://www.federalregister.gov/documents/2024/05/17/2024-10900/agency-information-collection-activities-proposed-collection-comment-request</t>
  </si>
  <si>
    <t xml:space="preserve">2024-11041</t>
  </si>
  <si>
    <t xml:space="preserve">https://www.federalregister.gov/documents/2024/05/21/2024-11041/agency-information-collection-activities-proposed-collection-comment-request</t>
  </si>
  <si>
    <t xml:space="preserve">2024-11131</t>
  </si>
  <si>
    <t xml:space="preserve">https://www.federalregister.gov/documents/2024/05/21/2024-11131/agency-information-collection-activities-proposed-collection-comment-request</t>
  </si>
  <si>
    <t xml:space="preserve">2024-11291</t>
  </si>
  <si>
    <t xml:space="preserve">https://www.federalregister.gov/documents/2024/05/23/2024-11291/agency-information-collection-activities-submission-for-omb-review-comment-request</t>
  </si>
  <si>
    <t xml:space="preserve">2024-11351</t>
  </si>
  <si>
    <t xml:space="preserve">Privacy Act of 1974; Matching Program</t>
  </si>
  <si>
    <t xml:space="preserve">In accordance with subsection (e)(12) of the Privacy Act of 1974, as amended, the Department of Health and Human Services (HHS), Centers for Medicare &amp; Medicaid Services (CMS) is providing notice of the establishment of a matching program between CMS and the Department of Veterans Affairs (VA), Veterans Health Administration (VHA) for "Identification and Recovery of Duplicate Payments for Medical Claims."</t>
  </si>
  <si>
    <t xml:space="preserve">https://www.federalregister.gov/documents/2024/05/23/2024-11351/privacy-act-of-1974-matching-program</t>
  </si>
  <si>
    <t xml:space="preserve">2024-11397</t>
  </si>
  <si>
    <t xml:space="preserve">part d(4); part c(1)</t>
  </si>
  <si>
    <t xml:space="preserve">https://www.federalregister.gov/documents/2024/05/24/2024-11397/agency-information-collection-activities-submission-for-omb-review-comment-request</t>
  </si>
  <si>
    <t xml:space="preserve">2024-11421</t>
  </si>
  <si>
    <t xml:space="preserve">Medicare Program; Announcement of the Re-Approval of the Joint Commission as an Accreditation Organization Under the Clinical Laboratory Improvement Amendments of 1988</t>
  </si>
  <si>
    <t xml:space="preserve">This notice announces the application of the Joint Commission for re-approval as an accreditation organization for clinical laboratories under the Clinical Laboratory Improvement Amendments of 1988 (CLIA) program for the following specialty and subspecialty areas under CLIA: Microbiology, including Bacteriology, Mycobacteriology, Mycology, Parasitology, and Virology; Diagnostic Immunology, including Syphilis Serology, and General Immunology; Chemistry, including Routine Chemistry, Toxicology, an</t>
  </si>
  <si>
    <t xml:space="preserve">https://www.federalregister.gov/documents/2024/05/24/2024-11421/medicare-program-announcement-of-the-re-approval-of-the-joint-commission-as-an-accreditation</t>
  </si>
  <si>
    <t xml:space="preserve">2024-11473</t>
  </si>
  <si>
    <t xml:space="preserve">Announcement of the Advisory Panel on Outreach and Education (APOE) Virtual Meeting</t>
  </si>
  <si>
    <t xml:space="preserve">https://www.federalregister.gov/documents/2024/05/24/2024-11473/announcement-of-the-advisory-panel-on-outreach-and-education-apoe-virtual-meeting</t>
  </si>
  <si>
    <t xml:space="preserve">2024-11676</t>
  </si>
  <si>
    <t xml:space="preserve">part d(3); medicare advantage(1); ma organization(1); part c(1)</t>
  </si>
  <si>
    <t xml:space="preserve">https://www.federalregister.gov/documents/2024/05/28/2024-11676/agency-information-collection-activities-submission-for-omb-review-comment-request</t>
  </si>
  <si>
    <t xml:space="preserve">2024-11741</t>
  </si>
  <si>
    <t xml:space="preserve">https://www.federalregister.gov/documents/2024/05/29/2024-11741/agency-information-collection-activities-submission-for-omb-review-comment-request</t>
  </si>
  <si>
    <t xml:space="preserve">2024-11978</t>
  </si>
  <si>
    <t xml:space="preserve">https://www.federalregister.gov/documents/2024/05/31/2024-11978/agency-information-collection-activities-submission-for-omb-review-comment-request</t>
  </si>
  <si>
    <t xml:space="preserve">2024-12122</t>
  </si>
  <si>
    <t xml:space="preserve">https://www.federalregister.gov/documents/2024/06/03/2024-12122/agency-information-collection-activities-submission-for-omb-review-comment-request</t>
  </si>
  <si>
    <t xml:space="preserve">2024-12157</t>
  </si>
  <si>
    <t xml:space="preserve">https://www.federalregister.gov/documents/2024/06/04/2024-12157/agency-information-collection-activities-proposed-collection-comment-request</t>
  </si>
  <si>
    <t xml:space="preserve">2024-12164</t>
  </si>
  <si>
    <t xml:space="preserve">Medicare and Medicaid Programs and the Children's Health Insurance Program; Hospital Inpatient Prospective Payment Systems for Acute Care Hospitals and the Long-Term Care Hospital Prospective Payment System and Policy Changes and Fiscal Year 2025 Rates; Quality Programs Requirements; and Other Policy Changes; Correction</t>
  </si>
  <si>
    <t xml:space="preserve">This document corrects technical and typographical errors in the proposed rule that appeared in the May 2, 2024 Federal Register titled "Medicare and Medicaid Programs and the Children's Health Insurance Program; Hospital Inpatient Prospective Payment Systems for Acute Care Hospitals and the Long-Term Care Hospital Prospective Payment System and Policy Changes and Fiscal Year 2025 Rates; Quality Programs Requirements; and Other Policy Changes."</t>
  </si>
  <si>
    <t xml:space="preserve">https://www.federalregister.gov/documents/2024/06/04/2024-12164/medicare-and-medicaid-programs-and-the-childrens-health-insurance-program-hospital-inpatient</t>
  </si>
  <si>
    <t xml:space="preserve">2024-12495</t>
  </si>
  <si>
    <t xml:space="preserve">Medicare and Medicaid Programs: Application by the Community Health Accreditation Partner (CHAP) Inc. for Continued CMS-Approval of Its Hospice Accreditation Program</t>
  </si>
  <si>
    <t xml:space="preserve">This notice acknowledges the receipt of an application from the Community Health Accreditation Partner for continued recognition as a national accrediting organization for hospices that wish to participate in the Medicare or Medicaid programs.</t>
  </si>
  <si>
    <t xml:space="preserve">https://www.federalregister.gov/documents/2024/06/07/2024-12495/medicare-and-medicaid-programs-application-by-the-community-health-accreditation-partner-chap-inc</t>
  </si>
  <si>
    <t xml:space="preserve">2024-12583</t>
  </si>
  <si>
    <t xml:space="preserve">https://www.federalregister.gov/documents/2024/06/10/2024-12583/agency-information-collection-activities-proposed-collection-comment-request</t>
  </si>
  <si>
    <t xml:space="preserve">2024-12585</t>
  </si>
  <si>
    <t xml:space="preserve">medicare advantage(1); ma organization(1)</t>
  </si>
  <si>
    <t xml:space="preserve">https://www.federalregister.gov/documents/2024/06/10/2024-12585/agency-information-collection-activities-submission-for-omb-review-comment-request</t>
  </si>
  <si>
    <t xml:space="preserve">2024-12637</t>
  </si>
  <si>
    <t xml:space="preserve">https://www.federalregister.gov/documents/2024/06/10/2024-12637/agency-information-collection-activities-proposed-collection-comment-request</t>
  </si>
  <si>
    <t xml:space="preserve">2024-12774</t>
  </si>
  <si>
    <t xml:space="preserve">https://www.federalregister.gov/documents/2024/06/11/2024-12774/agency-information-collection-activities-submission-for-omb-review-comment-request</t>
  </si>
  <si>
    <t xml:space="preserve">2024-12994</t>
  </si>
  <si>
    <t xml:space="preserve">Medicare and Medicaid Programs: Application by the American Association for Accreditation of Ambulatory Surgery Facilities dba QUAD A for Continued CMS Approval of Its Ambulatory Surgical Center (ASC) Accreditation Program</t>
  </si>
  <si>
    <t xml:space="preserve">This notice acknowledges the receipt of an application from the American Association for Accreditation of Ambulatory Surgery Facilities, dba QUAD A, for continued recognition as a national accrediting organization for Ambulatory Surgical Centers that wish to participate in the Medicare or Medicaid programs.</t>
  </si>
  <si>
    <t xml:space="preserve">https://www.federalregister.gov/documents/2024/06/13/2024-12994/medicare-and-medicaid-programs-application-by-the-american-association-for-accreditation-of</t>
  </si>
  <si>
    <t xml:space="preserve">2024-12995</t>
  </si>
  <si>
    <t xml:space="preserve">Medicare and Medicaid Programs: Application by the DNV Healthcare USA, Inc. for Continued CMS-Approval of Its Critical Access Hospital Accreditation Program</t>
  </si>
  <si>
    <t xml:space="preserve">This notice acknowledges the receipt of an application from the DNV Healthcare USA, Inc. for continued recognition as a national accrediting organization for critical access hospitals that wish to participate in the Medicare or Medicaid programs.</t>
  </si>
  <si>
    <t xml:space="preserve">https://www.federalregister.gov/documents/2024/06/13/2024-12995/medicare-and-medicaid-programs-application-by-the-dnv-healthcare-usa-inc-for-continued-cms-approval</t>
  </si>
  <si>
    <t xml:space="preserve">2024-13032</t>
  </si>
  <si>
    <t xml:space="preserve">https://www.federalregister.gov/documents/2024/06/13/2024-13032/agency-information-collection-activities-proposed-collection-comment-request</t>
  </si>
  <si>
    <t xml:space="preserve">2024-13127</t>
  </si>
  <si>
    <t xml:space="preserve">https://www.federalregister.gov/documents/2024/06/13/2024-13127/agency-information-collection-activities-proposed-collection-comment-request</t>
  </si>
  <si>
    <t xml:space="preserve">2024-13067</t>
  </si>
  <si>
    <t xml:space="preserve">https://www.federalregister.gov/documents/2024/06/14/2024-13067/agency-information-collection-activities-submission-for-omb-review-comment-request</t>
  </si>
  <si>
    <t xml:space="preserve">2024-13123</t>
  </si>
  <si>
    <t xml:space="preserve">https://www.federalregister.gov/documents/2024/06/14/2024-13123/agency-information-collection-activities-proposed-collection-comment-request</t>
  </si>
  <si>
    <t xml:space="preserve">2024-13129</t>
  </si>
  <si>
    <t xml:space="preserve">https://www.federalregister.gov/documents/2024/06/14/2024-13129/agency-information-collection-activities-proposed-collection-comment-request</t>
  </si>
  <si>
    <t xml:space="preserve">2024-13130</t>
  </si>
  <si>
    <t xml:space="preserve">https://www.federalregister.gov/documents/2024/06/14/2024-13130/agency-information-collection-activities-submission-for-omb-review-comment-request</t>
  </si>
  <si>
    <t xml:space="preserve">2024-08711</t>
  </si>
  <si>
    <t xml:space="preserve">medigap(51); medicare advantage(24); part d(18); medicare supplement(5); part c(3); ma organization(1); special needs plan(1); dual eligible(1)</t>
  </si>
  <si>
    <t xml:space="preserve">Nondiscrimination in Health Programs and Activities</t>
  </si>
  <si>
    <t xml:space="preserve">The Department of Health and Human Services (HHS or the Department) is issuing this final rule regarding section 1557 of the Affordable Care Act (ACA) (section 1557). Section 1557 prohibits discrimination on the basis of race, color, national origin, sex, age, or disability in certain health programs and activities. Section 1557(c) of the ACA authorizes the Secretary of the Department to promulgate regulations to implement the nondiscrimination requirements of section 1557. The Department is als</t>
  </si>
  <si>
    <t xml:space="preserve">https://www.federalregister.gov/documents/2024/05/06/2024-08711/nondiscrimination-in-health-programs-and-activities</t>
  </si>
  <si>
    <t xml:space="preserve">skim - moderate MA/SNP relevance (strong kw=83)</t>
  </si>
  <si>
    <t xml:space="preserve">2024-13696</t>
  </si>
  <si>
    <t xml:space="preserve">Performance Review Board Membership</t>
  </si>
  <si>
    <t xml:space="preserve">The U.S. Code of Federal Regulations requires each agency to establish, in accordance with regulations prescribed by the Office of Personnel Management, one or more Senior Executive Service (SES) Performance Review Boards (PRBs).</t>
  </si>
  <si>
    <t xml:space="preserve">https://www.federalregister.gov/documents/2024/06/24/2024-13696/performance-review-board-membership</t>
  </si>
  <si>
    <t xml:space="preserve">2024-13712</t>
  </si>
  <si>
    <t xml:space="preserve">Medicaid Program; Medicaid and Children's Health Insurance Program (CHIP) Managed Care Access, Finance, and Quality; Correction</t>
  </si>
  <si>
    <t xml:space="preserve">This document corrects typographical errors in the final rule that appeared in the May 10, 2024 Federal Register, entitled "Medicaid Program; Medicaid and Children's Health Insurance Program (CHIP) Managed Care Access, Finance, and Quality (referred to hereafter as the "Managed Care final rule"). The effective date of the Managed Care final rule is July 9, 2024.</t>
  </si>
  <si>
    <t xml:space="preserve">https://www.federalregister.gov/documents/2024/06/24/2024-13712/medicaid-program-medicaid-and-childrens-health-insurance-program-chip-managed-care-access-finance</t>
  </si>
  <si>
    <t xml:space="preserve">2024-13795</t>
  </si>
  <si>
    <t xml:space="preserve">Medicare and Medicaid Programs; Minimum Staffing Standards for Long-Term Care Facilities and Medicaid Institutional Payment Transparency Reporting; Correction</t>
  </si>
  <si>
    <t xml:space="preserve">This document corrects typographical and technical errors in the final rule that appeared in the May 10, 2024 Federal Register, entitled "Medicare and Medicaid Programs; Minimum Staffing Standards for Long-Term Care Facilities and Medicaid Institutional Payment Transparency Reporting (referred to hereafter as the "Minimum Staffing final rule"). The effective date of the Minimum Staffing final rule is June 21, 2024.</t>
  </si>
  <si>
    <t xml:space="preserve">https://www.federalregister.gov/documents/2024/06/24/2024-13795/medicare-and-medicaid-programs-minimum-staffing-standards-for-long-term-care-facilities-and-medicaid</t>
  </si>
  <si>
    <t xml:space="preserve">2024-13891</t>
  </si>
  <si>
    <t xml:space="preserve">part c(2); medicare advantage(1); part d(1)</t>
  </si>
  <si>
    <t xml:space="preserve">https://www.federalregister.gov/documents/2024/06/25/2024-13891/agency-information-collection-activities-submission-for-omb-review-comment-request</t>
  </si>
  <si>
    <t xml:space="preserve">2024-13892</t>
  </si>
  <si>
    <t xml:space="preserve">https://www.federalregister.gov/documents/2024/06/25/2024-13892/agency-information-collection-activities-proposed-collection-comment-request</t>
  </si>
  <si>
    <t xml:space="preserve">2024-14030</t>
  </si>
  <si>
    <t xml:space="preserve">Medicaid Program; Ensuring Access to Medicaid Services; Correction</t>
  </si>
  <si>
    <t xml:space="preserve">This document corrects technical and typographical errors in the final rule that appeared in the May 10, 2024 Federal Register, entitled "Medicaid Program; Ensuring Access to Medicaid Services (referred to hereafter as the "Access final rule"). The effective date of the Access final rule is July 9, 2024.</t>
  </si>
  <si>
    <t xml:space="preserve">https://www.federalregister.gov/documents/2024/06/27/2024-14030/medicaid-program-ensuring-access-to-medicaid-services-correction</t>
  </si>
  <si>
    <t xml:space="preserve">2024-14124</t>
  </si>
  <si>
    <t xml:space="preserve">https://www.federalregister.gov/documents/2024/06/27/2024-14124/agency-information-collection-activities-proposed-collection-comment-request</t>
  </si>
  <si>
    <t xml:space="preserve">2024-14137</t>
  </si>
  <si>
    <t xml:space="preserve">Medicare and Medicaid Programs: Application by the Accreditation Association for Ambulatory Health Care for Continued CMS-Approval of Ambulatory Surgical Center Accreditation Program</t>
  </si>
  <si>
    <t xml:space="preserve">This proposed notice announces the receipt of an application from the Accreditation Association for Ambulatory Health Care for continued recognition as a national accrediting organization for Ambulatory Surgical Centers that wish to participate in the Medicare or Medicaid programs.</t>
  </si>
  <si>
    <t xml:space="preserve">https://www.federalregister.gov/documents/2024/06/27/2024-14137/medicare-and-medicaid-programs-application-by-the-accreditation-association-for-ambulatory-health</t>
  </si>
  <si>
    <t xml:space="preserve">2024-14338</t>
  </si>
  <si>
    <t xml:space="preserve">https://www.federalregister.gov/documents/2024/06/28/2024-14338/agency-information-collection-activities-proposed-collection-comment-request</t>
  </si>
  <si>
    <t xml:space="preserve">2024-08085</t>
  </si>
  <si>
    <t xml:space="preserve">medicare advantage(44); part d(43); d-snp(24); ma organization(13); dual eligible(10); part c(6); special needs plan(6)</t>
  </si>
  <si>
    <t xml:space="preserve">Medicaid Program; Medicaid and Children's Health Insurance Program (CHIP) Managed Care Access, Finance, and Quality</t>
  </si>
  <si>
    <t xml:space="preserve">This final rule will advance CMS's efforts to improve access to care, quality and health outcomes, and better address health equity issues for Medicaid and Children's Health Insurance Program (CHIP) managed care enrollees. The final rule addresses standards for timely access to care and States' monitoring and enforcement efforts, reduces State burdens for implementing some State directed payments (SDPs) and certain quality reporting requirements, adds new standards that will apply when States us</t>
  </si>
  <si>
    <t xml:space="preserve">https://www.federalregister.gov/documents/2024/05/10/2024-08085/medicaid-program-medicaid-and-childrens-health-insurance-program-chip-managed-care-access-finance</t>
  </si>
  <si>
    <t xml:space="preserve">skim - moderate MA/SNP relevance (strong kw=97)</t>
  </si>
  <si>
    <t xml:space="preserve">2024-14581</t>
  </si>
  <si>
    <t xml:space="preserve">https://www.federalregister.gov/documents/2024/07/02/2024-14581/agency-information-collection-activities-proposed-collection-comment-request</t>
  </si>
  <si>
    <t xml:space="preserve">2024-14582</t>
  </si>
  <si>
    <t xml:space="preserve">part d(2)</t>
  </si>
  <si>
    <t xml:space="preserve">https://www.federalregister.gov/documents/2024/07/02/2024-14582/agency-information-collection-activities-proposed-collection-comment-request</t>
  </si>
  <si>
    <t xml:space="preserve">2024-14254</t>
  </si>
  <si>
    <t xml:space="preserve">dual eligible(5); medicare advantage(1)</t>
  </si>
  <si>
    <t xml:space="preserve">Medicare Program; Calendar Year (CY) 2025 Home Health Prospective Payment System (HH PPS) Rate Update; HH Quality Reporting Program Requirements; HH Value-Based Purchasing Expanded Model Requirements; Home Intravenous Immune Globulin (IVIG) Items and Services Rate Update; and Other Medicare Policies</t>
  </si>
  <si>
    <t xml:space="preserve">This proposed rule would set forth routine updates to the Medicare home health payment rates; the payment rate for the disposable negative pressure wound therapy (dNPWT) devices; and the intravenous immune globulin (IVIG) items and services payment rate for CY 2025 in accordance with existing statutory and regulatory requirements. In addition, it proposes changes to the Home Health Quality Reporting Program (HH QRP) requirements and provides an update on potential approaches for integrating heal</t>
  </si>
  <si>
    <t xml:space="preserve">https://www.federalregister.gov/documents/2024/07/03/2024-14254/medicare-program-calendar-year-cy-2025-home-health-prospective-payment-system-hh-pps-rate-update-hh</t>
  </si>
  <si>
    <t xml:space="preserve">2024-08363</t>
  </si>
  <si>
    <t xml:space="preserve">dual eligible(9); medicare advantage(8); special needs plan(6); d-snp(6)</t>
  </si>
  <si>
    <t xml:space="preserve">Medicaid Program; Ensuring Access to Medicaid Services</t>
  </si>
  <si>
    <t xml:space="preserve">This final rule takes a comprehensive approach to improving access to care, quality and health outcomes, and better addressing health equity issues in the Medicaid program across fee-for-service (FFS), managed care delivery systems, and in home and community-based services (HCBS) programs. These improvements increase transparency and accountability, standardize data and monitoring, and create opportunities for States to promote active beneficiary engagement in their Medicaid programs, with the g</t>
  </si>
  <si>
    <t xml:space="preserve">https://www.federalregister.gov/documents/2024/05/10/2024-08363/medicaid-program-ensuring-access-to-medicaid-services</t>
  </si>
  <si>
    <t xml:space="preserve">skim - moderate MA/SNP relevance (strong kw=29)</t>
  </si>
  <si>
    <t xml:space="preserve">2024-14637</t>
  </si>
  <si>
    <t xml:space="preserve">https://www.federalregister.gov/documents/2024/07/03/2024-14637/agency-information-collection-activities-submission-for-omb-review-comment-request</t>
  </si>
  <si>
    <t xml:space="preserve">2024-14359</t>
  </si>
  <si>
    <t xml:space="preserve">part d(18); dual eligible(4); medicare advantage(3)</t>
  </si>
  <si>
    <t xml:space="preserve">Medicare Program; End-Stage Renal Disease Prospective Payment System, Payment for Renal Dialysis Services Furnished to Individuals With Acute Kidney Injury, Conditions for Coverage for End-Stage Renal Disease Facilities, End-Stage Renal Disease Quality Incentive Program, and End-Stage Renal Disease Treatment Choices Model</t>
  </si>
  <si>
    <t xml:space="preserve">This proposed rule would update and revise the End-Stage Renal Disease (ESRD) Prospective Payment System for calendar year 2025. This rule also proposes to update the payment rate for renal dialysis services furnished by an ESRD facility to individuals with acute kidney injury. In addition, this proposed rule would update requirements for the Conditions for Coverage for ESRD Facilities, ESRD Quality Incentive Program, and ESRD Treatment Choices Model.</t>
  </si>
  <si>
    <t xml:space="preserve">https://www.federalregister.gov/documents/2024/07/05/2024-14359/medicare-program-end-stage-renal-disease-prospective-payment-system-payment-for-renal-dialysis</t>
  </si>
  <si>
    <t xml:space="preserve">2024-14772</t>
  </si>
  <si>
    <t xml:space="preserve">Agency Information Collection Activities: Submission for OMB Review; Comment Request; Correction</t>
  </si>
  <si>
    <t xml:space="preserve">On June 25, 2024, CMS published a notice in the Federal Register that sought comment on a collection of information concerning CMS-1696 (OMB control number 0938-0950) entitled "Appointment of Representative and Supporting Regulations in 42 CFR 405.910." The CMS number identifying the aforementioned information collection request in incorrectly listed in the Document Identifier section of the notice. This document corrects the error.</t>
  </si>
  <si>
    <t xml:space="preserve">https://www.federalregister.gov/documents/2024/07/08/2024-14772/agency-information-collection-activities-submission-for-omb-review-comment-request-correction</t>
  </si>
  <si>
    <t xml:space="preserve">2024-14825</t>
  </si>
  <si>
    <t xml:space="preserve">part d(5); medicare advantage(1)</t>
  </si>
  <si>
    <t xml:space="preserve">https://www.federalregister.gov/documents/2024/07/08/2024-14825/agency-information-collection-activities-proposed-collection-comment-request</t>
  </si>
  <si>
    <t xml:space="preserve">2024-14955</t>
  </si>
  <si>
    <t xml:space="preserve">https://www.federalregister.gov/documents/2024/07/09/2024-14955/agency-information-collection-activities-proposed-collection-comment-request</t>
  </si>
  <si>
    <t xml:space="preserve">2024-14956</t>
  </si>
  <si>
    <t xml:space="preserve">https://www.federalregister.gov/documents/2024/07/09/2024-14956/agency-information-collection-activities-submission-for-omb-review-comment-request</t>
  </si>
  <si>
    <t xml:space="preserve">2024-15097</t>
  </si>
  <si>
    <t xml:space="preserve">Agency Information Collection Activities: Proposed Collection; Comment Request; Withdrawal</t>
  </si>
  <si>
    <t xml:space="preserve">On Tuesday, July 2, 2024, the Centers for Medicare &amp; Medicaid Services (CMS) published a notice entitled, "Agency Information Collection Activities: Proposed Collection; Comment Request." The document invited public comments on four separate information collection requests notices specific to document identifiers: CMS-179, CMS-10536, CMS-R-153 and CMS-10326. Through the publication of this document, we are withdrawing each of the aforementioned notices.</t>
  </si>
  <si>
    <t xml:space="preserve">https://www.federalregister.gov/documents/2024/07/10/2024-15097/agency-information-collection-activities-proposed-collection-comment-request-withdrawal</t>
  </si>
  <si>
    <t xml:space="preserve">2024-15137</t>
  </si>
  <si>
    <t xml:space="preserve">https://www.federalregister.gov/documents/2024/07/10/2024-15137/agency-information-collection-activities-submission-for-omb-review-comment-request</t>
  </si>
  <si>
    <t xml:space="preserve">2024-15152</t>
  </si>
  <si>
    <t xml:space="preserve">medicare advantage(3); part c(2)</t>
  </si>
  <si>
    <t xml:space="preserve">https://www.federalregister.gov/documents/2024/07/10/2024-15152/agency-information-collection-activities-proposed-collection-comment-request</t>
  </si>
  <si>
    <t xml:space="preserve">2024-15185</t>
  </si>
  <si>
    <t xml:space="preserve">Emergency Reinstatement: Public Information Collection Requirements Submitted to the Office of Management and Budget (OMB)</t>
  </si>
  <si>
    <t xml:space="preserve">The Centers for Medicare &amp; Medicaid Services (CMS) is requesting that this information collection request (ICR), for the reinstatement of certain generic information collection requests (GenICs) be processed under the emergency Paperwork Reduction Act of 1995 (PRA) clearance process. Such GenICs are without change. We seek emergency reinstatement since we believe that public harm is reasonably likely to ensue if the normal, non-emergency clearance procedures are followed.</t>
  </si>
  <si>
    <t xml:space="preserve">https://www.federalregister.gov/documents/2024/07/11/2024-15185/emergency-reinstatement-public-information-collection-requirements-submitted-to-the-office-of</t>
  </si>
  <si>
    <t xml:space="preserve">2024-15393</t>
  </si>
  <si>
    <t xml:space="preserve">Medicare Program; Announcement of the Advisory Panel on Hospital Outpatient Payment Meeting-August 26-27, 2024</t>
  </si>
  <si>
    <t xml:space="preserve">This meeting notice announces the virtual meeting of the Advisory Panel on Hospital Outpatient Payment (the Panel) on Monday, August 26, 2024 and Tuesday, August 27, 2024. The purpose of the Panel is to advise the Secretary on the clinical integrity of the Ambulatory Payment Classification groups and their associated weights, which are major elements of the Medicare Hospital Outpatient Prospective Payment System and the Ambulatory Surgical Center payment system, and supervision of hospital outpa</t>
  </si>
  <si>
    <t xml:space="preserve">https://www.federalregister.gov/documents/2024/07/15/2024-15393/medicare-program-announcement-of-the-advisory-panel-on-hospital-outpatient-payment-meeting-august</t>
  </si>
  <si>
    <t xml:space="preserve">2024-15473</t>
  </si>
  <si>
    <t xml:space="preserve">https://www.federalregister.gov/documents/2024/07/15/2024-15473/agency-information-collection-activities-submission-for-omb-review-comment-request</t>
  </si>
  <si>
    <t xml:space="preserve">2024-15519</t>
  </si>
  <si>
    <t xml:space="preserve">Medicare and Medicaid Programs: Application by DNV Healthcare USA Inc. for Continued CMS Approval of Its Psychiatric Hospital Accreditation Program</t>
  </si>
  <si>
    <t xml:space="preserve">This notice acknowledges the approval of an application from DNV Healthcare USA Inc. for continued CMS approval as a national accrediting organization for its psychiatric hospitals that wish to participate in the Medicare or Medicaid programs.</t>
  </si>
  <si>
    <t xml:space="preserve">https://www.federalregister.gov/documents/2024/07/16/2024-15519/medicare-and-medicaid-programs-application-by-dnv-healthcare-usa-inc-for-continued-cms-approval-of</t>
  </si>
  <si>
    <t xml:space="preserve">2024-15581</t>
  </si>
  <si>
    <t xml:space="preserve">https://www.federalregister.gov/documents/2024/07/16/2024-15581/agency-information-collection-activities-submission-for-omb-review-comment-request</t>
  </si>
  <si>
    <t xml:space="preserve">2024-15644</t>
  </si>
  <si>
    <t xml:space="preserve">Medicare Program; Alternative Payment Model (APM) Incentive Payment Advisory for Clinicians-Request for Current Billing Information for Qualifying APM Participants</t>
  </si>
  <si>
    <t xml:space="preserve">This advisory is to alert certain clinicians who are Qualifying APM participants (QPs) and have earned an Alternative Payment Model (APM) Incentive Payment that CMS does not have the current information needed to disburse the payment. This advisory provides information to QPs on how to update their Medicare billing information so that CMS can disburse APM Incentive Payments.</t>
  </si>
  <si>
    <t xml:space="preserve">https://www.federalregister.gov/documents/2024/07/17/2024-15644/medicare-program-alternative-payment-model-apm-incentive-payment-advisory-for-clinicians-request-for</t>
  </si>
  <si>
    <t xml:space="preserve">2024-15816</t>
  </si>
  <si>
    <t xml:space="preserve">Medicare and Medicaid Programs: Application From The Joint Commission for Continued Approval of Its Ambulatory Surgical Center (ASC) Accreditation Program</t>
  </si>
  <si>
    <t xml:space="preserve">This notice announces our decision to approve The Joint Commission for continued recognition as a national accrediting organization for Ambulatory Surgical Centers that wish to participate in the Medicare or Medicaid programs.</t>
  </si>
  <si>
    <t xml:space="preserve">https://www.federalregister.gov/documents/2024/07/18/2024-15816/medicare-and-medicaid-programs-application-from-the-joint-commission-for-continued-approval-of-its</t>
  </si>
  <si>
    <t xml:space="preserve">2024-15882</t>
  </si>
  <si>
    <t xml:space="preserve">https://www.federalregister.gov/documents/2024/07/19/2024-15882/medicaid-and-childrens-health-insurance-program-chip-generic-information-collection-activities</t>
  </si>
  <si>
    <t xml:space="preserve">2024-15087</t>
  </si>
  <si>
    <t xml:space="preserve">medicare advantage(6); dual eligible(2); part d(1)</t>
  </si>
  <si>
    <t xml:space="preserve">Medicare and Medicaid Programs: Hospital Outpatient Prospective Payment and Ambulatory Surgical Center Payment Systems; Quality Reporting Programs, Including the Hospital Inpatient Quality Reporting Program; Health and Safety Standards for Obstetrical Services in Hospitals and Critical Access Hospitals; Prior Authorization; Requests for Information; Medicaid and CHIP Continuous Eligibility; Medicaid Clinic Services Four Walls Exceptions; Individuals Currently or Formerly in Custody of Penal Authorities; Revision to Medicare Special Enrollment Period for Formerly Incarcerated Individuals; and All-Inclusive Rate Add-On Payment for High-Cost Drugs Provided by Indian Health Service and Tribal Facilities</t>
  </si>
  <si>
    <t xml:space="preserve">This proposed rule would revise the Medicare hospital Outpatient Prospective Payment System (OPPS) and the Medicare Ambulatory Surgical Center (ASC) payment system for calendar year 2025 based on our continuing experience with these systems. In this proposed rule, we describe the changes to the amounts and factors used to determine the payment rates for Medicare services paid under the OPPS and those paid under the ASC payment system. Also, this proposed rule would update and refine the requirem</t>
  </si>
  <si>
    <t xml:space="preserve">https://www.federalregister.gov/documents/2024/07/22/2024-15087/medicare-and-medicaid-programs-hospital-outpatient-prospective-payment-and-ambulatory-surgical</t>
  </si>
  <si>
    <t xml:space="preserve">2024-16040</t>
  </si>
  <si>
    <t xml:space="preserve">Medicare and Medicaid Programs; Quarterly Listing of Program Issuances-April Through June 2024</t>
  </si>
  <si>
    <t xml:space="preserve">https://www.federalregister.gov/documents/2024/07/22/2024-16040/medicare-and-medicaid-programs-quarterly-listing-of-program-issuances-april-through-june-2024</t>
  </si>
  <si>
    <t xml:space="preserve">2024-16205</t>
  </si>
  <si>
    <t xml:space="preserve">https://www.federalregister.gov/documents/2024/07/24/2024-16205/medicaid-and-childrens-health-insurance-program-chip-generic-information-collection-activities</t>
  </si>
  <si>
    <t xml:space="preserve">2024-16398</t>
  </si>
  <si>
    <t xml:space="preserve">https://www.federalregister.gov/documents/2024/07/25/2024-16398/agency-information-collection-activities-submission-for-omb-review-comment-request</t>
  </si>
  <si>
    <t xml:space="preserve">2024-16425</t>
  </si>
  <si>
    <t xml:space="preserve">https://www.federalregister.gov/documents/2024/07/26/2024-16425/agency-information-collection-activities-proposed-collection-comment-request</t>
  </si>
  <si>
    <t xml:space="preserve">2024-16426</t>
  </si>
  <si>
    <t xml:space="preserve">https://www.federalregister.gov/documents/2024/07/26/2024-16426/agency-information-collection-activities-submission-for-omb-review-comment-request</t>
  </si>
  <si>
    <t xml:space="preserve">2024-16513</t>
  </si>
  <si>
    <t xml:space="preserve">https://www.federalregister.gov/documents/2024/07/26/2024-16513/agency-information-collection-activities-proposed-collection-comment-request</t>
  </si>
  <si>
    <t xml:space="preserve">2024-16735</t>
  </si>
  <si>
    <t xml:space="preserve">https://www.federalregister.gov/documents/2024/07/30/2024-16735/medicaid-and-childrens-health-insurance-program-chip-generic-information-collection-activities</t>
  </si>
  <si>
    <t xml:space="preserve">2024-16736</t>
  </si>
  <si>
    <t xml:space="preserve">https://www.federalregister.gov/documents/2024/07/30/2024-16736/agency-information-collection-activities-proposed-collection-comment-request</t>
  </si>
  <si>
    <t xml:space="preserve">2024-16738</t>
  </si>
  <si>
    <t xml:space="preserve">https://www.federalregister.gov/documents/2024/07/30/2024-16738/agency-information-collection-activities-submission-for-omb-review-comment-request</t>
  </si>
  <si>
    <t xml:space="preserve">2024-14828</t>
  </si>
  <si>
    <t xml:space="preserve">part d(720); dual eligible(34); medicare advantage(25); part c(5); ma organization(2)</t>
  </si>
  <si>
    <t xml:space="preserve">Medicare and Medicaid Programs; CY 2025 Payment Policies Under the Physician Fee Schedule and Other Changes to Part B Payment and Coverage Policies; Medicare Shared Savings Program Requirements; Medicare Prescription Drug Inflation Rebate Program; and Medicare Overpayments</t>
  </si>
  <si>
    <t xml:space="preserve">This major proposed rule addresses: changes to the physician fee schedule (PFS); other changes to Medicare Part B payment policies to ensure that payment systems are updated to reflect changes in medical practice, relative value of services, and changes in the statute; codification of, and proposing policies for, the Medicare Prescription Drug Inflation Rebate Program under the Inflation Reduction Act of 2022; updates to the Medicare Diabetes Prevention Program expanded model; payment for dental</t>
  </si>
  <si>
    <t xml:space="preserve">https://www.federalregister.gov/documents/2024/07/31/2024-14828/medicare-and-medicaid-programs-cy-2025-payment-policies-under-the-physician-fee-schedule-and-other</t>
  </si>
  <si>
    <t xml:space="preserve">2024-16907</t>
  </si>
  <si>
    <t xml:space="preserve">dual eligible(14); part d(5); part c(2); medicare advantage(1)</t>
  </si>
  <si>
    <t xml:space="preserve">This final rule finalizes changes and updates to the policies and payment rates used under the Skilled Nursing Facility (SNF) Prospective Payment System (PPS) for fiscal year (FY) 2025. First, we are rebasing and revising the SNF market basket to reflect a 2022 base year. Next, we update the wage index used under the SNF PPS to reflect data collected during the most recent decennial census. Additionally, we finalize several technical revisions to the code mappings used to classify patients under</t>
  </si>
  <si>
    <t xml:space="preserve">https://www.federalregister.gov/documents/2024/08/06/2024-16907/medicare-program-prospective-payment-system-and-consolidated-billing-for-skilled-nursing-facilities</t>
  </si>
  <si>
    <t xml:space="preserve">2024-16910</t>
  </si>
  <si>
    <t xml:space="preserve">This final rule updates the hospice wage index, payment rates, and aggregate cap amount for Fiscal Year (FY) 2025. This rule also adopts the most recent Office of Management and Budget statistical area delineations, which will impact the hospice wage index. This rule clarifies current policy related to the "election statement" and the "notice of election", as well as adds clarifying language regarding hospice certification and includes a technical regulation text change to the Conditions of Part</t>
  </si>
  <si>
    <t xml:space="preserve">https://www.federalregister.gov/documents/2024/08/06/2024-16910/medicare-program-fy-2025-hospice-wage-index-and-payment-rate-update-hospice-conditions-of</t>
  </si>
  <si>
    <t xml:space="preserve">2024-16911</t>
  </si>
  <si>
    <t xml:space="preserve">medicare advantage(5); part c(2)</t>
  </si>
  <si>
    <t xml:space="preserve">This final action updates the prospective payment rates for inpatient rehabilitation facilities (IRFs) for Federal fiscal year (FY) 2025. As required by statute, this final action includes the classification and weighting factors for the IRF prospective payment system's case-mix groups and a description of the methodologies and data used in computing the prospective payment rates for FY 2025. We are updating the Office of Management and Budget (OMB) market area delineations for the IRF prospecti</t>
  </si>
  <si>
    <t xml:space="preserve">https://www.federalregister.gov/documents/2024/08/06/2024-16911/medicare-program-inpatient-rehabilitation-facility-prospective-payment-system-for-federal-fiscal</t>
  </si>
  <si>
    <t xml:space="preserve">2024-17024</t>
  </si>
  <si>
    <t xml:space="preserve">medicare advantage(7); part d(7); ma organization(6); part c(1); special needs plan(1); d-snp(1)</t>
  </si>
  <si>
    <t xml:space="preserve">Medicare Program; Changes to the Medicare Advantage and the Medicare Prescription Drug Benefit Program for Contract Year 2024-Remaining Provisions and Contract Year 2025 Policy and Technical Changes to the Medicare Advantage Program, Medicare Prescription Drug Benefit Program, Medicare Cost Plan Program, and Programs of All-Inclusive Care for the Elderly (PACE); Correcting Amendment</t>
  </si>
  <si>
    <t xml:space="preserve">This document corrects technical and typographical errors in the final rule that appeared in the April 23, 2024 Federal Register titled "Medicare Program; Changes to the Medicare Advantage and the Medicare Prescription Drug Benefit Program for Contract Year 2024-- Remaining Provisions and Contract Year 2025 Policy and Technical Changes to the Medicare Advantage Program, Medicare Prescription Drug Benefit Program, Medicare Cost Plan Program, and Programs of All- Inclusive Care for the Elderly (PA</t>
  </si>
  <si>
    <t xml:space="preserve">https://www.federalregister.gov/documents/2024/08/06/2024-17024/medicare-program-changes-to-the-medicare-advantage-and-the-medicare-prescription-drug-benefit</t>
  </si>
  <si>
    <t xml:space="preserve">skim - moderate MA/SNP relevance (strong kw=15)</t>
  </si>
  <si>
    <t xml:space="preserve">2024-17301</t>
  </si>
  <si>
    <t xml:space="preserve">part d(6)</t>
  </si>
  <si>
    <t xml:space="preserve">https://www.federalregister.gov/documents/2024/08/06/2024-17301/agency-information-collection-activities-submission-for-omb-review-comment-request</t>
  </si>
  <si>
    <t xml:space="preserve">2024-17303</t>
  </si>
  <si>
    <t xml:space="preserve">https://www.federalregister.gov/documents/2024/08/06/2024-17303/agency-information-collection-activities-proposed-collection-comment-request</t>
  </si>
  <si>
    <t xml:space="preserve">2024-16909</t>
  </si>
  <si>
    <t xml:space="preserve">This final action updates the prospective payment rates, the outlier threshold, and the wage index for Medicare inpatient hospital services provided by Inpatient Psychiatric Facilities (IPF), which include psychiatric hospitals and excluded psychiatric units of an acute care hospital or critical access hospital. This final action also revises the patient-level adjustment factors, the Emergency Department adjustment, and the payment amount for electroconvulsive therapy. These changes will be effe</t>
  </si>
  <si>
    <t xml:space="preserve">https://www.federalregister.gov/documents/2024/08/07/2024-16909/medicare-program-fy-2025-inpatient-psychiatric-facilities-prospective-payment-system-rate-update</t>
  </si>
  <si>
    <t xml:space="preserve">2024-17411</t>
  </si>
  <si>
    <t xml:space="preserve">https://www.federalregister.gov/documents/2024/08/07/2024-17411/agency-information-collection-activities-submission-for-omb-review-comment-request</t>
  </si>
  <si>
    <t xml:space="preserve">2024-17467</t>
  </si>
  <si>
    <t xml:space="preserve">part c(4); medicare advantage(3)</t>
  </si>
  <si>
    <t xml:space="preserve">https://www.federalregister.gov/documents/2024/08/07/2024-17467/agency-information-collection-activities-proposed-collection-comment-request</t>
  </si>
  <si>
    <t xml:space="preserve">2024-17468</t>
  </si>
  <si>
    <t xml:space="preserve">part d(8)</t>
  </si>
  <si>
    <t xml:space="preserve">https://www.federalregister.gov/documents/2024/08/07/2024-17468/agency-information-collection-activities-submission-for-omb-review-comment-request</t>
  </si>
  <si>
    <t xml:space="preserve">2024-17484</t>
  </si>
  <si>
    <t xml:space="preserve">https://www.federalregister.gov/documents/2024/08/07/2024-17484/agency-information-collection-activities-proposed-collection-comment-request</t>
  </si>
  <si>
    <t xml:space="preserve">2024-17773</t>
  </si>
  <si>
    <t xml:space="preserve">part d(6); part c(1)</t>
  </si>
  <si>
    <t xml:space="preserve">https://www.federalregister.gov/documents/2024/08/09/2024-17773/agency-information-collection-activities-proposed-collection-comment-request</t>
  </si>
  <si>
    <t xml:space="preserve">2024-26474</t>
  </si>
  <si>
    <t xml:space="preserve">medicare supplement(2)</t>
  </si>
  <si>
    <t xml:space="preserve">Medicare Program; Medicare Part B Monthly Actuarial Rates, Premium Rates, and Annual Deductible Beginning January 1, 2025</t>
  </si>
  <si>
    <t xml:space="preserve">This notice announces the monthly actuarial rates for aged (age 65 and over) and disabled (under age 65) beneficiaries enrolled in Part B of the Medicare Supplementary Medical Insurance (SMI) program beginning January 1, 2025. In addition, this notice announces the monthly premium for aged and disabled beneficiaries, the deductible for 2025, and the income-related monthly adjustment amounts to be paid by beneficiaries with modified adjusted gross income above certain threshold amounts. The month</t>
  </si>
  <si>
    <t xml:space="preserve">annual Part B premium/deductible notice - consumer-visible</t>
  </si>
  <si>
    <t xml:space="preserve">2024-17969</t>
  </si>
  <si>
    <t xml:space="preserve">https://www.federalregister.gov/documents/2024/08/13/2024-17969/agency-information-collection-activities-submission-for-omb-review-comment-request</t>
  </si>
  <si>
    <t xml:space="preserve">2024-18031</t>
  </si>
  <si>
    <t xml:space="preserve">https://www.federalregister.gov/documents/2024/08/13/2024-18031/agency-information-collection-activities-proposed-collection-comment-request</t>
  </si>
  <si>
    <t xml:space="preserve">2024-18654</t>
  </si>
  <si>
    <t xml:space="preserve">https://www.federalregister.gov/documents/2024/08/20/2024-18654/agency-information-collection-activities-submission-for-omb-review-comment-request</t>
  </si>
  <si>
    <t xml:space="preserve">2024-18655</t>
  </si>
  <si>
    <t xml:space="preserve">https://www.federalregister.gov/documents/2024/08/20/2024-18655/agency-information-collection-activities-proposed-collection-comment-request</t>
  </si>
  <si>
    <t xml:space="preserve">2024-18691</t>
  </si>
  <si>
    <t xml:space="preserve">This notice announces the next meeting of the APOE (the Panel) in accordance with the Federal Advisory Committee Act. The Panel advises and makes recommendations to the Secretary of the U.S. Department of Health and Human Services (HHS) (the Secretary) and the Administrator of the Centers for Medicare &amp; Medicaid Services (CMS) on opportunities to enhance the effectiveness of consumer education strategies concerning the Health Insurance Marketplace[supreg],\1\ Medicare, Medicaid, and the Children</t>
  </si>
  <si>
    <t xml:space="preserve">https://www.federalregister.gov/documents/2024/08/21/2024-18691/announcement-of-the-advisory-panel-on-outreach-and-education-apoe-in-person-meeting</t>
  </si>
  <si>
    <t xml:space="preserve">2024-18745</t>
  </si>
  <si>
    <t xml:space="preserve">https://www.federalregister.gov/documents/2024/08/21/2024-18745/agency-information-collection-activities-submission-for-omb-review-comment-request</t>
  </si>
  <si>
    <t xml:space="preserve">2024-18866</t>
  </si>
  <si>
    <t xml:space="preserve">https://www.federalregister.gov/documents/2024/08/22/2024-18866/agency-information-collection-activities-proposed-collection-comment-request</t>
  </si>
  <si>
    <t xml:space="preserve">2024-18868</t>
  </si>
  <si>
    <t xml:space="preserve">https://www.federalregister.gov/documents/2024/08/22/2024-18868/agency-information-collection-activities-submission-for-omb-review-comment-request</t>
  </si>
  <si>
    <t xml:space="preserve">2024-19184</t>
  </si>
  <si>
    <t xml:space="preserve">https://www.federalregister.gov/documents/2024/08/27/2024-19184/agency-information-collection-activities-submission-for-omb-review-comment-request</t>
  </si>
  <si>
    <t xml:space="preserve">2024-19220</t>
  </si>
  <si>
    <t xml:space="preserve">https://www.federalregister.gov/documents/2024/08/27/2024-19220/agency-information-collection-activities-submission-for-omb-review-comment-request</t>
  </si>
  <si>
    <t xml:space="preserve">2024-19228</t>
  </si>
  <si>
    <t xml:space="preserve">https://www.federalregister.gov/documents/2024/08/27/2024-19228/agency-information-collection-activities-submission-for-omb-review-comment-request</t>
  </si>
  <si>
    <t xml:space="preserve">2024-17021</t>
  </si>
  <si>
    <t xml:space="preserve">medicare advantage(58); part d(21); dual eligible(8); part c(2)</t>
  </si>
  <si>
    <t xml:space="preserve">This final rule revises the Medicare hospital inpatient prospective payment systems (IPPS) for operating and capital-related costs of acute care hospitals; makes changes relating to Medicare graduate medical education (GME) for teaching hospitals; updates the payment policies and the annual payment rates for the Medicare prospective payment system (PPS) for inpatient hospital services provided by long-term care hospitals (LTCHs); and makes other policy- related changes.</t>
  </si>
  <si>
    <t xml:space="preserve">https://www.federalregister.gov/documents/2024/08/28/2024-17021/medicare-and-medicaid-programs-and-the-childrens-health-insurance-program-hospital-inpatient</t>
  </si>
  <si>
    <t xml:space="preserve">2024-19404</t>
  </si>
  <si>
    <t xml:space="preserve">https://www.federalregister.gov/documents/2024/08/29/2024-19404/agency-information-collection-activities-submission-for-omb-review-comment-request</t>
  </si>
  <si>
    <t xml:space="preserve">2024-19558</t>
  </si>
  <si>
    <t xml:space="preserve">https://www.federalregister.gov/documents/2024/08/30/2024-19558/agency-information-collection-activities-submission-for-omb-review-comment-request</t>
  </si>
  <si>
    <t xml:space="preserve">2024-19479</t>
  </si>
  <si>
    <t xml:space="preserve">Secretarial Review and Publication of the Consensus Based Entity Report of 2023 Activities to Congress and the Secretary of the Department of Health and Human Services</t>
  </si>
  <si>
    <t xml:space="preserve">This notice acknowledges receipt and review by the Secretary of the Department of Health and Human Services (the Secretary) of the 2023 Consensus Based Entity Annual Report to Congress as mandated by section 1890(b)(5) of the Social Security Act (the Act). The Secretary has reviewed and is publishing the report in the Federal Register together with the Secretary's comments on the report.</t>
  </si>
  <si>
    <t xml:space="preserve">https://www.federalregister.gov/documents/2024/09/03/2024-19479/secretarial-review-and-publication-of-the-consensus-based-entity-report-of-2023-activities-to</t>
  </si>
  <si>
    <t xml:space="preserve">2024-19733</t>
  </si>
  <si>
    <t xml:space="preserve">https://www.federalregister.gov/documents/2024/09/03/2024-19733/agency-information-collection-activities-submission-for-omb-review-comment-request</t>
  </si>
  <si>
    <t xml:space="preserve">2024-19863</t>
  </si>
  <si>
    <t xml:space="preserve">https://www.federalregister.gov/documents/2024/09/05/2024-19863/agency-information-collection-activities-submission-for-omb-review-comment-request</t>
  </si>
  <si>
    <t xml:space="preserve">2024-19867</t>
  </si>
  <si>
    <t xml:space="preserve">https://www.federalregister.gov/documents/2024/09/05/2024-19867/agency-information-collection-activities-proposed-collection-comment-request</t>
  </si>
  <si>
    <t xml:space="preserve">2025-20251</t>
  </si>
  <si>
    <t xml:space="preserve">Medicare Program; Medicare Part B Monthly Actuarial Rates, Premium Rates, and Annual Deductible Beginning January 1, 2026</t>
  </si>
  <si>
    <t xml:space="preserve">This notice announces the monthly actuarial rates for aged (age 65 and over) and disabled (under age 65) beneficiaries enrolled in Part B of the Medicare Supplementary Medical Insurance (SMI) program beginning January 1, 2026. In addition, this notice announces the monthly premium for aged and disabled beneficiaries, the deductible for 2026, and the income-related monthly adjustment amounts to be paid by beneficiaries with modified adjusted gross income above certain threshold amounts. The month</t>
  </si>
  <si>
    <t xml:space="preserve">2024-20236</t>
  </si>
  <si>
    <t xml:space="preserve">https://www.federalregister.gov/documents/2024/09/09/2024-20236/agency-information-collection-activities-submission-for-omb-review-comment-request</t>
  </si>
  <si>
    <t xml:space="preserve">2024-20400</t>
  </si>
  <si>
    <t xml:space="preserve">ma organization(3); part c(2)</t>
  </si>
  <si>
    <t xml:space="preserve">https://www.federalregister.gov/documents/2024/09/10/2024-20400/agency-information-collection-activities-proposed-collection-comment-request</t>
  </si>
  <si>
    <t xml:space="preserve">2024-20527</t>
  </si>
  <si>
    <t xml:space="preserve">https://www.federalregister.gov/documents/2024/09/11/2024-20527/agency-information-collection-activities-submission-for-omb-review-comment-request</t>
  </si>
  <si>
    <t xml:space="preserve">2024-20791</t>
  </si>
  <si>
    <t xml:space="preserve">Medicare Program; Town Hall Meeting on the Fiscal Year 2026 Applications for New Medical Services and Technologies Add-On Payments</t>
  </si>
  <si>
    <t xml:space="preserve">This notice announces a town hall meeting in accordance with the Social Security Act (the Act) to discuss fiscal year (FY) 2026 applications for add-on payments for new medical services and technologies under the hospital inpatient prospective payment system (IPPS). Interested parties are invited to this virtual meeting to present their comments, recommendations, and data regarding whether the FY 2026 new medical services and technologies applications meet the substantial clinical improvement cr</t>
  </si>
  <si>
    <t xml:space="preserve">https://www.federalregister.gov/documents/2024/09/13/2024-20791/medicare-program-town-hall-meeting-on-the-fiscal-year-2026-applications-for-new-medical-services-and</t>
  </si>
  <si>
    <t xml:space="preserve">2024-21014</t>
  </si>
  <si>
    <t xml:space="preserve">Medicare and Medicaid Programs; Application From the Accreditation Commission for Health Care, Inc. (ACHC) for Continued Approval of Its Home Health Agency Accreditation Program</t>
  </si>
  <si>
    <t xml:space="preserve">This proposed notice acknowledges the receipt of an application from the Accreditation Commission for Health Care, Inc. (ACHC) for continued recognition as a national accrediting organization for home health agencies (HHAs) that wish to participate in the Medicare or Medicaid programs. The statute requires that within 60 days of receipt of an organization's complete application, the Centers for Medicare &amp; Medicaid Services (CMS) must publish a notice that identifies the national accrediting body</t>
  </si>
  <si>
    <t xml:space="preserve">https://www.federalregister.gov/documents/2024/09/17/2024-21014/medicare-and-medicaid-programs-application-from-the-accreditation-commission-for-health-care-inc</t>
  </si>
  <si>
    <t xml:space="preserve">2024-21055</t>
  </si>
  <si>
    <t xml:space="preserve">https://www.federalregister.gov/documents/2024/09/17/2024-21055/agency-information-collection-activities-proposed-collection-comment-request</t>
  </si>
  <si>
    <t xml:space="preserve">2024-21063</t>
  </si>
  <si>
    <t xml:space="preserve">https://www.federalregister.gov/documents/2024/09/17/2024-21063/agency-information-collection-activities-submission-for-omb-review-comment-request</t>
  </si>
  <si>
    <t xml:space="preserve">2024-21084</t>
  </si>
  <si>
    <t xml:space="preserve">This final notice announces our decision to approve the Community Health Accreditation Partner (CHAP) for continued recognition as a national accrediting organization that accredits suppliers of home infusion therapy (HIT) services that wish to participate in the Medicare or Medicaid programs.</t>
  </si>
  <si>
    <t xml:space="preserve">https://www.federalregister.gov/documents/2024/09/18/2024-21084/medicare-program-application-by-the-community-health-accreditation-partner-chap-for-continued-cms</t>
  </si>
  <si>
    <t xml:space="preserve">2024-21297</t>
  </si>
  <si>
    <t xml:space="preserve">Medicare Program; Public Meeting for New Revisions to the Healthcare Common Procedure Coding System (HCPCS) Coding-November 6-8, 2024</t>
  </si>
  <si>
    <t xml:space="preserve">This notice announces the dates and times of the virtual Healthcare Common Procedure Coding System (HCPCS) public meeting to be held from November 6, 2024, through November 8, 2024, to discuss CMS' preliminary coding, Medicare benefit category, and payment determinations, if applicable, for new revisions to the HCPCS Level II code set for non-drug and non-biological items and services, as well as how to register for those meetings.</t>
  </si>
  <si>
    <t xml:space="preserve">https://www.federalregister.gov/documents/2024/09/19/2024-21297/medicare-program-public-meeting-for-new-revisions-to-the-healthcare-common-procedure-coding-system</t>
  </si>
  <si>
    <t xml:space="preserve">2024-21409</t>
  </si>
  <si>
    <t xml:space="preserve">Medicare Program; Application by the National Association of Boards of Pharmacy (NABP) for Continued CMS Approval of Its Home Infusion Therapy (HIT) Accreditation Program</t>
  </si>
  <si>
    <t xml:space="preserve">This final notice announces our decision to approve the National Association of Boards of Pharmacy (NABP) for continued recognition as a national accrediting organization that accredits suppliers of home infusion therapy (HIT) services that wish to participate in the Medicare or Medicaid programs.</t>
  </si>
  <si>
    <t xml:space="preserve">https://www.federalregister.gov/documents/2024/09/19/2024-21409/medicare-program-application-by-the-national-association-of-boards-of-pharmacy-nabp-for-continued</t>
  </si>
  <si>
    <t xml:space="preserve">2024-21410</t>
  </si>
  <si>
    <t xml:space="preserve">Medicare Program; Application by The Compliance Team (TCT) for Continued CMS Approval of Its Home Infusion Therapy (HIT) Accreditation Program</t>
  </si>
  <si>
    <t xml:space="preserve">This final notice announces our decision to approve The Compliance Team (TCT) for continued recognition as a national accrediting organization that accredits suppliers of home infusion therapy (HIT) services that wish to participate in the Medicare or Medicaid programs.</t>
  </si>
  <si>
    <t xml:space="preserve">https://www.federalregister.gov/documents/2024/09/19/2024-21410/medicare-program-application-by-the-compliance-team-tct-for-continued-cms-approval-of-its-home</t>
  </si>
  <si>
    <t xml:space="preserve">2024-21444</t>
  </si>
  <si>
    <t xml:space="preserve">https://www.federalregister.gov/documents/2024/09/19/2024-21444/agency-information-collection-activities-submission-for-omb-review-comment-request</t>
  </si>
  <si>
    <t xml:space="preserve">2024-21631</t>
  </si>
  <si>
    <t xml:space="preserve">https://www.federalregister.gov/documents/2024/09/23/2024-21631/agency-information-collection-activities-submission-for-omb-review-comment-request</t>
  </si>
  <si>
    <t xml:space="preserve">2024-21732</t>
  </si>
  <si>
    <t xml:space="preserve">https://www.federalregister.gov/documents/2024/09/24/2024-21732/agency-information-collection-activities-submission-for-omb-review-comment-request</t>
  </si>
  <si>
    <t xml:space="preserve">2026-03968</t>
  </si>
  <si>
    <t xml:space="preserve">ma organization(8); medicare advantage(5); part d(3); part c(1)</t>
  </si>
  <si>
    <t xml:space="preserve">Request for Information (RFI) Related to Comprehensive Regulations To Uncover Suspicious Healthcare (CRUSH)</t>
  </si>
  <si>
    <t xml:space="preserve">This request for information (RFI) solicits stakeholder feedback on potential regulatory changes that might be included in a potential upcoming CRUSH proposed rule, as well as other programmatic changes that could be implemented to make CMS more effective in crushing fraud to protect taxpayer dollars and the Americans we serve.</t>
  </si>
  <si>
    <t xml:space="preserve">https://www.federalregister.gov/documents/2026/02/27/2026-03968/request-for-information-rfi-related-to-comprehensive-regulations-to-uncover-suspicious-healthcare</t>
  </si>
  <si>
    <t xml:space="preserve">skim - moderate MA/SNP relevance (strong kw=13)</t>
  </si>
  <si>
    <t xml:space="preserve">2024-21978</t>
  </si>
  <si>
    <t xml:space="preserve">https://www.federalregister.gov/documents/2024/09/26/2024-21978/agency-information-collection-activities-proposed-collection-comment-request</t>
  </si>
  <si>
    <t xml:space="preserve">2024-21982</t>
  </si>
  <si>
    <t xml:space="preserve">https://www.federalregister.gov/documents/2024/09/26/2024-21982/agency-information-collection-activities-submission-for-omb-review-comment-request</t>
  </si>
  <si>
    <t xml:space="preserve">2026-10050</t>
  </si>
  <si>
    <t xml:space="preserve">medicare advantage(8); part d(4); medigap(3)</t>
  </si>
  <si>
    <t xml:space="preserve">Patient Protection and Affordable Care Act, HHS Notice of Benefit and Payment Parameters for 2027; and Basic Health Program</t>
  </si>
  <si>
    <t xml:space="preserve">This final rule contains provisions to improve implementation of the Patient Protection and Affordable Care Act, including payment parameters and provisions related to the HHS-operated risk adjustment and risk adjustment data validation (HHS-RADV) programs, as well as 2027 user fee rates for issuers offering qualified health plans (QHPs) through Federally-facilitated Exchanges (FFEs) and State-based Exchanges on the Federal platform (SBE-FPs). This final rule also includes provisions related to </t>
  </si>
  <si>
    <t xml:space="preserve">https://www.federalregister.gov/documents/2026/05/20/2026-10050/patient-protection-and-affordable-care-act-hhs-notice-of-benefit-and-payment-parameters-for-2027-and</t>
  </si>
  <si>
    <t xml:space="preserve">skim - moderate MA/SNP relevance (strong kw=11)</t>
  </si>
  <si>
    <t xml:space="preserve">2024-22142</t>
  </si>
  <si>
    <t xml:space="preserve">part d(9); part c(6); ma organization(3); medicare advantage(1)</t>
  </si>
  <si>
    <t xml:space="preserve">Medicare Program; Medicare Appeals; Adjustment to the Amount in Controversy Threshold Amounts for Calendar Year 2025</t>
  </si>
  <si>
    <t xml:space="preserve">This notice announces the annual adjustment in the amount in controversy (AIC) threshold amounts for Administrative Law Judge (ALJ) hearings and judicial review under the Medicare appeals process. The adjustment to the AIC threshold amounts will be effective for requests for ALJ hearings and judicial review filed on or after January 1, 2025. The calendar year 2025 AIC threshold amounts are $190 for ALJ hearings and $1,900 for judicial review.</t>
  </si>
  <si>
    <t xml:space="preserve">https://www.federalregister.gov/documents/2024/09/27/2024-22142/medicare-program-medicare-appeals-adjustment-to-the-amount-in-controversy-threshold-amounts-for</t>
  </si>
  <si>
    <t xml:space="preserve">appeals threshold housekeeping</t>
  </si>
  <si>
    <t xml:space="preserve">2024-01832</t>
  </si>
  <si>
    <t xml:space="preserve">medicare advantage(8); part c(2); part d(2)</t>
  </si>
  <si>
    <t xml:space="preserve">Medicare Program; Request for Information on Medicare Advantage Data</t>
  </si>
  <si>
    <t xml:space="preserve">This request for information (RFI) seeks input from the public regarding various aspects of Medicare Advantage (MA) data. Responses to this RFI may be used to inform general efforts to strengthen Centers for Medicare &amp; Medicaid Services' (CMS') MA data capabilities and guide policymaking.</t>
  </si>
  <si>
    <t xml:space="preserve">https://www.federalregister.gov/documents/2024/01/30/2024-01832/medicare-program-request-for-information-on-medicare-advantage-data</t>
  </si>
  <si>
    <t xml:space="preserve">LOW</t>
  </si>
  <si>
    <t xml:space="preserve">marginal (strong kw=8)</t>
  </si>
  <si>
    <t xml:space="preserve">2024-22345</t>
  </si>
  <si>
    <t xml:space="preserve">https://www.federalregister.gov/documents/2024/09/30/2024-22345/agency-information-collection-activities-submission-for-omb-review-comment-request</t>
  </si>
  <si>
    <t xml:space="preserve">2024-22355</t>
  </si>
  <si>
    <t xml:space="preserve">https://www.federalregister.gov/documents/2024/09/30/2024-22355/agency-information-collection-activities-proposed-collection-comment-request</t>
  </si>
  <si>
    <t xml:space="preserve">2024-22495</t>
  </si>
  <si>
    <t xml:space="preserve">Medicare Program; FY 2025 Hospice Wage Index and Payment Rate Update, Hospice Conditions of Participation Updates, and Hospice Quality Reporting Program Requirements; Correction</t>
  </si>
  <si>
    <t xml:space="preserve">This document corrects technical and typographical errors in the final rule that appeared in the August 6, 2024 Federal Register titled "Medicare Program; FY 2025 Hospice Wage Index and Payment Rate Update, Hospice Conditions of Participation Updates, and Hospice Quality Reporting Program Requirements".</t>
  </si>
  <si>
    <t xml:space="preserve">https://www.federalregister.gov/documents/2024/10/01/2024-22495/medicare-program-fy-2025-hospice-wage-index-and-payment-rate-update-hospice-conditions-of</t>
  </si>
  <si>
    <t xml:space="preserve">2024-22536</t>
  </si>
  <si>
    <t xml:space="preserve">https://www.federalregister.gov/documents/2024/10/01/2024-22536/agency-information-collection-activities-proposed-collection-comment-request</t>
  </si>
  <si>
    <t xml:space="preserve">2024-22496</t>
  </si>
  <si>
    <t xml:space="preserve">Medicare Program; FY 2025 Inpatient Psychiatric Facilities Prospective Payment System-Rate Update; Correction</t>
  </si>
  <si>
    <t xml:space="preserve">This document corrects technical errors in the final action that appeared in the August 7, 2024 Federal Register titled "Medicare Program; FY 2025 Inpatient Psychiatric Facilities Prospective Payment System--Rate Update".</t>
  </si>
  <si>
    <t xml:space="preserve">https://www.federalregister.gov/documents/2024/10/02/2024-22496/medicare-program-fy-2025-inpatient-psychiatric-facilities-prospective-payment-system-rate-update</t>
  </si>
  <si>
    <t xml:space="preserve">2024-22497</t>
  </si>
  <si>
    <t xml:space="preserve">Medicare Program; Inpatient Rehabilitation Facility Prospective Payment System for Federal Fiscal Year 2025 and Updates to the IRF Quality Reporting Program; Correction</t>
  </si>
  <si>
    <t xml:space="preserve">This document corrects technical and typographical errors in the final rule that appeared in the August 6, 2024 Federal Register entitled "Medicare Program; Inpatient Rehabilitation Facility Prospective Payment System for Federal Fiscal Year 2025 and Updates to the IRF Quality Reporting Program" (referred to hereafter as the "FY 2025 IRF final rule"). The effective date of the FY 2025 IRF final rule is October 1, 2024.</t>
  </si>
  <si>
    <t xml:space="preserve">https://www.federalregister.gov/documents/2024/10/02/2024-22497/medicare-program-inpatient-rehabilitation-facility-prospective-payment-system-for-federal-fiscal</t>
  </si>
  <si>
    <t xml:space="preserve">2024-22501</t>
  </si>
  <si>
    <t xml:space="preserve">This document corrects technical and typographical errors in the final rule that appeared in the August 28, 2024 Federal Register titled "Medicare and Medicaid Programs and the Children's Health Insurance Program; Hospital Inpatient Prospective Payment Systems for Acute Care Hospitals and the Long-Term Care Hospital Prospective Payment System and Policy Changes and Fiscal Year 2025 Rates; Quality Programs Requirements; and Other Policy Changes" (referred to hereafter as the "FY 2025 IPPS/LTCH PP</t>
  </si>
  <si>
    <t xml:space="preserve">https://www.federalregister.gov/documents/2024/10/02/2024-22501/medicare-and-medicaid-programs-and-the-childrens-health-insurance-program-hospital-inpatient</t>
  </si>
  <si>
    <t xml:space="preserve">2024-22504</t>
  </si>
  <si>
    <t xml:space="preserve">Medicare Program; Prospective Payment System and Consolidated Billing for Skilled Nursing Facilities; Updates to the Quality Reporting Program and Value-Based Purchasing Program for Federal Fiscal Year 2025; Correction</t>
  </si>
  <si>
    <t xml:space="preserve">This document corrects technical errors in the final rule that appeared in the August 6, 2024 Federal Register, titled "Medicare Program; Prospective Payment System and Consolidated Billing for Skilled Nursing Facilities (SNF); Updates to the Quality Reporting Program and Value-Based Purchasing Program for Federal Fiscal Year 2025" (referred to hereafter as the "FY 2025 SNF final rule"). The effective date of the FY 2025 SNF final rule is October 1, 2024.</t>
  </si>
  <si>
    <t xml:space="preserve">https://www.federalregister.gov/documents/2024/10/02/2024-22504/medicare-program-prospective-payment-system-and-consolidated-billing-for-skilled-nursing-facilities</t>
  </si>
  <si>
    <t xml:space="preserve">2024-22547</t>
  </si>
  <si>
    <t xml:space="preserve">https://www.federalregister.gov/documents/2024/10/02/2024-22547/agency-information-collection-activities-submission-for-omb-review-comment-request</t>
  </si>
  <si>
    <t xml:space="preserve">2024-22765</t>
  </si>
  <si>
    <t xml:space="preserve">Medicare Program; Changes to the Fiscal Year 2025 Hospital Inpatient Prospective Payment System (IPPS) Rates Due to Court Decision</t>
  </si>
  <si>
    <t xml:space="preserve">This interim final action with comment period (IFC) implements revised Medicare wage index values for FY 2025, establishes a transitional payment exception for low wage hospitals significantly impacted by those revisions, and makes conforming changes to the hospital Inpatient Prospective Payment System (IPPS) payment rates for FY 2025. These changes reflect the removal of the low wage index hospital policy following the appellate court decision in Bridgeport Hosp. v. Becerra. This rule also make</t>
  </si>
  <si>
    <t xml:space="preserve">https://www.federalregister.gov/documents/2024/10/03/2024-22765/medicare-program-changes-to-the-fiscal-year-2025-hospital-inpatient-prospective-payment-system-ipps</t>
  </si>
  <si>
    <t xml:space="preserve">2024-23008</t>
  </si>
  <si>
    <t xml:space="preserve">https://www.federalregister.gov/documents/2024/10/04/2024-23008/agency-information-collection-activities-proposed-collection-comment-request</t>
  </si>
  <si>
    <t xml:space="preserve">2024-23261</t>
  </si>
  <si>
    <t xml:space="preserve">https://www.federalregister.gov/documents/2024/10/08/2024-23261/agency-information-collection-activities-submission-for-omb-review-comment-request</t>
  </si>
  <si>
    <t xml:space="preserve">2024-23395</t>
  </si>
  <si>
    <t xml:space="preserve">medicare advantage(4); part d(2)</t>
  </si>
  <si>
    <t xml:space="preserve">https://www.federalregister.gov/documents/2024/10/09/2024-23395/agency-information-collection-activities-proposed-collection-comment-request</t>
  </si>
  <si>
    <t xml:space="preserve">2024-06566</t>
  </si>
  <si>
    <t xml:space="preserve">part d(3); dual eligible(1)</t>
  </si>
  <si>
    <t xml:space="preserve">Medicaid Program; Streamlining the Medicaid, Children's Health Insurance Program, and Basic Health Program Application, Eligibility Determination, Enrollment, and Renewal Processes</t>
  </si>
  <si>
    <t xml:space="preserve">This is the second part of a two-part final rule that simplifies the eligibility and enrollment processes for Medicaid, the Children's Health Insurance Program (CHIP), and the Basic Health Program (BHP). This rule aligns enrollment and renewal requirements for most individuals in Medicaid; establishes beneficiary protections related to returned mail; creates timeliness requirements for redeterminations of eligibility; makes transitions between programs easier; eliminates access barriers for chil</t>
  </si>
  <si>
    <t xml:space="preserve">https://www.federalregister.gov/documents/2024/04/02/2024-06566/medicaid-program-streamlining-the-medicaid-childrens-health-insurance-program-and-basic-health</t>
  </si>
  <si>
    <t xml:space="preserve">marginal (strong kw=1)</t>
  </si>
  <si>
    <t xml:space="preserve">2024-23418</t>
  </si>
  <si>
    <t xml:space="preserve">Inflation Reduction Act (IRA) Medicare Drug Price Negotiation Program Final Guidance</t>
  </si>
  <si>
    <t xml:space="preserve">The Centers for Medicare &amp; Medicaid Services (CMS) is announcing the availability of CMS' final guidance for the second cycle of the Medicare Drug Price Negotiation Program and manufacturer effectuation of the maximum fair price in 2026 and 2027 for the implementation of the Inflation Reduction Act. This and other Inflation Reduction Act-related guidance can be viewed on the dedicated Inflation Reduction Act section of the CMS website at https://www.cms.gov/ inflation-reduction-act-and-medicare/</t>
  </si>
  <si>
    <t xml:space="preserve">https://www.federalregister.gov/documents/2024/10/10/2024-23418/inflation-reduction-act-ira-medicare-drug-price-negotiation-program-final-guidance</t>
  </si>
  <si>
    <t xml:space="preserve">2024-09661</t>
  </si>
  <si>
    <t xml:space="preserve">part c(1)</t>
  </si>
  <si>
    <t xml:space="preserve">Clarifying the Eligibility of Deferred Action for Childhood Arrivals (DACA) Recipients and Certain Other Noncitizens for a Qualified Health Plan through an Exchange, Advance Payments of the Premium Tax Credit, Cost-Sharing Reductions, and a Basic Health Program</t>
  </si>
  <si>
    <t xml:space="preserve">This final rule makes several clarifications and updates the definitions currently used to determine whether a consumer is eligible to enroll in a Qualified Health Plan (QHP) through an Exchange; a Basic Health Program (BHP), in States that elect to operate a BHP; and for Medicaid and Children's Health Insurance Programs (CHIPs). Specifically, Deferred Action for Childhood Arrivals (DACA) recipients and certain other noncitizens will be included in the definitions of "lawfully present" that are </t>
  </si>
  <si>
    <t xml:space="preserve">https://www.federalregister.gov/documents/2024/05/08/2024-09661/clarifying-the-eligibility-of-deferred-action-for-childhood-arrivals-daca-recipients-and-certain</t>
  </si>
  <si>
    <t xml:space="preserve">marginal (strong kw=0)</t>
  </si>
  <si>
    <t xml:space="preserve">2024-23737</t>
  </si>
  <si>
    <t xml:space="preserve">https://www.federalregister.gov/documents/2024/10/15/2024-23737/agency-information-collection-activities-submission-for-omb-review-comment-request</t>
  </si>
  <si>
    <t xml:space="preserve">2024-23930</t>
  </si>
  <si>
    <t xml:space="preserve">Medicare and Medicaid Programs: Application From the American Association for Accreditation of Ambulatory Surgery Facilities dba QUAD A for Continued CMS-Approval of Its Outpatient Physical Therapy (OPT) Accreditation Program</t>
  </si>
  <si>
    <t xml:space="preserve">This notice acknowledges the receipt of an application from the American Association for Accreditation of Ambulatory Surgery Facilities, dba QUAD A, for continued recognition as a national accrediting organization for outpatient physical therapy providers that wish to participate in the Medicare or Medicaid programs.</t>
  </si>
  <si>
    <t xml:space="preserve">https://www.federalregister.gov/documents/2024/10/17/2024-23930/medicare-and-medicaid-programs-application-from-the-american-association-for-accreditation-of</t>
  </si>
  <si>
    <t xml:space="preserve">2024-24264</t>
  </si>
  <si>
    <t xml:space="preserve">https://www.federalregister.gov/documents/2024/10/21/2024-24264/agency-information-collection-activities-submission-for-omb-review-comment-request</t>
  </si>
  <si>
    <t xml:space="preserve">2024-24266</t>
  </si>
  <si>
    <t xml:space="preserve">part d(4)</t>
  </si>
  <si>
    <t xml:space="preserve">https://www.federalregister.gov/documents/2024/10/21/2024-24266/agency-information-collection-activities-proposed-collection-comment-request</t>
  </si>
  <si>
    <t xml:space="preserve">2024-12842</t>
  </si>
  <si>
    <t xml:space="preserve">part d(201); medicare advantage(7)</t>
  </si>
  <si>
    <t xml:space="preserve">Medicare Program; Medicare Prescription Drug Benefit Program; Health Information Technology Standards and Implementation Specifications</t>
  </si>
  <si>
    <t xml:space="preserve">This final rule will revise the Medicare Prescription Drug Benefit (Part D) and ONC regulations to implement changes related to required standards for electronic prescribing and adoption of health information technology (IT) standards for HHS use.</t>
  </si>
  <si>
    <t xml:space="preserve">https://www.federalregister.gov/documents/2024/06/17/2024-12842/medicare-program-medicare-prescription-drug-benefit-program-health-information-technology-standards</t>
  </si>
  <si>
    <t xml:space="preserve">marginal (strong kw=7)</t>
  </si>
  <si>
    <t xml:space="preserve">2024-24910</t>
  </si>
  <si>
    <t xml:space="preserve">Patient Protection and Affordable Care Act, HHS Notice of Benefit and Payment Parameters for 2025; Updating Section 1332 Waiver Public Notice Procedures; Medicaid; Consumer Operated and Oriented Plan (CO-OP) Program; and Basic Health Program; Correcting Amendment</t>
  </si>
  <si>
    <t xml:space="preserve">This document corrects technical and typographical errors in the final rule that appeared in the April 15, 2024 issue of the Federal Register entitled, "Patient Protection and Affordable Care Act, HHS Notice of Benefit and Payment Parameters for 2025; Updating Section 1332 Waiver Public Notice Procedures; Medicaid; Consumer Operated and Oriented Plan (CO-OP) Program; and Basic Health Program." The effective date of the final rule was June 4, 2024.</t>
  </si>
  <si>
    <t xml:space="preserve">https://www.federalregister.gov/documents/2024/10/28/2024-24910/patient-protection-and-affordable-care-act-hhs-notice-of-benefit-and-payment-parameters-for-2025</t>
  </si>
  <si>
    <t xml:space="preserve">2024-25009</t>
  </si>
  <si>
    <t xml:space="preserve">https://www.federalregister.gov/documents/2024/10/28/2024-25009/agency-information-collection-activities-proposed-collection-comment-request</t>
  </si>
  <si>
    <t xml:space="preserve">2024-25015</t>
  </si>
  <si>
    <t xml:space="preserve">https://www.federalregister.gov/documents/2024/10/28/2024-25015/agency-information-collection-activities-submission-for-omb-review-comment-request</t>
  </si>
  <si>
    <t xml:space="preserve">2024-25019</t>
  </si>
  <si>
    <t xml:space="preserve">Agency Information Collection Activities: Submission for OMB Review; Comment Request; Withdrawal</t>
  </si>
  <si>
    <t xml:space="preserve">On Thursday, September 26, 2024, the Centers for Medicare &amp; Medicaid Services (CMS) published a 30-day Paperwork Reduction Act of 1995 notice entitled, "Agency Information Collection Activities: Submission for OMB Review; Comment Request." The notice invited public comment on Document Identifier: CMS-10856; Title of Information Collection: Medicaid Managed Care and Supporting Regulations; and Form Number: CMS-10856 (OMB control number 0938-1453). Through the publication of this document we are w</t>
  </si>
  <si>
    <t xml:space="preserve">https://www.federalregister.gov/documents/2024/10/28/2024-25019/agency-information-collection-activities-submission-for-omb-review-comment-request-withdrawal</t>
  </si>
  <si>
    <t xml:space="preserve">2024-25148</t>
  </si>
  <si>
    <t xml:space="preserve">https://www.federalregister.gov/documents/2024/10/30/2024-25148/agency-information-collection-activities-proposed-collection-comment-request</t>
  </si>
  <si>
    <t xml:space="preserve">2024-25331</t>
  </si>
  <si>
    <t xml:space="preserve">https://www.federalregister.gov/documents/2024/10/31/2024-25331/agency-information-collection-activities-submission-for-omb-review-comment-request</t>
  </si>
  <si>
    <t xml:space="preserve">2024-25380</t>
  </si>
  <si>
    <t xml:space="preserve">https://www.federalregister.gov/documents/2024/10/31/2024-25380/agency-information-collection-activities-submission-for-omb-review-comment-request</t>
  </si>
  <si>
    <t xml:space="preserve">2024-25503</t>
  </si>
  <si>
    <t xml:space="preserve">https://www.federalregister.gov/documents/2024/11/01/2024-25503/medicaid-and-childrens-health-insurance-program-chip-generic-information-collection-activities</t>
  </si>
  <si>
    <t xml:space="preserve">2024-25505</t>
  </si>
  <si>
    <t xml:space="preserve">https://www.federalregister.gov/documents/2024/11/01/2024-25505/agency-information-collection-activities-proposed-collection-comment-request</t>
  </si>
  <si>
    <t xml:space="preserve">2024-25646</t>
  </si>
  <si>
    <t xml:space="preserve">https://www.federalregister.gov/documents/2024/11/05/2024-25646/medicaid-and-childrens-health-insurance-program-chip-generic-information-collection-activities</t>
  </si>
  <si>
    <t xml:space="preserve">2024-25738</t>
  </si>
  <si>
    <t xml:space="preserve">https://www.federalregister.gov/documents/2024/11/06/2024-25738/agency-information-collection-activities-submission-for-omb-review-comment-request</t>
  </si>
  <si>
    <t xml:space="preserve">2024-25791</t>
  </si>
  <si>
    <t xml:space="preserve">https://www.federalregister.gov/documents/2024/11/06/2024-25791/agency-information-collection-activities-submission-for-omb-review-comment-request</t>
  </si>
  <si>
    <t xml:space="preserve">2024-25792</t>
  </si>
  <si>
    <t xml:space="preserve">https://www.federalregister.gov/documents/2024/11/06/2024-25792/agency-information-collection-activities-proposed-collection-comment-request</t>
  </si>
  <si>
    <t xml:space="preserve">2024-25441</t>
  </si>
  <si>
    <t xml:space="preserve">dual eligible(4); medicare advantage(2)</t>
  </si>
  <si>
    <t xml:space="preserve">This final rule will set forth routine updates to the Medicare home health payment rates; the payment rate for the disposable negative pressure wound therapy (dNPWT) devices; and the intravenous immune globulin (IVIG) items and services payment rate for CY 2025 in accordance with existing statutory and regulatory requirements. In addition, it finalizes changes to the Home Health Quality Reporting Program (HH QRP) requirements and provides an update on potential approaches for integrating health </t>
  </si>
  <si>
    <t xml:space="preserve">https://www.federalregister.gov/documents/2024/11/07/2024-25441/medicare-program-calendar-year-cy-2025-home-health-prospective-payment-system-hh-pps-rate-update-hh</t>
  </si>
  <si>
    <t xml:space="preserve">2024-25874</t>
  </si>
  <si>
    <t xml:space="preserve">Medicare and Medicaid Programs; Quarterly Listing of Program Issuances-July through September 2024</t>
  </si>
  <si>
    <t xml:space="preserve">https://www.federalregister.gov/documents/2024/11/07/2024-25874/medicare-and-medicaid-programs-quarterly-listing-of-program-issuances-july-through-september-2024</t>
  </si>
  <si>
    <t xml:space="preserve">2024-25966</t>
  </si>
  <si>
    <t xml:space="preserve">Medicare, Medicaid, Children's Health Insurance Program, Private Health Insurance Program; Health Equity Advisory Committee; Establishment &amp; Nomination Request</t>
  </si>
  <si>
    <t xml:space="preserve">This notice announces the establishment of the Centers for Medicare and Medicaid Services (CMS) Health Equity Advisory Committee (the "Committee") and solicits nominations for members to be appointed to the Committee by the Director of the CMS Office of Minority Health. The Committee is established to advise and make recommendations to CMS on the identification and resolution of systemic barriers to accessing CMS programs that hinder quality of care for beneficiaries and consumers. The Committee</t>
  </si>
  <si>
    <t xml:space="preserve">https://www.federalregister.gov/documents/2024/11/08/2024-25966/medicare-medicaid-childrens-health-insurance-program-private-health-insurance-program-health-equity</t>
  </si>
  <si>
    <t xml:space="preserve">2024-26018</t>
  </si>
  <si>
    <t xml:space="preserve">https://www.federalregister.gov/documents/2024/11/08/2024-26018/agency-information-collection-activities-submission-for-omb-review-comment-request</t>
  </si>
  <si>
    <t xml:space="preserve">2024-25486</t>
  </si>
  <si>
    <t xml:space="preserve">part d(57); medicare advantage(10); dual eligible(4)</t>
  </si>
  <si>
    <t xml:space="preserve">This final rule updates and revises the End-Stage Renal Disease (ESRD) Prospective Payment System for calendar year 2025. This rule also updates the payment rate for renal dialysis services furnished by an ESRD facility to individuals with acute kidney injury. In addition, this rule updates requirements for the Conditions for Coverage for ESRD Facilities, ESRD Quality Incentive Program, and ESRD Treatment Choices Model.</t>
  </si>
  <si>
    <t xml:space="preserve">https://www.federalregister.gov/documents/2024/11/12/2024-25486/medicare-program-end-stage-renal-disease-prospective-payment-system-payment-for-renal-dialysis</t>
  </si>
  <si>
    <t xml:space="preserve">2024-26123</t>
  </si>
  <si>
    <t xml:space="preserve">Medicare and Medicaid Programs; Approval of Application by Community Health Accreditation Partner (CHAP) Inc. for Continued CMS-Approval of Its Hospice Accreditation Program</t>
  </si>
  <si>
    <t xml:space="preserve">This notice acknowledges the approval of an application by Community Health Accreditation Partner Inc., for continued CMS-approval as a national accrediting organization for its hospice programs that wish to participate in the Medicare or Medicaid programs.</t>
  </si>
  <si>
    <t xml:space="preserve">https://www.federalregister.gov/documents/2024/11/12/2024-26123/medicare-and-medicaid-programs-approval-of-application-by-community-health-accreditation-partner</t>
  </si>
  <si>
    <t xml:space="preserve">2024-26124</t>
  </si>
  <si>
    <t xml:space="preserve">Medicare and Medicaid Programs; Approval of Application by the American Association for Accreditation of Ambulatory Surgery Facilities, dba QUAD A, for Continued CMS-Approval of Its Ambulatory Surgical Center (ASC) Accreditation Program</t>
  </si>
  <si>
    <t xml:space="preserve">This notice acknowledges the approval of an application by the American Association for Accreditation of Ambulatory Surgery Facilities, dba QUAD A, for continued recognition as a national accrediting organization for Ambulatory Surgical Centers that wish to participate in the Medicare or Medicaid programs.</t>
  </si>
  <si>
    <t xml:space="preserve">https://www.federalregister.gov/documents/2024/11/12/2024-26124/medicare-and-medicaid-programs-approval-of-application-by-the-american-association-for-accreditation</t>
  </si>
  <si>
    <t xml:space="preserve">2024-26472</t>
  </si>
  <si>
    <t xml:space="preserve">Medicare Program; CY 2025 Inpatient Hospital Deductible and Hospital and Extended Care Services Coinsurance Amounts</t>
  </si>
  <si>
    <t xml:space="preserve">This notice announces the inpatient hospital deductible and the hospital and extended care services coinsurance amounts for services furnished in calendar year (CY) 2025 under Medicare's Hospital Insurance Program (Medicare Part A). The Medicare statute specifies the formulae used to determine these amounts. For CY 2025, the inpatient hospital deductible will be $1,676. The daily coinsurance amounts for CY 2025 will be as follows: $419 for the 61st through 90th day of hospitalization in a benefi</t>
  </si>
  <si>
    <t xml:space="preserve">https://www.federalregister.gov/documents/2024/11/14/2024-26472/medicare-program-cy-2025-inpatient-hospital-deductible-and-hospital-and-extended-care-services</t>
  </si>
  <si>
    <t xml:space="preserve">2024-26473</t>
  </si>
  <si>
    <t xml:space="preserve">Medicare Program; CY 2025 Part A Premiums for the Uninsured Aged and for Certain Disabled Individuals Who Have Exhausted Other Entitlement</t>
  </si>
  <si>
    <t xml:space="preserve">This notice announces Medicare's Hospital Insurance Program (Medicare Part A) premium for uninsured enrollees in calendar year (CY) 2025. This premium is paid by enrollees aged 65 and over who are not otherwise eligible for benefits under Medicare Part A (hereafter known as the "uninsured aged") and by certain individuals with disabilities who have exhausted other entitlement. The monthly Medicare Part A premium for the 12 months beginning January 1, 2025, for these individuals will be $518. The</t>
  </si>
  <si>
    <t xml:space="preserve">https://www.federalregister.gov/documents/2024/11/14/2024-26473/medicare-program-cy-2025-part-a-premiums-for-the-uninsured-aged-and-for-certain-disabled-individuals</t>
  </si>
  <si>
    <t xml:space="preserve">2024-13793</t>
  </si>
  <si>
    <t xml:space="preserve">medicare advantage(1); dual eligible(1)</t>
  </si>
  <si>
    <t xml:space="preserve">21st Century Cures Act: Establishment of Disincentives for Health Care Providers That Have Committed Information Blocking</t>
  </si>
  <si>
    <t xml:space="preserve">This final rule implements the provision of the 21st Century Cures Act specifying that a health care provider determined by the HHS Inspector General to have committed information blocking shall be referred to the appropriate agency to be subject to appropriate disincentives set forth through notice and comment rulemaking. This rulemaking establishes, for certain health care providers, a set of appropriate disincentives using authorities under applicable Federal law.</t>
  </si>
  <si>
    <t xml:space="preserve">https://www.federalregister.gov/documents/2024/07/01/2024-13793/21st-century-cures-act-establishment-of-disincentives-for-health-care-providers-that-have-committed</t>
  </si>
  <si>
    <t xml:space="preserve">marginal (strong kw=2)</t>
  </si>
  <si>
    <t xml:space="preserve">2024-26713</t>
  </si>
  <si>
    <t xml:space="preserve">https://www.federalregister.gov/documents/2024/11/18/2024-26713/medicaid-and-childrens-health-insurance-program-chip-generic-information-collection-activities</t>
  </si>
  <si>
    <t xml:space="preserve">2024-27052</t>
  </si>
  <si>
    <t xml:space="preserve">https://www.federalregister.gov/documents/2024/11/20/2024-27052/agency-information-collection-activities-proposed-collection-comment-request</t>
  </si>
  <si>
    <t xml:space="preserve">2024-27358</t>
  </si>
  <si>
    <t xml:space="preserve">d-snp(5); special needs plan(3); ma organization(2); dual eligible(2); medicare advantage(1)</t>
  </si>
  <si>
    <t xml:space="preserve">https://www.federalregister.gov/documents/2024/11/22/2024-27358/agency-information-collection-activities-proposed-collection-comment-request</t>
  </si>
  <si>
    <t xml:space="preserve">2024-27359</t>
  </si>
  <si>
    <t xml:space="preserve">https://www.federalregister.gov/documents/2024/11/22/2024-27359/agency-information-collection-activities-submission-for-omb-review-comment-request</t>
  </si>
  <si>
    <t xml:space="preserve">2024-27490</t>
  </si>
  <si>
    <t xml:space="preserve">https://www.federalregister.gov/documents/2024/11/25/2024-27490/agency-information-collection-activities-submission-for-omb-review-comment-request</t>
  </si>
  <si>
    <t xml:space="preserve">2024-27522</t>
  </si>
  <si>
    <t xml:space="preserve">https://www.federalregister.gov/documents/2024/11/25/2024-27522/agency-information-collection-activities-proposed-collection-comment-request</t>
  </si>
  <si>
    <t xml:space="preserve">2024-25521</t>
  </si>
  <si>
    <t xml:space="preserve">medicare advantage(19); part d(8); dual eligible(2)</t>
  </si>
  <si>
    <t xml:space="preserve">This final rule with comment period revises the Medicare Hospital Outpatient Prospective Payment System (OPPS) and the Medicare Ambulatory Surgical Center (ASC) payment system for calendar year 2025 based on our continuing experience with these systems. We describe the changes to the amounts and factors used to determine the payment rates for Medicare services paid under the OPPS and those paid under the ASC payment system. Also, this final rule updates the requirements for the Hospital Outpatie</t>
  </si>
  <si>
    <t xml:space="preserve">https://www.federalregister.gov/documents/2024/11/27/2024-25521/medicare-and-medicaid-programs-hospital-outpatient-prospective-payment-and-ambulatory-surgical</t>
  </si>
  <si>
    <t xml:space="preserve">2024-27740</t>
  </si>
  <si>
    <t xml:space="preserve">Medicare Program; Public Meeting for Air Ambulance Quality &amp; Patient Safety Advisory Committee-December 12, 2024, February 18, 2025, and May 8, 2025</t>
  </si>
  <si>
    <t xml:space="preserve">This notice announces virtual public meetings of the Air Ambulance Quality and Patient Safety (AAQPS) Advisory Committee. The AAQPS Advisory Committee will review options to establish quality, patient safety, and clinical capability standards for each clinical capability level of air ambulances.</t>
  </si>
  <si>
    <t xml:space="preserve">https://www.federalregister.gov/documents/2024/11/27/2024-27740/medicare-program-public-meeting-for-air-ambulance-quality-and-patient-safety-advisory</t>
  </si>
  <si>
    <t xml:space="preserve">2024-27871</t>
  </si>
  <si>
    <t xml:space="preserve">https://www.federalregister.gov/documents/2024/11/27/2024-27871/agency-information-collection-activities-submission-for-omb-review-comment-request</t>
  </si>
  <si>
    <t xml:space="preserve">2024-28077</t>
  </si>
  <si>
    <t xml:space="preserve">https://www.federalregister.gov/documents/2024/11/29/2024-28077/agency-information-collection-activities-submission-for-omb-review-comment-request</t>
  </si>
  <si>
    <t xml:space="preserve">2024-28083</t>
  </si>
  <si>
    <t xml:space="preserve">https://www.federalregister.gov/documents/2024/12/02/2024-28083/agency-information-collection-activities-proposed-collection-comment-request</t>
  </si>
  <si>
    <t xml:space="preserve">2024-28127</t>
  </si>
  <si>
    <t xml:space="preserve">Medicare, Medicaid, and Children's Health Insurance Programs; Provider Enrollment Application Fee Amount for Calendar Year 2025</t>
  </si>
  <si>
    <t xml:space="preserve">This notice announces a $730.00 calendar year (CY) 2025 application fee for institutional providers that are initially enrolling in the Medicare or Medicaid program or the Children's Health Insurance Program (CHIP); revalidating their Medicare, Medicaid, or CHIP enrollment; or adding a new Medicare practice location. This fee is required with any enrollment application submitted on or after January 1, 2025, and on or before December 31, 2025.</t>
  </si>
  <si>
    <t xml:space="preserve">https://www.federalregister.gov/documents/2024/12/02/2024-28127/medicare-medicaid-and-childrens-health-insurance-programs-provider-enrollment-application-fee-amount</t>
  </si>
  <si>
    <t xml:space="preserve">2024-28308</t>
  </si>
  <si>
    <t xml:space="preserve">https://www.federalregister.gov/documents/2024/12/03/2024-28308/agency-information-collection-activities-submission-for-omb-review-comment-request</t>
  </si>
  <si>
    <t xml:space="preserve">2024-27841</t>
  </si>
  <si>
    <t xml:space="preserve">part d(82); medicare advantage(10); dual eligible(2); medigap(1)</t>
  </si>
  <si>
    <t xml:space="preserve">This final rule describes a new mandatory alternative payment model, the Increasing Organ Transplant Access Model (IOTA Model), that will test whether performance-based upside risk payments or downside risk payments paid to or owed by participating kidney transplant hospitals increase access to kidney transplants for patients with end- stage renal disease (ESRD) while preserving or enhancing the quality of care and reducing Medicare expenditures. This final rule also adopts standard provisions t</t>
  </si>
  <si>
    <t xml:space="preserve">https://www.federalregister.gov/documents/2024/12/04/2024-27841/medicare-program-alternative-payment-model-updates-and-the-increasing-organ-transplant-access-iota</t>
  </si>
  <si>
    <t xml:space="preserve">2024-28458</t>
  </si>
  <si>
    <t xml:space="preserve">https://www.federalregister.gov/documents/2024/12/05/2024-28458/agency-information-collection-activities-proposed-collection-comment-request</t>
  </si>
  <si>
    <t xml:space="preserve">2024-28515</t>
  </si>
  <si>
    <t xml:space="preserve">https://www.federalregister.gov/documents/2024/12/06/2024-28515/agency-information-collection-activities-submission-for-omb-review-comment-request</t>
  </si>
  <si>
    <t xml:space="preserve">2024-28699</t>
  </si>
  <si>
    <t xml:space="preserve">https://www.federalregister.gov/documents/2024/12/06/2024-28699/medicaid-and-childrens-health-insurance-program-chip-generic-information-collection-activities</t>
  </si>
  <si>
    <t xml:space="preserve">2024-25382</t>
  </si>
  <si>
    <t xml:space="preserve">part d(1049); dual eligible(39); medicare advantage(37); part c(9); ma organization(8); d-snp(6); special needs plan(2)</t>
  </si>
  <si>
    <t xml:space="preserve">This final rule addresses: changes to the physician fee schedule (PFS); other changes to Medicare Part B payment policies to ensure that payment systems are updated to reflect changes in medical practice, relative value of services, and changes in the statute; codification of establishment of new policies for, the Medicare Prescription Drug Inflation Rebate Program under the Inflation Reduction Act of 2022; updates to the Medicare Diabetes Prevention Program expanded model; payment for dental se</t>
  </si>
  <si>
    <t xml:space="preserve">https://www.federalregister.gov/documents/2024/12/09/2024-25382/medicare-and-medicaid-programs-cy-2025-payment-policies-under-the-physician-fee-schedule-and-other</t>
  </si>
  <si>
    <t xml:space="preserve">2024-28857</t>
  </si>
  <si>
    <t xml:space="preserve">https://www.federalregister.gov/documents/2024/12/09/2024-28857/agency-information-collection-activities-submission-for-omb-review-comment-request</t>
  </si>
  <si>
    <t xml:space="preserve">2024-14601</t>
  </si>
  <si>
    <t xml:space="preserve">medicare advantage(2); part c(1); part d(1)</t>
  </si>
  <si>
    <t xml:space="preserve">Medicare Program: Mitigating the Impact of Significant, Anomalous, and Highly Suspect Billing Activity on Medicare Shared Savings Program Financial Calculations in Calendar Year 2023</t>
  </si>
  <si>
    <t xml:space="preserve">This proposed rule addresses policies for assessing performance year (PY) 2023 financial performance of Medicare Shared Savings Program (Shared Savings Program) Accountable Care Organizations (ACOs); establishing benchmarks for ACOs starting agreement periods in 2024, 2025, and 2026; and calculating factors used in the application cycle for ACOs applying to enter a new agreement period beginning on January 1, 2025, and the change request cycle for ACOs continuing their participation in the progr</t>
  </si>
  <si>
    <t xml:space="preserve">https://www.federalregister.gov/documents/2024/07/03/2024-14601/medicare-program-mitigating-the-impact-of-significant-anomalous-and-highly-suspect-billing-activity</t>
  </si>
  <si>
    <t xml:space="preserve">2024-29002</t>
  </si>
  <si>
    <t xml:space="preserve">https://www.federalregister.gov/documents/2024/12/11/2024-29002/agency-information-collection-activities-proposed-collection-comment-request</t>
  </si>
  <si>
    <t xml:space="preserve">2024-29075</t>
  </si>
  <si>
    <t xml:space="preserve">Medicare and Medicaid Programs: Approval of Application by the DNV Healthcare USA, Inc. for Continued CMS-Approval of Its Critical Access Hospital Accreditation Program</t>
  </si>
  <si>
    <t xml:space="preserve">This notice acknowledges the approval of an application by the DNV Healthcare USA, Inc., for continued recognition as a national accrediting organization for Critical Access Hospitals that wish to participate in the Medicare or Medicaid programs.</t>
  </si>
  <si>
    <t xml:space="preserve">https://www.federalregister.gov/documents/2024/12/11/2024-29075/medicare-and-medicaid-programs-approval-of-application-by-the-dnv-healthcare-usa-inc-for-continued</t>
  </si>
  <si>
    <t xml:space="preserve">2024-29152</t>
  </si>
  <si>
    <t xml:space="preserve">Medicare and Medicaid Programs; Approval of Application by the Accreditation Association for Ambulatory Healthcare for Continued CMS-Approval of Its Ambulatory Surgical Center Accreditation Program</t>
  </si>
  <si>
    <t xml:space="preserve">This notice acknowledges the approval of an application by the Accreditation Association for Ambulatory Healthcare for continued recognition as a national accrediting organization for Ambulatory Surgical Centers that wish to participate in the Medicare or Medicaid programs.</t>
  </si>
  <si>
    <t xml:space="preserve">https://www.federalregister.gov/documents/2024/12/12/2024-29152/medicare-and-medicaid-programs-approval-of-application-by-the-accreditation-association-for</t>
  </si>
  <si>
    <t xml:space="preserve">2024-29382</t>
  </si>
  <si>
    <t xml:space="preserve">https://www.federalregister.gov/documents/2024/12/13/2024-29382/agency-information-collection-activities-submission-for-omb-review-comment-request</t>
  </si>
  <si>
    <t xml:space="preserve">2024-29386</t>
  </si>
  <si>
    <t xml:space="preserve">https://www.federalregister.gov/documents/2024/12/13/2024-29386/medicaid-and-childrens-health-insurance-program-chip-generic-information-collection-activities</t>
  </si>
  <si>
    <t xml:space="preserve">2024-29392</t>
  </si>
  <si>
    <t xml:space="preserve">https://www.federalregister.gov/documents/2024/12/13/2024-29392/agency-information-collection-activities-proposed-collection-comment-request</t>
  </si>
  <si>
    <t xml:space="preserve">2024-29458</t>
  </si>
  <si>
    <t xml:space="preserve">https://www.federalregister.gov/documents/2024/12/16/2024-29458/agency-information-collection-activities-proposed-collection-comment-request</t>
  </si>
  <si>
    <t xml:space="preserve">2024-29638</t>
  </si>
  <si>
    <t xml:space="preserve">https://www.federalregister.gov/documents/2024/12/17/2024-29638/agency-information-collection-activities-proposed-collection-comment-request</t>
  </si>
  <si>
    <t xml:space="preserve">2024-29754</t>
  </si>
  <si>
    <t xml:space="preserve">On December 9, 2024, CMS published a notice in the Federal Register that sought comment on a collection of information concerning CMS-2088-17 (OMB control number 0938-0037) entitled "Community Mental Health Center Cost Report." The OMB control number identifying the aforementioned information collection request is incorrectly listed in the SUPPLEMENTARY INFORMATION section of the notice. This document corrects the error.</t>
  </si>
  <si>
    <t xml:space="preserve">https://www.federalregister.gov/documents/2024/12/17/2024-29754/agency-information-collection-activities-submission-for-omb-review-comment-request-correction</t>
  </si>
  <si>
    <t xml:space="preserve">2024-30202</t>
  </si>
  <si>
    <t xml:space="preserve">https://www.federalregister.gov/documents/2024/12/19/2024-30202/agency-information-collection-activities-proposed-collection-comment-request</t>
  </si>
  <si>
    <t xml:space="preserve">2024-30169</t>
  </si>
  <si>
    <t xml:space="preserve">Medicare Program; Calendar Year (CY) 2025 Home Health Prospective Payment System (HH PPS) Rate Update; HH Quality Reporting Program Requirements; HH Value-Based Purchasing Expanded Model Requirements; Home Intravenous Immune Globulin (IVIG) Items and Services Rate Update; and Other Medicare Policies; Correction</t>
  </si>
  <si>
    <t xml:space="preserve">This document corrects technical errors in the final rule that appeared in the November 7, 2024, Federal Register titled "Medicare Program; Calendar Year (CY) 2025 Home Health Prospective Payment System (HH PPS) Rate Update; HH Quality Reporting Program Requirements; HH Value-Based Purchasing Expanded Model Requirements; Home Intravenous Immune Globulin (IVIG) Items and Services Rate Update; and Other Medicare Policies".</t>
  </si>
  <si>
    <t xml:space="preserve">https://www.federalregister.gov/documents/2024/12/20/2024-30169/medicare-program-calendar-year-cy-2025-home-health-prospective-payment-system-hh-pps-rate-update-hh</t>
  </si>
  <si>
    <t xml:space="preserve">2024-30444</t>
  </si>
  <si>
    <t xml:space="preserve">https://www.federalregister.gov/documents/2024/12/20/2024-30444/agency-information-collection-activities-submission-for-omb-review-comment-request</t>
  </si>
  <si>
    <t xml:space="preserve">2024-30502</t>
  </si>
  <si>
    <t xml:space="preserve">https://www.federalregister.gov/documents/2024/12/23/2024-30502/agency-information-collection-activities-proposed-collection-comment-request</t>
  </si>
  <si>
    <t xml:space="preserve">2024-30522</t>
  </si>
  <si>
    <t xml:space="preserve">In accordance with subsection (e)(12) of the Privacy Act of 1974, as amended, the Department of Health and Human Services (HHS), Centers for Medicare &amp; Medicaid Services (CMS) is providing notice of a new matching program between CMS and the Department of the Treasury (Treasury), Internal Revenue Service (IRS), "Verification of Household Income and Family Size for Insurance Affordability Programs and Exemptions." The new matching program will commence under a new agreement when the agreement for</t>
  </si>
  <si>
    <t xml:space="preserve">https://www.federalregister.gov/documents/2024/12/23/2024-30522/privacy-act-of-1974-matching-program</t>
  </si>
  <si>
    <t xml:space="preserve">2024-30619</t>
  </si>
  <si>
    <t xml:space="preserve">ma organization(3); part c(1)</t>
  </si>
  <si>
    <t xml:space="preserve">https://www.federalregister.gov/documents/2024/12/23/2024-30619/agency-information-collection-activities-submission-for-omb-review-comment-request</t>
  </si>
  <si>
    <t xml:space="preserve">2024-30620</t>
  </si>
  <si>
    <t xml:space="preserve">https://www.federalregister.gov/documents/2024/12/23/2024-30620/agency-information-collection-activities-proposed-collection-comment-request</t>
  </si>
  <si>
    <t xml:space="preserve">2024-30719</t>
  </si>
  <si>
    <t xml:space="preserve">Medicare Program; Rural Community Hospital Disemonstration Program: Solicitation of Additional Participants</t>
  </si>
  <si>
    <t xml:space="preserve">This notice announces a solicitation for up to 10 additional eligible hospitals to participate in the Rural Community Hospital Demonstration program, to run through June 30, 2028.</t>
  </si>
  <si>
    <t xml:space="preserve">https://www.federalregister.gov/documents/2024/12/26/2024-30719/medicare-program-rural-community-hospital-disemonstration-program-solicitation-of-additional</t>
  </si>
  <si>
    <t xml:space="preserve">2024-30853</t>
  </si>
  <si>
    <t xml:space="preserve">https://www.federalregister.gov/documents/2024/12/27/2024-30853/agency-information-collection-activities-proposed-collection-comment-request</t>
  </si>
  <si>
    <t xml:space="preserve">2024-31146</t>
  </si>
  <si>
    <t xml:space="preserve">Medicare Program: Appeal Rights for Certain Changes in Patient Status and Changes to the Medicare Claims and Medicare Prescription Drug Coverage Determination Appeals Procedures; Correcting Amendment</t>
  </si>
  <si>
    <t xml:space="preserve">This document corrects technical errors in the final rule that appeared in the October 15, 2024, Federal Register titled "Medicare Program: Appeal Rights for Certain Changes in Patient Status." It also corrects technical errors in the final rule that appeared in the May 7, 2019, Federal Register titled "Medicare Program; Changes to the Medicare Claims and Medicare Prescription Drug Coverage Determination Appeals Procedures."</t>
  </si>
  <si>
    <t xml:space="preserve">https://www.federalregister.gov/documents/2024/12/30/2024-31146/medicare-program-appeal-rights-for-certain-changes-in-patient-status-and-changes-to-the-medicare</t>
  </si>
  <si>
    <t xml:space="preserve">2024-31553</t>
  </si>
  <si>
    <t xml:space="preserve">https://www.federalregister.gov/documents/2025/01/03/2024-31553/agency-information-collection-activities-proposed-collection-comment-request</t>
  </si>
  <si>
    <t xml:space="preserve">2024-31567</t>
  </si>
  <si>
    <t xml:space="preserve">c-snp(2); medicare advantage(1)</t>
  </si>
  <si>
    <t xml:space="preserve">https://www.federalregister.gov/documents/2025/01/03/2024-31567/agency-information-collection-activities-proposed-collection-comment-request</t>
  </si>
  <si>
    <t xml:space="preserve">C1-2024-30444</t>
  </si>
  <si>
    <t xml:space="preserve">https://www.federalregister.gov/documents/2025/01/07/C1-2024-30444/agency-information-collection-activities-submission-for-omb-review-comment-request</t>
  </si>
  <si>
    <t xml:space="preserve">2025-00385</t>
  </si>
  <si>
    <t xml:space="preserve">This notice announces the next meeting of the Advisory Panel on Outreach and Education (APOE) (the Panel) in accordance with the Federal Advisory Committee Act. The Panel advises and makes recommendations to the Secretary of the U.S. Department of Health and Human Services (HHS) (the Secretary) and the Administrator of the Centers for Medicare &amp; Medicaid Services (CMS) on opportunities to enhance the effectiveness of consumer education strategies concerning the Health Insurance Marketplace[supre</t>
  </si>
  <si>
    <t xml:space="preserve">https://www.federalregister.gov/documents/2025/01/10/2025-00385/announcement-of-the-advisory-panel-on-outreach-and-education-apoe-virtual-meeting</t>
  </si>
  <si>
    <t xml:space="preserve">2025-00399</t>
  </si>
  <si>
    <t xml:space="preserve">https://www.federalregister.gov/documents/2025/01/10/2025-00399/agency-information-collection-activities-proposed-collection-comment-request</t>
  </si>
  <si>
    <t xml:space="preserve">2025-00081</t>
  </si>
  <si>
    <t xml:space="preserve">Medicare and Medicaid Programs: Hospital Outpatient Prospective Payment and Ambulatory Surgical Center Payment Systems; Quality Reporting Programs, Including the Hospital Inpatient Quality Reporting Program; Health and Safety Standards for Obstetrical Services in Hospitals and Critical Access Hospitals; Prior Authorization; Requests for Information; Medicaid and CHIP Continuous Eligibility; Medicaid Clinic Services Four Walls Exceptions; Individuals Currently or Formerly in Custody of Penal Authorities; Revision to Medicare Special Enrollment Period for Formerly Incarcerated Individuals; and All-Inclusive Rate Add-On Payment for High-Cost Drugs Provided by Indian Health Service and Tribal Facilities; Correcting Amendment</t>
  </si>
  <si>
    <t xml:space="preserve">This document corrects technical and typographical errors in the final rule with comment period that appeared in the November 27, 2024 Federal Register titled "Medicare and Medicaid Programs: Hospital Outpatient Prospective Payment and Ambulatory Surgical Center Payment Systems; Quality Reporting Programs, including the Hospital Inpatient Quality Reporting Program; Health and Safety Standards for Obstetrical Services in Hospitals and Critical Access Hospitals; Prior Authorization; Requests for I</t>
  </si>
  <si>
    <t xml:space="preserve">https://www.federalregister.gov/documents/2025/01/13/2025-00081/medicare-and-medicaid-programs-hospital-outpatient-prospective-payment-and-ambulatory-surgical</t>
  </si>
  <si>
    <t xml:space="preserve">2025-00448</t>
  </si>
  <si>
    <t xml:space="preserve">Medicare and Medicaid Programs: Application From The Joint Commission for Continued Approval of its Hospice Accreditation Program</t>
  </si>
  <si>
    <t xml:space="preserve">This proposed notice acknowledges the receipt of an application from The Joint Commission for continued recognition as a national accrediting organization for hospices that wish to participate in the Medicare or Medicaid programs.</t>
  </si>
  <si>
    <t xml:space="preserve">https://www.federalregister.gov/documents/2025/01/13/2025-00448/medicare-and-medicaid-programs-application-from-the-joint-commission-for-continued-approval-of-its</t>
  </si>
  <si>
    <t xml:space="preserve">2025-00391</t>
  </si>
  <si>
    <t xml:space="preserve">Medicare Program; Request for Nominations for Members for the Medicare Evidence Development &amp; Coverage Advisory Committee</t>
  </si>
  <si>
    <t xml:space="preserve">This notice announces the request for nominations for membership on the Medicare Evidence Development &amp; Coverage Advisory Committee (MEDCAC). Among other duties, the MEDCAC provides advice and guidance to the Secretary of the Department of Health and Human Services (the Secretary) and the Administrator of the Centers for Medicare &amp; Medicaid Services (CMS) concerning the adequacy of scientific evidence available to CMS in making coverage determinations under the Medicare program. The MEDCAC's fun</t>
  </si>
  <si>
    <t xml:space="preserve">https://www.federalregister.gov/documents/2025/01/14/2025-00391/medicare-program-request-for-nominations-for-members-for-the-medicare-evidence-development-and</t>
  </si>
  <si>
    <t xml:space="preserve">2025-00589</t>
  </si>
  <si>
    <t xml:space="preserve">https://www.federalregister.gov/documents/2025/01/14/2025-00589/agency-information-collection-activities-submission-for-omb-review-comment-request</t>
  </si>
  <si>
    <t xml:space="preserve">2025-00593</t>
  </si>
  <si>
    <t xml:space="preserve">https://www.federalregister.gov/documents/2025/01/14/2025-00593/agency-information-collection-activities-proposed-collection-comment-request</t>
  </si>
  <si>
    <t xml:space="preserve">2025-00695</t>
  </si>
  <si>
    <t xml:space="preserve">https://www.federalregister.gov/documents/2025/01/15/2025-00695/agency-information-collection-activities-proposed-collection-comment-request</t>
  </si>
  <si>
    <t xml:space="preserve">2025-00696</t>
  </si>
  <si>
    <t xml:space="preserve">https://www.federalregister.gov/documents/2025/01/15/2025-00696/agency-information-collection-activities-submission-for-omb-review-comment-request</t>
  </si>
  <si>
    <t xml:space="preserve">2025-01022</t>
  </si>
  <si>
    <t xml:space="preserve">https://www.federalregister.gov/documents/2025/01/16/2025-01022/medicaid-and-childrens-health-insurance-program-chip-generic-information-collection-activities</t>
  </si>
  <si>
    <t xml:space="preserve">2025-01242</t>
  </si>
  <si>
    <t xml:space="preserve">https://www.federalregister.gov/documents/2025/01/17/2025-01242/agency-information-collection-activities-proposed-collection-comment-request</t>
  </si>
  <si>
    <t xml:space="preserve">2025-02168</t>
  </si>
  <si>
    <t xml:space="preserve">https://www.federalregister.gov/documents/2025/02/03/2025-02168/agency-information-collection-activities-submission-for-omb-review-comment-request</t>
  </si>
  <si>
    <t xml:space="preserve">2025-02215</t>
  </si>
  <si>
    <t xml:space="preserve">Announcement of the Advisory Panel on Outreach and Education (APOE) Virtual Meeting; Cancellation of the February 6, 2025, Virtual Meeting</t>
  </si>
  <si>
    <t xml:space="preserve">This notice announces the cancellation of the February 6, 2025, virtual public meeting of the Advisory Panel on Outreach and Education (APOE) (the Panel) that was announced in the January 10, 2025, Federal Register (90 FR 2003 through 2005). CMS will publish a notice in the Federal Register announcing the date on which the next meeting of the APOE will take place no less than 15 calendar days before the meeting date. The meeting will be open to the public in accordance with the Federal Advisory </t>
  </si>
  <si>
    <t xml:space="preserve">https://www.federalregister.gov/documents/2025/02/04/2025-02215/announcement-of-the-advisory-panel-on-outreach-and-education-apoe-virtual-meeting-cancellation-of</t>
  </si>
  <si>
    <t xml:space="preserve">2025-02436</t>
  </si>
  <si>
    <t xml:space="preserve">Medicare and Medicaid Programs: Application From The Joint Commission for Continued CMS-Approval of Its Hospital Accreditation Program</t>
  </si>
  <si>
    <t xml:space="preserve">This proposed notice acknowledges the receipt of an application from The Joint Commission for continued recognition as a national accrediting organization for hospitals that wish to participate in the Medicare or Medicaid programs.</t>
  </si>
  <si>
    <t xml:space="preserve">https://www.federalregister.gov/documents/2025/02/11/2025-02436/medicare-and-medicaid-programs-application-from-the-joint-commission-for-continued-cms-approval-of</t>
  </si>
  <si>
    <t xml:space="preserve">2025-02441</t>
  </si>
  <si>
    <t xml:space="preserve">Medicare Program; Announcement of Request for an Exception From the Prohibition on Expansion of Facility Capacity Under the Hospital Ownership and Rural Provider Exceptions to the Physician Self-Referral Prohibition</t>
  </si>
  <si>
    <t xml:space="preserve">The Social Security Act prohibits a hospital with physician ownership that relies on the exception to the physician self-referral law for hospitals outside of Puerto Rico or for rural providers from expanding its facility capacity unless the Secretary of the Department of Health and Human Services grants the hospital's request for an exception from that prohibition after considering input on the request from individuals and entities in the community where the hospital is located. The Centers for</t>
  </si>
  <si>
    <t xml:space="preserve">https://www.federalregister.gov/documents/2025/02/11/2025-02441/medicare-program-announcement-of-request-for-an-exception-from-the-prohibition-on-expansion-of</t>
  </si>
  <si>
    <t xml:space="preserve">2025-02787</t>
  </si>
  <si>
    <t xml:space="preserve">Medicare and Medicaid Programs; Quarterly Listing of Program Issuances-October Through December 2024</t>
  </si>
  <si>
    <t xml:space="preserve">https://www.federalregister.gov/documents/2025/02/19/2025-02787/medicare-and-medicaid-programs-quarterly-listing-of-program-issuances-october-through-december-2024</t>
  </si>
  <si>
    <t xml:space="preserve">2025-02914</t>
  </si>
  <si>
    <t xml:space="preserve">Medicare and Medicaid Programs: Approval of Application From the American Association for Accreditation of Ambulatory Surgery Facilities dba QUAD A for Continued CMS-Approval of Its Outpatient Physical Therapy (OPT) Accreditation Program</t>
  </si>
  <si>
    <t xml:space="preserve">This notice acknowledges the approval of an application from the American Association for Accreditation of Ambulatory Surgery Facilities dba QUAD A for continued recognition as a national accrediting organization for Outpatient Physical Therapy programs that wish to participate in the Medicare or Medicaid programs.</t>
  </si>
  <si>
    <t xml:space="preserve">https://www.federalregister.gov/documents/2025/02/21/2025-02914/medicare-and-medicaid-programs-approval-of-application-from-the-american-association-for</t>
  </si>
  <si>
    <t xml:space="preserve">2025-02918</t>
  </si>
  <si>
    <t xml:space="preserve">Medicare and Medicaid Programs; Application From the Accreditation Commission for Health Care Inc. for Continued Approval of Its Home Health Agency Accreditation Program</t>
  </si>
  <si>
    <t xml:space="preserve">This notice announces our decision to approve the Accreditation Commission for Health Care Inc. (ACHC) for continued recognition as a national accrediting organization for home health agencies (HHAs) that wish to participate in the Medicare or Medicaid programs.</t>
  </si>
  <si>
    <t xml:space="preserve">https://www.federalregister.gov/documents/2025/02/21/2025-02918/medicare-and-medicaid-programs-application-from-the-accreditation-commission-for-health-care-inc-for</t>
  </si>
  <si>
    <t xml:space="preserve">2025-02938</t>
  </si>
  <si>
    <t xml:space="preserve">Notice of Hearing: Reconsideration of Disapproval Idaho Medicaid State Plan Amendment (SPA) 24-0015</t>
  </si>
  <si>
    <t xml:space="preserve">This notice announces an administrative hearing to be held on April 2, 2025, by way of video, or at the U.S. Department of Health and Human Services, Centers for Medicare &amp; Medicaid Services, 701 Fifth Avenue, Suite 1600, Seattle, WA 98104 to reconsider CMS' decision to disapprove Idaho's Medicaid SPA 24-0015.</t>
  </si>
  <si>
    <t xml:space="preserve">https://www.federalregister.gov/documents/2025/02/24/2025-02938/notice-of-hearing-reconsideration-of-disapproval-idaho-medicaid-state-plan-amendment-spa-24-0015</t>
  </si>
  <si>
    <t xml:space="preserve">2025-04887</t>
  </si>
  <si>
    <t xml:space="preserve">d-snp(4); medicare advantage(3); ma organization(2); special needs plan(2); dual eligible(1)</t>
  </si>
  <si>
    <t xml:space="preserve">https://www.federalregister.gov/documents/2025/03/21/2025-04887/agency-information-collection-activities-submission-for-omb-review-comment-request</t>
  </si>
  <si>
    <t xml:space="preserve">2025-04890</t>
  </si>
  <si>
    <t xml:space="preserve">d-snp(6); part c(3); ma organization(2)</t>
  </si>
  <si>
    <t xml:space="preserve">https://www.federalregister.gov/documents/2025/03/21/2025-04890/agency-information-collection-activities-proposed-collection-comment-request</t>
  </si>
  <si>
    <t xml:space="preserve">2025-05089</t>
  </si>
  <si>
    <t xml:space="preserve">https://www.federalregister.gov/documents/2025/03/26/2025-05089/agency-information-collection-activities-proposed-collection-comment-request</t>
  </si>
  <si>
    <t xml:space="preserve">2025-05530</t>
  </si>
  <si>
    <t xml:space="preserve">https://www.federalregister.gov/documents/2025/04/01/2025-05530/agency-information-collection-activities-submission-for-omb-review-comment-request</t>
  </si>
  <si>
    <t xml:space="preserve">2024-17603</t>
  </si>
  <si>
    <t xml:space="preserve">Medicare Program; Transitional Coverage for Emerging Technologies</t>
  </si>
  <si>
    <t xml:space="preserve">This final notice finalizes the process and procedures for the Transitional Coverage for Emerging Technologies (TCET) pathway and provides our responses to the public comments received.</t>
  </si>
  <si>
    <t xml:space="preserve">https://www.federalregister.gov/documents/2024/08/12/2024-17603/medicare-program-transitional-coverage-for-emerging-technologies</t>
  </si>
  <si>
    <t xml:space="preserve">2025-06400</t>
  </si>
  <si>
    <t xml:space="preserve">https://www.federalregister.gov/documents/2025/04/16/2025-06400/medicaid-and-childrens-health-insurance-program-chip-generic-information-collection-activities</t>
  </si>
  <si>
    <t xml:space="preserve">2025-06756</t>
  </si>
  <si>
    <t xml:space="preserve">Medicare Program: Public Meeting Regarding New and Reconsidered Clinical Diagnostic Laboratory Test Codes for the Clinical Laboratory Fee Schedule for Calendar Year 2026-June 27, 2025</t>
  </si>
  <si>
    <t xml:space="preserve">This notice announces a public meeting to receive comments and recommendations (including data on which recommendations are based) on the appropriate basis for establishing payment amounts for new or substantially revised Healthcare Common Procedure Coding System codes being considered for Medicare payment under the Clinical Laboratory Fee Schedule for calendar year 2026. This meeting also provides a forum for those who submitted certain reconsideration requests regarding final determinations ma</t>
  </si>
  <si>
    <t xml:space="preserve">https://www.federalregister.gov/documents/2025/04/21/2025-06756/medicare-program-public-meeting-regarding-new-and-reconsidered-clinical-diagnostic-laboratory-test</t>
  </si>
  <si>
    <t xml:space="preserve">2025-06758</t>
  </si>
  <si>
    <t xml:space="preserve">Medicare Program: Meeting Announcement for the Medicare Advisory Panel on Clinical Diagnostic Laboratory Tests, July 23-24, 2025</t>
  </si>
  <si>
    <t xml:space="preserve">This notice announces the public meeting dates for the Medicare Advisory Panel on Clinical Diagnostic Laboratory Tests (the Panel) on Wednesday, July 23, 2025, and Thursday, July 24, 2025. The purpose of the Panel is to advise the Secretary of the Department of Health and Human Services and the Administrator of the Centers for Medicare &amp; Medicaid Services on issues related to clinical diagnostic laboratory tests.</t>
  </si>
  <si>
    <t xml:space="preserve">https://www.federalregister.gov/documents/2025/04/21/2025-06758/medicare-program-meeting-announcement-for-the-medicare-advisory-panel-on-clinical-diagnostic</t>
  </si>
  <si>
    <t xml:space="preserve">2025-06760</t>
  </si>
  <si>
    <t xml:space="preserve">part d(3); medigap(1)</t>
  </si>
  <si>
    <t xml:space="preserve">https://www.federalregister.gov/documents/2025/04/21/2025-06760/agency-information-collection-activities-proposed-collection-comment-request</t>
  </si>
  <si>
    <t xml:space="preserve">2025-06834</t>
  </si>
  <si>
    <t xml:space="preserve">Medicare Program; Virtual Meeting of the Medicare Evidence Development and Coverage Advisory Committee</t>
  </si>
  <si>
    <t xml:space="preserve">This notice announces a virtual public meeting of the Medicare Evidence Development &amp; Coverage Advisory Committee (MEDCAC) ("Committee") will be held on Wednesday, June 25, 2025.</t>
  </si>
  <si>
    <t xml:space="preserve">https://www.federalregister.gov/documents/2025/04/21/2025-06834/medicare-program-virtual-meeting-of-the-medicare-evidence-development-and-coverage-advisory</t>
  </si>
  <si>
    <t xml:space="preserve">2025-07247</t>
  </si>
  <si>
    <t xml:space="preserve">Medicare and Medicaid Programs: Application From DNV Healthcare, Inc. for Initial CMS-Approval of Its Ambulatory Surgical Center (ASC) Accreditation Program</t>
  </si>
  <si>
    <t xml:space="preserve">This notice acknowledges the receipt of an application from DNV Healthcare Inc. for initial recognition as a national accrediting organization for Ambulatory Surgical Centers that wish to participate in the Medicare or Medicaid programs.</t>
  </si>
  <si>
    <t xml:space="preserve">https://www.federalregister.gov/documents/2025/04/28/2025-07247/medicare-and-medicaid-programs-application-from-dnv-healthcare-inc-for-initial-cms-approval-of-its</t>
  </si>
  <si>
    <t xml:space="preserve">2025-07294</t>
  </si>
  <si>
    <t xml:space="preserve">Medicare Program; Announcement of Request for an Exception From the Prohibition on Expansion of Facility Capacity Under the Hospital Ownership and Rural Provider Exceptions to the Physician Self-Referral Prohibition; Recission</t>
  </si>
  <si>
    <t xml:space="preserve">This document rescinds a notice with request for comment that appeared in the Federal Register on February 11, 2025, regarding a request from a hospital with physician ownership for an exception to the physician self-referral law's prohibition against expansion of facility capacity. The purpose of the notice was to solicit comments on the request from individuals and entities in the community in which the hospital is located.</t>
  </si>
  <si>
    <t xml:space="preserve">https://www.federalregister.gov/documents/2025/04/28/2025-07294/medicare-program-announcement-of-request-for-an-exception-from-the-prohibition-on-expansion-of</t>
  </si>
  <si>
    <t xml:space="preserve">2025-07302</t>
  </si>
  <si>
    <t xml:space="preserve">https://www.federalregister.gov/documents/2025/04/28/2025-07302/agency-information-collection-activities-submission-for-omb-review-comment-request</t>
  </si>
  <si>
    <t xml:space="preserve">2025-06271</t>
  </si>
  <si>
    <t xml:space="preserve">medicare advantage(28); dual eligible(6); part c(4); part d(2); special needs plan(1)</t>
  </si>
  <si>
    <t xml:space="preserve">Medicare Program; Hospital Inpatient Prospective Payment Systems for Acute Care Hospitals and the Long-Term Care Hospital Prospective Payment System and Policy Changes and Fiscal Year 2026 Rates; Requirements for Quality Programs; and Other Policy Changes</t>
  </si>
  <si>
    <t xml:space="preserve">This proposed rule would revise the Medicare hospital inpatient prospective payment systems (IPPS) for operating and capital- related costs of acute care hospitals; make changes relating to Medicare graduate medical education (GME) for teaching hospitals; update the payment policies and the annual payment rates for the Medicare prospective payment system (PPS) for inpatient hospital services provided by long-term care hospitals (LTCHs); update and make changes to requirements for certain quality</t>
  </si>
  <si>
    <t xml:space="preserve">https://www.federalregister.gov/documents/2025/04/30/2025-06271/medicare-program-hospital-inpatient-prospective-payment-systems-for-acute-care-hospitals-and-the</t>
  </si>
  <si>
    <t xml:space="preserve">2025-06298</t>
  </si>
  <si>
    <t xml:space="preserve">Medicare Program; FY 2026 Inpatient Psychiatric Facilities Prospective Payment System-Rate Update</t>
  </si>
  <si>
    <t xml:space="preserve">This rulemaking proposes to update the prospective payment rates, the outlier threshold, and the wage index for Medicare inpatient hospital services provided by Inpatient Psychiatric Facilities (IPFs), which include psychiatric hospitals and excluded psychiatric units of an acute care hospital or critical access hospital. This rulemaking also proposes to revise the payment adjustment factors for teaching status and for IPFs located in rural areas. These proposed changes would be effective for IP</t>
  </si>
  <si>
    <t xml:space="preserve">https://www.federalregister.gov/documents/2025/04/30/2025-06298/medicare-program-fy-2026-inpatient-psychiatric-facilities-prospective-payment-system-rate-update</t>
  </si>
  <si>
    <t xml:space="preserve">2025-06317</t>
  </si>
  <si>
    <t xml:space="preserve">Medicare Program; FY 2026 Hospice Wage Index and Payment Rate Update and Hospice Quality Reporting Program Requirements</t>
  </si>
  <si>
    <t xml:space="preserve">This proposed rule would update the hospice wage index, payment rates, and aggregate cap amount for Fiscal Year (FY) 2026. This rule also proposes changes to the admission to hospice regulations and the hospice face-to-face attestation requirements under the certification of terminal illness regulations. This proposed rule also includes a technical correction to the regulatory text and provides updates to the Hospice Quality Reporting Program requirements. Finally, this proposed rule solicits co</t>
  </si>
  <si>
    <t xml:space="preserve">https://www.federalregister.gov/documents/2025/04/30/2025-06317/medicare-program-fy-2026-hospice-wage-index-and-payment-rate-update-and-hospice-quality-reporting</t>
  </si>
  <si>
    <t xml:space="preserve">2025-06336</t>
  </si>
  <si>
    <t xml:space="preserve">medicare advantage(1); part c(1)</t>
  </si>
  <si>
    <t xml:space="preserve">Medicare Program; Inpatient Rehabilitation Facility Prospective Payment System for Federal Fiscal Year 2026 and Updates to the IRF Quality Reporting Program</t>
  </si>
  <si>
    <t xml:space="preserve">This proposed rule would update the prospective payment rates for inpatient rehabilitation facilities (IRFs) for Federal fiscal year (FY) 2026. As required by statute, this proposed rule includes the proposed classification and weighting factors for the IRF prospective payment system's case-mix groups and a description of the methodologies and data used in computing the prospective payment rates for FY 2026. It also continues the second year of the 3-year phaseout of the rural adjustment, which </t>
  </si>
  <si>
    <t xml:space="preserve">https://www.federalregister.gov/documents/2025/04/30/2025-06336/medicare-program-inpatient-rehabilitation-facility-prospective-payment-system-for-federal-fiscal</t>
  </si>
  <si>
    <t xml:space="preserve">2025-06348</t>
  </si>
  <si>
    <t xml:space="preserve">Medicare Program; Prospective Payment System and Consolidated Billing for Skilled Nursing Facilities; Updates to the Quality Reporting Program for Federal Fiscal Year 2026</t>
  </si>
  <si>
    <t xml:space="preserve">This proposed rule would change and update policies and payment rates used under the Skilled Nursing Facility (SNF) Prospective Payment System (PPS) for FY 2026. This rulemaking also proposes to update the requirements for the SNF Quality Reporting Program and the SNF Value-Based Purchasing Program.</t>
  </si>
  <si>
    <t xml:space="preserve">https://www.federalregister.gov/documents/2025/04/30/2025-06348/medicare-program-prospective-payment-system-and-consolidated-billing-for-skilled-nursing-facilities</t>
  </si>
  <si>
    <t xml:space="preserve">2025-07943</t>
  </si>
  <si>
    <t xml:space="preserve">Medicare Program; Public Meeting for New Revisions to the Healthcare Common Procedure Coding System (HCPCS) Coding</t>
  </si>
  <si>
    <t xml:space="preserve">This notice announces the first Healthcare Common Procedure Coding System (HCPCS) public meeting of 2025 to discuss the Centers for Medicare &amp; Medicaid Services preliminary coding, Medicare benefit category, and Medicare payment determinations, if applicable, for new revisions to the HCPCS Level II code set for non-drug and non- biological items and services, as well as how to register for the meeting.</t>
  </si>
  <si>
    <t xml:space="preserve">https://www.federalregister.gov/documents/2025/05/07/2025-07943/medicare-program-public-meeting-for-new-revisions-to-the-healthcare-common-procedure-coding-system</t>
  </si>
  <si>
    <t xml:space="preserve">2025-08307</t>
  </si>
  <si>
    <t xml:space="preserve">part d(11)</t>
  </si>
  <si>
    <t xml:space="preserve">https://www.federalregister.gov/documents/2025/05/12/2025-08307/agency-information-collection-activities-submission-for-omb-review-comment-request</t>
  </si>
  <si>
    <t xml:space="preserve">2025-08348</t>
  </si>
  <si>
    <t xml:space="preserve">part d(9); part c(2); ma organization(1)</t>
  </si>
  <si>
    <t xml:space="preserve">https://www.federalregister.gov/documents/2025/05/13/2025-08348/agency-information-collection-activities-proposed-collection-comment-request</t>
  </si>
  <si>
    <t xml:space="preserve">2025-08423</t>
  </si>
  <si>
    <t xml:space="preserve">https://www.federalregister.gov/documents/2025/05/13/2025-08423/agency-information-collection-activities-proposed-collection-comment-request</t>
  </si>
  <si>
    <t xml:space="preserve">2024-20174</t>
  </si>
  <si>
    <t xml:space="preserve">Medicare Program; Medicare Prescription Drug Benefit Program; Health Information Technology Standards and Implementation Specifications; Correction</t>
  </si>
  <si>
    <t xml:space="preserve">This document corrects typographical and technical errors in the final rule that appeared in the June 17, 2024, Federal Register, titled "Medicare Program; Medicare Prescription Drug Benefit Program; Health Information Technology Standards and Implementation Specifications." The effective date of the final rule was July 17, 2024.</t>
  </si>
  <si>
    <t xml:space="preserve">https://www.federalregister.gov/documents/2024/09/09/2024-20174/medicare-program-medicare-prescription-drug-benefit-program-health-information-technology-standards</t>
  </si>
  <si>
    <t xml:space="preserve">2025-08607</t>
  </si>
  <si>
    <t xml:space="preserve">Medicare Program; Inflation Reduction Act (IRA) Medicare Drug Price Negotiation Program Draft Guidance; Comment Request</t>
  </si>
  <si>
    <t xml:space="preserve">The Centers for Medicare &amp; Medicaid Services (CMS) is announcing an opportunity for the public to comment on CMS' draft guidance for the third cycle of the Medicare Drug Price Negotiation Program, the first cycle of renegotiation, and manufacturer effectuation of the maximum fair price for 2026, 2027, and 2028 for the implementation of the Inflation Reduction Act (IRA).</t>
  </si>
  <si>
    <t xml:space="preserve">https://www.federalregister.gov/documents/2025/05/15/2025-08607/medicare-program-inflation-reduction-act-ira-medicare-drug-price-negotiation-program-draft-guidance</t>
  </si>
  <si>
    <t xml:space="preserve">2025-08676</t>
  </si>
  <si>
    <t xml:space="preserve">part d(34)</t>
  </si>
  <si>
    <t xml:space="preserve">Medicare and Medicaid Programs; CY 2025 Payment Policies Under the Physician Fee Schedule and Other Changes to Part B Payment and Coverage Policies; Medicare Shared Savings Program Requirements; Medicare Prescription Drug Inflation Rebate Program; and Medicare Overpayments; and Appeal Rights for Certain Changes in Patient Status; Corrections and Correcting Amendment</t>
  </si>
  <si>
    <t xml:space="preserve">This document corrects technical and typographical errors in the final rule that appeared in the December 9, 2024 Federal Register titled "Medicare and Medicaid Programs; CY 2025 Payment Policies under the Physician Fee Schedule and Other Changes to Part B Payment and Coverage Policies; Medicare Shared Savings Program Requirements; Medicare Prescription Drug Inflation Rebate Program; and Medicare Overpayments" (hereinafter referred to as the "CY 2025 PFS final rule"). The effective date was Janu</t>
  </si>
  <si>
    <t xml:space="preserve">https://www.federalregister.gov/documents/2025/05/16/2025-08676/medicare-and-medicaid-programs-cy-2025-payment-policies-under-the-physician-fee-schedule-and-other</t>
  </si>
  <si>
    <t xml:space="preserve">2024-21254</t>
  </si>
  <si>
    <t xml:space="preserve">part d(14); medicare advantage(1); dual eligible(1)</t>
  </si>
  <si>
    <t xml:space="preserve">Medicaid Program; Misclassification of Drugs, Program Administration and Program Integrity Updates Under the Medicaid Drug Rebate Program</t>
  </si>
  <si>
    <t xml:space="preserve">This final rule implements policies in the Medicaid Drug Rebate Program (MDRP) related to the new legislative requirements in the Medicaid Services Investment and Accountability Act of 2019 (MSIAA), which address drug misclassification, as well as drug pricing and product data misreporting by manufacturers. Additionally, we are finalizing several other proposed program integrity and program administration provisions or modifications in this final rule, including revising and finalizing key defin</t>
  </si>
  <si>
    <t xml:space="preserve">https://www.federalregister.gov/documents/2024/09/26/2024-21254/medicaid-program-misclassification-of-drugs-program-administration-and-program-integrity-updates</t>
  </si>
  <si>
    <t xml:space="preserve">2025-08722</t>
  </si>
  <si>
    <t xml:space="preserve">Medicare Program; Request for Renewal of Deeming Authority of the Utilization Review Accreditation Commission (URAC) for Medicare Advantage Health Maintenance Organizations and Preferred Provider Organizations</t>
  </si>
  <si>
    <t xml:space="preserve">This proposed notice announces that the Centers for Medicare &amp; Medicaid Services is considering granting approval of the Utilization Review Accreditation Commission's renewal application for Medicare Advantage "deeming authority" of Health Maintenance Organizations and Preferred Provider Organizations to continue participation in the Medicare or Medicaid program.</t>
  </si>
  <si>
    <t xml:space="preserve">https://www.federalregister.gov/documents/2025/05/16/2025-08722/medicare-program-request-for-renewal-of-deeming-authority-of-the-utilization-review-accreditation</t>
  </si>
  <si>
    <t xml:space="preserve">accreditor approval</t>
  </si>
  <si>
    <t xml:space="preserve">2025-08753</t>
  </si>
  <si>
    <t xml:space="preserve">Medicare and Medicaid Programs; Quarterly Listing of Program Issuances-January Through March 2025</t>
  </si>
  <si>
    <t xml:space="preserve">This quarterly notice lists Centers for Medicare &amp; Medicaid Services (CMS) manual instructions, substantive and interpretive regulations, and other Federal Register notices that were published in the 3-month period, relating to the Medicare and Medicaid programs and other programs administered by CMS.</t>
  </si>
  <si>
    <t xml:space="preserve">https://www.federalregister.gov/documents/2025/05/16/2025-08753/medicare-and-medicaid-programs-quarterly-listing-of-program-issuances-january-through-march-2025</t>
  </si>
  <si>
    <t xml:space="preserve">2025-09138</t>
  </si>
  <si>
    <t xml:space="preserve">part d(7); part c(6); medicare advantage(1)</t>
  </si>
  <si>
    <t xml:space="preserve">https://www.federalregister.gov/documents/2025/05/21/2025-09138/agency-information-collection-activities-proposed-collection-comment-request</t>
  </si>
  <si>
    <t xml:space="preserve">2025-09144</t>
  </si>
  <si>
    <t xml:space="preserve">https://www.federalregister.gov/documents/2025/05/21/2025-09144/agency-information-collection-activities-submission-for-omb-review-comment-request</t>
  </si>
  <si>
    <t xml:space="preserve">C1-2025-06317</t>
  </si>
  <si>
    <t xml:space="preserve">https://www.federalregister.gov/documents/2025/05/21/C1-2025-06317/medicare-program-fy-2026-hospice-wage-index-and-payment-rate-update-and-hospice-quality-reporting</t>
  </si>
  <si>
    <t xml:space="preserve">C1-2025-06348</t>
  </si>
  <si>
    <t xml:space="preserve">https://www.federalregister.gov/documents/2025/05/21/C1-2025-06348/medicare-program-prospective-payment-system-and-consolidated-billing-for-skilled-nursing-facilities</t>
  </si>
  <si>
    <t xml:space="preserve">2025-09495</t>
  </si>
  <si>
    <t xml:space="preserve">https://www.federalregister.gov/documents/2025/05/28/2025-09495/agency-information-collection-activities-proposed-collection-comment-request</t>
  </si>
  <si>
    <t xml:space="preserve">2025-09496</t>
  </si>
  <si>
    <t xml:space="preserve">https://www.federalregister.gov/documents/2025/05/28/2025-09496/agency-information-collection-activities-submission-for-omb-review-comment-request</t>
  </si>
  <si>
    <t xml:space="preserve">2024-22054</t>
  </si>
  <si>
    <t xml:space="preserve">This final rule addresses policies for assessing performance year (PY) 2023 financial performance of Medicare Shared Savings Program (Shared Savings Program) Accountable Care Organizations (ACOs); establishing benchmarks for ACOs starting agreement periods in 2024, 2025, and 2026; and calculating factors used in the application cycle for ACOs applying to enter a new agreement period beginning on January 1, 2025, and the change request cycle for ACOs continuing their participation in the program </t>
  </si>
  <si>
    <t xml:space="preserve">https://www.federalregister.gov/documents/2024/09/27/2024-22054/medicare-program-mitigating-the-impact-of-significant-anomalous-and-highly-suspect-billing-activity</t>
  </si>
  <si>
    <t xml:space="preserve">2025-09813</t>
  </si>
  <si>
    <t xml:space="preserve">https://www.federalregister.gov/documents/2025/05/30/2025-09813/agency-information-collection-activities-submission-for-omb-review-comment-request</t>
  </si>
  <si>
    <t xml:space="preserve">2025-09870</t>
  </si>
  <si>
    <t xml:space="preserve">Medicare and Medicaid Programs; Application From The Joint Commission for Continued Approval of its Hospice Accreditation Program</t>
  </si>
  <si>
    <t xml:space="preserve">This notice announces our decision to approve The Joint Commission for continued recognition as a national accrediting organization for hospices that wish to participate in the Medicare or Medicaid programs.</t>
  </si>
  <si>
    <t xml:space="preserve">https://www.federalregister.gov/documents/2025/06/02/2025-09870/medicare-and-medicaid-programs-application-from-the-joint-commission-for-continued-approval-of-its</t>
  </si>
  <si>
    <t xml:space="preserve">2025-10112</t>
  </si>
  <si>
    <t xml:space="preserve">https://www.federalregister.gov/documents/2025/06/04/2025-10112/agency-information-collection-activities-proposed-collection-comment-request</t>
  </si>
  <si>
    <t xml:space="preserve">2025-10261</t>
  </si>
  <si>
    <t xml:space="preserve">Medicare Program; Hospital Inpatient Prospective Payment Systems for Acute Care Hospitals and the Long-Term Care Hospital Prospective Payment System and Policy Changes and Fiscal Year 2026 Rates; Requirements for Quality Programs; and Other Policy Changes; Correction</t>
  </si>
  <si>
    <t xml:space="preserve">This document corrects technical and typographical errors in the proposed rule that appeared in the April 30, 2025 Federal Register titled "Medicare Program; Hospital Inpatient Prospective Payment Systems for Acute Care Hospitals and the Long-Term Care Hospital Prospective Payment System and Policy Changes and Fiscal Year 2026 Rates; Requirements for Quality Programs; and Other Policy Changes".</t>
  </si>
  <si>
    <t xml:space="preserve">https://www.federalregister.gov/documents/2025/06/05/2025-10261/medicare-program-hospital-inpatient-prospective-payment-systems-for-acute-care-hospitals-and-the</t>
  </si>
  <si>
    <t xml:space="preserve">2025-10401</t>
  </si>
  <si>
    <t xml:space="preserve">Medicare Program; Public Meeting for Air Ambulance Quality &amp; Patient Safety Advisory Committee Notice of Public Meeting-July 10, 2025</t>
  </si>
  <si>
    <t xml:space="preserve">This notice announces a virtual public meeting of the Air Ambulance Quality and Patient Safety (AAQPS) Advisory Committee. The AAQPS Advisory Committee will review options to establish quality, patient safety, and clinical capability standards for each clinical capability level of air ambulances.</t>
  </si>
  <si>
    <t xml:space="preserve">https://www.federalregister.gov/documents/2025/06/09/2025-10401/medicare-program-public-meeting-for-air-ambulance-quality-and-patient-safety-advisory-committee</t>
  </si>
  <si>
    <t xml:space="preserve">2025-10521</t>
  </si>
  <si>
    <t xml:space="preserve">This notice extends the comment period for a 30-day notice request for proposed information collection request associated with the notice [Document Identifier: CMS-10371] entitled "State-based Exchange, SBE, SBE Budget Template, SBE Enrollment Metrics, Open Enrollment" and published in the May 21, 2025 (90 FR 21775) Federal Register. The comment period for the information collection request, which would have ended on June 20, 2025, is extended to Monday, July 7, 2025.</t>
  </si>
  <si>
    <t xml:space="preserve">https://www.federalregister.gov/documents/2025/06/11/2025-10521/agency-information-collection-activities-submission-for-omb-review-comment-request</t>
  </si>
  <si>
    <t xml:space="preserve">2025-10533</t>
  </si>
  <si>
    <t xml:space="preserve">d-snp(4); part c(3); ma organization(2)</t>
  </si>
  <si>
    <t xml:space="preserve">https://www.federalregister.gov/documents/2025/06/11/2025-10533/agency-information-collection-activities-submission-for-omb-review-comment-request</t>
  </si>
  <si>
    <t xml:space="preserve">2025-10534</t>
  </si>
  <si>
    <t xml:space="preserve">https://www.federalregister.gov/documents/2025/06/11/2025-10534/agency-information-collection-activities-proposed-collection-comment-request</t>
  </si>
  <si>
    <t xml:space="preserve">2025-10650</t>
  </si>
  <si>
    <t xml:space="preserve">https://www.federalregister.gov/documents/2025/06/12/2025-10650/agency-information-collection-activities-proposed-collection-comment-request</t>
  </si>
  <si>
    <t xml:space="preserve">2025-10730</t>
  </si>
  <si>
    <t xml:space="preserve">https://www.federalregister.gov/documents/2025/06/12/2025-10730/medicaid-and-childrens-health-insurance-program-chip-generic-information-collection-activities</t>
  </si>
  <si>
    <t xml:space="preserve">2025-10820</t>
  </si>
  <si>
    <t xml:space="preserve">https://www.federalregister.gov/documents/2025/06/13/2025-10820/agency-information-collection-activities-submission-for-omb-review-comment-request</t>
  </si>
  <si>
    <t xml:space="preserve">2025-10824</t>
  </si>
  <si>
    <t xml:space="preserve">https://www.federalregister.gov/documents/2025/06/13/2025-10824/medicaid-and-childrens-health-insurance-program-chip-generic-information-collection-activities</t>
  </si>
  <si>
    <t xml:space="preserve">2025-11157</t>
  </si>
  <si>
    <t xml:space="preserve">https://www.federalregister.gov/documents/2025/06/17/2025-11157/agency-information-collection-activities-submission-for-omb-review-comment-request</t>
  </si>
  <si>
    <t xml:space="preserve">2025-11324</t>
  </si>
  <si>
    <t xml:space="preserve">https://www.federalregister.gov/documents/2025/06/20/2025-11324/agency-information-collection-activities-proposed-collection-comment-request</t>
  </si>
  <si>
    <t xml:space="preserve">2025-11408</t>
  </si>
  <si>
    <t xml:space="preserve">c-snp(2)</t>
  </si>
  <si>
    <t xml:space="preserve">https://www.federalregister.gov/documents/2025/06/23/2025-11408/agency-information-collection-activities-submission-for-omb-review-comment-request</t>
  </si>
  <si>
    <t xml:space="preserve">2025-11411</t>
  </si>
  <si>
    <t xml:space="preserve">https://www.federalregister.gov/documents/2025/06/23/2025-11411/agency-information-collection-activities-proposed-collection-comment-request</t>
  </si>
  <si>
    <t xml:space="preserve">2025-11451</t>
  </si>
  <si>
    <t xml:space="preserve">Medicare and Medicaid Programs; Application From The Joint Commission for Continued CMS Approval of its Hospital Accreditation Program</t>
  </si>
  <si>
    <t xml:space="preserve">This final notice announces our decision to approve The Joint Commission for continued CMS-recognition as a national accrediting organization for hospitals that wish to participate in the Medicare or Medicaid programs.</t>
  </si>
  <si>
    <t xml:space="preserve">https://www.federalregister.gov/documents/2025/06/23/2025-11451/medicare-and-medicaid-programs-application-from-the-joint-commission-for-continued-cms-approval-of</t>
  </si>
  <si>
    <t xml:space="preserve">2025-11519</t>
  </si>
  <si>
    <t xml:space="preserve">Medicaid and Children's Health Insurance Program (CHIP) Generic Information Collection Activities: Proposed Collection; Extension of Comment Period</t>
  </si>
  <si>
    <t xml:space="preserve">This document extends the public comment period of a revised collection of information request (entitled, "CHIP State Plan Eligibility") that published in the Federal Register on June 12, 2025. We are not proposing any other changes. Comments previously submitted need not be resubmitted.</t>
  </si>
  <si>
    <t xml:space="preserve">https://www.federalregister.gov/documents/2025/06/24/2025-11519/medicaid-and-childrens-health-insurance-program-chip-generic-information-collection-activities</t>
  </si>
  <si>
    <t xml:space="preserve">2025-11701</t>
  </si>
  <si>
    <t xml:space="preserve">Medicare and Medicaid Programs: Application From the Accreditation Commission for Health Care (ACHC) for Continued Approval of Its Hospice Accreditation Program</t>
  </si>
  <si>
    <t xml:space="preserve">This proposed notice acknowledges the receipt of an application from the Accreditation Commission for Health Care, for continued recognition as a national accrediting organization for hospices that wish to participate in the Medicare or Medicaid programs.</t>
  </si>
  <si>
    <t xml:space="preserve">https://www.federalregister.gov/documents/2025/06/25/2025-11701/medicare-and-medicaid-programs-application-from-the-accreditation-commission-for-health-care-achc</t>
  </si>
  <si>
    <t xml:space="preserve">2025-11865</t>
  </si>
  <si>
    <t xml:space="preserve">Secretarial Comments on the CBE's (Battelle Memorial Institute) 2024 Activities: Report to Congress and the Secretary of the Department of Health and Human Services</t>
  </si>
  <si>
    <t xml:space="preserve">This notice acknowledges the Secretary of the Department of Health and Human Services' (the Secretary's) receipt and review of Battelle Memorial Institute's, the consensus-based entity (CBE) under a contract with the Secretary, 2024 Annual Activities Report to Congress, as mandated by section 1890(b)(5) of the Social Security Act (the Act). The Secretary has reviewed CBE's 2024 Annual Report and is publishing the report in the Federal Register together with the Secretary's comments on the report</t>
  </si>
  <si>
    <t xml:space="preserve">https://www.federalregister.gov/documents/2025/06/27/2025-11865/secretarial-comments-on-the-cbes-battelle-memorial-institute-2024-activities-report-to-congress-and</t>
  </si>
  <si>
    <t xml:space="preserve">2025-11900</t>
  </si>
  <si>
    <t xml:space="preserve">https://www.federalregister.gov/documents/2025/06/27/2025-11900/agency-information-collection-activities-submission-for-omb-review-comment-request</t>
  </si>
  <si>
    <t xml:space="preserve">2025-11980</t>
  </si>
  <si>
    <t xml:space="preserve">https://www.federalregister.gov/documents/2025/06/27/2025-11980/agency-information-collection-activities-proposed-collection-comment-request</t>
  </si>
  <si>
    <t xml:space="preserve">2025-11979</t>
  </si>
  <si>
    <t xml:space="preserve">https://www.federalregister.gov/documents/2025/06/30/2025-11979/agency-information-collection-activities-proposed-collection-comment-request</t>
  </si>
  <si>
    <t xml:space="preserve">2025-12149</t>
  </si>
  <si>
    <t xml:space="preserve">https://www.federalregister.gov/documents/2025/06/30/2025-12149/agency-information-collection-activities-proposed-collection-comment-request</t>
  </si>
  <si>
    <t xml:space="preserve">2024-22203</t>
  </si>
  <si>
    <t xml:space="preserve">medicare advantage(8); part c(1); part d(1); d-snp(1)</t>
  </si>
  <si>
    <t xml:space="preserve">https://www.federalregister.gov/documents/2024/09/30/2024-22203/medicare-program-changes-to-the-medicare-advantage-and-the-medicare-prescription-drug-benefit</t>
  </si>
  <si>
    <t xml:space="preserve">marginal (strong kw=9)</t>
  </si>
  <si>
    <t xml:space="preserve">2025-12281</t>
  </si>
  <si>
    <t xml:space="preserve">https://www.federalregister.gov/documents/2025/07/01/2025-12281/agency-information-collection-activities-proposed-collection-comment-request</t>
  </si>
  <si>
    <t xml:space="preserve">2025-12347</t>
  </si>
  <si>
    <t xml:space="preserve">Medicare and Medicaid Programs; Calendar Year 2026 Home Health Prospective Payment System (HH PPS) Rate Update; Requirements for the HH Quality Reporting Program and the HH Value-Based Purchasing Expanded Model; Durable Medical Equipment, Prosthetics, Orthotics, and Supplies (DMEPOS) Competitive Bidding Program Updates; DMEPOS Accreditation Requirements; Provider Enrollment; and Other Medicare and Medicaid Policies</t>
  </si>
  <si>
    <t xml:space="preserve">This proposed rule would set forth routine updates to the Medicare home health payment rates in accordance with existing statutory and regulatory requirements. In addition, this proposed rule proposes permanent and temporary behavior adjustments and proposes to recalibrate the case-mix weights and update the functional impairment levels; comorbidity subgroups; and low-utilization payment adjustment (LUPA) thresholds for CY 2026. Lastly, this proposed rule proposes policy changes to the face-to-f</t>
  </si>
  <si>
    <t xml:space="preserve">https://www.federalregister.gov/documents/2025/07/02/2025-12347/medicare-and-medicaid-programs-calendar-year-2026-home-health-prospective-payment-system-hh-pps-rate</t>
  </si>
  <si>
    <t xml:space="preserve">2025-12368</t>
  </si>
  <si>
    <t xml:space="preserve">dual eligible(4); part d(1)</t>
  </si>
  <si>
    <t xml:space="preserve">Medicare Program; End-Stage Renal Disease Prospective Payment System, Payment for Renal Dialysis Services Furnished to Individuals With Acute Kidney Injury, End-Stage Renal Disease Quality Incentive Program, and End-Stage Renal Disease Treatment Choices Model</t>
  </si>
  <si>
    <t xml:space="preserve">This proposed rule would update and revise the End-Stage Renal Disease (ESRD) Prospective Payment System for calendar year 2026. This rule also proposes to update the payment rate for renal dialysis services furnished by an ESRD facility to individuals with acute kidney injury. In addition, this rule proposes to update requirements for the ESRD Quality Incentive Program and to terminate and modify requirements for the ESRD Treatment Choices Model.</t>
  </si>
  <si>
    <t xml:space="preserve">https://www.federalregister.gov/documents/2025/07/02/2025-12368/medicare-program-end-stage-renal-disease-prospective-payment-system-payment-for-renal-dialysis</t>
  </si>
  <si>
    <t xml:space="preserve">2025-12399</t>
  </si>
  <si>
    <t xml:space="preserve">https://www.federalregister.gov/documents/2025/07/03/2025-12399/agency-information-collection-activities-submission-for-omb-review-comment-request</t>
  </si>
  <si>
    <t xml:space="preserve">2025-12402</t>
  </si>
  <si>
    <t xml:space="preserve">https://www.federalregister.gov/documents/2025/07/03/2025-12402/agency-information-collection-activities-proposed-collection-comment-request</t>
  </si>
  <si>
    <t xml:space="preserve">2025-12566</t>
  </si>
  <si>
    <t xml:space="preserve">On June 27, 2025, CMS published a notice in the Federal Register that sought comment on a collection of information concerning CMS-10765 (OMB control number 0938-1420) entitled "Review Choice Demonstration for Inpatient Rehabilitation Facility (IRF) Services." The type of information collection request listed in the notice is incorrect. This document corrects the error.</t>
  </si>
  <si>
    <t xml:space="preserve">https://www.federalregister.gov/documents/2025/07/07/2025-12566/agency-information-collection-activities-submission-for-omb-review-comment-request-correction</t>
  </si>
  <si>
    <t xml:space="preserve">2025-12567</t>
  </si>
  <si>
    <t xml:space="preserve">Agency Information Collection Activities: Proposed Collection; Comment Request; Correction</t>
  </si>
  <si>
    <t xml:space="preserve">On June 12, 2025, CMS published a notice in the Federal Register seeking comment on a collection of information concerning CMS- 10106 (OMB control number 0938-0930) titled "Medicare Authorization to Disclose Personal Health Information." The number of total annual responses is incorrectly listed. This document corrects the error.</t>
  </si>
  <si>
    <t xml:space="preserve">https://www.federalregister.gov/documents/2025/07/07/2025-12567/agency-information-collection-activities-proposed-collection-comment-request-correction</t>
  </si>
  <si>
    <t xml:space="preserve">2025-12585</t>
  </si>
  <si>
    <t xml:space="preserve">https://www.federalregister.gov/documents/2025/07/07/2025-12585/agency-information-collection-activities-proposed-collection-comment-request</t>
  </si>
  <si>
    <t xml:space="preserve">C1-2025-12347</t>
  </si>
  <si>
    <t xml:space="preserve">https://www.federalregister.gov/documents/2025/07/09/C1-2025-12347/medicare-and-medicaid-programs-calendar-year-2026-home-health-prospective-payment-system-hh-pps-rate</t>
  </si>
  <si>
    <t xml:space="preserve">2025-12982</t>
  </si>
  <si>
    <t xml:space="preserve">https://www.federalregister.gov/documents/2025/07/11/2025-12982/agency-information-collection-activities-proposed-collection-comment-request</t>
  </si>
  <si>
    <t xml:space="preserve">2025-12983</t>
  </si>
  <si>
    <t xml:space="preserve">medigap(1)</t>
  </si>
  <si>
    <t xml:space="preserve">https://www.federalregister.gov/documents/2025/07/11/2025-12983/agency-information-collection-activities-submission-for-omb-review-comment-request</t>
  </si>
  <si>
    <t xml:space="preserve">2025-13004</t>
  </si>
  <si>
    <t xml:space="preserve">Privacy Act of 1974; System of Records</t>
  </si>
  <si>
    <t xml:space="preserve">In accordance with the Privacy Act of 1974, as amended, the Department of Health and Human Services (HHS) is modifying an existing system of records maintained by the Centers for Medicare &amp; Medicaid Services (CMS), titled "Home Health Agency (HHA) Outcome and Assessment Information Set (OASIS)," System No. 09-70-0522. This system of records covers information about patients receiving home health services from a Medicare and/or Medicaid approved HHA. Home health agencies required to comply with M</t>
  </si>
  <si>
    <t xml:space="preserve">https://www.federalregister.gov/documents/2025/07/11/2025-13004/privacy-act-of-1974-system-of-records</t>
  </si>
  <si>
    <t xml:space="preserve">C2-2025-12347</t>
  </si>
  <si>
    <t xml:space="preserve">https://www.federalregister.gov/documents/2025/07/11/C2-2025-12347/medicare-and-medicaid-programs-calendar-year-2026-home-health-prospective-payment-system-hh-pps-rate</t>
  </si>
  <si>
    <t xml:space="preserve">2025-13042</t>
  </si>
  <si>
    <t xml:space="preserve">https://www.federalregister.gov/documents/2025/07/14/2025-13042/agency-information-collection-activities-proposed-collection-comment-request</t>
  </si>
  <si>
    <t xml:space="preserve">2025-13055</t>
  </si>
  <si>
    <t xml:space="preserve">https://www.federalregister.gov/documents/2025/07/14/2025-13055/agency-information-collection-activities-submission-for-omb-review-comment-request</t>
  </si>
  <si>
    <t xml:space="preserve">2025-13271</t>
  </si>
  <si>
    <t xml:space="preserve">part d(145); dual eligible(14); medicare advantage(7)</t>
  </si>
  <si>
    <t xml:space="preserve">Medicare and Medicaid Programs; CY 2026 Payment Policies Under the Physician Fee Schedule and Other Changes to Part B Payment and Coverage Policies; Medicare Shared Savings Program Requirements; and Medicare Prescription Drug Inflation Rebate Program</t>
  </si>
  <si>
    <t xml:space="preserve">This major proposed rule addresses: changes to the physician fee schedule (PFS); other changes to Medicare Part B payment policies to ensure that payment systems are updated to reflect changes in medical practice, relative value of services, and changes in the statute; codification of establishment of new policies for: the Medicare Prescription Drug Inflation Rebate Program under the Inflation Reduction Act of 2022; the Ambulatory Specialty Model; updates to the Medicare Diabetes Prevention Prog</t>
  </si>
  <si>
    <t xml:space="preserve">https://www.federalregister.gov/documents/2025/07/16/2025-13271/medicare-and-medicaid-programs-cy-2026-payment-policies-under-the-physician-fee-schedule-and-other</t>
  </si>
  <si>
    <t xml:space="preserve">2025-13360</t>
  </si>
  <si>
    <t xml:space="preserve">medicare advantage(5); ma organization(4); dual eligible(1)</t>
  </si>
  <si>
    <t xml:space="preserve">Medicare and Medicaid Programs: Hospital Outpatient Prospective Payment and Ambulatory Surgical Center Payment Systems; Quality Reporting Programs; Overall Hospital Quality Star Ratings; and Hospital Price Transparency</t>
  </si>
  <si>
    <t xml:space="preserve">This proposed rule would revise the Medicare Hospital Outpatient Prospective Payment System (OPPS) and the Medicare Ambulatory Surgical Center (ASC) payment system for calendar year 2026 based on our continuing experience with these systems. We also describe the changes to the amounts and factors used to determine the payment rates for Medicare services paid under the OPPS and those paid under the ASC payment systems. This proposed rule would also update and refine the requirements for the Hospi</t>
  </si>
  <si>
    <t xml:space="preserve">https://www.federalregister.gov/documents/2025/07/17/2025-13360/medicare-and-medicaid-programs-hospital-outpatient-prospective-payment-and-ambulatory-surgical</t>
  </si>
  <si>
    <t xml:space="preserve">2025-13428</t>
  </si>
  <si>
    <t xml:space="preserve">Medicare Program; Announcement of the Advisory Panel on Hospital Outpatient Payment Meeting-August 25, 2025</t>
  </si>
  <si>
    <t xml:space="preserve">This meeting notice announces the virtual meeting of the Advisory Panel on Hospital Outpatient Payment (the Panel) on Monday, August 25, 2025. The purpose of the Panel is to advise the Secretary on the clinical integrity of the Ambulatory Payment Classification groups and their associated weights, which are major elements of the Medicare Hospital Outpatient Prospective Payment System and the Ambulatory Surgical Center payment system, and supervision of hospital outpatient therapeutic services.</t>
  </si>
  <si>
    <t xml:space="preserve">https://www.federalregister.gov/documents/2025/07/17/2025-13428/medicare-program-announcement-of-the-advisory-panel-on-hospital-outpatient-payment-meeting-august-25</t>
  </si>
  <si>
    <t xml:space="preserve">2025-13673</t>
  </si>
  <si>
    <t xml:space="preserve">https://www.federalregister.gov/documents/2025/07/21/2025-13673/agency-information-collection-activities-submission-for-omb-review-comment-request</t>
  </si>
  <si>
    <t xml:space="preserve">2025-13676</t>
  </si>
  <si>
    <t xml:space="preserve">https://www.federalregister.gov/documents/2025/07/21/2025-13676/agency-information-collection-activities-proposed-collection-comment-request</t>
  </si>
  <si>
    <t xml:space="preserve">2025-13824</t>
  </si>
  <si>
    <t xml:space="preserve">Medicare and Medicaid Programs: Application From the Accreditation Commission for Health Care for Continued Approval of Its Critical Access Hospital Accreditation Program</t>
  </si>
  <si>
    <t xml:space="preserve">This notice acknowledges the receipt of an application from the Accreditation Commission for Health Care for continued recognition as a national accrediting organization for critical access hospitals that wish to participate in the Medicare or Medicaid programs.</t>
  </si>
  <si>
    <t xml:space="preserve">https://www.federalregister.gov/documents/2025/07/23/2025-13824/medicare-and-medicaid-programs-application-from-the-accreditation-commission-for-health-care-for</t>
  </si>
  <si>
    <t xml:space="preserve">2025-14210</t>
  </si>
  <si>
    <t xml:space="preserve">part d(8); d-snp(2); ma organization(1); part c(1)</t>
  </si>
  <si>
    <t xml:space="preserve">https://www.federalregister.gov/documents/2025/07/28/2025-14210/agency-information-collection-activities-submission-for-omb-review-comment-request</t>
  </si>
  <si>
    <t xml:space="preserve">2025-14434</t>
  </si>
  <si>
    <t xml:space="preserve">This advisory is to alert certain clinicians who are qualifying Alternative Payment Model (APM) participants (QPs) and have earned an APM incentive payment that CMS does not have the current information needed to disburse the payment. This advisory provides information to QPs on how to update their Medicare billing information so that CMS can disburse APM incentive payments.</t>
  </si>
  <si>
    <t xml:space="preserve">https://www.federalregister.gov/documents/2025/07/30/2025-14434/medicare-program-alternative-payment-model-apm-incentive-payment-advisory-for-clinicians-request-for</t>
  </si>
  <si>
    <t xml:space="preserve">2025-14479</t>
  </si>
  <si>
    <t xml:space="preserve">part d(7); ma organization(2); d-snp(2); medicare advantage(1); special needs plan(1); dual eligible(1)</t>
  </si>
  <si>
    <t xml:space="preserve">https://www.federalregister.gov/documents/2025/07/31/2025-14479/agency-information-collection-activities-proposed-collection-comment-request</t>
  </si>
  <si>
    <t xml:space="preserve">2025-14524</t>
  </si>
  <si>
    <t xml:space="preserve">https://www.federalregister.gov/documents/2025/08/01/2025-14524/agency-information-collection-activities-proposed-collection-comment-request</t>
  </si>
  <si>
    <t xml:space="preserve">2025-14525</t>
  </si>
  <si>
    <t xml:space="preserve">On June 20, 2025, CMS published a notice in the Federal Register that sought comment on a collection of information concerning CMS-10846 (OMB control number 0938-1451) entitled "Medicare Part D Manufacturer Discount Program." The point of contact information is incorrectly listed in the last sentence within the last paragraph of the notice. This document corrects the error.</t>
  </si>
  <si>
    <t xml:space="preserve">https://www.federalregister.gov/documents/2025/08/01/2025-14525/agency-information-collection-activities-submission-for-omb-review-comment-request-correction</t>
  </si>
  <si>
    <t xml:space="preserve">2025-14679</t>
  </si>
  <si>
    <t xml:space="preserve">dual eligible(5)</t>
  </si>
  <si>
    <t xml:space="preserve">This final rule finalizes changes and updates to the policies and payment rates used under the Skilled Nursing Facility (SNF) Prospective Payment System (PPS) for fiscal year 2026. This final rule also updates the requirements for the SNF Quality Reporting Program and the SNF Value-Based Purchasing Program.</t>
  </si>
  <si>
    <t xml:space="preserve">https://www.federalregister.gov/documents/2025/08/04/2025-14679/medicare-program-prospective-payment-system-and-consolidated-billing-for-skilled-nursing-facilities</t>
  </si>
  <si>
    <t xml:space="preserve">2025-14681</t>
  </si>
  <si>
    <t xml:space="preserve">part d(114); medicare advantage(50); part c(8); dual eligible(7); ma organization(2); special needs plan(2)</t>
  </si>
  <si>
    <t xml:space="preserve">Medicare Program; Hospital Inpatient Prospective Payment Systems for Acute Care Hospitals (IPPS) and the Long-Term Care Hospital Prospective Payment System and Policy Changes and Fiscal Year (FY) 2026 Rates; Changes to the FY 2025 IPPS Rates Due to Court Decision; Requirements for Quality Programs; and Other Policy Changes; Health Data, Technology, and Interoperability: Electronic Prescribing, Real-Time Prescription Benefit and Electronic Prior Authorization</t>
  </si>
  <si>
    <t xml:space="preserve">This final rule revises the Medicare hospital inpatient prospective payment systems (IPPS) for operating and capital-related costs of acute care hospitals; makes changes relating to Medicare graduate medical education (GME) for teaching hospitals; updates the payment policies and the annual payment rates for the Medicare prospective payment system (PPS) for inpatient hospital services provided by long-term care hospitals (LTCHs); updates and makes changes to requirements for certain quality prog</t>
  </si>
  <si>
    <t xml:space="preserve">https://www.federalregister.gov/documents/2025/08/04/2025-14681/medicare-program-hospital-inpatient-prospective-payment-systems-for-acute-care-hospitals-ipps-and</t>
  </si>
  <si>
    <t xml:space="preserve">2025-14780</t>
  </si>
  <si>
    <t xml:space="preserve">medicare advantage(2); part c(1)</t>
  </si>
  <si>
    <t xml:space="preserve">This final rule updates the prospective payment rates for inpatient rehabilitation facilities (IRFs) for Federal fiscal year (FY) 2026. As required by statute, this final rule includes the classification and weighting factors for the IRF prospective payment system's case-mix groups and a description of the methodologies and data used in computing the prospective payment rates for FY 2026. It also continues the second year of the 3-year phaseout of the rural adjustment, which began in FY 2025. Ad</t>
  </si>
  <si>
    <t xml:space="preserve">https://www.federalregister.gov/documents/2025/08/05/2025-14780/medicare-program-inpatient-rehabilitation-facility-prospective-payment-system-for-federal-fiscal</t>
  </si>
  <si>
    <t xml:space="preserve">2025-14781</t>
  </si>
  <si>
    <t xml:space="preserve">medicare advantage(3)</t>
  </si>
  <si>
    <t xml:space="preserve">This final rule updates the prospective payment rates, the outlier threshold, and the wage index for Medicare inpatient hospital services provided by Inpatient Psychiatric Facilities (IPFs), which include psychiatric hospitals and excluded psychiatric units of an acute care hospital or critical access hospital. This final rule also revises the payment adjustment factors for teaching status and for IPFs located in rural areas. These changes will be effective for IPF discharges occurring during th</t>
  </si>
  <si>
    <t xml:space="preserve">https://www.federalregister.gov/documents/2025/08/05/2025-14781/medicare-program-fy-2026-inpatient-psychiatric-facilities-prospective-payment-system-rate-update</t>
  </si>
  <si>
    <t xml:space="preserve">2025-14782</t>
  </si>
  <si>
    <t xml:space="preserve">medicare advantage(2); dual eligible(2)</t>
  </si>
  <si>
    <t xml:space="preserve">This final rule updates the hospice wage index, payment rates, and aggregate cap amount for Fiscal Year (FY) 2026. This rule also finalizes changes to the admission to hospice regulations and the hospice face-to-face attestation requirements under the certification of terminal illness regulations and includes technical changes to the hospice telehealth policy and wage index. This final rule also includes a technical correction to the regulatory text and provides updates to the Hospice Quality Re</t>
  </si>
  <si>
    <t xml:space="preserve">https://www.federalregister.gov/documents/2025/08/05/2025-14782/medicare-program-fy-2026-hospice-wage-index-and-payment-rate-update-and-hospice-quality-reporting</t>
  </si>
  <si>
    <t xml:space="preserve">2025-14822</t>
  </si>
  <si>
    <t xml:space="preserve">Medicare and Medicaid Programs; Quarterly Listing of Program Issuances-April Through June 2025</t>
  </si>
  <si>
    <t xml:space="preserve">https://www.federalregister.gov/documents/2025/08/05/2025-14822/medicare-and-medicaid-programs-quarterly-listing-of-program-issuances-april-through-june-2025</t>
  </si>
  <si>
    <t xml:space="preserve">2025-14828</t>
  </si>
  <si>
    <t xml:space="preserve">https://www.federalregister.gov/documents/2025/08/05/2025-14828/agency-information-collection-activities-proposed-collection-comment-request</t>
  </si>
  <si>
    <t xml:space="preserve">2025-14829</t>
  </si>
  <si>
    <t xml:space="preserve">https://www.federalregister.gov/documents/2025/08/05/2025-14829/agency-information-collection-activities-submission-for-omb-review-comment-request</t>
  </si>
  <si>
    <t xml:space="preserve">2025-15386</t>
  </si>
  <si>
    <t xml:space="preserve">https://www.federalregister.gov/documents/2025/08/13/2025-15386/agency-information-collection-activities-submission-for-omb-review-comment-request</t>
  </si>
  <si>
    <t xml:space="preserve">2025-15492</t>
  </si>
  <si>
    <t xml:space="preserve">Medicare and Medicaid Programs; CY 2026 Payment Policies Under the Physician Fee Schedule and Other Changes to Part B Payment and Coverage Policies; Medicare Shared Savings Program Requirements; and Medicare Prescription Drug Inflation Rebate Program; Correction</t>
  </si>
  <si>
    <t xml:space="preserve">This document corrects typographical and technical errors in the proposed rule that appeared in the July 16, 2025 Federal Register (90 FR 32352) titled "Medicare and Medicaid Programs; CY 2026 Payment Policies Under the Physician Fee Schedule and Other Changes to Part B Payment and Coverage Policies; Medicare Shared Savings Program Requirements; and Medicare Prescription Drug Inflation Rebate Program" (hereinafter referred to as the CY 2026 PFS proposed rule), specifying proposed changes to the </t>
  </si>
  <si>
    <t xml:space="preserve">https://www.federalregister.gov/documents/2025/08/14/2025-15492/medicare-and-medicaid-programs-cy-2026-payment-policies-under-the-physician-fee-schedule-and-other</t>
  </si>
  <si>
    <t xml:space="preserve">2025-15616</t>
  </si>
  <si>
    <t xml:space="preserve">https://www.federalregister.gov/documents/2025/08/18/2025-15616/agency-information-collection-activities-proposed-collection-comment-request</t>
  </si>
  <si>
    <t xml:space="preserve">2025-15935</t>
  </si>
  <si>
    <t xml:space="preserve">https://www.federalregister.gov/documents/2025/08/21/2025-15935/agency-information-collection-activities-submission-for-omb-review-comment-request</t>
  </si>
  <si>
    <t xml:space="preserve">2025-15981</t>
  </si>
  <si>
    <t xml:space="preserve">https://www.federalregister.gov/documents/2025/08/21/2025-15981/agency-information-collection-activities-proposed-collection-comment-request</t>
  </si>
  <si>
    <t xml:space="preserve">2025-16171</t>
  </si>
  <si>
    <t xml:space="preserve">https://www.federalregister.gov/documents/2025/08/25/2025-16171/medicaid-and-childrens-health-insurance-program-chip-generic-information-collection-activities</t>
  </si>
  <si>
    <t xml:space="preserve">2025-16343</t>
  </si>
  <si>
    <t xml:space="preserve">https://www.federalregister.gov/documents/2025/08/26/2025-16343/medicaid-and-childrens-health-insurance-program-chip-generic-information-collection-activities</t>
  </si>
  <si>
    <t xml:space="preserve">2025-16488</t>
  </si>
  <si>
    <t xml:space="preserve">https://www.federalregister.gov/documents/2025/08/28/2025-16488/agency-information-collection-activities-submission-for-omb-review-comment-request</t>
  </si>
  <si>
    <t xml:space="preserve">C3-2025-12347</t>
  </si>
  <si>
    <t xml:space="preserve">https://www.federalregister.gov/documents/2025/08/28/C3-2025-12347/medicare-and-medicaid-programs-calendar-year-2026-home-health-prospective-payment-system-hh-pps-rate</t>
  </si>
  <si>
    <t xml:space="preserve">2025-16572</t>
  </si>
  <si>
    <t xml:space="preserve">On Tuesday, August 5, 2025, the Centers for Medicare &amp; Medicaid Services (CMS) published a notice document entitled, "Agency Information Collection Activities: Proposed Collection; Comment Request". That notice invited public comments on five separate information collection requests, under Document Identifiers: CMS-10495, CMS 855S and CMS-R-131. Through the publication of this document, we are withdrawing the portion of the notice requesting public comment on the information collection request t</t>
  </si>
  <si>
    <t xml:space="preserve">https://www.federalregister.gov/documents/2025/08/29/2025-16572/agency-information-collection-activities-proposed-collection-comment-request</t>
  </si>
  <si>
    <t xml:space="preserve">2025-16589</t>
  </si>
  <si>
    <t xml:space="preserve">https://www.federalregister.gov/documents/2025/08/29/2025-16589/agency-information-collection-activities-proposed-collection-comment-request</t>
  </si>
  <si>
    <t xml:space="preserve">2025-16789</t>
  </si>
  <si>
    <t xml:space="preserve">https://www.federalregister.gov/documents/2025/09/02/2025-16789/agency-information-collection-activities-submission-for-omb-review-comment-request</t>
  </si>
  <si>
    <t xml:space="preserve">2025-16803</t>
  </si>
  <si>
    <t xml:space="preserve">https://www.federalregister.gov/documents/2025/09/03/2025-16803/agency-information-collection-activities-proposed-collection-comment-request</t>
  </si>
  <si>
    <t xml:space="preserve">2025-16960</t>
  </si>
  <si>
    <t xml:space="preserve">Medicare Program; FY 2026 Hospice Wage Index and Payment Rate Update and Hospice Quality Reporting Program Requirements; Correction</t>
  </si>
  <si>
    <t xml:space="preserve">This document corrects typographical errors in the final rule that appeared in the August 5, 2025 Federal Register titled "Medicare Program; FY 2026 Hospice Wage Index and Payment Rate Update and Hospice Quality Reporting Program Requirements" (hereinafter referred to as the "FY 2026 Hospice final rule"). The effective date of the FY 2026 Hospice final rule is October 1, 2025.</t>
  </si>
  <si>
    <t xml:space="preserve">https://www.federalregister.gov/documents/2025/09/04/2025-16960/medicare-program-fy-2026-hospice-wage-index-and-payment-rate-update-and-hospice-quality-reporting</t>
  </si>
  <si>
    <t xml:space="preserve">2025-16983</t>
  </si>
  <si>
    <t xml:space="preserve">https://www.federalregister.gov/documents/2025/09/05/2025-16983/agency-information-collection-activities-proposed-collection-comment-request</t>
  </si>
  <si>
    <t xml:space="preserve">2025-17019</t>
  </si>
  <si>
    <t xml:space="preserve">part d(6); part c(5); medicare advantage(1)</t>
  </si>
  <si>
    <t xml:space="preserve">https://www.federalregister.gov/documents/2025/09/05/2025-17019/agency-information-collection-activities-submission-for-omb-review-comment-request</t>
  </si>
  <si>
    <t xml:space="preserve">2025-17037</t>
  </si>
  <si>
    <t xml:space="preserve">medicare advantage(3); part c(1); part d(1)</t>
  </si>
  <si>
    <t xml:space="preserve">Medicare Program; Approved Renewal of Deeming Authority of the Utilization Review Accreditation Commission (URAC) for Medicare Advantage Health Maintenance Organizations and Local Preferred Provider Organizations</t>
  </si>
  <si>
    <t xml:space="preserve">This final notice announces the Centers for Medicare &amp; Medicaid Services decision to renew the Utilization Review Accreditation Commission's application for Medicare Advantage "deeming authority" of Health Maintenance Organizations and Preferred Provider Organizations for a term of 6 years.</t>
  </si>
  <si>
    <t xml:space="preserve">https://www.federalregister.gov/documents/2025/09/05/2025-17037/medicare-program-approved-renewal-of-deeming-authority-of-the-utilization-review-accreditation</t>
  </si>
  <si>
    <t xml:space="preserve">2025-17121</t>
  </si>
  <si>
    <t xml:space="preserve">https://www.federalregister.gov/documents/2025/09/08/2025-17121/medicaid-and-childrens-health-insurance-program-chip-generic-information-collection-activities</t>
  </si>
  <si>
    <t xml:space="preserve">2025-17202</t>
  </si>
  <si>
    <t xml:space="preserve">Agency Information Collection Activities: Proposed Collection; Extension of Comment Period</t>
  </si>
  <si>
    <t xml:space="preserve">This notice extends the comment period for a 60-day notice request for proposed information collection request associated with the notice [Document Identifier: CMS-855S] entitled "Medicare Enrollment Application: Durable Medical Equipment, Prosthetics, Orthotics, and Supplies (DMEPOS) Suppliers." and published in the August 18, 2025 (90 FR 40073) Federal Register. The comment period for the information collection request, which would have ended on June 20, 2025, is extended to Monday, July 7, 20</t>
  </si>
  <si>
    <t xml:space="preserve">https://www.federalregister.gov/documents/2025/09/08/2025-17202/agency-information-collection-activities-proposed-collection-extension-of-comment-period</t>
  </si>
  <si>
    <t xml:space="preserve">2025-17203</t>
  </si>
  <si>
    <t xml:space="preserve">https://www.federalregister.gov/documents/2025/09/08/2025-17203/agency-information-collection-activities-proposed-collection-comment-request</t>
  </si>
  <si>
    <t xml:space="preserve">2025-17401</t>
  </si>
  <si>
    <t xml:space="preserve">Medicare Program; Town Hall Meeting on the Fiscal Year 2027 Applications for New Technology Add-On Payments</t>
  </si>
  <si>
    <t xml:space="preserve">This notice announces a town hall meeting in accordance with section 1886(d)(5)(K)(viii)(III) of the Social Security Act (the Act) to discuss fiscal year (FY) 2027 applications for add-on payments for new medical services and technologies under the hospital inpatient prospective payment system (IPPS). Interested parties are invited to this virtual meeting to present their comments, recommendations, and data regarding whether the FY 2027 applications for new technology add- on payments meet the s</t>
  </si>
  <si>
    <t xml:space="preserve">https://www.federalregister.gov/documents/2025/09/10/2025-17401/medicare-program-town-hall-meeting-on-the-fiscal-year-2027-applications-for-new-technology-add-on</t>
  </si>
  <si>
    <t xml:space="preserve">2025-17660</t>
  </si>
  <si>
    <t xml:space="preserve">https://www.federalregister.gov/documents/2025/09/12/2025-17660/agency-information-collection-activities-submission-for-omb-review-comment-request</t>
  </si>
  <si>
    <t xml:space="preserve">2025-17686</t>
  </si>
  <si>
    <t xml:space="preserve">https://www.federalregister.gov/documents/2025/09/12/2025-17686/agency-information-collection-activities-proposed-collection-comment-request</t>
  </si>
  <si>
    <t xml:space="preserve">2025-18216</t>
  </si>
  <si>
    <t xml:space="preserve">https://www.federalregister.gov/documents/2025/09/19/2025-18216/agency-information-collection-activities-proposed-collection-comment-request</t>
  </si>
  <si>
    <t xml:space="preserve">2025-18219</t>
  </si>
  <si>
    <t xml:space="preserve">https://www.federalregister.gov/documents/2025/09/19/2025-18219/agency-information-collection-activities-submission-for-omb-review-comment-request</t>
  </si>
  <si>
    <t xml:space="preserve">2024-23103</t>
  </si>
  <si>
    <t xml:space="preserve">Patient Protection and Affordable Care Act; HHS Notice of Benefit and Payment Parameters for 2026; and Basic Health Program</t>
  </si>
  <si>
    <t xml:space="preserve">This proposed rule includes payment parameters and provisions related to the HHS-operated risk adjustment and risk adjustment data validation (HHS-RADV) programs, as well as 2026 benefit year user fee rates for issuers that participate in the HHS-operated risk adjustment program and the 2026 benefit year user fee rates for issuers offering qualified health plans (QHPs) through Federally-facilitated Exchanges (FFEs) and State-based Exchanges on the Federal platform (SBE-FPs). This proposed rule a</t>
  </si>
  <si>
    <t xml:space="preserve">https://www.federalregister.gov/documents/2024/10/10/2024-23103/patient-protection-and-affordable-care-act-hhs-notice-of-benefit-and-payment-parameters-for-2026-and</t>
  </si>
  <si>
    <t xml:space="preserve">marginal (strong kw=3)</t>
  </si>
  <si>
    <t xml:space="preserve">2025-18433</t>
  </si>
  <si>
    <t xml:space="preserve">https://www.federalregister.gov/documents/2025/09/23/2025-18433/agency-information-collection-activities-proposed-collection-comment-request</t>
  </si>
  <si>
    <t xml:space="preserve">2025-18448</t>
  </si>
  <si>
    <t xml:space="preserve">part d(5); medicare advantage(3); ma organization(1)</t>
  </si>
  <si>
    <t xml:space="preserve">https://www.federalregister.gov/documents/2025/09/24/2025-18448/agency-information-collection-activities-proposed-collection-comment-request</t>
  </si>
  <si>
    <t xml:space="preserve">2025-18506</t>
  </si>
  <si>
    <t xml:space="preserve">https://www.federalregister.gov/documents/2025/09/24/2025-18506/agency-information-collection-activities-submission-for-omb-review-comment-request</t>
  </si>
  <si>
    <t xml:space="preserve">2025-18533</t>
  </si>
  <si>
    <t xml:space="preserve">https://www.federalregister.gov/documents/2025/09/25/2025-18533/agency-information-collection-activities-proposed-collection-comment-request</t>
  </si>
  <si>
    <t xml:space="preserve">2025-18649</t>
  </si>
  <si>
    <t xml:space="preserve">https://www.federalregister.gov/documents/2025/09/25/2025-18649/agency-information-collection-activities-proposed-collection-comment-request</t>
  </si>
  <si>
    <t xml:space="preserve">2025-18826</t>
  </si>
  <si>
    <t xml:space="preserve">Agency Information Collection Activities: Proposed Collection; 30-Day Emergency Extension Request</t>
  </si>
  <si>
    <t xml:space="preserve">https://www.federalregister.gov/documents/2025/09/29/2025-18826/agency-information-collection-activities-proposed-collection-30-day-emergency-extension-request</t>
  </si>
  <si>
    <t xml:space="preserve">2025-18979</t>
  </si>
  <si>
    <t xml:space="preserve">https://www.federalregister.gov/documents/2025/09/30/2025-18979/agency-information-collection-activities-submission-for-omb-review-comment-request</t>
  </si>
  <si>
    <t xml:space="preserve">2025-19284</t>
  </si>
  <si>
    <t xml:space="preserve">https://www.federalregister.gov/documents/2025/10/02/2025-19284/agency-information-collection-activities-submission-for-omb-review-comment-request</t>
  </si>
  <si>
    <t xml:space="preserve">2025-19787</t>
  </si>
  <si>
    <t xml:space="preserve">part d(297); dual eligible(33); medicare advantage(14); part c(1)</t>
  </si>
  <si>
    <t xml:space="preserve">This major final rule addresses: changes to the physician fee schedule (PFS); other changes to Medicare Part B payment policies to ensure that payment systems are updated to reflect changes in medical practice, relative value of services, and changes in the statute; codification of establishment of new policies for: the Medicare Prescription Drug Inflation Rebate Program under the Inflation Reduction Act of 2022; the Ambulatory Specialty Model; updates to the Medicare Diabetes Prevention Program</t>
  </si>
  <si>
    <t xml:space="preserve">https://www.federalregister.gov/documents/2025/11/05/2025-19787/medicare-and-medicaid-programs-cy-2026-payment-policies-under-the-physician-fee-schedule-and-other</t>
  </si>
  <si>
    <t xml:space="preserve">2025-20058</t>
  </si>
  <si>
    <t xml:space="preserve">In accordance with subsection (e)(12) of the Privacy Act of 1974, as amended, the Department of Health and Human Services (HHS), Centers for Medicare &amp; Medicaid Services (CMS) is providing notice of the re-establishment of a matching program between CMS and State-Based Administering Entities (AEs), titled "Determining Eligibility for Enrollment in Applicable State Health Subsidy Programs Under the Patient Protection and Affordable Care Act."</t>
  </si>
  <si>
    <t xml:space="preserve">https://www.federalregister.gov/documents/2025/11/18/2025-20058/privacy-act-of-1974-matching-program</t>
  </si>
  <si>
    <t xml:space="preserve">2025-20073</t>
  </si>
  <si>
    <t xml:space="preserve">https://www.federalregister.gov/documents/2025/11/18/2025-20073/agency-information-collection-activities-submission-for-omb-review-comment-request</t>
  </si>
  <si>
    <t xml:space="preserve">2025-20249</t>
  </si>
  <si>
    <t xml:space="preserve">Medicare Program; CY 2026 Inpatient Hospital Deductible and Hospital and Extended Care Services Coinsurance Amounts</t>
  </si>
  <si>
    <t xml:space="preserve">This notice announces the inpatient hospital deductible and the hospital and extended care services coinsurance amounts for services furnished in calendar year (CY) 2026 under Medicare's Hospital Insurance Program (Medicare Part A). The Medicare statute specifies the formulae used to determine these amounts. For CY 2026, the inpatient hospital deductible will be $1,736. The daily coinsurance amounts for CY 2026 will be as follows: $434 for the 61st through 90th day of hospitalization in a benefi</t>
  </si>
  <si>
    <t xml:space="preserve">https://www.federalregister.gov/documents/2025/11/19/2025-20249/medicare-program-cy-2026-inpatient-hospital-deductible-and-hospital-and-extended-care-services</t>
  </si>
  <si>
    <t xml:space="preserve">2025-20250</t>
  </si>
  <si>
    <t xml:space="preserve">Medicare Program; CY 2026 Part A Premiums for the Uninsured Aged and for Certain Disabled Individuals Who Have Exhausted Other Entitlement</t>
  </si>
  <si>
    <t xml:space="preserve">This notice announces Medicare's Hospital Insurance Program (Medicare Part A) premium for uninsured enrollees in calendar year (CY) 2026. This premium is paid by enrollees aged 65 and over who are not otherwise eligible for benefits under Medicare Part A (hereafter known as the "uninsured aged") and by certain individuals with disabilities who have exhausted other entitlement. The monthly Medicare Part A premium for the 12 months beginning January 1, 2026 for these individuals will be $565. The </t>
  </si>
  <si>
    <t xml:space="preserve">https://www.federalregister.gov/documents/2025/11/19/2025-20250/medicare-program-cy-2026-part-a-premiums-for-the-uninsured-aged-and-for-certain-disabled-individuals</t>
  </si>
  <si>
    <t xml:space="preserve">2024-23195</t>
  </si>
  <si>
    <t xml:space="preserve">medicare supplement(3); medicare advantage(1); ma organization(1); part c(1)</t>
  </si>
  <si>
    <t xml:space="preserve">Medicare Program: Appeal Rights for Certain Changes in Patient Status</t>
  </si>
  <si>
    <t xml:space="preserve">This final rule implements an order from the Federal district court for the District of Connecticut in Alexander v. Azar that requires HHS to establish appeals processes for certain Medicare beneficiaries who are initially admitted as hospital inpatients but are subsequently reclassified as outpatients receiving observation services during their hospital stay and meet other eligibility criteria.</t>
  </si>
  <si>
    <t xml:space="preserve">https://www.federalregister.gov/documents/2024/10/15/2024-23195/medicare-program-appeal-rights-for-certain-changes-in-patient-status</t>
  </si>
  <si>
    <t xml:space="preserve">marginal (strong kw=5)</t>
  </si>
  <si>
    <t xml:space="preserve">2025-20279</t>
  </si>
  <si>
    <t xml:space="preserve">https://www.federalregister.gov/documents/2025/11/19/2025-20279/agency-information-collection-activities-proposed-collection-comment-request</t>
  </si>
  <si>
    <t xml:space="preserve">2025-20328</t>
  </si>
  <si>
    <t xml:space="preserve">Medicare Program; Announcement of the Re-Approval of COLA Under the Clinical Laboratory Improvement Amendments of 1988; Correction</t>
  </si>
  <si>
    <t xml:space="preserve">This document corrects technical errors that appeared in the notice published in the March 6, 2024 Federal Register titled "Medicare Program; Announcement of the Re-Approval of COLA Under the Clinical Laboratory Improvement Amendments of 1988."</t>
  </si>
  <si>
    <t xml:space="preserve">https://www.federalregister.gov/documents/2025/11/19/2025-20328/medicare-program-announcement-of-the-re-approval-of-cola-under-the-clinical-laboratory-improvement</t>
  </si>
  <si>
    <t xml:space="preserve">2025-20329</t>
  </si>
  <si>
    <t xml:space="preserve">Medicare Program; Announcement of the Re-Approval of the Joint Commission as an Accreditation Organization Under the Clinical Laboratory Improvement Amendments of 1988; Correction</t>
  </si>
  <si>
    <t xml:space="preserve">This document corrects technical errors that appeared in the notice published in the May 24, 2024, Federal Register titled "Medicare Program; Announcement of the Reapproval of the Joint Commission as an Accreditation Organization Under the Clinical Laboratory Improvement Amendments of 1998".</t>
  </si>
  <si>
    <t xml:space="preserve">https://www.federalregister.gov/documents/2025/11/19/2025-20329/medicare-program-announcement-of-the-re-approval-of-the-joint-commission-as-an-accreditation</t>
  </si>
  <si>
    <t xml:space="preserve">2025-20330</t>
  </si>
  <si>
    <t xml:space="preserve">Medicare Program; Public Meeting for New Revisions to the Healthcare Common Procedure Coding System (HCPCS) Coding-December 17, 2025, With an Overflow Date of December 18, 2025</t>
  </si>
  <si>
    <t xml:space="preserve">This notice announces the second biannual virtual Healthcare Common Procedure Coding System (HCPCS) Level II public meeting of 2025 to discuss the Centers for Medicare and Medicaid Services' preliminary coding, Medicare benefit category, and Medicare payment determinations, if applicable, for new revisions to the HCPCS Level II code set for non-drug and non-biological items and services, as well as how to register for the meeting.</t>
  </si>
  <si>
    <t xml:space="preserve">https://www.federalregister.gov/documents/2025/11/19/2025-20330/medicare-program-public-meeting-for-new-revisions-to-the-healthcare-common-procedure-coding-system</t>
  </si>
  <si>
    <t xml:space="preserve">2025-20367</t>
  </si>
  <si>
    <t xml:space="preserve">part d(3); medicare advantage(2)</t>
  </si>
  <si>
    <t xml:space="preserve">https://www.federalregister.gov/documents/2025/11/20/2025-20367/agency-information-collection-activities-proposed-collection-comment-request</t>
  </si>
  <si>
    <t xml:space="preserve">2025-20368</t>
  </si>
  <si>
    <t xml:space="preserve">https://www.federalregister.gov/documents/2025/11/20/2025-20368/agency-information-collection-activities-submission-for-omb-review-comment-request</t>
  </si>
  <si>
    <t xml:space="preserve">2025-20395</t>
  </si>
  <si>
    <t xml:space="preserve">https://www.federalregister.gov/documents/2025/11/20/2025-20395/agency-information-collection-activities-submission-for-omb-review-comment-request</t>
  </si>
  <si>
    <t xml:space="preserve">2025-20486</t>
  </si>
  <si>
    <t xml:space="preserve">https://www.federalregister.gov/documents/2025/11/21/2025-20486/agency-information-collection-activities-submission-for-omb-review-comment-request</t>
  </si>
  <si>
    <t xml:space="preserve">2025-20681</t>
  </si>
  <si>
    <t xml:space="preserve">part d(6); dual eligible(4); medicare advantage(1)</t>
  </si>
  <si>
    <t xml:space="preserve">This final rule updates and revises the End-Stage Renal Disease (ESRD) Prospective Payment System for calendar year 2026. This rule also includes updates to the payment rate for renal dialysis services furnished by an ESRD facility to individuals with acute kidney injury. In addition, this rule updates the requirements for the ESRD Quality Incentive Program and terminates and modifies requirements for the ESRD Treatment Choices Model.</t>
  </si>
  <si>
    <t xml:space="preserve">https://www.federalregister.gov/documents/2025/11/24/2025-20681/medicare-program-end-stage-renal-disease-prospective-payment-system-payment-for-renal-dialysis</t>
  </si>
  <si>
    <t xml:space="preserve">2025-20705</t>
  </si>
  <si>
    <t xml:space="preserve">https://www.federalregister.gov/documents/2025/11/24/2025-20705/agency-information-collection-activities-submission-for-omb-review-comment-request</t>
  </si>
  <si>
    <t xml:space="preserve">2025-20748</t>
  </si>
  <si>
    <t xml:space="preserve">https://www.federalregister.gov/documents/2025/11/24/2025-20748/agency-information-collection-activities-submission-for-omb-review-comment-request</t>
  </si>
  <si>
    <t xml:space="preserve">2025-20787</t>
  </si>
  <si>
    <t xml:space="preserve">ma organization(1)</t>
  </si>
  <si>
    <t xml:space="preserve">https://www.federalregister.gov/documents/2025/11/24/2025-20787/agency-information-collection-activities-proposed-collection-comment-request</t>
  </si>
  <si>
    <t xml:space="preserve">2025-20907</t>
  </si>
  <si>
    <t xml:space="preserve">ma organization(27); medicare advantage(18); dual eligible(2)</t>
  </si>
  <si>
    <t xml:space="preserve">Medicare Program: Hospital Outpatient Prospective Payment and Ambulatory Surgical Center Payment Systems; Quality Reporting Programs; Overall Hospital Quality Star Rating; Hospital Price Transparency; and Notice of Closure of a Teaching Hospital and Opportunity To Apply for Available Slots</t>
  </si>
  <si>
    <t xml:space="preserve">This final rule with comment period revises the Medicare Hospital Outpatient Prospective Payment System (OPPS) and the Medicare Ambulatory Surgical Center (ASC) payment system for calendar year 2026 based on our continuing experience with these systems. We also describe the changes to the amounts and factors used to determine the payment rates for Medicare services paid under the OPPS and those paid under the ASC payment systems. In addition, this final rule with comment period announces the clo</t>
  </si>
  <si>
    <t xml:space="preserve">https://www.federalregister.gov/documents/2025/11/25/2025-20907/medicare-program-hospital-outpatient-prospective-payment-and-ambulatory-surgical-center-payment</t>
  </si>
  <si>
    <t xml:space="preserve">2025-20911</t>
  </si>
  <si>
    <t xml:space="preserve">Notice of Medicaid Information Sharing Between the Centers for Medicare &amp; Medicaid Services and the Department of Homeland Security</t>
  </si>
  <si>
    <t xml:space="preserve">This notice announces that the Department of Health and Human Services (HHS), Centers for Medicare &amp; Medicaid Services (CMS), will share certain information with the U.S. Department of Homeland Security (DHS), and its component agency, U.S. Immigration and Customs Enforcement consistent with federal laws requiring the provision of information to DHS.</t>
  </si>
  <si>
    <t xml:space="preserve">https://www.federalregister.gov/documents/2025/11/25/2025-20911/notice-of-medicaid-information-sharing-between-the-centers-for-medicare-and-medicaid-services-and</t>
  </si>
  <si>
    <t xml:space="preserve">2025-21121</t>
  </si>
  <si>
    <t xml:space="preserve">https://www.federalregister.gov/documents/2025/11/26/2025-21121/agency-information-collection-activities-proposed-collection-comment-request</t>
  </si>
  <si>
    <t xml:space="preserve">2025-21124</t>
  </si>
  <si>
    <t xml:space="preserve">https://www.federalregister.gov/documents/2025/11/26/2025-21124/medicaid-and-childrens-health-insurance-program-chip-generic-information-collection-activities</t>
  </si>
  <si>
    <t xml:space="preserve">2025-21210</t>
  </si>
  <si>
    <t xml:space="preserve">https://www.federalregister.gov/documents/2025/11/26/2025-21210/agency-information-collection-activities-submission-for-omb-review-comment-request</t>
  </si>
  <si>
    <t xml:space="preserve">2025-21394</t>
  </si>
  <si>
    <t xml:space="preserve">Privacy Act of 1974; Matching Program; Correction</t>
  </si>
  <si>
    <t xml:space="preserve">The Department of Health and Human Services (HHS), Centers for Medicare &amp; Medicaid Services (CMS) published a notice of a new (re- established) matching program in the Federal Register of November 18, 2025, describing a matching program between CMS and State-Based Administering Entities (AEs), titled "Determining Eligibility for Enrollment in Applicable State Health Subsidy Programs Under the Patient Protection and Affordable Care Act." The notice failed to include a plain-language description o</t>
  </si>
  <si>
    <t xml:space="preserve">https://www.federalregister.gov/documents/2025/11/28/2025-21394/privacy-act-of-1974-matching-program-correction</t>
  </si>
  <si>
    <t xml:space="preserve">2025-21433</t>
  </si>
  <si>
    <t xml:space="preserve">https://www.federalregister.gov/documents/2025/11/28/2025-21433/agency-information-collection-activities-submission-for-omb-review-comment-request</t>
  </si>
  <si>
    <t xml:space="preserve">2025-21435</t>
  </si>
  <si>
    <t xml:space="preserve">part d(6); dual eligible(1)</t>
  </si>
  <si>
    <t xml:space="preserve">https://www.federalregister.gov/documents/2025/11/28/2025-21435/agency-information-collection-activities-proposed-collection-comment-request</t>
  </si>
  <si>
    <t xml:space="preserve">2024-24801</t>
  </si>
  <si>
    <t xml:space="preserve">Medicare and Medicaid Programs; Patient Protection and Affordable Care Act; Advancing Interoperability and Improving Prior Authorization Processes for Medicare Advantage Organizations, Medicaid Managed Care Plans, State Medicaid Agencies, Children's Health Insurance Program (CHIP) Agencies and CHIP Managed Care Entities, Issuers of Qualified Health Plans on the Federally- Facilitated Exchanges, Merit-Based Incentive Payment System (MIPS) Eligible Clinicians, and Eligible Hospitals and Critical Access Hospitals in the Medicare Promoting Interoperability Program; Correcting Amendment</t>
  </si>
  <si>
    <t xml:space="preserve">This document corrects technical errors in the final rule that appeared in the February 8, 2024 Federal Register titled "Medicare and Medicaid Programs; Patient Protection and Affordable Care Act; Advancing Interoperability and Improving Prior Authorization Processes for Medicare Advantage Organizations, Medicaid Managed Care Plans, State Medicaid Agencies, Children's Health Insurance Program (CHIP) Agencies and CHIP Managed Care Entities, Issuers of Qualified Health Plans on the Federally-Facil</t>
  </si>
  <si>
    <t xml:space="preserve">https://www.federalregister.gov/documents/2024/10/25/2024-24801/medicare-and-medicaid-programs-patient-protection-and-affordable-care-act-advancing-interoperability</t>
  </si>
  <si>
    <t xml:space="preserve">2025-21458</t>
  </si>
  <si>
    <t xml:space="preserve">This document corrects technical errors in the final rule that appeared in the November 5, 2025 Federal Register (90 FR 49266) titled "Medicare and Medicaid Programs; CY 2026 Payment Policies Under the Physician Fee Schedule and Other Changes to Part B Payment and Coverage Policies; Medicare Shared Savings Program Requirements; and Medicare Prescription Drug Inflation Rebate Program" (hereinafter referred to as the CY 2026 PFS final rule), specifying finalized changes to the Medicare physician f</t>
  </si>
  <si>
    <t xml:space="preserve">https://www.federalregister.gov/documents/2025/11/28/2025-21458/medicare-and-medicaid-programs-cy-2026-payment-policies-under-the-physician-fee-schedule-and-other</t>
  </si>
  <si>
    <t xml:space="preserve">2025-21501</t>
  </si>
  <si>
    <t xml:space="preserve">Medicare Program; Inflation Reduction Act (IRA) Medicare Drug Price Negotiation Program Final Guidance</t>
  </si>
  <si>
    <t xml:space="preserve">The Centers for Medicare &amp; Medicaid Services (CMS) is announcing the availability of CMS' final guidance for the third cycle of the Medicare Drug Price Negotiation Program (hereafter the "Negotiation Program"), the first cycle of renegotiation, and manufacturer effectuation of the maximum fair price (MFP) in 2026, 2027, and 2028 for the implementation of the Inflation Reduction Act of 2022 (IRA) (Pub. L. 117-169). This and other IRA-related guidance can be viewed on the dedicated IRA section of </t>
  </si>
  <si>
    <t xml:space="preserve">https://www.federalregister.gov/documents/2025/11/28/2025-21501/medicare-program-inflation-reduction-act-ira-medicare-drug-price-negotiation-program-final-guidance</t>
  </si>
  <si>
    <t xml:space="preserve">2025-21622</t>
  </si>
  <si>
    <t xml:space="preserve">Medicare and Medicaid Programs; Quarterly Listing of Program Issuances-July through September 2025</t>
  </si>
  <si>
    <t xml:space="preserve">https://www.federalregister.gov/documents/2025/12/01/2025-21622/medicare-and-medicaid-programs-quarterly-listing-of-program-issuances-july-through-september-2025</t>
  </si>
  <si>
    <t xml:space="preserve">2025-21690</t>
  </si>
  <si>
    <t xml:space="preserve">https://www.federalregister.gov/documents/2025/12/01/2025-21690/agency-information-collection-activities-submission-for-omb-review-comment-request</t>
  </si>
  <si>
    <t xml:space="preserve">2025-21767</t>
  </si>
  <si>
    <t xml:space="preserve">dual eligible(7); medicare advantage(3)</t>
  </si>
  <si>
    <t xml:space="preserve">This final rule sets forth routine updates to the Medicare home health payment rates in accordance with existing statutory and regulatory requirements. In addition, this final rule finalizes permanent and temporary behavior adjustments and recalibrates the case- mix weights and update the functional impairment levels; comorbidity subgroups; and low-utilization payment adjustment (LUPA) thresholds for CY 2026. This final rule also finalizes changes to the face-to-face encounter policy and changes</t>
  </si>
  <si>
    <t xml:space="preserve">https://www.federalregister.gov/documents/2025/12/02/2025-21767/medicare-and-medicaid-programs-calendar-year-2026-home-health-prospective-payment-system-hh-pps-rate</t>
  </si>
  <si>
    <t xml:space="preserve">2025-21792</t>
  </si>
  <si>
    <t xml:space="preserve">Medicare and Medicaid Programs; Repeal of Minimum Staffing Standards for Long-Term Care Facilities</t>
  </si>
  <si>
    <t xml:space="preserve">This interim final rule with comment period repeals provisions of the final rule titled "Medicare and Medicaid Programs; Minimum Staffing Standards for Long-Term Care Facilities and Medicaid Institutional Payment Transparency Reporting." This action is taken in view of changes made by by public law, which precludes HHS from implementing, administering, or enforcing certain provisions of the final rule until September 30, 2034.</t>
  </si>
  <si>
    <t xml:space="preserve">https://www.federalregister.gov/documents/2025/12/03/2025-21792/medicare-and-medicaid-programs-repeal-of-minimum-staffing-standards-for-long-term-care-facilities</t>
  </si>
  <si>
    <t xml:space="preserve">2025-21877</t>
  </si>
  <si>
    <t xml:space="preserve">Medicare, Medicaid, and Children's Health Insurance Programs; Provider Enrollment Application Fee Amount for Calendar Year 2026</t>
  </si>
  <si>
    <t xml:space="preserve">This notice announces a $750.00 calendar year (CY) 2026 application fee for institutional providers that are initially enrolling in the Medicare or Medicaid program or the Children's Health Insurance Program (CHIP); revalidating their Medicare, Medicaid, or CHIP enrollment; or adding a new Medicare practice location. This fee is required with any enrollment application submitted on or after January 1, 2026, and on or before December 31, 2026.</t>
  </si>
  <si>
    <t xml:space="preserve">https://www.federalregister.gov/documents/2025/12/03/2025-21877/medicare-medicaid-and-childrens-health-insurance-programs-provider-enrollment-application-fee-amount</t>
  </si>
  <si>
    <t xml:space="preserve">2025-21879</t>
  </si>
  <si>
    <t xml:space="preserve">part d(8); part c(6); ma organization(3); medicare advantage(1)</t>
  </si>
  <si>
    <t xml:space="preserve">Medicare Program; Medicare Appeals; Adjustment to the Amount in Controversy Threshold Amounts for Calendar Year 2026</t>
  </si>
  <si>
    <t xml:space="preserve">This notice announces the annual adjustment in the amount in controversy (AIC) threshold amounts for Administrative Law Judge (ALJ) hearings and judicial review under the Medicare appeals process. The adjustment to the AIC threshold amounts will be effective for requests for ALJ hearings and judicial review filed on or after January 1, 2026. The calendar year 2026 AIC threshold amounts are $200 for ALJ hearings and $1,960 for judicial review.</t>
  </si>
  <si>
    <t xml:space="preserve">https://www.federalregister.gov/documents/2025/12/04/2025-21879/medicare-program-medicare-appeals-adjustment-to-the-amount-in-controversy-threshold-amounts-for</t>
  </si>
  <si>
    <t xml:space="preserve">2025-21978</t>
  </si>
  <si>
    <t xml:space="preserve">https://www.federalregister.gov/documents/2025/12/05/2025-21978/agency-information-collection-activities-proposed-collection-comment-request</t>
  </si>
  <si>
    <t xml:space="preserve">2025-22138</t>
  </si>
  <si>
    <t xml:space="preserve">https://www.federalregister.gov/documents/2025/12/08/2025-22138/agency-information-collection-activities-submission-for-omb-review-comment-request</t>
  </si>
  <si>
    <t xml:space="preserve">2025-22184</t>
  </si>
  <si>
    <t xml:space="preserve">https://www.federalregister.gov/documents/2025/12/08/2025-22184/medicaid-and-childrens-health-insurance-program-chip-generic-information-collection-activities</t>
  </si>
  <si>
    <t xml:space="preserve">2025-22187</t>
  </si>
  <si>
    <t xml:space="preserve">Medicare and Medicaid Programs; Announcement of Application From a Hospital Requesting Waiver for Organ Procurement Service Area</t>
  </si>
  <si>
    <t xml:space="preserve">This notice acknowledges the receipt of an application from a hospital that has requested a waiver of statutory requirements that would otherwise require the hospital to enter into an agreement with its designated organ procurement organization (OPO). This notice requests comments from OPOs and the general public for our consideration in determining whether we should grant the requested waiver.</t>
  </si>
  <si>
    <t xml:space="preserve">https://www.federalregister.gov/documents/2025/12/08/2025-22187/medicare-and-medicaid-programs-announcement-of-application-from-a-hospital-requesting-waiver-for</t>
  </si>
  <si>
    <t xml:space="preserve">2025-22188</t>
  </si>
  <si>
    <t xml:space="preserve">https://www.federalregister.gov/documents/2025/12/08/2025-22188/agency-information-collection-activities-proposed-collection-comment-request</t>
  </si>
  <si>
    <t xml:space="preserve">2025-22203</t>
  </si>
  <si>
    <t xml:space="preserve">Medicare and Medicaid Programs: Approval of Application by DNV Healthcare, Inc. for Initial CMS Approval of Its Ambulatory Surgical Center (ASC) Accreditation Program</t>
  </si>
  <si>
    <t xml:space="preserve">This notice acknowledges the approval of an application from DNV Healthcare, Inc. for initial CMS approval of its Ambulatory Surgical Centers as a national accrediting organization that wishes to participate in the Medicare or Medicaid programs.</t>
  </si>
  <si>
    <t xml:space="preserve">https://www.federalregister.gov/documents/2025/12/08/2025-22203/medicare-and-medicaid-programs-approval-of-application-by-dnv-healthcare-inc-for-initial-cms</t>
  </si>
  <si>
    <t xml:space="preserve">2025-22219</t>
  </si>
  <si>
    <t xml:space="preserve">Medicare and Medicaid Programs; Continued Approval of the American Association for Accreditation of Ambulatory Surgery Facilities' Rural Health Clinic Accreditation Program</t>
  </si>
  <si>
    <t xml:space="preserve">This notice acknowledges the receipt of an application from the American Association for Accreditation of Ambulatory Surgery Facilities (DBA "QUAD A") for continued recognition as a national accrediting organization (AO) for rural health clinics that wish to participate in the Medicare or Medicaid programs. The statute requires that, within 60 days of receipt of an organization's complete application, the Secretary, through the Centers for Medicare &amp; Medicaid Services (CMS), publishes a notice t</t>
  </si>
  <si>
    <t xml:space="preserve">https://www.federalregister.gov/documents/2025/12/08/2025-22219/medicare-and-medicaid-programs-continued-approval-of-the-american-association-for-accreditation-of</t>
  </si>
  <si>
    <t xml:space="preserve">2025-22426</t>
  </si>
  <si>
    <t xml:space="preserve">https://www.federalregister.gov/documents/2025/12/10/2025-22426/agency-information-collection-activities-proposed-collection-comment-request</t>
  </si>
  <si>
    <t xml:space="preserve">2025-22478</t>
  </si>
  <si>
    <t xml:space="preserve">https://www.federalregister.gov/documents/2025/12/11/2025-22478/agency-information-collection-activities-proposed-collection-comment-request</t>
  </si>
  <si>
    <t xml:space="preserve">2025-22482</t>
  </si>
  <si>
    <t xml:space="preserve">https://www.federalregister.gov/documents/2025/12/11/2025-22482/agency-information-collection-activities-submission-for-omb-review-comment-request</t>
  </si>
  <si>
    <t xml:space="preserve">2025-22543</t>
  </si>
  <si>
    <t xml:space="preserve">medicare advantage(4); part c(2); dual eligible(2); ma organization(1); part d(1)</t>
  </si>
  <si>
    <t xml:space="preserve">This proposed rule would update and revise the Increasing Organ Transplant Access (IOTA) Model for Performance Year (PY) 2.</t>
  </si>
  <si>
    <t xml:space="preserve">https://www.federalregister.gov/documents/2025/12/11/2025-22543/medicare-program-alternative-payment-model-updates-and-the-increasing-organ-transplant-access-iota</t>
  </si>
  <si>
    <t xml:space="preserve">2025-22974</t>
  </si>
  <si>
    <t xml:space="preserve">part d(5); ma organization(2); d-snp(2); medicare advantage(1); special needs plan(1); dual eligible(1)</t>
  </si>
  <si>
    <t xml:space="preserve">https://www.federalregister.gov/documents/2025/12/16/2025-22974/agency-information-collection-activities-submission-for-omb-review-comment-request</t>
  </si>
  <si>
    <t xml:space="preserve">2025-22975</t>
  </si>
  <si>
    <t xml:space="preserve">https://www.federalregister.gov/documents/2025/12/16/2025-22975/agency-information-collection-activities-proposed-collection-comment-request</t>
  </si>
  <si>
    <t xml:space="preserve">2025-23081</t>
  </si>
  <si>
    <t xml:space="preserve">Medicare Program; Inpatient Rehabilitation Facility Prospective Payment System for Federal Fiscal Year 2026 and Updates to the IRF Quality Reporting Program; Correction</t>
  </si>
  <si>
    <t xml:space="preserve">This document corrects typographical and technical errors in the final rule that appeared in the August 5, 2025, Federal Register entitled "Medicare Program; Inpatient Rehabilitation Facility Prospective Payment System for Federal Fiscal Year 2026 and Updates to the IRF Quality Reporting Program" (hereinafter referred to as the "FY 2026 IRF final rule"). The effective date was October 1, 2025.</t>
  </si>
  <si>
    <t xml:space="preserve">https://www.federalregister.gov/documents/2025/12/17/2025-23081/medicare-program-inpatient-rehabilitation-facility-prospective-payment-system-for-federal-fiscal</t>
  </si>
  <si>
    <t xml:space="preserve">2025-23116</t>
  </si>
  <si>
    <t xml:space="preserve">https://www.federalregister.gov/documents/2025/12/17/2025-23116/agency-information-collection-activities-submission-for-omb-review-comment-request</t>
  </si>
  <si>
    <t xml:space="preserve">2025-23434</t>
  </si>
  <si>
    <t xml:space="preserve">Announcement of the Approval of COLA as an Accreditation Organization for the Specialties of Clinical Cytogenetics and Radiobioassay Under the Clinical Laboratory Improvement Amendments of 1988</t>
  </si>
  <si>
    <t xml:space="preserve">This notice announces the application of the Commission on Laboratory Accreditation (COLA) for approval as an accreditation organization for clinical laboratories under the Clinical Laboratory Improvement Amendments of 1988 (CLIA) program for the specialties of Clinical Cytogenetics and Radiobioassay. We have determined that COLA meets or exceeds the applicable CLIA requirements. Consequently, we are granting COLA deeming authority for the specialties of Clinical Cytogenetics and Radiobioassay f</t>
  </si>
  <si>
    <t xml:space="preserve">https://www.federalregister.gov/documents/2025/12/19/2025-23434/announcement-of-the-approval-of-cola-as-an-accreditation-organization-for-the-specialties-of</t>
  </si>
  <si>
    <t xml:space="preserve">2025-23464</t>
  </si>
  <si>
    <t xml:space="preserve">Medicaid Program; Prohibition on Federal Medicaid and Children's Health Insurance Program Funding for Sex-Rejecting Procedures Furnished to Children</t>
  </si>
  <si>
    <t xml:space="preserve">This proposed rule would require that a State Medicaid plan must provide that the Medicaid agency will not make payment under the plan for sex-rejecting procedures for children under 18 and prohibit the use of Federal Medicaid dollars to fund sex-rejecting procedures for individuals under the age of 18. In addition, it would require that a separate State Children's Health Insurance Program (CHIP) plan must provide that the CHIP agency will not make payment under the plan for sex-rejecting proced</t>
  </si>
  <si>
    <t xml:space="preserve">https://www.federalregister.gov/documents/2025/12/19/2025-23464/medicaid-program-prohibition-on-federal-medicaid-and-childrens-health-insurance-program-funding-for</t>
  </si>
  <si>
    <t xml:space="preserve">2025-23465</t>
  </si>
  <si>
    <t xml:space="preserve">Medicare and Medicaid Programs; Hospital Condition of Participation: Prohibiting Sex-Rejecting Procedures for Children</t>
  </si>
  <si>
    <t xml:space="preserve">This proposed rule would revise the requirements that Medicare and Medicaid certified hospitals must meet to participate in the Medicare and Medicaid programs. These changes are necessary to protect the health and safety of children and reflect HHS' review of recent information on the safety and efficacy of sex-rejecting procedures (SRPs) on children. The revisions to the requirements would prohibit hospitals from performing sex-rejecting procedures on children.</t>
  </si>
  <si>
    <t xml:space="preserve">https://www.federalregister.gov/documents/2025/12/19/2025-23465/medicare-and-medicaid-programs-hospital-condition-of-participation-prohibiting-sex-rejecting</t>
  </si>
  <si>
    <t xml:space="preserve">2025-23506</t>
  </si>
  <si>
    <t xml:space="preserve">https://www.federalregister.gov/documents/2025/12/22/2025-23506/agency-information-collection-activities-submission-for-omb-review-comment-request</t>
  </si>
  <si>
    <t xml:space="preserve">2025-23507</t>
  </si>
  <si>
    <t xml:space="preserve">https://www.federalregister.gov/documents/2025/12/22/2025-23507/agency-information-collection-activities-proposed-collection-comment-request</t>
  </si>
  <si>
    <t xml:space="preserve">2025-23582</t>
  </si>
  <si>
    <t xml:space="preserve">medicare advantage(3); part d(3); part c(2)</t>
  </si>
  <si>
    <t xml:space="preserve">https://www.federalregister.gov/documents/2025/12/22/2025-23582/agency-information-collection-activities-proposed-collection-comment-request</t>
  </si>
  <si>
    <t xml:space="preserve">2025-23588</t>
  </si>
  <si>
    <t xml:space="preserve">Statement of Organization, Functions, and Delegations of Authority</t>
  </si>
  <si>
    <t xml:space="preserve">The Centers for Medicare &amp; Medicaid Services (CMS), Center for Medicaid and CHIP Services, Office of Rural Health Transformation, has been established.</t>
  </si>
  <si>
    <t xml:space="preserve">https://www.federalregister.gov/documents/2025/12/22/2025-23588/statement-of-organization-functions-and-delegations-of-authority</t>
  </si>
  <si>
    <t xml:space="preserve">2025-08566</t>
  </si>
  <si>
    <t xml:space="preserve">Medicaid Program; Preserving Medicaid Funding for Vulnerable Populations-Closing a Health Care-Related Tax Loophole Proposed Rule</t>
  </si>
  <si>
    <t xml:space="preserve">This proposed rule is intended to address a loophole in a regulatory statistical test applied to State proposals for Medicaid tax waivers. The test is designed to ensure, as required by statute, that non-uniform or non-broad -based health care-related taxes, authorized under a waiver, are generally redistributive. The inadvertent loophole currently allows some health care-related taxes, especially taxes on managed care organizations, to be imposed at higher tax rates on Medicaid taxable units th</t>
  </si>
  <si>
    <t xml:space="preserve">https://www.federalregister.gov/documents/2025/05/15/2025-08566/medicaid-program-preserving-medicaid-funding-for-vulnerable-populations-closing-a-health</t>
  </si>
  <si>
    <t xml:space="preserve">2025-08701</t>
  </si>
  <si>
    <t xml:space="preserve">Request for Information; Health Technology Ecosystem</t>
  </si>
  <si>
    <t xml:space="preserve">Effective and responsible adoption of technology can empower patients to make better decisions for their health and well-being. This request for information (RFI) seeks input from the public regarding the market of digital health products for Medicare beneficiaries as well as the state of data interoperability and broader health technology infrastructure. Responses to this RFI may be used to inform CMS and ASTP/ONC efforts to lead infrastructure progress to cultivate this market, increasing bene</t>
  </si>
  <si>
    <t xml:space="preserve">https://www.federalregister.gov/documents/2025/05/16/2025-08701/request-for-information-health-technology-ecosystem</t>
  </si>
  <si>
    <t xml:space="preserve">2025-23923</t>
  </si>
  <si>
    <t xml:space="preserve">https://www.federalregister.gov/documents/2025/12/30/2025-23923/agency-information-collection-activities-submission-for-omb-review-comment-request</t>
  </si>
  <si>
    <t xml:space="preserve">2025-23924</t>
  </si>
  <si>
    <t xml:space="preserve">The Centers for Medicare &amp; Medicaid Services (CMS) is announcing an opportunity for the public to comment on CMS' intention to collect information from the public. Under the Paperwork Reduction Act of 1995 (PRA) federal agencies are also required to publish notice in the Federal Register concerning each proposed collection of information before the agency's request is submitted to OMB for approval.</t>
  </si>
  <si>
    <t xml:space="preserve">https://www.federalregister.gov/documents/2025/12/30/2025-23924/agency-information-collection-activities-submission-for-omb-review-comment-request</t>
  </si>
  <si>
    <t xml:space="preserve">2026-00487</t>
  </si>
  <si>
    <t xml:space="preserve">Medicare Program; Updates to the Master List of Items Potentially Subject to Face to Face Encounter and Written Order Prior to Delivery and/or Prior Authorization Requirements; Updates to the Required Face-to-Face Encounter and Written Order Prior to Delivery List; and Updates to the Required Prior Authorization List</t>
  </si>
  <si>
    <t xml:space="preserve">https://www.federalregister.gov/documents/2026/01/13/2026-00487/medicare-program-updates-to-the-master-list-of-items-potentially-subject-to-face-to-face-encounter</t>
  </si>
  <si>
    <t xml:space="preserve">2026-00512</t>
  </si>
  <si>
    <t xml:space="preserve">Notice of Opportunity for Hearing on Compliance of Minnesota State Plan Provisions Concerning Program Integrity and Fraud, Waste, and Abuse With Title XIX (Medicaid) of the Social Security Act</t>
  </si>
  <si>
    <t xml:space="preserve">https://www.federalregister.gov/documents/2026/01/14/2026-00512/notice-of-opportunity-for-hearing-on-compliance-of-minnesota-state-plan-provisions-concerning</t>
  </si>
  <si>
    <t xml:space="preserve">2026-00888</t>
  </si>
  <si>
    <t xml:space="preserve">https://www.federalregister.gov/documents/2026/01/20/2026-00888/agency-information-collection-activities-proposed-collection-comment-request</t>
  </si>
  <si>
    <t xml:space="preserve">2026-00896</t>
  </si>
  <si>
    <t xml:space="preserve">https://www.federalregister.gov/documents/2026/01/20/2026-00896/agency-information-collection-activities-submission-for-omb-review-comment-request</t>
  </si>
  <si>
    <t xml:space="preserve">2026-01005</t>
  </si>
  <si>
    <t xml:space="preserve">https://www.federalregister.gov/documents/2026/01/21/2026-01005/agency-information-collection-activities-submission-for-omb-review-comment-request</t>
  </si>
  <si>
    <t xml:space="preserve">2026-01008</t>
  </si>
  <si>
    <t xml:space="preserve">https://www.federalregister.gov/documents/2026/01/21/2026-01008/agency-information-collection-activities-submission-for-omb-review-comment-request</t>
  </si>
  <si>
    <t xml:space="preserve">2026-01196</t>
  </si>
  <si>
    <t xml:space="preserve">https://www.federalregister.gov/documents/2026/01/22/2026-01196/agency-information-collection-activities-proposed-collection-comment-request</t>
  </si>
  <si>
    <t xml:space="preserve">2026-01310</t>
  </si>
  <si>
    <t xml:space="preserve">https://www.federalregister.gov/documents/2026/01/23/2026-01310/agency-information-collection-activities-proposed-collection-comment-request</t>
  </si>
  <si>
    <t xml:space="preserve">2026-01562</t>
  </si>
  <si>
    <t xml:space="preserve">https://www.federalregister.gov/documents/2026/01/27/2026-01562/agency-information-collection-activities-proposed-collection-comment-request</t>
  </si>
  <si>
    <t xml:space="preserve">2026-01730</t>
  </si>
  <si>
    <t xml:space="preserve">Medicare Program; Ensuring Safety Through Domestic Security With Made in America Personal Protective Equipment (PPE) and Essential Medicine Procurement by Medicare Participating Hospitals</t>
  </si>
  <si>
    <t xml:space="preserve">This advance notice of proposed rulemaking solicits public comment on potential options we may consider for Medicare participating hospitals to help foster a more resilient supply chain for American- made personal protective equipment and essential medicines to secure our nation's health and safety and to reflect the additional resource costs incurred when procuring these domestically manufactured items. We seek input on a possible new "Secure American Medical Supplies" friendly designation that</t>
  </si>
  <si>
    <t xml:space="preserve">https://www.federalregister.gov/documents/2026/01/29/2026-01730/medicare-program-ensuring-safety-through-domestic-security-with-made-in-america-personal-protective</t>
  </si>
  <si>
    <t xml:space="preserve">2026-01780</t>
  </si>
  <si>
    <t xml:space="preserve">https://www.federalregister.gov/documents/2026/01/29/2026-01780/agency-information-collection-activities-submission-for-omb-review-comment-request</t>
  </si>
  <si>
    <t xml:space="preserve">2026-01833</t>
  </si>
  <si>
    <t xml:space="preserve">Medicare and Medicaid Programs; Organ Procurement Organizations Conditions for Coverage: Revisions to the Conditions for Coverage</t>
  </si>
  <si>
    <t xml:space="preserve">This proposed rule would revise the Conditions for Coverage for Organ Procurement Organizations (OPOs) to clarify outstanding procedural questions and enable OPOs to make better informed decisions to achieve high performance resulting in the successful procurement, distribution, and transplantation of more life-saving organs. This rule would revise definitions, add new Quality Assessment Performance Improvement (QAPI) requirements related to medically complex organs and donors, revise the design</t>
  </si>
  <si>
    <t xml:space="preserve">https://www.federalregister.gov/documents/2026/01/30/2026-01833/medicare-and-medicaid-programs-organ-procurement-organizations-conditions-for-coverage-revisions-to</t>
  </si>
  <si>
    <t xml:space="preserve">2025-09695</t>
  </si>
  <si>
    <t xml:space="preserve">Medicare and Medicaid Programs; Contract Year 2026 Policy and Technical Changes to the Medicare Advantage Program, Medicare Prescription Drug Benefit Program, Medicare Cost Plan Program, and Programs of All-Inclusive Care for the Elderly; Correction</t>
  </si>
  <si>
    <t xml:space="preserve">This document corrects technical errors in the final rule that appeared in the April 15, 2025 Federal Register, titled "Medicare and Medicaid Programs; Contract Year 2026 Policy and Technical Changes to the Medicare Advantage Program, Medicare Prescription Drug Benefit Program, Medicare Cost Plan Program, and Programs of All-Inclusive Care for the Elderly."</t>
  </si>
  <si>
    <t xml:space="preserve">https://www.federalregister.gov/documents/2025/05/29/2025-09695/medicare-and-medicaid-programs-contract-year-2026-policy-and-technical-changes-to-the-medicare</t>
  </si>
  <si>
    <t xml:space="preserve">2026-02187</t>
  </si>
  <si>
    <t xml:space="preserve">https://www.federalregister.gov/documents/2026/02/03/2026-02187/medicaid-and-childrens-health-insurance-program-chip-generic-information-collection-activities</t>
  </si>
  <si>
    <t xml:space="preserve">2026-02190</t>
  </si>
  <si>
    <t xml:space="preserve">https://www.federalregister.gov/documents/2026/02/03/2026-02190/agency-information-collection-activities-submission-for-omb-review-comment-request</t>
  </si>
  <si>
    <t xml:space="preserve">2026-02191</t>
  </si>
  <si>
    <t xml:space="preserve">https://www.federalregister.gov/documents/2026/02/03/2026-02191/agency-information-collection-activities-proposed-collection-comment-request</t>
  </si>
  <si>
    <t xml:space="preserve">2026-02215</t>
  </si>
  <si>
    <t xml:space="preserve">https://www.federalregister.gov/documents/2026/02/04/2026-02215/agency-information-collection-activities-proposed-collection-comment-request</t>
  </si>
  <si>
    <t xml:space="preserve">2026-02371</t>
  </si>
  <si>
    <t xml:space="preserve">https://www.federalregister.gov/documents/2026/02/06/2026-02371/agency-information-collection-activities-submission-for-omb-review-comment-request</t>
  </si>
  <si>
    <t xml:space="preserve">2026-02430</t>
  </si>
  <si>
    <t xml:space="preserve">https://www.federalregister.gov/documents/2026/02/06/2026-02430/agency-information-collection-activities-proposed-collection-comment-request</t>
  </si>
  <si>
    <t xml:space="preserve">2026-02472</t>
  </si>
  <si>
    <t xml:space="preserve">In accordance with subsection (e)(12) of the Privacy Act of 1974, as amended, the Department of Health and Human Services (HHS), Centers for Medicare &amp; Medicaid Services (CMS) is providing notice of the re-establishment of a matching program between CMS and the Social Security Administration (SSA). Under this matching program, SSA will provide CMS with information for determining individuals' eligibility for enrollment in a Qualified Health Plan, issuing certificates of exemption, and eligibilit</t>
  </si>
  <si>
    <t xml:space="preserve">https://www.federalregister.gov/documents/2026/02/09/2026-02472/privacy-act-of-1974-matching-program</t>
  </si>
  <si>
    <t xml:space="preserve">2026-02603</t>
  </si>
  <si>
    <t xml:space="preserve">part d(4); medicare advantage(2); ma organization(1)</t>
  </si>
  <si>
    <t xml:space="preserve">https://www.federalregister.gov/documents/2026/02/10/2026-02603/agency-information-collection-activities-proposed-collection-comment-request</t>
  </si>
  <si>
    <t xml:space="preserve">2025-12195</t>
  </si>
  <si>
    <t xml:space="preserve">Medicare Program; Implementation of Prior Authorization for Select Services for the Wasteful and Inappropriate Services Reduction (WISeR) Model</t>
  </si>
  <si>
    <t xml:space="preserve">This notice announces a 6-year model focused on reducing fraud, waste (including low-value care), and abuse in Medicare fee-for- service (FFS) via the implementation of technology-enabled prior authorization processes for select services.</t>
  </si>
  <si>
    <t xml:space="preserve">https://www.federalregister.gov/documents/2025/07/01/2025-12195/medicare-program-implementation-of-prior-authorization-for-select-services-for-the-wasteful-and</t>
  </si>
  <si>
    <t xml:space="preserve">2026-02871</t>
  </si>
  <si>
    <t xml:space="preserve">https://www.federalregister.gov/documents/2026/02/13/2026-02871/agency-information-collection-activities-submission-for-omb-review-comment-request</t>
  </si>
  <si>
    <t xml:space="preserve">2026-02874</t>
  </si>
  <si>
    <t xml:space="preserve">https://www.federalregister.gov/documents/2026/02/13/2026-02874/agency-information-collection-activities-submission-for-omb-review-comment-request</t>
  </si>
  <si>
    <t xml:space="preserve">2026-02966</t>
  </si>
  <si>
    <t xml:space="preserve">https://www.federalregister.gov/documents/2026/02/13/2026-02966/agency-information-collection-activities-submission-for-omb-review-comment-request</t>
  </si>
  <si>
    <t xml:space="preserve">2026-02967</t>
  </si>
  <si>
    <t xml:space="preserve">part d(9); medicare advantage(1); ma organization(1); dual eligible(1)</t>
  </si>
  <si>
    <t xml:space="preserve">https://www.federalregister.gov/documents/2026/02/13/2026-02967/agency-information-collection-activities-submission-for-omb-review-comment-request</t>
  </si>
  <si>
    <t xml:space="preserve">2026-03110</t>
  </si>
  <si>
    <t xml:space="preserve">Medicare and Medicaid Programs; Announcement of Application From a Hospital Requesting Waiver for Organ Procurement Service Area (High Point Regional Health)</t>
  </si>
  <si>
    <t xml:space="preserve">https://www.federalregister.gov/documents/2026/02/18/2026-03110/medicare-and-medicaid-programs-announcement-of-application-from-a-hospital-requesting-waiver-for</t>
  </si>
  <si>
    <t xml:space="preserve">2026-03111</t>
  </si>
  <si>
    <t xml:space="preserve">Medicare and Medicaid Programs; Announcement of Application From a Hospital Requesting Waiver for Organ Procurement Service Area (WRMC Hospital Operating Corporation)</t>
  </si>
  <si>
    <t xml:space="preserve">https://www.federalregister.gov/documents/2026/02/18/2026-03111/medicare-and-medicaid-programs-announcement-of-application-from-a-hospital-requesting-waiver-for</t>
  </si>
  <si>
    <t xml:space="preserve">2026-03118</t>
  </si>
  <si>
    <t xml:space="preserve">https://www.federalregister.gov/documents/2026/02/18/2026-03118/agency-information-collection-activities-submission-for-omb-review-comment-request</t>
  </si>
  <si>
    <t xml:space="preserve">2026-03119</t>
  </si>
  <si>
    <t xml:space="preserve">Medicare and Medicaid Programs; Announcement of Application From a Hospital Requesting Waiver for Organ Procurement Service Area (Alleghany County Memorial Hospital, Inc.)</t>
  </si>
  <si>
    <t xml:space="preserve">https://www.federalregister.gov/documents/2026/02/18/2026-03119/medicare-and-medicaid-programs-announcement-of-application-from-a-hospital-requesting-waiver-for</t>
  </si>
  <si>
    <t xml:space="preserve">2026-03277</t>
  </si>
  <si>
    <t xml:space="preserve">Medicare and Medicaid Programs; Announcement of Application From a Hospital Requesting Waiver for Organ Procurement Service Area (Lexington Medical Center)</t>
  </si>
  <si>
    <t xml:space="preserve">https://www.federalregister.gov/documents/2026/02/19/2026-03277/medicare-and-medicaid-programs-announcement-of-application-from-a-hospital-requesting-waiver-for</t>
  </si>
  <si>
    <t xml:space="preserve">2026-03278</t>
  </si>
  <si>
    <t xml:space="preserve">Medicare and Medicaid Programs; Announcement of Application From a Hospital Requesting Waiver for Organ Procurement Service Area (Hugh Chatham Memorial Hospital, Inc.)</t>
  </si>
  <si>
    <t xml:space="preserve">https://www.federalregister.gov/documents/2026/02/19/2026-03278/medicare-and-medicaid-programs-announcement-of-application-from-a-hospital-requesting-waiver-for</t>
  </si>
  <si>
    <t xml:space="preserve">2026-03437</t>
  </si>
  <si>
    <t xml:space="preserve">Medicare and Medicaid Programs; Quarterly Listing of Program Issuances-October Through December 2025</t>
  </si>
  <si>
    <t xml:space="preserve">https://www.federalregister.gov/documents/2026/02/23/2026-03437/medicare-and-medicaid-programs-quarterly-listing-of-program-issuances-october-through-december-2025</t>
  </si>
  <si>
    <t xml:space="preserve">2026-03542</t>
  </si>
  <si>
    <t xml:space="preserve">ma organization(4); medicare advantage(1); dual eligible(1)</t>
  </si>
  <si>
    <t xml:space="preserve">https://www.federalregister.gov/documents/2026/02/23/2026-03542/agency-information-collection-activities-submission-for-omb-review-comment-request</t>
  </si>
  <si>
    <t xml:space="preserve">2026-03578</t>
  </si>
  <si>
    <t xml:space="preserve">Medicare Program; Hospital Outpatient Prospective Payment and Ambulatory Surgical Center Payment Systems; Quality Reporting Programs; Overall Hospital Quality Star Rating; Hospital Price Transparency; and Notice of Closure of a Teaching Hospital and Opportunity To Apply for Available Slots; Correction</t>
  </si>
  <si>
    <t xml:space="preserve">This document corrects technical errors in the final rule with comment period that appeared in the November 25, 2025 issue of the Federal Register titled "Medicare Program: Hospital Outpatient Prospective Payment and Ambulatory Surgical Center Payment Systems; Quality Reporting Programs; Overall Hospital Quality Star Rating; Hospital Price Transparency; and Notice of Closure of a Teaching Hospital and Opportunity To Apply for Available Slots" (hereinafter referred to as the "CY 2026 OPPS/ASC fin</t>
  </si>
  <si>
    <t xml:space="preserve">https://www.federalregister.gov/documents/2026/02/23/2026-03578/medicare-program-hospital-outpatient-prospective-payment-and-ambulatory-surgical-center-payment</t>
  </si>
  <si>
    <t xml:space="preserve">2026-03779</t>
  </si>
  <si>
    <t xml:space="preserve">Managed Care</t>
  </si>
  <si>
    <t xml:space="preserve">https://www.federalregister.gov/documents/2026/02/25/2026-03779/managed-care</t>
  </si>
  <si>
    <t xml:space="preserve">2026-03810</t>
  </si>
  <si>
    <t xml:space="preserve">medicare advantage(2); ma organization(1); part d(1)</t>
  </si>
  <si>
    <t xml:space="preserve">https://www.federalregister.gov/documents/2026/02/26/2026-03810/agency-information-collection-activities-submission-for-omb-review-comment-request</t>
  </si>
  <si>
    <t xml:space="preserve">2025-23702</t>
  </si>
  <si>
    <t xml:space="preserve">part d(8); medicare advantage(5); ma organization(1); dual eligible(1); medigap(1)</t>
  </si>
  <si>
    <t xml:space="preserve">Global Benchmark for Efficient Drug Pricing (GLOBE) Model</t>
  </si>
  <si>
    <t xml:space="preserve">This proposed rule proposes to implement the Global Benchmark for Efficient Drug Pricing Model ("GLOBE Model"), a new Medicare payment model under section 1115A of the Social Security Act (the Act). The GLOBE Model would test whether a payment model that uses an alternative method for calculating Part B inflation rebate amounts for certain separately payable Part B drugs and biologicals products reduces costs for Medicare fee-for-service (FFS) beneficiaries and the Medicare program while preserv</t>
  </si>
  <si>
    <t xml:space="preserve">https://www.federalregister.gov/documents/2025/12/23/2025-23702/global-benchmark-for-efficient-drug-pricing-globe-model</t>
  </si>
  <si>
    <t xml:space="preserve">2026-03971</t>
  </si>
  <si>
    <t xml:space="preserve">Medicare, Medicaid, and Children's Health Insurance Programs: Announcement of Nationwide Temporary Moratoria on Enrollment of Durable Medical Equipment, Prosthetics, Orthotics, and Supplies (DMEPOS) Supplier Medical Supply Companies</t>
  </si>
  <si>
    <t xml:space="preserve">This notice announces the imposition of a 6-month nationwide moratorium on the Medicare enrollment of DMEPOS supplier medical supply companies.</t>
  </si>
  <si>
    <t xml:space="preserve">https://www.federalregister.gov/documents/2026/02/27/2026-03971/medicare-medicaid-and-childrens-health-insurance-programs-announcement-of-nationwide-temporary</t>
  </si>
  <si>
    <t xml:space="preserve">2026-04004</t>
  </si>
  <si>
    <t xml:space="preserve">https://www.federalregister.gov/documents/2026/03/02/2026-04004/agency-information-collection-activities-submission-for-omb-review-comment-request</t>
  </si>
  <si>
    <t xml:space="preserve">2026-04133</t>
  </si>
  <si>
    <t xml:space="preserve">https://www.federalregister.gov/documents/2026/03/02/2026-04133/agency-information-collection-activities-submission-for-omb-review-comment-request</t>
  </si>
  <si>
    <t xml:space="preserve">2026-04467</t>
  </si>
  <si>
    <t xml:space="preserve">Patient Protection and Affordable Care Act, HHS Notice of Benefit and Payment Parameters for 2027; and Basic Health Program; Correction</t>
  </si>
  <si>
    <t xml:space="preserve">This document corrects technical errors in the proposed rule that appeared in the February 11, 2026, Federal Register titled "Patient Protection and Affordable Care Act, HHS Notice of Benefit and Payment Parameters for 2027; and Basic Health Program."</t>
  </si>
  <si>
    <t xml:space="preserve">https://www.federalregister.gov/documents/2026/03/06/2026-04467/patient-protection-and-affordable-care-act-hhs-notice-of-benefit-and-payment-parameters-for-2027-and</t>
  </si>
  <si>
    <t xml:space="preserve">2026-04518</t>
  </si>
  <si>
    <t xml:space="preserve">https://www.federalregister.gov/documents/2026/03/09/2026-04518/agency-information-collection-activities-submission-for-omb-review-comment-request</t>
  </si>
  <si>
    <t xml:space="preserve">2026-04544</t>
  </si>
  <si>
    <t xml:space="preserve">Medicare and Medicaid Programs; Announcement of Applications From 12 Hospitals Requesting Waivers for Organ Procurement Service Area</t>
  </si>
  <si>
    <t xml:space="preserve">This notice acknowledges the receipt of applications from 12 hospitals that have requested a waiver of statutory requirements that would otherwise require the hospitals to enter into an agreement with their designated organ procurement organization (OPO). This notice requests comments from OPOs and the general public for our consideration in determining whether we should grant the requested waivers.</t>
  </si>
  <si>
    <t xml:space="preserve">https://www.federalregister.gov/documents/2026/03/09/2026-04544/medicare-and-medicaid-programs-announcement-of-applications-from-12-hospitals-requesting-waivers-for</t>
  </si>
  <si>
    <t xml:space="preserve">2026-04593</t>
  </si>
  <si>
    <t xml:space="preserve">medicare advantage(4); part c(1); part d(1)</t>
  </si>
  <si>
    <t xml:space="preserve">Medicare Program; Request for Renewal of Deeming Authority of the National Committee for Quality Assurance (NCQA) for Medicare Advantage Health Maintenance Organizations and Preferred Provider Organizations</t>
  </si>
  <si>
    <t xml:space="preserve">This notice announces that the Centers for Medicare &amp; Medicaid Services is considering granting approval of the National Committee for Quality Assurance's renewal application for Medicare Advantage "deeming authority" of Health Maintenance Organizations and Preferred Provider Organizations to continue participation in the Medicare program.</t>
  </si>
  <si>
    <t xml:space="preserve">https://www.federalregister.gov/documents/2026/03/10/2026-04593/medicare-program-request-for-renewal-of-deeming-authority-of-the-national-committee-for-quality</t>
  </si>
  <si>
    <t xml:space="preserve">2026-04595</t>
  </si>
  <si>
    <t xml:space="preserve">Medicare and Medicaid Programs: Application From the American Association for Accreditation of Ambulatory Surgery Facilities for Continued CMS-Approval of its Rural Health Clinic (RHC) Accreditation Program</t>
  </si>
  <si>
    <t xml:space="preserve">This notice announces our decision to approve the American Association for Accreditation of Ambulatory Surgery Facilities, DBA QUAD A, for continued recognition as a national accrediting organization for rural health clinics that wish to participate in the Medicare or Medicaid programs.</t>
  </si>
  <si>
    <t xml:space="preserve">https://www.federalregister.gov/documents/2026/03/10/2026-04595/medicare-and-medicaid-programs-application-from-the-american-association-for-accreditation-of</t>
  </si>
  <si>
    <t xml:space="preserve">2026-04605</t>
  </si>
  <si>
    <t xml:space="preserve">part d(3); part c(2)</t>
  </si>
  <si>
    <t xml:space="preserve">https://www.federalregister.gov/documents/2026/03/10/2026-04605/agency-information-collection-activities-proposed-collection-comment-request</t>
  </si>
  <si>
    <t xml:space="preserve">2026-04745</t>
  </si>
  <si>
    <t xml:space="preserve">https://www.federalregister.gov/documents/2026/03/11/2026-04745/agency-information-collection-activities-proposed-collection-comment-request</t>
  </si>
  <si>
    <t xml:space="preserve">2026-04797</t>
  </si>
  <si>
    <t xml:space="preserve">part d(1); dual eligible(1)</t>
  </si>
  <si>
    <t xml:space="preserve">This document corrects typographical and technical errors in the final rule that appeared in the November 5, 2025 Federal Register titled "Medicare and Medicaid Programs; CY 2026 Payment Policies Under the Physician Fee Schedule and Other Changes to Part B Payment and Coverage Policies; Medicare Shared Savings Program Requirements; and Medicare Prescription Drug Inflation Rebate Program" (hereinafter referred to as the CY 2026 PFS final rule), specifying finalized changes to the Medicare physici</t>
  </si>
  <si>
    <t xml:space="preserve">https://www.federalregister.gov/documents/2026/03/12/2026-04797/medicare-and-medicaid-programs-cy-2026-payment-policies-under-the-physician-fee-schedule-and-other</t>
  </si>
  <si>
    <t xml:space="preserve">2026-05199</t>
  </si>
  <si>
    <t xml:space="preserve">https://www.federalregister.gov/documents/2026/03/17/2026-05199/agency-information-collection-activities-proposed-collection-comment-request</t>
  </si>
  <si>
    <t xml:space="preserve">2026-05203</t>
  </si>
  <si>
    <t xml:space="preserve">https://www.federalregister.gov/documents/2026/03/17/2026-05203/agency-information-collection-activities-submission-for-omb-review-comment-request</t>
  </si>
  <si>
    <t xml:space="preserve">2026-05217</t>
  </si>
  <si>
    <t xml:space="preserve">ma organization(2); part d(1)</t>
  </si>
  <si>
    <t xml:space="preserve">https://www.federalregister.gov/documents/2026/03/18/2026-05217/agency-information-collection-activities-proposed-collection-comment-request</t>
  </si>
  <si>
    <t xml:space="preserve">2026-05218</t>
  </si>
  <si>
    <t xml:space="preserve">https://www.federalregister.gov/documents/2026/03/18/2026-05218/agency-information-collection-activities-submission-for-omb-review-comment-request</t>
  </si>
  <si>
    <t xml:space="preserve">2026-05743</t>
  </si>
  <si>
    <t xml:space="preserve">https://www.federalregister.gov/documents/2026/03/25/2026-05743/agency-information-collection-activities-submission-for-omb-review-comment-request</t>
  </si>
  <si>
    <t xml:space="preserve">2026-05915</t>
  </si>
  <si>
    <t xml:space="preserve">https://www.federalregister.gov/documents/2026/03/26/2026-05915/agency-information-collection-activities-submission-for-omb-review-comment-request</t>
  </si>
  <si>
    <t xml:space="preserve">2026-06018</t>
  </si>
  <si>
    <t xml:space="preserve">https://www.federalregister.gov/documents/2026/03/27/2026-06018/agency-information-collection-activities-proposed-collection-comment-request</t>
  </si>
  <si>
    <t xml:space="preserve">2026-06170</t>
  </si>
  <si>
    <t xml:space="preserve">https://www.federalregister.gov/documents/2026/03/31/2026-06170/agency-information-collection-activities-proposed-collection-comment-request</t>
  </si>
  <si>
    <t xml:space="preserve">2026-06499</t>
  </si>
  <si>
    <t xml:space="preserve">Medicare and Medicaid Programs: Application From the Accreditation Commission for Health Care Inc. (ACHC) for Continued Approval of Its Critical Access Hospital Accreditation Program</t>
  </si>
  <si>
    <t xml:space="preserve">This notice announces our decision to approve the Accreditation Commission for Health Care Inc. (ACHC) for continued recognition as a national accrediting organization for critical access hospitals that wish to participate in the Medicare or Medicaid programs.</t>
  </si>
  <si>
    <t xml:space="preserve">https://www.federalregister.gov/documents/2026/04/03/2026-06499/medicare-and-medicaid-programs-application-from-the-accreditation-commission-for-health-care-inc</t>
  </si>
  <si>
    <t xml:space="preserve">2026-06500</t>
  </si>
  <si>
    <t xml:space="preserve">Medicare and Medicaid Programs; Approval of Application by the Accreditation Commission for Health Care Inc. (ACHC) for Continued CMS-Approval of its Hospice Accreditation Program</t>
  </si>
  <si>
    <t xml:space="preserve">This notice acknowledges the approval of an application from the Accreditation Commission for Health Care Inc., for continued CMS approval as a national accrediting organization for hospice programs that wish to participate in the Medicare or Medicaid programs.</t>
  </si>
  <si>
    <t xml:space="preserve">https://www.federalregister.gov/documents/2026/04/03/2026-06500/medicare-and-medicaid-programs-approval-of-application-by-the-accreditation-commission-for-health</t>
  </si>
  <si>
    <t xml:space="preserve">2026-06508</t>
  </si>
  <si>
    <t xml:space="preserve">Medicare and Medicaid Programs; Application From Joint Commission (JC) for Continued CMS-Approval of Its Home Health Agency (HHA) Accreditation Program</t>
  </si>
  <si>
    <t xml:space="preserve">This proposed notice acknowledges the receipt of an application from Joint Commission for continued recognition as a national accrediting organization for home health agencies that wish to participate in the Medicare or Medicaid programs. It also provides the public with the opportunity to submit comments on the applicant's request.</t>
  </si>
  <si>
    <t xml:space="preserve">https://www.federalregister.gov/documents/2026/04/03/2026-06508/medicare-and-medicaid-programs-application-from-joint-commission-jc-for-continued-cms-approval-of</t>
  </si>
  <si>
    <t xml:space="preserve">2026-06570</t>
  </si>
  <si>
    <t xml:space="preserve">https://www.federalregister.gov/documents/2026/04/06/2026-06570/agency-information-collection-activities-submission-for-omb-review-comment-request</t>
  </si>
  <si>
    <t xml:space="preserve">2026-06573</t>
  </si>
  <si>
    <t xml:space="preserve">https://www.federalregister.gov/documents/2026/04/06/2026-06573/agency-information-collection-activities-proposed-collection-comment-request</t>
  </si>
  <si>
    <t xml:space="preserve">2025-23705</t>
  </si>
  <si>
    <t xml:space="preserve">part d(638); medicare advantage(6); part c(1)</t>
  </si>
  <si>
    <t xml:space="preserve">Guarding U.S. Medicare Against Rising Drug Costs (GUARD) Model</t>
  </si>
  <si>
    <t xml:space="preserve">This proposed rule would implement the Guarding U.S. Medicare Against Rising Drug Costs (GUARD) Model to test a new Medicare payment model under section 1115A of the Social Security Act. The model proposes a test of an alternative payment method for calculating inflation rebates for certain Part D drugs and biological products. The proposed GUARD Model would test whether changing the calculation of the Part D inflation rebate would reduce costs for the Medicare program while preserving or enhanc</t>
  </si>
  <si>
    <t xml:space="preserve">https://www.federalregister.gov/documents/2025/12/23/2025-23705/guarding-us-medicare-against-rising-drug-costs-guard-model</t>
  </si>
  <si>
    <t xml:space="preserve">marginal (strong kw=6)</t>
  </si>
  <si>
    <t xml:space="preserve">2026-06604</t>
  </si>
  <si>
    <t xml:space="preserve">part d(28)</t>
  </si>
  <si>
    <t xml:space="preserve">Medicare Program; FY 2027 Hospice Wage Index and Payment Rate Update and Hospice Quality Reporting Program Requirements</t>
  </si>
  <si>
    <t xml:space="preserve">This proposed rule would update the hospice wage index, payment rates, and aggregate cap amount for Fiscal Year (FY) 2027. This proposed rule also includes an analysis of Medicare non-hospice spending, including details regarding a hospice service and spending variation index (SSVI), and proposes to require that hospices provide the hospice election statement addendum to all Medicare beneficiaries at the time of hospice election. Additionally, this rule proposes conforming regulation text change</t>
  </si>
  <si>
    <t xml:space="preserve">https://www.federalregister.gov/documents/2026/04/06/2026-06604/medicare-program-fy-2027-hospice-wage-index-and-payment-rate-update-and-hospice-quality-reporting</t>
  </si>
  <si>
    <t xml:space="preserve">2026-06616</t>
  </si>
  <si>
    <t xml:space="preserve">Medicare Program; Delayed Implementation of Certain Prior Authorization for Select Services for the Wasteful and Inappropriate Services Reduction (WISeR) Model</t>
  </si>
  <si>
    <t xml:space="preserve">This notice announces a delay in the implementation of two services from the list of Wasteful and Inappropriate Services Reduction (WISeR) model items and services.</t>
  </si>
  <si>
    <t xml:space="preserve">https://www.federalregister.gov/documents/2026/04/06/2026-06616/medicare-program-delayed-implementation-of-certain-prior-authorization-for-select-services-for-the</t>
  </si>
  <si>
    <t xml:space="preserve">2026-06617</t>
  </si>
  <si>
    <t xml:space="preserve">Medicare Program; Implementation of Prior Authorization for Select Services for the Wasteful and Inappropriate Services Reduction (WISeR) Model; Correction</t>
  </si>
  <si>
    <t xml:space="preserve">This document corrects typographical and technical errors in the notice that appeared in the July 1, 2025, Federal Register titled "Medicare Program; Implementation of Prior Authorization for Select Services for the Wasteful and Inappropriate Services Reduction (WISeR) Model".</t>
  </si>
  <si>
    <t xml:space="preserve">https://www.federalregister.gov/documents/2026/04/06/2026-06617/medicare-program-implementation-of-prior-authorization-for-select-services-for-the-wasteful-and</t>
  </si>
  <si>
    <t xml:space="preserve">2026-06618</t>
  </si>
  <si>
    <t xml:space="preserve">Notice of Public Data Asset Release Under the Open, Public, Electronic, and Necessary (OPEN) Government Data Act</t>
  </si>
  <si>
    <t xml:space="preserve">In accordance with Title II of the Foundations for Evidence- Based Policymaking Act of 2018, known as the Open, Public, Electronic, and Necessary (OPEN) Government Data Act, CMS announces the forthcoming release of public data assets in open, machine-readable formats under an open license. These data are intended to support public engagement in identifying and preventing fraud, waste, and abuse, and to promote transparency and accountability. CMS has taken steps to ensure that the release of the</t>
  </si>
  <si>
    <t xml:space="preserve">https://www.federalregister.gov/documents/2026/04/06/2026-06618/notice-of-public-data-asset-release-under-the-open-public-electronic-and-necessary-open-government</t>
  </si>
  <si>
    <t xml:space="preserve">data release notice</t>
  </si>
  <si>
    <t xml:space="preserve">2026-06642</t>
  </si>
  <si>
    <t xml:space="preserve">Medicare Program; Inpatient Rehabilitation Facility Prospective Payment System for Federal Fiscal Year 2027 and Updates to the IRF Quality Reporting Program</t>
  </si>
  <si>
    <t xml:space="preserve">This proposed rule would update the prospective payment rates for inpatient rehabilitation facilities (IRFs) for Federal fiscal year (FY) 2027. As required by statute, this proposed rule includes the classification and weighting factors for the IRF prospective payment system's case-mix groups and a description of the methodologies and data used in computing the prospective payment rates for FY 2027. It also continues the third year of the 3-year phaseout of the rural adjustment, which began in F</t>
  </si>
  <si>
    <t xml:space="preserve">https://www.federalregister.gov/documents/2026/04/06/2026-06642/medicare-program-inpatient-rehabilitation-facility-prospective-payment-system-for-federal-fiscal</t>
  </si>
  <si>
    <t xml:space="preserve">2026-06674</t>
  </si>
  <si>
    <t xml:space="preserve">medicare advantage(3); special needs plan(2); ma organization(1)</t>
  </si>
  <si>
    <t xml:space="preserve">Medicare Program; Prospective Payment System and Consolidated Billing for Skilled Nursing Facilities; Updates to the Quality Reporting Program for Federal Fiscal Year 2027</t>
  </si>
  <si>
    <t xml:space="preserve">This rule proposes changes and updates to the policies and payment rates used under the Skilled Nursing Facility (SNF) Prospective Payment System (PPS) for fiscal year 2027. This proposed rule also updates the requirements for the SNF Quality Reporting Program and the SNF Value-Based Purchasing Program.</t>
  </si>
  <si>
    <t xml:space="preserve">https://www.federalregister.gov/documents/2026/04/07/2026-06674/medicare-program-prospective-payment-system-and-consolidated-billing-for-skilled-nursing-facilities</t>
  </si>
  <si>
    <t xml:space="preserve">2026-06675</t>
  </si>
  <si>
    <t xml:space="preserve">Medicare Program; FY 2027 Inpatient Psychiatric Facilities Prospective Payment System-Rate Update</t>
  </si>
  <si>
    <t xml:space="preserve">This rulemaking proposes to update the prospective payment rates, the outlier threshold, and the wage index for Medicare inpatient hospital services provided by Inpatient Psychiatric Facilities (IPFs), which include psychiatric hospitals and excluded psychiatric units of an acute care hospital or critical access hospital. This rulemaking also proposes refinement of the IPF PPS outlier policy. These changes would be effective for IPF discharges occurring during the fiscal year beginning October 1</t>
  </si>
  <si>
    <t xml:space="preserve">https://www.federalregister.gov/documents/2026/04/07/2026-06675/medicare-program-fy-2027-inpatient-psychiatric-facilities-prospective-payment-system-rate-update</t>
  </si>
  <si>
    <t xml:space="preserve">2026-06725</t>
  </si>
  <si>
    <t xml:space="preserve">https://www.federalregister.gov/documents/2026/04/07/2026-06725/agency-information-collection-activities-submission-for-omb-review-comment-request</t>
  </si>
  <si>
    <t xml:space="preserve">2026-06861</t>
  </si>
  <si>
    <t xml:space="preserve">Medicare and Medicaid Programs: Application From DNV Healthcare USA Inc. for Continued CMS-Approval of Its Hospital Accreditation Program</t>
  </si>
  <si>
    <t xml:space="preserve">This notice acknowledges the receipt of an application from DNV Healthcare USA Inc. (DNV) for continued recognition as a national accrediting organization for its hospital accreditation program to participate in the Medicare or Medicaid programs.</t>
  </si>
  <si>
    <t xml:space="preserve">https://www.federalregister.gov/documents/2026/04/09/2026-06861/medicare-and-medicaid-programs-application-from-dnv-healthcare-usa-inc-for-continued-cms-approval-of</t>
  </si>
  <si>
    <t xml:space="preserve">2026-06946</t>
  </si>
  <si>
    <t xml:space="preserve">https://www.federalregister.gov/documents/2026/04/10/2026-06946/agency-information-collection-activities-proposed-collection-comment-request</t>
  </si>
  <si>
    <t xml:space="preserve">2026-07016</t>
  </si>
  <si>
    <t xml:space="preserve">https://www.federalregister.gov/documents/2026/04/10/2026-07016/agency-information-collection-activities-proposed-collection-comment-request</t>
  </si>
  <si>
    <t xml:space="preserve">2026-07203</t>
  </si>
  <si>
    <t xml:space="preserve">medicare advantage(71); dual eligible(6); part d(3); part c(2); ma organization(1)</t>
  </si>
  <si>
    <t xml:space="preserve">Medicare Program; Hospital Inpatient Prospective Payment Systems for Acute Care Hospitals (IPPS) and the Long-Term Care Hospital Prospective Payment System and Policy Changes and Fiscal Year (FY) 2027 Rates; Requirements for Quality Programs; and Other Policy Changes</t>
  </si>
  <si>
    <t xml:space="preserve">https://www.federalregister.gov/documents/2026/04/14/2026-07203/medicare-program-hospital-inpatient-prospective-payment-systems-for-acute-care-hospitals-ipps-and</t>
  </si>
  <si>
    <t xml:space="preserve">2026-02040</t>
  </si>
  <si>
    <t xml:space="preserve">Medicaid Program; Preserving Medicaid Funding for Vulnerable Populations-Closing a Health Care-Related Tax Loophole</t>
  </si>
  <si>
    <t xml:space="preserve">This final rule addresses a loophole in a regulatory statistical test applied to State proposals for Medicaid tax waivers. The test is designed to ensure, as required by statute, that non- uniform or non-broad-based health care-related taxes, authorized under a waiver, are generally redistributive. The inadvertent loophole currently allows some health care-related taxes, especially taxes on managed care organizations, to be imposed at higher tax rates on Medicaid taxable units than non-Medicaid </t>
  </si>
  <si>
    <t xml:space="preserve">https://www.federalregister.gov/documents/2026/02/02/2026-02040/medicaid-program-preserving-medicaid-funding-for-vulnerable-populations-closing-a-health</t>
  </si>
  <si>
    <t xml:space="preserve">2026-07226</t>
  </si>
  <si>
    <t xml:space="preserve">Medicare Program; Public Meeting for New Revisions to the Healthcare Common Procedure Coding System (HCPCS) Level II Coding</t>
  </si>
  <si>
    <t xml:space="preserve">This notice announces the first biannual Healthcare Common Procedure Coding System (HCPCS) Level II public meeting of 2026 to discuss the CMS' preliminary coding, Medicare benefit category, and Medicare payment determinations, if applicable, for new revisions to the HCPCS Level II code set for non-drug and non-biological items and services, as well as how to register for the meeting.</t>
  </si>
  <si>
    <t xml:space="preserve">https://www.federalregister.gov/documents/2026/04/14/2026-07226/medicare-program-public-meeting-for-new-revisions-to-the-healthcare-common-procedure-coding-system</t>
  </si>
  <si>
    <t xml:space="preserve">2026-07401</t>
  </si>
  <si>
    <t xml:space="preserve">https://www.federalregister.gov/documents/2026/04/16/2026-07401/agency-information-collection-activities-submission-for-omb-review-comment-request</t>
  </si>
  <si>
    <t xml:space="preserve">2026-07440</t>
  </si>
  <si>
    <t xml:space="preserve">https://www.federalregister.gov/documents/2026/04/16/2026-07440/medicaid-and-childrens-health-insurance-program-chip-generic-information-collection-activities</t>
  </si>
  <si>
    <t xml:space="preserve">2026-07470</t>
  </si>
  <si>
    <t xml:space="preserve">Medicare Program; Hospital Inpatient Prospective Payment Systems for Acute Care Hospitals (IPPS) and the Long-Term Care Hospital Prospective Payment System and Policy Changes and Fiscal Year (FY) 2027 Rates; Requirements for Quality Programs; and Other Policy Changes; Correction</t>
  </si>
  <si>
    <t xml:space="preserve">This document corrects a typographical error in the proposed rule that appeared in the April 14, 2026 Federal Register titled "Medicare Program; Hospital Inpatient Prospective Payment Systems for Acute Care Hospitals (IPPS) and the Long-Term Care Hospital Prospective Payment System and Policy Changes and Fiscal Year (FY) 2027 Rates; Requirements for Quality Programs; and Other Policy Changes".</t>
  </si>
  <si>
    <t xml:space="preserve">https://www.federalregister.gov/documents/2026/04/16/2026-07470/medicare-program-hospital-inpatient-prospective-payment-systems-for-acute-care-hospitals-ipps-and</t>
  </si>
  <si>
    <t xml:space="preserve">2026-07583</t>
  </si>
  <si>
    <t xml:space="preserve">https://www.federalregister.gov/documents/2026/04/20/2026-07583/agency-information-collection-activities-proposed-collection-comment-request</t>
  </si>
  <si>
    <t xml:space="preserve">2026-07634</t>
  </si>
  <si>
    <t xml:space="preserve">https://www.federalregister.gov/documents/2026/04/20/2026-07634/agency-information-collection-activities-submission-for-omb-review-comment-request</t>
  </si>
  <si>
    <t xml:space="preserve">2026-07802</t>
  </si>
  <si>
    <t xml:space="preserve">https://www.federalregister.gov/documents/2026/04/22/2026-07802/medicaid-and-childrens-health-insurance-program-chip-generic-information-collection-activities</t>
  </si>
  <si>
    <t xml:space="preserve">2026-07803</t>
  </si>
  <si>
    <t xml:space="preserve">https://www.federalregister.gov/documents/2026/04/22/2026-07803/medicaid-and-childrens-health-insurance-program-chip-generic-information-collection-activities</t>
  </si>
  <si>
    <t xml:space="preserve">2026-07850</t>
  </si>
  <si>
    <t xml:space="preserve">https://www.federalregister.gov/documents/2026/04/22/2026-07850/agency-information-collection-activities-proposed-collection-comment-request</t>
  </si>
  <si>
    <t xml:space="preserve">2026-07851</t>
  </si>
  <si>
    <t xml:space="preserve">https://www.federalregister.gov/documents/2026/04/22/2026-07851/agency-information-collection-activities-submission-for-omb-review-comment-request</t>
  </si>
  <si>
    <t xml:space="preserve">2026-08025</t>
  </si>
  <si>
    <t xml:space="preserve">https://www.federalregister.gov/documents/2026/04/24/2026-08025/agency-information-collection-activities-submission-for-omb-review-comment-request</t>
  </si>
  <si>
    <t xml:space="preserve">2026-08156</t>
  </si>
  <si>
    <t xml:space="preserve">https://www.federalregister.gov/documents/2026/04/27/2026-08156/agency-information-collection-activities-submission-for-omb-review-comment-request</t>
  </si>
  <si>
    <t xml:space="preserve">2026-08160</t>
  </si>
  <si>
    <t xml:space="preserve">https://www.federalregister.gov/documents/2026/04/27/2026-08160/agency-information-collection-activities-proposed-collection-comment-request</t>
  </si>
  <si>
    <t xml:space="preserve">2026-08190</t>
  </si>
  <si>
    <t xml:space="preserve">Medicaid Program; 2028 Medicaid Home and Community-Based Services Quality Measure Set</t>
  </si>
  <si>
    <t xml:space="preserve">The Home and Community-Based Services (HCBS) Quality Measure Set is a set of nationally standardized quality measures for Medicaid- funded HCBS that is intended to promote more common and consistent use within and across States of nationally standardized quality measures in HCBS programs, create opportunities for CMS and States to have comparative quality data on HCBS programs, and drive improvement in quality of care and outcomes for people receiving HCBS. The purpose of this notice with commen</t>
  </si>
  <si>
    <t xml:space="preserve">https://www.federalregister.gov/documents/2026/04/28/2026-08190/medicaid-program-2028-medicaid-home-and-community-based-services-quality-measure-set</t>
  </si>
  <si>
    <t xml:space="preserve">2026-08337</t>
  </si>
  <si>
    <t xml:space="preserve">Statement of Delegation of Authority</t>
  </si>
  <si>
    <t xml:space="preserve">https://www.federalregister.gov/documents/2026/04/29/2026-08337/statement-of-delegation-of-authority</t>
  </si>
  <si>
    <t xml:space="preserve">2026-08421</t>
  </si>
  <si>
    <t xml:space="preserve">https://www.federalregister.gov/documents/2026/04/30/2026-08421/agency-information-collection-activities-submission-for-omb-review-comment-request</t>
  </si>
  <si>
    <t xml:space="preserve">2026-08460</t>
  </si>
  <si>
    <t xml:space="preserve">https://www.federalregister.gov/documents/2026/04/30/2026-08460/agency-information-collection-activities-proposed-collection-comment-request</t>
  </si>
  <si>
    <t xml:space="preserve">2026-08511</t>
  </si>
  <si>
    <t xml:space="preserve">Medicare Program: Public Meeting Regarding New and Reconsidered Clinical Diagnostic Laboratory Test Codes for the Clinical Laboratory Fee Schedule for Calendar Year 2027</t>
  </si>
  <si>
    <t xml:space="preserve">This notice announces a public meeting to receive comments and recommendations (including data on which recommendations are based) on the appropriate basis for establishing payment amounts for new or substantially revised Healthcare Common Procedure Coding System codes being considered for Medicare payment under the Clinical Laboratory Fee Schedule for calendar year 2027. This meeting also provides a forum for those who submitted certain reconsideration requests regarding final determinations ma</t>
  </si>
  <si>
    <t xml:space="preserve">https://www.federalregister.gov/documents/2026/05/01/2026-08511/medicare-program-public-meeting-regarding-new-and-reconsidered-clinical-diagnostic-laboratory-test</t>
  </si>
  <si>
    <t xml:space="preserve">2026-08512</t>
  </si>
  <si>
    <t xml:space="preserve">Medicare Program: Rechartering, Membership, and Meeting Announcement for the Medicare Advisory Panel on Clinical Diagnostic Laboratory Tests</t>
  </si>
  <si>
    <t xml:space="preserve">This notice announces the rechartering of the Medicare Advisory Panel on Clinical Diagnostic Laboratory Tests (the Panel), appointment of five new members to the Panel, and the next public meeting dates for the Panel on Tuesday, July 14, 2026, and Wednesday, July 15, 2026. The purpose of the Panel is to advise the Secretary of the Department of Health and Human Services and the Administrator of the Centers for Medicare &amp; Medicaid Services on issues related to clinical diagnostic laboratory tests</t>
  </si>
  <si>
    <t xml:space="preserve">https://www.federalregister.gov/documents/2026/05/01/2026-08512/medicare-program-rechartering-membership-and-meeting-announcement-for-the-medicare-advisory-panel-on</t>
  </si>
  <si>
    <t xml:space="preserve">2026-08513</t>
  </si>
  <si>
    <t xml:space="preserve">Medicare Program; Meeting Announcement for the Public and the Medicare Advisory Panel on Clinical Diagnostic Laboratory Tests-September 2026</t>
  </si>
  <si>
    <t xml:space="preserve">This notice announces meeting dates for a Clinical Laboratory Fee Schedule (CLFS) public meeting that includes the Medicare Advisory Panel on Clinical Diagnostic Laboratory Tests (the Panel) on Tuesday, September 15, 2026 and Wednesday, September 16, 2026. The purpose of the Panel is to advise the Secretary of the Department of Health and Human Services and the Administrator of the Centers for Medicare &amp; Medicaid Services on issues related to clinical diagnostic laboratory tests (CDLTs). During </t>
  </si>
  <si>
    <t xml:space="preserve">https://www.federalregister.gov/documents/2026/05/01/2026-08513/medicare-program-meeting-announcement-for-the-public-and-the-medicare-advisory-panel-on-clinical</t>
  </si>
  <si>
    <t xml:space="preserve">2026-08542</t>
  </si>
  <si>
    <t xml:space="preserve">https://www.federalregister.gov/documents/2026/05/01/2026-08542/agency-information-collection-activities-submission-for-omb-review-comment-request</t>
  </si>
  <si>
    <t xml:space="preserve">2026-09096</t>
  </si>
  <si>
    <t xml:space="preserve">https://www.federalregister.gov/documents/2026/05/07/2026-09096/agency-information-collection-activities-proposed-collection-comment-request</t>
  </si>
  <si>
    <t xml:space="preserve">2026-09167</t>
  </si>
  <si>
    <t xml:space="preserve">https://www.federalregister.gov/documents/2026/05/08/2026-09167/agency-information-collection-activities-submission-for-omb-review-comment-request</t>
  </si>
  <si>
    <t xml:space="preserve">2026-09329</t>
  </si>
  <si>
    <t xml:space="preserve">Medicaid and Children's Health Insurance Program (CHIP) Generic Information Collection Activities: Proposed Collection; Reopening of Comment Period</t>
  </si>
  <si>
    <t xml:space="preserve">The Centers for Medicare &amp; Medicaid Services (CMS) is reopening the comment period for a limited time for a collection of information notice that published in the Federal Register on April 22, 2026. The notice is entitled "Medicaid and Children's Health Insurance Program (CHIP) Generic Information Collection Activities: Proposed Collection; Comment Request". CMS is taking this action to address an inadvertent issue with posting one of the collection's revised templates (S89--Citizenship and Nonc</t>
  </si>
  <si>
    <t xml:space="preserve">https://www.federalregister.gov/documents/2026/05/12/2026-09329/medicaid-and-childrens-health-insurance-program-chip-generic-information-collection-activities</t>
  </si>
  <si>
    <t xml:space="preserve">2026-09330</t>
  </si>
  <si>
    <t xml:space="preserve">ma organization(5); part d(4); medicare advantage(3); dual eligible(1)</t>
  </si>
  <si>
    <t xml:space="preserve">https://www.federalregister.gov/documents/2026/05/12/2026-09330/agency-information-collection-activities-submission-for-omb-review-comment-request</t>
  </si>
  <si>
    <t xml:space="preserve">2026-09444</t>
  </si>
  <si>
    <t xml:space="preserve">Healthcare Advisory Committee (HAC); Announcement of the HAC Meeting-May 18, 2026</t>
  </si>
  <si>
    <t xml:space="preserve">This meeting notice announces the first public meeting of the Healthcare Advisory Committee (HAC or Committee). The purpose of the Committee is to advise the Secretary of HHS and the CMS Administrator on programs and policies that can improve the United States (U.S.) healthcare system consistent with the Executive Order Establishing the President's Make American Healthy Again Commission. This virtual meeting is open to the public.</t>
  </si>
  <si>
    <t xml:space="preserve">https://www.federalregister.gov/documents/2026/05/13/2026-09444/healthcare-advisory-committee-hac-announcement-of-the-hac-meeting-may-18-2026</t>
  </si>
  <si>
    <t xml:space="preserve">2026-09630</t>
  </si>
  <si>
    <t xml:space="preserve">Medicare and Medicaid Programs; Quarterly Listing of Program Issuances-January through March 2026</t>
  </si>
  <si>
    <t xml:space="preserve">https://www.federalregister.gov/documents/2026/05/14/2026-09630/medicare-and-medicaid-programs-quarterly-listing-of-program-issuances-january-through-march-2026</t>
  </si>
  <si>
    <t xml:space="preserve">2026-09717</t>
  </si>
  <si>
    <t xml:space="preserve">Medicare, Medicaid, and Children's Health Insurance Programs: Announcement of Nationwide Temporary Moratoria on Enrollment of Home Health Agencies (HHAs)</t>
  </si>
  <si>
    <t xml:space="preserve">This notice announces the imposition of a 6-month nationwide moratorium on the Medicare enrollment of home health agencies (HHAs).</t>
  </si>
  <si>
    <t xml:space="preserve">https://www.federalregister.gov/documents/2026/05/15/2026-09717/medicare-medicaid-and-childrens-health-insurance-programs-announcement-of-nationwide-temporary</t>
  </si>
  <si>
    <t xml:space="preserve">2026-09718</t>
  </si>
  <si>
    <t xml:space="preserve">Medicare, Medicaid, and Children's Health Insurance Programs: Announcement of Nationwide Temporary Moratorium on Enrollment of Hospices</t>
  </si>
  <si>
    <t xml:space="preserve">This notice announces the imposition of a 6-month nationwide moratorium on the Medicare enrollment of hospices.</t>
  </si>
  <si>
    <t xml:space="preserve">https://www.federalregister.gov/documents/2026/05/15/2026-09718/medicare-medicaid-and-childrens-health-insurance-programs-announcement-of-nationwide-temporary</t>
  </si>
  <si>
    <t xml:space="preserve">2026-09747</t>
  </si>
  <si>
    <t xml:space="preserve">https://www.federalregister.gov/documents/2026/05/15/2026-09747/agency-information-collection-activities-proposed-collection-comment-request</t>
  </si>
  <si>
    <t xml:space="preserve">2026-09832</t>
  </si>
  <si>
    <t xml:space="preserve">https://www.federalregister.gov/documents/2026/05/18/2026-09832/agency-information-collection-activities-proposed-collection-comment-request</t>
  </si>
  <si>
    <t xml:space="preserve">2026-02769</t>
  </si>
  <si>
    <t xml:space="preserve">medigap(3); medicare advantage(2); part d(2)</t>
  </si>
  <si>
    <t xml:space="preserve">This proposed rule contains provisions to improve implementation of the Patient Protection and Affordable Care Act, including payment parameters and provisions related to the HHS-operated risk adjustment and risk adjustment data validation (HHS-RADV) programs, as well as 2027 user fee rates for issuers offering qualified health plans (QHPs) through Federally-facilitated Exchanges (FFEs) and State-based Exchanges on the Federal platform (SBE-FPs). This proposed rule also includes provisions relat</t>
  </si>
  <si>
    <t xml:space="preserve">https://www.federalregister.gov/documents/2026/02/11/2026-02769/patient-protection-and-affordable-care-act-hhs-notice-of-benefit-and-payment-parameters-for-2027-and</t>
  </si>
  <si>
    <t xml:space="preserve">2026-10097</t>
  </si>
  <si>
    <t xml:space="preserve">https://www.federalregister.gov/documents/2026/05/20/2026-10097/medicaid-and-childrens-health-insurance-program-chip-generic-information-collection-activities</t>
  </si>
  <si>
    <t xml:space="preserve">2026-10102</t>
  </si>
  <si>
    <t xml:space="preserve">https://www.federalregister.gov/documents/2026/05/20/2026-10102/agency-information-collection-activities-proposed-collection-comment-request</t>
  </si>
  <si>
    <t xml:space="preserve">2026-10276</t>
  </si>
  <si>
    <t xml:space="preserve">This document corrects technical and typographical errors in the proposed rule that appeared in the April 14, 2026 Federal Register titled "Medicare Program; Hospital Inpatient Prospective Payment Systems for Acute Care Hospitals (IPPS) and the Long-Term Care Hospital Prospective Payment System and Policy Changes and Fiscal Year (FY) 2027 Rates; Requirements for Quality Programs; and Other Policy Changes."</t>
  </si>
  <si>
    <t xml:space="preserve">https://www.federalregister.gov/documents/2026/05/22/2026-10276/medicare-program-hospital-inpatient-prospective-payment-systems-for-acute-care-hospitals-ipps-and</t>
  </si>
  <si>
    <t xml:space="preserve">2026-10292</t>
  </si>
  <si>
    <t xml:space="preserve">Medicaid Program; Medicaid Managed Care State Directed Payments and Medicaid Fee-for-Service Targeted Medicaid Practitioner Payments</t>
  </si>
  <si>
    <t xml:space="preserve">This proposed rule describes alternatives to modify the limit on the total payment rate and other requirements for State directed payments in Medicaid managed care. We propose these changes based on our authority to interpret and implement section 1902(a)(4) of the Social Security Act (the Act) with respect to prepaid inpatient health plans and prepaid ambulatory health plans, and section 1903(m)(2)(A)(iii) of the Act, which require that contracts between States and managed care organizations to</t>
  </si>
  <si>
    <t xml:space="preserve">https://www.federalregister.gov/documents/2026/05/22/2026-10292/medicaid-program-medicaid-managed-care-state-directed-payments-and-medicaid-fee-for-service-targeted</t>
  </si>
  <si>
    <t xml:space="preserve">2026-10777</t>
  </si>
  <si>
    <t xml:space="preserve">https://www.federalregister.gov/documents/2026/05/29/2026-10777/agency-information-collection-activities-submission-for-omb-review-comment-request</t>
  </si>
  <si>
    <t xml:space="preserve">WORKBOOK OVERVIEW</t>
  </si>
  <si>
    <t xml:space="preserve">Purpose</t>
  </si>
  <si>
    <t xml:space="preserve">Daily calendar (Jan 1, 2024 - May 31, 2026) of dates that could affect the value or sales of Medicare Advantage (MA), Medicare Supplement (MS / Medigap), Dual Eligible Special Needs Plans (D-SNP), and Chronic Condition Special Needs Plans (C-SNP).</t>
  </si>
  <si>
    <t xml:space="preserve">Daily Grid</t>
  </si>
  <si>
    <t xml:space="preserve">One row per calendar day. Enrollment-period flags, disaster SEP notes, and event details for that day.</t>
  </si>
  <si>
    <t xml:space="preserve">Events</t>
  </si>
  <si>
    <t xml:space="preserve">One row per curated policy/market event. Only events that plausibly change plan value or consumer shopping behavior are included; procedural and administrative milestones are excluded.</t>
  </si>
  <si>
    <t xml:space="preserve">FEMA Disasters</t>
  </si>
  <si>
    <t xml:space="preserve">Raw pull of ALL FEMA disaster declarations in the window, via API. Comprehensive by design, so irrelevant/minor declarations (noise) are included - filter before analysis.</t>
  </si>
  <si>
    <t xml:space="preserve">Fed Register</t>
  </si>
  <si>
    <t xml:space="preserve">Raw pull of ALL CMS documents published in the Federal Register in the window, via API, keyword-scanned. Comprehensive by design - most rows are noise; filter on Match and Priority.</t>
  </si>
  <si>
    <t xml:space="preserve">DAILY GRID - COLUMNS</t>
  </si>
  <si>
    <t xml:space="preserve">One row per day, 1/1/2024 - 5/31/2026.</t>
  </si>
  <si>
    <t xml:space="preserve">Year / Month / Weekday</t>
  </si>
  <si>
    <t xml:space="preserve">Derived from Date, for filtering and pivots.</t>
  </si>
  <si>
    <t xml:space="preserve">Equals 1 during the Annual Enrollment Period (Oct 15 - Dec 7 each year). Anyone with Medicare can switch between Original Medicare and Medicare Advantage, or change drug plans. Rows highlight blue.</t>
  </si>
  <si>
    <t xml:space="preserve">Equals 1 from Jan 1 - Mar 31 each year. MA OEP: people already in a Medicare Advantage plan get one switch to another MA plan or back to Original Medicare. GEP (same window): people who missed their initial signup can enroll in Part A and/or Part B. Rows highlight green.</t>
  </si>
  <si>
    <t xml:space="preserve">Disaster-related Special Enrollment Period notes, built automatically from the FEMA Disasters tab. Shows incident begin/end dates and SEP open dates, with disaster type, affected state, declaration type, and declaration number. SEPs let people affected by a disaster enroll or switch outside the normal windows.</t>
  </si>
  <si>
    <t xml:space="preserve">Count of Events-tab rows dated on that day (0 = no event).</t>
  </si>
  <si>
    <t xml:space="preserve">Description of each event on that day, joined with " | " when several fall on the same date. Non-national events show state codes in brackets.</t>
  </si>
  <si>
    <t xml:space="preserve">Row color key</t>
  </si>
  <si>
    <t xml:space="preserve">Orange = policy event day | Blue = AEP | Green = MA OEP / GEP.</t>
  </si>
  <si>
    <t xml:space="preserve">EVENTS - COLUMNS</t>
  </si>
  <si>
    <t xml:space="preserve">The date of the event.</t>
  </si>
  <si>
    <t xml:space="preserve">CMS Rule (federal regulation), Legislation (law passed by Congress or a state), State Regulation (state-level rule, e.g., Medigap birthday rules), Rate Announcement (payment/premium figures set), Litigation (court action that changed which policy was in effect), Enrollment Milestone (dates that structure the shopping cycle), Plan Landscape Release (Star Ratings / plan info publication), Other.</t>
  </si>
  <si>
    <t xml:space="preserve">Which products the event touches: MA, MS, Part D, D-SNP, C-SNP, or All. Multiple products are separated by " / ". To filter, use a "contains" text filter (e.g., contains "C-SNP").</t>
  </si>
  <si>
    <t xml:space="preserve">Announced = the day the rule/notice was published (expect market/news/search reaction). Effective = the day the policy actually changes plan value. Deadline = a required-by date (e.g., ANOC delivery).</t>
  </si>
  <si>
    <t xml:space="preserve">What happened and why it matters. For D-SNP/C-SNP-relevant events, a mechanism note is appended after "||" explaining the expected effect on SNP enrollment.</t>
  </si>
  <si>
    <t xml:space="preserve">URL(s) documenting the event.</t>
  </si>
  <si>
    <t xml:space="preserve">National, or semicolon-delimited state postal codes for state-level events.</t>
  </si>
  <si>
    <t xml:space="preserve">How the event changes plan value or shopping behavior. Categories defined below.</t>
  </si>
  <si>
    <t xml:space="preserve">VALUE_MECHANISM CATEGORIES</t>
  </si>
  <si>
    <t xml:space="preserve">Directly changes benefits, premiums, or out-of-pocket costs (IRA drug-cost milestones, Rate Announcements that fund benefits, Part B premium changes, negotiated drug prices taking effect, Medigap rating changes).</t>
  </si>
  <si>
    <t xml:space="preserve">Changes what plans can exist or who can enroll where (D-SNP look-alike thresholds, dual-SEP restructure, FIDE/HIDE requirements, CalAIM, OBBBA eligibility changes).</t>
  </si>
  <si>
    <t xml:space="preserve">Creates or opens a guaranteed-issue or switching right on a specific date (state Medigap birthday rules, Rhode Island annual window).</t>
  </si>
  <si>
    <t xml:space="preserve">Changes the displayed Star Ratings or quality bonus economics (annual ratings publications, ratings litigation and recalculations).</t>
  </si>
  <si>
    <t xml:space="preserve">Changes broker/agent compensation or steering economics.</t>
  </si>
  <si>
    <t xml:space="preserve">Structures when and how beneficiaries shop (plan marketing start dates, ANOC delivery deadlines, plan-finder information rules).</t>
  </si>
  <si>
    <t xml:space="preserve">Announced policy whose value impact lands after the event date (proposed rules, advance notices, drug-negotiation selections, bill signings ahead of effective dates). Expect news/search reaction on the date, not a sales-value change.</t>
  </si>
  <si>
    <t xml:space="preserve">FEMA DISASTERS - SOURCE AND COLUMNS</t>
  </si>
  <si>
    <t xml:space="preserve">OpenFEMA Disaster Declarations Summaries API (api.fema.gov). ALL declarations with incidents in the window were pulled programmatically - no manual curation, so minor and non-relevant declarations are included (noise). Filter by Decl_Type, Incident_Type, or IA_Declared before analysis.</t>
  </si>
  <si>
    <t xml:space="preserve">Disaster_Num / State / Title</t>
  </si>
  <si>
    <t xml:space="preserve">FEMA declaration number, affected state, and official incident title.</t>
  </si>
  <si>
    <t xml:space="preserve">DR = major disaster declaration; EM = emergency declaration; FM = fire management assistance (FM does not generate an enrollment SEP).</t>
  </si>
  <si>
    <t xml:space="preserve">FEMA's category (Severe Storm, Hurricane, Flood, Fire, etc.).</t>
  </si>
  <si>
    <t xml:space="preserve">Incident_Begin / Incident_End / Declaration_Date</t>
  </si>
  <si>
    <t xml:space="preserve">When the incident started and ended, and when FEMA formally declared it.</t>
  </si>
  <si>
    <t xml:space="preserve">TRUE if Individual Assistance was authorized (help to households, not just governments) - a rough severity marker.</t>
  </si>
  <si>
    <t xml:space="preserve">Count of counties/areas designated under the declaration.</t>
  </si>
  <si>
    <t xml:space="preserve">SEP_Start / SEP_End</t>
  </si>
  <si>
    <t xml:space="preserve">Enrollment SEP window implied by the declaration, per the CMS disaster/emergency SEP rule: for DR and EM declarations, SEP_Start = the earlier of the incident begin date and the declaration date; SEP_End = the last day of the second full calendar month after the SEP start month. These feed the Daily Grid SEP_Notes column.</t>
  </si>
  <si>
    <t xml:space="preserve">FED REGISTER - SOURCE AND COLUMNS</t>
  </si>
  <si>
    <t xml:space="preserve">Federal Register API (federalregister.gov). ALL CMS documents published Jan 2024 - May 2026 were pulled programmatically and their full text scanned for MA/Medigap/SNP keywords - no manual curation, so most rows are irrelevant to this project (noise). Filter Match = 1, then use Priority.</t>
  </si>
  <si>
    <t xml:space="preserve">Doc_Number / Type / Pub_Date / Effective_Date</t>
  </si>
  <si>
    <t xml:space="preserve">Federal Register document ID, document type (Rule, Proposed Rule, Notice), publication date, and stated effective date if any.</t>
  </si>
  <si>
    <t xml:space="preserve">Match / Matched_Keywords</t>
  </si>
  <si>
    <t xml:space="preserve">Match = 1 if the document's text contains at least one tracked keyword. Matched_Keywords lists each keyword with its hit count - e.g., "medicare advantage(31); d-snp(6)" is a core document, while a lone "part d(1)" is a passing mention.</t>
  </si>
  <si>
    <t xml:space="preserve">Keyword list</t>
  </si>
  <si>
    <t xml:space="preserve">Medicare Advantage; MA organization; Part C; Part D; special needs plan; D-SNP; C-SNP; dual eligible; Medigap; Medicare supplement.</t>
  </si>
  <si>
    <t xml:space="preserve">Title / Abstract / URL / Full_Text_Scanned</t>
  </si>
  <si>
    <t xml:space="preserve">Document title, official abstract, link to the document, and whether full text was retrieved and scanned (Y/N).</t>
  </si>
  <si>
    <t xml:space="preserve">Assigned only to Match = 1 documents. SKIP = procedural/administrative notices and annual provider payment rules (reimbursement rates, not consumer-facing plan features) - exception: kept if strong keyword count &gt;= 200 in case a payment rule carries major MA policy. LOW = strong keyword count &lt;= 10 (marginal; check keywords before dismissing). MEDIUM = count 10-99 (reviewed for relevance). HIGH = count &gt;= 100 (core MA/Part D policy documents).</t>
  </si>
  <si>
    <t xml:space="preserve">Processing note (e.g., if a document's text was truncated during scanning).</t>
  </si>
</sst>
</file>

<file path=xl/styles.xml><?xml version="1.0" encoding="utf-8"?>
<styleSheet xmlns="http://schemas.openxmlformats.org/spreadsheetml/2006/main">
  <numFmts count="4">
    <numFmt numFmtId="164" formatCode="General"/>
    <numFmt numFmtId="165" formatCode="mm/dd/yyyy"/>
    <numFmt numFmtId="166" formatCode="General"/>
    <numFmt numFmtId="167" formatCode="m/d/yyyy"/>
  </numFmts>
  <fonts count="13">
    <font>
      <sz val="11"/>
      <color theme="1"/>
      <name val="Calibri"/>
      <family val="2"/>
      <charset val="1"/>
    </font>
    <font>
      <sz val="10"/>
      <name val="Arial"/>
      <family val="0"/>
    </font>
    <font>
      <sz val="10"/>
      <name val="Arial"/>
      <family val="0"/>
    </font>
    <font>
      <sz val="10"/>
      <name val="Arial"/>
      <family val="0"/>
    </font>
    <font>
      <b val="true"/>
      <sz val="10"/>
      <color rgb="FFFFFFFF"/>
      <name val="Calibri"/>
      <family val="2"/>
      <charset val="1"/>
    </font>
    <font>
      <sz val="10"/>
      <name val="Calibri"/>
      <family val="2"/>
      <charset val="1"/>
    </font>
    <font>
      <sz val="10"/>
      <name val="Arial"/>
      <family val="2"/>
      <charset val="1"/>
    </font>
    <font>
      <sz val="10"/>
      <color theme="1"/>
      <name val="Calibri"/>
      <family val="2"/>
      <charset val="1"/>
    </font>
    <font>
      <b val="true"/>
      <sz val="10"/>
      <name val="Calibri"/>
      <family val="2"/>
      <charset val="1"/>
    </font>
    <font>
      <u val="single"/>
      <sz val="11"/>
      <color theme="10"/>
      <name val="Calibri"/>
      <family val="2"/>
      <charset val="1"/>
    </font>
    <font>
      <b val="true"/>
      <sz val="11"/>
      <name val="Calibri"/>
      <family val="0"/>
      <charset val="1"/>
    </font>
    <font>
      <b val="true"/>
      <sz val="10"/>
      <name val="Calibri"/>
      <family val="0"/>
      <charset val="1"/>
    </font>
    <font>
      <sz val="10"/>
      <name val="Calibri"/>
      <family val="0"/>
      <charset val="1"/>
    </font>
  </fonts>
  <fills count="4">
    <fill>
      <patternFill patternType="none"/>
    </fill>
    <fill>
      <patternFill patternType="gray125"/>
    </fill>
    <fill>
      <patternFill patternType="solid">
        <fgColor rgb="FF1F3864"/>
        <bgColor rgb="FF333333"/>
      </patternFill>
    </fill>
    <fill>
      <patternFill patternType="solid">
        <fgColor rgb="FFFFF2CC"/>
        <bgColor rgb="FFFFFFFF"/>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1">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2" borderId="0" xfId="0" applyFont="true" applyBorder="false" applyAlignment="true" applyProtection="false">
      <alignment horizontal="center" vertical="bottom" textRotation="0" wrapText="false" indent="0" shrinkToFit="false"/>
      <protection locked="true" hidden="false"/>
    </xf>
    <xf numFmtId="165" fontId="5" fillId="0" borderId="0" xfId="0" applyFont="true" applyBorder="false" applyAlignment="true" applyProtection="false">
      <alignment horizontal="general" vertical="bottom" textRotation="0" wrapText="false" indent="0" shrinkToFit="false"/>
      <protection locked="true" hidden="false"/>
    </xf>
    <xf numFmtId="166" fontId="5" fillId="0" borderId="0" xfId="0" applyFont="true" applyBorder="false" applyAlignment="true" applyProtection="false">
      <alignment horizontal="general" vertical="bottom" textRotation="0" wrapText="false" indent="0" shrinkToFit="false"/>
      <protection locked="true" hidden="false"/>
    </xf>
    <xf numFmtId="166" fontId="6" fillId="0" borderId="0" xfId="0" applyFont="true" applyBorder="false" applyAlignment="true" applyProtection="false">
      <alignment horizontal="general" vertical="bottom" textRotation="0" wrapText="true" indent="0" shrinkToFit="false"/>
      <protection locked="true" hidden="false"/>
    </xf>
    <xf numFmtId="166" fontId="6" fillId="0" borderId="0" xfId="0" applyFont="true" applyBorder="false" applyAlignment="true" applyProtection="false">
      <alignment horizontal="general" vertical="bottom" textRotation="0" wrapText="false" indent="0" shrinkToFit="false"/>
      <protection locked="true" hidden="false"/>
    </xf>
    <xf numFmtId="166" fontId="5" fillId="0" borderId="0" xfId="0" applyFont="true" applyBorder="false" applyAlignment="true" applyProtection="false">
      <alignment horizontal="general" vertical="bottom" textRotation="0" wrapText="true" indent="0" shrinkToFit="false"/>
      <protection locked="true" hidden="false"/>
    </xf>
    <xf numFmtId="164" fontId="0" fillId="0" borderId="0" xfId="0" applyFont="false" applyBorder="false" applyAlignment="true" applyProtection="false">
      <alignment horizontal="general" vertical="bottom" textRotation="0" wrapText="true" indent="0" shrinkToFit="false"/>
      <protection locked="true" hidden="false"/>
    </xf>
    <xf numFmtId="164" fontId="7" fillId="0" borderId="0" xfId="0" applyFont="true" applyBorder="false" applyAlignment="true" applyProtection="false">
      <alignment horizontal="general" vertical="bottom" textRotation="0" wrapText="true" indent="0" shrinkToFit="false"/>
      <protection locked="true" hidden="false"/>
    </xf>
    <xf numFmtId="164" fontId="4" fillId="2" borderId="0" xfId="0" applyFont="true" applyBorder="false" applyAlignment="true" applyProtection="false">
      <alignment horizontal="center" vertical="bottom" textRotation="0" wrapText="true" indent="0" shrinkToFit="false"/>
      <protection locked="true" hidden="false"/>
    </xf>
    <xf numFmtId="167" fontId="5" fillId="0" borderId="0" xfId="0" applyFont="true" applyBorder="false" applyAlignment="true" applyProtection="false">
      <alignment horizontal="general" vertical="top" textRotation="0" wrapText="false" indent="0" shrinkToFit="false"/>
      <protection locked="true" hidden="false"/>
    </xf>
    <xf numFmtId="164" fontId="5" fillId="0" borderId="0" xfId="0" applyFont="true" applyBorder="false" applyAlignment="true" applyProtection="false">
      <alignment horizontal="general" vertical="top" textRotation="0" wrapText="fals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5" fillId="0" borderId="0" xfId="0" applyFont="true" applyBorder="false" applyAlignment="true" applyProtection="false">
      <alignment horizontal="general" vertical="bottom" textRotation="0" wrapText="true" indent="0" shrinkToFit="false"/>
      <protection locked="true" hidden="false"/>
    </xf>
    <xf numFmtId="164" fontId="5" fillId="0" borderId="0" xfId="0" applyFont="true" applyBorder="false" applyAlignment="true" applyProtection="false">
      <alignment horizontal="general" vertical="bottom" textRotation="0" wrapText="false" indent="0" shrinkToFit="false"/>
      <protection locked="true" hidden="false"/>
    </xf>
    <xf numFmtId="164" fontId="0" fillId="3" borderId="0" xfId="0" applyFont="false" applyBorder="false" applyAlignment="true" applyProtection="false">
      <alignment horizontal="general" vertical="bottom" textRotation="0" wrapText="false" indent="0" shrinkToFit="false"/>
      <protection locked="true" hidden="false"/>
    </xf>
    <xf numFmtId="164" fontId="0" fillId="3" borderId="0" xfId="0" applyFont="false" applyBorder="false" applyAlignment="true" applyProtection="false">
      <alignment horizontal="general" vertical="bottom" textRotation="0" wrapText="true" indent="0" shrinkToFit="false"/>
      <protection locked="true" hidden="false"/>
    </xf>
    <xf numFmtId="164" fontId="7" fillId="3" borderId="0" xfId="0" applyFont="true" applyBorder="false" applyAlignment="true" applyProtection="false">
      <alignment horizontal="general" vertical="bottom" textRotation="0" wrapText="true" indent="0" shrinkToFit="false"/>
      <protection locked="true" hidden="false"/>
    </xf>
    <xf numFmtId="164" fontId="7" fillId="0" borderId="0" xfId="0" applyFont="true" applyBorder="false" applyAlignment="true" applyProtection="false">
      <alignment horizontal="general" vertical="bottom" textRotation="0" wrapText="false" indent="0" shrinkToFit="false"/>
      <protection locked="true" hidden="false"/>
    </xf>
    <xf numFmtId="165" fontId="7" fillId="0" borderId="0" xfId="0" applyFont="true" applyBorder="false" applyAlignment="true" applyProtection="false">
      <alignment horizontal="general" vertical="bottom" textRotation="0" wrapText="false" indent="0" shrinkToFit="false"/>
      <protection locked="true" hidden="false"/>
    </xf>
    <xf numFmtId="164" fontId="8" fillId="0" borderId="0" xfId="0" applyFont="true" applyBorder="false" applyAlignment="tru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general" vertical="bottom" textRotation="0" wrapText="false" indent="0" shrinkToFit="false"/>
      <protection locked="true" hidden="false"/>
    </xf>
    <xf numFmtId="167" fontId="6" fillId="0" borderId="0" xfId="0" applyFont="true" applyBorder="false" applyAlignment="true" applyProtection="false">
      <alignment horizontal="general" vertical="bottom" textRotation="0" wrapText="false" indent="0" shrinkToFit="false"/>
      <protection locked="true" hidden="false"/>
    </xf>
    <xf numFmtId="167" fontId="5" fillId="0" borderId="0" xfId="0" applyFont="true" applyBorder="false" applyAlignment="true" applyProtection="false">
      <alignment horizontal="general" vertical="bottom" textRotation="0" wrapText="false" indent="0" shrinkToFit="false"/>
      <protection locked="true" hidden="false"/>
    </xf>
    <xf numFmtId="164" fontId="9" fillId="0" borderId="0" xfId="0" applyFont="true" applyBorder="false" applyAlignment="true" applyProtection="false">
      <alignment horizontal="general" vertical="bottom" textRotation="0" wrapText="false" indent="0" shrinkToFit="false"/>
      <protection locked="true" hidden="false"/>
    </xf>
    <xf numFmtId="164" fontId="10" fillId="0" borderId="0" xfId="0" applyFont="true" applyBorder="false" applyAlignment="true" applyProtection="false">
      <alignment horizontal="general" vertical="top" textRotation="0" wrapText="fals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11" fillId="0" borderId="0" xfId="0" applyFont="true" applyBorder="false" applyAlignment="true" applyProtection="false">
      <alignment horizontal="general" vertical="top" textRotation="0" wrapText="false" indent="0" shrinkToFit="false"/>
      <protection locked="true" hidden="false"/>
    </xf>
    <xf numFmtId="164" fontId="12" fillId="0" borderId="0" xfId="0" applyFont="true" applyBorder="false" applyAlignment="true" applyProtection="false">
      <alignment horizontal="general" vertical="top" textRotation="0" wrapText="true" indent="0" shrinkToFit="false"/>
      <protection locked="true" hidden="false"/>
    </xf>
    <xf numFmtId="164" fontId="8" fillId="0" borderId="0" xfId="0" applyFont="true" applyBorder="fals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1">
    <dxf>
      <fill>
        <patternFill patternType="solid">
          <fgColor rgb="FF1F3864"/>
          <bgColor rgb="FF000000"/>
        </patternFill>
      </fill>
    </dxf>
    <dxf>
      <fill>
        <patternFill patternType="solid">
          <fgColor rgb="FFBDD7EE"/>
          <bgColor rgb="FF000000"/>
        </patternFill>
      </fill>
    </dxf>
    <dxf>
      <fill>
        <patternFill patternType="solid">
          <fgColor rgb="FFC6E0B4"/>
          <bgColor rgb="FF000000"/>
        </patternFill>
      </fill>
    </dxf>
    <dxf>
      <fill>
        <patternFill patternType="solid">
          <fgColor rgb="FFF8CBAD"/>
          <bgColor rgb="FF000000"/>
        </patternFill>
      </fill>
    </dxf>
    <dxf>
      <fill>
        <patternFill patternType="solid">
          <bgColor rgb="FF000000"/>
        </patternFill>
      </fill>
    </dxf>
    <dxf>
      <fill>
        <patternFill patternType="solid">
          <fgColor rgb="FFFFFFFF"/>
          <bgColor rgb="FF000000"/>
        </patternFill>
      </fill>
    </dxf>
    <dxf>
      <fill>
        <patternFill>
          <bgColor rgb="FFF8CBAD"/>
        </patternFill>
      </fill>
    </dxf>
    <dxf>
      <fill>
        <patternFill>
          <bgColor rgb="FFBDD7EE"/>
        </patternFill>
      </fill>
    </dxf>
    <dxf>
      <fill>
        <patternFill>
          <bgColor rgb="FFC6E0B4"/>
        </patternFill>
      </fill>
    </dxf>
    <dxf>
      <fill>
        <patternFill patternType="solid">
          <fgColor rgb="FFFFF2CC"/>
          <bgColor rgb="FF000000"/>
        </patternFill>
      </fill>
    </dxf>
    <dxf>
      <fill>
        <patternFill patternType="solid">
          <fgColor rgb="FF0000FF"/>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6E0B4"/>
      <rgbColor rgb="FF808080"/>
      <rgbColor rgb="FF9999FF"/>
      <rgbColor rgb="FF993366"/>
      <rgbColor rgb="FFFFF2CC"/>
      <rgbColor rgb="FFCCFFFF"/>
      <rgbColor rgb="FF660066"/>
      <rgbColor rgb="FFFF8080"/>
      <rgbColor rgb="FF0066CC"/>
      <rgbColor rgb="FFBDD7EE"/>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8CBAD"/>
      <rgbColor rgb="FF3366FF"/>
      <rgbColor rgb="FF33CCCC"/>
      <rgbColor rgb="FF99CC00"/>
      <rgbColor rgb="FFFFCC00"/>
      <rgbColor rgb="FFFF9900"/>
      <rgbColor rgb="FFFF6600"/>
      <rgbColor rgb="FF666699"/>
      <rgbColor rgb="FF969696"/>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file>

<file path=xl/drawings/drawing4.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_rels/sheet2.xml.rels><?xml version="1.0" encoding="UTF-8"?>
<Relationships xmlns="http://schemas.openxmlformats.org/package/2006/relationships"><Relationship Id="rId1" Type="http://schemas.openxmlformats.org/officeDocument/2006/relationships/drawing" Target="../drawings/drawing2.xml"/>
</Relationships>
</file>

<file path=xl/worksheets/_rels/sheet3.xml.rels><?xml version="1.0" encoding="UTF-8"?>
<Relationships xmlns="http://schemas.openxmlformats.org/package/2006/relationships"><Relationship Id="rId1" Type="http://schemas.openxmlformats.org/officeDocument/2006/relationships/drawing" Target="../drawings/drawing3.xml"/>
</Relationships>
</file>

<file path=xl/worksheets/_rels/sheet4.xml.rels><?xml version="1.0" encoding="UTF-8"?>
<Relationships xmlns="http://schemas.openxmlformats.org/package/2006/relationships"><Relationship Id="rId1" Type="http://schemas.openxmlformats.org/officeDocument/2006/relationships/hyperlink" Target="https://www.federalregister.gov/documents/2024/04/23/2024-07105/medicare-program-changes-to-the-medicare-advantage-and-the-medicare-prescription-drug-benefit" TargetMode="External"/><Relationship Id="rId2" Type="http://schemas.openxmlformats.org/officeDocument/2006/relationships/hyperlink" Target="https://www.federalregister.gov/documents/2024/12/10/2024-27939/medicare-and-medicaid-programs-contract-year-2026-policy-and-technical-changes-to-the-medicare" TargetMode="External"/><Relationship Id="rId3" Type="http://schemas.openxmlformats.org/officeDocument/2006/relationships/hyperlink" Target="https://www.federalregister.gov/documents/2025/04/15/2025-06008/medicare-and-medicaid-programs-contract-year-2026-policy-and-technical-changes-to-the-medicare" TargetMode="External"/><Relationship Id="rId4" Type="http://schemas.openxmlformats.org/officeDocument/2006/relationships/hyperlink" Target="https://www.federalregister.gov/documents/2025/11/28/2025-21456/medicare-program-contract-year-2027-policy-and-technical-changes-to-the-medicare-advantage-program" TargetMode="External"/><Relationship Id="rId5" Type="http://schemas.openxmlformats.org/officeDocument/2006/relationships/drawing" Target="../drawings/drawing4.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883"/>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1" topLeftCell="A77" activePane="bottomLeft" state="frozen"/>
      <selection pane="topLeft" activeCell="A1" activeCellId="0" sqref="A1"/>
      <selection pane="bottomLeft" activeCell="A92" activeCellId="0" sqref="A92"/>
    </sheetView>
  </sheetViews>
  <sheetFormatPr defaultColWidth="8.6328125" defaultRowHeight="14.25" zeroHeight="false" outlineLevelRow="0" outlineLevelCol="0"/>
  <cols>
    <col collapsed="false" customWidth="true" hidden="false" outlineLevel="0" max="1" min="1" style="1" width="12"/>
    <col collapsed="false" customWidth="true" hidden="false" outlineLevel="0" max="3" min="2" style="1" width="7"/>
    <col collapsed="false" customWidth="true" hidden="false" outlineLevel="0" max="4" min="4" style="1" width="9"/>
    <col collapsed="false" customWidth="true" hidden="false" outlineLevel="0" max="5" min="5" style="1" width="6"/>
    <col collapsed="false" customWidth="true" hidden="false" outlineLevel="0" max="6" min="6" style="1" width="8"/>
    <col collapsed="false" customWidth="true" hidden="false" outlineLevel="0" max="7" min="7" style="1" width="64.54"/>
    <col collapsed="false" customWidth="true" hidden="false" outlineLevel="0" max="8" min="8" style="1" width="10"/>
    <col collapsed="false" customWidth="true" hidden="false" outlineLevel="0" max="9" min="9" style="1" width="30.54"/>
  </cols>
  <sheetData>
    <row r="1" customFormat="false" ht="15" hidden="false" customHeight="true" outlineLevel="0" collapsed="false">
      <c r="A1" s="2" t="s">
        <v>0</v>
      </c>
      <c r="B1" s="2" t="s">
        <v>1</v>
      </c>
      <c r="C1" s="2" t="s">
        <v>2</v>
      </c>
      <c r="D1" s="2" t="s">
        <v>3</v>
      </c>
      <c r="E1" s="2" t="s">
        <v>4</v>
      </c>
      <c r="F1" s="2" t="s">
        <v>5</v>
      </c>
      <c r="G1" s="2" t="s">
        <v>6</v>
      </c>
      <c r="H1" s="2" t="s">
        <v>7</v>
      </c>
      <c r="I1" s="2" t="s">
        <v>8</v>
      </c>
    </row>
    <row r="2" customFormat="false" ht="17.25" hidden="false" customHeight="true" outlineLevel="0" collapsed="false">
      <c r="A2" s="3" t="n">
        <v>45292</v>
      </c>
      <c r="B2" s="4" t="n">
        <f aca="false">YEAR($A2)</f>
        <v>2024</v>
      </c>
      <c r="C2" s="4" t="n">
        <f aca="false">MONTH($A2)</f>
        <v>1</v>
      </c>
      <c r="D2" s="4" t="str">
        <f aca="false">TEXT($A2,"ddd")</f>
        <v>Mon</v>
      </c>
      <c r="E2" s="4" t="n">
        <f aca="false">IF(OR(AND(MONTH($A2)=10,DAY($A2)&gt;=15),MONTH($A2)=11,AND(MONTH($A2)=12,DAY($A2)&lt;=7)),1,0)</f>
        <v>0</v>
      </c>
      <c r="F2" s="4" t="n">
        <f aca="false">IF(MONTH($A2)&lt;=3,1,0)</f>
        <v>1</v>
      </c>
      <c r="G2" s="4" t="str">
        <f aca="false" t="array" ref="G2:G2">_xlfn.TEXTJOIN(" | ",TRUE(),IF('FEMA Disasters'!$F$2:$F$1000=$A2,'FEMA Disasters'!$D$2:$D$1000&amp;" begin: ["&amp;'FEMA Disasters'!$B$2:$B$1000&amp;"] "&amp;'FEMA Disasters'!$C$2:$C$1000&amp;"-"&amp;'FEMA Disasters'!$A$2:$A$1000,""),IF('FEMA Disasters'!$G$2:$G$1000=$A2,'FEMA Disasters'!$D$2:$D$1000&amp;" ended: ["&amp;'FEMA Disasters'!$B$2:$B$1000&amp;"] "&amp;'FEMA Disasters'!$C$2:$C$1000&amp;"-"&amp;'FEMA Disasters'!$A$2:$A$1000,""),IF('FEMA Disasters'!$K$2:$K$1000=$A2,"Disaster SEP opens: "&amp;'FEMA Disasters'!$D$2:$D$1000&amp;" ["&amp;'FEMA Disasters'!$B$2:$B$1000&amp;"] "&amp;'FEMA Disasters'!$C$2:$C$1000&amp;"-"&amp;'FEMA Disasters'!$A$2:$A$1000,""),IF('FEMA Disasters'!$L$2:$L$1000=$A2,"Disaster SEP ended: "&amp;'FEMA Disasters'!$D$2:$D$1000&amp;" ["&amp;'FEMA Disasters'!$B$2:$B$1000&amp;"] "&amp;'FEMA Disasters'!$C$2:$C$1000&amp;"-"&amp;'FEMA Disasters'!$A$2:$A$1000,""))</f>
        <v/>
      </c>
      <c r="H2" s="4" t="n">
        <f aca="false">COUNTIF(Events!$A$2:$A$397,$A2)</f>
        <v>2</v>
      </c>
      <c r="I2" s="5" t="str">
        <f aca="false" t="array" ref="I2:I2">_xlfn.TEXTJOIN(" | ",TRUE(),IF(Events!$A$2:$A$397=$A2,Events!$E$2:$E$397&amp;IF(Events!$G$2:$G$397="National",""," ["&amp;Events!$G$2:$G$397&amp;"]"),""))</f>
        <v>IRA phase-in: 5% coinsurance in Part D catastrophic phase eliminated; full Low-Income Subsidy (Extra Help) expanded to 150% FPL | Kentucky Medigap birthday rule takes effect (2023 HB 345, Ch. 182; KRS 304.14-525): enrollees may switch to another insurer's same-letter policy within 60 days after their birthday, no medical underwriting; law also added under-65 open enrollment protections [KY]</v>
      </c>
    </row>
    <row r="3" customFormat="false" ht="15" hidden="false" customHeight="true" outlineLevel="0" collapsed="false">
      <c r="A3" s="3" t="n">
        <v>45293</v>
      </c>
      <c r="B3" s="4" t="n">
        <f aca="false">YEAR($A3)</f>
        <v>2024</v>
      </c>
      <c r="C3" s="4" t="n">
        <f aca="false">MONTH($A3)</f>
        <v>1</v>
      </c>
      <c r="D3" s="4" t="str">
        <f aca="false">TEXT($A3,"ddd")</f>
        <v>Tue</v>
      </c>
      <c r="E3" s="4" t="n">
        <f aca="false">IF(OR(AND(MONTH($A3)=10,DAY($A3)&gt;=15),MONTH($A3)=11,AND(MONTH($A3)=12,DAY($A3)&lt;=7)),1,0)</f>
        <v>0</v>
      </c>
      <c r="F3" s="4" t="n">
        <f aca="false">IF(MONTH($A3)&lt;=3,1,0)</f>
        <v>1</v>
      </c>
      <c r="G3" s="4" t="str">
        <f aca="false" t="array" ref="G3:G3">_xlfn.TEXTJOIN(" | ",TRUE(),IF('FEMA Disasters'!$F$2:$F$1000=$A3,'FEMA Disasters'!$D$2:$D$1000&amp;" begin: ["&amp;'FEMA Disasters'!$B$2:$B$1000&amp;"] "&amp;'FEMA Disasters'!$C$2:$C$1000&amp;"-"&amp;'FEMA Disasters'!$A$2:$A$1000,""),IF('FEMA Disasters'!$G$2:$G$1000=$A3,'FEMA Disasters'!$D$2:$D$1000&amp;" ended: ["&amp;'FEMA Disasters'!$B$2:$B$1000&amp;"] "&amp;'FEMA Disasters'!$C$2:$C$1000&amp;"-"&amp;'FEMA Disasters'!$A$2:$A$1000,""),IF('FEMA Disasters'!$K$2:$K$1000=$A3,"Disaster SEP opens: "&amp;'FEMA Disasters'!$D$2:$D$1000&amp;" ["&amp;'FEMA Disasters'!$B$2:$B$1000&amp;"] "&amp;'FEMA Disasters'!$C$2:$C$1000&amp;"-"&amp;'FEMA Disasters'!$A$2:$A$1000,""),IF('FEMA Disasters'!$L$2:$L$1000=$A3,"Disaster SEP ended: "&amp;'FEMA Disasters'!$D$2:$D$1000&amp;" ["&amp;'FEMA Disasters'!$B$2:$B$1000&amp;"] "&amp;'FEMA Disasters'!$C$2:$C$1000&amp;"-"&amp;'FEMA Disasters'!$A$2:$A$1000,""))</f>
        <v/>
      </c>
      <c r="H3" s="4" t="n">
        <f aca="false">COUNTIF(Events!$A$2:$A$397,$A3)</f>
        <v>0</v>
      </c>
      <c r="I3" s="6" t="str">
        <f aca="false" t="array" ref="I3:I3">_xlfn.TEXTJOIN(" | ",TRUE(),IF(Events!$A$2:$A$397=$A3,Events!$E$2:$E$397&amp;IF(Events!$G$2:$G$397="National",""," ["&amp;Events!$G$2:$G$397&amp;"]"),""))</f>
        <v/>
      </c>
    </row>
    <row r="4" customFormat="false" ht="15" hidden="false" customHeight="true" outlineLevel="0" collapsed="false">
      <c r="A4" s="3" t="n">
        <v>45294</v>
      </c>
      <c r="B4" s="4" t="n">
        <f aca="false">YEAR($A4)</f>
        <v>2024</v>
      </c>
      <c r="C4" s="4" t="n">
        <f aca="false">MONTH($A4)</f>
        <v>1</v>
      </c>
      <c r="D4" s="4" t="str">
        <f aca="false">TEXT($A4,"ddd")</f>
        <v>Wed</v>
      </c>
      <c r="E4" s="4" t="n">
        <f aca="false">IF(OR(AND(MONTH($A4)=10,DAY($A4)&gt;=15),MONTH($A4)=11,AND(MONTH($A4)=12,DAY($A4)&lt;=7)),1,0)</f>
        <v>0</v>
      </c>
      <c r="F4" s="4" t="n">
        <f aca="false">IF(MONTH($A4)&lt;=3,1,0)</f>
        <v>1</v>
      </c>
      <c r="G4" s="4" t="str">
        <f aca="false" t="array" ref="G4:G4">_xlfn.TEXTJOIN(" | ",TRUE(),IF('FEMA Disasters'!$F$2:$F$1000=$A4,'FEMA Disasters'!$D$2:$D$1000&amp;" begin: ["&amp;'FEMA Disasters'!$B$2:$B$1000&amp;"] "&amp;'FEMA Disasters'!$C$2:$C$1000&amp;"-"&amp;'FEMA Disasters'!$A$2:$A$1000,""),IF('FEMA Disasters'!$G$2:$G$1000=$A4,'FEMA Disasters'!$D$2:$D$1000&amp;" ended: ["&amp;'FEMA Disasters'!$B$2:$B$1000&amp;"] "&amp;'FEMA Disasters'!$C$2:$C$1000&amp;"-"&amp;'FEMA Disasters'!$A$2:$A$1000,""),IF('FEMA Disasters'!$K$2:$K$1000=$A4,"Disaster SEP opens: "&amp;'FEMA Disasters'!$D$2:$D$1000&amp;" ["&amp;'FEMA Disasters'!$B$2:$B$1000&amp;"] "&amp;'FEMA Disasters'!$C$2:$C$1000&amp;"-"&amp;'FEMA Disasters'!$A$2:$A$1000,""),IF('FEMA Disasters'!$L$2:$L$1000=$A4,"Disaster SEP ended: "&amp;'FEMA Disasters'!$D$2:$D$1000&amp;" ["&amp;'FEMA Disasters'!$B$2:$B$1000&amp;"] "&amp;'FEMA Disasters'!$C$2:$C$1000&amp;"-"&amp;'FEMA Disasters'!$A$2:$A$1000,""))</f>
        <v/>
      </c>
      <c r="H4" s="4" t="n">
        <f aca="false">COUNTIF(Events!$A$2:$A$397,$A4)</f>
        <v>0</v>
      </c>
      <c r="I4" s="6" t="str">
        <f aca="false" t="array" ref="I4:I4">_xlfn.TEXTJOIN(" | ",TRUE(),IF(Events!$A$2:$A$397=$A4,Events!$E$2:$E$397&amp;IF(Events!$G$2:$G$397="National",""," ["&amp;Events!$G$2:$G$397&amp;"]"),""))</f>
        <v/>
      </c>
    </row>
    <row r="5" customFormat="false" ht="15" hidden="false" customHeight="true" outlineLevel="0" collapsed="false">
      <c r="A5" s="3" t="n">
        <v>45295</v>
      </c>
      <c r="B5" s="4" t="n">
        <f aca="false">YEAR($A5)</f>
        <v>2024</v>
      </c>
      <c r="C5" s="4" t="n">
        <f aca="false">MONTH($A5)</f>
        <v>1</v>
      </c>
      <c r="D5" s="4" t="str">
        <f aca="false">TEXT($A5,"ddd")</f>
        <v>Thu</v>
      </c>
      <c r="E5" s="4" t="n">
        <f aca="false">IF(OR(AND(MONTH($A5)=10,DAY($A5)&gt;=15),MONTH($A5)=11,AND(MONTH($A5)=12,DAY($A5)&lt;=7)),1,0)</f>
        <v>0</v>
      </c>
      <c r="F5" s="4" t="n">
        <f aca="false">IF(MONTH($A5)&lt;=3,1,0)</f>
        <v>1</v>
      </c>
      <c r="G5" s="4" t="str">
        <f aca="false" t="array" ref="G5:G5">_xlfn.TEXTJOIN(" | ",TRUE(),IF('FEMA Disasters'!$F$2:$F$1000=$A5,'FEMA Disasters'!$D$2:$D$1000&amp;" begin: ["&amp;'FEMA Disasters'!$B$2:$B$1000&amp;"] "&amp;'FEMA Disasters'!$C$2:$C$1000&amp;"-"&amp;'FEMA Disasters'!$A$2:$A$1000,""),IF('FEMA Disasters'!$G$2:$G$1000=$A5,'FEMA Disasters'!$D$2:$D$1000&amp;" ended: ["&amp;'FEMA Disasters'!$B$2:$B$1000&amp;"] "&amp;'FEMA Disasters'!$C$2:$C$1000&amp;"-"&amp;'FEMA Disasters'!$A$2:$A$1000,""),IF('FEMA Disasters'!$K$2:$K$1000=$A5,"Disaster SEP opens: "&amp;'FEMA Disasters'!$D$2:$D$1000&amp;" ["&amp;'FEMA Disasters'!$B$2:$B$1000&amp;"] "&amp;'FEMA Disasters'!$C$2:$C$1000&amp;"-"&amp;'FEMA Disasters'!$A$2:$A$1000,""),IF('FEMA Disasters'!$L$2:$L$1000=$A5,"Disaster SEP ended: "&amp;'FEMA Disasters'!$D$2:$D$1000&amp;" ["&amp;'FEMA Disasters'!$B$2:$B$1000&amp;"] "&amp;'FEMA Disasters'!$C$2:$C$1000&amp;"-"&amp;'FEMA Disasters'!$A$2:$A$1000,""))</f>
        <v/>
      </c>
      <c r="H5" s="4" t="n">
        <f aca="false">COUNTIF(Events!$A$2:$A$397,$A5)</f>
        <v>0</v>
      </c>
      <c r="I5" s="6" t="str">
        <f aca="false" t="array" ref="I5:I5">_xlfn.TEXTJOIN(" | ",TRUE(),IF(Events!$A$2:$A$397=$A5,Events!$E$2:$E$397&amp;IF(Events!$G$2:$G$397="National",""," ["&amp;Events!$G$2:$G$397&amp;"]"),""))</f>
        <v/>
      </c>
    </row>
    <row r="6" customFormat="false" ht="15" hidden="false" customHeight="true" outlineLevel="0" collapsed="false">
      <c r="A6" s="3" t="n">
        <v>45296</v>
      </c>
      <c r="B6" s="4" t="n">
        <f aca="false">YEAR($A6)</f>
        <v>2024</v>
      </c>
      <c r="C6" s="4" t="n">
        <f aca="false">MONTH($A6)</f>
        <v>1</v>
      </c>
      <c r="D6" s="4" t="str">
        <f aca="false">TEXT($A6,"ddd")</f>
        <v>Fri</v>
      </c>
      <c r="E6" s="4" t="n">
        <f aca="false">IF(OR(AND(MONTH($A6)=10,DAY($A6)&gt;=15),MONTH($A6)=11,AND(MONTH($A6)=12,DAY($A6)&lt;=7)),1,0)</f>
        <v>0</v>
      </c>
      <c r="F6" s="4" t="n">
        <f aca="false">IF(MONTH($A6)&lt;=3,1,0)</f>
        <v>1</v>
      </c>
      <c r="G6" s="4" t="str">
        <f aca="false" t="array" ref="G6:G6">_xlfn.TEXTJOIN(" | ",TRUE(),IF('FEMA Disasters'!$F$2:$F$1000=$A6,'FEMA Disasters'!$D$2:$D$1000&amp;" begin: ["&amp;'FEMA Disasters'!$B$2:$B$1000&amp;"] "&amp;'FEMA Disasters'!$C$2:$C$1000&amp;"-"&amp;'FEMA Disasters'!$A$2:$A$1000,""),IF('FEMA Disasters'!$G$2:$G$1000=$A6,'FEMA Disasters'!$D$2:$D$1000&amp;" ended: ["&amp;'FEMA Disasters'!$B$2:$B$1000&amp;"] "&amp;'FEMA Disasters'!$C$2:$C$1000&amp;"-"&amp;'FEMA Disasters'!$A$2:$A$1000,""),IF('FEMA Disasters'!$K$2:$K$1000=$A6,"Disaster SEP opens: "&amp;'FEMA Disasters'!$D$2:$D$1000&amp;" ["&amp;'FEMA Disasters'!$B$2:$B$1000&amp;"] "&amp;'FEMA Disasters'!$C$2:$C$1000&amp;"-"&amp;'FEMA Disasters'!$A$2:$A$1000,""),IF('FEMA Disasters'!$L$2:$L$1000=$A6,"Disaster SEP ended: "&amp;'FEMA Disasters'!$D$2:$D$1000&amp;" ["&amp;'FEMA Disasters'!$B$2:$B$1000&amp;"] "&amp;'FEMA Disasters'!$C$2:$C$1000&amp;"-"&amp;'FEMA Disasters'!$A$2:$A$1000,""))</f>
        <v>Severe Storm begin: [WA] DR-4775 | Disaster SEP opens: Severe Storm [WA] DR-4775</v>
      </c>
      <c r="H6" s="4" t="n">
        <f aca="false">COUNTIF(Events!$A$2:$A$397,$A6)</f>
        <v>0</v>
      </c>
      <c r="I6" s="6" t="str">
        <f aca="false" t="array" ref="I6:I6">_xlfn.TEXTJOIN(" | ",TRUE(),IF(Events!$A$2:$A$397=$A6,Events!$E$2:$E$397&amp;IF(Events!$G$2:$G$397="National",""," ["&amp;Events!$G$2:$G$397&amp;"]"),""))</f>
        <v/>
      </c>
    </row>
    <row r="7" customFormat="false" ht="15" hidden="false" customHeight="true" outlineLevel="0" collapsed="false">
      <c r="A7" s="3" t="n">
        <v>45297</v>
      </c>
      <c r="B7" s="4" t="n">
        <f aca="false">YEAR($A7)</f>
        <v>2024</v>
      </c>
      <c r="C7" s="4" t="n">
        <f aca="false">MONTH($A7)</f>
        <v>1</v>
      </c>
      <c r="D7" s="4" t="str">
        <f aca="false">TEXT($A7,"ddd")</f>
        <v>Sat</v>
      </c>
      <c r="E7" s="4" t="n">
        <f aca="false">IF(OR(AND(MONTH($A7)=10,DAY($A7)&gt;=15),MONTH($A7)=11,AND(MONTH($A7)=12,DAY($A7)&lt;=7)),1,0)</f>
        <v>0</v>
      </c>
      <c r="F7" s="4" t="n">
        <f aca="false">IF(MONTH($A7)&lt;=3,1,0)</f>
        <v>1</v>
      </c>
      <c r="G7" s="4" t="str">
        <f aca="false" t="array" ref="G7:G7">_xlfn.TEXTJOIN(" | ",TRUE(),IF('FEMA Disasters'!$F$2:$F$1000=$A7,'FEMA Disasters'!$D$2:$D$1000&amp;" begin: ["&amp;'FEMA Disasters'!$B$2:$B$1000&amp;"] "&amp;'FEMA Disasters'!$C$2:$C$1000&amp;"-"&amp;'FEMA Disasters'!$A$2:$A$1000,""),IF('FEMA Disasters'!$G$2:$G$1000=$A7,'FEMA Disasters'!$D$2:$D$1000&amp;" ended: ["&amp;'FEMA Disasters'!$B$2:$B$1000&amp;"] "&amp;'FEMA Disasters'!$C$2:$C$1000&amp;"-"&amp;'FEMA Disasters'!$A$2:$A$1000,""),IF('FEMA Disasters'!$K$2:$K$1000=$A7,"Disaster SEP opens: "&amp;'FEMA Disasters'!$D$2:$D$1000&amp;" ["&amp;'FEMA Disasters'!$B$2:$B$1000&amp;"] "&amp;'FEMA Disasters'!$C$2:$C$1000&amp;"-"&amp;'FEMA Disasters'!$A$2:$A$1000,""),IF('FEMA Disasters'!$L$2:$L$1000=$A7,"Disaster SEP ended: "&amp;'FEMA Disasters'!$D$2:$D$1000&amp;" ["&amp;'FEMA Disasters'!$B$2:$B$1000&amp;"] "&amp;'FEMA Disasters'!$C$2:$C$1000&amp;"-"&amp;'FEMA Disasters'!$A$2:$A$1000,""))</f>
        <v/>
      </c>
      <c r="H7" s="4" t="n">
        <f aca="false">COUNTIF(Events!$A$2:$A$397,$A7)</f>
        <v>0</v>
      </c>
      <c r="I7" s="6" t="str">
        <f aca="false" t="array" ref="I7:I7">_xlfn.TEXTJOIN(" | ",TRUE(),IF(Events!$A$2:$A$397=$A7,Events!$E$2:$E$397&amp;IF(Events!$G$2:$G$397="National",""," ["&amp;Events!$G$2:$G$397&amp;"]"),""))</f>
        <v/>
      </c>
    </row>
    <row r="8" customFormat="false" ht="15" hidden="false" customHeight="true" outlineLevel="0" collapsed="false">
      <c r="A8" s="3" t="n">
        <v>45298</v>
      </c>
      <c r="B8" s="4" t="n">
        <f aca="false">YEAR($A8)</f>
        <v>2024</v>
      </c>
      <c r="C8" s="4" t="n">
        <f aca="false">MONTH($A8)</f>
        <v>1</v>
      </c>
      <c r="D8" s="4" t="str">
        <f aca="false">TEXT($A8,"ddd")</f>
        <v>Sun</v>
      </c>
      <c r="E8" s="4" t="n">
        <f aca="false">IF(OR(AND(MONTH($A8)=10,DAY($A8)&gt;=15),MONTH($A8)=11,AND(MONTH($A8)=12,DAY($A8)&lt;=7)),1,0)</f>
        <v>0</v>
      </c>
      <c r="F8" s="4" t="n">
        <f aca="false">IF(MONTH($A8)&lt;=3,1,0)</f>
        <v>1</v>
      </c>
      <c r="G8" s="4" t="str">
        <f aca="false" t="array" ref="G8:G8">_xlfn.TEXTJOIN(" | ",TRUE(),IF('FEMA Disasters'!$F$2:$F$1000=$A8,'FEMA Disasters'!$D$2:$D$1000&amp;" begin: ["&amp;'FEMA Disasters'!$B$2:$B$1000&amp;"] "&amp;'FEMA Disasters'!$C$2:$C$1000&amp;"-"&amp;'FEMA Disasters'!$A$2:$A$1000,""),IF('FEMA Disasters'!$G$2:$G$1000=$A8,'FEMA Disasters'!$D$2:$D$1000&amp;" ended: ["&amp;'FEMA Disasters'!$B$2:$B$1000&amp;"] "&amp;'FEMA Disasters'!$C$2:$C$1000&amp;"-"&amp;'FEMA Disasters'!$A$2:$A$1000,""),IF('FEMA Disasters'!$K$2:$K$1000=$A8,"Disaster SEP opens: "&amp;'FEMA Disasters'!$D$2:$D$1000&amp;" ["&amp;'FEMA Disasters'!$B$2:$B$1000&amp;"] "&amp;'FEMA Disasters'!$C$2:$C$1000&amp;"-"&amp;'FEMA Disasters'!$A$2:$A$1000,""),IF('FEMA Disasters'!$L$2:$L$1000=$A8,"Disaster SEP ended: "&amp;'FEMA Disasters'!$D$2:$D$1000&amp;" ["&amp;'FEMA Disasters'!$B$2:$B$1000&amp;"] "&amp;'FEMA Disasters'!$C$2:$C$1000&amp;"-"&amp;'FEMA Disasters'!$A$2:$A$1000,""))</f>
        <v/>
      </c>
      <c r="H8" s="4" t="n">
        <f aca="false">COUNTIF(Events!$A$2:$A$397,$A8)</f>
        <v>0</v>
      </c>
      <c r="I8" s="6" t="str">
        <f aca="false" t="array" ref="I8:I8">_xlfn.TEXTJOIN(" | ",TRUE(),IF(Events!$A$2:$A$397=$A8,Events!$E$2:$E$397&amp;IF(Events!$G$2:$G$397="National",""," ["&amp;Events!$G$2:$G$397&amp;"]"),""))</f>
        <v/>
      </c>
    </row>
    <row r="9" customFormat="false" ht="14.25" hidden="false" customHeight="true" outlineLevel="0" collapsed="false">
      <c r="A9" s="3" t="n">
        <v>45299</v>
      </c>
      <c r="B9" s="4" t="n">
        <f aca="false">YEAR($A9)</f>
        <v>2024</v>
      </c>
      <c r="C9" s="4" t="n">
        <f aca="false">MONTH($A9)</f>
        <v>1</v>
      </c>
      <c r="D9" s="4" t="str">
        <f aca="false">TEXT($A9,"ddd")</f>
        <v>Mon</v>
      </c>
      <c r="E9" s="4" t="n">
        <f aca="false">IF(OR(AND(MONTH($A9)=10,DAY($A9)&gt;=15),MONTH($A9)=11,AND(MONTH($A9)=12,DAY($A9)&lt;=7)),1,0)</f>
        <v>0</v>
      </c>
      <c r="F9" s="4" t="n">
        <f aca="false">IF(MONTH($A9)&lt;=3,1,0)</f>
        <v>1</v>
      </c>
      <c r="G9" s="4" t="str">
        <f aca="false" t="array" ref="G9:G9">_xlfn.TEXTJOIN(" | ",TRUE(),IF('FEMA Disasters'!$F$2:$F$1000=$A9,'FEMA Disasters'!$D$2:$D$1000&amp;" begin: ["&amp;'FEMA Disasters'!$B$2:$B$1000&amp;"] "&amp;'FEMA Disasters'!$C$2:$C$1000&amp;"-"&amp;'FEMA Disasters'!$A$2:$A$1000,""),IF('FEMA Disasters'!$G$2:$G$1000=$A9,'FEMA Disasters'!$D$2:$D$1000&amp;" ended: ["&amp;'FEMA Disasters'!$B$2:$B$1000&amp;"] "&amp;'FEMA Disasters'!$C$2:$C$1000&amp;"-"&amp;'FEMA Disasters'!$A$2:$A$1000,""),IF('FEMA Disasters'!$K$2:$K$1000=$A9,"Disaster SEP opens: "&amp;'FEMA Disasters'!$D$2:$D$1000&amp;" ["&amp;'FEMA Disasters'!$B$2:$B$1000&amp;"] "&amp;'FEMA Disasters'!$C$2:$C$1000&amp;"-"&amp;'FEMA Disasters'!$A$2:$A$1000,""),IF('FEMA Disasters'!$L$2:$L$1000=$A9,"Disaster SEP ended: "&amp;'FEMA Disasters'!$D$2:$D$1000&amp;" ["&amp;'FEMA Disasters'!$B$2:$B$1000&amp;"] "&amp;'FEMA Disasters'!$C$2:$C$1000&amp;"-"&amp;'FEMA Disasters'!$A$2:$A$1000,""))</f>
        <v>Winter Storm begin: [KS] DR-4774 | Disaster SEP opens: Winter Storm [KS] DR-4774</v>
      </c>
      <c r="H9" s="4" t="n">
        <f aca="false">COUNTIF(Events!$A$2:$A$397,$A9)</f>
        <v>0</v>
      </c>
      <c r="I9" s="6" t="str">
        <f aca="false" t="array" ref="I9:I9">_xlfn.TEXTJOIN(" | ",TRUE(),IF(Events!$A$2:$A$397=$A9,Events!$E$2:$E$397&amp;IF(Events!$G$2:$G$397="National",""," ["&amp;Events!$G$2:$G$397&amp;"]"),""))</f>
        <v/>
      </c>
    </row>
    <row r="10" customFormat="false" ht="14.25" hidden="false" customHeight="true" outlineLevel="0" collapsed="false">
      <c r="A10" s="3" t="n">
        <v>45300</v>
      </c>
      <c r="B10" s="4" t="n">
        <f aca="false">YEAR($A10)</f>
        <v>2024</v>
      </c>
      <c r="C10" s="4" t="n">
        <f aca="false">MONTH($A10)</f>
        <v>1</v>
      </c>
      <c r="D10" s="4" t="str">
        <f aca="false">TEXT($A10,"ddd")</f>
        <v>Tue</v>
      </c>
      <c r="E10" s="4" t="n">
        <f aca="false">IF(OR(AND(MONTH($A10)=10,DAY($A10)&gt;=15),MONTH($A10)=11,AND(MONTH($A10)=12,DAY($A10)&lt;=7)),1,0)</f>
        <v>0</v>
      </c>
      <c r="F10" s="4" t="n">
        <f aca="false">IF(MONTH($A10)&lt;=3,1,0)</f>
        <v>1</v>
      </c>
      <c r="G10" s="4" t="str">
        <f aca="false" t="array" ref="G10:G10">_xlfn.TEXTJOIN(" | ",TRUE(),IF('FEMA Disasters'!$F$2:$F$1000=$A10,'FEMA Disasters'!$D$2:$D$1000&amp;" begin: ["&amp;'FEMA Disasters'!$B$2:$B$1000&amp;"] "&amp;'FEMA Disasters'!$C$2:$C$1000&amp;"-"&amp;'FEMA Disasters'!$A$2:$A$1000,""),IF('FEMA Disasters'!$G$2:$G$1000=$A10,'FEMA Disasters'!$D$2:$D$1000&amp;" ended: ["&amp;'FEMA Disasters'!$B$2:$B$1000&amp;"] "&amp;'FEMA Disasters'!$C$2:$C$1000&amp;"-"&amp;'FEMA Disasters'!$A$2:$A$1000,""),IF('FEMA Disasters'!$K$2:$K$1000=$A10,"Disaster SEP opens: "&amp;'FEMA Disasters'!$D$2:$D$1000&amp;" ["&amp;'FEMA Disasters'!$B$2:$B$1000&amp;"] "&amp;'FEMA Disasters'!$C$2:$C$1000&amp;"-"&amp;'FEMA Disasters'!$A$2:$A$1000,""),IF('FEMA Disasters'!$L$2:$L$1000=$A10,"Disaster SEP ended: "&amp;'FEMA Disasters'!$D$2:$D$1000&amp;" ["&amp;'FEMA Disasters'!$B$2:$B$1000&amp;"] "&amp;'FEMA Disasters'!$C$2:$C$1000&amp;"-"&amp;'FEMA Disasters'!$A$2:$A$1000,""))</f>
        <v>Severe Storm begin: [ME] DR-4764 | Severe Storm begin: [RI] DR-4766 | Severe Storm begin: [VT] DR-4770 | Severe Storm begin: [NH] DR-4771 | Disaster SEP opens: Severe Storm [ME] DR-4764 | Disaster SEP opens: Severe Storm [RI] DR-4766 | Disaster SEP opens: Severe Storm [VT] DR-4770 | Disaster SEP opens: Severe Storm [NH] DR-4771</v>
      </c>
      <c r="H10" s="4" t="n">
        <f aca="false">COUNTIF(Events!$A$2:$A$397,$A10)</f>
        <v>0</v>
      </c>
      <c r="I10" s="6" t="str">
        <f aca="false" t="array" ref="I10:I10">_xlfn.TEXTJOIN(" | ",TRUE(),IF(Events!$A$2:$A$397=$A10,Events!$E$2:$E$397&amp;IF(Events!$G$2:$G$397="National",""," ["&amp;Events!$G$2:$G$397&amp;"]"),""))</f>
        <v/>
      </c>
    </row>
    <row r="11" customFormat="false" ht="14.25" hidden="false" customHeight="true" outlineLevel="0" collapsed="false">
      <c r="A11" s="3" t="n">
        <v>45301</v>
      </c>
      <c r="B11" s="4" t="n">
        <f aca="false">YEAR($A11)</f>
        <v>2024</v>
      </c>
      <c r="C11" s="4" t="n">
        <f aca="false">MONTH($A11)</f>
        <v>1</v>
      </c>
      <c r="D11" s="4" t="str">
        <f aca="false">TEXT($A11,"ddd")</f>
        <v>Wed</v>
      </c>
      <c r="E11" s="4" t="n">
        <f aca="false">IF(OR(AND(MONTH($A11)=10,DAY($A11)&gt;=15),MONTH($A11)=11,AND(MONTH($A11)=12,DAY($A11)&lt;=7)),1,0)</f>
        <v>0</v>
      </c>
      <c r="F11" s="4" t="n">
        <f aca="false">IF(MONTH($A11)&lt;=3,1,0)</f>
        <v>1</v>
      </c>
      <c r="G11" s="4" t="str">
        <f aca="false" t="array" ref="G11:G11">_xlfn.TEXTJOIN(" | ",TRUE(),IF('FEMA Disasters'!$F$2:$F$1000=$A11,'FEMA Disasters'!$D$2:$D$1000&amp;" begin: ["&amp;'FEMA Disasters'!$B$2:$B$1000&amp;"] "&amp;'FEMA Disasters'!$C$2:$C$1000&amp;"-"&amp;'FEMA Disasters'!$A$2:$A$1000,""),IF('FEMA Disasters'!$G$2:$G$1000=$A11,'FEMA Disasters'!$D$2:$D$1000&amp;" ended: ["&amp;'FEMA Disasters'!$B$2:$B$1000&amp;"] "&amp;'FEMA Disasters'!$C$2:$C$1000&amp;"-"&amp;'FEMA Disasters'!$A$2:$A$1000,""),IF('FEMA Disasters'!$K$2:$K$1000=$A11,"Disaster SEP opens: "&amp;'FEMA Disasters'!$D$2:$D$1000&amp;" ["&amp;'FEMA Disasters'!$B$2:$B$1000&amp;"] "&amp;'FEMA Disasters'!$C$2:$C$1000&amp;"-"&amp;'FEMA Disasters'!$A$2:$A$1000,""),IF('FEMA Disasters'!$L$2:$L$1000=$A11,"Disaster SEP ended: "&amp;'FEMA Disasters'!$D$2:$D$1000&amp;" ["&amp;'FEMA Disasters'!$B$2:$B$1000&amp;"] "&amp;'FEMA Disasters'!$C$2:$C$1000&amp;"-"&amp;'FEMA Disasters'!$A$2:$A$1000,""))</f>
        <v>Severe Storm begin: [CT] EM-3604 | Severe Storm begin: [OR] DR-4768 | Disaster SEP opens: Severe Storm [CT] EM-3604 | Disaster SEP opens: Severe Storm [OR] DR-4768</v>
      </c>
      <c r="H11" s="4" t="n">
        <f aca="false">COUNTIF(Events!$A$2:$A$397,$A11)</f>
        <v>0</v>
      </c>
      <c r="I11" s="6" t="str">
        <f aca="false" t="array" ref="I11:I11">_xlfn.TEXTJOIN(" | ",TRUE(),IF(Events!$A$2:$A$397=$A11,Events!$E$2:$E$397&amp;IF(Events!$G$2:$G$397="National",""," ["&amp;Events!$G$2:$G$397&amp;"]"),""))</f>
        <v/>
      </c>
    </row>
    <row r="12" customFormat="false" ht="15" hidden="false" customHeight="true" outlineLevel="0" collapsed="false">
      <c r="A12" s="3" t="n">
        <v>45302</v>
      </c>
      <c r="B12" s="4" t="n">
        <f aca="false">YEAR($A12)</f>
        <v>2024</v>
      </c>
      <c r="C12" s="4" t="n">
        <f aca="false">MONTH($A12)</f>
        <v>1</v>
      </c>
      <c r="D12" s="4" t="str">
        <f aca="false">TEXT($A12,"ddd")</f>
        <v>Thu</v>
      </c>
      <c r="E12" s="4" t="n">
        <f aca="false">IF(OR(AND(MONTH($A12)=10,DAY($A12)&gt;=15),MONTH($A12)=11,AND(MONTH($A12)=12,DAY($A12)&lt;=7)),1,0)</f>
        <v>0</v>
      </c>
      <c r="F12" s="4" t="n">
        <f aca="false">IF(MONTH($A12)&lt;=3,1,0)</f>
        <v>1</v>
      </c>
      <c r="G12" s="4" t="str">
        <f aca="false" t="array" ref="G12:G12">_xlfn.TEXTJOIN(" | ",TRUE(),IF('FEMA Disasters'!$F$2:$F$1000=$A12,'FEMA Disasters'!$D$2:$D$1000&amp;" begin: ["&amp;'FEMA Disasters'!$B$2:$B$1000&amp;"] "&amp;'FEMA Disasters'!$C$2:$C$1000&amp;"-"&amp;'FEMA Disasters'!$A$2:$A$1000,""),IF('FEMA Disasters'!$G$2:$G$1000=$A12,'FEMA Disasters'!$D$2:$D$1000&amp;" ended: ["&amp;'FEMA Disasters'!$B$2:$B$1000&amp;"] "&amp;'FEMA Disasters'!$C$2:$C$1000&amp;"-"&amp;'FEMA Disasters'!$A$2:$A$1000,""),IF('FEMA Disasters'!$K$2:$K$1000=$A12,"Disaster SEP opens: "&amp;'FEMA Disasters'!$D$2:$D$1000&amp;" ["&amp;'FEMA Disasters'!$B$2:$B$1000&amp;"] "&amp;'FEMA Disasters'!$C$2:$C$1000&amp;"-"&amp;'FEMA Disasters'!$A$2:$A$1000,""),IF('FEMA Disasters'!$L$2:$L$1000=$A12,"Disaster SEP ended: "&amp;'FEMA Disasters'!$D$2:$D$1000&amp;" ["&amp;'FEMA Disasters'!$B$2:$B$1000&amp;"] "&amp;'FEMA Disasters'!$C$2:$C$1000&amp;"-"&amp;'FEMA Disasters'!$A$2:$A$1000,""))</f>
        <v/>
      </c>
      <c r="H12" s="4" t="n">
        <f aca="false">COUNTIF(Events!$A$2:$A$397,$A12)</f>
        <v>0</v>
      </c>
      <c r="I12" s="6" t="str">
        <f aca="false" t="array" ref="I12:I12">_xlfn.TEXTJOIN(" | ",TRUE(),IF(Events!$A$2:$A$397=$A12,Events!$E$2:$E$397&amp;IF(Events!$G$2:$G$397="National",""," ["&amp;Events!$G$2:$G$397&amp;"]"),""))</f>
        <v/>
      </c>
    </row>
    <row r="13" customFormat="false" ht="15" hidden="false" customHeight="true" outlineLevel="0" collapsed="false">
      <c r="A13" s="3" t="n">
        <v>45303</v>
      </c>
      <c r="B13" s="4" t="n">
        <f aca="false">YEAR($A13)</f>
        <v>2024</v>
      </c>
      <c r="C13" s="4" t="n">
        <f aca="false">MONTH($A13)</f>
        <v>1</v>
      </c>
      <c r="D13" s="4" t="str">
        <f aca="false">TEXT($A13,"ddd")</f>
        <v>Fri</v>
      </c>
      <c r="E13" s="4" t="n">
        <f aca="false">IF(OR(AND(MONTH($A13)=10,DAY($A13)&gt;=15),MONTH($A13)=11,AND(MONTH($A13)=12,DAY($A13)&lt;=7)),1,0)</f>
        <v>0</v>
      </c>
      <c r="F13" s="4" t="n">
        <f aca="false">IF(MONTH($A13)&lt;=3,1,0)</f>
        <v>1</v>
      </c>
      <c r="G13" s="4" t="str">
        <f aca="false" t="array" ref="G13:G13">_xlfn.TEXTJOIN(" | ",TRUE(),IF('FEMA Disasters'!$F$2:$F$1000=$A13,'FEMA Disasters'!$D$2:$D$1000&amp;" begin: ["&amp;'FEMA Disasters'!$B$2:$B$1000&amp;"] "&amp;'FEMA Disasters'!$C$2:$C$1000&amp;"-"&amp;'FEMA Disasters'!$A$2:$A$1000,""),IF('FEMA Disasters'!$G$2:$G$1000=$A13,'FEMA Disasters'!$D$2:$D$1000&amp;" ended: ["&amp;'FEMA Disasters'!$B$2:$B$1000&amp;"] "&amp;'FEMA Disasters'!$C$2:$C$1000&amp;"-"&amp;'FEMA Disasters'!$A$2:$A$1000,""),IF('FEMA Disasters'!$K$2:$K$1000=$A13,"Disaster SEP opens: "&amp;'FEMA Disasters'!$D$2:$D$1000&amp;" ["&amp;'FEMA Disasters'!$B$2:$B$1000&amp;"] "&amp;'FEMA Disasters'!$C$2:$C$1000&amp;"-"&amp;'FEMA Disasters'!$A$2:$A$1000,""),IF('FEMA Disasters'!$L$2:$L$1000=$A13,"Disaster SEP ended: "&amp;'FEMA Disasters'!$D$2:$D$1000&amp;" ["&amp;'FEMA Disasters'!$B$2:$B$1000&amp;"] "&amp;'FEMA Disasters'!$C$2:$C$1000&amp;"-"&amp;'FEMA Disasters'!$A$2:$A$1000,""))</f>
        <v/>
      </c>
      <c r="H13" s="4" t="n">
        <f aca="false">COUNTIF(Events!$A$2:$A$397,$A13)</f>
        <v>0</v>
      </c>
      <c r="I13" s="6" t="str">
        <f aca="false" t="array" ref="I13:I13">_xlfn.TEXTJOIN(" | ",TRUE(),IF(Events!$A$2:$A$397=$A13,Events!$E$2:$E$397&amp;IF(Events!$G$2:$G$397="National",""," ["&amp;Events!$G$2:$G$397&amp;"]"),""))</f>
        <v/>
      </c>
    </row>
    <row r="14" customFormat="false" ht="15" hidden="false" customHeight="true" outlineLevel="0" collapsed="false">
      <c r="A14" s="3" t="n">
        <v>45304</v>
      </c>
      <c r="B14" s="4" t="n">
        <f aca="false">YEAR($A14)</f>
        <v>2024</v>
      </c>
      <c r="C14" s="4" t="n">
        <f aca="false">MONTH($A14)</f>
        <v>1</v>
      </c>
      <c r="D14" s="4" t="str">
        <f aca="false">TEXT($A14,"ddd")</f>
        <v>Sat</v>
      </c>
      <c r="E14" s="4" t="n">
        <f aca="false">IF(OR(AND(MONTH($A14)=10,DAY($A14)&gt;=15),MONTH($A14)=11,AND(MONTH($A14)=12,DAY($A14)&lt;=7)),1,0)</f>
        <v>0</v>
      </c>
      <c r="F14" s="4" t="n">
        <f aca="false">IF(MONTH($A14)&lt;=3,1,0)</f>
        <v>1</v>
      </c>
      <c r="G14" s="4" t="str">
        <f aca="false" t="array" ref="G14:G14">_xlfn.TEXTJOIN(" | ",TRUE(),IF('FEMA Disasters'!$F$2:$F$1000=$A14,'FEMA Disasters'!$D$2:$D$1000&amp;" begin: ["&amp;'FEMA Disasters'!$B$2:$B$1000&amp;"] "&amp;'FEMA Disasters'!$C$2:$C$1000&amp;"-"&amp;'FEMA Disasters'!$A$2:$A$1000,""),IF('FEMA Disasters'!$G$2:$G$1000=$A14,'FEMA Disasters'!$D$2:$D$1000&amp;" ended: ["&amp;'FEMA Disasters'!$B$2:$B$1000&amp;"] "&amp;'FEMA Disasters'!$C$2:$C$1000&amp;"-"&amp;'FEMA Disasters'!$A$2:$A$1000,""),IF('FEMA Disasters'!$K$2:$K$1000=$A14,"Disaster SEP opens: "&amp;'FEMA Disasters'!$D$2:$D$1000&amp;" ["&amp;'FEMA Disasters'!$B$2:$B$1000&amp;"] "&amp;'FEMA Disasters'!$C$2:$C$1000&amp;"-"&amp;'FEMA Disasters'!$A$2:$A$1000,""),IF('FEMA Disasters'!$L$2:$L$1000=$A14,"Disaster SEP ended: "&amp;'FEMA Disasters'!$D$2:$D$1000&amp;" ["&amp;'FEMA Disasters'!$B$2:$B$1000&amp;"] "&amp;'FEMA Disasters'!$C$2:$C$1000&amp;"-"&amp;'FEMA Disasters'!$A$2:$A$1000,""))</f>
        <v>Severe Storm ended: [ME] DR-4764 | Severe Storm ended: [RI] DR-4766 | Severe Storm ended: [VT] DR-4770 | Severe Storm ended: [CT] EM-3604</v>
      </c>
      <c r="H14" s="4" t="n">
        <f aca="false">COUNTIF(Events!$A$2:$A$397,$A14)</f>
        <v>0</v>
      </c>
      <c r="I14" s="6" t="str">
        <f aca="false" t="array" ref="I14:I14">_xlfn.TEXTJOIN(" | ",TRUE(),IF(Events!$A$2:$A$397=$A14,Events!$E$2:$E$397&amp;IF(Events!$G$2:$G$397="National",""," ["&amp;Events!$G$2:$G$397&amp;"]"),""))</f>
        <v/>
      </c>
    </row>
    <row r="15" customFormat="false" ht="15" hidden="false" customHeight="true" outlineLevel="0" collapsed="false">
      <c r="A15" s="3" t="n">
        <v>45305</v>
      </c>
      <c r="B15" s="4" t="n">
        <f aca="false">YEAR($A15)</f>
        <v>2024</v>
      </c>
      <c r="C15" s="4" t="n">
        <f aca="false">MONTH($A15)</f>
        <v>1</v>
      </c>
      <c r="D15" s="4" t="str">
        <f aca="false">TEXT($A15,"ddd")</f>
        <v>Sun</v>
      </c>
      <c r="E15" s="4" t="n">
        <f aca="false">IF(OR(AND(MONTH($A15)=10,DAY($A15)&gt;=15),MONTH($A15)=11,AND(MONTH($A15)=12,DAY($A15)&lt;=7)),1,0)</f>
        <v>0</v>
      </c>
      <c r="F15" s="4" t="n">
        <f aca="false">IF(MONTH($A15)&lt;=3,1,0)</f>
        <v>1</v>
      </c>
      <c r="G15" s="4" t="str">
        <f aca="false" t="array" ref="G15:G15">_xlfn.TEXTJOIN(" | ",TRUE(),IF('FEMA Disasters'!$F$2:$F$1000=$A15,'FEMA Disasters'!$D$2:$D$1000&amp;" begin: ["&amp;'FEMA Disasters'!$B$2:$B$1000&amp;"] "&amp;'FEMA Disasters'!$C$2:$C$1000&amp;"-"&amp;'FEMA Disasters'!$A$2:$A$1000,""),IF('FEMA Disasters'!$G$2:$G$1000=$A15,'FEMA Disasters'!$D$2:$D$1000&amp;" ended: ["&amp;'FEMA Disasters'!$B$2:$B$1000&amp;"] "&amp;'FEMA Disasters'!$C$2:$C$1000&amp;"-"&amp;'FEMA Disasters'!$A$2:$A$1000,""),IF('FEMA Disasters'!$K$2:$K$1000=$A15,"Disaster SEP opens: "&amp;'FEMA Disasters'!$D$2:$D$1000&amp;" ["&amp;'FEMA Disasters'!$B$2:$B$1000&amp;"] "&amp;'FEMA Disasters'!$C$2:$C$1000&amp;"-"&amp;'FEMA Disasters'!$A$2:$A$1000,""),IF('FEMA Disasters'!$L$2:$L$1000=$A15,"Disaster SEP ended: "&amp;'FEMA Disasters'!$D$2:$D$1000&amp;" ["&amp;'FEMA Disasters'!$B$2:$B$1000&amp;"] "&amp;'FEMA Disasters'!$C$2:$C$1000&amp;"-"&amp;'FEMA Disasters'!$A$2:$A$1000,""))</f>
        <v>Severe Storm ended: [NH] DR-4771</v>
      </c>
      <c r="H15" s="4" t="n">
        <f aca="false">COUNTIF(Events!$A$2:$A$397,$A15)</f>
        <v>0</v>
      </c>
      <c r="I15" s="6" t="str">
        <f aca="false" t="array" ref="I15:I15">_xlfn.TEXTJOIN(" | ",TRUE(),IF(Events!$A$2:$A$397=$A15,Events!$E$2:$E$397&amp;IF(Events!$G$2:$G$397="National",""," ["&amp;Events!$G$2:$G$397&amp;"]"),""))</f>
        <v/>
      </c>
    </row>
    <row r="16" customFormat="false" ht="15" hidden="false" customHeight="true" outlineLevel="0" collapsed="false">
      <c r="A16" s="3" t="n">
        <v>45306</v>
      </c>
      <c r="B16" s="4" t="n">
        <f aca="false">YEAR($A16)</f>
        <v>2024</v>
      </c>
      <c r="C16" s="4" t="n">
        <f aca="false">MONTH($A16)</f>
        <v>1</v>
      </c>
      <c r="D16" s="4" t="str">
        <f aca="false">TEXT($A16,"ddd")</f>
        <v>Mon</v>
      </c>
      <c r="E16" s="4" t="n">
        <f aca="false">IF(OR(AND(MONTH($A16)=10,DAY($A16)&gt;=15),MONTH($A16)=11,AND(MONTH($A16)=12,DAY($A16)&lt;=7)),1,0)</f>
        <v>0</v>
      </c>
      <c r="F16" s="4" t="n">
        <f aca="false">IF(MONTH($A16)&lt;=3,1,0)</f>
        <v>1</v>
      </c>
      <c r="G16" s="4" t="str">
        <f aca="false" t="array" ref="G16:G16">_xlfn.TEXTJOIN(" | ",TRUE(),IF('FEMA Disasters'!$F$2:$F$1000=$A16,'FEMA Disasters'!$D$2:$D$1000&amp;" begin: ["&amp;'FEMA Disasters'!$B$2:$B$1000&amp;"] "&amp;'FEMA Disasters'!$C$2:$C$1000&amp;"-"&amp;'FEMA Disasters'!$A$2:$A$1000,""),IF('FEMA Disasters'!$G$2:$G$1000=$A16,'FEMA Disasters'!$D$2:$D$1000&amp;" ended: ["&amp;'FEMA Disasters'!$B$2:$B$1000&amp;"] "&amp;'FEMA Disasters'!$C$2:$C$1000&amp;"-"&amp;'FEMA Disasters'!$A$2:$A$1000,""),IF('FEMA Disasters'!$K$2:$K$1000=$A16,"Disaster SEP opens: "&amp;'FEMA Disasters'!$D$2:$D$1000&amp;" ["&amp;'FEMA Disasters'!$B$2:$B$1000&amp;"] "&amp;'FEMA Disasters'!$C$2:$C$1000&amp;"-"&amp;'FEMA Disasters'!$A$2:$A$1000,""),IF('FEMA Disasters'!$L$2:$L$1000=$A16,"Disaster SEP ended: "&amp;'FEMA Disasters'!$D$2:$D$1000&amp;" ["&amp;'FEMA Disasters'!$B$2:$B$1000&amp;"] "&amp;'FEMA Disasters'!$C$2:$C$1000&amp;"-"&amp;'FEMA Disasters'!$A$2:$A$1000,""))</f>
        <v/>
      </c>
      <c r="H16" s="4" t="n">
        <f aca="false">COUNTIF(Events!$A$2:$A$397,$A16)</f>
        <v>0</v>
      </c>
      <c r="I16" s="6" t="str">
        <f aca="false" t="array" ref="I16:I16">_xlfn.TEXTJOIN(" | ",TRUE(),IF(Events!$A$2:$A$397=$A16,Events!$E$2:$E$397&amp;IF(Events!$G$2:$G$397="National",""," ["&amp;Events!$G$2:$G$397&amp;"]"),""))</f>
        <v/>
      </c>
    </row>
    <row r="17" customFormat="false" ht="15" hidden="false" customHeight="true" outlineLevel="0" collapsed="false">
      <c r="A17" s="3" t="n">
        <v>45307</v>
      </c>
      <c r="B17" s="4" t="n">
        <f aca="false">YEAR($A17)</f>
        <v>2024</v>
      </c>
      <c r="C17" s="4" t="n">
        <f aca="false">MONTH($A17)</f>
        <v>1</v>
      </c>
      <c r="D17" s="4" t="str">
        <f aca="false">TEXT($A17,"ddd")</f>
        <v>Tue</v>
      </c>
      <c r="E17" s="4" t="n">
        <f aca="false">IF(OR(AND(MONTH($A17)=10,DAY($A17)&gt;=15),MONTH($A17)=11,AND(MONTH($A17)=12,DAY($A17)&lt;=7)),1,0)</f>
        <v>0</v>
      </c>
      <c r="F17" s="4" t="n">
        <f aca="false">IF(MONTH($A17)&lt;=3,1,0)</f>
        <v>1</v>
      </c>
      <c r="G17" s="4" t="str">
        <f aca="false" t="array" ref="G17:G17">_xlfn.TEXTJOIN(" | ",TRUE(),IF('FEMA Disasters'!$F$2:$F$1000=$A17,'FEMA Disasters'!$D$2:$D$1000&amp;" begin: ["&amp;'FEMA Disasters'!$B$2:$B$1000&amp;"] "&amp;'FEMA Disasters'!$C$2:$C$1000&amp;"-"&amp;'FEMA Disasters'!$A$2:$A$1000,""),IF('FEMA Disasters'!$G$2:$G$1000=$A17,'FEMA Disasters'!$D$2:$D$1000&amp;" ended: ["&amp;'FEMA Disasters'!$B$2:$B$1000&amp;"] "&amp;'FEMA Disasters'!$C$2:$C$1000&amp;"-"&amp;'FEMA Disasters'!$A$2:$A$1000,""),IF('FEMA Disasters'!$K$2:$K$1000=$A17,"Disaster SEP opens: "&amp;'FEMA Disasters'!$D$2:$D$1000&amp;" ["&amp;'FEMA Disasters'!$B$2:$B$1000&amp;"] "&amp;'FEMA Disasters'!$C$2:$C$1000&amp;"-"&amp;'FEMA Disasters'!$A$2:$A$1000,""),IF('FEMA Disasters'!$L$2:$L$1000=$A17,"Disaster SEP ended: "&amp;'FEMA Disasters'!$D$2:$D$1000&amp;" ["&amp;'FEMA Disasters'!$B$2:$B$1000&amp;"] "&amp;'FEMA Disasters'!$C$2:$C$1000&amp;"-"&amp;'FEMA Disasters'!$A$2:$A$1000,""))</f>
        <v>Winter Storm ended: [KS] DR-4774</v>
      </c>
      <c r="H17" s="4" t="n">
        <f aca="false">COUNTIF(Events!$A$2:$A$397,$A17)</f>
        <v>0</v>
      </c>
      <c r="I17" s="6" t="str">
        <f aca="false" t="array" ref="I17:I17">_xlfn.TEXTJOIN(" | ",TRUE(),IF(Events!$A$2:$A$397=$A17,Events!$E$2:$E$397&amp;IF(Events!$G$2:$G$397="National",""," ["&amp;Events!$G$2:$G$397&amp;"]"),""))</f>
        <v/>
      </c>
    </row>
    <row r="18" customFormat="false" ht="15" hidden="false" customHeight="true" outlineLevel="0" collapsed="false">
      <c r="A18" s="3" t="n">
        <v>45308</v>
      </c>
      <c r="B18" s="4" t="n">
        <f aca="false">YEAR($A18)</f>
        <v>2024</v>
      </c>
      <c r="C18" s="4" t="n">
        <f aca="false">MONTH($A18)</f>
        <v>1</v>
      </c>
      <c r="D18" s="4" t="str">
        <f aca="false">TEXT($A18,"ddd")</f>
        <v>Wed</v>
      </c>
      <c r="E18" s="4" t="n">
        <f aca="false">IF(OR(AND(MONTH($A18)=10,DAY($A18)&gt;=15),MONTH($A18)=11,AND(MONTH($A18)=12,DAY($A18)&lt;=7)),1,0)</f>
        <v>0</v>
      </c>
      <c r="F18" s="4" t="n">
        <f aca="false">IF(MONTH($A18)&lt;=3,1,0)</f>
        <v>1</v>
      </c>
      <c r="G18" s="4" t="str">
        <f aca="false" t="array" ref="G18:G18">_xlfn.TEXTJOIN(" | ",TRUE(),IF('FEMA Disasters'!$F$2:$F$1000=$A18,'FEMA Disasters'!$D$2:$D$1000&amp;" begin: ["&amp;'FEMA Disasters'!$B$2:$B$1000&amp;"] "&amp;'FEMA Disasters'!$C$2:$C$1000&amp;"-"&amp;'FEMA Disasters'!$A$2:$A$1000,""),IF('FEMA Disasters'!$G$2:$G$1000=$A18,'FEMA Disasters'!$D$2:$D$1000&amp;" ended: ["&amp;'FEMA Disasters'!$B$2:$B$1000&amp;"] "&amp;'FEMA Disasters'!$C$2:$C$1000&amp;"-"&amp;'FEMA Disasters'!$A$2:$A$1000,""),IF('FEMA Disasters'!$K$2:$K$1000=$A18,"Disaster SEP opens: "&amp;'FEMA Disasters'!$D$2:$D$1000&amp;" ["&amp;'FEMA Disasters'!$B$2:$B$1000&amp;"] "&amp;'FEMA Disasters'!$C$2:$C$1000&amp;"-"&amp;'FEMA Disasters'!$A$2:$A$1000,""),IF('FEMA Disasters'!$L$2:$L$1000=$A18,"Disaster SEP ended: "&amp;'FEMA Disasters'!$D$2:$D$1000&amp;" ["&amp;'FEMA Disasters'!$B$2:$B$1000&amp;"] "&amp;'FEMA Disasters'!$C$2:$C$1000&amp;"-"&amp;'FEMA Disasters'!$A$2:$A$1000,""))</f>
        <v/>
      </c>
      <c r="H18" s="4" t="n">
        <f aca="false">COUNTIF(Events!$A$2:$A$397,$A18)</f>
        <v>0</v>
      </c>
      <c r="I18" s="6" t="str">
        <f aca="false" t="array" ref="I18:I18">_xlfn.TEXTJOIN(" | ",TRUE(),IF(Events!$A$2:$A$397=$A18,Events!$E$2:$E$397&amp;IF(Events!$G$2:$G$397="National",""," ["&amp;Events!$G$2:$G$397&amp;"]"),""))</f>
        <v/>
      </c>
    </row>
    <row r="19" customFormat="false" ht="15" hidden="false" customHeight="true" outlineLevel="0" collapsed="false">
      <c r="A19" s="3" t="n">
        <v>45309</v>
      </c>
      <c r="B19" s="4" t="n">
        <f aca="false">YEAR($A19)</f>
        <v>2024</v>
      </c>
      <c r="C19" s="4" t="n">
        <f aca="false">MONTH($A19)</f>
        <v>1</v>
      </c>
      <c r="D19" s="4" t="str">
        <f aca="false">TEXT($A19,"ddd")</f>
        <v>Thu</v>
      </c>
      <c r="E19" s="4" t="n">
        <f aca="false">IF(OR(AND(MONTH($A19)=10,DAY($A19)&gt;=15),MONTH($A19)=11,AND(MONTH($A19)=12,DAY($A19)&lt;=7)),1,0)</f>
        <v>0</v>
      </c>
      <c r="F19" s="4" t="n">
        <f aca="false">IF(MONTH($A19)&lt;=3,1,0)</f>
        <v>1</v>
      </c>
      <c r="G19" s="4" t="str">
        <f aca="false" t="array" ref="G19:G19">_xlfn.TEXTJOIN(" | ",TRUE(),IF('FEMA Disasters'!$F$2:$F$1000=$A19,'FEMA Disasters'!$D$2:$D$1000&amp;" begin: ["&amp;'FEMA Disasters'!$B$2:$B$1000&amp;"] "&amp;'FEMA Disasters'!$C$2:$C$1000&amp;"-"&amp;'FEMA Disasters'!$A$2:$A$1000,""),IF('FEMA Disasters'!$G$2:$G$1000=$A19,'FEMA Disasters'!$D$2:$D$1000&amp;" ended: ["&amp;'FEMA Disasters'!$B$2:$B$1000&amp;"] "&amp;'FEMA Disasters'!$C$2:$C$1000&amp;"-"&amp;'FEMA Disasters'!$A$2:$A$1000,""),IF('FEMA Disasters'!$K$2:$K$1000=$A19,"Disaster SEP opens: "&amp;'FEMA Disasters'!$D$2:$D$1000&amp;" ["&amp;'FEMA Disasters'!$B$2:$B$1000&amp;"] "&amp;'FEMA Disasters'!$C$2:$C$1000&amp;"-"&amp;'FEMA Disasters'!$A$2:$A$1000,""),IF('FEMA Disasters'!$L$2:$L$1000=$A19,"Disaster SEP ended: "&amp;'FEMA Disasters'!$D$2:$D$1000&amp;" ["&amp;'FEMA Disasters'!$B$2:$B$1000&amp;"] "&amp;'FEMA Disasters'!$C$2:$C$1000&amp;"-"&amp;'FEMA Disasters'!$A$2:$A$1000,""))</f>
        <v/>
      </c>
      <c r="H19" s="4" t="n">
        <f aca="false">COUNTIF(Events!$A$2:$A$397,$A19)</f>
        <v>0</v>
      </c>
      <c r="I19" s="6" t="str">
        <f aca="false" t="array" ref="I19:I19">_xlfn.TEXTJOIN(" | ",TRUE(),IF(Events!$A$2:$A$397=$A19,Events!$E$2:$E$397&amp;IF(Events!$G$2:$G$397="National",""," ["&amp;Events!$G$2:$G$397&amp;"]"),""))</f>
        <v/>
      </c>
    </row>
    <row r="20" customFormat="false" ht="15" hidden="false" customHeight="true" outlineLevel="0" collapsed="false">
      <c r="A20" s="3" t="n">
        <v>45310</v>
      </c>
      <c r="B20" s="4" t="n">
        <f aca="false">YEAR($A20)</f>
        <v>2024</v>
      </c>
      <c r="C20" s="4" t="n">
        <f aca="false">MONTH($A20)</f>
        <v>1</v>
      </c>
      <c r="D20" s="4" t="str">
        <f aca="false">TEXT($A20,"ddd")</f>
        <v>Fri</v>
      </c>
      <c r="E20" s="4" t="n">
        <f aca="false">IF(OR(AND(MONTH($A20)=10,DAY($A20)&gt;=15),MONTH($A20)=11,AND(MONTH($A20)=12,DAY($A20)&lt;=7)),1,0)</f>
        <v>0</v>
      </c>
      <c r="F20" s="4" t="n">
        <f aca="false">IF(MONTH($A20)&lt;=3,1,0)</f>
        <v>1</v>
      </c>
      <c r="G20" s="4" t="str">
        <f aca="false" t="array" ref="G20:G20">_xlfn.TEXTJOIN(" | ",TRUE(),IF('FEMA Disasters'!$F$2:$F$1000=$A20,'FEMA Disasters'!$D$2:$D$1000&amp;" begin: ["&amp;'FEMA Disasters'!$B$2:$B$1000&amp;"] "&amp;'FEMA Disasters'!$C$2:$C$1000&amp;"-"&amp;'FEMA Disasters'!$A$2:$A$1000,""),IF('FEMA Disasters'!$G$2:$G$1000=$A20,'FEMA Disasters'!$D$2:$D$1000&amp;" ended: ["&amp;'FEMA Disasters'!$B$2:$B$1000&amp;"] "&amp;'FEMA Disasters'!$C$2:$C$1000&amp;"-"&amp;'FEMA Disasters'!$A$2:$A$1000,""),IF('FEMA Disasters'!$K$2:$K$1000=$A20,"Disaster SEP opens: "&amp;'FEMA Disasters'!$D$2:$D$1000&amp;" ["&amp;'FEMA Disasters'!$B$2:$B$1000&amp;"] "&amp;'FEMA Disasters'!$C$2:$C$1000&amp;"-"&amp;'FEMA Disasters'!$A$2:$A$1000,""),IF('FEMA Disasters'!$L$2:$L$1000=$A20,"Disaster SEP ended: "&amp;'FEMA Disasters'!$D$2:$D$1000&amp;" ["&amp;'FEMA Disasters'!$B$2:$B$1000&amp;"] "&amp;'FEMA Disasters'!$C$2:$C$1000&amp;"-"&amp;'FEMA Disasters'!$A$2:$A$1000,""))</f>
        <v/>
      </c>
      <c r="H20" s="4" t="n">
        <f aca="false">COUNTIF(Events!$A$2:$A$397,$A20)</f>
        <v>0</v>
      </c>
      <c r="I20" s="6" t="str">
        <f aca="false" t="array" ref="I20:I20">_xlfn.TEXTJOIN(" | ",TRUE(),IF(Events!$A$2:$A$397=$A20,Events!$E$2:$E$397&amp;IF(Events!$G$2:$G$397="National",""," ["&amp;Events!$G$2:$G$397&amp;"]"),""))</f>
        <v/>
      </c>
    </row>
    <row r="21" customFormat="false" ht="15" hidden="false" customHeight="true" outlineLevel="0" collapsed="false">
      <c r="A21" s="3" t="n">
        <v>45311</v>
      </c>
      <c r="B21" s="4" t="n">
        <f aca="false">YEAR($A21)</f>
        <v>2024</v>
      </c>
      <c r="C21" s="4" t="n">
        <f aca="false">MONTH($A21)</f>
        <v>1</v>
      </c>
      <c r="D21" s="4" t="str">
        <f aca="false">TEXT($A21,"ddd")</f>
        <v>Sat</v>
      </c>
      <c r="E21" s="4" t="n">
        <f aca="false">IF(OR(AND(MONTH($A21)=10,DAY($A21)&gt;=15),MONTH($A21)=11,AND(MONTH($A21)=12,DAY($A21)&lt;=7)),1,0)</f>
        <v>0</v>
      </c>
      <c r="F21" s="4" t="n">
        <f aca="false">IF(MONTH($A21)&lt;=3,1,0)</f>
        <v>1</v>
      </c>
      <c r="G21" s="4" t="str">
        <f aca="false" t="array" ref="G21:G21">_xlfn.TEXTJOIN(" | ",TRUE(),IF('FEMA Disasters'!$F$2:$F$1000=$A21,'FEMA Disasters'!$D$2:$D$1000&amp;" begin: ["&amp;'FEMA Disasters'!$B$2:$B$1000&amp;"] "&amp;'FEMA Disasters'!$C$2:$C$1000&amp;"-"&amp;'FEMA Disasters'!$A$2:$A$1000,""),IF('FEMA Disasters'!$G$2:$G$1000=$A21,'FEMA Disasters'!$D$2:$D$1000&amp;" ended: ["&amp;'FEMA Disasters'!$B$2:$B$1000&amp;"] "&amp;'FEMA Disasters'!$C$2:$C$1000&amp;"-"&amp;'FEMA Disasters'!$A$2:$A$1000,""),IF('FEMA Disasters'!$K$2:$K$1000=$A21,"Disaster SEP opens: "&amp;'FEMA Disasters'!$D$2:$D$1000&amp;" ["&amp;'FEMA Disasters'!$B$2:$B$1000&amp;"] "&amp;'FEMA Disasters'!$C$2:$C$1000&amp;"-"&amp;'FEMA Disasters'!$A$2:$A$1000,""),IF('FEMA Disasters'!$L$2:$L$1000=$A21,"Disaster SEP ended: "&amp;'FEMA Disasters'!$D$2:$D$1000&amp;" ["&amp;'FEMA Disasters'!$B$2:$B$1000&amp;"] "&amp;'FEMA Disasters'!$C$2:$C$1000&amp;"-"&amp;'FEMA Disasters'!$A$2:$A$1000,""))</f>
        <v/>
      </c>
      <c r="H21" s="4" t="n">
        <f aca="false">COUNTIF(Events!$A$2:$A$397,$A21)</f>
        <v>0</v>
      </c>
      <c r="I21" s="6" t="str">
        <f aca="false" t="array" ref="I21:I21">_xlfn.TEXTJOIN(" | ",TRUE(),IF(Events!$A$2:$A$397=$A21,Events!$E$2:$E$397&amp;IF(Events!$G$2:$G$397="National",""," ["&amp;Events!$G$2:$G$397&amp;"]"),""))</f>
        <v/>
      </c>
    </row>
    <row r="22" customFormat="false" ht="15" hidden="false" customHeight="true" outlineLevel="0" collapsed="false">
      <c r="A22" s="3" t="n">
        <v>45312</v>
      </c>
      <c r="B22" s="4" t="n">
        <f aca="false">YEAR($A22)</f>
        <v>2024</v>
      </c>
      <c r="C22" s="4" t="n">
        <f aca="false">MONTH($A22)</f>
        <v>1</v>
      </c>
      <c r="D22" s="4" t="str">
        <f aca="false">TEXT($A22,"ddd")</f>
        <v>Sun</v>
      </c>
      <c r="E22" s="4" t="n">
        <f aca="false">IF(OR(AND(MONTH($A22)=10,DAY($A22)&gt;=15),MONTH($A22)=11,AND(MONTH($A22)=12,DAY($A22)&lt;=7)),1,0)</f>
        <v>0</v>
      </c>
      <c r="F22" s="4" t="n">
        <f aca="false">IF(MONTH($A22)&lt;=3,1,0)</f>
        <v>1</v>
      </c>
      <c r="G22" s="4" t="str">
        <f aca="false" t="array" ref="G22:G22">_xlfn.TEXTJOIN(" | ",TRUE(),IF('FEMA Disasters'!$F$2:$F$1000=$A22,'FEMA Disasters'!$D$2:$D$1000&amp;" begin: ["&amp;'FEMA Disasters'!$B$2:$B$1000&amp;"] "&amp;'FEMA Disasters'!$C$2:$C$1000&amp;"-"&amp;'FEMA Disasters'!$A$2:$A$1000,""),IF('FEMA Disasters'!$G$2:$G$1000=$A22,'FEMA Disasters'!$D$2:$D$1000&amp;" ended: ["&amp;'FEMA Disasters'!$B$2:$B$1000&amp;"] "&amp;'FEMA Disasters'!$C$2:$C$1000&amp;"-"&amp;'FEMA Disasters'!$A$2:$A$1000,""),IF('FEMA Disasters'!$K$2:$K$1000=$A22,"Disaster SEP opens: "&amp;'FEMA Disasters'!$D$2:$D$1000&amp;" ["&amp;'FEMA Disasters'!$B$2:$B$1000&amp;"] "&amp;'FEMA Disasters'!$C$2:$C$1000&amp;"-"&amp;'FEMA Disasters'!$A$2:$A$1000,""),IF('FEMA Disasters'!$L$2:$L$1000=$A22,"Disaster SEP ended: "&amp;'FEMA Disasters'!$D$2:$D$1000&amp;" ["&amp;'FEMA Disasters'!$B$2:$B$1000&amp;"] "&amp;'FEMA Disasters'!$C$2:$C$1000&amp;"-"&amp;'FEMA Disasters'!$A$2:$A$1000,""))</f>
        <v>Flood begin: [CA] DR-4758 | Disaster SEP opens: Flood [CA] DR-4758</v>
      </c>
      <c r="H22" s="4" t="n">
        <f aca="false">COUNTIF(Events!$A$2:$A$397,$A22)</f>
        <v>0</v>
      </c>
      <c r="I22" s="6" t="str">
        <f aca="false" t="array" ref="I22:I22">_xlfn.TEXTJOIN(" | ",TRUE(),IF(Events!$A$2:$A$397=$A22,Events!$E$2:$E$397&amp;IF(Events!$G$2:$G$397="National",""," ["&amp;Events!$G$2:$G$397&amp;"]"),""))</f>
        <v/>
      </c>
    </row>
    <row r="23" customFormat="false" ht="15" hidden="false" customHeight="true" outlineLevel="0" collapsed="false">
      <c r="A23" s="3" t="n">
        <v>45313</v>
      </c>
      <c r="B23" s="4" t="n">
        <f aca="false">YEAR($A23)</f>
        <v>2024</v>
      </c>
      <c r="C23" s="4" t="n">
        <f aca="false">MONTH($A23)</f>
        <v>1</v>
      </c>
      <c r="D23" s="4" t="str">
        <f aca="false">TEXT($A23,"ddd")</f>
        <v>Mon</v>
      </c>
      <c r="E23" s="4" t="n">
        <f aca="false">IF(OR(AND(MONTH($A23)=10,DAY($A23)&gt;=15),MONTH($A23)=11,AND(MONTH($A23)=12,DAY($A23)&lt;=7)),1,0)</f>
        <v>0</v>
      </c>
      <c r="F23" s="4" t="n">
        <f aca="false">IF(MONTH($A23)&lt;=3,1,0)</f>
        <v>1</v>
      </c>
      <c r="G23" s="4" t="str">
        <f aca="false" t="array" ref="G23:G23">_xlfn.TEXTJOIN(" | ",TRUE(),IF('FEMA Disasters'!$F$2:$F$1000=$A23,'FEMA Disasters'!$D$2:$D$1000&amp;" begin: ["&amp;'FEMA Disasters'!$B$2:$B$1000&amp;"] "&amp;'FEMA Disasters'!$C$2:$C$1000&amp;"-"&amp;'FEMA Disasters'!$A$2:$A$1000,""),IF('FEMA Disasters'!$G$2:$G$1000=$A23,'FEMA Disasters'!$D$2:$D$1000&amp;" ended: ["&amp;'FEMA Disasters'!$B$2:$B$1000&amp;"] "&amp;'FEMA Disasters'!$C$2:$C$1000&amp;"-"&amp;'FEMA Disasters'!$A$2:$A$1000,""),IF('FEMA Disasters'!$K$2:$K$1000=$A23,"Disaster SEP opens: "&amp;'FEMA Disasters'!$D$2:$D$1000&amp;" ["&amp;'FEMA Disasters'!$B$2:$B$1000&amp;"] "&amp;'FEMA Disasters'!$C$2:$C$1000&amp;"-"&amp;'FEMA Disasters'!$A$2:$A$1000,""),IF('FEMA Disasters'!$L$2:$L$1000=$A23,"Disaster SEP ended: "&amp;'FEMA Disasters'!$D$2:$D$1000&amp;" ["&amp;'FEMA Disasters'!$B$2:$B$1000&amp;"] "&amp;'FEMA Disasters'!$C$2:$C$1000&amp;"-"&amp;'FEMA Disasters'!$A$2:$A$1000,""))</f>
        <v>Severe Storm ended: [OR] DR-4768</v>
      </c>
      <c r="H23" s="4" t="n">
        <f aca="false">COUNTIF(Events!$A$2:$A$397,$A23)</f>
        <v>0</v>
      </c>
      <c r="I23" s="6" t="str">
        <f aca="false" t="array" ref="I23:I23">_xlfn.TEXTJOIN(" | ",TRUE(),IF(Events!$A$2:$A$397=$A23,Events!$E$2:$E$397&amp;IF(Events!$G$2:$G$397="National",""," ["&amp;Events!$G$2:$G$397&amp;"]"),""))</f>
        <v/>
      </c>
    </row>
    <row r="24" customFormat="false" ht="15" hidden="false" customHeight="true" outlineLevel="0" collapsed="false">
      <c r="A24" s="3" t="n">
        <v>45314</v>
      </c>
      <c r="B24" s="4" t="n">
        <f aca="false">YEAR($A24)</f>
        <v>2024</v>
      </c>
      <c r="C24" s="4" t="n">
        <f aca="false">MONTH($A24)</f>
        <v>1</v>
      </c>
      <c r="D24" s="4" t="str">
        <f aca="false">TEXT($A24,"ddd")</f>
        <v>Tue</v>
      </c>
      <c r="E24" s="4" t="n">
        <f aca="false">IF(OR(AND(MONTH($A24)=10,DAY($A24)&gt;=15),MONTH($A24)=11,AND(MONTH($A24)=12,DAY($A24)&lt;=7)),1,0)</f>
        <v>0</v>
      </c>
      <c r="F24" s="4" t="n">
        <f aca="false">IF(MONTH($A24)&lt;=3,1,0)</f>
        <v>1</v>
      </c>
      <c r="G24" s="4" t="str">
        <f aca="false" t="array" ref="G24:G24">_xlfn.TEXTJOIN(" | ",TRUE(),IF('FEMA Disasters'!$F$2:$F$1000=$A24,'FEMA Disasters'!$D$2:$D$1000&amp;" begin: ["&amp;'FEMA Disasters'!$B$2:$B$1000&amp;"] "&amp;'FEMA Disasters'!$C$2:$C$1000&amp;"-"&amp;'FEMA Disasters'!$A$2:$A$1000,""),IF('FEMA Disasters'!$G$2:$G$1000=$A24,'FEMA Disasters'!$D$2:$D$1000&amp;" ended: ["&amp;'FEMA Disasters'!$B$2:$B$1000&amp;"] "&amp;'FEMA Disasters'!$C$2:$C$1000&amp;"-"&amp;'FEMA Disasters'!$A$2:$A$1000,""),IF('FEMA Disasters'!$K$2:$K$1000=$A24,"Disaster SEP opens: "&amp;'FEMA Disasters'!$D$2:$D$1000&amp;" ["&amp;'FEMA Disasters'!$B$2:$B$1000&amp;"] "&amp;'FEMA Disasters'!$C$2:$C$1000&amp;"-"&amp;'FEMA Disasters'!$A$2:$A$1000,""),IF('FEMA Disasters'!$L$2:$L$1000=$A24,"Disaster SEP ended: "&amp;'FEMA Disasters'!$D$2:$D$1000&amp;" ["&amp;'FEMA Disasters'!$B$2:$B$1000&amp;"] "&amp;'FEMA Disasters'!$C$2:$C$1000&amp;"-"&amp;'FEMA Disasters'!$A$2:$A$1000,""))</f>
        <v>Flood ended: [CA] DR-4758</v>
      </c>
      <c r="H24" s="4" t="n">
        <f aca="false">COUNTIF(Events!$A$2:$A$397,$A24)</f>
        <v>0</v>
      </c>
      <c r="I24" s="6" t="str">
        <f aca="false" t="array" ref="I24:I24">_xlfn.TEXTJOIN(" | ",TRUE(),IF(Events!$A$2:$A$397=$A24,Events!$E$2:$E$397&amp;IF(Events!$G$2:$G$397="National",""," ["&amp;Events!$G$2:$G$397&amp;"]"),""))</f>
        <v/>
      </c>
    </row>
    <row r="25" customFormat="false" ht="15" hidden="false" customHeight="true" outlineLevel="0" collapsed="false">
      <c r="A25" s="3" t="n">
        <v>45315</v>
      </c>
      <c r="B25" s="4" t="n">
        <f aca="false">YEAR($A25)</f>
        <v>2024</v>
      </c>
      <c r="C25" s="4" t="n">
        <f aca="false">MONTH($A25)</f>
        <v>1</v>
      </c>
      <c r="D25" s="4" t="str">
        <f aca="false">TEXT($A25,"ddd")</f>
        <v>Wed</v>
      </c>
      <c r="E25" s="4" t="n">
        <f aca="false">IF(OR(AND(MONTH($A25)=10,DAY($A25)&gt;=15),MONTH($A25)=11,AND(MONTH($A25)=12,DAY($A25)&lt;=7)),1,0)</f>
        <v>0</v>
      </c>
      <c r="F25" s="4" t="n">
        <f aca="false">IF(MONTH($A25)&lt;=3,1,0)</f>
        <v>1</v>
      </c>
      <c r="G25" s="4" t="str">
        <f aca="false" t="array" ref="G25:G25">_xlfn.TEXTJOIN(" | ",TRUE(),IF('FEMA Disasters'!$F$2:$F$1000=$A25,'FEMA Disasters'!$D$2:$D$1000&amp;" begin: ["&amp;'FEMA Disasters'!$B$2:$B$1000&amp;"] "&amp;'FEMA Disasters'!$C$2:$C$1000&amp;"-"&amp;'FEMA Disasters'!$A$2:$A$1000,""),IF('FEMA Disasters'!$G$2:$G$1000=$A25,'FEMA Disasters'!$D$2:$D$1000&amp;" ended: ["&amp;'FEMA Disasters'!$B$2:$B$1000&amp;"] "&amp;'FEMA Disasters'!$C$2:$C$1000&amp;"-"&amp;'FEMA Disasters'!$A$2:$A$1000,""),IF('FEMA Disasters'!$K$2:$K$1000=$A25,"Disaster SEP opens: "&amp;'FEMA Disasters'!$D$2:$D$1000&amp;" ["&amp;'FEMA Disasters'!$B$2:$B$1000&amp;"] "&amp;'FEMA Disasters'!$C$2:$C$1000&amp;"-"&amp;'FEMA Disasters'!$A$2:$A$1000,""),IF('FEMA Disasters'!$L$2:$L$1000=$A25,"Disaster SEP ended: "&amp;'FEMA Disasters'!$D$2:$D$1000&amp;" ["&amp;'FEMA Disasters'!$B$2:$B$1000&amp;"] "&amp;'FEMA Disasters'!$C$2:$C$1000&amp;"-"&amp;'FEMA Disasters'!$A$2:$A$1000,""))</f>
        <v/>
      </c>
      <c r="H25" s="4" t="n">
        <f aca="false">COUNTIF(Events!$A$2:$A$397,$A25)</f>
        <v>0</v>
      </c>
      <c r="I25" s="6" t="str">
        <f aca="false" t="array" ref="I25:I25">_xlfn.TEXTJOIN(" | ",TRUE(),IF(Events!$A$2:$A$397=$A25,Events!$E$2:$E$397&amp;IF(Events!$G$2:$G$397="National",""," ["&amp;Events!$G$2:$G$397&amp;"]"),""))</f>
        <v/>
      </c>
    </row>
    <row r="26" customFormat="false" ht="15" hidden="false" customHeight="true" outlineLevel="0" collapsed="false">
      <c r="A26" s="3" t="n">
        <v>45316</v>
      </c>
      <c r="B26" s="4" t="n">
        <f aca="false">YEAR($A26)</f>
        <v>2024</v>
      </c>
      <c r="C26" s="4" t="n">
        <f aca="false">MONTH($A26)</f>
        <v>1</v>
      </c>
      <c r="D26" s="4" t="str">
        <f aca="false">TEXT($A26,"ddd")</f>
        <v>Thu</v>
      </c>
      <c r="E26" s="4" t="n">
        <f aca="false">IF(OR(AND(MONTH($A26)=10,DAY($A26)&gt;=15),MONTH($A26)=11,AND(MONTH($A26)=12,DAY($A26)&lt;=7)),1,0)</f>
        <v>0</v>
      </c>
      <c r="F26" s="4" t="n">
        <f aca="false">IF(MONTH($A26)&lt;=3,1,0)</f>
        <v>1</v>
      </c>
      <c r="G26" s="4" t="str">
        <f aca="false" t="array" ref="G26:G26">_xlfn.TEXTJOIN(" | ",TRUE(),IF('FEMA Disasters'!$F$2:$F$1000=$A26,'FEMA Disasters'!$D$2:$D$1000&amp;" begin: ["&amp;'FEMA Disasters'!$B$2:$B$1000&amp;"] "&amp;'FEMA Disasters'!$C$2:$C$1000&amp;"-"&amp;'FEMA Disasters'!$A$2:$A$1000,""),IF('FEMA Disasters'!$G$2:$G$1000=$A26,'FEMA Disasters'!$D$2:$D$1000&amp;" ended: ["&amp;'FEMA Disasters'!$B$2:$B$1000&amp;"] "&amp;'FEMA Disasters'!$C$2:$C$1000&amp;"-"&amp;'FEMA Disasters'!$A$2:$A$1000,""),IF('FEMA Disasters'!$K$2:$K$1000=$A26,"Disaster SEP opens: "&amp;'FEMA Disasters'!$D$2:$D$1000&amp;" ["&amp;'FEMA Disasters'!$B$2:$B$1000&amp;"] "&amp;'FEMA Disasters'!$C$2:$C$1000&amp;"-"&amp;'FEMA Disasters'!$A$2:$A$1000,""),IF('FEMA Disasters'!$L$2:$L$1000=$A26,"Disaster SEP ended: "&amp;'FEMA Disasters'!$D$2:$D$1000&amp;" ["&amp;'FEMA Disasters'!$B$2:$B$1000&amp;"] "&amp;'FEMA Disasters'!$C$2:$C$1000&amp;"-"&amp;'FEMA Disasters'!$A$2:$A$1000,""))</f>
        <v/>
      </c>
      <c r="H26" s="4" t="n">
        <f aca="false">COUNTIF(Events!$A$2:$A$397,$A26)</f>
        <v>0</v>
      </c>
      <c r="I26" s="6" t="str">
        <f aca="false" t="array" ref="I26:I26">_xlfn.TEXTJOIN(" | ",TRUE(),IF(Events!$A$2:$A$397=$A26,Events!$E$2:$E$397&amp;IF(Events!$G$2:$G$397="National",""," ["&amp;Events!$G$2:$G$397&amp;"]"),""))</f>
        <v/>
      </c>
    </row>
    <row r="27" customFormat="false" ht="15" hidden="false" customHeight="true" outlineLevel="0" collapsed="false">
      <c r="A27" s="3" t="n">
        <v>45317</v>
      </c>
      <c r="B27" s="4" t="n">
        <f aca="false">YEAR($A27)</f>
        <v>2024</v>
      </c>
      <c r="C27" s="4" t="n">
        <f aca="false">MONTH($A27)</f>
        <v>1</v>
      </c>
      <c r="D27" s="4" t="str">
        <f aca="false">TEXT($A27,"ddd")</f>
        <v>Fri</v>
      </c>
      <c r="E27" s="4" t="n">
        <f aca="false">IF(OR(AND(MONTH($A27)=10,DAY($A27)&gt;=15),MONTH($A27)=11,AND(MONTH($A27)=12,DAY($A27)&lt;=7)),1,0)</f>
        <v>0</v>
      </c>
      <c r="F27" s="4" t="n">
        <f aca="false">IF(MONTH($A27)&lt;=3,1,0)</f>
        <v>1</v>
      </c>
      <c r="G27" s="4" t="str">
        <f aca="false" t="array" ref="G27:G27">_xlfn.TEXTJOIN(" | ",TRUE(),IF('FEMA Disasters'!$F$2:$F$1000=$A27,'FEMA Disasters'!$D$2:$D$1000&amp;" begin: ["&amp;'FEMA Disasters'!$B$2:$B$1000&amp;"] "&amp;'FEMA Disasters'!$C$2:$C$1000&amp;"-"&amp;'FEMA Disasters'!$A$2:$A$1000,""),IF('FEMA Disasters'!$G$2:$G$1000=$A27,'FEMA Disasters'!$D$2:$D$1000&amp;" ended: ["&amp;'FEMA Disasters'!$B$2:$B$1000&amp;"] "&amp;'FEMA Disasters'!$C$2:$C$1000&amp;"-"&amp;'FEMA Disasters'!$A$2:$A$1000,""),IF('FEMA Disasters'!$K$2:$K$1000=$A27,"Disaster SEP opens: "&amp;'FEMA Disasters'!$D$2:$D$1000&amp;" ["&amp;'FEMA Disasters'!$B$2:$B$1000&amp;"] "&amp;'FEMA Disasters'!$C$2:$C$1000&amp;"-"&amp;'FEMA Disasters'!$A$2:$A$1000,""),IF('FEMA Disasters'!$L$2:$L$1000=$A27,"Disaster SEP ended: "&amp;'FEMA Disasters'!$D$2:$D$1000&amp;" ["&amp;'FEMA Disasters'!$B$2:$B$1000&amp;"] "&amp;'FEMA Disasters'!$C$2:$C$1000&amp;"-"&amp;'FEMA Disasters'!$A$2:$A$1000,""))</f>
        <v/>
      </c>
      <c r="H27" s="4" t="n">
        <f aca="false">COUNTIF(Events!$A$2:$A$397,$A27)</f>
        <v>0</v>
      </c>
      <c r="I27" s="6" t="str">
        <f aca="false" t="array" ref="I27:I27">_xlfn.TEXTJOIN(" | ",TRUE(),IF(Events!$A$2:$A$397=$A27,Events!$E$2:$E$397&amp;IF(Events!$G$2:$G$397="National",""," ["&amp;Events!$G$2:$G$397&amp;"]"),""))</f>
        <v/>
      </c>
    </row>
    <row r="28" customFormat="false" ht="15" hidden="false" customHeight="true" outlineLevel="0" collapsed="false">
      <c r="A28" s="3" t="n">
        <v>45318</v>
      </c>
      <c r="B28" s="4" t="n">
        <f aca="false">YEAR($A28)</f>
        <v>2024</v>
      </c>
      <c r="C28" s="4" t="n">
        <f aca="false">MONTH($A28)</f>
        <v>1</v>
      </c>
      <c r="D28" s="4" t="str">
        <f aca="false">TEXT($A28,"ddd")</f>
        <v>Sat</v>
      </c>
      <c r="E28" s="4" t="n">
        <f aca="false">IF(OR(AND(MONTH($A28)=10,DAY($A28)&gt;=15),MONTH($A28)=11,AND(MONTH($A28)=12,DAY($A28)&lt;=7)),1,0)</f>
        <v>0</v>
      </c>
      <c r="F28" s="4" t="n">
        <f aca="false">IF(MONTH($A28)&lt;=3,1,0)</f>
        <v>1</v>
      </c>
      <c r="G28" s="4" t="str">
        <f aca="false" t="array" ref="G28:G28">_xlfn.TEXTJOIN(" | ",TRUE(),IF('FEMA Disasters'!$F$2:$F$1000=$A28,'FEMA Disasters'!$D$2:$D$1000&amp;" begin: ["&amp;'FEMA Disasters'!$B$2:$B$1000&amp;"] "&amp;'FEMA Disasters'!$C$2:$C$1000&amp;"-"&amp;'FEMA Disasters'!$A$2:$A$1000,""),IF('FEMA Disasters'!$G$2:$G$1000=$A28,'FEMA Disasters'!$D$2:$D$1000&amp;" ended: ["&amp;'FEMA Disasters'!$B$2:$B$1000&amp;"] "&amp;'FEMA Disasters'!$C$2:$C$1000&amp;"-"&amp;'FEMA Disasters'!$A$2:$A$1000,""),IF('FEMA Disasters'!$K$2:$K$1000=$A28,"Disaster SEP opens: "&amp;'FEMA Disasters'!$D$2:$D$1000&amp;" ["&amp;'FEMA Disasters'!$B$2:$B$1000&amp;"] "&amp;'FEMA Disasters'!$C$2:$C$1000&amp;"-"&amp;'FEMA Disasters'!$A$2:$A$1000,""),IF('FEMA Disasters'!$L$2:$L$1000=$A28,"Disaster SEP ended: "&amp;'FEMA Disasters'!$D$2:$D$1000&amp;" ["&amp;'FEMA Disasters'!$B$2:$B$1000&amp;"] "&amp;'FEMA Disasters'!$C$2:$C$1000&amp;"-"&amp;'FEMA Disasters'!$A$2:$A$1000,""))</f>
        <v/>
      </c>
      <c r="H28" s="4" t="n">
        <f aca="false">COUNTIF(Events!$A$2:$A$397,$A28)</f>
        <v>0</v>
      </c>
      <c r="I28" s="6" t="str">
        <f aca="false" t="array" ref="I28:I28">_xlfn.TEXTJOIN(" | ",TRUE(),IF(Events!$A$2:$A$397=$A28,Events!$E$2:$E$397&amp;IF(Events!$G$2:$G$397="National",""," ["&amp;Events!$G$2:$G$397&amp;"]"),""))</f>
        <v/>
      </c>
    </row>
    <row r="29" customFormat="false" ht="15" hidden="false" customHeight="true" outlineLevel="0" collapsed="false">
      <c r="A29" s="3" t="n">
        <v>45319</v>
      </c>
      <c r="B29" s="4" t="n">
        <f aca="false">YEAR($A29)</f>
        <v>2024</v>
      </c>
      <c r="C29" s="4" t="n">
        <f aca="false">MONTH($A29)</f>
        <v>1</v>
      </c>
      <c r="D29" s="4" t="str">
        <f aca="false">TEXT($A29,"ddd")</f>
        <v>Sun</v>
      </c>
      <c r="E29" s="4" t="n">
        <f aca="false">IF(OR(AND(MONTH($A29)=10,DAY($A29)&gt;=15),MONTH($A29)=11,AND(MONTH($A29)=12,DAY($A29)&lt;=7)),1,0)</f>
        <v>0</v>
      </c>
      <c r="F29" s="4" t="n">
        <f aca="false">IF(MONTH($A29)&lt;=3,1,0)</f>
        <v>1</v>
      </c>
      <c r="G29" s="4" t="str">
        <f aca="false" t="array" ref="G29:G29">_xlfn.TEXTJOIN(" | ",TRUE(),IF('FEMA Disasters'!$F$2:$F$1000=$A29,'FEMA Disasters'!$D$2:$D$1000&amp;" begin: ["&amp;'FEMA Disasters'!$B$2:$B$1000&amp;"] "&amp;'FEMA Disasters'!$C$2:$C$1000&amp;"-"&amp;'FEMA Disasters'!$A$2:$A$1000,""),IF('FEMA Disasters'!$G$2:$G$1000=$A29,'FEMA Disasters'!$D$2:$D$1000&amp;" ended: ["&amp;'FEMA Disasters'!$B$2:$B$1000&amp;"] "&amp;'FEMA Disasters'!$C$2:$C$1000&amp;"-"&amp;'FEMA Disasters'!$A$2:$A$1000,""),IF('FEMA Disasters'!$K$2:$K$1000=$A29,"Disaster SEP opens: "&amp;'FEMA Disasters'!$D$2:$D$1000&amp;" ["&amp;'FEMA Disasters'!$B$2:$B$1000&amp;"] "&amp;'FEMA Disasters'!$C$2:$C$1000&amp;"-"&amp;'FEMA Disasters'!$A$2:$A$1000,""),IF('FEMA Disasters'!$L$2:$L$1000=$A29,"Disaster SEP ended: "&amp;'FEMA Disasters'!$D$2:$D$1000&amp;" ["&amp;'FEMA Disasters'!$B$2:$B$1000&amp;"] "&amp;'FEMA Disasters'!$C$2:$C$1000&amp;"-"&amp;'FEMA Disasters'!$A$2:$A$1000,""))</f>
        <v/>
      </c>
      <c r="H29" s="4" t="n">
        <f aca="false">COUNTIF(Events!$A$2:$A$397,$A29)</f>
        <v>0</v>
      </c>
      <c r="I29" s="6" t="str">
        <f aca="false" t="array" ref="I29:I29">_xlfn.TEXTJOIN(" | ",TRUE(),IF(Events!$A$2:$A$397=$A29,Events!$E$2:$E$397&amp;IF(Events!$G$2:$G$397="National",""," ["&amp;Events!$G$2:$G$397&amp;"]"),""))</f>
        <v/>
      </c>
    </row>
    <row r="30" customFormat="false" ht="15" hidden="false" customHeight="true" outlineLevel="0" collapsed="false">
      <c r="A30" s="3" t="n">
        <v>45320</v>
      </c>
      <c r="B30" s="4" t="n">
        <f aca="false">YEAR($A30)</f>
        <v>2024</v>
      </c>
      <c r="C30" s="4" t="n">
        <f aca="false">MONTH($A30)</f>
        <v>1</v>
      </c>
      <c r="D30" s="4" t="str">
        <f aca="false">TEXT($A30,"ddd")</f>
        <v>Mon</v>
      </c>
      <c r="E30" s="4" t="n">
        <f aca="false">IF(OR(AND(MONTH($A30)=10,DAY($A30)&gt;=15),MONTH($A30)=11,AND(MONTH($A30)=12,DAY($A30)&lt;=7)),1,0)</f>
        <v>0</v>
      </c>
      <c r="F30" s="4" t="n">
        <f aca="false">IF(MONTH($A30)&lt;=3,1,0)</f>
        <v>1</v>
      </c>
      <c r="G30" s="4" t="str">
        <f aca="false" t="array" ref="G30:G30">_xlfn.TEXTJOIN(" | ",TRUE(),IF('FEMA Disasters'!$F$2:$F$1000=$A30,'FEMA Disasters'!$D$2:$D$1000&amp;" begin: ["&amp;'FEMA Disasters'!$B$2:$B$1000&amp;"] "&amp;'FEMA Disasters'!$C$2:$C$1000&amp;"-"&amp;'FEMA Disasters'!$A$2:$A$1000,""),IF('FEMA Disasters'!$G$2:$G$1000=$A30,'FEMA Disasters'!$D$2:$D$1000&amp;" ended: ["&amp;'FEMA Disasters'!$B$2:$B$1000&amp;"] "&amp;'FEMA Disasters'!$C$2:$C$1000&amp;"-"&amp;'FEMA Disasters'!$A$2:$A$1000,""),IF('FEMA Disasters'!$K$2:$K$1000=$A30,"Disaster SEP opens: "&amp;'FEMA Disasters'!$D$2:$D$1000&amp;" ["&amp;'FEMA Disasters'!$B$2:$B$1000&amp;"] "&amp;'FEMA Disasters'!$C$2:$C$1000&amp;"-"&amp;'FEMA Disasters'!$A$2:$A$1000,""),IF('FEMA Disasters'!$L$2:$L$1000=$A30,"Disaster SEP ended: "&amp;'FEMA Disasters'!$D$2:$D$1000&amp;" ["&amp;'FEMA Disasters'!$B$2:$B$1000&amp;"] "&amp;'FEMA Disasters'!$C$2:$C$1000&amp;"-"&amp;'FEMA Disasters'!$A$2:$A$1000,""))</f>
        <v>Severe Storm ended: [WA] DR-4775</v>
      </c>
      <c r="H30" s="4" t="n">
        <f aca="false">COUNTIF(Events!$A$2:$A$397,$A30)</f>
        <v>0</v>
      </c>
      <c r="I30" s="6" t="str">
        <f aca="false" t="array" ref="I30:I30">_xlfn.TEXTJOIN(" | ",TRUE(),IF(Events!$A$2:$A$397=$A30,Events!$E$2:$E$397&amp;IF(Events!$G$2:$G$397="National",""," ["&amp;Events!$G$2:$G$397&amp;"]"),""))</f>
        <v/>
      </c>
    </row>
    <row r="31" customFormat="false" ht="15" hidden="false" customHeight="true" outlineLevel="0" collapsed="false">
      <c r="A31" s="3" t="n">
        <v>45321</v>
      </c>
      <c r="B31" s="4" t="n">
        <f aca="false">YEAR($A31)</f>
        <v>2024</v>
      </c>
      <c r="C31" s="4" t="n">
        <f aca="false">MONTH($A31)</f>
        <v>1</v>
      </c>
      <c r="D31" s="4" t="str">
        <f aca="false">TEXT($A31,"ddd")</f>
        <v>Tue</v>
      </c>
      <c r="E31" s="4" t="n">
        <f aca="false">IF(OR(AND(MONTH($A31)=10,DAY($A31)&gt;=15),MONTH($A31)=11,AND(MONTH($A31)=12,DAY($A31)&lt;=7)),1,0)</f>
        <v>0</v>
      </c>
      <c r="F31" s="4" t="n">
        <f aca="false">IF(MONTH($A31)&lt;=3,1,0)</f>
        <v>1</v>
      </c>
      <c r="G31" s="4" t="str">
        <f aca="false" t="array" ref="G31:G31">_xlfn.TEXTJOIN(" | ",TRUE(),IF('FEMA Disasters'!$F$2:$F$1000=$A31,'FEMA Disasters'!$D$2:$D$1000&amp;" begin: ["&amp;'FEMA Disasters'!$B$2:$B$1000&amp;"] "&amp;'FEMA Disasters'!$C$2:$C$1000&amp;"-"&amp;'FEMA Disasters'!$A$2:$A$1000,""),IF('FEMA Disasters'!$G$2:$G$1000=$A31,'FEMA Disasters'!$D$2:$D$1000&amp;" ended: ["&amp;'FEMA Disasters'!$B$2:$B$1000&amp;"] "&amp;'FEMA Disasters'!$C$2:$C$1000&amp;"-"&amp;'FEMA Disasters'!$A$2:$A$1000,""),IF('FEMA Disasters'!$K$2:$K$1000=$A31,"Disaster SEP opens: "&amp;'FEMA Disasters'!$D$2:$D$1000&amp;" ["&amp;'FEMA Disasters'!$B$2:$B$1000&amp;"] "&amp;'FEMA Disasters'!$C$2:$C$1000&amp;"-"&amp;'FEMA Disasters'!$A$2:$A$1000,""),IF('FEMA Disasters'!$L$2:$L$1000=$A31,"Disaster SEP ended: "&amp;'FEMA Disasters'!$D$2:$D$1000&amp;" ["&amp;'FEMA Disasters'!$B$2:$B$1000&amp;"] "&amp;'FEMA Disasters'!$C$2:$C$1000&amp;"-"&amp;'FEMA Disasters'!$A$2:$A$1000,""))</f>
        <v>Severe Storm begin: [CA] DR-4773 | Disaster SEP opens: Severe Storm [CA] DR-4773</v>
      </c>
      <c r="H31" s="4" t="n">
        <f aca="false">COUNTIF(Events!$A$2:$A$397,$A31)</f>
        <v>0</v>
      </c>
      <c r="I31" s="6" t="str">
        <f aca="false" t="array" ref="I31:I31">_xlfn.TEXTJOIN(" | ",TRUE(),IF(Events!$A$2:$A$397=$A31,Events!$E$2:$E$397&amp;IF(Events!$G$2:$G$397="National",""," ["&amp;Events!$G$2:$G$397&amp;"]"),""))</f>
        <v/>
      </c>
    </row>
    <row r="32" customFormat="false" ht="15" hidden="false" customHeight="true" outlineLevel="0" collapsed="false">
      <c r="A32" s="3" t="n">
        <v>45322</v>
      </c>
      <c r="B32" s="4" t="n">
        <f aca="false">YEAR($A32)</f>
        <v>2024</v>
      </c>
      <c r="C32" s="4" t="n">
        <f aca="false">MONTH($A32)</f>
        <v>1</v>
      </c>
      <c r="D32" s="4" t="str">
        <f aca="false">TEXT($A32,"ddd")</f>
        <v>Wed</v>
      </c>
      <c r="E32" s="4" t="n">
        <f aca="false">IF(OR(AND(MONTH($A32)=10,DAY($A32)&gt;=15),MONTH($A32)=11,AND(MONTH($A32)=12,DAY($A32)&lt;=7)),1,0)</f>
        <v>0</v>
      </c>
      <c r="F32" s="4" t="n">
        <f aca="false">IF(MONTH($A32)&lt;=3,1,0)</f>
        <v>1</v>
      </c>
      <c r="G32" s="4" t="str">
        <f aca="false" t="array" ref="G32:G32">_xlfn.TEXTJOIN(" | ",TRUE(),IF('FEMA Disasters'!$F$2:$F$1000=$A32,'FEMA Disasters'!$D$2:$D$1000&amp;" begin: ["&amp;'FEMA Disasters'!$B$2:$B$1000&amp;"] "&amp;'FEMA Disasters'!$C$2:$C$1000&amp;"-"&amp;'FEMA Disasters'!$A$2:$A$1000,""),IF('FEMA Disasters'!$G$2:$G$1000=$A32,'FEMA Disasters'!$D$2:$D$1000&amp;" ended: ["&amp;'FEMA Disasters'!$B$2:$B$1000&amp;"] "&amp;'FEMA Disasters'!$C$2:$C$1000&amp;"-"&amp;'FEMA Disasters'!$A$2:$A$1000,""),IF('FEMA Disasters'!$K$2:$K$1000=$A32,"Disaster SEP opens: "&amp;'FEMA Disasters'!$D$2:$D$1000&amp;" ["&amp;'FEMA Disasters'!$B$2:$B$1000&amp;"] "&amp;'FEMA Disasters'!$C$2:$C$1000&amp;"-"&amp;'FEMA Disasters'!$A$2:$A$1000,""),IF('FEMA Disasters'!$L$2:$L$1000=$A32,"Disaster SEP ended: "&amp;'FEMA Disasters'!$D$2:$D$1000&amp;" ["&amp;'FEMA Disasters'!$B$2:$B$1000&amp;"] "&amp;'FEMA Disasters'!$C$2:$C$1000&amp;"-"&amp;'FEMA Disasters'!$A$2:$A$1000,""))</f>
        <v>Severe Storm begin: [CA] DR-4769 | Severe Storm begin: [CA] DR-4772 | Severe Storm ended: [CA] DR-4773 | Disaster SEP opens: Severe Storm [CA] DR-4769 | Disaster SEP opens: Severe Storm [CA] DR-4772</v>
      </c>
      <c r="H32" s="4" t="n">
        <f aca="false">COUNTIF(Events!$A$2:$A$397,$A32)</f>
        <v>1</v>
      </c>
      <c r="I32" s="6" t="str">
        <f aca="false" t="array" ref="I32:I32">_xlfn.TEXTJOIN(" | ",TRUE(),IF(Events!$A$2:$A$397=$A32,Events!$E$2:$E$397&amp;IF(Events!$G$2:$G$397="National",""," ["&amp;Events!$G$2:$G$397&amp;"]"),""))</f>
        <v>CY2025 Advance Notice released: proposed +3.70% avg payment; year 2 of 3-year phase-in of 2024 CMS-HCC (V28) risk model at 67/33 blend; comments due 3/1/2024</v>
      </c>
    </row>
    <row r="33" customFormat="false" ht="15" hidden="false" customHeight="true" outlineLevel="0" collapsed="false">
      <c r="A33" s="3" t="n">
        <v>45323</v>
      </c>
      <c r="B33" s="4" t="n">
        <f aca="false">YEAR($A33)</f>
        <v>2024</v>
      </c>
      <c r="C33" s="4" t="n">
        <f aca="false">MONTH($A33)</f>
        <v>2</v>
      </c>
      <c r="D33" s="4" t="str">
        <f aca="false">TEXT($A33,"ddd")</f>
        <v>Thu</v>
      </c>
      <c r="E33" s="4" t="n">
        <f aca="false">IF(OR(AND(MONTH($A33)=10,DAY($A33)&gt;=15),MONTH($A33)=11,AND(MONTH($A33)=12,DAY($A33)&lt;=7)),1,0)</f>
        <v>0</v>
      </c>
      <c r="F33" s="4" t="n">
        <f aca="false">IF(MONTH($A33)&lt;=3,1,0)</f>
        <v>1</v>
      </c>
      <c r="G33" s="4" t="str">
        <f aca="false" t="array" ref="G33:G33">_xlfn.TEXTJOIN(" | ",TRUE(),IF('FEMA Disasters'!$F$2:$F$1000=$A33,'FEMA Disasters'!$D$2:$D$1000&amp;" begin: ["&amp;'FEMA Disasters'!$B$2:$B$1000&amp;"] "&amp;'FEMA Disasters'!$C$2:$C$1000&amp;"-"&amp;'FEMA Disasters'!$A$2:$A$1000,""),IF('FEMA Disasters'!$G$2:$G$1000=$A33,'FEMA Disasters'!$D$2:$D$1000&amp;" ended: ["&amp;'FEMA Disasters'!$B$2:$B$1000&amp;"] "&amp;'FEMA Disasters'!$C$2:$C$1000&amp;"-"&amp;'FEMA Disasters'!$A$2:$A$1000,""),IF('FEMA Disasters'!$K$2:$K$1000=$A33,"Disaster SEP opens: "&amp;'FEMA Disasters'!$D$2:$D$1000&amp;" ["&amp;'FEMA Disasters'!$B$2:$B$1000&amp;"] "&amp;'FEMA Disasters'!$C$2:$C$1000&amp;"-"&amp;'FEMA Disasters'!$A$2:$A$1000,""),IF('FEMA Disasters'!$L$2:$L$1000=$A33,"Disaster SEP ended: "&amp;'FEMA Disasters'!$D$2:$D$1000&amp;" ["&amp;'FEMA Disasters'!$B$2:$B$1000&amp;"] "&amp;'FEMA Disasters'!$C$2:$C$1000&amp;"-"&amp;'FEMA Disasters'!$A$2:$A$1000,""))</f>
        <v/>
      </c>
      <c r="H33" s="4" t="n">
        <f aca="false">COUNTIF(Events!$A$2:$A$397,$A33)</f>
        <v>0</v>
      </c>
      <c r="I33" s="6" t="str">
        <f aca="false" t="array" ref="I33:I33">_xlfn.TEXTJOIN(" | ",TRUE(),IF(Events!$A$2:$A$397=$A33,Events!$E$2:$E$397&amp;IF(Events!$G$2:$G$397="National",""," ["&amp;Events!$G$2:$G$397&amp;"]"),""))</f>
        <v/>
      </c>
    </row>
    <row r="34" customFormat="false" ht="15" hidden="false" customHeight="true" outlineLevel="0" collapsed="false">
      <c r="A34" s="3" t="n">
        <v>45324</v>
      </c>
      <c r="B34" s="4" t="n">
        <f aca="false">YEAR($A34)</f>
        <v>2024</v>
      </c>
      <c r="C34" s="4" t="n">
        <f aca="false">MONTH($A34)</f>
        <v>2</v>
      </c>
      <c r="D34" s="4" t="str">
        <f aca="false">TEXT($A34,"ddd")</f>
        <v>Fri</v>
      </c>
      <c r="E34" s="4" t="n">
        <f aca="false">IF(OR(AND(MONTH($A34)=10,DAY($A34)&gt;=15),MONTH($A34)=11,AND(MONTH($A34)=12,DAY($A34)&lt;=7)),1,0)</f>
        <v>0</v>
      </c>
      <c r="F34" s="4" t="n">
        <f aca="false">IF(MONTH($A34)&lt;=3,1,0)</f>
        <v>1</v>
      </c>
      <c r="G34" s="4" t="str">
        <f aca="false" t="array" ref="G34:G34">_xlfn.TEXTJOIN(" | ",TRUE(),IF('FEMA Disasters'!$F$2:$F$1000=$A34,'FEMA Disasters'!$D$2:$D$1000&amp;" begin: ["&amp;'FEMA Disasters'!$B$2:$B$1000&amp;"] "&amp;'FEMA Disasters'!$C$2:$C$1000&amp;"-"&amp;'FEMA Disasters'!$A$2:$A$1000,""),IF('FEMA Disasters'!$G$2:$G$1000=$A34,'FEMA Disasters'!$D$2:$D$1000&amp;" ended: ["&amp;'FEMA Disasters'!$B$2:$B$1000&amp;"] "&amp;'FEMA Disasters'!$C$2:$C$1000&amp;"-"&amp;'FEMA Disasters'!$A$2:$A$1000,""),IF('FEMA Disasters'!$K$2:$K$1000=$A34,"Disaster SEP opens: "&amp;'FEMA Disasters'!$D$2:$D$1000&amp;" ["&amp;'FEMA Disasters'!$B$2:$B$1000&amp;"] "&amp;'FEMA Disasters'!$C$2:$C$1000&amp;"-"&amp;'FEMA Disasters'!$A$2:$A$1000,""),IF('FEMA Disasters'!$L$2:$L$1000=$A34,"Disaster SEP ended: "&amp;'FEMA Disasters'!$D$2:$D$1000&amp;" ["&amp;'FEMA Disasters'!$B$2:$B$1000&amp;"] "&amp;'FEMA Disasters'!$C$2:$C$1000&amp;"-"&amp;'FEMA Disasters'!$A$2:$A$1000,""))</f>
        <v/>
      </c>
      <c r="H34" s="4" t="n">
        <f aca="false">COUNTIF(Events!$A$2:$A$397,$A34)</f>
        <v>0</v>
      </c>
      <c r="I34" s="6" t="str">
        <f aca="false" t="array" ref="I34:I34">_xlfn.TEXTJOIN(" | ",TRUE(),IF(Events!$A$2:$A$397=$A34,Events!$E$2:$E$397&amp;IF(Events!$G$2:$G$397="National",""," ["&amp;Events!$G$2:$G$397&amp;"]"),""))</f>
        <v/>
      </c>
    </row>
    <row r="35" customFormat="false" ht="15" hidden="false" customHeight="true" outlineLevel="0" collapsed="false">
      <c r="A35" s="3" t="n">
        <v>45325</v>
      </c>
      <c r="B35" s="4" t="n">
        <f aca="false">YEAR($A35)</f>
        <v>2024</v>
      </c>
      <c r="C35" s="4" t="n">
        <f aca="false">MONTH($A35)</f>
        <v>2</v>
      </c>
      <c r="D35" s="4" t="str">
        <f aca="false">TEXT($A35,"ddd")</f>
        <v>Sat</v>
      </c>
      <c r="E35" s="4" t="n">
        <f aca="false">IF(OR(AND(MONTH($A35)=10,DAY($A35)&gt;=15),MONTH($A35)=11,AND(MONTH($A35)=12,DAY($A35)&lt;=7)),1,0)</f>
        <v>0</v>
      </c>
      <c r="F35" s="4" t="n">
        <f aca="false">IF(MONTH($A35)&lt;=3,1,0)</f>
        <v>1</v>
      </c>
      <c r="G35" s="4" t="str">
        <f aca="false" t="array" ref="G35:G35">_xlfn.TEXTJOIN(" | ",TRUE(),IF('FEMA Disasters'!$F$2:$F$1000=$A35,'FEMA Disasters'!$D$2:$D$1000&amp;" begin: ["&amp;'FEMA Disasters'!$B$2:$B$1000&amp;"] "&amp;'FEMA Disasters'!$C$2:$C$1000&amp;"-"&amp;'FEMA Disasters'!$A$2:$A$1000,""),IF('FEMA Disasters'!$G$2:$G$1000=$A35,'FEMA Disasters'!$D$2:$D$1000&amp;" ended: ["&amp;'FEMA Disasters'!$B$2:$B$1000&amp;"] "&amp;'FEMA Disasters'!$C$2:$C$1000&amp;"-"&amp;'FEMA Disasters'!$A$2:$A$1000,""),IF('FEMA Disasters'!$K$2:$K$1000=$A35,"Disaster SEP opens: "&amp;'FEMA Disasters'!$D$2:$D$1000&amp;" ["&amp;'FEMA Disasters'!$B$2:$B$1000&amp;"] "&amp;'FEMA Disasters'!$C$2:$C$1000&amp;"-"&amp;'FEMA Disasters'!$A$2:$A$1000,""),IF('FEMA Disasters'!$L$2:$L$1000=$A35,"Disaster SEP ended: "&amp;'FEMA Disasters'!$D$2:$D$1000&amp;" ["&amp;'FEMA Disasters'!$B$2:$B$1000&amp;"] "&amp;'FEMA Disasters'!$C$2:$C$1000&amp;"-"&amp;'FEMA Disasters'!$A$2:$A$1000,""))</f>
        <v/>
      </c>
      <c r="H35" s="4" t="n">
        <f aca="false">COUNTIF(Events!$A$2:$A$397,$A35)</f>
        <v>0</v>
      </c>
      <c r="I35" s="6" t="str">
        <f aca="false" t="array" ref="I35:I35">_xlfn.TEXTJOIN(" | ",TRUE(),IF(Events!$A$2:$A$397=$A35,Events!$E$2:$E$397&amp;IF(Events!$G$2:$G$397="National",""," ["&amp;Events!$G$2:$G$397&amp;"]"),""))</f>
        <v/>
      </c>
    </row>
    <row r="36" customFormat="false" ht="15" hidden="false" customHeight="true" outlineLevel="0" collapsed="false">
      <c r="A36" s="3" t="n">
        <v>45326</v>
      </c>
      <c r="B36" s="4" t="n">
        <f aca="false">YEAR($A36)</f>
        <v>2024</v>
      </c>
      <c r="C36" s="4" t="n">
        <f aca="false">MONTH($A36)</f>
        <v>2</v>
      </c>
      <c r="D36" s="4" t="str">
        <f aca="false">TEXT($A36,"ddd")</f>
        <v>Sun</v>
      </c>
      <c r="E36" s="4" t="n">
        <f aca="false">IF(OR(AND(MONTH($A36)=10,DAY($A36)&gt;=15),MONTH($A36)=11,AND(MONTH($A36)=12,DAY($A36)&lt;=7)),1,0)</f>
        <v>0</v>
      </c>
      <c r="F36" s="4" t="n">
        <f aca="false">IF(MONTH($A36)&lt;=3,1,0)</f>
        <v>1</v>
      </c>
      <c r="G36" s="4" t="str">
        <f aca="false" t="array" ref="G36:G36">_xlfn.TEXTJOIN(" | ",TRUE(),IF('FEMA Disasters'!$F$2:$F$1000=$A36,'FEMA Disasters'!$D$2:$D$1000&amp;" begin: ["&amp;'FEMA Disasters'!$B$2:$B$1000&amp;"] "&amp;'FEMA Disasters'!$C$2:$C$1000&amp;"-"&amp;'FEMA Disasters'!$A$2:$A$1000,""),IF('FEMA Disasters'!$G$2:$G$1000=$A36,'FEMA Disasters'!$D$2:$D$1000&amp;" ended: ["&amp;'FEMA Disasters'!$B$2:$B$1000&amp;"] "&amp;'FEMA Disasters'!$C$2:$C$1000&amp;"-"&amp;'FEMA Disasters'!$A$2:$A$1000,""),IF('FEMA Disasters'!$K$2:$K$1000=$A36,"Disaster SEP opens: "&amp;'FEMA Disasters'!$D$2:$D$1000&amp;" ["&amp;'FEMA Disasters'!$B$2:$B$1000&amp;"] "&amp;'FEMA Disasters'!$C$2:$C$1000&amp;"-"&amp;'FEMA Disasters'!$A$2:$A$1000,""),IF('FEMA Disasters'!$L$2:$L$1000=$A36,"Disaster SEP ended: "&amp;'FEMA Disasters'!$D$2:$D$1000&amp;" ["&amp;'FEMA Disasters'!$B$2:$B$1000&amp;"] "&amp;'FEMA Disasters'!$C$2:$C$1000&amp;"-"&amp;'FEMA Disasters'!$A$2:$A$1000,""))</f>
        <v/>
      </c>
      <c r="H36" s="4" t="n">
        <f aca="false">COUNTIF(Events!$A$2:$A$397,$A36)</f>
        <v>0</v>
      </c>
      <c r="I36" s="6" t="str">
        <f aca="false" t="array" ref="I36:I36">_xlfn.TEXTJOIN(" | ",TRUE(),IF(Events!$A$2:$A$397=$A36,Events!$E$2:$E$397&amp;IF(Events!$G$2:$G$397="National",""," ["&amp;Events!$G$2:$G$397&amp;"]"),""))</f>
        <v/>
      </c>
    </row>
    <row r="37" customFormat="false" ht="15" hidden="false" customHeight="true" outlineLevel="0" collapsed="false">
      <c r="A37" s="3" t="n">
        <v>45327</v>
      </c>
      <c r="B37" s="4" t="n">
        <f aca="false">YEAR($A37)</f>
        <v>2024</v>
      </c>
      <c r="C37" s="4" t="n">
        <f aca="false">MONTH($A37)</f>
        <v>2</v>
      </c>
      <c r="D37" s="4" t="str">
        <f aca="false">TEXT($A37,"ddd")</f>
        <v>Mon</v>
      </c>
      <c r="E37" s="4" t="n">
        <f aca="false">IF(OR(AND(MONTH($A37)=10,DAY($A37)&gt;=15),MONTH($A37)=11,AND(MONTH($A37)=12,DAY($A37)&lt;=7)),1,0)</f>
        <v>0</v>
      </c>
      <c r="F37" s="4" t="n">
        <f aca="false">IF(MONTH($A37)&lt;=3,1,0)</f>
        <v>1</v>
      </c>
      <c r="G37" s="4" t="str">
        <f aca="false" t="array" ref="G37:G37">_xlfn.TEXTJOIN(" | ",TRUE(),IF('FEMA Disasters'!$F$2:$F$1000=$A37,'FEMA Disasters'!$D$2:$D$1000&amp;" begin: ["&amp;'FEMA Disasters'!$B$2:$B$1000&amp;"] "&amp;'FEMA Disasters'!$C$2:$C$1000&amp;"-"&amp;'FEMA Disasters'!$A$2:$A$1000,""),IF('FEMA Disasters'!$G$2:$G$1000=$A37,'FEMA Disasters'!$D$2:$D$1000&amp;" ended: ["&amp;'FEMA Disasters'!$B$2:$B$1000&amp;"] "&amp;'FEMA Disasters'!$C$2:$C$1000&amp;"-"&amp;'FEMA Disasters'!$A$2:$A$1000,""),IF('FEMA Disasters'!$K$2:$K$1000=$A37,"Disaster SEP opens: "&amp;'FEMA Disasters'!$D$2:$D$1000&amp;" ["&amp;'FEMA Disasters'!$B$2:$B$1000&amp;"] "&amp;'FEMA Disasters'!$C$2:$C$1000&amp;"-"&amp;'FEMA Disasters'!$A$2:$A$1000,""),IF('FEMA Disasters'!$L$2:$L$1000=$A37,"Disaster SEP ended: "&amp;'FEMA Disasters'!$D$2:$D$1000&amp;" ["&amp;'FEMA Disasters'!$B$2:$B$1000&amp;"] "&amp;'FEMA Disasters'!$C$2:$C$1000&amp;"-"&amp;'FEMA Disasters'!$A$2:$A$1000,""))</f>
        <v/>
      </c>
      <c r="H37" s="4" t="n">
        <f aca="false">COUNTIF(Events!$A$2:$A$397,$A37)</f>
        <v>0</v>
      </c>
      <c r="I37" s="6" t="str">
        <f aca="false" t="array" ref="I37:I37">_xlfn.TEXTJOIN(" | ",TRUE(),IF(Events!$A$2:$A$397=$A37,Events!$E$2:$E$397&amp;IF(Events!$G$2:$G$397="National",""," ["&amp;Events!$G$2:$G$397&amp;"]"),""))</f>
        <v/>
      </c>
    </row>
    <row r="38" customFormat="false" ht="15" hidden="false" customHeight="true" outlineLevel="0" collapsed="false">
      <c r="A38" s="3" t="n">
        <v>45328</v>
      </c>
      <c r="B38" s="4" t="n">
        <f aca="false">YEAR($A38)</f>
        <v>2024</v>
      </c>
      <c r="C38" s="4" t="n">
        <f aca="false">MONTH($A38)</f>
        <v>2</v>
      </c>
      <c r="D38" s="4" t="str">
        <f aca="false">TEXT($A38,"ddd")</f>
        <v>Tue</v>
      </c>
      <c r="E38" s="4" t="n">
        <f aca="false">IF(OR(AND(MONTH($A38)=10,DAY($A38)&gt;=15),MONTH($A38)=11,AND(MONTH($A38)=12,DAY($A38)&lt;=7)),1,0)</f>
        <v>0</v>
      </c>
      <c r="F38" s="4" t="n">
        <f aca="false">IF(MONTH($A38)&lt;=3,1,0)</f>
        <v>1</v>
      </c>
      <c r="G38" s="4" t="str">
        <f aca="false" t="array" ref="G38:G38">_xlfn.TEXTJOIN(" | ",TRUE(),IF('FEMA Disasters'!$F$2:$F$1000=$A38,'FEMA Disasters'!$D$2:$D$1000&amp;" begin: ["&amp;'FEMA Disasters'!$B$2:$B$1000&amp;"] "&amp;'FEMA Disasters'!$C$2:$C$1000&amp;"-"&amp;'FEMA Disasters'!$A$2:$A$1000,""),IF('FEMA Disasters'!$G$2:$G$1000=$A38,'FEMA Disasters'!$D$2:$D$1000&amp;" ended: ["&amp;'FEMA Disasters'!$B$2:$B$1000&amp;"] "&amp;'FEMA Disasters'!$C$2:$C$1000&amp;"-"&amp;'FEMA Disasters'!$A$2:$A$1000,""),IF('FEMA Disasters'!$K$2:$K$1000=$A38,"Disaster SEP opens: "&amp;'FEMA Disasters'!$D$2:$D$1000&amp;" ["&amp;'FEMA Disasters'!$B$2:$B$1000&amp;"] "&amp;'FEMA Disasters'!$C$2:$C$1000&amp;"-"&amp;'FEMA Disasters'!$A$2:$A$1000,""),IF('FEMA Disasters'!$L$2:$L$1000=$A38,"Disaster SEP ended: "&amp;'FEMA Disasters'!$D$2:$D$1000&amp;" ["&amp;'FEMA Disasters'!$B$2:$B$1000&amp;"] "&amp;'FEMA Disasters'!$C$2:$C$1000&amp;"-"&amp;'FEMA Disasters'!$A$2:$A$1000,""))</f>
        <v/>
      </c>
      <c r="H38" s="4" t="n">
        <f aca="false">COUNTIF(Events!$A$2:$A$397,$A38)</f>
        <v>0</v>
      </c>
      <c r="I38" s="6" t="str">
        <f aca="false" t="array" ref="I38:I38">_xlfn.TEXTJOIN(" | ",TRUE(),IF(Events!$A$2:$A$397=$A38,Events!$E$2:$E$397&amp;IF(Events!$G$2:$G$397="National",""," ["&amp;Events!$G$2:$G$397&amp;"]"),""))</f>
        <v/>
      </c>
    </row>
    <row r="39" customFormat="false" ht="15" hidden="false" customHeight="true" outlineLevel="0" collapsed="false">
      <c r="A39" s="3" t="n">
        <v>45329</v>
      </c>
      <c r="B39" s="4" t="n">
        <f aca="false">YEAR($A39)</f>
        <v>2024</v>
      </c>
      <c r="C39" s="4" t="n">
        <f aca="false">MONTH($A39)</f>
        <v>2</v>
      </c>
      <c r="D39" s="4" t="str">
        <f aca="false">TEXT($A39,"ddd")</f>
        <v>Wed</v>
      </c>
      <c r="E39" s="4" t="n">
        <f aca="false">IF(OR(AND(MONTH($A39)=10,DAY($A39)&gt;=15),MONTH($A39)=11,AND(MONTH($A39)=12,DAY($A39)&lt;=7)),1,0)</f>
        <v>0</v>
      </c>
      <c r="F39" s="4" t="n">
        <f aca="false">IF(MONTH($A39)&lt;=3,1,0)</f>
        <v>1</v>
      </c>
      <c r="G39" s="4" t="str">
        <f aca="false" t="array" ref="G39:G39">_xlfn.TEXTJOIN(" | ",TRUE(),IF('FEMA Disasters'!$F$2:$F$1000=$A39,'FEMA Disasters'!$D$2:$D$1000&amp;" begin: ["&amp;'FEMA Disasters'!$B$2:$B$1000&amp;"] "&amp;'FEMA Disasters'!$C$2:$C$1000&amp;"-"&amp;'FEMA Disasters'!$A$2:$A$1000,""),IF('FEMA Disasters'!$G$2:$G$1000=$A39,'FEMA Disasters'!$D$2:$D$1000&amp;" ended: ["&amp;'FEMA Disasters'!$B$2:$B$1000&amp;"] "&amp;'FEMA Disasters'!$C$2:$C$1000&amp;"-"&amp;'FEMA Disasters'!$A$2:$A$1000,""),IF('FEMA Disasters'!$K$2:$K$1000=$A39,"Disaster SEP opens: "&amp;'FEMA Disasters'!$D$2:$D$1000&amp;" ["&amp;'FEMA Disasters'!$B$2:$B$1000&amp;"] "&amp;'FEMA Disasters'!$C$2:$C$1000&amp;"-"&amp;'FEMA Disasters'!$A$2:$A$1000,""),IF('FEMA Disasters'!$L$2:$L$1000=$A39,"Disaster SEP ended: "&amp;'FEMA Disasters'!$D$2:$D$1000&amp;" ["&amp;'FEMA Disasters'!$B$2:$B$1000&amp;"] "&amp;'FEMA Disasters'!$C$2:$C$1000&amp;"-"&amp;'FEMA Disasters'!$A$2:$A$1000,""))</f>
        <v/>
      </c>
      <c r="H39" s="4" t="n">
        <f aca="false">COUNTIF(Events!$A$2:$A$397,$A39)</f>
        <v>0</v>
      </c>
      <c r="I39" s="6" t="str">
        <f aca="false" t="array" ref="I39:I39">_xlfn.TEXTJOIN(" | ",TRUE(),IF(Events!$A$2:$A$397=$A39,Events!$E$2:$E$397&amp;IF(Events!$G$2:$G$397="National",""," ["&amp;Events!$G$2:$G$397&amp;"]"),""))</f>
        <v/>
      </c>
    </row>
    <row r="40" customFormat="false" ht="15" hidden="false" customHeight="true" outlineLevel="0" collapsed="false">
      <c r="A40" s="3" t="n">
        <v>45330</v>
      </c>
      <c r="B40" s="4" t="n">
        <f aca="false">YEAR($A40)</f>
        <v>2024</v>
      </c>
      <c r="C40" s="4" t="n">
        <f aca="false">MONTH($A40)</f>
        <v>2</v>
      </c>
      <c r="D40" s="4" t="str">
        <f aca="false">TEXT($A40,"ddd")</f>
        <v>Thu</v>
      </c>
      <c r="E40" s="4" t="n">
        <f aca="false">IF(OR(AND(MONTH($A40)=10,DAY($A40)&gt;=15),MONTH($A40)=11,AND(MONTH($A40)=12,DAY($A40)&lt;=7)),1,0)</f>
        <v>0</v>
      </c>
      <c r="F40" s="4" t="n">
        <f aca="false">IF(MONTH($A40)&lt;=3,1,0)</f>
        <v>1</v>
      </c>
      <c r="G40" s="4" t="str">
        <f aca="false" t="array" ref="G40:G40">_xlfn.TEXTJOIN(" | ",TRUE(),IF('FEMA Disasters'!$F$2:$F$1000=$A40,'FEMA Disasters'!$D$2:$D$1000&amp;" begin: ["&amp;'FEMA Disasters'!$B$2:$B$1000&amp;"] "&amp;'FEMA Disasters'!$C$2:$C$1000&amp;"-"&amp;'FEMA Disasters'!$A$2:$A$1000,""),IF('FEMA Disasters'!$G$2:$G$1000=$A40,'FEMA Disasters'!$D$2:$D$1000&amp;" ended: ["&amp;'FEMA Disasters'!$B$2:$B$1000&amp;"] "&amp;'FEMA Disasters'!$C$2:$C$1000&amp;"-"&amp;'FEMA Disasters'!$A$2:$A$1000,""),IF('FEMA Disasters'!$K$2:$K$1000=$A40,"Disaster SEP opens: "&amp;'FEMA Disasters'!$D$2:$D$1000&amp;" ["&amp;'FEMA Disasters'!$B$2:$B$1000&amp;"] "&amp;'FEMA Disasters'!$C$2:$C$1000&amp;"-"&amp;'FEMA Disasters'!$A$2:$A$1000,""),IF('FEMA Disasters'!$L$2:$L$1000=$A40,"Disaster SEP ended: "&amp;'FEMA Disasters'!$D$2:$D$1000&amp;" ["&amp;'FEMA Disasters'!$B$2:$B$1000&amp;"] "&amp;'FEMA Disasters'!$C$2:$C$1000&amp;"-"&amp;'FEMA Disasters'!$A$2:$A$1000,""))</f>
        <v/>
      </c>
      <c r="H40" s="4" t="n">
        <f aca="false">COUNTIF(Events!$A$2:$A$397,$A40)</f>
        <v>0</v>
      </c>
      <c r="I40" s="6" t="str">
        <f aca="false" t="array" ref="I40:I40">_xlfn.TEXTJOIN(" | ",TRUE(),IF(Events!$A$2:$A$397=$A40,Events!$E$2:$E$397&amp;IF(Events!$G$2:$G$397="National",""," ["&amp;Events!$G$2:$G$397&amp;"]"),""))</f>
        <v/>
      </c>
    </row>
    <row r="41" customFormat="false" ht="15" hidden="false" customHeight="true" outlineLevel="0" collapsed="false">
      <c r="A41" s="3" t="n">
        <v>45331</v>
      </c>
      <c r="B41" s="4" t="n">
        <f aca="false">YEAR($A41)</f>
        <v>2024</v>
      </c>
      <c r="C41" s="4" t="n">
        <f aca="false">MONTH($A41)</f>
        <v>2</v>
      </c>
      <c r="D41" s="4" t="str">
        <f aca="false">TEXT($A41,"ddd")</f>
        <v>Fri</v>
      </c>
      <c r="E41" s="4" t="n">
        <f aca="false">IF(OR(AND(MONTH($A41)=10,DAY($A41)&gt;=15),MONTH($A41)=11,AND(MONTH($A41)=12,DAY($A41)&lt;=7)),1,0)</f>
        <v>0</v>
      </c>
      <c r="F41" s="4" t="n">
        <f aca="false">IF(MONTH($A41)&lt;=3,1,0)</f>
        <v>1</v>
      </c>
      <c r="G41" s="4" t="str">
        <f aca="false" t="array" ref="G41:G41">_xlfn.TEXTJOIN(" | ",TRUE(),IF('FEMA Disasters'!$F$2:$F$1000=$A41,'FEMA Disasters'!$D$2:$D$1000&amp;" begin: ["&amp;'FEMA Disasters'!$B$2:$B$1000&amp;"] "&amp;'FEMA Disasters'!$C$2:$C$1000&amp;"-"&amp;'FEMA Disasters'!$A$2:$A$1000,""),IF('FEMA Disasters'!$G$2:$G$1000=$A41,'FEMA Disasters'!$D$2:$D$1000&amp;" ended: ["&amp;'FEMA Disasters'!$B$2:$B$1000&amp;"] "&amp;'FEMA Disasters'!$C$2:$C$1000&amp;"-"&amp;'FEMA Disasters'!$A$2:$A$1000,""),IF('FEMA Disasters'!$K$2:$K$1000=$A41,"Disaster SEP opens: "&amp;'FEMA Disasters'!$D$2:$D$1000&amp;" ["&amp;'FEMA Disasters'!$B$2:$B$1000&amp;"] "&amp;'FEMA Disasters'!$C$2:$C$1000&amp;"-"&amp;'FEMA Disasters'!$A$2:$A$1000,""),IF('FEMA Disasters'!$L$2:$L$1000=$A41,"Disaster SEP ended: "&amp;'FEMA Disasters'!$D$2:$D$1000&amp;" ["&amp;'FEMA Disasters'!$B$2:$B$1000&amp;"] "&amp;'FEMA Disasters'!$C$2:$C$1000&amp;"-"&amp;'FEMA Disasters'!$A$2:$A$1000,""))</f>
        <v>Severe Storm ended: [CA] DR-4769 | Severe Storm ended: [CA] DR-4772</v>
      </c>
      <c r="H41" s="4" t="n">
        <f aca="false">COUNTIF(Events!$A$2:$A$397,$A41)</f>
        <v>0</v>
      </c>
      <c r="I41" s="6" t="str">
        <f aca="false" t="array" ref="I41:I41">_xlfn.TEXTJOIN(" | ",TRUE(),IF(Events!$A$2:$A$397=$A41,Events!$E$2:$E$397&amp;IF(Events!$G$2:$G$397="National",""," ["&amp;Events!$G$2:$G$397&amp;"]"),""))</f>
        <v/>
      </c>
    </row>
    <row r="42" customFormat="false" ht="15" hidden="false" customHeight="true" outlineLevel="0" collapsed="false">
      <c r="A42" s="3" t="n">
        <v>45332</v>
      </c>
      <c r="B42" s="4" t="n">
        <f aca="false">YEAR($A42)</f>
        <v>2024</v>
      </c>
      <c r="C42" s="4" t="n">
        <f aca="false">MONTH($A42)</f>
        <v>2</v>
      </c>
      <c r="D42" s="4" t="str">
        <f aca="false">TEXT($A42,"ddd")</f>
        <v>Sat</v>
      </c>
      <c r="E42" s="4" t="n">
        <f aca="false">IF(OR(AND(MONTH($A42)=10,DAY($A42)&gt;=15),MONTH($A42)=11,AND(MONTH($A42)=12,DAY($A42)&lt;=7)),1,0)</f>
        <v>0</v>
      </c>
      <c r="F42" s="4" t="n">
        <f aca="false">IF(MONTH($A42)&lt;=3,1,0)</f>
        <v>1</v>
      </c>
      <c r="G42" s="4" t="str">
        <f aca="false" t="array" ref="G42:G42">_xlfn.TEXTJOIN(" | ",TRUE(),IF('FEMA Disasters'!$F$2:$F$1000=$A42,'FEMA Disasters'!$D$2:$D$1000&amp;" begin: ["&amp;'FEMA Disasters'!$B$2:$B$1000&amp;"] "&amp;'FEMA Disasters'!$C$2:$C$1000&amp;"-"&amp;'FEMA Disasters'!$A$2:$A$1000,""),IF('FEMA Disasters'!$G$2:$G$1000=$A42,'FEMA Disasters'!$D$2:$D$1000&amp;" ended: ["&amp;'FEMA Disasters'!$B$2:$B$1000&amp;"] "&amp;'FEMA Disasters'!$C$2:$C$1000&amp;"-"&amp;'FEMA Disasters'!$A$2:$A$1000,""),IF('FEMA Disasters'!$K$2:$K$1000=$A42,"Disaster SEP opens: "&amp;'FEMA Disasters'!$D$2:$D$1000&amp;" ["&amp;'FEMA Disasters'!$B$2:$B$1000&amp;"] "&amp;'FEMA Disasters'!$C$2:$C$1000&amp;"-"&amp;'FEMA Disasters'!$A$2:$A$1000,""),IF('FEMA Disasters'!$L$2:$L$1000=$A42,"Disaster SEP ended: "&amp;'FEMA Disasters'!$D$2:$D$1000&amp;" ["&amp;'FEMA Disasters'!$B$2:$B$1000&amp;"] "&amp;'FEMA Disasters'!$C$2:$C$1000&amp;"-"&amp;'FEMA Disasters'!$A$2:$A$1000,""))</f>
        <v/>
      </c>
      <c r="H42" s="4" t="n">
        <f aca="false">COUNTIF(Events!$A$2:$A$397,$A42)</f>
        <v>0</v>
      </c>
      <c r="I42" s="6" t="str">
        <f aca="false" t="array" ref="I42:I42">_xlfn.TEXTJOIN(" | ",TRUE(),IF(Events!$A$2:$A$397=$A42,Events!$E$2:$E$397&amp;IF(Events!$G$2:$G$397="National",""," ["&amp;Events!$G$2:$G$397&amp;"]"),""))</f>
        <v/>
      </c>
    </row>
    <row r="43" customFormat="false" ht="15" hidden="false" customHeight="true" outlineLevel="0" collapsed="false">
      <c r="A43" s="3" t="n">
        <v>45333</v>
      </c>
      <c r="B43" s="4" t="n">
        <f aca="false">YEAR($A43)</f>
        <v>2024</v>
      </c>
      <c r="C43" s="4" t="n">
        <f aca="false">MONTH($A43)</f>
        <v>2</v>
      </c>
      <c r="D43" s="4" t="str">
        <f aca="false">TEXT($A43,"ddd")</f>
        <v>Sun</v>
      </c>
      <c r="E43" s="4" t="n">
        <f aca="false">IF(OR(AND(MONTH($A43)=10,DAY($A43)&gt;=15),MONTH($A43)=11,AND(MONTH($A43)=12,DAY($A43)&lt;=7)),1,0)</f>
        <v>0</v>
      </c>
      <c r="F43" s="4" t="n">
        <f aca="false">IF(MONTH($A43)&lt;=3,1,0)</f>
        <v>1</v>
      </c>
      <c r="G43" s="4" t="str">
        <f aca="false" t="array" ref="G43:G43">_xlfn.TEXTJOIN(" | ",TRUE(),IF('FEMA Disasters'!$F$2:$F$1000=$A43,'FEMA Disasters'!$D$2:$D$1000&amp;" begin: ["&amp;'FEMA Disasters'!$B$2:$B$1000&amp;"] "&amp;'FEMA Disasters'!$C$2:$C$1000&amp;"-"&amp;'FEMA Disasters'!$A$2:$A$1000,""),IF('FEMA Disasters'!$G$2:$G$1000=$A43,'FEMA Disasters'!$D$2:$D$1000&amp;" ended: ["&amp;'FEMA Disasters'!$B$2:$B$1000&amp;"] "&amp;'FEMA Disasters'!$C$2:$C$1000&amp;"-"&amp;'FEMA Disasters'!$A$2:$A$1000,""),IF('FEMA Disasters'!$K$2:$K$1000=$A43,"Disaster SEP opens: "&amp;'FEMA Disasters'!$D$2:$D$1000&amp;" ["&amp;'FEMA Disasters'!$B$2:$B$1000&amp;"] "&amp;'FEMA Disasters'!$C$2:$C$1000&amp;"-"&amp;'FEMA Disasters'!$A$2:$A$1000,""),IF('FEMA Disasters'!$L$2:$L$1000=$A43,"Disaster SEP ended: "&amp;'FEMA Disasters'!$D$2:$D$1000&amp;" ["&amp;'FEMA Disasters'!$B$2:$B$1000&amp;"] "&amp;'FEMA Disasters'!$C$2:$C$1000&amp;"-"&amp;'FEMA Disasters'!$A$2:$A$1000,""))</f>
        <v/>
      </c>
      <c r="H43" s="4" t="n">
        <f aca="false">COUNTIF(Events!$A$2:$A$397,$A43)</f>
        <v>0</v>
      </c>
      <c r="I43" s="6" t="str">
        <f aca="false" t="array" ref="I43:I43">_xlfn.TEXTJOIN(" | ",TRUE(),IF(Events!$A$2:$A$397=$A43,Events!$E$2:$E$397&amp;IF(Events!$G$2:$G$397="National",""," ["&amp;Events!$G$2:$G$397&amp;"]"),""))</f>
        <v/>
      </c>
    </row>
    <row r="44" customFormat="false" ht="15" hidden="false" customHeight="true" outlineLevel="0" collapsed="false">
      <c r="A44" s="3" t="n">
        <v>45334</v>
      </c>
      <c r="B44" s="4" t="n">
        <f aca="false">YEAR($A44)</f>
        <v>2024</v>
      </c>
      <c r="C44" s="4" t="n">
        <f aca="false">MONTH($A44)</f>
        <v>2</v>
      </c>
      <c r="D44" s="4" t="str">
        <f aca="false">TEXT($A44,"ddd")</f>
        <v>Mon</v>
      </c>
      <c r="E44" s="4" t="n">
        <f aca="false">IF(OR(AND(MONTH($A44)=10,DAY($A44)&gt;=15),MONTH($A44)=11,AND(MONTH($A44)=12,DAY($A44)&lt;=7)),1,0)</f>
        <v>0</v>
      </c>
      <c r="F44" s="4" t="n">
        <f aca="false">IF(MONTH($A44)&lt;=3,1,0)</f>
        <v>1</v>
      </c>
      <c r="G44" s="4" t="str">
        <f aca="false" t="array" ref="G44:G44">_xlfn.TEXTJOIN(" | ",TRUE(),IF('FEMA Disasters'!$F$2:$F$1000=$A44,'FEMA Disasters'!$D$2:$D$1000&amp;" begin: ["&amp;'FEMA Disasters'!$B$2:$B$1000&amp;"] "&amp;'FEMA Disasters'!$C$2:$C$1000&amp;"-"&amp;'FEMA Disasters'!$A$2:$A$1000,""),IF('FEMA Disasters'!$G$2:$G$1000=$A44,'FEMA Disasters'!$D$2:$D$1000&amp;" ended: ["&amp;'FEMA Disasters'!$B$2:$B$1000&amp;"] "&amp;'FEMA Disasters'!$C$2:$C$1000&amp;"-"&amp;'FEMA Disasters'!$A$2:$A$1000,""),IF('FEMA Disasters'!$K$2:$K$1000=$A44,"Disaster SEP opens: "&amp;'FEMA Disasters'!$D$2:$D$1000&amp;" ["&amp;'FEMA Disasters'!$B$2:$B$1000&amp;"] "&amp;'FEMA Disasters'!$C$2:$C$1000&amp;"-"&amp;'FEMA Disasters'!$A$2:$A$1000,""),IF('FEMA Disasters'!$L$2:$L$1000=$A44,"Disaster SEP ended: "&amp;'FEMA Disasters'!$D$2:$D$1000&amp;" ["&amp;'FEMA Disasters'!$B$2:$B$1000&amp;"] "&amp;'FEMA Disasters'!$C$2:$C$1000&amp;"-"&amp;'FEMA Disasters'!$A$2:$A$1000,""))</f>
        <v/>
      </c>
      <c r="H44" s="4" t="n">
        <f aca="false">COUNTIF(Events!$A$2:$A$397,$A44)</f>
        <v>0</v>
      </c>
      <c r="I44" s="6" t="str">
        <f aca="false" t="array" ref="I44:I44">_xlfn.TEXTJOIN(" | ",TRUE(),IF(Events!$A$2:$A$397=$A44,Events!$E$2:$E$397&amp;IF(Events!$G$2:$G$397="National",""," ["&amp;Events!$G$2:$G$397&amp;"]"),""))</f>
        <v/>
      </c>
    </row>
    <row r="45" customFormat="false" ht="15" hidden="false" customHeight="true" outlineLevel="0" collapsed="false">
      <c r="A45" s="3" t="n">
        <v>45335</v>
      </c>
      <c r="B45" s="4" t="n">
        <f aca="false">YEAR($A45)</f>
        <v>2024</v>
      </c>
      <c r="C45" s="4" t="n">
        <f aca="false">MONTH($A45)</f>
        <v>2</v>
      </c>
      <c r="D45" s="4" t="str">
        <f aca="false">TEXT($A45,"ddd")</f>
        <v>Tue</v>
      </c>
      <c r="E45" s="4" t="n">
        <f aca="false">IF(OR(AND(MONTH($A45)=10,DAY($A45)&gt;=15),MONTH($A45)=11,AND(MONTH($A45)=12,DAY($A45)&lt;=7)),1,0)</f>
        <v>0</v>
      </c>
      <c r="F45" s="4" t="n">
        <f aca="false">IF(MONTH($A45)&lt;=3,1,0)</f>
        <v>1</v>
      </c>
      <c r="G45" s="4" t="str">
        <f aca="false" t="array" ref="G45:G45">_xlfn.TEXTJOIN(" | ",TRUE(),IF('FEMA Disasters'!$F$2:$F$1000=$A45,'FEMA Disasters'!$D$2:$D$1000&amp;" begin: ["&amp;'FEMA Disasters'!$B$2:$B$1000&amp;"] "&amp;'FEMA Disasters'!$C$2:$C$1000&amp;"-"&amp;'FEMA Disasters'!$A$2:$A$1000,""),IF('FEMA Disasters'!$G$2:$G$1000=$A45,'FEMA Disasters'!$D$2:$D$1000&amp;" ended: ["&amp;'FEMA Disasters'!$B$2:$B$1000&amp;"] "&amp;'FEMA Disasters'!$C$2:$C$1000&amp;"-"&amp;'FEMA Disasters'!$A$2:$A$1000,""),IF('FEMA Disasters'!$K$2:$K$1000=$A45,"Disaster SEP opens: "&amp;'FEMA Disasters'!$D$2:$D$1000&amp;" ["&amp;'FEMA Disasters'!$B$2:$B$1000&amp;"] "&amp;'FEMA Disasters'!$C$2:$C$1000&amp;"-"&amp;'FEMA Disasters'!$A$2:$A$1000,""),IF('FEMA Disasters'!$L$2:$L$1000=$A45,"Disaster SEP ended: "&amp;'FEMA Disasters'!$D$2:$D$1000&amp;" ["&amp;'FEMA Disasters'!$B$2:$B$1000&amp;"] "&amp;'FEMA Disasters'!$C$2:$C$1000&amp;"-"&amp;'FEMA Disasters'!$A$2:$A$1000,""))</f>
        <v/>
      </c>
      <c r="H45" s="4" t="n">
        <f aca="false">COUNTIF(Events!$A$2:$A$397,$A45)</f>
        <v>0</v>
      </c>
      <c r="I45" s="6" t="str">
        <f aca="false" t="array" ref="I45:I45">_xlfn.TEXTJOIN(" | ",TRUE(),IF(Events!$A$2:$A$397=$A45,Events!$E$2:$E$397&amp;IF(Events!$G$2:$G$397="National",""," ["&amp;Events!$G$2:$G$397&amp;"]"),""))</f>
        <v/>
      </c>
    </row>
    <row r="46" customFormat="false" ht="15" hidden="false" customHeight="true" outlineLevel="0" collapsed="false">
      <c r="A46" s="3" t="n">
        <v>45336</v>
      </c>
      <c r="B46" s="4" t="n">
        <f aca="false">YEAR($A46)</f>
        <v>2024</v>
      </c>
      <c r="C46" s="4" t="n">
        <f aca="false">MONTH($A46)</f>
        <v>2</v>
      </c>
      <c r="D46" s="4" t="str">
        <f aca="false">TEXT($A46,"ddd")</f>
        <v>Wed</v>
      </c>
      <c r="E46" s="4" t="n">
        <f aca="false">IF(OR(AND(MONTH($A46)=10,DAY($A46)&gt;=15),MONTH($A46)=11,AND(MONTH($A46)=12,DAY($A46)&lt;=7)),1,0)</f>
        <v>0</v>
      </c>
      <c r="F46" s="4" t="n">
        <f aca="false">IF(MONTH($A46)&lt;=3,1,0)</f>
        <v>1</v>
      </c>
      <c r="G46" s="4" t="str">
        <f aca="false" t="array" ref="G46:G46">_xlfn.TEXTJOIN(" | ",TRUE(),IF('FEMA Disasters'!$F$2:$F$1000=$A46,'FEMA Disasters'!$D$2:$D$1000&amp;" begin: ["&amp;'FEMA Disasters'!$B$2:$B$1000&amp;"] "&amp;'FEMA Disasters'!$C$2:$C$1000&amp;"-"&amp;'FEMA Disasters'!$A$2:$A$1000,""),IF('FEMA Disasters'!$G$2:$G$1000=$A46,'FEMA Disasters'!$D$2:$D$1000&amp;" ended: ["&amp;'FEMA Disasters'!$B$2:$B$1000&amp;"] "&amp;'FEMA Disasters'!$C$2:$C$1000&amp;"-"&amp;'FEMA Disasters'!$A$2:$A$1000,""),IF('FEMA Disasters'!$K$2:$K$1000=$A46,"Disaster SEP opens: "&amp;'FEMA Disasters'!$D$2:$D$1000&amp;" ["&amp;'FEMA Disasters'!$B$2:$B$1000&amp;"] "&amp;'FEMA Disasters'!$C$2:$C$1000&amp;"-"&amp;'FEMA Disasters'!$A$2:$A$1000,""),IF('FEMA Disasters'!$L$2:$L$1000=$A46,"Disaster SEP ended: "&amp;'FEMA Disasters'!$D$2:$D$1000&amp;" ["&amp;'FEMA Disasters'!$B$2:$B$1000&amp;"] "&amp;'FEMA Disasters'!$C$2:$C$1000&amp;"-"&amp;'FEMA Disasters'!$A$2:$A$1000,""))</f>
        <v/>
      </c>
      <c r="H46" s="4" t="n">
        <f aca="false">COUNTIF(Events!$A$2:$A$397,$A46)</f>
        <v>0</v>
      </c>
      <c r="I46" s="6" t="str">
        <f aca="false" t="array" ref="I46:I46">_xlfn.TEXTJOIN(" | ",TRUE(),IF(Events!$A$2:$A$397=$A46,Events!$E$2:$E$397&amp;IF(Events!$G$2:$G$397="National",""," ["&amp;Events!$G$2:$G$397&amp;"]"),""))</f>
        <v/>
      </c>
    </row>
    <row r="47" customFormat="false" ht="15" hidden="false" customHeight="true" outlineLevel="0" collapsed="false">
      <c r="A47" s="3" t="n">
        <v>45337</v>
      </c>
      <c r="B47" s="4" t="n">
        <f aca="false">YEAR($A47)</f>
        <v>2024</v>
      </c>
      <c r="C47" s="4" t="n">
        <f aca="false">MONTH($A47)</f>
        <v>2</v>
      </c>
      <c r="D47" s="4" t="str">
        <f aca="false">TEXT($A47,"ddd")</f>
        <v>Thu</v>
      </c>
      <c r="E47" s="4" t="n">
        <f aca="false">IF(OR(AND(MONTH($A47)=10,DAY($A47)&gt;=15),MONTH($A47)=11,AND(MONTH($A47)=12,DAY($A47)&lt;=7)),1,0)</f>
        <v>0</v>
      </c>
      <c r="F47" s="4" t="n">
        <f aca="false">IF(MONTH($A47)&lt;=3,1,0)</f>
        <v>1</v>
      </c>
      <c r="G47" s="4" t="str">
        <f aca="false" t="array" ref="G47:G47">_xlfn.TEXTJOIN(" | ",TRUE(),IF('FEMA Disasters'!$F$2:$F$1000=$A47,'FEMA Disasters'!$D$2:$D$1000&amp;" begin: ["&amp;'FEMA Disasters'!$B$2:$B$1000&amp;"] "&amp;'FEMA Disasters'!$C$2:$C$1000&amp;"-"&amp;'FEMA Disasters'!$A$2:$A$1000,""),IF('FEMA Disasters'!$G$2:$G$1000=$A47,'FEMA Disasters'!$D$2:$D$1000&amp;" ended: ["&amp;'FEMA Disasters'!$B$2:$B$1000&amp;"] "&amp;'FEMA Disasters'!$C$2:$C$1000&amp;"-"&amp;'FEMA Disasters'!$A$2:$A$1000,""),IF('FEMA Disasters'!$K$2:$K$1000=$A47,"Disaster SEP opens: "&amp;'FEMA Disasters'!$D$2:$D$1000&amp;" ["&amp;'FEMA Disasters'!$B$2:$B$1000&amp;"] "&amp;'FEMA Disasters'!$C$2:$C$1000&amp;"-"&amp;'FEMA Disasters'!$A$2:$A$1000,""),IF('FEMA Disasters'!$L$2:$L$1000=$A47,"Disaster SEP ended: "&amp;'FEMA Disasters'!$D$2:$D$1000&amp;" ["&amp;'FEMA Disasters'!$B$2:$B$1000&amp;"] "&amp;'FEMA Disasters'!$C$2:$C$1000&amp;"-"&amp;'FEMA Disasters'!$A$2:$A$1000,""))</f>
        <v/>
      </c>
      <c r="H47" s="4" t="n">
        <f aca="false">COUNTIF(Events!$A$2:$A$397,$A47)</f>
        <v>0</v>
      </c>
      <c r="I47" s="6" t="str">
        <f aca="false" t="array" ref="I47:I47">_xlfn.TEXTJOIN(" | ",TRUE(),IF(Events!$A$2:$A$397=$A47,Events!$E$2:$E$397&amp;IF(Events!$G$2:$G$397="National",""," ["&amp;Events!$G$2:$G$397&amp;"]"),""))</f>
        <v/>
      </c>
    </row>
    <row r="48" customFormat="false" ht="15" hidden="false" customHeight="true" outlineLevel="0" collapsed="false">
      <c r="A48" s="3" t="n">
        <v>45338</v>
      </c>
      <c r="B48" s="4" t="n">
        <f aca="false">YEAR($A48)</f>
        <v>2024</v>
      </c>
      <c r="C48" s="4" t="n">
        <f aca="false">MONTH($A48)</f>
        <v>2</v>
      </c>
      <c r="D48" s="4" t="str">
        <f aca="false">TEXT($A48,"ddd")</f>
        <v>Fri</v>
      </c>
      <c r="E48" s="4" t="n">
        <f aca="false">IF(OR(AND(MONTH($A48)=10,DAY($A48)&gt;=15),MONTH($A48)=11,AND(MONTH($A48)=12,DAY($A48)&lt;=7)),1,0)</f>
        <v>0</v>
      </c>
      <c r="F48" s="4" t="n">
        <f aca="false">IF(MONTH($A48)&lt;=3,1,0)</f>
        <v>1</v>
      </c>
      <c r="G48" s="4" t="str">
        <f aca="false" t="array" ref="G48:G48">_xlfn.TEXTJOIN(" | ",TRUE(),IF('FEMA Disasters'!$F$2:$F$1000=$A48,'FEMA Disasters'!$D$2:$D$1000&amp;" begin: ["&amp;'FEMA Disasters'!$B$2:$B$1000&amp;"] "&amp;'FEMA Disasters'!$C$2:$C$1000&amp;"-"&amp;'FEMA Disasters'!$A$2:$A$1000,""),IF('FEMA Disasters'!$G$2:$G$1000=$A48,'FEMA Disasters'!$D$2:$D$1000&amp;" ended: ["&amp;'FEMA Disasters'!$B$2:$B$1000&amp;"] "&amp;'FEMA Disasters'!$C$2:$C$1000&amp;"-"&amp;'FEMA Disasters'!$A$2:$A$1000,""),IF('FEMA Disasters'!$K$2:$K$1000=$A48,"Disaster SEP opens: "&amp;'FEMA Disasters'!$D$2:$D$1000&amp;" ["&amp;'FEMA Disasters'!$B$2:$B$1000&amp;"] "&amp;'FEMA Disasters'!$C$2:$C$1000&amp;"-"&amp;'FEMA Disasters'!$A$2:$A$1000,""),IF('FEMA Disasters'!$L$2:$L$1000=$A48,"Disaster SEP ended: "&amp;'FEMA Disasters'!$D$2:$D$1000&amp;" ["&amp;'FEMA Disasters'!$B$2:$B$1000&amp;"] "&amp;'FEMA Disasters'!$C$2:$C$1000&amp;"-"&amp;'FEMA Disasters'!$A$2:$A$1000,""))</f>
        <v/>
      </c>
      <c r="H48" s="4" t="n">
        <f aca="false">COUNTIF(Events!$A$2:$A$397,$A48)</f>
        <v>0</v>
      </c>
      <c r="I48" s="6" t="str">
        <f aca="false" t="array" ref="I48:I48">_xlfn.TEXTJOIN(" | ",TRUE(),IF(Events!$A$2:$A$397=$A48,Events!$E$2:$E$397&amp;IF(Events!$G$2:$G$397="National",""," ["&amp;Events!$G$2:$G$397&amp;"]"),""))</f>
        <v/>
      </c>
    </row>
    <row r="49" customFormat="false" ht="15" hidden="false" customHeight="true" outlineLevel="0" collapsed="false">
      <c r="A49" s="3" t="n">
        <v>45339</v>
      </c>
      <c r="B49" s="4" t="n">
        <f aca="false">YEAR($A49)</f>
        <v>2024</v>
      </c>
      <c r="C49" s="4" t="n">
        <f aca="false">MONTH($A49)</f>
        <v>2</v>
      </c>
      <c r="D49" s="4" t="str">
        <f aca="false">TEXT($A49,"ddd")</f>
        <v>Sat</v>
      </c>
      <c r="E49" s="4" t="n">
        <f aca="false">IF(OR(AND(MONTH($A49)=10,DAY($A49)&gt;=15),MONTH($A49)=11,AND(MONTH($A49)=12,DAY($A49)&lt;=7)),1,0)</f>
        <v>0</v>
      </c>
      <c r="F49" s="4" t="n">
        <f aca="false">IF(MONTH($A49)&lt;=3,1,0)</f>
        <v>1</v>
      </c>
      <c r="G49" s="4" t="str">
        <f aca="false" t="array" ref="G49:G49">_xlfn.TEXTJOIN(" | ",TRUE(),IF('FEMA Disasters'!$F$2:$F$1000=$A49,'FEMA Disasters'!$D$2:$D$1000&amp;" begin: ["&amp;'FEMA Disasters'!$B$2:$B$1000&amp;"] "&amp;'FEMA Disasters'!$C$2:$C$1000&amp;"-"&amp;'FEMA Disasters'!$A$2:$A$1000,""),IF('FEMA Disasters'!$G$2:$G$1000=$A49,'FEMA Disasters'!$D$2:$D$1000&amp;" ended: ["&amp;'FEMA Disasters'!$B$2:$B$1000&amp;"] "&amp;'FEMA Disasters'!$C$2:$C$1000&amp;"-"&amp;'FEMA Disasters'!$A$2:$A$1000,""),IF('FEMA Disasters'!$K$2:$K$1000=$A49,"Disaster SEP opens: "&amp;'FEMA Disasters'!$D$2:$D$1000&amp;" ["&amp;'FEMA Disasters'!$B$2:$B$1000&amp;"] "&amp;'FEMA Disasters'!$C$2:$C$1000&amp;"-"&amp;'FEMA Disasters'!$A$2:$A$1000,""),IF('FEMA Disasters'!$L$2:$L$1000=$A49,"Disaster SEP ended: "&amp;'FEMA Disasters'!$D$2:$D$1000&amp;" ["&amp;'FEMA Disasters'!$B$2:$B$1000&amp;"] "&amp;'FEMA Disasters'!$C$2:$C$1000&amp;"-"&amp;'FEMA Disasters'!$A$2:$A$1000,""))</f>
        <v/>
      </c>
      <c r="H49" s="4" t="n">
        <f aca="false">COUNTIF(Events!$A$2:$A$397,$A49)</f>
        <v>0</v>
      </c>
      <c r="I49" s="6" t="str">
        <f aca="false" t="array" ref="I49:I49">_xlfn.TEXTJOIN(" | ",TRUE(),IF(Events!$A$2:$A$397=$A49,Events!$E$2:$E$397&amp;IF(Events!$G$2:$G$397="National",""," ["&amp;Events!$G$2:$G$397&amp;"]"),""))</f>
        <v/>
      </c>
    </row>
    <row r="50" customFormat="false" ht="15" hidden="false" customHeight="true" outlineLevel="0" collapsed="false">
      <c r="A50" s="3" t="n">
        <v>45340</v>
      </c>
      <c r="B50" s="4" t="n">
        <f aca="false">YEAR($A50)</f>
        <v>2024</v>
      </c>
      <c r="C50" s="4" t="n">
        <f aca="false">MONTH($A50)</f>
        <v>2</v>
      </c>
      <c r="D50" s="4" t="str">
        <f aca="false">TEXT($A50,"ddd")</f>
        <v>Sun</v>
      </c>
      <c r="E50" s="4" t="n">
        <f aca="false">IF(OR(AND(MONTH($A50)=10,DAY($A50)&gt;=15),MONTH($A50)=11,AND(MONTH($A50)=12,DAY($A50)&lt;=7)),1,0)</f>
        <v>0</v>
      </c>
      <c r="F50" s="4" t="n">
        <f aca="false">IF(MONTH($A50)&lt;=3,1,0)</f>
        <v>1</v>
      </c>
      <c r="G50" s="4" t="str">
        <f aca="false" t="array" ref="G50:G50">_xlfn.TEXTJOIN(" | ",TRUE(),IF('FEMA Disasters'!$F$2:$F$1000=$A50,'FEMA Disasters'!$D$2:$D$1000&amp;" begin: ["&amp;'FEMA Disasters'!$B$2:$B$1000&amp;"] "&amp;'FEMA Disasters'!$C$2:$C$1000&amp;"-"&amp;'FEMA Disasters'!$A$2:$A$1000,""),IF('FEMA Disasters'!$G$2:$G$1000=$A50,'FEMA Disasters'!$D$2:$D$1000&amp;" ended: ["&amp;'FEMA Disasters'!$B$2:$B$1000&amp;"] "&amp;'FEMA Disasters'!$C$2:$C$1000&amp;"-"&amp;'FEMA Disasters'!$A$2:$A$1000,""),IF('FEMA Disasters'!$K$2:$K$1000=$A50,"Disaster SEP opens: "&amp;'FEMA Disasters'!$D$2:$D$1000&amp;" ["&amp;'FEMA Disasters'!$B$2:$B$1000&amp;"] "&amp;'FEMA Disasters'!$C$2:$C$1000&amp;"-"&amp;'FEMA Disasters'!$A$2:$A$1000,""),IF('FEMA Disasters'!$L$2:$L$1000=$A50,"Disaster SEP ended: "&amp;'FEMA Disasters'!$D$2:$D$1000&amp;" ["&amp;'FEMA Disasters'!$B$2:$B$1000&amp;"] "&amp;'FEMA Disasters'!$C$2:$C$1000&amp;"-"&amp;'FEMA Disasters'!$A$2:$A$1000,""))</f>
        <v/>
      </c>
      <c r="H50" s="4" t="n">
        <f aca="false">COUNTIF(Events!$A$2:$A$397,$A50)</f>
        <v>0</v>
      </c>
      <c r="I50" s="6" t="str">
        <f aca="false" t="array" ref="I50:I50">_xlfn.TEXTJOIN(" | ",TRUE(),IF(Events!$A$2:$A$397=$A50,Events!$E$2:$E$397&amp;IF(Events!$G$2:$G$397="National",""," ["&amp;Events!$G$2:$G$397&amp;"]"),""))</f>
        <v/>
      </c>
    </row>
    <row r="51" customFormat="false" ht="15" hidden="false" customHeight="true" outlineLevel="0" collapsed="false">
      <c r="A51" s="3" t="n">
        <v>45341</v>
      </c>
      <c r="B51" s="4" t="n">
        <f aca="false">YEAR($A51)</f>
        <v>2024</v>
      </c>
      <c r="C51" s="4" t="n">
        <f aca="false">MONTH($A51)</f>
        <v>2</v>
      </c>
      <c r="D51" s="4" t="str">
        <f aca="false">TEXT($A51,"ddd")</f>
        <v>Mon</v>
      </c>
      <c r="E51" s="4" t="n">
        <f aca="false">IF(OR(AND(MONTH($A51)=10,DAY($A51)&gt;=15),MONTH($A51)=11,AND(MONTH($A51)=12,DAY($A51)&lt;=7)),1,0)</f>
        <v>0</v>
      </c>
      <c r="F51" s="4" t="n">
        <f aca="false">IF(MONTH($A51)&lt;=3,1,0)</f>
        <v>1</v>
      </c>
      <c r="G51" s="4" t="str">
        <f aca="false" t="array" ref="G51:G51">_xlfn.TEXTJOIN(" | ",TRUE(),IF('FEMA Disasters'!$F$2:$F$1000=$A51,'FEMA Disasters'!$D$2:$D$1000&amp;" begin: ["&amp;'FEMA Disasters'!$B$2:$B$1000&amp;"] "&amp;'FEMA Disasters'!$C$2:$C$1000&amp;"-"&amp;'FEMA Disasters'!$A$2:$A$1000,""),IF('FEMA Disasters'!$G$2:$G$1000=$A51,'FEMA Disasters'!$D$2:$D$1000&amp;" ended: ["&amp;'FEMA Disasters'!$B$2:$B$1000&amp;"] "&amp;'FEMA Disasters'!$C$2:$C$1000&amp;"-"&amp;'FEMA Disasters'!$A$2:$A$1000,""),IF('FEMA Disasters'!$K$2:$K$1000=$A51,"Disaster SEP opens: "&amp;'FEMA Disasters'!$D$2:$D$1000&amp;" ["&amp;'FEMA Disasters'!$B$2:$B$1000&amp;"] "&amp;'FEMA Disasters'!$C$2:$C$1000&amp;"-"&amp;'FEMA Disasters'!$A$2:$A$1000,""),IF('FEMA Disasters'!$L$2:$L$1000=$A51,"Disaster SEP ended: "&amp;'FEMA Disasters'!$D$2:$D$1000&amp;" ["&amp;'FEMA Disasters'!$B$2:$B$1000&amp;"] "&amp;'FEMA Disasters'!$C$2:$C$1000&amp;"-"&amp;'FEMA Disasters'!$A$2:$A$1000,""))</f>
        <v/>
      </c>
      <c r="H51" s="4" t="n">
        <f aca="false">COUNTIF(Events!$A$2:$A$397,$A51)</f>
        <v>0</v>
      </c>
      <c r="I51" s="6" t="str">
        <f aca="false" t="array" ref="I51:I51">_xlfn.TEXTJOIN(" | ",TRUE(),IF(Events!$A$2:$A$397=$A51,Events!$E$2:$E$397&amp;IF(Events!$G$2:$G$397="National",""," ["&amp;Events!$G$2:$G$397&amp;"]"),""))</f>
        <v/>
      </c>
    </row>
    <row r="52" customFormat="false" ht="15" hidden="false" customHeight="true" outlineLevel="0" collapsed="false">
      <c r="A52" s="3" t="n">
        <v>45342</v>
      </c>
      <c r="B52" s="4" t="n">
        <f aca="false">YEAR($A52)</f>
        <v>2024</v>
      </c>
      <c r="C52" s="4" t="n">
        <f aca="false">MONTH($A52)</f>
        <v>2</v>
      </c>
      <c r="D52" s="4" t="str">
        <f aca="false">TEXT($A52,"ddd")</f>
        <v>Tue</v>
      </c>
      <c r="E52" s="4" t="n">
        <f aca="false">IF(OR(AND(MONTH($A52)=10,DAY($A52)&gt;=15),MONTH($A52)=11,AND(MONTH($A52)=12,DAY($A52)&lt;=7)),1,0)</f>
        <v>0</v>
      </c>
      <c r="F52" s="4" t="n">
        <f aca="false">IF(MONTH($A52)&lt;=3,1,0)</f>
        <v>1</v>
      </c>
      <c r="G52" s="4" t="str">
        <f aca="false" t="array" ref="G52:G52">_xlfn.TEXTJOIN(" | ",TRUE(),IF('FEMA Disasters'!$F$2:$F$1000=$A52,'FEMA Disasters'!$D$2:$D$1000&amp;" begin: ["&amp;'FEMA Disasters'!$B$2:$B$1000&amp;"] "&amp;'FEMA Disasters'!$C$2:$C$1000&amp;"-"&amp;'FEMA Disasters'!$A$2:$A$1000,""),IF('FEMA Disasters'!$G$2:$G$1000=$A52,'FEMA Disasters'!$D$2:$D$1000&amp;" ended: ["&amp;'FEMA Disasters'!$B$2:$B$1000&amp;"] "&amp;'FEMA Disasters'!$C$2:$C$1000&amp;"-"&amp;'FEMA Disasters'!$A$2:$A$1000,""),IF('FEMA Disasters'!$K$2:$K$1000=$A52,"Disaster SEP opens: "&amp;'FEMA Disasters'!$D$2:$D$1000&amp;" ["&amp;'FEMA Disasters'!$B$2:$B$1000&amp;"] "&amp;'FEMA Disasters'!$C$2:$C$1000&amp;"-"&amp;'FEMA Disasters'!$A$2:$A$1000,""),IF('FEMA Disasters'!$L$2:$L$1000=$A52,"Disaster SEP ended: "&amp;'FEMA Disasters'!$D$2:$D$1000&amp;" ["&amp;'FEMA Disasters'!$B$2:$B$1000&amp;"] "&amp;'FEMA Disasters'!$C$2:$C$1000&amp;"-"&amp;'FEMA Disasters'!$A$2:$A$1000,""))</f>
        <v/>
      </c>
      <c r="H52" s="4" t="n">
        <f aca="false">COUNTIF(Events!$A$2:$A$397,$A52)</f>
        <v>0</v>
      </c>
      <c r="I52" s="6" t="str">
        <f aca="false" t="array" ref="I52:I52">_xlfn.TEXTJOIN(" | ",TRUE(),IF(Events!$A$2:$A$397=$A52,Events!$E$2:$E$397&amp;IF(Events!$G$2:$G$397="National",""," ["&amp;Events!$G$2:$G$397&amp;"]"),""))</f>
        <v/>
      </c>
    </row>
    <row r="53" customFormat="false" ht="15" hidden="false" customHeight="true" outlineLevel="0" collapsed="false">
      <c r="A53" s="3" t="n">
        <v>45343</v>
      </c>
      <c r="B53" s="4" t="n">
        <f aca="false">YEAR($A53)</f>
        <v>2024</v>
      </c>
      <c r="C53" s="4" t="n">
        <f aca="false">MONTH($A53)</f>
        <v>2</v>
      </c>
      <c r="D53" s="4" t="str">
        <f aca="false">TEXT($A53,"ddd")</f>
        <v>Wed</v>
      </c>
      <c r="E53" s="4" t="n">
        <f aca="false">IF(OR(AND(MONTH($A53)=10,DAY($A53)&gt;=15),MONTH($A53)=11,AND(MONTH($A53)=12,DAY($A53)&lt;=7)),1,0)</f>
        <v>0</v>
      </c>
      <c r="F53" s="4" t="n">
        <f aca="false">IF(MONTH($A53)&lt;=3,1,0)</f>
        <v>1</v>
      </c>
      <c r="G53" s="4" t="str">
        <f aca="false" t="array" ref="G53:G53">_xlfn.TEXTJOIN(" | ",TRUE(),IF('FEMA Disasters'!$F$2:$F$1000=$A53,'FEMA Disasters'!$D$2:$D$1000&amp;" begin: ["&amp;'FEMA Disasters'!$B$2:$B$1000&amp;"] "&amp;'FEMA Disasters'!$C$2:$C$1000&amp;"-"&amp;'FEMA Disasters'!$A$2:$A$1000,""),IF('FEMA Disasters'!$G$2:$G$1000=$A53,'FEMA Disasters'!$D$2:$D$1000&amp;" ended: ["&amp;'FEMA Disasters'!$B$2:$B$1000&amp;"] "&amp;'FEMA Disasters'!$C$2:$C$1000&amp;"-"&amp;'FEMA Disasters'!$A$2:$A$1000,""),IF('FEMA Disasters'!$K$2:$K$1000=$A53,"Disaster SEP opens: "&amp;'FEMA Disasters'!$D$2:$D$1000&amp;" ["&amp;'FEMA Disasters'!$B$2:$B$1000&amp;"] "&amp;'FEMA Disasters'!$C$2:$C$1000&amp;"-"&amp;'FEMA Disasters'!$A$2:$A$1000,""),IF('FEMA Disasters'!$L$2:$L$1000=$A53,"Disaster SEP ended: "&amp;'FEMA Disasters'!$D$2:$D$1000&amp;" ["&amp;'FEMA Disasters'!$B$2:$B$1000&amp;"] "&amp;'FEMA Disasters'!$C$2:$C$1000&amp;"-"&amp;'FEMA Disasters'!$A$2:$A$1000,""))</f>
        <v/>
      </c>
      <c r="H53" s="4" t="n">
        <f aca="false">COUNTIF(Events!$A$2:$A$397,$A53)</f>
        <v>0</v>
      </c>
      <c r="I53" s="6" t="str">
        <f aca="false" t="array" ref="I53:I53">_xlfn.TEXTJOIN(" | ",TRUE(),IF(Events!$A$2:$A$397=$A53,Events!$E$2:$E$397&amp;IF(Events!$G$2:$G$397="National",""," ["&amp;Events!$G$2:$G$397&amp;"]"),""))</f>
        <v/>
      </c>
    </row>
    <row r="54" customFormat="false" ht="15" hidden="false" customHeight="true" outlineLevel="0" collapsed="false">
      <c r="A54" s="3" t="n">
        <v>45344</v>
      </c>
      <c r="B54" s="4" t="n">
        <f aca="false">YEAR($A54)</f>
        <v>2024</v>
      </c>
      <c r="C54" s="4" t="n">
        <f aca="false">MONTH($A54)</f>
        <v>2</v>
      </c>
      <c r="D54" s="4" t="str">
        <f aca="false">TEXT($A54,"ddd")</f>
        <v>Thu</v>
      </c>
      <c r="E54" s="4" t="n">
        <f aca="false">IF(OR(AND(MONTH($A54)=10,DAY($A54)&gt;=15),MONTH($A54)=11,AND(MONTH($A54)=12,DAY($A54)&lt;=7)),1,0)</f>
        <v>0</v>
      </c>
      <c r="F54" s="4" t="n">
        <f aca="false">IF(MONTH($A54)&lt;=3,1,0)</f>
        <v>1</v>
      </c>
      <c r="G54" s="4" t="str">
        <f aca="false" t="array" ref="G54:G54">_xlfn.TEXTJOIN(" | ",TRUE(),IF('FEMA Disasters'!$F$2:$F$1000=$A54,'FEMA Disasters'!$D$2:$D$1000&amp;" begin: ["&amp;'FEMA Disasters'!$B$2:$B$1000&amp;"] "&amp;'FEMA Disasters'!$C$2:$C$1000&amp;"-"&amp;'FEMA Disasters'!$A$2:$A$1000,""),IF('FEMA Disasters'!$G$2:$G$1000=$A54,'FEMA Disasters'!$D$2:$D$1000&amp;" ended: ["&amp;'FEMA Disasters'!$B$2:$B$1000&amp;"] "&amp;'FEMA Disasters'!$C$2:$C$1000&amp;"-"&amp;'FEMA Disasters'!$A$2:$A$1000,""),IF('FEMA Disasters'!$K$2:$K$1000=$A54,"Disaster SEP opens: "&amp;'FEMA Disasters'!$D$2:$D$1000&amp;" ["&amp;'FEMA Disasters'!$B$2:$B$1000&amp;"] "&amp;'FEMA Disasters'!$C$2:$C$1000&amp;"-"&amp;'FEMA Disasters'!$A$2:$A$1000,""),IF('FEMA Disasters'!$L$2:$L$1000=$A54,"Disaster SEP ended: "&amp;'FEMA Disasters'!$D$2:$D$1000&amp;" ["&amp;'FEMA Disasters'!$B$2:$B$1000&amp;"] "&amp;'FEMA Disasters'!$C$2:$C$1000&amp;"-"&amp;'FEMA Disasters'!$A$2:$A$1000,""))</f>
        <v/>
      </c>
      <c r="H54" s="4" t="n">
        <f aca="false">COUNTIF(Events!$A$2:$A$397,$A54)</f>
        <v>0</v>
      </c>
      <c r="I54" s="6" t="str">
        <f aca="false" t="array" ref="I54:I54">_xlfn.TEXTJOIN(" | ",TRUE(),IF(Events!$A$2:$A$397=$A54,Events!$E$2:$E$397&amp;IF(Events!$G$2:$G$397="National",""," ["&amp;Events!$G$2:$G$397&amp;"]"),""))</f>
        <v/>
      </c>
    </row>
    <row r="55" customFormat="false" ht="15" hidden="false" customHeight="true" outlineLevel="0" collapsed="false">
      <c r="A55" s="3" t="n">
        <v>45345</v>
      </c>
      <c r="B55" s="4" t="n">
        <f aca="false">YEAR($A55)</f>
        <v>2024</v>
      </c>
      <c r="C55" s="4" t="n">
        <f aca="false">MONTH($A55)</f>
        <v>2</v>
      </c>
      <c r="D55" s="4" t="str">
        <f aca="false">TEXT($A55,"ddd")</f>
        <v>Fri</v>
      </c>
      <c r="E55" s="4" t="n">
        <f aca="false">IF(OR(AND(MONTH($A55)=10,DAY($A55)&gt;=15),MONTH($A55)=11,AND(MONTH($A55)=12,DAY($A55)&lt;=7)),1,0)</f>
        <v>0</v>
      </c>
      <c r="F55" s="4" t="n">
        <f aca="false">IF(MONTH($A55)&lt;=3,1,0)</f>
        <v>1</v>
      </c>
      <c r="G55" s="4" t="str">
        <f aca="false" t="array" ref="G55:G55">_xlfn.TEXTJOIN(" | ",TRUE(),IF('FEMA Disasters'!$F$2:$F$1000=$A55,'FEMA Disasters'!$D$2:$D$1000&amp;" begin: ["&amp;'FEMA Disasters'!$B$2:$B$1000&amp;"] "&amp;'FEMA Disasters'!$C$2:$C$1000&amp;"-"&amp;'FEMA Disasters'!$A$2:$A$1000,""),IF('FEMA Disasters'!$G$2:$G$1000=$A55,'FEMA Disasters'!$D$2:$D$1000&amp;" ended: ["&amp;'FEMA Disasters'!$B$2:$B$1000&amp;"] "&amp;'FEMA Disasters'!$C$2:$C$1000&amp;"-"&amp;'FEMA Disasters'!$A$2:$A$1000,""),IF('FEMA Disasters'!$K$2:$K$1000=$A55,"Disaster SEP opens: "&amp;'FEMA Disasters'!$D$2:$D$1000&amp;" ["&amp;'FEMA Disasters'!$B$2:$B$1000&amp;"] "&amp;'FEMA Disasters'!$C$2:$C$1000&amp;"-"&amp;'FEMA Disasters'!$A$2:$A$1000,""),IF('FEMA Disasters'!$L$2:$L$1000=$A55,"Disaster SEP ended: "&amp;'FEMA Disasters'!$D$2:$D$1000&amp;" ["&amp;'FEMA Disasters'!$B$2:$B$1000&amp;"] "&amp;'FEMA Disasters'!$C$2:$C$1000&amp;"-"&amp;'FEMA Disasters'!$A$2:$A$1000,""))</f>
        <v/>
      </c>
      <c r="H55" s="4" t="n">
        <f aca="false">COUNTIF(Events!$A$2:$A$397,$A55)</f>
        <v>0</v>
      </c>
      <c r="I55" s="6" t="str">
        <f aca="false" t="array" ref="I55:I55">_xlfn.TEXTJOIN(" | ",TRUE(),IF(Events!$A$2:$A$397=$A55,Events!$E$2:$E$397&amp;IF(Events!$G$2:$G$397="National",""," ["&amp;Events!$G$2:$G$397&amp;"]"),""))</f>
        <v/>
      </c>
    </row>
    <row r="56" customFormat="false" ht="15" hidden="false" customHeight="true" outlineLevel="0" collapsed="false">
      <c r="A56" s="3" t="n">
        <v>45346</v>
      </c>
      <c r="B56" s="4" t="n">
        <f aca="false">YEAR($A56)</f>
        <v>2024</v>
      </c>
      <c r="C56" s="4" t="n">
        <f aca="false">MONTH($A56)</f>
        <v>2</v>
      </c>
      <c r="D56" s="4" t="str">
        <f aca="false">TEXT($A56,"ddd")</f>
        <v>Sat</v>
      </c>
      <c r="E56" s="4" t="n">
        <f aca="false">IF(OR(AND(MONTH($A56)=10,DAY($A56)&gt;=15),MONTH($A56)=11,AND(MONTH($A56)=12,DAY($A56)&lt;=7)),1,0)</f>
        <v>0</v>
      </c>
      <c r="F56" s="4" t="n">
        <f aca="false">IF(MONTH($A56)&lt;=3,1,0)</f>
        <v>1</v>
      </c>
      <c r="G56" s="4" t="str">
        <f aca="false" t="array" ref="G56:G56">_xlfn.TEXTJOIN(" | ",TRUE(),IF('FEMA Disasters'!$F$2:$F$1000=$A56,'FEMA Disasters'!$D$2:$D$1000&amp;" begin: ["&amp;'FEMA Disasters'!$B$2:$B$1000&amp;"] "&amp;'FEMA Disasters'!$C$2:$C$1000&amp;"-"&amp;'FEMA Disasters'!$A$2:$A$1000,""),IF('FEMA Disasters'!$G$2:$G$1000=$A56,'FEMA Disasters'!$D$2:$D$1000&amp;" ended: ["&amp;'FEMA Disasters'!$B$2:$B$1000&amp;"] "&amp;'FEMA Disasters'!$C$2:$C$1000&amp;"-"&amp;'FEMA Disasters'!$A$2:$A$1000,""),IF('FEMA Disasters'!$K$2:$K$1000=$A56,"Disaster SEP opens: "&amp;'FEMA Disasters'!$D$2:$D$1000&amp;" ["&amp;'FEMA Disasters'!$B$2:$B$1000&amp;"] "&amp;'FEMA Disasters'!$C$2:$C$1000&amp;"-"&amp;'FEMA Disasters'!$A$2:$A$1000,""),IF('FEMA Disasters'!$L$2:$L$1000=$A56,"Disaster SEP ended: "&amp;'FEMA Disasters'!$D$2:$D$1000&amp;" ["&amp;'FEMA Disasters'!$B$2:$B$1000&amp;"] "&amp;'FEMA Disasters'!$C$2:$C$1000&amp;"-"&amp;'FEMA Disasters'!$A$2:$A$1000,""))</f>
        <v/>
      </c>
      <c r="H56" s="4" t="n">
        <f aca="false">COUNTIF(Events!$A$2:$A$397,$A56)</f>
        <v>0</v>
      </c>
      <c r="I56" s="6" t="str">
        <f aca="false" t="array" ref="I56:I56">_xlfn.TEXTJOIN(" | ",TRUE(),IF(Events!$A$2:$A$397=$A56,Events!$E$2:$E$397&amp;IF(Events!$G$2:$G$397="National",""," ["&amp;Events!$G$2:$G$397&amp;"]"),""))</f>
        <v/>
      </c>
    </row>
    <row r="57" customFormat="false" ht="15" hidden="false" customHeight="true" outlineLevel="0" collapsed="false">
      <c r="A57" s="3" t="n">
        <v>45347</v>
      </c>
      <c r="B57" s="4" t="n">
        <f aca="false">YEAR($A57)</f>
        <v>2024</v>
      </c>
      <c r="C57" s="4" t="n">
        <f aca="false">MONTH($A57)</f>
        <v>2</v>
      </c>
      <c r="D57" s="4" t="str">
        <f aca="false">TEXT($A57,"ddd")</f>
        <v>Sun</v>
      </c>
      <c r="E57" s="4" t="n">
        <f aca="false">IF(OR(AND(MONTH($A57)=10,DAY($A57)&gt;=15),MONTH($A57)=11,AND(MONTH($A57)=12,DAY($A57)&lt;=7)),1,0)</f>
        <v>0</v>
      </c>
      <c r="F57" s="4" t="n">
        <f aca="false">IF(MONTH($A57)&lt;=3,1,0)</f>
        <v>1</v>
      </c>
      <c r="G57" s="4" t="str">
        <f aca="false" t="array" ref="G57:G57">_xlfn.TEXTJOIN(" | ",TRUE(),IF('FEMA Disasters'!$F$2:$F$1000=$A57,'FEMA Disasters'!$D$2:$D$1000&amp;" begin: ["&amp;'FEMA Disasters'!$B$2:$B$1000&amp;"] "&amp;'FEMA Disasters'!$C$2:$C$1000&amp;"-"&amp;'FEMA Disasters'!$A$2:$A$1000,""),IF('FEMA Disasters'!$G$2:$G$1000=$A57,'FEMA Disasters'!$D$2:$D$1000&amp;" ended: ["&amp;'FEMA Disasters'!$B$2:$B$1000&amp;"] "&amp;'FEMA Disasters'!$C$2:$C$1000&amp;"-"&amp;'FEMA Disasters'!$A$2:$A$1000,""),IF('FEMA Disasters'!$K$2:$K$1000=$A57,"Disaster SEP opens: "&amp;'FEMA Disasters'!$D$2:$D$1000&amp;" ["&amp;'FEMA Disasters'!$B$2:$B$1000&amp;"] "&amp;'FEMA Disasters'!$C$2:$C$1000&amp;"-"&amp;'FEMA Disasters'!$A$2:$A$1000,""),IF('FEMA Disasters'!$L$2:$L$1000=$A57,"Disaster SEP ended: "&amp;'FEMA Disasters'!$D$2:$D$1000&amp;" ["&amp;'FEMA Disasters'!$B$2:$B$1000&amp;"] "&amp;'FEMA Disasters'!$C$2:$C$1000&amp;"-"&amp;'FEMA Disasters'!$A$2:$A$1000,""))</f>
        <v/>
      </c>
      <c r="H57" s="4" t="n">
        <f aca="false">COUNTIF(Events!$A$2:$A$397,$A57)</f>
        <v>0</v>
      </c>
      <c r="I57" s="6" t="str">
        <f aca="false" t="array" ref="I57:I57">_xlfn.TEXTJOIN(" | ",TRUE(),IF(Events!$A$2:$A$397=$A57,Events!$E$2:$E$397&amp;IF(Events!$G$2:$G$397="National",""," ["&amp;Events!$G$2:$G$397&amp;"]"),""))</f>
        <v/>
      </c>
    </row>
    <row r="58" customFormat="false" ht="15" hidden="false" customHeight="true" outlineLevel="0" collapsed="false">
      <c r="A58" s="3" t="n">
        <v>45348</v>
      </c>
      <c r="B58" s="4" t="n">
        <f aca="false">YEAR($A58)</f>
        <v>2024</v>
      </c>
      <c r="C58" s="4" t="n">
        <f aca="false">MONTH($A58)</f>
        <v>2</v>
      </c>
      <c r="D58" s="4" t="str">
        <f aca="false">TEXT($A58,"ddd")</f>
        <v>Mon</v>
      </c>
      <c r="E58" s="4" t="n">
        <f aca="false">IF(OR(AND(MONTH($A58)=10,DAY($A58)&gt;=15),MONTH($A58)=11,AND(MONTH($A58)=12,DAY($A58)&lt;=7)),1,0)</f>
        <v>0</v>
      </c>
      <c r="F58" s="4" t="n">
        <f aca="false">IF(MONTH($A58)&lt;=3,1,0)</f>
        <v>1</v>
      </c>
      <c r="G58" s="4" t="str">
        <f aca="false" t="array" ref="G58:G58">_xlfn.TEXTJOIN(" | ",TRUE(),IF('FEMA Disasters'!$F$2:$F$1000=$A58,'FEMA Disasters'!$D$2:$D$1000&amp;" begin: ["&amp;'FEMA Disasters'!$B$2:$B$1000&amp;"] "&amp;'FEMA Disasters'!$C$2:$C$1000&amp;"-"&amp;'FEMA Disasters'!$A$2:$A$1000,""),IF('FEMA Disasters'!$G$2:$G$1000=$A58,'FEMA Disasters'!$D$2:$D$1000&amp;" ended: ["&amp;'FEMA Disasters'!$B$2:$B$1000&amp;"] "&amp;'FEMA Disasters'!$C$2:$C$1000&amp;"-"&amp;'FEMA Disasters'!$A$2:$A$1000,""),IF('FEMA Disasters'!$K$2:$K$1000=$A58,"Disaster SEP opens: "&amp;'FEMA Disasters'!$D$2:$D$1000&amp;" ["&amp;'FEMA Disasters'!$B$2:$B$1000&amp;"] "&amp;'FEMA Disasters'!$C$2:$C$1000&amp;"-"&amp;'FEMA Disasters'!$A$2:$A$1000,""),IF('FEMA Disasters'!$L$2:$L$1000=$A58,"Disaster SEP ended: "&amp;'FEMA Disasters'!$D$2:$D$1000&amp;" ["&amp;'FEMA Disasters'!$B$2:$B$1000&amp;"] "&amp;'FEMA Disasters'!$C$2:$C$1000&amp;"-"&amp;'FEMA Disasters'!$A$2:$A$1000,""))</f>
        <v/>
      </c>
      <c r="H58" s="4" t="n">
        <f aca="false">COUNTIF(Events!$A$2:$A$397,$A58)</f>
        <v>0</v>
      </c>
      <c r="I58" s="6" t="str">
        <f aca="false" t="array" ref="I58:I58">_xlfn.TEXTJOIN(" | ",TRUE(),IF(Events!$A$2:$A$397=$A58,Events!$E$2:$E$397&amp;IF(Events!$G$2:$G$397="National",""," ["&amp;Events!$G$2:$G$397&amp;"]"),""))</f>
        <v/>
      </c>
    </row>
    <row r="59" customFormat="false" ht="15" hidden="false" customHeight="true" outlineLevel="0" collapsed="false">
      <c r="A59" s="3" t="n">
        <v>45349</v>
      </c>
      <c r="B59" s="4" t="n">
        <f aca="false">YEAR($A59)</f>
        <v>2024</v>
      </c>
      <c r="C59" s="4" t="n">
        <f aca="false">MONTH($A59)</f>
        <v>2</v>
      </c>
      <c r="D59" s="4" t="str">
        <f aca="false">TEXT($A59,"ddd")</f>
        <v>Tue</v>
      </c>
      <c r="E59" s="4" t="n">
        <f aca="false">IF(OR(AND(MONTH($A59)=10,DAY($A59)&gt;=15),MONTH($A59)=11,AND(MONTH($A59)=12,DAY($A59)&lt;=7)),1,0)</f>
        <v>0</v>
      </c>
      <c r="F59" s="4" t="n">
        <f aca="false">IF(MONTH($A59)&lt;=3,1,0)</f>
        <v>1</v>
      </c>
      <c r="G59" s="4" t="str">
        <f aca="false" t="array" ref="G59:G59">_xlfn.TEXTJOIN(" | ",TRUE(),IF('FEMA Disasters'!$F$2:$F$1000=$A59,'FEMA Disasters'!$D$2:$D$1000&amp;" begin: ["&amp;'FEMA Disasters'!$B$2:$B$1000&amp;"] "&amp;'FEMA Disasters'!$C$2:$C$1000&amp;"-"&amp;'FEMA Disasters'!$A$2:$A$1000,""),IF('FEMA Disasters'!$G$2:$G$1000=$A59,'FEMA Disasters'!$D$2:$D$1000&amp;" ended: ["&amp;'FEMA Disasters'!$B$2:$B$1000&amp;"] "&amp;'FEMA Disasters'!$C$2:$C$1000&amp;"-"&amp;'FEMA Disasters'!$A$2:$A$1000,""),IF('FEMA Disasters'!$K$2:$K$1000=$A59,"Disaster SEP opens: "&amp;'FEMA Disasters'!$D$2:$D$1000&amp;" ["&amp;'FEMA Disasters'!$B$2:$B$1000&amp;"] "&amp;'FEMA Disasters'!$C$2:$C$1000&amp;"-"&amp;'FEMA Disasters'!$A$2:$A$1000,""),IF('FEMA Disasters'!$L$2:$L$1000=$A59,"Disaster SEP ended: "&amp;'FEMA Disasters'!$D$2:$D$1000&amp;" ["&amp;'FEMA Disasters'!$B$2:$B$1000&amp;"] "&amp;'FEMA Disasters'!$C$2:$C$1000&amp;"-"&amp;'FEMA Disasters'!$A$2:$A$1000,""))</f>
        <v>Fire begin: [TX] FM-5487 | Fire begin: [TX] FM-5488 | Fire begin: [OK] FM-5489</v>
      </c>
      <c r="H59" s="4" t="n">
        <f aca="false">COUNTIF(Events!$A$2:$A$397,$A59)</f>
        <v>0</v>
      </c>
      <c r="I59" s="6" t="str">
        <f aca="false" t="array" ref="I59:I59">_xlfn.TEXTJOIN(" | ",TRUE(),IF(Events!$A$2:$A$397=$A59,Events!$E$2:$E$397&amp;IF(Events!$G$2:$G$397="National",""," ["&amp;Events!$G$2:$G$397&amp;"]"),""))</f>
        <v/>
      </c>
    </row>
    <row r="60" customFormat="false" ht="15" hidden="false" customHeight="true" outlineLevel="0" collapsed="false">
      <c r="A60" s="3" t="n">
        <v>45350</v>
      </c>
      <c r="B60" s="4" t="n">
        <f aca="false">YEAR($A60)</f>
        <v>2024</v>
      </c>
      <c r="C60" s="4" t="n">
        <f aca="false">MONTH($A60)</f>
        <v>2</v>
      </c>
      <c r="D60" s="4" t="str">
        <f aca="false">TEXT($A60,"ddd")</f>
        <v>Wed</v>
      </c>
      <c r="E60" s="4" t="n">
        <f aca="false">IF(OR(AND(MONTH($A60)=10,DAY($A60)&gt;=15),MONTH($A60)=11,AND(MONTH($A60)=12,DAY($A60)&lt;=7)),1,0)</f>
        <v>0</v>
      </c>
      <c r="F60" s="4" t="n">
        <f aca="false">IF(MONTH($A60)&lt;=3,1,0)</f>
        <v>1</v>
      </c>
      <c r="G60" s="4" t="str">
        <f aca="false" t="array" ref="G60:G60">_xlfn.TEXTJOIN(" | ",TRUE(),IF('FEMA Disasters'!$F$2:$F$1000=$A60,'FEMA Disasters'!$D$2:$D$1000&amp;" begin: ["&amp;'FEMA Disasters'!$B$2:$B$1000&amp;"] "&amp;'FEMA Disasters'!$C$2:$C$1000&amp;"-"&amp;'FEMA Disasters'!$A$2:$A$1000,""),IF('FEMA Disasters'!$G$2:$G$1000=$A60,'FEMA Disasters'!$D$2:$D$1000&amp;" ended: ["&amp;'FEMA Disasters'!$B$2:$B$1000&amp;"] "&amp;'FEMA Disasters'!$C$2:$C$1000&amp;"-"&amp;'FEMA Disasters'!$A$2:$A$1000,""),IF('FEMA Disasters'!$K$2:$K$1000=$A60,"Disaster SEP opens: "&amp;'FEMA Disasters'!$D$2:$D$1000&amp;" ["&amp;'FEMA Disasters'!$B$2:$B$1000&amp;"] "&amp;'FEMA Disasters'!$C$2:$C$1000&amp;"-"&amp;'FEMA Disasters'!$A$2:$A$1000,""),IF('FEMA Disasters'!$L$2:$L$1000=$A60,"Disaster SEP ended: "&amp;'FEMA Disasters'!$D$2:$D$1000&amp;" ["&amp;'FEMA Disasters'!$B$2:$B$1000&amp;"] "&amp;'FEMA Disasters'!$C$2:$C$1000&amp;"-"&amp;'FEMA Disasters'!$A$2:$A$1000,""))</f>
        <v/>
      </c>
      <c r="H60" s="4" t="n">
        <f aca="false">COUNTIF(Events!$A$2:$A$397,$A60)</f>
        <v>0</v>
      </c>
      <c r="I60" s="6" t="str">
        <f aca="false" t="array" ref="I60:I60">_xlfn.TEXTJOIN(" | ",TRUE(),IF(Events!$A$2:$A$397=$A60,Events!$E$2:$E$397&amp;IF(Events!$G$2:$G$397="National",""," ["&amp;Events!$G$2:$G$397&amp;"]"),""))</f>
        <v/>
      </c>
    </row>
    <row r="61" customFormat="false" ht="15" hidden="false" customHeight="true" outlineLevel="0" collapsed="false">
      <c r="A61" s="3" t="n">
        <v>45351</v>
      </c>
      <c r="B61" s="4" t="n">
        <f aca="false">YEAR($A61)</f>
        <v>2024</v>
      </c>
      <c r="C61" s="4" t="n">
        <f aca="false">MONTH($A61)</f>
        <v>2</v>
      </c>
      <c r="D61" s="4" t="str">
        <f aca="false">TEXT($A61,"ddd")</f>
        <v>Thu</v>
      </c>
      <c r="E61" s="4" t="n">
        <f aca="false">IF(OR(AND(MONTH($A61)=10,DAY($A61)&gt;=15),MONTH($A61)=11,AND(MONTH($A61)=12,DAY($A61)&lt;=7)),1,0)</f>
        <v>0</v>
      </c>
      <c r="F61" s="4" t="n">
        <f aca="false">IF(MONTH($A61)&lt;=3,1,0)</f>
        <v>1</v>
      </c>
      <c r="G61" s="4" t="str">
        <f aca="false" t="array" ref="G61:G61">_xlfn.TEXTJOIN(" | ",TRUE(),IF('FEMA Disasters'!$F$2:$F$1000=$A61,'FEMA Disasters'!$D$2:$D$1000&amp;" begin: ["&amp;'FEMA Disasters'!$B$2:$B$1000&amp;"] "&amp;'FEMA Disasters'!$C$2:$C$1000&amp;"-"&amp;'FEMA Disasters'!$A$2:$A$1000,""),IF('FEMA Disasters'!$G$2:$G$1000=$A61,'FEMA Disasters'!$D$2:$D$1000&amp;" ended: ["&amp;'FEMA Disasters'!$B$2:$B$1000&amp;"] "&amp;'FEMA Disasters'!$C$2:$C$1000&amp;"-"&amp;'FEMA Disasters'!$A$2:$A$1000,""),IF('FEMA Disasters'!$K$2:$K$1000=$A61,"Disaster SEP opens: "&amp;'FEMA Disasters'!$D$2:$D$1000&amp;" ["&amp;'FEMA Disasters'!$B$2:$B$1000&amp;"] "&amp;'FEMA Disasters'!$C$2:$C$1000&amp;"-"&amp;'FEMA Disasters'!$A$2:$A$1000,""),IF('FEMA Disasters'!$L$2:$L$1000=$A61,"Disaster SEP ended: "&amp;'FEMA Disasters'!$D$2:$D$1000&amp;" ["&amp;'FEMA Disasters'!$B$2:$B$1000&amp;"] "&amp;'FEMA Disasters'!$C$2:$C$1000&amp;"-"&amp;'FEMA Disasters'!$A$2:$A$1000,""))</f>
        <v/>
      </c>
      <c r="H61" s="4" t="n">
        <f aca="false">COUNTIF(Events!$A$2:$A$397,$A61)</f>
        <v>0</v>
      </c>
      <c r="I61" s="6" t="str">
        <f aca="false" t="array" ref="I61:I61">_xlfn.TEXTJOIN(" | ",TRUE(),IF(Events!$A$2:$A$397=$A61,Events!$E$2:$E$397&amp;IF(Events!$G$2:$G$397="National",""," ["&amp;Events!$G$2:$G$397&amp;"]"),""))</f>
        <v/>
      </c>
    </row>
    <row r="62" customFormat="false" ht="15" hidden="false" customHeight="true" outlineLevel="0" collapsed="false">
      <c r="A62" s="3" t="n">
        <v>45352</v>
      </c>
      <c r="B62" s="4" t="n">
        <f aca="false">YEAR($A62)</f>
        <v>2024</v>
      </c>
      <c r="C62" s="4" t="n">
        <f aca="false">MONTH($A62)</f>
        <v>3</v>
      </c>
      <c r="D62" s="4" t="str">
        <f aca="false">TEXT($A62,"ddd")</f>
        <v>Fri</v>
      </c>
      <c r="E62" s="4" t="n">
        <f aca="false">IF(OR(AND(MONTH($A62)=10,DAY($A62)&gt;=15),MONTH($A62)=11,AND(MONTH($A62)=12,DAY($A62)&lt;=7)),1,0)</f>
        <v>0</v>
      </c>
      <c r="F62" s="4" t="n">
        <f aca="false">IF(MONTH($A62)&lt;=3,1,0)</f>
        <v>1</v>
      </c>
      <c r="G62" s="4" t="str">
        <f aca="false" t="array" ref="G62:G62">_xlfn.TEXTJOIN(" | ",TRUE(),IF('FEMA Disasters'!$F$2:$F$1000=$A62,'FEMA Disasters'!$D$2:$D$1000&amp;" begin: ["&amp;'FEMA Disasters'!$B$2:$B$1000&amp;"] "&amp;'FEMA Disasters'!$C$2:$C$1000&amp;"-"&amp;'FEMA Disasters'!$A$2:$A$1000,""),IF('FEMA Disasters'!$G$2:$G$1000=$A62,'FEMA Disasters'!$D$2:$D$1000&amp;" ended: ["&amp;'FEMA Disasters'!$B$2:$B$1000&amp;"] "&amp;'FEMA Disasters'!$C$2:$C$1000&amp;"-"&amp;'FEMA Disasters'!$A$2:$A$1000,""),IF('FEMA Disasters'!$K$2:$K$1000=$A62,"Disaster SEP opens: "&amp;'FEMA Disasters'!$D$2:$D$1000&amp;" ["&amp;'FEMA Disasters'!$B$2:$B$1000&amp;"] "&amp;'FEMA Disasters'!$C$2:$C$1000&amp;"-"&amp;'FEMA Disasters'!$A$2:$A$1000,""),IF('FEMA Disasters'!$L$2:$L$1000=$A62,"Disaster SEP ended: "&amp;'FEMA Disasters'!$D$2:$D$1000&amp;" ["&amp;'FEMA Disasters'!$B$2:$B$1000&amp;"] "&amp;'FEMA Disasters'!$C$2:$C$1000&amp;"-"&amp;'FEMA Disasters'!$A$2:$A$1000,""))</f>
        <v>Fire begin: [WY] FM-5490</v>
      </c>
      <c r="H62" s="4" t="n">
        <f aca="false">COUNTIF(Events!$A$2:$A$397,$A62)</f>
        <v>0</v>
      </c>
      <c r="I62" s="6" t="str">
        <f aca="false" t="array" ref="I62:I62">_xlfn.TEXTJOIN(" | ",TRUE(),IF(Events!$A$2:$A$397=$A62,Events!$E$2:$E$397&amp;IF(Events!$G$2:$G$397="National",""," ["&amp;Events!$G$2:$G$397&amp;"]"),""))</f>
        <v/>
      </c>
    </row>
    <row r="63" customFormat="false" ht="15" hidden="false" customHeight="true" outlineLevel="0" collapsed="false">
      <c r="A63" s="3" t="n">
        <v>45353</v>
      </c>
      <c r="B63" s="4" t="n">
        <f aca="false">YEAR($A63)</f>
        <v>2024</v>
      </c>
      <c r="C63" s="4" t="n">
        <f aca="false">MONTH($A63)</f>
        <v>3</v>
      </c>
      <c r="D63" s="4" t="str">
        <f aca="false">TEXT($A63,"ddd")</f>
        <v>Sat</v>
      </c>
      <c r="E63" s="4" t="n">
        <f aca="false">IF(OR(AND(MONTH($A63)=10,DAY($A63)&gt;=15),MONTH($A63)=11,AND(MONTH($A63)=12,DAY($A63)&lt;=7)),1,0)</f>
        <v>0</v>
      </c>
      <c r="F63" s="4" t="n">
        <f aca="false">IF(MONTH($A63)&lt;=3,1,0)</f>
        <v>1</v>
      </c>
      <c r="G63" s="4" t="str">
        <f aca="false" t="array" ref="G63:G63">_xlfn.TEXTJOIN(" | ",TRUE(),IF('FEMA Disasters'!$F$2:$F$1000=$A63,'FEMA Disasters'!$D$2:$D$1000&amp;" begin: ["&amp;'FEMA Disasters'!$B$2:$B$1000&amp;"] "&amp;'FEMA Disasters'!$C$2:$C$1000&amp;"-"&amp;'FEMA Disasters'!$A$2:$A$1000,""),IF('FEMA Disasters'!$G$2:$G$1000=$A63,'FEMA Disasters'!$D$2:$D$1000&amp;" ended: ["&amp;'FEMA Disasters'!$B$2:$B$1000&amp;"] "&amp;'FEMA Disasters'!$C$2:$C$1000&amp;"-"&amp;'FEMA Disasters'!$A$2:$A$1000,""),IF('FEMA Disasters'!$K$2:$K$1000=$A63,"Disaster SEP opens: "&amp;'FEMA Disasters'!$D$2:$D$1000&amp;" ["&amp;'FEMA Disasters'!$B$2:$B$1000&amp;"] "&amp;'FEMA Disasters'!$C$2:$C$1000&amp;"-"&amp;'FEMA Disasters'!$A$2:$A$1000,""),IF('FEMA Disasters'!$L$2:$L$1000=$A63,"Disaster SEP ended: "&amp;'FEMA Disasters'!$D$2:$D$1000&amp;" ["&amp;'FEMA Disasters'!$B$2:$B$1000&amp;"] "&amp;'FEMA Disasters'!$C$2:$C$1000&amp;"-"&amp;'FEMA Disasters'!$A$2:$A$1000,""))</f>
        <v/>
      </c>
      <c r="H63" s="4" t="n">
        <f aca="false">COUNTIF(Events!$A$2:$A$397,$A63)</f>
        <v>0</v>
      </c>
      <c r="I63" s="6" t="str">
        <f aca="false" t="array" ref="I63:I63">_xlfn.TEXTJOIN(" | ",TRUE(),IF(Events!$A$2:$A$397=$A63,Events!$E$2:$E$397&amp;IF(Events!$G$2:$G$397="National",""," ["&amp;Events!$G$2:$G$397&amp;"]"),""))</f>
        <v/>
      </c>
    </row>
    <row r="64" customFormat="false" ht="15" hidden="false" customHeight="true" outlineLevel="0" collapsed="false">
      <c r="A64" s="3" t="n">
        <v>45354</v>
      </c>
      <c r="B64" s="4" t="n">
        <f aca="false">YEAR($A64)</f>
        <v>2024</v>
      </c>
      <c r="C64" s="4" t="n">
        <f aca="false">MONTH($A64)</f>
        <v>3</v>
      </c>
      <c r="D64" s="4" t="str">
        <f aca="false">TEXT($A64,"ddd")</f>
        <v>Sun</v>
      </c>
      <c r="E64" s="4" t="n">
        <f aca="false">IF(OR(AND(MONTH($A64)=10,DAY($A64)&gt;=15),MONTH($A64)=11,AND(MONTH($A64)=12,DAY($A64)&lt;=7)),1,0)</f>
        <v>0</v>
      </c>
      <c r="F64" s="4" t="n">
        <f aca="false">IF(MONTH($A64)&lt;=3,1,0)</f>
        <v>1</v>
      </c>
      <c r="G64" s="4" t="str">
        <f aca="false" t="array" ref="G64:G64">_xlfn.TEXTJOIN(" | ",TRUE(),IF('FEMA Disasters'!$F$2:$F$1000=$A64,'FEMA Disasters'!$D$2:$D$1000&amp;" begin: ["&amp;'FEMA Disasters'!$B$2:$B$1000&amp;"] "&amp;'FEMA Disasters'!$C$2:$C$1000&amp;"-"&amp;'FEMA Disasters'!$A$2:$A$1000,""),IF('FEMA Disasters'!$G$2:$G$1000=$A64,'FEMA Disasters'!$D$2:$D$1000&amp;" ended: ["&amp;'FEMA Disasters'!$B$2:$B$1000&amp;"] "&amp;'FEMA Disasters'!$C$2:$C$1000&amp;"-"&amp;'FEMA Disasters'!$A$2:$A$1000,""),IF('FEMA Disasters'!$K$2:$K$1000=$A64,"Disaster SEP opens: "&amp;'FEMA Disasters'!$D$2:$D$1000&amp;" ["&amp;'FEMA Disasters'!$B$2:$B$1000&amp;"] "&amp;'FEMA Disasters'!$C$2:$C$1000&amp;"-"&amp;'FEMA Disasters'!$A$2:$A$1000,""),IF('FEMA Disasters'!$L$2:$L$1000=$A64,"Disaster SEP ended: "&amp;'FEMA Disasters'!$D$2:$D$1000&amp;" ["&amp;'FEMA Disasters'!$B$2:$B$1000&amp;"] "&amp;'FEMA Disasters'!$C$2:$C$1000&amp;"-"&amp;'FEMA Disasters'!$A$2:$A$1000,""))</f>
        <v/>
      </c>
      <c r="H64" s="4" t="n">
        <f aca="false">COUNTIF(Events!$A$2:$A$397,$A64)</f>
        <v>0</v>
      </c>
      <c r="I64" s="6" t="str">
        <f aca="false" t="array" ref="I64:I64">_xlfn.TEXTJOIN(" | ",TRUE(),IF(Events!$A$2:$A$397=$A64,Events!$E$2:$E$397&amp;IF(Events!$G$2:$G$397="National",""," ["&amp;Events!$G$2:$G$397&amp;"]"),""))</f>
        <v/>
      </c>
    </row>
    <row r="65" customFormat="false" ht="15" hidden="false" customHeight="true" outlineLevel="0" collapsed="false">
      <c r="A65" s="3" t="n">
        <v>45355</v>
      </c>
      <c r="B65" s="4" t="n">
        <f aca="false">YEAR($A65)</f>
        <v>2024</v>
      </c>
      <c r="C65" s="4" t="n">
        <f aca="false">MONTH($A65)</f>
        <v>3</v>
      </c>
      <c r="D65" s="4" t="str">
        <f aca="false">TEXT($A65,"ddd")</f>
        <v>Mon</v>
      </c>
      <c r="E65" s="4" t="n">
        <f aca="false">IF(OR(AND(MONTH($A65)=10,DAY($A65)&gt;=15),MONTH($A65)=11,AND(MONTH($A65)=12,DAY($A65)&lt;=7)),1,0)</f>
        <v>0</v>
      </c>
      <c r="F65" s="4" t="n">
        <f aca="false">IF(MONTH($A65)&lt;=3,1,0)</f>
        <v>1</v>
      </c>
      <c r="G65" s="4" t="str">
        <f aca="false" t="array" ref="G65:G65">_xlfn.TEXTJOIN(" | ",TRUE(),IF('FEMA Disasters'!$F$2:$F$1000=$A65,'FEMA Disasters'!$D$2:$D$1000&amp;" begin: ["&amp;'FEMA Disasters'!$B$2:$B$1000&amp;"] "&amp;'FEMA Disasters'!$C$2:$C$1000&amp;"-"&amp;'FEMA Disasters'!$A$2:$A$1000,""),IF('FEMA Disasters'!$G$2:$G$1000=$A65,'FEMA Disasters'!$D$2:$D$1000&amp;" ended: ["&amp;'FEMA Disasters'!$B$2:$B$1000&amp;"] "&amp;'FEMA Disasters'!$C$2:$C$1000&amp;"-"&amp;'FEMA Disasters'!$A$2:$A$1000,""),IF('FEMA Disasters'!$K$2:$K$1000=$A65,"Disaster SEP opens: "&amp;'FEMA Disasters'!$D$2:$D$1000&amp;" ["&amp;'FEMA Disasters'!$B$2:$B$1000&amp;"] "&amp;'FEMA Disasters'!$C$2:$C$1000&amp;"-"&amp;'FEMA Disasters'!$A$2:$A$1000,""),IF('FEMA Disasters'!$L$2:$L$1000=$A65,"Disaster SEP ended: "&amp;'FEMA Disasters'!$D$2:$D$1000&amp;" ["&amp;'FEMA Disasters'!$B$2:$B$1000&amp;"] "&amp;'FEMA Disasters'!$C$2:$C$1000&amp;"-"&amp;'FEMA Disasters'!$A$2:$A$1000,""))</f>
        <v>Fire ended: [WY] FM-5490</v>
      </c>
      <c r="H65" s="4" t="n">
        <f aca="false">COUNTIF(Events!$A$2:$A$397,$A65)</f>
        <v>0</v>
      </c>
      <c r="I65" s="6" t="str">
        <f aca="false" t="array" ref="I65:I65">_xlfn.TEXTJOIN(" | ",TRUE(),IF(Events!$A$2:$A$397=$A65,Events!$E$2:$E$397&amp;IF(Events!$G$2:$G$397="National",""," ["&amp;Events!$G$2:$G$397&amp;"]"),""))</f>
        <v/>
      </c>
    </row>
    <row r="66" customFormat="false" ht="15" hidden="false" customHeight="true" outlineLevel="0" collapsed="false">
      <c r="A66" s="3" t="n">
        <v>45356</v>
      </c>
      <c r="B66" s="4" t="n">
        <f aca="false">YEAR($A66)</f>
        <v>2024</v>
      </c>
      <c r="C66" s="4" t="n">
        <f aca="false">MONTH($A66)</f>
        <v>3</v>
      </c>
      <c r="D66" s="4" t="str">
        <f aca="false">TEXT($A66,"ddd")</f>
        <v>Tue</v>
      </c>
      <c r="E66" s="4" t="n">
        <f aca="false">IF(OR(AND(MONTH($A66)=10,DAY($A66)&gt;=15),MONTH($A66)=11,AND(MONTH($A66)=12,DAY($A66)&lt;=7)),1,0)</f>
        <v>0</v>
      </c>
      <c r="F66" s="4" t="n">
        <f aca="false">IF(MONTH($A66)&lt;=3,1,0)</f>
        <v>1</v>
      </c>
      <c r="G66" s="4" t="str">
        <f aca="false" t="array" ref="G66:G66">_xlfn.TEXTJOIN(" | ",TRUE(),IF('FEMA Disasters'!$F$2:$F$1000=$A66,'FEMA Disasters'!$D$2:$D$1000&amp;" begin: ["&amp;'FEMA Disasters'!$B$2:$B$1000&amp;"] "&amp;'FEMA Disasters'!$C$2:$C$1000&amp;"-"&amp;'FEMA Disasters'!$A$2:$A$1000,""),IF('FEMA Disasters'!$G$2:$G$1000=$A66,'FEMA Disasters'!$D$2:$D$1000&amp;" ended: ["&amp;'FEMA Disasters'!$B$2:$B$1000&amp;"] "&amp;'FEMA Disasters'!$C$2:$C$1000&amp;"-"&amp;'FEMA Disasters'!$A$2:$A$1000,""),IF('FEMA Disasters'!$K$2:$K$1000=$A66,"Disaster SEP opens: "&amp;'FEMA Disasters'!$D$2:$D$1000&amp;" ["&amp;'FEMA Disasters'!$B$2:$B$1000&amp;"] "&amp;'FEMA Disasters'!$C$2:$C$1000&amp;"-"&amp;'FEMA Disasters'!$A$2:$A$1000,""),IF('FEMA Disasters'!$L$2:$L$1000=$A66,"Disaster SEP ended: "&amp;'FEMA Disasters'!$D$2:$D$1000&amp;" ["&amp;'FEMA Disasters'!$B$2:$B$1000&amp;"] "&amp;'FEMA Disasters'!$C$2:$C$1000&amp;"-"&amp;'FEMA Disasters'!$A$2:$A$1000,""))</f>
        <v/>
      </c>
      <c r="H66" s="4" t="n">
        <f aca="false">COUNTIF(Events!$A$2:$A$397,$A66)</f>
        <v>0</v>
      </c>
      <c r="I66" s="6" t="str">
        <f aca="false" t="array" ref="I66:I66">_xlfn.TEXTJOIN(" | ",TRUE(),IF(Events!$A$2:$A$397=$A66,Events!$E$2:$E$397&amp;IF(Events!$G$2:$G$397="National",""," ["&amp;Events!$G$2:$G$397&amp;"]"),""))</f>
        <v/>
      </c>
    </row>
    <row r="67" customFormat="false" ht="15" hidden="false" customHeight="true" outlineLevel="0" collapsed="false">
      <c r="A67" s="3" t="n">
        <v>45357</v>
      </c>
      <c r="B67" s="4" t="n">
        <f aca="false">YEAR($A67)</f>
        <v>2024</v>
      </c>
      <c r="C67" s="4" t="n">
        <f aca="false">MONTH($A67)</f>
        <v>3</v>
      </c>
      <c r="D67" s="4" t="str">
        <f aca="false">TEXT($A67,"ddd")</f>
        <v>Wed</v>
      </c>
      <c r="E67" s="4" t="n">
        <f aca="false">IF(OR(AND(MONTH($A67)=10,DAY($A67)&gt;=15),MONTH($A67)=11,AND(MONTH($A67)=12,DAY($A67)&lt;=7)),1,0)</f>
        <v>0</v>
      </c>
      <c r="F67" s="4" t="n">
        <f aca="false">IF(MONTH($A67)&lt;=3,1,0)</f>
        <v>1</v>
      </c>
      <c r="G67" s="4" t="str">
        <f aca="false" t="array" ref="G67:G67">_xlfn.TEXTJOIN(" | ",TRUE(),IF('FEMA Disasters'!$F$2:$F$1000=$A67,'FEMA Disasters'!$D$2:$D$1000&amp;" begin: ["&amp;'FEMA Disasters'!$B$2:$B$1000&amp;"] "&amp;'FEMA Disasters'!$C$2:$C$1000&amp;"-"&amp;'FEMA Disasters'!$A$2:$A$1000,""),IF('FEMA Disasters'!$G$2:$G$1000=$A67,'FEMA Disasters'!$D$2:$D$1000&amp;" ended: ["&amp;'FEMA Disasters'!$B$2:$B$1000&amp;"] "&amp;'FEMA Disasters'!$C$2:$C$1000&amp;"-"&amp;'FEMA Disasters'!$A$2:$A$1000,""),IF('FEMA Disasters'!$K$2:$K$1000=$A67,"Disaster SEP opens: "&amp;'FEMA Disasters'!$D$2:$D$1000&amp;" ["&amp;'FEMA Disasters'!$B$2:$B$1000&amp;"] "&amp;'FEMA Disasters'!$C$2:$C$1000&amp;"-"&amp;'FEMA Disasters'!$A$2:$A$1000,""),IF('FEMA Disasters'!$L$2:$L$1000=$A67,"Disaster SEP ended: "&amp;'FEMA Disasters'!$D$2:$D$1000&amp;" ["&amp;'FEMA Disasters'!$B$2:$B$1000&amp;"] "&amp;'FEMA Disasters'!$C$2:$C$1000&amp;"-"&amp;'FEMA Disasters'!$A$2:$A$1000,""))</f>
        <v/>
      </c>
      <c r="H67" s="4" t="n">
        <f aca="false">COUNTIF(Events!$A$2:$A$397,$A67)</f>
        <v>0</v>
      </c>
      <c r="I67" s="6" t="str">
        <f aca="false" t="array" ref="I67:I67">_xlfn.TEXTJOIN(" | ",TRUE(),IF(Events!$A$2:$A$397=$A67,Events!$E$2:$E$397&amp;IF(Events!$G$2:$G$397="National",""," ["&amp;Events!$G$2:$G$397&amp;"]"),""))</f>
        <v/>
      </c>
    </row>
    <row r="68" customFormat="false" ht="15" hidden="false" customHeight="true" outlineLevel="0" collapsed="false">
      <c r="A68" s="3" t="n">
        <v>45358</v>
      </c>
      <c r="B68" s="4" t="n">
        <f aca="false">YEAR($A68)</f>
        <v>2024</v>
      </c>
      <c r="C68" s="4" t="n">
        <f aca="false">MONTH($A68)</f>
        <v>3</v>
      </c>
      <c r="D68" s="4" t="str">
        <f aca="false">TEXT($A68,"ddd")</f>
        <v>Thu</v>
      </c>
      <c r="E68" s="4" t="n">
        <f aca="false">IF(OR(AND(MONTH($A68)=10,DAY($A68)&gt;=15),MONTH($A68)=11,AND(MONTH($A68)=12,DAY($A68)&lt;=7)),1,0)</f>
        <v>0</v>
      </c>
      <c r="F68" s="4" t="n">
        <f aca="false">IF(MONTH($A68)&lt;=3,1,0)</f>
        <v>1</v>
      </c>
      <c r="G68" s="4" t="str">
        <f aca="false" t="array" ref="G68:G68">_xlfn.TEXTJOIN(" | ",TRUE(),IF('FEMA Disasters'!$F$2:$F$1000=$A68,'FEMA Disasters'!$D$2:$D$1000&amp;" begin: ["&amp;'FEMA Disasters'!$B$2:$B$1000&amp;"] "&amp;'FEMA Disasters'!$C$2:$C$1000&amp;"-"&amp;'FEMA Disasters'!$A$2:$A$1000,""),IF('FEMA Disasters'!$G$2:$G$1000=$A68,'FEMA Disasters'!$D$2:$D$1000&amp;" ended: ["&amp;'FEMA Disasters'!$B$2:$B$1000&amp;"] "&amp;'FEMA Disasters'!$C$2:$C$1000&amp;"-"&amp;'FEMA Disasters'!$A$2:$A$1000,""),IF('FEMA Disasters'!$K$2:$K$1000=$A68,"Disaster SEP opens: "&amp;'FEMA Disasters'!$D$2:$D$1000&amp;" ["&amp;'FEMA Disasters'!$B$2:$B$1000&amp;"] "&amp;'FEMA Disasters'!$C$2:$C$1000&amp;"-"&amp;'FEMA Disasters'!$A$2:$A$1000,""),IF('FEMA Disasters'!$L$2:$L$1000=$A68,"Disaster SEP ended: "&amp;'FEMA Disasters'!$D$2:$D$1000&amp;" ["&amp;'FEMA Disasters'!$B$2:$B$1000&amp;"] "&amp;'FEMA Disasters'!$C$2:$C$1000&amp;"-"&amp;'FEMA Disasters'!$A$2:$A$1000,""))</f>
        <v/>
      </c>
      <c r="H68" s="4" t="n">
        <f aca="false">COUNTIF(Events!$A$2:$A$397,$A68)</f>
        <v>0</v>
      </c>
      <c r="I68" s="6" t="str">
        <f aca="false" t="array" ref="I68:I68">_xlfn.TEXTJOIN(" | ",TRUE(),IF(Events!$A$2:$A$397=$A68,Events!$E$2:$E$397&amp;IF(Events!$G$2:$G$397="National",""," ["&amp;Events!$G$2:$G$397&amp;"]"),""))</f>
        <v/>
      </c>
    </row>
    <row r="69" customFormat="false" ht="15" hidden="false" customHeight="true" outlineLevel="0" collapsed="false">
      <c r="A69" s="3" t="n">
        <v>45359</v>
      </c>
      <c r="B69" s="4" t="n">
        <f aca="false">YEAR($A69)</f>
        <v>2024</v>
      </c>
      <c r="C69" s="4" t="n">
        <f aca="false">MONTH($A69)</f>
        <v>3</v>
      </c>
      <c r="D69" s="4" t="str">
        <f aca="false">TEXT($A69,"ddd")</f>
        <v>Fri</v>
      </c>
      <c r="E69" s="4" t="n">
        <f aca="false">IF(OR(AND(MONTH($A69)=10,DAY($A69)&gt;=15),MONTH($A69)=11,AND(MONTH($A69)=12,DAY($A69)&lt;=7)),1,0)</f>
        <v>0</v>
      </c>
      <c r="F69" s="4" t="n">
        <f aca="false">IF(MONTH($A69)&lt;=3,1,0)</f>
        <v>1</v>
      </c>
      <c r="G69" s="4" t="str">
        <f aca="false" t="array" ref="G69:G69">_xlfn.TEXTJOIN(" | ",TRUE(),IF('FEMA Disasters'!$F$2:$F$1000=$A69,'FEMA Disasters'!$D$2:$D$1000&amp;" begin: ["&amp;'FEMA Disasters'!$B$2:$B$1000&amp;"] "&amp;'FEMA Disasters'!$C$2:$C$1000&amp;"-"&amp;'FEMA Disasters'!$A$2:$A$1000,""),IF('FEMA Disasters'!$G$2:$G$1000=$A69,'FEMA Disasters'!$D$2:$D$1000&amp;" ended: ["&amp;'FEMA Disasters'!$B$2:$B$1000&amp;"] "&amp;'FEMA Disasters'!$C$2:$C$1000&amp;"-"&amp;'FEMA Disasters'!$A$2:$A$1000,""),IF('FEMA Disasters'!$K$2:$K$1000=$A69,"Disaster SEP opens: "&amp;'FEMA Disasters'!$D$2:$D$1000&amp;" ["&amp;'FEMA Disasters'!$B$2:$B$1000&amp;"] "&amp;'FEMA Disasters'!$C$2:$C$1000&amp;"-"&amp;'FEMA Disasters'!$A$2:$A$1000,""),IF('FEMA Disasters'!$L$2:$L$1000=$A69,"Disaster SEP ended: "&amp;'FEMA Disasters'!$D$2:$D$1000&amp;" ["&amp;'FEMA Disasters'!$B$2:$B$1000&amp;"] "&amp;'FEMA Disasters'!$C$2:$C$1000&amp;"-"&amp;'FEMA Disasters'!$A$2:$A$1000,""))</f>
        <v/>
      </c>
      <c r="H69" s="4" t="n">
        <f aca="false">COUNTIF(Events!$A$2:$A$397,$A69)</f>
        <v>0</v>
      </c>
      <c r="I69" s="6" t="str">
        <f aca="false" t="array" ref="I69:I69">_xlfn.TEXTJOIN(" | ",TRUE(),IF(Events!$A$2:$A$397=$A69,Events!$E$2:$E$397&amp;IF(Events!$G$2:$G$397="National",""," ["&amp;Events!$G$2:$G$397&amp;"]"),""))</f>
        <v/>
      </c>
    </row>
    <row r="70" customFormat="false" ht="15" hidden="false" customHeight="true" outlineLevel="0" collapsed="false">
      <c r="A70" s="3" t="n">
        <v>45360</v>
      </c>
      <c r="B70" s="4" t="n">
        <f aca="false">YEAR($A70)</f>
        <v>2024</v>
      </c>
      <c r="C70" s="4" t="n">
        <f aca="false">MONTH($A70)</f>
        <v>3</v>
      </c>
      <c r="D70" s="4" t="str">
        <f aca="false">TEXT($A70,"ddd")</f>
        <v>Sat</v>
      </c>
      <c r="E70" s="4" t="n">
        <f aca="false">IF(OR(AND(MONTH($A70)=10,DAY($A70)&gt;=15),MONTH($A70)=11,AND(MONTH($A70)=12,DAY($A70)&lt;=7)),1,0)</f>
        <v>0</v>
      </c>
      <c r="F70" s="4" t="n">
        <f aca="false">IF(MONTH($A70)&lt;=3,1,0)</f>
        <v>1</v>
      </c>
      <c r="G70" s="4" t="str">
        <f aca="false" t="array" ref="G70:G70">_xlfn.TEXTJOIN(" | ",TRUE(),IF('FEMA Disasters'!$F$2:$F$1000=$A70,'FEMA Disasters'!$D$2:$D$1000&amp;" begin: ["&amp;'FEMA Disasters'!$B$2:$B$1000&amp;"] "&amp;'FEMA Disasters'!$C$2:$C$1000&amp;"-"&amp;'FEMA Disasters'!$A$2:$A$1000,""),IF('FEMA Disasters'!$G$2:$G$1000=$A70,'FEMA Disasters'!$D$2:$D$1000&amp;" ended: ["&amp;'FEMA Disasters'!$B$2:$B$1000&amp;"] "&amp;'FEMA Disasters'!$C$2:$C$1000&amp;"-"&amp;'FEMA Disasters'!$A$2:$A$1000,""),IF('FEMA Disasters'!$K$2:$K$1000=$A70,"Disaster SEP opens: "&amp;'FEMA Disasters'!$D$2:$D$1000&amp;" ["&amp;'FEMA Disasters'!$B$2:$B$1000&amp;"] "&amp;'FEMA Disasters'!$C$2:$C$1000&amp;"-"&amp;'FEMA Disasters'!$A$2:$A$1000,""),IF('FEMA Disasters'!$L$2:$L$1000=$A70,"Disaster SEP ended: "&amp;'FEMA Disasters'!$D$2:$D$1000&amp;" ["&amp;'FEMA Disasters'!$B$2:$B$1000&amp;"] "&amp;'FEMA Disasters'!$C$2:$C$1000&amp;"-"&amp;'FEMA Disasters'!$A$2:$A$1000,""))</f>
        <v/>
      </c>
      <c r="H70" s="4" t="n">
        <f aca="false">COUNTIF(Events!$A$2:$A$397,$A70)</f>
        <v>0</v>
      </c>
      <c r="I70" s="6" t="str">
        <f aca="false" t="array" ref="I70:I70">_xlfn.TEXTJOIN(" | ",TRUE(),IF(Events!$A$2:$A$397=$A70,Events!$E$2:$E$397&amp;IF(Events!$G$2:$G$397="National",""," ["&amp;Events!$G$2:$G$397&amp;"]"),""))</f>
        <v/>
      </c>
    </row>
    <row r="71" customFormat="false" ht="15" hidden="false" customHeight="true" outlineLevel="0" collapsed="false">
      <c r="A71" s="3" t="n">
        <v>45361</v>
      </c>
      <c r="B71" s="4" t="n">
        <f aca="false">YEAR($A71)</f>
        <v>2024</v>
      </c>
      <c r="C71" s="4" t="n">
        <f aca="false">MONTH($A71)</f>
        <v>3</v>
      </c>
      <c r="D71" s="4" t="str">
        <f aca="false">TEXT($A71,"ddd")</f>
        <v>Sun</v>
      </c>
      <c r="E71" s="4" t="n">
        <f aca="false">IF(OR(AND(MONTH($A71)=10,DAY($A71)&gt;=15),MONTH($A71)=11,AND(MONTH($A71)=12,DAY($A71)&lt;=7)),1,0)</f>
        <v>0</v>
      </c>
      <c r="F71" s="4" t="n">
        <f aca="false">IF(MONTH($A71)&lt;=3,1,0)</f>
        <v>1</v>
      </c>
      <c r="G71" s="4" t="str">
        <f aca="false" t="array" ref="G71:G71">_xlfn.TEXTJOIN(" | ",TRUE(),IF('FEMA Disasters'!$F$2:$F$1000=$A71,'FEMA Disasters'!$D$2:$D$1000&amp;" begin: ["&amp;'FEMA Disasters'!$B$2:$B$1000&amp;"] "&amp;'FEMA Disasters'!$C$2:$C$1000&amp;"-"&amp;'FEMA Disasters'!$A$2:$A$1000,""),IF('FEMA Disasters'!$G$2:$G$1000=$A71,'FEMA Disasters'!$D$2:$D$1000&amp;" ended: ["&amp;'FEMA Disasters'!$B$2:$B$1000&amp;"] "&amp;'FEMA Disasters'!$C$2:$C$1000&amp;"-"&amp;'FEMA Disasters'!$A$2:$A$1000,""),IF('FEMA Disasters'!$K$2:$K$1000=$A71,"Disaster SEP opens: "&amp;'FEMA Disasters'!$D$2:$D$1000&amp;" ["&amp;'FEMA Disasters'!$B$2:$B$1000&amp;"] "&amp;'FEMA Disasters'!$C$2:$C$1000&amp;"-"&amp;'FEMA Disasters'!$A$2:$A$1000,""),IF('FEMA Disasters'!$L$2:$L$1000=$A71,"Disaster SEP ended: "&amp;'FEMA Disasters'!$D$2:$D$1000&amp;" ["&amp;'FEMA Disasters'!$B$2:$B$1000&amp;"] "&amp;'FEMA Disasters'!$C$2:$C$1000&amp;"-"&amp;'FEMA Disasters'!$A$2:$A$1000,""))</f>
        <v/>
      </c>
      <c r="H71" s="4" t="n">
        <f aca="false">COUNTIF(Events!$A$2:$A$397,$A71)</f>
        <v>0</v>
      </c>
      <c r="I71" s="6" t="str">
        <f aca="false" t="array" ref="I71:I71">_xlfn.TEXTJOIN(" | ",TRUE(),IF(Events!$A$2:$A$397=$A71,Events!$E$2:$E$397&amp;IF(Events!$G$2:$G$397="National",""," ["&amp;Events!$G$2:$G$397&amp;"]"),""))</f>
        <v/>
      </c>
    </row>
    <row r="72" customFormat="false" ht="15" hidden="false" customHeight="true" outlineLevel="0" collapsed="false">
      <c r="A72" s="3" t="n">
        <v>45362</v>
      </c>
      <c r="B72" s="4" t="n">
        <f aca="false">YEAR($A72)</f>
        <v>2024</v>
      </c>
      <c r="C72" s="4" t="n">
        <f aca="false">MONTH($A72)</f>
        <v>3</v>
      </c>
      <c r="D72" s="4" t="str">
        <f aca="false">TEXT($A72,"ddd")</f>
        <v>Mon</v>
      </c>
      <c r="E72" s="4" t="n">
        <f aca="false">IF(OR(AND(MONTH($A72)=10,DAY($A72)&gt;=15),MONTH($A72)=11,AND(MONTH($A72)=12,DAY($A72)&lt;=7)),1,0)</f>
        <v>0</v>
      </c>
      <c r="F72" s="4" t="n">
        <f aca="false">IF(MONTH($A72)&lt;=3,1,0)</f>
        <v>1</v>
      </c>
      <c r="G72" s="4" t="str">
        <f aca="false" t="array" ref="G72:G72">_xlfn.TEXTJOIN(" | ",TRUE(),IF('FEMA Disasters'!$F$2:$F$1000=$A72,'FEMA Disasters'!$D$2:$D$1000&amp;" begin: ["&amp;'FEMA Disasters'!$B$2:$B$1000&amp;"] "&amp;'FEMA Disasters'!$C$2:$C$1000&amp;"-"&amp;'FEMA Disasters'!$A$2:$A$1000,""),IF('FEMA Disasters'!$G$2:$G$1000=$A72,'FEMA Disasters'!$D$2:$D$1000&amp;" ended: ["&amp;'FEMA Disasters'!$B$2:$B$1000&amp;"] "&amp;'FEMA Disasters'!$C$2:$C$1000&amp;"-"&amp;'FEMA Disasters'!$A$2:$A$1000,""),IF('FEMA Disasters'!$K$2:$K$1000=$A72,"Disaster SEP opens: "&amp;'FEMA Disasters'!$D$2:$D$1000&amp;" ["&amp;'FEMA Disasters'!$B$2:$B$1000&amp;"] "&amp;'FEMA Disasters'!$C$2:$C$1000&amp;"-"&amp;'FEMA Disasters'!$A$2:$A$1000,""),IF('FEMA Disasters'!$L$2:$L$1000=$A72,"Disaster SEP ended: "&amp;'FEMA Disasters'!$D$2:$D$1000&amp;" ["&amp;'FEMA Disasters'!$B$2:$B$1000&amp;"] "&amp;'FEMA Disasters'!$C$2:$C$1000&amp;"-"&amp;'FEMA Disasters'!$A$2:$A$1000,""))</f>
        <v/>
      </c>
      <c r="H72" s="4" t="n">
        <f aca="false">COUNTIF(Events!$A$2:$A$397,$A72)</f>
        <v>0</v>
      </c>
      <c r="I72" s="6" t="str">
        <f aca="false" t="array" ref="I72:I72">_xlfn.TEXTJOIN(" | ",TRUE(),IF(Events!$A$2:$A$397=$A72,Events!$E$2:$E$397&amp;IF(Events!$G$2:$G$397="National",""," ["&amp;Events!$G$2:$G$397&amp;"]"),""))</f>
        <v/>
      </c>
    </row>
    <row r="73" customFormat="false" ht="15" hidden="false" customHeight="true" outlineLevel="0" collapsed="false">
      <c r="A73" s="3" t="n">
        <v>45363</v>
      </c>
      <c r="B73" s="4" t="n">
        <f aca="false">YEAR($A73)</f>
        <v>2024</v>
      </c>
      <c r="C73" s="4" t="n">
        <f aca="false">MONTH($A73)</f>
        <v>3</v>
      </c>
      <c r="D73" s="4" t="str">
        <f aca="false">TEXT($A73,"ddd")</f>
        <v>Tue</v>
      </c>
      <c r="E73" s="4" t="n">
        <f aca="false">IF(OR(AND(MONTH($A73)=10,DAY($A73)&gt;=15),MONTH($A73)=11,AND(MONTH($A73)=12,DAY($A73)&lt;=7)),1,0)</f>
        <v>0</v>
      </c>
      <c r="F73" s="4" t="n">
        <f aca="false">IF(MONTH($A73)&lt;=3,1,0)</f>
        <v>1</v>
      </c>
      <c r="G73" s="4" t="str">
        <f aca="false" t="array" ref="G73:G73">_xlfn.TEXTJOIN(" | ",TRUE(),IF('FEMA Disasters'!$F$2:$F$1000=$A73,'FEMA Disasters'!$D$2:$D$1000&amp;" begin: ["&amp;'FEMA Disasters'!$B$2:$B$1000&amp;"] "&amp;'FEMA Disasters'!$C$2:$C$1000&amp;"-"&amp;'FEMA Disasters'!$A$2:$A$1000,""),IF('FEMA Disasters'!$G$2:$G$1000=$A73,'FEMA Disasters'!$D$2:$D$1000&amp;" ended: ["&amp;'FEMA Disasters'!$B$2:$B$1000&amp;"] "&amp;'FEMA Disasters'!$C$2:$C$1000&amp;"-"&amp;'FEMA Disasters'!$A$2:$A$1000,""),IF('FEMA Disasters'!$K$2:$K$1000=$A73,"Disaster SEP opens: "&amp;'FEMA Disasters'!$D$2:$D$1000&amp;" ["&amp;'FEMA Disasters'!$B$2:$B$1000&amp;"] "&amp;'FEMA Disasters'!$C$2:$C$1000&amp;"-"&amp;'FEMA Disasters'!$A$2:$A$1000,""),IF('FEMA Disasters'!$L$2:$L$1000=$A73,"Disaster SEP ended: "&amp;'FEMA Disasters'!$D$2:$D$1000&amp;" ["&amp;'FEMA Disasters'!$B$2:$B$1000&amp;"] "&amp;'FEMA Disasters'!$C$2:$C$1000&amp;"-"&amp;'FEMA Disasters'!$A$2:$A$1000,""))</f>
        <v/>
      </c>
      <c r="H73" s="4" t="n">
        <f aca="false">COUNTIF(Events!$A$2:$A$397,$A73)</f>
        <v>0</v>
      </c>
      <c r="I73" s="6" t="str">
        <f aca="false" t="array" ref="I73:I73">_xlfn.TEXTJOIN(" | ",TRUE(),IF(Events!$A$2:$A$397=$A73,Events!$E$2:$E$397&amp;IF(Events!$G$2:$G$397="National",""," ["&amp;Events!$G$2:$G$397&amp;"]"),""))</f>
        <v/>
      </c>
    </row>
    <row r="74" customFormat="false" ht="15" hidden="false" customHeight="true" outlineLevel="0" collapsed="false">
      <c r="A74" s="3" t="n">
        <v>45364</v>
      </c>
      <c r="B74" s="4" t="n">
        <f aca="false">YEAR($A74)</f>
        <v>2024</v>
      </c>
      <c r="C74" s="4" t="n">
        <f aca="false">MONTH($A74)</f>
        <v>3</v>
      </c>
      <c r="D74" s="4" t="str">
        <f aca="false">TEXT($A74,"ddd")</f>
        <v>Wed</v>
      </c>
      <c r="E74" s="4" t="n">
        <f aca="false">IF(OR(AND(MONTH($A74)=10,DAY($A74)&gt;=15),MONTH($A74)=11,AND(MONTH($A74)=12,DAY($A74)&lt;=7)),1,0)</f>
        <v>0</v>
      </c>
      <c r="F74" s="4" t="n">
        <f aca="false">IF(MONTH($A74)&lt;=3,1,0)</f>
        <v>1</v>
      </c>
      <c r="G74" s="4" t="str">
        <f aca="false" t="array" ref="G74:G74">_xlfn.TEXTJOIN(" | ",TRUE(),IF('FEMA Disasters'!$F$2:$F$1000=$A74,'FEMA Disasters'!$D$2:$D$1000&amp;" begin: ["&amp;'FEMA Disasters'!$B$2:$B$1000&amp;"] "&amp;'FEMA Disasters'!$C$2:$C$1000&amp;"-"&amp;'FEMA Disasters'!$A$2:$A$1000,""),IF('FEMA Disasters'!$G$2:$G$1000=$A74,'FEMA Disasters'!$D$2:$D$1000&amp;" ended: ["&amp;'FEMA Disasters'!$B$2:$B$1000&amp;"] "&amp;'FEMA Disasters'!$C$2:$C$1000&amp;"-"&amp;'FEMA Disasters'!$A$2:$A$1000,""),IF('FEMA Disasters'!$K$2:$K$1000=$A74,"Disaster SEP opens: "&amp;'FEMA Disasters'!$D$2:$D$1000&amp;" ["&amp;'FEMA Disasters'!$B$2:$B$1000&amp;"] "&amp;'FEMA Disasters'!$C$2:$C$1000&amp;"-"&amp;'FEMA Disasters'!$A$2:$A$1000,""),IF('FEMA Disasters'!$L$2:$L$1000=$A74,"Disaster SEP ended: "&amp;'FEMA Disasters'!$D$2:$D$1000&amp;" ["&amp;'FEMA Disasters'!$B$2:$B$1000&amp;"] "&amp;'FEMA Disasters'!$C$2:$C$1000&amp;"-"&amp;'FEMA Disasters'!$A$2:$A$1000,""))</f>
        <v/>
      </c>
      <c r="H74" s="4" t="n">
        <f aca="false">COUNTIF(Events!$A$2:$A$397,$A74)</f>
        <v>0</v>
      </c>
      <c r="I74" s="6" t="str">
        <f aca="false" t="array" ref="I74:I74">_xlfn.TEXTJOIN(" | ",TRUE(),IF(Events!$A$2:$A$397=$A74,Events!$E$2:$E$397&amp;IF(Events!$G$2:$G$397="National",""," ["&amp;Events!$G$2:$G$397&amp;"]"),""))</f>
        <v/>
      </c>
    </row>
    <row r="75" customFormat="false" ht="15" hidden="false" customHeight="true" outlineLevel="0" collapsed="false">
      <c r="A75" s="3" t="n">
        <v>45365</v>
      </c>
      <c r="B75" s="4" t="n">
        <f aca="false">YEAR($A75)</f>
        <v>2024</v>
      </c>
      <c r="C75" s="4" t="n">
        <f aca="false">MONTH($A75)</f>
        <v>3</v>
      </c>
      <c r="D75" s="4" t="str">
        <f aca="false">TEXT($A75,"ddd")</f>
        <v>Thu</v>
      </c>
      <c r="E75" s="4" t="n">
        <f aca="false">IF(OR(AND(MONTH($A75)=10,DAY($A75)&gt;=15),MONTH($A75)=11,AND(MONTH($A75)=12,DAY($A75)&lt;=7)),1,0)</f>
        <v>0</v>
      </c>
      <c r="F75" s="4" t="n">
        <f aca="false">IF(MONTH($A75)&lt;=3,1,0)</f>
        <v>1</v>
      </c>
      <c r="G75" s="4" t="str">
        <f aca="false" t="array" ref="G75:G75">_xlfn.TEXTJOIN(" | ",TRUE(),IF('FEMA Disasters'!$F$2:$F$1000=$A75,'FEMA Disasters'!$D$2:$D$1000&amp;" begin: ["&amp;'FEMA Disasters'!$B$2:$B$1000&amp;"] "&amp;'FEMA Disasters'!$C$2:$C$1000&amp;"-"&amp;'FEMA Disasters'!$A$2:$A$1000,""),IF('FEMA Disasters'!$G$2:$G$1000=$A75,'FEMA Disasters'!$D$2:$D$1000&amp;" ended: ["&amp;'FEMA Disasters'!$B$2:$B$1000&amp;"] "&amp;'FEMA Disasters'!$C$2:$C$1000&amp;"-"&amp;'FEMA Disasters'!$A$2:$A$1000,""),IF('FEMA Disasters'!$K$2:$K$1000=$A75,"Disaster SEP opens: "&amp;'FEMA Disasters'!$D$2:$D$1000&amp;" ["&amp;'FEMA Disasters'!$B$2:$B$1000&amp;"] "&amp;'FEMA Disasters'!$C$2:$C$1000&amp;"-"&amp;'FEMA Disasters'!$A$2:$A$1000,""),IF('FEMA Disasters'!$L$2:$L$1000=$A75,"Disaster SEP ended: "&amp;'FEMA Disasters'!$D$2:$D$1000&amp;" ["&amp;'FEMA Disasters'!$B$2:$B$1000&amp;"] "&amp;'FEMA Disasters'!$C$2:$C$1000&amp;"-"&amp;'FEMA Disasters'!$A$2:$A$1000,""))</f>
        <v>Tornado begin: [OH] DR-4777 | Severe Storm begin: [OK] DR-4802 | Tornado ended: [OH] DR-4777 | Disaster SEP opens: Tornado [OH] DR-4777 | Disaster SEP opens: Severe Storm [OK] DR-4802</v>
      </c>
      <c r="H75" s="4" t="n">
        <f aca="false">COUNTIF(Events!$A$2:$A$397,$A75)</f>
        <v>0</v>
      </c>
      <c r="I75" s="6" t="str">
        <f aca="false" t="array" ref="I75:I75">_xlfn.TEXTJOIN(" | ",TRUE(),IF(Events!$A$2:$A$397=$A75,Events!$E$2:$E$397&amp;IF(Events!$G$2:$G$397="National",""," ["&amp;Events!$G$2:$G$397&amp;"]"),""))</f>
        <v/>
      </c>
    </row>
    <row r="76" customFormat="false" ht="15" hidden="false" customHeight="true" outlineLevel="0" collapsed="false">
      <c r="A76" s="3" t="n">
        <v>45366</v>
      </c>
      <c r="B76" s="4" t="n">
        <f aca="false">YEAR($A76)</f>
        <v>2024</v>
      </c>
      <c r="C76" s="4" t="n">
        <f aca="false">MONTH($A76)</f>
        <v>3</v>
      </c>
      <c r="D76" s="4" t="str">
        <f aca="false">TEXT($A76,"ddd")</f>
        <v>Fri</v>
      </c>
      <c r="E76" s="4" t="n">
        <f aca="false">IF(OR(AND(MONTH($A76)=10,DAY($A76)&gt;=15),MONTH($A76)=11,AND(MONTH($A76)=12,DAY($A76)&lt;=7)),1,0)</f>
        <v>0</v>
      </c>
      <c r="F76" s="4" t="n">
        <f aca="false">IF(MONTH($A76)&lt;=3,1,0)</f>
        <v>1</v>
      </c>
      <c r="G76" s="4" t="str">
        <f aca="false" t="array" ref="G76:G76">_xlfn.TEXTJOIN(" | ",TRUE(),IF('FEMA Disasters'!$F$2:$F$1000=$A76,'FEMA Disasters'!$D$2:$D$1000&amp;" begin: ["&amp;'FEMA Disasters'!$B$2:$B$1000&amp;"] "&amp;'FEMA Disasters'!$C$2:$C$1000&amp;"-"&amp;'FEMA Disasters'!$A$2:$A$1000,""),IF('FEMA Disasters'!$G$2:$G$1000=$A76,'FEMA Disasters'!$D$2:$D$1000&amp;" ended: ["&amp;'FEMA Disasters'!$B$2:$B$1000&amp;"] "&amp;'FEMA Disasters'!$C$2:$C$1000&amp;"-"&amp;'FEMA Disasters'!$A$2:$A$1000,""),IF('FEMA Disasters'!$K$2:$K$1000=$A76,"Disaster SEP opens: "&amp;'FEMA Disasters'!$D$2:$D$1000&amp;" ["&amp;'FEMA Disasters'!$B$2:$B$1000&amp;"] "&amp;'FEMA Disasters'!$C$2:$C$1000&amp;"-"&amp;'FEMA Disasters'!$A$2:$A$1000,""),IF('FEMA Disasters'!$L$2:$L$1000=$A76,"Disaster SEP ended: "&amp;'FEMA Disasters'!$D$2:$D$1000&amp;" ["&amp;'FEMA Disasters'!$B$2:$B$1000&amp;"] "&amp;'FEMA Disasters'!$C$2:$C$1000&amp;"-"&amp;'FEMA Disasters'!$A$2:$A$1000,""))</f>
        <v>Severe Storm ended: [OK] DR-4802</v>
      </c>
      <c r="H76" s="4" t="n">
        <f aca="false">COUNTIF(Events!$A$2:$A$397,$A76)</f>
        <v>0</v>
      </c>
      <c r="I76" s="6" t="str">
        <f aca="false" t="array" ref="I76:I76">_xlfn.TEXTJOIN(" | ",TRUE(),IF(Events!$A$2:$A$397=$A76,Events!$E$2:$E$397&amp;IF(Events!$G$2:$G$397="National",""," ["&amp;Events!$G$2:$G$397&amp;"]"),""))</f>
        <v/>
      </c>
    </row>
    <row r="77" customFormat="false" ht="15" hidden="false" customHeight="true" outlineLevel="0" collapsed="false">
      <c r="A77" s="3" t="n">
        <v>45367</v>
      </c>
      <c r="B77" s="4" t="n">
        <f aca="false">YEAR($A77)</f>
        <v>2024</v>
      </c>
      <c r="C77" s="4" t="n">
        <f aca="false">MONTH($A77)</f>
        <v>3</v>
      </c>
      <c r="D77" s="4" t="str">
        <f aca="false">TEXT($A77,"ddd")</f>
        <v>Sat</v>
      </c>
      <c r="E77" s="4" t="n">
        <f aca="false">IF(OR(AND(MONTH($A77)=10,DAY($A77)&gt;=15),MONTH($A77)=11,AND(MONTH($A77)=12,DAY($A77)&lt;=7)),1,0)</f>
        <v>0</v>
      </c>
      <c r="F77" s="4" t="n">
        <f aca="false">IF(MONTH($A77)&lt;=3,1,0)</f>
        <v>1</v>
      </c>
      <c r="G77" s="4" t="str">
        <f aca="false" t="array" ref="G77:G77">_xlfn.TEXTJOIN(" | ",TRUE(),IF('FEMA Disasters'!$F$2:$F$1000=$A77,'FEMA Disasters'!$D$2:$D$1000&amp;" begin: ["&amp;'FEMA Disasters'!$B$2:$B$1000&amp;"] "&amp;'FEMA Disasters'!$C$2:$C$1000&amp;"-"&amp;'FEMA Disasters'!$A$2:$A$1000,""),IF('FEMA Disasters'!$G$2:$G$1000=$A77,'FEMA Disasters'!$D$2:$D$1000&amp;" ended: ["&amp;'FEMA Disasters'!$B$2:$B$1000&amp;"] "&amp;'FEMA Disasters'!$C$2:$C$1000&amp;"-"&amp;'FEMA Disasters'!$A$2:$A$1000,""),IF('FEMA Disasters'!$K$2:$K$1000=$A77,"Disaster SEP opens: "&amp;'FEMA Disasters'!$D$2:$D$1000&amp;" ["&amp;'FEMA Disasters'!$B$2:$B$1000&amp;"] "&amp;'FEMA Disasters'!$C$2:$C$1000&amp;"-"&amp;'FEMA Disasters'!$A$2:$A$1000,""),IF('FEMA Disasters'!$L$2:$L$1000=$A77,"Disaster SEP ended: "&amp;'FEMA Disasters'!$D$2:$D$1000&amp;" ["&amp;'FEMA Disasters'!$B$2:$B$1000&amp;"] "&amp;'FEMA Disasters'!$C$2:$C$1000&amp;"-"&amp;'FEMA Disasters'!$A$2:$A$1000,""))</f>
        <v>Fire ended: [TX] FM-5487 | Fire ended: [TX] FM-5488</v>
      </c>
      <c r="H77" s="4" t="n">
        <f aca="false">COUNTIF(Events!$A$2:$A$397,$A77)</f>
        <v>0</v>
      </c>
      <c r="I77" s="6" t="str">
        <f aca="false" t="array" ref="I77:I77">_xlfn.TEXTJOIN(" | ",TRUE(),IF(Events!$A$2:$A$397=$A77,Events!$E$2:$E$397&amp;IF(Events!$G$2:$G$397="National",""," ["&amp;Events!$G$2:$G$397&amp;"]"),""))</f>
        <v/>
      </c>
    </row>
    <row r="78" customFormat="false" ht="15" hidden="false" customHeight="true" outlineLevel="0" collapsed="false">
      <c r="A78" s="3" t="n">
        <v>45368</v>
      </c>
      <c r="B78" s="4" t="n">
        <f aca="false">YEAR($A78)</f>
        <v>2024</v>
      </c>
      <c r="C78" s="4" t="n">
        <f aca="false">MONTH($A78)</f>
        <v>3</v>
      </c>
      <c r="D78" s="4" t="str">
        <f aca="false">TEXT($A78,"ddd")</f>
        <v>Sun</v>
      </c>
      <c r="E78" s="4" t="n">
        <f aca="false">IF(OR(AND(MONTH($A78)=10,DAY($A78)&gt;=15),MONTH($A78)=11,AND(MONTH($A78)=12,DAY($A78)&lt;=7)),1,0)</f>
        <v>0</v>
      </c>
      <c r="F78" s="4" t="n">
        <f aca="false">IF(MONTH($A78)&lt;=3,1,0)</f>
        <v>1</v>
      </c>
      <c r="G78" s="4" t="str">
        <f aca="false" t="array" ref="G78:G78">_xlfn.TEXTJOIN(" | ",TRUE(),IF('FEMA Disasters'!$F$2:$F$1000=$A78,'FEMA Disasters'!$D$2:$D$1000&amp;" begin: ["&amp;'FEMA Disasters'!$B$2:$B$1000&amp;"] "&amp;'FEMA Disasters'!$C$2:$C$1000&amp;"-"&amp;'FEMA Disasters'!$A$2:$A$1000,""),IF('FEMA Disasters'!$G$2:$G$1000=$A78,'FEMA Disasters'!$D$2:$D$1000&amp;" ended: ["&amp;'FEMA Disasters'!$B$2:$B$1000&amp;"] "&amp;'FEMA Disasters'!$C$2:$C$1000&amp;"-"&amp;'FEMA Disasters'!$A$2:$A$1000,""),IF('FEMA Disasters'!$K$2:$K$1000=$A78,"Disaster SEP opens: "&amp;'FEMA Disasters'!$D$2:$D$1000&amp;" ["&amp;'FEMA Disasters'!$B$2:$B$1000&amp;"] "&amp;'FEMA Disasters'!$C$2:$C$1000&amp;"-"&amp;'FEMA Disasters'!$A$2:$A$1000,""),IF('FEMA Disasters'!$L$2:$L$1000=$A78,"Disaster SEP ended: "&amp;'FEMA Disasters'!$D$2:$D$1000&amp;" ["&amp;'FEMA Disasters'!$B$2:$B$1000&amp;"] "&amp;'FEMA Disasters'!$C$2:$C$1000&amp;"-"&amp;'FEMA Disasters'!$A$2:$A$1000,""))</f>
        <v/>
      </c>
      <c r="H78" s="4" t="n">
        <f aca="false">COUNTIF(Events!$A$2:$A$397,$A78)</f>
        <v>0</v>
      </c>
      <c r="I78" s="6" t="str">
        <f aca="false" t="array" ref="I78:I78">_xlfn.TEXTJOIN(" | ",TRUE(),IF(Events!$A$2:$A$397=$A78,Events!$E$2:$E$397&amp;IF(Events!$G$2:$G$397="National",""," ["&amp;Events!$G$2:$G$397&amp;"]"),""))</f>
        <v/>
      </c>
    </row>
    <row r="79" customFormat="false" ht="15" hidden="false" customHeight="true" outlineLevel="0" collapsed="false">
      <c r="A79" s="3" t="n">
        <v>45369</v>
      </c>
      <c r="B79" s="4" t="n">
        <f aca="false">YEAR($A79)</f>
        <v>2024</v>
      </c>
      <c r="C79" s="4" t="n">
        <f aca="false">MONTH($A79)</f>
        <v>3</v>
      </c>
      <c r="D79" s="4" t="str">
        <f aca="false">TEXT($A79,"ddd")</f>
        <v>Mon</v>
      </c>
      <c r="E79" s="4" t="n">
        <f aca="false">IF(OR(AND(MONTH($A79)=10,DAY($A79)&gt;=15),MONTH($A79)=11,AND(MONTH($A79)=12,DAY($A79)&lt;=7)),1,0)</f>
        <v>0</v>
      </c>
      <c r="F79" s="4" t="n">
        <f aca="false">IF(MONTH($A79)&lt;=3,1,0)</f>
        <v>1</v>
      </c>
      <c r="G79" s="4" t="str">
        <f aca="false" t="array" ref="G79:G79">_xlfn.TEXTJOIN(" | ",TRUE(),IF('FEMA Disasters'!$F$2:$F$1000=$A79,'FEMA Disasters'!$D$2:$D$1000&amp;" begin: ["&amp;'FEMA Disasters'!$B$2:$B$1000&amp;"] "&amp;'FEMA Disasters'!$C$2:$C$1000&amp;"-"&amp;'FEMA Disasters'!$A$2:$A$1000,""),IF('FEMA Disasters'!$G$2:$G$1000=$A79,'FEMA Disasters'!$D$2:$D$1000&amp;" ended: ["&amp;'FEMA Disasters'!$B$2:$B$1000&amp;"] "&amp;'FEMA Disasters'!$C$2:$C$1000&amp;"-"&amp;'FEMA Disasters'!$A$2:$A$1000,""),IF('FEMA Disasters'!$K$2:$K$1000=$A79,"Disaster SEP opens: "&amp;'FEMA Disasters'!$D$2:$D$1000&amp;" ["&amp;'FEMA Disasters'!$B$2:$B$1000&amp;"] "&amp;'FEMA Disasters'!$C$2:$C$1000&amp;"-"&amp;'FEMA Disasters'!$A$2:$A$1000,""),IF('FEMA Disasters'!$L$2:$L$1000=$A79,"Disaster SEP ended: "&amp;'FEMA Disasters'!$D$2:$D$1000&amp;" ["&amp;'FEMA Disasters'!$B$2:$B$1000&amp;"] "&amp;'FEMA Disasters'!$C$2:$C$1000&amp;"-"&amp;'FEMA Disasters'!$A$2:$A$1000,""))</f>
        <v/>
      </c>
      <c r="H79" s="4" t="n">
        <f aca="false">COUNTIF(Events!$A$2:$A$397,$A79)</f>
        <v>0</v>
      </c>
      <c r="I79" s="6" t="str">
        <f aca="false" t="array" ref="I79:I79">_xlfn.TEXTJOIN(" | ",TRUE(),IF(Events!$A$2:$A$397=$A79,Events!$E$2:$E$397&amp;IF(Events!$G$2:$G$397="National",""," ["&amp;Events!$G$2:$G$397&amp;"]"),""))</f>
        <v/>
      </c>
    </row>
    <row r="80" customFormat="false" ht="15" hidden="false" customHeight="true" outlineLevel="0" collapsed="false">
      <c r="A80" s="3" t="n">
        <v>45370</v>
      </c>
      <c r="B80" s="4" t="n">
        <f aca="false">YEAR($A80)</f>
        <v>2024</v>
      </c>
      <c r="C80" s="4" t="n">
        <f aca="false">MONTH($A80)</f>
        <v>3</v>
      </c>
      <c r="D80" s="4" t="str">
        <f aca="false">TEXT($A80,"ddd")</f>
        <v>Tue</v>
      </c>
      <c r="E80" s="4" t="n">
        <f aca="false">IF(OR(AND(MONTH($A80)=10,DAY($A80)&gt;=15),MONTH($A80)=11,AND(MONTH($A80)=12,DAY($A80)&lt;=7)),1,0)</f>
        <v>0</v>
      </c>
      <c r="F80" s="4" t="n">
        <f aca="false">IF(MONTH($A80)&lt;=3,1,0)</f>
        <v>1</v>
      </c>
      <c r="G80" s="4" t="str">
        <f aca="false" t="array" ref="G80:G80">_xlfn.TEXTJOIN(" | ",TRUE(),IF('FEMA Disasters'!$F$2:$F$1000=$A80,'FEMA Disasters'!$D$2:$D$1000&amp;" begin: ["&amp;'FEMA Disasters'!$B$2:$B$1000&amp;"] "&amp;'FEMA Disasters'!$C$2:$C$1000&amp;"-"&amp;'FEMA Disasters'!$A$2:$A$1000,""),IF('FEMA Disasters'!$G$2:$G$1000=$A80,'FEMA Disasters'!$D$2:$D$1000&amp;" ended: ["&amp;'FEMA Disasters'!$B$2:$B$1000&amp;"] "&amp;'FEMA Disasters'!$C$2:$C$1000&amp;"-"&amp;'FEMA Disasters'!$A$2:$A$1000,""),IF('FEMA Disasters'!$K$2:$K$1000=$A80,"Disaster SEP opens: "&amp;'FEMA Disasters'!$D$2:$D$1000&amp;" ["&amp;'FEMA Disasters'!$B$2:$B$1000&amp;"] "&amp;'FEMA Disasters'!$C$2:$C$1000&amp;"-"&amp;'FEMA Disasters'!$A$2:$A$1000,""),IF('FEMA Disasters'!$L$2:$L$1000=$A80,"Disaster SEP ended: "&amp;'FEMA Disasters'!$D$2:$D$1000&amp;" ["&amp;'FEMA Disasters'!$B$2:$B$1000&amp;"] "&amp;'FEMA Disasters'!$C$2:$C$1000&amp;"-"&amp;'FEMA Disasters'!$A$2:$A$1000,""))</f>
        <v/>
      </c>
      <c r="H80" s="4" t="n">
        <f aca="false">COUNTIF(Events!$A$2:$A$397,$A80)</f>
        <v>0</v>
      </c>
      <c r="I80" s="6" t="str">
        <f aca="false" t="array" ref="I80:I80">_xlfn.TEXTJOIN(" | ",TRUE(),IF(Events!$A$2:$A$397=$A80,Events!$E$2:$E$397&amp;IF(Events!$G$2:$G$397="National",""," ["&amp;Events!$G$2:$G$397&amp;"]"),""))</f>
        <v/>
      </c>
    </row>
    <row r="81" customFormat="false" ht="15" hidden="false" customHeight="true" outlineLevel="0" collapsed="false">
      <c r="A81" s="3" t="n">
        <v>45371</v>
      </c>
      <c r="B81" s="4" t="n">
        <f aca="false">YEAR($A81)</f>
        <v>2024</v>
      </c>
      <c r="C81" s="4" t="n">
        <f aca="false">MONTH($A81)</f>
        <v>3</v>
      </c>
      <c r="D81" s="4" t="str">
        <f aca="false">TEXT($A81,"ddd")</f>
        <v>Wed</v>
      </c>
      <c r="E81" s="4" t="n">
        <f aca="false">IF(OR(AND(MONTH($A81)=10,DAY($A81)&gt;=15),MONTH($A81)=11,AND(MONTH($A81)=12,DAY($A81)&lt;=7)),1,0)</f>
        <v>0</v>
      </c>
      <c r="F81" s="4" t="n">
        <f aca="false">IF(MONTH($A81)&lt;=3,1,0)</f>
        <v>1</v>
      </c>
      <c r="G81" s="4" t="str">
        <f aca="false" t="array" ref="G81:G81">_xlfn.TEXTJOIN(" | ",TRUE(),IF('FEMA Disasters'!$F$2:$F$1000=$A81,'FEMA Disasters'!$D$2:$D$1000&amp;" begin: ["&amp;'FEMA Disasters'!$B$2:$B$1000&amp;"] "&amp;'FEMA Disasters'!$C$2:$C$1000&amp;"-"&amp;'FEMA Disasters'!$A$2:$A$1000,""),IF('FEMA Disasters'!$G$2:$G$1000=$A81,'FEMA Disasters'!$D$2:$D$1000&amp;" ended: ["&amp;'FEMA Disasters'!$B$2:$B$1000&amp;"] "&amp;'FEMA Disasters'!$C$2:$C$1000&amp;"-"&amp;'FEMA Disasters'!$A$2:$A$1000,""),IF('FEMA Disasters'!$K$2:$K$1000=$A81,"Disaster SEP opens: "&amp;'FEMA Disasters'!$D$2:$D$1000&amp;" ["&amp;'FEMA Disasters'!$B$2:$B$1000&amp;"] "&amp;'FEMA Disasters'!$C$2:$C$1000&amp;"-"&amp;'FEMA Disasters'!$A$2:$A$1000,""),IF('FEMA Disasters'!$L$2:$L$1000=$A81,"Disaster SEP ended: "&amp;'FEMA Disasters'!$D$2:$D$1000&amp;" ["&amp;'FEMA Disasters'!$B$2:$B$1000&amp;"] "&amp;'FEMA Disasters'!$C$2:$C$1000&amp;"-"&amp;'FEMA Disasters'!$A$2:$A$1000,""))</f>
        <v>Fire ended: [OK] FM-5489</v>
      </c>
      <c r="H81" s="4" t="n">
        <f aca="false">COUNTIF(Events!$A$2:$A$397,$A81)</f>
        <v>0</v>
      </c>
      <c r="I81" s="6" t="str">
        <f aca="false" t="array" ref="I81:I81">_xlfn.TEXTJOIN(" | ",TRUE(),IF(Events!$A$2:$A$397=$A81,Events!$E$2:$E$397&amp;IF(Events!$G$2:$G$397="National",""," ["&amp;Events!$G$2:$G$397&amp;"]"),""))</f>
        <v/>
      </c>
    </row>
    <row r="82" customFormat="false" ht="15" hidden="false" customHeight="true" outlineLevel="0" collapsed="false">
      <c r="A82" s="3" t="n">
        <v>45372</v>
      </c>
      <c r="B82" s="4" t="n">
        <f aca="false">YEAR($A82)</f>
        <v>2024</v>
      </c>
      <c r="C82" s="4" t="n">
        <f aca="false">MONTH($A82)</f>
        <v>3</v>
      </c>
      <c r="D82" s="4" t="str">
        <f aca="false">TEXT($A82,"ddd")</f>
        <v>Thu</v>
      </c>
      <c r="E82" s="4" t="n">
        <f aca="false">IF(OR(AND(MONTH($A82)=10,DAY($A82)&gt;=15),MONTH($A82)=11,AND(MONTH($A82)=12,DAY($A82)&lt;=7)),1,0)</f>
        <v>0</v>
      </c>
      <c r="F82" s="4" t="n">
        <f aca="false">IF(MONTH($A82)&lt;=3,1,0)</f>
        <v>1</v>
      </c>
      <c r="G82" s="4" t="str">
        <f aca="false" t="array" ref="G82:G82">_xlfn.TEXTJOIN(" | ",TRUE(),IF('FEMA Disasters'!$F$2:$F$1000=$A82,'FEMA Disasters'!$D$2:$D$1000&amp;" begin: ["&amp;'FEMA Disasters'!$B$2:$B$1000&amp;"] "&amp;'FEMA Disasters'!$C$2:$C$1000&amp;"-"&amp;'FEMA Disasters'!$A$2:$A$1000,""),IF('FEMA Disasters'!$G$2:$G$1000=$A82,'FEMA Disasters'!$D$2:$D$1000&amp;" ended: ["&amp;'FEMA Disasters'!$B$2:$B$1000&amp;"] "&amp;'FEMA Disasters'!$C$2:$C$1000&amp;"-"&amp;'FEMA Disasters'!$A$2:$A$1000,""),IF('FEMA Disasters'!$K$2:$K$1000=$A82,"Disaster SEP opens: "&amp;'FEMA Disasters'!$D$2:$D$1000&amp;" ["&amp;'FEMA Disasters'!$B$2:$B$1000&amp;"] "&amp;'FEMA Disasters'!$C$2:$C$1000&amp;"-"&amp;'FEMA Disasters'!$A$2:$A$1000,""),IF('FEMA Disasters'!$L$2:$L$1000=$A82,"Disaster SEP ended: "&amp;'FEMA Disasters'!$D$2:$D$1000&amp;" ["&amp;'FEMA Disasters'!$B$2:$B$1000&amp;"] "&amp;'FEMA Disasters'!$C$2:$C$1000&amp;"-"&amp;'FEMA Disasters'!$A$2:$A$1000,""))</f>
        <v/>
      </c>
      <c r="H82" s="4" t="n">
        <f aca="false">COUNTIF(Events!$A$2:$A$397,$A82)</f>
        <v>0</v>
      </c>
      <c r="I82" s="6" t="str">
        <f aca="false" t="array" ref="I82:I82">_xlfn.TEXTJOIN(" | ",TRUE(),IF(Events!$A$2:$A$397=$A82,Events!$E$2:$E$397&amp;IF(Events!$G$2:$G$397="National",""," ["&amp;Events!$G$2:$G$397&amp;"]"),""))</f>
        <v/>
      </c>
    </row>
    <row r="83" customFormat="false" ht="15" hidden="false" customHeight="true" outlineLevel="0" collapsed="false">
      <c r="A83" s="3" t="n">
        <v>45373</v>
      </c>
      <c r="B83" s="4" t="n">
        <f aca="false">YEAR($A83)</f>
        <v>2024</v>
      </c>
      <c r="C83" s="4" t="n">
        <f aca="false">MONTH($A83)</f>
        <v>3</v>
      </c>
      <c r="D83" s="4" t="str">
        <f aca="false">TEXT($A83,"ddd")</f>
        <v>Fri</v>
      </c>
      <c r="E83" s="4" t="n">
        <f aca="false">IF(OR(AND(MONTH($A83)=10,DAY($A83)&gt;=15),MONTH($A83)=11,AND(MONTH($A83)=12,DAY($A83)&lt;=7)),1,0)</f>
        <v>0</v>
      </c>
      <c r="F83" s="4" t="n">
        <f aca="false">IF(MONTH($A83)&lt;=3,1,0)</f>
        <v>1</v>
      </c>
      <c r="G83" s="4" t="str">
        <f aca="false" t="array" ref="G83:G83">_xlfn.TEXTJOIN(" | ",TRUE(),IF('FEMA Disasters'!$F$2:$F$1000=$A83,'FEMA Disasters'!$D$2:$D$1000&amp;" begin: ["&amp;'FEMA Disasters'!$B$2:$B$1000&amp;"] "&amp;'FEMA Disasters'!$C$2:$C$1000&amp;"-"&amp;'FEMA Disasters'!$A$2:$A$1000,""),IF('FEMA Disasters'!$G$2:$G$1000=$A83,'FEMA Disasters'!$D$2:$D$1000&amp;" ended: ["&amp;'FEMA Disasters'!$B$2:$B$1000&amp;"] "&amp;'FEMA Disasters'!$C$2:$C$1000&amp;"-"&amp;'FEMA Disasters'!$A$2:$A$1000,""),IF('FEMA Disasters'!$K$2:$K$1000=$A83,"Disaster SEP opens: "&amp;'FEMA Disasters'!$D$2:$D$1000&amp;" ["&amp;'FEMA Disasters'!$B$2:$B$1000&amp;"] "&amp;'FEMA Disasters'!$C$2:$C$1000&amp;"-"&amp;'FEMA Disasters'!$A$2:$A$1000,""),IF('FEMA Disasters'!$L$2:$L$1000=$A83,"Disaster SEP ended: "&amp;'FEMA Disasters'!$D$2:$D$1000&amp;" ["&amp;'FEMA Disasters'!$B$2:$B$1000&amp;"] "&amp;'FEMA Disasters'!$C$2:$C$1000&amp;"-"&amp;'FEMA Disasters'!$A$2:$A$1000,""))</f>
        <v/>
      </c>
      <c r="H83" s="4" t="n">
        <f aca="false">COUNTIF(Events!$A$2:$A$397,$A83)</f>
        <v>0</v>
      </c>
      <c r="I83" s="6" t="str">
        <f aca="false" t="array" ref="I83:I83">_xlfn.TEXTJOIN(" | ",TRUE(),IF(Events!$A$2:$A$397=$A83,Events!$E$2:$E$397&amp;IF(Events!$G$2:$G$397="National",""," ["&amp;Events!$G$2:$G$397&amp;"]"),""))</f>
        <v/>
      </c>
    </row>
    <row r="84" customFormat="false" ht="15" hidden="false" customHeight="true" outlineLevel="0" collapsed="false">
      <c r="A84" s="3" t="n">
        <v>45374</v>
      </c>
      <c r="B84" s="4" t="n">
        <f aca="false">YEAR($A84)</f>
        <v>2024</v>
      </c>
      <c r="C84" s="4" t="n">
        <f aca="false">MONTH($A84)</f>
        <v>3</v>
      </c>
      <c r="D84" s="4" t="str">
        <f aca="false">TEXT($A84,"ddd")</f>
        <v>Sat</v>
      </c>
      <c r="E84" s="4" t="n">
        <f aca="false">IF(OR(AND(MONTH($A84)=10,DAY($A84)&gt;=15),MONTH($A84)=11,AND(MONTH($A84)=12,DAY($A84)&lt;=7)),1,0)</f>
        <v>0</v>
      </c>
      <c r="F84" s="4" t="n">
        <f aca="false">IF(MONTH($A84)&lt;=3,1,0)</f>
        <v>1</v>
      </c>
      <c r="G84" s="4" t="str">
        <f aca="false" t="array" ref="G84:G84">_xlfn.TEXTJOIN(" | ",TRUE(),IF('FEMA Disasters'!$F$2:$F$1000=$A84,'FEMA Disasters'!$D$2:$D$1000&amp;" begin: ["&amp;'FEMA Disasters'!$B$2:$B$1000&amp;"] "&amp;'FEMA Disasters'!$C$2:$C$1000&amp;"-"&amp;'FEMA Disasters'!$A$2:$A$1000,""),IF('FEMA Disasters'!$G$2:$G$1000=$A84,'FEMA Disasters'!$D$2:$D$1000&amp;" ended: ["&amp;'FEMA Disasters'!$B$2:$B$1000&amp;"] "&amp;'FEMA Disasters'!$C$2:$C$1000&amp;"-"&amp;'FEMA Disasters'!$A$2:$A$1000,""),IF('FEMA Disasters'!$K$2:$K$1000=$A84,"Disaster SEP opens: "&amp;'FEMA Disasters'!$D$2:$D$1000&amp;" ["&amp;'FEMA Disasters'!$B$2:$B$1000&amp;"] "&amp;'FEMA Disasters'!$C$2:$C$1000&amp;"-"&amp;'FEMA Disasters'!$A$2:$A$1000,""),IF('FEMA Disasters'!$L$2:$L$1000=$A84,"Disaster SEP ended: "&amp;'FEMA Disasters'!$D$2:$D$1000&amp;" ["&amp;'FEMA Disasters'!$B$2:$B$1000&amp;"] "&amp;'FEMA Disasters'!$C$2:$C$1000&amp;"-"&amp;'FEMA Disasters'!$A$2:$A$1000,""))</f>
        <v/>
      </c>
      <c r="H84" s="4" t="n">
        <f aca="false">COUNTIF(Events!$A$2:$A$397,$A84)</f>
        <v>0</v>
      </c>
      <c r="I84" s="6" t="str">
        <f aca="false" t="array" ref="I84:I84">_xlfn.TEXTJOIN(" | ",TRUE(),IF(Events!$A$2:$A$397=$A84,Events!$E$2:$E$397&amp;IF(Events!$G$2:$G$397="National",""," ["&amp;Events!$G$2:$G$397&amp;"]"),""))</f>
        <v/>
      </c>
    </row>
    <row r="85" customFormat="false" ht="15" hidden="false" customHeight="true" outlineLevel="0" collapsed="false">
      <c r="A85" s="3" t="n">
        <v>45375</v>
      </c>
      <c r="B85" s="4" t="n">
        <f aca="false">YEAR($A85)</f>
        <v>2024</v>
      </c>
      <c r="C85" s="4" t="n">
        <f aca="false">MONTH($A85)</f>
        <v>3</v>
      </c>
      <c r="D85" s="4" t="str">
        <f aca="false">TEXT($A85,"ddd")</f>
        <v>Sun</v>
      </c>
      <c r="E85" s="4" t="n">
        <f aca="false">IF(OR(AND(MONTH($A85)=10,DAY($A85)&gt;=15),MONTH($A85)=11,AND(MONTH($A85)=12,DAY($A85)&lt;=7)),1,0)</f>
        <v>0</v>
      </c>
      <c r="F85" s="4" t="n">
        <f aca="false">IF(MONTH($A85)&lt;=3,1,0)</f>
        <v>1</v>
      </c>
      <c r="G85" s="4" t="str">
        <f aca="false" t="array" ref="G85:G85">_xlfn.TEXTJOIN(" | ",TRUE(),IF('FEMA Disasters'!$F$2:$F$1000=$A85,'FEMA Disasters'!$D$2:$D$1000&amp;" begin: ["&amp;'FEMA Disasters'!$B$2:$B$1000&amp;"] "&amp;'FEMA Disasters'!$C$2:$C$1000&amp;"-"&amp;'FEMA Disasters'!$A$2:$A$1000,""),IF('FEMA Disasters'!$G$2:$G$1000=$A85,'FEMA Disasters'!$D$2:$D$1000&amp;" ended: ["&amp;'FEMA Disasters'!$B$2:$B$1000&amp;"] "&amp;'FEMA Disasters'!$C$2:$C$1000&amp;"-"&amp;'FEMA Disasters'!$A$2:$A$1000,""),IF('FEMA Disasters'!$K$2:$K$1000=$A85,"Disaster SEP opens: "&amp;'FEMA Disasters'!$D$2:$D$1000&amp;" ["&amp;'FEMA Disasters'!$B$2:$B$1000&amp;"] "&amp;'FEMA Disasters'!$C$2:$C$1000&amp;"-"&amp;'FEMA Disasters'!$A$2:$A$1000,""),IF('FEMA Disasters'!$L$2:$L$1000=$A85,"Disaster SEP ended: "&amp;'FEMA Disasters'!$D$2:$D$1000&amp;" ["&amp;'FEMA Disasters'!$B$2:$B$1000&amp;"] "&amp;'FEMA Disasters'!$C$2:$C$1000&amp;"-"&amp;'FEMA Disasters'!$A$2:$A$1000,""))</f>
        <v/>
      </c>
      <c r="H85" s="4" t="n">
        <f aca="false">COUNTIF(Events!$A$2:$A$397,$A85)</f>
        <v>0</v>
      </c>
      <c r="I85" s="6" t="str">
        <f aca="false" t="array" ref="I85:I85">_xlfn.TEXTJOIN(" | ",TRUE(),IF(Events!$A$2:$A$397=$A85,Events!$E$2:$E$397&amp;IF(Events!$G$2:$G$397="National",""," ["&amp;Events!$G$2:$G$397&amp;"]"),""))</f>
        <v/>
      </c>
    </row>
    <row r="86" customFormat="false" ht="15" hidden="false" customHeight="true" outlineLevel="0" collapsed="false">
      <c r="A86" s="3" t="n">
        <v>45376</v>
      </c>
      <c r="B86" s="4" t="n">
        <f aca="false">YEAR($A86)</f>
        <v>2024</v>
      </c>
      <c r="C86" s="4" t="n">
        <f aca="false">MONTH($A86)</f>
        <v>3</v>
      </c>
      <c r="D86" s="4" t="str">
        <f aca="false">TEXT($A86,"ddd")</f>
        <v>Mon</v>
      </c>
      <c r="E86" s="4" t="n">
        <f aca="false">IF(OR(AND(MONTH($A86)=10,DAY($A86)&gt;=15),MONTH($A86)=11,AND(MONTH($A86)=12,DAY($A86)&lt;=7)),1,0)</f>
        <v>0</v>
      </c>
      <c r="F86" s="4" t="n">
        <f aca="false">IF(MONTH($A86)&lt;=3,1,0)</f>
        <v>1</v>
      </c>
      <c r="G86" s="4" t="str">
        <f aca="false" t="array" ref="G86:G86">_xlfn.TEXTJOIN(" | ",TRUE(),IF('FEMA Disasters'!$F$2:$F$1000=$A86,'FEMA Disasters'!$D$2:$D$1000&amp;" begin: ["&amp;'FEMA Disasters'!$B$2:$B$1000&amp;"] "&amp;'FEMA Disasters'!$C$2:$C$1000&amp;"-"&amp;'FEMA Disasters'!$A$2:$A$1000,""),IF('FEMA Disasters'!$G$2:$G$1000=$A86,'FEMA Disasters'!$D$2:$D$1000&amp;" ended: ["&amp;'FEMA Disasters'!$B$2:$B$1000&amp;"] "&amp;'FEMA Disasters'!$C$2:$C$1000&amp;"-"&amp;'FEMA Disasters'!$A$2:$A$1000,""),IF('FEMA Disasters'!$K$2:$K$1000=$A86,"Disaster SEP opens: "&amp;'FEMA Disasters'!$D$2:$D$1000&amp;" ["&amp;'FEMA Disasters'!$B$2:$B$1000&amp;"] "&amp;'FEMA Disasters'!$C$2:$C$1000&amp;"-"&amp;'FEMA Disasters'!$A$2:$A$1000,""),IF('FEMA Disasters'!$L$2:$L$1000=$A86,"Disaster SEP ended: "&amp;'FEMA Disasters'!$D$2:$D$1000&amp;" ["&amp;'FEMA Disasters'!$B$2:$B$1000&amp;"] "&amp;'FEMA Disasters'!$C$2:$C$1000&amp;"-"&amp;'FEMA Disasters'!$A$2:$A$1000,""))</f>
        <v/>
      </c>
      <c r="H86" s="4" t="n">
        <f aca="false">COUNTIF(Events!$A$2:$A$397,$A86)</f>
        <v>0</v>
      </c>
      <c r="I86" s="6" t="str">
        <f aca="false" t="array" ref="I86:I86">_xlfn.TEXTJOIN(" | ",TRUE(),IF(Events!$A$2:$A$397=$A86,Events!$E$2:$E$397&amp;IF(Events!$G$2:$G$397="National",""," ["&amp;Events!$G$2:$G$397&amp;"]"),""))</f>
        <v/>
      </c>
    </row>
    <row r="87" customFormat="false" ht="15" hidden="false" customHeight="true" outlineLevel="0" collapsed="false">
      <c r="A87" s="3" t="n">
        <v>45377</v>
      </c>
      <c r="B87" s="4" t="n">
        <f aca="false">YEAR($A87)</f>
        <v>2024</v>
      </c>
      <c r="C87" s="4" t="n">
        <f aca="false">MONTH($A87)</f>
        <v>3</v>
      </c>
      <c r="D87" s="4" t="str">
        <f aca="false">TEXT($A87,"ddd")</f>
        <v>Tue</v>
      </c>
      <c r="E87" s="4" t="n">
        <f aca="false">IF(OR(AND(MONTH($A87)=10,DAY($A87)&gt;=15),MONTH($A87)=11,AND(MONTH($A87)=12,DAY($A87)&lt;=7)),1,0)</f>
        <v>0</v>
      </c>
      <c r="F87" s="4" t="n">
        <f aca="false">IF(MONTH($A87)&lt;=3,1,0)</f>
        <v>1</v>
      </c>
      <c r="G87" s="4" t="str">
        <f aca="false" t="array" ref="G87:G87">_xlfn.TEXTJOIN(" | ",TRUE(),IF('FEMA Disasters'!$F$2:$F$1000=$A87,'FEMA Disasters'!$D$2:$D$1000&amp;" begin: ["&amp;'FEMA Disasters'!$B$2:$B$1000&amp;"] "&amp;'FEMA Disasters'!$C$2:$C$1000&amp;"-"&amp;'FEMA Disasters'!$A$2:$A$1000,""),IF('FEMA Disasters'!$G$2:$G$1000=$A87,'FEMA Disasters'!$D$2:$D$1000&amp;" ended: ["&amp;'FEMA Disasters'!$B$2:$B$1000&amp;"] "&amp;'FEMA Disasters'!$C$2:$C$1000&amp;"-"&amp;'FEMA Disasters'!$A$2:$A$1000,""),IF('FEMA Disasters'!$K$2:$K$1000=$A87,"Disaster SEP opens: "&amp;'FEMA Disasters'!$D$2:$D$1000&amp;" ["&amp;'FEMA Disasters'!$B$2:$B$1000&amp;"] "&amp;'FEMA Disasters'!$C$2:$C$1000&amp;"-"&amp;'FEMA Disasters'!$A$2:$A$1000,""),IF('FEMA Disasters'!$L$2:$L$1000=$A87,"Disaster SEP ended: "&amp;'FEMA Disasters'!$D$2:$D$1000&amp;" ["&amp;'FEMA Disasters'!$B$2:$B$1000&amp;"] "&amp;'FEMA Disasters'!$C$2:$C$1000&amp;"-"&amp;'FEMA Disasters'!$A$2:$A$1000,""))</f>
        <v/>
      </c>
      <c r="H87" s="4" t="n">
        <f aca="false">COUNTIF(Events!$A$2:$A$397,$A87)</f>
        <v>0</v>
      </c>
      <c r="I87" s="6" t="str">
        <f aca="false" t="array" ref="I87:I87">_xlfn.TEXTJOIN(" | ",TRUE(),IF(Events!$A$2:$A$397=$A87,Events!$E$2:$E$397&amp;IF(Events!$G$2:$G$397="National",""," ["&amp;Events!$G$2:$G$397&amp;"]"),""))</f>
        <v/>
      </c>
    </row>
    <row r="88" customFormat="false" ht="15" hidden="false" customHeight="true" outlineLevel="0" collapsed="false">
      <c r="A88" s="3" t="n">
        <v>45378</v>
      </c>
      <c r="B88" s="4" t="n">
        <f aca="false">YEAR($A88)</f>
        <v>2024</v>
      </c>
      <c r="C88" s="4" t="n">
        <f aca="false">MONTH($A88)</f>
        <v>3</v>
      </c>
      <c r="D88" s="4" t="str">
        <f aca="false">TEXT($A88,"ddd")</f>
        <v>Wed</v>
      </c>
      <c r="E88" s="4" t="n">
        <f aca="false">IF(OR(AND(MONTH($A88)=10,DAY($A88)&gt;=15),MONTH($A88)=11,AND(MONTH($A88)=12,DAY($A88)&lt;=7)),1,0)</f>
        <v>0</v>
      </c>
      <c r="F88" s="4" t="n">
        <f aca="false">IF(MONTH($A88)&lt;=3,1,0)</f>
        <v>1</v>
      </c>
      <c r="G88" s="4" t="str">
        <f aca="false" t="array" ref="G88:G88">_xlfn.TEXTJOIN(" | ",TRUE(),IF('FEMA Disasters'!$F$2:$F$1000=$A88,'FEMA Disasters'!$D$2:$D$1000&amp;" begin: ["&amp;'FEMA Disasters'!$B$2:$B$1000&amp;"] "&amp;'FEMA Disasters'!$C$2:$C$1000&amp;"-"&amp;'FEMA Disasters'!$A$2:$A$1000,""),IF('FEMA Disasters'!$G$2:$G$1000=$A88,'FEMA Disasters'!$D$2:$D$1000&amp;" ended: ["&amp;'FEMA Disasters'!$B$2:$B$1000&amp;"] "&amp;'FEMA Disasters'!$C$2:$C$1000&amp;"-"&amp;'FEMA Disasters'!$A$2:$A$1000,""),IF('FEMA Disasters'!$K$2:$K$1000=$A88,"Disaster SEP opens: "&amp;'FEMA Disasters'!$D$2:$D$1000&amp;" ["&amp;'FEMA Disasters'!$B$2:$B$1000&amp;"] "&amp;'FEMA Disasters'!$C$2:$C$1000&amp;"-"&amp;'FEMA Disasters'!$A$2:$A$1000,""),IF('FEMA Disasters'!$L$2:$L$1000=$A88,"Disaster SEP ended: "&amp;'FEMA Disasters'!$D$2:$D$1000&amp;" ["&amp;'FEMA Disasters'!$B$2:$B$1000&amp;"] "&amp;'FEMA Disasters'!$C$2:$C$1000&amp;"-"&amp;'FEMA Disasters'!$A$2:$A$1000,""))</f>
        <v/>
      </c>
      <c r="H88" s="4" t="n">
        <f aca="false">COUNTIF(Events!$A$2:$A$397,$A88)</f>
        <v>0</v>
      </c>
      <c r="I88" s="6" t="str">
        <f aca="false" t="array" ref="I88:I88">_xlfn.TEXTJOIN(" | ",TRUE(),IF(Events!$A$2:$A$397=$A88,Events!$E$2:$E$397&amp;IF(Events!$G$2:$G$397="National",""," ["&amp;Events!$G$2:$G$397&amp;"]"),""))</f>
        <v/>
      </c>
    </row>
    <row r="89" customFormat="false" ht="15" hidden="false" customHeight="true" outlineLevel="0" collapsed="false">
      <c r="A89" s="3" t="n">
        <v>45379</v>
      </c>
      <c r="B89" s="4" t="n">
        <f aca="false">YEAR($A89)</f>
        <v>2024</v>
      </c>
      <c r="C89" s="4" t="n">
        <f aca="false">MONTH($A89)</f>
        <v>3</v>
      </c>
      <c r="D89" s="4" t="str">
        <f aca="false">TEXT($A89,"ddd")</f>
        <v>Thu</v>
      </c>
      <c r="E89" s="4" t="n">
        <f aca="false">IF(OR(AND(MONTH($A89)=10,DAY($A89)&gt;=15),MONTH($A89)=11,AND(MONTH($A89)=12,DAY($A89)&lt;=7)),1,0)</f>
        <v>0</v>
      </c>
      <c r="F89" s="4" t="n">
        <f aca="false">IF(MONTH($A89)&lt;=3,1,0)</f>
        <v>1</v>
      </c>
      <c r="G89" s="4" t="str">
        <f aca="false" t="array" ref="G89:G89">_xlfn.TEXTJOIN(" | ",TRUE(),IF('FEMA Disasters'!$F$2:$F$1000=$A89,'FEMA Disasters'!$D$2:$D$1000&amp;" begin: ["&amp;'FEMA Disasters'!$B$2:$B$1000&amp;"] "&amp;'FEMA Disasters'!$C$2:$C$1000&amp;"-"&amp;'FEMA Disasters'!$A$2:$A$1000,""),IF('FEMA Disasters'!$G$2:$G$1000=$A89,'FEMA Disasters'!$D$2:$D$1000&amp;" ended: ["&amp;'FEMA Disasters'!$B$2:$B$1000&amp;"] "&amp;'FEMA Disasters'!$C$2:$C$1000&amp;"-"&amp;'FEMA Disasters'!$A$2:$A$1000,""),IF('FEMA Disasters'!$K$2:$K$1000=$A89,"Disaster SEP opens: "&amp;'FEMA Disasters'!$D$2:$D$1000&amp;" ["&amp;'FEMA Disasters'!$B$2:$B$1000&amp;"] "&amp;'FEMA Disasters'!$C$2:$C$1000&amp;"-"&amp;'FEMA Disasters'!$A$2:$A$1000,""),IF('FEMA Disasters'!$L$2:$L$1000=$A89,"Disaster SEP ended: "&amp;'FEMA Disasters'!$D$2:$D$1000&amp;" ["&amp;'FEMA Disasters'!$B$2:$B$1000&amp;"] "&amp;'FEMA Disasters'!$C$2:$C$1000&amp;"-"&amp;'FEMA Disasters'!$A$2:$A$1000,""))</f>
        <v/>
      </c>
      <c r="H89" s="4" t="n">
        <f aca="false">COUNTIF(Events!$A$2:$A$397,$A89)</f>
        <v>0</v>
      </c>
      <c r="I89" s="6" t="str">
        <f aca="false" t="array" ref="I89:I89">_xlfn.TEXTJOIN(" | ",TRUE(),IF(Events!$A$2:$A$397=$A89,Events!$E$2:$E$397&amp;IF(Events!$G$2:$G$397="National",""," ["&amp;Events!$G$2:$G$397&amp;"]"),""))</f>
        <v/>
      </c>
    </row>
    <row r="90" customFormat="false" ht="15" hidden="false" customHeight="true" outlineLevel="0" collapsed="false">
      <c r="A90" s="3" t="n">
        <v>45380</v>
      </c>
      <c r="B90" s="4" t="n">
        <f aca="false">YEAR($A90)</f>
        <v>2024</v>
      </c>
      <c r="C90" s="4" t="n">
        <f aca="false">MONTH($A90)</f>
        <v>3</v>
      </c>
      <c r="D90" s="4" t="str">
        <f aca="false">TEXT($A90,"ddd")</f>
        <v>Fri</v>
      </c>
      <c r="E90" s="4" t="n">
        <f aca="false">IF(OR(AND(MONTH($A90)=10,DAY($A90)&gt;=15),MONTH($A90)=11,AND(MONTH($A90)=12,DAY($A90)&lt;=7)),1,0)</f>
        <v>0</v>
      </c>
      <c r="F90" s="4" t="n">
        <f aca="false">IF(MONTH($A90)&lt;=3,1,0)</f>
        <v>1</v>
      </c>
      <c r="G90" s="4" t="str">
        <f aca="false" t="array" ref="G90:G90">_xlfn.TEXTJOIN(" | ",TRUE(),IF('FEMA Disasters'!$F$2:$F$1000=$A90,'FEMA Disasters'!$D$2:$D$1000&amp;" begin: ["&amp;'FEMA Disasters'!$B$2:$B$1000&amp;"] "&amp;'FEMA Disasters'!$C$2:$C$1000&amp;"-"&amp;'FEMA Disasters'!$A$2:$A$1000,""),IF('FEMA Disasters'!$G$2:$G$1000=$A90,'FEMA Disasters'!$D$2:$D$1000&amp;" ended: ["&amp;'FEMA Disasters'!$B$2:$B$1000&amp;"] "&amp;'FEMA Disasters'!$C$2:$C$1000&amp;"-"&amp;'FEMA Disasters'!$A$2:$A$1000,""),IF('FEMA Disasters'!$K$2:$K$1000=$A90,"Disaster SEP opens: "&amp;'FEMA Disasters'!$D$2:$D$1000&amp;" ["&amp;'FEMA Disasters'!$B$2:$B$1000&amp;"] "&amp;'FEMA Disasters'!$C$2:$C$1000&amp;"-"&amp;'FEMA Disasters'!$A$2:$A$1000,""),IF('FEMA Disasters'!$L$2:$L$1000=$A90,"Disaster SEP ended: "&amp;'FEMA Disasters'!$D$2:$D$1000&amp;" ["&amp;'FEMA Disasters'!$B$2:$B$1000&amp;"] "&amp;'FEMA Disasters'!$C$2:$C$1000&amp;"-"&amp;'FEMA Disasters'!$A$2:$A$1000,""))</f>
        <v/>
      </c>
      <c r="H90" s="4" t="n">
        <f aca="false">COUNTIF(Events!$A$2:$A$397,$A90)</f>
        <v>0</v>
      </c>
      <c r="I90" s="6" t="str">
        <f aca="false" t="array" ref="I90:I90">_xlfn.TEXTJOIN(" | ",TRUE(),IF(Events!$A$2:$A$397=$A90,Events!$E$2:$E$397&amp;IF(Events!$G$2:$G$397="National",""," ["&amp;Events!$G$2:$G$397&amp;"]"),""))</f>
        <v/>
      </c>
    </row>
    <row r="91" customFormat="false" ht="15" hidden="false" customHeight="true" outlineLevel="0" collapsed="false">
      <c r="A91" s="3" t="n">
        <v>45381</v>
      </c>
      <c r="B91" s="4" t="n">
        <f aca="false">YEAR($A91)</f>
        <v>2024</v>
      </c>
      <c r="C91" s="4" t="n">
        <f aca="false">MONTH($A91)</f>
        <v>3</v>
      </c>
      <c r="D91" s="4" t="str">
        <f aca="false">TEXT($A91,"ddd")</f>
        <v>Sat</v>
      </c>
      <c r="E91" s="4" t="n">
        <f aca="false">IF(OR(AND(MONTH($A91)=10,DAY($A91)&gt;=15),MONTH($A91)=11,AND(MONTH($A91)=12,DAY($A91)&lt;=7)),1,0)</f>
        <v>0</v>
      </c>
      <c r="F91" s="4" t="n">
        <f aca="false">IF(MONTH($A91)&lt;=3,1,0)</f>
        <v>1</v>
      </c>
      <c r="G91" s="4" t="str">
        <f aca="false" t="array" ref="G91:G91">_xlfn.TEXTJOIN(" | ",TRUE(),IF('FEMA Disasters'!$F$2:$F$1000=$A91,'FEMA Disasters'!$D$2:$D$1000&amp;" begin: ["&amp;'FEMA Disasters'!$B$2:$B$1000&amp;"] "&amp;'FEMA Disasters'!$C$2:$C$1000&amp;"-"&amp;'FEMA Disasters'!$A$2:$A$1000,""),IF('FEMA Disasters'!$G$2:$G$1000=$A91,'FEMA Disasters'!$D$2:$D$1000&amp;" ended: ["&amp;'FEMA Disasters'!$B$2:$B$1000&amp;"] "&amp;'FEMA Disasters'!$C$2:$C$1000&amp;"-"&amp;'FEMA Disasters'!$A$2:$A$1000,""),IF('FEMA Disasters'!$K$2:$K$1000=$A91,"Disaster SEP opens: "&amp;'FEMA Disasters'!$D$2:$D$1000&amp;" ["&amp;'FEMA Disasters'!$B$2:$B$1000&amp;"] "&amp;'FEMA Disasters'!$C$2:$C$1000&amp;"-"&amp;'FEMA Disasters'!$A$2:$A$1000,""),IF('FEMA Disasters'!$L$2:$L$1000=$A91,"Disaster SEP ended: "&amp;'FEMA Disasters'!$D$2:$D$1000&amp;" ["&amp;'FEMA Disasters'!$B$2:$B$1000&amp;"] "&amp;'FEMA Disasters'!$C$2:$C$1000&amp;"-"&amp;'FEMA Disasters'!$A$2:$A$1000,""))</f>
        <v/>
      </c>
      <c r="H91" s="4" t="n">
        <f aca="false">COUNTIF(Events!$A$2:$A$397,$A91)</f>
        <v>0</v>
      </c>
      <c r="I91" s="6" t="str">
        <f aca="false" t="array" ref="I91:I91">_xlfn.TEXTJOIN(" | ",TRUE(),IF(Events!$A$2:$A$397=$A91,Events!$E$2:$E$397&amp;IF(Events!$G$2:$G$397="National",""," ["&amp;Events!$G$2:$G$397&amp;"]"),""))</f>
        <v/>
      </c>
    </row>
    <row r="92" customFormat="false" ht="14.25" hidden="false" customHeight="true" outlineLevel="0" collapsed="false">
      <c r="A92" s="3" t="n">
        <v>45382</v>
      </c>
      <c r="B92" s="4" t="n">
        <f aca="false">YEAR($A92)</f>
        <v>2024</v>
      </c>
      <c r="C92" s="4" t="n">
        <f aca="false">MONTH($A92)</f>
        <v>3</v>
      </c>
      <c r="D92" s="4" t="str">
        <f aca="false">TEXT($A92,"ddd")</f>
        <v>Sun</v>
      </c>
      <c r="E92" s="4" t="n">
        <f aca="false">IF(OR(AND(MONTH($A92)=10,DAY($A92)&gt;=15),MONTH($A92)=11,AND(MONTH($A92)=12,DAY($A92)&lt;=7)),1,0)</f>
        <v>0</v>
      </c>
      <c r="F92" s="4" t="n">
        <f aca="false">IF(MONTH($A92)&lt;=3,1,0)</f>
        <v>1</v>
      </c>
      <c r="G92" s="4" t="str">
        <f aca="false" t="array" ref="G92:G92">_xlfn.TEXTJOIN(" | ",TRUE(),IF('FEMA Disasters'!$F$2:$F$1000=$A92,'FEMA Disasters'!$D$2:$D$1000&amp;" begin: ["&amp;'FEMA Disasters'!$B$2:$B$1000&amp;"] "&amp;'FEMA Disasters'!$C$2:$C$1000&amp;"-"&amp;'FEMA Disasters'!$A$2:$A$1000,""),IF('FEMA Disasters'!$G$2:$G$1000=$A92,'FEMA Disasters'!$D$2:$D$1000&amp;" ended: ["&amp;'FEMA Disasters'!$B$2:$B$1000&amp;"] "&amp;'FEMA Disasters'!$C$2:$C$1000&amp;"-"&amp;'FEMA Disasters'!$A$2:$A$1000,""),IF('FEMA Disasters'!$K$2:$K$1000=$A92,"Disaster SEP opens: "&amp;'FEMA Disasters'!$D$2:$D$1000&amp;" ["&amp;'FEMA Disasters'!$B$2:$B$1000&amp;"] "&amp;'FEMA Disasters'!$C$2:$C$1000&amp;"-"&amp;'FEMA Disasters'!$A$2:$A$1000,""),IF('FEMA Disasters'!$L$2:$L$1000=$A92,"Disaster SEP ended: "&amp;'FEMA Disasters'!$D$2:$D$1000&amp;" ["&amp;'FEMA Disasters'!$B$2:$B$1000&amp;"] "&amp;'FEMA Disasters'!$C$2:$C$1000&amp;"-"&amp;'FEMA Disasters'!$A$2:$A$1000,""))</f>
        <v>Disaster SEP ended: Severe Storm [WA] DR-4775 | Disaster SEP ended: Winter Storm [KS] DR-4774 | Disaster SEP ended: Severe Storm [ME] DR-4764 | Disaster SEP ended: Severe Storm [RI] DR-4766 | Disaster SEP ended: Severe Storm [VT] DR-4770 | Disaster SEP ended: Severe Storm [NH] DR-4771 | Disaster SEP ended: Severe Storm [CT] EM-3604 | Disaster SEP ended: Severe Storm [OR] DR-4768 | Disaster SEP ended: Flood [CA] DR-4758 | Disaster SEP ended: Severe Storm [CA] DR-4773 | Disaster SEP ended: Severe Storm [CA] DR-4769 | Disaster SEP ended: Severe Storm [CA] DR-4772</v>
      </c>
      <c r="H92" s="4" t="n">
        <f aca="false">COUNTIF(Events!$A$2:$A$397,$A92)</f>
        <v>0</v>
      </c>
      <c r="I92" s="6" t="str">
        <f aca="false" t="array" ref="I92:I92">_xlfn.TEXTJOIN(" | ",TRUE(),IF(Events!$A$2:$A$397=$A92,Events!$E$2:$E$397&amp;IF(Events!$G$2:$G$397="National",""," ["&amp;Events!$G$2:$G$397&amp;"]"),""))</f>
        <v/>
      </c>
    </row>
    <row r="93" customFormat="false" ht="15" hidden="false" customHeight="true" outlineLevel="0" collapsed="false">
      <c r="A93" s="3" t="n">
        <v>45383</v>
      </c>
      <c r="B93" s="4" t="n">
        <f aca="false">YEAR($A93)</f>
        <v>2024</v>
      </c>
      <c r="C93" s="4" t="n">
        <f aca="false">MONTH($A93)</f>
        <v>4</v>
      </c>
      <c r="D93" s="4" t="str">
        <f aca="false">TEXT($A93,"ddd")</f>
        <v>Mon</v>
      </c>
      <c r="E93" s="4" t="n">
        <f aca="false">IF(OR(AND(MONTH($A93)=10,DAY($A93)&gt;=15),MONTH($A93)=11,AND(MONTH($A93)=12,DAY($A93)&lt;=7)),1,0)</f>
        <v>0</v>
      </c>
      <c r="F93" s="4" t="n">
        <f aca="false">IF(MONTH($A93)&lt;=3,1,0)</f>
        <v>0</v>
      </c>
      <c r="G93" s="4" t="str">
        <f aca="false" t="array" ref="G93:G93">_xlfn.TEXTJOIN(" | ",TRUE(),IF('FEMA Disasters'!$F$2:$F$1000=$A93,'FEMA Disasters'!$D$2:$D$1000&amp;" begin: ["&amp;'FEMA Disasters'!$B$2:$B$1000&amp;"] "&amp;'FEMA Disasters'!$C$2:$C$1000&amp;"-"&amp;'FEMA Disasters'!$A$2:$A$1000,""),IF('FEMA Disasters'!$G$2:$G$1000=$A93,'FEMA Disasters'!$D$2:$D$1000&amp;" ended: ["&amp;'FEMA Disasters'!$B$2:$B$1000&amp;"] "&amp;'FEMA Disasters'!$C$2:$C$1000&amp;"-"&amp;'FEMA Disasters'!$A$2:$A$1000,""),IF('FEMA Disasters'!$K$2:$K$1000=$A93,"Disaster SEP opens: "&amp;'FEMA Disasters'!$D$2:$D$1000&amp;" ["&amp;'FEMA Disasters'!$B$2:$B$1000&amp;"] "&amp;'FEMA Disasters'!$C$2:$C$1000&amp;"-"&amp;'FEMA Disasters'!$A$2:$A$1000,""),IF('FEMA Disasters'!$L$2:$L$1000=$A93,"Disaster SEP ended: "&amp;'FEMA Disasters'!$D$2:$D$1000&amp;" ["&amp;'FEMA Disasters'!$B$2:$B$1000&amp;"] "&amp;'FEMA Disasters'!$C$2:$C$1000&amp;"-"&amp;'FEMA Disasters'!$A$2:$A$1000,""))</f>
        <v/>
      </c>
      <c r="H93" s="4" t="n">
        <f aca="false">COUNTIF(Events!$A$2:$A$397,$A93)</f>
        <v>1</v>
      </c>
      <c r="I93" s="6" t="str">
        <f aca="false" t="array" ref="I93:I93">_xlfn.TEXTJOIN(" | ",TRUE(),IF(Events!$A$2:$A$397=$A93,Events!$E$2:$E$397&amp;IF(Events!$G$2:$G$397="National",""," ["&amp;Events!$G$2:$G$397&amp;"]"),""))</f>
        <v>CY2025 Rate Announcement: final MA capitation rates (+3.70% avg) and Part C/D payment policies</v>
      </c>
    </row>
    <row r="94" customFormat="false" ht="15" hidden="false" customHeight="true" outlineLevel="0" collapsed="false">
      <c r="A94" s="3" t="n">
        <v>45384</v>
      </c>
      <c r="B94" s="4" t="n">
        <f aca="false">YEAR($A94)</f>
        <v>2024</v>
      </c>
      <c r="C94" s="4" t="n">
        <f aca="false">MONTH($A94)</f>
        <v>4</v>
      </c>
      <c r="D94" s="4" t="str">
        <f aca="false">TEXT($A94,"ddd")</f>
        <v>Tue</v>
      </c>
      <c r="E94" s="4" t="n">
        <f aca="false">IF(OR(AND(MONTH($A94)=10,DAY($A94)&gt;=15),MONTH($A94)=11,AND(MONTH($A94)=12,DAY($A94)&lt;=7)),1,0)</f>
        <v>0</v>
      </c>
      <c r="F94" s="4" t="n">
        <f aca="false">IF(MONTH($A94)&lt;=3,1,0)</f>
        <v>0</v>
      </c>
      <c r="G94" s="4" t="str">
        <f aca="false" t="array" ref="G94:G94">_xlfn.TEXTJOIN(" | ",TRUE(),IF('FEMA Disasters'!$F$2:$F$1000=$A94,'FEMA Disasters'!$D$2:$D$1000&amp;" begin: ["&amp;'FEMA Disasters'!$B$2:$B$1000&amp;"] "&amp;'FEMA Disasters'!$C$2:$C$1000&amp;"-"&amp;'FEMA Disasters'!$A$2:$A$1000,""),IF('FEMA Disasters'!$G$2:$G$1000=$A94,'FEMA Disasters'!$D$2:$D$1000&amp;" ended: ["&amp;'FEMA Disasters'!$B$2:$B$1000&amp;"] "&amp;'FEMA Disasters'!$C$2:$C$1000&amp;"-"&amp;'FEMA Disasters'!$A$2:$A$1000,""),IF('FEMA Disasters'!$K$2:$K$1000=$A94,"Disaster SEP opens: "&amp;'FEMA Disasters'!$D$2:$D$1000&amp;" ["&amp;'FEMA Disasters'!$B$2:$B$1000&amp;"] "&amp;'FEMA Disasters'!$C$2:$C$1000&amp;"-"&amp;'FEMA Disasters'!$A$2:$A$1000,""),IF('FEMA Disasters'!$L$2:$L$1000=$A94,"Disaster SEP ended: "&amp;'FEMA Disasters'!$D$2:$D$1000&amp;" ["&amp;'FEMA Disasters'!$B$2:$B$1000&amp;"] "&amp;'FEMA Disasters'!$C$2:$C$1000&amp;"-"&amp;'FEMA Disasters'!$A$2:$A$1000,""))</f>
        <v>Severe Storm begin: [KY] DR-4782 | Severe Storm begin: [WV] DR-4783 | Severe Storm ended: [KY] DR-4782 | Disaster SEP opens: Severe Storm [KY] DR-4782 | Disaster SEP opens: Severe Storm [WV] DR-4783</v>
      </c>
      <c r="H94" s="4" t="n">
        <f aca="false">COUNTIF(Events!$A$2:$A$397,$A94)</f>
        <v>0</v>
      </c>
      <c r="I94" s="6" t="str">
        <f aca="false" t="array" ref="I94:I94">_xlfn.TEXTJOIN(" | ",TRUE(),IF(Events!$A$2:$A$397=$A94,Events!$E$2:$E$397&amp;IF(Events!$G$2:$G$397="National",""," ["&amp;Events!$G$2:$G$397&amp;"]"),""))</f>
        <v/>
      </c>
    </row>
    <row r="95" customFormat="false" ht="15" hidden="false" customHeight="true" outlineLevel="0" collapsed="false">
      <c r="A95" s="3" t="n">
        <v>45385</v>
      </c>
      <c r="B95" s="4" t="n">
        <f aca="false">YEAR($A95)</f>
        <v>2024</v>
      </c>
      <c r="C95" s="4" t="n">
        <f aca="false">MONTH($A95)</f>
        <v>4</v>
      </c>
      <c r="D95" s="4" t="str">
        <f aca="false">TEXT($A95,"ddd")</f>
        <v>Wed</v>
      </c>
      <c r="E95" s="4" t="n">
        <f aca="false">IF(OR(AND(MONTH($A95)=10,DAY($A95)&gt;=15),MONTH($A95)=11,AND(MONTH($A95)=12,DAY($A95)&lt;=7)),1,0)</f>
        <v>0</v>
      </c>
      <c r="F95" s="4" t="n">
        <f aca="false">IF(MONTH($A95)&lt;=3,1,0)</f>
        <v>0</v>
      </c>
      <c r="G95" s="4" t="str">
        <f aca="false" t="array" ref="G95:G95">_xlfn.TEXTJOIN(" | ",TRUE(),IF('FEMA Disasters'!$F$2:$F$1000=$A95,'FEMA Disasters'!$D$2:$D$1000&amp;" begin: ["&amp;'FEMA Disasters'!$B$2:$B$1000&amp;"] "&amp;'FEMA Disasters'!$C$2:$C$1000&amp;"-"&amp;'FEMA Disasters'!$A$2:$A$1000,""),IF('FEMA Disasters'!$G$2:$G$1000=$A95,'FEMA Disasters'!$D$2:$D$1000&amp;" ended: ["&amp;'FEMA Disasters'!$B$2:$B$1000&amp;"] "&amp;'FEMA Disasters'!$C$2:$C$1000&amp;"-"&amp;'FEMA Disasters'!$A$2:$A$1000,""),IF('FEMA Disasters'!$K$2:$K$1000=$A95,"Disaster SEP opens: "&amp;'FEMA Disasters'!$D$2:$D$1000&amp;" ["&amp;'FEMA Disasters'!$B$2:$B$1000&amp;"] "&amp;'FEMA Disasters'!$C$2:$C$1000&amp;"-"&amp;'FEMA Disasters'!$A$2:$A$1000,""),IF('FEMA Disasters'!$L$2:$L$1000=$A95,"Disaster SEP ended: "&amp;'FEMA Disasters'!$D$2:$D$1000&amp;" ["&amp;'FEMA Disasters'!$B$2:$B$1000&amp;"] "&amp;'FEMA Disasters'!$C$2:$C$1000&amp;"-"&amp;'FEMA Disasters'!$A$2:$A$1000,""))</f>
        <v>Winter Storm begin: [ME] DR-4785 | Winter Storm begin: [NH] DR-4799 | Disaster SEP opens: Winter Storm [ME] DR-4785 | Disaster SEP opens: Winter Storm [NH] DR-4799</v>
      </c>
      <c r="H95" s="4" t="n">
        <f aca="false">COUNTIF(Events!$A$2:$A$397,$A95)</f>
        <v>0</v>
      </c>
      <c r="I95" s="6" t="str">
        <f aca="false" t="array" ref="I95:I95">_xlfn.TEXTJOIN(" | ",TRUE(),IF(Events!$A$2:$A$397=$A95,Events!$E$2:$E$397&amp;IF(Events!$G$2:$G$397="National",""," ["&amp;Events!$G$2:$G$397&amp;"]"),""))</f>
        <v/>
      </c>
    </row>
    <row r="96" customFormat="false" ht="15" hidden="false" customHeight="true" outlineLevel="0" collapsed="false">
      <c r="A96" s="3" t="n">
        <v>45386</v>
      </c>
      <c r="B96" s="4" t="n">
        <f aca="false">YEAR($A96)</f>
        <v>2024</v>
      </c>
      <c r="C96" s="4" t="n">
        <f aca="false">MONTH($A96)</f>
        <v>4</v>
      </c>
      <c r="D96" s="4" t="str">
        <f aca="false">TEXT($A96,"ddd")</f>
        <v>Thu</v>
      </c>
      <c r="E96" s="4" t="n">
        <f aca="false">IF(OR(AND(MONTH($A96)=10,DAY($A96)&gt;=15),MONTH($A96)=11,AND(MONTH($A96)=12,DAY($A96)&lt;=7)),1,0)</f>
        <v>0</v>
      </c>
      <c r="F96" s="4" t="n">
        <f aca="false">IF(MONTH($A96)&lt;=3,1,0)</f>
        <v>0</v>
      </c>
      <c r="G96" s="4" t="str">
        <f aca="false" t="array" ref="G96:G96">_xlfn.TEXTJOIN(" | ",TRUE(),IF('FEMA Disasters'!$F$2:$F$1000=$A96,'FEMA Disasters'!$D$2:$D$1000&amp;" begin: ["&amp;'FEMA Disasters'!$B$2:$B$1000&amp;"] "&amp;'FEMA Disasters'!$C$2:$C$1000&amp;"-"&amp;'FEMA Disasters'!$A$2:$A$1000,""),IF('FEMA Disasters'!$G$2:$G$1000=$A96,'FEMA Disasters'!$D$2:$D$1000&amp;" ended: ["&amp;'FEMA Disasters'!$B$2:$B$1000&amp;"] "&amp;'FEMA Disasters'!$C$2:$C$1000&amp;"-"&amp;'FEMA Disasters'!$A$2:$A$1000,""),IF('FEMA Disasters'!$K$2:$K$1000=$A96,"Disaster SEP opens: "&amp;'FEMA Disasters'!$D$2:$D$1000&amp;" ["&amp;'FEMA Disasters'!$B$2:$B$1000&amp;"] "&amp;'FEMA Disasters'!$C$2:$C$1000&amp;"-"&amp;'FEMA Disasters'!$A$2:$A$1000,""),IF('FEMA Disasters'!$L$2:$L$1000=$A96,"Disaster SEP ended: "&amp;'FEMA Disasters'!$D$2:$D$1000&amp;" ["&amp;'FEMA Disasters'!$B$2:$B$1000&amp;"] "&amp;'FEMA Disasters'!$C$2:$C$1000&amp;"-"&amp;'FEMA Disasters'!$A$2:$A$1000,""))</f>
        <v/>
      </c>
      <c r="H96" s="4" t="n">
        <f aca="false">COUNTIF(Events!$A$2:$A$397,$A96)</f>
        <v>1</v>
      </c>
      <c r="I96" s="6" t="str">
        <f aca="false" t="array" ref="I96:I96">_xlfn.TEXTJOIN(" | ",TRUE(),IF(Events!$A$2:$A$397=$A96,Events!$E$2:$E$397&amp;IF(Events!$G$2:$G$397="National",""," ["&amp;Events!$G$2:$G$397&amp;"]"),""))</f>
        <v>CY2025 MA &amp; Part D Final Rule (CMS-4205-F): fixed agent/broker compensation (+$100 initial), TPMO one-to-one consent for data sharing, mid-year unused-benefits notice, SSBCI evidence requirements, dual/LIS SEP overhaul, D-SNP look-alike threshold phase-down, behavioral health network adequacy || C-SNP: this rule created both main C-SNP push factors - the look-alike phase-down (70% for 2025, 60% for 2026) and the dual/LIS SEP overhaul - while C-SNPs are exempt from both.</v>
      </c>
    </row>
    <row r="97" customFormat="false" ht="15" hidden="false" customHeight="true" outlineLevel="0" collapsed="false">
      <c r="A97" s="3" t="n">
        <v>45387</v>
      </c>
      <c r="B97" s="4" t="n">
        <f aca="false">YEAR($A97)</f>
        <v>2024</v>
      </c>
      <c r="C97" s="4" t="n">
        <f aca="false">MONTH($A97)</f>
        <v>4</v>
      </c>
      <c r="D97" s="4" t="str">
        <f aca="false">TEXT($A97,"ddd")</f>
        <v>Fri</v>
      </c>
      <c r="E97" s="4" t="n">
        <f aca="false">IF(OR(AND(MONTH($A97)=10,DAY($A97)&gt;=15),MONTH($A97)=11,AND(MONTH($A97)=12,DAY($A97)&lt;=7)),1,0)</f>
        <v>0</v>
      </c>
      <c r="F97" s="4" t="n">
        <f aca="false">IF(MONTH($A97)&lt;=3,1,0)</f>
        <v>0</v>
      </c>
      <c r="G97" s="4" t="str">
        <f aca="false" t="array" ref="G97:G97">_xlfn.TEXTJOIN(" | ",TRUE(),IF('FEMA Disasters'!$F$2:$F$1000=$A97,'FEMA Disasters'!$D$2:$D$1000&amp;" begin: ["&amp;'FEMA Disasters'!$B$2:$B$1000&amp;"] "&amp;'FEMA Disasters'!$C$2:$C$1000&amp;"-"&amp;'FEMA Disasters'!$A$2:$A$1000,""),IF('FEMA Disasters'!$G$2:$G$1000=$A97,'FEMA Disasters'!$D$2:$D$1000&amp;" ended: ["&amp;'FEMA Disasters'!$B$2:$B$1000&amp;"] "&amp;'FEMA Disasters'!$C$2:$C$1000&amp;"-"&amp;'FEMA Disasters'!$A$2:$A$1000,""),IF('FEMA Disasters'!$K$2:$K$1000=$A97,"Disaster SEP opens: "&amp;'FEMA Disasters'!$D$2:$D$1000&amp;" ["&amp;'FEMA Disasters'!$B$2:$B$1000&amp;"] "&amp;'FEMA Disasters'!$C$2:$C$1000&amp;"-"&amp;'FEMA Disasters'!$A$2:$A$1000,""),IF('FEMA Disasters'!$L$2:$L$1000=$A97,"Disaster SEP ended: "&amp;'FEMA Disasters'!$D$2:$D$1000&amp;" ["&amp;'FEMA Disasters'!$B$2:$B$1000&amp;"] "&amp;'FEMA Disasters'!$C$2:$C$1000&amp;"-"&amp;'FEMA Disasters'!$A$2:$A$1000,""))</f>
        <v>Winter Storm ended: [ME] DR-4785 | Winter Storm ended: [NH] DR-4799</v>
      </c>
      <c r="H97" s="4" t="n">
        <f aca="false">COUNTIF(Events!$A$2:$A$397,$A97)</f>
        <v>0</v>
      </c>
      <c r="I97" s="6" t="str">
        <f aca="false" t="array" ref="I97:I97">_xlfn.TEXTJOIN(" | ",TRUE(),IF(Events!$A$2:$A$397=$A97,Events!$E$2:$E$397&amp;IF(Events!$G$2:$G$397="National",""," ["&amp;Events!$G$2:$G$397&amp;"]"),""))</f>
        <v/>
      </c>
    </row>
    <row r="98" customFormat="false" ht="15" hidden="false" customHeight="true" outlineLevel="0" collapsed="false">
      <c r="A98" s="3" t="n">
        <v>45388</v>
      </c>
      <c r="B98" s="4" t="n">
        <f aca="false">YEAR($A98)</f>
        <v>2024</v>
      </c>
      <c r="C98" s="4" t="n">
        <f aca="false">MONTH($A98)</f>
        <v>4</v>
      </c>
      <c r="D98" s="4" t="str">
        <f aca="false">TEXT($A98,"ddd")</f>
        <v>Sat</v>
      </c>
      <c r="E98" s="4" t="n">
        <f aca="false">IF(OR(AND(MONTH($A98)=10,DAY($A98)&gt;=15),MONTH($A98)=11,AND(MONTH($A98)=12,DAY($A98)&lt;=7)),1,0)</f>
        <v>0</v>
      </c>
      <c r="F98" s="4" t="n">
        <f aca="false">IF(MONTH($A98)&lt;=3,1,0)</f>
        <v>0</v>
      </c>
      <c r="G98" s="4" t="str">
        <f aca="false" t="array" ref="G98:G98">_xlfn.TEXTJOIN(" | ",TRUE(),IF('FEMA Disasters'!$F$2:$F$1000=$A98,'FEMA Disasters'!$D$2:$D$1000&amp;" begin: ["&amp;'FEMA Disasters'!$B$2:$B$1000&amp;"] "&amp;'FEMA Disasters'!$C$2:$C$1000&amp;"-"&amp;'FEMA Disasters'!$A$2:$A$1000,""),IF('FEMA Disasters'!$G$2:$G$1000=$A98,'FEMA Disasters'!$D$2:$D$1000&amp;" ended: ["&amp;'FEMA Disasters'!$B$2:$B$1000&amp;"] "&amp;'FEMA Disasters'!$C$2:$C$1000&amp;"-"&amp;'FEMA Disasters'!$A$2:$A$1000,""),IF('FEMA Disasters'!$K$2:$K$1000=$A98,"Disaster SEP opens: "&amp;'FEMA Disasters'!$D$2:$D$1000&amp;" ["&amp;'FEMA Disasters'!$B$2:$B$1000&amp;"] "&amp;'FEMA Disasters'!$C$2:$C$1000&amp;"-"&amp;'FEMA Disasters'!$A$2:$A$1000,""),IF('FEMA Disasters'!$L$2:$L$1000=$A98,"Disaster SEP ended: "&amp;'FEMA Disasters'!$D$2:$D$1000&amp;" ["&amp;'FEMA Disasters'!$B$2:$B$1000&amp;"] "&amp;'FEMA Disasters'!$C$2:$C$1000&amp;"-"&amp;'FEMA Disasters'!$A$2:$A$1000,""))</f>
        <v>Severe Storm begin: [NE] DR-4786 | Fire begin: [OK] FM-5491 | Severe Storm ended: [WV] DR-4783 | Disaster SEP opens: Severe Storm [NE] DR-4786</v>
      </c>
      <c r="H98" s="4" t="n">
        <f aca="false">COUNTIF(Events!$A$2:$A$397,$A98)</f>
        <v>0</v>
      </c>
      <c r="I98" s="6" t="str">
        <f aca="false" t="array" ref="I98:I98">_xlfn.TEXTJOIN(" | ",TRUE(),IF(Events!$A$2:$A$397=$A98,Events!$E$2:$E$397&amp;IF(Events!$G$2:$G$397="National",""," ["&amp;Events!$G$2:$G$397&amp;"]"),""))</f>
        <v/>
      </c>
    </row>
    <row r="99" customFormat="false" ht="15" hidden="false" customHeight="true" outlineLevel="0" collapsed="false">
      <c r="A99" s="3" t="n">
        <v>45389</v>
      </c>
      <c r="B99" s="4" t="n">
        <f aca="false">YEAR($A99)</f>
        <v>2024</v>
      </c>
      <c r="C99" s="4" t="n">
        <f aca="false">MONTH($A99)</f>
        <v>4</v>
      </c>
      <c r="D99" s="4" t="str">
        <f aca="false">TEXT($A99,"ddd")</f>
        <v>Sun</v>
      </c>
      <c r="E99" s="4" t="n">
        <f aca="false">IF(OR(AND(MONTH($A99)=10,DAY($A99)&gt;=15),MONTH($A99)=11,AND(MONTH($A99)=12,DAY($A99)&lt;=7)),1,0)</f>
        <v>0</v>
      </c>
      <c r="F99" s="4" t="n">
        <f aca="false">IF(MONTH($A99)&lt;=3,1,0)</f>
        <v>0</v>
      </c>
      <c r="G99" s="4" t="str">
        <f aca="false" t="array" ref="G99:G99">_xlfn.TEXTJOIN(" | ",TRUE(),IF('FEMA Disasters'!$F$2:$F$1000=$A99,'FEMA Disasters'!$D$2:$D$1000&amp;" begin: ["&amp;'FEMA Disasters'!$B$2:$B$1000&amp;"] "&amp;'FEMA Disasters'!$C$2:$C$1000&amp;"-"&amp;'FEMA Disasters'!$A$2:$A$1000,""),IF('FEMA Disasters'!$G$2:$G$1000=$A99,'FEMA Disasters'!$D$2:$D$1000&amp;" ended: ["&amp;'FEMA Disasters'!$B$2:$B$1000&amp;"] "&amp;'FEMA Disasters'!$C$2:$C$1000&amp;"-"&amp;'FEMA Disasters'!$A$2:$A$1000,""),IF('FEMA Disasters'!$K$2:$K$1000=$A99,"Disaster SEP opens: "&amp;'FEMA Disasters'!$D$2:$D$1000&amp;" ["&amp;'FEMA Disasters'!$B$2:$B$1000&amp;"] "&amp;'FEMA Disasters'!$C$2:$C$1000&amp;"-"&amp;'FEMA Disasters'!$A$2:$A$1000,""),IF('FEMA Disasters'!$L$2:$L$1000=$A99,"Disaster SEP ended: "&amp;'FEMA Disasters'!$D$2:$D$1000&amp;" ["&amp;'FEMA Disasters'!$B$2:$B$1000&amp;"] "&amp;'FEMA Disasters'!$C$2:$C$1000&amp;"-"&amp;'FEMA Disasters'!$A$2:$A$1000,""))</f>
        <v>Severe Storm ended: [NE] DR-4786</v>
      </c>
      <c r="H99" s="4" t="n">
        <f aca="false">COUNTIF(Events!$A$2:$A$397,$A99)</f>
        <v>0</v>
      </c>
      <c r="I99" s="6" t="str">
        <f aca="false" t="array" ref="I99:I99">_xlfn.TEXTJOIN(" | ",TRUE(),IF(Events!$A$2:$A$397=$A99,Events!$E$2:$E$397&amp;IF(Events!$G$2:$G$397="National",""," ["&amp;Events!$G$2:$G$397&amp;"]"),""))</f>
        <v/>
      </c>
    </row>
    <row r="100" customFormat="false" ht="15" hidden="false" customHeight="true" outlineLevel="0" collapsed="false">
      <c r="A100" s="3" t="n">
        <v>45390</v>
      </c>
      <c r="B100" s="4" t="n">
        <f aca="false">YEAR($A100)</f>
        <v>2024</v>
      </c>
      <c r="C100" s="4" t="n">
        <f aca="false">MONTH($A100)</f>
        <v>4</v>
      </c>
      <c r="D100" s="4" t="str">
        <f aca="false">TEXT($A100,"ddd")</f>
        <v>Mon</v>
      </c>
      <c r="E100" s="4" t="n">
        <f aca="false">IF(OR(AND(MONTH($A100)=10,DAY($A100)&gt;=15),MONTH($A100)=11,AND(MONTH($A100)=12,DAY($A100)&lt;=7)),1,0)</f>
        <v>0</v>
      </c>
      <c r="F100" s="4" t="n">
        <f aca="false">IF(MONTH($A100)&lt;=3,1,0)</f>
        <v>0</v>
      </c>
      <c r="G100" s="4" t="str">
        <f aca="false" t="array" ref="G100:G100">_xlfn.TEXTJOIN(" | ",TRUE(),IF('FEMA Disasters'!$F$2:$F$1000=$A100,'FEMA Disasters'!$D$2:$D$1000&amp;" begin: ["&amp;'FEMA Disasters'!$B$2:$B$1000&amp;"] "&amp;'FEMA Disasters'!$C$2:$C$1000&amp;"-"&amp;'FEMA Disasters'!$A$2:$A$1000,""),IF('FEMA Disasters'!$G$2:$G$1000=$A100,'FEMA Disasters'!$D$2:$D$1000&amp;" ended: ["&amp;'FEMA Disasters'!$B$2:$B$1000&amp;"] "&amp;'FEMA Disasters'!$C$2:$C$1000&amp;"-"&amp;'FEMA Disasters'!$A$2:$A$1000,""),IF('FEMA Disasters'!$K$2:$K$1000=$A100,"Disaster SEP opens: "&amp;'FEMA Disasters'!$D$2:$D$1000&amp;" ["&amp;'FEMA Disasters'!$B$2:$B$1000&amp;"] "&amp;'FEMA Disasters'!$C$2:$C$1000&amp;"-"&amp;'FEMA Disasters'!$A$2:$A$1000,""),IF('FEMA Disasters'!$L$2:$L$1000=$A100,"Disaster SEP ended: "&amp;'FEMA Disasters'!$D$2:$D$1000&amp;" ["&amp;'FEMA Disasters'!$B$2:$B$1000&amp;"] "&amp;'FEMA Disasters'!$C$2:$C$1000&amp;"-"&amp;'FEMA Disasters'!$A$2:$A$1000,""))</f>
        <v>Severe Storm begin: [MS] DR-4790 | Disaster SEP opens: Severe Storm [MS] DR-4790</v>
      </c>
      <c r="H100" s="4" t="n">
        <f aca="false">COUNTIF(Events!$A$2:$A$397,$A100)</f>
        <v>0</v>
      </c>
      <c r="I100" s="6" t="str">
        <f aca="false" t="array" ref="I100:I100">_xlfn.TEXTJOIN(" | ",TRUE(),IF(Events!$A$2:$A$397=$A100,Events!$E$2:$E$397&amp;IF(Events!$G$2:$G$397="National",""," ["&amp;Events!$G$2:$G$397&amp;"]"),""))</f>
        <v/>
      </c>
    </row>
    <row r="101" customFormat="false" ht="15" hidden="false" customHeight="true" outlineLevel="0" collapsed="false">
      <c r="A101" s="3" t="n">
        <v>45391</v>
      </c>
      <c r="B101" s="4" t="n">
        <f aca="false">YEAR($A101)</f>
        <v>2024</v>
      </c>
      <c r="C101" s="4" t="n">
        <f aca="false">MONTH($A101)</f>
        <v>4</v>
      </c>
      <c r="D101" s="4" t="str">
        <f aca="false">TEXT($A101,"ddd")</f>
        <v>Tue</v>
      </c>
      <c r="E101" s="4" t="n">
        <f aca="false">IF(OR(AND(MONTH($A101)=10,DAY($A101)&gt;=15),MONTH($A101)=11,AND(MONTH($A101)=12,DAY($A101)&lt;=7)),1,0)</f>
        <v>0</v>
      </c>
      <c r="F101" s="4" t="n">
        <f aca="false">IF(MONTH($A101)&lt;=3,1,0)</f>
        <v>0</v>
      </c>
      <c r="G101" s="4" t="str">
        <f aca="false" t="array" ref="G101:G101">_xlfn.TEXTJOIN(" | ",TRUE(),IF('FEMA Disasters'!$F$2:$F$1000=$A101,'FEMA Disasters'!$D$2:$D$1000&amp;" begin: ["&amp;'FEMA Disasters'!$B$2:$B$1000&amp;"] "&amp;'FEMA Disasters'!$C$2:$C$1000&amp;"-"&amp;'FEMA Disasters'!$A$2:$A$1000,""),IF('FEMA Disasters'!$G$2:$G$1000=$A101,'FEMA Disasters'!$D$2:$D$1000&amp;" ended: ["&amp;'FEMA Disasters'!$B$2:$B$1000&amp;"] "&amp;'FEMA Disasters'!$C$2:$C$1000&amp;"-"&amp;'FEMA Disasters'!$A$2:$A$1000,""),IF('FEMA Disasters'!$K$2:$K$1000=$A101,"Disaster SEP opens: "&amp;'FEMA Disasters'!$D$2:$D$1000&amp;" ["&amp;'FEMA Disasters'!$B$2:$B$1000&amp;"] "&amp;'FEMA Disasters'!$C$2:$C$1000&amp;"-"&amp;'FEMA Disasters'!$A$2:$A$1000,""),IF('FEMA Disasters'!$L$2:$L$1000=$A101,"Disaster SEP ended: "&amp;'FEMA Disasters'!$D$2:$D$1000&amp;" ["&amp;'FEMA Disasters'!$B$2:$B$1000&amp;"] "&amp;'FEMA Disasters'!$C$2:$C$1000&amp;"-"&amp;'FEMA Disasters'!$A$2:$A$1000,""))</f>
        <v/>
      </c>
      <c r="H101" s="4" t="n">
        <f aca="false">COUNTIF(Events!$A$2:$A$397,$A101)</f>
        <v>0</v>
      </c>
      <c r="I101" s="6" t="str">
        <f aca="false" t="array" ref="I101:I101">_xlfn.TEXTJOIN(" | ",TRUE(),IF(Events!$A$2:$A$397=$A101,Events!$E$2:$E$397&amp;IF(Events!$G$2:$G$397="National",""," ["&amp;Events!$G$2:$G$397&amp;"]"),""))</f>
        <v/>
      </c>
    </row>
    <row r="102" customFormat="false" ht="15" hidden="false" customHeight="true" outlineLevel="0" collapsed="false">
      <c r="A102" s="3" t="n">
        <v>45392</v>
      </c>
      <c r="B102" s="4" t="n">
        <f aca="false">YEAR($A102)</f>
        <v>2024</v>
      </c>
      <c r="C102" s="4" t="n">
        <f aca="false">MONTH($A102)</f>
        <v>4</v>
      </c>
      <c r="D102" s="4" t="str">
        <f aca="false">TEXT($A102,"ddd")</f>
        <v>Wed</v>
      </c>
      <c r="E102" s="4" t="n">
        <f aca="false">IF(OR(AND(MONTH($A102)=10,DAY($A102)&gt;=15),MONTH($A102)=11,AND(MONTH($A102)=12,DAY($A102)&lt;=7)),1,0)</f>
        <v>0</v>
      </c>
      <c r="F102" s="4" t="n">
        <f aca="false">IF(MONTH($A102)&lt;=3,1,0)</f>
        <v>0</v>
      </c>
      <c r="G102" s="4" t="str">
        <f aca="false" t="array" ref="G102:G102">_xlfn.TEXTJOIN(" | ",TRUE(),IF('FEMA Disasters'!$F$2:$F$1000=$A102,'FEMA Disasters'!$D$2:$D$1000&amp;" begin: ["&amp;'FEMA Disasters'!$B$2:$B$1000&amp;"] "&amp;'FEMA Disasters'!$C$2:$C$1000&amp;"-"&amp;'FEMA Disasters'!$A$2:$A$1000,""),IF('FEMA Disasters'!$G$2:$G$1000=$A102,'FEMA Disasters'!$D$2:$D$1000&amp;" ended: ["&amp;'FEMA Disasters'!$B$2:$B$1000&amp;"] "&amp;'FEMA Disasters'!$C$2:$C$1000&amp;"-"&amp;'FEMA Disasters'!$A$2:$A$1000,""),IF('FEMA Disasters'!$K$2:$K$1000=$A102,"Disaster SEP opens: "&amp;'FEMA Disasters'!$D$2:$D$1000&amp;" ["&amp;'FEMA Disasters'!$B$2:$B$1000&amp;"] "&amp;'FEMA Disasters'!$C$2:$C$1000&amp;"-"&amp;'FEMA Disasters'!$A$2:$A$1000,""),IF('FEMA Disasters'!$L$2:$L$1000=$A102,"Disaster SEP ended: "&amp;'FEMA Disasters'!$D$2:$D$1000&amp;" ["&amp;'FEMA Disasters'!$B$2:$B$1000&amp;"] "&amp;'FEMA Disasters'!$C$2:$C$1000&amp;"-"&amp;'FEMA Disasters'!$A$2:$A$1000,""))</f>
        <v/>
      </c>
      <c r="H102" s="4" t="n">
        <f aca="false">COUNTIF(Events!$A$2:$A$397,$A102)</f>
        <v>0</v>
      </c>
      <c r="I102" s="6" t="str">
        <f aca="false" t="array" ref="I102:I102">_xlfn.TEXTJOIN(" | ",TRUE(),IF(Events!$A$2:$A$397=$A102,Events!$E$2:$E$397&amp;IF(Events!$G$2:$G$397="National",""," ["&amp;Events!$G$2:$G$397&amp;"]"),""))</f>
        <v/>
      </c>
    </row>
    <row r="103" customFormat="false" ht="15" hidden="false" customHeight="true" outlineLevel="0" collapsed="false">
      <c r="A103" s="3" t="n">
        <v>45393</v>
      </c>
      <c r="B103" s="4" t="n">
        <f aca="false">YEAR($A103)</f>
        <v>2024</v>
      </c>
      <c r="C103" s="4" t="n">
        <f aca="false">MONTH($A103)</f>
        <v>4</v>
      </c>
      <c r="D103" s="4" t="str">
        <f aca="false">TEXT($A103,"ddd")</f>
        <v>Thu</v>
      </c>
      <c r="E103" s="4" t="n">
        <f aca="false">IF(OR(AND(MONTH($A103)=10,DAY($A103)&gt;=15),MONTH($A103)=11,AND(MONTH($A103)=12,DAY($A103)&lt;=7)),1,0)</f>
        <v>0</v>
      </c>
      <c r="F103" s="4" t="n">
        <f aca="false">IF(MONTH($A103)&lt;=3,1,0)</f>
        <v>0</v>
      </c>
      <c r="G103" s="4" t="str">
        <f aca="false" t="array" ref="G103:G103">_xlfn.TEXTJOIN(" | ",TRUE(),IF('FEMA Disasters'!$F$2:$F$1000=$A103,'FEMA Disasters'!$D$2:$D$1000&amp;" begin: ["&amp;'FEMA Disasters'!$B$2:$B$1000&amp;"] "&amp;'FEMA Disasters'!$C$2:$C$1000&amp;"-"&amp;'FEMA Disasters'!$A$2:$A$1000,""),IF('FEMA Disasters'!$G$2:$G$1000=$A103,'FEMA Disasters'!$D$2:$D$1000&amp;" ended: ["&amp;'FEMA Disasters'!$B$2:$B$1000&amp;"] "&amp;'FEMA Disasters'!$C$2:$C$1000&amp;"-"&amp;'FEMA Disasters'!$A$2:$A$1000,""),IF('FEMA Disasters'!$K$2:$K$1000=$A103,"Disaster SEP opens: "&amp;'FEMA Disasters'!$D$2:$D$1000&amp;" ["&amp;'FEMA Disasters'!$B$2:$B$1000&amp;"] "&amp;'FEMA Disasters'!$C$2:$C$1000&amp;"-"&amp;'FEMA Disasters'!$A$2:$A$1000,""),IF('FEMA Disasters'!$L$2:$L$1000=$A103,"Disaster SEP ended: "&amp;'FEMA Disasters'!$D$2:$D$1000&amp;" ["&amp;'FEMA Disasters'!$B$2:$B$1000&amp;"] "&amp;'FEMA Disasters'!$C$2:$C$1000&amp;"-"&amp;'FEMA Disasters'!$A$2:$A$1000,""))</f>
        <v>Flood begin: [WV] DR-4787 | Flood begin: [HI] DR-4793 | Severe Storm ended: [MS] DR-4790 | Disaster SEP opens: Flood [WV] DR-4787 | Disaster SEP opens: Flood [HI] DR-4793</v>
      </c>
      <c r="H103" s="4" t="n">
        <f aca="false">COUNTIF(Events!$A$2:$A$397,$A103)</f>
        <v>0</v>
      </c>
      <c r="I103" s="6" t="str">
        <f aca="false" t="array" ref="I103:I103">_xlfn.TEXTJOIN(" | ",TRUE(),IF(Events!$A$2:$A$397=$A103,Events!$E$2:$E$397&amp;IF(Events!$G$2:$G$397="National",""," ["&amp;Events!$G$2:$G$397&amp;"]"),""))</f>
        <v/>
      </c>
    </row>
    <row r="104" customFormat="false" ht="15" hidden="false" customHeight="true" outlineLevel="0" collapsed="false">
      <c r="A104" s="3" t="n">
        <v>45394</v>
      </c>
      <c r="B104" s="4" t="n">
        <f aca="false">YEAR($A104)</f>
        <v>2024</v>
      </c>
      <c r="C104" s="4" t="n">
        <f aca="false">MONTH($A104)</f>
        <v>4</v>
      </c>
      <c r="D104" s="4" t="str">
        <f aca="false">TEXT($A104,"ddd")</f>
        <v>Fri</v>
      </c>
      <c r="E104" s="4" t="n">
        <f aca="false">IF(OR(AND(MONTH($A104)=10,DAY($A104)&gt;=15),MONTH($A104)=11,AND(MONTH($A104)=12,DAY($A104)&lt;=7)),1,0)</f>
        <v>0</v>
      </c>
      <c r="F104" s="4" t="n">
        <f aca="false">IF(MONTH($A104)&lt;=3,1,0)</f>
        <v>0</v>
      </c>
      <c r="G104" s="4" t="str">
        <f aca="false" t="array" ref="G104:G104">_xlfn.TEXTJOIN(" | ",TRUE(),IF('FEMA Disasters'!$F$2:$F$1000=$A104,'FEMA Disasters'!$D$2:$D$1000&amp;" begin: ["&amp;'FEMA Disasters'!$B$2:$B$1000&amp;"] "&amp;'FEMA Disasters'!$C$2:$C$1000&amp;"-"&amp;'FEMA Disasters'!$A$2:$A$1000,""),IF('FEMA Disasters'!$G$2:$G$1000=$A104,'FEMA Disasters'!$D$2:$D$1000&amp;" ended: ["&amp;'FEMA Disasters'!$B$2:$B$1000&amp;"] "&amp;'FEMA Disasters'!$C$2:$C$1000&amp;"-"&amp;'FEMA Disasters'!$A$2:$A$1000,""),IF('FEMA Disasters'!$K$2:$K$1000=$A104,"Disaster SEP opens: "&amp;'FEMA Disasters'!$D$2:$D$1000&amp;" ["&amp;'FEMA Disasters'!$B$2:$B$1000&amp;"] "&amp;'FEMA Disasters'!$C$2:$C$1000&amp;"-"&amp;'FEMA Disasters'!$A$2:$A$1000,""),IF('FEMA Disasters'!$L$2:$L$1000=$A104,"Disaster SEP ended: "&amp;'FEMA Disasters'!$D$2:$D$1000&amp;" ["&amp;'FEMA Disasters'!$B$2:$B$1000&amp;"] "&amp;'FEMA Disasters'!$C$2:$C$1000&amp;"-"&amp;'FEMA Disasters'!$A$2:$A$1000,""))</f>
        <v>Fire ended: [OK] FM-5491 | Flood ended: [WV] DR-4787</v>
      </c>
      <c r="H104" s="4" t="n">
        <f aca="false">COUNTIF(Events!$A$2:$A$397,$A104)</f>
        <v>0</v>
      </c>
      <c r="I104" s="6" t="str">
        <f aca="false" t="array" ref="I104:I104">_xlfn.TEXTJOIN(" | ",TRUE(),IF(Events!$A$2:$A$397=$A104,Events!$E$2:$E$397&amp;IF(Events!$G$2:$G$397="National",""," ["&amp;Events!$G$2:$G$397&amp;"]"),""))</f>
        <v/>
      </c>
    </row>
    <row r="105" customFormat="false" ht="15" hidden="false" customHeight="true" outlineLevel="0" collapsed="false">
      <c r="A105" s="3" t="n">
        <v>45395</v>
      </c>
      <c r="B105" s="4" t="n">
        <f aca="false">YEAR($A105)</f>
        <v>2024</v>
      </c>
      <c r="C105" s="4" t="n">
        <f aca="false">MONTH($A105)</f>
        <v>4</v>
      </c>
      <c r="D105" s="4" t="str">
        <f aca="false">TEXT($A105,"ddd")</f>
        <v>Sat</v>
      </c>
      <c r="E105" s="4" t="n">
        <f aca="false">IF(OR(AND(MONTH($A105)=10,DAY($A105)&gt;=15),MONTH($A105)=11,AND(MONTH($A105)=12,DAY($A105)&lt;=7)),1,0)</f>
        <v>0</v>
      </c>
      <c r="F105" s="4" t="n">
        <f aca="false">IF(MONTH($A105)&lt;=3,1,0)</f>
        <v>0</v>
      </c>
      <c r="G105" s="4" t="str">
        <f aca="false" t="array" ref="G105:G105">_xlfn.TEXTJOIN(" | ",TRUE(),IF('FEMA Disasters'!$F$2:$F$1000=$A105,'FEMA Disasters'!$D$2:$D$1000&amp;" begin: ["&amp;'FEMA Disasters'!$B$2:$B$1000&amp;"] "&amp;'FEMA Disasters'!$C$2:$C$1000&amp;"-"&amp;'FEMA Disasters'!$A$2:$A$1000,""),IF('FEMA Disasters'!$G$2:$G$1000=$A105,'FEMA Disasters'!$D$2:$D$1000&amp;" ended: ["&amp;'FEMA Disasters'!$B$2:$B$1000&amp;"] "&amp;'FEMA Disasters'!$C$2:$C$1000&amp;"-"&amp;'FEMA Disasters'!$A$2:$A$1000,""),IF('FEMA Disasters'!$K$2:$K$1000=$A105,"Disaster SEP opens: "&amp;'FEMA Disasters'!$D$2:$D$1000&amp;" ["&amp;'FEMA Disasters'!$B$2:$B$1000&amp;"] "&amp;'FEMA Disasters'!$C$2:$C$1000&amp;"-"&amp;'FEMA Disasters'!$A$2:$A$1000,""),IF('FEMA Disasters'!$L$2:$L$1000=$A105,"Disaster SEP ended: "&amp;'FEMA Disasters'!$D$2:$D$1000&amp;" ["&amp;'FEMA Disasters'!$B$2:$B$1000&amp;"] "&amp;'FEMA Disasters'!$C$2:$C$1000&amp;"-"&amp;'FEMA Disasters'!$A$2:$A$1000,""))</f>
        <v/>
      </c>
      <c r="H105" s="4" t="n">
        <f aca="false">COUNTIF(Events!$A$2:$A$397,$A105)</f>
        <v>0</v>
      </c>
      <c r="I105" s="6" t="str">
        <f aca="false" t="array" ref="I105:I105">_xlfn.TEXTJOIN(" | ",TRUE(),IF(Events!$A$2:$A$397=$A105,Events!$E$2:$E$397&amp;IF(Events!$G$2:$G$397="National",""," ["&amp;Events!$G$2:$G$397&amp;"]"),""))</f>
        <v/>
      </c>
    </row>
    <row r="106" customFormat="false" ht="15" hidden="false" customHeight="true" outlineLevel="0" collapsed="false">
      <c r="A106" s="3" t="n">
        <v>45396</v>
      </c>
      <c r="B106" s="4" t="n">
        <f aca="false">YEAR($A106)</f>
        <v>2024</v>
      </c>
      <c r="C106" s="4" t="n">
        <f aca="false">MONTH($A106)</f>
        <v>4</v>
      </c>
      <c r="D106" s="4" t="str">
        <f aca="false">TEXT($A106,"ddd")</f>
        <v>Sun</v>
      </c>
      <c r="E106" s="4" t="n">
        <f aca="false">IF(OR(AND(MONTH($A106)=10,DAY($A106)&gt;=15),MONTH($A106)=11,AND(MONTH($A106)=12,DAY($A106)&lt;=7)),1,0)</f>
        <v>0</v>
      </c>
      <c r="F106" s="4" t="n">
        <f aca="false">IF(MONTH($A106)&lt;=3,1,0)</f>
        <v>0</v>
      </c>
      <c r="G106" s="4" t="str">
        <f aca="false" t="array" ref="G106:G106">_xlfn.TEXTJOIN(" | ",TRUE(),IF('FEMA Disasters'!$F$2:$F$1000=$A106,'FEMA Disasters'!$D$2:$D$1000&amp;" begin: ["&amp;'FEMA Disasters'!$B$2:$B$1000&amp;"] "&amp;'FEMA Disasters'!$C$2:$C$1000&amp;"-"&amp;'FEMA Disasters'!$A$2:$A$1000,""),IF('FEMA Disasters'!$G$2:$G$1000=$A106,'FEMA Disasters'!$D$2:$D$1000&amp;" ended: ["&amp;'FEMA Disasters'!$B$2:$B$1000&amp;"] "&amp;'FEMA Disasters'!$C$2:$C$1000&amp;"-"&amp;'FEMA Disasters'!$A$2:$A$1000,""),IF('FEMA Disasters'!$K$2:$K$1000=$A106,"Disaster SEP opens: "&amp;'FEMA Disasters'!$D$2:$D$1000&amp;" ["&amp;'FEMA Disasters'!$B$2:$B$1000&amp;"] "&amp;'FEMA Disasters'!$C$2:$C$1000&amp;"-"&amp;'FEMA Disasters'!$A$2:$A$1000,""),IF('FEMA Disasters'!$L$2:$L$1000=$A106,"Disaster SEP ended: "&amp;'FEMA Disasters'!$D$2:$D$1000&amp;" ["&amp;'FEMA Disasters'!$B$2:$B$1000&amp;"] "&amp;'FEMA Disasters'!$C$2:$C$1000&amp;"-"&amp;'FEMA Disasters'!$A$2:$A$1000,""))</f>
        <v>Flood begin: [ID] DR-4789 | Flood ended: [HI] DR-4793 | Disaster SEP opens: Flood [ID] DR-4789</v>
      </c>
      <c r="H106" s="4" t="n">
        <f aca="false">COUNTIF(Events!$A$2:$A$397,$A106)</f>
        <v>0</v>
      </c>
      <c r="I106" s="6" t="str">
        <f aca="false" t="array" ref="I106:I106">_xlfn.TEXTJOIN(" | ",TRUE(),IF(Events!$A$2:$A$397=$A106,Events!$E$2:$E$397&amp;IF(Events!$G$2:$G$397="National",""," ["&amp;Events!$G$2:$G$397&amp;"]"),""))</f>
        <v/>
      </c>
    </row>
    <row r="107" customFormat="false" ht="15" hidden="false" customHeight="true" outlineLevel="0" collapsed="false">
      <c r="A107" s="3" t="n">
        <v>45397</v>
      </c>
      <c r="B107" s="4" t="n">
        <f aca="false">YEAR($A107)</f>
        <v>2024</v>
      </c>
      <c r="C107" s="4" t="n">
        <f aca="false">MONTH($A107)</f>
        <v>4</v>
      </c>
      <c r="D107" s="4" t="str">
        <f aca="false">TEXT($A107,"ddd")</f>
        <v>Mon</v>
      </c>
      <c r="E107" s="4" t="n">
        <f aca="false">IF(OR(AND(MONTH($A107)=10,DAY($A107)&gt;=15),MONTH($A107)=11,AND(MONTH($A107)=12,DAY($A107)&lt;=7)),1,0)</f>
        <v>0</v>
      </c>
      <c r="F107" s="4" t="n">
        <f aca="false">IF(MONTH($A107)&lt;=3,1,0)</f>
        <v>0</v>
      </c>
      <c r="G107" s="4" t="str">
        <f aca="false" t="array" ref="G107:G107">_xlfn.TEXTJOIN(" | ",TRUE(),IF('FEMA Disasters'!$F$2:$F$1000=$A107,'FEMA Disasters'!$D$2:$D$1000&amp;" begin: ["&amp;'FEMA Disasters'!$B$2:$B$1000&amp;"] "&amp;'FEMA Disasters'!$C$2:$C$1000&amp;"-"&amp;'FEMA Disasters'!$A$2:$A$1000,""),IF('FEMA Disasters'!$G$2:$G$1000=$A107,'FEMA Disasters'!$D$2:$D$1000&amp;" ended: ["&amp;'FEMA Disasters'!$B$2:$B$1000&amp;"] "&amp;'FEMA Disasters'!$C$2:$C$1000&amp;"-"&amp;'FEMA Disasters'!$A$2:$A$1000,""),IF('FEMA Disasters'!$K$2:$K$1000=$A107,"Disaster SEP opens: "&amp;'FEMA Disasters'!$D$2:$D$1000&amp;" ["&amp;'FEMA Disasters'!$B$2:$B$1000&amp;"] "&amp;'FEMA Disasters'!$C$2:$C$1000&amp;"-"&amp;'FEMA Disasters'!$A$2:$A$1000,""),IF('FEMA Disasters'!$L$2:$L$1000=$A107,"Disaster SEP ended: "&amp;'FEMA Disasters'!$D$2:$D$1000&amp;" ["&amp;'FEMA Disasters'!$B$2:$B$1000&amp;"] "&amp;'FEMA Disasters'!$C$2:$C$1000&amp;"-"&amp;'FEMA Disasters'!$A$2:$A$1000,""))</f>
        <v>Flood ended: [ID] DR-4789</v>
      </c>
      <c r="H107" s="4" t="n">
        <f aca="false">COUNTIF(Events!$A$2:$A$397,$A107)</f>
        <v>0</v>
      </c>
      <c r="I107" s="6" t="str">
        <f aca="false" t="array" ref="I107:I107">_xlfn.TEXTJOIN(" | ",TRUE(),IF(Events!$A$2:$A$397=$A107,Events!$E$2:$E$397&amp;IF(Events!$G$2:$G$397="National",""," ["&amp;Events!$G$2:$G$397&amp;"]"),""))</f>
        <v/>
      </c>
    </row>
    <row r="108" customFormat="false" ht="15" hidden="false" customHeight="true" outlineLevel="0" collapsed="false">
      <c r="A108" s="3" t="n">
        <v>45398</v>
      </c>
      <c r="B108" s="4" t="n">
        <f aca="false">YEAR($A108)</f>
        <v>2024</v>
      </c>
      <c r="C108" s="4" t="n">
        <f aca="false">MONTH($A108)</f>
        <v>4</v>
      </c>
      <c r="D108" s="4" t="str">
        <f aca="false">TEXT($A108,"ddd")</f>
        <v>Tue</v>
      </c>
      <c r="E108" s="4" t="n">
        <f aca="false">IF(OR(AND(MONTH($A108)=10,DAY($A108)&gt;=15),MONTH($A108)=11,AND(MONTH($A108)=12,DAY($A108)&lt;=7)),1,0)</f>
        <v>0</v>
      </c>
      <c r="F108" s="4" t="n">
        <f aca="false">IF(MONTH($A108)&lt;=3,1,0)</f>
        <v>0</v>
      </c>
      <c r="G108" s="4" t="str">
        <f aca="false" t="array" ref="G108:G108">_xlfn.TEXTJOIN(" | ",TRUE(),IF('FEMA Disasters'!$F$2:$F$1000=$A108,'FEMA Disasters'!$D$2:$D$1000&amp;" begin: ["&amp;'FEMA Disasters'!$B$2:$B$1000&amp;"] "&amp;'FEMA Disasters'!$C$2:$C$1000&amp;"-"&amp;'FEMA Disasters'!$A$2:$A$1000,""),IF('FEMA Disasters'!$G$2:$G$1000=$A108,'FEMA Disasters'!$D$2:$D$1000&amp;" ended: ["&amp;'FEMA Disasters'!$B$2:$B$1000&amp;"] "&amp;'FEMA Disasters'!$C$2:$C$1000&amp;"-"&amp;'FEMA Disasters'!$A$2:$A$1000,""),IF('FEMA Disasters'!$K$2:$K$1000=$A108,"Disaster SEP opens: "&amp;'FEMA Disasters'!$D$2:$D$1000&amp;" ["&amp;'FEMA Disasters'!$B$2:$B$1000&amp;"] "&amp;'FEMA Disasters'!$C$2:$C$1000&amp;"-"&amp;'FEMA Disasters'!$A$2:$A$1000,""),IF('FEMA Disasters'!$L$2:$L$1000=$A108,"Disaster SEP ended: "&amp;'FEMA Disasters'!$D$2:$D$1000&amp;" ["&amp;'FEMA Disasters'!$B$2:$B$1000&amp;"] "&amp;'FEMA Disasters'!$C$2:$C$1000&amp;"-"&amp;'FEMA Disasters'!$A$2:$A$1000,""))</f>
        <v/>
      </c>
      <c r="H108" s="4" t="n">
        <f aca="false">COUNTIF(Events!$A$2:$A$397,$A108)</f>
        <v>0</v>
      </c>
      <c r="I108" s="6" t="str">
        <f aca="false" t="array" ref="I108:I108">_xlfn.TEXTJOIN(" | ",TRUE(),IF(Events!$A$2:$A$397=$A108,Events!$E$2:$E$397&amp;IF(Events!$G$2:$G$397="National",""," ["&amp;Events!$G$2:$G$397&amp;"]"),""))</f>
        <v/>
      </c>
    </row>
    <row r="109" customFormat="false" ht="15" hidden="false" customHeight="true" outlineLevel="0" collapsed="false">
      <c r="A109" s="3" t="n">
        <v>45399</v>
      </c>
      <c r="B109" s="4" t="n">
        <f aca="false">YEAR($A109)</f>
        <v>2024</v>
      </c>
      <c r="C109" s="4" t="n">
        <f aca="false">MONTH($A109)</f>
        <v>4</v>
      </c>
      <c r="D109" s="4" t="str">
        <f aca="false">TEXT($A109,"ddd")</f>
        <v>Wed</v>
      </c>
      <c r="E109" s="4" t="n">
        <f aca="false">IF(OR(AND(MONTH($A109)=10,DAY($A109)&gt;=15),MONTH($A109)=11,AND(MONTH($A109)=12,DAY($A109)&lt;=7)),1,0)</f>
        <v>0</v>
      </c>
      <c r="F109" s="4" t="n">
        <f aca="false">IF(MONTH($A109)&lt;=3,1,0)</f>
        <v>0</v>
      </c>
      <c r="G109" s="4" t="str">
        <f aca="false" t="array" ref="G109:G109">_xlfn.TEXTJOIN(" | ",TRUE(),IF('FEMA Disasters'!$F$2:$F$1000=$A109,'FEMA Disasters'!$D$2:$D$1000&amp;" begin: ["&amp;'FEMA Disasters'!$B$2:$B$1000&amp;"] "&amp;'FEMA Disasters'!$C$2:$C$1000&amp;"-"&amp;'FEMA Disasters'!$A$2:$A$1000,""),IF('FEMA Disasters'!$G$2:$G$1000=$A109,'FEMA Disasters'!$D$2:$D$1000&amp;" ended: ["&amp;'FEMA Disasters'!$B$2:$B$1000&amp;"] "&amp;'FEMA Disasters'!$C$2:$C$1000&amp;"-"&amp;'FEMA Disasters'!$A$2:$A$1000,""),IF('FEMA Disasters'!$K$2:$K$1000=$A109,"Disaster SEP opens: "&amp;'FEMA Disasters'!$D$2:$D$1000&amp;" ["&amp;'FEMA Disasters'!$B$2:$B$1000&amp;"] "&amp;'FEMA Disasters'!$C$2:$C$1000&amp;"-"&amp;'FEMA Disasters'!$A$2:$A$1000,""),IF('FEMA Disasters'!$L$2:$L$1000=$A109,"Disaster SEP ended: "&amp;'FEMA Disasters'!$D$2:$D$1000&amp;" ["&amp;'FEMA Disasters'!$B$2:$B$1000&amp;"] "&amp;'FEMA Disasters'!$C$2:$C$1000&amp;"-"&amp;'FEMA Disasters'!$A$2:$A$1000,""))</f>
        <v/>
      </c>
      <c r="H109" s="4" t="n">
        <f aca="false">COUNTIF(Events!$A$2:$A$397,$A109)</f>
        <v>0</v>
      </c>
      <c r="I109" s="6" t="str">
        <f aca="false" t="array" ref="I109:I109">_xlfn.TEXTJOIN(" | ",TRUE(),IF(Events!$A$2:$A$397=$A109,Events!$E$2:$E$397&amp;IF(Events!$G$2:$G$397="National",""," ["&amp;Events!$G$2:$G$397&amp;"]"),""))</f>
        <v/>
      </c>
    </row>
    <row r="110" customFormat="false" ht="15" hidden="false" customHeight="true" outlineLevel="0" collapsed="false">
      <c r="A110" s="3" t="n">
        <v>45400</v>
      </c>
      <c r="B110" s="4" t="n">
        <f aca="false">YEAR($A110)</f>
        <v>2024</v>
      </c>
      <c r="C110" s="4" t="n">
        <f aca="false">MONTH($A110)</f>
        <v>4</v>
      </c>
      <c r="D110" s="4" t="str">
        <f aca="false">TEXT($A110,"ddd")</f>
        <v>Thu</v>
      </c>
      <c r="E110" s="4" t="n">
        <f aca="false">IF(OR(AND(MONTH($A110)=10,DAY($A110)&gt;=15),MONTH($A110)=11,AND(MONTH($A110)=12,DAY($A110)&lt;=7)),1,0)</f>
        <v>0</v>
      </c>
      <c r="F110" s="4" t="n">
        <f aca="false">IF(MONTH($A110)&lt;=3,1,0)</f>
        <v>0</v>
      </c>
      <c r="G110" s="4" t="str">
        <f aca="false" t="array" ref="G110:G110">_xlfn.TEXTJOIN(" | ",TRUE(),IF('FEMA Disasters'!$F$2:$F$1000=$A110,'FEMA Disasters'!$D$2:$D$1000&amp;" begin: ["&amp;'FEMA Disasters'!$B$2:$B$1000&amp;"] "&amp;'FEMA Disasters'!$C$2:$C$1000&amp;"-"&amp;'FEMA Disasters'!$A$2:$A$1000,""),IF('FEMA Disasters'!$G$2:$G$1000=$A110,'FEMA Disasters'!$D$2:$D$1000&amp;" ended: ["&amp;'FEMA Disasters'!$B$2:$B$1000&amp;"] "&amp;'FEMA Disasters'!$C$2:$C$1000&amp;"-"&amp;'FEMA Disasters'!$A$2:$A$1000,""),IF('FEMA Disasters'!$K$2:$K$1000=$A110,"Disaster SEP opens: "&amp;'FEMA Disasters'!$D$2:$D$1000&amp;" ["&amp;'FEMA Disasters'!$B$2:$B$1000&amp;"] "&amp;'FEMA Disasters'!$C$2:$C$1000&amp;"-"&amp;'FEMA Disasters'!$A$2:$A$1000,""),IF('FEMA Disasters'!$L$2:$L$1000=$A110,"Disaster SEP ended: "&amp;'FEMA Disasters'!$D$2:$D$1000&amp;" ["&amp;'FEMA Disasters'!$B$2:$B$1000&amp;"] "&amp;'FEMA Disasters'!$C$2:$C$1000&amp;"-"&amp;'FEMA Disasters'!$A$2:$A$1000,""))</f>
        <v/>
      </c>
      <c r="H110" s="4" t="n">
        <f aca="false">COUNTIF(Events!$A$2:$A$397,$A110)</f>
        <v>0</v>
      </c>
      <c r="I110" s="6" t="str">
        <f aca="false" t="array" ref="I110:I110">_xlfn.TEXTJOIN(" | ",TRUE(),IF(Events!$A$2:$A$397=$A110,Events!$E$2:$E$397&amp;IF(Events!$G$2:$G$397="National",""," ["&amp;Events!$G$2:$G$397&amp;"]"),""))</f>
        <v/>
      </c>
    </row>
    <row r="111" customFormat="false" ht="15" hidden="false" customHeight="true" outlineLevel="0" collapsed="false">
      <c r="A111" s="3" t="n">
        <v>45401</v>
      </c>
      <c r="B111" s="4" t="n">
        <f aca="false">YEAR($A111)</f>
        <v>2024</v>
      </c>
      <c r="C111" s="4" t="n">
        <f aca="false">MONTH($A111)</f>
        <v>4</v>
      </c>
      <c r="D111" s="4" t="str">
        <f aca="false">TEXT($A111,"ddd")</f>
        <v>Fri</v>
      </c>
      <c r="E111" s="4" t="n">
        <f aca="false">IF(OR(AND(MONTH($A111)=10,DAY($A111)&gt;=15),MONTH($A111)=11,AND(MONTH($A111)=12,DAY($A111)&lt;=7)),1,0)</f>
        <v>0</v>
      </c>
      <c r="F111" s="4" t="n">
        <f aca="false">IF(MONTH($A111)&lt;=3,1,0)</f>
        <v>0</v>
      </c>
      <c r="G111" s="4" t="str">
        <f aca="false" t="array" ref="G111:G111">_xlfn.TEXTJOIN(" | ",TRUE(),IF('FEMA Disasters'!$F$2:$F$1000=$A111,'FEMA Disasters'!$D$2:$D$1000&amp;" begin: ["&amp;'FEMA Disasters'!$B$2:$B$1000&amp;"] "&amp;'FEMA Disasters'!$C$2:$C$1000&amp;"-"&amp;'FEMA Disasters'!$A$2:$A$1000,""),IF('FEMA Disasters'!$G$2:$G$1000=$A111,'FEMA Disasters'!$D$2:$D$1000&amp;" ended: ["&amp;'FEMA Disasters'!$B$2:$B$1000&amp;"] "&amp;'FEMA Disasters'!$C$2:$C$1000&amp;"-"&amp;'FEMA Disasters'!$A$2:$A$1000,""),IF('FEMA Disasters'!$K$2:$K$1000=$A111,"Disaster SEP opens: "&amp;'FEMA Disasters'!$D$2:$D$1000&amp;" ["&amp;'FEMA Disasters'!$B$2:$B$1000&amp;"] "&amp;'FEMA Disasters'!$C$2:$C$1000&amp;"-"&amp;'FEMA Disasters'!$A$2:$A$1000,""),IF('FEMA Disasters'!$L$2:$L$1000=$A111,"Disaster SEP ended: "&amp;'FEMA Disasters'!$D$2:$D$1000&amp;" ["&amp;'FEMA Disasters'!$B$2:$B$1000&amp;"] "&amp;'FEMA Disasters'!$C$2:$C$1000&amp;"-"&amp;'FEMA Disasters'!$A$2:$A$1000,""))</f>
        <v/>
      </c>
      <c r="H111" s="4" t="n">
        <f aca="false">COUNTIF(Events!$A$2:$A$397,$A111)</f>
        <v>0</v>
      </c>
      <c r="I111" s="6" t="str">
        <f aca="false" t="array" ref="I111:I111">_xlfn.TEXTJOIN(" | ",TRUE(),IF(Events!$A$2:$A$397=$A111,Events!$E$2:$E$397&amp;IF(Events!$G$2:$G$397="National",""," ["&amp;Events!$G$2:$G$397&amp;"]"),""))</f>
        <v/>
      </c>
    </row>
    <row r="112" customFormat="false" ht="15" hidden="false" customHeight="true" outlineLevel="0" collapsed="false">
      <c r="A112" s="3" t="n">
        <v>45402</v>
      </c>
      <c r="B112" s="4" t="n">
        <f aca="false">YEAR($A112)</f>
        <v>2024</v>
      </c>
      <c r="C112" s="4" t="n">
        <f aca="false">MONTH($A112)</f>
        <v>4</v>
      </c>
      <c r="D112" s="4" t="str">
        <f aca="false">TEXT($A112,"ddd")</f>
        <v>Sat</v>
      </c>
      <c r="E112" s="4" t="n">
        <f aca="false">IF(OR(AND(MONTH($A112)=10,DAY($A112)&gt;=15),MONTH($A112)=11,AND(MONTH($A112)=12,DAY($A112)&lt;=7)),1,0)</f>
        <v>0</v>
      </c>
      <c r="F112" s="4" t="n">
        <f aca="false">IF(MONTH($A112)&lt;=3,1,0)</f>
        <v>0</v>
      </c>
      <c r="G112" s="4" t="str">
        <f aca="false" t="array" ref="G112:G112">_xlfn.TEXTJOIN(" | ",TRUE(),IF('FEMA Disasters'!$F$2:$F$1000=$A112,'FEMA Disasters'!$D$2:$D$1000&amp;" begin: ["&amp;'FEMA Disasters'!$B$2:$B$1000&amp;"] "&amp;'FEMA Disasters'!$C$2:$C$1000&amp;"-"&amp;'FEMA Disasters'!$A$2:$A$1000,""),IF('FEMA Disasters'!$G$2:$G$1000=$A112,'FEMA Disasters'!$D$2:$D$1000&amp;" ended: ["&amp;'FEMA Disasters'!$B$2:$B$1000&amp;"] "&amp;'FEMA Disasters'!$C$2:$C$1000&amp;"-"&amp;'FEMA Disasters'!$A$2:$A$1000,""),IF('FEMA Disasters'!$K$2:$K$1000=$A112,"Disaster SEP opens: "&amp;'FEMA Disasters'!$D$2:$D$1000&amp;" ["&amp;'FEMA Disasters'!$B$2:$B$1000&amp;"] "&amp;'FEMA Disasters'!$C$2:$C$1000&amp;"-"&amp;'FEMA Disasters'!$A$2:$A$1000,""),IF('FEMA Disasters'!$L$2:$L$1000=$A112,"Disaster SEP ended: "&amp;'FEMA Disasters'!$D$2:$D$1000&amp;" ["&amp;'FEMA Disasters'!$B$2:$B$1000&amp;"] "&amp;'FEMA Disasters'!$C$2:$C$1000&amp;"-"&amp;'FEMA Disasters'!$A$2:$A$1000,""))</f>
        <v/>
      </c>
      <c r="H112" s="4" t="n">
        <f aca="false">COUNTIF(Events!$A$2:$A$397,$A112)</f>
        <v>0</v>
      </c>
      <c r="I112" s="6" t="str">
        <f aca="false" t="array" ref="I112:I112">_xlfn.TEXTJOIN(" | ",TRUE(),IF(Events!$A$2:$A$397=$A112,Events!$E$2:$E$397&amp;IF(Events!$G$2:$G$397="National",""," ["&amp;Events!$G$2:$G$397&amp;"]"),""))</f>
        <v/>
      </c>
    </row>
    <row r="113" customFormat="false" ht="15" hidden="false" customHeight="true" outlineLevel="0" collapsed="false">
      <c r="A113" s="3" t="n">
        <v>45403</v>
      </c>
      <c r="B113" s="4" t="n">
        <f aca="false">YEAR($A113)</f>
        <v>2024</v>
      </c>
      <c r="C113" s="4" t="n">
        <f aca="false">MONTH($A113)</f>
        <v>4</v>
      </c>
      <c r="D113" s="4" t="str">
        <f aca="false">TEXT($A113,"ddd")</f>
        <v>Sun</v>
      </c>
      <c r="E113" s="4" t="n">
        <f aca="false">IF(OR(AND(MONTH($A113)=10,DAY($A113)&gt;=15),MONTH($A113)=11,AND(MONTH($A113)=12,DAY($A113)&lt;=7)),1,0)</f>
        <v>0</v>
      </c>
      <c r="F113" s="4" t="n">
        <f aca="false">IF(MONTH($A113)&lt;=3,1,0)</f>
        <v>0</v>
      </c>
      <c r="G113" s="4" t="str">
        <f aca="false" t="array" ref="G113:G113">_xlfn.TEXTJOIN(" | ",TRUE(),IF('FEMA Disasters'!$F$2:$F$1000=$A113,'FEMA Disasters'!$D$2:$D$1000&amp;" begin: ["&amp;'FEMA Disasters'!$B$2:$B$1000&amp;"] "&amp;'FEMA Disasters'!$C$2:$C$1000&amp;"-"&amp;'FEMA Disasters'!$A$2:$A$1000,""),IF('FEMA Disasters'!$G$2:$G$1000=$A113,'FEMA Disasters'!$D$2:$D$1000&amp;" ended: ["&amp;'FEMA Disasters'!$B$2:$B$1000&amp;"] "&amp;'FEMA Disasters'!$C$2:$C$1000&amp;"-"&amp;'FEMA Disasters'!$A$2:$A$1000,""),IF('FEMA Disasters'!$K$2:$K$1000=$A113,"Disaster SEP opens: "&amp;'FEMA Disasters'!$D$2:$D$1000&amp;" ["&amp;'FEMA Disasters'!$B$2:$B$1000&amp;"] "&amp;'FEMA Disasters'!$C$2:$C$1000&amp;"-"&amp;'FEMA Disasters'!$A$2:$A$1000,""),IF('FEMA Disasters'!$L$2:$L$1000=$A113,"Disaster SEP ended: "&amp;'FEMA Disasters'!$D$2:$D$1000&amp;" ["&amp;'FEMA Disasters'!$B$2:$B$1000&amp;"] "&amp;'FEMA Disasters'!$C$2:$C$1000&amp;"-"&amp;'FEMA Disasters'!$A$2:$A$1000,""))</f>
        <v/>
      </c>
      <c r="H113" s="4" t="n">
        <f aca="false">COUNTIF(Events!$A$2:$A$397,$A113)</f>
        <v>0</v>
      </c>
      <c r="I113" s="6" t="str">
        <f aca="false" t="array" ref="I113:I113">_xlfn.TEXTJOIN(" | ",TRUE(),IF(Events!$A$2:$A$397=$A113,Events!$E$2:$E$397&amp;IF(Events!$G$2:$G$397="National",""," ["&amp;Events!$G$2:$G$397&amp;"]"),""))</f>
        <v/>
      </c>
    </row>
    <row r="114" customFormat="false" ht="15" hidden="false" customHeight="true" outlineLevel="0" collapsed="false">
      <c r="A114" s="3" t="n">
        <v>45404</v>
      </c>
      <c r="B114" s="4" t="n">
        <f aca="false">YEAR($A114)</f>
        <v>2024</v>
      </c>
      <c r="C114" s="4" t="n">
        <f aca="false">MONTH($A114)</f>
        <v>4</v>
      </c>
      <c r="D114" s="4" t="str">
        <f aca="false">TEXT($A114,"ddd")</f>
        <v>Mon</v>
      </c>
      <c r="E114" s="4" t="n">
        <f aca="false">IF(OR(AND(MONTH($A114)=10,DAY($A114)&gt;=15),MONTH($A114)=11,AND(MONTH($A114)=12,DAY($A114)&lt;=7)),1,0)</f>
        <v>0</v>
      </c>
      <c r="F114" s="4" t="n">
        <f aca="false">IF(MONTH($A114)&lt;=3,1,0)</f>
        <v>0</v>
      </c>
      <c r="G114" s="4" t="str">
        <f aca="false" t="array" ref="G114:G114">_xlfn.TEXTJOIN(" | ",TRUE(),IF('FEMA Disasters'!$F$2:$F$1000=$A114,'FEMA Disasters'!$D$2:$D$1000&amp;" begin: ["&amp;'FEMA Disasters'!$B$2:$B$1000&amp;"] "&amp;'FEMA Disasters'!$C$2:$C$1000&amp;"-"&amp;'FEMA Disasters'!$A$2:$A$1000,""),IF('FEMA Disasters'!$G$2:$G$1000=$A114,'FEMA Disasters'!$D$2:$D$1000&amp;" ended: ["&amp;'FEMA Disasters'!$B$2:$B$1000&amp;"] "&amp;'FEMA Disasters'!$C$2:$C$1000&amp;"-"&amp;'FEMA Disasters'!$A$2:$A$1000,""),IF('FEMA Disasters'!$K$2:$K$1000=$A114,"Disaster SEP opens: "&amp;'FEMA Disasters'!$D$2:$D$1000&amp;" ["&amp;'FEMA Disasters'!$B$2:$B$1000&amp;"] "&amp;'FEMA Disasters'!$C$2:$C$1000&amp;"-"&amp;'FEMA Disasters'!$A$2:$A$1000,""),IF('FEMA Disasters'!$L$2:$L$1000=$A114,"Disaster SEP ended: "&amp;'FEMA Disasters'!$D$2:$D$1000&amp;" ["&amp;'FEMA Disasters'!$B$2:$B$1000&amp;"] "&amp;'FEMA Disasters'!$C$2:$C$1000&amp;"-"&amp;'FEMA Disasters'!$A$2:$A$1000,""))</f>
        <v/>
      </c>
      <c r="H114" s="4" t="n">
        <f aca="false">COUNTIF(Events!$A$2:$A$397,$A114)</f>
        <v>0</v>
      </c>
      <c r="I114" s="6" t="str">
        <f aca="false" t="array" ref="I114:I114">_xlfn.TEXTJOIN(" | ",TRUE(),IF(Events!$A$2:$A$397=$A114,Events!$E$2:$E$397&amp;IF(Events!$G$2:$G$397="National",""," ["&amp;Events!$G$2:$G$397&amp;"]"),""))</f>
        <v/>
      </c>
    </row>
    <row r="115" customFormat="false" ht="15" hidden="false" customHeight="true" outlineLevel="0" collapsed="false">
      <c r="A115" s="3" t="n">
        <v>45405</v>
      </c>
      <c r="B115" s="4" t="n">
        <f aca="false">YEAR($A115)</f>
        <v>2024</v>
      </c>
      <c r="C115" s="4" t="n">
        <f aca="false">MONTH($A115)</f>
        <v>4</v>
      </c>
      <c r="D115" s="4" t="str">
        <f aca="false">TEXT($A115,"ddd")</f>
        <v>Tue</v>
      </c>
      <c r="E115" s="4" t="n">
        <f aca="false">IF(OR(AND(MONTH($A115)=10,DAY($A115)&gt;=15),MONTH($A115)=11,AND(MONTH($A115)=12,DAY($A115)&lt;=7)),1,0)</f>
        <v>0</v>
      </c>
      <c r="F115" s="4" t="n">
        <f aca="false">IF(MONTH($A115)&lt;=3,1,0)</f>
        <v>0</v>
      </c>
      <c r="G115" s="4" t="str">
        <f aca="false" t="array" ref="G115:G115">_xlfn.TEXTJOIN(" | ",TRUE(),IF('FEMA Disasters'!$F$2:$F$1000=$A115,'FEMA Disasters'!$D$2:$D$1000&amp;" begin: ["&amp;'FEMA Disasters'!$B$2:$B$1000&amp;"] "&amp;'FEMA Disasters'!$C$2:$C$1000&amp;"-"&amp;'FEMA Disasters'!$A$2:$A$1000,""),IF('FEMA Disasters'!$G$2:$G$1000=$A115,'FEMA Disasters'!$D$2:$D$1000&amp;" ended: ["&amp;'FEMA Disasters'!$B$2:$B$1000&amp;"] "&amp;'FEMA Disasters'!$C$2:$C$1000&amp;"-"&amp;'FEMA Disasters'!$A$2:$A$1000,""),IF('FEMA Disasters'!$K$2:$K$1000=$A115,"Disaster SEP opens: "&amp;'FEMA Disasters'!$D$2:$D$1000&amp;" ["&amp;'FEMA Disasters'!$B$2:$B$1000&amp;"] "&amp;'FEMA Disasters'!$C$2:$C$1000&amp;"-"&amp;'FEMA Disasters'!$A$2:$A$1000,""),IF('FEMA Disasters'!$L$2:$L$1000=$A115,"Disaster SEP ended: "&amp;'FEMA Disasters'!$D$2:$D$1000&amp;" ["&amp;'FEMA Disasters'!$B$2:$B$1000&amp;"] "&amp;'FEMA Disasters'!$C$2:$C$1000&amp;"-"&amp;'FEMA Disasters'!$A$2:$A$1000,""))</f>
        <v/>
      </c>
      <c r="H115" s="4" t="n">
        <f aca="false">COUNTIF(Events!$A$2:$A$397,$A115)</f>
        <v>0</v>
      </c>
      <c r="I115" s="6" t="str">
        <f aca="false" t="array" ref="I115:I115">_xlfn.TEXTJOIN(" | ",TRUE(),IF(Events!$A$2:$A$397=$A115,Events!$E$2:$E$397&amp;IF(Events!$G$2:$G$397="National",""," ["&amp;Events!$G$2:$G$397&amp;"]"),""))</f>
        <v/>
      </c>
    </row>
    <row r="116" customFormat="false" ht="15" hidden="false" customHeight="true" outlineLevel="0" collapsed="false">
      <c r="A116" s="3" t="n">
        <v>45406</v>
      </c>
      <c r="B116" s="4" t="n">
        <f aca="false">YEAR($A116)</f>
        <v>2024</v>
      </c>
      <c r="C116" s="4" t="n">
        <f aca="false">MONTH($A116)</f>
        <v>4</v>
      </c>
      <c r="D116" s="4" t="str">
        <f aca="false">TEXT($A116,"ddd")</f>
        <v>Wed</v>
      </c>
      <c r="E116" s="4" t="n">
        <f aca="false">IF(OR(AND(MONTH($A116)=10,DAY($A116)&gt;=15),MONTH($A116)=11,AND(MONTH($A116)=12,DAY($A116)&lt;=7)),1,0)</f>
        <v>0</v>
      </c>
      <c r="F116" s="4" t="n">
        <f aca="false">IF(MONTH($A116)&lt;=3,1,0)</f>
        <v>0</v>
      </c>
      <c r="G116" s="4" t="str">
        <f aca="false" t="array" ref="G116:G116">_xlfn.TEXTJOIN(" | ",TRUE(),IF('FEMA Disasters'!$F$2:$F$1000=$A116,'FEMA Disasters'!$D$2:$D$1000&amp;" begin: ["&amp;'FEMA Disasters'!$B$2:$B$1000&amp;"] "&amp;'FEMA Disasters'!$C$2:$C$1000&amp;"-"&amp;'FEMA Disasters'!$A$2:$A$1000,""),IF('FEMA Disasters'!$G$2:$G$1000=$A116,'FEMA Disasters'!$D$2:$D$1000&amp;" ended: ["&amp;'FEMA Disasters'!$B$2:$B$1000&amp;"] "&amp;'FEMA Disasters'!$C$2:$C$1000&amp;"-"&amp;'FEMA Disasters'!$A$2:$A$1000,""),IF('FEMA Disasters'!$K$2:$K$1000=$A116,"Disaster SEP opens: "&amp;'FEMA Disasters'!$D$2:$D$1000&amp;" ["&amp;'FEMA Disasters'!$B$2:$B$1000&amp;"] "&amp;'FEMA Disasters'!$C$2:$C$1000&amp;"-"&amp;'FEMA Disasters'!$A$2:$A$1000,""),IF('FEMA Disasters'!$L$2:$L$1000=$A116,"Disaster SEP ended: "&amp;'FEMA Disasters'!$D$2:$D$1000&amp;" ["&amp;'FEMA Disasters'!$B$2:$B$1000&amp;"] "&amp;'FEMA Disasters'!$C$2:$C$1000&amp;"-"&amp;'FEMA Disasters'!$A$2:$A$1000,""))</f>
        <v/>
      </c>
      <c r="H116" s="4" t="n">
        <f aca="false">COUNTIF(Events!$A$2:$A$397,$A116)</f>
        <v>0</v>
      </c>
      <c r="I116" s="6" t="str">
        <f aca="false" t="array" ref="I116:I116">_xlfn.TEXTJOIN(" | ",TRUE(),IF(Events!$A$2:$A$397=$A116,Events!$E$2:$E$397&amp;IF(Events!$G$2:$G$397="National",""," ["&amp;Events!$G$2:$G$397&amp;"]"),""))</f>
        <v/>
      </c>
    </row>
    <row r="117" customFormat="false" ht="15" hidden="false" customHeight="true" outlineLevel="0" collapsed="false">
      <c r="A117" s="3" t="n">
        <v>45407</v>
      </c>
      <c r="B117" s="4" t="n">
        <f aca="false">YEAR($A117)</f>
        <v>2024</v>
      </c>
      <c r="C117" s="4" t="n">
        <f aca="false">MONTH($A117)</f>
        <v>4</v>
      </c>
      <c r="D117" s="4" t="str">
        <f aca="false">TEXT($A117,"ddd")</f>
        <v>Thu</v>
      </c>
      <c r="E117" s="4" t="n">
        <f aca="false">IF(OR(AND(MONTH($A117)=10,DAY($A117)&gt;=15),MONTH($A117)=11,AND(MONTH($A117)=12,DAY($A117)&lt;=7)),1,0)</f>
        <v>0</v>
      </c>
      <c r="F117" s="4" t="n">
        <f aca="false">IF(MONTH($A117)&lt;=3,1,0)</f>
        <v>0</v>
      </c>
      <c r="G117" s="4" t="str">
        <f aca="false" t="array" ref="G117:G117">_xlfn.TEXTJOIN(" | ",TRUE(),IF('FEMA Disasters'!$F$2:$F$1000=$A117,'FEMA Disasters'!$D$2:$D$1000&amp;" begin: ["&amp;'FEMA Disasters'!$B$2:$B$1000&amp;"] "&amp;'FEMA Disasters'!$C$2:$C$1000&amp;"-"&amp;'FEMA Disasters'!$A$2:$A$1000,""),IF('FEMA Disasters'!$G$2:$G$1000=$A117,'FEMA Disasters'!$D$2:$D$1000&amp;" ended: ["&amp;'FEMA Disasters'!$B$2:$B$1000&amp;"] "&amp;'FEMA Disasters'!$C$2:$C$1000&amp;"-"&amp;'FEMA Disasters'!$A$2:$A$1000,""),IF('FEMA Disasters'!$K$2:$K$1000=$A117,"Disaster SEP opens: "&amp;'FEMA Disasters'!$D$2:$D$1000&amp;" ["&amp;'FEMA Disasters'!$B$2:$B$1000&amp;"] "&amp;'FEMA Disasters'!$C$2:$C$1000&amp;"-"&amp;'FEMA Disasters'!$A$2:$A$1000,""),IF('FEMA Disasters'!$L$2:$L$1000=$A117,"Disaster SEP ended: "&amp;'FEMA Disasters'!$D$2:$D$1000&amp;" ["&amp;'FEMA Disasters'!$B$2:$B$1000&amp;"] "&amp;'FEMA Disasters'!$C$2:$C$1000&amp;"-"&amp;'FEMA Disasters'!$A$2:$A$1000,""))</f>
        <v>Tornado begin: [OK] DR-4776 | Tornado begin: [NE] DR-4778 | Severe Storm begin: [KS] DR-4800 | Disaster SEP opens: Tornado [OK] DR-4776 | Disaster SEP opens: Tornado [NE] DR-4778 | Disaster SEP opens: Severe Storm [KS] DR-4800</v>
      </c>
      <c r="H117" s="4" t="n">
        <f aca="false">COUNTIF(Events!$A$2:$A$397,$A117)</f>
        <v>0</v>
      </c>
      <c r="I117" s="6" t="str">
        <f aca="false" t="array" ref="I117:I117">_xlfn.TEXTJOIN(" | ",TRUE(),IF(Events!$A$2:$A$397=$A117,Events!$E$2:$E$397&amp;IF(Events!$G$2:$G$397="National",""," ["&amp;Events!$G$2:$G$397&amp;"]"),""))</f>
        <v/>
      </c>
    </row>
    <row r="118" customFormat="false" ht="15" hidden="false" customHeight="true" outlineLevel="0" collapsed="false">
      <c r="A118" s="3" t="n">
        <v>45408</v>
      </c>
      <c r="B118" s="4" t="n">
        <f aca="false">YEAR($A118)</f>
        <v>2024</v>
      </c>
      <c r="C118" s="4" t="n">
        <f aca="false">MONTH($A118)</f>
        <v>4</v>
      </c>
      <c r="D118" s="4" t="str">
        <f aca="false">TEXT($A118,"ddd")</f>
        <v>Fri</v>
      </c>
      <c r="E118" s="4" t="n">
        <f aca="false">IF(OR(AND(MONTH($A118)=10,DAY($A118)&gt;=15),MONTH($A118)=11,AND(MONTH($A118)=12,DAY($A118)&lt;=7)),1,0)</f>
        <v>0</v>
      </c>
      <c r="F118" s="4" t="n">
        <f aca="false">IF(MONTH($A118)&lt;=3,1,0)</f>
        <v>0</v>
      </c>
      <c r="G118" s="4" t="str">
        <f aca="false" t="array" ref="G118:G118">_xlfn.TEXTJOIN(" | ",TRUE(),IF('FEMA Disasters'!$F$2:$F$1000=$A118,'FEMA Disasters'!$D$2:$D$1000&amp;" begin: ["&amp;'FEMA Disasters'!$B$2:$B$1000&amp;"] "&amp;'FEMA Disasters'!$C$2:$C$1000&amp;"-"&amp;'FEMA Disasters'!$A$2:$A$1000,""),IF('FEMA Disasters'!$G$2:$G$1000=$A118,'FEMA Disasters'!$D$2:$D$1000&amp;" ended: ["&amp;'FEMA Disasters'!$B$2:$B$1000&amp;"] "&amp;'FEMA Disasters'!$C$2:$C$1000&amp;"-"&amp;'FEMA Disasters'!$A$2:$A$1000,""),IF('FEMA Disasters'!$K$2:$K$1000=$A118,"Disaster SEP opens: "&amp;'FEMA Disasters'!$D$2:$D$1000&amp;" ["&amp;'FEMA Disasters'!$B$2:$B$1000&amp;"] "&amp;'FEMA Disasters'!$C$2:$C$1000&amp;"-"&amp;'FEMA Disasters'!$A$2:$A$1000,""),IF('FEMA Disasters'!$L$2:$L$1000=$A118,"Disaster SEP ended: "&amp;'FEMA Disasters'!$D$2:$D$1000&amp;" ["&amp;'FEMA Disasters'!$B$2:$B$1000&amp;"] "&amp;'FEMA Disasters'!$C$2:$C$1000&amp;"-"&amp;'FEMA Disasters'!$A$2:$A$1000,""))</f>
        <v>Tornado begin: [IA] DR-4779 | Flood begin: [TX] DR-4781 | Disaster SEP opens: Tornado [IA] DR-4779 | Disaster SEP opens: Flood [TX] DR-4781</v>
      </c>
      <c r="H118" s="4" t="n">
        <f aca="false">COUNTIF(Events!$A$2:$A$397,$A118)</f>
        <v>0</v>
      </c>
      <c r="I118" s="6" t="str">
        <f aca="false" t="array" ref="I118:I118">_xlfn.TEXTJOIN(" | ",TRUE(),IF(Events!$A$2:$A$397=$A118,Events!$E$2:$E$397&amp;IF(Events!$G$2:$G$397="National",""," ["&amp;Events!$G$2:$G$397&amp;"]"),""))</f>
        <v/>
      </c>
    </row>
    <row r="119" customFormat="false" ht="15" hidden="false" customHeight="true" outlineLevel="0" collapsed="false">
      <c r="A119" s="3" t="n">
        <v>45409</v>
      </c>
      <c r="B119" s="4" t="n">
        <f aca="false">YEAR($A119)</f>
        <v>2024</v>
      </c>
      <c r="C119" s="4" t="n">
        <f aca="false">MONTH($A119)</f>
        <v>4</v>
      </c>
      <c r="D119" s="4" t="str">
        <f aca="false">TEXT($A119,"ddd")</f>
        <v>Sat</v>
      </c>
      <c r="E119" s="4" t="n">
        <f aca="false">IF(OR(AND(MONTH($A119)=10,DAY($A119)&gt;=15),MONTH($A119)=11,AND(MONTH($A119)=12,DAY($A119)&lt;=7)),1,0)</f>
        <v>0</v>
      </c>
      <c r="F119" s="4" t="n">
        <f aca="false">IF(MONTH($A119)&lt;=3,1,0)</f>
        <v>0</v>
      </c>
      <c r="G119" s="4" t="str">
        <f aca="false" t="array" ref="G119:G119">_xlfn.TEXTJOIN(" | ",TRUE(),IF('FEMA Disasters'!$F$2:$F$1000=$A119,'FEMA Disasters'!$D$2:$D$1000&amp;" begin: ["&amp;'FEMA Disasters'!$B$2:$B$1000&amp;"] "&amp;'FEMA Disasters'!$C$2:$C$1000&amp;"-"&amp;'FEMA Disasters'!$A$2:$A$1000,""),IF('FEMA Disasters'!$G$2:$G$1000=$A119,'FEMA Disasters'!$D$2:$D$1000&amp;" ended: ["&amp;'FEMA Disasters'!$B$2:$B$1000&amp;"] "&amp;'FEMA Disasters'!$C$2:$C$1000&amp;"-"&amp;'FEMA Disasters'!$A$2:$A$1000,""),IF('FEMA Disasters'!$K$2:$K$1000=$A119,"Disaster SEP opens: "&amp;'FEMA Disasters'!$D$2:$D$1000&amp;" ["&amp;'FEMA Disasters'!$B$2:$B$1000&amp;"] "&amp;'FEMA Disasters'!$C$2:$C$1000&amp;"-"&amp;'FEMA Disasters'!$A$2:$A$1000,""),IF('FEMA Disasters'!$L$2:$L$1000=$A119,"Disaster SEP ended: "&amp;'FEMA Disasters'!$D$2:$D$1000&amp;" ["&amp;'FEMA Disasters'!$B$2:$B$1000&amp;"] "&amp;'FEMA Disasters'!$C$2:$C$1000&amp;"-"&amp;'FEMA Disasters'!$A$2:$A$1000,""))</f>
        <v>Tornado ended: [NE] DR-4778 | Tornado ended: [IA] DR-4779</v>
      </c>
      <c r="H119" s="4" t="n">
        <f aca="false">COUNTIF(Events!$A$2:$A$397,$A119)</f>
        <v>0</v>
      </c>
      <c r="I119" s="6" t="str">
        <f aca="false" t="array" ref="I119:I119">_xlfn.TEXTJOIN(" | ",TRUE(),IF(Events!$A$2:$A$397=$A119,Events!$E$2:$E$397&amp;IF(Events!$G$2:$G$397="National",""," ["&amp;Events!$G$2:$G$397&amp;"]"),""))</f>
        <v/>
      </c>
    </row>
    <row r="120" customFormat="false" ht="15" hidden="false" customHeight="true" outlineLevel="0" collapsed="false">
      <c r="A120" s="3" t="n">
        <v>45410</v>
      </c>
      <c r="B120" s="4" t="n">
        <f aca="false">YEAR($A120)</f>
        <v>2024</v>
      </c>
      <c r="C120" s="4" t="n">
        <f aca="false">MONTH($A120)</f>
        <v>4</v>
      </c>
      <c r="D120" s="4" t="str">
        <f aca="false">TEXT($A120,"ddd")</f>
        <v>Sun</v>
      </c>
      <c r="E120" s="4" t="n">
        <f aca="false">IF(OR(AND(MONTH($A120)=10,DAY($A120)&gt;=15),MONTH($A120)=11,AND(MONTH($A120)=12,DAY($A120)&lt;=7)),1,0)</f>
        <v>0</v>
      </c>
      <c r="F120" s="4" t="n">
        <f aca="false">IF(MONTH($A120)&lt;=3,1,0)</f>
        <v>0</v>
      </c>
      <c r="G120" s="4" t="str">
        <f aca="false" t="array" ref="G120:G120">_xlfn.TEXTJOIN(" | ",TRUE(),IF('FEMA Disasters'!$F$2:$F$1000=$A120,'FEMA Disasters'!$D$2:$D$1000&amp;" begin: ["&amp;'FEMA Disasters'!$B$2:$B$1000&amp;"] "&amp;'FEMA Disasters'!$C$2:$C$1000&amp;"-"&amp;'FEMA Disasters'!$A$2:$A$1000,""),IF('FEMA Disasters'!$G$2:$G$1000=$A120,'FEMA Disasters'!$D$2:$D$1000&amp;" ended: ["&amp;'FEMA Disasters'!$B$2:$B$1000&amp;"] "&amp;'FEMA Disasters'!$C$2:$C$1000&amp;"-"&amp;'FEMA Disasters'!$A$2:$A$1000,""),IF('FEMA Disasters'!$K$2:$K$1000=$A120,"Disaster SEP opens: "&amp;'FEMA Disasters'!$D$2:$D$1000&amp;" ["&amp;'FEMA Disasters'!$B$2:$B$1000&amp;"] "&amp;'FEMA Disasters'!$C$2:$C$1000&amp;"-"&amp;'FEMA Disasters'!$A$2:$A$1000,""),IF('FEMA Disasters'!$L$2:$L$1000=$A120,"Disaster SEP ended: "&amp;'FEMA Disasters'!$D$2:$D$1000&amp;" ["&amp;'FEMA Disasters'!$B$2:$B$1000&amp;"] "&amp;'FEMA Disasters'!$C$2:$C$1000&amp;"-"&amp;'FEMA Disasters'!$A$2:$A$1000,""))</f>
        <v/>
      </c>
      <c r="H120" s="4" t="n">
        <f aca="false">COUNTIF(Events!$A$2:$A$397,$A120)</f>
        <v>0</v>
      </c>
      <c r="I120" s="6" t="str">
        <f aca="false" t="array" ref="I120:I120">_xlfn.TEXTJOIN(" | ",TRUE(),IF(Events!$A$2:$A$397=$A120,Events!$E$2:$E$397&amp;IF(Events!$G$2:$G$397="National",""," ["&amp;Events!$G$2:$G$397&amp;"]"),""))</f>
        <v/>
      </c>
    </row>
    <row r="121" customFormat="false" ht="15" hidden="false" customHeight="true" outlineLevel="0" collapsed="false">
      <c r="A121" s="3" t="n">
        <v>45411</v>
      </c>
      <c r="B121" s="4" t="n">
        <f aca="false">YEAR($A121)</f>
        <v>2024</v>
      </c>
      <c r="C121" s="4" t="n">
        <f aca="false">MONTH($A121)</f>
        <v>4</v>
      </c>
      <c r="D121" s="4" t="str">
        <f aca="false">TEXT($A121,"ddd")</f>
        <v>Mon</v>
      </c>
      <c r="E121" s="4" t="n">
        <f aca="false">IF(OR(AND(MONTH($A121)=10,DAY($A121)&gt;=15),MONTH($A121)=11,AND(MONTH($A121)=12,DAY($A121)&lt;=7)),1,0)</f>
        <v>0</v>
      </c>
      <c r="F121" s="4" t="n">
        <f aca="false">IF(MONTH($A121)&lt;=3,1,0)</f>
        <v>0</v>
      </c>
      <c r="G121" s="4" t="str">
        <f aca="false" t="array" ref="G121:G121">_xlfn.TEXTJOIN(" | ",TRUE(),IF('FEMA Disasters'!$F$2:$F$1000=$A121,'FEMA Disasters'!$D$2:$D$1000&amp;" begin: ["&amp;'FEMA Disasters'!$B$2:$B$1000&amp;"] "&amp;'FEMA Disasters'!$C$2:$C$1000&amp;"-"&amp;'FEMA Disasters'!$A$2:$A$1000,""),IF('FEMA Disasters'!$G$2:$G$1000=$A121,'FEMA Disasters'!$D$2:$D$1000&amp;" ended: ["&amp;'FEMA Disasters'!$B$2:$B$1000&amp;"] "&amp;'FEMA Disasters'!$C$2:$C$1000&amp;"-"&amp;'FEMA Disasters'!$A$2:$A$1000,""),IF('FEMA Disasters'!$K$2:$K$1000=$A121,"Disaster SEP opens: "&amp;'FEMA Disasters'!$D$2:$D$1000&amp;" ["&amp;'FEMA Disasters'!$B$2:$B$1000&amp;"] "&amp;'FEMA Disasters'!$C$2:$C$1000&amp;"-"&amp;'FEMA Disasters'!$A$2:$A$1000,""),IF('FEMA Disasters'!$L$2:$L$1000=$A121,"Disaster SEP ended: "&amp;'FEMA Disasters'!$D$2:$D$1000&amp;" ["&amp;'FEMA Disasters'!$B$2:$B$1000&amp;"] "&amp;'FEMA Disasters'!$C$2:$C$1000&amp;"-"&amp;'FEMA Disasters'!$A$2:$A$1000,""))</f>
        <v>Flood begin: [PR] DR-4805 | Disaster SEP opens: Flood [PR] DR-4805</v>
      </c>
      <c r="H121" s="4" t="n">
        <f aca="false">COUNTIF(Events!$A$2:$A$397,$A121)</f>
        <v>0</v>
      </c>
      <c r="I121" s="6" t="str">
        <f aca="false" t="array" ref="I121:I121">_xlfn.TEXTJOIN(" | ",TRUE(),IF(Events!$A$2:$A$397=$A121,Events!$E$2:$E$397&amp;IF(Events!$G$2:$G$397="National",""," ["&amp;Events!$G$2:$G$397&amp;"]"),""))</f>
        <v/>
      </c>
    </row>
    <row r="122" customFormat="false" ht="15" hidden="false" customHeight="true" outlineLevel="0" collapsed="false">
      <c r="A122" s="3" t="n">
        <v>45412</v>
      </c>
      <c r="B122" s="4" t="n">
        <f aca="false">YEAR($A122)</f>
        <v>2024</v>
      </c>
      <c r="C122" s="4" t="n">
        <f aca="false">MONTH($A122)</f>
        <v>4</v>
      </c>
      <c r="D122" s="4" t="str">
        <f aca="false">TEXT($A122,"ddd")</f>
        <v>Tue</v>
      </c>
      <c r="E122" s="4" t="n">
        <f aca="false">IF(OR(AND(MONTH($A122)=10,DAY($A122)&gt;=15),MONTH($A122)=11,AND(MONTH($A122)=12,DAY($A122)&lt;=7)),1,0)</f>
        <v>0</v>
      </c>
      <c r="F122" s="4" t="n">
        <f aca="false">IF(MONTH($A122)&lt;=3,1,0)</f>
        <v>0</v>
      </c>
      <c r="G122" s="4" t="str">
        <f aca="false" t="array" ref="G122:G122">_xlfn.TEXTJOIN(" | ",TRUE(),IF('FEMA Disasters'!$F$2:$F$1000=$A122,'FEMA Disasters'!$D$2:$D$1000&amp;" begin: ["&amp;'FEMA Disasters'!$B$2:$B$1000&amp;"] "&amp;'FEMA Disasters'!$C$2:$C$1000&amp;"-"&amp;'FEMA Disasters'!$A$2:$A$1000,""),IF('FEMA Disasters'!$G$2:$G$1000=$A122,'FEMA Disasters'!$D$2:$D$1000&amp;" ended: ["&amp;'FEMA Disasters'!$B$2:$B$1000&amp;"] "&amp;'FEMA Disasters'!$C$2:$C$1000&amp;"-"&amp;'FEMA Disasters'!$A$2:$A$1000,""),IF('FEMA Disasters'!$K$2:$K$1000=$A122,"Disaster SEP opens: "&amp;'FEMA Disasters'!$D$2:$D$1000&amp;" ["&amp;'FEMA Disasters'!$B$2:$B$1000&amp;"] "&amp;'FEMA Disasters'!$C$2:$C$1000&amp;"-"&amp;'FEMA Disasters'!$A$2:$A$1000,""),IF('FEMA Disasters'!$L$2:$L$1000=$A122,"Disaster SEP ended: "&amp;'FEMA Disasters'!$D$2:$D$1000&amp;" ["&amp;'FEMA Disasters'!$B$2:$B$1000&amp;"] "&amp;'FEMA Disasters'!$C$2:$C$1000&amp;"-"&amp;'FEMA Disasters'!$A$2:$A$1000,""))</f>
        <v>Severe Storm ended: [KS] DR-4800</v>
      </c>
      <c r="H122" s="4" t="n">
        <f aca="false">COUNTIF(Events!$A$2:$A$397,$A122)</f>
        <v>0</v>
      </c>
      <c r="I122" s="6" t="str">
        <f aca="false" t="array" ref="I122:I122">_xlfn.TEXTJOIN(" | ",TRUE(),IF(Events!$A$2:$A$397=$A122,Events!$E$2:$E$397&amp;IF(Events!$G$2:$G$397="National",""," ["&amp;Events!$G$2:$G$397&amp;"]"),""))</f>
        <v/>
      </c>
    </row>
    <row r="123" customFormat="false" ht="15" hidden="false" customHeight="true" outlineLevel="0" collapsed="false">
      <c r="A123" s="3" t="n">
        <v>45413</v>
      </c>
      <c r="B123" s="4" t="n">
        <f aca="false">YEAR($A123)</f>
        <v>2024</v>
      </c>
      <c r="C123" s="4" t="n">
        <f aca="false">MONTH($A123)</f>
        <v>5</v>
      </c>
      <c r="D123" s="4" t="str">
        <f aca="false">TEXT($A123,"ddd")</f>
        <v>Wed</v>
      </c>
      <c r="E123" s="4" t="n">
        <f aca="false">IF(OR(AND(MONTH($A123)=10,DAY($A123)&gt;=15),MONTH($A123)=11,AND(MONTH($A123)=12,DAY($A123)&lt;=7)),1,0)</f>
        <v>0</v>
      </c>
      <c r="F123" s="4" t="n">
        <f aca="false">IF(MONTH($A123)&lt;=3,1,0)</f>
        <v>0</v>
      </c>
      <c r="G123" s="4" t="str">
        <f aca="false" t="array" ref="G123:G123">_xlfn.TEXTJOIN(" | ",TRUE(),IF('FEMA Disasters'!$F$2:$F$1000=$A123,'FEMA Disasters'!$D$2:$D$1000&amp;" begin: ["&amp;'FEMA Disasters'!$B$2:$B$1000&amp;"] "&amp;'FEMA Disasters'!$C$2:$C$1000&amp;"-"&amp;'FEMA Disasters'!$A$2:$A$1000,""),IF('FEMA Disasters'!$G$2:$G$1000=$A123,'FEMA Disasters'!$D$2:$D$1000&amp;" ended: ["&amp;'FEMA Disasters'!$B$2:$B$1000&amp;"] "&amp;'FEMA Disasters'!$C$2:$C$1000&amp;"-"&amp;'FEMA Disasters'!$A$2:$A$1000,""),IF('FEMA Disasters'!$K$2:$K$1000=$A123,"Disaster SEP opens: "&amp;'FEMA Disasters'!$D$2:$D$1000&amp;" ["&amp;'FEMA Disasters'!$B$2:$B$1000&amp;"] "&amp;'FEMA Disasters'!$C$2:$C$1000&amp;"-"&amp;'FEMA Disasters'!$A$2:$A$1000,""),IF('FEMA Disasters'!$L$2:$L$1000=$A123,"Disaster SEP ended: "&amp;'FEMA Disasters'!$D$2:$D$1000&amp;" ["&amp;'FEMA Disasters'!$B$2:$B$1000&amp;"] "&amp;'FEMA Disasters'!$C$2:$C$1000&amp;"-"&amp;'FEMA Disasters'!$A$2:$A$1000,""))</f>
        <v/>
      </c>
      <c r="H123" s="4" t="n">
        <f aca="false">COUNTIF(Events!$A$2:$A$397,$A123)</f>
        <v>0</v>
      </c>
      <c r="I123" s="6" t="str">
        <f aca="false" t="array" ref="I123:I123">_xlfn.TEXTJOIN(" | ",TRUE(),IF(Events!$A$2:$A$397=$A123,Events!$E$2:$E$397&amp;IF(Events!$G$2:$G$397="National",""," ["&amp;Events!$G$2:$G$397&amp;"]"),""))</f>
        <v/>
      </c>
    </row>
    <row r="124" customFormat="false" ht="15" hidden="false" customHeight="true" outlineLevel="0" collapsed="false">
      <c r="A124" s="3" t="n">
        <v>45414</v>
      </c>
      <c r="B124" s="4" t="n">
        <f aca="false">YEAR($A124)</f>
        <v>2024</v>
      </c>
      <c r="C124" s="4" t="n">
        <f aca="false">MONTH($A124)</f>
        <v>5</v>
      </c>
      <c r="D124" s="4" t="str">
        <f aca="false">TEXT($A124,"ddd")</f>
        <v>Thu</v>
      </c>
      <c r="E124" s="4" t="n">
        <f aca="false">IF(OR(AND(MONTH($A124)=10,DAY($A124)&gt;=15),MONTH($A124)=11,AND(MONTH($A124)=12,DAY($A124)&lt;=7)),1,0)</f>
        <v>0</v>
      </c>
      <c r="F124" s="4" t="n">
        <f aca="false">IF(MONTH($A124)&lt;=3,1,0)</f>
        <v>0</v>
      </c>
      <c r="G124" s="4" t="str">
        <f aca="false" t="array" ref="G124:G124">_xlfn.TEXTJOIN(" | ",TRUE(),IF('FEMA Disasters'!$F$2:$F$1000=$A124,'FEMA Disasters'!$D$2:$D$1000&amp;" begin: ["&amp;'FEMA Disasters'!$B$2:$B$1000&amp;"] "&amp;'FEMA Disasters'!$C$2:$C$1000&amp;"-"&amp;'FEMA Disasters'!$A$2:$A$1000,""),IF('FEMA Disasters'!$G$2:$G$1000=$A124,'FEMA Disasters'!$D$2:$D$1000&amp;" ended: ["&amp;'FEMA Disasters'!$B$2:$B$1000&amp;"] "&amp;'FEMA Disasters'!$C$2:$C$1000&amp;"-"&amp;'FEMA Disasters'!$A$2:$A$1000,""),IF('FEMA Disasters'!$K$2:$K$1000=$A124,"Disaster SEP opens: "&amp;'FEMA Disasters'!$D$2:$D$1000&amp;" ["&amp;'FEMA Disasters'!$B$2:$B$1000&amp;"] "&amp;'FEMA Disasters'!$C$2:$C$1000&amp;"-"&amp;'FEMA Disasters'!$A$2:$A$1000,""),IF('FEMA Disasters'!$L$2:$L$1000=$A124,"Disaster SEP ended: "&amp;'FEMA Disasters'!$D$2:$D$1000&amp;" ["&amp;'FEMA Disasters'!$B$2:$B$1000&amp;"] "&amp;'FEMA Disasters'!$C$2:$C$1000&amp;"-"&amp;'FEMA Disasters'!$A$2:$A$1000,""))</f>
        <v/>
      </c>
      <c r="H124" s="4" t="n">
        <f aca="false">COUNTIF(Events!$A$2:$A$397,$A124)</f>
        <v>0</v>
      </c>
      <c r="I124" s="6" t="str">
        <f aca="false" t="array" ref="I124:I124">_xlfn.TEXTJOIN(" | ",TRUE(),IF(Events!$A$2:$A$397=$A124,Events!$E$2:$E$397&amp;IF(Events!$G$2:$G$397="National",""," ["&amp;Events!$G$2:$G$397&amp;"]"),""))</f>
        <v/>
      </c>
    </row>
    <row r="125" customFormat="false" ht="15" hidden="false" customHeight="true" outlineLevel="0" collapsed="false">
      <c r="A125" s="3" t="n">
        <v>45415</v>
      </c>
      <c r="B125" s="4" t="n">
        <f aca="false">YEAR($A125)</f>
        <v>2024</v>
      </c>
      <c r="C125" s="4" t="n">
        <f aca="false">MONTH($A125)</f>
        <v>5</v>
      </c>
      <c r="D125" s="4" t="str">
        <f aca="false">TEXT($A125,"ddd")</f>
        <v>Fri</v>
      </c>
      <c r="E125" s="4" t="n">
        <f aca="false">IF(OR(AND(MONTH($A125)=10,DAY($A125)&gt;=15),MONTH($A125)=11,AND(MONTH($A125)=12,DAY($A125)&lt;=7)),1,0)</f>
        <v>0</v>
      </c>
      <c r="F125" s="4" t="n">
        <f aca="false">IF(MONTH($A125)&lt;=3,1,0)</f>
        <v>0</v>
      </c>
      <c r="G125" s="4" t="str">
        <f aca="false" t="array" ref="G125:G125">_xlfn.TEXTJOIN(" | ",TRUE(),IF('FEMA Disasters'!$F$2:$F$1000=$A125,'FEMA Disasters'!$D$2:$D$1000&amp;" begin: ["&amp;'FEMA Disasters'!$B$2:$B$1000&amp;"] "&amp;'FEMA Disasters'!$C$2:$C$1000&amp;"-"&amp;'FEMA Disasters'!$A$2:$A$1000,""),IF('FEMA Disasters'!$G$2:$G$1000=$A125,'FEMA Disasters'!$D$2:$D$1000&amp;" ended: ["&amp;'FEMA Disasters'!$B$2:$B$1000&amp;"] "&amp;'FEMA Disasters'!$C$2:$C$1000&amp;"-"&amp;'FEMA Disasters'!$A$2:$A$1000,""),IF('FEMA Disasters'!$K$2:$K$1000=$A125,"Disaster SEP opens: "&amp;'FEMA Disasters'!$D$2:$D$1000&amp;" ["&amp;'FEMA Disasters'!$B$2:$B$1000&amp;"] "&amp;'FEMA Disasters'!$C$2:$C$1000&amp;"-"&amp;'FEMA Disasters'!$A$2:$A$1000,""),IF('FEMA Disasters'!$L$2:$L$1000=$A125,"Disaster SEP ended: "&amp;'FEMA Disasters'!$D$2:$D$1000&amp;" ["&amp;'FEMA Disasters'!$B$2:$B$1000&amp;"] "&amp;'FEMA Disasters'!$C$2:$C$1000&amp;"-"&amp;'FEMA Disasters'!$A$2:$A$1000,""))</f>
        <v/>
      </c>
      <c r="H125" s="4" t="n">
        <f aca="false">COUNTIF(Events!$A$2:$A$397,$A125)</f>
        <v>0</v>
      </c>
      <c r="I125" s="6" t="str">
        <f aca="false" t="array" ref="I125:I125">_xlfn.TEXTJOIN(" | ",TRUE(),IF(Events!$A$2:$A$397=$A125,Events!$E$2:$E$397&amp;IF(Events!$G$2:$G$397="National",""," ["&amp;Events!$G$2:$G$397&amp;"]"),""))</f>
        <v/>
      </c>
    </row>
    <row r="126" customFormat="false" ht="15" hidden="false" customHeight="true" outlineLevel="0" collapsed="false">
      <c r="A126" s="3" t="n">
        <v>45416</v>
      </c>
      <c r="B126" s="4" t="n">
        <f aca="false">YEAR($A126)</f>
        <v>2024</v>
      </c>
      <c r="C126" s="4" t="n">
        <f aca="false">MONTH($A126)</f>
        <v>5</v>
      </c>
      <c r="D126" s="4" t="str">
        <f aca="false">TEXT($A126,"ddd")</f>
        <v>Sat</v>
      </c>
      <c r="E126" s="4" t="n">
        <f aca="false">IF(OR(AND(MONTH($A126)=10,DAY($A126)&gt;=15),MONTH($A126)=11,AND(MONTH($A126)=12,DAY($A126)&lt;=7)),1,0)</f>
        <v>0</v>
      </c>
      <c r="F126" s="4" t="n">
        <f aca="false">IF(MONTH($A126)&lt;=3,1,0)</f>
        <v>0</v>
      </c>
      <c r="G126" s="4" t="str">
        <f aca="false" t="array" ref="G126:G126">_xlfn.TEXTJOIN(" | ",TRUE(),IF('FEMA Disasters'!$F$2:$F$1000=$A126,'FEMA Disasters'!$D$2:$D$1000&amp;" begin: ["&amp;'FEMA Disasters'!$B$2:$B$1000&amp;"] "&amp;'FEMA Disasters'!$C$2:$C$1000&amp;"-"&amp;'FEMA Disasters'!$A$2:$A$1000,""),IF('FEMA Disasters'!$G$2:$G$1000=$A126,'FEMA Disasters'!$D$2:$D$1000&amp;" ended: ["&amp;'FEMA Disasters'!$B$2:$B$1000&amp;"] "&amp;'FEMA Disasters'!$C$2:$C$1000&amp;"-"&amp;'FEMA Disasters'!$A$2:$A$1000,""),IF('FEMA Disasters'!$K$2:$K$1000=$A126,"Disaster SEP opens: "&amp;'FEMA Disasters'!$D$2:$D$1000&amp;" ["&amp;'FEMA Disasters'!$B$2:$B$1000&amp;"] "&amp;'FEMA Disasters'!$C$2:$C$1000&amp;"-"&amp;'FEMA Disasters'!$A$2:$A$1000,""),IF('FEMA Disasters'!$L$2:$L$1000=$A126,"Disaster SEP ended: "&amp;'FEMA Disasters'!$D$2:$D$1000&amp;" ["&amp;'FEMA Disasters'!$B$2:$B$1000&amp;"] "&amp;'FEMA Disasters'!$C$2:$C$1000&amp;"-"&amp;'FEMA Disasters'!$A$2:$A$1000,""))</f>
        <v/>
      </c>
      <c r="H126" s="4" t="n">
        <f aca="false">COUNTIF(Events!$A$2:$A$397,$A126)</f>
        <v>0</v>
      </c>
      <c r="I126" s="6" t="str">
        <f aca="false" t="array" ref="I126:I126">_xlfn.TEXTJOIN(" | ",TRUE(),IF(Events!$A$2:$A$397=$A126,Events!$E$2:$E$397&amp;IF(Events!$G$2:$G$397="National",""," ["&amp;Events!$G$2:$G$397&amp;"]"),""))</f>
        <v/>
      </c>
    </row>
    <row r="127" customFormat="false" ht="15" hidden="false" customHeight="true" outlineLevel="0" collapsed="false">
      <c r="A127" s="3" t="n">
        <v>45417</v>
      </c>
      <c r="B127" s="4" t="n">
        <f aca="false">YEAR($A127)</f>
        <v>2024</v>
      </c>
      <c r="C127" s="4" t="n">
        <f aca="false">MONTH($A127)</f>
        <v>5</v>
      </c>
      <c r="D127" s="4" t="str">
        <f aca="false">TEXT($A127,"ddd")</f>
        <v>Sun</v>
      </c>
      <c r="E127" s="4" t="n">
        <f aca="false">IF(OR(AND(MONTH($A127)=10,DAY($A127)&gt;=15),MONTH($A127)=11,AND(MONTH($A127)=12,DAY($A127)&lt;=7)),1,0)</f>
        <v>0</v>
      </c>
      <c r="F127" s="4" t="n">
        <f aca="false">IF(MONTH($A127)&lt;=3,1,0)</f>
        <v>0</v>
      </c>
      <c r="G127" s="4" t="str">
        <f aca="false" t="array" ref="G127:G127">_xlfn.TEXTJOIN(" | ",TRUE(),IF('FEMA Disasters'!$F$2:$F$1000=$A127,'FEMA Disasters'!$D$2:$D$1000&amp;" begin: ["&amp;'FEMA Disasters'!$B$2:$B$1000&amp;"] "&amp;'FEMA Disasters'!$C$2:$C$1000&amp;"-"&amp;'FEMA Disasters'!$A$2:$A$1000,""),IF('FEMA Disasters'!$G$2:$G$1000=$A127,'FEMA Disasters'!$D$2:$D$1000&amp;" ended: ["&amp;'FEMA Disasters'!$B$2:$B$1000&amp;"] "&amp;'FEMA Disasters'!$C$2:$C$1000&amp;"-"&amp;'FEMA Disasters'!$A$2:$A$1000,""),IF('FEMA Disasters'!$K$2:$K$1000=$A127,"Disaster SEP opens: "&amp;'FEMA Disasters'!$D$2:$D$1000&amp;" ["&amp;'FEMA Disasters'!$B$2:$B$1000&amp;"] "&amp;'FEMA Disasters'!$C$2:$C$1000&amp;"-"&amp;'FEMA Disasters'!$A$2:$A$1000,""),IF('FEMA Disasters'!$L$2:$L$1000=$A127,"Disaster SEP ended: "&amp;'FEMA Disasters'!$D$2:$D$1000&amp;" ["&amp;'FEMA Disasters'!$B$2:$B$1000&amp;"] "&amp;'FEMA Disasters'!$C$2:$C$1000&amp;"-"&amp;'FEMA Disasters'!$A$2:$A$1000,""))</f>
        <v/>
      </c>
      <c r="H127" s="4" t="n">
        <f aca="false">COUNTIF(Events!$A$2:$A$397,$A127)</f>
        <v>0</v>
      </c>
      <c r="I127" s="6" t="str">
        <f aca="false" t="array" ref="I127:I127">_xlfn.TEXTJOIN(" | ",TRUE(),IF(Events!$A$2:$A$397=$A127,Events!$E$2:$E$397&amp;IF(Events!$G$2:$G$397="National",""," ["&amp;Events!$G$2:$G$397&amp;"]"),""))</f>
        <v/>
      </c>
    </row>
    <row r="128" customFormat="false" ht="15" hidden="false" customHeight="true" outlineLevel="0" collapsed="false">
      <c r="A128" s="3" t="n">
        <v>45418</v>
      </c>
      <c r="B128" s="4" t="n">
        <f aca="false">YEAR($A128)</f>
        <v>2024</v>
      </c>
      <c r="C128" s="4" t="n">
        <f aca="false">MONTH($A128)</f>
        <v>5</v>
      </c>
      <c r="D128" s="4" t="str">
        <f aca="false">TEXT($A128,"ddd")</f>
        <v>Mon</v>
      </c>
      <c r="E128" s="4" t="n">
        <f aca="false">IF(OR(AND(MONTH($A128)=10,DAY($A128)&gt;=15),MONTH($A128)=11,AND(MONTH($A128)=12,DAY($A128)&lt;=7)),1,0)</f>
        <v>0</v>
      </c>
      <c r="F128" s="4" t="n">
        <f aca="false">IF(MONTH($A128)&lt;=3,1,0)</f>
        <v>0</v>
      </c>
      <c r="G128" s="4" t="str">
        <f aca="false" t="array" ref="G128:G128">_xlfn.TEXTJOIN(" | ",TRUE(),IF('FEMA Disasters'!$F$2:$F$1000=$A128,'FEMA Disasters'!$D$2:$D$1000&amp;" begin: ["&amp;'FEMA Disasters'!$B$2:$B$1000&amp;"] "&amp;'FEMA Disasters'!$C$2:$C$1000&amp;"-"&amp;'FEMA Disasters'!$A$2:$A$1000,""),IF('FEMA Disasters'!$G$2:$G$1000=$A128,'FEMA Disasters'!$D$2:$D$1000&amp;" ended: ["&amp;'FEMA Disasters'!$B$2:$B$1000&amp;"] "&amp;'FEMA Disasters'!$C$2:$C$1000&amp;"-"&amp;'FEMA Disasters'!$A$2:$A$1000,""),IF('FEMA Disasters'!$K$2:$K$1000=$A128,"Disaster SEP opens: "&amp;'FEMA Disasters'!$D$2:$D$1000&amp;" ["&amp;'FEMA Disasters'!$B$2:$B$1000&amp;"] "&amp;'FEMA Disasters'!$C$2:$C$1000&amp;"-"&amp;'FEMA Disasters'!$A$2:$A$1000,""),IF('FEMA Disasters'!$L$2:$L$1000=$A128,"Disaster SEP ended: "&amp;'FEMA Disasters'!$D$2:$D$1000&amp;" ["&amp;'FEMA Disasters'!$B$2:$B$1000&amp;"] "&amp;'FEMA Disasters'!$C$2:$C$1000&amp;"-"&amp;'FEMA Disasters'!$A$2:$A$1000,""))</f>
        <v>Severe Storm begin: [MT] DR-4801 | Disaster SEP opens: Severe Storm [MT] DR-4801</v>
      </c>
      <c r="H128" s="4" t="n">
        <f aca="false">COUNTIF(Events!$A$2:$A$397,$A128)</f>
        <v>0</v>
      </c>
      <c r="I128" s="6" t="str">
        <f aca="false" t="array" ref="I128:I128">_xlfn.TEXTJOIN(" | ",TRUE(),IF(Events!$A$2:$A$397=$A128,Events!$E$2:$E$397&amp;IF(Events!$G$2:$G$397="National",""," ["&amp;Events!$G$2:$G$397&amp;"]"),""))</f>
        <v/>
      </c>
    </row>
    <row r="129" customFormat="false" ht="15" hidden="false" customHeight="true" outlineLevel="0" collapsed="false">
      <c r="A129" s="3" t="n">
        <v>45419</v>
      </c>
      <c r="B129" s="4" t="n">
        <f aca="false">YEAR($A129)</f>
        <v>2024</v>
      </c>
      <c r="C129" s="4" t="n">
        <f aca="false">MONTH($A129)</f>
        <v>5</v>
      </c>
      <c r="D129" s="4" t="str">
        <f aca="false">TEXT($A129,"ddd")</f>
        <v>Tue</v>
      </c>
      <c r="E129" s="4" t="n">
        <f aca="false">IF(OR(AND(MONTH($A129)=10,DAY($A129)&gt;=15),MONTH($A129)=11,AND(MONTH($A129)=12,DAY($A129)&lt;=7)),1,0)</f>
        <v>0</v>
      </c>
      <c r="F129" s="4" t="n">
        <f aca="false">IF(MONTH($A129)&lt;=3,1,0)</f>
        <v>0</v>
      </c>
      <c r="G129" s="4" t="str">
        <f aca="false" t="array" ref="G129:G129">_xlfn.TEXTJOIN(" | ",TRUE(),IF('FEMA Disasters'!$F$2:$F$1000=$A129,'FEMA Disasters'!$D$2:$D$1000&amp;" begin: ["&amp;'FEMA Disasters'!$B$2:$B$1000&amp;"] "&amp;'FEMA Disasters'!$C$2:$C$1000&amp;"-"&amp;'FEMA Disasters'!$A$2:$A$1000,""),IF('FEMA Disasters'!$G$2:$G$1000=$A129,'FEMA Disasters'!$D$2:$D$1000&amp;" ended: ["&amp;'FEMA Disasters'!$B$2:$B$1000&amp;"] "&amp;'FEMA Disasters'!$C$2:$C$1000&amp;"-"&amp;'FEMA Disasters'!$A$2:$A$1000,""),IF('FEMA Disasters'!$K$2:$K$1000=$A129,"Disaster SEP opens: "&amp;'FEMA Disasters'!$D$2:$D$1000&amp;" ["&amp;'FEMA Disasters'!$B$2:$B$1000&amp;"] "&amp;'FEMA Disasters'!$C$2:$C$1000&amp;"-"&amp;'FEMA Disasters'!$A$2:$A$1000,""),IF('FEMA Disasters'!$L$2:$L$1000=$A129,"Disaster SEP ended: "&amp;'FEMA Disasters'!$D$2:$D$1000&amp;" ["&amp;'FEMA Disasters'!$B$2:$B$1000&amp;"] "&amp;'FEMA Disasters'!$C$2:$C$1000&amp;"-"&amp;'FEMA Disasters'!$A$2:$A$1000,""))</f>
        <v/>
      </c>
      <c r="H129" s="4" t="n">
        <f aca="false">COUNTIF(Events!$A$2:$A$397,$A129)</f>
        <v>0</v>
      </c>
      <c r="I129" s="6" t="str">
        <f aca="false" t="array" ref="I129:I129">_xlfn.TEXTJOIN(" | ",TRUE(),IF(Events!$A$2:$A$397=$A129,Events!$E$2:$E$397&amp;IF(Events!$G$2:$G$397="National",""," ["&amp;Events!$G$2:$G$397&amp;"]"),""))</f>
        <v/>
      </c>
    </row>
    <row r="130" customFormat="false" ht="15" hidden="false" customHeight="true" outlineLevel="0" collapsed="false">
      <c r="A130" s="3" t="n">
        <v>45420</v>
      </c>
      <c r="B130" s="4" t="n">
        <f aca="false">YEAR($A130)</f>
        <v>2024</v>
      </c>
      <c r="C130" s="4" t="n">
        <f aca="false">MONTH($A130)</f>
        <v>5</v>
      </c>
      <c r="D130" s="4" t="str">
        <f aca="false">TEXT($A130,"ddd")</f>
        <v>Wed</v>
      </c>
      <c r="E130" s="4" t="n">
        <f aca="false">IF(OR(AND(MONTH($A130)=10,DAY($A130)&gt;=15),MONTH($A130)=11,AND(MONTH($A130)=12,DAY($A130)&lt;=7)),1,0)</f>
        <v>0</v>
      </c>
      <c r="F130" s="4" t="n">
        <f aca="false">IF(MONTH($A130)&lt;=3,1,0)</f>
        <v>0</v>
      </c>
      <c r="G130" s="4" t="str">
        <f aca="false" t="array" ref="G130:G130">_xlfn.TEXTJOIN(" | ",TRUE(),IF('FEMA Disasters'!$F$2:$F$1000=$A130,'FEMA Disasters'!$D$2:$D$1000&amp;" begin: ["&amp;'FEMA Disasters'!$B$2:$B$1000&amp;"] "&amp;'FEMA Disasters'!$C$2:$C$1000&amp;"-"&amp;'FEMA Disasters'!$A$2:$A$1000,""),IF('FEMA Disasters'!$G$2:$G$1000=$A130,'FEMA Disasters'!$D$2:$D$1000&amp;" ended: ["&amp;'FEMA Disasters'!$B$2:$B$1000&amp;"] "&amp;'FEMA Disasters'!$C$2:$C$1000&amp;"-"&amp;'FEMA Disasters'!$A$2:$A$1000,""),IF('FEMA Disasters'!$K$2:$K$1000=$A130,"Disaster SEP opens: "&amp;'FEMA Disasters'!$D$2:$D$1000&amp;" ["&amp;'FEMA Disasters'!$B$2:$B$1000&amp;"] "&amp;'FEMA Disasters'!$C$2:$C$1000&amp;"-"&amp;'FEMA Disasters'!$A$2:$A$1000,""),IF('FEMA Disasters'!$L$2:$L$1000=$A130,"Disaster SEP ended: "&amp;'FEMA Disasters'!$D$2:$D$1000&amp;" ["&amp;'FEMA Disasters'!$B$2:$B$1000&amp;"] "&amp;'FEMA Disasters'!$C$2:$C$1000&amp;"-"&amp;'FEMA Disasters'!$A$2:$A$1000,""))</f>
        <v>Severe Storm begin: [TN] DR-4792 | Disaster SEP opens: Severe Storm [TN] DR-4792</v>
      </c>
      <c r="H130" s="4" t="n">
        <f aca="false">COUNTIF(Events!$A$2:$A$397,$A130)</f>
        <v>0</v>
      </c>
      <c r="I130" s="6" t="str">
        <f aca="false" t="array" ref="I130:I130">_xlfn.TEXTJOIN(" | ",TRUE(),IF(Events!$A$2:$A$397=$A130,Events!$E$2:$E$397&amp;IF(Events!$G$2:$G$397="National",""," ["&amp;Events!$G$2:$G$397&amp;"]"),""))</f>
        <v/>
      </c>
    </row>
    <row r="131" customFormat="false" ht="15" hidden="false" customHeight="true" outlineLevel="0" collapsed="false">
      <c r="A131" s="3" t="n">
        <v>45421</v>
      </c>
      <c r="B131" s="4" t="n">
        <f aca="false">YEAR($A131)</f>
        <v>2024</v>
      </c>
      <c r="C131" s="4" t="n">
        <f aca="false">MONTH($A131)</f>
        <v>5</v>
      </c>
      <c r="D131" s="4" t="str">
        <f aca="false">TEXT($A131,"ddd")</f>
        <v>Thu</v>
      </c>
      <c r="E131" s="4" t="n">
        <f aca="false">IF(OR(AND(MONTH($A131)=10,DAY($A131)&gt;=15),MONTH($A131)=11,AND(MONTH($A131)=12,DAY($A131)&lt;=7)),1,0)</f>
        <v>0</v>
      </c>
      <c r="F131" s="4" t="n">
        <f aca="false">IF(MONTH($A131)&lt;=3,1,0)</f>
        <v>0</v>
      </c>
      <c r="G131" s="4" t="str">
        <f aca="false" t="array" ref="G131:G131">_xlfn.TEXTJOIN(" | ",TRUE(),IF('FEMA Disasters'!$F$2:$F$1000=$A131,'FEMA Disasters'!$D$2:$D$1000&amp;" begin: ["&amp;'FEMA Disasters'!$B$2:$B$1000&amp;"] "&amp;'FEMA Disasters'!$C$2:$C$1000&amp;"-"&amp;'FEMA Disasters'!$A$2:$A$1000,""),IF('FEMA Disasters'!$G$2:$G$1000=$A131,'FEMA Disasters'!$D$2:$D$1000&amp;" ended: ["&amp;'FEMA Disasters'!$B$2:$B$1000&amp;"] "&amp;'FEMA Disasters'!$C$2:$C$1000&amp;"-"&amp;'FEMA Disasters'!$A$2:$A$1000,""),IF('FEMA Disasters'!$K$2:$K$1000=$A131,"Disaster SEP opens: "&amp;'FEMA Disasters'!$D$2:$D$1000&amp;" ["&amp;'FEMA Disasters'!$B$2:$B$1000&amp;"] "&amp;'FEMA Disasters'!$C$2:$C$1000&amp;"-"&amp;'FEMA Disasters'!$A$2:$A$1000,""),IF('FEMA Disasters'!$L$2:$L$1000=$A131,"Disaster SEP ended: "&amp;'FEMA Disasters'!$D$2:$D$1000&amp;" ["&amp;'FEMA Disasters'!$B$2:$B$1000&amp;"] "&amp;'FEMA Disasters'!$C$2:$C$1000&amp;"-"&amp;'FEMA Disasters'!$A$2:$A$1000,""))</f>
        <v>Tornado ended: [OK] DR-4776 | Severe Storm ended: [MT] DR-4801 | Severe Storm ended: [TN] DR-4792</v>
      </c>
      <c r="H131" s="4" t="n">
        <f aca="false">COUNTIF(Events!$A$2:$A$397,$A131)</f>
        <v>0</v>
      </c>
      <c r="I131" s="6" t="str">
        <f aca="false" t="array" ref="I131:I131">_xlfn.TEXTJOIN(" | ",TRUE(),IF(Events!$A$2:$A$397=$A131,Events!$E$2:$E$397&amp;IF(Events!$G$2:$G$397="National",""," ["&amp;Events!$G$2:$G$397&amp;"]"),""))</f>
        <v/>
      </c>
    </row>
    <row r="132" customFormat="false" ht="15" hidden="false" customHeight="true" outlineLevel="0" collapsed="false">
      <c r="A132" s="3" t="n">
        <v>45422</v>
      </c>
      <c r="B132" s="4" t="n">
        <f aca="false">YEAR($A132)</f>
        <v>2024</v>
      </c>
      <c r="C132" s="4" t="n">
        <f aca="false">MONTH($A132)</f>
        <v>5</v>
      </c>
      <c r="D132" s="4" t="str">
        <f aca="false">TEXT($A132,"ddd")</f>
        <v>Fri</v>
      </c>
      <c r="E132" s="4" t="n">
        <f aca="false">IF(OR(AND(MONTH($A132)=10,DAY($A132)&gt;=15),MONTH($A132)=11,AND(MONTH($A132)=12,DAY($A132)&lt;=7)),1,0)</f>
        <v>0</v>
      </c>
      <c r="F132" s="4" t="n">
        <f aca="false">IF(MONTH($A132)&lt;=3,1,0)</f>
        <v>0</v>
      </c>
      <c r="G132" s="4" t="str">
        <f aca="false" t="array" ref="G132:G132">_xlfn.TEXTJOIN(" | ",TRUE(),IF('FEMA Disasters'!$F$2:$F$1000=$A132,'FEMA Disasters'!$D$2:$D$1000&amp;" begin: ["&amp;'FEMA Disasters'!$B$2:$B$1000&amp;"] "&amp;'FEMA Disasters'!$C$2:$C$1000&amp;"-"&amp;'FEMA Disasters'!$A$2:$A$1000,""),IF('FEMA Disasters'!$G$2:$G$1000=$A132,'FEMA Disasters'!$D$2:$D$1000&amp;" ended: ["&amp;'FEMA Disasters'!$B$2:$B$1000&amp;"] "&amp;'FEMA Disasters'!$C$2:$C$1000&amp;"-"&amp;'FEMA Disasters'!$A$2:$A$1000,""),IF('FEMA Disasters'!$K$2:$K$1000=$A132,"Disaster SEP opens: "&amp;'FEMA Disasters'!$D$2:$D$1000&amp;" ["&amp;'FEMA Disasters'!$B$2:$B$1000&amp;"] "&amp;'FEMA Disasters'!$C$2:$C$1000&amp;"-"&amp;'FEMA Disasters'!$A$2:$A$1000,""),IF('FEMA Disasters'!$L$2:$L$1000=$A132,"Disaster SEP ended: "&amp;'FEMA Disasters'!$D$2:$D$1000&amp;" ["&amp;'FEMA Disasters'!$B$2:$B$1000&amp;"] "&amp;'FEMA Disasters'!$C$2:$C$1000&amp;"-"&amp;'FEMA Disasters'!$A$2:$A$1000,""))</f>
        <v>Severe Storm begin: [FL] DR-4794 | Flood ended: [PR] DR-4805 | Severe Storm ended: [FL] DR-4794 | Disaster SEP opens: Severe Storm [FL] DR-4794</v>
      </c>
      <c r="H132" s="4" t="n">
        <f aca="false">COUNTIF(Events!$A$2:$A$397,$A132)</f>
        <v>0</v>
      </c>
      <c r="I132" s="6" t="str">
        <f aca="false" t="array" ref="I132:I132">_xlfn.TEXTJOIN(" | ",TRUE(),IF(Events!$A$2:$A$397=$A132,Events!$E$2:$E$397&amp;IF(Events!$G$2:$G$397="National",""," ["&amp;Events!$G$2:$G$397&amp;"]"),""))</f>
        <v/>
      </c>
    </row>
    <row r="133" customFormat="false" ht="15" hidden="false" customHeight="true" outlineLevel="0" collapsed="false">
      <c r="A133" s="3" t="n">
        <v>45423</v>
      </c>
      <c r="B133" s="4" t="n">
        <f aca="false">YEAR($A133)</f>
        <v>2024</v>
      </c>
      <c r="C133" s="4" t="n">
        <f aca="false">MONTH($A133)</f>
        <v>5</v>
      </c>
      <c r="D133" s="4" t="str">
        <f aca="false">TEXT($A133,"ddd")</f>
        <v>Sat</v>
      </c>
      <c r="E133" s="4" t="n">
        <f aca="false">IF(OR(AND(MONTH($A133)=10,DAY($A133)&gt;=15),MONTH($A133)=11,AND(MONTH($A133)=12,DAY($A133)&lt;=7)),1,0)</f>
        <v>0</v>
      </c>
      <c r="F133" s="4" t="n">
        <f aca="false">IF(MONTH($A133)&lt;=3,1,0)</f>
        <v>0</v>
      </c>
      <c r="G133" s="4" t="str">
        <f aca="false" t="array" ref="G133:G133">_xlfn.TEXTJOIN(" | ",TRUE(),IF('FEMA Disasters'!$F$2:$F$1000=$A133,'FEMA Disasters'!$D$2:$D$1000&amp;" begin: ["&amp;'FEMA Disasters'!$B$2:$B$1000&amp;"] "&amp;'FEMA Disasters'!$C$2:$C$1000&amp;"-"&amp;'FEMA Disasters'!$A$2:$A$1000,""),IF('FEMA Disasters'!$G$2:$G$1000=$A133,'FEMA Disasters'!$D$2:$D$1000&amp;" ended: ["&amp;'FEMA Disasters'!$B$2:$B$1000&amp;"] "&amp;'FEMA Disasters'!$C$2:$C$1000&amp;"-"&amp;'FEMA Disasters'!$A$2:$A$1000,""),IF('FEMA Disasters'!$K$2:$K$1000=$A133,"Disaster SEP opens: "&amp;'FEMA Disasters'!$D$2:$D$1000&amp;" ["&amp;'FEMA Disasters'!$B$2:$B$1000&amp;"] "&amp;'FEMA Disasters'!$C$2:$C$1000&amp;"-"&amp;'FEMA Disasters'!$A$2:$A$1000,""),IF('FEMA Disasters'!$L$2:$L$1000=$A133,"Disaster SEP ended: "&amp;'FEMA Disasters'!$D$2:$D$1000&amp;" ["&amp;'FEMA Disasters'!$B$2:$B$1000&amp;"] "&amp;'FEMA Disasters'!$C$2:$C$1000&amp;"-"&amp;'FEMA Disasters'!$A$2:$A$1000,""))</f>
        <v/>
      </c>
      <c r="H133" s="4" t="n">
        <f aca="false">COUNTIF(Events!$A$2:$A$397,$A133)</f>
        <v>0</v>
      </c>
      <c r="I133" s="6" t="str">
        <f aca="false" t="array" ref="I133:I133">_xlfn.TEXTJOIN(" | ",TRUE(),IF(Events!$A$2:$A$397=$A133,Events!$E$2:$E$397&amp;IF(Events!$G$2:$G$397="National",""," ["&amp;Events!$G$2:$G$397&amp;"]"),""))</f>
        <v/>
      </c>
    </row>
    <row r="134" customFormat="false" ht="15" hidden="false" customHeight="true" outlineLevel="0" collapsed="false">
      <c r="A134" s="3" t="n">
        <v>45424</v>
      </c>
      <c r="B134" s="4" t="n">
        <f aca="false">YEAR($A134)</f>
        <v>2024</v>
      </c>
      <c r="C134" s="4" t="n">
        <f aca="false">MONTH($A134)</f>
        <v>5</v>
      </c>
      <c r="D134" s="4" t="str">
        <f aca="false">TEXT($A134,"ddd")</f>
        <v>Sun</v>
      </c>
      <c r="E134" s="4" t="n">
        <f aca="false">IF(OR(AND(MONTH($A134)=10,DAY($A134)&gt;=15),MONTH($A134)=11,AND(MONTH($A134)=12,DAY($A134)&lt;=7)),1,0)</f>
        <v>0</v>
      </c>
      <c r="F134" s="4" t="n">
        <f aca="false">IF(MONTH($A134)&lt;=3,1,0)</f>
        <v>0</v>
      </c>
      <c r="G134" s="4" t="str">
        <f aca="false" t="array" ref="G134:G134">_xlfn.TEXTJOIN(" | ",TRUE(),IF('FEMA Disasters'!$F$2:$F$1000=$A134,'FEMA Disasters'!$D$2:$D$1000&amp;" begin: ["&amp;'FEMA Disasters'!$B$2:$B$1000&amp;"] "&amp;'FEMA Disasters'!$C$2:$C$1000&amp;"-"&amp;'FEMA Disasters'!$A$2:$A$1000,""),IF('FEMA Disasters'!$G$2:$G$1000=$A134,'FEMA Disasters'!$D$2:$D$1000&amp;" ended: ["&amp;'FEMA Disasters'!$B$2:$B$1000&amp;"] "&amp;'FEMA Disasters'!$C$2:$C$1000&amp;"-"&amp;'FEMA Disasters'!$A$2:$A$1000,""),IF('FEMA Disasters'!$K$2:$K$1000=$A134,"Disaster SEP opens: "&amp;'FEMA Disasters'!$D$2:$D$1000&amp;" ["&amp;'FEMA Disasters'!$B$2:$B$1000&amp;"] "&amp;'FEMA Disasters'!$C$2:$C$1000&amp;"-"&amp;'FEMA Disasters'!$A$2:$A$1000,""),IF('FEMA Disasters'!$L$2:$L$1000=$A134,"Disaster SEP ended: "&amp;'FEMA Disasters'!$D$2:$D$1000&amp;" ["&amp;'FEMA Disasters'!$B$2:$B$1000&amp;"] "&amp;'FEMA Disasters'!$C$2:$C$1000&amp;"-"&amp;'FEMA Disasters'!$A$2:$A$1000,""))</f>
        <v/>
      </c>
      <c r="H134" s="4" t="n">
        <f aca="false">COUNTIF(Events!$A$2:$A$397,$A134)</f>
        <v>0</v>
      </c>
      <c r="I134" s="6" t="str">
        <f aca="false" t="array" ref="I134:I134">_xlfn.TEXTJOIN(" | ",TRUE(),IF(Events!$A$2:$A$397=$A134,Events!$E$2:$E$397&amp;IF(Events!$G$2:$G$397="National",""," ["&amp;Events!$G$2:$G$397&amp;"]"),""))</f>
        <v/>
      </c>
    </row>
    <row r="135" customFormat="false" ht="15" hidden="false" customHeight="true" outlineLevel="0" collapsed="false">
      <c r="A135" s="3" t="n">
        <v>45425</v>
      </c>
      <c r="B135" s="4" t="n">
        <f aca="false">YEAR($A135)</f>
        <v>2024</v>
      </c>
      <c r="C135" s="4" t="n">
        <f aca="false">MONTH($A135)</f>
        <v>5</v>
      </c>
      <c r="D135" s="4" t="str">
        <f aca="false">TEXT($A135,"ddd")</f>
        <v>Mon</v>
      </c>
      <c r="E135" s="4" t="n">
        <f aca="false">IF(OR(AND(MONTH($A135)=10,DAY($A135)&gt;=15),MONTH($A135)=11,AND(MONTH($A135)=12,DAY($A135)&lt;=7)),1,0)</f>
        <v>0</v>
      </c>
      <c r="F135" s="4" t="n">
        <f aca="false">IF(MONTH($A135)&lt;=3,1,0)</f>
        <v>0</v>
      </c>
      <c r="G135" s="4" t="str">
        <f aca="false" t="array" ref="G135:G135">_xlfn.TEXTJOIN(" | ",TRUE(),IF('FEMA Disasters'!$F$2:$F$1000=$A135,'FEMA Disasters'!$D$2:$D$1000&amp;" begin: ["&amp;'FEMA Disasters'!$B$2:$B$1000&amp;"] "&amp;'FEMA Disasters'!$C$2:$C$1000&amp;"-"&amp;'FEMA Disasters'!$A$2:$A$1000,""),IF('FEMA Disasters'!$G$2:$G$1000=$A135,'FEMA Disasters'!$D$2:$D$1000&amp;" ended: ["&amp;'FEMA Disasters'!$B$2:$B$1000&amp;"] "&amp;'FEMA Disasters'!$C$2:$C$1000&amp;"-"&amp;'FEMA Disasters'!$A$2:$A$1000,""),IF('FEMA Disasters'!$K$2:$K$1000=$A135,"Disaster SEP opens: "&amp;'FEMA Disasters'!$D$2:$D$1000&amp;" ["&amp;'FEMA Disasters'!$B$2:$B$1000&amp;"] "&amp;'FEMA Disasters'!$C$2:$C$1000&amp;"-"&amp;'FEMA Disasters'!$A$2:$A$1000,""),IF('FEMA Disasters'!$L$2:$L$1000=$A135,"Disaster SEP ended: "&amp;'FEMA Disasters'!$D$2:$D$1000&amp;" ["&amp;'FEMA Disasters'!$B$2:$B$1000&amp;"] "&amp;'FEMA Disasters'!$C$2:$C$1000&amp;"-"&amp;'FEMA Disasters'!$A$2:$A$1000,""))</f>
        <v/>
      </c>
      <c r="H135" s="4" t="n">
        <f aca="false">COUNTIF(Events!$A$2:$A$397,$A135)</f>
        <v>0</v>
      </c>
      <c r="I135" s="6" t="str">
        <f aca="false" t="array" ref="I135:I135">_xlfn.TEXTJOIN(" | ",TRUE(),IF(Events!$A$2:$A$397=$A135,Events!$E$2:$E$397&amp;IF(Events!$G$2:$G$397="National",""," ["&amp;Events!$G$2:$G$397&amp;"]"),""))</f>
        <v/>
      </c>
    </row>
    <row r="136" customFormat="false" ht="15" hidden="false" customHeight="true" outlineLevel="0" collapsed="false">
      <c r="A136" s="3" t="n">
        <v>45426</v>
      </c>
      <c r="B136" s="4" t="n">
        <f aca="false">YEAR($A136)</f>
        <v>2024</v>
      </c>
      <c r="C136" s="4" t="n">
        <f aca="false">MONTH($A136)</f>
        <v>5</v>
      </c>
      <c r="D136" s="4" t="str">
        <f aca="false">TEXT($A136,"ddd")</f>
        <v>Tue</v>
      </c>
      <c r="E136" s="4" t="n">
        <f aca="false">IF(OR(AND(MONTH($A136)=10,DAY($A136)&gt;=15),MONTH($A136)=11,AND(MONTH($A136)=12,DAY($A136)&lt;=7)),1,0)</f>
        <v>0</v>
      </c>
      <c r="F136" s="4" t="n">
        <f aca="false">IF(MONTH($A136)&lt;=3,1,0)</f>
        <v>0</v>
      </c>
      <c r="G136" s="4" t="str">
        <f aca="false" t="array" ref="G136:G136">_xlfn.TEXTJOIN(" | ",TRUE(),IF('FEMA Disasters'!$F$2:$F$1000=$A136,'FEMA Disasters'!$D$2:$D$1000&amp;" begin: ["&amp;'FEMA Disasters'!$B$2:$B$1000&amp;"] "&amp;'FEMA Disasters'!$C$2:$C$1000&amp;"-"&amp;'FEMA Disasters'!$A$2:$A$1000,""),IF('FEMA Disasters'!$G$2:$G$1000=$A136,'FEMA Disasters'!$D$2:$D$1000&amp;" ended: ["&amp;'FEMA Disasters'!$B$2:$B$1000&amp;"] "&amp;'FEMA Disasters'!$C$2:$C$1000&amp;"-"&amp;'FEMA Disasters'!$A$2:$A$1000,""),IF('FEMA Disasters'!$K$2:$K$1000=$A136,"Disaster SEP opens: "&amp;'FEMA Disasters'!$D$2:$D$1000&amp;" ["&amp;'FEMA Disasters'!$B$2:$B$1000&amp;"] "&amp;'FEMA Disasters'!$C$2:$C$1000&amp;"-"&amp;'FEMA Disasters'!$A$2:$A$1000,""),IF('FEMA Disasters'!$L$2:$L$1000=$A136,"Disaster SEP ended: "&amp;'FEMA Disasters'!$D$2:$D$1000&amp;" ["&amp;'FEMA Disasters'!$B$2:$B$1000&amp;"] "&amp;'FEMA Disasters'!$C$2:$C$1000&amp;"-"&amp;'FEMA Disasters'!$A$2:$A$1000,""))</f>
        <v/>
      </c>
      <c r="H136" s="4" t="n">
        <f aca="false">COUNTIF(Events!$A$2:$A$397,$A136)</f>
        <v>0</v>
      </c>
      <c r="I136" s="6" t="str">
        <f aca="false" t="array" ref="I136:I136">_xlfn.TEXTJOIN(" | ",TRUE(),IF(Events!$A$2:$A$397=$A136,Events!$E$2:$E$397&amp;IF(Events!$G$2:$G$397="National",""," ["&amp;Events!$G$2:$G$397&amp;"]"),""))</f>
        <v/>
      </c>
    </row>
    <row r="137" customFormat="false" ht="15" hidden="false" customHeight="true" outlineLevel="0" collapsed="false">
      <c r="A137" s="3" t="n">
        <v>45427</v>
      </c>
      <c r="B137" s="4" t="n">
        <f aca="false">YEAR($A137)</f>
        <v>2024</v>
      </c>
      <c r="C137" s="4" t="n">
        <f aca="false">MONTH($A137)</f>
        <v>5</v>
      </c>
      <c r="D137" s="4" t="str">
        <f aca="false">TEXT($A137,"ddd")</f>
        <v>Wed</v>
      </c>
      <c r="E137" s="4" t="n">
        <f aca="false">IF(OR(AND(MONTH($A137)=10,DAY($A137)&gt;=15),MONTH($A137)=11,AND(MONTH($A137)=12,DAY($A137)&lt;=7)),1,0)</f>
        <v>0</v>
      </c>
      <c r="F137" s="4" t="n">
        <f aca="false">IF(MONTH($A137)&lt;=3,1,0)</f>
        <v>0</v>
      </c>
      <c r="G137" s="4" t="str">
        <f aca="false" t="array" ref="G137:G137">_xlfn.TEXTJOIN(" | ",TRUE(),IF('FEMA Disasters'!$F$2:$F$1000=$A137,'FEMA Disasters'!$D$2:$D$1000&amp;" begin: ["&amp;'FEMA Disasters'!$B$2:$B$1000&amp;"] "&amp;'FEMA Disasters'!$C$2:$C$1000&amp;"-"&amp;'FEMA Disasters'!$A$2:$A$1000,""),IF('FEMA Disasters'!$G$2:$G$1000=$A137,'FEMA Disasters'!$D$2:$D$1000&amp;" ended: ["&amp;'FEMA Disasters'!$B$2:$B$1000&amp;"] "&amp;'FEMA Disasters'!$C$2:$C$1000&amp;"-"&amp;'FEMA Disasters'!$A$2:$A$1000,""),IF('FEMA Disasters'!$K$2:$K$1000=$A137,"Disaster SEP opens: "&amp;'FEMA Disasters'!$D$2:$D$1000&amp;" ["&amp;'FEMA Disasters'!$B$2:$B$1000&amp;"] "&amp;'FEMA Disasters'!$C$2:$C$1000&amp;"-"&amp;'FEMA Disasters'!$A$2:$A$1000,""),IF('FEMA Disasters'!$L$2:$L$1000=$A137,"Disaster SEP ended: "&amp;'FEMA Disasters'!$D$2:$D$1000&amp;" ["&amp;'FEMA Disasters'!$B$2:$B$1000&amp;"] "&amp;'FEMA Disasters'!$C$2:$C$1000&amp;"-"&amp;'FEMA Disasters'!$A$2:$A$1000,""))</f>
        <v/>
      </c>
      <c r="H137" s="4" t="n">
        <f aca="false">COUNTIF(Events!$A$2:$A$397,$A137)</f>
        <v>0</v>
      </c>
      <c r="I137" s="6" t="str">
        <f aca="false" t="array" ref="I137:I137">_xlfn.TEXTJOIN(" | ",TRUE(),IF(Events!$A$2:$A$397=$A137,Events!$E$2:$E$397&amp;IF(Events!$G$2:$G$397="National",""," ["&amp;Events!$G$2:$G$397&amp;"]"),""))</f>
        <v/>
      </c>
    </row>
    <row r="138" customFormat="false" ht="15" hidden="false" customHeight="true" outlineLevel="0" collapsed="false">
      <c r="A138" s="3" t="n">
        <v>45428</v>
      </c>
      <c r="B138" s="4" t="n">
        <f aca="false">YEAR($A138)</f>
        <v>2024</v>
      </c>
      <c r="C138" s="4" t="n">
        <f aca="false">MONTH($A138)</f>
        <v>5</v>
      </c>
      <c r="D138" s="4" t="str">
        <f aca="false">TEXT($A138,"ddd")</f>
        <v>Thu</v>
      </c>
      <c r="E138" s="4" t="n">
        <f aca="false">IF(OR(AND(MONTH($A138)=10,DAY($A138)&gt;=15),MONTH($A138)=11,AND(MONTH($A138)=12,DAY($A138)&lt;=7)),1,0)</f>
        <v>0</v>
      </c>
      <c r="F138" s="4" t="n">
        <f aca="false">IF(MONTH($A138)&lt;=3,1,0)</f>
        <v>0</v>
      </c>
      <c r="G138" s="4" t="str">
        <f aca="false" t="array" ref="G138:G138">_xlfn.TEXTJOIN(" | ",TRUE(),IF('FEMA Disasters'!$F$2:$F$1000=$A138,'FEMA Disasters'!$D$2:$D$1000&amp;" begin: ["&amp;'FEMA Disasters'!$B$2:$B$1000&amp;"] "&amp;'FEMA Disasters'!$C$2:$C$1000&amp;"-"&amp;'FEMA Disasters'!$A$2:$A$1000,""),IF('FEMA Disasters'!$G$2:$G$1000=$A138,'FEMA Disasters'!$D$2:$D$1000&amp;" ended: ["&amp;'FEMA Disasters'!$B$2:$B$1000&amp;"] "&amp;'FEMA Disasters'!$C$2:$C$1000&amp;"-"&amp;'FEMA Disasters'!$A$2:$A$1000,""),IF('FEMA Disasters'!$K$2:$K$1000=$A138,"Disaster SEP opens: "&amp;'FEMA Disasters'!$D$2:$D$1000&amp;" ["&amp;'FEMA Disasters'!$B$2:$B$1000&amp;"] "&amp;'FEMA Disasters'!$C$2:$C$1000&amp;"-"&amp;'FEMA Disasters'!$A$2:$A$1000,""),IF('FEMA Disasters'!$L$2:$L$1000=$A138,"Disaster SEP ended: "&amp;'FEMA Disasters'!$D$2:$D$1000&amp;" ["&amp;'FEMA Disasters'!$B$2:$B$1000&amp;"] "&amp;'FEMA Disasters'!$C$2:$C$1000&amp;"-"&amp;'FEMA Disasters'!$A$2:$A$1000,""))</f>
        <v>Fire begin: [NM] FM-5492</v>
      </c>
      <c r="H138" s="4" t="n">
        <f aca="false">COUNTIF(Events!$A$2:$A$397,$A138)</f>
        <v>0</v>
      </c>
      <c r="I138" s="6" t="str">
        <f aca="false" t="array" ref="I138:I138">_xlfn.TEXTJOIN(" | ",TRUE(),IF(Events!$A$2:$A$397=$A138,Events!$E$2:$E$397&amp;IF(Events!$G$2:$G$397="National",""," ["&amp;Events!$G$2:$G$397&amp;"]"),""))</f>
        <v/>
      </c>
    </row>
    <row r="139" customFormat="false" ht="15" hidden="false" customHeight="true" outlineLevel="0" collapsed="false">
      <c r="A139" s="3" t="n">
        <v>45429</v>
      </c>
      <c r="B139" s="4" t="n">
        <f aca="false">YEAR($A139)</f>
        <v>2024</v>
      </c>
      <c r="C139" s="4" t="n">
        <f aca="false">MONTH($A139)</f>
        <v>5</v>
      </c>
      <c r="D139" s="4" t="str">
        <f aca="false">TEXT($A139,"ddd")</f>
        <v>Fri</v>
      </c>
      <c r="E139" s="4" t="n">
        <f aca="false">IF(OR(AND(MONTH($A139)=10,DAY($A139)&gt;=15),MONTH($A139)=11,AND(MONTH($A139)=12,DAY($A139)&lt;=7)),1,0)</f>
        <v>0</v>
      </c>
      <c r="F139" s="4" t="n">
        <f aca="false">IF(MONTH($A139)&lt;=3,1,0)</f>
        <v>0</v>
      </c>
      <c r="G139" s="4" t="str">
        <f aca="false" t="array" ref="G139:G139">_xlfn.TEXTJOIN(" | ",TRUE(),IF('FEMA Disasters'!$F$2:$F$1000=$A139,'FEMA Disasters'!$D$2:$D$1000&amp;" begin: ["&amp;'FEMA Disasters'!$B$2:$B$1000&amp;"] "&amp;'FEMA Disasters'!$C$2:$C$1000&amp;"-"&amp;'FEMA Disasters'!$A$2:$A$1000,""),IF('FEMA Disasters'!$G$2:$G$1000=$A139,'FEMA Disasters'!$D$2:$D$1000&amp;" ended: ["&amp;'FEMA Disasters'!$B$2:$B$1000&amp;"] "&amp;'FEMA Disasters'!$C$2:$C$1000&amp;"-"&amp;'FEMA Disasters'!$A$2:$A$1000,""),IF('FEMA Disasters'!$K$2:$K$1000=$A139,"Disaster SEP opens: "&amp;'FEMA Disasters'!$D$2:$D$1000&amp;" ["&amp;'FEMA Disasters'!$B$2:$B$1000&amp;"] "&amp;'FEMA Disasters'!$C$2:$C$1000&amp;"-"&amp;'FEMA Disasters'!$A$2:$A$1000,""),IF('FEMA Disasters'!$L$2:$L$1000=$A139,"Disaster SEP ended: "&amp;'FEMA Disasters'!$D$2:$D$1000&amp;" ["&amp;'FEMA Disasters'!$B$2:$B$1000&amp;"] "&amp;'FEMA Disasters'!$C$2:$C$1000&amp;"-"&amp;'FEMA Disasters'!$A$2:$A$1000,""))</f>
        <v/>
      </c>
      <c r="H139" s="4" t="n">
        <f aca="false">COUNTIF(Events!$A$2:$A$397,$A139)</f>
        <v>0</v>
      </c>
      <c r="I139" s="6" t="str">
        <f aca="false" t="array" ref="I139:I139">_xlfn.TEXTJOIN(" | ",TRUE(),IF(Events!$A$2:$A$397=$A139,Events!$E$2:$E$397&amp;IF(Events!$G$2:$G$397="National",""," ["&amp;Events!$G$2:$G$397&amp;"]"),""))</f>
        <v/>
      </c>
    </row>
    <row r="140" customFormat="false" ht="15" hidden="false" customHeight="true" outlineLevel="0" collapsed="false">
      <c r="A140" s="3" t="n">
        <v>45430</v>
      </c>
      <c r="B140" s="4" t="n">
        <f aca="false">YEAR($A140)</f>
        <v>2024</v>
      </c>
      <c r="C140" s="4" t="n">
        <f aca="false">MONTH($A140)</f>
        <v>5</v>
      </c>
      <c r="D140" s="4" t="str">
        <f aca="false">TEXT($A140,"ddd")</f>
        <v>Sat</v>
      </c>
      <c r="E140" s="4" t="n">
        <f aca="false">IF(OR(AND(MONTH($A140)=10,DAY($A140)&gt;=15),MONTH($A140)=11,AND(MONTH($A140)=12,DAY($A140)&lt;=7)),1,0)</f>
        <v>0</v>
      </c>
      <c r="F140" s="4" t="n">
        <f aca="false">IF(MONTH($A140)&lt;=3,1,0)</f>
        <v>0</v>
      </c>
      <c r="G140" s="4" t="str">
        <f aca="false" t="array" ref="G140:G140">_xlfn.TEXTJOIN(" | ",TRUE(),IF('FEMA Disasters'!$F$2:$F$1000=$A140,'FEMA Disasters'!$D$2:$D$1000&amp;" begin: ["&amp;'FEMA Disasters'!$B$2:$B$1000&amp;"] "&amp;'FEMA Disasters'!$C$2:$C$1000&amp;"-"&amp;'FEMA Disasters'!$A$2:$A$1000,""),IF('FEMA Disasters'!$G$2:$G$1000=$A140,'FEMA Disasters'!$D$2:$D$1000&amp;" ended: ["&amp;'FEMA Disasters'!$B$2:$B$1000&amp;"] "&amp;'FEMA Disasters'!$C$2:$C$1000&amp;"-"&amp;'FEMA Disasters'!$A$2:$A$1000,""),IF('FEMA Disasters'!$K$2:$K$1000=$A140,"Disaster SEP opens: "&amp;'FEMA Disasters'!$D$2:$D$1000&amp;" ["&amp;'FEMA Disasters'!$B$2:$B$1000&amp;"] "&amp;'FEMA Disasters'!$C$2:$C$1000&amp;"-"&amp;'FEMA Disasters'!$A$2:$A$1000,""),IF('FEMA Disasters'!$L$2:$L$1000=$A140,"Disaster SEP ended: "&amp;'FEMA Disasters'!$D$2:$D$1000&amp;" ["&amp;'FEMA Disasters'!$B$2:$B$1000&amp;"] "&amp;'FEMA Disasters'!$C$2:$C$1000&amp;"-"&amp;'FEMA Disasters'!$A$2:$A$1000,""))</f>
        <v/>
      </c>
      <c r="H140" s="4" t="n">
        <f aca="false">COUNTIF(Events!$A$2:$A$397,$A140)</f>
        <v>0</v>
      </c>
      <c r="I140" s="6" t="str">
        <f aca="false" t="array" ref="I140:I140">_xlfn.TEXTJOIN(" | ",TRUE(),IF(Events!$A$2:$A$397=$A140,Events!$E$2:$E$397&amp;IF(Events!$G$2:$G$397="National",""," ["&amp;Events!$G$2:$G$397&amp;"]"),""))</f>
        <v/>
      </c>
    </row>
    <row r="141" customFormat="false" ht="15" hidden="false" customHeight="true" outlineLevel="0" collapsed="false">
      <c r="A141" s="3" t="n">
        <v>45431</v>
      </c>
      <c r="B141" s="4" t="n">
        <f aca="false">YEAR($A141)</f>
        <v>2024</v>
      </c>
      <c r="C141" s="4" t="n">
        <f aca="false">MONTH($A141)</f>
        <v>5</v>
      </c>
      <c r="D141" s="4" t="str">
        <f aca="false">TEXT($A141,"ddd")</f>
        <v>Sun</v>
      </c>
      <c r="E141" s="4" t="n">
        <f aca="false">IF(OR(AND(MONTH($A141)=10,DAY($A141)&gt;=15),MONTH($A141)=11,AND(MONTH($A141)=12,DAY($A141)&lt;=7)),1,0)</f>
        <v>0</v>
      </c>
      <c r="F141" s="4" t="n">
        <f aca="false">IF(MONTH($A141)&lt;=3,1,0)</f>
        <v>0</v>
      </c>
      <c r="G141" s="4" t="str">
        <f aca="false" t="array" ref="G141:G141">_xlfn.TEXTJOIN(" | ",TRUE(),IF('FEMA Disasters'!$F$2:$F$1000=$A141,'FEMA Disasters'!$D$2:$D$1000&amp;" begin: ["&amp;'FEMA Disasters'!$B$2:$B$1000&amp;"] "&amp;'FEMA Disasters'!$C$2:$C$1000&amp;"-"&amp;'FEMA Disasters'!$A$2:$A$1000,""),IF('FEMA Disasters'!$G$2:$G$1000=$A141,'FEMA Disasters'!$D$2:$D$1000&amp;" ended: ["&amp;'FEMA Disasters'!$B$2:$B$1000&amp;"] "&amp;'FEMA Disasters'!$C$2:$C$1000&amp;"-"&amp;'FEMA Disasters'!$A$2:$A$1000,""),IF('FEMA Disasters'!$K$2:$K$1000=$A141,"Disaster SEP opens: "&amp;'FEMA Disasters'!$D$2:$D$1000&amp;" ["&amp;'FEMA Disasters'!$B$2:$B$1000&amp;"] "&amp;'FEMA Disasters'!$C$2:$C$1000&amp;"-"&amp;'FEMA Disasters'!$A$2:$A$1000,""),IF('FEMA Disasters'!$L$2:$L$1000=$A141,"Disaster SEP ended: "&amp;'FEMA Disasters'!$D$2:$D$1000&amp;" ["&amp;'FEMA Disasters'!$B$2:$B$1000&amp;"] "&amp;'FEMA Disasters'!$C$2:$C$1000&amp;"-"&amp;'FEMA Disasters'!$A$2:$A$1000,""))</f>
        <v>Severe Storm begin: [OK] DR-4791 | Severe Storm begin: [MO] DR-4803 | Severe Storm begin: [KS] DR-4811 | Severe Storm ended: [KS] DR-4811</v>
      </c>
      <c r="H141" s="4" t="n">
        <f aca="false">COUNTIF(Events!$A$2:$A$397,$A141)</f>
        <v>0</v>
      </c>
      <c r="I141" s="6" t="str">
        <f aca="false" t="array" ref="I141:I141">_xlfn.TEXTJOIN(" | ",TRUE(),IF(Events!$A$2:$A$397=$A141,Events!$E$2:$E$397&amp;IF(Events!$G$2:$G$397="National",""," ["&amp;Events!$G$2:$G$397&amp;"]"),""))</f>
        <v/>
      </c>
    </row>
    <row r="142" customFormat="false" ht="15" hidden="false" customHeight="true" outlineLevel="0" collapsed="false">
      <c r="A142" s="3" t="n">
        <v>45432</v>
      </c>
      <c r="B142" s="4" t="n">
        <f aca="false">YEAR($A142)</f>
        <v>2024</v>
      </c>
      <c r="C142" s="4" t="n">
        <f aca="false">MONTH($A142)</f>
        <v>5</v>
      </c>
      <c r="D142" s="4" t="str">
        <f aca="false">TEXT($A142,"ddd")</f>
        <v>Mon</v>
      </c>
      <c r="E142" s="4" t="n">
        <f aca="false">IF(OR(AND(MONTH($A142)=10,DAY($A142)&gt;=15),MONTH($A142)=11,AND(MONTH($A142)=12,DAY($A142)&lt;=7)),1,0)</f>
        <v>0</v>
      </c>
      <c r="F142" s="4" t="n">
        <f aca="false">IF(MONTH($A142)&lt;=3,1,0)</f>
        <v>0</v>
      </c>
      <c r="G142" s="4" t="str">
        <f aca="false" t="array" ref="G142:G142">_xlfn.TEXTJOIN(" | ",TRUE(),IF('FEMA Disasters'!$F$2:$F$1000=$A142,'FEMA Disasters'!$D$2:$D$1000&amp;" begin: ["&amp;'FEMA Disasters'!$B$2:$B$1000&amp;"] "&amp;'FEMA Disasters'!$C$2:$C$1000&amp;"-"&amp;'FEMA Disasters'!$A$2:$A$1000,""),IF('FEMA Disasters'!$G$2:$G$1000=$A142,'FEMA Disasters'!$D$2:$D$1000&amp;" ended: ["&amp;'FEMA Disasters'!$B$2:$B$1000&amp;"] "&amp;'FEMA Disasters'!$C$2:$C$1000&amp;"-"&amp;'FEMA Disasters'!$A$2:$A$1000,""),IF('FEMA Disasters'!$K$2:$K$1000=$A142,"Disaster SEP opens: "&amp;'FEMA Disasters'!$D$2:$D$1000&amp;" ["&amp;'FEMA Disasters'!$B$2:$B$1000&amp;"] "&amp;'FEMA Disasters'!$C$2:$C$1000&amp;"-"&amp;'FEMA Disasters'!$A$2:$A$1000,""),IF('FEMA Disasters'!$L$2:$L$1000=$A142,"Disaster SEP ended: "&amp;'FEMA Disasters'!$D$2:$D$1000&amp;" ["&amp;'FEMA Disasters'!$B$2:$B$1000&amp;"] "&amp;'FEMA Disasters'!$C$2:$C$1000&amp;"-"&amp;'FEMA Disasters'!$A$2:$A$1000,""))</f>
        <v>Severe Storm begin: [IA] DR-4784 | Severe Storm begin: [NE] DR-4808</v>
      </c>
      <c r="H142" s="4" t="n">
        <f aca="false">COUNTIF(Events!$A$2:$A$397,$A142)</f>
        <v>0</v>
      </c>
      <c r="I142" s="6" t="str">
        <f aca="false" t="array" ref="I142:I142">_xlfn.TEXTJOIN(" | ",TRUE(),IF(Events!$A$2:$A$397=$A142,Events!$E$2:$E$397&amp;IF(Events!$G$2:$G$397="National",""," ["&amp;Events!$G$2:$G$397&amp;"]"),""))</f>
        <v/>
      </c>
    </row>
    <row r="143" customFormat="false" ht="15" hidden="false" customHeight="true" outlineLevel="0" collapsed="false">
      <c r="A143" s="3" t="n">
        <v>45433</v>
      </c>
      <c r="B143" s="4" t="n">
        <f aca="false">YEAR($A143)</f>
        <v>2024</v>
      </c>
      <c r="C143" s="4" t="n">
        <f aca="false">MONTH($A143)</f>
        <v>5</v>
      </c>
      <c r="D143" s="4" t="str">
        <f aca="false">TEXT($A143,"ddd")</f>
        <v>Tue</v>
      </c>
      <c r="E143" s="4" t="n">
        <f aca="false">IF(OR(AND(MONTH($A143)=10,DAY($A143)&gt;=15),MONTH($A143)=11,AND(MONTH($A143)=12,DAY($A143)&lt;=7)),1,0)</f>
        <v>0</v>
      </c>
      <c r="F143" s="4" t="n">
        <f aca="false">IF(MONTH($A143)&lt;=3,1,0)</f>
        <v>0</v>
      </c>
      <c r="G143" s="4" t="str">
        <f aca="false" t="array" ref="G143:G143">_xlfn.TEXTJOIN(" | ",TRUE(),IF('FEMA Disasters'!$F$2:$F$1000=$A143,'FEMA Disasters'!$D$2:$D$1000&amp;" begin: ["&amp;'FEMA Disasters'!$B$2:$B$1000&amp;"] "&amp;'FEMA Disasters'!$C$2:$C$1000&amp;"-"&amp;'FEMA Disasters'!$A$2:$A$1000,""),IF('FEMA Disasters'!$G$2:$G$1000=$A143,'FEMA Disasters'!$D$2:$D$1000&amp;" ended: ["&amp;'FEMA Disasters'!$B$2:$B$1000&amp;"] "&amp;'FEMA Disasters'!$C$2:$C$1000&amp;"-"&amp;'FEMA Disasters'!$A$2:$A$1000,""),IF('FEMA Disasters'!$K$2:$K$1000=$A143,"Disaster SEP opens: "&amp;'FEMA Disasters'!$D$2:$D$1000&amp;" ["&amp;'FEMA Disasters'!$B$2:$B$1000&amp;"] "&amp;'FEMA Disasters'!$C$2:$C$1000&amp;"-"&amp;'FEMA Disasters'!$A$2:$A$1000,""),IF('FEMA Disasters'!$L$2:$L$1000=$A143,"Disaster SEP ended: "&amp;'FEMA Disasters'!$D$2:$D$1000&amp;" ["&amp;'FEMA Disasters'!$B$2:$B$1000&amp;"] "&amp;'FEMA Disasters'!$C$2:$C$1000&amp;"-"&amp;'FEMA Disasters'!$A$2:$A$1000,""))</f>
        <v>Severe Storm begin: [KY] DR-4804</v>
      </c>
      <c r="H143" s="4" t="n">
        <f aca="false">COUNTIF(Events!$A$2:$A$397,$A143)</f>
        <v>0</v>
      </c>
      <c r="I143" s="6" t="str">
        <f aca="false" t="array" ref="I143:I143">_xlfn.TEXTJOIN(" | ",TRUE(),IF(Events!$A$2:$A$397=$A143,Events!$E$2:$E$397&amp;IF(Events!$G$2:$G$397="National",""," ["&amp;Events!$G$2:$G$397&amp;"]"),""))</f>
        <v/>
      </c>
    </row>
    <row r="144" customFormat="false" ht="15" hidden="false" customHeight="true" outlineLevel="0" collapsed="false">
      <c r="A144" s="3" t="n">
        <v>45434</v>
      </c>
      <c r="B144" s="4" t="n">
        <f aca="false">YEAR($A144)</f>
        <v>2024</v>
      </c>
      <c r="C144" s="4" t="n">
        <f aca="false">MONTH($A144)</f>
        <v>5</v>
      </c>
      <c r="D144" s="4" t="str">
        <f aca="false">TEXT($A144,"ddd")</f>
        <v>Wed</v>
      </c>
      <c r="E144" s="4" t="n">
        <f aca="false">IF(OR(AND(MONTH($A144)=10,DAY($A144)&gt;=15),MONTH($A144)=11,AND(MONTH($A144)=12,DAY($A144)&lt;=7)),1,0)</f>
        <v>0</v>
      </c>
      <c r="F144" s="4" t="n">
        <f aca="false">IF(MONTH($A144)&lt;=3,1,0)</f>
        <v>0</v>
      </c>
      <c r="G144" s="4" t="str">
        <f aca="false" t="array" ref="G144:G144">_xlfn.TEXTJOIN(" | ",TRUE(),IF('FEMA Disasters'!$F$2:$F$1000=$A144,'FEMA Disasters'!$D$2:$D$1000&amp;" begin: ["&amp;'FEMA Disasters'!$B$2:$B$1000&amp;"] "&amp;'FEMA Disasters'!$C$2:$C$1000&amp;"-"&amp;'FEMA Disasters'!$A$2:$A$1000,""),IF('FEMA Disasters'!$G$2:$G$1000=$A144,'FEMA Disasters'!$D$2:$D$1000&amp;" ended: ["&amp;'FEMA Disasters'!$B$2:$B$1000&amp;"] "&amp;'FEMA Disasters'!$C$2:$C$1000&amp;"-"&amp;'FEMA Disasters'!$A$2:$A$1000,""),IF('FEMA Disasters'!$K$2:$K$1000=$A144,"Disaster SEP opens: "&amp;'FEMA Disasters'!$D$2:$D$1000&amp;" ["&amp;'FEMA Disasters'!$B$2:$B$1000&amp;"] "&amp;'FEMA Disasters'!$C$2:$C$1000&amp;"-"&amp;'FEMA Disasters'!$A$2:$A$1000,""),IF('FEMA Disasters'!$L$2:$L$1000=$A144,"Disaster SEP ended: "&amp;'FEMA Disasters'!$D$2:$D$1000&amp;" ["&amp;'FEMA Disasters'!$B$2:$B$1000&amp;"] "&amp;'FEMA Disasters'!$C$2:$C$1000&amp;"-"&amp;'FEMA Disasters'!$A$2:$A$1000,""))</f>
        <v/>
      </c>
      <c r="H144" s="4" t="n">
        <f aca="false">COUNTIF(Events!$A$2:$A$397,$A144)</f>
        <v>0</v>
      </c>
      <c r="I144" s="6" t="str">
        <f aca="false" t="array" ref="I144:I144">_xlfn.TEXTJOIN(" | ",TRUE(),IF(Events!$A$2:$A$397=$A144,Events!$E$2:$E$397&amp;IF(Events!$G$2:$G$397="National",""," ["&amp;Events!$G$2:$G$397&amp;"]"),""))</f>
        <v/>
      </c>
    </row>
    <row r="145" customFormat="false" ht="15" hidden="false" customHeight="true" outlineLevel="0" collapsed="false">
      <c r="A145" s="3" t="n">
        <v>45435</v>
      </c>
      <c r="B145" s="4" t="n">
        <f aca="false">YEAR($A145)</f>
        <v>2024</v>
      </c>
      <c r="C145" s="4" t="n">
        <f aca="false">MONTH($A145)</f>
        <v>5</v>
      </c>
      <c r="D145" s="4" t="str">
        <f aca="false">TEXT($A145,"ddd")</f>
        <v>Thu</v>
      </c>
      <c r="E145" s="4" t="n">
        <f aca="false">IF(OR(AND(MONTH($A145)=10,DAY($A145)&gt;=15),MONTH($A145)=11,AND(MONTH($A145)=12,DAY($A145)&lt;=7)),1,0)</f>
        <v>0</v>
      </c>
      <c r="F145" s="4" t="n">
        <f aca="false">IF(MONTH($A145)&lt;=3,1,0)</f>
        <v>0</v>
      </c>
      <c r="G145" s="4" t="str">
        <f aca="false" t="array" ref="G145:G145">_xlfn.TEXTJOIN(" | ",TRUE(),IF('FEMA Disasters'!$F$2:$F$1000=$A145,'FEMA Disasters'!$D$2:$D$1000&amp;" begin: ["&amp;'FEMA Disasters'!$B$2:$B$1000&amp;"] "&amp;'FEMA Disasters'!$C$2:$C$1000&amp;"-"&amp;'FEMA Disasters'!$A$2:$A$1000,""),IF('FEMA Disasters'!$G$2:$G$1000=$A145,'FEMA Disasters'!$D$2:$D$1000&amp;" ended: ["&amp;'FEMA Disasters'!$B$2:$B$1000&amp;"] "&amp;'FEMA Disasters'!$C$2:$C$1000&amp;"-"&amp;'FEMA Disasters'!$A$2:$A$1000,""),IF('FEMA Disasters'!$K$2:$K$1000=$A145,"Disaster SEP opens: "&amp;'FEMA Disasters'!$D$2:$D$1000&amp;" ["&amp;'FEMA Disasters'!$B$2:$B$1000&amp;"] "&amp;'FEMA Disasters'!$C$2:$C$1000&amp;"-"&amp;'FEMA Disasters'!$A$2:$A$1000,""),IF('FEMA Disasters'!$L$2:$L$1000=$A145,"Disaster SEP ended: "&amp;'FEMA Disasters'!$D$2:$D$1000&amp;" ["&amp;'FEMA Disasters'!$B$2:$B$1000&amp;"] "&amp;'FEMA Disasters'!$C$2:$C$1000&amp;"-"&amp;'FEMA Disasters'!$A$2:$A$1000,""))</f>
        <v/>
      </c>
      <c r="H145" s="4" t="n">
        <f aca="false">COUNTIF(Events!$A$2:$A$397,$A145)</f>
        <v>0</v>
      </c>
      <c r="I145" s="6" t="str">
        <f aca="false" t="array" ref="I145:I145">_xlfn.TEXTJOIN(" | ",TRUE(),IF(Events!$A$2:$A$397=$A145,Events!$E$2:$E$397&amp;IF(Events!$G$2:$G$397="National",""," ["&amp;Events!$G$2:$G$397&amp;"]"),""))</f>
        <v/>
      </c>
    </row>
    <row r="146" customFormat="false" ht="15" hidden="false" customHeight="true" outlineLevel="0" collapsed="false">
      <c r="A146" s="3" t="n">
        <v>45436</v>
      </c>
      <c r="B146" s="4" t="n">
        <f aca="false">YEAR($A146)</f>
        <v>2024</v>
      </c>
      <c r="C146" s="4" t="n">
        <f aca="false">MONTH($A146)</f>
        <v>5</v>
      </c>
      <c r="D146" s="4" t="str">
        <f aca="false">TEXT($A146,"ddd")</f>
        <v>Fri</v>
      </c>
      <c r="E146" s="4" t="n">
        <f aca="false">IF(OR(AND(MONTH($A146)=10,DAY($A146)&gt;=15),MONTH($A146)=11,AND(MONTH($A146)=12,DAY($A146)&lt;=7)),1,0)</f>
        <v>0</v>
      </c>
      <c r="F146" s="4" t="n">
        <f aca="false">IF(MONTH($A146)&lt;=3,1,0)</f>
        <v>0</v>
      </c>
      <c r="G146" s="4" t="str">
        <f aca="false" t="array" ref="G146:G146">_xlfn.TEXTJOIN(" | ",TRUE(),IF('FEMA Disasters'!$F$2:$F$1000=$A146,'FEMA Disasters'!$D$2:$D$1000&amp;" begin: ["&amp;'FEMA Disasters'!$B$2:$B$1000&amp;"] "&amp;'FEMA Disasters'!$C$2:$C$1000&amp;"-"&amp;'FEMA Disasters'!$A$2:$A$1000,""),IF('FEMA Disasters'!$G$2:$G$1000=$A146,'FEMA Disasters'!$D$2:$D$1000&amp;" ended: ["&amp;'FEMA Disasters'!$B$2:$B$1000&amp;"] "&amp;'FEMA Disasters'!$C$2:$C$1000&amp;"-"&amp;'FEMA Disasters'!$A$2:$A$1000,""),IF('FEMA Disasters'!$K$2:$K$1000=$A146,"Disaster SEP opens: "&amp;'FEMA Disasters'!$D$2:$D$1000&amp;" ["&amp;'FEMA Disasters'!$B$2:$B$1000&amp;"] "&amp;'FEMA Disasters'!$C$2:$C$1000&amp;"-"&amp;'FEMA Disasters'!$A$2:$A$1000,""),IF('FEMA Disasters'!$L$2:$L$1000=$A146,"Disaster SEP ended: "&amp;'FEMA Disasters'!$D$2:$D$1000&amp;" ["&amp;'FEMA Disasters'!$B$2:$B$1000&amp;"] "&amp;'FEMA Disasters'!$C$2:$C$1000&amp;"-"&amp;'FEMA Disasters'!$A$2:$A$1000,""))</f>
        <v>Severe Storm begin: [AR] DR-4788</v>
      </c>
      <c r="H146" s="4" t="n">
        <f aca="false">COUNTIF(Events!$A$2:$A$397,$A146)</f>
        <v>0</v>
      </c>
      <c r="I146" s="6" t="str">
        <f aca="false" t="array" ref="I146:I146">_xlfn.TEXTJOIN(" | ",TRUE(),IF(Events!$A$2:$A$397=$A146,Events!$E$2:$E$397&amp;IF(Events!$G$2:$G$397="National",""," ["&amp;Events!$G$2:$G$397&amp;"]"),""))</f>
        <v/>
      </c>
    </row>
    <row r="147" customFormat="false" ht="15" hidden="false" customHeight="true" outlineLevel="0" collapsed="false">
      <c r="A147" s="3" t="n">
        <v>45437</v>
      </c>
      <c r="B147" s="4" t="n">
        <f aca="false">YEAR($A147)</f>
        <v>2024</v>
      </c>
      <c r="C147" s="4" t="n">
        <f aca="false">MONTH($A147)</f>
        <v>5</v>
      </c>
      <c r="D147" s="4" t="str">
        <f aca="false">TEXT($A147,"ddd")</f>
        <v>Sat</v>
      </c>
      <c r="E147" s="4" t="n">
        <f aca="false">IF(OR(AND(MONTH($A147)=10,DAY($A147)&gt;=15),MONTH($A147)=11,AND(MONTH($A147)=12,DAY($A147)&lt;=7)),1,0)</f>
        <v>0</v>
      </c>
      <c r="F147" s="4" t="n">
        <f aca="false">IF(MONTH($A147)&lt;=3,1,0)</f>
        <v>0</v>
      </c>
      <c r="G147" s="4" t="str">
        <f aca="false" t="array" ref="G147:G147">_xlfn.TEXTJOIN(" | ",TRUE(),IF('FEMA Disasters'!$F$2:$F$1000=$A147,'FEMA Disasters'!$D$2:$D$1000&amp;" begin: ["&amp;'FEMA Disasters'!$B$2:$B$1000&amp;"] "&amp;'FEMA Disasters'!$C$2:$C$1000&amp;"-"&amp;'FEMA Disasters'!$A$2:$A$1000,""),IF('FEMA Disasters'!$G$2:$G$1000=$A147,'FEMA Disasters'!$D$2:$D$1000&amp;" ended: ["&amp;'FEMA Disasters'!$B$2:$B$1000&amp;"] "&amp;'FEMA Disasters'!$C$2:$C$1000&amp;"-"&amp;'FEMA Disasters'!$A$2:$A$1000,""),IF('FEMA Disasters'!$K$2:$K$1000=$A147,"Disaster SEP opens: "&amp;'FEMA Disasters'!$D$2:$D$1000&amp;" ["&amp;'FEMA Disasters'!$B$2:$B$1000&amp;"] "&amp;'FEMA Disasters'!$C$2:$C$1000&amp;"-"&amp;'FEMA Disasters'!$A$2:$A$1000,""),IF('FEMA Disasters'!$L$2:$L$1000=$A147,"Disaster SEP ended: "&amp;'FEMA Disasters'!$D$2:$D$1000&amp;" ["&amp;'FEMA Disasters'!$B$2:$B$1000&amp;"] "&amp;'FEMA Disasters'!$C$2:$C$1000&amp;"-"&amp;'FEMA Disasters'!$A$2:$A$1000,""))</f>
        <v/>
      </c>
      <c r="H147" s="4" t="n">
        <f aca="false">COUNTIF(Events!$A$2:$A$397,$A147)</f>
        <v>0</v>
      </c>
      <c r="I147" s="6" t="str">
        <f aca="false" t="array" ref="I147:I147">_xlfn.TEXTJOIN(" | ",TRUE(),IF(Events!$A$2:$A$397=$A147,Events!$E$2:$E$397&amp;IF(Events!$G$2:$G$397="National",""," ["&amp;Events!$G$2:$G$397&amp;"]"),""))</f>
        <v/>
      </c>
    </row>
    <row r="148" customFormat="false" ht="15" hidden="false" customHeight="true" outlineLevel="0" collapsed="false">
      <c r="A148" s="3" t="n">
        <v>45438</v>
      </c>
      <c r="B148" s="4" t="n">
        <f aca="false">YEAR($A148)</f>
        <v>2024</v>
      </c>
      <c r="C148" s="4" t="n">
        <f aca="false">MONTH($A148)</f>
        <v>5</v>
      </c>
      <c r="D148" s="4" t="str">
        <f aca="false">TEXT($A148,"ddd")</f>
        <v>Sun</v>
      </c>
      <c r="E148" s="4" t="n">
        <f aca="false">IF(OR(AND(MONTH($A148)=10,DAY($A148)&gt;=15),MONTH($A148)=11,AND(MONTH($A148)=12,DAY($A148)&lt;=7)),1,0)</f>
        <v>0</v>
      </c>
      <c r="F148" s="4" t="n">
        <f aca="false">IF(MONTH($A148)&lt;=3,1,0)</f>
        <v>0</v>
      </c>
      <c r="G148" s="4" t="str">
        <f aca="false" t="array" ref="G148:G148">_xlfn.TEXTJOIN(" | ",TRUE(),IF('FEMA Disasters'!$F$2:$F$1000=$A148,'FEMA Disasters'!$D$2:$D$1000&amp;" begin: ["&amp;'FEMA Disasters'!$B$2:$B$1000&amp;"] "&amp;'FEMA Disasters'!$C$2:$C$1000&amp;"-"&amp;'FEMA Disasters'!$A$2:$A$1000,""),IF('FEMA Disasters'!$G$2:$G$1000=$A148,'FEMA Disasters'!$D$2:$D$1000&amp;" ended: ["&amp;'FEMA Disasters'!$B$2:$B$1000&amp;"] "&amp;'FEMA Disasters'!$C$2:$C$1000&amp;"-"&amp;'FEMA Disasters'!$A$2:$A$1000,""),IF('FEMA Disasters'!$K$2:$K$1000=$A148,"Disaster SEP opens: "&amp;'FEMA Disasters'!$D$2:$D$1000&amp;" ["&amp;'FEMA Disasters'!$B$2:$B$1000&amp;"] "&amp;'FEMA Disasters'!$C$2:$C$1000&amp;"-"&amp;'FEMA Disasters'!$A$2:$A$1000,""),IF('FEMA Disasters'!$L$2:$L$1000=$A148,"Disaster SEP ended: "&amp;'FEMA Disasters'!$D$2:$D$1000&amp;" ["&amp;'FEMA Disasters'!$B$2:$B$1000&amp;"] "&amp;'FEMA Disasters'!$C$2:$C$1000&amp;"-"&amp;'FEMA Disasters'!$A$2:$A$1000,""))</f>
        <v/>
      </c>
      <c r="H148" s="4" t="n">
        <f aca="false">COUNTIF(Events!$A$2:$A$397,$A148)</f>
        <v>0</v>
      </c>
      <c r="I148" s="6" t="str">
        <f aca="false" t="array" ref="I148:I148">_xlfn.TEXTJOIN(" | ",TRUE(),IF(Events!$A$2:$A$397=$A148,Events!$E$2:$E$397&amp;IF(Events!$G$2:$G$397="National",""," ["&amp;Events!$G$2:$G$397&amp;"]"),""))</f>
        <v/>
      </c>
    </row>
    <row r="149" customFormat="false" ht="15" hidden="false" customHeight="true" outlineLevel="0" collapsed="false">
      <c r="A149" s="3" t="n">
        <v>45439</v>
      </c>
      <c r="B149" s="4" t="n">
        <f aca="false">YEAR($A149)</f>
        <v>2024</v>
      </c>
      <c r="C149" s="4" t="n">
        <f aca="false">MONTH($A149)</f>
        <v>5</v>
      </c>
      <c r="D149" s="4" t="str">
        <f aca="false">TEXT($A149,"ddd")</f>
        <v>Mon</v>
      </c>
      <c r="E149" s="4" t="n">
        <f aca="false">IF(OR(AND(MONTH($A149)=10,DAY($A149)&gt;=15),MONTH($A149)=11,AND(MONTH($A149)=12,DAY($A149)&lt;=7)),1,0)</f>
        <v>0</v>
      </c>
      <c r="F149" s="4" t="n">
        <f aca="false">IF(MONTH($A149)&lt;=3,1,0)</f>
        <v>0</v>
      </c>
      <c r="G149" s="4" t="str">
        <f aca="false" t="array" ref="G149:G149">_xlfn.TEXTJOIN(" | ",TRUE(),IF('FEMA Disasters'!$F$2:$F$1000=$A149,'FEMA Disasters'!$D$2:$D$1000&amp;" begin: ["&amp;'FEMA Disasters'!$B$2:$B$1000&amp;"] "&amp;'FEMA Disasters'!$C$2:$C$1000&amp;"-"&amp;'FEMA Disasters'!$A$2:$A$1000,""),IF('FEMA Disasters'!$G$2:$G$1000=$A149,'FEMA Disasters'!$D$2:$D$1000&amp;" ended: ["&amp;'FEMA Disasters'!$B$2:$B$1000&amp;"] "&amp;'FEMA Disasters'!$C$2:$C$1000&amp;"-"&amp;'FEMA Disasters'!$A$2:$A$1000,""),IF('FEMA Disasters'!$K$2:$K$1000=$A149,"Disaster SEP opens: "&amp;'FEMA Disasters'!$D$2:$D$1000&amp;" ["&amp;'FEMA Disasters'!$B$2:$B$1000&amp;"] "&amp;'FEMA Disasters'!$C$2:$C$1000&amp;"-"&amp;'FEMA Disasters'!$A$2:$A$1000,""),IF('FEMA Disasters'!$L$2:$L$1000=$A149,"Disaster SEP ended: "&amp;'FEMA Disasters'!$D$2:$D$1000&amp;" ["&amp;'FEMA Disasters'!$B$2:$B$1000&amp;"] "&amp;'FEMA Disasters'!$C$2:$C$1000&amp;"-"&amp;'FEMA Disasters'!$A$2:$A$1000,""))</f>
        <v>Severe Storm ended: [MO] DR-4803 | Severe Storm ended: [KY] DR-4804 | Severe Storm ended: [AR] DR-4788</v>
      </c>
      <c r="H149" s="4" t="n">
        <f aca="false">COUNTIF(Events!$A$2:$A$397,$A149)</f>
        <v>0</v>
      </c>
      <c r="I149" s="6" t="str">
        <f aca="false" t="array" ref="I149:I149">_xlfn.TEXTJOIN(" | ",TRUE(),IF(Events!$A$2:$A$397=$A149,Events!$E$2:$E$397&amp;IF(Events!$G$2:$G$397="National",""," ["&amp;Events!$G$2:$G$397&amp;"]"),""))</f>
        <v/>
      </c>
    </row>
    <row r="150" customFormat="false" ht="15" hidden="false" customHeight="true" outlineLevel="0" collapsed="false">
      <c r="A150" s="3" t="n">
        <v>45440</v>
      </c>
      <c r="B150" s="4" t="n">
        <f aca="false">YEAR($A150)</f>
        <v>2024</v>
      </c>
      <c r="C150" s="4" t="n">
        <f aca="false">MONTH($A150)</f>
        <v>5</v>
      </c>
      <c r="D150" s="4" t="str">
        <f aca="false">TEXT($A150,"ddd")</f>
        <v>Tue</v>
      </c>
      <c r="E150" s="4" t="n">
        <f aca="false">IF(OR(AND(MONTH($A150)=10,DAY($A150)&gt;=15),MONTH($A150)=11,AND(MONTH($A150)=12,DAY($A150)&lt;=7)),1,0)</f>
        <v>0</v>
      </c>
      <c r="F150" s="4" t="n">
        <f aca="false">IF(MONTH($A150)&lt;=3,1,0)</f>
        <v>0</v>
      </c>
      <c r="G150" s="4" t="str">
        <f aca="false" t="array" ref="G150:G150">_xlfn.TEXTJOIN(" | ",TRUE(),IF('FEMA Disasters'!$F$2:$F$1000=$A150,'FEMA Disasters'!$D$2:$D$1000&amp;" begin: ["&amp;'FEMA Disasters'!$B$2:$B$1000&amp;"] "&amp;'FEMA Disasters'!$C$2:$C$1000&amp;"-"&amp;'FEMA Disasters'!$A$2:$A$1000,""),IF('FEMA Disasters'!$G$2:$G$1000=$A150,'FEMA Disasters'!$D$2:$D$1000&amp;" ended: ["&amp;'FEMA Disasters'!$B$2:$B$1000&amp;"] "&amp;'FEMA Disasters'!$C$2:$C$1000&amp;"-"&amp;'FEMA Disasters'!$A$2:$A$1000,""),IF('FEMA Disasters'!$K$2:$K$1000=$A150,"Disaster SEP opens: "&amp;'FEMA Disasters'!$D$2:$D$1000&amp;" ["&amp;'FEMA Disasters'!$B$2:$B$1000&amp;"] "&amp;'FEMA Disasters'!$C$2:$C$1000&amp;"-"&amp;'FEMA Disasters'!$A$2:$A$1000,""),IF('FEMA Disasters'!$L$2:$L$1000=$A150,"Disaster SEP ended: "&amp;'FEMA Disasters'!$D$2:$D$1000&amp;" ["&amp;'FEMA Disasters'!$B$2:$B$1000&amp;"] "&amp;'FEMA Disasters'!$C$2:$C$1000&amp;"-"&amp;'FEMA Disasters'!$A$2:$A$1000,""))</f>
        <v>Fire begin: [AZ] FM-5493 | Severe Storm ended: [OK] DR-4791</v>
      </c>
      <c r="H150" s="4" t="n">
        <f aca="false">COUNTIF(Events!$A$2:$A$397,$A150)</f>
        <v>0</v>
      </c>
      <c r="I150" s="6" t="str">
        <f aca="false" t="array" ref="I150:I150">_xlfn.TEXTJOIN(" | ",TRUE(),IF(Events!$A$2:$A$397=$A150,Events!$E$2:$E$397&amp;IF(Events!$G$2:$G$397="National",""," ["&amp;Events!$G$2:$G$397&amp;"]"),""))</f>
        <v/>
      </c>
    </row>
    <row r="151" customFormat="false" ht="15" hidden="false" customHeight="true" outlineLevel="0" collapsed="false">
      <c r="A151" s="3" t="n">
        <v>45441</v>
      </c>
      <c r="B151" s="4" t="n">
        <f aca="false">YEAR($A151)</f>
        <v>2024</v>
      </c>
      <c r="C151" s="4" t="n">
        <f aca="false">MONTH($A151)</f>
        <v>5</v>
      </c>
      <c r="D151" s="4" t="str">
        <f aca="false">TEXT($A151,"ddd")</f>
        <v>Wed</v>
      </c>
      <c r="E151" s="4" t="n">
        <f aca="false">IF(OR(AND(MONTH($A151)=10,DAY($A151)&gt;=15),MONTH($A151)=11,AND(MONTH($A151)=12,DAY($A151)&lt;=7)),1,0)</f>
        <v>0</v>
      </c>
      <c r="F151" s="4" t="n">
        <f aca="false">IF(MONTH($A151)&lt;=3,1,0)</f>
        <v>0</v>
      </c>
      <c r="G151" s="4" t="str">
        <f aca="false" t="array" ref="G151:G151">_xlfn.TEXTJOIN(" | ",TRUE(),IF('FEMA Disasters'!$F$2:$F$1000=$A151,'FEMA Disasters'!$D$2:$D$1000&amp;" begin: ["&amp;'FEMA Disasters'!$B$2:$B$1000&amp;"] "&amp;'FEMA Disasters'!$C$2:$C$1000&amp;"-"&amp;'FEMA Disasters'!$A$2:$A$1000,""),IF('FEMA Disasters'!$G$2:$G$1000=$A151,'FEMA Disasters'!$D$2:$D$1000&amp;" ended: ["&amp;'FEMA Disasters'!$B$2:$B$1000&amp;"] "&amp;'FEMA Disasters'!$C$2:$C$1000&amp;"-"&amp;'FEMA Disasters'!$A$2:$A$1000,""),IF('FEMA Disasters'!$K$2:$K$1000=$A151,"Disaster SEP opens: "&amp;'FEMA Disasters'!$D$2:$D$1000&amp;" ["&amp;'FEMA Disasters'!$B$2:$B$1000&amp;"] "&amp;'FEMA Disasters'!$C$2:$C$1000&amp;"-"&amp;'FEMA Disasters'!$A$2:$A$1000,""),IF('FEMA Disasters'!$L$2:$L$1000=$A151,"Disaster SEP ended: "&amp;'FEMA Disasters'!$D$2:$D$1000&amp;" ["&amp;'FEMA Disasters'!$B$2:$B$1000&amp;"] "&amp;'FEMA Disasters'!$C$2:$C$1000&amp;"-"&amp;'FEMA Disasters'!$A$2:$A$1000,""))</f>
        <v/>
      </c>
      <c r="H151" s="4" t="n">
        <f aca="false">COUNTIF(Events!$A$2:$A$397,$A151)</f>
        <v>0</v>
      </c>
      <c r="I151" s="6" t="str">
        <f aca="false" t="array" ref="I151:I151">_xlfn.TEXTJOIN(" | ",TRUE(),IF(Events!$A$2:$A$397=$A151,Events!$E$2:$E$397&amp;IF(Events!$G$2:$G$397="National",""," ["&amp;Events!$G$2:$G$397&amp;"]"),""))</f>
        <v/>
      </c>
    </row>
    <row r="152" customFormat="false" ht="15" hidden="false" customHeight="true" outlineLevel="0" collapsed="false">
      <c r="A152" s="3" t="n">
        <v>45442</v>
      </c>
      <c r="B152" s="4" t="n">
        <f aca="false">YEAR($A152)</f>
        <v>2024</v>
      </c>
      <c r="C152" s="4" t="n">
        <f aca="false">MONTH($A152)</f>
        <v>5</v>
      </c>
      <c r="D152" s="4" t="str">
        <f aca="false">TEXT($A152,"ddd")</f>
        <v>Thu</v>
      </c>
      <c r="E152" s="4" t="n">
        <f aca="false">IF(OR(AND(MONTH($A152)=10,DAY($A152)&gt;=15),MONTH($A152)=11,AND(MONTH($A152)=12,DAY($A152)&lt;=7)),1,0)</f>
        <v>0</v>
      </c>
      <c r="F152" s="4" t="n">
        <f aca="false">IF(MONTH($A152)&lt;=3,1,0)</f>
        <v>0</v>
      </c>
      <c r="G152" s="4" t="str">
        <f aca="false" t="array" ref="G152:G152">_xlfn.TEXTJOIN(" | ",TRUE(),IF('FEMA Disasters'!$F$2:$F$1000=$A152,'FEMA Disasters'!$D$2:$D$1000&amp;" begin: ["&amp;'FEMA Disasters'!$B$2:$B$1000&amp;"] "&amp;'FEMA Disasters'!$C$2:$C$1000&amp;"-"&amp;'FEMA Disasters'!$A$2:$A$1000,""),IF('FEMA Disasters'!$G$2:$G$1000=$A152,'FEMA Disasters'!$D$2:$D$1000&amp;" ended: ["&amp;'FEMA Disasters'!$B$2:$B$1000&amp;"] "&amp;'FEMA Disasters'!$C$2:$C$1000&amp;"-"&amp;'FEMA Disasters'!$A$2:$A$1000,""),IF('FEMA Disasters'!$K$2:$K$1000=$A152,"Disaster SEP opens: "&amp;'FEMA Disasters'!$D$2:$D$1000&amp;" ["&amp;'FEMA Disasters'!$B$2:$B$1000&amp;"] "&amp;'FEMA Disasters'!$C$2:$C$1000&amp;"-"&amp;'FEMA Disasters'!$A$2:$A$1000,""),IF('FEMA Disasters'!$L$2:$L$1000=$A152,"Disaster SEP ended: "&amp;'FEMA Disasters'!$D$2:$D$1000&amp;" ["&amp;'FEMA Disasters'!$B$2:$B$1000&amp;"] "&amp;'FEMA Disasters'!$C$2:$C$1000&amp;"-"&amp;'FEMA Disasters'!$A$2:$A$1000,""))</f>
        <v/>
      </c>
      <c r="H152" s="4" t="n">
        <f aca="false">COUNTIF(Events!$A$2:$A$397,$A152)</f>
        <v>0</v>
      </c>
      <c r="I152" s="6" t="str">
        <f aca="false" t="array" ref="I152:I152">_xlfn.TEXTJOIN(" | ",TRUE(),IF(Events!$A$2:$A$397=$A152,Events!$E$2:$E$397&amp;IF(Events!$G$2:$G$397="National",""," ["&amp;Events!$G$2:$G$397&amp;"]"),""))</f>
        <v/>
      </c>
    </row>
    <row r="153" customFormat="false" ht="15" hidden="false" customHeight="true" outlineLevel="0" collapsed="false">
      <c r="A153" s="3" t="n">
        <v>45443</v>
      </c>
      <c r="B153" s="4" t="n">
        <f aca="false">YEAR($A153)</f>
        <v>2024</v>
      </c>
      <c r="C153" s="4" t="n">
        <f aca="false">MONTH($A153)</f>
        <v>5</v>
      </c>
      <c r="D153" s="4" t="str">
        <f aca="false">TEXT($A153,"ddd")</f>
        <v>Fri</v>
      </c>
      <c r="E153" s="4" t="n">
        <f aca="false">IF(OR(AND(MONTH($A153)=10,DAY($A153)&gt;=15),MONTH($A153)=11,AND(MONTH($A153)=12,DAY($A153)&lt;=7)),1,0)</f>
        <v>0</v>
      </c>
      <c r="F153" s="4" t="n">
        <f aca="false">IF(MONTH($A153)&lt;=3,1,0)</f>
        <v>0</v>
      </c>
      <c r="G153" s="4" t="str">
        <f aca="false" t="array" ref="G153:G153">_xlfn.TEXTJOIN(" | ",TRUE(),IF('FEMA Disasters'!$F$2:$F$1000=$A153,'FEMA Disasters'!$D$2:$D$1000&amp;" begin: ["&amp;'FEMA Disasters'!$B$2:$B$1000&amp;"] "&amp;'FEMA Disasters'!$C$2:$C$1000&amp;"-"&amp;'FEMA Disasters'!$A$2:$A$1000,""),IF('FEMA Disasters'!$G$2:$G$1000=$A153,'FEMA Disasters'!$D$2:$D$1000&amp;" ended: ["&amp;'FEMA Disasters'!$B$2:$B$1000&amp;"] "&amp;'FEMA Disasters'!$C$2:$C$1000&amp;"-"&amp;'FEMA Disasters'!$A$2:$A$1000,""),IF('FEMA Disasters'!$K$2:$K$1000=$A153,"Disaster SEP opens: "&amp;'FEMA Disasters'!$D$2:$D$1000&amp;" ["&amp;'FEMA Disasters'!$B$2:$B$1000&amp;"] "&amp;'FEMA Disasters'!$C$2:$C$1000&amp;"-"&amp;'FEMA Disasters'!$A$2:$A$1000,""),IF('FEMA Disasters'!$L$2:$L$1000=$A153,"Disaster SEP ended: "&amp;'FEMA Disasters'!$D$2:$D$1000&amp;" ["&amp;'FEMA Disasters'!$B$2:$B$1000&amp;"] "&amp;'FEMA Disasters'!$C$2:$C$1000&amp;"-"&amp;'FEMA Disasters'!$A$2:$A$1000,""))</f>
        <v>Severe Storm ended: [IA] DR-4784 | Fire ended: [AZ] FM-5493 | Disaster SEP ended: Tornado [OH] DR-4777 | Disaster SEP ended: Severe Storm [OK] DR-4802</v>
      </c>
      <c r="H153" s="4" t="n">
        <f aca="false">COUNTIF(Events!$A$2:$A$397,$A153)</f>
        <v>0</v>
      </c>
      <c r="I153" s="6" t="str">
        <f aca="false" t="array" ref="I153:I153">_xlfn.TEXTJOIN(" | ",TRUE(),IF(Events!$A$2:$A$397=$A153,Events!$E$2:$E$397&amp;IF(Events!$G$2:$G$397="National",""," ["&amp;Events!$G$2:$G$397&amp;"]"),""))</f>
        <v/>
      </c>
    </row>
    <row r="154" customFormat="false" ht="15" hidden="false" customHeight="true" outlineLevel="0" collapsed="false">
      <c r="A154" s="3" t="n">
        <v>45444</v>
      </c>
      <c r="B154" s="4" t="n">
        <f aca="false">YEAR($A154)</f>
        <v>2024</v>
      </c>
      <c r="C154" s="4" t="n">
        <f aca="false">MONTH($A154)</f>
        <v>6</v>
      </c>
      <c r="D154" s="4" t="str">
        <f aca="false">TEXT($A154,"ddd")</f>
        <v>Sat</v>
      </c>
      <c r="E154" s="4" t="n">
        <f aca="false">IF(OR(AND(MONTH($A154)=10,DAY($A154)&gt;=15),MONTH($A154)=11,AND(MONTH($A154)=12,DAY($A154)&lt;=7)),1,0)</f>
        <v>0</v>
      </c>
      <c r="F154" s="4" t="n">
        <f aca="false">IF(MONTH($A154)&lt;=3,1,0)</f>
        <v>0</v>
      </c>
      <c r="G154" s="4" t="str">
        <f aca="false" t="array" ref="G154:G154">_xlfn.TEXTJOIN(" | ",TRUE(),IF('FEMA Disasters'!$F$2:$F$1000=$A154,'FEMA Disasters'!$D$2:$D$1000&amp;" begin: ["&amp;'FEMA Disasters'!$B$2:$B$1000&amp;"] "&amp;'FEMA Disasters'!$C$2:$C$1000&amp;"-"&amp;'FEMA Disasters'!$A$2:$A$1000,""),IF('FEMA Disasters'!$G$2:$G$1000=$A154,'FEMA Disasters'!$D$2:$D$1000&amp;" ended: ["&amp;'FEMA Disasters'!$B$2:$B$1000&amp;"] "&amp;'FEMA Disasters'!$C$2:$C$1000&amp;"-"&amp;'FEMA Disasters'!$A$2:$A$1000,""),IF('FEMA Disasters'!$K$2:$K$1000=$A154,"Disaster SEP opens: "&amp;'FEMA Disasters'!$D$2:$D$1000&amp;" ["&amp;'FEMA Disasters'!$B$2:$B$1000&amp;"] "&amp;'FEMA Disasters'!$C$2:$C$1000&amp;"-"&amp;'FEMA Disasters'!$A$2:$A$1000,""),IF('FEMA Disasters'!$L$2:$L$1000=$A154,"Disaster SEP ended: "&amp;'FEMA Disasters'!$D$2:$D$1000&amp;" ["&amp;'FEMA Disasters'!$B$2:$B$1000&amp;"] "&amp;'FEMA Disasters'!$C$2:$C$1000&amp;"-"&amp;'FEMA Disasters'!$A$2:$A$1000,""))</f>
        <v/>
      </c>
      <c r="H154" s="4" t="n">
        <f aca="false">COUNTIF(Events!$A$2:$A$397,$A154)</f>
        <v>0</v>
      </c>
      <c r="I154" s="6" t="str">
        <f aca="false" t="array" ref="I154:I154">_xlfn.TEXTJOIN(" | ",TRUE(),IF(Events!$A$2:$A$397=$A154,Events!$E$2:$E$397&amp;IF(Events!$G$2:$G$397="National",""," ["&amp;Events!$G$2:$G$397&amp;"]"),""))</f>
        <v/>
      </c>
    </row>
    <row r="155" customFormat="false" ht="15" hidden="false" customHeight="true" outlineLevel="0" collapsed="false">
      <c r="A155" s="3" t="n">
        <v>45445</v>
      </c>
      <c r="B155" s="4" t="n">
        <f aca="false">YEAR($A155)</f>
        <v>2024</v>
      </c>
      <c r="C155" s="4" t="n">
        <f aca="false">MONTH($A155)</f>
        <v>6</v>
      </c>
      <c r="D155" s="4" t="str">
        <f aca="false">TEXT($A155,"ddd")</f>
        <v>Sun</v>
      </c>
      <c r="E155" s="4" t="n">
        <f aca="false">IF(OR(AND(MONTH($A155)=10,DAY($A155)&gt;=15),MONTH($A155)=11,AND(MONTH($A155)=12,DAY($A155)&lt;=7)),1,0)</f>
        <v>0</v>
      </c>
      <c r="F155" s="4" t="n">
        <f aca="false">IF(MONTH($A155)&lt;=3,1,0)</f>
        <v>0</v>
      </c>
      <c r="G155" s="4" t="str">
        <f aca="false" t="array" ref="G155:G155">_xlfn.TEXTJOIN(" | ",TRUE(),IF('FEMA Disasters'!$F$2:$F$1000=$A155,'FEMA Disasters'!$D$2:$D$1000&amp;" begin: ["&amp;'FEMA Disasters'!$B$2:$B$1000&amp;"] "&amp;'FEMA Disasters'!$C$2:$C$1000&amp;"-"&amp;'FEMA Disasters'!$A$2:$A$1000,""),IF('FEMA Disasters'!$G$2:$G$1000=$A155,'FEMA Disasters'!$D$2:$D$1000&amp;" ended: ["&amp;'FEMA Disasters'!$B$2:$B$1000&amp;"] "&amp;'FEMA Disasters'!$C$2:$C$1000&amp;"-"&amp;'FEMA Disasters'!$A$2:$A$1000,""),IF('FEMA Disasters'!$K$2:$K$1000=$A155,"Disaster SEP opens: "&amp;'FEMA Disasters'!$D$2:$D$1000&amp;" ["&amp;'FEMA Disasters'!$B$2:$B$1000&amp;"] "&amp;'FEMA Disasters'!$C$2:$C$1000&amp;"-"&amp;'FEMA Disasters'!$A$2:$A$1000,""),IF('FEMA Disasters'!$L$2:$L$1000=$A155,"Disaster SEP ended: "&amp;'FEMA Disasters'!$D$2:$D$1000&amp;" ["&amp;'FEMA Disasters'!$B$2:$B$1000&amp;"] "&amp;'FEMA Disasters'!$C$2:$C$1000&amp;"-"&amp;'FEMA Disasters'!$A$2:$A$1000,""))</f>
        <v/>
      </c>
      <c r="H155" s="4" t="n">
        <f aca="false">COUNTIF(Events!$A$2:$A$397,$A155)</f>
        <v>0</v>
      </c>
      <c r="I155" s="6" t="str">
        <f aca="false" t="array" ref="I155:I155">_xlfn.TEXTJOIN(" | ",TRUE(),IF(Events!$A$2:$A$397=$A155,Events!$E$2:$E$397&amp;IF(Events!$G$2:$G$397="National",""," ["&amp;Events!$G$2:$G$397&amp;"]"),""))</f>
        <v/>
      </c>
    </row>
    <row r="156" customFormat="false" ht="15" hidden="false" customHeight="true" outlineLevel="0" collapsed="false">
      <c r="A156" s="3" t="n">
        <v>45446</v>
      </c>
      <c r="B156" s="4" t="n">
        <f aca="false">YEAR($A156)</f>
        <v>2024</v>
      </c>
      <c r="C156" s="4" t="n">
        <f aca="false">MONTH($A156)</f>
        <v>6</v>
      </c>
      <c r="D156" s="4" t="str">
        <f aca="false">TEXT($A156,"ddd")</f>
        <v>Mon</v>
      </c>
      <c r="E156" s="4" t="n">
        <f aca="false">IF(OR(AND(MONTH($A156)=10,DAY($A156)&gt;=15),MONTH($A156)=11,AND(MONTH($A156)=12,DAY($A156)&lt;=7)),1,0)</f>
        <v>0</v>
      </c>
      <c r="F156" s="4" t="n">
        <f aca="false">IF(MONTH($A156)&lt;=3,1,0)</f>
        <v>0</v>
      </c>
      <c r="G156" s="4" t="str">
        <f aca="false" t="array" ref="G156:G156">_xlfn.TEXTJOIN(" | ",TRUE(),IF('FEMA Disasters'!$F$2:$F$1000=$A156,'FEMA Disasters'!$D$2:$D$1000&amp;" begin: ["&amp;'FEMA Disasters'!$B$2:$B$1000&amp;"] "&amp;'FEMA Disasters'!$C$2:$C$1000&amp;"-"&amp;'FEMA Disasters'!$A$2:$A$1000,""),IF('FEMA Disasters'!$G$2:$G$1000=$A156,'FEMA Disasters'!$D$2:$D$1000&amp;" ended: ["&amp;'FEMA Disasters'!$B$2:$B$1000&amp;"] "&amp;'FEMA Disasters'!$C$2:$C$1000&amp;"-"&amp;'FEMA Disasters'!$A$2:$A$1000,""),IF('FEMA Disasters'!$K$2:$K$1000=$A156,"Disaster SEP opens: "&amp;'FEMA Disasters'!$D$2:$D$1000&amp;" ["&amp;'FEMA Disasters'!$B$2:$B$1000&amp;"] "&amp;'FEMA Disasters'!$C$2:$C$1000&amp;"-"&amp;'FEMA Disasters'!$A$2:$A$1000,""),IF('FEMA Disasters'!$L$2:$L$1000=$A156,"Disaster SEP ended: "&amp;'FEMA Disasters'!$D$2:$D$1000&amp;" ["&amp;'FEMA Disasters'!$B$2:$B$1000&amp;"] "&amp;'FEMA Disasters'!$C$2:$C$1000&amp;"-"&amp;'FEMA Disasters'!$A$2:$A$1000,""))</f>
        <v>Severe Storm ended: [NE] DR-4808</v>
      </c>
      <c r="H156" s="4" t="n">
        <f aca="false">COUNTIF(Events!$A$2:$A$397,$A156)</f>
        <v>1</v>
      </c>
      <c r="I156" s="6" t="str">
        <f aca="false" t="array" ref="I156:I156">_xlfn.TEXTJOIN(" | ",TRUE(),IF(Events!$A$2:$A$397=$A156,Events!$E$2:$E$397&amp;IF(Events!$G$2:$G$397="National",""," ["&amp;Events!$G$2:$G$397&amp;"]"),""))</f>
        <v>D.D.C. rules for SCAN Health Plan: CMS's 2024 Star Ratings methodology (guardrail/Tukey sequencing) violated the APA; SCAN's rating ordered recalculated; Elevance won a parallel case ~6/11</v>
      </c>
    </row>
    <row r="157" customFormat="false" ht="15" hidden="false" customHeight="true" outlineLevel="0" collapsed="false">
      <c r="A157" s="3" t="n">
        <v>45447</v>
      </c>
      <c r="B157" s="4" t="n">
        <f aca="false">YEAR($A157)</f>
        <v>2024</v>
      </c>
      <c r="C157" s="4" t="n">
        <f aca="false">MONTH($A157)</f>
        <v>6</v>
      </c>
      <c r="D157" s="4" t="str">
        <f aca="false">TEXT($A157,"ddd")</f>
        <v>Tue</v>
      </c>
      <c r="E157" s="4" t="n">
        <f aca="false">IF(OR(AND(MONTH($A157)=10,DAY($A157)&gt;=15),MONTH($A157)=11,AND(MONTH($A157)=12,DAY($A157)&lt;=7)),1,0)</f>
        <v>0</v>
      </c>
      <c r="F157" s="4" t="n">
        <f aca="false">IF(MONTH($A157)&lt;=3,1,0)</f>
        <v>0</v>
      </c>
      <c r="G157" s="4" t="str">
        <f aca="false" t="array" ref="G157:G157">_xlfn.TEXTJOIN(" | ",TRUE(),IF('FEMA Disasters'!$F$2:$F$1000=$A157,'FEMA Disasters'!$D$2:$D$1000&amp;" begin: ["&amp;'FEMA Disasters'!$B$2:$B$1000&amp;"] "&amp;'FEMA Disasters'!$C$2:$C$1000&amp;"-"&amp;'FEMA Disasters'!$A$2:$A$1000,""),IF('FEMA Disasters'!$G$2:$G$1000=$A157,'FEMA Disasters'!$D$2:$D$1000&amp;" ended: ["&amp;'FEMA Disasters'!$B$2:$B$1000&amp;"] "&amp;'FEMA Disasters'!$C$2:$C$1000&amp;"-"&amp;'FEMA Disasters'!$A$2:$A$1000,""),IF('FEMA Disasters'!$K$2:$K$1000=$A157,"Disaster SEP opens: "&amp;'FEMA Disasters'!$D$2:$D$1000&amp;" ["&amp;'FEMA Disasters'!$B$2:$B$1000&amp;"] "&amp;'FEMA Disasters'!$C$2:$C$1000&amp;"-"&amp;'FEMA Disasters'!$A$2:$A$1000,""),IF('FEMA Disasters'!$L$2:$L$1000=$A157,"Disaster SEP ended: "&amp;'FEMA Disasters'!$D$2:$D$1000&amp;" ["&amp;'FEMA Disasters'!$B$2:$B$1000&amp;"] "&amp;'FEMA Disasters'!$C$2:$C$1000&amp;"-"&amp;'FEMA Disasters'!$A$2:$A$1000,""))</f>
        <v/>
      </c>
      <c r="H157" s="4" t="n">
        <f aca="false">COUNTIF(Events!$A$2:$A$397,$A157)</f>
        <v>0</v>
      </c>
      <c r="I157" s="6" t="str">
        <f aca="false" t="array" ref="I157:I157">_xlfn.TEXTJOIN(" | ",TRUE(),IF(Events!$A$2:$A$397=$A157,Events!$E$2:$E$397&amp;IF(Events!$G$2:$G$397="National",""," ["&amp;Events!$G$2:$G$397&amp;"]"),""))</f>
        <v/>
      </c>
    </row>
    <row r="158" customFormat="false" ht="15" hidden="false" customHeight="true" outlineLevel="0" collapsed="false">
      <c r="A158" s="3" t="n">
        <v>45448</v>
      </c>
      <c r="B158" s="4" t="n">
        <f aca="false">YEAR($A158)</f>
        <v>2024</v>
      </c>
      <c r="C158" s="4" t="n">
        <f aca="false">MONTH($A158)</f>
        <v>6</v>
      </c>
      <c r="D158" s="4" t="str">
        <f aca="false">TEXT($A158,"ddd")</f>
        <v>Wed</v>
      </c>
      <c r="E158" s="4" t="n">
        <f aca="false">IF(OR(AND(MONTH($A158)=10,DAY($A158)&gt;=15),MONTH($A158)=11,AND(MONTH($A158)=12,DAY($A158)&lt;=7)),1,0)</f>
        <v>0</v>
      </c>
      <c r="F158" s="4" t="n">
        <f aca="false">IF(MONTH($A158)&lt;=3,1,0)</f>
        <v>0</v>
      </c>
      <c r="G158" s="4" t="str">
        <f aca="false" t="array" ref="G158:G158">_xlfn.TEXTJOIN(" | ",TRUE(),IF('FEMA Disasters'!$F$2:$F$1000=$A158,'FEMA Disasters'!$D$2:$D$1000&amp;" begin: ["&amp;'FEMA Disasters'!$B$2:$B$1000&amp;"] "&amp;'FEMA Disasters'!$C$2:$C$1000&amp;"-"&amp;'FEMA Disasters'!$A$2:$A$1000,""),IF('FEMA Disasters'!$G$2:$G$1000=$A158,'FEMA Disasters'!$D$2:$D$1000&amp;" ended: ["&amp;'FEMA Disasters'!$B$2:$B$1000&amp;"] "&amp;'FEMA Disasters'!$C$2:$C$1000&amp;"-"&amp;'FEMA Disasters'!$A$2:$A$1000,""),IF('FEMA Disasters'!$K$2:$K$1000=$A158,"Disaster SEP opens: "&amp;'FEMA Disasters'!$D$2:$D$1000&amp;" ["&amp;'FEMA Disasters'!$B$2:$B$1000&amp;"] "&amp;'FEMA Disasters'!$C$2:$C$1000&amp;"-"&amp;'FEMA Disasters'!$A$2:$A$1000,""),IF('FEMA Disasters'!$L$2:$L$1000=$A158,"Disaster SEP ended: "&amp;'FEMA Disasters'!$D$2:$D$1000&amp;" ["&amp;'FEMA Disasters'!$B$2:$B$1000&amp;"] "&amp;'FEMA Disasters'!$C$2:$C$1000&amp;"-"&amp;'FEMA Disasters'!$A$2:$A$1000,""))</f>
        <v>Flood ended: [TX] DR-4781</v>
      </c>
      <c r="H158" s="4" t="n">
        <f aca="false">COUNTIF(Events!$A$2:$A$397,$A158)</f>
        <v>0</v>
      </c>
      <c r="I158" s="6" t="str">
        <f aca="false" t="array" ref="I158:I158">_xlfn.TEXTJOIN(" | ",TRUE(),IF(Events!$A$2:$A$397=$A158,Events!$E$2:$E$397&amp;IF(Events!$G$2:$G$397="National",""," ["&amp;Events!$G$2:$G$397&amp;"]"),""))</f>
        <v/>
      </c>
    </row>
    <row r="159" customFormat="false" ht="15" hidden="false" customHeight="true" outlineLevel="0" collapsed="false">
      <c r="A159" s="3" t="n">
        <v>45449</v>
      </c>
      <c r="B159" s="4" t="n">
        <f aca="false">YEAR($A159)</f>
        <v>2024</v>
      </c>
      <c r="C159" s="4" t="n">
        <f aca="false">MONTH($A159)</f>
        <v>6</v>
      </c>
      <c r="D159" s="4" t="str">
        <f aca="false">TEXT($A159,"ddd")</f>
        <v>Thu</v>
      </c>
      <c r="E159" s="4" t="n">
        <f aca="false">IF(OR(AND(MONTH($A159)=10,DAY($A159)&gt;=15),MONTH($A159)=11,AND(MONTH($A159)=12,DAY($A159)&lt;=7)),1,0)</f>
        <v>0</v>
      </c>
      <c r="F159" s="4" t="n">
        <f aca="false">IF(MONTH($A159)&lt;=3,1,0)</f>
        <v>0</v>
      </c>
      <c r="G159" s="4" t="str">
        <f aca="false" t="array" ref="G159:G159">_xlfn.TEXTJOIN(" | ",TRUE(),IF('FEMA Disasters'!$F$2:$F$1000=$A159,'FEMA Disasters'!$D$2:$D$1000&amp;" begin: ["&amp;'FEMA Disasters'!$B$2:$B$1000&amp;"] "&amp;'FEMA Disasters'!$C$2:$C$1000&amp;"-"&amp;'FEMA Disasters'!$A$2:$A$1000,""),IF('FEMA Disasters'!$G$2:$G$1000=$A159,'FEMA Disasters'!$D$2:$D$1000&amp;" ended: ["&amp;'FEMA Disasters'!$B$2:$B$1000&amp;"] "&amp;'FEMA Disasters'!$C$2:$C$1000&amp;"-"&amp;'FEMA Disasters'!$A$2:$A$1000,""),IF('FEMA Disasters'!$K$2:$K$1000=$A159,"Disaster SEP opens: "&amp;'FEMA Disasters'!$D$2:$D$1000&amp;" ["&amp;'FEMA Disasters'!$B$2:$B$1000&amp;"] "&amp;'FEMA Disasters'!$C$2:$C$1000&amp;"-"&amp;'FEMA Disasters'!$A$2:$A$1000,""),IF('FEMA Disasters'!$L$2:$L$1000=$A159,"Disaster SEP ended: "&amp;'FEMA Disasters'!$D$2:$D$1000&amp;" ["&amp;'FEMA Disasters'!$B$2:$B$1000&amp;"] "&amp;'FEMA Disasters'!$C$2:$C$1000&amp;"-"&amp;'FEMA Disasters'!$A$2:$A$1000,""))</f>
        <v/>
      </c>
      <c r="H159" s="4" t="n">
        <f aca="false">COUNTIF(Events!$A$2:$A$397,$A159)</f>
        <v>0</v>
      </c>
      <c r="I159" s="6" t="str">
        <f aca="false" t="array" ref="I159:I159">_xlfn.TEXTJOIN(" | ",TRUE(),IF(Events!$A$2:$A$397=$A159,Events!$E$2:$E$397&amp;IF(Events!$G$2:$G$397="National",""," ["&amp;Events!$G$2:$G$397&amp;"]"),""))</f>
        <v/>
      </c>
    </row>
    <row r="160" customFormat="false" ht="15" hidden="false" customHeight="true" outlineLevel="0" collapsed="false">
      <c r="A160" s="3" t="n">
        <v>45450</v>
      </c>
      <c r="B160" s="4" t="n">
        <f aca="false">YEAR($A160)</f>
        <v>2024</v>
      </c>
      <c r="C160" s="4" t="n">
        <f aca="false">MONTH($A160)</f>
        <v>6</v>
      </c>
      <c r="D160" s="4" t="str">
        <f aca="false">TEXT($A160,"ddd")</f>
        <v>Fri</v>
      </c>
      <c r="E160" s="4" t="n">
        <f aca="false">IF(OR(AND(MONTH($A160)=10,DAY($A160)&gt;=15),MONTH($A160)=11,AND(MONTH($A160)=12,DAY($A160)&lt;=7)),1,0)</f>
        <v>0</v>
      </c>
      <c r="F160" s="4" t="n">
        <f aca="false">IF(MONTH($A160)&lt;=3,1,0)</f>
        <v>0</v>
      </c>
      <c r="G160" s="4" t="str">
        <f aca="false" t="array" ref="G160:G160">_xlfn.TEXTJOIN(" | ",TRUE(),IF('FEMA Disasters'!$F$2:$F$1000=$A160,'FEMA Disasters'!$D$2:$D$1000&amp;" begin: ["&amp;'FEMA Disasters'!$B$2:$B$1000&amp;"] "&amp;'FEMA Disasters'!$C$2:$C$1000&amp;"-"&amp;'FEMA Disasters'!$A$2:$A$1000,""),IF('FEMA Disasters'!$G$2:$G$1000=$A160,'FEMA Disasters'!$D$2:$D$1000&amp;" ended: ["&amp;'FEMA Disasters'!$B$2:$B$1000&amp;"] "&amp;'FEMA Disasters'!$C$2:$C$1000&amp;"-"&amp;'FEMA Disasters'!$A$2:$A$1000,""),IF('FEMA Disasters'!$K$2:$K$1000=$A160,"Disaster SEP opens: "&amp;'FEMA Disasters'!$D$2:$D$1000&amp;" ["&amp;'FEMA Disasters'!$B$2:$B$1000&amp;"] "&amp;'FEMA Disasters'!$C$2:$C$1000&amp;"-"&amp;'FEMA Disasters'!$A$2:$A$1000,""),IF('FEMA Disasters'!$L$2:$L$1000=$A160,"Disaster SEP ended: "&amp;'FEMA Disasters'!$D$2:$D$1000&amp;" ["&amp;'FEMA Disasters'!$B$2:$B$1000&amp;"] "&amp;'FEMA Disasters'!$C$2:$C$1000&amp;"-"&amp;'FEMA Disasters'!$A$2:$A$1000,""))</f>
        <v/>
      </c>
      <c r="H160" s="4" t="n">
        <f aca="false">COUNTIF(Events!$A$2:$A$397,$A160)</f>
        <v>0</v>
      </c>
      <c r="I160" s="6" t="str">
        <f aca="false" t="array" ref="I160:I160">_xlfn.TEXTJOIN(" | ",TRUE(),IF(Events!$A$2:$A$397=$A160,Events!$E$2:$E$397&amp;IF(Events!$G$2:$G$397="National",""," ["&amp;Events!$G$2:$G$397&amp;"]"),""))</f>
        <v/>
      </c>
    </row>
    <row r="161" customFormat="false" ht="15" hidden="false" customHeight="true" outlineLevel="0" collapsed="false">
      <c r="A161" s="3" t="n">
        <v>45451</v>
      </c>
      <c r="B161" s="4" t="n">
        <f aca="false">YEAR($A161)</f>
        <v>2024</v>
      </c>
      <c r="C161" s="4" t="n">
        <f aca="false">MONTH($A161)</f>
        <v>6</v>
      </c>
      <c r="D161" s="4" t="str">
        <f aca="false">TEXT($A161,"ddd")</f>
        <v>Sat</v>
      </c>
      <c r="E161" s="4" t="n">
        <f aca="false">IF(OR(AND(MONTH($A161)=10,DAY($A161)&gt;=15),MONTH($A161)=11,AND(MONTH($A161)=12,DAY($A161)&lt;=7)),1,0)</f>
        <v>0</v>
      </c>
      <c r="F161" s="4" t="n">
        <f aca="false">IF(MONTH($A161)&lt;=3,1,0)</f>
        <v>0</v>
      </c>
      <c r="G161" s="4" t="str">
        <f aca="false" t="array" ref="G161:G161">_xlfn.TEXTJOIN(" | ",TRUE(),IF('FEMA Disasters'!$F$2:$F$1000=$A161,'FEMA Disasters'!$D$2:$D$1000&amp;" begin: ["&amp;'FEMA Disasters'!$B$2:$B$1000&amp;"] "&amp;'FEMA Disasters'!$C$2:$C$1000&amp;"-"&amp;'FEMA Disasters'!$A$2:$A$1000,""),IF('FEMA Disasters'!$G$2:$G$1000=$A161,'FEMA Disasters'!$D$2:$D$1000&amp;" ended: ["&amp;'FEMA Disasters'!$B$2:$B$1000&amp;"] "&amp;'FEMA Disasters'!$C$2:$C$1000&amp;"-"&amp;'FEMA Disasters'!$A$2:$A$1000,""),IF('FEMA Disasters'!$K$2:$K$1000=$A161,"Disaster SEP opens: "&amp;'FEMA Disasters'!$D$2:$D$1000&amp;" ["&amp;'FEMA Disasters'!$B$2:$B$1000&amp;"] "&amp;'FEMA Disasters'!$C$2:$C$1000&amp;"-"&amp;'FEMA Disasters'!$A$2:$A$1000,""),IF('FEMA Disasters'!$L$2:$L$1000=$A161,"Disaster SEP ended: "&amp;'FEMA Disasters'!$D$2:$D$1000&amp;" ["&amp;'FEMA Disasters'!$B$2:$B$1000&amp;"] "&amp;'FEMA Disasters'!$C$2:$C$1000&amp;"-"&amp;'FEMA Disasters'!$A$2:$A$1000,""))</f>
        <v/>
      </c>
      <c r="H161" s="4" t="n">
        <f aca="false">COUNTIF(Events!$A$2:$A$397,$A161)</f>
        <v>0</v>
      </c>
      <c r="I161" s="6" t="str">
        <f aca="false" t="array" ref="I161:I161">_xlfn.TEXTJOIN(" | ",TRUE(),IF(Events!$A$2:$A$397=$A161,Events!$E$2:$E$397&amp;IF(Events!$G$2:$G$397="National",""," ["&amp;Events!$G$2:$G$397&amp;"]"),""))</f>
        <v/>
      </c>
    </row>
    <row r="162" customFormat="false" ht="15" hidden="false" customHeight="true" outlineLevel="0" collapsed="false">
      <c r="A162" s="3" t="n">
        <v>45452</v>
      </c>
      <c r="B162" s="4" t="n">
        <f aca="false">YEAR($A162)</f>
        <v>2024</v>
      </c>
      <c r="C162" s="4" t="n">
        <f aca="false">MONTH($A162)</f>
        <v>6</v>
      </c>
      <c r="D162" s="4" t="str">
        <f aca="false">TEXT($A162,"ddd")</f>
        <v>Sun</v>
      </c>
      <c r="E162" s="4" t="n">
        <f aca="false">IF(OR(AND(MONTH($A162)=10,DAY($A162)&gt;=15),MONTH($A162)=11,AND(MONTH($A162)=12,DAY($A162)&lt;=7)),1,0)</f>
        <v>0</v>
      </c>
      <c r="F162" s="4" t="n">
        <f aca="false">IF(MONTH($A162)&lt;=3,1,0)</f>
        <v>0</v>
      </c>
      <c r="G162" s="4" t="str">
        <f aca="false" t="array" ref="G162:G162">_xlfn.TEXTJOIN(" | ",TRUE(),IF('FEMA Disasters'!$F$2:$F$1000=$A162,'FEMA Disasters'!$D$2:$D$1000&amp;" begin: ["&amp;'FEMA Disasters'!$B$2:$B$1000&amp;"] "&amp;'FEMA Disasters'!$C$2:$C$1000&amp;"-"&amp;'FEMA Disasters'!$A$2:$A$1000,""),IF('FEMA Disasters'!$G$2:$G$1000=$A162,'FEMA Disasters'!$D$2:$D$1000&amp;" ended: ["&amp;'FEMA Disasters'!$B$2:$B$1000&amp;"] "&amp;'FEMA Disasters'!$C$2:$C$1000&amp;"-"&amp;'FEMA Disasters'!$A$2:$A$1000,""),IF('FEMA Disasters'!$K$2:$K$1000=$A162,"Disaster SEP opens: "&amp;'FEMA Disasters'!$D$2:$D$1000&amp;" ["&amp;'FEMA Disasters'!$B$2:$B$1000&amp;"] "&amp;'FEMA Disasters'!$C$2:$C$1000&amp;"-"&amp;'FEMA Disasters'!$A$2:$A$1000,""),IF('FEMA Disasters'!$L$2:$L$1000=$A162,"Disaster SEP ended: "&amp;'FEMA Disasters'!$D$2:$D$1000&amp;" ["&amp;'FEMA Disasters'!$B$2:$B$1000&amp;"] "&amp;'FEMA Disasters'!$C$2:$C$1000&amp;"-"&amp;'FEMA Disasters'!$A$2:$A$1000,""))</f>
        <v/>
      </c>
      <c r="H162" s="4" t="n">
        <f aca="false">COUNTIF(Events!$A$2:$A$397,$A162)</f>
        <v>0</v>
      </c>
      <c r="I162" s="6" t="str">
        <f aca="false" t="array" ref="I162:I162">_xlfn.TEXTJOIN(" | ",TRUE(),IF(Events!$A$2:$A$397=$A162,Events!$E$2:$E$397&amp;IF(Events!$G$2:$G$397="National",""," ["&amp;Events!$G$2:$G$397&amp;"]"),""))</f>
        <v/>
      </c>
    </row>
    <row r="163" customFormat="false" ht="15" hidden="false" customHeight="true" outlineLevel="0" collapsed="false">
      <c r="A163" s="3" t="n">
        <v>45453</v>
      </c>
      <c r="B163" s="4" t="n">
        <f aca="false">YEAR($A163)</f>
        <v>2024</v>
      </c>
      <c r="C163" s="4" t="n">
        <f aca="false">MONTH($A163)</f>
        <v>6</v>
      </c>
      <c r="D163" s="4" t="str">
        <f aca="false">TEXT($A163,"ddd")</f>
        <v>Mon</v>
      </c>
      <c r="E163" s="4" t="n">
        <f aca="false">IF(OR(AND(MONTH($A163)=10,DAY($A163)&gt;=15),MONTH($A163)=11,AND(MONTH($A163)=12,DAY($A163)&lt;=7)),1,0)</f>
        <v>0</v>
      </c>
      <c r="F163" s="4" t="n">
        <f aca="false">IF(MONTH($A163)&lt;=3,1,0)</f>
        <v>0</v>
      </c>
      <c r="G163" s="4" t="str">
        <f aca="false" t="array" ref="G163:G163">_xlfn.TEXTJOIN(" | ",TRUE(),IF('FEMA Disasters'!$F$2:$F$1000=$A163,'FEMA Disasters'!$D$2:$D$1000&amp;" begin: ["&amp;'FEMA Disasters'!$B$2:$B$1000&amp;"] "&amp;'FEMA Disasters'!$C$2:$C$1000&amp;"-"&amp;'FEMA Disasters'!$A$2:$A$1000,""),IF('FEMA Disasters'!$G$2:$G$1000=$A163,'FEMA Disasters'!$D$2:$D$1000&amp;" ended: ["&amp;'FEMA Disasters'!$B$2:$B$1000&amp;"] "&amp;'FEMA Disasters'!$C$2:$C$1000&amp;"-"&amp;'FEMA Disasters'!$A$2:$A$1000,""),IF('FEMA Disasters'!$K$2:$K$1000=$A163,"Disaster SEP opens: "&amp;'FEMA Disasters'!$D$2:$D$1000&amp;" ["&amp;'FEMA Disasters'!$B$2:$B$1000&amp;"] "&amp;'FEMA Disasters'!$C$2:$C$1000&amp;"-"&amp;'FEMA Disasters'!$A$2:$A$1000,""),IF('FEMA Disasters'!$L$2:$L$1000=$A163,"Disaster SEP ended: "&amp;'FEMA Disasters'!$D$2:$D$1000&amp;" ["&amp;'FEMA Disasters'!$B$2:$B$1000&amp;"] "&amp;'FEMA Disasters'!$C$2:$C$1000&amp;"-"&amp;'FEMA Disasters'!$A$2:$A$1000,""))</f>
        <v/>
      </c>
      <c r="H163" s="4" t="n">
        <f aca="false">COUNTIF(Events!$A$2:$A$397,$A163)</f>
        <v>0</v>
      </c>
      <c r="I163" s="6" t="str">
        <f aca="false" t="array" ref="I163:I163">_xlfn.TEXTJOIN(" | ",TRUE(),IF(Events!$A$2:$A$397=$A163,Events!$E$2:$E$397&amp;IF(Events!$G$2:$G$397="National",""," ["&amp;Events!$G$2:$G$397&amp;"]"),""))</f>
        <v/>
      </c>
    </row>
    <row r="164" customFormat="false" ht="15" hidden="false" customHeight="true" outlineLevel="0" collapsed="false">
      <c r="A164" s="3" t="n">
        <v>45454</v>
      </c>
      <c r="B164" s="4" t="n">
        <f aca="false">YEAR($A164)</f>
        <v>2024</v>
      </c>
      <c r="C164" s="4" t="n">
        <f aca="false">MONTH($A164)</f>
        <v>6</v>
      </c>
      <c r="D164" s="4" t="str">
        <f aca="false">TEXT($A164,"ddd")</f>
        <v>Tue</v>
      </c>
      <c r="E164" s="4" t="n">
        <f aca="false">IF(OR(AND(MONTH($A164)=10,DAY($A164)&gt;=15),MONTH($A164)=11,AND(MONTH($A164)=12,DAY($A164)&lt;=7)),1,0)</f>
        <v>0</v>
      </c>
      <c r="F164" s="4" t="n">
        <f aca="false">IF(MONTH($A164)&lt;=3,1,0)</f>
        <v>0</v>
      </c>
      <c r="G164" s="4" t="str">
        <f aca="false" t="array" ref="G164:G164">_xlfn.TEXTJOIN(" | ",TRUE(),IF('FEMA Disasters'!$F$2:$F$1000=$A164,'FEMA Disasters'!$D$2:$D$1000&amp;" begin: ["&amp;'FEMA Disasters'!$B$2:$B$1000&amp;"] "&amp;'FEMA Disasters'!$C$2:$C$1000&amp;"-"&amp;'FEMA Disasters'!$A$2:$A$1000,""),IF('FEMA Disasters'!$G$2:$G$1000=$A164,'FEMA Disasters'!$D$2:$D$1000&amp;" ended: ["&amp;'FEMA Disasters'!$B$2:$B$1000&amp;"] "&amp;'FEMA Disasters'!$C$2:$C$1000&amp;"-"&amp;'FEMA Disasters'!$A$2:$A$1000,""),IF('FEMA Disasters'!$K$2:$K$1000=$A164,"Disaster SEP opens: "&amp;'FEMA Disasters'!$D$2:$D$1000&amp;" ["&amp;'FEMA Disasters'!$B$2:$B$1000&amp;"] "&amp;'FEMA Disasters'!$C$2:$C$1000&amp;"-"&amp;'FEMA Disasters'!$A$2:$A$1000,""),IF('FEMA Disasters'!$L$2:$L$1000=$A164,"Disaster SEP ended: "&amp;'FEMA Disasters'!$D$2:$D$1000&amp;" ["&amp;'FEMA Disasters'!$B$2:$B$1000&amp;"] "&amp;'FEMA Disasters'!$C$2:$C$1000&amp;"-"&amp;'FEMA Disasters'!$A$2:$A$1000,""))</f>
        <v>Fire begin: [NV] FM-5494 | Fire begin: [NV] FM-5495</v>
      </c>
      <c r="H164" s="4" t="n">
        <f aca="false">COUNTIF(Events!$A$2:$A$397,$A164)</f>
        <v>0</v>
      </c>
      <c r="I164" s="6" t="str">
        <f aca="false" t="array" ref="I164:I164">_xlfn.TEXTJOIN(" | ",TRUE(),IF(Events!$A$2:$A$397=$A164,Events!$E$2:$E$397&amp;IF(Events!$G$2:$G$397="National",""," ["&amp;Events!$G$2:$G$397&amp;"]"),""))</f>
        <v/>
      </c>
    </row>
    <row r="165" customFormat="false" ht="15" hidden="false" customHeight="true" outlineLevel="0" collapsed="false">
      <c r="A165" s="3" t="n">
        <v>45455</v>
      </c>
      <c r="B165" s="4" t="n">
        <f aca="false">YEAR($A165)</f>
        <v>2024</v>
      </c>
      <c r="C165" s="4" t="n">
        <f aca="false">MONTH($A165)</f>
        <v>6</v>
      </c>
      <c r="D165" s="4" t="str">
        <f aca="false">TEXT($A165,"ddd")</f>
        <v>Wed</v>
      </c>
      <c r="E165" s="4" t="n">
        <f aca="false">IF(OR(AND(MONTH($A165)=10,DAY($A165)&gt;=15),MONTH($A165)=11,AND(MONTH($A165)=12,DAY($A165)&lt;=7)),1,0)</f>
        <v>0</v>
      </c>
      <c r="F165" s="4" t="n">
        <f aca="false">IF(MONTH($A165)&lt;=3,1,0)</f>
        <v>0</v>
      </c>
      <c r="G165" s="4" t="str">
        <f aca="false" t="array" ref="G165:G165">_xlfn.TEXTJOIN(" | ",TRUE(),IF('FEMA Disasters'!$F$2:$F$1000=$A165,'FEMA Disasters'!$D$2:$D$1000&amp;" begin: ["&amp;'FEMA Disasters'!$B$2:$B$1000&amp;"] "&amp;'FEMA Disasters'!$C$2:$C$1000&amp;"-"&amp;'FEMA Disasters'!$A$2:$A$1000,""),IF('FEMA Disasters'!$G$2:$G$1000=$A165,'FEMA Disasters'!$D$2:$D$1000&amp;" ended: ["&amp;'FEMA Disasters'!$B$2:$B$1000&amp;"] "&amp;'FEMA Disasters'!$C$2:$C$1000&amp;"-"&amp;'FEMA Disasters'!$A$2:$A$1000,""),IF('FEMA Disasters'!$K$2:$K$1000=$A165,"Disaster SEP opens: "&amp;'FEMA Disasters'!$D$2:$D$1000&amp;" ["&amp;'FEMA Disasters'!$B$2:$B$1000&amp;"] "&amp;'FEMA Disasters'!$C$2:$C$1000&amp;"-"&amp;'FEMA Disasters'!$A$2:$A$1000,""),IF('FEMA Disasters'!$L$2:$L$1000=$A165,"Disaster SEP ended: "&amp;'FEMA Disasters'!$D$2:$D$1000&amp;" ["&amp;'FEMA Disasters'!$B$2:$B$1000&amp;"] "&amp;'FEMA Disasters'!$C$2:$C$1000&amp;"-"&amp;'FEMA Disasters'!$A$2:$A$1000,""))</f>
        <v>Fire begin: [AZ] FM-5496 | Fire ended: [NV] FM-5495</v>
      </c>
      <c r="H165" s="4" t="n">
        <f aca="false">COUNTIF(Events!$A$2:$A$397,$A165)</f>
        <v>0</v>
      </c>
      <c r="I165" s="6" t="str">
        <f aca="false" t="array" ref="I165:I165">_xlfn.TEXTJOIN(" | ",TRUE(),IF(Events!$A$2:$A$397=$A165,Events!$E$2:$E$397&amp;IF(Events!$G$2:$G$397="National",""," ["&amp;Events!$G$2:$G$397&amp;"]"),""))</f>
        <v/>
      </c>
    </row>
    <row r="166" customFormat="false" ht="15" hidden="false" customHeight="true" outlineLevel="0" collapsed="false">
      <c r="A166" s="3" t="n">
        <v>45456</v>
      </c>
      <c r="B166" s="4" t="n">
        <f aca="false">YEAR($A166)</f>
        <v>2024</v>
      </c>
      <c r="C166" s="4" t="n">
        <f aca="false">MONTH($A166)</f>
        <v>6</v>
      </c>
      <c r="D166" s="4" t="str">
        <f aca="false">TEXT($A166,"ddd")</f>
        <v>Thu</v>
      </c>
      <c r="E166" s="4" t="n">
        <f aca="false">IF(OR(AND(MONTH($A166)=10,DAY($A166)&gt;=15),MONTH($A166)=11,AND(MONTH($A166)=12,DAY($A166)&lt;=7)),1,0)</f>
        <v>0</v>
      </c>
      <c r="F166" s="4" t="n">
        <f aca="false">IF(MONTH($A166)&lt;=3,1,0)</f>
        <v>0</v>
      </c>
      <c r="G166" s="4" t="str">
        <f aca="false" t="array" ref="G166:G166">_xlfn.TEXTJOIN(" | ",TRUE(),IF('FEMA Disasters'!$F$2:$F$1000=$A166,'FEMA Disasters'!$D$2:$D$1000&amp;" begin: ["&amp;'FEMA Disasters'!$B$2:$B$1000&amp;"] "&amp;'FEMA Disasters'!$C$2:$C$1000&amp;"-"&amp;'FEMA Disasters'!$A$2:$A$1000,""),IF('FEMA Disasters'!$G$2:$G$1000=$A166,'FEMA Disasters'!$D$2:$D$1000&amp;" ended: ["&amp;'FEMA Disasters'!$B$2:$B$1000&amp;"] "&amp;'FEMA Disasters'!$C$2:$C$1000&amp;"-"&amp;'FEMA Disasters'!$A$2:$A$1000,""),IF('FEMA Disasters'!$K$2:$K$1000=$A166,"Disaster SEP opens: "&amp;'FEMA Disasters'!$D$2:$D$1000&amp;" ["&amp;'FEMA Disasters'!$B$2:$B$1000&amp;"] "&amp;'FEMA Disasters'!$C$2:$C$1000&amp;"-"&amp;'FEMA Disasters'!$A$2:$A$1000,""),IF('FEMA Disasters'!$L$2:$L$1000=$A166,"Disaster SEP ended: "&amp;'FEMA Disasters'!$D$2:$D$1000&amp;" ["&amp;'FEMA Disasters'!$B$2:$B$1000&amp;"] "&amp;'FEMA Disasters'!$C$2:$C$1000&amp;"-"&amp;'FEMA Disasters'!$A$2:$A$1000,""))</f>
        <v>Fire ended: [NV] FM-5494</v>
      </c>
      <c r="H166" s="4" t="n">
        <f aca="false">COUNTIF(Events!$A$2:$A$397,$A166)</f>
        <v>0</v>
      </c>
      <c r="I166" s="6" t="str">
        <f aca="false" t="array" ref="I166:I166">_xlfn.TEXTJOIN(" | ",TRUE(),IF(Events!$A$2:$A$397=$A166,Events!$E$2:$E$397&amp;IF(Events!$G$2:$G$397="National",""," ["&amp;Events!$G$2:$G$397&amp;"]"),""))</f>
        <v/>
      </c>
    </row>
    <row r="167" customFormat="false" ht="15" hidden="false" customHeight="true" outlineLevel="0" collapsed="false">
      <c r="A167" s="3" t="n">
        <v>45457</v>
      </c>
      <c r="B167" s="4" t="n">
        <f aca="false">YEAR($A167)</f>
        <v>2024</v>
      </c>
      <c r="C167" s="4" t="n">
        <f aca="false">MONTH($A167)</f>
        <v>6</v>
      </c>
      <c r="D167" s="4" t="str">
        <f aca="false">TEXT($A167,"ddd")</f>
        <v>Fri</v>
      </c>
      <c r="E167" s="4" t="n">
        <f aca="false">IF(OR(AND(MONTH($A167)=10,DAY($A167)&gt;=15),MONTH($A167)=11,AND(MONTH($A167)=12,DAY($A167)&lt;=7)),1,0)</f>
        <v>0</v>
      </c>
      <c r="F167" s="4" t="n">
        <f aca="false">IF(MONTH($A167)&lt;=3,1,0)</f>
        <v>0</v>
      </c>
      <c r="G167" s="4" t="str">
        <f aca="false" t="array" ref="G167:G167">_xlfn.TEXTJOIN(" | ",TRUE(),IF('FEMA Disasters'!$F$2:$F$1000=$A167,'FEMA Disasters'!$D$2:$D$1000&amp;" begin: ["&amp;'FEMA Disasters'!$B$2:$B$1000&amp;"] "&amp;'FEMA Disasters'!$C$2:$C$1000&amp;"-"&amp;'FEMA Disasters'!$A$2:$A$1000,""),IF('FEMA Disasters'!$G$2:$G$1000=$A167,'FEMA Disasters'!$D$2:$D$1000&amp;" ended: ["&amp;'FEMA Disasters'!$B$2:$B$1000&amp;"] "&amp;'FEMA Disasters'!$C$2:$C$1000&amp;"-"&amp;'FEMA Disasters'!$A$2:$A$1000,""),IF('FEMA Disasters'!$K$2:$K$1000=$A167,"Disaster SEP opens: "&amp;'FEMA Disasters'!$D$2:$D$1000&amp;" ["&amp;'FEMA Disasters'!$B$2:$B$1000&amp;"] "&amp;'FEMA Disasters'!$C$2:$C$1000&amp;"-"&amp;'FEMA Disasters'!$A$2:$A$1000,""),IF('FEMA Disasters'!$L$2:$L$1000=$A167,"Disaster SEP ended: "&amp;'FEMA Disasters'!$D$2:$D$1000&amp;" ["&amp;'FEMA Disasters'!$B$2:$B$1000&amp;"] "&amp;'FEMA Disasters'!$C$2:$C$1000&amp;"-"&amp;'FEMA Disasters'!$A$2:$A$1000,""))</f>
        <v>Fire ended: [AZ] FM-5496</v>
      </c>
      <c r="H167" s="4" t="n">
        <f aca="false">COUNTIF(Events!$A$2:$A$397,$A167)</f>
        <v>0</v>
      </c>
      <c r="I167" s="6" t="str">
        <f aca="false" t="array" ref="I167:I167">_xlfn.TEXTJOIN(" | ",TRUE(),IF(Events!$A$2:$A$397=$A167,Events!$E$2:$E$397&amp;IF(Events!$G$2:$G$397="National",""," ["&amp;Events!$G$2:$G$397&amp;"]"),""))</f>
        <v/>
      </c>
    </row>
    <row r="168" customFormat="false" ht="15" hidden="false" customHeight="true" outlineLevel="0" collapsed="false">
      <c r="A168" s="3" t="n">
        <v>45458</v>
      </c>
      <c r="B168" s="4" t="n">
        <f aca="false">YEAR($A168)</f>
        <v>2024</v>
      </c>
      <c r="C168" s="4" t="n">
        <f aca="false">MONTH($A168)</f>
        <v>6</v>
      </c>
      <c r="D168" s="4" t="str">
        <f aca="false">TEXT($A168,"ddd")</f>
        <v>Sat</v>
      </c>
      <c r="E168" s="4" t="n">
        <f aca="false">IF(OR(AND(MONTH($A168)=10,DAY($A168)&gt;=15),MONTH($A168)=11,AND(MONTH($A168)=12,DAY($A168)&lt;=7)),1,0)</f>
        <v>0</v>
      </c>
      <c r="F168" s="4" t="n">
        <f aca="false">IF(MONTH($A168)&lt;=3,1,0)</f>
        <v>0</v>
      </c>
      <c r="G168" s="4" t="str">
        <f aca="false" t="array" ref="G168:G168">_xlfn.TEXTJOIN(" | ",TRUE(),IF('FEMA Disasters'!$F$2:$F$1000=$A168,'FEMA Disasters'!$D$2:$D$1000&amp;" begin: ["&amp;'FEMA Disasters'!$B$2:$B$1000&amp;"] "&amp;'FEMA Disasters'!$C$2:$C$1000&amp;"-"&amp;'FEMA Disasters'!$A$2:$A$1000,""),IF('FEMA Disasters'!$G$2:$G$1000=$A168,'FEMA Disasters'!$D$2:$D$1000&amp;" ended: ["&amp;'FEMA Disasters'!$B$2:$B$1000&amp;"] "&amp;'FEMA Disasters'!$C$2:$C$1000&amp;"-"&amp;'FEMA Disasters'!$A$2:$A$1000,""),IF('FEMA Disasters'!$K$2:$K$1000=$A168,"Disaster SEP opens: "&amp;'FEMA Disasters'!$D$2:$D$1000&amp;" ["&amp;'FEMA Disasters'!$B$2:$B$1000&amp;"] "&amp;'FEMA Disasters'!$C$2:$C$1000&amp;"-"&amp;'FEMA Disasters'!$A$2:$A$1000,""),IF('FEMA Disasters'!$L$2:$L$1000=$A168,"Disaster SEP ended: "&amp;'FEMA Disasters'!$D$2:$D$1000&amp;" ["&amp;'FEMA Disasters'!$B$2:$B$1000&amp;"] "&amp;'FEMA Disasters'!$C$2:$C$1000&amp;"-"&amp;'FEMA Disasters'!$A$2:$A$1000,""))</f>
        <v/>
      </c>
      <c r="H168" s="4" t="n">
        <f aca="false">COUNTIF(Events!$A$2:$A$397,$A168)</f>
        <v>0</v>
      </c>
      <c r="I168" s="6" t="str">
        <f aca="false" t="array" ref="I168:I168">_xlfn.TEXTJOIN(" | ",TRUE(),IF(Events!$A$2:$A$397=$A168,Events!$E$2:$E$397&amp;IF(Events!$G$2:$G$397="National",""," ["&amp;Events!$G$2:$G$397&amp;"]"),""))</f>
        <v/>
      </c>
    </row>
    <row r="169" customFormat="false" ht="15" hidden="false" customHeight="true" outlineLevel="0" collapsed="false">
      <c r="A169" s="3" t="n">
        <v>45459</v>
      </c>
      <c r="B169" s="4" t="n">
        <f aca="false">YEAR($A169)</f>
        <v>2024</v>
      </c>
      <c r="C169" s="4" t="n">
        <f aca="false">MONTH($A169)</f>
        <v>6</v>
      </c>
      <c r="D169" s="4" t="str">
        <f aca="false">TEXT($A169,"ddd")</f>
        <v>Sun</v>
      </c>
      <c r="E169" s="4" t="n">
        <f aca="false">IF(OR(AND(MONTH($A169)=10,DAY($A169)&gt;=15),MONTH($A169)=11,AND(MONTH($A169)=12,DAY($A169)&lt;=7)),1,0)</f>
        <v>0</v>
      </c>
      <c r="F169" s="4" t="n">
        <f aca="false">IF(MONTH($A169)&lt;=3,1,0)</f>
        <v>0</v>
      </c>
      <c r="G169" s="4" t="str">
        <f aca="false" t="array" ref="G169:G169">_xlfn.TEXTJOIN(" | ",TRUE(),IF('FEMA Disasters'!$F$2:$F$1000=$A169,'FEMA Disasters'!$D$2:$D$1000&amp;" begin: ["&amp;'FEMA Disasters'!$B$2:$B$1000&amp;"] "&amp;'FEMA Disasters'!$C$2:$C$1000&amp;"-"&amp;'FEMA Disasters'!$A$2:$A$1000,""),IF('FEMA Disasters'!$G$2:$G$1000=$A169,'FEMA Disasters'!$D$2:$D$1000&amp;" ended: ["&amp;'FEMA Disasters'!$B$2:$B$1000&amp;"] "&amp;'FEMA Disasters'!$C$2:$C$1000&amp;"-"&amp;'FEMA Disasters'!$A$2:$A$1000,""),IF('FEMA Disasters'!$K$2:$K$1000=$A169,"Disaster SEP opens: "&amp;'FEMA Disasters'!$D$2:$D$1000&amp;" ["&amp;'FEMA Disasters'!$B$2:$B$1000&amp;"] "&amp;'FEMA Disasters'!$C$2:$C$1000&amp;"-"&amp;'FEMA Disasters'!$A$2:$A$1000,""),IF('FEMA Disasters'!$L$2:$L$1000=$A169,"Disaster SEP ended: "&amp;'FEMA Disasters'!$D$2:$D$1000&amp;" ["&amp;'FEMA Disasters'!$B$2:$B$1000&amp;"] "&amp;'FEMA Disasters'!$C$2:$C$1000&amp;"-"&amp;'FEMA Disasters'!$A$2:$A$1000,""))</f>
        <v>Severe Storm begin: [IA] DR-4796 | Flood begin: [MN] DR-4797 | Flood begin: [SD] DR-4807</v>
      </c>
      <c r="H169" s="4" t="n">
        <f aca="false">COUNTIF(Events!$A$2:$A$397,$A169)</f>
        <v>0</v>
      </c>
      <c r="I169" s="6" t="str">
        <f aca="false" t="array" ref="I169:I169">_xlfn.TEXTJOIN(" | ",TRUE(),IF(Events!$A$2:$A$397=$A169,Events!$E$2:$E$397&amp;IF(Events!$G$2:$G$397="National",""," ["&amp;Events!$G$2:$G$397&amp;"]"),""))</f>
        <v/>
      </c>
    </row>
    <row r="170" customFormat="false" ht="15" hidden="false" customHeight="true" outlineLevel="0" collapsed="false">
      <c r="A170" s="3" t="n">
        <v>45460</v>
      </c>
      <c r="B170" s="4" t="n">
        <f aca="false">YEAR($A170)</f>
        <v>2024</v>
      </c>
      <c r="C170" s="4" t="n">
        <f aca="false">MONTH($A170)</f>
        <v>6</v>
      </c>
      <c r="D170" s="4" t="str">
        <f aca="false">TEXT($A170,"ddd")</f>
        <v>Mon</v>
      </c>
      <c r="E170" s="4" t="n">
        <f aca="false">IF(OR(AND(MONTH($A170)=10,DAY($A170)&gt;=15),MONTH($A170)=11,AND(MONTH($A170)=12,DAY($A170)&lt;=7)),1,0)</f>
        <v>0</v>
      </c>
      <c r="F170" s="4" t="n">
        <f aca="false">IF(MONTH($A170)&lt;=3,1,0)</f>
        <v>0</v>
      </c>
      <c r="G170" s="4" t="str">
        <f aca="false" t="array" ref="G170:G170">_xlfn.TEXTJOIN(" | ",TRUE(),IF('FEMA Disasters'!$F$2:$F$1000=$A170,'FEMA Disasters'!$D$2:$D$1000&amp;" begin: ["&amp;'FEMA Disasters'!$B$2:$B$1000&amp;"] "&amp;'FEMA Disasters'!$C$2:$C$1000&amp;"-"&amp;'FEMA Disasters'!$A$2:$A$1000,""),IF('FEMA Disasters'!$G$2:$G$1000=$A170,'FEMA Disasters'!$D$2:$D$1000&amp;" ended: ["&amp;'FEMA Disasters'!$B$2:$B$1000&amp;"] "&amp;'FEMA Disasters'!$C$2:$C$1000&amp;"-"&amp;'FEMA Disasters'!$A$2:$A$1000,""),IF('FEMA Disasters'!$K$2:$K$1000=$A170,"Disaster SEP opens: "&amp;'FEMA Disasters'!$D$2:$D$1000&amp;" ["&amp;'FEMA Disasters'!$B$2:$B$1000&amp;"] "&amp;'FEMA Disasters'!$C$2:$C$1000&amp;"-"&amp;'FEMA Disasters'!$A$2:$A$1000,""),IF('FEMA Disasters'!$L$2:$L$1000=$A170,"Disaster SEP ended: "&amp;'FEMA Disasters'!$D$2:$D$1000&amp;" ["&amp;'FEMA Disasters'!$B$2:$B$1000&amp;"] "&amp;'FEMA Disasters'!$C$2:$C$1000&amp;"-"&amp;'FEMA Disasters'!$A$2:$A$1000,""))</f>
        <v>Fire begin: [NM] DR-4795 | Fire begin: [NM] FM-5497 | Fire begin: [NM] FM-5498</v>
      </c>
      <c r="H170" s="4" t="n">
        <f aca="false">COUNTIF(Events!$A$2:$A$397,$A170)</f>
        <v>0</v>
      </c>
      <c r="I170" s="6" t="str">
        <f aca="false" t="array" ref="I170:I170">_xlfn.TEXTJOIN(" | ",TRUE(),IF(Events!$A$2:$A$397=$A170,Events!$E$2:$E$397&amp;IF(Events!$G$2:$G$397="National",""," ["&amp;Events!$G$2:$G$397&amp;"]"),""))</f>
        <v/>
      </c>
    </row>
    <row r="171" customFormat="false" ht="15" hidden="false" customHeight="true" outlineLevel="0" collapsed="false">
      <c r="A171" s="3" t="n">
        <v>45461</v>
      </c>
      <c r="B171" s="4" t="n">
        <f aca="false">YEAR($A171)</f>
        <v>2024</v>
      </c>
      <c r="C171" s="4" t="n">
        <f aca="false">MONTH($A171)</f>
        <v>6</v>
      </c>
      <c r="D171" s="4" t="str">
        <f aca="false">TEXT($A171,"ddd")</f>
        <v>Tue</v>
      </c>
      <c r="E171" s="4" t="n">
        <f aca="false">IF(OR(AND(MONTH($A171)=10,DAY($A171)&gt;=15),MONTH($A171)=11,AND(MONTH($A171)=12,DAY($A171)&lt;=7)),1,0)</f>
        <v>0</v>
      </c>
      <c r="F171" s="4" t="n">
        <f aca="false">IF(MONTH($A171)&lt;=3,1,0)</f>
        <v>0</v>
      </c>
      <c r="G171" s="4" t="str">
        <f aca="false" t="array" ref="G171:G171">_xlfn.TEXTJOIN(" | ",TRUE(),IF('FEMA Disasters'!$F$2:$F$1000=$A171,'FEMA Disasters'!$D$2:$D$1000&amp;" begin: ["&amp;'FEMA Disasters'!$B$2:$B$1000&amp;"] "&amp;'FEMA Disasters'!$C$2:$C$1000&amp;"-"&amp;'FEMA Disasters'!$A$2:$A$1000,""),IF('FEMA Disasters'!$G$2:$G$1000=$A171,'FEMA Disasters'!$D$2:$D$1000&amp;" ended: ["&amp;'FEMA Disasters'!$B$2:$B$1000&amp;"] "&amp;'FEMA Disasters'!$C$2:$C$1000&amp;"-"&amp;'FEMA Disasters'!$A$2:$A$1000,""),IF('FEMA Disasters'!$K$2:$K$1000=$A171,"Disaster SEP opens: "&amp;'FEMA Disasters'!$D$2:$D$1000&amp;" ["&amp;'FEMA Disasters'!$B$2:$B$1000&amp;"] "&amp;'FEMA Disasters'!$C$2:$C$1000&amp;"-"&amp;'FEMA Disasters'!$A$2:$A$1000,""),IF('FEMA Disasters'!$L$2:$L$1000=$A171,"Disaster SEP ended: "&amp;'FEMA Disasters'!$D$2:$D$1000&amp;" ["&amp;'FEMA Disasters'!$B$2:$B$1000&amp;"] "&amp;'FEMA Disasters'!$C$2:$C$1000&amp;"-"&amp;'FEMA Disasters'!$A$2:$A$1000,""))</f>
        <v/>
      </c>
      <c r="H171" s="4" t="n">
        <f aca="false">COUNTIF(Events!$A$2:$A$397,$A171)</f>
        <v>0</v>
      </c>
      <c r="I171" s="6" t="str">
        <f aca="false" t="array" ref="I171:I171">_xlfn.TEXTJOIN(" | ",TRUE(),IF(Events!$A$2:$A$397=$A171,Events!$E$2:$E$397&amp;IF(Events!$G$2:$G$397="National",""," ["&amp;Events!$G$2:$G$397&amp;"]"),""))</f>
        <v/>
      </c>
    </row>
    <row r="172" customFormat="false" ht="15" hidden="false" customHeight="true" outlineLevel="0" collapsed="false">
      <c r="A172" s="3" t="n">
        <v>45462</v>
      </c>
      <c r="B172" s="4" t="n">
        <f aca="false">YEAR($A172)</f>
        <v>2024</v>
      </c>
      <c r="C172" s="4" t="n">
        <f aca="false">MONTH($A172)</f>
        <v>6</v>
      </c>
      <c r="D172" s="4" t="str">
        <f aca="false">TEXT($A172,"ddd")</f>
        <v>Wed</v>
      </c>
      <c r="E172" s="4" t="n">
        <f aca="false">IF(OR(AND(MONTH($A172)=10,DAY($A172)&gt;=15),MONTH($A172)=11,AND(MONTH($A172)=12,DAY($A172)&lt;=7)),1,0)</f>
        <v>0</v>
      </c>
      <c r="F172" s="4" t="n">
        <f aca="false">IF(MONTH($A172)&lt;=3,1,0)</f>
        <v>0</v>
      </c>
      <c r="G172" s="4" t="str">
        <f aca="false" t="array" ref="G172:G172">_xlfn.TEXTJOIN(" | ",TRUE(),IF('FEMA Disasters'!$F$2:$F$1000=$A172,'FEMA Disasters'!$D$2:$D$1000&amp;" begin: ["&amp;'FEMA Disasters'!$B$2:$B$1000&amp;"] "&amp;'FEMA Disasters'!$C$2:$C$1000&amp;"-"&amp;'FEMA Disasters'!$A$2:$A$1000,""),IF('FEMA Disasters'!$G$2:$G$1000=$A172,'FEMA Disasters'!$D$2:$D$1000&amp;" ended: ["&amp;'FEMA Disasters'!$B$2:$B$1000&amp;"] "&amp;'FEMA Disasters'!$C$2:$C$1000&amp;"-"&amp;'FEMA Disasters'!$A$2:$A$1000,""),IF('FEMA Disasters'!$K$2:$K$1000=$A172,"Disaster SEP opens: "&amp;'FEMA Disasters'!$D$2:$D$1000&amp;" ["&amp;'FEMA Disasters'!$B$2:$B$1000&amp;"] "&amp;'FEMA Disasters'!$C$2:$C$1000&amp;"-"&amp;'FEMA Disasters'!$A$2:$A$1000,""),IF('FEMA Disasters'!$L$2:$L$1000=$A172,"Disaster SEP ended: "&amp;'FEMA Disasters'!$D$2:$D$1000&amp;" ["&amp;'FEMA Disasters'!$B$2:$B$1000&amp;"] "&amp;'FEMA Disasters'!$C$2:$C$1000&amp;"-"&amp;'FEMA Disasters'!$A$2:$A$1000,""))</f>
        <v>Severe Storm begin: [NE] DR-4822</v>
      </c>
      <c r="H172" s="4" t="n">
        <f aca="false">COUNTIF(Events!$A$2:$A$397,$A172)</f>
        <v>0</v>
      </c>
      <c r="I172" s="6" t="str">
        <f aca="false" t="array" ref="I172:I172">_xlfn.TEXTJOIN(" | ",TRUE(),IF(Events!$A$2:$A$397=$A172,Events!$E$2:$E$397&amp;IF(Events!$G$2:$G$397="National",""," ["&amp;Events!$G$2:$G$397&amp;"]"),""))</f>
        <v/>
      </c>
    </row>
    <row r="173" customFormat="false" ht="15" hidden="false" customHeight="true" outlineLevel="0" collapsed="false">
      <c r="A173" s="3" t="n">
        <v>45463</v>
      </c>
      <c r="B173" s="4" t="n">
        <f aca="false">YEAR($A173)</f>
        <v>2024</v>
      </c>
      <c r="C173" s="4" t="n">
        <f aca="false">MONTH($A173)</f>
        <v>6</v>
      </c>
      <c r="D173" s="4" t="str">
        <f aca="false">TEXT($A173,"ddd")</f>
        <v>Thu</v>
      </c>
      <c r="E173" s="4" t="n">
        <f aca="false">IF(OR(AND(MONTH($A173)=10,DAY($A173)&gt;=15),MONTH($A173)=11,AND(MONTH($A173)=12,DAY($A173)&lt;=7)),1,0)</f>
        <v>0</v>
      </c>
      <c r="F173" s="4" t="n">
        <f aca="false">IF(MONTH($A173)&lt;=3,1,0)</f>
        <v>0</v>
      </c>
      <c r="G173" s="4" t="str">
        <f aca="false" t="array" ref="G173:G173">_xlfn.TEXTJOIN(" | ",TRUE(),IF('FEMA Disasters'!$F$2:$F$1000=$A173,'FEMA Disasters'!$D$2:$D$1000&amp;" begin: ["&amp;'FEMA Disasters'!$B$2:$B$1000&amp;"] "&amp;'FEMA Disasters'!$C$2:$C$1000&amp;"-"&amp;'FEMA Disasters'!$A$2:$A$1000,""),IF('FEMA Disasters'!$G$2:$G$1000=$A173,'FEMA Disasters'!$D$2:$D$1000&amp;" ended: ["&amp;'FEMA Disasters'!$B$2:$B$1000&amp;"] "&amp;'FEMA Disasters'!$C$2:$C$1000&amp;"-"&amp;'FEMA Disasters'!$A$2:$A$1000,""),IF('FEMA Disasters'!$K$2:$K$1000=$A173,"Disaster SEP opens: "&amp;'FEMA Disasters'!$D$2:$D$1000&amp;" ["&amp;'FEMA Disasters'!$B$2:$B$1000&amp;"] "&amp;'FEMA Disasters'!$C$2:$C$1000&amp;"-"&amp;'FEMA Disasters'!$A$2:$A$1000,""),IF('FEMA Disasters'!$L$2:$L$1000=$A173,"Disaster SEP ended: "&amp;'FEMA Disasters'!$D$2:$D$1000&amp;" ["&amp;'FEMA Disasters'!$B$2:$B$1000&amp;"] "&amp;'FEMA Disasters'!$C$2:$C$1000&amp;"-"&amp;'FEMA Disasters'!$A$2:$A$1000,""))</f>
        <v>Flood begin: [NM] DR-4809</v>
      </c>
      <c r="H173" s="4" t="n">
        <f aca="false">COUNTIF(Events!$A$2:$A$397,$A173)</f>
        <v>0</v>
      </c>
      <c r="I173" s="6" t="str">
        <f aca="false" t="array" ref="I173:I173">_xlfn.TEXTJOIN(" | ",TRUE(),IF(Events!$A$2:$A$397=$A173,Events!$E$2:$E$397&amp;IF(Events!$G$2:$G$397="National",""," ["&amp;Events!$G$2:$G$397&amp;"]"),""))</f>
        <v/>
      </c>
    </row>
    <row r="174" customFormat="false" ht="15" hidden="false" customHeight="true" outlineLevel="0" collapsed="false">
      <c r="A174" s="3" t="n">
        <v>45464</v>
      </c>
      <c r="B174" s="4" t="n">
        <f aca="false">YEAR($A174)</f>
        <v>2024</v>
      </c>
      <c r="C174" s="4" t="n">
        <f aca="false">MONTH($A174)</f>
        <v>6</v>
      </c>
      <c r="D174" s="4" t="str">
        <f aca="false">TEXT($A174,"ddd")</f>
        <v>Fri</v>
      </c>
      <c r="E174" s="4" t="n">
        <f aca="false">IF(OR(AND(MONTH($A174)=10,DAY($A174)&gt;=15),MONTH($A174)=11,AND(MONTH($A174)=12,DAY($A174)&lt;=7)),1,0)</f>
        <v>0</v>
      </c>
      <c r="F174" s="4" t="n">
        <f aca="false">IF(MONTH($A174)&lt;=3,1,0)</f>
        <v>0</v>
      </c>
      <c r="G174" s="4" t="str">
        <f aca="false" t="array" ref="G174:G174">_xlfn.TEXTJOIN(" | ",TRUE(),IF('FEMA Disasters'!$F$2:$F$1000=$A174,'FEMA Disasters'!$D$2:$D$1000&amp;" begin: ["&amp;'FEMA Disasters'!$B$2:$B$1000&amp;"] "&amp;'FEMA Disasters'!$C$2:$C$1000&amp;"-"&amp;'FEMA Disasters'!$A$2:$A$1000,""),IF('FEMA Disasters'!$G$2:$G$1000=$A174,'FEMA Disasters'!$D$2:$D$1000&amp;" ended: ["&amp;'FEMA Disasters'!$B$2:$B$1000&amp;"] "&amp;'FEMA Disasters'!$C$2:$C$1000&amp;"-"&amp;'FEMA Disasters'!$A$2:$A$1000,""),IF('FEMA Disasters'!$K$2:$K$1000=$A174,"Disaster SEP opens: "&amp;'FEMA Disasters'!$D$2:$D$1000&amp;" ["&amp;'FEMA Disasters'!$B$2:$B$1000&amp;"] "&amp;'FEMA Disasters'!$C$2:$C$1000&amp;"-"&amp;'FEMA Disasters'!$A$2:$A$1000,""),IF('FEMA Disasters'!$L$2:$L$1000=$A174,"Disaster SEP ended: "&amp;'FEMA Disasters'!$D$2:$D$1000&amp;" ["&amp;'FEMA Disasters'!$B$2:$B$1000&amp;"] "&amp;'FEMA Disasters'!$C$2:$C$1000&amp;"-"&amp;'FEMA Disasters'!$A$2:$A$1000,""))</f>
        <v>Flood ended: [NM] DR-4809</v>
      </c>
      <c r="H174" s="4" t="n">
        <f aca="false">COUNTIF(Events!$A$2:$A$397,$A174)</f>
        <v>0</v>
      </c>
      <c r="I174" s="6" t="str">
        <f aca="false" t="array" ref="I174:I174">_xlfn.TEXTJOIN(" | ",TRUE(),IF(Events!$A$2:$A$397=$A174,Events!$E$2:$E$397&amp;IF(Events!$G$2:$G$397="National",""," ["&amp;Events!$G$2:$G$397&amp;"]"),""))</f>
        <v/>
      </c>
    </row>
    <row r="175" customFormat="false" ht="15" hidden="false" customHeight="true" outlineLevel="0" collapsed="false">
      <c r="A175" s="3" t="n">
        <v>45465</v>
      </c>
      <c r="B175" s="4" t="n">
        <f aca="false">YEAR($A175)</f>
        <v>2024</v>
      </c>
      <c r="C175" s="4" t="n">
        <f aca="false">MONTH($A175)</f>
        <v>6</v>
      </c>
      <c r="D175" s="4" t="str">
        <f aca="false">TEXT($A175,"ddd")</f>
        <v>Sat</v>
      </c>
      <c r="E175" s="4" t="n">
        <f aca="false">IF(OR(AND(MONTH($A175)=10,DAY($A175)&gt;=15),MONTH($A175)=11,AND(MONTH($A175)=12,DAY($A175)&lt;=7)),1,0)</f>
        <v>0</v>
      </c>
      <c r="F175" s="4" t="n">
        <f aca="false">IF(MONTH($A175)&lt;=3,1,0)</f>
        <v>0</v>
      </c>
      <c r="G175" s="4" t="str">
        <f aca="false" t="array" ref="G175:G175">_xlfn.TEXTJOIN(" | ",TRUE(),IF('FEMA Disasters'!$F$2:$F$1000=$A175,'FEMA Disasters'!$D$2:$D$1000&amp;" begin: ["&amp;'FEMA Disasters'!$B$2:$B$1000&amp;"] "&amp;'FEMA Disasters'!$C$2:$C$1000&amp;"-"&amp;'FEMA Disasters'!$A$2:$A$1000,""),IF('FEMA Disasters'!$G$2:$G$1000=$A175,'FEMA Disasters'!$D$2:$D$1000&amp;" ended: ["&amp;'FEMA Disasters'!$B$2:$B$1000&amp;"] "&amp;'FEMA Disasters'!$C$2:$C$1000&amp;"-"&amp;'FEMA Disasters'!$A$2:$A$1000,""),IF('FEMA Disasters'!$K$2:$K$1000=$A175,"Disaster SEP opens: "&amp;'FEMA Disasters'!$D$2:$D$1000&amp;" ["&amp;'FEMA Disasters'!$B$2:$B$1000&amp;"] "&amp;'FEMA Disasters'!$C$2:$C$1000&amp;"-"&amp;'FEMA Disasters'!$A$2:$A$1000,""),IF('FEMA Disasters'!$L$2:$L$1000=$A175,"Disaster SEP ended: "&amp;'FEMA Disasters'!$D$2:$D$1000&amp;" ["&amp;'FEMA Disasters'!$B$2:$B$1000&amp;"] "&amp;'FEMA Disasters'!$C$2:$C$1000&amp;"-"&amp;'FEMA Disasters'!$A$2:$A$1000,""))</f>
        <v>Fire begin: [WA] DR-4823 | Fire begin: [WA] FM-5499</v>
      </c>
      <c r="H175" s="4" t="n">
        <f aca="false">COUNTIF(Events!$A$2:$A$397,$A175)</f>
        <v>0</v>
      </c>
      <c r="I175" s="6" t="str">
        <f aca="false" t="array" ref="I175:I175">_xlfn.TEXTJOIN(" | ",TRUE(),IF(Events!$A$2:$A$397=$A175,Events!$E$2:$E$397&amp;IF(Events!$G$2:$G$397="National",""," ["&amp;Events!$G$2:$G$397&amp;"]"),""))</f>
        <v/>
      </c>
    </row>
    <row r="176" customFormat="false" ht="15" hidden="false" customHeight="true" outlineLevel="0" collapsed="false">
      <c r="A176" s="3" t="n">
        <v>45466</v>
      </c>
      <c r="B176" s="4" t="n">
        <f aca="false">YEAR($A176)</f>
        <v>2024</v>
      </c>
      <c r="C176" s="4" t="n">
        <f aca="false">MONTH($A176)</f>
        <v>6</v>
      </c>
      <c r="D176" s="4" t="str">
        <f aca="false">TEXT($A176,"ddd")</f>
        <v>Sun</v>
      </c>
      <c r="E176" s="4" t="n">
        <f aca="false">IF(OR(AND(MONTH($A176)=10,DAY($A176)&gt;=15),MONTH($A176)=11,AND(MONTH($A176)=12,DAY($A176)&lt;=7)),1,0)</f>
        <v>0</v>
      </c>
      <c r="F176" s="4" t="n">
        <f aca="false">IF(MONTH($A176)&lt;=3,1,0)</f>
        <v>0</v>
      </c>
      <c r="G176" s="4" t="str">
        <f aca="false" t="array" ref="G176:G176">_xlfn.TEXTJOIN(" | ",TRUE(),IF('FEMA Disasters'!$F$2:$F$1000=$A176,'FEMA Disasters'!$D$2:$D$1000&amp;" begin: ["&amp;'FEMA Disasters'!$B$2:$B$1000&amp;"] "&amp;'FEMA Disasters'!$C$2:$C$1000&amp;"-"&amp;'FEMA Disasters'!$A$2:$A$1000,""),IF('FEMA Disasters'!$G$2:$G$1000=$A176,'FEMA Disasters'!$D$2:$D$1000&amp;" ended: ["&amp;'FEMA Disasters'!$B$2:$B$1000&amp;"] "&amp;'FEMA Disasters'!$C$2:$C$1000&amp;"-"&amp;'FEMA Disasters'!$A$2:$A$1000,""),IF('FEMA Disasters'!$K$2:$K$1000=$A176,"Disaster SEP opens: "&amp;'FEMA Disasters'!$D$2:$D$1000&amp;" ["&amp;'FEMA Disasters'!$B$2:$B$1000&amp;"] "&amp;'FEMA Disasters'!$C$2:$C$1000&amp;"-"&amp;'FEMA Disasters'!$A$2:$A$1000,""),IF('FEMA Disasters'!$L$2:$L$1000=$A176,"Disaster SEP ended: "&amp;'FEMA Disasters'!$D$2:$D$1000&amp;" ["&amp;'FEMA Disasters'!$B$2:$B$1000&amp;"] "&amp;'FEMA Disasters'!$C$2:$C$1000&amp;"-"&amp;'FEMA Disasters'!$A$2:$A$1000,""))</f>
        <v/>
      </c>
      <c r="H176" s="4" t="n">
        <f aca="false">COUNTIF(Events!$A$2:$A$397,$A176)</f>
        <v>0</v>
      </c>
      <c r="I176" s="6" t="str">
        <f aca="false" t="array" ref="I176:I176">_xlfn.TEXTJOIN(" | ",TRUE(),IF(Events!$A$2:$A$397=$A176,Events!$E$2:$E$397&amp;IF(Events!$G$2:$G$397="National",""," ["&amp;Events!$G$2:$G$397&amp;"]"),""))</f>
        <v/>
      </c>
    </row>
    <row r="177" customFormat="false" ht="15" hidden="false" customHeight="true" outlineLevel="0" collapsed="false">
      <c r="A177" s="3" t="n">
        <v>45467</v>
      </c>
      <c r="B177" s="4" t="n">
        <f aca="false">YEAR($A177)</f>
        <v>2024</v>
      </c>
      <c r="C177" s="4" t="n">
        <f aca="false">MONTH($A177)</f>
        <v>6</v>
      </c>
      <c r="D177" s="4" t="str">
        <f aca="false">TEXT($A177,"ddd")</f>
        <v>Mon</v>
      </c>
      <c r="E177" s="4" t="n">
        <f aca="false">IF(OR(AND(MONTH($A177)=10,DAY($A177)&gt;=15),MONTH($A177)=11,AND(MONTH($A177)=12,DAY($A177)&lt;=7)),1,0)</f>
        <v>0</v>
      </c>
      <c r="F177" s="4" t="n">
        <f aca="false">IF(MONTH($A177)&lt;=3,1,0)</f>
        <v>0</v>
      </c>
      <c r="G177" s="4" t="str">
        <f aca="false" t="array" ref="G177:G177">_xlfn.TEXTJOIN(" | ",TRUE(),IF('FEMA Disasters'!$F$2:$F$1000=$A177,'FEMA Disasters'!$D$2:$D$1000&amp;" begin: ["&amp;'FEMA Disasters'!$B$2:$B$1000&amp;"] "&amp;'FEMA Disasters'!$C$2:$C$1000&amp;"-"&amp;'FEMA Disasters'!$A$2:$A$1000,""),IF('FEMA Disasters'!$G$2:$G$1000=$A177,'FEMA Disasters'!$D$2:$D$1000&amp;" ended: ["&amp;'FEMA Disasters'!$B$2:$B$1000&amp;"] "&amp;'FEMA Disasters'!$C$2:$C$1000&amp;"-"&amp;'FEMA Disasters'!$A$2:$A$1000,""),IF('FEMA Disasters'!$K$2:$K$1000=$A177,"Disaster SEP opens: "&amp;'FEMA Disasters'!$D$2:$D$1000&amp;" ["&amp;'FEMA Disasters'!$B$2:$B$1000&amp;"] "&amp;'FEMA Disasters'!$C$2:$C$1000&amp;"-"&amp;'FEMA Disasters'!$A$2:$A$1000,""),IF('FEMA Disasters'!$L$2:$L$1000=$A177,"Disaster SEP ended: "&amp;'FEMA Disasters'!$D$2:$D$1000&amp;" ["&amp;'FEMA Disasters'!$B$2:$B$1000&amp;"] "&amp;'FEMA Disasters'!$C$2:$C$1000&amp;"-"&amp;'FEMA Disasters'!$A$2:$A$1000,""))</f>
        <v/>
      </c>
      <c r="H177" s="4" t="n">
        <f aca="false">COUNTIF(Events!$A$2:$A$397,$A177)</f>
        <v>0</v>
      </c>
      <c r="I177" s="6" t="str">
        <f aca="false" t="array" ref="I177:I177">_xlfn.TEXTJOIN(" | ",TRUE(),IF(Events!$A$2:$A$397=$A177,Events!$E$2:$E$397&amp;IF(Events!$G$2:$G$397="National",""," ["&amp;Events!$G$2:$G$397&amp;"]"),""))</f>
        <v/>
      </c>
    </row>
    <row r="178" customFormat="false" ht="15" hidden="false" customHeight="true" outlineLevel="0" collapsed="false">
      <c r="A178" s="3" t="n">
        <v>45468</v>
      </c>
      <c r="B178" s="4" t="n">
        <f aca="false">YEAR($A178)</f>
        <v>2024</v>
      </c>
      <c r="C178" s="4" t="n">
        <f aca="false">MONTH($A178)</f>
        <v>6</v>
      </c>
      <c r="D178" s="4" t="str">
        <f aca="false">TEXT($A178,"ddd")</f>
        <v>Tue</v>
      </c>
      <c r="E178" s="4" t="n">
        <f aca="false">IF(OR(AND(MONTH($A178)=10,DAY($A178)&gt;=15),MONTH($A178)=11,AND(MONTH($A178)=12,DAY($A178)&lt;=7)),1,0)</f>
        <v>0</v>
      </c>
      <c r="F178" s="4" t="n">
        <f aca="false">IF(MONTH($A178)&lt;=3,1,0)</f>
        <v>0</v>
      </c>
      <c r="G178" s="4" t="str">
        <f aca="false" t="array" ref="G178:G178">_xlfn.TEXTJOIN(" | ",TRUE(),IF('FEMA Disasters'!$F$2:$F$1000=$A178,'FEMA Disasters'!$D$2:$D$1000&amp;" begin: ["&amp;'FEMA Disasters'!$B$2:$B$1000&amp;"] "&amp;'FEMA Disasters'!$C$2:$C$1000&amp;"-"&amp;'FEMA Disasters'!$A$2:$A$1000,""),IF('FEMA Disasters'!$G$2:$G$1000=$A178,'FEMA Disasters'!$D$2:$D$1000&amp;" ended: ["&amp;'FEMA Disasters'!$B$2:$B$1000&amp;"] "&amp;'FEMA Disasters'!$C$2:$C$1000&amp;"-"&amp;'FEMA Disasters'!$A$2:$A$1000,""),IF('FEMA Disasters'!$K$2:$K$1000=$A178,"Disaster SEP opens: "&amp;'FEMA Disasters'!$D$2:$D$1000&amp;" ["&amp;'FEMA Disasters'!$B$2:$B$1000&amp;"] "&amp;'FEMA Disasters'!$C$2:$C$1000&amp;"-"&amp;'FEMA Disasters'!$A$2:$A$1000,""),IF('FEMA Disasters'!$L$2:$L$1000=$A178,"Disaster SEP ended: "&amp;'FEMA Disasters'!$D$2:$D$1000&amp;" ["&amp;'FEMA Disasters'!$B$2:$B$1000&amp;"] "&amp;'FEMA Disasters'!$C$2:$C$1000&amp;"-"&amp;'FEMA Disasters'!$A$2:$A$1000,""))</f>
        <v>Fire begin: [OR] FM-5500</v>
      </c>
      <c r="H178" s="4" t="n">
        <f aca="false">COUNTIF(Events!$A$2:$A$397,$A178)</f>
        <v>0</v>
      </c>
      <c r="I178" s="6" t="str">
        <f aca="false" t="array" ref="I178:I178">_xlfn.TEXTJOIN(" | ",TRUE(),IF(Events!$A$2:$A$397=$A178,Events!$E$2:$E$397&amp;IF(Events!$G$2:$G$397="National",""," ["&amp;Events!$G$2:$G$397&amp;"]"),""))</f>
        <v/>
      </c>
    </row>
    <row r="179" customFormat="false" ht="15" hidden="false" customHeight="true" outlineLevel="0" collapsed="false">
      <c r="A179" s="3" t="n">
        <v>45469</v>
      </c>
      <c r="B179" s="4" t="n">
        <f aca="false">YEAR($A179)</f>
        <v>2024</v>
      </c>
      <c r="C179" s="4" t="n">
        <f aca="false">MONTH($A179)</f>
        <v>6</v>
      </c>
      <c r="D179" s="4" t="str">
        <f aca="false">TEXT($A179,"ddd")</f>
        <v>Wed</v>
      </c>
      <c r="E179" s="4" t="n">
        <f aca="false">IF(OR(AND(MONTH($A179)=10,DAY($A179)&gt;=15),MONTH($A179)=11,AND(MONTH($A179)=12,DAY($A179)&lt;=7)),1,0)</f>
        <v>0</v>
      </c>
      <c r="F179" s="4" t="n">
        <f aca="false">IF(MONTH($A179)&lt;=3,1,0)</f>
        <v>0</v>
      </c>
      <c r="G179" s="4" t="str">
        <f aca="false" t="array" ref="G179:G179">_xlfn.TEXTJOIN(" | ",TRUE(),IF('FEMA Disasters'!$F$2:$F$1000=$A179,'FEMA Disasters'!$D$2:$D$1000&amp;" begin: ["&amp;'FEMA Disasters'!$B$2:$B$1000&amp;"] "&amp;'FEMA Disasters'!$C$2:$C$1000&amp;"-"&amp;'FEMA Disasters'!$A$2:$A$1000,""),IF('FEMA Disasters'!$G$2:$G$1000=$A179,'FEMA Disasters'!$D$2:$D$1000&amp;" ended: ["&amp;'FEMA Disasters'!$B$2:$B$1000&amp;"] "&amp;'FEMA Disasters'!$C$2:$C$1000&amp;"-"&amp;'FEMA Disasters'!$A$2:$A$1000,""),IF('FEMA Disasters'!$K$2:$K$1000=$A179,"Disaster SEP opens: "&amp;'FEMA Disasters'!$D$2:$D$1000&amp;" ["&amp;'FEMA Disasters'!$B$2:$B$1000&amp;"] "&amp;'FEMA Disasters'!$C$2:$C$1000&amp;"-"&amp;'FEMA Disasters'!$A$2:$A$1000,""),IF('FEMA Disasters'!$L$2:$L$1000=$A179,"Disaster SEP ended: "&amp;'FEMA Disasters'!$D$2:$D$1000&amp;" ["&amp;'FEMA Disasters'!$B$2:$B$1000&amp;"] "&amp;'FEMA Disasters'!$C$2:$C$1000&amp;"-"&amp;'FEMA Disasters'!$A$2:$A$1000,""))</f>
        <v>Severe Storm begin: [KS] DR-4824</v>
      </c>
      <c r="H179" s="4" t="n">
        <f aca="false">COUNTIF(Events!$A$2:$A$397,$A179)</f>
        <v>0</v>
      </c>
      <c r="I179" s="6" t="str">
        <f aca="false" t="array" ref="I179:I179">_xlfn.TEXTJOIN(" | ",TRUE(),IF(Events!$A$2:$A$397=$A179,Events!$E$2:$E$397&amp;IF(Events!$G$2:$G$397="National",""," ["&amp;Events!$G$2:$G$397&amp;"]"),""))</f>
        <v/>
      </c>
    </row>
    <row r="180" customFormat="false" ht="15" hidden="false" customHeight="true" outlineLevel="0" collapsed="false">
      <c r="A180" s="3" t="n">
        <v>45470</v>
      </c>
      <c r="B180" s="4" t="n">
        <f aca="false">YEAR($A180)</f>
        <v>2024</v>
      </c>
      <c r="C180" s="4" t="n">
        <f aca="false">MONTH($A180)</f>
        <v>6</v>
      </c>
      <c r="D180" s="4" t="str">
        <f aca="false">TEXT($A180,"ddd")</f>
        <v>Thu</v>
      </c>
      <c r="E180" s="4" t="n">
        <f aca="false">IF(OR(AND(MONTH($A180)=10,DAY($A180)&gt;=15),MONTH($A180)=11,AND(MONTH($A180)=12,DAY($A180)&lt;=7)),1,0)</f>
        <v>0</v>
      </c>
      <c r="F180" s="4" t="n">
        <f aca="false">IF(MONTH($A180)&lt;=3,1,0)</f>
        <v>0</v>
      </c>
      <c r="G180" s="4" t="str">
        <f aca="false" t="array" ref="G180:G180">_xlfn.TEXTJOIN(" | ",TRUE(),IF('FEMA Disasters'!$F$2:$F$1000=$A180,'FEMA Disasters'!$D$2:$D$1000&amp;" begin: ["&amp;'FEMA Disasters'!$B$2:$B$1000&amp;"] "&amp;'FEMA Disasters'!$C$2:$C$1000&amp;"-"&amp;'FEMA Disasters'!$A$2:$A$1000,""),IF('FEMA Disasters'!$G$2:$G$1000=$A180,'FEMA Disasters'!$D$2:$D$1000&amp;" ended: ["&amp;'FEMA Disasters'!$B$2:$B$1000&amp;"] "&amp;'FEMA Disasters'!$C$2:$C$1000&amp;"-"&amp;'FEMA Disasters'!$A$2:$A$1000,""),IF('FEMA Disasters'!$K$2:$K$1000=$A180,"Disaster SEP opens: "&amp;'FEMA Disasters'!$D$2:$D$1000&amp;" ["&amp;'FEMA Disasters'!$B$2:$B$1000&amp;"] "&amp;'FEMA Disasters'!$C$2:$C$1000&amp;"-"&amp;'FEMA Disasters'!$A$2:$A$1000,""),IF('FEMA Disasters'!$L$2:$L$1000=$A180,"Disaster SEP ended: "&amp;'FEMA Disasters'!$D$2:$D$1000&amp;" ["&amp;'FEMA Disasters'!$B$2:$B$1000&amp;"] "&amp;'FEMA Disasters'!$C$2:$C$1000&amp;"-"&amp;'FEMA Disasters'!$A$2:$A$1000,""))</f>
        <v/>
      </c>
      <c r="H180" s="4" t="n">
        <f aca="false">COUNTIF(Events!$A$2:$A$397,$A180)</f>
        <v>0</v>
      </c>
      <c r="I180" s="6" t="str">
        <f aca="false" t="array" ref="I180:I180">_xlfn.TEXTJOIN(" | ",TRUE(),IF(Events!$A$2:$A$397=$A180,Events!$E$2:$E$397&amp;IF(Events!$G$2:$G$397="National",""," ["&amp;Events!$G$2:$G$397&amp;"]"),""))</f>
        <v/>
      </c>
    </row>
    <row r="181" customFormat="false" ht="15" hidden="false" customHeight="true" outlineLevel="0" collapsed="false">
      <c r="A181" s="3" t="n">
        <v>45471</v>
      </c>
      <c r="B181" s="4" t="n">
        <f aca="false">YEAR($A181)</f>
        <v>2024</v>
      </c>
      <c r="C181" s="4" t="n">
        <f aca="false">MONTH($A181)</f>
        <v>6</v>
      </c>
      <c r="D181" s="4" t="str">
        <f aca="false">TEXT($A181,"ddd")</f>
        <v>Fri</v>
      </c>
      <c r="E181" s="4" t="n">
        <f aca="false">IF(OR(AND(MONTH($A181)=10,DAY($A181)&gt;=15),MONTH($A181)=11,AND(MONTH($A181)=12,DAY($A181)&lt;=7)),1,0)</f>
        <v>0</v>
      </c>
      <c r="F181" s="4" t="n">
        <f aca="false">IF(MONTH($A181)&lt;=3,1,0)</f>
        <v>0</v>
      </c>
      <c r="G181" s="4" t="str">
        <f aca="false" t="array" ref="G181:G181">_xlfn.TEXTJOIN(" | ",TRUE(),IF('FEMA Disasters'!$F$2:$F$1000=$A181,'FEMA Disasters'!$D$2:$D$1000&amp;" begin: ["&amp;'FEMA Disasters'!$B$2:$B$1000&amp;"] "&amp;'FEMA Disasters'!$C$2:$C$1000&amp;"-"&amp;'FEMA Disasters'!$A$2:$A$1000,""),IF('FEMA Disasters'!$G$2:$G$1000=$A181,'FEMA Disasters'!$D$2:$D$1000&amp;" ended: ["&amp;'FEMA Disasters'!$B$2:$B$1000&amp;"] "&amp;'FEMA Disasters'!$C$2:$C$1000&amp;"-"&amp;'FEMA Disasters'!$A$2:$A$1000,""),IF('FEMA Disasters'!$K$2:$K$1000=$A181,"Disaster SEP opens: "&amp;'FEMA Disasters'!$D$2:$D$1000&amp;" ["&amp;'FEMA Disasters'!$B$2:$B$1000&amp;"] "&amp;'FEMA Disasters'!$C$2:$C$1000&amp;"-"&amp;'FEMA Disasters'!$A$2:$A$1000,""),IF('FEMA Disasters'!$L$2:$L$1000=$A181,"Disaster SEP ended: "&amp;'FEMA Disasters'!$D$2:$D$1000&amp;" ["&amp;'FEMA Disasters'!$B$2:$B$1000&amp;"] "&amp;'FEMA Disasters'!$C$2:$C$1000&amp;"-"&amp;'FEMA Disasters'!$A$2:$A$1000,""))</f>
        <v>Fire begin: [AZ] FM-5501</v>
      </c>
      <c r="H181" s="4" t="n">
        <f aca="false">COUNTIF(Events!$A$2:$A$397,$A181)</f>
        <v>0</v>
      </c>
      <c r="I181" s="6" t="str">
        <f aca="false" t="array" ref="I181:I181">_xlfn.TEXTJOIN(" | ",TRUE(),IF(Events!$A$2:$A$397=$A181,Events!$E$2:$E$397&amp;IF(Events!$G$2:$G$397="National",""," ["&amp;Events!$G$2:$G$397&amp;"]"),""))</f>
        <v/>
      </c>
    </row>
    <row r="182" customFormat="false" ht="15" hidden="false" customHeight="true" outlineLevel="0" collapsed="false">
      <c r="A182" s="3" t="n">
        <v>45472</v>
      </c>
      <c r="B182" s="4" t="n">
        <f aca="false">YEAR($A182)</f>
        <v>2024</v>
      </c>
      <c r="C182" s="4" t="n">
        <f aca="false">MONTH($A182)</f>
        <v>6</v>
      </c>
      <c r="D182" s="4" t="str">
        <f aca="false">TEXT($A182,"ddd")</f>
        <v>Sat</v>
      </c>
      <c r="E182" s="4" t="n">
        <f aca="false">IF(OR(AND(MONTH($A182)=10,DAY($A182)&gt;=15),MONTH($A182)=11,AND(MONTH($A182)=12,DAY($A182)&lt;=7)),1,0)</f>
        <v>0</v>
      </c>
      <c r="F182" s="4" t="n">
        <f aca="false">IF(MONTH($A182)&lt;=3,1,0)</f>
        <v>0</v>
      </c>
      <c r="G182" s="4" t="str">
        <f aca="false" t="array" ref="G182:G182">_xlfn.TEXTJOIN(" | ",TRUE(),IF('FEMA Disasters'!$F$2:$F$1000=$A182,'FEMA Disasters'!$D$2:$D$1000&amp;" begin: ["&amp;'FEMA Disasters'!$B$2:$B$1000&amp;"] "&amp;'FEMA Disasters'!$C$2:$C$1000&amp;"-"&amp;'FEMA Disasters'!$A$2:$A$1000,""),IF('FEMA Disasters'!$G$2:$G$1000=$A182,'FEMA Disasters'!$D$2:$D$1000&amp;" ended: ["&amp;'FEMA Disasters'!$B$2:$B$1000&amp;"] "&amp;'FEMA Disasters'!$C$2:$C$1000&amp;"-"&amp;'FEMA Disasters'!$A$2:$A$1000,""),IF('FEMA Disasters'!$K$2:$K$1000=$A182,"Disaster SEP opens: "&amp;'FEMA Disasters'!$D$2:$D$1000&amp;" ["&amp;'FEMA Disasters'!$B$2:$B$1000&amp;"] "&amp;'FEMA Disasters'!$C$2:$C$1000&amp;"-"&amp;'FEMA Disasters'!$A$2:$A$1000,""),IF('FEMA Disasters'!$L$2:$L$1000=$A182,"Disaster SEP ended: "&amp;'FEMA Disasters'!$D$2:$D$1000&amp;" ["&amp;'FEMA Disasters'!$B$2:$B$1000&amp;"] "&amp;'FEMA Disasters'!$C$2:$C$1000&amp;"-"&amp;'FEMA Disasters'!$A$2:$A$1000,""))</f>
        <v/>
      </c>
      <c r="H182" s="4" t="n">
        <f aca="false">COUNTIF(Events!$A$2:$A$397,$A182)</f>
        <v>0</v>
      </c>
      <c r="I182" s="6" t="str">
        <f aca="false" t="array" ref="I182:I182">_xlfn.TEXTJOIN(" | ",TRUE(),IF(Events!$A$2:$A$397=$A182,Events!$E$2:$E$397&amp;IF(Events!$G$2:$G$397="National",""," ["&amp;Events!$G$2:$G$397&amp;"]"),""))</f>
        <v/>
      </c>
    </row>
    <row r="183" customFormat="false" ht="15" hidden="false" customHeight="true" outlineLevel="0" collapsed="false">
      <c r="A183" s="3" t="n">
        <v>45473</v>
      </c>
      <c r="B183" s="4" t="n">
        <f aca="false">YEAR($A183)</f>
        <v>2024</v>
      </c>
      <c r="C183" s="4" t="n">
        <f aca="false">MONTH($A183)</f>
        <v>6</v>
      </c>
      <c r="D183" s="4" t="str">
        <f aca="false">TEXT($A183,"ddd")</f>
        <v>Sun</v>
      </c>
      <c r="E183" s="4" t="n">
        <f aca="false">IF(OR(AND(MONTH($A183)=10,DAY($A183)&gt;=15),MONTH($A183)=11,AND(MONTH($A183)=12,DAY($A183)&lt;=7)),1,0)</f>
        <v>0</v>
      </c>
      <c r="F183" s="4" t="n">
        <f aca="false">IF(MONTH($A183)&lt;=3,1,0)</f>
        <v>0</v>
      </c>
      <c r="G183" s="4" t="str">
        <f aca="false" t="array" ref="G183:G183">_xlfn.TEXTJOIN(" | ",TRUE(),IF('FEMA Disasters'!$F$2:$F$1000=$A183,'FEMA Disasters'!$D$2:$D$1000&amp;" begin: ["&amp;'FEMA Disasters'!$B$2:$B$1000&amp;"] "&amp;'FEMA Disasters'!$C$2:$C$1000&amp;"-"&amp;'FEMA Disasters'!$A$2:$A$1000,""),IF('FEMA Disasters'!$G$2:$G$1000=$A183,'FEMA Disasters'!$D$2:$D$1000&amp;" ended: ["&amp;'FEMA Disasters'!$B$2:$B$1000&amp;"] "&amp;'FEMA Disasters'!$C$2:$C$1000&amp;"-"&amp;'FEMA Disasters'!$A$2:$A$1000,""),IF('FEMA Disasters'!$K$2:$K$1000=$A183,"Disaster SEP opens: "&amp;'FEMA Disasters'!$D$2:$D$1000&amp;" ["&amp;'FEMA Disasters'!$B$2:$B$1000&amp;"] "&amp;'FEMA Disasters'!$C$2:$C$1000&amp;"-"&amp;'FEMA Disasters'!$A$2:$A$1000,""),IF('FEMA Disasters'!$L$2:$L$1000=$A183,"Disaster SEP ended: "&amp;'FEMA Disasters'!$D$2:$D$1000&amp;" ["&amp;'FEMA Disasters'!$B$2:$B$1000&amp;"] "&amp;'FEMA Disasters'!$C$2:$C$1000&amp;"-"&amp;'FEMA Disasters'!$A$2:$A$1000,""))</f>
        <v>Fire ended: [AZ] FM-5501 | Disaster SEP ended: Severe Storm [KY] DR-4782 | Disaster SEP ended: Severe Storm [WV] DR-4783 | Disaster SEP ended: Winter Storm [ME] DR-4785 | Disaster SEP ended: Winter Storm [NH] DR-4799 | Disaster SEP ended: Severe Storm [NE] DR-4786 | Disaster SEP ended: Severe Storm [MS] DR-4790 | Disaster SEP ended: Flood [WV] DR-4787 | Disaster SEP ended: Flood [HI] DR-4793 | Disaster SEP ended: Flood [ID] DR-4789 | Disaster SEP ended: Tornado [OK] DR-4776 | Disaster SEP ended: Tornado [NE] DR-4778 | Disaster SEP ended: Severe Storm [KS] DR-4800 | Disaster SEP ended: Tornado [IA] DR-4779 | Disaster SEP ended: Flood [TX] DR-4781 | Disaster SEP ended: Flood [PR] DR-4805</v>
      </c>
      <c r="H183" s="4" t="n">
        <f aca="false">COUNTIF(Events!$A$2:$A$397,$A183)</f>
        <v>0</v>
      </c>
      <c r="I183" s="6" t="str">
        <f aca="false" t="array" ref="I183:I183">_xlfn.TEXTJOIN(" | ",TRUE(),IF(Events!$A$2:$A$397=$A183,Events!$E$2:$E$397&amp;IF(Events!$G$2:$G$397="National",""," ["&amp;Events!$G$2:$G$397&amp;"]"),""))</f>
        <v/>
      </c>
    </row>
    <row r="184" customFormat="false" ht="15" hidden="false" customHeight="true" outlineLevel="0" collapsed="false">
      <c r="A184" s="3" t="n">
        <v>45474</v>
      </c>
      <c r="B184" s="4" t="n">
        <f aca="false">YEAR($A184)</f>
        <v>2024</v>
      </c>
      <c r="C184" s="4" t="n">
        <f aca="false">MONTH($A184)</f>
        <v>7</v>
      </c>
      <c r="D184" s="4" t="str">
        <f aca="false">TEXT($A184,"ddd")</f>
        <v>Mon</v>
      </c>
      <c r="E184" s="4" t="n">
        <f aca="false">IF(OR(AND(MONTH($A184)=10,DAY($A184)&gt;=15),MONTH($A184)=11,AND(MONTH($A184)=12,DAY($A184)&lt;=7)),1,0)</f>
        <v>0</v>
      </c>
      <c r="F184" s="4" t="n">
        <f aca="false">IF(MONTH($A184)&lt;=3,1,0)</f>
        <v>0</v>
      </c>
      <c r="G184" s="4" t="str">
        <f aca="false" t="array" ref="G184:G184">_xlfn.TEXTJOIN(" | ",TRUE(),IF('FEMA Disasters'!$F$2:$F$1000=$A184,'FEMA Disasters'!$D$2:$D$1000&amp;" begin: ["&amp;'FEMA Disasters'!$B$2:$B$1000&amp;"] "&amp;'FEMA Disasters'!$C$2:$C$1000&amp;"-"&amp;'FEMA Disasters'!$A$2:$A$1000,""),IF('FEMA Disasters'!$G$2:$G$1000=$A184,'FEMA Disasters'!$D$2:$D$1000&amp;" ended: ["&amp;'FEMA Disasters'!$B$2:$B$1000&amp;"] "&amp;'FEMA Disasters'!$C$2:$C$1000&amp;"-"&amp;'FEMA Disasters'!$A$2:$A$1000,""),IF('FEMA Disasters'!$K$2:$K$1000=$A184,"Disaster SEP opens: "&amp;'FEMA Disasters'!$D$2:$D$1000&amp;" ["&amp;'FEMA Disasters'!$B$2:$B$1000&amp;"] "&amp;'FEMA Disasters'!$C$2:$C$1000&amp;"-"&amp;'FEMA Disasters'!$A$2:$A$1000,""),IF('FEMA Disasters'!$L$2:$L$1000=$A184,"Disaster SEP ended: "&amp;'FEMA Disasters'!$D$2:$D$1000&amp;" ["&amp;'FEMA Disasters'!$B$2:$B$1000&amp;"] "&amp;'FEMA Disasters'!$C$2:$C$1000&amp;"-"&amp;'FEMA Disasters'!$A$2:$A$1000,""))</f>
        <v/>
      </c>
      <c r="H184" s="4" t="n">
        <f aca="false">COUNTIF(Events!$A$2:$A$397,$A184)</f>
        <v>0</v>
      </c>
      <c r="I184" s="6" t="str">
        <f aca="false" t="array" ref="I184:I184">_xlfn.TEXTJOIN(" | ",TRUE(),IF(Events!$A$2:$A$397=$A184,Events!$E$2:$E$397&amp;IF(Events!$G$2:$G$397="National",""," ["&amp;Events!$G$2:$G$397&amp;"]"),""))</f>
        <v/>
      </c>
    </row>
    <row r="185" customFormat="false" ht="15" hidden="false" customHeight="true" outlineLevel="0" collapsed="false">
      <c r="A185" s="3" t="n">
        <v>45475</v>
      </c>
      <c r="B185" s="4" t="n">
        <f aca="false">YEAR($A185)</f>
        <v>2024</v>
      </c>
      <c r="C185" s="4" t="n">
        <f aca="false">MONTH($A185)</f>
        <v>7</v>
      </c>
      <c r="D185" s="4" t="str">
        <f aca="false">TEXT($A185,"ddd")</f>
        <v>Tue</v>
      </c>
      <c r="E185" s="4" t="n">
        <f aca="false">IF(OR(AND(MONTH($A185)=10,DAY($A185)&gt;=15),MONTH($A185)=11,AND(MONTH($A185)=12,DAY($A185)&lt;=7)),1,0)</f>
        <v>0</v>
      </c>
      <c r="F185" s="4" t="n">
        <f aca="false">IF(MONTH($A185)&lt;=3,1,0)</f>
        <v>0</v>
      </c>
      <c r="G185" s="4" t="str">
        <f aca="false" t="array" ref="G185:G185">_xlfn.TEXTJOIN(" | ",TRUE(),IF('FEMA Disasters'!$F$2:$F$1000=$A185,'FEMA Disasters'!$D$2:$D$1000&amp;" begin: ["&amp;'FEMA Disasters'!$B$2:$B$1000&amp;"] "&amp;'FEMA Disasters'!$C$2:$C$1000&amp;"-"&amp;'FEMA Disasters'!$A$2:$A$1000,""),IF('FEMA Disasters'!$G$2:$G$1000=$A185,'FEMA Disasters'!$D$2:$D$1000&amp;" ended: ["&amp;'FEMA Disasters'!$B$2:$B$1000&amp;"] "&amp;'FEMA Disasters'!$C$2:$C$1000&amp;"-"&amp;'FEMA Disasters'!$A$2:$A$1000,""),IF('FEMA Disasters'!$K$2:$K$1000=$A185,"Disaster SEP opens: "&amp;'FEMA Disasters'!$D$2:$D$1000&amp;" ["&amp;'FEMA Disasters'!$B$2:$B$1000&amp;"] "&amp;'FEMA Disasters'!$C$2:$C$1000&amp;"-"&amp;'FEMA Disasters'!$A$2:$A$1000,""),IF('FEMA Disasters'!$L$2:$L$1000=$A185,"Disaster SEP ended: "&amp;'FEMA Disasters'!$D$2:$D$1000&amp;" ["&amp;'FEMA Disasters'!$B$2:$B$1000&amp;"] "&amp;'FEMA Disasters'!$C$2:$C$1000&amp;"-"&amp;'FEMA Disasters'!$A$2:$A$1000,""))</f>
        <v>Fire begin: [CA] FM-5502</v>
      </c>
      <c r="H185" s="4" t="n">
        <f aca="false">COUNTIF(Events!$A$2:$A$397,$A185)</f>
        <v>0</v>
      </c>
      <c r="I185" s="6" t="str">
        <f aca="false" t="array" ref="I185:I185">_xlfn.TEXTJOIN(" | ",TRUE(),IF(Events!$A$2:$A$397=$A185,Events!$E$2:$E$397&amp;IF(Events!$G$2:$G$397="National",""," ["&amp;Events!$G$2:$G$397&amp;"]"),""))</f>
        <v/>
      </c>
    </row>
    <row r="186" customFormat="false" ht="15" hidden="false" customHeight="true" outlineLevel="0" collapsed="false">
      <c r="A186" s="3" t="n">
        <v>45476</v>
      </c>
      <c r="B186" s="4" t="n">
        <f aca="false">YEAR($A186)</f>
        <v>2024</v>
      </c>
      <c r="C186" s="4" t="n">
        <f aca="false">MONTH($A186)</f>
        <v>7</v>
      </c>
      <c r="D186" s="4" t="str">
        <f aca="false">TEXT($A186,"ddd")</f>
        <v>Wed</v>
      </c>
      <c r="E186" s="4" t="n">
        <f aca="false">IF(OR(AND(MONTH($A186)=10,DAY($A186)&gt;=15),MONTH($A186)=11,AND(MONTH($A186)=12,DAY($A186)&lt;=7)),1,0)</f>
        <v>0</v>
      </c>
      <c r="F186" s="4" t="n">
        <f aca="false">IF(MONTH($A186)&lt;=3,1,0)</f>
        <v>0</v>
      </c>
      <c r="G186" s="4" t="str">
        <f aca="false" t="array" ref="G186:G186">_xlfn.TEXTJOIN(" | ",TRUE(),IF('FEMA Disasters'!$F$2:$F$1000=$A186,'FEMA Disasters'!$D$2:$D$1000&amp;" begin: ["&amp;'FEMA Disasters'!$B$2:$B$1000&amp;"] "&amp;'FEMA Disasters'!$C$2:$C$1000&amp;"-"&amp;'FEMA Disasters'!$A$2:$A$1000,""),IF('FEMA Disasters'!$G$2:$G$1000=$A186,'FEMA Disasters'!$D$2:$D$1000&amp;" ended: ["&amp;'FEMA Disasters'!$B$2:$B$1000&amp;"] "&amp;'FEMA Disasters'!$C$2:$C$1000&amp;"-"&amp;'FEMA Disasters'!$A$2:$A$1000,""),IF('FEMA Disasters'!$K$2:$K$1000=$A186,"Disaster SEP opens: "&amp;'FEMA Disasters'!$D$2:$D$1000&amp;" ["&amp;'FEMA Disasters'!$B$2:$B$1000&amp;"] "&amp;'FEMA Disasters'!$C$2:$C$1000&amp;"-"&amp;'FEMA Disasters'!$A$2:$A$1000,""),IF('FEMA Disasters'!$L$2:$L$1000=$A186,"Disaster SEP ended: "&amp;'FEMA Disasters'!$D$2:$D$1000&amp;" ["&amp;'FEMA Disasters'!$B$2:$B$1000&amp;"] "&amp;'FEMA Disasters'!$C$2:$C$1000&amp;"-"&amp;'FEMA Disasters'!$A$2:$A$1000,""))</f>
        <v/>
      </c>
      <c r="H186" s="4" t="n">
        <f aca="false">COUNTIF(Events!$A$2:$A$397,$A186)</f>
        <v>1</v>
      </c>
      <c r="I186" s="6" t="str">
        <f aca="false" t="array" ref="I186:I186">_xlfn.TEXTJOIN(" | ",TRUE(),IF(Events!$A$2:$A$397=$A186,Events!$E$2:$E$397&amp;IF(Events!$G$2:$G$397="National",""," ["&amp;Events!$G$2:$G$397&amp;"]"),""))</f>
        <v>N.D. Tex. (Judge O'Connor) stays the CY2025 rule's broker fixed-compensation cap and FMO contract-term restrictions before AEP 2025 - these provisions of the 4/4/2024 final rule never took effect; broker steering incentives persisted (relative MA-vs-Medigap commission economics unchanged)</v>
      </c>
    </row>
    <row r="187" customFormat="false" ht="15" hidden="false" customHeight="true" outlineLevel="0" collapsed="false">
      <c r="A187" s="3" t="n">
        <v>45477</v>
      </c>
      <c r="B187" s="4" t="n">
        <f aca="false">YEAR($A187)</f>
        <v>2024</v>
      </c>
      <c r="C187" s="4" t="n">
        <f aca="false">MONTH($A187)</f>
        <v>7</v>
      </c>
      <c r="D187" s="4" t="str">
        <f aca="false">TEXT($A187,"ddd")</f>
        <v>Thu</v>
      </c>
      <c r="E187" s="4" t="n">
        <f aca="false">IF(OR(AND(MONTH($A187)=10,DAY($A187)&gt;=15),MONTH($A187)=11,AND(MONTH($A187)=12,DAY($A187)&lt;=7)),1,0)</f>
        <v>0</v>
      </c>
      <c r="F187" s="4" t="n">
        <f aca="false">IF(MONTH($A187)&lt;=3,1,0)</f>
        <v>0</v>
      </c>
      <c r="G187" s="4" t="str">
        <f aca="false" t="array" ref="G187:G187">_xlfn.TEXTJOIN(" | ",TRUE(),IF('FEMA Disasters'!$F$2:$F$1000=$A187,'FEMA Disasters'!$D$2:$D$1000&amp;" begin: ["&amp;'FEMA Disasters'!$B$2:$B$1000&amp;"] "&amp;'FEMA Disasters'!$C$2:$C$1000&amp;"-"&amp;'FEMA Disasters'!$A$2:$A$1000,""),IF('FEMA Disasters'!$G$2:$G$1000=$A187,'FEMA Disasters'!$D$2:$D$1000&amp;" ended: ["&amp;'FEMA Disasters'!$B$2:$B$1000&amp;"] "&amp;'FEMA Disasters'!$C$2:$C$1000&amp;"-"&amp;'FEMA Disasters'!$A$2:$A$1000,""),IF('FEMA Disasters'!$K$2:$K$1000=$A187,"Disaster SEP opens: "&amp;'FEMA Disasters'!$D$2:$D$1000&amp;" ["&amp;'FEMA Disasters'!$B$2:$B$1000&amp;"] "&amp;'FEMA Disasters'!$C$2:$C$1000&amp;"-"&amp;'FEMA Disasters'!$A$2:$A$1000,""),IF('FEMA Disasters'!$L$2:$L$1000=$A187,"Disaster SEP ended: "&amp;'FEMA Disasters'!$D$2:$D$1000&amp;" ["&amp;'FEMA Disasters'!$B$2:$B$1000&amp;"] "&amp;'FEMA Disasters'!$C$2:$C$1000&amp;"-"&amp;'FEMA Disasters'!$A$2:$A$1000,""))</f>
        <v>Fire begin: [CA] FM-5503 | Flood ended: [MN] DR-4797</v>
      </c>
      <c r="H187" s="4" t="n">
        <f aca="false">COUNTIF(Events!$A$2:$A$397,$A187)</f>
        <v>0</v>
      </c>
      <c r="I187" s="6" t="str">
        <f aca="false" t="array" ref="I187:I187">_xlfn.TEXTJOIN(" | ",TRUE(),IF(Events!$A$2:$A$397=$A187,Events!$E$2:$E$397&amp;IF(Events!$G$2:$G$397="National",""," ["&amp;Events!$G$2:$G$397&amp;"]"),""))</f>
        <v/>
      </c>
    </row>
    <row r="188" customFormat="false" ht="15" hidden="false" customHeight="true" outlineLevel="0" collapsed="false">
      <c r="A188" s="3" t="n">
        <v>45478</v>
      </c>
      <c r="B188" s="4" t="n">
        <f aca="false">YEAR($A188)</f>
        <v>2024</v>
      </c>
      <c r="C188" s="4" t="n">
        <f aca="false">MONTH($A188)</f>
        <v>7</v>
      </c>
      <c r="D188" s="4" t="str">
        <f aca="false">TEXT($A188,"ddd")</f>
        <v>Fri</v>
      </c>
      <c r="E188" s="4" t="n">
        <f aca="false">IF(OR(AND(MONTH($A188)=10,DAY($A188)&gt;=15),MONTH($A188)=11,AND(MONTH($A188)=12,DAY($A188)&lt;=7)),1,0)</f>
        <v>0</v>
      </c>
      <c r="F188" s="4" t="n">
        <f aca="false">IF(MONTH($A188)&lt;=3,1,0)</f>
        <v>0</v>
      </c>
      <c r="G188" s="4" t="str">
        <f aca="false" t="array" ref="G188:G188">_xlfn.TEXTJOIN(" | ",TRUE(),IF('FEMA Disasters'!$F$2:$F$1000=$A188,'FEMA Disasters'!$D$2:$D$1000&amp;" begin: ["&amp;'FEMA Disasters'!$B$2:$B$1000&amp;"] "&amp;'FEMA Disasters'!$C$2:$C$1000&amp;"-"&amp;'FEMA Disasters'!$A$2:$A$1000,""),IF('FEMA Disasters'!$G$2:$G$1000=$A188,'FEMA Disasters'!$D$2:$D$1000&amp;" ended: ["&amp;'FEMA Disasters'!$B$2:$B$1000&amp;"] "&amp;'FEMA Disasters'!$C$2:$C$1000&amp;"-"&amp;'FEMA Disasters'!$A$2:$A$1000,""),IF('FEMA Disasters'!$K$2:$K$1000=$A188,"Disaster SEP opens: "&amp;'FEMA Disasters'!$D$2:$D$1000&amp;" ["&amp;'FEMA Disasters'!$B$2:$B$1000&amp;"] "&amp;'FEMA Disasters'!$C$2:$C$1000&amp;"-"&amp;'FEMA Disasters'!$A$2:$A$1000,""),IF('FEMA Disasters'!$L$2:$L$1000=$A188,"Disaster SEP ended: "&amp;'FEMA Disasters'!$D$2:$D$1000&amp;" ["&amp;'FEMA Disasters'!$B$2:$B$1000&amp;"] "&amp;'FEMA Disasters'!$C$2:$C$1000&amp;"-"&amp;'FEMA Disasters'!$A$2:$A$1000,""))</f>
        <v>Hurricane begin: [TX] DR-4798</v>
      </c>
      <c r="H188" s="4" t="n">
        <f aca="false">COUNTIF(Events!$A$2:$A$397,$A188)</f>
        <v>0</v>
      </c>
      <c r="I188" s="6" t="str">
        <f aca="false" t="array" ref="I188:I188">_xlfn.TEXTJOIN(" | ",TRUE(),IF(Events!$A$2:$A$397=$A188,Events!$E$2:$E$397&amp;IF(Events!$G$2:$G$397="National",""," ["&amp;Events!$G$2:$G$397&amp;"]"),""))</f>
        <v/>
      </c>
    </row>
    <row r="189" customFormat="false" ht="15" hidden="false" customHeight="true" outlineLevel="0" collapsed="false">
      <c r="A189" s="3" t="n">
        <v>45479</v>
      </c>
      <c r="B189" s="4" t="n">
        <f aca="false">YEAR($A189)</f>
        <v>2024</v>
      </c>
      <c r="C189" s="4" t="n">
        <f aca="false">MONTH($A189)</f>
        <v>7</v>
      </c>
      <c r="D189" s="4" t="str">
        <f aca="false">TEXT($A189,"ddd")</f>
        <v>Sat</v>
      </c>
      <c r="E189" s="4" t="n">
        <f aca="false">IF(OR(AND(MONTH($A189)=10,DAY($A189)&gt;=15),MONTH($A189)=11,AND(MONTH($A189)=12,DAY($A189)&lt;=7)),1,0)</f>
        <v>0</v>
      </c>
      <c r="F189" s="4" t="n">
        <f aca="false">IF(MONTH($A189)&lt;=3,1,0)</f>
        <v>0</v>
      </c>
      <c r="G189" s="4" t="str">
        <f aca="false" t="array" ref="G189:G189">_xlfn.TEXTJOIN(" | ",TRUE(),IF('FEMA Disasters'!$F$2:$F$1000=$A189,'FEMA Disasters'!$D$2:$D$1000&amp;" begin: ["&amp;'FEMA Disasters'!$B$2:$B$1000&amp;"] "&amp;'FEMA Disasters'!$C$2:$C$1000&amp;"-"&amp;'FEMA Disasters'!$A$2:$A$1000,""),IF('FEMA Disasters'!$G$2:$G$1000=$A189,'FEMA Disasters'!$D$2:$D$1000&amp;" ended: ["&amp;'FEMA Disasters'!$B$2:$B$1000&amp;"] "&amp;'FEMA Disasters'!$C$2:$C$1000&amp;"-"&amp;'FEMA Disasters'!$A$2:$A$1000,""),IF('FEMA Disasters'!$K$2:$K$1000=$A189,"Disaster SEP opens: "&amp;'FEMA Disasters'!$D$2:$D$1000&amp;" ["&amp;'FEMA Disasters'!$B$2:$B$1000&amp;"] "&amp;'FEMA Disasters'!$C$2:$C$1000&amp;"-"&amp;'FEMA Disasters'!$A$2:$A$1000,""),IF('FEMA Disasters'!$L$2:$L$1000=$A189,"Disaster SEP ended: "&amp;'FEMA Disasters'!$D$2:$D$1000&amp;" ["&amp;'FEMA Disasters'!$B$2:$B$1000&amp;"] "&amp;'FEMA Disasters'!$C$2:$C$1000&amp;"-"&amp;'FEMA Disasters'!$A$2:$A$1000,""))</f>
        <v>Fire ended: [CA] FM-5502</v>
      </c>
      <c r="H189" s="4" t="n">
        <f aca="false">COUNTIF(Events!$A$2:$A$397,$A189)</f>
        <v>0</v>
      </c>
      <c r="I189" s="6" t="str">
        <f aca="false" t="array" ref="I189:I189">_xlfn.TEXTJOIN(" | ",TRUE(),IF(Events!$A$2:$A$397=$A189,Events!$E$2:$E$397&amp;IF(Events!$G$2:$G$397="National",""," ["&amp;Events!$G$2:$G$397&amp;"]"),""))</f>
        <v/>
      </c>
    </row>
    <row r="190" customFormat="false" ht="15" hidden="false" customHeight="true" outlineLevel="0" collapsed="false">
      <c r="A190" s="3" t="n">
        <v>45480</v>
      </c>
      <c r="B190" s="4" t="n">
        <f aca="false">YEAR($A190)</f>
        <v>2024</v>
      </c>
      <c r="C190" s="4" t="n">
        <f aca="false">MONTH($A190)</f>
        <v>7</v>
      </c>
      <c r="D190" s="4" t="str">
        <f aca="false">TEXT($A190,"ddd")</f>
        <v>Sun</v>
      </c>
      <c r="E190" s="4" t="n">
        <f aca="false">IF(OR(AND(MONTH($A190)=10,DAY($A190)&gt;=15),MONTH($A190)=11,AND(MONTH($A190)=12,DAY($A190)&lt;=7)),1,0)</f>
        <v>0</v>
      </c>
      <c r="F190" s="4" t="n">
        <f aca="false">IF(MONTH($A190)&lt;=3,1,0)</f>
        <v>0</v>
      </c>
      <c r="G190" s="4" t="str">
        <f aca="false" t="array" ref="G190:G190">_xlfn.TEXTJOIN(" | ",TRUE(),IF('FEMA Disasters'!$F$2:$F$1000=$A190,'FEMA Disasters'!$D$2:$D$1000&amp;" begin: ["&amp;'FEMA Disasters'!$B$2:$B$1000&amp;"] "&amp;'FEMA Disasters'!$C$2:$C$1000&amp;"-"&amp;'FEMA Disasters'!$A$2:$A$1000,""),IF('FEMA Disasters'!$G$2:$G$1000=$A190,'FEMA Disasters'!$D$2:$D$1000&amp;" ended: ["&amp;'FEMA Disasters'!$B$2:$B$1000&amp;"] "&amp;'FEMA Disasters'!$C$2:$C$1000&amp;"-"&amp;'FEMA Disasters'!$A$2:$A$1000,""),IF('FEMA Disasters'!$K$2:$K$1000=$A190,"Disaster SEP opens: "&amp;'FEMA Disasters'!$D$2:$D$1000&amp;" ["&amp;'FEMA Disasters'!$B$2:$B$1000&amp;"] "&amp;'FEMA Disasters'!$C$2:$C$1000&amp;"-"&amp;'FEMA Disasters'!$A$2:$A$1000,""),IF('FEMA Disasters'!$L$2:$L$1000=$A190,"Disaster SEP ended: "&amp;'FEMA Disasters'!$D$2:$D$1000&amp;" ["&amp;'FEMA Disasters'!$B$2:$B$1000&amp;"] "&amp;'FEMA Disasters'!$C$2:$C$1000&amp;"-"&amp;'FEMA Disasters'!$A$2:$A$1000,""))</f>
        <v>Fire begin: [UT] FM-5504 | Severe Storm ended: [KS] DR-4824 | Fire ended: [CA] FM-5503</v>
      </c>
      <c r="H190" s="4" t="n">
        <f aca="false">COUNTIF(Events!$A$2:$A$397,$A190)</f>
        <v>0</v>
      </c>
      <c r="I190" s="6" t="str">
        <f aca="false" t="array" ref="I190:I190">_xlfn.TEXTJOIN(" | ",TRUE(),IF(Events!$A$2:$A$397=$A190,Events!$E$2:$E$397&amp;IF(Events!$G$2:$G$397="National",""," ["&amp;Events!$G$2:$G$397&amp;"]"),""))</f>
        <v/>
      </c>
    </row>
    <row r="191" customFormat="false" ht="15" hidden="false" customHeight="true" outlineLevel="0" collapsed="false">
      <c r="A191" s="3" t="n">
        <v>45481</v>
      </c>
      <c r="B191" s="4" t="n">
        <f aca="false">YEAR($A191)</f>
        <v>2024</v>
      </c>
      <c r="C191" s="4" t="n">
        <f aca="false">MONTH($A191)</f>
        <v>7</v>
      </c>
      <c r="D191" s="4" t="str">
        <f aca="false">TEXT($A191,"ddd")</f>
        <v>Mon</v>
      </c>
      <c r="E191" s="4" t="n">
        <f aca="false">IF(OR(AND(MONTH($A191)=10,DAY($A191)&gt;=15),MONTH($A191)=11,AND(MONTH($A191)=12,DAY($A191)&lt;=7)),1,0)</f>
        <v>0</v>
      </c>
      <c r="F191" s="4" t="n">
        <f aca="false">IF(MONTH($A191)&lt;=3,1,0)</f>
        <v>0</v>
      </c>
      <c r="G191" s="4" t="str">
        <f aca="false" t="array" ref="G191:G191">_xlfn.TEXTJOIN(" | ",TRUE(),IF('FEMA Disasters'!$F$2:$F$1000=$A191,'FEMA Disasters'!$D$2:$D$1000&amp;" begin: ["&amp;'FEMA Disasters'!$B$2:$B$1000&amp;"] "&amp;'FEMA Disasters'!$C$2:$C$1000&amp;"-"&amp;'FEMA Disasters'!$A$2:$A$1000,""),IF('FEMA Disasters'!$G$2:$G$1000=$A191,'FEMA Disasters'!$D$2:$D$1000&amp;" ended: ["&amp;'FEMA Disasters'!$B$2:$B$1000&amp;"] "&amp;'FEMA Disasters'!$C$2:$C$1000&amp;"-"&amp;'FEMA Disasters'!$A$2:$A$1000,""),IF('FEMA Disasters'!$K$2:$K$1000=$A191,"Disaster SEP opens: "&amp;'FEMA Disasters'!$D$2:$D$1000&amp;" ["&amp;'FEMA Disasters'!$B$2:$B$1000&amp;"] "&amp;'FEMA Disasters'!$C$2:$C$1000&amp;"-"&amp;'FEMA Disasters'!$A$2:$A$1000,""),IF('FEMA Disasters'!$L$2:$L$1000=$A191,"Disaster SEP ended: "&amp;'FEMA Disasters'!$D$2:$D$1000&amp;" ["&amp;'FEMA Disasters'!$B$2:$B$1000&amp;"] "&amp;'FEMA Disasters'!$C$2:$C$1000&amp;"-"&amp;'FEMA Disasters'!$A$2:$A$1000,""))</f>
        <v>Flood ended: [SD] DR-4807 | Severe Storm ended: [NE] DR-4822 | Fire ended: [WA] DR-4823</v>
      </c>
      <c r="H191" s="4" t="n">
        <f aca="false">COUNTIF(Events!$A$2:$A$397,$A191)</f>
        <v>0</v>
      </c>
      <c r="I191" s="6" t="str">
        <f aca="false" t="array" ref="I191:I191">_xlfn.TEXTJOIN(" | ",TRUE(),IF(Events!$A$2:$A$397=$A191,Events!$E$2:$E$397&amp;IF(Events!$G$2:$G$397="National",""," ["&amp;Events!$G$2:$G$397&amp;"]"),""))</f>
        <v/>
      </c>
    </row>
    <row r="192" customFormat="false" ht="15" hidden="false" customHeight="true" outlineLevel="0" collapsed="false">
      <c r="A192" s="3" t="n">
        <v>45482</v>
      </c>
      <c r="B192" s="4" t="n">
        <f aca="false">YEAR($A192)</f>
        <v>2024</v>
      </c>
      <c r="C192" s="4" t="n">
        <f aca="false">MONTH($A192)</f>
        <v>7</v>
      </c>
      <c r="D192" s="4" t="str">
        <f aca="false">TEXT($A192,"ddd")</f>
        <v>Tue</v>
      </c>
      <c r="E192" s="4" t="n">
        <f aca="false">IF(OR(AND(MONTH($A192)=10,DAY($A192)&gt;=15),MONTH($A192)=11,AND(MONTH($A192)=12,DAY($A192)&lt;=7)),1,0)</f>
        <v>0</v>
      </c>
      <c r="F192" s="4" t="n">
        <f aca="false">IF(MONTH($A192)&lt;=3,1,0)</f>
        <v>0</v>
      </c>
      <c r="G192" s="4" t="str">
        <f aca="false" t="array" ref="G192:G192">_xlfn.TEXTJOIN(" | ",TRUE(),IF('FEMA Disasters'!$F$2:$F$1000=$A192,'FEMA Disasters'!$D$2:$D$1000&amp;" begin: ["&amp;'FEMA Disasters'!$B$2:$B$1000&amp;"] "&amp;'FEMA Disasters'!$C$2:$C$1000&amp;"-"&amp;'FEMA Disasters'!$A$2:$A$1000,""),IF('FEMA Disasters'!$G$2:$G$1000=$A192,'FEMA Disasters'!$D$2:$D$1000&amp;" ended: ["&amp;'FEMA Disasters'!$B$2:$B$1000&amp;"] "&amp;'FEMA Disasters'!$C$2:$C$1000&amp;"-"&amp;'FEMA Disasters'!$A$2:$A$1000,""),IF('FEMA Disasters'!$K$2:$K$1000=$A192,"Disaster SEP opens: "&amp;'FEMA Disasters'!$D$2:$D$1000&amp;" ["&amp;'FEMA Disasters'!$B$2:$B$1000&amp;"] "&amp;'FEMA Disasters'!$C$2:$C$1000&amp;"-"&amp;'FEMA Disasters'!$A$2:$A$1000,""),IF('FEMA Disasters'!$L$2:$L$1000=$A192,"Disaster SEP ended: "&amp;'FEMA Disasters'!$D$2:$D$1000&amp;" ["&amp;'FEMA Disasters'!$B$2:$B$1000&amp;"] "&amp;'FEMA Disasters'!$C$2:$C$1000&amp;"-"&amp;'FEMA Disasters'!$A$2:$A$1000,""))</f>
        <v>Severe Storm begin: [VT] DR-4810 | Fire begin: [AZ] FM-5505 | Fire begin: [MT] FM-5507 | Hurricane ended: [TX] DR-4798</v>
      </c>
      <c r="H192" s="4" t="n">
        <f aca="false">COUNTIF(Events!$A$2:$A$397,$A192)</f>
        <v>1</v>
      </c>
      <c r="I192" s="6" t="str">
        <f aca="false" t="array" ref="I192:I192">_xlfn.TEXTJOIN(" | ",TRUE(),IF(Events!$A$2:$A$397=$A192,Events!$E$2:$E$397&amp;IF(Events!$G$2:$G$397="National",""," ["&amp;Events!$G$2:$G$397&amp;"]"),""))</f>
        <v>Following SCAN/Elevance rulings, CMS recalculates 2024 Star Ratings industry-wide: 60+ plans across 40 insurers upgraded, ~$1.4B in additional quality bonus payments (date approximate - recalc rolled out late June/early July)</v>
      </c>
    </row>
    <row r="193" customFormat="false" ht="15" hidden="false" customHeight="true" outlineLevel="0" collapsed="false">
      <c r="A193" s="3" t="n">
        <v>45483</v>
      </c>
      <c r="B193" s="4" t="n">
        <f aca="false">YEAR($A193)</f>
        <v>2024</v>
      </c>
      <c r="C193" s="4" t="n">
        <f aca="false">MONTH($A193)</f>
        <v>7</v>
      </c>
      <c r="D193" s="4" t="str">
        <f aca="false">TEXT($A193,"ddd")</f>
        <v>Wed</v>
      </c>
      <c r="E193" s="4" t="n">
        <f aca="false">IF(OR(AND(MONTH($A193)=10,DAY($A193)&gt;=15),MONTH($A193)=11,AND(MONTH($A193)=12,DAY($A193)&lt;=7)),1,0)</f>
        <v>0</v>
      </c>
      <c r="F193" s="4" t="n">
        <f aca="false">IF(MONTH($A193)&lt;=3,1,0)</f>
        <v>0</v>
      </c>
      <c r="G193" s="4" t="str">
        <f aca="false" t="array" ref="G193:G193">_xlfn.TEXTJOIN(" | ",TRUE(),IF('FEMA Disasters'!$F$2:$F$1000=$A193,'FEMA Disasters'!$D$2:$D$1000&amp;" begin: ["&amp;'FEMA Disasters'!$B$2:$B$1000&amp;"] "&amp;'FEMA Disasters'!$C$2:$C$1000&amp;"-"&amp;'FEMA Disasters'!$A$2:$A$1000,""),IF('FEMA Disasters'!$G$2:$G$1000=$A193,'FEMA Disasters'!$D$2:$D$1000&amp;" ended: ["&amp;'FEMA Disasters'!$B$2:$B$1000&amp;"] "&amp;'FEMA Disasters'!$C$2:$C$1000&amp;"-"&amp;'FEMA Disasters'!$A$2:$A$1000,""),IF('FEMA Disasters'!$K$2:$K$1000=$A193,"Disaster SEP opens: "&amp;'FEMA Disasters'!$D$2:$D$1000&amp;" ["&amp;'FEMA Disasters'!$B$2:$B$1000&amp;"] "&amp;'FEMA Disasters'!$C$2:$C$1000&amp;"-"&amp;'FEMA Disasters'!$A$2:$A$1000,""),IF('FEMA Disasters'!$L$2:$L$1000=$A193,"Disaster SEP ended: "&amp;'FEMA Disasters'!$D$2:$D$1000&amp;" ["&amp;'FEMA Disasters'!$B$2:$B$1000&amp;"] "&amp;'FEMA Disasters'!$C$2:$C$1000&amp;"-"&amp;'FEMA Disasters'!$A$2:$A$1000,""))</f>
        <v>Severe Storm begin: [NH] DR-4812 | Flood begin: [NY] DR-4814 | Fire begin: [AZ] DR-4833 | Fire begin: [OR] DR-4854 | Fire begin: [OR] FM-5506 | Fire begin: [AZ] FM-5508 | Fire ended: [AZ] FM-5505</v>
      </c>
      <c r="H193" s="4" t="n">
        <f aca="false">COUNTIF(Events!$A$2:$A$397,$A193)</f>
        <v>0</v>
      </c>
      <c r="I193" s="6" t="str">
        <f aca="false" t="array" ref="I193:I193">_xlfn.TEXTJOIN(" | ",TRUE(),IF(Events!$A$2:$A$397=$A193,Events!$E$2:$E$397&amp;IF(Events!$G$2:$G$397="National",""," ["&amp;Events!$G$2:$G$397&amp;"]"),""))</f>
        <v/>
      </c>
    </row>
    <row r="194" customFormat="false" ht="15" hidden="false" customHeight="true" outlineLevel="0" collapsed="false">
      <c r="A194" s="3" t="n">
        <v>45484</v>
      </c>
      <c r="B194" s="4" t="n">
        <f aca="false">YEAR($A194)</f>
        <v>2024</v>
      </c>
      <c r="C194" s="4" t="n">
        <f aca="false">MONTH($A194)</f>
        <v>7</v>
      </c>
      <c r="D194" s="4" t="str">
        <f aca="false">TEXT($A194,"ddd")</f>
        <v>Thu</v>
      </c>
      <c r="E194" s="4" t="n">
        <f aca="false">IF(OR(AND(MONTH($A194)=10,DAY($A194)&gt;=15),MONTH($A194)=11,AND(MONTH($A194)=12,DAY($A194)&lt;=7)),1,0)</f>
        <v>0</v>
      </c>
      <c r="F194" s="4" t="n">
        <f aca="false">IF(MONTH($A194)&lt;=3,1,0)</f>
        <v>0</v>
      </c>
      <c r="G194" s="4" t="str">
        <f aca="false" t="array" ref="G194:G194">_xlfn.TEXTJOIN(" | ",TRUE(),IF('FEMA Disasters'!$F$2:$F$1000=$A194,'FEMA Disasters'!$D$2:$D$1000&amp;" begin: ["&amp;'FEMA Disasters'!$B$2:$B$1000&amp;"] "&amp;'FEMA Disasters'!$C$2:$C$1000&amp;"-"&amp;'FEMA Disasters'!$A$2:$A$1000,""),IF('FEMA Disasters'!$G$2:$G$1000=$A194,'FEMA Disasters'!$D$2:$D$1000&amp;" ended: ["&amp;'FEMA Disasters'!$B$2:$B$1000&amp;"] "&amp;'FEMA Disasters'!$C$2:$C$1000&amp;"-"&amp;'FEMA Disasters'!$A$2:$A$1000,""),IF('FEMA Disasters'!$K$2:$K$1000=$A194,"Disaster SEP opens: "&amp;'FEMA Disasters'!$D$2:$D$1000&amp;" ["&amp;'FEMA Disasters'!$B$2:$B$1000&amp;"] "&amp;'FEMA Disasters'!$C$2:$C$1000&amp;"-"&amp;'FEMA Disasters'!$A$2:$A$1000,""),IF('FEMA Disasters'!$L$2:$L$1000=$A194,"Disaster SEP ended: "&amp;'FEMA Disasters'!$D$2:$D$1000&amp;" ["&amp;'FEMA Disasters'!$B$2:$B$1000&amp;"] "&amp;'FEMA Disasters'!$C$2:$C$1000&amp;"-"&amp;'FEMA Disasters'!$A$2:$A$1000,""))</f>
        <v>Fire ended: [WA] FM-5499 | Severe Storm ended: [VT] DR-4810 | Flood ended: [NY] DR-4814</v>
      </c>
      <c r="H194" s="4" t="n">
        <f aca="false">COUNTIF(Events!$A$2:$A$397,$A194)</f>
        <v>0</v>
      </c>
      <c r="I194" s="6" t="str">
        <f aca="false" t="array" ref="I194:I194">_xlfn.TEXTJOIN(" | ",TRUE(),IF(Events!$A$2:$A$397=$A194,Events!$E$2:$E$397&amp;IF(Events!$G$2:$G$397="National",""," ["&amp;Events!$G$2:$G$397&amp;"]"),""))</f>
        <v/>
      </c>
    </row>
    <row r="195" customFormat="false" ht="15" hidden="false" customHeight="true" outlineLevel="0" collapsed="false">
      <c r="A195" s="3" t="n">
        <v>45485</v>
      </c>
      <c r="B195" s="4" t="n">
        <f aca="false">YEAR($A195)</f>
        <v>2024</v>
      </c>
      <c r="C195" s="4" t="n">
        <f aca="false">MONTH($A195)</f>
        <v>7</v>
      </c>
      <c r="D195" s="4" t="str">
        <f aca="false">TEXT($A195,"ddd")</f>
        <v>Fri</v>
      </c>
      <c r="E195" s="4" t="n">
        <f aca="false">IF(OR(AND(MONTH($A195)=10,DAY($A195)&gt;=15),MONTH($A195)=11,AND(MONTH($A195)=12,DAY($A195)&lt;=7)),1,0)</f>
        <v>0</v>
      </c>
      <c r="F195" s="4" t="n">
        <f aca="false">IF(MONTH($A195)&lt;=3,1,0)</f>
        <v>0</v>
      </c>
      <c r="G195" s="4" t="str">
        <f aca="false" t="array" ref="G195:G195">_xlfn.TEXTJOIN(" | ",TRUE(),IF('FEMA Disasters'!$F$2:$F$1000=$A195,'FEMA Disasters'!$D$2:$D$1000&amp;" begin: ["&amp;'FEMA Disasters'!$B$2:$B$1000&amp;"] "&amp;'FEMA Disasters'!$C$2:$C$1000&amp;"-"&amp;'FEMA Disasters'!$A$2:$A$1000,""),IF('FEMA Disasters'!$G$2:$G$1000=$A195,'FEMA Disasters'!$D$2:$D$1000&amp;" ended: ["&amp;'FEMA Disasters'!$B$2:$B$1000&amp;"] "&amp;'FEMA Disasters'!$C$2:$C$1000&amp;"-"&amp;'FEMA Disasters'!$A$2:$A$1000,""),IF('FEMA Disasters'!$K$2:$K$1000=$A195,"Disaster SEP opens: "&amp;'FEMA Disasters'!$D$2:$D$1000&amp;" ["&amp;'FEMA Disasters'!$B$2:$B$1000&amp;"] "&amp;'FEMA Disasters'!$C$2:$C$1000&amp;"-"&amp;'FEMA Disasters'!$A$2:$A$1000,""),IF('FEMA Disasters'!$L$2:$L$1000=$A195,"Disaster SEP ended: "&amp;'FEMA Disasters'!$D$2:$D$1000&amp;" ["&amp;'FEMA Disasters'!$B$2:$B$1000&amp;"] "&amp;'FEMA Disasters'!$C$2:$C$1000&amp;"-"&amp;'FEMA Disasters'!$A$2:$A$1000,""))</f>
        <v/>
      </c>
      <c r="H195" s="4" t="n">
        <f aca="false">COUNTIF(Events!$A$2:$A$397,$A195)</f>
        <v>0</v>
      </c>
      <c r="I195" s="6" t="str">
        <f aca="false" t="array" ref="I195:I195">_xlfn.TEXTJOIN(" | ",TRUE(),IF(Events!$A$2:$A$397=$A195,Events!$E$2:$E$397&amp;IF(Events!$G$2:$G$397="National",""," ["&amp;Events!$G$2:$G$397&amp;"]"),""))</f>
        <v/>
      </c>
    </row>
    <row r="196" customFormat="false" ht="15" hidden="false" customHeight="true" outlineLevel="0" collapsed="false">
      <c r="A196" s="3" t="n">
        <v>45486</v>
      </c>
      <c r="B196" s="4" t="n">
        <f aca="false">YEAR($A196)</f>
        <v>2024</v>
      </c>
      <c r="C196" s="4" t="n">
        <f aca="false">MONTH($A196)</f>
        <v>7</v>
      </c>
      <c r="D196" s="4" t="str">
        <f aca="false">TEXT($A196,"ddd")</f>
        <v>Sat</v>
      </c>
      <c r="E196" s="4" t="n">
        <f aca="false">IF(OR(AND(MONTH($A196)=10,DAY($A196)&gt;=15),MONTH($A196)=11,AND(MONTH($A196)=12,DAY($A196)&lt;=7)),1,0)</f>
        <v>0</v>
      </c>
      <c r="F196" s="4" t="n">
        <f aca="false">IF(MONTH($A196)&lt;=3,1,0)</f>
        <v>0</v>
      </c>
      <c r="G196" s="4" t="str">
        <f aca="false" t="array" ref="G196:G196">_xlfn.TEXTJOIN(" | ",TRUE(),IF('FEMA Disasters'!$F$2:$F$1000=$A196,'FEMA Disasters'!$D$2:$D$1000&amp;" begin: ["&amp;'FEMA Disasters'!$B$2:$B$1000&amp;"] "&amp;'FEMA Disasters'!$C$2:$C$1000&amp;"-"&amp;'FEMA Disasters'!$A$2:$A$1000,""),IF('FEMA Disasters'!$G$2:$G$1000=$A196,'FEMA Disasters'!$D$2:$D$1000&amp;" ended: ["&amp;'FEMA Disasters'!$B$2:$B$1000&amp;"] "&amp;'FEMA Disasters'!$C$2:$C$1000&amp;"-"&amp;'FEMA Disasters'!$A$2:$A$1000,""),IF('FEMA Disasters'!$K$2:$K$1000=$A196,"Disaster SEP opens: "&amp;'FEMA Disasters'!$D$2:$D$1000&amp;" ["&amp;'FEMA Disasters'!$B$2:$B$1000&amp;"] "&amp;'FEMA Disasters'!$C$2:$C$1000&amp;"-"&amp;'FEMA Disasters'!$A$2:$A$1000,""),IF('FEMA Disasters'!$L$2:$L$1000=$A196,"Disaster SEP ended: "&amp;'FEMA Disasters'!$D$2:$D$1000&amp;" ["&amp;'FEMA Disasters'!$B$2:$B$1000&amp;"] "&amp;'FEMA Disasters'!$C$2:$C$1000&amp;"-"&amp;'FEMA Disasters'!$A$2:$A$1000,""))</f>
        <v>Flood begin: [IL] DR-4819 | Severe Storm begin: [SD] DR-4842 | Severe Storm ended: [NH] DR-4812</v>
      </c>
      <c r="H196" s="4" t="n">
        <f aca="false">COUNTIF(Events!$A$2:$A$397,$A196)</f>
        <v>0</v>
      </c>
      <c r="I196" s="6" t="str">
        <f aca="false" t="array" ref="I196:I196">_xlfn.TEXTJOIN(" | ",TRUE(),IF(Events!$A$2:$A$397=$A196,Events!$E$2:$E$397&amp;IF(Events!$G$2:$G$397="National",""," ["&amp;Events!$G$2:$G$397&amp;"]"),""))</f>
        <v/>
      </c>
    </row>
    <row r="197" customFormat="false" ht="15" hidden="false" customHeight="true" outlineLevel="0" collapsed="false">
      <c r="A197" s="3" t="n">
        <v>45487</v>
      </c>
      <c r="B197" s="4" t="n">
        <f aca="false">YEAR($A197)</f>
        <v>2024</v>
      </c>
      <c r="C197" s="4" t="n">
        <f aca="false">MONTH($A197)</f>
        <v>7</v>
      </c>
      <c r="D197" s="4" t="str">
        <f aca="false">TEXT($A197,"ddd")</f>
        <v>Sun</v>
      </c>
      <c r="E197" s="4" t="n">
        <f aca="false">IF(OR(AND(MONTH($A197)=10,DAY($A197)&gt;=15),MONTH($A197)=11,AND(MONTH($A197)=12,DAY($A197)&lt;=7)),1,0)</f>
        <v>0</v>
      </c>
      <c r="F197" s="4" t="n">
        <f aca="false">IF(MONTH($A197)&lt;=3,1,0)</f>
        <v>0</v>
      </c>
      <c r="G197" s="4" t="str">
        <f aca="false" t="array" ref="G197:G197">_xlfn.TEXTJOIN(" | ",TRUE(),IF('FEMA Disasters'!$F$2:$F$1000=$A197,'FEMA Disasters'!$D$2:$D$1000&amp;" begin: ["&amp;'FEMA Disasters'!$B$2:$B$1000&amp;"] "&amp;'FEMA Disasters'!$C$2:$C$1000&amp;"-"&amp;'FEMA Disasters'!$A$2:$A$1000,""),IF('FEMA Disasters'!$G$2:$G$1000=$A197,'FEMA Disasters'!$D$2:$D$1000&amp;" ended: ["&amp;'FEMA Disasters'!$B$2:$B$1000&amp;"] "&amp;'FEMA Disasters'!$C$2:$C$1000&amp;"-"&amp;'FEMA Disasters'!$A$2:$A$1000,""),IF('FEMA Disasters'!$K$2:$K$1000=$A197,"Disaster SEP opens: "&amp;'FEMA Disasters'!$D$2:$D$1000&amp;" ["&amp;'FEMA Disasters'!$B$2:$B$1000&amp;"] "&amp;'FEMA Disasters'!$C$2:$C$1000&amp;"-"&amp;'FEMA Disasters'!$A$2:$A$1000,""),IF('FEMA Disasters'!$L$2:$L$1000=$A197,"Disaster SEP ended: "&amp;'FEMA Disasters'!$D$2:$D$1000&amp;" ["&amp;'FEMA Disasters'!$B$2:$B$1000&amp;"] "&amp;'FEMA Disasters'!$C$2:$C$1000&amp;"-"&amp;'FEMA Disasters'!$A$2:$A$1000,""))</f>
        <v>Severe Storm ended: [SD] DR-4842</v>
      </c>
      <c r="H197" s="4" t="n">
        <f aca="false">COUNTIF(Events!$A$2:$A$397,$A197)</f>
        <v>0</v>
      </c>
      <c r="I197" s="6" t="str">
        <f aca="false" t="array" ref="I197:I197">_xlfn.TEXTJOIN(" | ",TRUE(),IF(Events!$A$2:$A$397=$A197,Events!$E$2:$E$397&amp;IF(Events!$G$2:$G$397="National",""," ["&amp;Events!$G$2:$G$397&amp;"]"),""))</f>
        <v/>
      </c>
    </row>
    <row r="198" customFormat="false" ht="15" hidden="false" customHeight="true" outlineLevel="0" collapsed="false">
      <c r="A198" s="3" t="n">
        <v>45488</v>
      </c>
      <c r="B198" s="4" t="n">
        <f aca="false">YEAR($A198)</f>
        <v>2024</v>
      </c>
      <c r="C198" s="4" t="n">
        <f aca="false">MONTH($A198)</f>
        <v>7</v>
      </c>
      <c r="D198" s="4" t="str">
        <f aca="false">TEXT($A198,"ddd")</f>
        <v>Mon</v>
      </c>
      <c r="E198" s="4" t="n">
        <f aca="false">IF(OR(AND(MONTH($A198)=10,DAY($A198)&gt;=15),MONTH($A198)=11,AND(MONTH($A198)=12,DAY($A198)&lt;=7)),1,0)</f>
        <v>0</v>
      </c>
      <c r="F198" s="4" t="n">
        <f aca="false">IF(MONTH($A198)&lt;=3,1,0)</f>
        <v>0</v>
      </c>
      <c r="G198" s="4" t="str">
        <f aca="false" t="array" ref="G198:G198">_xlfn.TEXTJOIN(" | ",TRUE(),IF('FEMA Disasters'!$F$2:$F$1000=$A198,'FEMA Disasters'!$D$2:$D$1000&amp;" begin: ["&amp;'FEMA Disasters'!$B$2:$B$1000&amp;"] "&amp;'FEMA Disasters'!$C$2:$C$1000&amp;"-"&amp;'FEMA Disasters'!$A$2:$A$1000,""),IF('FEMA Disasters'!$G$2:$G$1000=$A198,'FEMA Disasters'!$D$2:$D$1000&amp;" ended: ["&amp;'FEMA Disasters'!$B$2:$B$1000&amp;"] "&amp;'FEMA Disasters'!$C$2:$C$1000&amp;"-"&amp;'FEMA Disasters'!$A$2:$A$1000,""),IF('FEMA Disasters'!$K$2:$K$1000=$A198,"Disaster SEP opens: "&amp;'FEMA Disasters'!$D$2:$D$1000&amp;" ["&amp;'FEMA Disasters'!$B$2:$B$1000&amp;"] "&amp;'FEMA Disasters'!$C$2:$C$1000&amp;"-"&amp;'FEMA Disasters'!$A$2:$A$1000,""),IF('FEMA Disasters'!$L$2:$L$1000=$A198,"Disaster SEP ended: "&amp;'FEMA Disasters'!$D$2:$D$1000&amp;" ["&amp;'FEMA Disasters'!$B$2:$B$1000&amp;"] "&amp;'FEMA Disasters'!$C$2:$C$1000&amp;"-"&amp;'FEMA Disasters'!$A$2:$A$1000,""))</f>
        <v>Fire begin: [ID] FM-5510 | Fire ended: [AZ] FM-5508</v>
      </c>
      <c r="H198" s="4" t="n">
        <f aca="false">COUNTIF(Events!$A$2:$A$397,$A198)</f>
        <v>0</v>
      </c>
      <c r="I198" s="6" t="str">
        <f aca="false" t="array" ref="I198:I198">_xlfn.TEXTJOIN(" | ",TRUE(),IF(Events!$A$2:$A$397=$A198,Events!$E$2:$E$397&amp;IF(Events!$G$2:$G$397="National",""," ["&amp;Events!$G$2:$G$397&amp;"]"),""))</f>
        <v/>
      </c>
    </row>
    <row r="199" customFormat="false" ht="15" hidden="false" customHeight="true" outlineLevel="0" collapsed="false">
      <c r="A199" s="3" t="n">
        <v>45489</v>
      </c>
      <c r="B199" s="4" t="n">
        <f aca="false">YEAR($A199)</f>
        <v>2024</v>
      </c>
      <c r="C199" s="4" t="n">
        <f aca="false">MONTH($A199)</f>
        <v>7</v>
      </c>
      <c r="D199" s="4" t="str">
        <f aca="false">TEXT($A199,"ddd")</f>
        <v>Tue</v>
      </c>
      <c r="E199" s="4" t="n">
        <f aca="false">IF(OR(AND(MONTH($A199)=10,DAY($A199)&gt;=15),MONTH($A199)=11,AND(MONTH($A199)=12,DAY($A199)&lt;=7)),1,0)</f>
        <v>0</v>
      </c>
      <c r="F199" s="4" t="n">
        <f aca="false">IF(MONTH($A199)&lt;=3,1,0)</f>
        <v>0</v>
      </c>
      <c r="G199" s="4" t="str">
        <f aca="false" t="array" ref="G199:G199">_xlfn.TEXTJOIN(" | ",TRUE(),IF('FEMA Disasters'!$F$2:$F$1000=$A199,'FEMA Disasters'!$D$2:$D$1000&amp;" begin: ["&amp;'FEMA Disasters'!$B$2:$B$1000&amp;"] "&amp;'FEMA Disasters'!$C$2:$C$1000&amp;"-"&amp;'FEMA Disasters'!$A$2:$A$1000,""),IF('FEMA Disasters'!$G$2:$G$1000=$A199,'FEMA Disasters'!$D$2:$D$1000&amp;" ended: ["&amp;'FEMA Disasters'!$B$2:$B$1000&amp;"] "&amp;'FEMA Disasters'!$C$2:$C$1000&amp;"-"&amp;'FEMA Disasters'!$A$2:$A$1000,""),IF('FEMA Disasters'!$K$2:$K$1000=$A199,"Disaster SEP opens: "&amp;'FEMA Disasters'!$D$2:$D$1000&amp;" ["&amp;'FEMA Disasters'!$B$2:$B$1000&amp;"] "&amp;'FEMA Disasters'!$C$2:$C$1000&amp;"-"&amp;'FEMA Disasters'!$A$2:$A$1000,""),IF('FEMA Disasters'!$L$2:$L$1000=$A199,"Disaster SEP ended: "&amp;'FEMA Disasters'!$D$2:$D$1000&amp;" ["&amp;'FEMA Disasters'!$B$2:$B$1000&amp;"] "&amp;'FEMA Disasters'!$C$2:$C$1000&amp;"-"&amp;'FEMA Disasters'!$A$2:$A$1000,""))</f>
        <v>Fire begin: [NV] FM-5509 | Flood ended: [IL] DR-4819</v>
      </c>
      <c r="H199" s="4" t="n">
        <f aca="false">COUNTIF(Events!$A$2:$A$397,$A199)</f>
        <v>0</v>
      </c>
      <c r="I199" s="6" t="str">
        <f aca="false" t="array" ref="I199:I199">_xlfn.TEXTJOIN(" | ",TRUE(),IF(Events!$A$2:$A$397=$A199,Events!$E$2:$E$397&amp;IF(Events!$G$2:$G$397="National",""," ["&amp;Events!$G$2:$G$397&amp;"]"),""))</f>
        <v/>
      </c>
    </row>
    <row r="200" customFormat="false" ht="15" hidden="false" customHeight="true" outlineLevel="0" collapsed="false">
      <c r="A200" s="3" t="n">
        <v>45490</v>
      </c>
      <c r="B200" s="4" t="n">
        <f aca="false">YEAR($A200)</f>
        <v>2024</v>
      </c>
      <c r="C200" s="4" t="n">
        <f aca="false">MONTH($A200)</f>
        <v>7</v>
      </c>
      <c r="D200" s="4" t="str">
        <f aca="false">TEXT($A200,"ddd")</f>
        <v>Wed</v>
      </c>
      <c r="E200" s="4" t="n">
        <f aca="false">IF(OR(AND(MONTH($A200)=10,DAY($A200)&gt;=15),MONTH($A200)=11,AND(MONTH($A200)=12,DAY($A200)&lt;=7)),1,0)</f>
        <v>0</v>
      </c>
      <c r="F200" s="4" t="n">
        <f aca="false">IF(MONTH($A200)&lt;=3,1,0)</f>
        <v>0</v>
      </c>
      <c r="G200" s="4" t="str">
        <f aca="false" t="array" ref="G200:G200">_xlfn.TEXTJOIN(" | ",TRUE(),IF('FEMA Disasters'!$F$2:$F$1000=$A200,'FEMA Disasters'!$D$2:$D$1000&amp;" begin: ["&amp;'FEMA Disasters'!$B$2:$B$1000&amp;"] "&amp;'FEMA Disasters'!$C$2:$C$1000&amp;"-"&amp;'FEMA Disasters'!$A$2:$A$1000,""),IF('FEMA Disasters'!$G$2:$G$1000=$A200,'FEMA Disasters'!$D$2:$D$1000&amp;" ended: ["&amp;'FEMA Disasters'!$B$2:$B$1000&amp;"] "&amp;'FEMA Disasters'!$C$2:$C$1000&amp;"-"&amp;'FEMA Disasters'!$A$2:$A$1000,""),IF('FEMA Disasters'!$K$2:$K$1000=$A200,"Disaster SEP opens: "&amp;'FEMA Disasters'!$D$2:$D$1000&amp;" ["&amp;'FEMA Disasters'!$B$2:$B$1000&amp;"] "&amp;'FEMA Disasters'!$C$2:$C$1000&amp;"-"&amp;'FEMA Disasters'!$A$2:$A$1000,""),IF('FEMA Disasters'!$L$2:$L$1000=$A200,"Disaster SEP ended: "&amp;'FEMA Disasters'!$D$2:$D$1000&amp;" ["&amp;'FEMA Disasters'!$B$2:$B$1000&amp;"] "&amp;'FEMA Disasters'!$C$2:$C$1000&amp;"-"&amp;'FEMA Disasters'!$A$2:$A$1000,""))</f>
        <v>Fire begin: [WA] DR-4849 | Fire begin: [OR] FM-5511 | Fire begin: [WA] FM-5518 | Fire ended: [AZ] DR-4833 | Fire ended: [NV] FM-5509</v>
      </c>
      <c r="H200" s="4" t="n">
        <f aca="false">COUNTIF(Events!$A$2:$A$397,$A200)</f>
        <v>0</v>
      </c>
      <c r="I200" s="6" t="str">
        <f aca="false" t="array" ref="I200:I200">_xlfn.TEXTJOIN(" | ",TRUE(),IF(Events!$A$2:$A$397=$A200,Events!$E$2:$E$397&amp;IF(Events!$G$2:$G$397="National",""," ["&amp;Events!$G$2:$G$397&amp;"]"),""))</f>
        <v/>
      </c>
    </row>
    <row r="201" customFormat="false" ht="15" hidden="false" customHeight="true" outlineLevel="0" collapsed="false">
      <c r="A201" s="3" t="n">
        <v>45491</v>
      </c>
      <c r="B201" s="4" t="n">
        <f aca="false">YEAR($A201)</f>
        <v>2024</v>
      </c>
      <c r="C201" s="4" t="n">
        <f aca="false">MONTH($A201)</f>
        <v>7</v>
      </c>
      <c r="D201" s="4" t="str">
        <f aca="false">TEXT($A201,"ddd")</f>
        <v>Thu</v>
      </c>
      <c r="E201" s="4" t="n">
        <f aca="false">IF(OR(AND(MONTH($A201)=10,DAY($A201)&gt;=15),MONTH($A201)=11,AND(MONTH($A201)=12,DAY($A201)&lt;=7)),1,0)</f>
        <v>0</v>
      </c>
      <c r="F201" s="4" t="n">
        <f aca="false">IF(MONTH($A201)&lt;=3,1,0)</f>
        <v>0</v>
      </c>
      <c r="G201" s="4" t="str">
        <f aca="false" t="array" ref="G201:G201">_xlfn.TEXTJOIN(" | ",TRUE(),IF('FEMA Disasters'!$F$2:$F$1000=$A201,'FEMA Disasters'!$D$2:$D$1000&amp;" begin: ["&amp;'FEMA Disasters'!$B$2:$B$1000&amp;"] "&amp;'FEMA Disasters'!$C$2:$C$1000&amp;"-"&amp;'FEMA Disasters'!$A$2:$A$1000,""),IF('FEMA Disasters'!$G$2:$G$1000=$A201,'FEMA Disasters'!$D$2:$D$1000&amp;" ended: ["&amp;'FEMA Disasters'!$B$2:$B$1000&amp;"] "&amp;'FEMA Disasters'!$C$2:$C$1000&amp;"-"&amp;'FEMA Disasters'!$A$2:$A$1000,""),IF('FEMA Disasters'!$K$2:$K$1000=$A201,"Disaster SEP opens: "&amp;'FEMA Disasters'!$D$2:$D$1000&amp;" ["&amp;'FEMA Disasters'!$B$2:$B$1000&amp;"] "&amp;'FEMA Disasters'!$C$2:$C$1000&amp;"-"&amp;'FEMA Disasters'!$A$2:$A$1000,""),IF('FEMA Disasters'!$L$2:$L$1000=$A201,"Disaster SEP ended: "&amp;'FEMA Disasters'!$D$2:$D$1000&amp;" ["&amp;'FEMA Disasters'!$B$2:$B$1000&amp;"] "&amp;'FEMA Disasters'!$C$2:$C$1000&amp;"-"&amp;'FEMA Disasters'!$A$2:$A$1000,""))</f>
        <v>Fire begin: [OR] FM-5512</v>
      </c>
      <c r="H201" s="4" t="n">
        <f aca="false">COUNTIF(Events!$A$2:$A$397,$A201)</f>
        <v>0</v>
      </c>
      <c r="I201" s="6" t="str">
        <f aca="false" t="array" ref="I201:I201">_xlfn.TEXTJOIN(" | ",TRUE(),IF(Events!$A$2:$A$397=$A201,Events!$E$2:$E$397&amp;IF(Events!$G$2:$G$397="National",""," ["&amp;Events!$G$2:$G$397&amp;"]"),""))</f>
        <v/>
      </c>
    </row>
    <row r="202" customFormat="false" ht="15" hidden="false" customHeight="true" outlineLevel="0" collapsed="false">
      <c r="A202" s="3" t="n">
        <v>45492</v>
      </c>
      <c r="B202" s="4" t="n">
        <f aca="false">YEAR($A202)</f>
        <v>2024</v>
      </c>
      <c r="C202" s="4" t="n">
        <f aca="false">MONTH($A202)</f>
        <v>7</v>
      </c>
      <c r="D202" s="4" t="str">
        <f aca="false">TEXT($A202,"ddd")</f>
        <v>Fri</v>
      </c>
      <c r="E202" s="4" t="n">
        <f aca="false">IF(OR(AND(MONTH($A202)=10,DAY($A202)&gt;=15),MONTH($A202)=11,AND(MONTH($A202)=12,DAY($A202)&lt;=7)),1,0)</f>
        <v>0</v>
      </c>
      <c r="F202" s="4" t="n">
        <f aca="false">IF(MONTH($A202)&lt;=3,1,0)</f>
        <v>0</v>
      </c>
      <c r="G202" s="4" t="str">
        <f aca="false" t="array" ref="G202:G202">_xlfn.TEXTJOIN(" | ",TRUE(),IF('FEMA Disasters'!$F$2:$F$1000=$A202,'FEMA Disasters'!$D$2:$D$1000&amp;" begin: ["&amp;'FEMA Disasters'!$B$2:$B$1000&amp;"] "&amp;'FEMA Disasters'!$C$2:$C$1000&amp;"-"&amp;'FEMA Disasters'!$A$2:$A$1000,""),IF('FEMA Disasters'!$G$2:$G$1000=$A202,'FEMA Disasters'!$D$2:$D$1000&amp;" ended: ["&amp;'FEMA Disasters'!$B$2:$B$1000&amp;"] "&amp;'FEMA Disasters'!$C$2:$C$1000&amp;"-"&amp;'FEMA Disasters'!$A$2:$A$1000,""),IF('FEMA Disasters'!$K$2:$K$1000=$A202,"Disaster SEP opens: "&amp;'FEMA Disasters'!$D$2:$D$1000&amp;" ["&amp;'FEMA Disasters'!$B$2:$B$1000&amp;"] "&amp;'FEMA Disasters'!$C$2:$C$1000&amp;"-"&amp;'FEMA Disasters'!$A$2:$A$1000,""),IF('FEMA Disasters'!$L$2:$L$1000=$A202,"Disaster SEP ended: "&amp;'FEMA Disasters'!$D$2:$D$1000&amp;" ["&amp;'FEMA Disasters'!$B$2:$B$1000&amp;"] "&amp;'FEMA Disasters'!$C$2:$C$1000&amp;"-"&amp;'FEMA Disasters'!$A$2:$A$1000,""))</f>
        <v/>
      </c>
      <c r="H202" s="4" t="n">
        <f aca="false">COUNTIF(Events!$A$2:$A$397,$A202)</f>
        <v>0</v>
      </c>
      <c r="I202" s="6" t="str">
        <f aca="false" t="array" ref="I202:I202">_xlfn.TEXTJOIN(" | ",TRUE(),IF(Events!$A$2:$A$397=$A202,Events!$E$2:$E$397&amp;IF(Events!$G$2:$G$397="National",""," ["&amp;Events!$G$2:$G$397&amp;"]"),""))</f>
        <v/>
      </c>
    </row>
    <row r="203" customFormat="false" ht="15" hidden="false" customHeight="true" outlineLevel="0" collapsed="false">
      <c r="A203" s="3" t="n">
        <v>45493</v>
      </c>
      <c r="B203" s="4" t="n">
        <f aca="false">YEAR($A203)</f>
        <v>2024</v>
      </c>
      <c r="C203" s="4" t="n">
        <f aca="false">MONTH($A203)</f>
        <v>7</v>
      </c>
      <c r="D203" s="4" t="str">
        <f aca="false">TEXT($A203,"ddd")</f>
        <v>Sat</v>
      </c>
      <c r="E203" s="4" t="n">
        <f aca="false">IF(OR(AND(MONTH($A203)=10,DAY($A203)&gt;=15),MONTH($A203)=11,AND(MONTH($A203)=12,DAY($A203)&lt;=7)),1,0)</f>
        <v>0</v>
      </c>
      <c r="F203" s="4" t="n">
        <f aca="false">IF(MONTH($A203)&lt;=3,1,0)</f>
        <v>0</v>
      </c>
      <c r="G203" s="4" t="str">
        <f aca="false" t="array" ref="G203:G203">_xlfn.TEXTJOIN(" | ",TRUE(),IF('FEMA Disasters'!$F$2:$F$1000=$A203,'FEMA Disasters'!$D$2:$D$1000&amp;" begin: ["&amp;'FEMA Disasters'!$B$2:$B$1000&amp;"] "&amp;'FEMA Disasters'!$C$2:$C$1000&amp;"-"&amp;'FEMA Disasters'!$A$2:$A$1000,""),IF('FEMA Disasters'!$G$2:$G$1000=$A203,'FEMA Disasters'!$D$2:$D$1000&amp;" ended: ["&amp;'FEMA Disasters'!$B$2:$B$1000&amp;"] "&amp;'FEMA Disasters'!$C$2:$C$1000&amp;"-"&amp;'FEMA Disasters'!$A$2:$A$1000,""),IF('FEMA Disasters'!$K$2:$K$1000=$A203,"Disaster SEP opens: "&amp;'FEMA Disasters'!$D$2:$D$1000&amp;" ["&amp;'FEMA Disasters'!$B$2:$B$1000&amp;"] "&amp;'FEMA Disasters'!$C$2:$C$1000&amp;"-"&amp;'FEMA Disasters'!$A$2:$A$1000,""),IF('FEMA Disasters'!$L$2:$L$1000=$A203,"Disaster SEP ended: "&amp;'FEMA Disasters'!$D$2:$D$1000&amp;" ["&amp;'FEMA Disasters'!$B$2:$B$1000&amp;"] "&amp;'FEMA Disasters'!$C$2:$C$1000&amp;"-"&amp;'FEMA Disasters'!$A$2:$A$1000,""))</f>
        <v>Fire begin: [OR] FM-5513</v>
      </c>
      <c r="H203" s="4" t="n">
        <f aca="false">COUNTIF(Events!$A$2:$A$397,$A203)</f>
        <v>0</v>
      </c>
      <c r="I203" s="6" t="str">
        <f aca="false" t="array" ref="I203:I203">_xlfn.TEXTJOIN(" | ",TRUE(),IF(Events!$A$2:$A$397=$A203,Events!$E$2:$E$397&amp;IF(Events!$G$2:$G$397="National",""," ["&amp;Events!$G$2:$G$397&amp;"]"),""))</f>
        <v/>
      </c>
    </row>
    <row r="204" customFormat="false" ht="15" hidden="false" customHeight="true" outlineLevel="0" collapsed="false">
      <c r="A204" s="3" t="n">
        <v>45494</v>
      </c>
      <c r="B204" s="4" t="n">
        <f aca="false">YEAR($A204)</f>
        <v>2024</v>
      </c>
      <c r="C204" s="4" t="n">
        <f aca="false">MONTH($A204)</f>
        <v>7</v>
      </c>
      <c r="D204" s="4" t="str">
        <f aca="false">TEXT($A204,"ddd")</f>
        <v>Sun</v>
      </c>
      <c r="E204" s="4" t="n">
        <f aca="false">IF(OR(AND(MONTH($A204)=10,DAY($A204)&gt;=15),MONTH($A204)=11,AND(MONTH($A204)=12,DAY($A204)&lt;=7)),1,0)</f>
        <v>0</v>
      </c>
      <c r="F204" s="4" t="n">
        <f aca="false">IF(MONTH($A204)&lt;=3,1,0)</f>
        <v>0</v>
      </c>
      <c r="G204" s="4" t="str">
        <f aca="false" t="array" ref="G204:G204">_xlfn.TEXTJOIN(" | ",TRUE(),IF('FEMA Disasters'!$F$2:$F$1000=$A204,'FEMA Disasters'!$D$2:$D$1000&amp;" begin: ["&amp;'FEMA Disasters'!$B$2:$B$1000&amp;"] "&amp;'FEMA Disasters'!$C$2:$C$1000&amp;"-"&amp;'FEMA Disasters'!$A$2:$A$1000,""),IF('FEMA Disasters'!$G$2:$G$1000=$A204,'FEMA Disasters'!$D$2:$D$1000&amp;" ended: ["&amp;'FEMA Disasters'!$B$2:$B$1000&amp;"] "&amp;'FEMA Disasters'!$C$2:$C$1000&amp;"-"&amp;'FEMA Disasters'!$A$2:$A$1000,""),IF('FEMA Disasters'!$K$2:$K$1000=$A204,"Disaster SEP opens: "&amp;'FEMA Disasters'!$D$2:$D$1000&amp;" ["&amp;'FEMA Disasters'!$B$2:$B$1000&amp;"] "&amp;'FEMA Disasters'!$C$2:$C$1000&amp;"-"&amp;'FEMA Disasters'!$A$2:$A$1000,""),IF('FEMA Disasters'!$L$2:$L$1000=$A204,"Disaster SEP ended: "&amp;'FEMA Disasters'!$D$2:$D$1000&amp;" ["&amp;'FEMA Disasters'!$B$2:$B$1000&amp;"] "&amp;'FEMA Disasters'!$C$2:$C$1000&amp;"-"&amp;'FEMA Disasters'!$A$2:$A$1000,""))</f>
        <v>Fire begin: [OR] FM-5514 | Fire begin: [CA] FM-5515 | Fire begin: [OR] FM-5516 | Fire ended: [ID] FM-5510 | Fire ended: [WA] FM-5518</v>
      </c>
      <c r="H204" s="4" t="n">
        <f aca="false">COUNTIF(Events!$A$2:$A$397,$A204)</f>
        <v>0</v>
      </c>
      <c r="I204" s="6" t="str">
        <f aca="false" t="array" ref="I204:I204">_xlfn.TEXTJOIN(" | ",TRUE(),IF(Events!$A$2:$A$397=$A204,Events!$E$2:$E$397&amp;IF(Events!$G$2:$G$397="National",""," ["&amp;Events!$G$2:$G$397&amp;"]"),""))</f>
        <v/>
      </c>
    </row>
    <row r="205" customFormat="false" ht="15" hidden="false" customHeight="true" outlineLevel="0" collapsed="false">
      <c r="A205" s="3" t="n">
        <v>45495</v>
      </c>
      <c r="B205" s="4" t="n">
        <f aca="false">YEAR($A205)</f>
        <v>2024</v>
      </c>
      <c r="C205" s="4" t="n">
        <f aca="false">MONTH($A205)</f>
        <v>7</v>
      </c>
      <c r="D205" s="4" t="str">
        <f aca="false">TEXT($A205,"ddd")</f>
        <v>Mon</v>
      </c>
      <c r="E205" s="4" t="n">
        <f aca="false">IF(OR(AND(MONTH($A205)=10,DAY($A205)&gt;=15),MONTH($A205)=11,AND(MONTH($A205)=12,DAY($A205)&lt;=7)),1,0)</f>
        <v>0</v>
      </c>
      <c r="F205" s="4" t="n">
        <f aca="false">IF(MONTH($A205)&lt;=3,1,0)</f>
        <v>0</v>
      </c>
      <c r="G205" s="4" t="str">
        <f aca="false" t="array" ref="G205:G205">_xlfn.TEXTJOIN(" | ",TRUE(),IF('FEMA Disasters'!$F$2:$F$1000=$A205,'FEMA Disasters'!$D$2:$D$1000&amp;" begin: ["&amp;'FEMA Disasters'!$B$2:$B$1000&amp;"] "&amp;'FEMA Disasters'!$C$2:$C$1000&amp;"-"&amp;'FEMA Disasters'!$A$2:$A$1000,""),IF('FEMA Disasters'!$G$2:$G$1000=$A205,'FEMA Disasters'!$D$2:$D$1000&amp;" ended: ["&amp;'FEMA Disasters'!$B$2:$B$1000&amp;"] "&amp;'FEMA Disasters'!$C$2:$C$1000&amp;"-"&amp;'FEMA Disasters'!$A$2:$A$1000,""),IF('FEMA Disasters'!$K$2:$K$1000=$A205,"Disaster SEP opens: "&amp;'FEMA Disasters'!$D$2:$D$1000&amp;" ["&amp;'FEMA Disasters'!$B$2:$B$1000&amp;"] "&amp;'FEMA Disasters'!$C$2:$C$1000&amp;"-"&amp;'FEMA Disasters'!$A$2:$A$1000,""),IF('FEMA Disasters'!$L$2:$L$1000=$A205,"Disaster SEP ended: "&amp;'FEMA Disasters'!$D$2:$D$1000&amp;" ["&amp;'FEMA Disasters'!$B$2:$B$1000&amp;"] "&amp;'FEMA Disasters'!$C$2:$C$1000&amp;"-"&amp;'FEMA Disasters'!$A$2:$A$1000,""))</f>
        <v>Fire begin: [WA] FM-5517 | Fire ended: [CA] FM-5515</v>
      </c>
      <c r="H205" s="4" t="n">
        <f aca="false">COUNTIF(Events!$A$2:$A$397,$A205)</f>
        <v>0</v>
      </c>
      <c r="I205" s="6" t="str">
        <f aca="false" t="array" ref="I205:I205">_xlfn.TEXTJOIN(" | ",TRUE(),IF(Events!$A$2:$A$397=$A205,Events!$E$2:$E$397&amp;IF(Events!$G$2:$G$397="National",""," ["&amp;Events!$G$2:$G$397&amp;"]"),""))</f>
        <v/>
      </c>
    </row>
    <row r="206" customFormat="false" ht="15" hidden="false" customHeight="true" outlineLevel="0" collapsed="false">
      <c r="A206" s="3" t="n">
        <v>45496</v>
      </c>
      <c r="B206" s="4" t="n">
        <f aca="false">YEAR($A206)</f>
        <v>2024</v>
      </c>
      <c r="C206" s="4" t="n">
        <f aca="false">MONTH($A206)</f>
        <v>7</v>
      </c>
      <c r="D206" s="4" t="str">
        <f aca="false">TEXT($A206,"ddd")</f>
        <v>Tue</v>
      </c>
      <c r="E206" s="4" t="n">
        <f aca="false">IF(OR(AND(MONTH($A206)=10,DAY($A206)&gt;=15),MONTH($A206)=11,AND(MONTH($A206)=12,DAY($A206)&lt;=7)),1,0)</f>
        <v>0</v>
      </c>
      <c r="F206" s="4" t="n">
        <f aca="false">IF(MONTH($A206)&lt;=3,1,0)</f>
        <v>0</v>
      </c>
      <c r="G206" s="4" t="str">
        <f aca="false" t="array" ref="G206:G206">_xlfn.TEXTJOIN(" | ",TRUE(),IF('FEMA Disasters'!$F$2:$F$1000=$A206,'FEMA Disasters'!$D$2:$D$1000&amp;" begin: ["&amp;'FEMA Disasters'!$B$2:$B$1000&amp;"] "&amp;'FEMA Disasters'!$C$2:$C$1000&amp;"-"&amp;'FEMA Disasters'!$A$2:$A$1000,""),IF('FEMA Disasters'!$G$2:$G$1000=$A206,'FEMA Disasters'!$D$2:$D$1000&amp;" ended: ["&amp;'FEMA Disasters'!$B$2:$B$1000&amp;"] "&amp;'FEMA Disasters'!$C$2:$C$1000&amp;"-"&amp;'FEMA Disasters'!$A$2:$A$1000,""),IF('FEMA Disasters'!$K$2:$K$1000=$A206,"Disaster SEP opens: "&amp;'FEMA Disasters'!$D$2:$D$1000&amp;" ["&amp;'FEMA Disasters'!$B$2:$B$1000&amp;"] "&amp;'FEMA Disasters'!$C$2:$C$1000&amp;"-"&amp;'FEMA Disasters'!$A$2:$A$1000,""),IF('FEMA Disasters'!$L$2:$L$1000=$A206,"Disaster SEP ended: "&amp;'FEMA Disasters'!$D$2:$D$1000&amp;" ["&amp;'FEMA Disasters'!$B$2:$B$1000&amp;"] "&amp;'FEMA Disasters'!$C$2:$C$1000&amp;"-"&amp;'FEMA Disasters'!$A$2:$A$1000,""))</f>
        <v>Severe Storm ended: [IA] DR-4796</v>
      </c>
      <c r="H206" s="4" t="n">
        <f aca="false">COUNTIF(Events!$A$2:$A$397,$A206)</f>
        <v>0</v>
      </c>
      <c r="I206" s="6" t="str">
        <f aca="false" t="array" ref="I206:I206">_xlfn.TEXTJOIN(" | ",TRUE(),IF(Events!$A$2:$A$397=$A206,Events!$E$2:$E$397&amp;IF(Events!$G$2:$G$397="National",""," ["&amp;Events!$G$2:$G$397&amp;"]"),""))</f>
        <v/>
      </c>
    </row>
    <row r="207" customFormat="false" ht="15" hidden="false" customHeight="true" outlineLevel="0" collapsed="false">
      <c r="A207" s="3" t="n">
        <v>45497</v>
      </c>
      <c r="B207" s="4" t="n">
        <f aca="false">YEAR($A207)</f>
        <v>2024</v>
      </c>
      <c r="C207" s="4" t="n">
        <f aca="false">MONTH($A207)</f>
        <v>7</v>
      </c>
      <c r="D207" s="4" t="str">
        <f aca="false">TEXT($A207,"ddd")</f>
        <v>Wed</v>
      </c>
      <c r="E207" s="4" t="n">
        <f aca="false">IF(OR(AND(MONTH($A207)=10,DAY($A207)&gt;=15),MONTH($A207)=11,AND(MONTH($A207)=12,DAY($A207)&lt;=7)),1,0)</f>
        <v>0</v>
      </c>
      <c r="F207" s="4" t="n">
        <f aca="false">IF(MONTH($A207)&lt;=3,1,0)</f>
        <v>0</v>
      </c>
      <c r="G207" s="4" t="str">
        <f aca="false" t="array" ref="G207:G207">_xlfn.TEXTJOIN(" | ",TRUE(),IF('FEMA Disasters'!$F$2:$F$1000=$A207,'FEMA Disasters'!$D$2:$D$1000&amp;" begin: ["&amp;'FEMA Disasters'!$B$2:$B$1000&amp;"] "&amp;'FEMA Disasters'!$C$2:$C$1000&amp;"-"&amp;'FEMA Disasters'!$A$2:$A$1000,""),IF('FEMA Disasters'!$G$2:$G$1000=$A207,'FEMA Disasters'!$D$2:$D$1000&amp;" ended: ["&amp;'FEMA Disasters'!$B$2:$B$1000&amp;"] "&amp;'FEMA Disasters'!$C$2:$C$1000&amp;"-"&amp;'FEMA Disasters'!$A$2:$A$1000,""),IF('FEMA Disasters'!$K$2:$K$1000=$A207,"Disaster SEP opens: "&amp;'FEMA Disasters'!$D$2:$D$1000&amp;" ["&amp;'FEMA Disasters'!$B$2:$B$1000&amp;"] "&amp;'FEMA Disasters'!$C$2:$C$1000&amp;"-"&amp;'FEMA Disasters'!$A$2:$A$1000,""),IF('FEMA Disasters'!$L$2:$L$1000=$A207,"Disaster SEP ended: "&amp;'FEMA Disasters'!$D$2:$D$1000&amp;" ["&amp;'FEMA Disasters'!$B$2:$B$1000&amp;"] "&amp;'FEMA Disasters'!$C$2:$C$1000&amp;"-"&amp;'FEMA Disasters'!$A$2:$A$1000,""))</f>
        <v>Straight-Line Winds begin: [MT] DR-4813 | Fire begin: [CA] FM-5519 | Straight-Line Winds ended: [MT] DR-4813</v>
      </c>
      <c r="H207" s="4" t="n">
        <f aca="false">COUNTIF(Events!$A$2:$A$397,$A207)</f>
        <v>0</v>
      </c>
      <c r="I207" s="6" t="str">
        <f aca="false" t="array" ref="I207:I207">_xlfn.TEXTJOIN(" | ",TRUE(),IF(Events!$A$2:$A$397=$A207,Events!$E$2:$E$397&amp;IF(Events!$G$2:$G$397="National",""," ["&amp;Events!$G$2:$G$397&amp;"]"),""))</f>
        <v/>
      </c>
    </row>
    <row r="208" customFormat="false" ht="15" hidden="false" customHeight="true" outlineLevel="0" collapsed="false">
      <c r="A208" s="3" t="n">
        <v>45498</v>
      </c>
      <c r="B208" s="4" t="n">
        <f aca="false">YEAR($A208)</f>
        <v>2024</v>
      </c>
      <c r="C208" s="4" t="n">
        <f aca="false">MONTH($A208)</f>
        <v>7</v>
      </c>
      <c r="D208" s="4" t="str">
        <f aca="false">TEXT($A208,"ddd")</f>
        <v>Thu</v>
      </c>
      <c r="E208" s="4" t="n">
        <f aca="false">IF(OR(AND(MONTH($A208)=10,DAY($A208)&gt;=15),MONTH($A208)=11,AND(MONTH($A208)=12,DAY($A208)&lt;=7)),1,0)</f>
        <v>0</v>
      </c>
      <c r="F208" s="4" t="n">
        <f aca="false">IF(MONTH($A208)&lt;=3,1,0)</f>
        <v>0</v>
      </c>
      <c r="G208" s="4" t="str">
        <f aca="false" t="array" ref="G208:G208">_xlfn.TEXTJOIN(" | ",TRUE(),IF('FEMA Disasters'!$F$2:$F$1000=$A208,'FEMA Disasters'!$D$2:$D$1000&amp;" begin: ["&amp;'FEMA Disasters'!$B$2:$B$1000&amp;"] "&amp;'FEMA Disasters'!$C$2:$C$1000&amp;"-"&amp;'FEMA Disasters'!$A$2:$A$1000,""),IF('FEMA Disasters'!$G$2:$G$1000=$A208,'FEMA Disasters'!$D$2:$D$1000&amp;" ended: ["&amp;'FEMA Disasters'!$B$2:$B$1000&amp;"] "&amp;'FEMA Disasters'!$C$2:$C$1000&amp;"-"&amp;'FEMA Disasters'!$A$2:$A$1000,""),IF('FEMA Disasters'!$K$2:$K$1000=$A208,"Disaster SEP opens: "&amp;'FEMA Disasters'!$D$2:$D$1000&amp;" ["&amp;'FEMA Disasters'!$B$2:$B$1000&amp;"] "&amp;'FEMA Disasters'!$C$2:$C$1000&amp;"-"&amp;'FEMA Disasters'!$A$2:$A$1000,""),IF('FEMA Disasters'!$L$2:$L$1000=$A208,"Disaster SEP ended: "&amp;'FEMA Disasters'!$D$2:$D$1000&amp;" ["&amp;'FEMA Disasters'!$B$2:$B$1000&amp;"] "&amp;'FEMA Disasters'!$C$2:$C$1000&amp;"-"&amp;'FEMA Disasters'!$A$2:$A$1000,""))</f>
        <v>Fire begin: [ID] FM-5520 | Fire begin: [WA] FM-5521 | Fire begin: [CA] FM-5522</v>
      </c>
      <c r="H208" s="4" t="n">
        <f aca="false">COUNTIF(Events!$A$2:$A$397,$A208)</f>
        <v>0</v>
      </c>
      <c r="I208" s="6" t="str">
        <f aca="false" t="array" ref="I208:I208">_xlfn.TEXTJOIN(" | ",TRUE(),IF(Events!$A$2:$A$397=$A208,Events!$E$2:$E$397&amp;IF(Events!$G$2:$G$397="National",""," ["&amp;Events!$G$2:$G$397&amp;"]"),""))</f>
        <v/>
      </c>
    </row>
    <row r="209" customFormat="false" ht="15" hidden="false" customHeight="true" outlineLevel="0" collapsed="false">
      <c r="A209" s="3" t="n">
        <v>45499</v>
      </c>
      <c r="B209" s="4" t="n">
        <f aca="false">YEAR($A209)</f>
        <v>2024</v>
      </c>
      <c r="C209" s="4" t="n">
        <f aca="false">MONTH($A209)</f>
        <v>7</v>
      </c>
      <c r="D209" s="4" t="str">
        <f aca="false">TEXT($A209,"ddd")</f>
        <v>Fri</v>
      </c>
      <c r="E209" s="4" t="n">
        <f aca="false">IF(OR(AND(MONTH($A209)=10,DAY($A209)&gt;=15),MONTH($A209)=11,AND(MONTH($A209)=12,DAY($A209)&lt;=7)),1,0)</f>
        <v>0</v>
      </c>
      <c r="F209" s="4" t="n">
        <f aca="false">IF(MONTH($A209)&lt;=3,1,0)</f>
        <v>0</v>
      </c>
      <c r="G209" s="4" t="str">
        <f aca="false" t="array" ref="G209:G209">_xlfn.TEXTJOIN(" | ",TRUE(),IF('FEMA Disasters'!$F$2:$F$1000=$A209,'FEMA Disasters'!$D$2:$D$1000&amp;" begin: ["&amp;'FEMA Disasters'!$B$2:$B$1000&amp;"] "&amp;'FEMA Disasters'!$C$2:$C$1000&amp;"-"&amp;'FEMA Disasters'!$A$2:$A$1000,""),IF('FEMA Disasters'!$G$2:$G$1000=$A209,'FEMA Disasters'!$D$2:$D$1000&amp;" ended: ["&amp;'FEMA Disasters'!$B$2:$B$1000&amp;"] "&amp;'FEMA Disasters'!$C$2:$C$1000&amp;"-"&amp;'FEMA Disasters'!$A$2:$A$1000,""),IF('FEMA Disasters'!$K$2:$K$1000=$A209,"Disaster SEP opens: "&amp;'FEMA Disasters'!$D$2:$D$1000&amp;" ["&amp;'FEMA Disasters'!$B$2:$B$1000&amp;"] "&amp;'FEMA Disasters'!$C$2:$C$1000&amp;"-"&amp;'FEMA Disasters'!$A$2:$A$1000,""),IF('FEMA Disasters'!$L$2:$L$1000=$A209,"Disaster SEP ended: "&amp;'FEMA Disasters'!$D$2:$D$1000&amp;" ["&amp;'FEMA Disasters'!$B$2:$B$1000&amp;"] "&amp;'FEMA Disasters'!$C$2:$C$1000&amp;"-"&amp;'FEMA Disasters'!$A$2:$A$1000,""))</f>
        <v/>
      </c>
      <c r="H209" s="4" t="n">
        <f aca="false">COUNTIF(Events!$A$2:$A$397,$A209)</f>
        <v>0</v>
      </c>
      <c r="I209" s="6" t="str">
        <f aca="false" t="array" ref="I209:I209">_xlfn.TEXTJOIN(" | ",TRUE(),IF(Events!$A$2:$A$397=$A209,Events!$E$2:$E$397&amp;IF(Events!$G$2:$G$397="National",""," ["&amp;Events!$G$2:$G$397&amp;"]"),""))</f>
        <v/>
      </c>
    </row>
    <row r="210" customFormat="false" ht="15" hidden="false" customHeight="true" outlineLevel="0" collapsed="false">
      <c r="A210" s="3" t="n">
        <v>45500</v>
      </c>
      <c r="B210" s="4" t="n">
        <f aca="false">YEAR($A210)</f>
        <v>2024</v>
      </c>
      <c r="C210" s="4" t="n">
        <f aca="false">MONTH($A210)</f>
        <v>7</v>
      </c>
      <c r="D210" s="4" t="str">
        <f aca="false">TEXT($A210,"ddd")</f>
        <v>Sat</v>
      </c>
      <c r="E210" s="4" t="n">
        <f aca="false">IF(OR(AND(MONTH($A210)=10,DAY($A210)&gt;=15),MONTH($A210)=11,AND(MONTH($A210)=12,DAY($A210)&lt;=7)),1,0)</f>
        <v>0</v>
      </c>
      <c r="F210" s="4" t="n">
        <f aca="false">IF(MONTH($A210)&lt;=3,1,0)</f>
        <v>0</v>
      </c>
      <c r="G210" s="4" t="str">
        <f aca="false" t="array" ref="G210:G210">_xlfn.TEXTJOIN(" | ",TRUE(),IF('FEMA Disasters'!$F$2:$F$1000=$A210,'FEMA Disasters'!$D$2:$D$1000&amp;" begin: ["&amp;'FEMA Disasters'!$B$2:$B$1000&amp;"] "&amp;'FEMA Disasters'!$C$2:$C$1000&amp;"-"&amp;'FEMA Disasters'!$A$2:$A$1000,""),IF('FEMA Disasters'!$G$2:$G$1000=$A210,'FEMA Disasters'!$D$2:$D$1000&amp;" ended: ["&amp;'FEMA Disasters'!$B$2:$B$1000&amp;"] "&amp;'FEMA Disasters'!$C$2:$C$1000&amp;"-"&amp;'FEMA Disasters'!$A$2:$A$1000,""),IF('FEMA Disasters'!$K$2:$K$1000=$A210,"Disaster SEP opens: "&amp;'FEMA Disasters'!$D$2:$D$1000&amp;" ["&amp;'FEMA Disasters'!$B$2:$B$1000&amp;"] "&amp;'FEMA Disasters'!$C$2:$C$1000&amp;"-"&amp;'FEMA Disasters'!$A$2:$A$1000,""),IF('FEMA Disasters'!$L$2:$L$1000=$A210,"Disaster SEP ended: "&amp;'FEMA Disasters'!$D$2:$D$1000&amp;" ["&amp;'FEMA Disasters'!$B$2:$B$1000&amp;"] "&amp;'FEMA Disasters'!$C$2:$C$1000&amp;"-"&amp;'FEMA Disasters'!$A$2:$A$1000,""))</f>
        <v/>
      </c>
      <c r="H210" s="4" t="n">
        <f aca="false">COUNTIF(Events!$A$2:$A$397,$A210)</f>
        <v>0</v>
      </c>
      <c r="I210" s="6" t="str">
        <f aca="false" t="array" ref="I210:I210">_xlfn.TEXTJOIN(" | ",TRUE(),IF(Events!$A$2:$A$397=$A210,Events!$E$2:$E$397&amp;IF(Events!$G$2:$G$397="National",""," ["&amp;Events!$G$2:$G$397&amp;"]"),""))</f>
        <v/>
      </c>
    </row>
    <row r="211" customFormat="false" ht="15" hidden="false" customHeight="true" outlineLevel="0" collapsed="false">
      <c r="A211" s="3" t="n">
        <v>45501</v>
      </c>
      <c r="B211" s="4" t="n">
        <f aca="false">YEAR($A211)</f>
        <v>2024</v>
      </c>
      <c r="C211" s="4" t="n">
        <f aca="false">MONTH($A211)</f>
        <v>7</v>
      </c>
      <c r="D211" s="4" t="str">
        <f aca="false">TEXT($A211,"ddd")</f>
        <v>Sun</v>
      </c>
      <c r="E211" s="4" t="n">
        <f aca="false">IF(OR(AND(MONTH($A211)=10,DAY($A211)&gt;=15),MONTH($A211)=11,AND(MONTH($A211)=12,DAY($A211)&lt;=7)),1,0)</f>
        <v>0</v>
      </c>
      <c r="F211" s="4" t="n">
        <f aca="false">IF(MONTH($A211)&lt;=3,1,0)</f>
        <v>0</v>
      </c>
      <c r="G211" s="4" t="str">
        <f aca="false" t="array" ref="G211:G211">_xlfn.TEXTJOIN(" | ",TRUE(),IF('FEMA Disasters'!$F$2:$F$1000=$A211,'FEMA Disasters'!$D$2:$D$1000&amp;" begin: ["&amp;'FEMA Disasters'!$B$2:$B$1000&amp;"] "&amp;'FEMA Disasters'!$C$2:$C$1000&amp;"-"&amp;'FEMA Disasters'!$A$2:$A$1000,""),IF('FEMA Disasters'!$G$2:$G$1000=$A211,'FEMA Disasters'!$D$2:$D$1000&amp;" ended: ["&amp;'FEMA Disasters'!$B$2:$B$1000&amp;"] "&amp;'FEMA Disasters'!$C$2:$C$1000&amp;"-"&amp;'FEMA Disasters'!$A$2:$A$1000,""),IF('FEMA Disasters'!$K$2:$K$1000=$A211,"Disaster SEP opens: "&amp;'FEMA Disasters'!$D$2:$D$1000&amp;" ["&amp;'FEMA Disasters'!$B$2:$B$1000&amp;"] "&amp;'FEMA Disasters'!$C$2:$C$1000&amp;"-"&amp;'FEMA Disasters'!$A$2:$A$1000,""),IF('FEMA Disasters'!$L$2:$L$1000=$A211,"Disaster SEP ended: "&amp;'FEMA Disasters'!$D$2:$D$1000&amp;" ["&amp;'FEMA Disasters'!$B$2:$B$1000&amp;"] "&amp;'FEMA Disasters'!$C$2:$C$1000&amp;"-"&amp;'FEMA Disasters'!$A$2:$A$1000,""))</f>
        <v>Fire ended: [WA] FM-5517</v>
      </c>
      <c r="H211" s="4" t="n">
        <f aca="false">COUNTIF(Events!$A$2:$A$397,$A211)</f>
        <v>0</v>
      </c>
      <c r="I211" s="6" t="str">
        <f aca="false" t="array" ref="I211:I211">_xlfn.TEXTJOIN(" | ",TRUE(),IF(Events!$A$2:$A$397=$A211,Events!$E$2:$E$397&amp;IF(Events!$G$2:$G$397="National",""," ["&amp;Events!$G$2:$G$397&amp;"]"),""))</f>
        <v/>
      </c>
    </row>
    <row r="212" customFormat="false" ht="15" hidden="false" customHeight="true" outlineLevel="0" collapsed="false">
      <c r="A212" s="3" t="n">
        <v>45502</v>
      </c>
      <c r="B212" s="4" t="n">
        <f aca="false">YEAR($A212)</f>
        <v>2024</v>
      </c>
      <c r="C212" s="4" t="n">
        <f aca="false">MONTH($A212)</f>
        <v>7</v>
      </c>
      <c r="D212" s="4" t="str">
        <f aca="false">TEXT($A212,"ddd")</f>
        <v>Mon</v>
      </c>
      <c r="E212" s="4" t="n">
        <f aca="false">IF(OR(AND(MONTH($A212)=10,DAY($A212)&gt;=15),MONTH($A212)=11,AND(MONTH($A212)=12,DAY($A212)&lt;=7)),1,0)</f>
        <v>0</v>
      </c>
      <c r="F212" s="4" t="n">
        <f aca="false">IF(MONTH($A212)&lt;=3,1,0)</f>
        <v>0</v>
      </c>
      <c r="G212" s="4" t="str">
        <f aca="false" t="array" ref="G212:G212">_xlfn.TEXTJOIN(" | ",TRUE(),IF('FEMA Disasters'!$F$2:$F$1000=$A212,'FEMA Disasters'!$D$2:$D$1000&amp;" begin: ["&amp;'FEMA Disasters'!$B$2:$B$1000&amp;"] "&amp;'FEMA Disasters'!$C$2:$C$1000&amp;"-"&amp;'FEMA Disasters'!$A$2:$A$1000,""),IF('FEMA Disasters'!$G$2:$G$1000=$A212,'FEMA Disasters'!$D$2:$D$1000&amp;" ended: ["&amp;'FEMA Disasters'!$B$2:$B$1000&amp;"] "&amp;'FEMA Disasters'!$C$2:$C$1000&amp;"-"&amp;'FEMA Disasters'!$A$2:$A$1000,""),IF('FEMA Disasters'!$K$2:$K$1000=$A212,"Disaster SEP opens: "&amp;'FEMA Disasters'!$D$2:$D$1000&amp;" ["&amp;'FEMA Disasters'!$B$2:$B$1000&amp;"] "&amp;'FEMA Disasters'!$C$2:$C$1000&amp;"-"&amp;'FEMA Disasters'!$A$2:$A$1000,""),IF('FEMA Disasters'!$L$2:$L$1000=$A212,"Disaster SEP ended: "&amp;'FEMA Disasters'!$D$2:$D$1000&amp;" ["&amp;'FEMA Disasters'!$B$2:$B$1000&amp;"] "&amp;'FEMA Disasters'!$C$2:$C$1000&amp;"-"&amp;'FEMA Disasters'!$A$2:$A$1000,""))</f>
        <v>Flood begin: [VT] DR-4826</v>
      </c>
      <c r="H212" s="4" t="n">
        <f aca="false">COUNTIF(Events!$A$2:$A$397,$A212)</f>
        <v>0</v>
      </c>
      <c r="I212" s="6" t="str">
        <f aca="false" t="array" ref="I212:I212">_xlfn.TEXTJOIN(" | ",TRUE(),IF(Events!$A$2:$A$397=$A212,Events!$E$2:$E$397&amp;IF(Events!$G$2:$G$397="National",""," ["&amp;Events!$G$2:$G$397&amp;"]"),""))</f>
        <v/>
      </c>
    </row>
    <row r="213" customFormat="false" ht="15" hidden="false" customHeight="true" outlineLevel="0" collapsed="false">
      <c r="A213" s="3" t="n">
        <v>45503</v>
      </c>
      <c r="B213" s="4" t="n">
        <f aca="false">YEAR($A213)</f>
        <v>2024</v>
      </c>
      <c r="C213" s="4" t="n">
        <f aca="false">MONTH($A213)</f>
        <v>7</v>
      </c>
      <c r="D213" s="4" t="str">
        <f aca="false">TEXT($A213,"ddd")</f>
        <v>Tue</v>
      </c>
      <c r="E213" s="4" t="n">
        <f aca="false">IF(OR(AND(MONTH($A213)=10,DAY($A213)&gt;=15),MONTH($A213)=11,AND(MONTH($A213)=12,DAY($A213)&lt;=7)),1,0)</f>
        <v>0</v>
      </c>
      <c r="F213" s="4" t="n">
        <f aca="false">IF(MONTH($A213)&lt;=3,1,0)</f>
        <v>0</v>
      </c>
      <c r="G213" s="4" t="str">
        <f aca="false" t="array" ref="G213:G213">_xlfn.TEXTJOIN(" | ",TRUE(),IF('FEMA Disasters'!$F$2:$F$1000=$A213,'FEMA Disasters'!$D$2:$D$1000&amp;" begin: ["&amp;'FEMA Disasters'!$B$2:$B$1000&amp;"] "&amp;'FEMA Disasters'!$C$2:$C$1000&amp;"-"&amp;'FEMA Disasters'!$A$2:$A$1000,""),IF('FEMA Disasters'!$G$2:$G$1000=$A213,'FEMA Disasters'!$D$2:$D$1000&amp;" ended: ["&amp;'FEMA Disasters'!$B$2:$B$1000&amp;"] "&amp;'FEMA Disasters'!$C$2:$C$1000&amp;"-"&amp;'FEMA Disasters'!$A$2:$A$1000,""),IF('FEMA Disasters'!$K$2:$K$1000=$A213,"Disaster SEP opens: "&amp;'FEMA Disasters'!$D$2:$D$1000&amp;" ["&amp;'FEMA Disasters'!$B$2:$B$1000&amp;"] "&amp;'FEMA Disasters'!$C$2:$C$1000&amp;"-"&amp;'FEMA Disasters'!$A$2:$A$1000,""),IF('FEMA Disasters'!$L$2:$L$1000=$A213,"Disaster SEP ended: "&amp;'FEMA Disasters'!$D$2:$D$1000&amp;" ["&amp;'FEMA Disasters'!$B$2:$B$1000&amp;"] "&amp;'FEMA Disasters'!$C$2:$C$1000&amp;"-"&amp;'FEMA Disasters'!$A$2:$A$1000,""))</f>
        <v>Fire begin: [WY] FM-5523 | Fire begin: [CO] FM-5525</v>
      </c>
      <c r="H213" s="4" t="n">
        <f aca="false">COUNTIF(Events!$A$2:$A$397,$A213)</f>
        <v>0</v>
      </c>
      <c r="I213" s="6" t="str">
        <f aca="false" t="array" ref="I213:I213">_xlfn.TEXTJOIN(" | ",TRUE(),IF(Events!$A$2:$A$397=$A213,Events!$E$2:$E$397&amp;IF(Events!$G$2:$G$397="National",""," ["&amp;Events!$G$2:$G$397&amp;"]"),""))</f>
        <v/>
      </c>
    </row>
    <row r="214" customFormat="false" ht="15" hidden="false" customHeight="true" outlineLevel="0" collapsed="false">
      <c r="A214" s="3" t="n">
        <v>45504</v>
      </c>
      <c r="B214" s="4" t="n">
        <f aca="false">YEAR($A214)</f>
        <v>2024</v>
      </c>
      <c r="C214" s="4" t="n">
        <f aca="false">MONTH($A214)</f>
        <v>7</v>
      </c>
      <c r="D214" s="4" t="str">
        <f aca="false">TEXT($A214,"ddd")</f>
        <v>Wed</v>
      </c>
      <c r="E214" s="4" t="n">
        <f aca="false">IF(OR(AND(MONTH($A214)=10,DAY($A214)&gt;=15),MONTH($A214)=11,AND(MONTH($A214)=12,DAY($A214)&lt;=7)),1,0)</f>
        <v>0</v>
      </c>
      <c r="F214" s="4" t="n">
        <f aca="false">IF(MONTH($A214)&lt;=3,1,0)</f>
        <v>0</v>
      </c>
      <c r="G214" s="4" t="str">
        <f aca="false" t="array" ref="G214:G214">_xlfn.TEXTJOIN(" | ",TRUE(),IF('FEMA Disasters'!$F$2:$F$1000=$A214,'FEMA Disasters'!$D$2:$D$1000&amp;" begin: ["&amp;'FEMA Disasters'!$B$2:$B$1000&amp;"] "&amp;'FEMA Disasters'!$C$2:$C$1000&amp;"-"&amp;'FEMA Disasters'!$A$2:$A$1000,""),IF('FEMA Disasters'!$G$2:$G$1000=$A214,'FEMA Disasters'!$D$2:$D$1000&amp;" ended: ["&amp;'FEMA Disasters'!$B$2:$B$1000&amp;"] "&amp;'FEMA Disasters'!$C$2:$C$1000&amp;"-"&amp;'FEMA Disasters'!$A$2:$A$1000,""),IF('FEMA Disasters'!$K$2:$K$1000=$A214,"Disaster SEP opens: "&amp;'FEMA Disasters'!$D$2:$D$1000&amp;" ["&amp;'FEMA Disasters'!$B$2:$B$1000&amp;"] "&amp;'FEMA Disasters'!$C$2:$C$1000&amp;"-"&amp;'FEMA Disasters'!$A$2:$A$1000,""),IF('FEMA Disasters'!$L$2:$L$1000=$A214,"Disaster SEP ended: "&amp;'FEMA Disasters'!$D$2:$D$1000&amp;" ["&amp;'FEMA Disasters'!$B$2:$B$1000&amp;"] "&amp;'FEMA Disasters'!$C$2:$C$1000&amp;"-"&amp;'FEMA Disasters'!$A$2:$A$1000,""))</f>
        <v>Severe Storm begin: [NE] DR-4838 | Fire begin: [CO] FM-5524 | Flood ended: [VT] DR-4826 | Severe Storm ended: [NE] DR-4838 | Disaster SEP opens: Severe Storm [OK] DR-4791 | Disaster SEP opens: Severe Storm [MO] DR-4803 | Disaster SEP opens: Severe Storm [KS] DR-4811 | Disaster SEP opens: Severe Storm [IA] DR-4784 | Disaster SEP opens: Severe Storm [KY] DR-4804 | Disaster SEP opens: Severe Storm [AR] DR-4788 | Disaster SEP opens: Fire [AZ] FM-5493 | Disaster SEP ended: Severe Storm [MT] DR-4801 | Disaster SEP ended: Severe Storm [TN] DR-4792 | Disaster SEP ended: Severe Storm [FL] DR-4794</v>
      </c>
      <c r="H214" s="4" t="n">
        <f aca="false">COUNTIF(Events!$A$2:$A$397,$A214)</f>
        <v>0</v>
      </c>
      <c r="I214" s="6" t="str">
        <f aca="false" t="array" ref="I214:I214">_xlfn.TEXTJOIN(" | ",TRUE(),IF(Events!$A$2:$A$397=$A214,Events!$E$2:$E$397&amp;IF(Events!$G$2:$G$397="National",""," ["&amp;Events!$G$2:$G$397&amp;"]"),""))</f>
        <v/>
      </c>
    </row>
    <row r="215" customFormat="false" ht="15" hidden="false" customHeight="true" outlineLevel="0" collapsed="false">
      <c r="A215" s="3" t="n">
        <v>45505</v>
      </c>
      <c r="B215" s="4" t="n">
        <f aca="false">YEAR($A215)</f>
        <v>2024</v>
      </c>
      <c r="C215" s="4" t="n">
        <f aca="false">MONTH($A215)</f>
        <v>8</v>
      </c>
      <c r="D215" s="4" t="str">
        <f aca="false">TEXT($A215,"ddd")</f>
        <v>Thu</v>
      </c>
      <c r="E215" s="4" t="n">
        <f aca="false">IF(OR(AND(MONTH($A215)=10,DAY($A215)&gt;=15),MONTH($A215)=11,AND(MONTH($A215)=12,DAY($A215)&lt;=7)),1,0)</f>
        <v>0</v>
      </c>
      <c r="F215" s="4" t="n">
        <f aca="false">IF(MONTH($A215)&lt;=3,1,0)</f>
        <v>0</v>
      </c>
      <c r="G215" s="4" t="str">
        <f aca="false" t="array" ref="G215:G215">_xlfn.TEXTJOIN(" | ",TRUE(),IF('FEMA Disasters'!$F$2:$F$1000=$A215,'FEMA Disasters'!$D$2:$D$1000&amp;" begin: ["&amp;'FEMA Disasters'!$B$2:$B$1000&amp;"] "&amp;'FEMA Disasters'!$C$2:$C$1000&amp;"-"&amp;'FEMA Disasters'!$A$2:$A$1000,""),IF('FEMA Disasters'!$G$2:$G$1000=$A215,'FEMA Disasters'!$D$2:$D$1000&amp;" ended: ["&amp;'FEMA Disasters'!$B$2:$B$1000&amp;"] "&amp;'FEMA Disasters'!$C$2:$C$1000&amp;"-"&amp;'FEMA Disasters'!$A$2:$A$1000,""),IF('FEMA Disasters'!$K$2:$K$1000=$A215,"Disaster SEP opens: "&amp;'FEMA Disasters'!$D$2:$D$1000&amp;" ["&amp;'FEMA Disasters'!$B$2:$B$1000&amp;"] "&amp;'FEMA Disasters'!$C$2:$C$1000&amp;"-"&amp;'FEMA Disasters'!$A$2:$A$1000,""),IF('FEMA Disasters'!$L$2:$L$1000=$A215,"Disaster SEP ended: "&amp;'FEMA Disasters'!$D$2:$D$1000&amp;" ["&amp;'FEMA Disasters'!$B$2:$B$1000&amp;"] "&amp;'FEMA Disasters'!$C$2:$C$1000&amp;"-"&amp;'FEMA Disasters'!$A$2:$A$1000,""))</f>
        <v>Tropical Storm begin: [FL] EM-3605 | Tropical Storm begin: [FL] DR-4806 | Fire begin: [CO] FM-5526</v>
      </c>
      <c r="H215" s="4" t="n">
        <f aca="false">COUNTIF(Events!$A$2:$A$397,$A215)</f>
        <v>0</v>
      </c>
      <c r="I215" s="6" t="str">
        <f aca="false" t="array" ref="I215:I215">_xlfn.TEXTJOIN(" | ",TRUE(),IF(Events!$A$2:$A$397=$A215,Events!$E$2:$E$397&amp;IF(Events!$G$2:$G$397="National",""," ["&amp;Events!$G$2:$G$397&amp;"]"),""))</f>
        <v/>
      </c>
    </row>
    <row r="216" customFormat="false" ht="15" hidden="false" customHeight="true" outlineLevel="0" collapsed="false">
      <c r="A216" s="3" t="n">
        <v>45506</v>
      </c>
      <c r="B216" s="4" t="n">
        <f aca="false">YEAR($A216)</f>
        <v>2024</v>
      </c>
      <c r="C216" s="4" t="n">
        <f aca="false">MONTH($A216)</f>
        <v>8</v>
      </c>
      <c r="D216" s="4" t="str">
        <f aca="false">TEXT($A216,"ddd")</f>
        <v>Fri</v>
      </c>
      <c r="E216" s="4" t="n">
        <f aca="false">IF(OR(AND(MONTH($A216)=10,DAY($A216)&gt;=15),MONTH($A216)=11,AND(MONTH($A216)=12,DAY($A216)&lt;=7)),1,0)</f>
        <v>0</v>
      </c>
      <c r="F216" s="4" t="n">
        <f aca="false">IF(MONTH($A216)&lt;=3,1,0)</f>
        <v>0</v>
      </c>
      <c r="G216" s="4" t="str">
        <f aca="false" t="array" ref="G216:G216">_xlfn.TEXTJOIN(" | ",TRUE(),IF('FEMA Disasters'!$F$2:$F$1000=$A216,'FEMA Disasters'!$D$2:$D$1000&amp;" begin: ["&amp;'FEMA Disasters'!$B$2:$B$1000&amp;"] "&amp;'FEMA Disasters'!$C$2:$C$1000&amp;"-"&amp;'FEMA Disasters'!$A$2:$A$1000,""),IF('FEMA Disasters'!$G$2:$G$1000=$A216,'FEMA Disasters'!$D$2:$D$1000&amp;" ended: ["&amp;'FEMA Disasters'!$B$2:$B$1000&amp;"] "&amp;'FEMA Disasters'!$C$2:$C$1000&amp;"-"&amp;'FEMA Disasters'!$A$2:$A$1000,""),IF('FEMA Disasters'!$K$2:$K$1000=$A216,"Disaster SEP opens: "&amp;'FEMA Disasters'!$D$2:$D$1000&amp;" ["&amp;'FEMA Disasters'!$B$2:$B$1000&amp;"] "&amp;'FEMA Disasters'!$C$2:$C$1000&amp;"-"&amp;'FEMA Disasters'!$A$2:$A$1000,""),IF('FEMA Disasters'!$L$2:$L$1000=$A216,"Disaster SEP ended: "&amp;'FEMA Disasters'!$D$2:$D$1000&amp;" ["&amp;'FEMA Disasters'!$B$2:$B$1000&amp;"] "&amp;'FEMA Disasters'!$C$2:$C$1000&amp;"-"&amp;'FEMA Disasters'!$A$2:$A$1000,""))</f>
        <v>Fire begin: [OR] FM-5527 | Fire ended: [UT] FM-5504</v>
      </c>
      <c r="H216" s="4" t="n">
        <f aca="false">COUNTIF(Events!$A$2:$A$397,$A216)</f>
        <v>0</v>
      </c>
      <c r="I216" s="6" t="str">
        <f aca="false" t="array" ref="I216:I216">_xlfn.TEXTJOIN(" | ",TRUE(),IF(Events!$A$2:$A$397=$A216,Events!$E$2:$E$397&amp;IF(Events!$G$2:$G$397="National",""," ["&amp;Events!$G$2:$G$397&amp;"]"),""))</f>
        <v/>
      </c>
    </row>
    <row r="217" customFormat="false" ht="15" hidden="false" customHeight="true" outlineLevel="0" collapsed="false">
      <c r="A217" s="3" t="n">
        <v>45507</v>
      </c>
      <c r="B217" s="4" t="n">
        <f aca="false">YEAR($A217)</f>
        <v>2024</v>
      </c>
      <c r="C217" s="4" t="n">
        <f aca="false">MONTH($A217)</f>
        <v>8</v>
      </c>
      <c r="D217" s="4" t="str">
        <f aca="false">TEXT($A217,"ddd")</f>
        <v>Sat</v>
      </c>
      <c r="E217" s="4" t="n">
        <f aca="false">IF(OR(AND(MONTH($A217)=10,DAY($A217)&gt;=15),MONTH($A217)=11,AND(MONTH($A217)=12,DAY($A217)&lt;=7)),1,0)</f>
        <v>0</v>
      </c>
      <c r="F217" s="4" t="n">
        <f aca="false">IF(MONTH($A217)&lt;=3,1,0)</f>
        <v>0</v>
      </c>
      <c r="G217" s="4" t="str">
        <f aca="false" t="array" ref="G217:G217">_xlfn.TEXTJOIN(" | ",TRUE(),IF('FEMA Disasters'!$F$2:$F$1000=$A217,'FEMA Disasters'!$D$2:$D$1000&amp;" begin: ["&amp;'FEMA Disasters'!$B$2:$B$1000&amp;"] "&amp;'FEMA Disasters'!$C$2:$C$1000&amp;"-"&amp;'FEMA Disasters'!$A$2:$A$1000,""),IF('FEMA Disasters'!$G$2:$G$1000=$A217,'FEMA Disasters'!$D$2:$D$1000&amp;" ended: ["&amp;'FEMA Disasters'!$B$2:$B$1000&amp;"] "&amp;'FEMA Disasters'!$C$2:$C$1000&amp;"-"&amp;'FEMA Disasters'!$A$2:$A$1000,""),IF('FEMA Disasters'!$K$2:$K$1000=$A217,"Disaster SEP opens: "&amp;'FEMA Disasters'!$D$2:$D$1000&amp;" ["&amp;'FEMA Disasters'!$B$2:$B$1000&amp;"] "&amp;'FEMA Disasters'!$C$2:$C$1000&amp;"-"&amp;'FEMA Disasters'!$A$2:$A$1000,""),IF('FEMA Disasters'!$L$2:$L$1000=$A217,"Disaster SEP ended: "&amp;'FEMA Disasters'!$D$2:$D$1000&amp;" ["&amp;'FEMA Disasters'!$B$2:$B$1000&amp;"] "&amp;'FEMA Disasters'!$C$2:$C$1000&amp;"-"&amp;'FEMA Disasters'!$A$2:$A$1000,""))</f>
        <v/>
      </c>
      <c r="H217" s="4" t="n">
        <f aca="false">COUNTIF(Events!$A$2:$A$397,$A217)</f>
        <v>0</v>
      </c>
      <c r="I217" s="6" t="str">
        <f aca="false" t="array" ref="I217:I217">_xlfn.TEXTJOIN(" | ",TRUE(),IF(Events!$A$2:$A$397=$A217,Events!$E$2:$E$397&amp;IF(Events!$G$2:$G$397="National",""," ["&amp;Events!$G$2:$G$397&amp;"]"),""))</f>
        <v/>
      </c>
    </row>
    <row r="218" customFormat="false" ht="15" hidden="false" customHeight="true" outlineLevel="0" collapsed="false">
      <c r="A218" s="3" t="n">
        <v>45508</v>
      </c>
      <c r="B218" s="4" t="n">
        <f aca="false">YEAR($A218)</f>
        <v>2024</v>
      </c>
      <c r="C218" s="4" t="n">
        <f aca="false">MONTH($A218)</f>
        <v>8</v>
      </c>
      <c r="D218" s="4" t="str">
        <f aca="false">TEXT($A218,"ddd")</f>
        <v>Sun</v>
      </c>
      <c r="E218" s="4" t="n">
        <f aca="false">IF(OR(AND(MONTH($A218)=10,DAY($A218)&gt;=15),MONTH($A218)=11,AND(MONTH($A218)=12,DAY($A218)&lt;=7)),1,0)</f>
        <v>0</v>
      </c>
      <c r="F218" s="4" t="n">
        <f aca="false">IF(MONTH($A218)&lt;=3,1,0)</f>
        <v>0</v>
      </c>
      <c r="G218" s="4" t="str">
        <f aca="false" t="array" ref="G218:G218">_xlfn.TEXTJOIN(" | ",TRUE(),IF('FEMA Disasters'!$F$2:$F$1000=$A218,'FEMA Disasters'!$D$2:$D$1000&amp;" begin: ["&amp;'FEMA Disasters'!$B$2:$B$1000&amp;"] "&amp;'FEMA Disasters'!$C$2:$C$1000&amp;"-"&amp;'FEMA Disasters'!$A$2:$A$1000,""),IF('FEMA Disasters'!$G$2:$G$1000=$A218,'FEMA Disasters'!$D$2:$D$1000&amp;" ended: ["&amp;'FEMA Disasters'!$B$2:$B$1000&amp;"] "&amp;'FEMA Disasters'!$C$2:$C$1000&amp;"-"&amp;'FEMA Disasters'!$A$2:$A$1000,""),IF('FEMA Disasters'!$K$2:$K$1000=$A218,"Disaster SEP opens: "&amp;'FEMA Disasters'!$D$2:$D$1000&amp;" ["&amp;'FEMA Disasters'!$B$2:$B$1000&amp;"] "&amp;'FEMA Disasters'!$C$2:$C$1000&amp;"-"&amp;'FEMA Disasters'!$A$2:$A$1000,""),IF('FEMA Disasters'!$L$2:$L$1000=$A218,"Disaster SEP ended: "&amp;'FEMA Disasters'!$D$2:$D$1000&amp;" ["&amp;'FEMA Disasters'!$B$2:$B$1000&amp;"] "&amp;'FEMA Disasters'!$C$2:$C$1000&amp;"-"&amp;'FEMA Disasters'!$A$2:$A$1000,""))</f>
        <v>Tropical Storm begin: [SC] EM-3606 | Tropical Storm begin: [GA] EM-3607 | Tropical Storm begin: [GA] DR-4821 | Tropical Storm begin: [SC] DR-4835 | Fire begin: [OR] FM-5528 | Fire ended: [WY] FM-5523</v>
      </c>
      <c r="H218" s="4" t="n">
        <f aca="false">COUNTIF(Events!$A$2:$A$397,$A218)</f>
        <v>0</v>
      </c>
      <c r="I218" s="6" t="str">
        <f aca="false" t="array" ref="I218:I218">_xlfn.TEXTJOIN(" | ",TRUE(),IF(Events!$A$2:$A$397=$A218,Events!$E$2:$E$397&amp;IF(Events!$G$2:$G$397="National",""," ["&amp;Events!$G$2:$G$397&amp;"]"),""))</f>
        <v/>
      </c>
    </row>
    <row r="219" customFormat="false" ht="15" hidden="false" customHeight="true" outlineLevel="0" collapsed="false">
      <c r="A219" s="3" t="n">
        <v>45509</v>
      </c>
      <c r="B219" s="4" t="n">
        <f aca="false">YEAR($A219)</f>
        <v>2024</v>
      </c>
      <c r="C219" s="4" t="n">
        <f aca="false">MONTH($A219)</f>
        <v>8</v>
      </c>
      <c r="D219" s="4" t="str">
        <f aca="false">TEXT($A219,"ddd")</f>
        <v>Mon</v>
      </c>
      <c r="E219" s="4" t="n">
        <f aca="false">IF(OR(AND(MONTH($A219)=10,DAY($A219)&gt;=15),MONTH($A219)=11,AND(MONTH($A219)=12,DAY($A219)&lt;=7)),1,0)</f>
        <v>0</v>
      </c>
      <c r="F219" s="4" t="n">
        <f aca="false">IF(MONTH($A219)&lt;=3,1,0)</f>
        <v>0</v>
      </c>
      <c r="G219" s="4" t="str">
        <f aca="false" t="array" ref="G219:G219">_xlfn.TEXTJOIN(" | ",TRUE(),IF('FEMA Disasters'!$F$2:$F$1000=$A219,'FEMA Disasters'!$D$2:$D$1000&amp;" begin: ["&amp;'FEMA Disasters'!$B$2:$B$1000&amp;"] "&amp;'FEMA Disasters'!$C$2:$C$1000&amp;"-"&amp;'FEMA Disasters'!$A$2:$A$1000,""),IF('FEMA Disasters'!$G$2:$G$1000=$A219,'FEMA Disasters'!$D$2:$D$1000&amp;" ended: ["&amp;'FEMA Disasters'!$B$2:$B$1000&amp;"] "&amp;'FEMA Disasters'!$C$2:$C$1000&amp;"-"&amp;'FEMA Disasters'!$A$2:$A$1000,""),IF('FEMA Disasters'!$K$2:$K$1000=$A219,"Disaster SEP opens: "&amp;'FEMA Disasters'!$D$2:$D$1000&amp;" ["&amp;'FEMA Disasters'!$B$2:$B$1000&amp;"] "&amp;'FEMA Disasters'!$C$2:$C$1000&amp;"-"&amp;'FEMA Disasters'!$A$2:$A$1000,""),IF('FEMA Disasters'!$L$2:$L$1000=$A219,"Disaster SEP ended: "&amp;'FEMA Disasters'!$D$2:$D$1000&amp;" ["&amp;'FEMA Disasters'!$B$2:$B$1000&amp;"] "&amp;'FEMA Disasters'!$C$2:$C$1000&amp;"-"&amp;'FEMA Disasters'!$A$2:$A$1000,""))</f>
        <v>Tropical Storm begin: [NC] EM-3608 | Flood begin: [AK] DR-4836</v>
      </c>
      <c r="H219" s="4" t="n">
        <f aca="false">COUNTIF(Events!$A$2:$A$397,$A219)</f>
        <v>0</v>
      </c>
      <c r="I219" s="6" t="str">
        <f aca="false" t="array" ref="I219:I219">_xlfn.TEXTJOIN(" | ",TRUE(),IF(Events!$A$2:$A$397=$A219,Events!$E$2:$E$397&amp;IF(Events!$G$2:$G$397="National",""," ["&amp;Events!$G$2:$G$397&amp;"]"),""))</f>
        <v/>
      </c>
    </row>
    <row r="220" customFormat="false" ht="15" hidden="false" customHeight="true" outlineLevel="0" collapsed="false">
      <c r="A220" s="3" t="n">
        <v>45510</v>
      </c>
      <c r="B220" s="4" t="n">
        <f aca="false">YEAR($A220)</f>
        <v>2024</v>
      </c>
      <c r="C220" s="4" t="n">
        <f aca="false">MONTH($A220)</f>
        <v>8</v>
      </c>
      <c r="D220" s="4" t="str">
        <f aca="false">TEXT($A220,"ddd")</f>
        <v>Tue</v>
      </c>
      <c r="E220" s="4" t="n">
        <f aca="false">IF(OR(AND(MONTH($A220)=10,DAY($A220)&gt;=15),MONTH($A220)=11,AND(MONTH($A220)=12,DAY($A220)&lt;=7)),1,0)</f>
        <v>0</v>
      </c>
      <c r="F220" s="4" t="n">
        <f aca="false">IF(MONTH($A220)&lt;=3,1,0)</f>
        <v>0</v>
      </c>
      <c r="G220" s="4" t="str">
        <f aca="false" t="array" ref="G220:G220">_xlfn.TEXTJOIN(" | ",TRUE(),IF('FEMA Disasters'!$F$2:$F$1000=$A220,'FEMA Disasters'!$D$2:$D$1000&amp;" begin: ["&amp;'FEMA Disasters'!$B$2:$B$1000&amp;"] "&amp;'FEMA Disasters'!$C$2:$C$1000&amp;"-"&amp;'FEMA Disasters'!$A$2:$A$1000,""),IF('FEMA Disasters'!$G$2:$G$1000=$A220,'FEMA Disasters'!$D$2:$D$1000&amp;" ended: ["&amp;'FEMA Disasters'!$B$2:$B$1000&amp;"] "&amp;'FEMA Disasters'!$C$2:$C$1000&amp;"-"&amp;'FEMA Disasters'!$A$2:$A$1000,""),IF('FEMA Disasters'!$K$2:$K$1000=$A220,"Disaster SEP opens: "&amp;'FEMA Disasters'!$D$2:$D$1000&amp;" ["&amp;'FEMA Disasters'!$B$2:$B$1000&amp;"] "&amp;'FEMA Disasters'!$C$2:$C$1000&amp;"-"&amp;'FEMA Disasters'!$A$2:$A$1000,""),IF('FEMA Disasters'!$L$2:$L$1000=$A220,"Disaster SEP ended: "&amp;'FEMA Disasters'!$D$2:$D$1000&amp;" ["&amp;'FEMA Disasters'!$B$2:$B$1000&amp;"] "&amp;'FEMA Disasters'!$C$2:$C$1000&amp;"-"&amp;'FEMA Disasters'!$A$2:$A$1000,""))</f>
        <v>Severe Storm begin: [MT] DR-4847 | Flood ended: [AK] DR-4836 | Severe Storm ended: [MT] DR-4847</v>
      </c>
      <c r="H220" s="4" t="n">
        <f aca="false">COUNTIF(Events!$A$2:$A$397,$A220)</f>
        <v>0</v>
      </c>
      <c r="I220" s="6" t="str">
        <f aca="false" t="array" ref="I220:I220">_xlfn.TEXTJOIN(" | ",TRUE(),IF(Events!$A$2:$A$397=$A220,Events!$E$2:$E$397&amp;IF(Events!$G$2:$G$397="National",""," ["&amp;Events!$G$2:$G$397&amp;"]"),""))</f>
        <v/>
      </c>
    </row>
    <row r="221" customFormat="false" ht="15" hidden="false" customHeight="true" outlineLevel="0" collapsed="false">
      <c r="A221" s="3" t="n">
        <v>45511</v>
      </c>
      <c r="B221" s="4" t="n">
        <f aca="false">YEAR($A221)</f>
        <v>2024</v>
      </c>
      <c r="C221" s="4" t="n">
        <f aca="false">MONTH($A221)</f>
        <v>8</v>
      </c>
      <c r="D221" s="4" t="str">
        <f aca="false">TEXT($A221,"ddd")</f>
        <v>Wed</v>
      </c>
      <c r="E221" s="4" t="n">
        <f aca="false">IF(OR(AND(MONTH($A221)=10,DAY($A221)&gt;=15),MONTH($A221)=11,AND(MONTH($A221)=12,DAY($A221)&lt;=7)),1,0)</f>
        <v>0</v>
      </c>
      <c r="F221" s="4" t="n">
        <f aca="false">IF(MONTH($A221)&lt;=3,1,0)</f>
        <v>0</v>
      </c>
      <c r="G221" s="4" t="str">
        <f aca="false" t="array" ref="G221:G221">_xlfn.TEXTJOIN(" | ",TRUE(),IF('FEMA Disasters'!$F$2:$F$1000=$A221,'FEMA Disasters'!$D$2:$D$1000&amp;" begin: ["&amp;'FEMA Disasters'!$B$2:$B$1000&amp;"] "&amp;'FEMA Disasters'!$C$2:$C$1000&amp;"-"&amp;'FEMA Disasters'!$A$2:$A$1000,""),IF('FEMA Disasters'!$G$2:$G$1000=$A221,'FEMA Disasters'!$D$2:$D$1000&amp;" ended: ["&amp;'FEMA Disasters'!$B$2:$B$1000&amp;"] "&amp;'FEMA Disasters'!$C$2:$C$1000&amp;"-"&amp;'FEMA Disasters'!$A$2:$A$1000,""),IF('FEMA Disasters'!$K$2:$K$1000=$A221,"Disaster SEP opens: "&amp;'FEMA Disasters'!$D$2:$D$1000&amp;" ["&amp;'FEMA Disasters'!$B$2:$B$1000&amp;"] "&amp;'FEMA Disasters'!$C$2:$C$1000&amp;"-"&amp;'FEMA Disasters'!$A$2:$A$1000,""),IF('FEMA Disasters'!$L$2:$L$1000=$A221,"Disaster SEP ended: "&amp;'FEMA Disasters'!$D$2:$D$1000&amp;" ["&amp;'FEMA Disasters'!$B$2:$B$1000&amp;"] "&amp;'FEMA Disasters'!$C$2:$C$1000&amp;"-"&amp;'FEMA Disasters'!$A$2:$A$1000,""))</f>
        <v>Fire ended: [CO] FM-5526</v>
      </c>
      <c r="H221" s="4" t="n">
        <f aca="false">COUNTIF(Events!$A$2:$A$397,$A221)</f>
        <v>0</v>
      </c>
      <c r="I221" s="6" t="str">
        <f aca="false" t="array" ref="I221:I221">_xlfn.TEXTJOIN(" | ",TRUE(),IF(Events!$A$2:$A$397=$A221,Events!$E$2:$E$397&amp;IF(Events!$G$2:$G$397="National",""," ["&amp;Events!$G$2:$G$397&amp;"]"),""))</f>
        <v/>
      </c>
    </row>
    <row r="222" customFormat="false" ht="15" hidden="false" customHeight="true" outlineLevel="0" collapsed="false">
      <c r="A222" s="3" t="n">
        <v>45512</v>
      </c>
      <c r="B222" s="4" t="n">
        <f aca="false">YEAR($A222)</f>
        <v>2024</v>
      </c>
      <c r="C222" s="4" t="n">
        <f aca="false">MONTH($A222)</f>
        <v>8</v>
      </c>
      <c r="D222" s="4" t="str">
        <f aca="false">TEXT($A222,"ddd")</f>
        <v>Thu</v>
      </c>
      <c r="E222" s="4" t="n">
        <f aca="false">IF(OR(AND(MONTH($A222)=10,DAY($A222)&gt;=15),MONTH($A222)=11,AND(MONTH($A222)=12,DAY($A222)&lt;=7)),1,0)</f>
        <v>0</v>
      </c>
      <c r="F222" s="4" t="n">
        <f aca="false">IF(MONTH($A222)&lt;=3,1,0)</f>
        <v>0</v>
      </c>
      <c r="G222" s="4" t="str">
        <f aca="false" t="array" ref="G222:G222">_xlfn.TEXTJOIN(" | ",TRUE(),IF('FEMA Disasters'!$F$2:$F$1000=$A222,'FEMA Disasters'!$D$2:$D$1000&amp;" begin: ["&amp;'FEMA Disasters'!$B$2:$B$1000&amp;"] "&amp;'FEMA Disasters'!$C$2:$C$1000&amp;"-"&amp;'FEMA Disasters'!$A$2:$A$1000,""),IF('FEMA Disasters'!$G$2:$G$1000=$A222,'FEMA Disasters'!$D$2:$D$1000&amp;" ended: ["&amp;'FEMA Disasters'!$B$2:$B$1000&amp;"] "&amp;'FEMA Disasters'!$C$2:$C$1000&amp;"-"&amp;'FEMA Disasters'!$A$2:$A$1000,""),IF('FEMA Disasters'!$K$2:$K$1000=$A222,"Disaster SEP opens: "&amp;'FEMA Disasters'!$D$2:$D$1000&amp;" ["&amp;'FEMA Disasters'!$B$2:$B$1000&amp;"] "&amp;'FEMA Disasters'!$C$2:$C$1000&amp;"-"&amp;'FEMA Disasters'!$A$2:$A$1000,""),IF('FEMA Disasters'!$L$2:$L$1000=$A222,"Disaster SEP ended: "&amp;'FEMA Disasters'!$D$2:$D$1000&amp;" ["&amp;'FEMA Disasters'!$B$2:$B$1000&amp;"] "&amp;'FEMA Disasters'!$C$2:$C$1000&amp;"-"&amp;'FEMA Disasters'!$A$2:$A$1000,""))</f>
        <v>Tropical Storm begin: [VT] EM-3609 | Tropical Storm begin: [NY] DR-4818 | Tropical Storm begin: [NY] DR-4825 | Fire begin: [OR] FM-5529</v>
      </c>
      <c r="H222" s="4" t="n">
        <f aca="false">COUNTIF(Events!$A$2:$A$397,$A222)</f>
        <v>0</v>
      </c>
      <c r="I222" s="6" t="str">
        <f aca="false" t="array" ref="I222:I222">_xlfn.TEXTJOIN(" | ",TRUE(),IF(Events!$A$2:$A$397=$A222,Events!$E$2:$E$397&amp;IF(Events!$G$2:$G$397="National",""," ["&amp;Events!$G$2:$G$397&amp;"]"),""))</f>
        <v/>
      </c>
    </row>
    <row r="223" customFormat="false" ht="15" hidden="false" customHeight="true" outlineLevel="0" collapsed="false">
      <c r="A223" s="3" t="n">
        <v>45513</v>
      </c>
      <c r="B223" s="4" t="n">
        <f aca="false">YEAR($A223)</f>
        <v>2024</v>
      </c>
      <c r="C223" s="4" t="n">
        <f aca="false">MONTH($A223)</f>
        <v>8</v>
      </c>
      <c r="D223" s="4" t="str">
        <f aca="false">TEXT($A223,"ddd")</f>
        <v>Fri</v>
      </c>
      <c r="E223" s="4" t="n">
        <f aca="false">IF(OR(AND(MONTH($A223)=10,DAY($A223)&gt;=15),MONTH($A223)=11,AND(MONTH($A223)=12,DAY($A223)&lt;=7)),1,0)</f>
        <v>0</v>
      </c>
      <c r="F223" s="4" t="n">
        <f aca="false">IF(MONTH($A223)&lt;=3,1,0)</f>
        <v>0</v>
      </c>
      <c r="G223" s="4" t="str">
        <f aca="false" t="array" ref="G223:G223">_xlfn.TEXTJOIN(" | ",TRUE(),IF('FEMA Disasters'!$F$2:$F$1000=$A223,'FEMA Disasters'!$D$2:$D$1000&amp;" begin: ["&amp;'FEMA Disasters'!$B$2:$B$1000&amp;"] "&amp;'FEMA Disasters'!$C$2:$C$1000&amp;"-"&amp;'FEMA Disasters'!$A$2:$A$1000,""),IF('FEMA Disasters'!$G$2:$G$1000=$A223,'FEMA Disasters'!$D$2:$D$1000&amp;" ended: ["&amp;'FEMA Disasters'!$B$2:$B$1000&amp;"] "&amp;'FEMA Disasters'!$C$2:$C$1000&amp;"-"&amp;'FEMA Disasters'!$A$2:$A$1000,""),IF('FEMA Disasters'!$K$2:$K$1000=$A223,"Disaster SEP opens: "&amp;'FEMA Disasters'!$D$2:$D$1000&amp;" ["&amp;'FEMA Disasters'!$B$2:$B$1000&amp;"] "&amp;'FEMA Disasters'!$C$2:$C$1000&amp;"-"&amp;'FEMA Disasters'!$A$2:$A$1000,""),IF('FEMA Disasters'!$L$2:$L$1000=$A223,"Disaster SEP ended: "&amp;'FEMA Disasters'!$D$2:$D$1000&amp;" ["&amp;'FEMA Disasters'!$B$2:$B$1000&amp;"] "&amp;'FEMA Disasters'!$C$2:$C$1000&amp;"-"&amp;'FEMA Disasters'!$A$2:$A$1000,""))</f>
        <v>Tropical Storm begin: [PA] DR-4815 | Fire ended: [ID] FM-5520 | Fire ended: [CO] FM-5524</v>
      </c>
      <c r="H223" s="4" t="n">
        <f aca="false">COUNTIF(Events!$A$2:$A$397,$A223)</f>
        <v>0</v>
      </c>
      <c r="I223" s="6" t="str">
        <f aca="false" t="array" ref="I223:I223">_xlfn.TEXTJOIN(" | ",TRUE(),IF(Events!$A$2:$A$397=$A223,Events!$E$2:$E$397&amp;IF(Events!$G$2:$G$397="National",""," ["&amp;Events!$G$2:$G$397&amp;"]"),""))</f>
        <v/>
      </c>
    </row>
    <row r="224" customFormat="false" ht="15" hidden="false" customHeight="true" outlineLevel="0" collapsed="false">
      <c r="A224" s="3" t="n">
        <v>45514</v>
      </c>
      <c r="B224" s="4" t="n">
        <f aca="false">YEAR($A224)</f>
        <v>2024</v>
      </c>
      <c r="C224" s="4" t="n">
        <f aca="false">MONTH($A224)</f>
        <v>8</v>
      </c>
      <c r="D224" s="4" t="str">
        <f aca="false">TEXT($A224,"ddd")</f>
        <v>Sat</v>
      </c>
      <c r="E224" s="4" t="n">
        <f aca="false">IF(OR(AND(MONTH($A224)=10,DAY($A224)&gt;=15),MONTH($A224)=11,AND(MONTH($A224)=12,DAY($A224)&lt;=7)),1,0)</f>
        <v>0</v>
      </c>
      <c r="F224" s="4" t="n">
        <f aca="false">IF(MONTH($A224)&lt;=3,1,0)</f>
        <v>0</v>
      </c>
      <c r="G224" s="4" t="str">
        <f aca="false" t="array" ref="G224:G224">_xlfn.TEXTJOIN(" | ",TRUE(),IF('FEMA Disasters'!$F$2:$F$1000=$A224,'FEMA Disasters'!$D$2:$D$1000&amp;" begin: ["&amp;'FEMA Disasters'!$B$2:$B$1000&amp;"] "&amp;'FEMA Disasters'!$C$2:$C$1000&amp;"-"&amp;'FEMA Disasters'!$A$2:$A$1000,""),IF('FEMA Disasters'!$G$2:$G$1000=$A224,'FEMA Disasters'!$D$2:$D$1000&amp;" ended: ["&amp;'FEMA Disasters'!$B$2:$B$1000&amp;"] "&amp;'FEMA Disasters'!$C$2:$C$1000&amp;"-"&amp;'FEMA Disasters'!$A$2:$A$1000,""),IF('FEMA Disasters'!$K$2:$K$1000=$A224,"Disaster SEP opens: "&amp;'FEMA Disasters'!$D$2:$D$1000&amp;" ["&amp;'FEMA Disasters'!$B$2:$B$1000&amp;"] "&amp;'FEMA Disasters'!$C$2:$C$1000&amp;"-"&amp;'FEMA Disasters'!$A$2:$A$1000,""),IF('FEMA Disasters'!$L$2:$L$1000=$A224,"Disaster SEP ended: "&amp;'FEMA Disasters'!$D$2:$D$1000&amp;" ["&amp;'FEMA Disasters'!$B$2:$B$1000&amp;"] "&amp;'FEMA Disasters'!$C$2:$C$1000&amp;"-"&amp;'FEMA Disasters'!$A$2:$A$1000,""))</f>
        <v>Fire ended: [CA] FM-5522 | Tropical Storm ended: [VT] EM-3609 | Tropical Storm ended: [NY] DR-4818 | Tropical Storm ended: [NY] DR-4825 | Tropical Storm ended: [PA] DR-4815</v>
      </c>
      <c r="H224" s="4" t="n">
        <f aca="false">COUNTIF(Events!$A$2:$A$397,$A224)</f>
        <v>0</v>
      </c>
      <c r="I224" s="6" t="str">
        <f aca="false" t="array" ref="I224:I224">_xlfn.TEXTJOIN(" | ",TRUE(),IF(Events!$A$2:$A$397=$A224,Events!$E$2:$E$397&amp;IF(Events!$G$2:$G$397="National",""," ["&amp;Events!$G$2:$G$397&amp;"]"),""))</f>
        <v/>
      </c>
    </row>
    <row r="225" customFormat="false" ht="15" hidden="false" customHeight="true" outlineLevel="0" collapsed="false">
      <c r="A225" s="3" t="n">
        <v>45515</v>
      </c>
      <c r="B225" s="4" t="n">
        <f aca="false">YEAR($A225)</f>
        <v>2024</v>
      </c>
      <c r="C225" s="4" t="n">
        <f aca="false">MONTH($A225)</f>
        <v>8</v>
      </c>
      <c r="D225" s="4" t="str">
        <f aca="false">TEXT($A225,"ddd")</f>
        <v>Sun</v>
      </c>
      <c r="E225" s="4" t="n">
        <f aca="false">IF(OR(AND(MONTH($A225)=10,DAY($A225)&gt;=15),MONTH($A225)=11,AND(MONTH($A225)=12,DAY($A225)&lt;=7)),1,0)</f>
        <v>0</v>
      </c>
      <c r="F225" s="4" t="n">
        <f aca="false">IF(MONTH($A225)&lt;=3,1,0)</f>
        <v>0</v>
      </c>
      <c r="G225" s="4" t="str">
        <f aca="false" t="array" ref="G225:G225">_xlfn.TEXTJOIN(" | ",TRUE(),IF('FEMA Disasters'!$F$2:$F$1000=$A225,'FEMA Disasters'!$D$2:$D$1000&amp;" begin: ["&amp;'FEMA Disasters'!$B$2:$B$1000&amp;"] "&amp;'FEMA Disasters'!$C$2:$C$1000&amp;"-"&amp;'FEMA Disasters'!$A$2:$A$1000,""),IF('FEMA Disasters'!$G$2:$G$1000=$A225,'FEMA Disasters'!$D$2:$D$1000&amp;" ended: ["&amp;'FEMA Disasters'!$B$2:$B$1000&amp;"] "&amp;'FEMA Disasters'!$C$2:$C$1000&amp;"-"&amp;'FEMA Disasters'!$A$2:$A$1000,""),IF('FEMA Disasters'!$K$2:$K$1000=$A225,"Disaster SEP opens: "&amp;'FEMA Disasters'!$D$2:$D$1000&amp;" ["&amp;'FEMA Disasters'!$B$2:$B$1000&amp;"] "&amp;'FEMA Disasters'!$C$2:$C$1000&amp;"-"&amp;'FEMA Disasters'!$A$2:$A$1000,""),IF('FEMA Disasters'!$L$2:$L$1000=$A225,"Disaster SEP ended: "&amp;'FEMA Disasters'!$D$2:$D$1000&amp;" ["&amp;'FEMA Disasters'!$B$2:$B$1000&amp;"] "&amp;'FEMA Disasters'!$C$2:$C$1000&amp;"-"&amp;'FEMA Disasters'!$A$2:$A$1000,""))</f>
        <v>Fire begin: [NV] FM-5530</v>
      </c>
      <c r="H225" s="4" t="n">
        <f aca="false">COUNTIF(Events!$A$2:$A$397,$A225)</f>
        <v>0</v>
      </c>
      <c r="I225" s="6" t="str">
        <f aca="false" t="array" ref="I225:I225">_xlfn.TEXTJOIN(" | ",TRUE(),IF(Events!$A$2:$A$397=$A225,Events!$E$2:$E$397&amp;IF(Events!$G$2:$G$397="National",""," ["&amp;Events!$G$2:$G$397&amp;"]"),""))</f>
        <v/>
      </c>
    </row>
    <row r="226" customFormat="false" ht="15" hidden="false" customHeight="true" outlineLevel="0" collapsed="false">
      <c r="A226" s="3" t="n">
        <v>45516</v>
      </c>
      <c r="B226" s="4" t="n">
        <f aca="false">YEAR($A226)</f>
        <v>2024</v>
      </c>
      <c r="C226" s="4" t="n">
        <f aca="false">MONTH($A226)</f>
        <v>8</v>
      </c>
      <c r="D226" s="4" t="str">
        <f aca="false">TEXT($A226,"ddd")</f>
        <v>Mon</v>
      </c>
      <c r="E226" s="4" t="n">
        <f aca="false">IF(OR(AND(MONTH($A226)=10,DAY($A226)&gt;=15),MONTH($A226)=11,AND(MONTH($A226)=12,DAY($A226)&lt;=7)),1,0)</f>
        <v>0</v>
      </c>
      <c r="F226" s="4" t="n">
        <f aca="false">IF(MONTH($A226)&lt;=3,1,0)</f>
        <v>0</v>
      </c>
      <c r="G226" s="4" t="str">
        <f aca="false" t="array" ref="G226:G226">_xlfn.TEXTJOIN(" | ",TRUE(),IF('FEMA Disasters'!$F$2:$F$1000=$A226,'FEMA Disasters'!$D$2:$D$1000&amp;" begin: ["&amp;'FEMA Disasters'!$B$2:$B$1000&amp;"] "&amp;'FEMA Disasters'!$C$2:$C$1000&amp;"-"&amp;'FEMA Disasters'!$A$2:$A$1000,""),IF('FEMA Disasters'!$G$2:$G$1000=$A226,'FEMA Disasters'!$D$2:$D$1000&amp;" ended: ["&amp;'FEMA Disasters'!$B$2:$B$1000&amp;"] "&amp;'FEMA Disasters'!$C$2:$C$1000&amp;"-"&amp;'FEMA Disasters'!$A$2:$A$1000,""),IF('FEMA Disasters'!$K$2:$K$1000=$A226,"Disaster SEP opens: "&amp;'FEMA Disasters'!$D$2:$D$1000&amp;" ["&amp;'FEMA Disasters'!$B$2:$B$1000&amp;"] "&amp;'FEMA Disasters'!$C$2:$C$1000&amp;"-"&amp;'FEMA Disasters'!$A$2:$A$1000,""),IF('FEMA Disasters'!$L$2:$L$1000=$A226,"Disaster SEP ended: "&amp;'FEMA Disasters'!$D$2:$D$1000&amp;" ["&amp;'FEMA Disasters'!$B$2:$B$1000&amp;"] "&amp;'FEMA Disasters'!$C$2:$C$1000&amp;"-"&amp;'FEMA Disasters'!$A$2:$A$1000,""))</f>
        <v/>
      </c>
      <c r="H226" s="4" t="n">
        <f aca="false">COUNTIF(Events!$A$2:$A$397,$A226)</f>
        <v>0</v>
      </c>
      <c r="I226" s="6" t="str">
        <f aca="false" t="array" ref="I226:I226">_xlfn.TEXTJOIN(" | ",TRUE(),IF(Events!$A$2:$A$397=$A226,Events!$E$2:$E$397&amp;IF(Events!$G$2:$G$397="National",""," ["&amp;Events!$G$2:$G$397&amp;"]"),""))</f>
        <v/>
      </c>
    </row>
    <row r="227" customFormat="false" ht="15" hidden="false" customHeight="true" outlineLevel="0" collapsed="false">
      <c r="A227" s="3" t="n">
        <v>45517</v>
      </c>
      <c r="B227" s="4" t="n">
        <f aca="false">YEAR($A227)</f>
        <v>2024</v>
      </c>
      <c r="C227" s="4" t="n">
        <f aca="false">MONTH($A227)</f>
        <v>8</v>
      </c>
      <c r="D227" s="4" t="str">
        <f aca="false">TEXT($A227,"ddd")</f>
        <v>Tue</v>
      </c>
      <c r="E227" s="4" t="n">
        <f aca="false">IF(OR(AND(MONTH($A227)=10,DAY($A227)&gt;=15),MONTH($A227)=11,AND(MONTH($A227)=12,DAY($A227)&lt;=7)),1,0)</f>
        <v>0</v>
      </c>
      <c r="F227" s="4" t="n">
        <f aca="false">IF(MONTH($A227)&lt;=3,1,0)</f>
        <v>0</v>
      </c>
      <c r="G227" s="4" t="str">
        <f aca="false" t="array" ref="G227:G227">_xlfn.TEXTJOIN(" | ",TRUE(),IF('FEMA Disasters'!$F$2:$F$1000=$A227,'FEMA Disasters'!$D$2:$D$1000&amp;" begin: ["&amp;'FEMA Disasters'!$B$2:$B$1000&amp;"] "&amp;'FEMA Disasters'!$C$2:$C$1000&amp;"-"&amp;'FEMA Disasters'!$A$2:$A$1000,""),IF('FEMA Disasters'!$G$2:$G$1000=$A227,'FEMA Disasters'!$D$2:$D$1000&amp;" ended: ["&amp;'FEMA Disasters'!$B$2:$B$1000&amp;"] "&amp;'FEMA Disasters'!$C$2:$C$1000&amp;"-"&amp;'FEMA Disasters'!$A$2:$A$1000,""),IF('FEMA Disasters'!$K$2:$K$1000=$A227,"Disaster SEP opens: "&amp;'FEMA Disasters'!$D$2:$D$1000&amp;" ["&amp;'FEMA Disasters'!$B$2:$B$1000&amp;"] "&amp;'FEMA Disasters'!$C$2:$C$1000&amp;"-"&amp;'FEMA Disasters'!$A$2:$A$1000,""),IF('FEMA Disasters'!$L$2:$L$1000=$A227,"Disaster SEP ended: "&amp;'FEMA Disasters'!$D$2:$D$1000&amp;" ["&amp;'FEMA Disasters'!$B$2:$B$1000&amp;"] "&amp;'FEMA Disasters'!$C$2:$C$1000&amp;"-"&amp;'FEMA Disasters'!$A$2:$A$1000,""))</f>
        <v>Severe Storm begin: [PR] EM-3610 | Tropical Storm begin: [VI] EM-3611 | Tropical Storm begin: [VI] DR-4841 | Tropical Storm begin: [PR] DR-4850 | Fire ended: [NV] FM-5530</v>
      </c>
      <c r="H227" s="4" t="n">
        <f aca="false">COUNTIF(Events!$A$2:$A$397,$A227)</f>
        <v>0</v>
      </c>
      <c r="I227" s="6" t="str">
        <f aca="false" t="array" ref="I227:I227">_xlfn.TEXTJOIN(" | ",TRUE(),IF(Events!$A$2:$A$397=$A227,Events!$E$2:$E$397&amp;IF(Events!$G$2:$G$397="National",""," ["&amp;Events!$G$2:$G$397&amp;"]"),""))</f>
        <v/>
      </c>
    </row>
    <row r="228" customFormat="false" ht="15" hidden="false" customHeight="true" outlineLevel="0" collapsed="false">
      <c r="A228" s="3" t="n">
        <v>45518</v>
      </c>
      <c r="B228" s="4" t="n">
        <f aca="false">YEAR($A228)</f>
        <v>2024</v>
      </c>
      <c r="C228" s="4" t="n">
        <f aca="false">MONTH($A228)</f>
        <v>8</v>
      </c>
      <c r="D228" s="4" t="str">
        <f aca="false">TEXT($A228,"ddd")</f>
        <v>Wed</v>
      </c>
      <c r="E228" s="4" t="n">
        <f aca="false">IF(OR(AND(MONTH($A228)=10,DAY($A228)&gt;=15),MONTH($A228)=11,AND(MONTH($A228)=12,DAY($A228)&lt;=7)),1,0)</f>
        <v>0</v>
      </c>
      <c r="F228" s="4" t="n">
        <f aca="false">IF(MONTH($A228)&lt;=3,1,0)</f>
        <v>0</v>
      </c>
      <c r="G228" s="4" t="str">
        <f aca="false" t="array" ref="G228:G228">_xlfn.TEXTJOIN(" | ",TRUE(),IF('FEMA Disasters'!$F$2:$F$1000=$A228,'FEMA Disasters'!$D$2:$D$1000&amp;" begin: ["&amp;'FEMA Disasters'!$B$2:$B$1000&amp;"] "&amp;'FEMA Disasters'!$C$2:$C$1000&amp;"-"&amp;'FEMA Disasters'!$A$2:$A$1000,""),IF('FEMA Disasters'!$G$2:$G$1000=$A228,'FEMA Disasters'!$D$2:$D$1000&amp;" ended: ["&amp;'FEMA Disasters'!$B$2:$B$1000&amp;"] "&amp;'FEMA Disasters'!$C$2:$C$1000&amp;"-"&amp;'FEMA Disasters'!$A$2:$A$1000,""),IF('FEMA Disasters'!$K$2:$K$1000=$A228,"Disaster SEP opens: "&amp;'FEMA Disasters'!$D$2:$D$1000&amp;" ["&amp;'FEMA Disasters'!$B$2:$B$1000&amp;"] "&amp;'FEMA Disasters'!$C$2:$C$1000&amp;"-"&amp;'FEMA Disasters'!$A$2:$A$1000,""),IF('FEMA Disasters'!$L$2:$L$1000=$A228,"Disaster SEP ended: "&amp;'FEMA Disasters'!$D$2:$D$1000&amp;" ["&amp;'FEMA Disasters'!$B$2:$B$1000&amp;"] "&amp;'FEMA Disasters'!$C$2:$C$1000&amp;"-"&amp;'FEMA Disasters'!$A$2:$A$1000,""))</f>
        <v/>
      </c>
      <c r="H228" s="4" t="n">
        <f aca="false">COUNTIF(Events!$A$2:$A$397,$A228)</f>
        <v>0</v>
      </c>
      <c r="I228" s="6" t="str">
        <f aca="false" t="array" ref="I228:I228">_xlfn.TEXTJOIN(" | ",TRUE(),IF(Events!$A$2:$A$397=$A228,Events!$E$2:$E$397&amp;IF(Events!$G$2:$G$397="National",""," ["&amp;Events!$G$2:$G$397&amp;"]"),""))</f>
        <v/>
      </c>
    </row>
    <row r="229" customFormat="false" ht="15" hidden="false" customHeight="true" outlineLevel="0" collapsed="false">
      <c r="A229" s="3" t="n">
        <v>45519</v>
      </c>
      <c r="B229" s="4" t="n">
        <f aca="false">YEAR($A229)</f>
        <v>2024</v>
      </c>
      <c r="C229" s="4" t="n">
        <f aca="false">MONTH($A229)</f>
        <v>8</v>
      </c>
      <c r="D229" s="4" t="str">
        <f aca="false">TEXT($A229,"ddd")</f>
        <v>Thu</v>
      </c>
      <c r="E229" s="4" t="n">
        <f aca="false">IF(OR(AND(MONTH($A229)=10,DAY($A229)&gt;=15),MONTH($A229)=11,AND(MONTH($A229)=12,DAY($A229)&lt;=7)),1,0)</f>
        <v>0</v>
      </c>
      <c r="F229" s="4" t="n">
        <f aca="false">IF(MONTH($A229)&lt;=3,1,0)</f>
        <v>0</v>
      </c>
      <c r="G229" s="4" t="str">
        <f aca="false" t="array" ref="G229:G229">_xlfn.TEXTJOIN(" | ",TRUE(),IF('FEMA Disasters'!$F$2:$F$1000=$A229,'FEMA Disasters'!$D$2:$D$1000&amp;" begin: ["&amp;'FEMA Disasters'!$B$2:$B$1000&amp;"] "&amp;'FEMA Disasters'!$C$2:$C$1000&amp;"-"&amp;'FEMA Disasters'!$A$2:$A$1000,""),IF('FEMA Disasters'!$G$2:$G$1000=$A229,'FEMA Disasters'!$D$2:$D$1000&amp;" ended: ["&amp;'FEMA Disasters'!$B$2:$B$1000&amp;"] "&amp;'FEMA Disasters'!$C$2:$C$1000&amp;"-"&amp;'FEMA Disasters'!$A$2:$A$1000,""),IF('FEMA Disasters'!$K$2:$K$1000=$A229,"Disaster SEP opens: "&amp;'FEMA Disasters'!$D$2:$D$1000&amp;" ["&amp;'FEMA Disasters'!$B$2:$B$1000&amp;"] "&amp;'FEMA Disasters'!$C$2:$C$1000&amp;"-"&amp;'FEMA Disasters'!$A$2:$A$1000,""),IF('FEMA Disasters'!$L$2:$L$1000=$A229,"Disaster SEP ended: "&amp;'FEMA Disasters'!$D$2:$D$1000&amp;" ["&amp;'FEMA Disasters'!$B$2:$B$1000&amp;"] "&amp;'FEMA Disasters'!$C$2:$C$1000&amp;"-"&amp;'FEMA Disasters'!$A$2:$A$1000,""))</f>
        <v>Severe Storm begin: [AK] DR-4857</v>
      </c>
      <c r="H229" s="4" t="n">
        <f aca="false">COUNTIF(Events!$A$2:$A$397,$A229)</f>
        <v>1</v>
      </c>
      <c r="I229" s="6" t="str">
        <f aca="false" t="array" ref="I229:I229">_xlfn.TEXTJOIN(" | ",TRUE(),IF(Events!$A$2:$A$397=$A229,Events!$E$2:$E$397&amp;IF(Events!$G$2:$G$397="National",""," ["&amp;Events!$G$2:$G$397&amp;"]"),""))</f>
        <v>CMS publishes negotiated maximum fair prices (MFPs) for the first 10 Part D drugs (effective 1/1/2026)</v>
      </c>
    </row>
    <row r="230" customFormat="false" ht="15" hidden="false" customHeight="true" outlineLevel="0" collapsed="false">
      <c r="A230" s="3" t="n">
        <v>45520</v>
      </c>
      <c r="B230" s="4" t="n">
        <f aca="false">YEAR($A230)</f>
        <v>2024</v>
      </c>
      <c r="C230" s="4" t="n">
        <f aca="false">MONTH($A230)</f>
        <v>8</v>
      </c>
      <c r="D230" s="4" t="str">
        <f aca="false">TEXT($A230,"ddd")</f>
        <v>Fri</v>
      </c>
      <c r="E230" s="4" t="n">
        <f aca="false">IF(OR(AND(MONTH($A230)=10,DAY($A230)&gt;=15),MONTH($A230)=11,AND(MONTH($A230)=12,DAY($A230)&lt;=7)),1,0)</f>
        <v>0</v>
      </c>
      <c r="F230" s="4" t="n">
        <f aca="false">IF(MONTH($A230)&lt;=3,1,0)</f>
        <v>0</v>
      </c>
      <c r="G230" s="4" t="str">
        <f aca="false" t="array" ref="G230:G230">_xlfn.TEXTJOIN(" | ",TRUE(),IF('FEMA Disasters'!$F$2:$F$1000=$A230,'FEMA Disasters'!$D$2:$D$1000&amp;" begin: ["&amp;'FEMA Disasters'!$B$2:$B$1000&amp;"] "&amp;'FEMA Disasters'!$C$2:$C$1000&amp;"-"&amp;'FEMA Disasters'!$A$2:$A$1000,""),IF('FEMA Disasters'!$G$2:$G$1000=$A230,'FEMA Disasters'!$D$2:$D$1000&amp;" ended: ["&amp;'FEMA Disasters'!$B$2:$B$1000&amp;"] "&amp;'FEMA Disasters'!$C$2:$C$1000&amp;"-"&amp;'FEMA Disasters'!$A$2:$A$1000,""),IF('FEMA Disasters'!$K$2:$K$1000=$A230,"Disaster SEP opens: "&amp;'FEMA Disasters'!$D$2:$D$1000&amp;" ["&amp;'FEMA Disasters'!$B$2:$B$1000&amp;"] "&amp;'FEMA Disasters'!$C$2:$C$1000&amp;"-"&amp;'FEMA Disasters'!$A$2:$A$1000,""),IF('FEMA Disasters'!$L$2:$L$1000=$A230,"Disaster SEP ended: "&amp;'FEMA Disasters'!$D$2:$D$1000&amp;" ["&amp;'FEMA Disasters'!$B$2:$B$1000&amp;"] "&amp;'FEMA Disasters'!$C$2:$C$1000&amp;"-"&amp;'FEMA Disasters'!$A$2:$A$1000,""))</f>
        <v>Severe Storm begin: [AK] DR-4853 | Severe Storm ended: [PR] EM-3610 | Tropical Storm ended: [VI] EM-3611 | Tropical Storm ended: [VI] DR-4841 | Tropical Storm ended: [PR] DR-4850</v>
      </c>
      <c r="H230" s="4" t="n">
        <f aca="false">COUNTIF(Events!$A$2:$A$397,$A230)</f>
        <v>0</v>
      </c>
      <c r="I230" s="6" t="str">
        <f aca="false" t="array" ref="I230:I230">_xlfn.TEXTJOIN(" | ",TRUE(),IF(Events!$A$2:$A$397=$A230,Events!$E$2:$E$397&amp;IF(Events!$G$2:$G$397="National",""," ["&amp;Events!$G$2:$G$397&amp;"]"),""))</f>
        <v/>
      </c>
    </row>
    <row r="231" customFormat="false" ht="15" hidden="false" customHeight="true" outlineLevel="0" collapsed="false">
      <c r="A231" s="3" t="n">
        <v>45521</v>
      </c>
      <c r="B231" s="4" t="n">
        <f aca="false">YEAR($A231)</f>
        <v>2024</v>
      </c>
      <c r="C231" s="4" t="n">
        <f aca="false">MONTH($A231)</f>
        <v>8</v>
      </c>
      <c r="D231" s="4" t="str">
        <f aca="false">TEXT($A231,"ddd")</f>
        <v>Sat</v>
      </c>
      <c r="E231" s="4" t="n">
        <f aca="false">IF(OR(AND(MONTH($A231)=10,DAY($A231)&gt;=15),MONTH($A231)=11,AND(MONTH($A231)=12,DAY($A231)&lt;=7)),1,0)</f>
        <v>0</v>
      </c>
      <c r="F231" s="4" t="n">
        <f aca="false">IF(MONTH($A231)&lt;=3,1,0)</f>
        <v>0</v>
      </c>
      <c r="G231" s="4" t="str">
        <f aca="false" t="array" ref="G231:G231">_xlfn.TEXTJOIN(" | ",TRUE(),IF('FEMA Disasters'!$F$2:$F$1000=$A231,'FEMA Disasters'!$D$2:$D$1000&amp;" begin: ["&amp;'FEMA Disasters'!$B$2:$B$1000&amp;"] "&amp;'FEMA Disasters'!$C$2:$C$1000&amp;"-"&amp;'FEMA Disasters'!$A$2:$A$1000,""),IF('FEMA Disasters'!$G$2:$G$1000=$A231,'FEMA Disasters'!$D$2:$D$1000&amp;" ended: ["&amp;'FEMA Disasters'!$B$2:$B$1000&amp;"] "&amp;'FEMA Disasters'!$C$2:$C$1000&amp;"-"&amp;'FEMA Disasters'!$A$2:$A$1000,""),IF('FEMA Disasters'!$K$2:$K$1000=$A231,"Disaster SEP opens: "&amp;'FEMA Disasters'!$D$2:$D$1000&amp;" ["&amp;'FEMA Disasters'!$B$2:$B$1000&amp;"] "&amp;'FEMA Disasters'!$C$2:$C$1000&amp;"-"&amp;'FEMA Disasters'!$A$2:$A$1000,""),IF('FEMA Disasters'!$L$2:$L$1000=$A231,"Disaster SEP ended: "&amp;'FEMA Disasters'!$D$2:$D$1000&amp;" ["&amp;'FEMA Disasters'!$B$2:$B$1000&amp;"] "&amp;'FEMA Disasters'!$C$2:$C$1000&amp;"-"&amp;'FEMA Disasters'!$A$2:$A$1000,""))</f>
        <v/>
      </c>
      <c r="H231" s="4" t="n">
        <f aca="false">COUNTIF(Events!$A$2:$A$397,$A231)</f>
        <v>0</v>
      </c>
      <c r="I231" s="6" t="str">
        <f aca="false" t="array" ref="I231:I231">_xlfn.TEXTJOIN(" | ",TRUE(),IF(Events!$A$2:$A$397=$A231,Events!$E$2:$E$397&amp;IF(Events!$G$2:$G$397="National",""," ["&amp;Events!$G$2:$G$397&amp;"]"),""))</f>
        <v/>
      </c>
    </row>
    <row r="232" customFormat="false" ht="15" hidden="false" customHeight="true" outlineLevel="0" collapsed="false">
      <c r="A232" s="3" t="n">
        <v>45522</v>
      </c>
      <c r="B232" s="4" t="n">
        <f aca="false">YEAR($A232)</f>
        <v>2024</v>
      </c>
      <c r="C232" s="4" t="n">
        <f aca="false">MONTH($A232)</f>
        <v>8</v>
      </c>
      <c r="D232" s="4" t="str">
        <f aca="false">TEXT($A232,"ddd")</f>
        <v>Sun</v>
      </c>
      <c r="E232" s="4" t="n">
        <f aca="false">IF(OR(AND(MONTH($A232)=10,DAY($A232)&gt;=15),MONTH($A232)=11,AND(MONTH($A232)=12,DAY($A232)&lt;=7)),1,0)</f>
        <v>0</v>
      </c>
      <c r="F232" s="4" t="n">
        <f aca="false">IF(MONTH($A232)&lt;=3,1,0)</f>
        <v>0</v>
      </c>
      <c r="G232" s="4" t="str">
        <f aca="false" t="array" ref="G232:G232">_xlfn.TEXTJOIN(" | ",TRUE(),IF('FEMA Disasters'!$F$2:$F$1000=$A232,'FEMA Disasters'!$D$2:$D$1000&amp;" begin: ["&amp;'FEMA Disasters'!$B$2:$B$1000&amp;"] "&amp;'FEMA Disasters'!$C$2:$C$1000&amp;"-"&amp;'FEMA Disasters'!$A$2:$A$1000,""),IF('FEMA Disasters'!$G$2:$G$1000=$A232,'FEMA Disasters'!$D$2:$D$1000&amp;" ended: ["&amp;'FEMA Disasters'!$B$2:$B$1000&amp;"] "&amp;'FEMA Disasters'!$C$2:$C$1000&amp;"-"&amp;'FEMA Disasters'!$A$2:$A$1000,""),IF('FEMA Disasters'!$K$2:$K$1000=$A232,"Disaster SEP opens: "&amp;'FEMA Disasters'!$D$2:$D$1000&amp;" ["&amp;'FEMA Disasters'!$B$2:$B$1000&amp;"] "&amp;'FEMA Disasters'!$C$2:$C$1000&amp;"-"&amp;'FEMA Disasters'!$A$2:$A$1000,""),IF('FEMA Disasters'!$L$2:$L$1000=$A232,"Disaster SEP ended: "&amp;'FEMA Disasters'!$D$2:$D$1000&amp;" ["&amp;'FEMA Disasters'!$B$2:$B$1000&amp;"] "&amp;'FEMA Disasters'!$C$2:$C$1000&amp;"-"&amp;'FEMA Disasters'!$A$2:$A$1000,""))</f>
        <v>Severe Storm begin: [CT] EM-3612 | Severe Storm begin: [NY] EM-3613 | Severe Storm begin: [CT] DR-4820 | Severe Storm begin: [NY] DR-4839 | Severe Storm ended: [AK] DR-4857 | Severe Storm ended: [AK] DR-4853</v>
      </c>
      <c r="H232" s="4" t="n">
        <f aca="false">COUNTIF(Events!$A$2:$A$397,$A232)</f>
        <v>0</v>
      </c>
      <c r="I232" s="6" t="str">
        <f aca="false" t="array" ref="I232:I232">_xlfn.TEXTJOIN(" | ",TRUE(),IF(Events!$A$2:$A$397=$A232,Events!$E$2:$E$397&amp;IF(Events!$G$2:$G$397="National",""," ["&amp;Events!$G$2:$G$397&amp;"]"),""))</f>
        <v/>
      </c>
    </row>
    <row r="233" customFormat="false" ht="15" hidden="false" customHeight="true" outlineLevel="0" collapsed="false">
      <c r="A233" s="3" t="n">
        <v>45523</v>
      </c>
      <c r="B233" s="4" t="n">
        <f aca="false">YEAR($A233)</f>
        <v>2024</v>
      </c>
      <c r="C233" s="4" t="n">
        <f aca="false">MONTH($A233)</f>
        <v>8</v>
      </c>
      <c r="D233" s="4" t="str">
        <f aca="false">TEXT($A233,"ddd")</f>
        <v>Mon</v>
      </c>
      <c r="E233" s="4" t="n">
        <f aca="false">IF(OR(AND(MONTH($A233)=10,DAY($A233)&gt;=15),MONTH($A233)=11,AND(MONTH($A233)=12,DAY($A233)&lt;=7)),1,0)</f>
        <v>0</v>
      </c>
      <c r="F233" s="4" t="n">
        <f aca="false">IF(MONTH($A233)&lt;=3,1,0)</f>
        <v>0</v>
      </c>
      <c r="G233" s="4" t="str">
        <f aca="false" t="array" ref="G233:G233">_xlfn.TEXTJOIN(" | ",TRUE(),IF('FEMA Disasters'!$F$2:$F$1000=$A233,'FEMA Disasters'!$D$2:$D$1000&amp;" begin: ["&amp;'FEMA Disasters'!$B$2:$B$1000&amp;"] "&amp;'FEMA Disasters'!$C$2:$C$1000&amp;"-"&amp;'FEMA Disasters'!$A$2:$A$1000,""),IF('FEMA Disasters'!$G$2:$G$1000=$A233,'FEMA Disasters'!$D$2:$D$1000&amp;" ended: ["&amp;'FEMA Disasters'!$B$2:$B$1000&amp;"] "&amp;'FEMA Disasters'!$C$2:$C$1000&amp;"-"&amp;'FEMA Disasters'!$A$2:$A$1000,""),IF('FEMA Disasters'!$K$2:$K$1000=$A233,"Disaster SEP opens: "&amp;'FEMA Disasters'!$D$2:$D$1000&amp;" ["&amp;'FEMA Disasters'!$B$2:$B$1000&amp;"] "&amp;'FEMA Disasters'!$C$2:$C$1000&amp;"-"&amp;'FEMA Disasters'!$A$2:$A$1000,""),IF('FEMA Disasters'!$L$2:$L$1000=$A233,"Disaster SEP ended: "&amp;'FEMA Disasters'!$D$2:$D$1000&amp;" ["&amp;'FEMA Disasters'!$B$2:$B$1000&amp;"] "&amp;'FEMA Disasters'!$C$2:$C$1000&amp;"-"&amp;'FEMA Disasters'!$A$2:$A$1000,""))</f>
        <v>Tropical Storm ended: [NC] EM-3608 | Severe Storm ended: [CT] EM-3612 | Severe Storm ended: [NY] EM-3613 | Severe Storm ended: [CT] DR-4820 | Severe Storm ended: [NY] DR-4839</v>
      </c>
      <c r="H233" s="4" t="n">
        <f aca="false">COUNTIF(Events!$A$2:$A$397,$A233)</f>
        <v>0</v>
      </c>
      <c r="I233" s="6" t="str">
        <f aca="false" t="array" ref="I233:I233">_xlfn.TEXTJOIN(" | ",TRUE(),IF(Events!$A$2:$A$397=$A233,Events!$E$2:$E$397&amp;IF(Events!$G$2:$G$397="National",""," ["&amp;Events!$G$2:$G$397&amp;"]"),""))</f>
        <v/>
      </c>
    </row>
    <row r="234" customFormat="false" ht="15" hidden="false" customHeight="true" outlineLevel="0" collapsed="false">
      <c r="A234" s="3" t="n">
        <v>45524</v>
      </c>
      <c r="B234" s="4" t="n">
        <f aca="false">YEAR($A234)</f>
        <v>2024</v>
      </c>
      <c r="C234" s="4" t="n">
        <f aca="false">MONTH($A234)</f>
        <v>8</v>
      </c>
      <c r="D234" s="4" t="str">
        <f aca="false">TEXT($A234,"ddd")</f>
        <v>Tue</v>
      </c>
      <c r="E234" s="4" t="n">
        <f aca="false">IF(OR(AND(MONTH($A234)=10,DAY($A234)&gt;=15),MONTH($A234)=11,AND(MONTH($A234)=12,DAY($A234)&lt;=7)),1,0)</f>
        <v>0</v>
      </c>
      <c r="F234" s="4" t="n">
        <f aca="false">IF(MONTH($A234)&lt;=3,1,0)</f>
        <v>0</v>
      </c>
      <c r="G234" s="4" t="str">
        <f aca="false" t="array" ref="G234:G234">_xlfn.TEXTJOIN(" | ",TRUE(),IF('FEMA Disasters'!$F$2:$F$1000=$A234,'FEMA Disasters'!$D$2:$D$1000&amp;" begin: ["&amp;'FEMA Disasters'!$B$2:$B$1000&amp;"] "&amp;'FEMA Disasters'!$C$2:$C$1000&amp;"-"&amp;'FEMA Disasters'!$A$2:$A$1000,""),IF('FEMA Disasters'!$G$2:$G$1000=$A234,'FEMA Disasters'!$D$2:$D$1000&amp;" ended: ["&amp;'FEMA Disasters'!$B$2:$B$1000&amp;"] "&amp;'FEMA Disasters'!$C$2:$C$1000&amp;"-"&amp;'FEMA Disasters'!$A$2:$A$1000,""),IF('FEMA Disasters'!$K$2:$K$1000=$A234,"Disaster SEP opens: "&amp;'FEMA Disasters'!$D$2:$D$1000&amp;" ["&amp;'FEMA Disasters'!$B$2:$B$1000&amp;"] "&amp;'FEMA Disasters'!$C$2:$C$1000&amp;"-"&amp;'FEMA Disasters'!$A$2:$A$1000,""),IF('FEMA Disasters'!$L$2:$L$1000=$A234,"Disaster SEP ended: "&amp;'FEMA Disasters'!$D$2:$D$1000&amp;" ["&amp;'FEMA Disasters'!$B$2:$B$1000&amp;"] "&amp;'FEMA Disasters'!$C$2:$C$1000&amp;"-"&amp;'FEMA Disasters'!$A$2:$A$1000,""))</f>
        <v>Fire ended: [NM] DR-4795 | Fire ended: [CA] FM-5519 | Tropical Storm ended: [GA] EM-3607 | Tropical Storm ended: [GA] DR-4821</v>
      </c>
      <c r="H234" s="4" t="n">
        <f aca="false">COUNTIF(Events!$A$2:$A$397,$A234)</f>
        <v>0</v>
      </c>
      <c r="I234" s="6" t="str">
        <f aca="false" t="array" ref="I234:I234">_xlfn.TEXTJOIN(" | ",TRUE(),IF(Events!$A$2:$A$397=$A234,Events!$E$2:$E$397&amp;IF(Events!$G$2:$G$397="National",""," ["&amp;Events!$G$2:$G$397&amp;"]"),""))</f>
        <v/>
      </c>
    </row>
    <row r="235" customFormat="false" ht="15" hidden="false" customHeight="true" outlineLevel="0" collapsed="false">
      <c r="A235" s="3" t="n">
        <v>45525</v>
      </c>
      <c r="B235" s="4" t="n">
        <f aca="false">YEAR($A235)</f>
        <v>2024</v>
      </c>
      <c r="C235" s="4" t="n">
        <f aca="false">MONTH($A235)</f>
        <v>8</v>
      </c>
      <c r="D235" s="4" t="str">
        <f aca="false">TEXT($A235,"ddd")</f>
        <v>Wed</v>
      </c>
      <c r="E235" s="4" t="n">
        <f aca="false">IF(OR(AND(MONTH($A235)=10,DAY($A235)&gt;=15),MONTH($A235)=11,AND(MONTH($A235)=12,DAY($A235)&lt;=7)),1,0)</f>
        <v>0</v>
      </c>
      <c r="F235" s="4" t="n">
        <f aca="false">IF(MONTH($A235)&lt;=3,1,0)</f>
        <v>0</v>
      </c>
      <c r="G235" s="4" t="str">
        <f aca="false" t="array" ref="G235:G235">_xlfn.TEXTJOIN(" | ",TRUE(),IF('FEMA Disasters'!$F$2:$F$1000=$A235,'FEMA Disasters'!$D$2:$D$1000&amp;" begin: ["&amp;'FEMA Disasters'!$B$2:$B$1000&amp;"] "&amp;'FEMA Disasters'!$C$2:$C$1000&amp;"-"&amp;'FEMA Disasters'!$A$2:$A$1000,""),IF('FEMA Disasters'!$G$2:$G$1000=$A235,'FEMA Disasters'!$D$2:$D$1000&amp;" ended: ["&amp;'FEMA Disasters'!$B$2:$B$1000&amp;"] "&amp;'FEMA Disasters'!$C$2:$C$1000&amp;"-"&amp;'FEMA Disasters'!$A$2:$A$1000,""),IF('FEMA Disasters'!$K$2:$K$1000=$A235,"Disaster SEP opens: "&amp;'FEMA Disasters'!$D$2:$D$1000&amp;" ["&amp;'FEMA Disasters'!$B$2:$B$1000&amp;"] "&amp;'FEMA Disasters'!$C$2:$C$1000&amp;"-"&amp;'FEMA Disasters'!$A$2:$A$1000,""),IF('FEMA Disasters'!$L$2:$L$1000=$A235,"Disaster SEP ended: "&amp;'FEMA Disasters'!$D$2:$D$1000&amp;" ["&amp;'FEMA Disasters'!$B$2:$B$1000&amp;"] "&amp;'FEMA Disasters'!$C$2:$C$1000&amp;"-"&amp;'FEMA Disasters'!$A$2:$A$1000,""))</f>
        <v>Fire begin: [WY] DR-4845 | Fire ended: [WA] DR-4849</v>
      </c>
      <c r="H235" s="4" t="n">
        <f aca="false">COUNTIF(Events!$A$2:$A$397,$A235)</f>
        <v>0</v>
      </c>
      <c r="I235" s="6" t="str">
        <f aca="false" t="array" ref="I235:I235">_xlfn.TEXTJOIN(" | ",TRUE(),IF(Events!$A$2:$A$397=$A235,Events!$E$2:$E$397&amp;IF(Events!$G$2:$G$397="National",""," ["&amp;Events!$G$2:$G$397&amp;"]"),""))</f>
        <v/>
      </c>
    </row>
    <row r="236" customFormat="false" ht="15" hidden="false" customHeight="true" outlineLevel="0" collapsed="false">
      <c r="A236" s="3" t="n">
        <v>45526</v>
      </c>
      <c r="B236" s="4" t="n">
        <f aca="false">YEAR($A236)</f>
        <v>2024</v>
      </c>
      <c r="C236" s="4" t="n">
        <f aca="false">MONTH($A236)</f>
        <v>8</v>
      </c>
      <c r="D236" s="4" t="str">
        <f aca="false">TEXT($A236,"ddd")</f>
        <v>Thu</v>
      </c>
      <c r="E236" s="4" t="n">
        <f aca="false">IF(OR(AND(MONTH($A236)=10,DAY($A236)&gt;=15),MONTH($A236)=11,AND(MONTH($A236)=12,DAY($A236)&lt;=7)),1,0)</f>
        <v>0</v>
      </c>
      <c r="F236" s="4" t="n">
        <f aca="false">IF(MONTH($A236)&lt;=3,1,0)</f>
        <v>0</v>
      </c>
      <c r="G236" s="4" t="str">
        <f aca="false" t="array" ref="G236:G236">_xlfn.TEXTJOIN(" | ",TRUE(),IF('FEMA Disasters'!$F$2:$F$1000=$A236,'FEMA Disasters'!$D$2:$D$1000&amp;" begin: ["&amp;'FEMA Disasters'!$B$2:$B$1000&amp;"] "&amp;'FEMA Disasters'!$C$2:$C$1000&amp;"-"&amp;'FEMA Disasters'!$A$2:$A$1000,""),IF('FEMA Disasters'!$G$2:$G$1000=$A236,'FEMA Disasters'!$D$2:$D$1000&amp;" ended: ["&amp;'FEMA Disasters'!$B$2:$B$1000&amp;"] "&amp;'FEMA Disasters'!$C$2:$C$1000&amp;"-"&amp;'FEMA Disasters'!$A$2:$A$1000,""),IF('FEMA Disasters'!$K$2:$K$1000=$A236,"Disaster SEP opens: "&amp;'FEMA Disasters'!$D$2:$D$1000&amp;" ["&amp;'FEMA Disasters'!$B$2:$B$1000&amp;"] "&amp;'FEMA Disasters'!$C$2:$C$1000&amp;"-"&amp;'FEMA Disasters'!$A$2:$A$1000,""),IF('FEMA Disasters'!$L$2:$L$1000=$A236,"Disaster SEP ended: "&amp;'FEMA Disasters'!$D$2:$D$1000&amp;" ["&amp;'FEMA Disasters'!$B$2:$B$1000&amp;"] "&amp;'FEMA Disasters'!$C$2:$C$1000&amp;"-"&amp;'FEMA Disasters'!$A$2:$A$1000,""))</f>
        <v>Flood begin: [VT] DR-4816 | Flood begin: [AZ] DR-4840 | Fire begin: [WY] FM-5531 | Tropical Storm ended: [SC] EM-3606 | Tropical Storm ended: [SC] DR-4835</v>
      </c>
      <c r="H236" s="4" t="n">
        <f aca="false">COUNTIF(Events!$A$2:$A$397,$A236)</f>
        <v>0</v>
      </c>
      <c r="I236" s="6" t="str">
        <f aca="false" t="array" ref="I236:I236">_xlfn.TEXTJOIN(" | ",TRUE(),IF(Events!$A$2:$A$397=$A236,Events!$E$2:$E$397&amp;IF(Events!$G$2:$G$397="National",""," ["&amp;Events!$G$2:$G$397&amp;"]"),""))</f>
        <v/>
      </c>
    </row>
    <row r="237" customFormat="false" ht="15" hidden="false" customHeight="true" outlineLevel="0" collapsed="false">
      <c r="A237" s="3" t="n">
        <v>45527</v>
      </c>
      <c r="B237" s="4" t="n">
        <f aca="false">YEAR($A237)</f>
        <v>2024</v>
      </c>
      <c r="C237" s="4" t="n">
        <f aca="false">MONTH($A237)</f>
        <v>8</v>
      </c>
      <c r="D237" s="4" t="str">
        <f aca="false">TEXT($A237,"ddd")</f>
        <v>Fri</v>
      </c>
      <c r="E237" s="4" t="n">
        <f aca="false">IF(OR(AND(MONTH($A237)=10,DAY($A237)&gt;=15),MONTH($A237)=11,AND(MONTH($A237)=12,DAY($A237)&lt;=7)),1,0)</f>
        <v>0</v>
      </c>
      <c r="F237" s="4" t="n">
        <f aca="false">IF(MONTH($A237)&lt;=3,1,0)</f>
        <v>0</v>
      </c>
      <c r="G237" s="4" t="str">
        <f aca="false" t="array" ref="G237:G237">_xlfn.TEXTJOIN(" | ",TRUE(),IF('FEMA Disasters'!$F$2:$F$1000=$A237,'FEMA Disasters'!$D$2:$D$1000&amp;" begin: ["&amp;'FEMA Disasters'!$B$2:$B$1000&amp;"] "&amp;'FEMA Disasters'!$C$2:$C$1000&amp;"-"&amp;'FEMA Disasters'!$A$2:$A$1000,""),IF('FEMA Disasters'!$G$2:$G$1000=$A237,'FEMA Disasters'!$D$2:$D$1000&amp;" ended: ["&amp;'FEMA Disasters'!$B$2:$B$1000&amp;"] "&amp;'FEMA Disasters'!$C$2:$C$1000&amp;"-"&amp;'FEMA Disasters'!$A$2:$A$1000,""),IF('FEMA Disasters'!$K$2:$K$1000=$A237,"Disaster SEP opens: "&amp;'FEMA Disasters'!$D$2:$D$1000&amp;" ["&amp;'FEMA Disasters'!$B$2:$B$1000&amp;"] "&amp;'FEMA Disasters'!$C$2:$C$1000&amp;"-"&amp;'FEMA Disasters'!$A$2:$A$1000,""),IF('FEMA Disasters'!$L$2:$L$1000=$A237,"Disaster SEP ended: "&amp;'FEMA Disasters'!$D$2:$D$1000&amp;" ["&amp;'FEMA Disasters'!$B$2:$B$1000&amp;"] "&amp;'FEMA Disasters'!$C$2:$C$1000&amp;"-"&amp;'FEMA Disasters'!$A$2:$A$1000,""))</f>
        <v>Fire ended: [OR] DR-4854 | Fire ended: [WA] FM-5521 | Flood ended: [AZ] DR-4840</v>
      </c>
      <c r="H237" s="4" t="n">
        <f aca="false">COUNTIF(Events!$A$2:$A$397,$A237)</f>
        <v>0</v>
      </c>
      <c r="I237" s="6" t="str">
        <f aca="false" t="array" ref="I237:I237">_xlfn.TEXTJOIN(" | ",TRUE(),IF(Events!$A$2:$A$397=$A237,Events!$E$2:$E$397&amp;IF(Events!$G$2:$G$397="National",""," ["&amp;Events!$G$2:$G$397&amp;"]"),""))</f>
        <v/>
      </c>
    </row>
    <row r="238" customFormat="false" ht="15" hidden="false" customHeight="true" outlineLevel="0" collapsed="false">
      <c r="A238" s="3" t="n">
        <v>45528</v>
      </c>
      <c r="B238" s="4" t="n">
        <f aca="false">YEAR($A238)</f>
        <v>2024</v>
      </c>
      <c r="C238" s="4" t="n">
        <f aca="false">MONTH($A238)</f>
        <v>8</v>
      </c>
      <c r="D238" s="4" t="str">
        <f aca="false">TEXT($A238,"ddd")</f>
        <v>Sat</v>
      </c>
      <c r="E238" s="4" t="n">
        <f aca="false">IF(OR(AND(MONTH($A238)=10,DAY($A238)&gt;=15),MONTH($A238)=11,AND(MONTH($A238)=12,DAY($A238)&lt;=7)),1,0)</f>
        <v>0</v>
      </c>
      <c r="F238" s="4" t="n">
        <f aca="false">IF(MONTH($A238)&lt;=3,1,0)</f>
        <v>0</v>
      </c>
      <c r="G238" s="4" t="str">
        <f aca="false" t="array" ref="G238:G238">_xlfn.TEXTJOIN(" | ",TRUE(),IF('FEMA Disasters'!$F$2:$F$1000=$A238,'FEMA Disasters'!$D$2:$D$1000&amp;" begin: ["&amp;'FEMA Disasters'!$B$2:$B$1000&amp;"] "&amp;'FEMA Disasters'!$C$2:$C$1000&amp;"-"&amp;'FEMA Disasters'!$A$2:$A$1000,""),IF('FEMA Disasters'!$G$2:$G$1000=$A238,'FEMA Disasters'!$D$2:$D$1000&amp;" ended: ["&amp;'FEMA Disasters'!$B$2:$B$1000&amp;"] "&amp;'FEMA Disasters'!$C$2:$C$1000&amp;"-"&amp;'FEMA Disasters'!$A$2:$A$1000,""),IF('FEMA Disasters'!$K$2:$K$1000=$A238,"Disaster SEP opens: "&amp;'FEMA Disasters'!$D$2:$D$1000&amp;" ["&amp;'FEMA Disasters'!$B$2:$B$1000&amp;"] "&amp;'FEMA Disasters'!$C$2:$C$1000&amp;"-"&amp;'FEMA Disasters'!$A$2:$A$1000,""),IF('FEMA Disasters'!$L$2:$L$1000=$A238,"Disaster SEP ended: "&amp;'FEMA Disasters'!$D$2:$D$1000&amp;" ["&amp;'FEMA Disasters'!$B$2:$B$1000&amp;"] "&amp;'FEMA Disasters'!$C$2:$C$1000&amp;"-"&amp;'FEMA Disasters'!$A$2:$A$1000,""))</f>
        <v>Flood ended: [VT] DR-4816</v>
      </c>
      <c r="H238" s="4" t="n">
        <f aca="false">COUNTIF(Events!$A$2:$A$397,$A238)</f>
        <v>0</v>
      </c>
      <c r="I238" s="6" t="str">
        <f aca="false" t="array" ref="I238:I238">_xlfn.TEXTJOIN(" | ",TRUE(),IF(Events!$A$2:$A$397=$A238,Events!$E$2:$E$397&amp;IF(Events!$G$2:$G$397="National",""," ["&amp;Events!$G$2:$G$397&amp;"]"),""))</f>
        <v/>
      </c>
    </row>
    <row r="239" customFormat="false" ht="15" hidden="false" customHeight="true" outlineLevel="0" collapsed="false">
      <c r="A239" s="3" t="n">
        <v>45529</v>
      </c>
      <c r="B239" s="4" t="n">
        <f aca="false">YEAR($A239)</f>
        <v>2024</v>
      </c>
      <c r="C239" s="4" t="n">
        <f aca="false">MONTH($A239)</f>
        <v>8</v>
      </c>
      <c r="D239" s="4" t="str">
        <f aca="false">TEXT($A239,"ddd")</f>
        <v>Sun</v>
      </c>
      <c r="E239" s="4" t="n">
        <f aca="false">IF(OR(AND(MONTH($A239)=10,DAY($A239)&gt;=15),MONTH($A239)=11,AND(MONTH($A239)=12,DAY($A239)&lt;=7)),1,0)</f>
        <v>0</v>
      </c>
      <c r="F239" s="4" t="n">
        <f aca="false">IF(MONTH($A239)&lt;=3,1,0)</f>
        <v>0</v>
      </c>
      <c r="G239" s="4" t="str">
        <f aca="false" t="array" ref="G239:G239">_xlfn.TEXTJOIN(" | ",TRUE(),IF('FEMA Disasters'!$F$2:$F$1000=$A239,'FEMA Disasters'!$D$2:$D$1000&amp;" begin: ["&amp;'FEMA Disasters'!$B$2:$B$1000&amp;"] "&amp;'FEMA Disasters'!$C$2:$C$1000&amp;"-"&amp;'FEMA Disasters'!$A$2:$A$1000,""),IF('FEMA Disasters'!$G$2:$G$1000=$A239,'FEMA Disasters'!$D$2:$D$1000&amp;" ended: ["&amp;'FEMA Disasters'!$B$2:$B$1000&amp;"] "&amp;'FEMA Disasters'!$C$2:$C$1000&amp;"-"&amp;'FEMA Disasters'!$A$2:$A$1000,""),IF('FEMA Disasters'!$K$2:$K$1000=$A239,"Disaster SEP opens: "&amp;'FEMA Disasters'!$D$2:$D$1000&amp;" ["&amp;'FEMA Disasters'!$B$2:$B$1000&amp;"] "&amp;'FEMA Disasters'!$C$2:$C$1000&amp;"-"&amp;'FEMA Disasters'!$A$2:$A$1000,""),IF('FEMA Disasters'!$L$2:$L$1000=$A239,"Disaster SEP ended: "&amp;'FEMA Disasters'!$D$2:$D$1000&amp;" ["&amp;'FEMA Disasters'!$B$2:$B$1000&amp;"] "&amp;'FEMA Disasters'!$C$2:$C$1000&amp;"-"&amp;'FEMA Disasters'!$A$2:$A$1000,""))</f>
        <v>Mud/Landslide begin: [AK] DR-4846 | Mud/Landslide ended: [AK] DR-4846</v>
      </c>
      <c r="H239" s="4" t="n">
        <f aca="false">COUNTIF(Events!$A$2:$A$397,$A239)</f>
        <v>0</v>
      </c>
      <c r="I239" s="6" t="str">
        <f aca="false" t="array" ref="I239:I239">_xlfn.TEXTJOIN(" | ",TRUE(),IF(Events!$A$2:$A$397=$A239,Events!$E$2:$E$397&amp;IF(Events!$G$2:$G$397="National",""," ["&amp;Events!$G$2:$G$397&amp;"]"),""))</f>
        <v/>
      </c>
    </row>
    <row r="240" customFormat="false" ht="15" hidden="false" customHeight="true" outlineLevel="0" collapsed="false">
      <c r="A240" s="3" t="n">
        <v>45530</v>
      </c>
      <c r="B240" s="4" t="n">
        <f aca="false">YEAR($A240)</f>
        <v>2024</v>
      </c>
      <c r="C240" s="4" t="n">
        <f aca="false">MONTH($A240)</f>
        <v>8</v>
      </c>
      <c r="D240" s="4" t="str">
        <f aca="false">TEXT($A240,"ddd")</f>
        <v>Mon</v>
      </c>
      <c r="E240" s="4" t="n">
        <f aca="false">IF(OR(AND(MONTH($A240)=10,DAY($A240)&gt;=15),MONTH($A240)=11,AND(MONTH($A240)=12,DAY($A240)&lt;=7)),1,0)</f>
        <v>0</v>
      </c>
      <c r="F240" s="4" t="n">
        <f aca="false">IF(MONTH($A240)&lt;=3,1,0)</f>
        <v>0</v>
      </c>
      <c r="G240" s="4" t="str">
        <f aca="false" t="array" ref="G240:G240">_xlfn.TEXTJOIN(" | ",TRUE(),IF('FEMA Disasters'!$F$2:$F$1000=$A240,'FEMA Disasters'!$D$2:$D$1000&amp;" begin: ["&amp;'FEMA Disasters'!$B$2:$B$1000&amp;"] "&amp;'FEMA Disasters'!$C$2:$C$1000&amp;"-"&amp;'FEMA Disasters'!$A$2:$A$1000,""),IF('FEMA Disasters'!$G$2:$G$1000=$A240,'FEMA Disasters'!$D$2:$D$1000&amp;" ended: ["&amp;'FEMA Disasters'!$B$2:$B$1000&amp;"] "&amp;'FEMA Disasters'!$C$2:$C$1000&amp;"-"&amp;'FEMA Disasters'!$A$2:$A$1000,""),IF('FEMA Disasters'!$K$2:$K$1000=$A240,"Disaster SEP opens: "&amp;'FEMA Disasters'!$D$2:$D$1000&amp;" ["&amp;'FEMA Disasters'!$B$2:$B$1000&amp;"] "&amp;'FEMA Disasters'!$C$2:$C$1000&amp;"-"&amp;'FEMA Disasters'!$A$2:$A$1000,""),IF('FEMA Disasters'!$L$2:$L$1000=$A240,"Disaster SEP ended: "&amp;'FEMA Disasters'!$D$2:$D$1000&amp;" ["&amp;'FEMA Disasters'!$B$2:$B$1000&amp;"] "&amp;'FEMA Disasters'!$C$2:$C$1000&amp;"-"&amp;'FEMA Disasters'!$A$2:$A$1000,""))</f>
        <v/>
      </c>
      <c r="H240" s="4" t="n">
        <f aca="false">COUNTIF(Events!$A$2:$A$397,$A240)</f>
        <v>0</v>
      </c>
      <c r="I240" s="6" t="str">
        <f aca="false" t="array" ref="I240:I240">_xlfn.TEXTJOIN(" | ",TRUE(),IF(Events!$A$2:$A$397=$A240,Events!$E$2:$E$397&amp;IF(Events!$G$2:$G$397="National",""," ["&amp;Events!$G$2:$G$397&amp;"]"),""))</f>
        <v/>
      </c>
    </row>
    <row r="241" customFormat="false" ht="15" hidden="false" customHeight="true" outlineLevel="0" collapsed="false">
      <c r="A241" s="3" t="n">
        <v>45531</v>
      </c>
      <c r="B241" s="4" t="n">
        <f aca="false">YEAR($A241)</f>
        <v>2024</v>
      </c>
      <c r="C241" s="4" t="n">
        <f aca="false">MONTH($A241)</f>
        <v>8</v>
      </c>
      <c r="D241" s="4" t="str">
        <f aca="false">TEXT($A241,"ddd")</f>
        <v>Tue</v>
      </c>
      <c r="E241" s="4" t="n">
        <f aca="false">IF(OR(AND(MONTH($A241)=10,DAY($A241)&gt;=15),MONTH($A241)=11,AND(MONTH($A241)=12,DAY($A241)&lt;=7)),1,0)</f>
        <v>0</v>
      </c>
      <c r="F241" s="4" t="n">
        <f aca="false">IF(MONTH($A241)&lt;=3,1,0)</f>
        <v>0</v>
      </c>
      <c r="G241" s="4" t="str">
        <f aca="false" t="array" ref="G241:G241">_xlfn.TEXTJOIN(" | ",TRUE(),IF('FEMA Disasters'!$F$2:$F$1000=$A241,'FEMA Disasters'!$D$2:$D$1000&amp;" begin: ["&amp;'FEMA Disasters'!$B$2:$B$1000&amp;"] "&amp;'FEMA Disasters'!$C$2:$C$1000&amp;"-"&amp;'FEMA Disasters'!$A$2:$A$1000,""),IF('FEMA Disasters'!$G$2:$G$1000=$A241,'FEMA Disasters'!$D$2:$D$1000&amp;" ended: ["&amp;'FEMA Disasters'!$B$2:$B$1000&amp;"] "&amp;'FEMA Disasters'!$C$2:$C$1000&amp;"-"&amp;'FEMA Disasters'!$A$2:$A$1000,""),IF('FEMA Disasters'!$K$2:$K$1000=$A241,"Disaster SEP opens: "&amp;'FEMA Disasters'!$D$2:$D$1000&amp;" ["&amp;'FEMA Disasters'!$B$2:$B$1000&amp;"] "&amp;'FEMA Disasters'!$C$2:$C$1000&amp;"-"&amp;'FEMA Disasters'!$A$2:$A$1000,""),IF('FEMA Disasters'!$L$2:$L$1000=$A241,"Disaster SEP ended: "&amp;'FEMA Disasters'!$D$2:$D$1000&amp;" ["&amp;'FEMA Disasters'!$B$2:$B$1000&amp;"] "&amp;'FEMA Disasters'!$C$2:$C$1000&amp;"-"&amp;'FEMA Disasters'!$A$2:$A$1000,""))</f>
        <v>Tropical Storm ended: [FL] EM-3605 | Tropical Storm ended: [FL] DR-4806</v>
      </c>
      <c r="H241" s="4" t="n">
        <f aca="false">COUNTIF(Events!$A$2:$A$397,$A241)</f>
        <v>0</v>
      </c>
      <c r="I241" s="6" t="str">
        <f aca="false" t="array" ref="I241:I241">_xlfn.TEXTJOIN(" | ",TRUE(),IF(Events!$A$2:$A$397=$A241,Events!$E$2:$E$397&amp;IF(Events!$G$2:$G$397="National",""," ["&amp;Events!$G$2:$G$397&amp;"]"),""))</f>
        <v/>
      </c>
    </row>
    <row r="242" customFormat="false" ht="15" hidden="false" customHeight="true" outlineLevel="0" collapsed="false">
      <c r="A242" s="3" t="n">
        <v>45532</v>
      </c>
      <c r="B242" s="4" t="n">
        <f aca="false">YEAR($A242)</f>
        <v>2024</v>
      </c>
      <c r="C242" s="4" t="n">
        <f aca="false">MONTH($A242)</f>
        <v>8</v>
      </c>
      <c r="D242" s="4" t="str">
        <f aca="false">TEXT($A242,"ddd")</f>
        <v>Wed</v>
      </c>
      <c r="E242" s="4" t="n">
        <f aca="false">IF(OR(AND(MONTH($A242)=10,DAY($A242)&gt;=15),MONTH($A242)=11,AND(MONTH($A242)=12,DAY($A242)&lt;=7)),1,0)</f>
        <v>0</v>
      </c>
      <c r="F242" s="4" t="n">
        <f aca="false">IF(MONTH($A242)&lt;=3,1,0)</f>
        <v>0</v>
      </c>
      <c r="G242" s="4" t="str">
        <f aca="false" t="array" ref="G242:G242">_xlfn.TEXTJOIN(" | ",TRUE(),IF('FEMA Disasters'!$F$2:$F$1000=$A242,'FEMA Disasters'!$D$2:$D$1000&amp;" begin: ["&amp;'FEMA Disasters'!$B$2:$B$1000&amp;"] "&amp;'FEMA Disasters'!$C$2:$C$1000&amp;"-"&amp;'FEMA Disasters'!$A$2:$A$1000,""),IF('FEMA Disasters'!$G$2:$G$1000=$A242,'FEMA Disasters'!$D$2:$D$1000&amp;" ended: ["&amp;'FEMA Disasters'!$B$2:$B$1000&amp;"] "&amp;'FEMA Disasters'!$C$2:$C$1000&amp;"-"&amp;'FEMA Disasters'!$A$2:$A$1000,""),IF('FEMA Disasters'!$K$2:$K$1000=$A242,"Disaster SEP opens: "&amp;'FEMA Disasters'!$D$2:$D$1000&amp;" ["&amp;'FEMA Disasters'!$B$2:$B$1000&amp;"] "&amp;'FEMA Disasters'!$C$2:$C$1000&amp;"-"&amp;'FEMA Disasters'!$A$2:$A$1000,""),IF('FEMA Disasters'!$L$2:$L$1000=$A242,"Disaster SEP ended: "&amp;'FEMA Disasters'!$D$2:$D$1000&amp;" ["&amp;'FEMA Disasters'!$B$2:$B$1000&amp;"] "&amp;'FEMA Disasters'!$C$2:$C$1000&amp;"-"&amp;'FEMA Disasters'!$A$2:$A$1000,""))</f>
        <v/>
      </c>
      <c r="H242" s="4" t="n">
        <f aca="false">COUNTIF(Events!$A$2:$A$397,$A242)</f>
        <v>0</v>
      </c>
      <c r="I242" s="6" t="str">
        <f aca="false" t="array" ref="I242:I242">_xlfn.TEXTJOIN(" | ",TRUE(),IF(Events!$A$2:$A$397=$A242,Events!$E$2:$E$397&amp;IF(Events!$G$2:$G$397="National",""," ["&amp;Events!$G$2:$G$397&amp;"]"),""))</f>
        <v/>
      </c>
    </row>
    <row r="243" customFormat="false" ht="15" hidden="false" customHeight="true" outlineLevel="0" collapsed="false">
      <c r="A243" s="3" t="n">
        <v>45533</v>
      </c>
      <c r="B243" s="4" t="n">
        <f aca="false">YEAR($A243)</f>
        <v>2024</v>
      </c>
      <c r="C243" s="4" t="n">
        <f aca="false">MONTH($A243)</f>
        <v>8</v>
      </c>
      <c r="D243" s="4" t="str">
        <f aca="false">TEXT($A243,"ddd")</f>
        <v>Thu</v>
      </c>
      <c r="E243" s="4" t="n">
        <f aca="false">IF(OR(AND(MONTH($A243)=10,DAY($A243)&gt;=15),MONTH($A243)=11,AND(MONTH($A243)=12,DAY($A243)&lt;=7)),1,0)</f>
        <v>0</v>
      </c>
      <c r="F243" s="4" t="n">
        <f aca="false">IF(MONTH($A243)&lt;=3,1,0)</f>
        <v>0</v>
      </c>
      <c r="G243" s="4" t="str">
        <f aca="false" t="array" ref="G243:G243">_xlfn.TEXTJOIN(" | ",TRUE(),IF('FEMA Disasters'!$F$2:$F$1000=$A243,'FEMA Disasters'!$D$2:$D$1000&amp;" begin: ["&amp;'FEMA Disasters'!$B$2:$B$1000&amp;"] "&amp;'FEMA Disasters'!$C$2:$C$1000&amp;"-"&amp;'FEMA Disasters'!$A$2:$A$1000,""),IF('FEMA Disasters'!$G$2:$G$1000=$A243,'FEMA Disasters'!$D$2:$D$1000&amp;" ended: ["&amp;'FEMA Disasters'!$B$2:$B$1000&amp;"] "&amp;'FEMA Disasters'!$C$2:$C$1000&amp;"-"&amp;'FEMA Disasters'!$A$2:$A$1000,""),IF('FEMA Disasters'!$K$2:$K$1000=$A243,"Disaster SEP opens: "&amp;'FEMA Disasters'!$D$2:$D$1000&amp;" ["&amp;'FEMA Disasters'!$B$2:$B$1000&amp;"] "&amp;'FEMA Disasters'!$C$2:$C$1000&amp;"-"&amp;'FEMA Disasters'!$A$2:$A$1000,""),IF('FEMA Disasters'!$L$2:$L$1000=$A243,"Disaster SEP ended: "&amp;'FEMA Disasters'!$D$2:$D$1000&amp;" ["&amp;'FEMA Disasters'!$B$2:$B$1000&amp;"] "&amp;'FEMA Disasters'!$C$2:$C$1000&amp;"-"&amp;'FEMA Disasters'!$A$2:$A$1000,""))</f>
        <v/>
      </c>
      <c r="H243" s="4" t="n">
        <f aca="false">COUNTIF(Events!$A$2:$A$397,$A243)</f>
        <v>0</v>
      </c>
      <c r="I243" s="6" t="str">
        <f aca="false" t="array" ref="I243:I243">_xlfn.TEXTJOIN(" | ",TRUE(),IF(Events!$A$2:$A$397=$A243,Events!$E$2:$E$397&amp;IF(Events!$G$2:$G$397="National",""," ["&amp;Events!$G$2:$G$397&amp;"]"),""))</f>
        <v/>
      </c>
    </row>
    <row r="244" customFormat="false" ht="15" hidden="false" customHeight="true" outlineLevel="0" collapsed="false">
      <c r="A244" s="3" t="n">
        <v>45534</v>
      </c>
      <c r="B244" s="4" t="n">
        <f aca="false">YEAR($A244)</f>
        <v>2024</v>
      </c>
      <c r="C244" s="4" t="n">
        <f aca="false">MONTH($A244)</f>
        <v>8</v>
      </c>
      <c r="D244" s="4" t="str">
        <f aca="false">TEXT($A244,"ddd")</f>
        <v>Fri</v>
      </c>
      <c r="E244" s="4" t="n">
        <f aca="false">IF(OR(AND(MONTH($A244)=10,DAY($A244)&gt;=15),MONTH($A244)=11,AND(MONTH($A244)=12,DAY($A244)&lt;=7)),1,0)</f>
        <v>0</v>
      </c>
      <c r="F244" s="4" t="n">
        <f aca="false">IF(MONTH($A244)&lt;=3,1,0)</f>
        <v>0</v>
      </c>
      <c r="G244" s="4" t="str">
        <f aca="false" t="array" ref="G244:G244">_xlfn.TEXTJOIN(" | ",TRUE(),IF('FEMA Disasters'!$F$2:$F$1000=$A244,'FEMA Disasters'!$D$2:$D$1000&amp;" begin: ["&amp;'FEMA Disasters'!$B$2:$B$1000&amp;"] "&amp;'FEMA Disasters'!$C$2:$C$1000&amp;"-"&amp;'FEMA Disasters'!$A$2:$A$1000,""),IF('FEMA Disasters'!$G$2:$G$1000=$A244,'FEMA Disasters'!$D$2:$D$1000&amp;" ended: ["&amp;'FEMA Disasters'!$B$2:$B$1000&amp;"] "&amp;'FEMA Disasters'!$C$2:$C$1000&amp;"-"&amp;'FEMA Disasters'!$A$2:$A$1000,""),IF('FEMA Disasters'!$K$2:$K$1000=$A244,"Disaster SEP opens: "&amp;'FEMA Disasters'!$D$2:$D$1000&amp;" ["&amp;'FEMA Disasters'!$B$2:$B$1000&amp;"] "&amp;'FEMA Disasters'!$C$2:$C$1000&amp;"-"&amp;'FEMA Disasters'!$A$2:$A$1000,""),IF('FEMA Disasters'!$L$2:$L$1000=$A244,"Disaster SEP ended: "&amp;'FEMA Disasters'!$D$2:$D$1000&amp;" ["&amp;'FEMA Disasters'!$B$2:$B$1000&amp;"] "&amp;'FEMA Disasters'!$C$2:$C$1000&amp;"-"&amp;'FEMA Disasters'!$A$2:$A$1000,""))</f>
        <v>Fire ended: [CO] FM-5525</v>
      </c>
      <c r="H244" s="4" t="n">
        <f aca="false">COUNTIF(Events!$A$2:$A$397,$A244)</f>
        <v>0</v>
      </c>
      <c r="I244" s="6" t="str">
        <f aca="false" t="array" ref="I244:I244">_xlfn.TEXTJOIN(" | ",TRUE(),IF(Events!$A$2:$A$397=$A244,Events!$E$2:$E$397&amp;IF(Events!$G$2:$G$397="National",""," ["&amp;Events!$G$2:$G$397&amp;"]"),""))</f>
        <v/>
      </c>
    </row>
    <row r="245" customFormat="false" ht="15" hidden="false" customHeight="true" outlineLevel="0" collapsed="false">
      <c r="A245" s="3" t="n">
        <v>45535</v>
      </c>
      <c r="B245" s="4" t="n">
        <f aca="false">YEAR($A245)</f>
        <v>2024</v>
      </c>
      <c r="C245" s="4" t="n">
        <f aca="false">MONTH($A245)</f>
        <v>8</v>
      </c>
      <c r="D245" s="4" t="str">
        <f aca="false">TEXT($A245,"ddd")</f>
        <v>Sat</v>
      </c>
      <c r="E245" s="4" t="n">
        <f aca="false">IF(OR(AND(MONTH($A245)=10,DAY($A245)&gt;=15),MONTH($A245)=11,AND(MONTH($A245)=12,DAY($A245)&lt;=7)),1,0)</f>
        <v>0</v>
      </c>
      <c r="F245" s="4" t="n">
        <f aca="false">IF(MONTH($A245)&lt;=3,1,0)</f>
        <v>0</v>
      </c>
      <c r="G245" s="4" t="str">
        <f aca="false" t="array" ref="G245:G245">_xlfn.TEXTJOIN(" | ",TRUE(),IF('FEMA Disasters'!$F$2:$F$1000=$A245,'FEMA Disasters'!$D$2:$D$1000&amp;" begin: ["&amp;'FEMA Disasters'!$B$2:$B$1000&amp;"] "&amp;'FEMA Disasters'!$C$2:$C$1000&amp;"-"&amp;'FEMA Disasters'!$A$2:$A$1000,""),IF('FEMA Disasters'!$G$2:$G$1000=$A245,'FEMA Disasters'!$D$2:$D$1000&amp;" ended: ["&amp;'FEMA Disasters'!$B$2:$B$1000&amp;"] "&amp;'FEMA Disasters'!$C$2:$C$1000&amp;"-"&amp;'FEMA Disasters'!$A$2:$A$1000,""),IF('FEMA Disasters'!$K$2:$K$1000=$A245,"Disaster SEP opens: "&amp;'FEMA Disasters'!$D$2:$D$1000&amp;" ["&amp;'FEMA Disasters'!$B$2:$B$1000&amp;"] "&amp;'FEMA Disasters'!$C$2:$C$1000&amp;"-"&amp;'FEMA Disasters'!$A$2:$A$1000,""),IF('FEMA Disasters'!$L$2:$L$1000=$A245,"Disaster SEP ended: "&amp;'FEMA Disasters'!$D$2:$D$1000&amp;" ["&amp;'FEMA Disasters'!$B$2:$B$1000&amp;"] "&amp;'FEMA Disasters'!$C$2:$C$1000&amp;"-"&amp;'FEMA Disasters'!$A$2:$A$1000,""))</f>
        <v>Fire ended: [WY] DR-4845 | Fire ended: [WY] FM-5531 | Disaster SEP opens: Severe Storm [NE] DR-4808 | Disaster SEP opens: Fire [NV] FM-5494 | Disaster SEP opens: Fire [NV] FM-5495 | Disaster SEP opens: Fire [AZ] FM-5496 | Disaster SEP opens: Flood [NM] DR-4809 | Disaster SEP opens: Fire [AZ] FM-5501</v>
      </c>
      <c r="H245" s="4" t="n">
        <f aca="false">COUNTIF(Events!$A$2:$A$397,$A245)</f>
        <v>0</v>
      </c>
      <c r="I245" s="6" t="str">
        <f aca="false" t="array" ref="I245:I245">_xlfn.TEXTJOIN(" | ",TRUE(),IF(Events!$A$2:$A$397=$A245,Events!$E$2:$E$397&amp;IF(Events!$G$2:$G$397="National",""," ["&amp;Events!$G$2:$G$397&amp;"]"),""))</f>
        <v/>
      </c>
    </row>
    <row r="246" customFormat="false" ht="15" hidden="false" customHeight="true" outlineLevel="0" collapsed="false">
      <c r="A246" s="3" t="n">
        <v>45536</v>
      </c>
      <c r="B246" s="4" t="n">
        <f aca="false">YEAR($A246)</f>
        <v>2024</v>
      </c>
      <c r="C246" s="4" t="n">
        <f aca="false">MONTH($A246)</f>
        <v>9</v>
      </c>
      <c r="D246" s="4" t="str">
        <f aca="false">TEXT($A246,"ddd")</f>
        <v>Sun</v>
      </c>
      <c r="E246" s="4" t="n">
        <f aca="false">IF(OR(AND(MONTH($A246)=10,DAY($A246)&gt;=15),MONTH($A246)=11,AND(MONTH($A246)=12,DAY($A246)&lt;=7)),1,0)</f>
        <v>0</v>
      </c>
      <c r="F246" s="4" t="n">
        <f aca="false">IF(MONTH($A246)&lt;=3,1,0)</f>
        <v>0</v>
      </c>
      <c r="G246" s="4" t="str">
        <f aca="false" t="array" ref="G246:G246">_xlfn.TEXTJOIN(" | ",TRUE(),IF('FEMA Disasters'!$F$2:$F$1000=$A246,'FEMA Disasters'!$D$2:$D$1000&amp;" begin: ["&amp;'FEMA Disasters'!$B$2:$B$1000&amp;"] "&amp;'FEMA Disasters'!$C$2:$C$1000&amp;"-"&amp;'FEMA Disasters'!$A$2:$A$1000,""),IF('FEMA Disasters'!$G$2:$G$1000=$A246,'FEMA Disasters'!$D$2:$D$1000&amp;" ended: ["&amp;'FEMA Disasters'!$B$2:$B$1000&amp;"] "&amp;'FEMA Disasters'!$C$2:$C$1000&amp;"-"&amp;'FEMA Disasters'!$A$2:$A$1000,""),IF('FEMA Disasters'!$K$2:$K$1000=$A246,"Disaster SEP opens: "&amp;'FEMA Disasters'!$D$2:$D$1000&amp;" ["&amp;'FEMA Disasters'!$B$2:$B$1000&amp;"] "&amp;'FEMA Disasters'!$C$2:$C$1000&amp;"-"&amp;'FEMA Disasters'!$A$2:$A$1000,""),IF('FEMA Disasters'!$L$2:$L$1000=$A246,"Disaster SEP ended: "&amp;'FEMA Disasters'!$D$2:$D$1000&amp;" ["&amp;'FEMA Disasters'!$B$2:$B$1000&amp;"] "&amp;'FEMA Disasters'!$C$2:$C$1000&amp;"-"&amp;'FEMA Disasters'!$A$2:$A$1000,""))</f>
        <v>Fire begin: [OR] FM-5532</v>
      </c>
      <c r="H246" s="4" t="n">
        <f aca="false">COUNTIF(Events!$A$2:$A$397,$A246)</f>
        <v>0</v>
      </c>
      <c r="I246" s="6" t="str">
        <f aca="false" t="array" ref="I246:I246">_xlfn.TEXTJOIN(" | ",TRUE(),IF(Events!$A$2:$A$397=$A246,Events!$E$2:$E$397&amp;IF(Events!$G$2:$G$397="National",""," ["&amp;Events!$G$2:$G$397&amp;"]"),""))</f>
        <v/>
      </c>
    </row>
    <row r="247" customFormat="false" ht="15" hidden="false" customHeight="true" outlineLevel="0" collapsed="false">
      <c r="A247" s="3" t="n">
        <v>45537</v>
      </c>
      <c r="B247" s="4" t="n">
        <f aca="false">YEAR($A247)</f>
        <v>2024</v>
      </c>
      <c r="C247" s="4" t="n">
        <f aca="false">MONTH($A247)</f>
        <v>9</v>
      </c>
      <c r="D247" s="4" t="str">
        <f aca="false">TEXT($A247,"ddd")</f>
        <v>Mon</v>
      </c>
      <c r="E247" s="4" t="n">
        <f aca="false">IF(OR(AND(MONTH($A247)=10,DAY($A247)&gt;=15),MONTH($A247)=11,AND(MONTH($A247)=12,DAY($A247)&lt;=7)),1,0)</f>
        <v>0</v>
      </c>
      <c r="F247" s="4" t="n">
        <f aca="false">IF(MONTH($A247)&lt;=3,1,0)</f>
        <v>0</v>
      </c>
      <c r="G247" s="4" t="str">
        <f aca="false" t="array" ref="G247:G247">_xlfn.TEXTJOIN(" | ",TRUE(),IF('FEMA Disasters'!$F$2:$F$1000=$A247,'FEMA Disasters'!$D$2:$D$1000&amp;" begin: ["&amp;'FEMA Disasters'!$B$2:$B$1000&amp;"] "&amp;'FEMA Disasters'!$C$2:$C$1000&amp;"-"&amp;'FEMA Disasters'!$A$2:$A$1000,""),IF('FEMA Disasters'!$G$2:$G$1000=$A247,'FEMA Disasters'!$D$2:$D$1000&amp;" ended: ["&amp;'FEMA Disasters'!$B$2:$B$1000&amp;"] "&amp;'FEMA Disasters'!$C$2:$C$1000&amp;"-"&amp;'FEMA Disasters'!$A$2:$A$1000,""),IF('FEMA Disasters'!$K$2:$K$1000=$A247,"Disaster SEP opens: "&amp;'FEMA Disasters'!$D$2:$D$1000&amp;" ["&amp;'FEMA Disasters'!$B$2:$B$1000&amp;"] "&amp;'FEMA Disasters'!$C$2:$C$1000&amp;"-"&amp;'FEMA Disasters'!$A$2:$A$1000,""),IF('FEMA Disasters'!$L$2:$L$1000=$A247,"Disaster SEP ended: "&amp;'FEMA Disasters'!$D$2:$D$1000&amp;" ["&amp;'FEMA Disasters'!$B$2:$B$1000&amp;"] "&amp;'FEMA Disasters'!$C$2:$C$1000&amp;"-"&amp;'FEMA Disasters'!$A$2:$A$1000,""))</f>
        <v>Fire begin: [OR] FM-5534</v>
      </c>
      <c r="H247" s="4" t="n">
        <f aca="false">COUNTIF(Events!$A$2:$A$397,$A247)</f>
        <v>0</v>
      </c>
      <c r="I247" s="6" t="str">
        <f aca="false" t="array" ref="I247:I247">_xlfn.TEXTJOIN(" | ",TRUE(),IF(Events!$A$2:$A$397=$A247,Events!$E$2:$E$397&amp;IF(Events!$G$2:$G$397="National",""," ["&amp;Events!$G$2:$G$397&amp;"]"),""))</f>
        <v/>
      </c>
    </row>
    <row r="248" customFormat="false" ht="15" hidden="false" customHeight="true" outlineLevel="0" collapsed="false">
      <c r="A248" s="3" t="n">
        <v>45538</v>
      </c>
      <c r="B248" s="4" t="n">
        <f aca="false">YEAR($A248)</f>
        <v>2024</v>
      </c>
      <c r="C248" s="4" t="n">
        <f aca="false">MONTH($A248)</f>
        <v>9</v>
      </c>
      <c r="D248" s="4" t="str">
        <f aca="false">TEXT($A248,"ddd")</f>
        <v>Tue</v>
      </c>
      <c r="E248" s="4" t="n">
        <f aca="false">IF(OR(AND(MONTH($A248)=10,DAY($A248)&gt;=15),MONTH($A248)=11,AND(MONTH($A248)=12,DAY($A248)&lt;=7)),1,0)</f>
        <v>0</v>
      </c>
      <c r="F248" s="4" t="n">
        <f aca="false">IF(MONTH($A248)&lt;=3,1,0)</f>
        <v>0</v>
      </c>
      <c r="G248" s="4" t="str">
        <f aca="false" t="array" ref="G248:G248">_xlfn.TEXTJOIN(" | ",TRUE(),IF('FEMA Disasters'!$F$2:$F$1000=$A248,'FEMA Disasters'!$D$2:$D$1000&amp;" begin: ["&amp;'FEMA Disasters'!$B$2:$B$1000&amp;"] "&amp;'FEMA Disasters'!$C$2:$C$1000&amp;"-"&amp;'FEMA Disasters'!$A$2:$A$1000,""),IF('FEMA Disasters'!$G$2:$G$1000=$A248,'FEMA Disasters'!$D$2:$D$1000&amp;" ended: ["&amp;'FEMA Disasters'!$B$2:$B$1000&amp;"] "&amp;'FEMA Disasters'!$C$2:$C$1000&amp;"-"&amp;'FEMA Disasters'!$A$2:$A$1000,""),IF('FEMA Disasters'!$K$2:$K$1000=$A248,"Disaster SEP opens: "&amp;'FEMA Disasters'!$D$2:$D$1000&amp;" ["&amp;'FEMA Disasters'!$B$2:$B$1000&amp;"] "&amp;'FEMA Disasters'!$C$2:$C$1000&amp;"-"&amp;'FEMA Disasters'!$A$2:$A$1000,""),IF('FEMA Disasters'!$L$2:$L$1000=$A248,"Disaster SEP ended: "&amp;'FEMA Disasters'!$D$2:$D$1000&amp;" ["&amp;'FEMA Disasters'!$B$2:$B$1000&amp;"] "&amp;'FEMA Disasters'!$C$2:$C$1000&amp;"-"&amp;'FEMA Disasters'!$A$2:$A$1000,""))</f>
        <v/>
      </c>
      <c r="H248" s="4" t="n">
        <f aca="false">COUNTIF(Events!$A$2:$A$397,$A248)</f>
        <v>0</v>
      </c>
      <c r="I248" s="6" t="str">
        <f aca="false" t="array" ref="I248:I248">_xlfn.TEXTJOIN(" | ",TRUE(),IF(Events!$A$2:$A$397=$A248,Events!$E$2:$E$397&amp;IF(Events!$G$2:$G$397="National",""," ["&amp;Events!$G$2:$G$397&amp;"]"),""))</f>
        <v/>
      </c>
    </row>
    <row r="249" customFormat="false" ht="15" hidden="false" customHeight="true" outlineLevel="0" collapsed="false">
      <c r="A249" s="3" t="n">
        <v>45539</v>
      </c>
      <c r="B249" s="4" t="n">
        <f aca="false">YEAR($A249)</f>
        <v>2024</v>
      </c>
      <c r="C249" s="4" t="n">
        <f aca="false">MONTH($A249)</f>
        <v>9</v>
      </c>
      <c r="D249" s="4" t="str">
        <f aca="false">TEXT($A249,"ddd")</f>
        <v>Wed</v>
      </c>
      <c r="E249" s="4" t="n">
        <f aca="false">IF(OR(AND(MONTH($A249)=10,DAY($A249)&gt;=15),MONTH($A249)=11,AND(MONTH($A249)=12,DAY($A249)&lt;=7)),1,0)</f>
        <v>0</v>
      </c>
      <c r="F249" s="4" t="n">
        <f aca="false">IF(MONTH($A249)&lt;=3,1,0)</f>
        <v>0</v>
      </c>
      <c r="G249" s="4" t="str">
        <f aca="false" t="array" ref="G249:G249">_xlfn.TEXTJOIN(" | ",TRUE(),IF('FEMA Disasters'!$F$2:$F$1000=$A249,'FEMA Disasters'!$D$2:$D$1000&amp;" begin: ["&amp;'FEMA Disasters'!$B$2:$B$1000&amp;"] "&amp;'FEMA Disasters'!$C$2:$C$1000&amp;"-"&amp;'FEMA Disasters'!$A$2:$A$1000,""),IF('FEMA Disasters'!$G$2:$G$1000=$A249,'FEMA Disasters'!$D$2:$D$1000&amp;" ended: ["&amp;'FEMA Disasters'!$B$2:$B$1000&amp;"] "&amp;'FEMA Disasters'!$C$2:$C$1000&amp;"-"&amp;'FEMA Disasters'!$A$2:$A$1000,""),IF('FEMA Disasters'!$K$2:$K$1000=$A249,"Disaster SEP opens: "&amp;'FEMA Disasters'!$D$2:$D$1000&amp;" ["&amp;'FEMA Disasters'!$B$2:$B$1000&amp;"] "&amp;'FEMA Disasters'!$C$2:$C$1000&amp;"-"&amp;'FEMA Disasters'!$A$2:$A$1000,""),IF('FEMA Disasters'!$L$2:$L$1000=$A249,"Disaster SEP ended: "&amp;'FEMA Disasters'!$D$2:$D$1000&amp;" ["&amp;'FEMA Disasters'!$B$2:$B$1000&amp;"] "&amp;'FEMA Disasters'!$C$2:$C$1000&amp;"-"&amp;'FEMA Disasters'!$A$2:$A$1000,""))</f>
        <v/>
      </c>
      <c r="H249" s="4" t="n">
        <f aca="false">COUNTIF(Events!$A$2:$A$397,$A249)</f>
        <v>0</v>
      </c>
      <c r="I249" s="6" t="str">
        <f aca="false" t="array" ref="I249:I249">_xlfn.TEXTJOIN(" | ",TRUE(),IF(Events!$A$2:$A$397=$A249,Events!$E$2:$E$397&amp;IF(Events!$G$2:$G$397="National",""," ["&amp;Events!$G$2:$G$397&amp;"]"),""))</f>
        <v/>
      </c>
    </row>
    <row r="250" customFormat="false" ht="15" hidden="false" customHeight="true" outlineLevel="0" collapsed="false">
      <c r="A250" s="3" t="n">
        <v>45540</v>
      </c>
      <c r="B250" s="4" t="n">
        <f aca="false">YEAR($A250)</f>
        <v>2024</v>
      </c>
      <c r="C250" s="4" t="n">
        <f aca="false">MONTH($A250)</f>
        <v>9</v>
      </c>
      <c r="D250" s="4" t="str">
        <f aca="false">TEXT($A250,"ddd")</f>
        <v>Thu</v>
      </c>
      <c r="E250" s="4" t="n">
        <f aca="false">IF(OR(AND(MONTH($A250)=10,DAY($A250)&gt;=15),MONTH($A250)=11,AND(MONTH($A250)=12,DAY($A250)&lt;=7)),1,0)</f>
        <v>0</v>
      </c>
      <c r="F250" s="4" t="n">
        <f aca="false">IF(MONTH($A250)&lt;=3,1,0)</f>
        <v>0</v>
      </c>
      <c r="G250" s="4" t="str">
        <f aca="false" t="array" ref="G250:G250">_xlfn.TEXTJOIN(" | ",TRUE(),IF('FEMA Disasters'!$F$2:$F$1000=$A250,'FEMA Disasters'!$D$2:$D$1000&amp;" begin: ["&amp;'FEMA Disasters'!$B$2:$B$1000&amp;"] "&amp;'FEMA Disasters'!$C$2:$C$1000&amp;"-"&amp;'FEMA Disasters'!$A$2:$A$1000,""),IF('FEMA Disasters'!$G$2:$G$1000=$A250,'FEMA Disasters'!$D$2:$D$1000&amp;" ended: ["&amp;'FEMA Disasters'!$B$2:$B$1000&amp;"] "&amp;'FEMA Disasters'!$C$2:$C$1000&amp;"-"&amp;'FEMA Disasters'!$A$2:$A$1000,""),IF('FEMA Disasters'!$K$2:$K$1000=$A250,"Disaster SEP opens: "&amp;'FEMA Disasters'!$D$2:$D$1000&amp;" ["&amp;'FEMA Disasters'!$B$2:$B$1000&amp;"] "&amp;'FEMA Disasters'!$C$2:$C$1000&amp;"-"&amp;'FEMA Disasters'!$A$2:$A$1000,""),IF('FEMA Disasters'!$L$2:$L$1000=$A250,"Disaster SEP ended: "&amp;'FEMA Disasters'!$D$2:$D$1000&amp;" ["&amp;'FEMA Disasters'!$B$2:$B$1000&amp;"] "&amp;'FEMA Disasters'!$C$2:$C$1000&amp;"-"&amp;'FEMA Disasters'!$A$2:$A$1000,""))</f>
        <v/>
      </c>
      <c r="H250" s="4" t="n">
        <f aca="false">COUNTIF(Events!$A$2:$A$397,$A250)</f>
        <v>0</v>
      </c>
      <c r="I250" s="6" t="str">
        <f aca="false" t="array" ref="I250:I250">_xlfn.TEXTJOIN(" | ",TRUE(),IF(Events!$A$2:$A$397=$A250,Events!$E$2:$E$397&amp;IF(Events!$G$2:$G$397="National",""," ["&amp;Events!$G$2:$G$397&amp;"]"),""))</f>
        <v/>
      </c>
    </row>
    <row r="251" customFormat="false" ht="15" hidden="false" customHeight="true" outlineLevel="0" collapsed="false">
      <c r="A251" s="3" t="n">
        <v>45541</v>
      </c>
      <c r="B251" s="4" t="n">
        <f aca="false">YEAR($A251)</f>
        <v>2024</v>
      </c>
      <c r="C251" s="4" t="n">
        <f aca="false">MONTH($A251)</f>
        <v>9</v>
      </c>
      <c r="D251" s="4" t="str">
        <f aca="false">TEXT($A251,"ddd")</f>
        <v>Fri</v>
      </c>
      <c r="E251" s="4" t="n">
        <f aca="false">IF(OR(AND(MONTH($A251)=10,DAY($A251)&gt;=15),MONTH($A251)=11,AND(MONTH($A251)=12,DAY($A251)&lt;=7)),1,0)</f>
        <v>0</v>
      </c>
      <c r="F251" s="4" t="n">
        <f aca="false">IF(MONTH($A251)&lt;=3,1,0)</f>
        <v>0</v>
      </c>
      <c r="G251" s="4" t="str">
        <f aca="false" t="array" ref="G251:G251">_xlfn.TEXTJOIN(" | ",TRUE(),IF('FEMA Disasters'!$F$2:$F$1000=$A251,'FEMA Disasters'!$D$2:$D$1000&amp;" begin: ["&amp;'FEMA Disasters'!$B$2:$B$1000&amp;"] "&amp;'FEMA Disasters'!$C$2:$C$1000&amp;"-"&amp;'FEMA Disasters'!$A$2:$A$1000,""),IF('FEMA Disasters'!$G$2:$G$1000=$A251,'FEMA Disasters'!$D$2:$D$1000&amp;" ended: ["&amp;'FEMA Disasters'!$B$2:$B$1000&amp;"] "&amp;'FEMA Disasters'!$C$2:$C$1000&amp;"-"&amp;'FEMA Disasters'!$A$2:$A$1000,""),IF('FEMA Disasters'!$K$2:$K$1000=$A251,"Disaster SEP opens: "&amp;'FEMA Disasters'!$D$2:$D$1000&amp;" ["&amp;'FEMA Disasters'!$B$2:$B$1000&amp;"] "&amp;'FEMA Disasters'!$C$2:$C$1000&amp;"-"&amp;'FEMA Disasters'!$A$2:$A$1000,""),IF('FEMA Disasters'!$L$2:$L$1000=$A251,"Disaster SEP ended: "&amp;'FEMA Disasters'!$D$2:$D$1000&amp;" ["&amp;'FEMA Disasters'!$B$2:$B$1000&amp;"] "&amp;'FEMA Disasters'!$C$2:$C$1000&amp;"-"&amp;'FEMA Disasters'!$A$2:$A$1000,""))</f>
        <v/>
      </c>
      <c r="H251" s="4" t="n">
        <f aca="false">COUNTIF(Events!$A$2:$A$397,$A251)</f>
        <v>0</v>
      </c>
      <c r="I251" s="6" t="str">
        <f aca="false" t="array" ref="I251:I251">_xlfn.TEXTJOIN(" | ",TRUE(),IF(Events!$A$2:$A$397=$A251,Events!$E$2:$E$397&amp;IF(Events!$G$2:$G$397="National",""," ["&amp;Events!$G$2:$G$397&amp;"]"),""))</f>
        <v/>
      </c>
    </row>
    <row r="252" customFormat="false" ht="15" hidden="false" customHeight="true" outlineLevel="0" collapsed="false">
      <c r="A252" s="3" t="n">
        <v>45542</v>
      </c>
      <c r="B252" s="4" t="n">
        <f aca="false">YEAR($A252)</f>
        <v>2024</v>
      </c>
      <c r="C252" s="4" t="n">
        <f aca="false">MONTH($A252)</f>
        <v>9</v>
      </c>
      <c r="D252" s="4" t="str">
        <f aca="false">TEXT($A252,"ddd")</f>
        <v>Sat</v>
      </c>
      <c r="E252" s="4" t="n">
        <f aca="false">IF(OR(AND(MONTH($A252)=10,DAY($A252)&gt;=15),MONTH($A252)=11,AND(MONTH($A252)=12,DAY($A252)&lt;=7)),1,0)</f>
        <v>0</v>
      </c>
      <c r="F252" s="4" t="n">
        <f aca="false">IF(MONTH($A252)&lt;=3,1,0)</f>
        <v>0</v>
      </c>
      <c r="G252" s="4" t="str">
        <f aca="false" t="array" ref="G252:G252">_xlfn.TEXTJOIN(" | ",TRUE(),IF('FEMA Disasters'!$F$2:$F$1000=$A252,'FEMA Disasters'!$D$2:$D$1000&amp;" begin: ["&amp;'FEMA Disasters'!$B$2:$B$1000&amp;"] "&amp;'FEMA Disasters'!$C$2:$C$1000&amp;"-"&amp;'FEMA Disasters'!$A$2:$A$1000,""),IF('FEMA Disasters'!$G$2:$G$1000=$A252,'FEMA Disasters'!$D$2:$D$1000&amp;" ended: ["&amp;'FEMA Disasters'!$B$2:$B$1000&amp;"] "&amp;'FEMA Disasters'!$C$2:$C$1000&amp;"-"&amp;'FEMA Disasters'!$A$2:$A$1000,""),IF('FEMA Disasters'!$K$2:$K$1000=$A252,"Disaster SEP opens: "&amp;'FEMA Disasters'!$D$2:$D$1000&amp;" ["&amp;'FEMA Disasters'!$B$2:$B$1000&amp;"] "&amp;'FEMA Disasters'!$C$2:$C$1000&amp;"-"&amp;'FEMA Disasters'!$A$2:$A$1000,""),IF('FEMA Disasters'!$L$2:$L$1000=$A252,"Disaster SEP ended: "&amp;'FEMA Disasters'!$D$2:$D$1000&amp;" ["&amp;'FEMA Disasters'!$B$2:$B$1000&amp;"] "&amp;'FEMA Disasters'!$C$2:$C$1000&amp;"-"&amp;'FEMA Disasters'!$A$2:$A$1000,""))</f>
        <v>Fire begin: [NV] FM-5533 | Fire begin: [CA] FM-5535</v>
      </c>
      <c r="H252" s="4" t="n">
        <f aca="false">COUNTIF(Events!$A$2:$A$397,$A252)</f>
        <v>0</v>
      </c>
      <c r="I252" s="6" t="str">
        <f aca="false" t="array" ref="I252:I252">_xlfn.TEXTJOIN(" | ",TRUE(),IF(Events!$A$2:$A$397=$A252,Events!$E$2:$E$397&amp;IF(Events!$G$2:$G$397="National",""," ["&amp;Events!$G$2:$G$397&amp;"]"),""))</f>
        <v/>
      </c>
    </row>
    <row r="253" customFormat="false" ht="15" hidden="false" customHeight="true" outlineLevel="0" collapsed="false">
      <c r="A253" s="3" t="n">
        <v>45543</v>
      </c>
      <c r="B253" s="4" t="n">
        <f aca="false">YEAR($A253)</f>
        <v>2024</v>
      </c>
      <c r="C253" s="4" t="n">
        <f aca="false">MONTH($A253)</f>
        <v>9</v>
      </c>
      <c r="D253" s="4" t="str">
        <f aca="false">TEXT($A253,"ddd")</f>
        <v>Sun</v>
      </c>
      <c r="E253" s="4" t="n">
        <f aca="false">IF(OR(AND(MONTH($A253)=10,DAY($A253)&gt;=15),MONTH($A253)=11,AND(MONTH($A253)=12,DAY($A253)&lt;=7)),1,0)</f>
        <v>0</v>
      </c>
      <c r="F253" s="4" t="n">
        <f aca="false">IF(MONTH($A253)&lt;=3,1,0)</f>
        <v>0</v>
      </c>
      <c r="G253" s="4" t="str">
        <f aca="false" t="array" ref="G253:G253">_xlfn.TEXTJOIN(" | ",TRUE(),IF('FEMA Disasters'!$F$2:$F$1000=$A253,'FEMA Disasters'!$D$2:$D$1000&amp;" begin: ["&amp;'FEMA Disasters'!$B$2:$B$1000&amp;"] "&amp;'FEMA Disasters'!$C$2:$C$1000&amp;"-"&amp;'FEMA Disasters'!$A$2:$A$1000,""),IF('FEMA Disasters'!$G$2:$G$1000=$A253,'FEMA Disasters'!$D$2:$D$1000&amp;" ended: ["&amp;'FEMA Disasters'!$B$2:$B$1000&amp;"] "&amp;'FEMA Disasters'!$C$2:$C$1000&amp;"-"&amp;'FEMA Disasters'!$A$2:$A$1000,""),IF('FEMA Disasters'!$K$2:$K$1000=$A253,"Disaster SEP opens: "&amp;'FEMA Disasters'!$D$2:$D$1000&amp;" ["&amp;'FEMA Disasters'!$B$2:$B$1000&amp;"] "&amp;'FEMA Disasters'!$C$2:$C$1000&amp;"-"&amp;'FEMA Disasters'!$A$2:$A$1000,""),IF('FEMA Disasters'!$L$2:$L$1000=$A253,"Disaster SEP ended: "&amp;'FEMA Disasters'!$D$2:$D$1000&amp;" ["&amp;'FEMA Disasters'!$B$2:$B$1000&amp;"] "&amp;'FEMA Disasters'!$C$2:$C$1000&amp;"-"&amp;'FEMA Disasters'!$A$2:$A$1000,""))</f>
        <v>Fire begin: [CA] FM-5536</v>
      </c>
      <c r="H253" s="4" t="n">
        <f aca="false">COUNTIF(Events!$A$2:$A$397,$A253)</f>
        <v>0</v>
      </c>
      <c r="I253" s="6" t="str">
        <f aca="false" t="array" ref="I253:I253">_xlfn.TEXTJOIN(" | ",TRUE(),IF(Events!$A$2:$A$397=$A253,Events!$E$2:$E$397&amp;IF(Events!$G$2:$G$397="National",""," ["&amp;Events!$G$2:$G$397&amp;"]"),""))</f>
        <v/>
      </c>
    </row>
    <row r="254" customFormat="false" ht="15" hidden="false" customHeight="true" outlineLevel="0" collapsed="false">
      <c r="A254" s="3" t="n">
        <v>45544</v>
      </c>
      <c r="B254" s="4" t="n">
        <f aca="false">YEAR($A254)</f>
        <v>2024</v>
      </c>
      <c r="C254" s="4" t="n">
        <f aca="false">MONTH($A254)</f>
        <v>9</v>
      </c>
      <c r="D254" s="4" t="str">
        <f aca="false">TEXT($A254,"ddd")</f>
        <v>Mon</v>
      </c>
      <c r="E254" s="4" t="n">
        <f aca="false">IF(OR(AND(MONTH($A254)=10,DAY($A254)&gt;=15),MONTH($A254)=11,AND(MONTH($A254)=12,DAY($A254)&lt;=7)),1,0)</f>
        <v>0</v>
      </c>
      <c r="F254" s="4" t="n">
        <f aca="false">IF(MONTH($A254)&lt;=3,1,0)</f>
        <v>0</v>
      </c>
      <c r="G254" s="4" t="str">
        <f aca="false" t="array" ref="G254:G254">_xlfn.TEXTJOIN(" | ",TRUE(),IF('FEMA Disasters'!$F$2:$F$1000=$A254,'FEMA Disasters'!$D$2:$D$1000&amp;" begin: ["&amp;'FEMA Disasters'!$B$2:$B$1000&amp;"] "&amp;'FEMA Disasters'!$C$2:$C$1000&amp;"-"&amp;'FEMA Disasters'!$A$2:$A$1000,""),IF('FEMA Disasters'!$G$2:$G$1000=$A254,'FEMA Disasters'!$D$2:$D$1000&amp;" ended: ["&amp;'FEMA Disasters'!$B$2:$B$1000&amp;"] "&amp;'FEMA Disasters'!$C$2:$C$1000&amp;"-"&amp;'FEMA Disasters'!$A$2:$A$1000,""),IF('FEMA Disasters'!$K$2:$K$1000=$A254,"Disaster SEP opens: "&amp;'FEMA Disasters'!$D$2:$D$1000&amp;" ["&amp;'FEMA Disasters'!$B$2:$B$1000&amp;"] "&amp;'FEMA Disasters'!$C$2:$C$1000&amp;"-"&amp;'FEMA Disasters'!$A$2:$A$1000,""),IF('FEMA Disasters'!$L$2:$L$1000=$A254,"Disaster SEP ended: "&amp;'FEMA Disasters'!$D$2:$D$1000&amp;" ["&amp;'FEMA Disasters'!$B$2:$B$1000&amp;"] "&amp;'FEMA Disasters'!$C$2:$C$1000&amp;"-"&amp;'FEMA Disasters'!$A$2:$A$1000,""))</f>
        <v>Hurricane begin: [LA] DR-4817</v>
      </c>
      <c r="H254" s="4" t="n">
        <f aca="false">COUNTIF(Events!$A$2:$A$397,$A254)</f>
        <v>0</v>
      </c>
      <c r="I254" s="6" t="str">
        <f aca="false" t="array" ref="I254:I254">_xlfn.TEXTJOIN(" | ",TRUE(),IF(Events!$A$2:$A$397=$A254,Events!$E$2:$E$397&amp;IF(Events!$G$2:$G$397="National",""," ["&amp;Events!$G$2:$G$397&amp;"]"),""))</f>
        <v/>
      </c>
    </row>
    <row r="255" customFormat="false" ht="15" hidden="false" customHeight="true" outlineLevel="0" collapsed="false">
      <c r="A255" s="3" t="n">
        <v>45545</v>
      </c>
      <c r="B255" s="4" t="n">
        <f aca="false">YEAR($A255)</f>
        <v>2024</v>
      </c>
      <c r="C255" s="4" t="n">
        <f aca="false">MONTH($A255)</f>
        <v>9</v>
      </c>
      <c r="D255" s="4" t="str">
        <f aca="false">TEXT($A255,"ddd")</f>
        <v>Tue</v>
      </c>
      <c r="E255" s="4" t="n">
        <f aca="false">IF(OR(AND(MONTH($A255)=10,DAY($A255)&gt;=15),MONTH($A255)=11,AND(MONTH($A255)=12,DAY($A255)&lt;=7)),1,0)</f>
        <v>0</v>
      </c>
      <c r="F255" s="4" t="n">
        <f aca="false">IF(MONTH($A255)&lt;=3,1,0)</f>
        <v>0</v>
      </c>
      <c r="G255" s="4" t="str">
        <f aca="false" t="array" ref="G255:G255">_xlfn.TEXTJOIN(" | ",TRUE(),IF('FEMA Disasters'!$F$2:$F$1000=$A255,'FEMA Disasters'!$D$2:$D$1000&amp;" begin: ["&amp;'FEMA Disasters'!$B$2:$B$1000&amp;"] "&amp;'FEMA Disasters'!$C$2:$C$1000&amp;"-"&amp;'FEMA Disasters'!$A$2:$A$1000,""),IF('FEMA Disasters'!$G$2:$G$1000=$A255,'FEMA Disasters'!$D$2:$D$1000&amp;" ended: ["&amp;'FEMA Disasters'!$B$2:$B$1000&amp;"] "&amp;'FEMA Disasters'!$C$2:$C$1000&amp;"-"&amp;'FEMA Disasters'!$A$2:$A$1000,""),IF('FEMA Disasters'!$K$2:$K$1000=$A255,"Disaster SEP opens: "&amp;'FEMA Disasters'!$D$2:$D$1000&amp;" ["&amp;'FEMA Disasters'!$B$2:$B$1000&amp;"] "&amp;'FEMA Disasters'!$C$2:$C$1000&amp;"-"&amp;'FEMA Disasters'!$A$2:$A$1000,""),IF('FEMA Disasters'!$L$2:$L$1000=$A255,"Disaster SEP ended: "&amp;'FEMA Disasters'!$D$2:$D$1000&amp;" ["&amp;'FEMA Disasters'!$B$2:$B$1000&amp;"] "&amp;'FEMA Disasters'!$C$2:$C$1000&amp;"-"&amp;'FEMA Disasters'!$A$2:$A$1000,""))</f>
        <v>Hurricane begin: [LA] EM-3614 | Fire begin: [CA] FM-5537</v>
      </c>
      <c r="H255" s="4" t="n">
        <f aca="false">COUNTIF(Events!$A$2:$A$397,$A255)</f>
        <v>0</v>
      </c>
      <c r="I255" s="6" t="str">
        <f aca="false" t="array" ref="I255:I255">_xlfn.TEXTJOIN(" | ",TRUE(),IF(Events!$A$2:$A$397=$A255,Events!$E$2:$E$397&amp;IF(Events!$G$2:$G$397="National",""," ["&amp;Events!$G$2:$G$397&amp;"]"),""))</f>
        <v/>
      </c>
    </row>
    <row r="256" customFormat="false" ht="15" hidden="false" customHeight="true" outlineLevel="0" collapsed="false">
      <c r="A256" s="3" t="n">
        <v>45546</v>
      </c>
      <c r="B256" s="4" t="n">
        <f aca="false">YEAR($A256)</f>
        <v>2024</v>
      </c>
      <c r="C256" s="4" t="n">
        <f aca="false">MONTH($A256)</f>
        <v>9</v>
      </c>
      <c r="D256" s="4" t="str">
        <f aca="false">TEXT($A256,"ddd")</f>
        <v>Wed</v>
      </c>
      <c r="E256" s="4" t="n">
        <f aca="false">IF(OR(AND(MONTH($A256)=10,DAY($A256)&gt;=15),MONTH($A256)=11,AND(MONTH($A256)=12,DAY($A256)&lt;=7)),1,0)</f>
        <v>0</v>
      </c>
      <c r="F256" s="4" t="n">
        <f aca="false">IF(MONTH($A256)&lt;=3,1,0)</f>
        <v>0</v>
      </c>
      <c r="G256" s="4" t="str">
        <f aca="false" t="array" ref="G256:G256">_xlfn.TEXTJOIN(" | ",TRUE(),IF('FEMA Disasters'!$F$2:$F$1000=$A256,'FEMA Disasters'!$D$2:$D$1000&amp;" begin: ["&amp;'FEMA Disasters'!$B$2:$B$1000&amp;"] "&amp;'FEMA Disasters'!$C$2:$C$1000&amp;"-"&amp;'FEMA Disasters'!$A$2:$A$1000,""),IF('FEMA Disasters'!$G$2:$G$1000=$A256,'FEMA Disasters'!$D$2:$D$1000&amp;" ended: ["&amp;'FEMA Disasters'!$B$2:$B$1000&amp;"] "&amp;'FEMA Disasters'!$C$2:$C$1000&amp;"-"&amp;'FEMA Disasters'!$A$2:$A$1000,""),IF('FEMA Disasters'!$K$2:$K$1000=$A256,"Disaster SEP opens: "&amp;'FEMA Disasters'!$D$2:$D$1000&amp;" ["&amp;'FEMA Disasters'!$B$2:$B$1000&amp;"] "&amp;'FEMA Disasters'!$C$2:$C$1000&amp;"-"&amp;'FEMA Disasters'!$A$2:$A$1000,""),IF('FEMA Disasters'!$L$2:$L$1000=$A256,"Disaster SEP ended: "&amp;'FEMA Disasters'!$D$2:$D$1000&amp;" ["&amp;'FEMA Disasters'!$B$2:$B$1000&amp;"] "&amp;'FEMA Disasters'!$C$2:$C$1000&amp;"-"&amp;'FEMA Disasters'!$A$2:$A$1000,""))</f>
        <v>Fire begin: [CA] FM-5538 | Fire ended: [CA] FM-5536</v>
      </c>
      <c r="H256" s="4" t="n">
        <f aca="false">COUNTIF(Events!$A$2:$A$397,$A256)</f>
        <v>0</v>
      </c>
      <c r="I256" s="6" t="str">
        <f aca="false" t="array" ref="I256:I256">_xlfn.TEXTJOIN(" | ",TRUE(),IF(Events!$A$2:$A$397=$A256,Events!$E$2:$E$397&amp;IF(Events!$G$2:$G$397="National",""," ["&amp;Events!$G$2:$G$397&amp;"]"),""))</f>
        <v/>
      </c>
    </row>
    <row r="257" customFormat="false" ht="15" hidden="false" customHeight="true" outlineLevel="0" collapsed="false">
      <c r="A257" s="3" t="n">
        <v>45547</v>
      </c>
      <c r="B257" s="4" t="n">
        <f aca="false">YEAR($A257)</f>
        <v>2024</v>
      </c>
      <c r="C257" s="4" t="n">
        <f aca="false">MONTH($A257)</f>
        <v>9</v>
      </c>
      <c r="D257" s="4" t="str">
        <f aca="false">TEXT($A257,"ddd")</f>
        <v>Thu</v>
      </c>
      <c r="E257" s="4" t="n">
        <f aca="false">IF(OR(AND(MONTH($A257)=10,DAY($A257)&gt;=15),MONTH($A257)=11,AND(MONTH($A257)=12,DAY($A257)&lt;=7)),1,0)</f>
        <v>0</v>
      </c>
      <c r="F257" s="4" t="n">
        <f aca="false">IF(MONTH($A257)&lt;=3,1,0)</f>
        <v>0</v>
      </c>
      <c r="G257" s="4" t="str">
        <f aca="false" t="array" ref="G257:G257">_xlfn.TEXTJOIN(" | ",TRUE(),IF('FEMA Disasters'!$F$2:$F$1000=$A257,'FEMA Disasters'!$D$2:$D$1000&amp;" begin: ["&amp;'FEMA Disasters'!$B$2:$B$1000&amp;"] "&amp;'FEMA Disasters'!$C$2:$C$1000&amp;"-"&amp;'FEMA Disasters'!$A$2:$A$1000,""),IF('FEMA Disasters'!$G$2:$G$1000=$A257,'FEMA Disasters'!$D$2:$D$1000&amp;" ended: ["&amp;'FEMA Disasters'!$B$2:$B$1000&amp;"] "&amp;'FEMA Disasters'!$C$2:$C$1000&amp;"-"&amp;'FEMA Disasters'!$A$2:$A$1000,""),IF('FEMA Disasters'!$K$2:$K$1000=$A257,"Disaster SEP opens: "&amp;'FEMA Disasters'!$D$2:$D$1000&amp;" ["&amp;'FEMA Disasters'!$B$2:$B$1000&amp;"] "&amp;'FEMA Disasters'!$C$2:$C$1000&amp;"-"&amp;'FEMA Disasters'!$A$2:$A$1000,""),IF('FEMA Disasters'!$L$2:$L$1000=$A257,"Disaster SEP ended: "&amp;'FEMA Disasters'!$D$2:$D$1000&amp;" ["&amp;'FEMA Disasters'!$B$2:$B$1000&amp;"] "&amp;'FEMA Disasters'!$C$2:$C$1000&amp;"-"&amp;'FEMA Disasters'!$A$2:$A$1000,""))</f>
        <v>Hurricane ended: [LA] DR-4817 | Hurricane ended: [LA] EM-3614</v>
      </c>
      <c r="H257" s="4" t="n">
        <f aca="false">COUNTIF(Events!$A$2:$A$397,$A257)</f>
        <v>0</v>
      </c>
      <c r="I257" s="6" t="str">
        <f aca="false" t="array" ref="I257:I257">_xlfn.TEXTJOIN(" | ",TRUE(),IF(Events!$A$2:$A$397=$A257,Events!$E$2:$E$397&amp;IF(Events!$G$2:$G$397="National",""," ["&amp;Events!$G$2:$G$397&amp;"]"),""))</f>
        <v/>
      </c>
    </row>
    <row r="258" customFormat="false" ht="15" hidden="false" customHeight="true" outlineLevel="0" collapsed="false">
      <c r="A258" s="3" t="n">
        <v>45548</v>
      </c>
      <c r="B258" s="4" t="n">
        <f aca="false">YEAR($A258)</f>
        <v>2024</v>
      </c>
      <c r="C258" s="4" t="n">
        <f aca="false">MONTH($A258)</f>
        <v>9</v>
      </c>
      <c r="D258" s="4" t="str">
        <f aca="false">TEXT($A258,"ddd")</f>
        <v>Fri</v>
      </c>
      <c r="E258" s="4" t="n">
        <f aca="false">IF(OR(AND(MONTH($A258)=10,DAY($A258)&gt;=15),MONTH($A258)=11,AND(MONTH($A258)=12,DAY($A258)&lt;=7)),1,0)</f>
        <v>0</v>
      </c>
      <c r="F258" s="4" t="n">
        <f aca="false">IF(MONTH($A258)&lt;=3,1,0)</f>
        <v>0</v>
      </c>
      <c r="G258" s="4" t="str">
        <f aca="false" t="array" ref="G258:G258">_xlfn.TEXTJOIN(" | ",TRUE(),IF('FEMA Disasters'!$F$2:$F$1000=$A258,'FEMA Disasters'!$D$2:$D$1000&amp;" begin: ["&amp;'FEMA Disasters'!$B$2:$B$1000&amp;"] "&amp;'FEMA Disasters'!$C$2:$C$1000&amp;"-"&amp;'FEMA Disasters'!$A$2:$A$1000,""),IF('FEMA Disasters'!$G$2:$G$1000=$A258,'FEMA Disasters'!$D$2:$D$1000&amp;" ended: ["&amp;'FEMA Disasters'!$B$2:$B$1000&amp;"] "&amp;'FEMA Disasters'!$C$2:$C$1000&amp;"-"&amp;'FEMA Disasters'!$A$2:$A$1000,""),IF('FEMA Disasters'!$K$2:$K$1000=$A258,"Disaster SEP opens: "&amp;'FEMA Disasters'!$D$2:$D$1000&amp;" ["&amp;'FEMA Disasters'!$B$2:$B$1000&amp;"] "&amp;'FEMA Disasters'!$C$2:$C$1000&amp;"-"&amp;'FEMA Disasters'!$A$2:$A$1000,""),IF('FEMA Disasters'!$L$2:$L$1000=$A258,"Disaster SEP ended: "&amp;'FEMA Disasters'!$D$2:$D$1000&amp;" ["&amp;'FEMA Disasters'!$B$2:$B$1000&amp;"] "&amp;'FEMA Disasters'!$C$2:$C$1000&amp;"-"&amp;'FEMA Disasters'!$A$2:$A$1000,""))</f>
        <v/>
      </c>
      <c r="H258" s="4" t="n">
        <f aca="false">COUNTIF(Events!$A$2:$A$397,$A258)</f>
        <v>0</v>
      </c>
      <c r="I258" s="6" t="str">
        <f aca="false" t="array" ref="I258:I258">_xlfn.TEXTJOIN(" | ",TRUE(),IF(Events!$A$2:$A$397=$A258,Events!$E$2:$E$397&amp;IF(Events!$G$2:$G$397="National",""," ["&amp;Events!$G$2:$G$397&amp;"]"),""))</f>
        <v/>
      </c>
    </row>
    <row r="259" customFormat="false" ht="15" hidden="false" customHeight="true" outlineLevel="0" collapsed="false">
      <c r="A259" s="3" t="n">
        <v>45549</v>
      </c>
      <c r="B259" s="4" t="n">
        <f aca="false">YEAR($A259)</f>
        <v>2024</v>
      </c>
      <c r="C259" s="4" t="n">
        <f aca="false">MONTH($A259)</f>
        <v>9</v>
      </c>
      <c r="D259" s="4" t="str">
        <f aca="false">TEXT($A259,"ddd")</f>
        <v>Sat</v>
      </c>
      <c r="E259" s="4" t="n">
        <f aca="false">IF(OR(AND(MONTH($A259)=10,DAY($A259)&gt;=15),MONTH($A259)=11,AND(MONTH($A259)=12,DAY($A259)&lt;=7)),1,0)</f>
        <v>0</v>
      </c>
      <c r="F259" s="4" t="n">
        <f aca="false">IF(MONTH($A259)&lt;=3,1,0)</f>
        <v>0</v>
      </c>
      <c r="G259" s="4" t="str">
        <f aca="false" t="array" ref="G259:G259">_xlfn.TEXTJOIN(" | ",TRUE(),IF('FEMA Disasters'!$F$2:$F$1000=$A259,'FEMA Disasters'!$D$2:$D$1000&amp;" begin: ["&amp;'FEMA Disasters'!$B$2:$B$1000&amp;"] "&amp;'FEMA Disasters'!$C$2:$C$1000&amp;"-"&amp;'FEMA Disasters'!$A$2:$A$1000,""),IF('FEMA Disasters'!$G$2:$G$1000=$A259,'FEMA Disasters'!$D$2:$D$1000&amp;" ended: ["&amp;'FEMA Disasters'!$B$2:$B$1000&amp;"] "&amp;'FEMA Disasters'!$C$2:$C$1000&amp;"-"&amp;'FEMA Disasters'!$A$2:$A$1000,""),IF('FEMA Disasters'!$K$2:$K$1000=$A259,"Disaster SEP opens: "&amp;'FEMA Disasters'!$D$2:$D$1000&amp;" ["&amp;'FEMA Disasters'!$B$2:$B$1000&amp;"] "&amp;'FEMA Disasters'!$C$2:$C$1000&amp;"-"&amp;'FEMA Disasters'!$A$2:$A$1000,""),IF('FEMA Disasters'!$L$2:$L$1000=$A259,"Disaster SEP ended: "&amp;'FEMA Disasters'!$D$2:$D$1000&amp;" ["&amp;'FEMA Disasters'!$B$2:$B$1000&amp;"] "&amp;'FEMA Disasters'!$C$2:$C$1000&amp;"-"&amp;'FEMA Disasters'!$A$2:$A$1000,""))</f>
        <v/>
      </c>
      <c r="H259" s="4" t="n">
        <f aca="false">COUNTIF(Events!$A$2:$A$397,$A259)</f>
        <v>0</v>
      </c>
      <c r="I259" s="6" t="str">
        <f aca="false" t="array" ref="I259:I259">_xlfn.TEXTJOIN(" | ",TRUE(),IF(Events!$A$2:$A$397=$A259,Events!$E$2:$E$397&amp;IF(Events!$G$2:$G$397="National",""," ["&amp;Events!$G$2:$G$397&amp;"]"),""))</f>
        <v/>
      </c>
    </row>
    <row r="260" customFormat="false" ht="15" hidden="false" customHeight="true" outlineLevel="0" collapsed="false">
      <c r="A260" s="3" t="n">
        <v>45550</v>
      </c>
      <c r="B260" s="4" t="n">
        <f aca="false">YEAR($A260)</f>
        <v>2024</v>
      </c>
      <c r="C260" s="4" t="n">
        <f aca="false">MONTH($A260)</f>
        <v>9</v>
      </c>
      <c r="D260" s="4" t="str">
        <f aca="false">TEXT($A260,"ddd")</f>
        <v>Sun</v>
      </c>
      <c r="E260" s="4" t="n">
        <f aca="false">IF(OR(AND(MONTH($A260)=10,DAY($A260)&gt;=15),MONTH($A260)=11,AND(MONTH($A260)=12,DAY($A260)&lt;=7)),1,0)</f>
        <v>0</v>
      </c>
      <c r="F260" s="4" t="n">
        <f aca="false">IF(MONTH($A260)&lt;=3,1,0)</f>
        <v>0</v>
      </c>
      <c r="G260" s="4" t="str">
        <f aca="false" t="array" ref="G260:G260">_xlfn.TEXTJOIN(" | ",TRUE(),IF('FEMA Disasters'!$F$2:$F$1000=$A260,'FEMA Disasters'!$D$2:$D$1000&amp;" begin: ["&amp;'FEMA Disasters'!$B$2:$B$1000&amp;"] "&amp;'FEMA Disasters'!$C$2:$C$1000&amp;"-"&amp;'FEMA Disasters'!$A$2:$A$1000,""),IF('FEMA Disasters'!$G$2:$G$1000=$A260,'FEMA Disasters'!$D$2:$D$1000&amp;" ended: ["&amp;'FEMA Disasters'!$B$2:$B$1000&amp;"] "&amp;'FEMA Disasters'!$C$2:$C$1000&amp;"-"&amp;'FEMA Disasters'!$A$2:$A$1000,""),IF('FEMA Disasters'!$K$2:$K$1000=$A260,"Disaster SEP opens: "&amp;'FEMA Disasters'!$D$2:$D$1000&amp;" ["&amp;'FEMA Disasters'!$B$2:$B$1000&amp;"] "&amp;'FEMA Disasters'!$C$2:$C$1000&amp;"-"&amp;'FEMA Disasters'!$A$2:$A$1000,""),IF('FEMA Disasters'!$L$2:$L$1000=$A260,"Disaster SEP ended: "&amp;'FEMA Disasters'!$D$2:$D$1000&amp;" ["&amp;'FEMA Disasters'!$B$2:$B$1000&amp;"] "&amp;'FEMA Disasters'!$C$2:$C$1000&amp;"-"&amp;'FEMA Disasters'!$A$2:$A$1000,""))</f>
        <v>Fire ended: [NV] FM-5533</v>
      </c>
      <c r="H260" s="4" t="n">
        <f aca="false">COUNTIF(Events!$A$2:$A$397,$A260)</f>
        <v>0</v>
      </c>
      <c r="I260" s="6" t="str">
        <f aca="false" t="array" ref="I260:I260">_xlfn.TEXTJOIN(" | ",TRUE(),IF(Events!$A$2:$A$397=$A260,Events!$E$2:$E$397&amp;IF(Events!$G$2:$G$397="National",""," ["&amp;Events!$G$2:$G$397&amp;"]"),""))</f>
        <v/>
      </c>
    </row>
    <row r="261" customFormat="false" ht="15" hidden="false" customHeight="true" outlineLevel="0" collapsed="false">
      <c r="A261" s="3" t="n">
        <v>45551</v>
      </c>
      <c r="B261" s="4" t="n">
        <f aca="false">YEAR($A261)</f>
        <v>2024</v>
      </c>
      <c r="C261" s="4" t="n">
        <f aca="false">MONTH($A261)</f>
        <v>9</v>
      </c>
      <c r="D261" s="4" t="str">
        <f aca="false">TEXT($A261,"ddd")</f>
        <v>Mon</v>
      </c>
      <c r="E261" s="4" t="n">
        <f aca="false">IF(OR(AND(MONTH($A261)=10,DAY($A261)&gt;=15),MONTH($A261)=11,AND(MONTH($A261)=12,DAY($A261)&lt;=7)),1,0)</f>
        <v>0</v>
      </c>
      <c r="F261" s="4" t="n">
        <f aca="false">IF(MONTH($A261)&lt;=3,1,0)</f>
        <v>0</v>
      </c>
      <c r="G261" s="4" t="str">
        <f aca="false" t="array" ref="G261:G261">_xlfn.TEXTJOIN(" | ",TRUE(),IF('FEMA Disasters'!$F$2:$F$1000=$A261,'FEMA Disasters'!$D$2:$D$1000&amp;" begin: ["&amp;'FEMA Disasters'!$B$2:$B$1000&amp;"] "&amp;'FEMA Disasters'!$C$2:$C$1000&amp;"-"&amp;'FEMA Disasters'!$A$2:$A$1000,""),IF('FEMA Disasters'!$G$2:$G$1000=$A261,'FEMA Disasters'!$D$2:$D$1000&amp;" ended: ["&amp;'FEMA Disasters'!$B$2:$B$1000&amp;"] "&amp;'FEMA Disasters'!$C$2:$C$1000&amp;"-"&amp;'FEMA Disasters'!$A$2:$A$1000,""),IF('FEMA Disasters'!$K$2:$K$1000=$A261,"Disaster SEP opens: "&amp;'FEMA Disasters'!$D$2:$D$1000&amp;" ["&amp;'FEMA Disasters'!$B$2:$B$1000&amp;"] "&amp;'FEMA Disasters'!$C$2:$C$1000&amp;"-"&amp;'FEMA Disasters'!$A$2:$A$1000,""),IF('FEMA Disasters'!$L$2:$L$1000=$A261,"Disaster SEP ended: "&amp;'FEMA Disasters'!$D$2:$D$1000&amp;" ["&amp;'FEMA Disasters'!$B$2:$B$1000&amp;"] "&amp;'FEMA Disasters'!$C$2:$C$1000&amp;"-"&amp;'FEMA Disasters'!$A$2:$A$1000,""))</f>
        <v>Tropical Storm begin: [NC] DR-4837</v>
      </c>
      <c r="H261" s="4" t="n">
        <f aca="false">COUNTIF(Events!$A$2:$A$397,$A261)</f>
        <v>0</v>
      </c>
      <c r="I261" s="6" t="str">
        <f aca="false" t="array" ref="I261:I261">_xlfn.TEXTJOIN(" | ",TRUE(),IF(Events!$A$2:$A$397=$A261,Events!$E$2:$E$397&amp;IF(Events!$G$2:$G$397="National",""," ["&amp;Events!$G$2:$G$397&amp;"]"),""))</f>
        <v/>
      </c>
    </row>
    <row r="262" customFormat="false" ht="15" hidden="false" customHeight="true" outlineLevel="0" collapsed="false">
      <c r="A262" s="3" t="n">
        <v>45552</v>
      </c>
      <c r="B262" s="4" t="n">
        <f aca="false">YEAR($A262)</f>
        <v>2024</v>
      </c>
      <c r="C262" s="4" t="n">
        <f aca="false">MONTH($A262)</f>
        <v>9</v>
      </c>
      <c r="D262" s="4" t="str">
        <f aca="false">TEXT($A262,"ddd")</f>
        <v>Tue</v>
      </c>
      <c r="E262" s="4" t="n">
        <f aca="false">IF(OR(AND(MONTH($A262)=10,DAY($A262)&gt;=15),MONTH($A262)=11,AND(MONTH($A262)=12,DAY($A262)&lt;=7)),1,0)</f>
        <v>0</v>
      </c>
      <c r="F262" s="4" t="n">
        <f aca="false">IF(MONTH($A262)&lt;=3,1,0)</f>
        <v>0</v>
      </c>
      <c r="G262" s="4" t="str">
        <f aca="false" t="array" ref="G262:G262">_xlfn.TEXTJOIN(" | ",TRUE(),IF('FEMA Disasters'!$F$2:$F$1000=$A262,'FEMA Disasters'!$D$2:$D$1000&amp;" begin: ["&amp;'FEMA Disasters'!$B$2:$B$1000&amp;"] "&amp;'FEMA Disasters'!$C$2:$C$1000&amp;"-"&amp;'FEMA Disasters'!$A$2:$A$1000,""),IF('FEMA Disasters'!$G$2:$G$1000=$A262,'FEMA Disasters'!$D$2:$D$1000&amp;" ended: ["&amp;'FEMA Disasters'!$B$2:$B$1000&amp;"] "&amp;'FEMA Disasters'!$C$2:$C$1000&amp;"-"&amp;'FEMA Disasters'!$A$2:$A$1000,""),IF('FEMA Disasters'!$K$2:$K$1000=$A262,"Disaster SEP opens: "&amp;'FEMA Disasters'!$D$2:$D$1000&amp;" ["&amp;'FEMA Disasters'!$B$2:$B$1000&amp;"] "&amp;'FEMA Disasters'!$C$2:$C$1000&amp;"-"&amp;'FEMA Disasters'!$A$2:$A$1000,""),IF('FEMA Disasters'!$L$2:$L$1000=$A262,"Disaster SEP ended: "&amp;'FEMA Disasters'!$D$2:$D$1000&amp;" ["&amp;'FEMA Disasters'!$B$2:$B$1000&amp;"] "&amp;'FEMA Disasters'!$C$2:$C$1000&amp;"-"&amp;'FEMA Disasters'!$A$2:$A$1000,""))</f>
        <v/>
      </c>
      <c r="H262" s="4" t="n">
        <f aca="false">COUNTIF(Events!$A$2:$A$397,$A262)</f>
        <v>0</v>
      </c>
      <c r="I262" s="6" t="str">
        <f aca="false" t="array" ref="I262:I262">_xlfn.TEXTJOIN(" | ",TRUE(),IF(Events!$A$2:$A$397=$A262,Events!$E$2:$E$397&amp;IF(Events!$G$2:$G$397="National",""," ["&amp;Events!$G$2:$G$397&amp;"]"),""))</f>
        <v/>
      </c>
    </row>
    <row r="263" customFormat="false" ht="15" hidden="false" customHeight="true" outlineLevel="0" collapsed="false">
      <c r="A263" s="3" t="n">
        <v>45553</v>
      </c>
      <c r="B263" s="4" t="n">
        <f aca="false">YEAR($A263)</f>
        <v>2024</v>
      </c>
      <c r="C263" s="4" t="n">
        <f aca="false">MONTH($A263)</f>
        <v>9</v>
      </c>
      <c r="D263" s="4" t="str">
        <f aca="false">TEXT($A263,"ddd")</f>
        <v>Wed</v>
      </c>
      <c r="E263" s="4" t="n">
        <f aca="false">IF(OR(AND(MONTH($A263)=10,DAY($A263)&gt;=15),MONTH($A263)=11,AND(MONTH($A263)=12,DAY($A263)&lt;=7)),1,0)</f>
        <v>0</v>
      </c>
      <c r="F263" s="4" t="n">
        <f aca="false">IF(MONTH($A263)&lt;=3,1,0)</f>
        <v>0</v>
      </c>
      <c r="G263" s="4" t="str">
        <f aca="false" t="array" ref="G263:G263">_xlfn.TEXTJOIN(" | ",TRUE(),IF('FEMA Disasters'!$F$2:$F$1000=$A263,'FEMA Disasters'!$D$2:$D$1000&amp;" begin: ["&amp;'FEMA Disasters'!$B$2:$B$1000&amp;"] "&amp;'FEMA Disasters'!$C$2:$C$1000&amp;"-"&amp;'FEMA Disasters'!$A$2:$A$1000,""),IF('FEMA Disasters'!$G$2:$G$1000=$A263,'FEMA Disasters'!$D$2:$D$1000&amp;" ended: ["&amp;'FEMA Disasters'!$B$2:$B$1000&amp;"] "&amp;'FEMA Disasters'!$C$2:$C$1000&amp;"-"&amp;'FEMA Disasters'!$A$2:$A$1000,""),IF('FEMA Disasters'!$K$2:$K$1000=$A263,"Disaster SEP opens: "&amp;'FEMA Disasters'!$D$2:$D$1000&amp;" ["&amp;'FEMA Disasters'!$B$2:$B$1000&amp;"] "&amp;'FEMA Disasters'!$C$2:$C$1000&amp;"-"&amp;'FEMA Disasters'!$A$2:$A$1000,""),IF('FEMA Disasters'!$L$2:$L$1000=$A263,"Disaster SEP ended: "&amp;'FEMA Disasters'!$D$2:$D$1000&amp;" ["&amp;'FEMA Disasters'!$B$2:$B$1000&amp;"] "&amp;'FEMA Disasters'!$C$2:$C$1000&amp;"-"&amp;'FEMA Disasters'!$A$2:$A$1000,""))</f>
        <v/>
      </c>
      <c r="H263" s="4" t="n">
        <f aca="false">COUNTIF(Events!$A$2:$A$397,$A263)</f>
        <v>0</v>
      </c>
      <c r="I263" s="6" t="str">
        <f aca="false" t="array" ref="I263:I263">_xlfn.TEXTJOIN(" | ",TRUE(),IF(Events!$A$2:$A$397=$A263,Events!$E$2:$E$397&amp;IF(Events!$G$2:$G$397="National",""," ["&amp;Events!$G$2:$G$397&amp;"]"),""))</f>
        <v/>
      </c>
    </row>
    <row r="264" customFormat="false" ht="15" hidden="false" customHeight="true" outlineLevel="0" collapsed="false">
      <c r="A264" s="3" t="n">
        <v>45554</v>
      </c>
      <c r="B264" s="4" t="n">
        <f aca="false">YEAR($A264)</f>
        <v>2024</v>
      </c>
      <c r="C264" s="4" t="n">
        <f aca="false">MONTH($A264)</f>
        <v>9</v>
      </c>
      <c r="D264" s="4" t="str">
        <f aca="false">TEXT($A264,"ddd")</f>
        <v>Thu</v>
      </c>
      <c r="E264" s="4" t="n">
        <f aca="false">IF(OR(AND(MONTH($A264)=10,DAY($A264)&gt;=15),MONTH($A264)=11,AND(MONTH($A264)=12,DAY($A264)&lt;=7)),1,0)</f>
        <v>0</v>
      </c>
      <c r="F264" s="4" t="n">
        <f aca="false">IF(MONTH($A264)&lt;=3,1,0)</f>
        <v>0</v>
      </c>
      <c r="G264" s="4" t="str">
        <f aca="false" t="array" ref="G264:G264">_xlfn.TEXTJOIN(" | ",TRUE(),IF('FEMA Disasters'!$F$2:$F$1000=$A264,'FEMA Disasters'!$D$2:$D$1000&amp;" begin: ["&amp;'FEMA Disasters'!$B$2:$B$1000&amp;"] "&amp;'FEMA Disasters'!$C$2:$C$1000&amp;"-"&amp;'FEMA Disasters'!$A$2:$A$1000,""),IF('FEMA Disasters'!$G$2:$G$1000=$A264,'FEMA Disasters'!$D$2:$D$1000&amp;" ended: ["&amp;'FEMA Disasters'!$B$2:$B$1000&amp;"] "&amp;'FEMA Disasters'!$C$2:$C$1000&amp;"-"&amp;'FEMA Disasters'!$A$2:$A$1000,""),IF('FEMA Disasters'!$K$2:$K$1000=$A264,"Disaster SEP opens: "&amp;'FEMA Disasters'!$D$2:$D$1000&amp;" ["&amp;'FEMA Disasters'!$B$2:$B$1000&amp;"] "&amp;'FEMA Disasters'!$C$2:$C$1000&amp;"-"&amp;'FEMA Disasters'!$A$2:$A$1000,""),IF('FEMA Disasters'!$L$2:$L$1000=$A264,"Disaster SEP ended: "&amp;'FEMA Disasters'!$D$2:$D$1000&amp;" ["&amp;'FEMA Disasters'!$B$2:$B$1000&amp;"] "&amp;'FEMA Disasters'!$C$2:$C$1000&amp;"-"&amp;'FEMA Disasters'!$A$2:$A$1000,""))</f>
        <v/>
      </c>
      <c r="H264" s="4" t="n">
        <f aca="false">COUNTIF(Events!$A$2:$A$397,$A264)</f>
        <v>0</v>
      </c>
      <c r="I264" s="6" t="str">
        <f aca="false" t="array" ref="I264:I264">_xlfn.TEXTJOIN(" | ",TRUE(),IF(Events!$A$2:$A$397=$A264,Events!$E$2:$E$397&amp;IF(Events!$G$2:$G$397="National",""," ["&amp;Events!$G$2:$G$397&amp;"]"),""))</f>
        <v/>
      </c>
    </row>
    <row r="265" customFormat="false" ht="15" hidden="false" customHeight="true" outlineLevel="0" collapsed="false">
      <c r="A265" s="3" t="n">
        <v>45555</v>
      </c>
      <c r="B265" s="4" t="n">
        <f aca="false">YEAR($A265)</f>
        <v>2024</v>
      </c>
      <c r="C265" s="4" t="n">
        <f aca="false">MONTH($A265)</f>
        <v>9</v>
      </c>
      <c r="D265" s="4" t="str">
        <f aca="false">TEXT($A265,"ddd")</f>
        <v>Fri</v>
      </c>
      <c r="E265" s="4" t="n">
        <f aca="false">IF(OR(AND(MONTH($A265)=10,DAY($A265)&gt;=15),MONTH($A265)=11,AND(MONTH($A265)=12,DAY($A265)&lt;=7)),1,0)</f>
        <v>0</v>
      </c>
      <c r="F265" s="4" t="n">
        <f aca="false">IF(MONTH($A265)&lt;=3,1,0)</f>
        <v>0</v>
      </c>
      <c r="G265" s="4" t="str">
        <f aca="false" t="array" ref="G265:G265">_xlfn.TEXTJOIN(" | ",TRUE(),IF('FEMA Disasters'!$F$2:$F$1000=$A265,'FEMA Disasters'!$D$2:$D$1000&amp;" begin: ["&amp;'FEMA Disasters'!$B$2:$B$1000&amp;"] "&amp;'FEMA Disasters'!$C$2:$C$1000&amp;"-"&amp;'FEMA Disasters'!$A$2:$A$1000,""),IF('FEMA Disasters'!$G$2:$G$1000=$A265,'FEMA Disasters'!$D$2:$D$1000&amp;" ended: ["&amp;'FEMA Disasters'!$B$2:$B$1000&amp;"] "&amp;'FEMA Disasters'!$C$2:$C$1000&amp;"-"&amp;'FEMA Disasters'!$A$2:$A$1000,""),IF('FEMA Disasters'!$K$2:$K$1000=$A265,"Disaster SEP opens: "&amp;'FEMA Disasters'!$D$2:$D$1000&amp;" ["&amp;'FEMA Disasters'!$B$2:$B$1000&amp;"] "&amp;'FEMA Disasters'!$C$2:$C$1000&amp;"-"&amp;'FEMA Disasters'!$A$2:$A$1000,""),IF('FEMA Disasters'!$L$2:$L$1000=$A265,"Disaster SEP ended: "&amp;'FEMA Disasters'!$D$2:$D$1000&amp;" ["&amp;'FEMA Disasters'!$B$2:$B$1000&amp;"] "&amp;'FEMA Disasters'!$C$2:$C$1000&amp;"-"&amp;'FEMA Disasters'!$A$2:$A$1000,""))</f>
        <v>Tropical Storm ended: [NC] DR-4837</v>
      </c>
      <c r="H265" s="4" t="n">
        <f aca="false">COUNTIF(Events!$A$2:$A$397,$A265)</f>
        <v>0</v>
      </c>
      <c r="I265" s="6" t="str">
        <f aca="false" t="array" ref="I265:I265">_xlfn.TEXTJOIN(" | ",TRUE(),IF(Events!$A$2:$A$397=$A265,Events!$E$2:$E$397&amp;IF(Events!$G$2:$G$397="National",""," ["&amp;Events!$G$2:$G$397&amp;"]"),""))</f>
        <v/>
      </c>
    </row>
    <row r="266" customFormat="false" ht="15" hidden="false" customHeight="true" outlineLevel="0" collapsed="false">
      <c r="A266" s="3" t="n">
        <v>45556</v>
      </c>
      <c r="B266" s="4" t="n">
        <f aca="false">YEAR($A266)</f>
        <v>2024</v>
      </c>
      <c r="C266" s="4" t="n">
        <f aca="false">MONTH($A266)</f>
        <v>9</v>
      </c>
      <c r="D266" s="4" t="str">
        <f aca="false">TEXT($A266,"ddd")</f>
        <v>Sat</v>
      </c>
      <c r="E266" s="4" t="n">
        <f aca="false">IF(OR(AND(MONTH($A266)=10,DAY($A266)&gt;=15),MONTH($A266)=11,AND(MONTH($A266)=12,DAY($A266)&lt;=7)),1,0)</f>
        <v>0</v>
      </c>
      <c r="F266" s="4" t="n">
        <f aca="false">IF(MONTH($A266)&lt;=3,1,0)</f>
        <v>0</v>
      </c>
      <c r="G266" s="4" t="str">
        <f aca="false" t="array" ref="G266:G266">_xlfn.TEXTJOIN(" | ",TRUE(),IF('FEMA Disasters'!$F$2:$F$1000=$A266,'FEMA Disasters'!$D$2:$D$1000&amp;" begin: ["&amp;'FEMA Disasters'!$B$2:$B$1000&amp;"] "&amp;'FEMA Disasters'!$C$2:$C$1000&amp;"-"&amp;'FEMA Disasters'!$A$2:$A$1000,""),IF('FEMA Disasters'!$G$2:$G$1000=$A266,'FEMA Disasters'!$D$2:$D$1000&amp;" ended: ["&amp;'FEMA Disasters'!$B$2:$B$1000&amp;"] "&amp;'FEMA Disasters'!$C$2:$C$1000&amp;"-"&amp;'FEMA Disasters'!$A$2:$A$1000,""),IF('FEMA Disasters'!$K$2:$K$1000=$A266,"Disaster SEP opens: "&amp;'FEMA Disasters'!$D$2:$D$1000&amp;" ["&amp;'FEMA Disasters'!$B$2:$B$1000&amp;"] "&amp;'FEMA Disasters'!$C$2:$C$1000&amp;"-"&amp;'FEMA Disasters'!$A$2:$A$1000,""),IF('FEMA Disasters'!$L$2:$L$1000=$A266,"Disaster SEP ended: "&amp;'FEMA Disasters'!$D$2:$D$1000&amp;" ["&amp;'FEMA Disasters'!$B$2:$B$1000&amp;"] "&amp;'FEMA Disasters'!$C$2:$C$1000&amp;"-"&amp;'FEMA Disasters'!$A$2:$A$1000,""))</f>
        <v>Fire ended: [CA] FM-5538</v>
      </c>
      <c r="H266" s="4" t="n">
        <f aca="false">COUNTIF(Events!$A$2:$A$397,$A266)</f>
        <v>0</v>
      </c>
      <c r="I266" s="6" t="str">
        <f aca="false" t="array" ref="I266:I266">_xlfn.TEXTJOIN(" | ",TRUE(),IF(Events!$A$2:$A$397=$A266,Events!$E$2:$E$397&amp;IF(Events!$G$2:$G$397="National",""," ["&amp;Events!$G$2:$G$397&amp;"]"),""))</f>
        <v/>
      </c>
    </row>
    <row r="267" customFormat="false" ht="15" hidden="false" customHeight="true" outlineLevel="0" collapsed="false">
      <c r="A267" s="3" t="n">
        <v>45557</v>
      </c>
      <c r="B267" s="4" t="n">
        <f aca="false">YEAR($A267)</f>
        <v>2024</v>
      </c>
      <c r="C267" s="4" t="n">
        <f aca="false">MONTH($A267)</f>
        <v>9</v>
      </c>
      <c r="D267" s="4" t="str">
        <f aca="false">TEXT($A267,"ddd")</f>
        <v>Sun</v>
      </c>
      <c r="E267" s="4" t="n">
        <f aca="false">IF(OR(AND(MONTH($A267)=10,DAY($A267)&gt;=15),MONTH($A267)=11,AND(MONTH($A267)=12,DAY($A267)&lt;=7)),1,0)</f>
        <v>0</v>
      </c>
      <c r="F267" s="4" t="n">
        <f aca="false">IF(MONTH($A267)&lt;=3,1,0)</f>
        <v>0</v>
      </c>
      <c r="G267" s="4" t="str">
        <f aca="false" t="array" ref="G267:G267">_xlfn.TEXTJOIN(" | ",TRUE(),IF('FEMA Disasters'!$F$2:$F$1000=$A267,'FEMA Disasters'!$D$2:$D$1000&amp;" begin: ["&amp;'FEMA Disasters'!$B$2:$B$1000&amp;"] "&amp;'FEMA Disasters'!$C$2:$C$1000&amp;"-"&amp;'FEMA Disasters'!$A$2:$A$1000,""),IF('FEMA Disasters'!$G$2:$G$1000=$A267,'FEMA Disasters'!$D$2:$D$1000&amp;" ended: ["&amp;'FEMA Disasters'!$B$2:$B$1000&amp;"] "&amp;'FEMA Disasters'!$C$2:$C$1000&amp;"-"&amp;'FEMA Disasters'!$A$2:$A$1000,""),IF('FEMA Disasters'!$K$2:$K$1000=$A267,"Disaster SEP opens: "&amp;'FEMA Disasters'!$D$2:$D$1000&amp;" ["&amp;'FEMA Disasters'!$B$2:$B$1000&amp;"] "&amp;'FEMA Disasters'!$C$2:$C$1000&amp;"-"&amp;'FEMA Disasters'!$A$2:$A$1000,""),IF('FEMA Disasters'!$L$2:$L$1000=$A267,"Disaster SEP ended: "&amp;'FEMA Disasters'!$D$2:$D$1000&amp;" ["&amp;'FEMA Disasters'!$B$2:$B$1000&amp;"] "&amp;'FEMA Disasters'!$C$2:$C$1000&amp;"-"&amp;'FEMA Disasters'!$A$2:$A$1000,""))</f>
        <v>Hurricane begin: [AL] EM-3618</v>
      </c>
      <c r="H267" s="4" t="n">
        <f aca="false">COUNTIF(Events!$A$2:$A$397,$A267)</f>
        <v>0</v>
      </c>
      <c r="I267" s="6" t="str">
        <f aca="false" t="array" ref="I267:I267">_xlfn.TEXTJOIN(" | ",TRUE(),IF(Events!$A$2:$A$397=$A267,Events!$E$2:$E$397&amp;IF(Events!$G$2:$G$397="National",""," ["&amp;Events!$G$2:$G$397&amp;"]"),""))</f>
        <v/>
      </c>
    </row>
    <row r="268" customFormat="false" ht="15" hidden="false" customHeight="true" outlineLevel="0" collapsed="false">
      <c r="A268" s="3" t="n">
        <v>45558</v>
      </c>
      <c r="B268" s="4" t="n">
        <f aca="false">YEAR($A268)</f>
        <v>2024</v>
      </c>
      <c r="C268" s="4" t="n">
        <f aca="false">MONTH($A268)</f>
        <v>9</v>
      </c>
      <c r="D268" s="4" t="str">
        <f aca="false">TEXT($A268,"ddd")</f>
        <v>Mon</v>
      </c>
      <c r="E268" s="4" t="n">
        <f aca="false">IF(OR(AND(MONTH($A268)=10,DAY($A268)&gt;=15),MONTH($A268)=11,AND(MONTH($A268)=12,DAY($A268)&lt;=7)),1,0)</f>
        <v>0</v>
      </c>
      <c r="F268" s="4" t="n">
        <f aca="false">IF(MONTH($A268)&lt;=3,1,0)</f>
        <v>0</v>
      </c>
      <c r="G268" s="4" t="str">
        <f aca="false" t="array" ref="G268:G268">_xlfn.TEXTJOIN(" | ",TRUE(),IF('FEMA Disasters'!$F$2:$F$1000=$A268,'FEMA Disasters'!$D$2:$D$1000&amp;" begin: ["&amp;'FEMA Disasters'!$B$2:$B$1000&amp;"] "&amp;'FEMA Disasters'!$C$2:$C$1000&amp;"-"&amp;'FEMA Disasters'!$A$2:$A$1000,""),IF('FEMA Disasters'!$G$2:$G$1000=$A268,'FEMA Disasters'!$D$2:$D$1000&amp;" ended: ["&amp;'FEMA Disasters'!$B$2:$B$1000&amp;"] "&amp;'FEMA Disasters'!$C$2:$C$1000&amp;"-"&amp;'FEMA Disasters'!$A$2:$A$1000,""),IF('FEMA Disasters'!$K$2:$K$1000=$A268,"Disaster SEP opens: "&amp;'FEMA Disasters'!$D$2:$D$1000&amp;" ["&amp;'FEMA Disasters'!$B$2:$B$1000&amp;"] "&amp;'FEMA Disasters'!$C$2:$C$1000&amp;"-"&amp;'FEMA Disasters'!$A$2:$A$1000,""),IF('FEMA Disasters'!$L$2:$L$1000=$A268,"Disaster SEP ended: "&amp;'FEMA Disasters'!$D$2:$D$1000&amp;" ["&amp;'FEMA Disasters'!$B$2:$B$1000&amp;"] "&amp;'FEMA Disasters'!$C$2:$C$1000&amp;"-"&amp;'FEMA Disasters'!$A$2:$A$1000,""))</f>
        <v>Tropical Storm begin: [FL] EM-3615 | Hurricane begin: [FL] DR-4828</v>
      </c>
      <c r="H268" s="4" t="n">
        <f aca="false">COUNTIF(Events!$A$2:$A$397,$A268)</f>
        <v>0</v>
      </c>
      <c r="I268" s="6" t="str">
        <f aca="false" t="array" ref="I268:I268">_xlfn.TEXTJOIN(" | ",TRUE(),IF(Events!$A$2:$A$397=$A268,Events!$E$2:$E$397&amp;IF(Events!$G$2:$G$397="National",""," ["&amp;Events!$G$2:$G$397&amp;"]"),""))</f>
        <v/>
      </c>
    </row>
    <row r="269" customFormat="false" ht="15" hidden="false" customHeight="true" outlineLevel="0" collapsed="false">
      <c r="A269" s="3" t="n">
        <v>45559</v>
      </c>
      <c r="B269" s="4" t="n">
        <f aca="false">YEAR($A269)</f>
        <v>2024</v>
      </c>
      <c r="C269" s="4" t="n">
        <f aca="false">MONTH($A269)</f>
        <v>9</v>
      </c>
      <c r="D269" s="4" t="str">
        <f aca="false">TEXT($A269,"ddd")</f>
        <v>Tue</v>
      </c>
      <c r="E269" s="4" t="n">
        <f aca="false">IF(OR(AND(MONTH($A269)=10,DAY($A269)&gt;=15),MONTH($A269)=11,AND(MONTH($A269)=12,DAY($A269)&lt;=7)),1,0)</f>
        <v>0</v>
      </c>
      <c r="F269" s="4" t="n">
        <f aca="false">IF(MONTH($A269)&lt;=3,1,0)</f>
        <v>0</v>
      </c>
      <c r="G269" s="4" t="str">
        <f aca="false" t="array" ref="G269:G269">_xlfn.TEXTJOIN(" | ",TRUE(),IF('FEMA Disasters'!$F$2:$F$1000=$A269,'FEMA Disasters'!$D$2:$D$1000&amp;" begin: ["&amp;'FEMA Disasters'!$B$2:$B$1000&amp;"] "&amp;'FEMA Disasters'!$C$2:$C$1000&amp;"-"&amp;'FEMA Disasters'!$A$2:$A$1000,""),IF('FEMA Disasters'!$G$2:$G$1000=$A269,'FEMA Disasters'!$D$2:$D$1000&amp;" ended: ["&amp;'FEMA Disasters'!$B$2:$B$1000&amp;"] "&amp;'FEMA Disasters'!$C$2:$C$1000&amp;"-"&amp;'FEMA Disasters'!$A$2:$A$1000,""),IF('FEMA Disasters'!$K$2:$K$1000=$A269,"Disaster SEP opens: "&amp;'FEMA Disasters'!$D$2:$D$1000&amp;" ["&amp;'FEMA Disasters'!$B$2:$B$1000&amp;"] "&amp;'FEMA Disasters'!$C$2:$C$1000&amp;"-"&amp;'FEMA Disasters'!$A$2:$A$1000,""),IF('FEMA Disasters'!$L$2:$L$1000=$A269,"Disaster SEP ended: "&amp;'FEMA Disasters'!$D$2:$D$1000&amp;" ["&amp;'FEMA Disasters'!$B$2:$B$1000&amp;"] "&amp;'FEMA Disasters'!$C$2:$C$1000&amp;"-"&amp;'FEMA Disasters'!$A$2:$A$1000,""))</f>
        <v>Tropical Storm begin: [GA] EM-3616 | Hurricane begin: [GA] DR-4830 | Fire ended: [CA] FM-5537</v>
      </c>
      <c r="H269" s="4" t="n">
        <f aca="false">COUNTIF(Events!$A$2:$A$397,$A269)</f>
        <v>0</v>
      </c>
      <c r="I269" s="6" t="str">
        <f aca="false" t="array" ref="I269:I269">_xlfn.TEXTJOIN(" | ",TRUE(),IF(Events!$A$2:$A$397=$A269,Events!$E$2:$E$397&amp;IF(Events!$G$2:$G$397="National",""," ["&amp;Events!$G$2:$G$397&amp;"]"),""))</f>
        <v/>
      </c>
    </row>
    <row r="270" customFormat="false" ht="15" hidden="false" customHeight="true" outlineLevel="0" collapsed="false">
      <c r="A270" s="3" t="n">
        <v>45560</v>
      </c>
      <c r="B270" s="4" t="n">
        <f aca="false">YEAR($A270)</f>
        <v>2024</v>
      </c>
      <c r="C270" s="4" t="n">
        <f aca="false">MONTH($A270)</f>
        <v>9</v>
      </c>
      <c r="D270" s="4" t="str">
        <f aca="false">TEXT($A270,"ddd")</f>
        <v>Wed</v>
      </c>
      <c r="E270" s="4" t="n">
        <f aca="false">IF(OR(AND(MONTH($A270)=10,DAY($A270)&gt;=15),MONTH($A270)=11,AND(MONTH($A270)=12,DAY($A270)&lt;=7)),1,0)</f>
        <v>0</v>
      </c>
      <c r="F270" s="4" t="n">
        <f aca="false">IF(MONTH($A270)&lt;=3,1,0)</f>
        <v>0</v>
      </c>
      <c r="G270" s="4" t="str">
        <f aca="false" t="array" ref="G270:G270">_xlfn.TEXTJOIN(" | ",TRUE(),IF('FEMA Disasters'!$F$2:$F$1000=$A270,'FEMA Disasters'!$D$2:$D$1000&amp;" begin: ["&amp;'FEMA Disasters'!$B$2:$B$1000&amp;"] "&amp;'FEMA Disasters'!$C$2:$C$1000&amp;"-"&amp;'FEMA Disasters'!$A$2:$A$1000,""),IF('FEMA Disasters'!$G$2:$G$1000=$A270,'FEMA Disasters'!$D$2:$D$1000&amp;" ended: ["&amp;'FEMA Disasters'!$B$2:$B$1000&amp;"] "&amp;'FEMA Disasters'!$C$2:$C$1000&amp;"-"&amp;'FEMA Disasters'!$A$2:$A$1000,""),IF('FEMA Disasters'!$K$2:$K$1000=$A270,"Disaster SEP opens: "&amp;'FEMA Disasters'!$D$2:$D$1000&amp;" ["&amp;'FEMA Disasters'!$B$2:$B$1000&amp;"] "&amp;'FEMA Disasters'!$C$2:$C$1000&amp;"-"&amp;'FEMA Disasters'!$A$2:$A$1000,""),IF('FEMA Disasters'!$L$2:$L$1000=$A270,"Disaster SEP ended: "&amp;'FEMA Disasters'!$D$2:$D$1000&amp;" ["&amp;'FEMA Disasters'!$B$2:$B$1000&amp;"] "&amp;'FEMA Disasters'!$C$2:$C$1000&amp;"-"&amp;'FEMA Disasters'!$A$2:$A$1000,""))</f>
        <v>Tropical Storm begin: [NC] EM-3617 | Tropical Storm begin: [SC] EM-3619 | Tropical Storm begin: [VA] EM-3621 | Tropical Storm begin: [NC] DR-4827 | Hurricane begin: [SC] DR-4829 | Tropical Storm begin: [VA] DR-4831 | Tropical Storm begin: [WV] DR-4851</v>
      </c>
      <c r="H270" s="4" t="n">
        <f aca="false">COUNTIF(Events!$A$2:$A$397,$A270)</f>
        <v>0</v>
      </c>
      <c r="I270" s="6" t="str">
        <f aca="false" t="array" ref="I270:I270">_xlfn.TEXTJOIN(" | ",TRUE(),IF(Events!$A$2:$A$397=$A270,Events!$E$2:$E$397&amp;IF(Events!$G$2:$G$397="National",""," ["&amp;Events!$G$2:$G$397&amp;"]"),""))</f>
        <v/>
      </c>
    </row>
    <row r="271" customFormat="false" ht="15" hidden="false" customHeight="true" outlineLevel="0" collapsed="false">
      <c r="A271" s="3" t="n">
        <v>45561</v>
      </c>
      <c r="B271" s="4" t="n">
        <f aca="false">YEAR($A271)</f>
        <v>2024</v>
      </c>
      <c r="C271" s="4" t="n">
        <f aca="false">MONTH($A271)</f>
        <v>9</v>
      </c>
      <c r="D271" s="4" t="str">
        <f aca="false">TEXT($A271,"ddd")</f>
        <v>Thu</v>
      </c>
      <c r="E271" s="4" t="n">
        <f aca="false">IF(OR(AND(MONTH($A271)=10,DAY($A271)&gt;=15),MONTH($A271)=11,AND(MONTH($A271)=12,DAY($A271)&lt;=7)),1,0)</f>
        <v>0</v>
      </c>
      <c r="F271" s="4" t="n">
        <f aca="false">IF(MONTH($A271)&lt;=3,1,0)</f>
        <v>0</v>
      </c>
      <c r="G271" s="4" t="str">
        <f aca="false" t="array" ref="G271:G271">_xlfn.TEXTJOIN(" | ",TRUE(),IF('FEMA Disasters'!$F$2:$F$1000=$A271,'FEMA Disasters'!$D$2:$D$1000&amp;" begin: ["&amp;'FEMA Disasters'!$B$2:$B$1000&amp;"] "&amp;'FEMA Disasters'!$C$2:$C$1000&amp;"-"&amp;'FEMA Disasters'!$A$2:$A$1000,""),IF('FEMA Disasters'!$G$2:$G$1000=$A271,'FEMA Disasters'!$D$2:$D$1000&amp;" ended: ["&amp;'FEMA Disasters'!$B$2:$B$1000&amp;"] "&amp;'FEMA Disasters'!$C$2:$C$1000&amp;"-"&amp;'FEMA Disasters'!$A$2:$A$1000,""),IF('FEMA Disasters'!$K$2:$K$1000=$A271,"Disaster SEP opens: "&amp;'FEMA Disasters'!$D$2:$D$1000&amp;" ["&amp;'FEMA Disasters'!$B$2:$B$1000&amp;"] "&amp;'FEMA Disasters'!$C$2:$C$1000&amp;"-"&amp;'FEMA Disasters'!$A$2:$A$1000,""),IF('FEMA Disasters'!$L$2:$L$1000=$A271,"Disaster SEP ended: "&amp;'FEMA Disasters'!$D$2:$D$1000&amp;" ["&amp;'FEMA Disasters'!$B$2:$B$1000&amp;"] "&amp;'FEMA Disasters'!$C$2:$C$1000&amp;"-"&amp;'FEMA Disasters'!$A$2:$A$1000,""))</f>
        <v>Tropical Storm begin: [TN] EM-3620 | Tropical Storm begin: [TN] DR-4832</v>
      </c>
      <c r="H271" s="4" t="n">
        <f aca="false">COUNTIF(Events!$A$2:$A$397,$A271)</f>
        <v>0</v>
      </c>
      <c r="I271" s="6" t="str">
        <f aca="false" t="array" ref="I271:I271">_xlfn.TEXTJOIN(" | ",TRUE(),IF(Events!$A$2:$A$397=$A271,Events!$E$2:$E$397&amp;IF(Events!$G$2:$G$397="National",""," ["&amp;Events!$G$2:$G$397&amp;"]"),""))</f>
        <v/>
      </c>
    </row>
    <row r="272" customFormat="false" ht="15" hidden="false" customHeight="true" outlineLevel="0" collapsed="false">
      <c r="A272" s="3" t="n">
        <v>45562</v>
      </c>
      <c r="B272" s="4" t="n">
        <f aca="false">YEAR($A272)</f>
        <v>2024</v>
      </c>
      <c r="C272" s="4" t="n">
        <f aca="false">MONTH($A272)</f>
        <v>9</v>
      </c>
      <c r="D272" s="4" t="str">
        <f aca="false">TEXT($A272,"ddd")</f>
        <v>Fri</v>
      </c>
      <c r="E272" s="4" t="n">
        <f aca="false">IF(OR(AND(MONTH($A272)=10,DAY($A272)&gt;=15),MONTH($A272)=11,AND(MONTH($A272)=12,DAY($A272)&lt;=7)),1,0)</f>
        <v>0</v>
      </c>
      <c r="F272" s="4" t="n">
        <f aca="false">IF(MONTH($A272)&lt;=3,1,0)</f>
        <v>0</v>
      </c>
      <c r="G272" s="4" t="str">
        <f aca="false" t="array" ref="G272:G272">_xlfn.TEXTJOIN(" | ",TRUE(),IF('FEMA Disasters'!$F$2:$F$1000=$A272,'FEMA Disasters'!$D$2:$D$1000&amp;" begin: ["&amp;'FEMA Disasters'!$B$2:$B$1000&amp;"] "&amp;'FEMA Disasters'!$C$2:$C$1000&amp;"-"&amp;'FEMA Disasters'!$A$2:$A$1000,""),IF('FEMA Disasters'!$G$2:$G$1000=$A272,'FEMA Disasters'!$D$2:$D$1000&amp;" ended: ["&amp;'FEMA Disasters'!$B$2:$B$1000&amp;"] "&amp;'FEMA Disasters'!$C$2:$C$1000&amp;"-"&amp;'FEMA Disasters'!$A$2:$A$1000,""),IF('FEMA Disasters'!$K$2:$K$1000=$A272,"Disaster SEP opens: "&amp;'FEMA Disasters'!$D$2:$D$1000&amp;" ["&amp;'FEMA Disasters'!$B$2:$B$1000&amp;"] "&amp;'FEMA Disasters'!$C$2:$C$1000&amp;"-"&amp;'FEMA Disasters'!$A$2:$A$1000,""),IF('FEMA Disasters'!$L$2:$L$1000=$A272,"Disaster SEP ended: "&amp;'FEMA Disasters'!$D$2:$D$1000&amp;" ["&amp;'FEMA Disasters'!$B$2:$B$1000&amp;"] "&amp;'FEMA Disasters'!$C$2:$C$1000&amp;"-"&amp;'FEMA Disasters'!$A$2:$A$1000,""))</f>
        <v>Tropical Storm begin: [KY] DR-4848</v>
      </c>
      <c r="H272" s="4" t="n">
        <f aca="false">COUNTIF(Events!$A$2:$A$397,$A272)</f>
        <v>0</v>
      </c>
      <c r="I272" s="6" t="str">
        <f aca="false" t="array" ref="I272:I272">_xlfn.TEXTJOIN(" | ",TRUE(),IF(Events!$A$2:$A$397=$A272,Events!$E$2:$E$397&amp;IF(Events!$G$2:$G$397="National",""," ["&amp;Events!$G$2:$G$397&amp;"]"),""))</f>
        <v/>
      </c>
    </row>
    <row r="273" customFormat="false" ht="15" hidden="false" customHeight="true" outlineLevel="0" collapsed="false">
      <c r="A273" s="3" t="n">
        <v>45563</v>
      </c>
      <c r="B273" s="4" t="n">
        <f aca="false">YEAR($A273)</f>
        <v>2024</v>
      </c>
      <c r="C273" s="4" t="n">
        <f aca="false">MONTH($A273)</f>
        <v>9</v>
      </c>
      <c r="D273" s="4" t="str">
        <f aca="false">TEXT($A273,"ddd")</f>
        <v>Sat</v>
      </c>
      <c r="E273" s="4" t="n">
        <f aca="false">IF(OR(AND(MONTH($A273)=10,DAY($A273)&gt;=15),MONTH($A273)=11,AND(MONTH($A273)=12,DAY($A273)&lt;=7)),1,0)</f>
        <v>0</v>
      </c>
      <c r="F273" s="4" t="n">
        <f aca="false">IF(MONTH($A273)&lt;=3,1,0)</f>
        <v>0</v>
      </c>
      <c r="G273" s="4" t="str">
        <f aca="false" t="array" ref="G273:G273">_xlfn.TEXTJOIN(" | ",TRUE(),IF('FEMA Disasters'!$F$2:$F$1000=$A273,'FEMA Disasters'!$D$2:$D$1000&amp;" begin: ["&amp;'FEMA Disasters'!$B$2:$B$1000&amp;"] "&amp;'FEMA Disasters'!$C$2:$C$1000&amp;"-"&amp;'FEMA Disasters'!$A$2:$A$1000,""),IF('FEMA Disasters'!$G$2:$G$1000=$A273,'FEMA Disasters'!$D$2:$D$1000&amp;" ended: ["&amp;'FEMA Disasters'!$B$2:$B$1000&amp;"] "&amp;'FEMA Disasters'!$C$2:$C$1000&amp;"-"&amp;'FEMA Disasters'!$A$2:$A$1000,""),IF('FEMA Disasters'!$K$2:$K$1000=$A273,"Disaster SEP opens: "&amp;'FEMA Disasters'!$D$2:$D$1000&amp;" ["&amp;'FEMA Disasters'!$B$2:$B$1000&amp;"] "&amp;'FEMA Disasters'!$C$2:$C$1000&amp;"-"&amp;'FEMA Disasters'!$A$2:$A$1000,""),IF('FEMA Disasters'!$L$2:$L$1000=$A273,"Disaster SEP ended: "&amp;'FEMA Disasters'!$D$2:$D$1000&amp;" ["&amp;'FEMA Disasters'!$B$2:$B$1000&amp;"] "&amp;'FEMA Disasters'!$C$2:$C$1000&amp;"-"&amp;'FEMA Disasters'!$A$2:$A$1000,""))</f>
        <v>Fire begin: [WY] FM-5539 | Tropical Storm ended: [WV] DR-4851</v>
      </c>
      <c r="H273" s="4" t="n">
        <f aca="false">COUNTIF(Events!$A$2:$A$397,$A273)</f>
        <v>0</v>
      </c>
      <c r="I273" s="6" t="str">
        <f aca="false" t="array" ref="I273:I273">_xlfn.TEXTJOIN(" | ",TRUE(),IF(Events!$A$2:$A$397=$A273,Events!$E$2:$E$397&amp;IF(Events!$G$2:$G$397="National",""," ["&amp;Events!$G$2:$G$397&amp;"]"),""))</f>
        <v/>
      </c>
    </row>
    <row r="274" customFormat="false" ht="15" hidden="false" customHeight="true" outlineLevel="0" collapsed="false">
      <c r="A274" s="3" t="n">
        <v>45564</v>
      </c>
      <c r="B274" s="4" t="n">
        <f aca="false">YEAR($A274)</f>
        <v>2024</v>
      </c>
      <c r="C274" s="4" t="n">
        <f aca="false">MONTH($A274)</f>
        <v>9</v>
      </c>
      <c r="D274" s="4" t="str">
        <f aca="false">TEXT($A274,"ddd")</f>
        <v>Sun</v>
      </c>
      <c r="E274" s="4" t="n">
        <f aca="false">IF(OR(AND(MONTH($A274)=10,DAY($A274)&gt;=15),MONTH($A274)=11,AND(MONTH($A274)=12,DAY($A274)&lt;=7)),1,0)</f>
        <v>0</v>
      </c>
      <c r="F274" s="4" t="n">
        <f aca="false">IF(MONTH($A274)&lt;=3,1,0)</f>
        <v>0</v>
      </c>
      <c r="G274" s="4" t="str">
        <f aca="false" t="array" ref="G274:G274">_xlfn.TEXTJOIN(" | ",TRUE(),IF('FEMA Disasters'!$F$2:$F$1000=$A274,'FEMA Disasters'!$D$2:$D$1000&amp;" begin: ["&amp;'FEMA Disasters'!$B$2:$B$1000&amp;"] "&amp;'FEMA Disasters'!$C$2:$C$1000&amp;"-"&amp;'FEMA Disasters'!$A$2:$A$1000,""),IF('FEMA Disasters'!$G$2:$G$1000=$A274,'FEMA Disasters'!$D$2:$D$1000&amp;" ended: ["&amp;'FEMA Disasters'!$B$2:$B$1000&amp;"] "&amp;'FEMA Disasters'!$C$2:$C$1000&amp;"-"&amp;'FEMA Disasters'!$A$2:$A$1000,""),IF('FEMA Disasters'!$K$2:$K$1000=$A274,"Disaster SEP opens: "&amp;'FEMA Disasters'!$D$2:$D$1000&amp;" ["&amp;'FEMA Disasters'!$B$2:$B$1000&amp;"] "&amp;'FEMA Disasters'!$C$2:$C$1000&amp;"-"&amp;'FEMA Disasters'!$A$2:$A$1000,""),IF('FEMA Disasters'!$L$2:$L$1000=$A274,"Disaster SEP ended: "&amp;'FEMA Disasters'!$D$2:$D$1000&amp;" ["&amp;'FEMA Disasters'!$B$2:$B$1000&amp;"] "&amp;'FEMA Disasters'!$C$2:$C$1000&amp;"-"&amp;'FEMA Disasters'!$A$2:$A$1000,""))</f>
        <v>Hurricane ended: [AL] EM-3618</v>
      </c>
      <c r="H274" s="4" t="n">
        <f aca="false">COUNTIF(Events!$A$2:$A$397,$A274)</f>
        <v>0</v>
      </c>
      <c r="I274" s="6" t="str">
        <f aca="false" t="array" ref="I274:I274">_xlfn.TEXTJOIN(" | ",TRUE(),IF(Events!$A$2:$A$397=$A274,Events!$E$2:$E$397&amp;IF(Events!$G$2:$G$397="National",""," ["&amp;Events!$G$2:$G$397&amp;"]"),""))</f>
        <v/>
      </c>
    </row>
    <row r="275" customFormat="false" ht="15" hidden="false" customHeight="true" outlineLevel="0" collapsed="false">
      <c r="A275" s="3" t="n">
        <v>45565</v>
      </c>
      <c r="B275" s="4" t="n">
        <f aca="false">YEAR($A275)</f>
        <v>2024</v>
      </c>
      <c r="C275" s="4" t="n">
        <f aca="false">MONTH($A275)</f>
        <v>9</v>
      </c>
      <c r="D275" s="4" t="str">
        <f aca="false">TEXT($A275,"ddd")</f>
        <v>Mon</v>
      </c>
      <c r="E275" s="4" t="n">
        <f aca="false">IF(OR(AND(MONTH($A275)=10,DAY($A275)&gt;=15),MONTH($A275)=11,AND(MONTH($A275)=12,DAY($A275)&lt;=7)),1,0)</f>
        <v>0</v>
      </c>
      <c r="F275" s="4" t="n">
        <f aca="false">IF(MONTH($A275)&lt;=3,1,0)</f>
        <v>0</v>
      </c>
      <c r="G275" s="4" t="str">
        <f aca="false" t="array" ref="G275:G275">_xlfn.TEXTJOIN(" | ",TRUE(),IF('FEMA Disasters'!$F$2:$F$1000=$A275,'FEMA Disasters'!$D$2:$D$1000&amp;" begin: ["&amp;'FEMA Disasters'!$B$2:$B$1000&amp;"] "&amp;'FEMA Disasters'!$C$2:$C$1000&amp;"-"&amp;'FEMA Disasters'!$A$2:$A$1000,""),IF('FEMA Disasters'!$G$2:$G$1000=$A275,'FEMA Disasters'!$D$2:$D$1000&amp;" ended: ["&amp;'FEMA Disasters'!$B$2:$B$1000&amp;"] "&amp;'FEMA Disasters'!$C$2:$C$1000&amp;"-"&amp;'FEMA Disasters'!$A$2:$A$1000,""),IF('FEMA Disasters'!$K$2:$K$1000=$A275,"Disaster SEP opens: "&amp;'FEMA Disasters'!$D$2:$D$1000&amp;" ["&amp;'FEMA Disasters'!$B$2:$B$1000&amp;"] "&amp;'FEMA Disasters'!$C$2:$C$1000&amp;"-"&amp;'FEMA Disasters'!$A$2:$A$1000,""),IF('FEMA Disasters'!$L$2:$L$1000=$A275,"Disaster SEP ended: "&amp;'FEMA Disasters'!$D$2:$D$1000&amp;" ["&amp;'FEMA Disasters'!$B$2:$B$1000&amp;"] "&amp;'FEMA Disasters'!$C$2:$C$1000&amp;"-"&amp;'FEMA Disasters'!$A$2:$A$1000,""))</f>
        <v>Tropical Storm ended: [TN] EM-3620 | Tropical Storm ended: [TN] DR-4832 | Tropical Storm ended: [KY] DR-4848 | Disaster SEP opens: Severe Storm [IA] DR-4796 | Disaster SEP opens: Flood [MN] DR-4797 | Disaster SEP opens: Flood [SD] DR-4807 | Disaster SEP opens: Severe Storm [NE] DR-4822 | Disaster SEP opens: Fire [WA] DR-4823 | Disaster SEP opens: Fire [WA] FM-5499 | Disaster SEP opens: Severe Storm [KS] DR-4824 | Disaster SEP opens: Fire [CA] FM-5502 | Disaster SEP opens: Fire [CA] FM-5503 | Disaster SEP opens: Hurricane [TX] DR-4798 | Disaster SEP opens: Severe Storm [VT] DR-4810 | Disaster SEP opens: Fire [AZ] FM-5505 | Disaster SEP opens: Severe Storm [NH] DR-4812 | Disaster SEP opens: Flood [NY] DR-4814 | Disaster SEP opens: Fire [AZ] DR-4833 | Disaster SEP opens: Fire [AZ] FM-5508 | Disaster SEP opens: Flood [IL] DR-4819 | Disaster SEP opens: Severe Storm [SD] DR-4842 | Disaster SEP opens: Fire [ID] FM-5510 | Disaster SEP opens: Fire [NV] FM-5509 | Disaster SEP opens: Fire [WA] FM-5518 | Disaster SEP opens: Fire [CA] FM-5515 | Disaster SEP opens: Fire [WA] FM-5517 | Disaster SEP opens: Straight-Line Winds [MT] DR-4813 | Disaster SEP opens: Flood [VT] DR-4826 | Disaster SEP opens: Severe Storm [NE] DR-4838 | Disaster SEP ended: Severe Storm [OK] DR-4791 | Disaster SEP ended: Severe Storm [MO] DR-4803 | Disaster SEP ended: Severe Storm [KS] DR-4811 | Disaster SEP ended: Severe Storm [IA] DR-4784 | Disaster SEP ended: Severe Storm [KY] DR-4804 | Disaster SEP ended: Severe Storm [AR] DR-4788 | Disaster SEP ended: Fire [AZ] FM-5493</v>
      </c>
      <c r="H275" s="4" t="n">
        <f aca="false">COUNTIF(Events!$A$2:$A$397,$A275)</f>
        <v>1</v>
      </c>
      <c r="I275" s="6" t="str">
        <f aca="false" t="array" ref="I275:I275">_xlfn.TEXTJOIN(" | ",TRUE(),IF(Events!$A$2:$A$397=$A275,Events!$E$2:$E$397&amp;IF(Events!$G$2:$G$397="National",""," ["&amp;Events!$G$2:$G$397&amp;"]"),""))</f>
        <v>ANOC delivery deadline: every MA/MA-PD/PDP enrollee must receive their plan's Annual Notice of Change by 9/30 - the day enrollees are actually notified of their plan's CY2025 premium, benefit, and cost-sharing changes ahead of AEP. Not a policy change itself, but a synchronized mass-notification shock (~34M MA members); CY2025 ANOCs carried the post-IRA changes ($2,000 OOP cap, Prescription Payment Plan, supplemental-benefit trims), making this the date the 2025 benefit-cut news reached consumers</v>
      </c>
    </row>
    <row r="276" customFormat="false" ht="15" hidden="false" customHeight="true" outlineLevel="0" collapsed="false">
      <c r="A276" s="3" t="n">
        <v>45566</v>
      </c>
      <c r="B276" s="4" t="n">
        <f aca="false">YEAR($A276)</f>
        <v>2024</v>
      </c>
      <c r="C276" s="4" t="n">
        <f aca="false">MONTH($A276)</f>
        <v>10</v>
      </c>
      <c r="D276" s="4" t="str">
        <f aca="false">TEXT($A276,"ddd")</f>
        <v>Tue</v>
      </c>
      <c r="E276" s="4" t="n">
        <f aca="false">IF(OR(AND(MONTH($A276)=10,DAY($A276)&gt;=15),MONTH($A276)=11,AND(MONTH($A276)=12,DAY($A276)&lt;=7)),1,0)</f>
        <v>0</v>
      </c>
      <c r="F276" s="4" t="n">
        <f aca="false">IF(MONTH($A276)&lt;=3,1,0)</f>
        <v>0</v>
      </c>
      <c r="G276" s="4" t="str">
        <f aca="false" t="array" ref="G276:G276">_xlfn.TEXTJOIN(" | ",TRUE(),IF('FEMA Disasters'!$F$2:$F$1000=$A276,'FEMA Disasters'!$D$2:$D$1000&amp;" begin: ["&amp;'FEMA Disasters'!$B$2:$B$1000&amp;"] "&amp;'FEMA Disasters'!$C$2:$C$1000&amp;"-"&amp;'FEMA Disasters'!$A$2:$A$1000,""),IF('FEMA Disasters'!$G$2:$G$1000=$A276,'FEMA Disasters'!$D$2:$D$1000&amp;" ended: ["&amp;'FEMA Disasters'!$B$2:$B$1000&amp;"] "&amp;'FEMA Disasters'!$C$2:$C$1000&amp;"-"&amp;'FEMA Disasters'!$A$2:$A$1000,""),IF('FEMA Disasters'!$K$2:$K$1000=$A276,"Disaster SEP opens: "&amp;'FEMA Disasters'!$D$2:$D$1000&amp;" ["&amp;'FEMA Disasters'!$B$2:$B$1000&amp;"] "&amp;'FEMA Disasters'!$C$2:$C$1000&amp;"-"&amp;'FEMA Disasters'!$A$2:$A$1000,""),IF('FEMA Disasters'!$L$2:$L$1000=$A276,"Disaster SEP ended: "&amp;'FEMA Disasters'!$D$2:$D$1000&amp;" ["&amp;'FEMA Disasters'!$B$2:$B$1000&amp;"] "&amp;'FEMA Disasters'!$C$2:$C$1000&amp;"-"&amp;'FEMA Disasters'!$A$2:$A$1000,""))</f>
        <v/>
      </c>
      <c r="H276" s="4" t="n">
        <f aca="false">COUNTIF(Events!$A$2:$A$397,$A276)</f>
        <v>1</v>
      </c>
      <c r="I276" s="6" t="str">
        <f aca="false" t="array" ref="I276:I276">_xlfn.TEXTJOIN(" | ",TRUE(),IF(Events!$A$2:$A$397=$A276,Events!$E$2:$E$397&amp;IF(Events!$G$2:$G$397="National",""," ["&amp;Events!$G$2:$G$397&amp;"]"),""))</f>
        <v>CY2025 plan marketing begins; plan landscape/benefit info for 2025 released ahead of AEP; NOTE: the stayed fixed-compensation provisions did NOT apply - per CMS 7/18/2024 memo, pre-rule compensation regs governed AEP 2024; the $100/$50 administrative add-ons were removed from the CY2025 FMV amounts, leaving only the routine annual FMV update (~+2.3%), and administrative payments remained outside the compensation cap</v>
      </c>
    </row>
    <row r="277" customFormat="false" ht="15" hidden="false" customHeight="true" outlineLevel="0" collapsed="false">
      <c r="A277" s="3" t="n">
        <v>45567</v>
      </c>
      <c r="B277" s="4" t="n">
        <f aca="false">YEAR($A277)</f>
        <v>2024</v>
      </c>
      <c r="C277" s="4" t="n">
        <f aca="false">MONTH($A277)</f>
        <v>10</v>
      </c>
      <c r="D277" s="4" t="str">
        <f aca="false">TEXT($A277,"ddd")</f>
        <v>Wed</v>
      </c>
      <c r="E277" s="4" t="n">
        <f aca="false">IF(OR(AND(MONTH($A277)=10,DAY($A277)&gt;=15),MONTH($A277)=11,AND(MONTH($A277)=12,DAY($A277)&lt;=7)),1,0)</f>
        <v>0</v>
      </c>
      <c r="F277" s="4" t="n">
        <f aca="false">IF(MONTH($A277)&lt;=3,1,0)</f>
        <v>0</v>
      </c>
      <c r="G277" s="4" t="str">
        <f aca="false" t="array" ref="G277:G277">_xlfn.TEXTJOIN(" | ",TRUE(),IF('FEMA Disasters'!$F$2:$F$1000=$A277,'FEMA Disasters'!$D$2:$D$1000&amp;" begin: ["&amp;'FEMA Disasters'!$B$2:$B$1000&amp;"] "&amp;'FEMA Disasters'!$C$2:$C$1000&amp;"-"&amp;'FEMA Disasters'!$A$2:$A$1000,""),IF('FEMA Disasters'!$G$2:$G$1000=$A277,'FEMA Disasters'!$D$2:$D$1000&amp;" ended: ["&amp;'FEMA Disasters'!$B$2:$B$1000&amp;"] "&amp;'FEMA Disasters'!$C$2:$C$1000&amp;"-"&amp;'FEMA Disasters'!$A$2:$A$1000,""),IF('FEMA Disasters'!$K$2:$K$1000=$A277,"Disaster SEP opens: "&amp;'FEMA Disasters'!$D$2:$D$1000&amp;" ["&amp;'FEMA Disasters'!$B$2:$B$1000&amp;"] "&amp;'FEMA Disasters'!$C$2:$C$1000&amp;"-"&amp;'FEMA Disasters'!$A$2:$A$1000,""),IF('FEMA Disasters'!$L$2:$L$1000=$A277,"Disaster SEP ended: "&amp;'FEMA Disasters'!$D$2:$D$1000&amp;" ["&amp;'FEMA Disasters'!$B$2:$B$1000&amp;"] "&amp;'FEMA Disasters'!$C$2:$C$1000&amp;"-"&amp;'FEMA Disasters'!$A$2:$A$1000,""))</f>
        <v/>
      </c>
      <c r="H277" s="4" t="n">
        <f aca="false">COUNTIF(Events!$A$2:$A$397,$A277)</f>
        <v>0</v>
      </c>
      <c r="I277" s="6" t="str">
        <f aca="false" t="array" ref="I277:I277">_xlfn.TEXTJOIN(" | ",TRUE(),IF(Events!$A$2:$A$397=$A277,Events!$E$2:$E$397&amp;IF(Events!$G$2:$G$397="National",""," ["&amp;Events!$G$2:$G$397&amp;"]"),""))</f>
        <v/>
      </c>
    </row>
    <row r="278" customFormat="false" ht="15" hidden="false" customHeight="true" outlineLevel="0" collapsed="false">
      <c r="A278" s="3" t="n">
        <v>45568</v>
      </c>
      <c r="B278" s="4" t="n">
        <f aca="false">YEAR($A278)</f>
        <v>2024</v>
      </c>
      <c r="C278" s="4" t="n">
        <f aca="false">MONTH($A278)</f>
        <v>10</v>
      </c>
      <c r="D278" s="4" t="str">
        <f aca="false">TEXT($A278,"ddd")</f>
        <v>Thu</v>
      </c>
      <c r="E278" s="4" t="n">
        <f aca="false">IF(OR(AND(MONTH($A278)=10,DAY($A278)&gt;=15),MONTH($A278)=11,AND(MONTH($A278)=12,DAY($A278)&lt;=7)),1,0)</f>
        <v>0</v>
      </c>
      <c r="F278" s="4" t="n">
        <f aca="false">IF(MONTH($A278)&lt;=3,1,0)</f>
        <v>0</v>
      </c>
      <c r="G278" s="4" t="str">
        <f aca="false" t="array" ref="G278:G278">_xlfn.TEXTJOIN(" | ",TRUE(),IF('FEMA Disasters'!$F$2:$F$1000=$A278,'FEMA Disasters'!$D$2:$D$1000&amp;" begin: ["&amp;'FEMA Disasters'!$B$2:$B$1000&amp;"] "&amp;'FEMA Disasters'!$C$2:$C$1000&amp;"-"&amp;'FEMA Disasters'!$A$2:$A$1000,""),IF('FEMA Disasters'!$G$2:$G$1000=$A278,'FEMA Disasters'!$D$2:$D$1000&amp;" ended: ["&amp;'FEMA Disasters'!$B$2:$B$1000&amp;"] "&amp;'FEMA Disasters'!$C$2:$C$1000&amp;"-"&amp;'FEMA Disasters'!$A$2:$A$1000,""),IF('FEMA Disasters'!$K$2:$K$1000=$A278,"Disaster SEP opens: "&amp;'FEMA Disasters'!$D$2:$D$1000&amp;" ["&amp;'FEMA Disasters'!$B$2:$B$1000&amp;"] "&amp;'FEMA Disasters'!$C$2:$C$1000&amp;"-"&amp;'FEMA Disasters'!$A$2:$A$1000,""),IF('FEMA Disasters'!$L$2:$L$1000=$A278,"Disaster SEP ended: "&amp;'FEMA Disasters'!$D$2:$D$1000&amp;" ["&amp;'FEMA Disasters'!$B$2:$B$1000&amp;"] "&amp;'FEMA Disasters'!$C$2:$C$1000&amp;"-"&amp;'FEMA Disasters'!$A$2:$A$1000,""))</f>
        <v>Tropical Storm ended: [VA] EM-3621 | Tropical Storm ended: [VA] DR-4831</v>
      </c>
      <c r="H278" s="4" t="n">
        <f aca="false">COUNTIF(Events!$A$2:$A$397,$A278)</f>
        <v>0</v>
      </c>
      <c r="I278" s="6" t="str">
        <f aca="false" t="array" ref="I278:I278">_xlfn.TEXTJOIN(" | ",TRUE(),IF(Events!$A$2:$A$397=$A278,Events!$E$2:$E$397&amp;IF(Events!$G$2:$G$397="National",""," ["&amp;Events!$G$2:$G$397&amp;"]"),""))</f>
        <v/>
      </c>
    </row>
    <row r="279" customFormat="false" ht="15" hidden="false" customHeight="true" outlineLevel="0" collapsed="false">
      <c r="A279" s="3" t="n">
        <v>45569</v>
      </c>
      <c r="B279" s="4" t="n">
        <f aca="false">YEAR($A279)</f>
        <v>2024</v>
      </c>
      <c r="C279" s="4" t="n">
        <f aca="false">MONTH($A279)</f>
        <v>10</v>
      </c>
      <c r="D279" s="4" t="str">
        <f aca="false">TEXT($A279,"ddd")</f>
        <v>Fri</v>
      </c>
      <c r="E279" s="4" t="n">
        <f aca="false">IF(OR(AND(MONTH($A279)=10,DAY($A279)&gt;=15),MONTH($A279)=11,AND(MONTH($A279)=12,DAY($A279)&lt;=7)),1,0)</f>
        <v>0</v>
      </c>
      <c r="F279" s="4" t="n">
        <f aca="false">IF(MONTH($A279)&lt;=3,1,0)</f>
        <v>0</v>
      </c>
      <c r="G279" s="4" t="str">
        <f aca="false" t="array" ref="G279:G279">_xlfn.TEXTJOIN(" | ",TRUE(),IF('FEMA Disasters'!$F$2:$F$1000=$A279,'FEMA Disasters'!$D$2:$D$1000&amp;" begin: ["&amp;'FEMA Disasters'!$B$2:$B$1000&amp;"] "&amp;'FEMA Disasters'!$C$2:$C$1000&amp;"-"&amp;'FEMA Disasters'!$A$2:$A$1000,""),IF('FEMA Disasters'!$G$2:$G$1000=$A279,'FEMA Disasters'!$D$2:$D$1000&amp;" ended: ["&amp;'FEMA Disasters'!$B$2:$B$1000&amp;"] "&amp;'FEMA Disasters'!$C$2:$C$1000&amp;"-"&amp;'FEMA Disasters'!$A$2:$A$1000,""),IF('FEMA Disasters'!$K$2:$K$1000=$A279,"Disaster SEP opens: "&amp;'FEMA Disasters'!$D$2:$D$1000&amp;" ["&amp;'FEMA Disasters'!$B$2:$B$1000&amp;"] "&amp;'FEMA Disasters'!$C$2:$C$1000&amp;"-"&amp;'FEMA Disasters'!$A$2:$A$1000,""),IF('FEMA Disasters'!$L$2:$L$1000=$A279,"Disaster SEP ended: "&amp;'FEMA Disasters'!$D$2:$D$1000&amp;" ["&amp;'FEMA Disasters'!$B$2:$B$1000&amp;"] "&amp;'FEMA Disasters'!$C$2:$C$1000&amp;"-"&amp;'FEMA Disasters'!$A$2:$A$1000,""))</f>
        <v/>
      </c>
      <c r="H279" s="4" t="n">
        <f aca="false">COUNTIF(Events!$A$2:$A$397,$A279)</f>
        <v>0</v>
      </c>
      <c r="I279" s="6" t="str">
        <f aca="false" t="array" ref="I279:I279">_xlfn.TEXTJOIN(" | ",TRUE(),IF(Events!$A$2:$A$397=$A279,Events!$E$2:$E$397&amp;IF(Events!$G$2:$G$397="National",""," ["&amp;Events!$G$2:$G$397&amp;"]"),""))</f>
        <v/>
      </c>
    </row>
    <row r="280" customFormat="false" ht="15" hidden="false" customHeight="true" outlineLevel="0" collapsed="false">
      <c r="A280" s="3" t="n">
        <v>45570</v>
      </c>
      <c r="B280" s="4" t="n">
        <f aca="false">YEAR($A280)</f>
        <v>2024</v>
      </c>
      <c r="C280" s="4" t="n">
        <f aca="false">MONTH($A280)</f>
        <v>10</v>
      </c>
      <c r="D280" s="4" t="str">
        <f aca="false">TEXT($A280,"ddd")</f>
        <v>Sat</v>
      </c>
      <c r="E280" s="4" t="n">
        <f aca="false">IF(OR(AND(MONTH($A280)=10,DAY($A280)&gt;=15),MONTH($A280)=11,AND(MONTH($A280)=12,DAY($A280)&lt;=7)),1,0)</f>
        <v>0</v>
      </c>
      <c r="F280" s="4" t="n">
        <f aca="false">IF(MONTH($A280)&lt;=3,1,0)</f>
        <v>0</v>
      </c>
      <c r="G280" s="4" t="str">
        <f aca="false" t="array" ref="G280:G280">_xlfn.TEXTJOIN(" | ",TRUE(),IF('FEMA Disasters'!$F$2:$F$1000=$A280,'FEMA Disasters'!$D$2:$D$1000&amp;" begin: ["&amp;'FEMA Disasters'!$B$2:$B$1000&amp;"] "&amp;'FEMA Disasters'!$C$2:$C$1000&amp;"-"&amp;'FEMA Disasters'!$A$2:$A$1000,""),IF('FEMA Disasters'!$G$2:$G$1000=$A280,'FEMA Disasters'!$D$2:$D$1000&amp;" ended: ["&amp;'FEMA Disasters'!$B$2:$B$1000&amp;"] "&amp;'FEMA Disasters'!$C$2:$C$1000&amp;"-"&amp;'FEMA Disasters'!$A$2:$A$1000,""),IF('FEMA Disasters'!$K$2:$K$1000=$A280,"Disaster SEP opens: "&amp;'FEMA Disasters'!$D$2:$D$1000&amp;" ["&amp;'FEMA Disasters'!$B$2:$B$1000&amp;"] "&amp;'FEMA Disasters'!$C$2:$C$1000&amp;"-"&amp;'FEMA Disasters'!$A$2:$A$1000,""),IF('FEMA Disasters'!$L$2:$L$1000=$A280,"Disaster SEP ended: "&amp;'FEMA Disasters'!$D$2:$D$1000&amp;" ["&amp;'FEMA Disasters'!$B$2:$B$1000&amp;"] "&amp;'FEMA Disasters'!$C$2:$C$1000&amp;"-"&amp;'FEMA Disasters'!$A$2:$A$1000,""))</f>
        <v>Hurricane begin: [FL] EM-3622 | Hurricane begin: [FL] EM-3623 | Hurricane begin: [FL] DR-4834 | Hurricane begin: [FL] DR-4844 | Fire begin: [ND] DR-4852 | Fire begin: [ND] FM-5540 | Fire begin: [ND] FM-5541</v>
      </c>
      <c r="H280" s="4" t="n">
        <f aca="false">COUNTIF(Events!$A$2:$A$397,$A280)</f>
        <v>0</v>
      </c>
      <c r="I280" s="6" t="str">
        <f aca="false" t="array" ref="I280:I280">_xlfn.TEXTJOIN(" | ",TRUE(),IF(Events!$A$2:$A$397=$A280,Events!$E$2:$E$397&amp;IF(Events!$G$2:$G$397="National",""," ["&amp;Events!$G$2:$G$397&amp;"]"),""))</f>
        <v/>
      </c>
    </row>
    <row r="281" customFormat="false" ht="15" hidden="false" customHeight="true" outlineLevel="0" collapsed="false">
      <c r="A281" s="3" t="n">
        <v>45571</v>
      </c>
      <c r="B281" s="4" t="n">
        <f aca="false">YEAR($A281)</f>
        <v>2024</v>
      </c>
      <c r="C281" s="4" t="n">
        <f aca="false">MONTH($A281)</f>
        <v>10</v>
      </c>
      <c r="D281" s="4" t="str">
        <f aca="false">TEXT($A281,"ddd")</f>
        <v>Sun</v>
      </c>
      <c r="E281" s="4" t="n">
        <f aca="false">IF(OR(AND(MONTH($A281)=10,DAY($A281)&gt;=15),MONTH($A281)=11,AND(MONTH($A281)=12,DAY($A281)&lt;=7)),1,0)</f>
        <v>0</v>
      </c>
      <c r="F281" s="4" t="n">
        <f aca="false">IF(MONTH($A281)&lt;=3,1,0)</f>
        <v>0</v>
      </c>
      <c r="G281" s="4" t="str">
        <f aca="false" t="array" ref="G281:G281">_xlfn.TEXTJOIN(" | ",TRUE(),IF('FEMA Disasters'!$F$2:$F$1000=$A281,'FEMA Disasters'!$D$2:$D$1000&amp;" begin: ["&amp;'FEMA Disasters'!$B$2:$B$1000&amp;"] "&amp;'FEMA Disasters'!$C$2:$C$1000&amp;"-"&amp;'FEMA Disasters'!$A$2:$A$1000,""),IF('FEMA Disasters'!$G$2:$G$1000=$A281,'FEMA Disasters'!$D$2:$D$1000&amp;" ended: ["&amp;'FEMA Disasters'!$B$2:$B$1000&amp;"] "&amp;'FEMA Disasters'!$C$2:$C$1000&amp;"-"&amp;'FEMA Disasters'!$A$2:$A$1000,""),IF('FEMA Disasters'!$K$2:$K$1000=$A281,"Disaster SEP opens: "&amp;'FEMA Disasters'!$D$2:$D$1000&amp;" ["&amp;'FEMA Disasters'!$B$2:$B$1000&amp;"] "&amp;'FEMA Disasters'!$C$2:$C$1000&amp;"-"&amp;'FEMA Disasters'!$A$2:$A$1000,""),IF('FEMA Disasters'!$L$2:$L$1000=$A281,"Disaster SEP ended: "&amp;'FEMA Disasters'!$D$2:$D$1000&amp;" ["&amp;'FEMA Disasters'!$B$2:$B$1000&amp;"] "&amp;'FEMA Disasters'!$C$2:$C$1000&amp;"-"&amp;'FEMA Disasters'!$A$2:$A$1000,""))</f>
        <v>Fire ended: [ND] DR-4852</v>
      </c>
      <c r="H281" s="4" t="n">
        <f aca="false">COUNTIF(Events!$A$2:$A$397,$A281)</f>
        <v>0</v>
      </c>
      <c r="I281" s="6" t="str">
        <f aca="false" t="array" ref="I281:I281">_xlfn.TEXTJOIN(" | ",TRUE(),IF(Events!$A$2:$A$397=$A281,Events!$E$2:$E$397&amp;IF(Events!$G$2:$G$397="National",""," ["&amp;Events!$G$2:$G$397&amp;"]"),""))</f>
        <v/>
      </c>
    </row>
    <row r="282" customFormat="false" ht="15" hidden="false" customHeight="true" outlineLevel="0" collapsed="false">
      <c r="A282" s="3" t="n">
        <v>45572</v>
      </c>
      <c r="B282" s="4" t="n">
        <f aca="false">YEAR($A282)</f>
        <v>2024</v>
      </c>
      <c r="C282" s="4" t="n">
        <f aca="false">MONTH($A282)</f>
        <v>10</v>
      </c>
      <c r="D282" s="4" t="str">
        <f aca="false">TEXT($A282,"ddd")</f>
        <v>Mon</v>
      </c>
      <c r="E282" s="4" t="n">
        <f aca="false">IF(OR(AND(MONTH($A282)=10,DAY($A282)&gt;=15),MONTH($A282)=11,AND(MONTH($A282)=12,DAY($A282)&lt;=7)),1,0)</f>
        <v>0</v>
      </c>
      <c r="F282" s="4" t="n">
        <f aca="false">IF(MONTH($A282)&lt;=3,1,0)</f>
        <v>0</v>
      </c>
      <c r="G282" s="4" t="str">
        <f aca="false" t="array" ref="G282:G282">_xlfn.TEXTJOIN(" | ",TRUE(),IF('FEMA Disasters'!$F$2:$F$1000=$A282,'FEMA Disasters'!$D$2:$D$1000&amp;" begin: ["&amp;'FEMA Disasters'!$B$2:$B$1000&amp;"] "&amp;'FEMA Disasters'!$C$2:$C$1000&amp;"-"&amp;'FEMA Disasters'!$A$2:$A$1000,""),IF('FEMA Disasters'!$G$2:$G$1000=$A282,'FEMA Disasters'!$D$2:$D$1000&amp;" ended: ["&amp;'FEMA Disasters'!$B$2:$B$1000&amp;"] "&amp;'FEMA Disasters'!$C$2:$C$1000&amp;"-"&amp;'FEMA Disasters'!$A$2:$A$1000,""),IF('FEMA Disasters'!$K$2:$K$1000=$A282,"Disaster SEP opens: "&amp;'FEMA Disasters'!$D$2:$D$1000&amp;" ["&amp;'FEMA Disasters'!$B$2:$B$1000&amp;"] "&amp;'FEMA Disasters'!$C$2:$C$1000&amp;"-"&amp;'FEMA Disasters'!$A$2:$A$1000,""),IF('FEMA Disasters'!$L$2:$L$1000=$A282,"Disaster SEP ended: "&amp;'FEMA Disasters'!$D$2:$D$1000&amp;" ["&amp;'FEMA Disasters'!$B$2:$B$1000&amp;"] "&amp;'FEMA Disasters'!$C$2:$C$1000&amp;"-"&amp;'FEMA Disasters'!$A$2:$A$1000,""))</f>
        <v>Tropical Storm ended: [FL] EM-3615 | Hurricane ended: [FL] DR-4828 | Tropical Storm ended: [SC] EM-3619 | Hurricane ended: [SC] DR-4829</v>
      </c>
      <c r="H282" s="4" t="n">
        <f aca="false">COUNTIF(Events!$A$2:$A$397,$A282)</f>
        <v>0</v>
      </c>
      <c r="I282" s="6" t="str">
        <f aca="false" t="array" ref="I282:I282">_xlfn.TEXTJOIN(" | ",TRUE(),IF(Events!$A$2:$A$397=$A282,Events!$E$2:$E$397&amp;IF(Events!$G$2:$G$397="National",""," ["&amp;Events!$G$2:$G$397&amp;"]"),""))</f>
        <v/>
      </c>
    </row>
    <row r="283" customFormat="false" ht="15" hidden="false" customHeight="true" outlineLevel="0" collapsed="false">
      <c r="A283" s="3" t="n">
        <v>45573</v>
      </c>
      <c r="B283" s="4" t="n">
        <f aca="false">YEAR($A283)</f>
        <v>2024</v>
      </c>
      <c r="C283" s="4" t="n">
        <f aca="false">MONTH($A283)</f>
        <v>10</v>
      </c>
      <c r="D283" s="4" t="str">
        <f aca="false">TEXT($A283,"ddd")</f>
        <v>Tue</v>
      </c>
      <c r="E283" s="4" t="n">
        <f aca="false">IF(OR(AND(MONTH($A283)=10,DAY($A283)&gt;=15),MONTH($A283)=11,AND(MONTH($A283)=12,DAY($A283)&lt;=7)),1,0)</f>
        <v>0</v>
      </c>
      <c r="F283" s="4" t="n">
        <f aca="false">IF(MONTH($A283)&lt;=3,1,0)</f>
        <v>0</v>
      </c>
      <c r="G283" s="4" t="str">
        <f aca="false" t="array" ref="G283:G283">_xlfn.TEXTJOIN(" | ",TRUE(),IF('FEMA Disasters'!$F$2:$F$1000=$A283,'FEMA Disasters'!$D$2:$D$1000&amp;" begin: ["&amp;'FEMA Disasters'!$B$2:$B$1000&amp;"] "&amp;'FEMA Disasters'!$C$2:$C$1000&amp;"-"&amp;'FEMA Disasters'!$A$2:$A$1000,""),IF('FEMA Disasters'!$G$2:$G$1000=$A283,'FEMA Disasters'!$D$2:$D$1000&amp;" ended: ["&amp;'FEMA Disasters'!$B$2:$B$1000&amp;"] "&amp;'FEMA Disasters'!$C$2:$C$1000&amp;"-"&amp;'FEMA Disasters'!$A$2:$A$1000,""),IF('FEMA Disasters'!$K$2:$K$1000=$A283,"Disaster SEP opens: "&amp;'FEMA Disasters'!$D$2:$D$1000&amp;" ["&amp;'FEMA Disasters'!$B$2:$B$1000&amp;"] "&amp;'FEMA Disasters'!$C$2:$C$1000&amp;"-"&amp;'FEMA Disasters'!$A$2:$A$1000,""),IF('FEMA Disasters'!$L$2:$L$1000=$A283,"Disaster SEP ended: "&amp;'FEMA Disasters'!$D$2:$D$1000&amp;" ["&amp;'FEMA Disasters'!$B$2:$B$1000&amp;"] "&amp;'FEMA Disasters'!$C$2:$C$1000&amp;"-"&amp;'FEMA Disasters'!$A$2:$A$1000,""))</f>
        <v/>
      </c>
      <c r="H283" s="4" t="n">
        <f aca="false">COUNTIF(Events!$A$2:$A$397,$A283)</f>
        <v>0</v>
      </c>
      <c r="I283" s="6" t="str">
        <f aca="false" t="array" ref="I283:I283">_xlfn.TEXTJOIN(" | ",TRUE(),IF(Events!$A$2:$A$397=$A283,Events!$E$2:$E$397&amp;IF(Events!$G$2:$G$397="National",""," ["&amp;Events!$G$2:$G$397&amp;"]"),""))</f>
        <v/>
      </c>
    </row>
    <row r="284" customFormat="false" ht="15" hidden="false" customHeight="true" outlineLevel="0" collapsed="false">
      <c r="A284" s="3" t="n">
        <v>45574</v>
      </c>
      <c r="B284" s="4" t="n">
        <f aca="false">YEAR($A284)</f>
        <v>2024</v>
      </c>
      <c r="C284" s="4" t="n">
        <f aca="false">MONTH($A284)</f>
        <v>10</v>
      </c>
      <c r="D284" s="4" t="str">
        <f aca="false">TEXT($A284,"ddd")</f>
        <v>Wed</v>
      </c>
      <c r="E284" s="4" t="n">
        <f aca="false">IF(OR(AND(MONTH($A284)=10,DAY($A284)&gt;=15),MONTH($A284)=11,AND(MONTH($A284)=12,DAY($A284)&lt;=7)),1,0)</f>
        <v>0</v>
      </c>
      <c r="F284" s="4" t="n">
        <f aca="false">IF(MONTH($A284)&lt;=3,1,0)</f>
        <v>0</v>
      </c>
      <c r="G284" s="4" t="str">
        <f aca="false" t="array" ref="G284:G284">_xlfn.TEXTJOIN(" | ",TRUE(),IF('FEMA Disasters'!$F$2:$F$1000=$A284,'FEMA Disasters'!$D$2:$D$1000&amp;" begin: ["&amp;'FEMA Disasters'!$B$2:$B$1000&amp;"] "&amp;'FEMA Disasters'!$C$2:$C$1000&amp;"-"&amp;'FEMA Disasters'!$A$2:$A$1000,""),IF('FEMA Disasters'!$G$2:$G$1000=$A284,'FEMA Disasters'!$D$2:$D$1000&amp;" ended: ["&amp;'FEMA Disasters'!$B$2:$B$1000&amp;"] "&amp;'FEMA Disasters'!$C$2:$C$1000&amp;"-"&amp;'FEMA Disasters'!$A$2:$A$1000,""),IF('FEMA Disasters'!$K$2:$K$1000=$A284,"Disaster SEP opens: "&amp;'FEMA Disasters'!$D$2:$D$1000&amp;" ["&amp;'FEMA Disasters'!$B$2:$B$1000&amp;"] "&amp;'FEMA Disasters'!$C$2:$C$1000&amp;"-"&amp;'FEMA Disasters'!$A$2:$A$1000,""),IF('FEMA Disasters'!$L$2:$L$1000=$A284,"Disaster SEP ended: "&amp;'FEMA Disasters'!$D$2:$D$1000&amp;" ["&amp;'FEMA Disasters'!$B$2:$B$1000&amp;"] "&amp;'FEMA Disasters'!$C$2:$C$1000&amp;"-"&amp;'FEMA Disasters'!$A$2:$A$1000,""))</f>
        <v/>
      </c>
      <c r="H284" s="4" t="n">
        <f aca="false">COUNTIF(Events!$A$2:$A$397,$A284)</f>
        <v>0</v>
      </c>
      <c r="I284" s="6" t="str">
        <f aca="false" t="array" ref="I284:I284">_xlfn.TEXTJOIN(" | ",TRUE(),IF(Events!$A$2:$A$397=$A284,Events!$E$2:$E$397&amp;IF(Events!$G$2:$G$397="National",""," ["&amp;Events!$G$2:$G$397&amp;"]"),""))</f>
        <v/>
      </c>
    </row>
    <row r="285" customFormat="false" ht="15" hidden="false" customHeight="true" outlineLevel="0" collapsed="false">
      <c r="A285" s="3" t="n">
        <v>45575</v>
      </c>
      <c r="B285" s="4" t="n">
        <f aca="false">YEAR($A285)</f>
        <v>2024</v>
      </c>
      <c r="C285" s="4" t="n">
        <f aca="false">MONTH($A285)</f>
        <v>10</v>
      </c>
      <c r="D285" s="4" t="str">
        <f aca="false">TEXT($A285,"ddd")</f>
        <v>Thu</v>
      </c>
      <c r="E285" s="4" t="n">
        <f aca="false">IF(OR(AND(MONTH($A285)=10,DAY($A285)&gt;=15),MONTH($A285)=11,AND(MONTH($A285)=12,DAY($A285)&lt;=7)),1,0)</f>
        <v>0</v>
      </c>
      <c r="F285" s="4" t="n">
        <f aca="false">IF(MONTH($A285)&lt;=3,1,0)</f>
        <v>0</v>
      </c>
      <c r="G285" s="4" t="str">
        <f aca="false" t="array" ref="G285:G285">_xlfn.TEXTJOIN(" | ",TRUE(),IF('FEMA Disasters'!$F$2:$F$1000=$A285,'FEMA Disasters'!$D$2:$D$1000&amp;" begin: ["&amp;'FEMA Disasters'!$B$2:$B$1000&amp;"] "&amp;'FEMA Disasters'!$C$2:$C$1000&amp;"-"&amp;'FEMA Disasters'!$A$2:$A$1000,""),IF('FEMA Disasters'!$G$2:$G$1000=$A285,'FEMA Disasters'!$D$2:$D$1000&amp;" ended: ["&amp;'FEMA Disasters'!$B$2:$B$1000&amp;"] "&amp;'FEMA Disasters'!$C$2:$C$1000&amp;"-"&amp;'FEMA Disasters'!$A$2:$A$1000,""),IF('FEMA Disasters'!$K$2:$K$1000=$A285,"Disaster SEP opens: "&amp;'FEMA Disasters'!$D$2:$D$1000&amp;" ["&amp;'FEMA Disasters'!$B$2:$B$1000&amp;"] "&amp;'FEMA Disasters'!$C$2:$C$1000&amp;"-"&amp;'FEMA Disasters'!$A$2:$A$1000,""),IF('FEMA Disasters'!$L$2:$L$1000=$A285,"Disaster SEP ended: "&amp;'FEMA Disasters'!$D$2:$D$1000&amp;" ["&amp;'FEMA Disasters'!$B$2:$B$1000&amp;"] "&amp;'FEMA Disasters'!$C$2:$C$1000&amp;"-"&amp;'FEMA Disasters'!$A$2:$A$1000,""))</f>
        <v/>
      </c>
      <c r="H285" s="4" t="n">
        <f aca="false">COUNTIF(Events!$A$2:$A$397,$A285)</f>
        <v>1</v>
      </c>
      <c r="I285" s="6" t="str">
        <f aca="false" t="array" ref="I285:I285">_xlfn.TEXTJOIN(" | ",TRUE(),IF(Events!$A$2:$A$397=$A285,Events!$E$2:$E$397&amp;IF(Events!$G$2:$G$397="National",""," ["&amp;Events!$G$2:$G$397&amp;"]"),""))</f>
        <v>2025 Star Ratings published on Medicare Plan Finder: sharp industry decline - only 7 MA-PD contracts earned 5 stars (vs 38 for 2024); avg rating fell to ~3.92; drives 2026 quality bonus payments</v>
      </c>
    </row>
    <row r="286" customFormat="false" ht="15" hidden="false" customHeight="true" outlineLevel="0" collapsed="false">
      <c r="A286" s="3" t="n">
        <v>45576</v>
      </c>
      <c r="B286" s="4" t="n">
        <f aca="false">YEAR($A286)</f>
        <v>2024</v>
      </c>
      <c r="C286" s="4" t="n">
        <f aca="false">MONTH($A286)</f>
        <v>10</v>
      </c>
      <c r="D286" s="4" t="str">
        <f aca="false">TEXT($A286,"ddd")</f>
        <v>Fri</v>
      </c>
      <c r="E286" s="4" t="n">
        <f aca="false">IF(OR(AND(MONTH($A286)=10,DAY($A286)&gt;=15),MONTH($A286)=11,AND(MONTH($A286)=12,DAY($A286)&lt;=7)),1,0)</f>
        <v>0</v>
      </c>
      <c r="F286" s="4" t="n">
        <f aca="false">IF(MONTH($A286)&lt;=3,1,0)</f>
        <v>0</v>
      </c>
      <c r="G286" s="4" t="str">
        <f aca="false" t="array" ref="G286:G286">_xlfn.TEXTJOIN(" | ",TRUE(),IF('FEMA Disasters'!$F$2:$F$1000=$A286,'FEMA Disasters'!$D$2:$D$1000&amp;" begin: ["&amp;'FEMA Disasters'!$B$2:$B$1000&amp;"] "&amp;'FEMA Disasters'!$C$2:$C$1000&amp;"-"&amp;'FEMA Disasters'!$A$2:$A$1000,""),IF('FEMA Disasters'!$G$2:$G$1000=$A286,'FEMA Disasters'!$D$2:$D$1000&amp;" ended: ["&amp;'FEMA Disasters'!$B$2:$B$1000&amp;"] "&amp;'FEMA Disasters'!$C$2:$C$1000&amp;"-"&amp;'FEMA Disasters'!$A$2:$A$1000,""),IF('FEMA Disasters'!$K$2:$K$1000=$A286,"Disaster SEP opens: "&amp;'FEMA Disasters'!$D$2:$D$1000&amp;" ["&amp;'FEMA Disasters'!$B$2:$B$1000&amp;"] "&amp;'FEMA Disasters'!$C$2:$C$1000&amp;"-"&amp;'FEMA Disasters'!$A$2:$A$1000,""),IF('FEMA Disasters'!$L$2:$L$1000=$A286,"Disaster SEP ended: "&amp;'FEMA Disasters'!$D$2:$D$1000&amp;" ["&amp;'FEMA Disasters'!$B$2:$B$1000&amp;"] "&amp;'FEMA Disasters'!$C$2:$C$1000&amp;"-"&amp;'FEMA Disasters'!$A$2:$A$1000,""))</f>
        <v/>
      </c>
      <c r="H286" s="4" t="n">
        <f aca="false">COUNTIF(Events!$A$2:$A$397,$A286)</f>
        <v>0</v>
      </c>
      <c r="I286" s="6" t="str">
        <f aca="false" t="array" ref="I286:I286">_xlfn.TEXTJOIN(" | ",TRUE(),IF(Events!$A$2:$A$397=$A286,Events!$E$2:$E$397&amp;IF(Events!$G$2:$G$397="National",""," ["&amp;Events!$G$2:$G$397&amp;"]"),""))</f>
        <v/>
      </c>
    </row>
    <row r="287" customFormat="false" ht="15" hidden="false" customHeight="true" outlineLevel="0" collapsed="false">
      <c r="A287" s="3" t="n">
        <v>45577</v>
      </c>
      <c r="B287" s="4" t="n">
        <f aca="false">YEAR($A287)</f>
        <v>2024</v>
      </c>
      <c r="C287" s="4" t="n">
        <f aca="false">MONTH($A287)</f>
        <v>10</v>
      </c>
      <c r="D287" s="4" t="str">
        <f aca="false">TEXT($A287,"ddd")</f>
        <v>Sat</v>
      </c>
      <c r="E287" s="4" t="n">
        <f aca="false">IF(OR(AND(MONTH($A287)=10,DAY($A287)&gt;=15),MONTH($A287)=11,AND(MONTH($A287)=12,DAY($A287)&lt;=7)),1,0)</f>
        <v>0</v>
      </c>
      <c r="F287" s="4" t="n">
        <f aca="false">IF(MONTH($A287)&lt;=3,1,0)</f>
        <v>0</v>
      </c>
      <c r="G287" s="4" t="str">
        <f aca="false" t="array" ref="G287:G287">_xlfn.TEXTJOIN(" | ",TRUE(),IF('FEMA Disasters'!$F$2:$F$1000=$A287,'FEMA Disasters'!$D$2:$D$1000&amp;" begin: ["&amp;'FEMA Disasters'!$B$2:$B$1000&amp;"] "&amp;'FEMA Disasters'!$C$2:$C$1000&amp;"-"&amp;'FEMA Disasters'!$A$2:$A$1000,""),IF('FEMA Disasters'!$G$2:$G$1000=$A287,'FEMA Disasters'!$D$2:$D$1000&amp;" ended: ["&amp;'FEMA Disasters'!$B$2:$B$1000&amp;"] "&amp;'FEMA Disasters'!$C$2:$C$1000&amp;"-"&amp;'FEMA Disasters'!$A$2:$A$1000,""),IF('FEMA Disasters'!$K$2:$K$1000=$A287,"Disaster SEP opens: "&amp;'FEMA Disasters'!$D$2:$D$1000&amp;" ["&amp;'FEMA Disasters'!$B$2:$B$1000&amp;"] "&amp;'FEMA Disasters'!$C$2:$C$1000&amp;"-"&amp;'FEMA Disasters'!$A$2:$A$1000,""),IF('FEMA Disasters'!$L$2:$L$1000=$A287,"Disaster SEP ended: "&amp;'FEMA Disasters'!$D$2:$D$1000&amp;" ["&amp;'FEMA Disasters'!$B$2:$B$1000&amp;"] "&amp;'FEMA Disasters'!$C$2:$C$1000&amp;"-"&amp;'FEMA Disasters'!$A$2:$A$1000,""))</f>
        <v>Fire ended: [CA] FM-5535</v>
      </c>
      <c r="H287" s="4" t="n">
        <f aca="false">COUNTIF(Events!$A$2:$A$397,$A287)</f>
        <v>0</v>
      </c>
      <c r="I287" s="6" t="str">
        <f aca="false" t="array" ref="I287:I287">_xlfn.TEXTJOIN(" | ",TRUE(),IF(Events!$A$2:$A$397=$A287,Events!$E$2:$E$397&amp;IF(Events!$G$2:$G$397="National",""," ["&amp;Events!$G$2:$G$397&amp;"]"),""))</f>
        <v/>
      </c>
    </row>
    <row r="288" customFormat="false" ht="15" hidden="false" customHeight="true" outlineLevel="0" collapsed="false">
      <c r="A288" s="3" t="n">
        <v>45578</v>
      </c>
      <c r="B288" s="4" t="n">
        <f aca="false">YEAR($A288)</f>
        <v>2024</v>
      </c>
      <c r="C288" s="4" t="n">
        <f aca="false">MONTH($A288)</f>
        <v>10</v>
      </c>
      <c r="D288" s="4" t="str">
        <f aca="false">TEXT($A288,"ddd")</f>
        <v>Sun</v>
      </c>
      <c r="E288" s="4" t="n">
        <f aca="false">IF(OR(AND(MONTH($A288)=10,DAY($A288)&gt;=15),MONTH($A288)=11,AND(MONTH($A288)=12,DAY($A288)&lt;=7)),1,0)</f>
        <v>0</v>
      </c>
      <c r="F288" s="4" t="n">
        <f aca="false">IF(MONTH($A288)&lt;=3,1,0)</f>
        <v>0</v>
      </c>
      <c r="G288" s="4" t="str">
        <f aca="false" t="array" ref="G288:G288">_xlfn.TEXTJOIN(" | ",TRUE(),IF('FEMA Disasters'!$F$2:$F$1000=$A288,'FEMA Disasters'!$D$2:$D$1000&amp;" begin: ["&amp;'FEMA Disasters'!$B$2:$B$1000&amp;"] "&amp;'FEMA Disasters'!$C$2:$C$1000&amp;"-"&amp;'FEMA Disasters'!$A$2:$A$1000,""),IF('FEMA Disasters'!$G$2:$G$1000=$A288,'FEMA Disasters'!$D$2:$D$1000&amp;" ended: ["&amp;'FEMA Disasters'!$B$2:$B$1000&amp;"] "&amp;'FEMA Disasters'!$C$2:$C$1000&amp;"-"&amp;'FEMA Disasters'!$A$2:$A$1000,""),IF('FEMA Disasters'!$K$2:$K$1000=$A288,"Disaster SEP opens: "&amp;'FEMA Disasters'!$D$2:$D$1000&amp;" ["&amp;'FEMA Disasters'!$B$2:$B$1000&amp;"] "&amp;'FEMA Disasters'!$C$2:$C$1000&amp;"-"&amp;'FEMA Disasters'!$A$2:$A$1000,""),IF('FEMA Disasters'!$L$2:$L$1000=$A288,"Disaster SEP ended: "&amp;'FEMA Disasters'!$D$2:$D$1000&amp;" ["&amp;'FEMA Disasters'!$B$2:$B$1000&amp;"] "&amp;'FEMA Disasters'!$C$2:$C$1000&amp;"-"&amp;'FEMA Disasters'!$A$2:$A$1000,""))</f>
        <v/>
      </c>
      <c r="H288" s="4" t="n">
        <f aca="false">COUNTIF(Events!$A$2:$A$397,$A288)</f>
        <v>0</v>
      </c>
      <c r="I288" s="6" t="str">
        <f aca="false" t="array" ref="I288:I288">_xlfn.TEXTJOIN(" | ",TRUE(),IF(Events!$A$2:$A$397=$A288,Events!$E$2:$E$397&amp;IF(Events!$G$2:$G$397="National",""," ["&amp;Events!$G$2:$G$397&amp;"]"),""))</f>
        <v/>
      </c>
    </row>
    <row r="289" customFormat="false" ht="15" hidden="false" customHeight="true" outlineLevel="0" collapsed="false">
      <c r="A289" s="3" t="n">
        <v>45579</v>
      </c>
      <c r="B289" s="4" t="n">
        <f aca="false">YEAR($A289)</f>
        <v>2024</v>
      </c>
      <c r="C289" s="4" t="n">
        <f aca="false">MONTH($A289)</f>
        <v>10</v>
      </c>
      <c r="D289" s="4" t="str">
        <f aca="false">TEXT($A289,"ddd")</f>
        <v>Mon</v>
      </c>
      <c r="E289" s="4" t="n">
        <f aca="false">IF(OR(AND(MONTH($A289)=10,DAY($A289)&gt;=15),MONTH($A289)=11,AND(MONTH($A289)=12,DAY($A289)&lt;=7)),1,0)</f>
        <v>0</v>
      </c>
      <c r="F289" s="4" t="n">
        <f aca="false">IF(MONTH($A289)&lt;=3,1,0)</f>
        <v>0</v>
      </c>
      <c r="G289" s="4" t="str">
        <f aca="false" t="array" ref="G289:G289">_xlfn.TEXTJOIN(" | ",TRUE(),IF('FEMA Disasters'!$F$2:$F$1000=$A289,'FEMA Disasters'!$D$2:$D$1000&amp;" begin: ["&amp;'FEMA Disasters'!$B$2:$B$1000&amp;"] "&amp;'FEMA Disasters'!$C$2:$C$1000&amp;"-"&amp;'FEMA Disasters'!$A$2:$A$1000,""),IF('FEMA Disasters'!$G$2:$G$1000=$A289,'FEMA Disasters'!$D$2:$D$1000&amp;" ended: ["&amp;'FEMA Disasters'!$B$2:$B$1000&amp;"] "&amp;'FEMA Disasters'!$C$2:$C$1000&amp;"-"&amp;'FEMA Disasters'!$A$2:$A$1000,""),IF('FEMA Disasters'!$K$2:$K$1000=$A289,"Disaster SEP opens: "&amp;'FEMA Disasters'!$D$2:$D$1000&amp;" ["&amp;'FEMA Disasters'!$B$2:$B$1000&amp;"] "&amp;'FEMA Disasters'!$C$2:$C$1000&amp;"-"&amp;'FEMA Disasters'!$A$2:$A$1000,""),IF('FEMA Disasters'!$L$2:$L$1000=$A289,"Disaster SEP ended: "&amp;'FEMA Disasters'!$D$2:$D$1000&amp;" ["&amp;'FEMA Disasters'!$B$2:$B$1000&amp;"] "&amp;'FEMA Disasters'!$C$2:$C$1000&amp;"-"&amp;'FEMA Disasters'!$A$2:$A$1000,""))</f>
        <v/>
      </c>
      <c r="H289" s="4" t="n">
        <f aca="false">COUNTIF(Events!$A$2:$A$397,$A289)</f>
        <v>0</v>
      </c>
      <c r="I289" s="6" t="str">
        <f aca="false" t="array" ref="I289:I289">_xlfn.TEXTJOIN(" | ",TRUE(),IF(Events!$A$2:$A$397=$A289,Events!$E$2:$E$397&amp;IF(Events!$G$2:$G$397="National",""," ["&amp;Events!$G$2:$G$397&amp;"]"),""))</f>
        <v/>
      </c>
    </row>
    <row r="290" customFormat="false" ht="15" hidden="false" customHeight="true" outlineLevel="0" collapsed="false">
      <c r="A290" s="3" t="n">
        <v>45580</v>
      </c>
      <c r="B290" s="4" t="n">
        <f aca="false">YEAR($A290)</f>
        <v>2024</v>
      </c>
      <c r="C290" s="4" t="n">
        <f aca="false">MONTH($A290)</f>
        <v>10</v>
      </c>
      <c r="D290" s="4" t="str">
        <f aca="false">TEXT($A290,"ddd")</f>
        <v>Tue</v>
      </c>
      <c r="E290" s="4" t="n">
        <f aca="false">IF(OR(AND(MONTH($A290)=10,DAY($A290)&gt;=15),MONTH($A290)=11,AND(MONTH($A290)=12,DAY($A290)&lt;=7)),1,0)</f>
        <v>1</v>
      </c>
      <c r="F290" s="4" t="n">
        <f aca="false">IF(MONTH($A290)&lt;=3,1,0)</f>
        <v>0</v>
      </c>
      <c r="G290" s="4" t="str">
        <f aca="false" t="array" ref="G290:G290">_xlfn.TEXTJOIN(" | ",TRUE(),IF('FEMA Disasters'!$F$2:$F$1000=$A290,'FEMA Disasters'!$D$2:$D$1000&amp;" begin: ["&amp;'FEMA Disasters'!$B$2:$B$1000&amp;"] "&amp;'FEMA Disasters'!$C$2:$C$1000&amp;"-"&amp;'FEMA Disasters'!$A$2:$A$1000,""),IF('FEMA Disasters'!$G$2:$G$1000=$A290,'FEMA Disasters'!$D$2:$D$1000&amp;" ended: ["&amp;'FEMA Disasters'!$B$2:$B$1000&amp;"] "&amp;'FEMA Disasters'!$C$2:$C$1000&amp;"-"&amp;'FEMA Disasters'!$A$2:$A$1000,""),IF('FEMA Disasters'!$K$2:$K$1000=$A290,"Disaster SEP opens: "&amp;'FEMA Disasters'!$D$2:$D$1000&amp;" ["&amp;'FEMA Disasters'!$B$2:$B$1000&amp;"] "&amp;'FEMA Disasters'!$C$2:$C$1000&amp;"-"&amp;'FEMA Disasters'!$A$2:$A$1000,""),IF('FEMA Disasters'!$L$2:$L$1000=$A290,"Disaster SEP ended: "&amp;'FEMA Disasters'!$D$2:$D$1000&amp;" ["&amp;'FEMA Disasters'!$B$2:$B$1000&amp;"] "&amp;'FEMA Disasters'!$C$2:$C$1000&amp;"-"&amp;'FEMA Disasters'!$A$2:$A$1000,""))</f>
        <v/>
      </c>
      <c r="H290" s="4" t="n">
        <f aca="false">COUNTIF(Events!$A$2:$A$397,$A290)</f>
        <v>0</v>
      </c>
      <c r="I290" s="6" t="str">
        <f aca="false" t="array" ref="I290:I290">_xlfn.TEXTJOIN(" | ",TRUE(),IF(Events!$A$2:$A$397=$A290,Events!$E$2:$E$397&amp;IF(Events!$G$2:$G$397="National",""," ["&amp;Events!$G$2:$G$397&amp;"]"),""))</f>
        <v/>
      </c>
    </row>
    <row r="291" customFormat="false" ht="15" hidden="false" customHeight="true" outlineLevel="0" collapsed="false">
      <c r="A291" s="3" t="n">
        <v>45581</v>
      </c>
      <c r="B291" s="4" t="n">
        <f aca="false">YEAR($A291)</f>
        <v>2024</v>
      </c>
      <c r="C291" s="4" t="n">
        <f aca="false">MONTH($A291)</f>
        <v>10</v>
      </c>
      <c r="D291" s="4" t="str">
        <f aca="false">TEXT($A291,"ddd")</f>
        <v>Wed</v>
      </c>
      <c r="E291" s="4" t="n">
        <f aca="false">IF(OR(AND(MONTH($A291)=10,DAY($A291)&gt;=15),MONTH($A291)=11,AND(MONTH($A291)=12,DAY($A291)&lt;=7)),1,0)</f>
        <v>1</v>
      </c>
      <c r="F291" s="4" t="n">
        <f aca="false">IF(MONTH($A291)&lt;=3,1,0)</f>
        <v>0</v>
      </c>
      <c r="G291" s="4" t="str">
        <f aca="false" t="array" ref="G291:G291">_xlfn.TEXTJOIN(" | ",TRUE(),IF('FEMA Disasters'!$F$2:$F$1000=$A291,'FEMA Disasters'!$D$2:$D$1000&amp;" begin: ["&amp;'FEMA Disasters'!$B$2:$B$1000&amp;"] "&amp;'FEMA Disasters'!$C$2:$C$1000&amp;"-"&amp;'FEMA Disasters'!$A$2:$A$1000,""),IF('FEMA Disasters'!$G$2:$G$1000=$A291,'FEMA Disasters'!$D$2:$D$1000&amp;" ended: ["&amp;'FEMA Disasters'!$B$2:$B$1000&amp;"] "&amp;'FEMA Disasters'!$C$2:$C$1000&amp;"-"&amp;'FEMA Disasters'!$A$2:$A$1000,""),IF('FEMA Disasters'!$K$2:$K$1000=$A291,"Disaster SEP opens: "&amp;'FEMA Disasters'!$D$2:$D$1000&amp;" ["&amp;'FEMA Disasters'!$B$2:$B$1000&amp;"] "&amp;'FEMA Disasters'!$C$2:$C$1000&amp;"-"&amp;'FEMA Disasters'!$A$2:$A$1000,""),IF('FEMA Disasters'!$L$2:$L$1000=$A291,"Disaster SEP ended: "&amp;'FEMA Disasters'!$D$2:$D$1000&amp;" ["&amp;'FEMA Disasters'!$B$2:$B$1000&amp;"] "&amp;'FEMA Disasters'!$C$2:$C$1000&amp;"-"&amp;'FEMA Disasters'!$A$2:$A$1000,""))</f>
        <v/>
      </c>
      <c r="H291" s="4" t="n">
        <f aca="false">COUNTIF(Events!$A$2:$A$397,$A291)</f>
        <v>0</v>
      </c>
      <c r="I291" s="6" t="str">
        <f aca="false" t="array" ref="I291:I291">_xlfn.TEXTJOIN(" | ",TRUE(),IF(Events!$A$2:$A$397=$A291,Events!$E$2:$E$397&amp;IF(Events!$G$2:$G$397="National",""," ["&amp;Events!$G$2:$G$397&amp;"]"),""))</f>
        <v/>
      </c>
    </row>
    <row r="292" customFormat="false" ht="15" hidden="false" customHeight="true" outlineLevel="0" collapsed="false">
      <c r="A292" s="3" t="n">
        <v>45582</v>
      </c>
      <c r="B292" s="4" t="n">
        <f aca="false">YEAR($A292)</f>
        <v>2024</v>
      </c>
      <c r="C292" s="4" t="n">
        <f aca="false">MONTH($A292)</f>
        <v>10</v>
      </c>
      <c r="D292" s="4" t="str">
        <f aca="false">TEXT($A292,"ddd")</f>
        <v>Thu</v>
      </c>
      <c r="E292" s="4" t="n">
        <f aca="false">IF(OR(AND(MONTH($A292)=10,DAY($A292)&gt;=15),MONTH($A292)=11,AND(MONTH($A292)=12,DAY($A292)&lt;=7)),1,0)</f>
        <v>1</v>
      </c>
      <c r="F292" s="4" t="n">
        <f aca="false">IF(MONTH($A292)&lt;=3,1,0)</f>
        <v>0</v>
      </c>
      <c r="G292" s="4" t="str">
        <f aca="false" t="array" ref="G292:G292">_xlfn.TEXTJOIN(" | ",TRUE(),IF('FEMA Disasters'!$F$2:$F$1000=$A292,'FEMA Disasters'!$D$2:$D$1000&amp;" begin: ["&amp;'FEMA Disasters'!$B$2:$B$1000&amp;"] "&amp;'FEMA Disasters'!$C$2:$C$1000&amp;"-"&amp;'FEMA Disasters'!$A$2:$A$1000,""),IF('FEMA Disasters'!$G$2:$G$1000=$A292,'FEMA Disasters'!$D$2:$D$1000&amp;" ended: ["&amp;'FEMA Disasters'!$B$2:$B$1000&amp;"] "&amp;'FEMA Disasters'!$C$2:$C$1000&amp;"-"&amp;'FEMA Disasters'!$A$2:$A$1000,""),IF('FEMA Disasters'!$K$2:$K$1000=$A292,"Disaster SEP opens: "&amp;'FEMA Disasters'!$D$2:$D$1000&amp;" ["&amp;'FEMA Disasters'!$B$2:$B$1000&amp;"] "&amp;'FEMA Disasters'!$C$2:$C$1000&amp;"-"&amp;'FEMA Disasters'!$A$2:$A$1000,""),IF('FEMA Disasters'!$L$2:$L$1000=$A292,"Disaster SEP ended: "&amp;'FEMA Disasters'!$D$2:$D$1000&amp;" ["&amp;'FEMA Disasters'!$B$2:$B$1000&amp;"] "&amp;'FEMA Disasters'!$C$2:$C$1000&amp;"-"&amp;'FEMA Disasters'!$A$2:$A$1000,""))</f>
        <v>Fire ended: [ND] FM-5541</v>
      </c>
      <c r="H292" s="4" t="n">
        <f aca="false">COUNTIF(Events!$A$2:$A$397,$A292)</f>
        <v>0</v>
      </c>
      <c r="I292" s="6" t="str">
        <f aca="false" t="array" ref="I292:I292">_xlfn.TEXTJOIN(" | ",TRUE(),IF(Events!$A$2:$A$397=$A292,Events!$E$2:$E$397&amp;IF(Events!$G$2:$G$397="National",""," ["&amp;Events!$G$2:$G$397&amp;"]"),""))</f>
        <v/>
      </c>
    </row>
    <row r="293" customFormat="false" ht="15" hidden="false" customHeight="true" outlineLevel="0" collapsed="false">
      <c r="A293" s="3" t="n">
        <v>45583</v>
      </c>
      <c r="B293" s="4" t="n">
        <f aca="false">YEAR($A293)</f>
        <v>2024</v>
      </c>
      <c r="C293" s="4" t="n">
        <f aca="false">MONTH($A293)</f>
        <v>10</v>
      </c>
      <c r="D293" s="4" t="str">
        <f aca="false">TEXT($A293,"ddd")</f>
        <v>Fri</v>
      </c>
      <c r="E293" s="4" t="n">
        <f aca="false">IF(OR(AND(MONTH($A293)=10,DAY($A293)&gt;=15),MONTH($A293)=11,AND(MONTH($A293)=12,DAY($A293)&lt;=7)),1,0)</f>
        <v>1</v>
      </c>
      <c r="F293" s="4" t="n">
        <f aca="false">IF(MONTH($A293)&lt;=3,1,0)</f>
        <v>0</v>
      </c>
      <c r="G293" s="4" t="str">
        <f aca="false" t="array" ref="G293:G293">_xlfn.TEXTJOIN(" | ",TRUE(),IF('FEMA Disasters'!$F$2:$F$1000=$A293,'FEMA Disasters'!$D$2:$D$1000&amp;" begin: ["&amp;'FEMA Disasters'!$B$2:$B$1000&amp;"] "&amp;'FEMA Disasters'!$C$2:$C$1000&amp;"-"&amp;'FEMA Disasters'!$A$2:$A$1000,""),IF('FEMA Disasters'!$G$2:$G$1000=$A293,'FEMA Disasters'!$D$2:$D$1000&amp;" ended: ["&amp;'FEMA Disasters'!$B$2:$B$1000&amp;"] "&amp;'FEMA Disasters'!$C$2:$C$1000&amp;"-"&amp;'FEMA Disasters'!$A$2:$A$1000,""),IF('FEMA Disasters'!$K$2:$K$1000=$A293,"Disaster SEP opens: "&amp;'FEMA Disasters'!$D$2:$D$1000&amp;" ["&amp;'FEMA Disasters'!$B$2:$B$1000&amp;"] "&amp;'FEMA Disasters'!$C$2:$C$1000&amp;"-"&amp;'FEMA Disasters'!$A$2:$A$1000,""),IF('FEMA Disasters'!$L$2:$L$1000=$A293,"Disaster SEP ended: "&amp;'FEMA Disasters'!$D$2:$D$1000&amp;" ["&amp;'FEMA Disasters'!$B$2:$B$1000&amp;"] "&amp;'FEMA Disasters'!$C$2:$C$1000&amp;"-"&amp;'FEMA Disasters'!$A$2:$A$1000,""))</f>
        <v/>
      </c>
      <c r="H293" s="4" t="n">
        <f aca="false">COUNTIF(Events!$A$2:$A$397,$A293)</f>
        <v>0</v>
      </c>
      <c r="I293" s="6" t="str">
        <f aca="false" t="array" ref="I293:I293">_xlfn.TEXTJOIN(" | ",TRUE(),IF(Events!$A$2:$A$397=$A293,Events!$E$2:$E$397&amp;IF(Events!$G$2:$G$397="National",""," ["&amp;Events!$G$2:$G$397&amp;"]"),""))</f>
        <v/>
      </c>
    </row>
    <row r="294" customFormat="false" ht="15" hidden="false" customHeight="true" outlineLevel="0" collapsed="false">
      <c r="A294" s="3" t="n">
        <v>45584</v>
      </c>
      <c r="B294" s="4" t="n">
        <f aca="false">YEAR($A294)</f>
        <v>2024</v>
      </c>
      <c r="C294" s="4" t="n">
        <f aca="false">MONTH($A294)</f>
        <v>10</v>
      </c>
      <c r="D294" s="4" t="str">
        <f aca="false">TEXT($A294,"ddd")</f>
        <v>Sat</v>
      </c>
      <c r="E294" s="4" t="n">
        <f aca="false">IF(OR(AND(MONTH($A294)=10,DAY($A294)&gt;=15),MONTH($A294)=11,AND(MONTH($A294)=12,DAY($A294)&lt;=7)),1,0)</f>
        <v>1</v>
      </c>
      <c r="F294" s="4" t="n">
        <f aca="false">IF(MONTH($A294)&lt;=3,1,0)</f>
        <v>0</v>
      </c>
      <c r="G294" s="4" t="str">
        <f aca="false" t="array" ref="G294:G294">_xlfn.TEXTJOIN(" | ",TRUE(),IF('FEMA Disasters'!$F$2:$F$1000=$A294,'FEMA Disasters'!$D$2:$D$1000&amp;" begin: ["&amp;'FEMA Disasters'!$B$2:$B$1000&amp;"] "&amp;'FEMA Disasters'!$C$2:$C$1000&amp;"-"&amp;'FEMA Disasters'!$A$2:$A$1000,""),IF('FEMA Disasters'!$G$2:$G$1000=$A294,'FEMA Disasters'!$D$2:$D$1000&amp;" ended: ["&amp;'FEMA Disasters'!$B$2:$B$1000&amp;"] "&amp;'FEMA Disasters'!$C$2:$C$1000&amp;"-"&amp;'FEMA Disasters'!$A$2:$A$1000,""),IF('FEMA Disasters'!$K$2:$K$1000=$A294,"Disaster SEP opens: "&amp;'FEMA Disasters'!$D$2:$D$1000&amp;" ["&amp;'FEMA Disasters'!$B$2:$B$1000&amp;"] "&amp;'FEMA Disasters'!$C$2:$C$1000&amp;"-"&amp;'FEMA Disasters'!$A$2:$A$1000,""),IF('FEMA Disasters'!$L$2:$L$1000=$A294,"Disaster SEP ended: "&amp;'FEMA Disasters'!$D$2:$D$1000&amp;" ["&amp;'FEMA Disasters'!$B$2:$B$1000&amp;"] "&amp;'FEMA Disasters'!$C$2:$C$1000&amp;"-"&amp;'FEMA Disasters'!$A$2:$A$1000,""))</f>
        <v>Flood begin: [NM] DR-4843</v>
      </c>
      <c r="H294" s="4" t="n">
        <f aca="false">COUNTIF(Events!$A$2:$A$397,$A294)</f>
        <v>0</v>
      </c>
      <c r="I294" s="6" t="str">
        <f aca="false" t="array" ref="I294:I294">_xlfn.TEXTJOIN(" | ",TRUE(),IF(Events!$A$2:$A$397=$A294,Events!$E$2:$E$397&amp;IF(Events!$G$2:$G$397="National",""," ["&amp;Events!$G$2:$G$397&amp;"]"),""))</f>
        <v/>
      </c>
    </row>
    <row r="295" customFormat="false" ht="15" hidden="false" customHeight="true" outlineLevel="0" collapsed="false">
      <c r="A295" s="3" t="n">
        <v>45585</v>
      </c>
      <c r="B295" s="4" t="n">
        <f aca="false">YEAR($A295)</f>
        <v>2024</v>
      </c>
      <c r="C295" s="4" t="n">
        <f aca="false">MONTH($A295)</f>
        <v>10</v>
      </c>
      <c r="D295" s="4" t="str">
        <f aca="false">TEXT($A295,"ddd")</f>
        <v>Sun</v>
      </c>
      <c r="E295" s="4" t="n">
        <f aca="false">IF(OR(AND(MONTH($A295)=10,DAY($A295)&gt;=15),MONTH($A295)=11,AND(MONTH($A295)=12,DAY($A295)&lt;=7)),1,0)</f>
        <v>1</v>
      </c>
      <c r="F295" s="4" t="n">
        <f aca="false">IF(MONTH($A295)&lt;=3,1,0)</f>
        <v>0</v>
      </c>
      <c r="G295" s="4" t="str">
        <f aca="false" t="array" ref="G295:G295">_xlfn.TEXTJOIN(" | ",TRUE(),IF('FEMA Disasters'!$F$2:$F$1000=$A295,'FEMA Disasters'!$D$2:$D$1000&amp;" begin: ["&amp;'FEMA Disasters'!$B$2:$B$1000&amp;"] "&amp;'FEMA Disasters'!$C$2:$C$1000&amp;"-"&amp;'FEMA Disasters'!$A$2:$A$1000,""),IF('FEMA Disasters'!$G$2:$G$1000=$A295,'FEMA Disasters'!$D$2:$D$1000&amp;" ended: ["&amp;'FEMA Disasters'!$B$2:$B$1000&amp;"] "&amp;'FEMA Disasters'!$C$2:$C$1000&amp;"-"&amp;'FEMA Disasters'!$A$2:$A$1000,""),IF('FEMA Disasters'!$K$2:$K$1000=$A295,"Disaster SEP opens: "&amp;'FEMA Disasters'!$D$2:$D$1000&amp;" ["&amp;'FEMA Disasters'!$B$2:$B$1000&amp;"] "&amp;'FEMA Disasters'!$C$2:$C$1000&amp;"-"&amp;'FEMA Disasters'!$A$2:$A$1000,""),IF('FEMA Disasters'!$L$2:$L$1000=$A295,"Disaster SEP ended: "&amp;'FEMA Disasters'!$D$2:$D$1000&amp;" ["&amp;'FEMA Disasters'!$B$2:$B$1000&amp;"] "&amp;'FEMA Disasters'!$C$2:$C$1000&amp;"-"&amp;'FEMA Disasters'!$A$2:$A$1000,""))</f>
        <v>Severe Storm begin: [AK] DR-4859 | Flood ended: [NM] DR-4843</v>
      </c>
      <c r="H295" s="4" t="n">
        <f aca="false">COUNTIF(Events!$A$2:$A$397,$A295)</f>
        <v>0</v>
      </c>
      <c r="I295" s="6" t="str">
        <f aca="false" t="array" ref="I295:I295">_xlfn.TEXTJOIN(" | ",TRUE(),IF(Events!$A$2:$A$397=$A295,Events!$E$2:$E$397&amp;IF(Events!$G$2:$G$397="National",""," ["&amp;Events!$G$2:$G$397&amp;"]"),""))</f>
        <v/>
      </c>
    </row>
    <row r="296" customFormat="false" ht="15" hidden="false" customHeight="true" outlineLevel="0" collapsed="false">
      <c r="A296" s="3" t="n">
        <v>45586</v>
      </c>
      <c r="B296" s="4" t="n">
        <f aca="false">YEAR($A296)</f>
        <v>2024</v>
      </c>
      <c r="C296" s="4" t="n">
        <f aca="false">MONTH($A296)</f>
        <v>10</v>
      </c>
      <c r="D296" s="4" t="str">
        <f aca="false">TEXT($A296,"ddd")</f>
        <v>Mon</v>
      </c>
      <c r="E296" s="4" t="n">
        <f aca="false">IF(OR(AND(MONTH($A296)=10,DAY($A296)&gt;=15),MONTH($A296)=11,AND(MONTH($A296)=12,DAY($A296)&lt;=7)),1,0)</f>
        <v>1</v>
      </c>
      <c r="F296" s="4" t="n">
        <f aca="false">IF(MONTH($A296)&lt;=3,1,0)</f>
        <v>0</v>
      </c>
      <c r="G296" s="4" t="str">
        <f aca="false" t="array" ref="G296:G296">_xlfn.TEXTJOIN(" | ",TRUE(),IF('FEMA Disasters'!$F$2:$F$1000=$A296,'FEMA Disasters'!$D$2:$D$1000&amp;" begin: ["&amp;'FEMA Disasters'!$B$2:$B$1000&amp;"] "&amp;'FEMA Disasters'!$C$2:$C$1000&amp;"-"&amp;'FEMA Disasters'!$A$2:$A$1000,""),IF('FEMA Disasters'!$G$2:$G$1000=$A296,'FEMA Disasters'!$D$2:$D$1000&amp;" ended: ["&amp;'FEMA Disasters'!$B$2:$B$1000&amp;"] "&amp;'FEMA Disasters'!$C$2:$C$1000&amp;"-"&amp;'FEMA Disasters'!$A$2:$A$1000,""),IF('FEMA Disasters'!$K$2:$K$1000=$A296,"Disaster SEP opens: "&amp;'FEMA Disasters'!$D$2:$D$1000&amp;" ["&amp;'FEMA Disasters'!$B$2:$B$1000&amp;"] "&amp;'FEMA Disasters'!$C$2:$C$1000&amp;"-"&amp;'FEMA Disasters'!$A$2:$A$1000,""),IF('FEMA Disasters'!$L$2:$L$1000=$A296,"Disaster SEP ended: "&amp;'FEMA Disasters'!$D$2:$D$1000&amp;" ["&amp;'FEMA Disasters'!$B$2:$B$1000&amp;"] "&amp;'FEMA Disasters'!$C$2:$C$1000&amp;"-"&amp;'FEMA Disasters'!$A$2:$A$1000,""))</f>
        <v>Fire begin: [CT] FM-5542 | Fire ended: [ND] FM-5540</v>
      </c>
      <c r="H296" s="4" t="n">
        <f aca="false">COUNTIF(Events!$A$2:$A$397,$A296)</f>
        <v>0</v>
      </c>
      <c r="I296" s="6" t="str">
        <f aca="false" t="array" ref="I296:I296">_xlfn.TEXTJOIN(" | ",TRUE(),IF(Events!$A$2:$A$397=$A296,Events!$E$2:$E$397&amp;IF(Events!$G$2:$G$397="National",""," ["&amp;Events!$G$2:$G$397&amp;"]"),""))</f>
        <v/>
      </c>
    </row>
    <row r="297" customFormat="false" ht="15" hidden="false" customHeight="true" outlineLevel="0" collapsed="false">
      <c r="A297" s="3" t="n">
        <v>45587</v>
      </c>
      <c r="B297" s="4" t="n">
        <f aca="false">YEAR($A297)</f>
        <v>2024</v>
      </c>
      <c r="C297" s="4" t="n">
        <f aca="false">MONTH($A297)</f>
        <v>10</v>
      </c>
      <c r="D297" s="4" t="str">
        <f aca="false">TEXT($A297,"ddd")</f>
        <v>Tue</v>
      </c>
      <c r="E297" s="4" t="n">
        <f aca="false">IF(OR(AND(MONTH($A297)=10,DAY($A297)&gt;=15),MONTH($A297)=11,AND(MONTH($A297)=12,DAY($A297)&lt;=7)),1,0)</f>
        <v>1</v>
      </c>
      <c r="F297" s="4" t="n">
        <f aca="false">IF(MONTH($A297)&lt;=3,1,0)</f>
        <v>0</v>
      </c>
      <c r="G297" s="4" t="str">
        <f aca="false" t="array" ref="G297:G297">_xlfn.TEXTJOIN(" | ",TRUE(),IF('FEMA Disasters'!$F$2:$F$1000=$A297,'FEMA Disasters'!$D$2:$D$1000&amp;" begin: ["&amp;'FEMA Disasters'!$B$2:$B$1000&amp;"] "&amp;'FEMA Disasters'!$C$2:$C$1000&amp;"-"&amp;'FEMA Disasters'!$A$2:$A$1000,""),IF('FEMA Disasters'!$G$2:$G$1000=$A297,'FEMA Disasters'!$D$2:$D$1000&amp;" ended: ["&amp;'FEMA Disasters'!$B$2:$B$1000&amp;"] "&amp;'FEMA Disasters'!$C$2:$C$1000&amp;"-"&amp;'FEMA Disasters'!$A$2:$A$1000,""),IF('FEMA Disasters'!$K$2:$K$1000=$A297,"Disaster SEP opens: "&amp;'FEMA Disasters'!$D$2:$D$1000&amp;" ["&amp;'FEMA Disasters'!$B$2:$B$1000&amp;"] "&amp;'FEMA Disasters'!$C$2:$C$1000&amp;"-"&amp;'FEMA Disasters'!$A$2:$A$1000,""),IF('FEMA Disasters'!$L$2:$L$1000=$A297,"Disaster SEP ended: "&amp;'FEMA Disasters'!$D$2:$D$1000&amp;" ["&amp;'FEMA Disasters'!$B$2:$B$1000&amp;"] "&amp;'FEMA Disasters'!$C$2:$C$1000&amp;"-"&amp;'FEMA Disasters'!$A$2:$A$1000,""))</f>
        <v>Fire ended: [WY] FM-5539</v>
      </c>
      <c r="H297" s="4" t="n">
        <f aca="false">COUNTIF(Events!$A$2:$A$397,$A297)</f>
        <v>0</v>
      </c>
      <c r="I297" s="6" t="str">
        <f aca="false" t="array" ref="I297:I297">_xlfn.TEXTJOIN(" | ",TRUE(),IF(Events!$A$2:$A$397=$A297,Events!$E$2:$E$397&amp;IF(Events!$G$2:$G$397="National",""," ["&amp;Events!$G$2:$G$397&amp;"]"),""))</f>
        <v/>
      </c>
    </row>
    <row r="298" customFormat="false" ht="15" hidden="false" customHeight="true" outlineLevel="0" collapsed="false">
      <c r="A298" s="3" t="n">
        <v>45588</v>
      </c>
      <c r="B298" s="4" t="n">
        <f aca="false">YEAR($A298)</f>
        <v>2024</v>
      </c>
      <c r="C298" s="4" t="n">
        <f aca="false">MONTH($A298)</f>
        <v>10</v>
      </c>
      <c r="D298" s="4" t="str">
        <f aca="false">TEXT($A298,"ddd")</f>
        <v>Wed</v>
      </c>
      <c r="E298" s="4" t="n">
        <f aca="false">IF(OR(AND(MONTH($A298)=10,DAY($A298)&gt;=15),MONTH($A298)=11,AND(MONTH($A298)=12,DAY($A298)&lt;=7)),1,0)</f>
        <v>1</v>
      </c>
      <c r="F298" s="4" t="n">
        <f aca="false">IF(MONTH($A298)&lt;=3,1,0)</f>
        <v>0</v>
      </c>
      <c r="G298" s="4" t="str">
        <f aca="false" t="array" ref="G298:G298">_xlfn.TEXTJOIN(" | ",TRUE(),IF('FEMA Disasters'!$F$2:$F$1000=$A298,'FEMA Disasters'!$D$2:$D$1000&amp;" begin: ["&amp;'FEMA Disasters'!$B$2:$B$1000&amp;"] "&amp;'FEMA Disasters'!$C$2:$C$1000&amp;"-"&amp;'FEMA Disasters'!$A$2:$A$1000,""),IF('FEMA Disasters'!$G$2:$G$1000=$A298,'FEMA Disasters'!$D$2:$D$1000&amp;" ended: ["&amp;'FEMA Disasters'!$B$2:$B$1000&amp;"] "&amp;'FEMA Disasters'!$C$2:$C$1000&amp;"-"&amp;'FEMA Disasters'!$A$2:$A$1000,""),IF('FEMA Disasters'!$K$2:$K$1000=$A298,"Disaster SEP opens: "&amp;'FEMA Disasters'!$D$2:$D$1000&amp;" ["&amp;'FEMA Disasters'!$B$2:$B$1000&amp;"] "&amp;'FEMA Disasters'!$C$2:$C$1000&amp;"-"&amp;'FEMA Disasters'!$A$2:$A$1000,""),IF('FEMA Disasters'!$L$2:$L$1000=$A298,"Disaster SEP ended: "&amp;'FEMA Disasters'!$D$2:$D$1000&amp;" ["&amp;'FEMA Disasters'!$B$2:$B$1000&amp;"] "&amp;'FEMA Disasters'!$C$2:$C$1000&amp;"-"&amp;'FEMA Disasters'!$A$2:$A$1000,""))</f>
        <v>Severe Storm ended: [AK] DR-4859</v>
      </c>
      <c r="H298" s="4" t="n">
        <f aca="false">COUNTIF(Events!$A$2:$A$397,$A298)</f>
        <v>0</v>
      </c>
      <c r="I298" s="6" t="str">
        <f aca="false" t="array" ref="I298:I298">_xlfn.TEXTJOIN(" | ",TRUE(),IF(Events!$A$2:$A$397=$A298,Events!$E$2:$E$397&amp;IF(Events!$G$2:$G$397="National",""," ["&amp;Events!$G$2:$G$397&amp;"]"),""))</f>
        <v/>
      </c>
    </row>
    <row r="299" customFormat="false" ht="15" hidden="false" customHeight="true" outlineLevel="0" collapsed="false">
      <c r="A299" s="3" t="n">
        <v>45589</v>
      </c>
      <c r="B299" s="4" t="n">
        <f aca="false">YEAR($A299)</f>
        <v>2024</v>
      </c>
      <c r="C299" s="4" t="n">
        <f aca="false">MONTH($A299)</f>
        <v>10</v>
      </c>
      <c r="D299" s="4" t="str">
        <f aca="false">TEXT($A299,"ddd")</f>
        <v>Thu</v>
      </c>
      <c r="E299" s="4" t="n">
        <f aca="false">IF(OR(AND(MONTH($A299)=10,DAY($A299)&gt;=15),MONTH($A299)=11,AND(MONTH($A299)=12,DAY($A299)&lt;=7)),1,0)</f>
        <v>1</v>
      </c>
      <c r="F299" s="4" t="n">
        <f aca="false">IF(MONTH($A299)&lt;=3,1,0)</f>
        <v>0</v>
      </c>
      <c r="G299" s="4" t="str">
        <f aca="false" t="array" ref="G299:G299">_xlfn.TEXTJOIN(" | ",TRUE(),IF('FEMA Disasters'!$F$2:$F$1000=$A299,'FEMA Disasters'!$D$2:$D$1000&amp;" begin: ["&amp;'FEMA Disasters'!$B$2:$B$1000&amp;"] "&amp;'FEMA Disasters'!$C$2:$C$1000&amp;"-"&amp;'FEMA Disasters'!$A$2:$A$1000,""),IF('FEMA Disasters'!$G$2:$G$1000=$A299,'FEMA Disasters'!$D$2:$D$1000&amp;" ended: ["&amp;'FEMA Disasters'!$B$2:$B$1000&amp;"] "&amp;'FEMA Disasters'!$C$2:$C$1000&amp;"-"&amp;'FEMA Disasters'!$A$2:$A$1000,""),IF('FEMA Disasters'!$K$2:$K$1000=$A299,"Disaster SEP opens: "&amp;'FEMA Disasters'!$D$2:$D$1000&amp;" ["&amp;'FEMA Disasters'!$B$2:$B$1000&amp;"] "&amp;'FEMA Disasters'!$C$2:$C$1000&amp;"-"&amp;'FEMA Disasters'!$A$2:$A$1000,""),IF('FEMA Disasters'!$L$2:$L$1000=$A299,"Disaster SEP ended: "&amp;'FEMA Disasters'!$D$2:$D$1000&amp;" ["&amp;'FEMA Disasters'!$B$2:$B$1000&amp;"] "&amp;'FEMA Disasters'!$C$2:$C$1000&amp;"-"&amp;'FEMA Disasters'!$A$2:$A$1000,""))</f>
        <v/>
      </c>
      <c r="H299" s="4" t="n">
        <f aca="false">COUNTIF(Events!$A$2:$A$397,$A299)</f>
        <v>0</v>
      </c>
      <c r="I299" s="6" t="str">
        <f aca="false" t="array" ref="I299:I299">_xlfn.TEXTJOIN(" | ",TRUE(),IF(Events!$A$2:$A$397=$A299,Events!$E$2:$E$397&amp;IF(Events!$G$2:$G$397="National",""," ["&amp;Events!$G$2:$G$397&amp;"]"),""))</f>
        <v/>
      </c>
    </row>
    <row r="300" customFormat="false" ht="15" hidden="false" customHeight="true" outlineLevel="0" collapsed="false">
      <c r="A300" s="3" t="n">
        <v>45590</v>
      </c>
      <c r="B300" s="4" t="n">
        <f aca="false">YEAR($A300)</f>
        <v>2024</v>
      </c>
      <c r="C300" s="4" t="n">
        <f aca="false">MONTH($A300)</f>
        <v>10</v>
      </c>
      <c r="D300" s="4" t="str">
        <f aca="false">TEXT($A300,"ddd")</f>
        <v>Fri</v>
      </c>
      <c r="E300" s="4" t="n">
        <f aca="false">IF(OR(AND(MONTH($A300)=10,DAY($A300)&gt;=15),MONTH($A300)=11,AND(MONTH($A300)=12,DAY($A300)&lt;=7)),1,0)</f>
        <v>1</v>
      </c>
      <c r="F300" s="4" t="n">
        <f aca="false">IF(MONTH($A300)&lt;=3,1,0)</f>
        <v>0</v>
      </c>
      <c r="G300" s="4" t="str">
        <f aca="false" t="array" ref="G300:G300">_xlfn.TEXTJOIN(" | ",TRUE(),IF('FEMA Disasters'!$F$2:$F$1000=$A300,'FEMA Disasters'!$D$2:$D$1000&amp;" begin: ["&amp;'FEMA Disasters'!$B$2:$B$1000&amp;"] "&amp;'FEMA Disasters'!$C$2:$C$1000&amp;"-"&amp;'FEMA Disasters'!$A$2:$A$1000,""),IF('FEMA Disasters'!$G$2:$G$1000=$A300,'FEMA Disasters'!$D$2:$D$1000&amp;" ended: ["&amp;'FEMA Disasters'!$B$2:$B$1000&amp;"] "&amp;'FEMA Disasters'!$C$2:$C$1000&amp;"-"&amp;'FEMA Disasters'!$A$2:$A$1000,""),IF('FEMA Disasters'!$K$2:$K$1000=$A300,"Disaster SEP opens: "&amp;'FEMA Disasters'!$D$2:$D$1000&amp;" ["&amp;'FEMA Disasters'!$B$2:$B$1000&amp;"] "&amp;'FEMA Disasters'!$C$2:$C$1000&amp;"-"&amp;'FEMA Disasters'!$A$2:$A$1000,""),IF('FEMA Disasters'!$L$2:$L$1000=$A300,"Disaster SEP ended: "&amp;'FEMA Disasters'!$D$2:$D$1000&amp;" ["&amp;'FEMA Disasters'!$B$2:$B$1000&amp;"] "&amp;'FEMA Disasters'!$C$2:$C$1000&amp;"-"&amp;'FEMA Disasters'!$A$2:$A$1000,""))</f>
        <v/>
      </c>
      <c r="H300" s="4" t="n">
        <f aca="false">COUNTIF(Events!$A$2:$A$397,$A300)</f>
        <v>0</v>
      </c>
      <c r="I300" s="6" t="str">
        <f aca="false" t="array" ref="I300:I300">_xlfn.TEXTJOIN(" | ",TRUE(),IF(Events!$A$2:$A$397=$A300,Events!$E$2:$E$397&amp;IF(Events!$G$2:$G$397="National",""," ["&amp;Events!$G$2:$G$397&amp;"]"),""))</f>
        <v/>
      </c>
    </row>
    <row r="301" customFormat="false" ht="15" hidden="false" customHeight="true" outlineLevel="0" collapsed="false">
      <c r="A301" s="3" t="n">
        <v>45591</v>
      </c>
      <c r="B301" s="4" t="n">
        <f aca="false">YEAR($A301)</f>
        <v>2024</v>
      </c>
      <c r="C301" s="4" t="n">
        <f aca="false">MONTH($A301)</f>
        <v>10</v>
      </c>
      <c r="D301" s="4" t="str">
        <f aca="false">TEXT($A301,"ddd")</f>
        <v>Sat</v>
      </c>
      <c r="E301" s="4" t="n">
        <f aca="false">IF(OR(AND(MONTH($A301)=10,DAY($A301)&gt;=15),MONTH($A301)=11,AND(MONTH($A301)=12,DAY($A301)&lt;=7)),1,0)</f>
        <v>1</v>
      </c>
      <c r="F301" s="4" t="n">
        <f aca="false">IF(MONTH($A301)&lt;=3,1,0)</f>
        <v>0</v>
      </c>
      <c r="G301" s="4" t="str">
        <f aca="false" t="array" ref="G301:G301">_xlfn.TEXTJOIN(" | ",TRUE(),IF('FEMA Disasters'!$F$2:$F$1000=$A301,'FEMA Disasters'!$D$2:$D$1000&amp;" begin: ["&amp;'FEMA Disasters'!$B$2:$B$1000&amp;"] "&amp;'FEMA Disasters'!$C$2:$C$1000&amp;"-"&amp;'FEMA Disasters'!$A$2:$A$1000,""),IF('FEMA Disasters'!$G$2:$G$1000=$A301,'FEMA Disasters'!$D$2:$D$1000&amp;" ended: ["&amp;'FEMA Disasters'!$B$2:$B$1000&amp;"] "&amp;'FEMA Disasters'!$C$2:$C$1000&amp;"-"&amp;'FEMA Disasters'!$A$2:$A$1000,""),IF('FEMA Disasters'!$K$2:$K$1000=$A301,"Disaster SEP opens: "&amp;'FEMA Disasters'!$D$2:$D$1000&amp;" ["&amp;'FEMA Disasters'!$B$2:$B$1000&amp;"] "&amp;'FEMA Disasters'!$C$2:$C$1000&amp;"-"&amp;'FEMA Disasters'!$A$2:$A$1000,""),IF('FEMA Disasters'!$L$2:$L$1000=$A301,"Disaster SEP ended: "&amp;'FEMA Disasters'!$D$2:$D$1000&amp;" ["&amp;'FEMA Disasters'!$B$2:$B$1000&amp;"] "&amp;'FEMA Disasters'!$C$2:$C$1000&amp;"-"&amp;'FEMA Disasters'!$A$2:$A$1000,""))</f>
        <v/>
      </c>
      <c r="H301" s="4" t="n">
        <f aca="false">COUNTIF(Events!$A$2:$A$397,$A301)</f>
        <v>0</v>
      </c>
      <c r="I301" s="6" t="str">
        <f aca="false" t="array" ref="I301:I301">_xlfn.TEXTJOIN(" | ",TRUE(),IF(Events!$A$2:$A$397=$A301,Events!$E$2:$E$397&amp;IF(Events!$G$2:$G$397="National",""," ["&amp;Events!$G$2:$G$397&amp;"]"),""))</f>
        <v/>
      </c>
    </row>
    <row r="302" customFormat="false" ht="15" hidden="false" customHeight="true" outlineLevel="0" collapsed="false">
      <c r="A302" s="3" t="n">
        <v>45592</v>
      </c>
      <c r="B302" s="4" t="n">
        <f aca="false">YEAR($A302)</f>
        <v>2024</v>
      </c>
      <c r="C302" s="4" t="n">
        <f aca="false">MONTH($A302)</f>
        <v>10</v>
      </c>
      <c r="D302" s="4" t="str">
        <f aca="false">TEXT($A302,"ddd")</f>
        <v>Sun</v>
      </c>
      <c r="E302" s="4" t="n">
        <f aca="false">IF(OR(AND(MONTH($A302)=10,DAY($A302)&gt;=15),MONTH($A302)=11,AND(MONTH($A302)=12,DAY($A302)&lt;=7)),1,0)</f>
        <v>1</v>
      </c>
      <c r="F302" s="4" t="n">
        <f aca="false">IF(MONTH($A302)&lt;=3,1,0)</f>
        <v>0</v>
      </c>
      <c r="G302" s="4" t="str">
        <f aca="false" t="array" ref="G302:G302">_xlfn.TEXTJOIN(" | ",TRUE(),IF('FEMA Disasters'!$F$2:$F$1000=$A302,'FEMA Disasters'!$D$2:$D$1000&amp;" begin: ["&amp;'FEMA Disasters'!$B$2:$B$1000&amp;"] "&amp;'FEMA Disasters'!$C$2:$C$1000&amp;"-"&amp;'FEMA Disasters'!$A$2:$A$1000,""),IF('FEMA Disasters'!$G$2:$G$1000=$A302,'FEMA Disasters'!$D$2:$D$1000&amp;" ended: ["&amp;'FEMA Disasters'!$B$2:$B$1000&amp;"] "&amp;'FEMA Disasters'!$C$2:$C$1000&amp;"-"&amp;'FEMA Disasters'!$A$2:$A$1000,""),IF('FEMA Disasters'!$K$2:$K$1000=$A302,"Disaster SEP opens: "&amp;'FEMA Disasters'!$D$2:$D$1000&amp;" ["&amp;'FEMA Disasters'!$B$2:$B$1000&amp;"] "&amp;'FEMA Disasters'!$C$2:$C$1000&amp;"-"&amp;'FEMA Disasters'!$A$2:$A$1000,""),IF('FEMA Disasters'!$L$2:$L$1000=$A302,"Disaster SEP ended: "&amp;'FEMA Disasters'!$D$2:$D$1000&amp;" ["&amp;'FEMA Disasters'!$B$2:$B$1000&amp;"] "&amp;'FEMA Disasters'!$C$2:$C$1000&amp;"-"&amp;'FEMA Disasters'!$A$2:$A$1000,""))</f>
        <v/>
      </c>
      <c r="H302" s="4" t="n">
        <f aca="false">COUNTIF(Events!$A$2:$A$397,$A302)</f>
        <v>0</v>
      </c>
      <c r="I302" s="6" t="str">
        <f aca="false" t="array" ref="I302:I302">_xlfn.TEXTJOIN(" | ",TRUE(),IF(Events!$A$2:$A$397=$A302,Events!$E$2:$E$397&amp;IF(Events!$G$2:$G$397="National",""," ["&amp;Events!$G$2:$G$397&amp;"]"),""))</f>
        <v/>
      </c>
    </row>
    <row r="303" customFormat="false" ht="15" hidden="false" customHeight="true" outlineLevel="0" collapsed="false">
      <c r="A303" s="3" t="n">
        <v>45593</v>
      </c>
      <c r="B303" s="4" t="n">
        <f aca="false">YEAR($A303)</f>
        <v>2024</v>
      </c>
      <c r="C303" s="4" t="n">
        <f aca="false">MONTH($A303)</f>
        <v>10</v>
      </c>
      <c r="D303" s="4" t="str">
        <f aca="false">TEXT($A303,"ddd")</f>
        <v>Mon</v>
      </c>
      <c r="E303" s="4" t="n">
        <f aca="false">IF(OR(AND(MONTH($A303)=10,DAY($A303)&gt;=15),MONTH($A303)=11,AND(MONTH($A303)=12,DAY($A303)&lt;=7)),1,0)</f>
        <v>1</v>
      </c>
      <c r="F303" s="4" t="n">
        <f aca="false">IF(MONTH($A303)&lt;=3,1,0)</f>
        <v>0</v>
      </c>
      <c r="G303" s="4" t="str">
        <f aca="false" t="array" ref="G303:G303">_xlfn.TEXTJOIN(" | ",TRUE(),IF('FEMA Disasters'!$F$2:$F$1000=$A303,'FEMA Disasters'!$D$2:$D$1000&amp;" begin: ["&amp;'FEMA Disasters'!$B$2:$B$1000&amp;"] "&amp;'FEMA Disasters'!$C$2:$C$1000&amp;"-"&amp;'FEMA Disasters'!$A$2:$A$1000,""),IF('FEMA Disasters'!$G$2:$G$1000=$A303,'FEMA Disasters'!$D$2:$D$1000&amp;" ended: ["&amp;'FEMA Disasters'!$B$2:$B$1000&amp;"] "&amp;'FEMA Disasters'!$C$2:$C$1000&amp;"-"&amp;'FEMA Disasters'!$A$2:$A$1000,""),IF('FEMA Disasters'!$K$2:$K$1000=$A303,"Disaster SEP opens: "&amp;'FEMA Disasters'!$D$2:$D$1000&amp;" ["&amp;'FEMA Disasters'!$B$2:$B$1000&amp;"] "&amp;'FEMA Disasters'!$C$2:$C$1000&amp;"-"&amp;'FEMA Disasters'!$A$2:$A$1000,""),IF('FEMA Disasters'!$L$2:$L$1000=$A303,"Disaster SEP ended: "&amp;'FEMA Disasters'!$D$2:$D$1000&amp;" ["&amp;'FEMA Disasters'!$B$2:$B$1000&amp;"] "&amp;'FEMA Disasters'!$C$2:$C$1000&amp;"-"&amp;'FEMA Disasters'!$A$2:$A$1000,""))</f>
        <v/>
      </c>
      <c r="H303" s="4" t="n">
        <f aca="false">COUNTIF(Events!$A$2:$A$397,$A303)</f>
        <v>0</v>
      </c>
      <c r="I303" s="6" t="str">
        <f aca="false" t="array" ref="I303:I303">_xlfn.TEXTJOIN(" | ",TRUE(),IF(Events!$A$2:$A$397=$A303,Events!$E$2:$E$397&amp;IF(Events!$G$2:$G$397="National",""," ["&amp;Events!$G$2:$G$397&amp;"]"),""))</f>
        <v/>
      </c>
    </row>
    <row r="304" customFormat="false" ht="15" hidden="false" customHeight="true" outlineLevel="0" collapsed="false">
      <c r="A304" s="3" t="n">
        <v>45594</v>
      </c>
      <c r="B304" s="4" t="n">
        <f aca="false">YEAR($A304)</f>
        <v>2024</v>
      </c>
      <c r="C304" s="4" t="n">
        <f aca="false">MONTH($A304)</f>
        <v>10</v>
      </c>
      <c r="D304" s="4" t="str">
        <f aca="false">TEXT($A304,"ddd")</f>
        <v>Tue</v>
      </c>
      <c r="E304" s="4" t="n">
        <f aca="false">IF(OR(AND(MONTH($A304)=10,DAY($A304)&gt;=15),MONTH($A304)=11,AND(MONTH($A304)=12,DAY($A304)&lt;=7)),1,0)</f>
        <v>1</v>
      </c>
      <c r="F304" s="4" t="n">
        <f aca="false">IF(MONTH($A304)&lt;=3,1,0)</f>
        <v>0</v>
      </c>
      <c r="G304" s="4" t="str">
        <f aca="false" t="array" ref="G304:G304">_xlfn.TEXTJOIN(" | ",TRUE(),IF('FEMA Disasters'!$F$2:$F$1000=$A304,'FEMA Disasters'!$D$2:$D$1000&amp;" begin: ["&amp;'FEMA Disasters'!$B$2:$B$1000&amp;"] "&amp;'FEMA Disasters'!$C$2:$C$1000&amp;"-"&amp;'FEMA Disasters'!$A$2:$A$1000,""),IF('FEMA Disasters'!$G$2:$G$1000=$A304,'FEMA Disasters'!$D$2:$D$1000&amp;" ended: ["&amp;'FEMA Disasters'!$B$2:$B$1000&amp;"] "&amp;'FEMA Disasters'!$C$2:$C$1000&amp;"-"&amp;'FEMA Disasters'!$A$2:$A$1000,""),IF('FEMA Disasters'!$K$2:$K$1000=$A304,"Disaster SEP opens: "&amp;'FEMA Disasters'!$D$2:$D$1000&amp;" ["&amp;'FEMA Disasters'!$B$2:$B$1000&amp;"] "&amp;'FEMA Disasters'!$C$2:$C$1000&amp;"-"&amp;'FEMA Disasters'!$A$2:$A$1000,""),IF('FEMA Disasters'!$L$2:$L$1000=$A304,"Disaster SEP ended: "&amp;'FEMA Disasters'!$D$2:$D$1000&amp;" ["&amp;'FEMA Disasters'!$B$2:$B$1000&amp;"] "&amp;'FEMA Disasters'!$C$2:$C$1000&amp;"-"&amp;'FEMA Disasters'!$A$2:$A$1000,""))</f>
        <v>Fire begin: [OK] FM-5543 | Fire begin: [OK] FM-5544</v>
      </c>
      <c r="H304" s="4" t="n">
        <f aca="false">COUNTIF(Events!$A$2:$A$397,$A304)</f>
        <v>0</v>
      </c>
      <c r="I304" s="6" t="str">
        <f aca="false" t="array" ref="I304:I304">_xlfn.TEXTJOIN(" | ",TRUE(),IF(Events!$A$2:$A$397=$A304,Events!$E$2:$E$397&amp;IF(Events!$G$2:$G$397="National",""," ["&amp;Events!$G$2:$G$397&amp;"]"),""))</f>
        <v/>
      </c>
    </row>
    <row r="305" customFormat="false" ht="15" hidden="false" customHeight="true" outlineLevel="0" collapsed="false">
      <c r="A305" s="3" t="n">
        <v>45595</v>
      </c>
      <c r="B305" s="4" t="n">
        <f aca="false">YEAR($A305)</f>
        <v>2024</v>
      </c>
      <c r="C305" s="4" t="n">
        <f aca="false">MONTH($A305)</f>
        <v>10</v>
      </c>
      <c r="D305" s="4" t="str">
        <f aca="false">TEXT($A305,"ddd")</f>
        <v>Wed</v>
      </c>
      <c r="E305" s="4" t="n">
        <f aca="false">IF(OR(AND(MONTH($A305)=10,DAY($A305)&gt;=15),MONTH($A305)=11,AND(MONTH($A305)=12,DAY($A305)&lt;=7)),1,0)</f>
        <v>1</v>
      </c>
      <c r="F305" s="4" t="n">
        <f aca="false">IF(MONTH($A305)&lt;=3,1,0)</f>
        <v>0</v>
      </c>
      <c r="G305" s="4" t="str">
        <f aca="false" t="array" ref="G305:G305">_xlfn.TEXTJOIN(" | ",TRUE(),IF('FEMA Disasters'!$F$2:$F$1000=$A305,'FEMA Disasters'!$D$2:$D$1000&amp;" begin: ["&amp;'FEMA Disasters'!$B$2:$B$1000&amp;"] "&amp;'FEMA Disasters'!$C$2:$C$1000&amp;"-"&amp;'FEMA Disasters'!$A$2:$A$1000,""),IF('FEMA Disasters'!$G$2:$G$1000=$A305,'FEMA Disasters'!$D$2:$D$1000&amp;" ended: ["&amp;'FEMA Disasters'!$B$2:$B$1000&amp;"] "&amp;'FEMA Disasters'!$C$2:$C$1000&amp;"-"&amp;'FEMA Disasters'!$A$2:$A$1000,""),IF('FEMA Disasters'!$K$2:$K$1000=$A305,"Disaster SEP opens: "&amp;'FEMA Disasters'!$D$2:$D$1000&amp;" ["&amp;'FEMA Disasters'!$B$2:$B$1000&amp;"] "&amp;'FEMA Disasters'!$C$2:$C$1000&amp;"-"&amp;'FEMA Disasters'!$A$2:$A$1000,""),IF('FEMA Disasters'!$L$2:$L$1000=$A305,"Disaster SEP ended: "&amp;'FEMA Disasters'!$D$2:$D$1000&amp;" ["&amp;'FEMA Disasters'!$B$2:$B$1000&amp;"] "&amp;'FEMA Disasters'!$C$2:$C$1000&amp;"-"&amp;'FEMA Disasters'!$A$2:$A$1000,""))</f>
        <v>Tropical Storm ended: [GA] EM-3616 | Hurricane ended: [GA] DR-4830</v>
      </c>
      <c r="H305" s="4" t="n">
        <f aca="false">COUNTIF(Events!$A$2:$A$397,$A305)</f>
        <v>0</v>
      </c>
      <c r="I305" s="6" t="str">
        <f aca="false" t="array" ref="I305:I305">_xlfn.TEXTJOIN(" | ",TRUE(),IF(Events!$A$2:$A$397=$A305,Events!$E$2:$E$397&amp;IF(Events!$G$2:$G$397="National",""," ["&amp;Events!$G$2:$G$397&amp;"]"),""))</f>
        <v/>
      </c>
    </row>
    <row r="306" customFormat="false" ht="15" hidden="false" customHeight="true" outlineLevel="0" collapsed="false">
      <c r="A306" s="3" t="n">
        <v>45596</v>
      </c>
      <c r="B306" s="4" t="n">
        <f aca="false">YEAR($A306)</f>
        <v>2024</v>
      </c>
      <c r="C306" s="4" t="n">
        <f aca="false">MONTH($A306)</f>
        <v>10</v>
      </c>
      <c r="D306" s="4" t="str">
        <f aca="false">TEXT($A306,"ddd")</f>
        <v>Thu</v>
      </c>
      <c r="E306" s="4" t="n">
        <f aca="false">IF(OR(AND(MONTH($A306)=10,DAY($A306)&gt;=15),MONTH($A306)=11,AND(MONTH($A306)=12,DAY($A306)&lt;=7)),1,0)</f>
        <v>1</v>
      </c>
      <c r="F306" s="4" t="n">
        <f aca="false">IF(MONTH($A306)&lt;=3,1,0)</f>
        <v>0</v>
      </c>
      <c r="G306" s="4" t="str">
        <f aca="false" t="array" ref="G306:G306">_xlfn.TEXTJOIN(" | ",TRUE(),IF('FEMA Disasters'!$F$2:$F$1000=$A306,'FEMA Disasters'!$D$2:$D$1000&amp;" begin: ["&amp;'FEMA Disasters'!$B$2:$B$1000&amp;"] "&amp;'FEMA Disasters'!$C$2:$C$1000&amp;"-"&amp;'FEMA Disasters'!$A$2:$A$1000,""),IF('FEMA Disasters'!$G$2:$G$1000=$A306,'FEMA Disasters'!$D$2:$D$1000&amp;" ended: ["&amp;'FEMA Disasters'!$B$2:$B$1000&amp;"] "&amp;'FEMA Disasters'!$C$2:$C$1000&amp;"-"&amp;'FEMA Disasters'!$A$2:$A$1000,""),IF('FEMA Disasters'!$K$2:$K$1000=$A306,"Disaster SEP opens: "&amp;'FEMA Disasters'!$D$2:$D$1000&amp;" ["&amp;'FEMA Disasters'!$B$2:$B$1000&amp;"] "&amp;'FEMA Disasters'!$C$2:$C$1000&amp;"-"&amp;'FEMA Disasters'!$A$2:$A$1000,""),IF('FEMA Disasters'!$L$2:$L$1000=$A306,"Disaster SEP ended: "&amp;'FEMA Disasters'!$D$2:$D$1000&amp;" ["&amp;'FEMA Disasters'!$B$2:$B$1000&amp;"] "&amp;'FEMA Disasters'!$C$2:$C$1000&amp;"-"&amp;'FEMA Disasters'!$A$2:$A$1000,""))</f>
        <v>Disaster SEP opens: Fire [NM] DR-4795 | Disaster SEP opens: Fire [UT] FM-5504 | Disaster SEP opens: Fire [OR] DR-4854 | Disaster SEP opens: Fire [WA] DR-4849 | Disaster SEP opens: Fire [CA] FM-5519 | Disaster SEP opens: Fire [ID] FM-5520 | Disaster SEP opens: Fire [WA] FM-5521 | Disaster SEP opens: Fire [CA] FM-5522 | Disaster SEP opens: Fire [WY] FM-5523 | Disaster SEP opens: Fire [CO] FM-5525 | Disaster SEP opens: Fire [CO] FM-5524 | Disaster SEP opens: Tropical Storm [FL] EM-3605 | Disaster SEP opens: Tropical Storm [FL] DR-4806 | Disaster SEP opens: Fire [CO] FM-5526 | Disaster SEP opens: Tropical Storm [SC] EM-3606 | Disaster SEP opens: Tropical Storm [GA] EM-3607 | Disaster SEP opens: Tropical Storm [GA] DR-4821 | Disaster SEP opens: Tropical Storm [SC] DR-4835 | Disaster SEP opens: Tropical Storm [NC] EM-3608 | Disaster SEP opens: Flood [AK] DR-4836 | Disaster SEP opens: Severe Storm [MT] DR-4847 | Disaster SEP opens: Tropical Storm [VT] EM-3609 | Disaster SEP opens: Tropical Storm [NY] DR-4818 | Disaster SEP opens: Tropical Storm [NY] DR-4825 | Disaster SEP opens: Tropical Storm [PA] DR-4815 | Disaster SEP opens: Fire [NV] FM-5530 | Disaster SEP opens: Severe Storm [PR] EM-3610 | Disaster SEP opens: Tropical Storm [VI] EM-3611 | Disaster SEP opens: Tropical Storm [VI] DR-4841 | Disaster SEP opens: Tropical Storm [PR] DR-4850 | Disaster SEP opens: Severe Storm [AK] DR-4857 | Disaster SEP opens: Severe Storm [AK] DR-4853 | Disaster SEP opens: Severe Storm [CT] EM-3612 | Disaster SEP opens: Severe Storm [NY] EM-3613 | Disaster SEP opens: Severe Storm [CT] DR-4820 | Disaster SEP opens: Severe Storm [NY] DR-4839 | Disaster SEP opens: Fire [WY] DR-4845 | Disaster SEP opens: Flood [VT] DR-4816 | Disaster SEP opens: Flood [AZ] DR-4840 | Disaster SEP opens: Fire [WY] FM-5531 | Disaster SEP opens: Mud/Landslide [AK] DR-4846 | Disaster SEP ended: Severe Storm [NE] DR-4808 | Disaster SEP ended: Fire [NV] FM-5494 | Disaster SEP ended: Fire [NV] FM-5495 | Disaster SEP ended: Fire [AZ] FM-5496 | Disaster SEP ended: Flood [NM] DR-4809 | Disaster SEP ended: Fire [AZ] FM-5501</v>
      </c>
      <c r="H306" s="4" t="n">
        <f aca="false">COUNTIF(Events!$A$2:$A$397,$A306)</f>
        <v>0</v>
      </c>
      <c r="I306" s="6" t="str">
        <f aca="false" t="array" ref="I306:I306">_xlfn.TEXTJOIN(" | ",TRUE(),IF(Events!$A$2:$A$397=$A306,Events!$E$2:$E$397&amp;IF(Events!$G$2:$G$397="National",""," ["&amp;Events!$G$2:$G$397&amp;"]"),""))</f>
        <v/>
      </c>
    </row>
    <row r="307" customFormat="false" ht="15" hidden="false" customHeight="true" outlineLevel="0" collapsed="false">
      <c r="A307" s="3" t="n">
        <v>45597</v>
      </c>
      <c r="B307" s="4" t="n">
        <f aca="false">YEAR($A307)</f>
        <v>2024</v>
      </c>
      <c r="C307" s="4" t="n">
        <f aca="false">MONTH($A307)</f>
        <v>11</v>
      </c>
      <c r="D307" s="4" t="str">
        <f aca="false">TEXT($A307,"ddd")</f>
        <v>Fri</v>
      </c>
      <c r="E307" s="4" t="n">
        <f aca="false">IF(OR(AND(MONTH($A307)=10,DAY($A307)&gt;=15),MONTH($A307)=11,AND(MONTH($A307)=12,DAY($A307)&lt;=7)),1,0)</f>
        <v>1</v>
      </c>
      <c r="F307" s="4" t="n">
        <f aca="false">IF(MONTH($A307)&lt;=3,1,0)</f>
        <v>0</v>
      </c>
      <c r="G307" s="4" t="str">
        <f aca="false" t="array" ref="G307:G307">_xlfn.TEXTJOIN(" | ",TRUE(),IF('FEMA Disasters'!$F$2:$F$1000=$A307,'FEMA Disasters'!$D$2:$D$1000&amp;" begin: ["&amp;'FEMA Disasters'!$B$2:$B$1000&amp;"] "&amp;'FEMA Disasters'!$C$2:$C$1000&amp;"-"&amp;'FEMA Disasters'!$A$2:$A$1000,""),IF('FEMA Disasters'!$G$2:$G$1000=$A307,'FEMA Disasters'!$D$2:$D$1000&amp;" ended: ["&amp;'FEMA Disasters'!$B$2:$B$1000&amp;"] "&amp;'FEMA Disasters'!$C$2:$C$1000&amp;"-"&amp;'FEMA Disasters'!$A$2:$A$1000,""),IF('FEMA Disasters'!$K$2:$K$1000=$A307,"Disaster SEP opens: "&amp;'FEMA Disasters'!$D$2:$D$1000&amp;" ["&amp;'FEMA Disasters'!$B$2:$B$1000&amp;"] "&amp;'FEMA Disasters'!$C$2:$C$1000&amp;"-"&amp;'FEMA Disasters'!$A$2:$A$1000,""),IF('FEMA Disasters'!$L$2:$L$1000=$A307,"Disaster SEP ended: "&amp;'FEMA Disasters'!$D$2:$D$1000&amp;" ["&amp;'FEMA Disasters'!$B$2:$B$1000&amp;"] "&amp;'FEMA Disasters'!$C$2:$C$1000&amp;"-"&amp;'FEMA Disasters'!$A$2:$A$1000,""))</f>
        <v/>
      </c>
      <c r="H307" s="4" t="n">
        <f aca="false">COUNTIF(Events!$A$2:$A$397,$A307)</f>
        <v>0</v>
      </c>
      <c r="I307" s="6" t="str">
        <f aca="false" t="array" ref="I307:I307">_xlfn.TEXTJOIN(" | ",TRUE(),IF(Events!$A$2:$A$397=$A307,Events!$E$2:$E$397&amp;IF(Events!$G$2:$G$397="National",""," ["&amp;Events!$G$2:$G$397&amp;"]"),""))</f>
        <v/>
      </c>
    </row>
    <row r="308" customFormat="false" ht="15" hidden="false" customHeight="true" outlineLevel="0" collapsed="false">
      <c r="A308" s="3" t="n">
        <v>45598</v>
      </c>
      <c r="B308" s="4" t="n">
        <f aca="false">YEAR($A308)</f>
        <v>2024</v>
      </c>
      <c r="C308" s="4" t="n">
        <f aca="false">MONTH($A308)</f>
        <v>11</v>
      </c>
      <c r="D308" s="4" t="str">
        <f aca="false">TEXT($A308,"ddd")</f>
        <v>Sat</v>
      </c>
      <c r="E308" s="4" t="n">
        <f aca="false">IF(OR(AND(MONTH($A308)=10,DAY($A308)&gt;=15),MONTH($A308)=11,AND(MONTH($A308)=12,DAY($A308)&lt;=7)),1,0)</f>
        <v>1</v>
      </c>
      <c r="F308" s="4" t="n">
        <f aca="false">IF(MONTH($A308)&lt;=3,1,0)</f>
        <v>0</v>
      </c>
      <c r="G308" s="4" t="str">
        <f aca="false" t="array" ref="G308:G308">_xlfn.TEXTJOIN(" | ",TRUE(),IF('FEMA Disasters'!$F$2:$F$1000=$A308,'FEMA Disasters'!$D$2:$D$1000&amp;" begin: ["&amp;'FEMA Disasters'!$B$2:$B$1000&amp;"] "&amp;'FEMA Disasters'!$C$2:$C$1000&amp;"-"&amp;'FEMA Disasters'!$A$2:$A$1000,""),IF('FEMA Disasters'!$G$2:$G$1000=$A308,'FEMA Disasters'!$D$2:$D$1000&amp;" ended: ["&amp;'FEMA Disasters'!$B$2:$B$1000&amp;"] "&amp;'FEMA Disasters'!$C$2:$C$1000&amp;"-"&amp;'FEMA Disasters'!$A$2:$A$1000,""),IF('FEMA Disasters'!$K$2:$K$1000=$A308,"Disaster SEP opens: "&amp;'FEMA Disasters'!$D$2:$D$1000&amp;" ["&amp;'FEMA Disasters'!$B$2:$B$1000&amp;"] "&amp;'FEMA Disasters'!$C$2:$C$1000&amp;"-"&amp;'FEMA Disasters'!$A$2:$A$1000,""),IF('FEMA Disasters'!$L$2:$L$1000=$A308,"Disaster SEP ended: "&amp;'FEMA Disasters'!$D$2:$D$1000&amp;" ["&amp;'FEMA Disasters'!$B$2:$B$1000&amp;"] "&amp;'FEMA Disasters'!$C$2:$C$1000&amp;"-"&amp;'FEMA Disasters'!$A$2:$A$1000,""))</f>
        <v>Severe Storm begin: [OK] DR-4862 | Hurricane ended: [FL] EM-3622 | Hurricane ended: [FL] EM-3623 | Hurricane ended: [FL] DR-4834 | Hurricane ended: [FL] DR-4844</v>
      </c>
      <c r="H308" s="4" t="n">
        <f aca="false">COUNTIF(Events!$A$2:$A$397,$A308)</f>
        <v>0</v>
      </c>
      <c r="I308" s="6" t="str">
        <f aca="false" t="array" ref="I308:I308">_xlfn.TEXTJOIN(" | ",TRUE(),IF(Events!$A$2:$A$397=$A308,Events!$E$2:$E$397&amp;IF(Events!$G$2:$G$397="National",""," ["&amp;Events!$G$2:$G$397&amp;"]"),""))</f>
        <v/>
      </c>
    </row>
    <row r="309" customFormat="false" ht="15" hidden="false" customHeight="true" outlineLevel="0" collapsed="false">
      <c r="A309" s="3" t="n">
        <v>45599</v>
      </c>
      <c r="B309" s="4" t="n">
        <f aca="false">YEAR($A309)</f>
        <v>2024</v>
      </c>
      <c r="C309" s="4" t="n">
        <f aca="false">MONTH($A309)</f>
        <v>11</v>
      </c>
      <c r="D309" s="4" t="str">
        <f aca="false">TEXT($A309,"ddd")</f>
        <v>Sun</v>
      </c>
      <c r="E309" s="4" t="n">
        <f aca="false">IF(OR(AND(MONTH($A309)=10,DAY($A309)&gt;=15),MONTH($A309)=11,AND(MONTH($A309)=12,DAY($A309)&lt;=7)),1,0)</f>
        <v>1</v>
      </c>
      <c r="F309" s="4" t="n">
        <f aca="false">IF(MONTH($A309)&lt;=3,1,0)</f>
        <v>0</v>
      </c>
      <c r="G309" s="4" t="str">
        <f aca="false" t="array" ref="G309:G309">_xlfn.TEXTJOIN(" | ",TRUE(),IF('FEMA Disasters'!$F$2:$F$1000=$A309,'FEMA Disasters'!$D$2:$D$1000&amp;" begin: ["&amp;'FEMA Disasters'!$B$2:$B$1000&amp;"] "&amp;'FEMA Disasters'!$C$2:$C$1000&amp;"-"&amp;'FEMA Disasters'!$A$2:$A$1000,""),IF('FEMA Disasters'!$G$2:$G$1000=$A309,'FEMA Disasters'!$D$2:$D$1000&amp;" ended: ["&amp;'FEMA Disasters'!$B$2:$B$1000&amp;"] "&amp;'FEMA Disasters'!$C$2:$C$1000&amp;"-"&amp;'FEMA Disasters'!$A$2:$A$1000,""),IF('FEMA Disasters'!$K$2:$K$1000=$A309,"Disaster SEP opens: "&amp;'FEMA Disasters'!$D$2:$D$1000&amp;" ["&amp;'FEMA Disasters'!$B$2:$B$1000&amp;"] "&amp;'FEMA Disasters'!$C$2:$C$1000&amp;"-"&amp;'FEMA Disasters'!$A$2:$A$1000,""),IF('FEMA Disasters'!$L$2:$L$1000=$A309,"Disaster SEP ended: "&amp;'FEMA Disasters'!$D$2:$D$1000&amp;" ["&amp;'FEMA Disasters'!$B$2:$B$1000&amp;"] "&amp;'FEMA Disasters'!$C$2:$C$1000&amp;"-"&amp;'FEMA Disasters'!$A$2:$A$1000,""))</f>
        <v>Severe Storm begin: [MO] DR-4855</v>
      </c>
      <c r="H309" s="4" t="n">
        <f aca="false">COUNTIF(Events!$A$2:$A$397,$A309)</f>
        <v>0</v>
      </c>
      <c r="I309" s="6" t="str">
        <f aca="false" t="array" ref="I309:I309">_xlfn.TEXTJOIN(" | ",TRUE(),IF(Events!$A$2:$A$397=$A309,Events!$E$2:$E$397&amp;IF(Events!$G$2:$G$397="National",""," ["&amp;Events!$G$2:$G$397&amp;"]"),""))</f>
        <v/>
      </c>
    </row>
    <row r="310" customFormat="false" ht="15" hidden="false" customHeight="true" outlineLevel="0" collapsed="false">
      <c r="A310" s="3" t="n">
        <v>45600</v>
      </c>
      <c r="B310" s="4" t="n">
        <f aca="false">YEAR($A310)</f>
        <v>2024</v>
      </c>
      <c r="C310" s="4" t="n">
        <f aca="false">MONTH($A310)</f>
        <v>11</v>
      </c>
      <c r="D310" s="4" t="str">
        <f aca="false">TEXT($A310,"ddd")</f>
        <v>Mon</v>
      </c>
      <c r="E310" s="4" t="n">
        <f aca="false">IF(OR(AND(MONTH($A310)=10,DAY($A310)&gt;=15),MONTH($A310)=11,AND(MONTH($A310)=12,DAY($A310)&lt;=7)),1,0)</f>
        <v>1</v>
      </c>
      <c r="F310" s="4" t="n">
        <f aca="false">IF(MONTH($A310)&lt;=3,1,0)</f>
        <v>0</v>
      </c>
      <c r="G310" s="4" t="str">
        <f aca="false" t="array" ref="G310:G310">_xlfn.TEXTJOIN(" | ",TRUE(),IF('FEMA Disasters'!$F$2:$F$1000=$A310,'FEMA Disasters'!$D$2:$D$1000&amp;" begin: ["&amp;'FEMA Disasters'!$B$2:$B$1000&amp;"] "&amp;'FEMA Disasters'!$C$2:$C$1000&amp;"-"&amp;'FEMA Disasters'!$A$2:$A$1000,""),IF('FEMA Disasters'!$G$2:$G$1000=$A310,'FEMA Disasters'!$D$2:$D$1000&amp;" ended: ["&amp;'FEMA Disasters'!$B$2:$B$1000&amp;"] "&amp;'FEMA Disasters'!$C$2:$C$1000&amp;"-"&amp;'FEMA Disasters'!$A$2:$A$1000,""),IF('FEMA Disasters'!$K$2:$K$1000=$A310,"Disaster SEP opens: "&amp;'FEMA Disasters'!$D$2:$D$1000&amp;" ["&amp;'FEMA Disasters'!$B$2:$B$1000&amp;"] "&amp;'FEMA Disasters'!$C$2:$C$1000&amp;"-"&amp;'FEMA Disasters'!$A$2:$A$1000,""),IF('FEMA Disasters'!$L$2:$L$1000=$A310,"Disaster SEP ended: "&amp;'FEMA Disasters'!$D$2:$D$1000&amp;" ["&amp;'FEMA Disasters'!$B$2:$B$1000&amp;"] "&amp;'FEMA Disasters'!$C$2:$C$1000&amp;"-"&amp;'FEMA Disasters'!$A$2:$A$1000,""))</f>
        <v/>
      </c>
      <c r="H310" s="4" t="n">
        <f aca="false">COUNTIF(Events!$A$2:$A$397,$A310)</f>
        <v>0</v>
      </c>
      <c r="I310" s="6" t="str">
        <f aca="false" t="array" ref="I310:I310">_xlfn.TEXTJOIN(" | ",TRUE(),IF(Events!$A$2:$A$397=$A310,Events!$E$2:$E$397&amp;IF(Events!$G$2:$G$397="National",""," ["&amp;Events!$G$2:$G$397&amp;"]"),""))</f>
        <v/>
      </c>
    </row>
    <row r="311" customFormat="false" ht="15" hidden="false" customHeight="true" outlineLevel="0" collapsed="false">
      <c r="A311" s="3" t="n">
        <v>45601</v>
      </c>
      <c r="B311" s="4" t="n">
        <f aca="false">YEAR($A311)</f>
        <v>2024</v>
      </c>
      <c r="C311" s="4" t="n">
        <f aca="false">MONTH($A311)</f>
        <v>11</v>
      </c>
      <c r="D311" s="4" t="str">
        <f aca="false">TEXT($A311,"ddd")</f>
        <v>Tue</v>
      </c>
      <c r="E311" s="4" t="n">
        <f aca="false">IF(OR(AND(MONTH($A311)=10,DAY($A311)&gt;=15),MONTH($A311)=11,AND(MONTH($A311)=12,DAY($A311)&lt;=7)),1,0)</f>
        <v>1</v>
      </c>
      <c r="F311" s="4" t="n">
        <f aca="false">IF(MONTH($A311)&lt;=3,1,0)</f>
        <v>0</v>
      </c>
      <c r="G311" s="4" t="str">
        <f aca="false" t="array" ref="G311:G311">_xlfn.TEXTJOIN(" | ",TRUE(),IF('FEMA Disasters'!$F$2:$F$1000=$A311,'FEMA Disasters'!$D$2:$D$1000&amp;" begin: ["&amp;'FEMA Disasters'!$B$2:$B$1000&amp;"] "&amp;'FEMA Disasters'!$C$2:$C$1000&amp;"-"&amp;'FEMA Disasters'!$A$2:$A$1000,""),IF('FEMA Disasters'!$G$2:$G$1000=$A311,'FEMA Disasters'!$D$2:$D$1000&amp;" ended: ["&amp;'FEMA Disasters'!$B$2:$B$1000&amp;"] "&amp;'FEMA Disasters'!$C$2:$C$1000&amp;"-"&amp;'FEMA Disasters'!$A$2:$A$1000,""),IF('FEMA Disasters'!$K$2:$K$1000=$A311,"Disaster SEP opens: "&amp;'FEMA Disasters'!$D$2:$D$1000&amp;" ["&amp;'FEMA Disasters'!$B$2:$B$1000&amp;"] "&amp;'FEMA Disasters'!$C$2:$C$1000&amp;"-"&amp;'FEMA Disasters'!$A$2:$A$1000,""),IF('FEMA Disasters'!$L$2:$L$1000=$A311,"Disaster SEP ended: "&amp;'FEMA Disasters'!$D$2:$D$1000&amp;" ["&amp;'FEMA Disasters'!$B$2:$B$1000&amp;"] "&amp;'FEMA Disasters'!$C$2:$C$1000&amp;"-"&amp;'FEMA Disasters'!$A$2:$A$1000,""))</f>
        <v>Severe Storm ended: [OK] DR-4862</v>
      </c>
      <c r="H311" s="4" t="n">
        <f aca="false">COUNTIF(Events!$A$2:$A$397,$A311)</f>
        <v>0</v>
      </c>
      <c r="I311" s="6" t="str">
        <f aca="false" t="array" ref="I311:I311">_xlfn.TEXTJOIN(" | ",TRUE(),IF(Events!$A$2:$A$397=$A311,Events!$E$2:$E$397&amp;IF(Events!$G$2:$G$397="National",""," ["&amp;Events!$G$2:$G$397&amp;"]"),""))</f>
        <v/>
      </c>
    </row>
    <row r="312" customFormat="false" ht="15" hidden="false" customHeight="true" outlineLevel="0" collapsed="false">
      <c r="A312" s="3" t="n">
        <v>45602</v>
      </c>
      <c r="B312" s="4" t="n">
        <f aca="false">YEAR($A312)</f>
        <v>2024</v>
      </c>
      <c r="C312" s="4" t="n">
        <f aca="false">MONTH($A312)</f>
        <v>11</v>
      </c>
      <c r="D312" s="4" t="str">
        <f aca="false">TEXT($A312,"ddd")</f>
        <v>Wed</v>
      </c>
      <c r="E312" s="4" t="n">
        <f aca="false">IF(OR(AND(MONTH($A312)=10,DAY($A312)&gt;=15),MONTH($A312)=11,AND(MONTH($A312)=12,DAY($A312)&lt;=7)),1,0)</f>
        <v>1</v>
      </c>
      <c r="F312" s="4" t="n">
        <f aca="false">IF(MONTH($A312)&lt;=3,1,0)</f>
        <v>0</v>
      </c>
      <c r="G312" s="4" t="str">
        <f aca="false" t="array" ref="G312:G312">_xlfn.TEXTJOIN(" | ",TRUE(),IF('FEMA Disasters'!$F$2:$F$1000=$A312,'FEMA Disasters'!$D$2:$D$1000&amp;" begin: ["&amp;'FEMA Disasters'!$B$2:$B$1000&amp;"] "&amp;'FEMA Disasters'!$C$2:$C$1000&amp;"-"&amp;'FEMA Disasters'!$A$2:$A$1000,""),IF('FEMA Disasters'!$G$2:$G$1000=$A312,'FEMA Disasters'!$D$2:$D$1000&amp;" ended: ["&amp;'FEMA Disasters'!$B$2:$B$1000&amp;"] "&amp;'FEMA Disasters'!$C$2:$C$1000&amp;"-"&amp;'FEMA Disasters'!$A$2:$A$1000,""),IF('FEMA Disasters'!$K$2:$K$1000=$A312,"Disaster SEP opens: "&amp;'FEMA Disasters'!$D$2:$D$1000&amp;" ["&amp;'FEMA Disasters'!$B$2:$B$1000&amp;"] "&amp;'FEMA Disasters'!$C$2:$C$1000&amp;"-"&amp;'FEMA Disasters'!$A$2:$A$1000,""),IF('FEMA Disasters'!$L$2:$L$1000=$A312,"Disaster SEP ended: "&amp;'FEMA Disasters'!$D$2:$D$1000&amp;" ["&amp;'FEMA Disasters'!$B$2:$B$1000&amp;"] "&amp;'FEMA Disasters'!$C$2:$C$1000&amp;"-"&amp;'FEMA Disasters'!$A$2:$A$1000,""))</f>
        <v>Flood begin: [SC] DR-4858 | Fire begin: [CA] FM-5545</v>
      </c>
      <c r="H312" s="4" t="n">
        <f aca="false">COUNTIF(Events!$A$2:$A$397,$A312)</f>
        <v>0</v>
      </c>
      <c r="I312" s="6" t="str">
        <f aca="false" t="array" ref="I312:I312">_xlfn.TEXTJOIN(" | ",TRUE(),IF(Events!$A$2:$A$397=$A312,Events!$E$2:$E$397&amp;IF(Events!$G$2:$G$397="National",""," ["&amp;Events!$G$2:$G$397&amp;"]"),""))</f>
        <v/>
      </c>
    </row>
    <row r="313" customFormat="false" ht="15" hidden="false" customHeight="true" outlineLevel="0" collapsed="false">
      <c r="A313" s="3" t="n">
        <v>45603</v>
      </c>
      <c r="B313" s="4" t="n">
        <f aca="false">YEAR($A313)</f>
        <v>2024</v>
      </c>
      <c r="C313" s="4" t="n">
        <f aca="false">MONTH($A313)</f>
        <v>11</v>
      </c>
      <c r="D313" s="4" t="str">
        <f aca="false">TEXT($A313,"ddd")</f>
        <v>Thu</v>
      </c>
      <c r="E313" s="4" t="n">
        <f aca="false">IF(OR(AND(MONTH($A313)=10,DAY($A313)&gt;=15),MONTH($A313)=11,AND(MONTH($A313)=12,DAY($A313)&lt;=7)),1,0)</f>
        <v>1</v>
      </c>
      <c r="F313" s="4" t="n">
        <f aca="false">IF(MONTH($A313)&lt;=3,1,0)</f>
        <v>0</v>
      </c>
      <c r="G313" s="4" t="str">
        <f aca="false" t="array" ref="G313:G313">_xlfn.TEXTJOIN(" | ",TRUE(),IF('FEMA Disasters'!$F$2:$F$1000=$A313,'FEMA Disasters'!$D$2:$D$1000&amp;" begin: ["&amp;'FEMA Disasters'!$B$2:$B$1000&amp;"] "&amp;'FEMA Disasters'!$C$2:$C$1000&amp;"-"&amp;'FEMA Disasters'!$A$2:$A$1000,""),IF('FEMA Disasters'!$G$2:$G$1000=$A313,'FEMA Disasters'!$D$2:$D$1000&amp;" ended: ["&amp;'FEMA Disasters'!$B$2:$B$1000&amp;"] "&amp;'FEMA Disasters'!$C$2:$C$1000&amp;"-"&amp;'FEMA Disasters'!$A$2:$A$1000,""),IF('FEMA Disasters'!$K$2:$K$1000=$A313,"Disaster SEP opens: "&amp;'FEMA Disasters'!$D$2:$D$1000&amp;" ["&amp;'FEMA Disasters'!$B$2:$B$1000&amp;"] "&amp;'FEMA Disasters'!$C$2:$C$1000&amp;"-"&amp;'FEMA Disasters'!$A$2:$A$1000,""),IF('FEMA Disasters'!$L$2:$L$1000=$A313,"Disaster SEP ended: "&amp;'FEMA Disasters'!$D$2:$D$1000&amp;" ["&amp;'FEMA Disasters'!$B$2:$B$1000&amp;"] "&amp;'FEMA Disasters'!$C$2:$C$1000&amp;"-"&amp;'FEMA Disasters'!$A$2:$A$1000,""))</f>
        <v/>
      </c>
      <c r="H313" s="4" t="n">
        <f aca="false">COUNTIF(Events!$A$2:$A$397,$A313)</f>
        <v>0</v>
      </c>
      <c r="I313" s="6" t="str">
        <f aca="false" t="array" ref="I313:I313">_xlfn.TEXTJOIN(" | ",TRUE(),IF(Events!$A$2:$A$397=$A313,Events!$E$2:$E$397&amp;IF(Events!$G$2:$G$397="National",""," ["&amp;Events!$G$2:$G$397&amp;"]"),""))</f>
        <v/>
      </c>
    </row>
    <row r="314" customFormat="false" ht="15" hidden="false" customHeight="true" outlineLevel="0" collapsed="false">
      <c r="A314" s="3" t="n">
        <v>45604</v>
      </c>
      <c r="B314" s="4" t="n">
        <f aca="false">YEAR($A314)</f>
        <v>2024</v>
      </c>
      <c r="C314" s="4" t="n">
        <f aca="false">MONTH($A314)</f>
        <v>11</v>
      </c>
      <c r="D314" s="4" t="str">
        <f aca="false">TEXT($A314,"ddd")</f>
        <v>Fri</v>
      </c>
      <c r="E314" s="4" t="n">
        <f aca="false">IF(OR(AND(MONTH($A314)=10,DAY($A314)&gt;=15),MONTH($A314)=11,AND(MONTH($A314)=12,DAY($A314)&lt;=7)),1,0)</f>
        <v>1</v>
      </c>
      <c r="F314" s="4" t="n">
        <f aca="false">IF(MONTH($A314)&lt;=3,1,0)</f>
        <v>0</v>
      </c>
      <c r="G314" s="4" t="str">
        <f aca="false" t="array" ref="G314:G314">_xlfn.TEXTJOIN(" | ",TRUE(),IF('FEMA Disasters'!$F$2:$F$1000=$A314,'FEMA Disasters'!$D$2:$D$1000&amp;" begin: ["&amp;'FEMA Disasters'!$B$2:$B$1000&amp;"] "&amp;'FEMA Disasters'!$C$2:$C$1000&amp;"-"&amp;'FEMA Disasters'!$A$2:$A$1000,""),IF('FEMA Disasters'!$G$2:$G$1000=$A314,'FEMA Disasters'!$D$2:$D$1000&amp;" ended: ["&amp;'FEMA Disasters'!$B$2:$B$1000&amp;"] "&amp;'FEMA Disasters'!$C$2:$C$1000&amp;"-"&amp;'FEMA Disasters'!$A$2:$A$1000,""),IF('FEMA Disasters'!$K$2:$K$1000=$A314,"Disaster SEP opens: "&amp;'FEMA Disasters'!$D$2:$D$1000&amp;" ["&amp;'FEMA Disasters'!$B$2:$B$1000&amp;"] "&amp;'FEMA Disasters'!$C$2:$C$1000&amp;"-"&amp;'FEMA Disasters'!$A$2:$A$1000,""),IF('FEMA Disasters'!$L$2:$L$1000=$A314,"Disaster SEP ended: "&amp;'FEMA Disasters'!$D$2:$D$1000&amp;" ["&amp;'FEMA Disasters'!$B$2:$B$1000&amp;"] "&amp;'FEMA Disasters'!$C$2:$C$1000&amp;"-"&amp;'FEMA Disasters'!$A$2:$A$1000,""))</f>
        <v>Fire begin: [NY] FM-5547</v>
      </c>
      <c r="H314" s="4" t="n">
        <f aca="false">COUNTIF(Events!$A$2:$A$397,$A314)</f>
        <v>0</v>
      </c>
      <c r="I314" s="6" t="str">
        <f aca="false" t="array" ref="I314:I314">_xlfn.TEXTJOIN(" | ",TRUE(),IF(Events!$A$2:$A$397=$A314,Events!$E$2:$E$397&amp;IF(Events!$G$2:$G$397="National",""," ["&amp;Events!$G$2:$G$397&amp;"]"),""))</f>
        <v/>
      </c>
    </row>
    <row r="315" customFormat="false" ht="15" hidden="false" customHeight="true" outlineLevel="0" collapsed="false">
      <c r="A315" s="3" t="n">
        <v>45605</v>
      </c>
      <c r="B315" s="4" t="n">
        <f aca="false">YEAR($A315)</f>
        <v>2024</v>
      </c>
      <c r="C315" s="4" t="n">
        <f aca="false">MONTH($A315)</f>
        <v>11</v>
      </c>
      <c r="D315" s="4" t="str">
        <f aca="false">TEXT($A315,"ddd")</f>
        <v>Sat</v>
      </c>
      <c r="E315" s="4" t="n">
        <f aca="false">IF(OR(AND(MONTH($A315)=10,DAY($A315)&gt;=15),MONTH($A315)=11,AND(MONTH($A315)=12,DAY($A315)&lt;=7)),1,0)</f>
        <v>1</v>
      </c>
      <c r="F315" s="4" t="n">
        <f aca="false">IF(MONTH($A315)&lt;=3,1,0)</f>
        <v>0</v>
      </c>
      <c r="G315" s="4" t="str">
        <f aca="false" t="array" ref="G315:G315">_xlfn.TEXTJOIN(" | ",TRUE(),IF('FEMA Disasters'!$F$2:$F$1000=$A315,'FEMA Disasters'!$D$2:$D$1000&amp;" begin: ["&amp;'FEMA Disasters'!$B$2:$B$1000&amp;"] "&amp;'FEMA Disasters'!$C$2:$C$1000&amp;"-"&amp;'FEMA Disasters'!$A$2:$A$1000,""),IF('FEMA Disasters'!$G$2:$G$1000=$A315,'FEMA Disasters'!$D$2:$D$1000&amp;" ended: ["&amp;'FEMA Disasters'!$B$2:$B$1000&amp;"] "&amp;'FEMA Disasters'!$C$2:$C$1000&amp;"-"&amp;'FEMA Disasters'!$A$2:$A$1000,""),IF('FEMA Disasters'!$K$2:$K$1000=$A315,"Disaster SEP opens: "&amp;'FEMA Disasters'!$D$2:$D$1000&amp;" ["&amp;'FEMA Disasters'!$B$2:$B$1000&amp;"] "&amp;'FEMA Disasters'!$C$2:$C$1000&amp;"-"&amp;'FEMA Disasters'!$A$2:$A$1000,""),IF('FEMA Disasters'!$L$2:$L$1000=$A315,"Disaster SEP ended: "&amp;'FEMA Disasters'!$D$2:$D$1000&amp;" ["&amp;'FEMA Disasters'!$B$2:$B$1000&amp;"] "&amp;'FEMA Disasters'!$C$2:$C$1000&amp;"-"&amp;'FEMA Disasters'!$A$2:$A$1000,""))</f>
        <v>Severe Storm ended: [MO] DR-4855</v>
      </c>
      <c r="H315" s="4" t="n">
        <f aca="false">COUNTIF(Events!$A$2:$A$397,$A315)</f>
        <v>0</v>
      </c>
      <c r="I315" s="6" t="str">
        <f aca="false" t="array" ref="I315:I315">_xlfn.TEXTJOIN(" | ",TRUE(),IF(Events!$A$2:$A$397=$A315,Events!$E$2:$E$397&amp;IF(Events!$G$2:$G$397="National",""," ["&amp;Events!$G$2:$G$397&amp;"]"),""))</f>
        <v/>
      </c>
    </row>
    <row r="316" customFormat="false" ht="15" hidden="false" customHeight="true" outlineLevel="0" collapsed="false">
      <c r="A316" s="3" t="n">
        <v>45606</v>
      </c>
      <c r="B316" s="4" t="n">
        <f aca="false">YEAR($A316)</f>
        <v>2024</v>
      </c>
      <c r="C316" s="4" t="n">
        <f aca="false">MONTH($A316)</f>
        <v>11</v>
      </c>
      <c r="D316" s="4" t="str">
        <f aca="false">TEXT($A316,"ddd")</f>
        <v>Sun</v>
      </c>
      <c r="E316" s="4" t="n">
        <f aca="false">IF(OR(AND(MONTH($A316)=10,DAY($A316)&gt;=15),MONTH($A316)=11,AND(MONTH($A316)=12,DAY($A316)&lt;=7)),1,0)</f>
        <v>1</v>
      </c>
      <c r="F316" s="4" t="n">
        <f aca="false">IF(MONTH($A316)&lt;=3,1,0)</f>
        <v>0</v>
      </c>
      <c r="G316" s="4" t="str">
        <f aca="false" t="array" ref="G316:G316">_xlfn.TEXTJOIN(" | ",TRUE(),IF('FEMA Disasters'!$F$2:$F$1000=$A316,'FEMA Disasters'!$D$2:$D$1000&amp;" begin: ["&amp;'FEMA Disasters'!$B$2:$B$1000&amp;"] "&amp;'FEMA Disasters'!$C$2:$C$1000&amp;"-"&amp;'FEMA Disasters'!$A$2:$A$1000,""),IF('FEMA Disasters'!$G$2:$G$1000=$A316,'FEMA Disasters'!$D$2:$D$1000&amp;" ended: ["&amp;'FEMA Disasters'!$B$2:$B$1000&amp;"] "&amp;'FEMA Disasters'!$C$2:$C$1000&amp;"-"&amp;'FEMA Disasters'!$A$2:$A$1000,""),IF('FEMA Disasters'!$K$2:$K$1000=$A316,"Disaster SEP opens: "&amp;'FEMA Disasters'!$D$2:$D$1000&amp;" ["&amp;'FEMA Disasters'!$B$2:$B$1000&amp;"] "&amp;'FEMA Disasters'!$C$2:$C$1000&amp;"-"&amp;'FEMA Disasters'!$A$2:$A$1000,""),IF('FEMA Disasters'!$L$2:$L$1000=$A316,"Disaster SEP ended: "&amp;'FEMA Disasters'!$D$2:$D$1000&amp;" ["&amp;'FEMA Disasters'!$B$2:$B$1000&amp;"] "&amp;'FEMA Disasters'!$C$2:$C$1000&amp;"-"&amp;'FEMA Disasters'!$A$2:$A$1000,""))</f>
        <v/>
      </c>
      <c r="H316" s="4" t="n">
        <f aca="false">COUNTIF(Events!$A$2:$A$397,$A316)</f>
        <v>0</v>
      </c>
      <c r="I316" s="6" t="str">
        <f aca="false" t="array" ref="I316:I316">_xlfn.TEXTJOIN(" | ",TRUE(),IF(Events!$A$2:$A$397=$A316,Events!$E$2:$E$397&amp;IF(Events!$G$2:$G$397="National",""," ["&amp;Events!$G$2:$G$397&amp;"]"),""))</f>
        <v/>
      </c>
    </row>
    <row r="317" customFormat="false" ht="15" hidden="false" customHeight="true" outlineLevel="0" collapsed="false">
      <c r="A317" s="3" t="n">
        <v>45607</v>
      </c>
      <c r="B317" s="4" t="n">
        <f aca="false">YEAR($A317)</f>
        <v>2024</v>
      </c>
      <c r="C317" s="4" t="n">
        <f aca="false">MONTH($A317)</f>
        <v>11</v>
      </c>
      <c r="D317" s="4" t="str">
        <f aca="false">TEXT($A317,"ddd")</f>
        <v>Mon</v>
      </c>
      <c r="E317" s="4" t="n">
        <f aca="false">IF(OR(AND(MONTH($A317)=10,DAY($A317)&gt;=15),MONTH($A317)=11,AND(MONTH($A317)=12,DAY($A317)&lt;=7)),1,0)</f>
        <v>1</v>
      </c>
      <c r="F317" s="4" t="n">
        <f aca="false">IF(MONTH($A317)&lt;=3,1,0)</f>
        <v>0</v>
      </c>
      <c r="G317" s="4" t="str">
        <f aca="false" t="array" ref="G317:G317">_xlfn.TEXTJOIN(" | ",TRUE(),IF('FEMA Disasters'!$F$2:$F$1000=$A317,'FEMA Disasters'!$D$2:$D$1000&amp;" begin: ["&amp;'FEMA Disasters'!$B$2:$B$1000&amp;"] "&amp;'FEMA Disasters'!$C$2:$C$1000&amp;"-"&amp;'FEMA Disasters'!$A$2:$A$1000,""),IF('FEMA Disasters'!$G$2:$G$1000=$A317,'FEMA Disasters'!$D$2:$D$1000&amp;" ended: ["&amp;'FEMA Disasters'!$B$2:$B$1000&amp;"] "&amp;'FEMA Disasters'!$C$2:$C$1000&amp;"-"&amp;'FEMA Disasters'!$A$2:$A$1000,""),IF('FEMA Disasters'!$K$2:$K$1000=$A317,"Disaster SEP opens: "&amp;'FEMA Disasters'!$D$2:$D$1000&amp;" ["&amp;'FEMA Disasters'!$B$2:$B$1000&amp;"] "&amp;'FEMA Disasters'!$C$2:$C$1000&amp;"-"&amp;'FEMA Disasters'!$A$2:$A$1000,""),IF('FEMA Disasters'!$L$2:$L$1000=$A317,"Disaster SEP ended: "&amp;'FEMA Disasters'!$D$2:$D$1000&amp;" ["&amp;'FEMA Disasters'!$B$2:$B$1000&amp;"] "&amp;'FEMA Disasters'!$C$2:$C$1000&amp;"-"&amp;'FEMA Disasters'!$A$2:$A$1000,""))</f>
        <v>Fire begin: [NV] FM-5546</v>
      </c>
      <c r="H317" s="4" t="n">
        <f aca="false">COUNTIF(Events!$A$2:$A$397,$A317)</f>
        <v>0</v>
      </c>
      <c r="I317" s="6" t="str">
        <f aca="false" t="array" ref="I317:I317">_xlfn.TEXTJOIN(" | ",TRUE(),IF(Events!$A$2:$A$397=$A317,Events!$E$2:$E$397&amp;IF(Events!$G$2:$G$397="National",""," ["&amp;Events!$G$2:$G$397&amp;"]"),""))</f>
        <v/>
      </c>
    </row>
    <row r="318" customFormat="false" ht="15" hidden="false" customHeight="true" outlineLevel="0" collapsed="false">
      <c r="A318" s="3" t="n">
        <v>45608</v>
      </c>
      <c r="B318" s="4" t="n">
        <f aca="false">YEAR($A318)</f>
        <v>2024</v>
      </c>
      <c r="C318" s="4" t="n">
        <f aca="false">MONTH($A318)</f>
        <v>11</v>
      </c>
      <c r="D318" s="4" t="str">
        <f aca="false">TEXT($A318,"ddd")</f>
        <v>Tue</v>
      </c>
      <c r="E318" s="4" t="n">
        <f aca="false">IF(OR(AND(MONTH($A318)=10,DAY($A318)&gt;=15),MONTH($A318)=11,AND(MONTH($A318)=12,DAY($A318)&lt;=7)),1,0)</f>
        <v>1</v>
      </c>
      <c r="F318" s="4" t="n">
        <f aca="false">IF(MONTH($A318)&lt;=3,1,0)</f>
        <v>0</v>
      </c>
      <c r="G318" s="4" t="str">
        <f aca="false" t="array" ref="G318:G318">_xlfn.TEXTJOIN(" | ",TRUE(),IF('FEMA Disasters'!$F$2:$F$1000=$A318,'FEMA Disasters'!$D$2:$D$1000&amp;" begin: ["&amp;'FEMA Disasters'!$B$2:$B$1000&amp;"] "&amp;'FEMA Disasters'!$C$2:$C$1000&amp;"-"&amp;'FEMA Disasters'!$A$2:$A$1000,""),IF('FEMA Disasters'!$G$2:$G$1000=$A318,'FEMA Disasters'!$D$2:$D$1000&amp;" ended: ["&amp;'FEMA Disasters'!$B$2:$B$1000&amp;"] "&amp;'FEMA Disasters'!$C$2:$C$1000&amp;"-"&amp;'FEMA Disasters'!$A$2:$A$1000,""),IF('FEMA Disasters'!$K$2:$K$1000=$A318,"Disaster SEP opens: "&amp;'FEMA Disasters'!$D$2:$D$1000&amp;" ["&amp;'FEMA Disasters'!$B$2:$B$1000&amp;"] "&amp;'FEMA Disasters'!$C$2:$C$1000&amp;"-"&amp;'FEMA Disasters'!$A$2:$A$1000,""),IF('FEMA Disasters'!$L$2:$L$1000=$A318,"Disaster SEP ended: "&amp;'FEMA Disasters'!$D$2:$D$1000&amp;" ["&amp;'FEMA Disasters'!$B$2:$B$1000&amp;"] "&amp;'FEMA Disasters'!$C$2:$C$1000&amp;"-"&amp;'FEMA Disasters'!$A$2:$A$1000,""))</f>
        <v/>
      </c>
      <c r="H318" s="4" t="n">
        <f aca="false">COUNTIF(Events!$A$2:$A$397,$A318)</f>
        <v>0</v>
      </c>
      <c r="I318" s="6" t="str">
        <f aca="false" t="array" ref="I318:I318">_xlfn.TEXTJOIN(" | ",TRUE(),IF(Events!$A$2:$A$397=$A318,Events!$E$2:$E$397&amp;IF(Events!$G$2:$G$397="National",""," ["&amp;Events!$G$2:$G$397&amp;"]"),""))</f>
        <v/>
      </c>
    </row>
    <row r="319" customFormat="false" ht="15" hidden="false" customHeight="true" outlineLevel="0" collapsed="false">
      <c r="A319" s="3" t="n">
        <v>45609</v>
      </c>
      <c r="B319" s="4" t="n">
        <f aca="false">YEAR($A319)</f>
        <v>2024</v>
      </c>
      <c r="C319" s="4" t="n">
        <f aca="false">MONTH($A319)</f>
        <v>11</v>
      </c>
      <c r="D319" s="4" t="str">
        <f aca="false">TEXT($A319,"ddd")</f>
        <v>Wed</v>
      </c>
      <c r="E319" s="4" t="n">
        <f aca="false">IF(OR(AND(MONTH($A319)=10,DAY($A319)&gt;=15),MONTH($A319)=11,AND(MONTH($A319)=12,DAY($A319)&lt;=7)),1,0)</f>
        <v>1</v>
      </c>
      <c r="F319" s="4" t="n">
        <f aca="false">IF(MONTH($A319)&lt;=3,1,0)</f>
        <v>0</v>
      </c>
      <c r="G319" s="4" t="str">
        <f aca="false" t="array" ref="G319:G319">_xlfn.TEXTJOIN(" | ",TRUE(),IF('FEMA Disasters'!$F$2:$F$1000=$A319,'FEMA Disasters'!$D$2:$D$1000&amp;" begin: ["&amp;'FEMA Disasters'!$B$2:$B$1000&amp;"] "&amp;'FEMA Disasters'!$C$2:$C$1000&amp;"-"&amp;'FEMA Disasters'!$A$2:$A$1000,""),IF('FEMA Disasters'!$G$2:$G$1000=$A319,'FEMA Disasters'!$D$2:$D$1000&amp;" ended: ["&amp;'FEMA Disasters'!$B$2:$B$1000&amp;"] "&amp;'FEMA Disasters'!$C$2:$C$1000&amp;"-"&amp;'FEMA Disasters'!$A$2:$A$1000,""),IF('FEMA Disasters'!$K$2:$K$1000=$A319,"Disaster SEP opens: "&amp;'FEMA Disasters'!$D$2:$D$1000&amp;" ["&amp;'FEMA Disasters'!$B$2:$B$1000&amp;"] "&amp;'FEMA Disasters'!$C$2:$C$1000&amp;"-"&amp;'FEMA Disasters'!$A$2:$A$1000,""),IF('FEMA Disasters'!$L$2:$L$1000=$A319,"Disaster SEP ended: "&amp;'FEMA Disasters'!$D$2:$D$1000&amp;" ["&amp;'FEMA Disasters'!$B$2:$B$1000&amp;"] "&amp;'FEMA Disasters'!$C$2:$C$1000&amp;"-"&amp;'FEMA Disasters'!$A$2:$A$1000,""))</f>
        <v>Fire ended: [NV] FM-5546</v>
      </c>
      <c r="H319" s="4" t="n">
        <f aca="false">COUNTIF(Events!$A$2:$A$397,$A319)</f>
        <v>0</v>
      </c>
      <c r="I319" s="6" t="str">
        <f aca="false" t="array" ref="I319:I319">_xlfn.TEXTJOIN(" | ",TRUE(),IF(Events!$A$2:$A$397=$A319,Events!$E$2:$E$397&amp;IF(Events!$G$2:$G$397="National",""," ["&amp;Events!$G$2:$G$397&amp;"]"),""))</f>
        <v/>
      </c>
    </row>
    <row r="320" customFormat="false" ht="15" hidden="false" customHeight="true" outlineLevel="0" collapsed="false">
      <c r="A320" s="3" t="n">
        <v>45610</v>
      </c>
      <c r="B320" s="4" t="n">
        <f aca="false">YEAR($A320)</f>
        <v>2024</v>
      </c>
      <c r="C320" s="4" t="n">
        <f aca="false">MONTH($A320)</f>
        <v>11</v>
      </c>
      <c r="D320" s="4" t="str">
        <f aca="false">TEXT($A320,"ddd")</f>
        <v>Thu</v>
      </c>
      <c r="E320" s="4" t="n">
        <f aca="false">IF(OR(AND(MONTH($A320)=10,DAY($A320)&gt;=15),MONTH($A320)=11,AND(MONTH($A320)=12,DAY($A320)&lt;=7)),1,0)</f>
        <v>1</v>
      </c>
      <c r="F320" s="4" t="n">
        <f aca="false">IF(MONTH($A320)&lt;=3,1,0)</f>
        <v>0</v>
      </c>
      <c r="G320" s="4" t="str">
        <f aca="false" t="array" ref="G320:G320">_xlfn.TEXTJOIN(" | ",TRUE(),IF('FEMA Disasters'!$F$2:$F$1000=$A320,'FEMA Disasters'!$D$2:$D$1000&amp;" begin: ["&amp;'FEMA Disasters'!$B$2:$B$1000&amp;"] "&amp;'FEMA Disasters'!$C$2:$C$1000&amp;"-"&amp;'FEMA Disasters'!$A$2:$A$1000,""),IF('FEMA Disasters'!$G$2:$G$1000=$A320,'FEMA Disasters'!$D$2:$D$1000&amp;" ended: ["&amp;'FEMA Disasters'!$B$2:$B$1000&amp;"] "&amp;'FEMA Disasters'!$C$2:$C$1000&amp;"-"&amp;'FEMA Disasters'!$A$2:$A$1000,""),IF('FEMA Disasters'!$K$2:$K$1000=$A320,"Disaster SEP opens: "&amp;'FEMA Disasters'!$D$2:$D$1000&amp;" ["&amp;'FEMA Disasters'!$B$2:$B$1000&amp;"] "&amp;'FEMA Disasters'!$C$2:$C$1000&amp;"-"&amp;'FEMA Disasters'!$A$2:$A$1000,""),IF('FEMA Disasters'!$L$2:$L$1000=$A320,"Disaster SEP ended: "&amp;'FEMA Disasters'!$D$2:$D$1000&amp;" ["&amp;'FEMA Disasters'!$B$2:$B$1000&amp;"] "&amp;'FEMA Disasters'!$C$2:$C$1000&amp;"-"&amp;'FEMA Disasters'!$A$2:$A$1000,""))</f>
        <v>Flood ended: [SC] DR-4858</v>
      </c>
      <c r="H320" s="4" t="n">
        <f aca="false">COUNTIF(Events!$A$2:$A$397,$A320)</f>
        <v>1</v>
      </c>
      <c r="I320" s="6" t="str">
        <f aca="false" t="array" ref="I320:I320">_xlfn.TEXTJOIN(" | ",TRUE(),IF(Events!$A$2:$A$397=$A320,Events!$E$2:$E$397&amp;IF(Events!$G$2:$G$397="National",""," ["&amp;Events!$G$2:$G$397&amp;"]"),""))</f>
        <v>CY2025 Part B premium set: standard $185.00/mo (+$10.30) and deductible $257; baseline cost every enrolle pays regardless of plan type (affects cost math for MA vs Medigap shoppers during AEP)</v>
      </c>
    </row>
    <row r="321" customFormat="false" ht="15" hidden="false" customHeight="true" outlineLevel="0" collapsed="false">
      <c r="A321" s="3" t="n">
        <v>45611</v>
      </c>
      <c r="B321" s="4" t="n">
        <f aca="false">YEAR($A321)</f>
        <v>2024</v>
      </c>
      <c r="C321" s="4" t="n">
        <f aca="false">MONTH($A321)</f>
        <v>11</v>
      </c>
      <c r="D321" s="4" t="str">
        <f aca="false">TEXT($A321,"ddd")</f>
        <v>Fri</v>
      </c>
      <c r="E321" s="4" t="n">
        <f aca="false">IF(OR(AND(MONTH($A321)=10,DAY($A321)&gt;=15),MONTH($A321)=11,AND(MONTH($A321)=12,DAY($A321)&lt;=7)),1,0)</f>
        <v>1</v>
      </c>
      <c r="F321" s="4" t="n">
        <f aca="false">IF(MONTH($A321)&lt;=3,1,0)</f>
        <v>0</v>
      </c>
      <c r="G321" s="4" t="str">
        <f aca="false" t="array" ref="G321:G321">_xlfn.TEXTJOIN(" | ",TRUE(),IF('FEMA Disasters'!$F$2:$F$1000=$A321,'FEMA Disasters'!$D$2:$D$1000&amp;" begin: ["&amp;'FEMA Disasters'!$B$2:$B$1000&amp;"] "&amp;'FEMA Disasters'!$C$2:$C$1000&amp;"-"&amp;'FEMA Disasters'!$A$2:$A$1000,""),IF('FEMA Disasters'!$G$2:$G$1000=$A321,'FEMA Disasters'!$D$2:$D$1000&amp;" ended: ["&amp;'FEMA Disasters'!$B$2:$B$1000&amp;"] "&amp;'FEMA Disasters'!$C$2:$C$1000&amp;"-"&amp;'FEMA Disasters'!$A$2:$A$1000,""),IF('FEMA Disasters'!$K$2:$K$1000=$A321,"Disaster SEP opens: "&amp;'FEMA Disasters'!$D$2:$D$1000&amp;" ["&amp;'FEMA Disasters'!$B$2:$B$1000&amp;"] "&amp;'FEMA Disasters'!$C$2:$C$1000&amp;"-"&amp;'FEMA Disasters'!$A$2:$A$1000,""),IF('FEMA Disasters'!$L$2:$L$1000=$A321,"Disaster SEP ended: "&amp;'FEMA Disasters'!$D$2:$D$1000&amp;" ["&amp;'FEMA Disasters'!$B$2:$B$1000&amp;"] "&amp;'FEMA Disasters'!$C$2:$C$1000&amp;"-"&amp;'FEMA Disasters'!$A$2:$A$1000,""))</f>
        <v>Fire ended: [CA] FM-5545</v>
      </c>
      <c r="H321" s="4" t="n">
        <f aca="false">COUNTIF(Events!$A$2:$A$397,$A321)</f>
        <v>0</v>
      </c>
      <c r="I321" s="6" t="str">
        <f aca="false" t="array" ref="I321:I321">_xlfn.TEXTJOIN(" | ",TRUE(),IF(Events!$A$2:$A$397=$A321,Events!$E$2:$E$397&amp;IF(Events!$G$2:$G$397="National",""," ["&amp;Events!$G$2:$G$397&amp;"]"),""))</f>
        <v/>
      </c>
    </row>
    <row r="322" customFormat="false" ht="15" hidden="false" customHeight="true" outlineLevel="0" collapsed="false">
      <c r="A322" s="3" t="n">
        <v>45612</v>
      </c>
      <c r="B322" s="4" t="n">
        <f aca="false">YEAR($A322)</f>
        <v>2024</v>
      </c>
      <c r="C322" s="4" t="n">
        <f aca="false">MONTH($A322)</f>
        <v>11</v>
      </c>
      <c r="D322" s="4" t="str">
        <f aca="false">TEXT($A322,"ddd")</f>
        <v>Sat</v>
      </c>
      <c r="E322" s="4" t="n">
        <f aca="false">IF(OR(AND(MONTH($A322)=10,DAY($A322)&gt;=15),MONTH($A322)=11,AND(MONTH($A322)=12,DAY($A322)&lt;=7)),1,0)</f>
        <v>1</v>
      </c>
      <c r="F322" s="4" t="n">
        <f aca="false">IF(MONTH($A322)&lt;=3,1,0)</f>
        <v>0</v>
      </c>
      <c r="G322" s="4" t="str">
        <f aca="false" t="array" ref="G322:G322">_xlfn.TEXTJOIN(" | ",TRUE(),IF('FEMA Disasters'!$F$2:$F$1000=$A322,'FEMA Disasters'!$D$2:$D$1000&amp;" begin: ["&amp;'FEMA Disasters'!$B$2:$B$1000&amp;"] "&amp;'FEMA Disasters'!$C$2:$C$1000&amp;"-"&amp;'FEMA Disasters'!$A$2:$A$1000,""),IF('FEMA Disasters'!$G$2:$G$1000=$A322,'FEMA Disasters'!$D$2:$D$1000&amp;" ended: ["&amp;'FEMA Disasters'!$B$2:$B$1000&amp;"] "&amp;'FEMA Disasters'!$C$2:$C$1000&amp;"-"&amp;'FEMA Disasters'!$A$2:$A$1000,""),IF('FEMA Disasters'!$K$2:$K$1000=$A322,"Disaster SEP opens: "&amp;'FEMA Disasters'!$D$2:$D$1000&amp;" ["&amp;'FEMA Disasters'!$B$2:$B$1000&amp;"] "&amp;'FEMA Disasters'!$C$2:$C$1000&amp;"-"&amp;'FEMA Disasters'!$A$2:$A$1000,""),IF('FEMA Disasters'!$L$2:$L$1000=$A322,"Disaster SEP ended: "&amp;'FEMA Disasters'!$D$2:$D$1000&amp;" ["&amp;'FEMA Disasters'!$B$2:$B$1000&amp;"] "&amp;'FEMA Disasters'!$C$2:$C$1000&amp;"-"&amp;'FEMA Disasters'!$A$2:$A$1000,""))</f>
        <v/>
      </c>
      <c r="H322" s="4" t="n">
        <f aca="false">COUNTIF(Events!$A$2:$A$397,$A322)</f>
        <v>0</v>
      </c>
      <c r="I322" s="6" t="str">
        <f aca="false" t="array" ref="I322:I322">_xlfn.TEXTJOIN(" | ",TRUE(),IF(Events!$A$2:$A$397=$A322,Events!$E$2:$E$397&amp;IF(Events!$G$2:$G$397="National",""," ["&amp;Events!$G$2:$G$397&amp;"]"),""))</f>
        <v/>
      </c>
    </row>
    <row r="323" customFormat="false" ht="15" hidden="false" customHeight="true" outlineLevel="0" collapsed="false">
      <c r="A323" s="3" t="n">
        <v>45613</v>
      </c>
      <c r="B323" s="4" t="n">
        <f aca="false">YEAR($A323)</f>
        <v>2024</v>
      </c>
      <c r="C323" s="4" t="n">
        <f aca="false">MONTH($A323)</f>
        <v>11</v>
      </c>
      <c r="D323" s="4" t="str">
        <f aca="false">TEXT($A323,"ddd")</f>
        <v>Sun</v>
      </c>
      <c r="E323" s="4" t="n">
        <f aca="false">IF(OR(AND(MONTH($A323)=10,DAY($A323)&gt;=15),MONTH($A323)=11,AND(MONTH($A323)=12,DAY($A323)&lt;=7)),1,0)</f>
        <v>1</v>
      </c>
      <c r="F323" s="4" t="n">
        <f aca="false">IF(MONTH($A323)&lt;=3,1,0)</f>
        <v>0</v>
      </c>
      <c r="G323" s="4" t="str">
        <f aca="false" t="array" ref="G323:G323">_xlfn.TEXTJOIN(" | ",TRUE(),IF('FEMA Disasters'!$F$2:$F$1000=$A323,'FEMA Disasters'!$D$2:$D$1000&amp;" begin: ["&amp;'FEMA Disasters'!$B$2:$B$1000&amp;"] "&amp;'FEMA Disasters'!$C$2:$C$1000&amp;"-"&amp;'FEMA Disasters'!$A$2:$A$1000,""),IF('FEMA Disasters'!$G$2:$G$1000=$A323,'FEMA Disasters'!$D$2:$D$1000&amp;" ended: ["&amp;'FEMA Disasters'!$B$2:$B$1000&amp;"] "&amp;'FEMA Disasters'!$C$2:$C$1000&amp;"-"&amp;'FEMA Disasters'!$A$2:$A$1000,""),IF('FEMA Disasters'!$K$2:$K$1000=$A323,"Disaster SEP opens: "&amp;'FEMA Disasters'!$D$2:$D$1000&amp;" ["&amp;'FEMA Disasters'!$B$2:$B$1000&amp;"] "&amp;'FEMA Disasters'!$C$2:$C$1000&amp;"-"&amp;'FEMA Disasters'!$A$2:$A$1000,""),IF('FEMA Disasters'!$L$2:$L$1000=$A323,"Disaster SEP ended: "&amp;'FEMA Disasters'!$D$2:$D$1000&amp;" ["&amp;'FEMA Disasters'!$B$2:$B$1000&amp;"] "&amp;'FEMA Disasters'!$C$2:$C$1000&amp;"-"&amp;'FEMA Disasters'!$A$2:$A$1000,""))</f>
        <v/>
      </c>
      <c r="H323" s="4" t="n">
        <f aca="false">COUNTIF(Events!$A$2:$A$397,$A323)</f>
        <v>0</v>
      </c>
      <c r="I323" s="6" t="str">
        <f aca="false" t="array" ref="I323:I323">_xlfn.TEXTJOIN(" | ",TRUE(),IF(Events!$A$2:$A$397=$A323,Events!$E$2:$E$397&amp;IF(Events!$G$2:$G$397="National",""," ["&amp;Events!$G$2:$G$397&amp;"]"),""))</f>
        <v/>
      </c>
    </row>
    <row r="324" customFormat="false" ht="15" hidden="false" customHeight="true" outlineLevel="0" collapsed="false">
      <c r="A324" s="3" t="n">
        <v>45614</v>
      </c>
      <c r="B324" s="4" t="n">
        <f aca="false">YEAR($A324)</f>
        <v>2024</v>
      </c>
      <c r="C324" s="4" t="n">
        <f aca="false">MONTH($A324)</f>
        <v>11</v>
      </c>
      <c r="D324" s="4" t="str">
        <f aca="false">TEXT($A324,"ddd")</f>
        <v>Mon</v>
      </c>
      <c r="E324" s="4" t="n">
        <f aca="false">IF(OR(AND(MONTH($A324)=10,DAY($A324)&gt;=15),MONTH($A324)=11,AND(MONTH($A324)=12,DAY($A324)&lt;=7)),1,0)</f>
        <v>1</v>
      </c>
      <c r="F324" s="4" t="n">
        <f aca="false">IF(MONTH($A324)&lt;=3,1,0)</f>
        <v>0</v>
      </c>
      <c r="G324" s="4" t="str">
        <f aca="false" t="array" ref="G324:G324">_xlfn.TEXTJOIN(" | ",TRUE(),IF('FEMA Disasters'!$F$2:$F$1000=$A324,'FEMA Disasters'!$D$2:$D$1000&amp;" begin: ["&amp;'FEMA Disasters'!$B$2:$B$1000&amp;"] "&amp;'FEMA Disasters'!$C$2:$C$1000&amp;"-"&amp;'FEMA Disasters'!$A$2:$A$1000,""),IF('FEMA Disasters'!$G$2:$G$1000=$A324,'FEMA Disasters'!$D$2:$D$1000&amp;" ended: ["&amp;'FEMA Disasters'!$B$2:$B$1000&amp;"] "&amp;'FEMA Disasters'!$C$2:$C$1000&amp;"-"&amp;'FEMA Disasters'!$A$2:$A$1000,""),IF('FEMA Disasters'!$K$2:$K$1000=$A324,"Disaster SEP opens: "&amp;'FEMA Disasters'!$D$2:$D$1000&amp;" ["&amp;'FEMA Disasters'!$B$2:$B$1000&amp;"] "&amp;'FEMA Disasters'!$C$2:$C$1000&amp;"-"&amp;'FEMA Disasters'!$A$2:$A$1000,""),IF('FEMA Disasters'!$L$2:$L$1000=$A324,"Disaster SEP ended: "&amp;'FEMA Disasters'!$D$2:$D$1000&amp;" ["&amp;'FEMA Disasters'!$B$2:$B$1000&amp;"] "&amp;'FEMA Disasters'!$C$2:$C$1000&amp;"-"&amp;'FEMA Disasters'!$A$2:$A$1000,""))</f>
        <v/>
      </c>
      <c r="H324" s="4" t="n">
        <f aca="false">COUNTIF(Events!$A$2:$A$397,$A324)</f>
        <v>0</v>
      </c>
      <c r="I324" s="6" t="str">
        <f aca="false" t="array" ref="I324:I324">_xlfn.TEXTJOIN(" | ",TRUE(),IF(Events!$A$2:$A$397=$A324,Events!$E$2:$E$397&amp;IF(Events!$G$2:$G$397="National",""," ["&amp;Events!$G$2:$G$397&amp;"]"),""))</f>
        <v/>
      </c>
    </row>
    <row r="325" customFormat="false" ht="15" hidden="false" customHeight="true" outlineLevel="0" collapsed="false">
      <c r="A325" s="3" t="n">
        <v>45615</v>
      </c>
      <c r="B325" s="4" t="n">
        <f aca="false">YEAR($A325)</f>
        <v>2024</v>
      </c>
      <c r="C325" s="4" t="n">
        <f aca="false">MONTH($A325)</f>
        <v>11</v>
      </c>
      <c r="D325" s="4" t="str">
        <f aca="false">TEXT($A325,"ddd")</f>
        <v>Tue</v>
      </c>
      <c r="E325" s="4" t="n">
        <f aca="false">IF(OR(AND(MONTH($A325)=10,DAY($A325)&gt;=15),MONTH($A325)=11,AND(MONTH($A325)=12,DAY($A325)&lt;=7)),1,0)</f>
        <v>1</v>
      </c>
      <c r="F325" s="4" t="n">
        <f aca="false">IF(MONTH($A325)&lt;=3,1,0)</f>
        <v>0</v>
      </c>
      <c r="G325" s="4" t="str">
        <f aca="false" t="array" ref="G325:G325">_xlfn.TEXTJOIN(" | ",TRUE(),IF('FEMA Disasters'!$F$2:$F$1000=$A325,'FEMA Disasters'!$D$2:$D$1000&amp;" begin: ["&amp;'FEMA Disasters'!$B$2:$B$1000&amp;"] "&amp;'FEMA Disasters'!$C$2:$C$1000&amp;"-"&amp;'FEMA Disasters'!$A$2:$A$1000,""),IF('FEMA Disasters'!$G$2:$G$1000=$A325,'FEMA Disasters'!$D$2:$D$1000&amp;" ended: ["&amp;'FEMA Disasters'!$B$2:$B$1000&amp;"] "&amp;'FEMA Disasters'!$C$2:$C$1000&amp;"-"&amp;'FEMA Disasters'!$A$2:$A$1000,""),IF('FEMA Disasters'!$K$2:$K$1000=$A325,"Disaster SEP opens: "&amp;'FEMA Disasters'!$D$2:$D$1000&amp;" ["&amp;'FEMA Disasters'!$B$2:$B$1000&amp;"] "&amp;'FEMA Disasters'!$C$2:$C$1000&amp;"-"&amp;'FEMA Disasters'!$A$2:$A$1000,""),IF('FEMA Disasters'!$L$2:$L$1000=$A325,"Disaster SEP ended: "&amp;'FEMA Disasters'!$D$2:$D$1000&amp;" ["&amp;'FEMA Disasters'!$B$2:$B$1000&amp;"] "&amp;'FEMA Disasters'!$C$2:$C$1000&amp;"-"&amp;'FEMA Disasters'!$A$2:$A$1000,""))</f>
        <v/>
      </c>
      <c r="H325" s="4" t="n">
        <f aca="false">COUNTIF(Events!$A$2:$A$397,$A325)</f>
        <v>0</v>
      </c>
      <c r="I325" s="6" t="str">
        <f aca="false" t="array" ref="I325:I325">_xlfn.TEXTJOIN(" | ",TRUE(),IF(Events!$A$2:$A$397=$A325,Events!$E$2:$E$397&amp;IF(Events!$G$2:$G$397="National",""," ["&amp;Events!$G$2:$G$397&amp;"]"),""))</f>
        <v/>
      </c>
    </row>
    <row r="326" customFormat="false" ht="15" hidden="false" customHeight="true" outlineLevel="0" collapsed="false">
      <c r="A326" s="3" t="n">
        <v>45616</v>
      </c>
      <c r="B326" s="4" t="n">
        <f aca="false">YEAR($A326)</f>
        <v>2024</v>
      </c>
      <c r="C326" s="4" t="n">
        <f aca="false">MONTH($A326)</f>
        <v>11</v>
      </c>
      <c r="D326" s="4" t="str">
        <f aca="false">TEXT($A326,"ddd")</f>
        <v>Wed</v>
      </c>
      <c r="E326" s="4" t="n">
        <f aca="false">IF(OR(AND(MONTH($A326)=10,DAY($A326)&gt;=15),MONTH($A326)=11,AND(MONTH($A326)=12,DAY($A326)&lt;=7)),1,0)</f>
        <v>1</v>
      </c>
      <c r="F326" s="4" t="n">
        <f aca="false">IF(MONTH($A326)&lt;=3,1,0)</f>
        <v>0</v>
      </c>
      <c r="G326" s="4" t="str">
        <f aca="false" t="array" ref="G326:G326">_xlfn.TEXTJOIN(" | ",TRUE(),IF('FEMA Disasters'!$F$2:$F$1000=$A326,'FEMA Disasters'!$D$2:$D$1000&amp;" begin: ["&amp;'FEMA Disasters'!$B$2:$B$1000&amp;"] "&amp;'FEMA Disasters'!$C$2:$C$1000&amp;"-"&amp;'FEMA Disasters'!$A$2:$A$1000,""),IF('FEMA Disasters'!$G$2:$G$1000=$A326,'FEMA Disasters'!$D$2:$D$1000&amp;" ended: ["&amp;'FEMA Disasters'!$B$2:$B$1000&amp;"] "&amp;'FEMA Disasters'!$C$2:$C$1000&amp;"-"&amp;'FEMA Disasters'!$A$2:$A$1000,""),IF('FEMA Disasters'!$K$2:$K$1000=$A326,"Disaster SEP opens: "&amp;'FEMA Disasters'!$D$2:$D$1000&amp;" ["&amp;'FEMA Disasters'!$B$2:$B$1000&amp;"] "&amp;'FEMA Disasters'!$C$2:$C$1000&amp;"-"&amp;'FEMA Disasters'!$A$2:$A$1000,""),IF('FEMA Disasters'!$L$2:$L$1000=$A326,"Disaster SEP ended: "&amp;'FEMA Disasters'!$D$2:$D$1000&amp;" ["&amp;'FEMA Disasters'!$B$2:$B$1000&amp;"] "&amp;'FEMA Disasters'!$C$2:$C$1000&amp;"-"&amp;'FEMA Disasters'!$A$2:$A$1000,""))</f>
        <v/>
      </c>
      <c r="H326" s="4" t="n">
        <f aca="false">COUNTIF(Events!$A$2:$A$397,$A326)</f>
        <v>0</v>
      </c>
      <c r="I326" s="6" t="str">
        <f aca="false" t="array" ref="I326:I326">_xlfn.TEXTJOIN(" | ",TRUE(),IF(Events!$A$2:$A$397=$A326,Events!$E$2:$E$397&amp;IF(Events!$G$2:$G$397="National",""," ["&amp;Events!$G$2:$G$397&amp;"]"),""))</f>
        <v/>
      </c>
    </row>
    <row r="327" customFormat="false" ht="15" hidden="false" customHeight="true" outlineLevel="0" collapsed="false">
      <c r="A327" s="3" t="n">
        <v>45617</v>
      </c>
      <c r="B327" s="4" t="n">
        <f aca="false">YEAR($A327)</f>
        <v>2024</v>
      </c>
      <c r="C327" s="4" t="n">
        <f aca="false">MONTH($A327)</f>
        <v>11</v>
      </c>
      <c r="D327" s="4" t="str">
        <f aca="false">TEXT($A327,"ddd")</f>
        <v>Thu</v>
      </c>
      <c r="E327" s="4" t="n">
        <f aca="false">IF(OR(AND(MONTH($A327)=10,DAY($A327)&gt;=15),MONTH($A327)=11,AND(MONTH($A327)=12,DAY($A327)&lt;=7)),1,0)</f>
        <v>1</v>
      </c>
      <c r="F327" s="4" t="n">
        <f aca="false">IF(MONTH($A327)&lt;=3,1,0)</f>
        <v>0</v>
      </c>
      <c r="G327" s="4" t="str">
        <f aca="false" t="array" ref="G327:G327">_xlfn.TEXTJOIN(" | ",TRUE(),IF('FEMA Disasters'!$F$2:$F$1000=$A327,'FEMA Disasters'!$D$2:$D$1000&amp;" begin: ["&amp;'FEMA Disasters'!$B$2:$B$1000&amp;"] "&amp;'FEMA Disasters'!$C$2:$C$1000&amp;"-"&amp;'FEMA Disasters'!$A$2:$A$1000,""),IF('FEMA Disasters'!$G$2:$G$1000=$A327,'FEMA Disasters'!$D$2:$D$1000&amp;" ended: ["&amp;'FEMA Disasters'!$B$2:$B$1000&amp;"] "&amp;'FEMA Disasters'!$C$2:$C$1000&amp;"-"&amp;'FEMA Disasters'!$A$2:$A$1000,""),IF('FEMA Disasters'!$K$2:$K$1000=$A327,"Disaster SEP opens: "&amp;'FEMA Disasters'!$D$2:$D$1000&amp;" ["&amp;'FEMA Disasters'!$B$2:$B$1000&amp;"] "&amp;'FEMA Disasters'!$C$2:$C$1000&amp;"-"&amp;'FEMA Disasters'!$A$2:$A$1000,""),IF('FEMA Disasters'!$L$2:$L$1000=$A327,"Disaster SEP ended: "&amp;'FEMA Disasters'!$D$2:$D$1000&amp;" ["&amp;'FEMA Disasters'!$B$2:$B$1000&amp;"] "&amp;'FEMA Disasters'!$C$2:$C$1000&amp;"-"&amp;'FEMA Disasters'!$A$2:$A$1000,""))</f>
        <v/>
      </c>
      <c r="H327" s="4" t="n">
        <f aca="false">COUNTIF(Events!$A$2:$A$397,$A327)</f>
        <v>0</v>
      </c>
      <c r="I327" s="6" t="str">
        <f aca="false" t="array" ref="I327:I327">_xlfn.TEXTJOIN(" | ",TRUE(),IF(Events!$A$2:$A$397=$A327,Events!$E$2:$E$397&amp;IF(Events!$G$2:$G$397="National",""," ["&amp;Events!$G$2:$G$397&amp;"]"),""))</f>
        <v/>
      </c>
    </row>
    <row r="328" customFormat="false" ht="15" hidden="false" customHeight="true" outlineLevel="0" collapsed="false">
      <c r="A328" s="3" t="n">
        <v>45618</v>
      </c>
      <c r="B328" s="4" t="n">
        <f aca="false">YEAR($A328)</f>
        <v>2024</v>
      </c>
      <c r="C328" s="4" t="n">
        <f aca="false">MONTH($A328)</f>
        <v>11</v>
      </c>
      <c r="D328" s="4" t="str">
        <f aca="false">TEXT($A328,"ddd")</f>
        <v>Fri</v>
      </c>
      <c r="E328" s="4" t="n">
        <f aca="false">IF(OR(AND(MONTH($A328)=10,DAY($A328)&gt;=15),MONTH($A328)=11,AND(MONTH($A328)=12,DAY($A328)&lt;=7)),1,0)</f>
        <v>1</v>
      </c>
      <c r="F328" s="4" t="n">
        <f aca="false">IF(MONTH($A328)&lt;=3,1,0)</f>
        <v>0</v>
      </c>
      <c r="G328" s="4" t="str">
        <f aca="false" t="array" ref="G328:G328">_xlfn.TEXTJOIN(" | ",TRUE(),IF('FEMA Disasters'!$F$2:$F$1000=$A328,'FEMA Disasters'!$D$2:$D$1000&amp;" begin: ["&amp;'FEMA Disasters'!$B$2:$B$1000&amp;"] "&amp;'FEMA Disasters'!$C$2:$C$1000&amp;"-"&amp;'FEMA Disasters'!$A$2:$A$1000,""),IF('FEMA Disasters'!$G$2:$G$1000=$A328,'FEMA Disasters'!$D$2:$D$1000&amp;" ended: ["&amp;'FEMA Disasters'!$B$2:$B$1000&amp;"] "&amp;'FEMA Disasters'!$C$2:$C$1000&amp;"-"&amp;'FEMA Disasters'!$A$2:$A$1000,""),IF('FEMA Disasters'!$K$2:$K$1000=$A328,"Disaster SEP opens: "&amp;'FEMA Disasters'!$D$2:$D$1000&amp;" ["&amp;'FEMA Disasters'!$B$2:$B$1000&amp;"] "&amp;'FEMA Disasters'!$C$2:$C$1000&amp;"-"&amp;'FEMA Disasters'!$A$2:$A$1000,""),IF('FEMA Disasters'!$L$2:$L$1000=$A328,"Disaster SEP ended: "&amp;'FEMA Disasters'!$D$2:$D$1000&amp;" ["&amp;'FEMA Disasters'!$B$2:$B$1000&amp;"] "&amp;'FEMA Disasters'!$C$2:$C$1000&amp;"-"&amp;'FEMA Disasters'!$A$2:$A$1000,""))</f>
        <v>Fire ended: [NY] FM-5547</v>
      </c>
      <c r="H328" s="4" t="n">
        <f aca="false">COUNTIF(Events!$A$2:$A$397,$A328)</f>
        <v>1</v>
      </c>
      <c r="I328" s="6" t="str">
        <f aca="false" t="array" ref="I328:I328">_xlfn.TEXTJOIN(" | ",TRUE(),IF(Events!$A$2:$A$397=$A328,Events!$E$2:$E$397&amp;IF(Events!$G$2:$G$397="National",""," ["&amp;Events!$G$2:$G$397&amp;"]"),""))</f>
        <v>E.D. Tex. orders CMS to recalculate UnitedHealthcare's 2025 Star Ratings over one disputed test call and immediately republish in Medicare Plan Finder - a mid-AEP ratings change for the largest MA carrier, 15 days before the enrollment deadline</v>
      </c>
    </row>
    <row r="329" customFormat="false" ht="15" hidden="false" customHeight="true" outlineLevel="0" collapsed="false">
      <c r="A329" s="3" t="n">
        <v>45619</v>
      </c>
      <c r="B329" s="4" t="n">
        <f aca="false">YEAR($A329)</f>
        <v>2024</v>
      </c>
      <c r="C329" s="4" t="n">
        <f aca="false">MONTH($A329)</f>
        <v>11</v>
      </c>
      <c r="D329" s="4" t="str">
        <f aca="false">TEXT($A329,"ddd")</f>
        <v>Sat</v>
      </c>
      <c r="E329" s="4" t="n">
        <f aca="false">IF(OR(AND(MONTH($A329)=10,DAY($A329)&gt;=15),MONTH($A329)=11,AND(MONTH($A329)=12,DAY($A329)&lt;=7)),1,0)</f>
        <v>1</v>
      </c>
      <c r="F329" s="4" t="n">
        <f aca="false">IF(MONTH($A329)&lt;=3,1,0)</f>
        <v>0</v>
      </c>
      <c r="G329" s="4" t="str">
        <f aca="false" t="array" ref="G329:G329">_xlfn.TEXTJOIN(" | ",TRUE(),IF('FEMA Disasters'!$F$2:$F$1000=$A329,'FEMA Disasters'!$D$2:$D$1000&amp;" begin: ["&amp;'FEMA Disasters'!$B$2:$B$1000&amp;"] "&amp;'FEMA Disasters'!$C$2:$C$1000&amp;"-"&amp;'FEMA Disasters'!$A$2:$A$1000,""),IF('FEMA Disasters'!$G$2:$G$1000=$A329,'FEMA Disasters'!$D$2:$D$1000&amp;" ended: ["&amp;'FEMA Disasters'!$B$2:$B$1000&amp;"] "&amp;'FEMA Disasters'!$C$2:$C$1000&amp;"-"&amp;'FEMA Disasters'!$A$2:$A$1000,""),IF('FEMA Disasters'!$K$2:$K$1000=$A329,"Disaster SEP opens: "&amp;'FEMA Disasters'!$D$2:$D$1000&amp;" ["&amp;'FEMA Disasters'!$B$2:$B$1000&amp;"] "&amp;'FEMA Disasters'!$C$2:$C$1000&amp;"-"&amp;'FEMA Disasters'!$A$2:$A$1000,""),IF('FEMA Disasters'!$L$2:$L$1000=$A329,"Disaster SEP ended: "&amp;'FEMA Disasters'!$D$2:$D$1000&amp;" ["&amp;'FEMA Disasters'!$B$2:$B$1000&amp;"] "&amp;'FEMA Disasters'!$C$2:$C$1000&amp;"-"&amp;'FEMA Disasters'!$A$2:$A$1000,""))</f>
        <v/>
      </c>
      <c r="H329" s="4" t="n">
        <f aca="false">COUNTIF(Events!$A$2:$A$397,$A329)</f>
        <v>0</v>
      </c>
      <c r="I329" s="6" t="str">
        <f aca="false" t="array" ref="I329:I329">_xlfn.TEXTJOIN(" | ",TRUE(),IF(Events!$A$2:$A$397=$A329,Events!$E$2:$E$397&amp;IF(Events!$G$2:$G$397="National",""," ["&amp;Events!$G$2:$G$397&amp;"]"),""))</f>
        <v/>
      </c>
    </row>
    <row r="330" customFormat="false" ht="15" hidden="false" customHeight="true" outlineLevel="0" collapsed="false">
      <c r="A330" s="3" t="n">
        <v>45620</v>
      </c>
      <c r="B330" s="4" t="n">
        <f aca="false">YEAR($A330)</f>
        <v>2024</v>
      </c>
      <c r="C330" s="4" t="n">
        <f aca="false">MONTH($A330)</f>
        <v>11</v>
      </c>
      <c r="D330" s="4" t="str">
        <f aca="false">TEXT($A330,"ddd")</f>
        <v>Sun</v>
      </c>
      <c r="E330" s="4" t="n">
        <f aca="false">IF(OR(AND(MONTH($A330)=10,DAY($A330)&gt;=15),MONTH($A330)=11,AND(MONTH($A330)=12,DAY($A330)&lt;=7)),1,0)</f>
        <v>1</v>
      </c>
      <c r="F330" s="4" t="n">
        <f aca="false">IF(MONTH($A330)&lt;=3,1,0)</f>
        <v>0</v>
      </c>
      <c r="G330" s="4" t="str">
        <f aca="false" t="array" ref="G330:G330">_xlfn.TEXTJOIN(" | ",TRUE(),IF('FEMA Disasters'!$F$2:$F$1000=$A330,'FEMA Disasters'!$D$2:$D$1000&amp;" begin: ["&amp;'FEMA Disasters'!$B$2:$B$1000&amp;"] "&amp;'FEMA Disasters'!$C$2:$C$1000&amp;"-"&amp;'FEMA Disasters'!$A$2:$A$1000,""),IF('FEMA Disasters'!$G$2:$G$1000=$A330,'FEMA Disasters'!$D$2:$D$1000&amp;" ended: ["&amp;'FEMA Disasters'!$B$2:$B$1000&amp;"] "&amp;'FEMA Disasters'!$C$2:$C$1000&amp;"-"&amp;'FEMA Disasters'!$A$2:$A$1000,""),IF('FEMA Disasters'!$K$2:$K$1000=$A330,"Disaster SEP opens: "&amp;'FEMA Disasters'!$D$2:$D$1000&amp;" ["&amp;'FEMA Disasters'!$B$2:$B$1000&amp;"] "&amp;'FEMA Disasters'!$C$2:$C$1000&amp;"-"&amp;'FEMA Disasters'!$A$2:$A$1000,""),IF('FEMA Disasters'!$L$2:$L$1000=$A330,"Disaster SEP ended: "&amp;'FEMA Disasters'!$D$2:$D$1000&amp;" ["&amp;'FEMA Disasters'!$B$2:$B$1000&amp;"] "&amp;'FEMA Disasters'!$C$2:$C$1000&amp;"-"&amp;'FEMA Disasters'!$A$2:$A$1000,""))</f>
        <v/>
      </c>
      <c r="H330" s="4" t="n">
        <f aca="false">COUNTIF(Events!$A$2:$A$397,$A330)</f>
        <v>0</v>
      </c>
      <c r="I330" s="6" t="str">
        <f aca="false" t="array" ref="I330:I330">_xlfn.TEXTJOIN(" | ",TRUE(),IF(Events!$A$2:$A$397=$A330,Events!$E$2:$E$397&amp;IF(Events!$G$2:$G$397="National",""," ["&amp;Events!$G$2:$G$397&amp;"]"),""))</f>
        <v/>
      </c>
    </row>
    <row r="331" customFormat="false" ht="15" hidden="false" customHeight="true" outlineLevel="0" collapsed="false">
      <c r="A331" s="3" t="n">
        <v>45621</v>
      </c>
      <c r="B331" s="4" t="n">
        <f aca="false">YEAR($A331)</f>
        <v>2024</v>
      </c>
      <c r="C331" s="4" t="n">
        <f aca="false">MONTH($A331)</f>
        <v>11</v>
      </c>
      <c r="D331" s="4" t="str">
        <f aca="false">TEXT($A331,"ddd")</f>
        <v>Mon</v>
      </c>
      <c r="E331" s="4" t="n">
        <f aca="false">IF(OR(AND(MONTH($A331)=10,DAY($A331)&gt;=15),MONTH($A331)=11,AND(MONTH($A331)=12,DAY($A331)&lt;=7)),1,0)</f>
        <v>1</v>
      </c>
      <c r="F331" s="4" t="n">
        <f aca="false">IF(MONTH($A331)&lt;=3,1,0)</f>
        <v>0</v>
      </c>
      <c r="G331" s="4" t="str">
        <f aca="false" t="array" ref="G331:G331">_xlfn.TEXTJOIN(" | ",TRUE(),IF('FEMA Disasters'!$F$2:$F$1000=$A331,'FEMA Disasters'!$D$2:$D$1000&amp;" begin: ["&amp;'FEMA Disasters'!$B$2:$B$1000&amp;"] "&amp;'FEMA Disasters'!$C$2:$C$1000&amp;"-"&amp;'FEMA Disasters'!$A$2:$A$1000,""),IF('FEMA Disasters'!$G$2:$G$1000=$A331,'FEMA Disasters'!$D$2:$D$1000&amp;" ended: ["&amp;'FEMA Disasters'!$B$2:$B$1000&amp;"] "&amp;'FEMA Disasters'!$C$2:$C$1000&amp;"-"&amp;'FEMA Disasters'!$A$2:$A$1000,""),IF('FEMA Disasters'!$K$2:$K$1000=$A331,"Disaster SEP opens: "&amp;'FEMA Disasters'!$D$2:$D$1000&amp;" ["&amp;'FEMA Disasters'!$B$2:$B$1000&amp;"] "&amp;'FEMA Disasters'!$C$2:$C$1000&amp;"-"&amp;'FEMA Disasters'!$A$2:$A$1000,""),IF('FEMA Disasters'!$L$2:$L$1000=$A331,"Disaster SEP ended: "&amp;'FEMA Disasters'!$D$2:$D$1000&amp;" ["&amp;'FEMA Disasters'!$B$2:$B$1000&amp;"] "&amp;'FEMA Disasters'!$C$2:$C$1000&amp;"-"&amp;'FEMA Disasters'!$A$2:$A$1000,""))</f>
        <v/>
      </c>
      <c r="H331" s="4" t="n">
        <f aca="false">COUNTIF(Events!$A$2:$A$397,$A331)</f>
        <v>0</v>
      </c>
      <c r="I331" s="6" t="str">
        <f aca="false" t="array" ref="I331:I331">_xlfn.TEXTJOIN(" | ",TRUE(),IF(Events!$A$2:$A$397=$A331,Events!$E$2:$E$397&amp;IF(Events!$G$2:$G$397="National",""," ["&amp;Events!$G$2:$G$397&amp;"]"),""))</f>
        <v/>
      </c>
    </row>
    <row r="332" customFormat="false" ht="15" hidden="false" customHeight="true" outlineLevel="0" collapsed="false">
      <c r="A332" s="3" t="n">
        <v>45622</v>
      </c>
      <c r="B332" s="4" t="n">
        <f aca="false">YEAR($A332)</f>
        <v>2024</v>
      </c>
      <c r="C332" s="4" t="n">
        <f aca="false">MONTH($A332)</f>
        <v>11</v>
      </c>
      <c r="D332" s="4" t="str">
        <f aca="false">TEXT($A332,"ddd")</f>
        <v>Tue</v>
      </c>
      <c r="E332" s="4" t="n">
        <f aca="false">IF(OR(AND(MONTH($A332)=10,DAY($A332)&gt;=15),MONTH($A332)=11,AND(MONTH($A332)=12,DAY($A332)&lt;=7)),1,0)</f>
        <v>1</v>
      </c>
      <c r="F332" s="4" t="n">
        <f aca="false">IF(MONTH($A332)&lt;=3,1,0)</f>
        <v>0</v>
      </c>
      <c r="G332" s="4" t="str">
        <f aca="false" t="array" ref="G332:G332">_xlfn.TEXTJOIN(" | ",TRUE(),IF('FEMA Disasters'!$F$2:$F$1000=$A332,'FEMA Disasters'!$D$2:$D$1000&amp;" begin: ["&amp;'FEMA Disasters'!$B$2:$B$1000&amp;"] "&amp;'FEMA Disasters'!$C$2:$C$1000&amp;"-"&amp;'FEMA Disasters'!$A$2:$A$1000,""),IF('FEMA Disasters'!$G$2:$G$1000=$A332,'FEMA Disasters'!$D$2:$D$1000&amp;" ended: ["&amp;'FEMA Disasters'!$B$2:$B$1000&amp;"] "&amp;'FEMA Disasters'!$C$2:$C$1000&amp;"-"&amp;'FEMA Disasters'!$A$2:$A$1000,""),IF('FEMA Disasters'!$K$2:$K$1000=$A332,"Disaster SEP opens: "&amp;'FEMA Disasters'!$D$2:$D$1000&amp;" ["&amp;'FEMA Disasters'!$B$2:$B$1000&amp;"] "&amp;'FEMA Disasters'!$C$2:$C$1000&amp;"-"&amp;'FEMA Disasters'!$A$2:$A$1000,""),IF('FEMA Disasters'!$L$2:$L$1000=$A332,"Disaster SEP ended: "&amp;'FEMA Disasters'!$D$2:$D$1000&amp;" ["&amp;'FEMA Disasters'!$B$2:$B$1000&amp;"] "&amp;'FEMA Disasters'!$C$2:$C$1000&amp;"-"&amp;'FEMA Disasters'!$A$2:$A$1000,""))</f>
        <v/>
      </c>
      <c r="H332" s="4" t="n">
        <f aca="false">COUNTIF(Events!$A$2:$A$397,$A332)</f>
        <v>1</v>
      </c>
      <c r="I332" s="6" t="str">
        <f aca="false" t="array" ref="I332:I332">_xlfn.TEXTJOIN(" | ",TRUE(),IF(Events!$A$2:$A$397=$A332,Events!$E$2:$E$397&amp;IF(Events!$G$2:$G$397="National",""," ["&amp;Events!$G$2:$G$397&amp;"]"),""))</f>
        <v>CY2026 Proposed Rule (CMS-4208-P): proposed anti-obesity med coverage in Part D, AI guardrails, prior-auth/UM limits (published in Federal Register 12/10/2024; comments due 1/27/2025; several proposals later NOT finalized)</v>
      </c>
    </row>
    <row r="333" customFormat="false" ht="15" hidden="false" customHeight="true" outlineLevel="0" collapsed="false">
      <c r="A333" s="3" t="n">
        <v>45623</v>
      </c>
      <c r="B333" s="4" t="n">
        <f aca="false">YEAR($A333)</f>
        <v>2024</v>
      </c>
      <c r="C333" s="4" t="n">
        <f aca="false">MONTH($A333)</f>
        <v>11</v>
      </c>
      <c r="D333" s="4" t="str">
        <f aca="false">TEXT($A333,"ddd")</f>
        <v>Wed</v>
      </c>
      <c r="E333" s="4" t="n">
        <f aca="false">IF(OR(AND(MONTH($A333)=10,DAY($A333)&gt;=15),MONTH($A333)=11,AND(MONTH($A333)=12,DAY($A333)&lt;=7)),1,0)</f>
        <v>1</v>
      </c>
      <c r="F333" s="4" t="n">
        <f aca="false">IF(MONTH($A333)&lt;=3,1,0)</f>
        <v>0</v>
      </c>
      <c r="G333" s="4" t="str">
        <f aca="false" t="array" ref="G333:G333">_xlfn.TEXTJOIN(" | ",TRUE(),IF('FEMA Disasters'!$F$2:$F$1000=$A333,'FEMA Disasters'!$D$2:$D$1000&amp;" begin: ["&amp;'FEMA Disasters'!$B$2:$B$1000&amp;"] "&amp;'FEMA Disasters'!$C$2:$C$1000&amp;"-"&amp;'FEMA Disasters'!$A$2:$A$1000,""),IF('FEMA Disasters'!$G$2:$G$1000=$A333,'FEMA Disasters'!$D$2:$D$1000&amp;" ended: ["&amp;'FEMA Disasters'!$B$2:$B$1000&amp;"] "&amp;'FEMA Disasters'!$C$2:$C$1000&amp;"-"&amp;'FEMA Disasters'!$A$2:$A$1000,""),IF('FEMA Disasters'!$K$2:$K$1000=$A333,"Disaster SEP opens: "&amp;'FEMA Disasters'!$D$2:$D$1000&amp;" ["&amp;'FEMA Disasters'!$B$2:$B$1000&amp;"] "&amp;'FEMA Disasters'!$C$2:$C$1000&amp;"-"&amp;'FEMA Disasters'!$A$2:$A$1000,""),IF('FEMA Disasters'!$L$2:$L$1000=$A333,"Disaster SEP ended: "&amp;'FEMA Disasters'!$D$2:$D$1000&amp;" ["&amp;'FEMA Disasters'!$B$2:$B$1000&amp;"] "&amp;'FEMA Disasters'!$C$2:$C$1000&amp;"-"&amp;'FEMA Disasters'!$A$2:$A$1000,""))</f>
        <v/>
      </c>
      <c r="H333" s="4" t="n">
        <f aca="false">COUNTIF(Events!$A$2:$A$397,$A333)</f>
        <v>0</v>
      </c>
      <c r="I333" s="6" t="str">
        <f aca="false" t="array" ref="I333:I333">_xlfn.TEXTJOIN(" | ",TRUE(),IF(Events!$A$2:$A$397=$A333,Events!$E$2:$E$397&amp;IF(Events!$G$2:$G$397="National",""," ["&amp;Events!$G$2:$G$397&amp;"]"),""))</f>
        <v/>
      </c>
    </row>
    <row r="334" customFormat="false" ht="15" hidden="false" customHeight="true" outlineLevel="0" collapsed="false">
      <c r="A334" s="3" t="n">
        <v>45624</v>
      </c>
      <c r="B334" s="4" t="n">
        <f aca="false">YEAR($A334)</f>
        <v>2024</v>
      </c>
      <c r="C334" s="4" t="n">
        <f aca="false">MONTH($A334)</f>
        <v>11</v>
      </c>
      <c r="D334" s="4" t="str">
        <f aca="false">TEXT($A334,"ddd")</f>
        <v>Thu</v>
      </c>
      <c r="E334" s="4" t="n">
        <f aca="false">IF(OR(AND(MONTH($A334)=10,DAY($A334)&gt;=15),MONTH($A334)=11,AND(MONTH($A334)=12,DAY($A334)&lt;=7)),1,0)</f>
        <v>1</v>
      </c>
      <c r="F334" s="4" t="n">
        <f aca="false">IF(MONTH($A334)&lt;=3,1,0)</f>
        <v>0</v>
      </c>
      <c r="G334" s="4" t="str">
        <f aca="false" t="array" ref="G334:G334">_xlfn.TEXTJOIN(" | ",TRUE(),IF('FEMA Disasters'!$F$2:$F$1000=$A334,'FEMA Disasters'!$D$2:$D$1000&amp;" begin: ["&amp;'FEMA Disasters'!$B$2:$B$1000&amp;"] "&amp;'FEMA Disasters'!$C$2:$C$1000&amp;"-"&amp;'FEMA Disasters'!$A$2:$A$1000,""),IF('FEMA Disasters'!$G$2:$G$1000=$A334,'FEMA Disasters'!$D$2:$D$1000&amp;" ended: ["&amp;'FEMA Disasters'!$B$2:$B$1000&amp;"] "&amp;'FEMA Disasters'!$C$2:$C$1000&amp;"-"&amp;'FEMA Disasters'!$A$2:$A$1000,""),IF('FEMA Disasters'!$K$2:$K$1000=$A334,"Disaster SEP opens: "&amp;'FEMA Disasters'!$D$2:$D$1000&amp;" ["&amp;'FEMA Disasters'!$B$2:$B$1000&amp;"] "&amp;'FEMA Disasters'!$C$2:$C$1000&amp;"-"&amp;'FEMA Disasters'!$A$2:$A$1000,""),IF('FEMA Disasters'!$L$2:$L$1000=$A334,"Disaster SEP ended: "&amp;'FEMA Disasters'!$D$2:$D$1000&amp;" ["&amp;'FEMA Disasters'!$B$2:$B$1000&amp;"] "&amp;'FEMA Disasters'!$C$2:$C$1000&amp;"-"&amp;'FEMA Disasters'!$A$2:$A$1000,""))</f>
        <v/>
      </c>
      <c r="H334" s="4" t="n">
        <f aca="false">COUNTIF(Events!$A$2:$A$397,$A334)</f>
        <v>0</v>
      </c>
      <c r="I334" s="6" t="str">
        <f aca="false" t="array" ref="I334:I334">_xlfn.TEXTJOIN(" | ",TRUE(),IF(Events!$A$2:$A$397=$A334,Events!$E$2:$E$397&amp;IF(Events!$G$2:$G$397="National",""," ["&amp;Events!$G$2:$G$397&amp;"]"),""))</f>
        <v/>
      </c>
    </row>
    <row r="335" customFormat="false" ht="15" hidden="false" customHeight="true" outlineLevel="0" collapsed="false">
      <c r="A335" s="3" t="n">
        <v>45625</v>
      </c>
      <c r="B335" s="4" t="n">
        <f aca="false">YEAR($A335)</f>
        <v>2024</v>
      </c>
      <c r="C335" s="4" t="n">
        <f aca="false">MONTH($A335)</f>
        <v>11</v>
      </c>
      <c r="D335" s="4" t="str">
        <f aca="false">TEXT($A335,"ddd")</f>
        <v>Fri</v>
      </c>
      <c r="E335" s="4" t="n">
        <f aca="false">IF(OR(AND(MONTH($A335)=10,DAY($A335)&gt;=15),MONTH($A335)=11,AND(MONTH($A335)=12,DAY($A335)&lt;=7)),1,0)</f>
        <v>1</v>
      </c>
      <c r="F335" s="4" t="n">
        <f aca="false">IF(MONTH($A335)&lt;=3,1,0)</f>
        <v>0</v>
      </c>
      <c r="G335" s="4" t="str">
        <f aca="false" t="array" ref="G335:G335">_xlfn.TEXTJOIN(" | ",TRUE(),IF('FEMA Disasters'!$F$2:$F$1000=$A335,'FEMA Disasters'!$D$2:$D$1000&amp;" begin: ["&amp;'FEMA Disasters'!$B$2:$B$1000&amp;"] "&amp;'FEMA Disasters'!$C$2:$C$1000&amp;"-"&amp;'FEMA Disasters'!$A$2:$A$1000,""),IF('FEMA Disasters'!$G$2:$G$1000=$A335,'FEMA Disasters'!$D$2:$D$1000&amp;" ended: ["&amp;'FEMA Disasters'!$B$2:$B$1000&amp;"] "&amp;'FEMA Disasters'!$C$2:$C$1000&amp;"-"&amp;'FEMA Disasters'!$A$2:$A$1000,""),IF('FEMA Disasters'!$K$2:$K$1000=$A335,"Disaster SEP opens: "&amp;'FEMA Disasters'!$D$2:$D$1000&amp;" ["&amp;'FEMA Disasters'!$B$2:$B$1000&amp;"] "&amp;'FEMA Disasters'!$C$2:$C$1000&amp;"-"&amp;'FEMA Disasters'!$A$2:$A$1000,""),IF('FEMA Disasters'!$L$2:$L$1000=$A335,"Disaster SEP ended: "&amp;'FEMA Disasters'!$D$2:$D$1000&amp;" ["&amp;'FEMA Disasters'!$B$2:$B$1000&amp;"] "&amp;'FEMA Disasters'!$C$2:$C$1000&amp;"-"&amp;'FEMA Disasters'!$A$2:$A$1000,""))</f>
        <v/>
      </c>
      <c r="H335" s="4" t="n">
        <f aca="false">COUNTIF(Events!$A$2:$A$397,$A335)</f>
        <v>0</v>
      </c>
      <c r="I335" s="6" t="str">
        <f aca="false" t="array" ref="I335:I335">_xlfn.TEXTJOIN(" | ",TRUE(),IF(Events!$A$2:$A$397=$A335,Events!$E$2:$E$397&amp;IF(Events!$G$2:$G$397="National",""," ["&amp;Events!$G$2:$G$397&amp;"]"),""))</f>
        <v/>
      </c>
    </row>
    <row r="336" customFormat="false" ht="15" hidden="false" customHeight="true" outlineLevel="0" collapsed="false">
      <c r="A336" s="3" t="n">
        <v>45626</v>
      </c>
      <c r="B336" s="4" t="n">
        <f aca="false">YEAR($A336)</f>
        <v>2024</v>
      </c>
      <c r="C336" s="4" t="n">
        <f aca="false">MONTH($A336)</f>
        <v>11</v>
      </c>
      <c r="D336" s="4" t="str">
        <f aca="false">TEXT($A336,"ddd")</f>
        <v>Sat</v>
      </c>
      <c r="E336" s="4" t="n">
        <f aca="false">IF(OR(AND(MONTH($A336)=10,DAY($A336)&gt;=15),MONTH($A336)=11,AND(MONTH($A336)=12,DAY($A336)&lt;=7)),1,0)</f>
        <v>1</v>
      </c>
      <c r="F336" s="4" t="n">
        <f aca="false">IF(MONTH($A336)&lt;=3,1,0)</f>
        <v>0</v>
      </c>
      <c r="G336" s="4" t="str">
        <f aca="false" t="array" ref="G336:G336">_xlfn.TEXTJOIN(" | ",TRUE(),IF('FEMA Disasters'!$F$2:$F$1000=$A336,'FEMA Disasters'!$D$2:$D$1000&amp;" begin: ["&amp;'FEMA Disasters'!$B$2:$B$1000&amp;"] "&amp;'FEMA Disasters'!$C$2:$C$1000&amp;"-"&amp;'FEMA Disasters'!$A$2:$A$1000,""),IF('FEMA Disasters'!$G$2:$G$1000=$A336,'FEMA Disasters'!$D$2:$D$1000&amp;" ended: ["&amp;'FEMA Disasters'!$B$2:$B$1000&amp;"] "&amp;'FEMA Disasters'!$C$2:$C$1000&amp;"-"&amp;'FEMA Disasters'!$A$2:$A$1000,""),IF('FEMA Disasters'!$K$2:$K$1000=$A336,"Disaster SEP opens: "&amp;'FEMA Disasters'!$D$2:$D$1000&amp;" ["&amp;'FEMA Disasters'!$B$2:$B$1000&amp;"] "&amp;'FEMA Disasters'!$C$2:$C$1000&amp;"-"&amp;'FEMA Disasters'!$A$2:$A$1000,""),IF('FEMA Disasters'!$L$2:$L$1000=$A336,"Disaster SEP ended: "&amp;'FEMA Disasters'!$D$2:$D$1000&amp;" ["&amp;'FEMA Disasters'!$B$2:$B$1000&amp;"] "&amp;'FEMA Disasters'!$C$2:$C$1000&amp;"-"&amp;'FEMA Disasters'!$A$2:$A$1000,""))</f>
        <v>Disaster SEP opens: Fire [NV] FM-5533 | Disaster SEP opens: Fire [CA] FM-5536 | Disaster SEP opens: Hurricane [LA] DR-4817 | Disaster SEP opens: Hurricane [LA] EM-3614 | Disaster SEP opens: Fire [CA] FM-5537 | Disaster SEP opens: Fire [CA] FM-5538 | Disaster SEP opens: Tropical Storm [NC] DR-4837 | Disaster SEP opens: Hurricane [AL] EM-3618 | Disaster SEP opens: Tropical Storm [WV] DR-4851 | Disaster SEP opens: Tropical Storm [TN] EM-3620 | Disaster SEP opens: Tropical Storm [TN] DR-4832 | Disaster SEP opens: Tropical Storm [KY] DR-4848 | Disaster SEP ended: Severe Storm [IA] DR-4796 | Disaster SEP ended: Flood [MN] DR-4797 | Disaster SEP ended: Flood [SD] DR-4807 | Disaster SEP ended: Severe Storm [NE] DR-4822 | Disaster SEP ended: Fire [WA] DR-4823 | Disaster SEP ended: Fire [WA] FM-5499 | Disaster SEP ended: Severe Storm [KS] DR-4824 | Disaster SEP ended: Fire [CA] FM-5502 | Disaster SEP ended: Fire [CA] FM-5503 | Disaster SEP ended: Hurricane [TX] DR-4798 | Disaster SEP ended: Severe Storm [VT] DR-4810 | Disaster SEP ended: Fire [AZ] FM-5505 | Disaster SEP ended: Severe Storm [NH] DR-4812 | Disaster SEP ended: Flood [NY] DR-4814 | Disaster SEP ended: Fire [AZ] DR-4833 | Disaster SEP ended: Fire [AZ] FM-5508 | Disaster SEP ended: Flood [IL] DR-4819 | Disaster SEP ended: Severe Storm [SD] DR-4842 | Disaster SEP ended: Fire [ID] FM-5510 | Disaster SEP ended: Fire [NV] FM-5509 | Disaster SEP ended: Fire [WA] FM-5518 | Disaster SEP ended: Fire [CA] FM-5515 | Disaster SEP ended: Fire [WA] FM-5517 | Disaster SEP ended: Straight-Line Winds [MT] DR-4813 | Disaster SEP ended: Flood [VT] DR-4826 | Disaster SEP ended: Severe Storm [NE] DR-4838</v>
      </c>
      <c r="H336" s="4" t="n">
        <f aca="false">COUNTIF(Events!$A$2:$A$397,$A336)</f>
        <v>0</v>
      </c>
      <c r="I336" s="6" t="str">
        <f aca="false" t="array" ref="I336:I336">_xlfn.TEXTJOIN(" | ",TRUE(),IF(Events!$A$2:$A$397=$A336,Events!$E$2:$E$397&amp;IF(Events!$G$2:$G$397="National",""," ["&amp;Events!$G$2:$G$397&amp;"]"),""))</f>
        <v/>
      </c>
    </row>
    <row r="337" customFormat="false" ht="15" hidden="false" customHeight="true" outlineLevel="0" collapsed="false">
      <c r="A337" s="3" t="n">
        <v>45627</v>
      </c>
      <c r="B337" s="4" t="n">
        <f aca="false">YEAR($A337)</f>
        <v>2024</v>
      </c>
      <c r="C337" s="4" t="n">
        <f aca="false">MONTH($A337)</f>
        <v>12</v>
      </c>
      <c r="D337" s="4" t="str">
        <f aca="false">TEXT($A337,"ddd")</f>
        <v>Sun</v>
      </c>
      <c r="E337" s="4" t="n">
        <f aca="false">IF(OR(AND(MONTH($A337)=10,DAY($A337)&gt;=15),MONTH($A337)=11,AND(MONTH($A337)=12,DAY($A337)&lt;=7)),1,0)</f>
        <v>1</v>
      </c>
      <c r="F337" s="4" t="n">
        <f aca="false">IF(MONTH($A337)&lt;=3,1,0)</f>
        <v>0</v>
      </c>
      <c r="G337" s="4" t="str">
        <f aca="false" t="array" ref="G337:G337">_xlfn.TEXTJOIN(" | ",TRUE(),IF('FEMA Disasters'!$F$2:$F$1000=$A337,'FEMA Disasters'!$D$2:$D$1000&amp;" begin: ["&amp;'FEMA Disasters'!$B$2:$B$1000&amp;"] "&amp;'FEMA Disasters'!$C$2:$C$1000&amp;"-"&amp;'FEMA Disasters'!$A$2:$A$1000,""),IF('FEMA Disasters'!$G$2:$G$1000=$A337,'FEMA Disasters'!$D$2:$D$1000&amp;" ended: ["&amp;'FEMA Disasters'!$B$2:$B$1000&amp;"] "&amp;'FEMA Disasters'!$C$2:$C$1000&amp;"-"&amp;'FEMA Disasters'!$A$2:$A$1000,""),IF('FEMA Disasters'!$K$2:$K$1000=$A337,"Disaster SEP opens: "&amp;'FEMA Disasters'!$D$2:$D$1000&amp;" ["&amp;'FEMA Disasters'!$B$2:$B$1000&amp;"] "&amp;'FEMA Disasters'!$C$2:$C$1000&amp;"-"&amp;'FEMA Disasters'!$A$2:$A$1000,""),IF('FEMA Disasters'!$L$2:$L$1000=$A337,"Disaster SEP ended: "&amp;'FEMA Disasters'!$D$2:$D$1000&amp;" ["&amp;'FEMA Disasters'!$B$2:$B$1000&amp;"] "&amp;'FEMA Disasters'!$C$2:$C$1000&amp;"-"&amp;'FEMA Disasters'!$A$2:$A$1000,""))</f>
        <v/>
      </c>
      <c r="H337" s="4" t="n">
        <f aca="false">COUNTIF(Events!$A$2:$A$397,$A337)</f>
        <v>0</v>
      </c>
      <c r="I337" s="6" t="str">
        <f aca="false" t="array" ref="I337:I337">_xlfn.TEXTJOIN(" | ",TRUE(),IF(Events!$A$2:$A$397=$A337,Events!$E$2:$E$397&amp;IF(Events!$G$2:$G$397="National",""," ["&amp;Events!$G$2:$G$397&amp;"]"),""))</f>
        <v/>
      </c>
    </row>
    <row r="338" customFormat="false" ht="15" hidden="false" customHeight="true" outlineLevel="0" collapsed="false">
      <c r="A338" s="3" t="n">
        <v>45628</v>
      </c>
      <c r="B338" s="4" t="n">
        <f aca="false">YEAR($A338)</f>
        <v>2024</v>
      </c>
      <c r="C338" s="4" t="n">
        <f aca="false">MONTH($A338)</f>
        <v>12</v>
      </c>
      <c r="D338" s="4" t="str">
        <f aca="false">TEXT($A338,"ddd")</f>
        <v>Mon</v>
      </c>
      <c r="E338" s="4" t="n">
        <f aca="false">IF(OR(AND(MONTH($A338)=10,DAY($A338)&gt;=15),MONTH($A338)=11,AND(MONTH($A338)=12,DAY($A338)&lt;=7)),1,0)</f>
        <v>1</v>
      </c>
      <c r="F338" s="4" t="n">
        <f aca="false">IF(MONTH($A338)&lt;=3,1,0)</f>
        <v>0</v>
      </c>
      <c r="G338" s="4" t="str">
        <f aca="false" t="array" ref="G338:G338">_xlfn.TEXTJOIN(" | ",TRUE(),IF('FEMA Disasters'!$F$2:$F$1000=$A338,'FEMA Disasters'!$D$2:$D$1000&amp;" begin: ["&amp;'FEMA Disasters'!$B$2:$B$1000&amp;"] "&amp;'FEMA Disasters'!$C$2:$C$1000&amp;"-"&amp;'FEMA Disasters'!$A$2:$A$1000,""),IF('FEMA Disasters'!$G$2:$G$1000=$A338,'FEMA Disasters'!$D$2:$D$1000&amp;" ended: ["&amp;'FEMA Disasters'!$B$2:$B$1000&amp;"] "&amp;'FEMA Disasters'!$C$2:$C$1000&amp;"-"&amp;'FEMA Disasters'!$A$2:$A$1000,""),IF('FEMA Disasters'!$K$2:$K$1000=$A338,"Disaster SEP opens: "&amp;'FEMA Disasters'!$D$2:$D$1000&amp;" ["&amp;'FEMA Disasters'!$B$2:$B$1000&amp;"] "&amp;'FEMA Disasters'!$C$2:$C$1000&amp;"-"&amp;'FEMA Disasters'!$A$2:$A$1000,""),IF('FEMA Disasters'!$L$2:$L$1000=$A338,"Disaster SEP ended: "&amp;'FEMA Disasters'!$D$2:$D$1000&amp;" ["&amp;'FEMA Disasters'!$B$2:$B$1000&amp;"] "&amp;'FEMA Disasters'!$C$2:$C$1000&amp;"-"&amp;'FEMA Disasters'!$A$2:$A$1000,""))</f>
        <v/>
      </c>
      <c r="H338" s="4" t="n">
        <f aca="false">COUNTIF(Events!$A$2:$A$397,$A338)</f>
        <v>0</v>
      </c>
      <c r="I338" s="6" t="str">
        <f aca="false" t="array" ref="I338:I338">_xlfn.TEXTJOIN(" | ",TRUE(),IF(Events!$A$2:$A$397=$A338,Events!$E$2:$E$397&amp;IF(Events!$G$2:$G$397="National",""," ["&amp;Events!$G$2:$G$397&amp;"]"),""))</f>
        <v/>
      </c>
    </row>
    <row r="339" customFormat="false" ht="15" hidden="false" customHeight="true" outlineLevel="0" collapsed="false">
      <c r="A339" s="3" t="n">
        <v>45629</v>
      </c>
      <c r="B339" s="4" t="n">
        <f aca="false">YEAR($A339)</f>
        <v>2024</v>
      </c>
      <c r="C339" s="4" t="n">
        <f aca="false">MONTH($A339)</f>
        <v>12</v>
      </c>
      <c r="D339" s="4" t="str">
        <f aca="false">TEXT($A339,"ddd")</f>
        <v>Tue</v>
      </c>
      <c r="E339" s="4" t="n">
        <f aca="false">IF(OR(AND(MONTH($A339)=10,DAY($A339)&gt;=15),MONTH($A339)=11,AND(MONTH($A339)=12,DAY($A339)&lt;=7)),1,0)</f>
        <v>1</v>
      </c>
      <c r="F339" s="4" t="n">
        <f aca="false">IF(MONTH($A339)&lt;=3,1,0)</f>
        <v>0</v>
      </c>
      <c r="G339" s="4" t="str">
        <f aca="false" t="array" ref="G339:G339">_xlfn.TEXTJOIN(" | ",TRUE(),IF('FEMA Disasters'!$F$2:$F$1000=$A339,'FEMA Disasters'!$D$2:$D$1000&amp;" begin: ["&amp;'FEMA Disasters'!$B$2:$B$1000&amp;"] "&amp;'FEMA Disasters'!$C$2:$C$1000&amp;"-"&amp;'FEMA Disasters'!$A$2:$A$1000,""),IF('FEMA Disasters'!$G$2:$G$1000=$A339,'FEMA Disasters'!$D$2:$D$1000&amp;" ended: ["&amp;'FEMA Disasters'!$B$2:$B$1000&amp;"] "&amp;'FEMA Disasters'!$C$2:$C$1000&amp;"-"&amp;'FEMA Disasters'!$A$2:$A$1000,""),IF('FEMA Disasters'!$K$2:$K$1000=$A339,"Disaster SEP opens: "&amp;'FEMA Disasters'!$D$2:$D$1000&amp;" ["&amp;'FEMA Disasters'!$B$2:$B$1000&amp;"] "&amp;'FEMA Disasters'!$C$2:$C$1000&amp;"-"&amp;'FEMA Disasters'!$A$2:$A$1000,""),IF('FEMA Disasters'!$L$2:$L$1000=$A339,"Disaster SEP ended: "&amp;'FEMA Disasters'!$D$2:$D$1000&amp;" ["&amp;'FEMA Disasters'!$B$2:$B$1000&amp;"] "&amp;'FEMA Disasters'!$C$2:$C$1000&amp;"-"&amp;'FEMA Disasters'!$A$2:$A$1000,""))</f>
        <v/>
      </c>
      <c r="H339" s="4" t="n">
        <f aca="false">COUNTIF(Events!$A$2:$A$397,$A339)</f>
        <v>0</v>
      </c>
      <c r="I339" s="6" t="str">
        <f aca="false" t="array" ref="I339:I339">_xlfn.TEXTJOIN(" | ",TRUE(),IF(Events!$A$2:$A$397=$A339,Events!$E$2:$E$397&amp;IF(Events!$G$2:$G$397="National",""," ["&amp;Events!$G$2:$G$397&amp;"]"),""))</f>
        <v/>
      </c>
    </row>
    <row r="340" customFormat="false" ht="15" hidden="false" customHeight="true" outlineLevel="0" collapsed="false">
      <c r="A340" s="3" t="n">
        <v>45630</v>
      </c>
      <c r="B340" s="4" t="n">
        <f aca="false">YEAR($A340)</f>
        <v>2024</v>
      </c>
      <c r="C340" s="4" t="n">
        <f aca="false">MONTH($A340)</f>
        <v>12</v>
      </c>
      <c r="D340" s="4" t="str">
        <f aca="false">TEXT($A340,"ddd")</f>
        <v>Wed</v>
      </c>
      <c r="E340" s="4" t="n">
        <f aca="false">IF(OR(AND(MONTH($A340)=10,DAY($A340)&gt;=15),MONTH($A340)=11,AND(MONTH($A340)=12,DAY($A340)&lt;=7)),1,0)</f>
        <v>1</v>
      </c>
      <c r="F340" s="4" t="n">
        <f aca="false">IF(MONTH($A340)&lt;=3,1,0)</f>
        <v>0</v>
      </c>
      <c r="G340" s="4" t="str">
        <f aca="false" t="array" ref="G340:G340">_xlfn.TEXTJOIN(" | ",TRUE(),IF('FEMA Disasters'!$F$2:$F$1000=$A340,'FEMA Disasters'!$D$2:$D$1000&amp;" begin: ["&amp;'FEMA Disasters'!$B$2:$B$1000&amp;"] "&amp;'FEMA Disasters'!$C$2:$C$1000&amp;"-"&amp;'FEMA Disasters'!$A$2:$A$1000,""),IF('FEMA Disasters'!$G$2:$G$1000=$A340,'FEMA Disasters'!$D$2:$D$1000&amp;" ended: ["&amp;'FEMA Disasters'!$B$2:$B$1000&amp;"] "&amp;'FEMA Disasters'!$C$2:$C$1000&amp;"-"&amp;'FEMA Disasters'!$A$2:$A$1000,""),IF('FEMA Disasters'!$K$2:$K$1000=$A340,"Disaster SEP opens: "&amp;'FEMA Disasters'!$D$2:$D$1000&amp;" ["&amp;'FEMA Disasters'!$B$2:$B$1000&amp;"] "&amp;'FEMA Disasters'!$C$2:$C$1000&amp;"-"&amp;'FEMA Disasters'!$A$2:$A$1000,""),IF('FEMA Disasters'!$L$2:$L$1000=$A340,"Disaster SEP ended: "&amp;'FEMA Disasters'!$D$2:$D$1000&amp;" ["&amp;'FEMA Disasters'!$B$2:$B$1000&amp;"] "&amp;'FEMA Disasters'!$C$2:$C$1000&amp;"-"&amp;'FEMA Disasters'!$A$2:$A$1000,""))</f>
        <v/>
      </c>
      <c r="H340" s="4" t="n">
        <f aca="false">COUNTIF(Events!$A$2:$A$397,$A340)</f>
        <v>0</v>
      </c>
      <c r="I340" s="6" t="str">
        <f aca="false" t="array" ref="I340:I340">_xlfn.TEXTJOIN(" | ",TRUE(),IF(Events!$A$2:$A$397=$A340,Events!$E$2:$E$397&amp;IF(Events!$G$2:$G$397="National",""," ["&amp;Events!$G$2:$G$397&amp;"]"),""))</f>
        <v/>
      </c>
    </row>
    <row r="341" customFormat="false" ht="15" hidden="false" customHeight="true" outlineLevel="0" collapsed="false">
      <c r="A341" s="3" t="n">
        <v>45631</v>
      </c>
      <c r="B341" s="4" t="n">
        <f aca="false">YEAR($A341)</f>
        <v>2024</v>
      </c>
      <c r="C341" s="4" t="n">
        <f aca="false">MONTH($A341)</f>
        <v>12</v>
      </c>
      <c r="D341" s="4" t="str">
        <f aca="false">TEXT($A341,"ddd")</f>
        <v>Thu</v>
      </c>
      <c r="E341" s="4" t="n">
        <f aca="false">IF(OR(AND(MONTH($A341)=10,DAY($A341)&gt;=15),MONTH($A341)=11,AND(MONTH($A341)=12,DAY($A341)&lt;=7)),1,0)</f>
        <v>1</v>
      </c>
      <c r="F341" s="4" t="n">
        <f aca="false">IF(MONTH($A341)&lt;=3,1,0)</f>
        <v>0</v>
      </c>
      <c r="G341" s="4" t="str">
        <f aca="false" t="array" ref="G341:G341">_xlfn.TEXTJOIN(" | ",TRUE(),IF('FEMA Disasters'!$F$2:$F$1000=$A341,'FEMA Disasters'!$D$2:$D$1000&amp;" begin: ["&amp;'FEMA Disasters'!$B$2:$B$1000&amp;"] "&amp;'FEMA Disasters'!$C$2:$C$1000&amp;"-"&amp;'FEMA Disasters'!$A$2:$A$1000,""),IF('FEMA Disasters'!$G$2:$G$1000=$A341,'FEMA Disasters'!$D$2:$D$1000&amp;" ended: ["&amp;'FEMA Disasters'!$B$2:$B$1000&amp;"] "&amp;'FEMA Disasters'!$C$2:$C$1000&amp;"-"&amp;'FEMA Disasters'!$A$2:$A$1000,""),IF('FEMA Disasters'!$K$2:$K$1000=$A341,"Disaster SEP opens: "&amp;'FEMA Disasters'!$D$2:$D$1000&amp;" ["&amp;'FEMA Disasters'!$B$2:$B$1000&amp;"] "&amp;'FEMA Disasters'!$C$2:$C$1000&amp;"-"&amp;'FEMA Disasters'!$A$2:$A$1000,""),IF('FEMA Disasters'!$L$2:$L$1000=$A341,"Disaster SEP ended: "&amp;'FEMA Disasters'!$D$2:$D$1000&amp;" ["&amp;'FEMA Disasters'!$B$2:$B$1000&amp;"] "&amp;'FEMA Disasters'!$C$2:$C$1000&amp;"-"&amp;'FEMA Disasters'!$A$2:$A$1000,""))</f>
        <v/>
      </c>
      <c r="H341" s="4" t="n">
        <f aca="false">COUNTIF(Events!$A$2:$A$397,$A341)</f>
        <v>0</v>
      </c>
      <c r="I341" s="6" t="str">
        <f aca="false" t="array" ref="I341:I341">_xlfn.TEXTJOIN(" | ",TRUE(),IF(Events!$A$2:$A$397=$A341,Events!$E$2:$E$397&amp;IF(Events!$G$2:$G$397="National",""," ["&amp;Events!$G$2:$G$397&amp;"]"),""))</f>
        <v/>
      </c>
    </row>
    <row r="342" customFormat="false" ht="15" hidden="false" customHeight="true" outlineLevel="0" collapsed="false">
      <c r="A342" s="3" t="n">
        <v>45632</v>
      </c>
      <c r="B342" s="4" t="n">
        <f aca="false">YEAR($A342)</f>
        <v>2024</v>
      </c>
      <c r="C342" s="4" t="n">
        <f aca="false">MONTH($A342)</f>
        <v>12</v>
      </c>
      <c r="D342" s="4" t="str">
        <f aca="false">TEXT($A342,"ddd")</f>
        <v>Fri</v>
      </c>
      <c r="E342" s="4" t="n">
        <f aca="false">IF(OR(AND(MONTH($A342)=10,DAY($A342)&gt;=15),MONTH($A342)=11,AND(MONTH($A342)=12,DAY($A342)&lt;=7)),1,0)</f>
        <v>1</v>
      </c>
      <c r="F342" s="4" t="n">
        <f aca="false">IF(MONTH($A342)&lt;=3,1,0)</f>
        <v>0</v>
      </c>
      <c r="G342" s="4" t="str">
        <f aca="false" t="array" ref="G342:G342">_xlfn.TEXTJOIN(" | ",TRUE(),IF('FEMA Disasters'!$F$2:$F$1000=$A342,'FEMA Disasters'!$D$2:$D$1000&amp;" begin: ["&amp;'FEMA Disasters'!$B$2:$B$1000&amp;"] "&amp;'FEMA Disasters'!$C$2:$C$1000&amp;"-"&amp;'FEMA Disasters'!$A$2:$A$1000,""),IF('FEMA Disasters'!$G$2:$G$1000=$A342,'FEMA Disasters'!$D$2:$D$1000&amp;" ended: ["&amp;'FEMA Disasters'!$B$2:$B$1000&amp;"] "&amp;'FEMA Disasters'!$C$2:$C$1000&amp;"-"&amp;'FEMA Disasters'!$A$2:$A$1000,""),IF('FEMA Disasters'!$K$2:$K$1000=$A342,"Disaster SEP opens: "&amp;'FEMA Disasters'!$D$2:$D$1000&amp;" ["&amp;'FEMA Disasters'!$B$2:$B$1000&amp;"] "&amp;'FEMA Disasters'!$C$2:$C$1000&amp;"-"&amp;'FEMA Disasters'!$A$2:$A$1000,""),IF('FEMA Disasters'!$L$2:$L$1000=$A342,"Disaster SEP ended: "&amp;'FEMA Disasters'!$D$2:$D$1000&amp;" ["&amp;'FEMA Disasters'!$B$2:$B$1000&amp;"] "&amp;'FEMA Disasters'!$C$2:$C$1000&amp;"-"&amp;'FEMA Disasters'!$A$2:$A$1000,""))</f>
        <v/>
      </c>
      <c r="H342" s="4" t="n">
        <f aca="false">COUNTIF(Events!$A$2:$A$397,$A342)</f>
        <v>0</v>
      </c>
      <c r="I342" s="6" t="str">
        <f aca="false" t="array" ref="I342:I342">_xlfn.TEXTJOIN(" | ",TRUE(),IF(Events!$A$2:$A$397=$A342,Events!$E$2:$E$397&amp;IF(Events!$G$2:$G$397="National",""," ["&amp;Events!$G$2:$G$397&amp;"]"),""))</f>
        <v/>
      </c>
    </row>
    <row r="343" customFormat="false" ht="15" hidden="false" customHeight="true" outlineLevel="0" collapsed="false">
      <c r="A343" s="3" t="n">
        <v>45633</v>
      </c>
      <c r="B343" s="4" t="n">
        <f aca="false">YEAR($A343)</f>
        <v>2024</v>
      </c>
      <c r="C343" s="4" t="n">
        <f aca="false">MONTH($A343)</f>
        <v>12</v>
      </c>
      <c r="D343" s="4" t="str">
        <f aca="false">TEXT($A343,"ddd")</f>
        <v>Sat</v>
      </c>
      <c r="E343" s="4" t="n">
        <f aca="false">IF(OR(AND(MONTH($A343)=10,DAY($A343)&gt;=15),MONTH($A343)=11,AND(MONTH($A343)=12,DAY($A343)&lt;=7)),1,0)</f>
        <v>1</v>
      </c>
      <c r="F343" s="4" t="n">
        <f aca="false">IF(MONTH($A343)&lt;=3,1,0)</f>
        <v>0</v>
      </c>
      <c r="G343" s="4" t="str">
        <f aca="false" t="array" ref="G343:G343">_xlfn.TEXTJOIN(" | ",TRUE(),IF('FEMA Disasters'!$F$2:$F$1000=$A343,'FEMA Disasters'!$D$2:$D$1000&amp;" begin: ["&amp;'FEMA Disasters'!$B$2:$B$1000&amp;"] "&amp;'FEMA Disasters'!$C$2:$C$1000&amp;"-"&amp;'FEMA Disasters'!$A$2:$A$1000,""),IF('FEMA Disasters'!$G$2:$G$1000=$A343,'FEMA Disasters'!$D$2:$D$1000&amp;" ended: ["&amp;'FEMA Disasters'!$B$2:$B$1000&amp;"] "&amp;'FEMA Disasters'!$C$2:$C$1000&amp;"-"&amp;'FEMA Disasters'!$A$2:$A$1000,""),IF('FEMA Disasters'!$K$2:$K$1000=$A343,"Disaster SEP opens: "&amp;'FEMA Disasters'!$D$2:$D$1000&amp;" ["&amp;'FEMA Disasters'!$B$2:$B$1000&amp;"] "&amp;'FEMA Disasters'!$C$2:$C$1000&amp;"-"&amp;'FEMA Disasters'!$A$2:$A$1000,""),IF('FEMA Disasters'!$L$2:$L$1000=$A343,"Disaster SEP ended: "&amp;'FEMA Disasters'!$D$2:$D$1000&amp;" ["&amp;'FEMA Disasters'!$B$2:$B$1000&amp;"] "&amp;'FEMA Disasters'!$C$2:$C$1000&amp;"-"&amp;'FEMA Disasters'!$A$2:$A$1000,""))</f>
        <v/>
      </c>
      <c r="H343" s="4" t="n">
        <f aca="false">COUNTIF(Events!$A$2:$A$397,$A343)</f>
        <v>0</v>
      </c>
      <c r="I343" s="6" t="str">
        <f aca="false" t="array" ref="I343:I343">_xlfn.TEXTJOIN(" | ",TRUE(),IF(Events!$A$2:$A$397=$A343,Events!$E$2:$E$397&amp;IF(Events!$G$2:$G$397="National",""," ["&amp;Events!$G$2:$G$397&amp;"]"),""))</f>
        <v/>
      </c>
    </row>
    <row r="344" customFormat="false" ht="15" hidden="false" customHeight="true" outlineLevel="0" collapsed="false">
      <c r="A344" s="3" t="n">
        <v>45634</v>
      </c>
      <c r="B344" s="4" t="n">
        <f aca="false">YEAR($A344)</f>
        <v>2024</v>
      </c>
      <c r="C344" s="4" t="n">
        <f aca="false">MONTH($A344)</f>
        <v>12</v>
      </c>
      <c r="D344" s="4" t="str">
        <f aca="false">TEXT($A344,"ddd")</f>
        <v>Sun</v>
      </c>
      <c r="E344" s="4" t="n">
        <f aca="false">IF(OR(AND(MONTH($A344)=10,DAY($A344)&gt;=15),MONTH($A344)=11,AND(MONTH($A344)=12,DAY($A344)&lt;=7)),1,0)</f>
        <v>0</v>
      </c>
      <c r="F344" s="4" t="n">
        <f aca="false">IF(MONTH($A344)&lt;=3,1,0)</f>
        <v>0</v>
      </c>
      <c r="G344" s="4" t="str">
        <f aca="false" t="array" ref="G344:G344">_xlfn.TEXTJOIN(" | ",TRUE(),IF('FEMA Disasters'!$F$2:$F$1000=$A344,'FEMA Disasters'!$D$2:$D$1000&amp;" begin: ["&amp;'FEMA Disasters'!$B$2:$B$1000&amp;"] "&amp;'FEMA Disasters'!$C$2:$C$1000&amp;"-"&amp;'FEMA Disasters'!$A$2:$A$1000,""),IF('FEMA Disasters'!$G$2:$G$1000=$A344,'FEMA Disasters'!$D$2:$D$1000&amp;" ended: ["&amp;'FEMA Disasters'!$B$2:$B$1000&amp;"] "&amp;'FEMA Disasters'!$C$2:$C$1000&amp;"-"&amp;'FEMA Disasters'!$A$2:$A$1000,""),IF('FEMA Disasters'!$K$2:$K$1000=$A344,"Disaster SEP opens: "&amp;'FEMA Disasters'!$D$2:$D$1000&amp;" ["&amp;'FEMA Disasters'!$B$2:$B$1000&amp;"] "&amp;'FEMA Disasters'!$C$2:$C$1000&amp;"-"&amp;'FEMA Disasters'!$A$2:$A$1000,""),IF('FEMA Disasters'!$L$2:$L$1000=$A344,"Disaster SEP ended: "&amp;'FEMA Disasters'!$D$2:$D$1000&amp;" ["&amp;'FEMA Disasters'!$B$2:$B$1000&amp;"] "&amp;'FEMA Disasters'!$C$2:$C$1000&amp;"-"&amp;'FEMA Disasters'!$A$2:$A$1000,""))</f>
        <v/>
      </c>
      <c r="H344" s="4" t="n">
        <f aca="false">COUNTIF(Events!$A$2:$A$397,$A344)</f>
        <v>0</v>
      </c>
      <c r="I344" s="6" t="str">
        <f aca="false" t="array" ref="I344:I344">_xlfn.TEXTJOIN(" | ",TRUE(),IF(Events!$A$2:$A$397=$A344,Events!$E$2:$E$397&amp;IF(Events!$G$2:$G$397="National",""," ["&amp;Events!$G$2:$G$397&amp;"]"),""))</f>
        <v/>
      </c>
    </row>
    <row r="345" customFormat="false" ht="15" hidden="false" customHeight="true" outlineLevel="0" collapsed="false">
      <c r="A345" s="3" t="n">
        <v>45635</v>
      </c>
      <c r="B345" s="4" t="n">
        <f aca="false">YEAR($A345)</f>
        <v>2024</v>
      </c>
      <c r="C345" s="4" t="n">
        <f aca="false">MONTH($A345)</f>
        <v>12</v>
      </c>
      <c r="D345" s="4" t="str">
        <f aca="false">TEXT($A345,"ddd")</f>
        <v>Mon</v>
      </c>
      <c r="E345" s="4" t="n">
        <f aca="false">IF(OR(AND(MONTH($A345)=10,DAY($A345)&gt;=15),MONTH($A345)=11,AND(MONTH($A345)=12,DAY($A345)&lt;=7)),1,0)</f>
        <v>0</v>
      </c>
      <c r="F345" s="4" t="n">
        <f aca="false">IF(MONTH($A345)&lt;=3,1,0)</f>
        <v>0</v>
      </c>
      <c r="G345" s="4" t="str">
        <f aca="false" t="array" ref="G345:G345">_xlfn.TEXTJOIN(" | ",TRUE(),IF('FEMA Disasters'!$F$2:$F$1000=$A345,'FEMA Disasters'!$D$2:$D$1000&amp;" begin: ["&amp;'FEMA Disasters'!$B$2:$B$1000&amp;"] "&amp;'FEMA Disasters'!$C$2:$C$1000&amp;"-"&amp;'FEMA Disasters'!$A$2:$A$1000,""),IF('FEMA Disasters'!$G$2:$G$1000=$A345,'FEMA Disasters'!$D$2:$D$1000&amp;" ended: ["&amp;'FEMA Disasters'!$B$2:$B$1000&amp;"] "&amp;'FEMA Disasters'!$C$2:$C$1000&amp;"-"&amp;'FEMA Disasters'!$A$2:$A$1000,""),IF('FEMA Disasters'!$K$2:$K$1000=$A345,"Disaster SEP opens: "&amp;'FEMA Disasters'!$D$2:$D$1000&amp;" ["&amp;'FEMA Disasters'!$B$2:$B$1000&amp;"] "&amp;'FEMA Disasters'!$C$2:$C$1000&amp;"-"&amp;'FEMA Disasters'!$A$2:$A$1000,""),IF('FEMA Disasters'!$L$2:$L$1000=$A345,"Disaster SEP ended: "&amp;'FEMA Disasters'!$D$2:$D$1000&amp;" ["&amp;'FEMA Disasters'!$B$2:$B$1000&amp;"] "&amp;'FEMA Disasters'!$C$2:$C$1000&amp;"-"&amp;'FEMA Disasters'!$A$2:$A$1000,""))</f>
        <v/>
      </c>
      <c r="H345" s="4" t="n">
        <f aca="false">COUNTIF(Events!$A$2:$A$397,$A345)</f>
        <v>0</v>
      </c>
      <c r="I345" s="6" t="str">
        <f aca="false" t="array" ref="I345:I345">_xlfn.TEXTJOIN(" | ",TRUE(),IF(Events!$A$2:$A$397=$A345,Events!$E$2:$E$397&amp;IF(Events!$G$2:$G$397="National",""," ["&amp;Events!$G$2:$G$397&amp;"]"),""))</f>
        <v/>
      </c>
    </row>
    <row r="346" customFormat="false" ht="15" hidden="false" customHeight="true" outlineLevel="0" collapsed="false">
      <c r="A346" s="3" t="n">
        <v>45636</v>
      </c>
      <c r="B346" s="4" t="n">
        <f aca="false">YEAR($A346)</f>
        <v>2024</v>
      </c>
      <c r="C346" s="4" t="n">
        <f aca="false">MONTH($A346)</f>
        <v>12</v>
      </c>
      <c r="D346" s="4" t="str">
        <f aca="false">TEXT($A346,"ddd")</f>
        <v>Tue</v>
      </c>
      <c r="E346" s="4" t="n">
        <f aca="false">IF(OR(AND(MONTH($A346)=10,DAY($A346)&gt;=15),MONTH($A346)=11,AND(MONTH($A346)=12,DAY($A346)&lt;=7)),1,0)</f>
        <v>0</v>
      </c>
      <c r="F346" s="4" t="n">
        <f aca="false">IF(MONTH($A346)&lt;=3,1,0)</f>
        <v>0</v>
      </c>
      <c r="G346" s="4" t="str">
        <f aca="false" t="array" ref="G346:G346">_xlfn.TEXTJOIN(" | ",TRUE(),IF('FEMA Disasters'!$F$2:$F$1000=$A346,'FEMA Disasters'!$D$2:$D$1000&amp;" begin: ["&amp;'FEMA Disasters'!$B$2:$B$1000&amp;"] "&amp;'FEMA Disasters'!$C$2:$C$1000&amp;"-"&amp;'FEMA Disasters'!$A$2:$A$1000,""),IF('FEMA Disasters'!$G$2:$G$1000=$A346,'FEMA Disasters'!$D$2:$D$1000&amp;" ended: ["&amp;'FEMA Disasters'!$B$2:$B$1000&amp;"] "&amp;'FEMA Disasters'!$C$2:$C$1000&amp;"-"&amp;'FEMA Disasters'!$A$2:$A$1000,""),IF('FEMA Disasters'!$K$2:$K$1000=$A346,"Disaster SEP opens: "&amp;'FEMA Disasters'!$D$2:$D$1000&amp;" ["&amp;'FEMA Disasters'!$B$2:$B$1000&amp;"] "&amp;'FEMA Disasters'!$C$2:$C$1000&amp;"-"&amp;'FEMA Disasters'!$A$2:$A$1000,""),IF('FEMA Disasters'!$L$2:$L$1000=$A346,"Disaster SEP ended: "&amp;'FEMA Disasters'!$D$2:$D$1000&amp;" ["&amp;'FEMA Disasters'!$B$2:$B$1000&amp;"] "&amp;'FEMA Disasters'!$C$2:$C$1000&amp;"-"&amp;'FEMA Disasters'!$A$2:$A$1000,""))</f>
        <v>Fire begin: [CA] FM-5548</v>
      </c>
      <c r="H346" s="4" t="n">
        <f aca="false">COUNTIF(Events!$A$2:$A$397,$A346)</f>
        <v>0</v>
      </c>
      <c r="I346" s="6" t="str">
        <f aca="false" t="array" ref="I346:I346">_xlfn.TEXTJOIN(" | ",TRUE(),IF(Events!$A$2:$A$397=$A346,Events!$E$2:$E$397&amp;IF(Events!$G$2:$G$397="National",""," ["&amp;Events!$G$2:$G$397&amp;"]"),""))</f>
        <v/>
      </c>
    </row>
    <row r="347" customFormat="false" ht="15" hidden="false" customHeight="true" outlineLevel="0" collapsed="false">
      <c r="A347" s="3" t="n">
        <v>45637</v>
      </c>
      <c r="B347" s="4" t="n">
        <f aca="false">YEAR($A347)</f>
        <v>2024</v>
      </c>
      <c r="C347" s="4" t="n">
        <f aca="false">MONTH($A347)</f>
        <v>12</v>
      </c>
      <c r="D347" s="4" t="str">
        <f aca="false">TEXT($A347,"ddd")</f>
        <v>Wed</v>
      </c>
      <c r="E347" s="4" t="n">
        <f aca="false">IF(OR(AND(MONTH($A347)=10,DAY($A347)&gt;=15),MONTH($A347)=11,AND(MONTH($A347)=12,DAY($A347)&lt;=7)),1,0)</f>
        <v>0</v>
      </c>
      <c r="F347" s="4" t="n">
        <f aca="false">IF(MONTH($A347)&lt;=3,1,0)</f>
        <v>0</v>
      </c>
      <c r="G347" s="4" t="str">
        <f aca="false" t="array" ref="G347:G347">_xlfn.TEXTJOIN(" | ",TRUE(),IF('FEMA Disasters'!$F$2:$F$1000=$A347,'FEMA Disasters'!$D$2:$D$1000&amp;" begin: ["&amp;'FEMA Disasters'!$B$2:$B$1000&amp;"] "&amp;'FEMA Disasters'!$C$2:$C$1000&amp;"-"&amp;'FEMA Disasters'!$A$2:$A$1000,""),IF('FEMA Disasters'!$G$2:$G$1000=$A347,'FEMA Disasters'!$D$2:$D$1000&amp;" ended: ["&amp;'FEMA Disasters'!$B$2:$B$1000&amp;"] "&amp;'FEMA Disasters'!$C$2:$C$1000&amp;"-"&amp;'FEMA Disasters'!$A$2:$A$1000,""),IF('FEMA Disasters'!$K$2:$K$1000=$A347,"Disaster SEP opens: "&amp;'FEMA Disasters'!$D$2:$D$1000&amp;" ["&amp;'FEMA Disasters'!$B$2:$B$1000&amp;"] "&amp;'FEMA Disasters'!$C$2:$C$1000&amp;"-"&amp;'FEMA Disasters'!$A$2:$A$1000,""),IF('FEMA Disasters'!$L$2:$L$1000=$A347,"Disaster SEP ended: "&amp;'FEMA Disasters'!$D$2:$D$1000&amp;" ["&amp;'FEMA Disasters'!$B$2:$B$1000&amp;"] "&amp;'FEMA Disasters'!$C$2:$C$1000&amp;"-"&amp;'FEMA Disasters'!$A$2:$A$1000,""))</f>
        <v/>
      </c>
      <c r="H347" s="4" t="n">
        <f aca="false">COUNTIF(Events!$A$2:$A$397,$A347)</f>
        <v>0</v>
      </c>
      <c r="I347" s="6" t="str">
        <f aca="false" t="array" ref="I347:I347">_xlfn.TEXTJOIN(" | ",TRUE(),IF(Events!$A$2:$A$397=$A347,Events!$E$2:$E$397&amp;IF(Events!$G$2:$G$397="National",""," ["&amp;Events!$G$2:$G$397&amp;"]"),""))</f>
        <v/>
      </c>
    </row>
    <row r="348" customFormat="false" ht="15" hidden="false" customHeight="true" outlineLevel="0" collapsed="false">
      <c r="A348" s="3" t="n">
        <v>45638</v>
      </c>
      <c r="B348" s="4" t="n">
        <f aca="false">YEAR($A348)</f>
        <v>2024</v>
      </c>
      <c r="C348" s="4" t="n">
        <f aca="false">MONTH($A348)</f>
        <v>12</v>
      </c>
      <c r="D348" s="4" t="str">
        <f aca="false">TEXT($A348,"ddd")</f>
        <v>Thu</v>
      </c>
      <c r="E348" s="4" t="n">
        <f aca="false">IF(OR(AND(MONTH($A348)=10,DAY($A348)&gt;=15),MONTH($A348)=11,AND(MONTH($A348)=12,DAY($A348)&lt;=7)),1,0)</f>
        <v>0</v>
      </c>
      <c r="F348" s="4" t="n">
        <f aca="false">IF(MONTH($A348)&lt;=3,1,0)</f>
        <v>0</v>
      </c>
      <c r="G348" s="4" t="str">
        <f aca="false" t="array" ref="G348:G348">_xlfn.TEXTJOIN(" | ",TRUE(),IF('FEMA Disasters'!$F$2:$F$1000=$A348,'FEMA Disasters'!$D$2:$D$1000&amp;" begin: ["&amp;'FEMA Disasters'!$B$2:$B$1000&amp;"] "&amp;'FEMA Disasters'!$C$2:$C$1000&amp;"-"&amp;'FEMA Disasters'!$A$2:$A$1000,""),IF('FEMA Disasters'!$G$2:$G$1000=$A348,'FEMA Disasters'!$D$2:$D$1000&amp;" ended: ["&amp;'FEMA Disasters'!$B$2:$B$1000&amp;"] "&amp;'FEMA Disasters'!$C$2:$C$1000&amp;"-"&amp;'FEMA Disasters'!$A$2:$A$1000,""),IF('FEMA Disasters'!$K$2:$K$1000=$A348,"Disaster SEP opens: "&amp;'FEMA Disasters'!$D$2:$D$1000&amp;" ["&amp;'FEMA Disasters'!$B$2:$B$1000&amp;"] "&amp;'FEMA Disasters'!$C$2:$C$1000&amp;"-"&amp;'FEMA Disasters'!$A$2:$A$1000,""),IF('FEMA Disasters'!$L$2:$L$1000=$A348,"Disaster SEP ended: "&amp;'FEMA Disasters'!$D$2:$D$1000&amp;" ["&amp;'FEMA Disasters'!$B$2:$B$1000&amp;"] "&amp;'FEMA Disasters'!$C$2:$C$1000&amp;"-"&amp;'FEMA Disasters'!$A$2:$A$1000,""))</f>
        <v/>
      </c>
      <c r="H348" s="4" t="n">
        <f aca="false">COUNTIF(Events!$A$2:$A$397,$A348)</f>
        <v>0</v>
      </c>
      <c r="I348" s="6" t="str">
        <f aca="false" t="array" ref="I348:I348">_xlfn.TEXTJOIN(" | ",TRUE(),IF(Events!$A$2:$A$397=$A348,Events!$E$2:$E$397&amp;IF(Events!$G$2:$G$397="National",""," ["&amp;Events!$G$2:$G$397&amp;"]"),""))</f>
        <v/>
      </c>
    </row>
    <row r="349" customFormat="false" ht="15" hidden="false" customHeight="true" outlineLevel="0" collapsed="false">
      <c r="A349" s="3" t="n">
        <v>45639</v>
      </c>
      <c r="B349" s="4" t="n">
        <f aca="false">YEAR($A349)</f>
        <v>2024</v>
      </c>
      <c r="C349" s="4" t="n">
        <f aca="false">MONTH($A349)</f>
        <v>12</v>
      </c>
      <c r="D349" s="4" t="str">
        <f aca="false">TEXT($A349,"ddd")</f>
        <v>Fri</v>
      </c>
      <c r="E349" s="4" t="n">
        <f aca="false">IF(OR(AND(MONTH($A349)=10,DAY($A349)&gt;=15),MONTH($A349)=11,AND(MONTH($A349)=12,DAY($A349)&lt;=7)),1,0)</f>
        <v>0</v>
      </c>
      <c r="F349" s="4" t="n">
        <f aca="false">IF(MONTH($A349)&lt;=3,1,0)</f>
        <v>0</v>
      </c>
      <c r="G349" s="4" t="str">
        <f aca="false" t="array" ref="G349:G349">_xlfn.TEXTJOIN(" | ",TRUE(),IF('FEMA Disasters'!$F$2:$F$1000=$A349,'FEMA Disasters'!$D$2:$D$1000&amp;" begin: ["&amp;'FEMA Disasters'!$B$2:$B$1000&amp;"] "&amp;'FEMA Disasters'!$C$2:$C$1000&amp;"-"&amp;'FEMA Disasters'!$A$2:$A$1000,""),IF('FEMA Disasters'!$G$2:$G$1000=$A349,'FEMA Disasters'!$D$2:$D$1000&amp;" ended: ["&amp;'FEMA Disasters'!$B$2:$B$1000&amp;"] "&amp;'FEMA Disasters'!$C$2:$C$1000&amp;"-"&amp;'FEMA Disasters'!$A$2:$A$1000,""),IF('FEMA Disasters'!$K$2:$K$1000=$A349,"Disaster SEP opens: "&amp;'FEMA Disasters'!$D$2:$D$1000&amp;" ["&amp;'FEMA Disasters'!$B$2:$B$1000&amp;"] "&amp;'FEMA Disasters'!$C$2:$C$1000&amp;"-"&amp;'FEMA Disasters'!$A$2:$A$1000,""),IF('FEMA Disasters'!$L$2:$L$1000=$A349,"Disaster SEP ended: "&amp;'FEMA Disasters'!$D$2:$D$1000&amp;" ["&amp;'FEMA Disasters'!$B$2:$B$1000&amp;"] "&amp;'FEMA Disasters'!$C$2:$C$1000&amp;"-"&amp;'FEMA Disasters'!$A$2:$A$1000,""))</f>
        <v/>
      </c>
      <c r="H349" s="4" t="n">
        <f aca="false">COUNTIF(Events!$A$2:$A$397,$A349)</f>
        <v>0</v>
      </c>
      <c r="I349" s="6" t="str">
        <f aca="false" t="array" ref="I349:I349">_xlfn.TEXTJOIN(" | ",TRUE(),IF(Events!$A$2:$A$397=$A349,Events!$E$2:$E$397&amp;IF(Events!$G$2:$G$397="National",""," ["&amp;Events!$G$2:$G$397&amp;"]"),""))</f>
        <v/>
      </c>
    </row>
    <row r="350" customFormat="false" ht="15" hidden="false" customHeight="true" outlineLevel="0" collapsed="false">
      <c r="A350" s="3" t="n">
        <v>45640</v>
      </c>
      <c r="B350" s="4" t="n">
        <f aca="false">YEAR($A350)</f>
        <v>2024</v>
      </c>
      <c r="C350" s="4" t="n">
        <f aca="false">MONTH($A350)</f>
        <v>12</v>
      </c>
      <c r="D350" s="4" t="str">
        <f aca="false">TEXT($A350,"ddd")</f>
        <v>Sat</v>
      </c>
      <c r="E350" s="4" t="n">
        <f aca="false">IF(OR(AND(MONTH($A350)=10,DAY($A350)&gt;=15),MONTH($A350)=11,AND(MONTH($A350)=12,DAY($A350)&lt;=7)),1,0)</f>
        <v>0</v>
      </c>
      <c r="F350" s="4" t="n">
        <f aca="false">IF(MONTH($A350)&lt;=3,1,0)</f>
        <v>0</v>
      </c>
      <c r="G350" s="4" t="str">
        <f aca="false" t="array" ref="G350:G350">_xlfn.TEXTJOIN(" | ",TRUE(),IF('FEMA Disasters'!$F$2:$F$1000=$A350,'FEMA Disasters'!$D$2:$D$1000&amp;" begin: ["&amp;'FEMA Disasters'!$B$2:$B$1000&amp;"] "&amp;'FEMA Disasters'!$C$2:$C$1000&amp;"-"&amp;'FEMA Disasters'!$A$2:$A$1000,""),IF('FEMA Disasters'!$G$2:$G$1000=$A350,'FEMA Disasters'!$D$2:$D$1000&amp;" ended: ["&amp;'FEMA Disasters'!$B$2:$B$1000&amp;"] "&amp;'FEMA Disasters'!$C$2:$C$1000&amp;"-"&amp;'FEMA Disasters'!$A$2:$A$1000,""),IF('FEMA Disasters'!$K$2:$K$1000=$A350,"Disaster SEP opens: "&amp;'FEMA Disasters'!$D$2:$D$1000&amp;" ["&amp;'FEMA Disasters'!$B$2:$B$1000&amp;"] "&amp;'FEMA Disasters'!$C$2:$C$1000&amp;"-"&amp;'FEMA Disasters'!$A$2:$A$1000,""),IF('FEMA Disasters'!$L$2:$L$1000=$A350,"Disaster SEP ended: "&amp;'FEMA Disasters'!$D$2:$D$1000&amp;" ["&amp;'FEMA Disasters'!$B$2:$B$1000&amp;"] "&amp;'FEMA Disasters'!$C$2:$C$1000&amp;"-"&amp;'FEMA Disasters'!$A$2:$A$1000,""))</f>
        <v/>
      </c>
      <c r="H350" s="4" t="n">
        <f aca="false">COUNTIF(Events!$A$2:$A$397,$A350)</f>
        <v>0</v>
      </c>
      <c r="I350" s="6" t="str">
        <f aca="false" t="array" ref="I350:I350">_xlfn.TEXTJOIN(" | ",TRUE(),IF(Events!$A$2:$A$397=$A350,Events!$E$2:$E$397&amp;IF(Events!$G$2:$G$397="National",""," ["&amp;Events!$G$2:$G$397&amp;"]"),""))</f>
        <v/>
      </c>
    </row>
    <row r="351" customFormat="false" ht="15" hidden="false" customHeight="true" outlineLevel="0" collapsed="false">
      <c r="A351" s="3" t="n">
        <v>45641</v>
      </c>
      <c r="B351" s="4" t="n">
        <f aca="false">YEAR($A351)</f>
        <v>2024</v>
      </c>
      <c r="C351" s="4" t="n">
        <f aca="false">MONTH($A351)</f>
        <v>12</v>
      </c>
      <c r="D351" s="4" t="str">
        <f aca="false">TEXT($A351,"ddd")</f>
        <v>Sun</v>
      </c>
      <c r="E351" s="4" t="n">
        <f aca="false">IF(OR(AND(MONTH($A351)=10,DAY($A351)&gt;=15),MONTH($A351)=11,AND(MONTH($A351)=12,DAY($A351)&lt;=7)),1,0)</f>
        <v>0</v>
      </c>
      <c r="F351" s="4" t="n">
        <f aca="false">IF(MONTH($A351)&lt;=3,1,0)</f>
        <v>0</v>
      </c>
      <c r="G351" s="4" t="str">
        <f aca="false" t="array" ref="G351:G351">_xlfn.TEXTJOIN(" | ",TRUE(),IF('FEMA Disasters'!$F$2:$F$1000=$A351,'FEMA Disasters'!$D$2:$D$1000&amp;" begin: ["&amp;'FEMA Disasters'!$B$2:$B$1000&amp;"] "&amp;'FEMA Disasters'!$C$2:$C$1000&amp;"-"&amp;'FEMA Disasters'!$A$2:$A$1000,""),IF('FEMA Disasters'!$G$2:$G$1000=$A351,'FEMA Disasters'!$D$2:$D$1000&amp;" ended: ["&amp;'FEMA Disasters'!$B$2:$B$1000&amp;"] "&amp;'FEMA Disasters'!$C$2:$C$1000&amp;"-"&amp;'FEMA Disasters'!$A$2:$A$1000,""),IF('FEMA Disasters'!$K$2:$K$1000=$A351,"Disaster SEP opens: "&amp;'FEMA Disasters'!$D$2:$D$1000&amp;" ["&amp;'FEMA Disasters'!$B$2:$B$1000&amp;"] "&amp;'FEMA Disasters'!$C$2:$C$1000&amp;"-"&amp;'FEMA Disasters'!$A$2:$A$1000,""),IF('FEMA Disasters'!$L$2:$L$1000=$A351,"Disaster SEP ended: "&amp;'FEMA Disasters'!$D$2:$D$1000&amp;" ["&amp;'FEMA Disasters'!$B$2:$B$1000&amp;"] "&amp;'FEMA Disasters'!$C$2:$C$1000&amp;"-"&amp;'FEMA Disasters'!$A$2:$A$1000,""))</f>
        <v/>
      </c>
      <c r="H351" s="4" t="n">
        <f aca="false">COUNTIF(Events!$A$2:$A$397,$A351)</f>
        <v>0</v>
      </c>
      <c r="I351" s="6" t="str">
        <f aca="false" t="array" ref="I351:I351">_xlfn.TEXTJOIN(" | ",TRUE(),IF(Events!$A$2:$A$397=$A351,Events!$E$2:$E$397&amp;IF(Events!$G$2:$G$397="National",""," ["&amp;Events!$G$2:$G$397&amp;"]"),""))</f>
        <v/>
      </c>
    </row>
    <row r="352" customFormat="false" ht="15" hidden="false" customHeight="true" outlineLevel="0" collapsed="false">
      <c r="A352" s="3" t="n">
        <v>45642</v>
      </c>
      <c r="B352" s="4" t="n">
        <f aca="false">YEAR($A352)</f>
        <v>2024</v>
      </c>
      <c r="C352" s="4" t="n">
        <f aca="false">MONTH($A352)</f>
        <v>12</v>
      </c>
      <c r="D352" s="4" t="str">
        <f aca="false">TEXT($A352,"ddd")</f>
        <v>Mon</v>
      </c>
      <c r="E352" s="4" t="n">
        <f aca="false">IF(OR(AND(MONTH($A352)=10,DAY($A352)&gt;=15),MONTH($A352)=11,AND(MONTH($A352)=12,DAY($A352)&lt;=7)),1,0)</f>
        <v>0</v>
      </c>
      <c r="F352" s="4" t="n">
        <f aca="false">IF(MONTH($A352)&lt;=3,1,0)</f>
        <v>0</v>
      </c>
      <c r="G352" s="4" t="str">
        <f aca="false" t="array" ref="G352:G352">_xlfn.TEXTJOIN(" | ",TRUE(),IF('FEMA Disasters'!$F$2:$F$1000=$A352,'FEMA Disasters'!$D$2:$D$1000&amp;" begin: ["&amp;'FEMA Disasters'!$B$2:$B$1000&amp;"] "&amp;'FEMA Disasters'!$C$2:$C$1000&amp;"-"&amp;'FEMA Disasters'!$A$2:$A$1000,""),IF('FEMA Disasters'!$G$2:$G$1000=$A352,'FEMA Disasters'!$D$2:$D$1000&amp;" ended: ["&amp;'FEMA Disasters'!$B$2:$B$1000&amp;"] "&amp;'FEMA Disasters'!$C$2:$C$1000&amp;"-"&amp;'FEMA Disasters'!$A$2:$A$1000,""),IF('FEMA Disasters'!$K$2:$K$1000=$A352,"Disaster SEP opens: "&amp;'FEMA Disasters'!$D$2:$D$1000&amp;" ["&amp;'FEMA Disasters'!$B$2:$B$1000&amp;"] "&amp;'FEMA Disasters'!$C$2:$C$1000&amp;"-"&amp;'FEMA Disasters'!$A$2:$A$1000,""),IF('FEMA Disasters'!$L$2:$L$1000=$A352,"Disaster SEP ended: "&amp;'FEMA Disasters'!$D$2:$D$1000&amp;" ["&amp;'FEMA Disasters'!$B$2:$B$1000&amp;"] "&amp;'FEMA Disasters'!$C$2:$C$1000&amp;"-"&amp;'FEMA Disasters'!$A$2:$A$1000,""))</f>
        <v/>
      </c>
      <c r="H352" s="4" t="n">
        <f aca="false">COUNTIF(Events!$A$2:$A$397,$A352)</f>
        <v>0</v>
      </c>
      <c r="I352" s="6" t="str">
        <f aca="false" t="array" ref="I352:I352">_xlfn.TEXTJOIN(" | ",TRUE(),IF(Events!$A$2:$A$397=$A352,Events!$E$2:$E$397&amp;IF(Events!$G$2:$G$397="National",""," ["&amp;Events!$G$2:$G$397&amp;"]"),""))</f>
        <v/>
      </c>
    </row>
    <row r="353" customFormat="false" ht="15" hidden="false" customHeight="true" outlineLevel="0" collapsed="false">
      <c r="A353" s="3" t="n">
        <v>45643</v>
      </c>
      <c r="B353" s="4" t="n">
        <f aca="false">YEAR($A353)</f>
        <v>2024</v>
      </c>
      <c r="C353" s="4" t="n">
        <f aca="false">MONTH($A353)</f>
        <v>12</v>
      </c>
      <c r="D353" s="4" t="str">
        <f aca="false">TEXT($A353,"ddd")</f>
        <v>Tue</v>
      </c>
      <c r="E353" s="4" t="n">
        <f aca="false">IF(OR(AND(MONTH($A353)=10,DAY($A353)&gt;=15),MONTH($A353)=11,AND(MONTH($A353)=12,DAY($A353)&lt;=7)),1,0)</f>
        <v>0</v>
      </c>
      <c r="F353" s="4" t="n">
        <f aca="false">IF(MONTH($A353)&lt;=3,1,0)</f>
        <v>0</v>
      </c>
      <c r="G353" s="4" t="str">
        <f aca="false" t="array" ref="G353:G353">_xlfn.TEXTJOIN(" | ",TRUE(),IF('FEMA Disasters'!$F$2:$F$1000=$A353,'FEMA Disasters'!$D$2:$D$1000&amp;" begin: ["&amp;'FEMA Disasters'!$B$2:$B$1000&amp;"] "&amp;'FEMA Disasters'!$C$2:$C$1000&amp;"-"&amp;'FEMA Disasters'!$A$2:$A$1000,""),IF('FEMA Disasters'!$G$2:$G$1000=$A353,'FEMA Disasters'!$D$2:$D$1000&amp;" ended: ["&amp;'FEMA Disasters'!$B$2:$B$1000&amp;"] "&amp;'FEMA Disasters'!$C$2:$C$1000&amp;"-"&amp;'FEMA Disasters'!$A$2:$A$1000,""),IF('FEMA Disasters'!$K$2:$K$1000=$A353,"Disaster SEP opens: "&amp;'FEMA Disasters'!$D$2:$D$1000&amp;" ["&amp;'FEMA Disasters'!$B$2:$B$1000&amp;"] "&amp;'FEMA Disasters'!$C$2:$C$1000&amp;"-"&amp;'FEMA Disasters'!$A$2:$A$1000,""),IF('FEMA Disasters'!$L$2:$L$1000=$A353,"Disaster SEP ended: "&amp;'FEMA Disasters'!$D$2:$D$1000&amp;" ["&amp;'FEMA Disasters'!$B$2:$B$1000&amp;"] "&amp;'FEMA Disasters'!$C$2:$C$1000&amp;"-"&amp;'FEMA Disasters'!$A$2:$A$1000,""))</f>
        <v/>
      </c>
      <c r="H353" s="4" t="n">
        <f aca="false">COUNTIF(Events!$A$2:$A$397,$A353)</f>
        <v>0</v>
      </c>
      <c r="I353" s="6" t="str">
        <f aca="false" t="array" ref="I353:I353">_xlfn.TEXTJOIN(" | ",TRUE(),IF(Events!$A$2:$A$397=$A353,Events!$E$2:$E$397&amp;IF(Events!$G$2:$G$397="National",""," ["&amp;Events!$G$2:$G$397&amp;"]"),""))</f>
        <v/>
      </c>
    </row>
    <row r="354" customFormat="false" ht="15" hidden="false" customHeight="true" outlineLevel="0" collapsed="false">
      <c r="A354" s="3" t="n">
        <v>45644</v>
      </c>
      <c r="B354" s="4" t="n">
        <f aca="false">YEAR($A354)</f>
        <v>2024</v>
      </c>
      <c r="C354" s="4" t="n">
        <f aca="false">MONTH($A354)</f>
        <v>12</v>
      </c>
      <c r="D354" s="4" t="str">
        <f aca="false">TEXT($A354,"ddd")</f>
        <v>Wed</v>
      </c>
      <c r="E354" s="4" t="n">
        <f aca="false">IF(OR(AND(MONTH($A354)=10,DAY($A354)&gt;=15),MONTH($A354)=11,AND(MONTH($A354)=12,DAY($A354)&lt;=7)),1,0)</f>
        <v>0</v>
      </c>
      <c r="F354" s="4" t="n">
        <f aca="false">IF(MONTH($A354)&lt;=3,1,0)</f>
        <v>0</v>
      </c>
      <c r="G354" s="4" t="str">
        <f aca="false" t="array" ref="G354:G354">_xlfn.TEXTJOIN(" | ",TRUE(),IF('FEMA Disasters'!$F$2:$F$1000=$A354,'FEMA Disasters'!$D$2:$D$1000&amp;" begin: ["&amp;'FEMA Disasters'!$B$2:$B$1000&amp;"] "&amp;'FEMA Disasters'!$C$2:$C$1000&amp;"-"&amp;'FEMA Disasters'!$A$2:$A$1000,""),IF('FEMA Disasters'!$G$2:$G$1000=$A354,'FEMA Disasters'!$D$2:$D$1000&amp;" ended: ["&amp;'FEMA Disasters'!$B$2:$B$1000&amp;"] "&amp;'FEMA Disasters'!$C$2:$C$1000&amp;"-"&amp;'FEMA Disasters'!$A$2:$A$1000,""),IF('FEMA Disasters'!$K$2:$K$1000=$A354,"Disaster SEP opens: "&amp;'FEMA Disasters'!$D$2:$D$1000&amp;" ["&amp;'FEMA Disasters'!$B$2:$B$1000&amp;"] "&amp;'FEMA Disasters'!$C$2:$C$1000&amp;"-"&amp;'FEMA Disasters'!$A$2:$A$1000,""),IF('FEMA Disasters'!$L$2:$L$1000=$A354,"Disaster SEP ended: "&amp;'FEMA Disasters'!$D$2:$D$1000&amp;" ["&amp;'FEMA Disasters'!$B$2:$B$1000&amp;"] "&amp;'FEMA Disasters'!$C$2:$C$1000&amp;"-"&amp;'FEMA Disasters'!$A$2:$A$1000,""))</f>
        <v>Tropical Storm ended: [NC] EM-3617 | Tropical Storm ended: [NC] DR-4827 | Fire ended: [CA] FM-5548</v>
      </c>
      <c r="H354" s="4" t="n">
        <f aca="false">COUNTIF(Events!$A$2:$A$397,$A354)</f>
        <v>0</v>
      </c>
      <c r="I354" s="6" t="str">
        <f aca="false" t="array" ref="I354:I354">_xlfn.TEXTJOIN(" | ",TRUE(),IF(Events!$A$2:$A$397=$A354,Events!$E$2:$E$397&amp;IF(Events!$G$2:$G$397="National",""," ["&amp;Events!$G$2:$G$397&amp;"]"),""))</f>
        <v/>
      </c>
    </row>
    <row r="355" customFormat="false" ht="15" hidden="false" customHeight="true" outlineLevel="0" collapsed="false">
      <c r="A355" s="3" t="n">
        <v>45645</v>
      </c>
      <c r="B355" s="4" t="n">
        <f aca="false">YEAR($A355)</f>
        <v>2024</v>
      </c>
      <c r="C355" s="4" t="n">
        <f aca="false">MONTH($A355)</f>
        <v>12</v>
      </c>
      <c r="D355" s="4" t="str">
        <f aca="false">TEXT($A355,"ddd")</f>
        <v>Thu</v>
      </c>
      <c r="E355" s="4" t="n">
        <f aca="false">IF(OR(AND(MONTH($A355)=10,DAY($A355)&gt;=15),MONTH($A355)=11,AND(MONTH($A355)=12,DAY($A355)&lt;=7)),1,0)</f>
        <v>0</v>
      </c>
      <c r="F355" s="4" t="n">
        <f aca="false">IF(MONTH($A355)&lt;=3,1,0)</f>
        <v>0</v>
      </c>
      <c r="G355" s="4" t="str">
        <f aca="false" t="array" ref="G355:G355">_xlfn.TEXTJOIN(" | ",TRUE(),IF('FEMA Disasters'!$F$2:$F$1000=$A355,'FEMA Disasters'!$D$2:$D$1000&amp;" begin: ["&amp;'FEMA Disasters'!$B$2:$B$1000&amp;"] "&amp;'FEMA Disasters'!$C$2:$C$1000&amp;"-"&amp;'FEMA Disasters'!$A$2:$A$1000,""),IF('FEMA Disasters'!$G$2:$G$1000=$A355,'FEMA Disasters'!$D$2:$D$1000&amp;" ended: ["&amp;'FEMA Disasters'!$B$2:$B$1000&amp;"] "&amp;'FEMA Disasters'!$C$2:$C$1000&amp;"-"&amp;'FEMA Disasters'!$A$2:$A$1000,""),IF('FEMA Disasters'!$K$2:$K$1000=$A355,"Disaster SEP opens: "&amp;'FEMA Disasters'!$D$2:$D$1000&amp;" ["&amp;'FEMA Disasters'!$B$2:$B$1000&amp;"] "&amp;'FEMA Disasters'!$C$2:$C$1000&amp;"-"&amp;'FEMA Disasters'!$A$2:$A$1000,""),IF('FEMA Disasters'!$L$2:$L$1000=$A355,"Disaster SEP ended: "&amp;'FEMA Disasters'!$D$2:$D$1000&amp;" ["&amp;'FEMA Disasters'!$B$2:$B$1000&amp;"] "&amp;'FEMA Disasters'!$C$2:$C$1000&amp;"-"&amp;'FEMA Disasters'!$A$2:$A$1000,""))</f>
        <v/>
      </c>
      <c r="H355" s="4" t="n">
        <f aca="false">COUNTIF(Events!$A$2:$A$397,$A355)</f>
        <v>0</v>
      </c>
      <c r="I355" s="6" t="str">
        <f aca="false" t="array" ref="I355:I355">_xlfn.TEXTJOIN(" | ",TRUE(),IF(Events!$A$2:$A$397=$A355,Events!$E$2:$E$397&amp;IF(Events!$G$2:$G$397="National",""," ["&amp;Events!$G$2:$G$397&amp;"]"),""))</f>
        <v/>
      </c>
    </row>
    <row r="356" customFormat="false" ht="15" hidden="false" customHeight="true" outlineLevel="0" collapsed="false">
      <c r="A356" s="3" t="n">
        <v>45646</v>
      </c>
      <c r="B356" s="4" t="n">
        <f aca="false">YEAR($A356)</f>
        <v>2024</v>
      </c>
      <c r="C356" s="4" t="n">
        <f aca="false">MONTH($A356)</f>
        <v>12</v>
      </c>
      <c r="D356" s="4" t="str">
        <f aca="false">TEXT($A356,"ddd")</f>
        <v>Fri</v>
      </c>
      <c r="E356" s="4" t="n">
        <f aca="false">IF(OR(AND(MONTH($A356)=10,DAY($A356)&gt;=15),MONTH($A356)=11,AND(MONTH($A356)=12,DAY($A356)&lt;=7)),1,0)</f>
        <v>0</v>
      </c>
      <c r="F356" s="4" t="n">
        <f aca="false">IF(MONTH($A356)&lt;=3,1,0)</f>
        <v>0</v>
      </c>
      <c r="G356" s="4" t="str">
        <f aca="false" t="array" ref="G356:G356">_xlfn.TEXTJOIN(" | ",TRUE(),IF('FEMA Disasters'!$F$2:$F$1000=$A356,'FEMA Disasters'!$D$2:$D$1000&amp;" begin: ["&amp;'FEMA Disasters'!$B$2:$B$1000&amp;"] "&amp;'FEMA Disasters'!$C$2:$C$1000&amp;"-"&amp;'FEMA Disasters'!$A$2:$A$1000,""),IF('FEMA Disasters'!$G$2:$G$1000=$A356,'FEMA Disasters'!$D$2:$D$1000&amp;" ended: ["&amp;'FEMA Disasters'!$B$2:$B$1000&amp;"] "&amp;'FEMA Disasters'!$C$2:$C$1000&amp;"-"&amp;'FEMA Disasters'!$A$2:$A$1000,""),IF('FEMA Disasters'!$K$2:$K$1000=$A356,"Disaster SEP opens: "&amp;'FEMA Disasters'!$D$2:$D$1000&amp;" ["&amp;'FEMA Disasters'!$B$2:$B$1000&amp;"] "&amp;'FEMA Disasters'!$C$2:$C$1000&amp;"-"&amp;'FEMA Disasters'!$A$2:$A$1000,""),IF('FEMA Disasters'!$L$2:$L$1000=$A356,"Disaster SEP ended: "&amp;'FEMA Disasters'!$D$2:$D$1000&amp;" ["&amp;'FEMA Disasters'!$B$2:$B$1000&amp;"] "&amp;'FEMA Disasters'!$C$2:$C$1000&amp;"-"&amp;'FEMA Disasters'!$A$2:$A$1000,""))</f>
        <v/>
      </c>
      <c r="H356" s="4" t="n">
        <f aca="false">COUNTIF(Events!$A$2:$A$397,$A356)</f>
        <v>0</v>
      </c>
      <c r="I356" s="6" t="str">
        <f aca="false" t="array" ref="I356:I356">_xlfn.TEXTJOIN(" | ",TRUE(),IF(Events!$A$2:$A$397=$A356,Events!$E$2:$E$397&amp;IF(Events!$G$2:$G$397="National",""," ["&amp;Events!$G$2:$G$397&amp;"]"),""))</f>
        <v/>
      </c>
    </row>
    <row r="357" customFormat="false" ht="15" hidden="false" customHeight="true" outlineLevel="0" collapsed="false">
      <c r="A357" s="3" t="n">
        <v>45647</v>
      </c>
      <c r="B357" s="4" t="n">
        <f aca="false">YEAR($A357)</f>
        <v>2024</v>
      </c>
      <c r="C357" s="4" t="n">
        <f aca="false">MONTH($A357)</f>
        <v>12</v>
      </c>
      <c r="D357" s="4" t="str">
        <f aca="false">TEXT($A357,"ddd")</f>
        <v>Sat</v>
      </c>
      <c r="E357" s="4" t="n">
        <f aca="false">IF(OR(AND(MONTH($A357)=10,DAY($A357)&gt;=15),MONTH($A357)=11,AND(MONTH($A357)=12,DAY($A357)&lt;=7)),1,0)</f>
        <v>0</v>
      </c>
      <c r="F357" s="4" t="n">
        <f aca="false">IF(MONTH($A357)&lt;=3,1,0)</f>
        <v>0</v>
      </c>
      <c r="G357" s="4" t="str">
        <f aca="false" t="array" ref="G357:G357">_xlfn.TEXTJOIN(" | ",TRUE(),IF('FEMA Disasters'!$F$2:$F$1000=$A357,'FEMA Disasters'!$D$2:$D$1000&amp;" begin: ["&amp;'FEMA Disasters'!$B$2:$B$1000&amp;"] "&amp;'FEMA Disasters'!$C$2:$C$1000&amp;"-"&amp;'FEMA Disasters'!$A$2:$A$1000,""),IF('FEMA Disasters'!$G$2:$G$1000=$A357,'FEMA Disasters'!$D$2:$D$1000&amp;" ended: ["&amp;'FEMA Disasters'!$B$2:$B$1000&amp;"] "&amp;'FEMA Disasters'!$C$2:$C$1000&amp;"-"&amp;'FEMA Disasters'!$A$2:$A$1000,""),IF('FEMA Disasters'!$K$2:$K$1000=$A357,"Disaster SEP opens: "&amp;'FEMA Disasters'!$D$2:$D$1000&amp;" ["&amp;'FEMA Disasters'!$B$2:$B$1000&amp;"] "&amp;'FEMA Disasters'!$C$2:$C$1000&amp;"-"&amp;'FEMA Disasters'!$A$2:$A$1000,""),IF('FEMA Disasters'!$L$2:$L$1000=$A357,"Disaster SEP ended: "&amp;'FEMA Disasters'!$D$2:$D$1000&amp;" ["&amp;'FEMA Disasters'!$B$2:$B$1000&amp;"] "&amp;'FEMA Disasters'!$C$2:$C$1000&amp;"-"&amp;'FEMA Disasters'!$A$2:$A$1000,""))</f>
        <v/>
      </c>
      <c r="H357" s="4" t="n">
        <f aca="false">COUNTIF(Events!$A$2:$A$397,$A357)</f>
        <v>0</v>
      </c>
      <c r="I357" s="6" t="str">
        <f aca="false" t="array" ref="I357:I357">_xlfn.TEXTJOIN(" | ",TRUE(),IF(Events!$A$2:$A$397=$A357,Events!$E$2:$E$397&amp;IF(Events!$G$2:$G$397="National",""," ["&amp;Events!$G$2:$G$397&amp;"]"),""))</f>
        <v/>
      </c>
    </row>
    <row r="358" customFormat="false" ht="15" hidden="false" customHeight="true" outlineLevel="0" collapsed="false">
      <c r="A358" s="3" t="n">
        <v>45648</v>
      </c>
      <c r="B358" s="4" t="n">
        <f aca="false">YEAR($A358)</f>
        <v>2024</v>
      </c>
      <c r="C358" s="4" t="n">
        <f aca="false">MONTH($A358)</f>
        <v>12</v>
      </c>
      <c r="D358" s="4" t="str">
        <f aca="false">TEXT($A358,"ddd")</f>
        <v>Sun</v>
      </c>
      <c r="E358" s="4" t="n">
        <f aca="false">IF(OR(AND(MONTH($A358)=10,DAY($A358)&gt;=15),MONTH($A358)=11,AND(MONTH($A358)=12,DAY($A358)&lt;=7)),1,0)</f>
        <v>0</v>
      </c>
      <c r="F358" s="4" t="n">
        <f aca="false">IF(MONTH($A358)&lt;=3,1,0)</f>
        <v>0</v>
      </c>
      <c r="G358" s="4" t="str">
        <f aca="false" t="array" ref="G358:G358">_xlfn.TEXTJOIN(" | ",TRUE(),IF('FEMA Disasters'!$F$2:$F$1000=$A358,'FEMA Disasters'!$D$2:$D$1000&amp;" begin: ["&amp;'FEMA Disasters'!$B$2:$B$1000&amp;"] "&amp;'FEMA Disasters'!$C$2:$C$1000&amp;"-"&amp;'FEMA Disasters'!$A$2:$A$1000,""),IF('FEMA Disasters'!$G$2:$G$1000=$A358,'FEMA Disasters'!$D$2:$D$1000&amp;" ended: ["&amp;'FEMA Disasters'!$B$2:$B$1000&amp;"] "&amp;'FEMA Disasters'!$C$2:$C$1000&amp;"-"&amp;'FEMA Disasters'!$A$2:$A$1000,""),IF('FEMA Disasters'!$K$2:$K$1000=$A358,"Disaster SEP opens: "&amp;'FEMA Disasters'!$D$2:$D$1000&amp;" ["&amp;'FEMA Disasters'!$B$2:$B$1000&amp;"] "&amp;'FEMA Disasters'!$C$2:$C$1000&amp;"-"&amp;'FEMA Disasters'!$A$2:$A$1000,""),IF('FEMA Disasters'!$L$2:$L$1000=$A358,"Disaster SEP ended: "&amp;'FEMA Disasters'!$D$2:$D$1000&amp;" ["&amp;'FEMA Disasters'!$B$2:$B$1000&amp;"] "&amp;'FEMA Disasters'!$C$2:$C$1000&amp;"-"&amp;'FEMA Disasters'!$A$2:$A$1000,""))</f>
        <v/>
      </c>
      <c r="H358" s="4" t="n">
        <f aca="false">COUNTIF(Events!$A$2:$A$397,$A358)</f>
        <v>0</v>
      </c>
      <c r="I358" s="6" t="str">
        <f aca="false" t="array" ref="I358:I358">_xlfn.TEXTJOIN(" | ",TRUE(),IF(Events!$A$2:$A$397=$A358,Events!$E$2:$E$397&amp;IF(Events!$G$2:$G$397="National",""," ["&amp;Events!$G$2:$G$397&amp;"]"),""))</f>
        <v/>
      </c>
    </row>
    <row r="359" customFormat="false" ht="15" hidden="false" customHeight="true" outlineLevel="0" collapsed="false">
      <c r="A359" s="3" t="n">
        <v>45649</v>
      </c>
      <c r="B359" s="4" t="n">
        <f aca="false">YEAR($A359)</f>
        <v>2024</v>
      </c>
      <c r="C359" s="4" t="n">
        <f aca="false">MONTH($A359)</f>
        <v>12</v>
      </c>
      <c r="D359" s="4" t="str">
        <f aca="false">TEXT($A359,"ddd")</f>
        <v>Mon</v>
      </c>
      <c r="E359" s="4" t="n">
        <f aca="false">IF(OR(AND(MONTH($A359)=10,DAY($A359)&gt;=15),MONTH($A359)=11,AND(MONTH($A359)=12,DAY($A359)&lt;=7)),1,0)</f>
        <v>0</v>
      </c>
      <c r="F359" s="4" t="n">
        <f aca="false">IF(MONTH($A359)&lt;=3,1,0)</f>
        <v>0</v>
      </c>
      <c r="G359" s="4" t="str">
        <f aca="false" t="array" ref="G359:G359">_xlfn.TEXTJOIN(" | ",TRUE(),IF('FEMA Disasters'!$F$2:$F$1000=$A359,'FEMA Disasters'!$D$2:$D$1000&amp;" begin: ["&amp;'FEMA Disasters'!$B$2:$B$1000&amp;"] "&amp;'FEMA Disasters'!$C$2:$C$1000&amp;"-"&amp;'FEMA Disasters'!$A$2:$A$1000,""),IF('FEMA Disasters'!$G$2:$G$1000=$A359,'FEMA Disasters'!$D$2:$D$1000&amp;" ended: ["&amp;'FEMA Disasters'!$B$2:$B$1000&amp;"] "&amp;'FEMA Disasters'!$C$2:$C$1000&amp;"-"&amp;'FEMA Disasters'!$A$2:$A$1000,""),IF('FEMA Disasters'!$K$2:$K$1000=$A359,"Disaster SEP opens: "&amp;'FEMA Disasters'!$D$2:$D$1000&amp;" ["&amp;'FEMA Disasters'!$B$2:$B$1000&amp;"] "&amp;'FEMA Disasters'!$C$2:$C$1000&amp;"-"&amp;'FEMA Disasters'!$A$2:$A$1000,""),IF('FEMA Disasters'!$L$2:$L$1000=$A359,"Disaster SEP ended: "&amp;'FEMA Disasters'!$D$2:$D$1000&amp;" ["&amp;'FEMA Disasters'!$B$2:$B$1000&amp;"] "&amp;'FEMA Disasters'!$C$2:$C$1000&amp;"-"&amp;'FEMA Disasters'!$A$2:$A$1000,""))</f>
        <v/>
      </c>
      <c r="H359" s="4" t="n">
        <f aca="false">COUNTIF(Events!$A$2:$A$397,$A359)</f>
        <v>0</v>
      </c>
      <c r="I359" s="6" t="str">
        <f aca="false" t="array" ref="I359:I359">_xlfn.TEXTJOIN(" | ",TRUE(),IF(Events!$A$2:$A$397=$A359,Events!$E$2:$E$397&amp;IF(Events!$G$2:$G$397="National",""," ["&amp;Events!$G$2:$G$397&amp;"]"),""))</f>
        <v/>
      </c>
    </row>
    <row r="360" customFormat="false" ht="15" hidden="false" customHeight="true" outlineLevel="0" collapsed="false">
      <c r="A360" s="3" t="n">
        <v>45650</v>
      </c>
      <c r="B360" s="4" t="n">
        <f aca="false">YEAR($A360)</f>
        <v>2024</v>
      </c>
      <c r="C360" s="4" t="n">
        <f aca="false">MONTH($A360)</f>
        <v>12</v>
      </c>
      <c r="D360" s="4" t="str">
        <f aca="false">TEXT($A360,"ddd")</f>
        <v>Tue</v>
      </c>
      <c r="E360" s="4" t="n">
        <f aca="false">IF(OR(AND(MONTH($A360)=10,DAY($A360)&gt;=15),MONTH($A360)=11,AND(MONTH($A360)=12,DAY($A360)&lt;=7)),1,0)</f>
        <v>0</v>
      </c>
      <c r="F360" s="4" t="n">
        <f aca="false">IF(MONTH($A360)&lt;=3,1,0)</f>
        <v>0</v>
      </c>
      <c r="G360" s="4" t="str">
        <f aca="false" t="array" ref="G360:G360">_xlfn.TEXTJOIN(" | ",TRUE(),IF('FEMA Disasters'!$F$2:$F$1000=$A360,'FEMA Disasters'!$D$2:$D$1000&amp;" begin: ["&amp;'FEMA Disasters'!$B$2:$B$1000&amp;"] "&amp;'FEMA Disasters'!$C$2:$C$1000&amp;"-"&amp;'FEMA Disasters'!$A$2:$A$1000,""),IF('FEMA Disasters'!$G$2:$G$1000=$A360,'FEMA Disasters'!$D$2:$D$1000&amp;" ended: ["&amp;'FEMA Disasters'!$B$2:$B$1000&amp;"] "&amp;'FEMA Disasters'!$C$2:$C$1000&amp;"-"&amp;'FEMA Disasters'!$A$2:$A$1000,""),IF('FEMA Disasters'!$K$2:$K$1000=$A360,"Disaster SEP opens: "&amp;'FEMA Disasters'!$D$2:$D$1000&amp;" ["&amp;'FEMA Disasters'!$B$2:$B$1000&amp;"] "&amp;'FEMA Disasters'!$C$2:$C$1000&amp;"-"&amp;'FEMA Disasters'!$A$2:$A$1000,""),IF('FEMA Disasters'!$L$2:$L$1000=$A360,"Disaster SEP ended: "&amp;'FEMA Disasters'!$D$2:$D$1000&amp;" ["&amp;'FEMA Disasters'!$B$2:$B$1000&amp;"] "&amp;'FEMA Disasters'!$C$2:$C$1000&amp;"-"&amp;'FEMA Disasters'!$A$2:$A$1000,""))</f>
        <v/>
      </c>
      <c r="H360" s="4" t="n">
        <f aca="false">COUNTIF(Events!$A$2:$A$397,$A360)</f>
        <v>0</v>
      </c>
      <c r="I360" s="6" t="str">
        <f aca="false" t="array" ref="I360:I360">_xlfn.TEXTJOIN(" | ",TRUE(),IF(Events!$A$2:$A$397=$A360,Events!$E$2:$E$397&amp;IF(Events!$G$2:$G$397="National",""," ["&amp;Events!$G$2:$G$397&amp;"]"),""))</f>
        <v/>
      </c>
    </row>
    <row r="361" customFormat="false" ht="15" hidden="false" customHeight="true" outlineLevel="0" collapsed="false">
      <c r="A361" s="3" t="n">
        <v>45651</v>
      </c>
      <c r="B361" s="4" t="n">
        <f aca="false">YEAR($A361)</f>
        <v>2024</v>
      </c>
      <c r="C361" s="4" t="n">
        <f aca="false">MONTH($A361)</f>
        <v>12</v>
      </c>
      <c r="D361" s="4" t="str">
        <f aca="false">TEXT($A361,"ddd")</f>
        <v>Wed</v>
      </c>
      <c r="E361" s="4" t="n">
        <f aca="false">IF(OR(AND(MONTH($A361)=10,DAY($A361)&gt;=15),MONTH($A361)=11,AND(MONTH($A361)=12,DAY($A361)&lt;=7)),1,0)</f>
        <v>0</v>
      </c>
      <c r="F361" s="4" t="n">
        <f aca="false">IF(MONTH($A361)&lt;=3,1,0)</f>
        <v>0</v>
      </c>
      <c r="G361" s="4" t="str">
        <f aca="false" t="array" ref="G361:G361">_xlfn.TEXTJOIN(" | ",TRUE(),IF('FEMA Disasters'!$F$2:$F$1000=$A361,'FEMA Disasters'!$D$2:$D$1000&amp;" begin: ["&amp;'FEMA Disasters'!$B$2:$B$1000&amp;"] "&amp;'FEMA Disasters'!$C$2:$C$1000&amp;"-"&amp;'FEMA Disasters'!$A$2:$A$1000,""),IF('FEMA Disasters'!$G$2:$G$1000=$A361,'FEMA Disasters'!$D$2:$D$1000&amp;" ended: ["&amp;'FEMA Disasters'!$B$2:$B$1000&amp;"] "&amp;'FEMA Disasters'!$C$2:$C$1000&amp;"-"&amp;'FEMA Disasters'!$A$2:$A$1000,""),IF('FEMA Disasters'!$K$2:$K$1000=$A361,"Disaster SEP opens: "&amp;'FEMA Disasters'!$D$2:$D$1000&amp;" ["&amp;'FEMA Disasters'!$B$2:$B$1000&amp;"] "&amp;'FEMA Disasters'!$C$2:$C$1000&amp;"-"&amp;'FEMA Disasters'!$A$2:$A$1000,""),IF('FEMA Disasters'!$L$2:$L$1000=$A361,"Disaster SEP ended: "&amp;'FEMA Disasters'!$D$2:$D$1000&amp;" ["&amp;'FEMA Disasters'!$B$2:$B$1000&amp;"] "&amp;'FEMA Disasters'!$C$2:$C$1000&amp;"-"&amp;'FEMA Disasters'!$A$2:$A$1000,""))</f>
        <v/>
      </c>
      <c r="H361" s="4" t="n">
        <f aca="false">COUNTIF(Events!$A$2:$A$397,$A361)</f>
        <v>0</v>
      </c>
      <c r="I361" s="6" t="str">
        <f aca="false" t="array" ref="I361:I361">_xlfn.TEXTJOIN(" | ",TRUE(),IF(Events!$A$2:$A$397=$A361,Events!$E$2:$E$397&amp;IF(Events!$G$2:$G$397="National",""," ["&amp;Events!$G$2:$G$397&amp;"]"),""))</f>
        <v/>
      </c>
    </row>
    <row r="362" customFormat="false" ht="15" hidden="false" customHeight="true" outlineLevel="0" collapsed="false">
      <c r="A362" s="3" t="n">
        <v>45652</v>
      </c>
      <c r="B362" s="4" t="n">
        <f aca="false">YEAR($A362)</f>
        <v>2024</v>
      </c>
      <c r="C362" s="4" t="n">
        <f aca="false">MONTH($A362)</f>
        <v>12</v>
      </c>
      <c r="D362" s="4" t="str">
        <f aca="false">TEXT($A362,"ddd")</f>
        <v>Thu</v>
      </c>
      <c r="E362" s="4" t="n">
        <f aca="false">IF(OR(AND(MONTH($A362)=10,DAY($A362)&gt;=15),MONTH($A362)=11,AND(MONTH($A362)=12,DAY($A362)&lt;=7)),1,0)</f>
        <v>0</v>
      </c>
      <c r="F362" s="4" t="n">
        <f aca="false">IF(MONTH($A362)&lt;=3,1,0)</f>
        <v>0</v>
      </c>
      <c r="G362" s="4" t="str">
        <f aca="false" t="array" ref="G362:G362">_xlfn.TEXTJOIN(" | ",TRUE(),IF('FEMA Disasters'!$F$2:$F$1000=$A362,'FEMA Disasters'!$D$2:$D$1000&amp;" begin: ["&amp;'FEMA Disasters'!$B$2:$B$1000&amp;"] "&amp;'FEMA Disasters'!$C$2:$C$1000&amp;"-"&amp;'FEMA Disasters'!$A$2:$A$1000,""),IF('FEMA Disasters'!$G$2:$G$1000=$A362,'FEMA Disasters'!$D$2:$D$1000&amp;" ended: ["&amp;'FEMA Disasters'!$B$2:$B$1000&amp;"] "&amp;'FEMA Disasters'!$C$2:$C$1000&amp;"-"&amp;'FEMA Disasters'!$A$2:$A$1000,""),IF('FEMA Disasters'!$K$2:$K$1000=$A362,"Disaster SEP opens: "&amp;'FEMA Disasters'!$D$2:$D$1000&amp;" ["&amp;'FEMA Disasters'!$B$2:$B$1000&amp;"] "&amp;'FEMA Disasters'!$C$2:$C$1000&amp;"-"&amp;'FEMA Disasters'!$A$2:$A$1000,""),IF('FEMA Disasters'!$L$2:$L$1000=$A362,"Disaster SEP ended: "&amp;'FEMA Disasters'!$D$2:$D$1000&amp;" ["&amp;'FEMA Disasters'!$B$2:$B$1000&amp;"] "&amp;'FEMA Disasters'!$C$2:$C$1000&amp;"-"&amp;'FEMA Disasters'!$A$2:$A$1000,""))</f>
        <v/>
      </c>
      <c r="H362" s="4" t="n">
        <f aca="false">COUNTIF(Events!$A$2:$A$397,$A362)</f>
        <v>0</v>
      </c>
      <c r="I362" s="6" t="str">
        <f aca="false" t="array" ref="I362:I362">_xlfn.TEXTJOIN(" | ",TRUE(),IF(Events!$A$2:$A$397=$A362,Events!$E$2:$E$397&amp;IF(Events!$G$2:$G$397="National",""," ["&amp;Events!$G$2:$G$397&amp;"]"),""))</f>
        <v/>
      </c>
    </row>
    <row r="363" customFormat="false" ht="15" hidden="false" customHeight="true" outlineLevel="0" collapsed="false">
      <c r="A363" s="3" t="n">
        <v>45653</v>
      </c>
      <c r="B363" s="4" t="n">
        <f aca="false">YEAR($A363)</f>
        <v>2024</v>
      </c>
      <c r="C363" s="4" t="n">
        <f aca="false">MONTH($A363)</f>
        <v>12</v>
      </c>
      <c r="D363" s="4" t="str">
        <f aca="false">TEXT($A363,"ddd")</f>
        <v>Fri</v>
      </c>
      <c r="E363" s="4" t="n">
        <f aca="false">IF(OR(AND(MONTH($A363)=10,DAY($A363)&gt;=15),MONTH($A363)=11,AND(MONTH($A363)=12,DAY($A363)&lt;=7)),1,0)</f>
        <v>0</v>
      </c>
      <c r="F363" s="4" t="n">
        <f aca="false">IF(MONTH($A363)&lt;=3,1,0)</f>
        <v>0</v>
      </c>
      <c r="G363" s="4" t="str">
        <f aca="false" t="array" ref="G363:G363">_xlfn.TEXTJOIN(" | ",TRUE(),IF('FEMA Disasters'!$F$2:$F$1000=$A363,'FEMA Disasters'!$D$2:$D$1000&amp;" begin: ["&amp;'FEMA Disasters'!$B$2:$B$1000&amp;"] "&amp;'FEMA Disasters'!$C$2:$C$1000&amp;"-"&amp;'FEMA Disasters'!$A$2:$A$1000,""),IF('FEMA Disasters'!$G$2:$G$1000=$A363,'FEMA Disasters'!$D$2:$D$1000&amp;" ended: ["&amp;'FEMA Disasters'!$B$2:$B$1000&amp;"] "&amp;'FEMA Disasters'!$C$2:$C$1000&amp;"-"&amp;'FEMA Disasters'!$A$2:$A$1000,""),IF('FEMA Disasters'!$K$2:$K$1000=$A363,"Disaster SEP opens: "&amp;'FEMA Disasters'!$D$2:$D$1000&amp;" ["&amp;'FEMA Disasters'!$B$2:$B$1000&amp;"] "&amp;'FEMA Disasters'!$C$2:$C$1000&amp;"-"&amp;'FEMA Disasters'!$A$2:$A$1000,""),IF('FEMA Disasters'!$L$2:$L$1000=$A363,"Disaster SEP ended: "&amp;'FEMA Disasters'!$D$2:$D$1000&amp;" ["&amp;'FEMA Disasters'!$B$2:$B$1000&amp;"] "&amp;'FEMA Disasters'!$C$2:$C$1000&amp;"-"&amp;'FEMA Disasters'!$A$2:$A$1000,""))</f>
        <v/>
      </c>
      <c r="H363" s="4" t="n">
        <f aca="false">COUNTIF(Events!$A$2:$A$397,$A363)</f>
        <v>0</v>
      </c>
      <c r="I363" s="6" t="str">
        <f aca="false" t="array" ref="I363:I363">_xlfn.TEXTJOIN(" | ",TRUE(),IF(Events!$A$2:$A$397=$A363,Events!$E$2:$E$397&amp;IF(Events!$G$2:$G$397="National",""," ["&amp;Events!$G$2:$G$397&amp;"]"),""))</f>
        <v/>
      </c>
    </row>
    <row r="364" customFormat="false" ht="15" hidden="false" customHeight="true" outlineLevel="0" collapsed="false">
      <c r="A364" s="3" t="n">
        <v>45654</v>
      </c>
      <c r="B364" s="4" t="n">
        <f aca="false">YEAR($A364)</f>
        <v>2024</v>
      </c>
      <c r="C364" s="4" t="n">
        <f aca="false">MONTH($A364)</f>
        <v>12</v>
      </c>
      <c r="D364" s="4" t="str">
        <f aca="false">TEXT($A364,"ddd")</f>
        <v>Sat</v>
      </c>
      <c r="E364" s="4" t="n">
        <f aca="false">IF(OR(AND(MONTH($A364)=10,DAY($A364)&gt;=15),MONTH($A364)=11,AND(MONTH($A364)=12,DAY($A364)&lt;=7)),1,0)</f>
        <v>0</v>
      </c>
      <c r="F364" s="4" t="n">
        <f aca="false">IF(MONTH($A364)&lt;=3,1,0)</f>
        <v>0</v>
      </c>
      <c r="G364" s="4" t="str">
        <f aca="false" t="array" ref="G364:G364">_xlfn.TEXTJOIN(" | ",TRUE(),IF('FEMA Disasters'!$F$2:$F$1000=$A364,'FEMA Disasters'!$D$2:$D$1000&amp;" begin: ["&amp;'FEMA Disasters'!$B$2:$B$1000&amp;"] "&amp;'FEMA Disasters'!$C$2:$C$1000&amp;"-"&amp;'FEMA Disasters'!$A$2:$A$1000,""),IF('FEMA Disasters'!$G$2:$G$1000=$A364,'FEMA Disasters'!$D$2:$D$1000&amp;" ended: ["&amp;'FEMA Disasters'!$B$2:$B$1000&amp;"] "&amp;'FEMA Disasters'!$C$2:$C$1000&amp;"-"&amp;'FEMA Disasters'!$A$2:$A$1000,""),IF('FEMA Disasters'!$K$2:$K$1000=$A364,"Disaster SEP opens: "&amp;'FEMA Disasters'!$D$2:$D$1000&amp;" ["&amp;'FEMA Disasters'!$B$2:$B$1000&amp;"] "&amp;'FEMA Disasters'!$C$2:$C$1000&amp;"-"&amp;'FEMA Disasters'!$A$2:$A$1000,""),IF('FEMA Disasters'!$L$2:$L$1000=$A364,"Disaster SEP ended: "&amp;'FEMA Disasters'!$D$2:$D$1000&amp;" ["&amp;'FEMA Disasters'!$B$2:$B$1000&amp;"] "&amp;'FEMA Disasters'!$C$2:$C$1000&amp;"-"&amp;'FEMA Disasters'!$A$2:$A$1000,""))</f>
        <v/>
      </c>
      <c r="H364" s="4" t="n">
        <f aca="false">COUNTIF(Events!$A$2:$A$397,$A364)</f>
        <v>0</v>
      </c>
      <c r="I364" s="6" t="str">
        <f aca="false" t="array" ref="I364:I364">_xlfn.TEXTJOIN(" | ",TRUE(),IF(Events!$A$2:$A$397=$A364,Events!$E$2:$E$397&amp;IF(Events!$G$2:$G$397="National",""," ["&amp;Events!$G$2:$G$397&amp;"]"),""))</f>
        <v/>
      </c>
    </row>
    <row r="365" customFormat="false" ht="15" hidden="false" customHeight="true" outlineLevel="0" collapsed="false">
      <c r="A365" s="3" t="n">
        <v>45655</v>
      </c>
      <c r="B365" s="4" t="n">
        <f aca="false">YEAR($A365)</f>
        <v>2024</v>
      </c>
      <c r="C365" s="4" t="n">
        <f aca="false">MONTH($A365)</f>
        <v>12</v>
      </c>
      <c r="D365" s="4" t="str">
        <f aca="false">TEXT($A365,"ddd")</f>
        <v>Sun</v>
      </c>
      <c r="E365" s="4" t="n">
        <f aca="false">IF(OR(AND(MONTH($A365)=10,DAY($A365)&gt;=15),MONTH($A365)=11,AND(MONTH($A365)=12,DAY($A365)&lt;=7)),1,0)</f>
        <v>0</v>
      </c>
      <c r="F365" s="4" t="n">
        <f aca="false">IF(MONTH($A365)&lt;=3,1,0)</f>
        <v>0</v>
      </c>
      <c r="G365" s="4" t="str">
        <f aca="false" t="array" ref="G365:G365">_xlfn.TEXTJOIN(" | ",TRUE(),IF('FEMA Disasters'!$F$2:$F$1000=$A365,'FEMA Disasters'!$D$2:$D$1000&amp;" begin: ["&amp;'FEMA Disasters'!$B$2:$B$1000&amp;"] "&amp;'FEMA Disasters'!$C$2:$C$1000&amp;"-"&amp;'FEMA Disasters'!$A$2:$A$1000,""),IF('FEMA Disasters'!$G$2:$G$1000=$A365,'FEMA Disasters'!$D$2:$D$1000&amp;" ended: ["&amp;'FEMA Disasters'!$B$2:$B$1000&amp;"] "&amp;'FEMA Disasters'!$C$2:$C$1000&amp;"-"&amp;'FEMA Disasters'!$A$2:$A$1000,""),IF('FEMA Disasters'!$K$2:$K$1000=$A365,"Disaster SEP opens: "&amp;'FEMA Disasters'!$D$2:$D$1000&amp;" ["&amp;'FEMA Disasters'!$B$2:$B$1000&amp;"] "&amp;'FEMA Disasters'!$C$2:$C$1000&amp;"-"&amp;'FEMA Disasters'!$A$2:$A$1000,""),IF('FEMA Disasters'!$L$2:$L$1000=$A365,"Disaster SEP ended: "&amp;'FEMA Disasters'!$D$2:$D$1000&amp;" ["&amp;'FEMA Disasters'!$B$2:$B$1000&amp;"] "&amp;'FEMA Disasters'!$C$2:$C$1000&amp;"-"&amp;'FEMA Disasters'!$A$2:$A$1000,""))</f>
        <v/>
      </c>
      <c r="H365" s="4" t="n">
        <f aca="false">COUNTIF(Events!$A$2:$A$397,$A365)</f>
        <v>0</v>
      </c>
      <c r="I365" s="6" t="str">
        <f aca="false" t="array" ref="I365:I365">_xlfn.TEXTJOIN(" | ",TRUE(),IF(Events!$A$2:$A$397=$A365,Events!$E$2:$E$397&amp;IF(Events!$G$2:$G$397="National",""," ["&amp;Events!$G$2:$G$397&amp;"]"),""))</f>
        <v/>
      </c>
    </row>
    <row r="366" customFormat="false" ht="15" hidden="false" customHeight="true" outlineLevel="0" collapsed="false">
      <c r="A366" s="3" t="n">
        <v>45656</v>
      </c>
      <c r="B366" s="4" t="n">
        <f aca="false">YEAR($A366)</f>
        <v>2024</v>
      </c>
      <c r="C366" s="4" t="n">
        <f aca="false">MONTH($A366)</f>
        <v>12</v>
      </c>
      <c r="D366" s="4" t="str">
        <f aca="false">TEXT($A366,"ddd")</f>
        <v>Mon</v>
      </c>
      <c r="E366" s="4" t="n">
        <f aca="false">IF(OR(AND(MONTH($A366)=10,DAY($A366)&gt;=15),MONTH($A366)=11,AND(MONTH($A366)=12,DAY($A366)&lt;=7)),1,0)</f>
        <v>0</v>
      </c>
      <c r="F366" s="4" t="n">
        <f aca="false">IF(MONTH($A366)&lt;=3,1,0)</f>
        <v>0</v>
      </c>
      <c r="G366" s="4" t="str">
        <f aca="false" t="array" ref="G366:G366">_xlfn.TEXTJOIN(" | ",TRUE(),IF('FEMA Disasters'!$F$2:$F$1000=$A366,'FEMA Disasters'!$D$2:$D$1000&amp;" begin: ["&amp;'FEMA Disasters'!$B$2:$B$1000&amp;"] "&amp;'FEMA Disasters'!$C$2:$C$1000&amp;"-"&amp;'FEMA Disasters'!$A$2:$A$1000,""),IF('FEMA Disasters'!$G$2:$G$1000=$A366,'FEMA Disasters'!$D$2:$D$1000&amp;" ended: ["&amp;'FEMA Disasters'!$B$2:$B$1000&amp;"] "&amp;'FEMA Disasters'!$C$2:$C$1000&amp;"-"&amp;'FEMA Disasters'!$A$2:$A$1000,""),IF('FEMA Disasters'!$K$2:$K$1000=$A366,"Disaster SEP opens: "&amp;'FEMA Disasters'!$D$2:$D$1000&amp;" ["&amp;'FEMA Disasters'!$B$2:$B$1000&amp;"] "&amp;'FEMA Disasters'!$C$2:$C$1000&amp;"-"&amp;'FEMA Disasters'!$A$2:$A$1000,""),IF('FEMA Disasters'!$L$2:$L$1000=$A366,"Disaster SEP ended: "&amp;'FEMA Disasters'!$D$2:$D$1000&amp;" ["&amp;'FEMA Disasters'!$B$2:$B$1000&amp;"] "&amp;'FEMA Disasters'!$C$2:$C$1000&amp;"-"&amp;'FEMA Disasters'!$A$2:$A$1000,""))</f>
        <v/>
      </c>
      <c r="H366" s="4" t="n">
        <f aca="false">COUNTIF(Events!$A$2:$A$397,$A366)</f>
        <v>0</v>
      </c>
      <c r="I366" s="6" t="str">
        <f aca="false" t="array" ref="I366:I366">_xlfn.TEXTJOIN(" | ",TRUE(),IF(Events!$A$2:$A$397=$A366,Events!$E$2:$E$397&amp;IF(Events!$G$2:$G$397="National",""," ["&amp;Events!$G$2:$G$397&amp;"]"),""))</f>
        <v/>
      </c>
    </row>
    <row r="367" customFormat="false" ht="15" hidden="false" customHeight="true" outlineLevel="0" collapsed="false">
      <c r="A367" s="3" t="n">
        <v>45657</v>
      </c>
      <c r="B367" s="4" t="n">
        <f aca="false">YEAR($A367)</f>
        <v>2024</v>
      </c>
      <c r="C367" s="4" t="n">
        <f aca="false">MONTH($A367)</f>
        <v>12</v>
      </c>
      <c r="D367" s="4" t="str">
        <f aca="false">TEXT($A367,"ddd")</f>
        <v>Tue</v>
      </c>
      <c r="E367" s="4" t="n">
        <f aca="false">IF(OR(AND(MONTH($A367)=10,DAY($A367)&gt;=15),MONTH($A367)=11,AND(MONTH($A367)=12,DAY($A367)&lt;=7)),1,0)</f>
        <v>0</v>
      </c>
      <c r="F367" s="4" t="n">
        <f aca="false">IF(MONTH($A367)&lt;=3,1,0)</f>
        <v>0</v>
      </c>
      <c r="G367" s="4" t="str">
        <f aca="false" t="array" ref="G367:G367">_xlfn.TEXTJOIN(" | ",TRUE(),IF('FEMA Disasters'!$F$2:$F$1000=$A367,'FEMA Disasters'!$D$2:$D$1000&amp;" begin: ["&amp;'FEMA Disasters'!$B$2:$B$1000&amp;"] "&amp;'FEMA Disasters'!$C$2:$C$1000&amp;"-"&amp;'FEMA Disasters'!$A$2:$A$1000,""),IF('FEMA Disasters'!$G$2:$G$1000=$A367,'FEMA Disasters'!$D$2:$D$1000&amp;" ended: ["&amp;'FEMA Disasters'!$B$2:$B$1000&amp;"] "&amp;'FEMA Disasters'!$C$2:$C$1000&amp;"-"&amp;'FEMA Disasters'!$A$2:$A$1000,""),IF('FEMA Disasters'!$K$2:$K$1000=$A367,"Disaster SEP opens: "&amp;'FEMA Disasters'!$D$2:$D$1000&amp;" ["&amp;'FEMA Disasters'!$B$2:$B$1000&amp;"] "&amp;'FEMA Disasters'!$C$2:$C$1000&amp;"-"&amp;'FEMA Disasters'!$A$2:$A$1000,""),IF('FEMA Disasters'!$L$2:$L$1000=$A367,"Disaster SEP ended: "&amp;'FEMA Disasters'!$D$2:$D$1000&amp;" ["&amp;'FEMA Disasters'!$B$2:$B$1000&amp;"] "&amp;'FEMA Disasters'!$C$2:$C$1000&amp;"-"&amp;'FEMA Disasters'!$A$2:$A$1000,""))</f>
        <v>Disaster SEP opens: Fire [CA] FM-5535 | Disaster SEP opens: Tropical Storm [FL] EM-3615 | Disaster SEP opens: Hurricane [FL] DR-4828 | Disaster SEP opens: Tropical Storm [GA] EM-3616 | Disaster SEP opens: Hurricane [GA] DR-4830 | Disaster SEP opens: Tropical Storm [SC] EM-3619 | Disaster SEP opens: Tropical Storm [VA] EM-3621 | Disaster SEP opens: Hurricane [SC] DR-4829 | Disaster SEP opens: Tropical Storm [VA] DR-4831 | Disaster SEP opens: Fire [WY] FM-5539 | Disaster SEP opens: Fire [ND] DR-4852 | Disaster SEP opens: Fire [ND] FM-5540 | Disaster SEP opens: Fire [ND] FM-5541 | Disaster SEP opens: Flood [NM] DR-4843 | Disaster SEP opens: Severe Storm [AK] DR-4859 | Disaster SEP ended: Fire [NM] DR-4795 | Disaster SEP ended: Fire [UT] FM-5504 | Disaster SEP ended: Fire [OR] DR-4854 | Disaster SEP ended: Fire [WA] DR-4849 | Disaster SEP ended: Fire [CA] FM-5519 | Disaster SEP ended: Fire [ID] FM-5520 | Disaster SEP ended: Fire [WA] FM-5521 | Disaster SEP ended: Fire [CA] FM-5522 | Disaster SEP ended: Fire [WY] FM-5523 | Disaster SEP ended: Fire [CO] FM-5525 | Disaster SEP ended: Fire [CO] FM-5524 | Disaster SEP ended: Tropical Storm [FL] EM-3605 | Disaster SEP ended: Tropical Storm [FL] DR-4806 | Disaster SEP ended: Fire [CO] FM-5526 | Disaster SEP ended: Tropical Storm [SC] EM-3606 | Disaster SEP ended: Tropical Storm [GA] EM-3607 | Disaster SEP ended: Tropical Storm [GA] DR-4821 | Disaster SEP ended: Tropical Storm [SC] DR-4835 | Disaster SEP ended: Tropical Storm [NC] EM-3608 | Disaster SEP ended: Flood [AK] DR-4836 | Disaster SEP ended: Severe Storm [MT] DR-4847 | Disaster SEP ended: Tropical Storm [VT] EM-3609 | Disaster SEP ended: Tropical Storm [NY] DR-4818 | Disaster SEP ended: Tropical Storm [NY] DR-4825 | Disaster SEP ended: Tropical Storm [PA] DR-4815 | Disaster SEP ended: Fire [NV] FM-5530 | Disaster SEP ended: Severe Storm [PR] EM-3610 | Disaster SEP ended: Tropical Storm [VI] EM-3611 | Disaster SEP ended: Tropical Storm [VI] DR-4841 | Disaster SEP ended: Tropical Storm [PR] DR-4850 | Disaster SEP ended: Severe Storm [AK] DR-4857 | Disaster SEP ended: Severe Storm [AK] DR-4853 | Disaster SEP ended: Severe Storm [CT] EM-3612 | Disaster SEP ended: Severe Storm [NY] EM-3613 | Disaster SEP ended: Severe Storm [CT] DR-4820 | Disaster SEP ended: Severe Storm [NY] DR-4839 | Disaster SEP ended: Fire [WY] DR-4845 | Disaster SEP ended: Flood [VT] DR-4816 | Disaster SEP ended: Flood [AZ] DR-4840 | Disaster SEP ended: Fire [WY] FM-5531 | Disaster SEP ended: Mud/Landslide [AK] DR-4846</v>
      </c>
      <c r="H367" s="4" t="n">
        <f aca="false">COUNTIF(Events!$A$2:$A$397,$A367)</f>
        <v>0</v>
      </c>
      <c r="I367" s="6" t="str">
        <f aca="false" t="array" ref="I367:I367">_xlfn.TEXTJOIN(" | ",TRUE(),IF(Events!$A$2:$A$397=$A367,Events!$E$2:$E$397&amp;IF(Events!$G$2:$G$397="National",""," ["&amp;Events!$G$2:$G$397&amp;"]"),""))</f>
        <v/>
      </c>
    </row>
    <row r="368" customFormat="false" ht="15" hidden="false" customHeight="true" outlineLevel="0" collapsed="false">
      <c r="A368" s="3" t="n">
        <v>45658</v>
      </c>
      <c r="B368" s="4" t="n">
        <f aca="false">YEAR($A368)</f>
        <v>2025</v>
      </c>
      <c r="C368" s="4" t="n">
        <f aca="false">MONTH($A368)</f>
        <v>1</v>
      </c>
      <c r="D368" s="4" t="str">
        <f aca="false">TEXT($A368,"ddd")</f>
        <v>Wed</v>
      </c>
      <c r="E368" s="4" t="n">
        <f aca="false">IF(OR(AND(MONTH($A368)=10,DAY($A368)&gt;=15),MONTH($A368)=11,AND(MONTH($A368)=12,DAY($A368)&lt;=7)),1,0)</f>
        <v>0</v>
      </c>
      <c r="F368" s="4" t="n">
        <f aca="false">IF(MONTH($A368)&lt;=3,1,0)</f>
        <v>1</v>
      </c>
      <c r="G368" s="4" t="str">
        <f aca="false" t="array" ref="G368:G368">_xlfn.TEXTJOIN(" | ",TRUE(),IF('FEMA Disasters'!$F$2:$F$1000=$A368,'FEMA Disasters'!$D$2:$D$1000&amp;" begin: ["&amp;'FEMA Disasters'!$B$2:$B$1000&amp;"] "&amp;'FEMA Disasters'!$C$2:$C$1000&amp;"-"&amp;'FEMA Disasters'!$A$2:$A$1000,""),IF('FEMA Disasters'!$G$2:$G$1000=$A368,'FEMA Disasters'!$D$2:$D$1000&amp;" ended: ["&amp;'FEMA Disasters'!$B$2:$B$1000&amp;"] "&amp;'FEMA Disasters'!$C$2:$C$1000&amp;"-"&amp;'FEMA Disasters'!$A$2:$A$1000,""),IF('FEMA Disasters'!$K$2:$K$1000=$A368,"Disaster SEP opens: "&amp;'FEMA Disasters'!$D$2:$D$1000&amp;" ["&amp;'FEMA Disasters'!$B$2:$B$1000&amp;"] "&amp;'FEMA Disasters'!$C$2:$C$1000&amp;"-"&amp;'FEMA Disasters'!$A$2:$A$1000,""),IF('FEMA Disasters'!$L$2:$L$1000=$A368,"Disaster SEP ended: "&amp;'FEMA Disasters'!$D$2:$D$1000&amp;" ["&amp;'FEMA Disasters'!$B$2:$B$1000&amp;"] "&amp;'FEMA Disasters'!$C$2:$C$1000&amp;"-"&amp;'FEMA Disasters'!$A$2:$A$1000,""))</f>
        <v/>
      </c>
      <c r="H368" s="4" t="n">
        <f aca="false">COUNTIF(Events!$A$2:$A$397,$A368)</f>
        <v>3</v>
      </c>
      <c r="I368" s="6" t="str">
        <f aca="false" t="array" ref="I368:I368">_xlfn.TEXTJOIN(" | ",TRUE(),IF(Events!$A$2:$A$397=$A368,Events!$E$2:$E$397&amp;IF(Events!$G$2:$G$397="National",""," ["&amp;Events!$G$2:$G$397&amp;"]"),""))</f>
        <v>CY2025 rule dual-SEP restructure takes effect: quarterly dual/LIS SEP replaced by a monthly SEP to switch to Original Medicare + standalone PDP plus a new monthly integrated-care SEP into integrated D-SNPs - D-SNP switching timing changes from quarterly to continuous || C-SNP: with the quarterly dual SEP gone, the year-round chronic-condition SEP into C-SNPs becomes the main continuous off-cycle enrollment path for duals with qualifying conditions - a direct broker steering channel. | D-SNP look-alike enrollment threshold drops 80%-&gt;70% (60% for 2026): non-SNP plans with high dual enrollment must convert or terminate, pushing duals toward true D-SNPs || C-SNP: C-SNPs are NOT subject to look-alike thresholds, making them the natural conversion/cross-walk destination for dual-heavy plans forced to terminate. | IRA: $2,000 annual Part D OOP cap begins; coverage gap eliminated (3-phase benefit); Medicare Prescription Payment Plan launches; Manufacturer Discount Program replaces Coverage Gap Discount Program; Government reinsurance (Part D) drops 80%-&gt;20% (brand-name, biological, biosimilar)/40&amp; (generics); CY2025 Final Rule provisions apply incl. monthly integrated-care SEP for duals (replaces quarterly dual SEP) and D-SNP look-alike threshold lowered to 70% || C-SNP: 70% look-alike threshold + monthly integrated-care SEP take effect; ALSO NEW 1/1/2025: HIDE SNPs must have aligned service areas (Medicaid plan in same counties) and FIDE SNPs must have exclusively aligned enrollment with LTSS/all Medicaid benefits via capitated arrangement. C-SNPs are exempt from all of these; KFF ties this date to the D-SNP growth stall (+159K, +3% in 2025) and C-SNP surge (+476K, +71%, = 75% of 2024-25 SNP growth).</v>
      </c>
    </row>
    <row r="369" customFormat="false" ht="15" hidden="false" customHeight="true" outlineLevel="0" collapsed="false">
      <c r="A369" s="3" t="n">
        <v>45659</v>
      </c>
      <c r="B369" s="4" t="n">
        <f aca="false">YEAR($A369)</f>
        <v>2025</v>
      </c>
      <c r="C369" s="4" t="n">
        <f aca="false">MONTH($A369)</f>
        <v>1</v>
      </c>
      <c r="D369" s="4" t="str">
        <f aca="false">TEXT($A369,"ddd")</f>
        <v>Thu</v>
      </c>
      <c r="E369" s="4" t="n">
        <f aca="false">IF(OR(AND(MONTH($A369)=10,DAY($A369)&gt;=15),MONTH($A369)=11,AND(MONTH($A369)=12,DAY($A369)&lt;=7)),1,0)</f>
        <v>0</v>
      </c>
      <c r="F369" s="4" t="n">
        <f aca="false">IF(MONTH($A369)&lt;=3,1,0)</f>
        <v>1</v>
      </c>
      <c r="G369" s="4" t="str">
        <f aca="false" t="array" ref="G369:G369">_xlfn.TEXTJOIN(" | ",TRUE(),IF('FEMA Disasters'!$F$2:$F$1000=$A369,'FEMA Disasters'!$D$2:$D$1000&amp;" begin: ["&amp;'FEMA Disasters'!$B$2:$B$1000&amp;"] "&amp;'FEMA Disasters'!$C$2:$C$1000&amp;"-"&amp;'FEMA Disasters'!$A$2:$A$1000,""),IF('FEMA Disasters'!$G$2:$G$1000=$A369,'FEMA Disasters'!$D$2:$D$1000&amp;" ended: ["&amp;'FEMA Disasters'!$B$2:$B$1000&amp;"] "&amp;'FEMA Disasters'!$C$2:$C$1000&amp;"-"&amp;'FEMA Disasters'!$A$2:$A$1000,""),IF('FEMA Disasters'!$K$2:$K$1000=$A369,"Disaster SEP opens: "&amp;'FEMA Disasters'!$D$2:$D$1000&amp;" ["&amp;'FEMA Disasters'!$B$2:$B$1000&amp;"] "&amp;'FEMA Disasters'!$C$2:$C$1000&amp;"-"&amp;'FEMA Disasters'!$A$2:$A$1000,""),IF('FEMA Disasters'!$L$2:$L$1000=$A369,"Disaster SEP ended: "&amp;'FEMA Disasters'!$D$2:$D$1000&amp;" ["&amp;'FEMA Disasters'!$B$2:$B$1000&amp;"] "&amp;'FEMA Disasters'!$C$2:$C$1000&amp;"-"&amp;'FEMA Disasters'!$A$2:$A$1000,""))</f>
        <v/>
      </c>
      <c r="H369" s="4" t="n">
        <f aca="false">COUNTIF(Events!$A$2:$A$397,$A369)</f>
        <v>0</v>
      </c>
      <c r="I369" s="6" t="str">
        <f aca="false" t="array" ref="I369:I369">_xlfn.TEXTJOIN(" | ",TRUE(),IF(Events!$A$2:$A$397=$A369,Events!$E$2:$E$397&amp;IF(Events!$G$2:$G$397="National",""," ["&amp;Events!$G$2:$G$397&amp;"]"),""))</f>
        <v/>
      </c>
    </row>
    <row r="370" customFormat="false" ht="15" hidden="false" customHeight="true" outlineLevel="0" collapsed="false">
      <c r="A370" s="3" t="n">
        <v>45660</v>
      </c>
      <c r="B370" s="4" t="n">
        <f aca="false">YEAR($A370)</f>
        <v>2025</v>
      </c>
      <c r="C370" s="4" t="n">
        <f aca="false">MONTH($A370)</f>
        <v>1</v>
      </c>
      <c r="D370" s="4" t="str">
        <f aca="false">TEXT($A370,"ddd")</f>
        <v>Fri</v>
      </c>
      <c r="E370" s="4" t="n">
        <f aca="false">IF(OR(AND(MONTH($A370)=10,DAY($A370)&gt;=15),MONTH($A370)=11,AND(MONTH($A370)=12,DAY($A370)&lt;=7)),1,0)</f>
        <v>0</v>
      </c>
      <c r="F370" s="4" t="n">
        <f aca="false">IF(MONTH($A370)&lt;=3,1,0)</f>
        <v>1</v>
      </c>
      <c r="G370" s="4" t="str">
        <f aca="false" t="array" ref="G370:G370">_xlfn.TEXTJOIN(" | ",TRUE(),IF('FEMA Disasters'!$F$2:$F$1000=$A370,'FEMA Disasters'!$D$2:$D$1000&amp;" begin: ["&amp;'FEMA Disasters'!$B$2:$B$1000&amp;"] "&amp;'FEMA Disasters'!$C$2:$C$1000&amp;"-"&amp;'FEMA Disasters'!$A$2:$A$1000,""),IF('FEMA Disasters'!$G$2:$G$1000=$A370,'FEMA Disasters'!$D$2:$D$1000&amp;" ended: ["&amp;'FEMA Disasters'!$B$2:$B$1000&amp;"] "&amp;'FEMA Disasters'!$C$2:$C$1000&amp;"-"&amp;'FEMA Disasters'!$A$2:$A$1000,""),IF('FEMA Disasters'!$K$2:$K$1000=$A370,"Disaster SEP opens: "&amp;'FEMA Disasters'!$D$2:$D$1000&amp;" ["&amp;'FEMA Disasters'!$B$2:$B$1000&amp;"] "&amp;'FEMA Disasters'!$C$2:$C$1000&amp;"-"&amp;'FEMA Disasters'!$A$2:$A$1000,""),IF('FEMA Disasters'!$L$2:$L$1000=$A370,"Disaster SEP ended: "&amp;'FEMA Disasters'!$D$2:$D$1000&amp;" ["&amp;'FEMA Disasters'!$B$2:$B$1000&amp;"] "&amp;'FEMA Disasters'!$C$2:$C$1000&amp;"-"&amp;'FEMA Disasters'!$A$2:$A$1000,""))</f>
        <v/>
      </c>
      <c r="H370" s="4" t="n">
        <f aca="false">COUNTIF(Events!$A$2:$A$397,$A370)</f>
        <v>0</v>
      </c>
      <c r="I370" s="6" t="str">
        <f aca="false" t="array" ref="I370:I370">_xlfn.TEXTJOIN(" | ",TRUE(),IF(Events!$A$2:$A$397=$A370,Events!$E$2:$E$397&amp;IF(Events!$G$2:$G$397="National",""," ["&amp;Events!$G$2:$G$397&amp;"]"),""))</f>
        <v/>
      </c>
    </row>
    <row r="371" customFormat="false" ht="15" hidden="false" customHeight="true" outlineLevel="0" collapsed="false">
      <c r="A371" s="3" t="n">
        <v>45661</v>
      </c>
      <c r="B371" s="4" t="n">
        <f aca="false">YEAR($A371)</f>
        <v>2025</v>
      </c>
      <c r="C371" s="4" t="n">
        <f aca="false">MONTH($A371)</f>
        <v>1</v>
      </c>
      <c r="D371" s="4" t="str">
        <f aca="false">TEXT($A371,"ddd")</f>
        <v>Sat</v>
      </c>
      <c r="E371" s="4" t="n">
        <f aca="false">IF(OR(AND(MONTH($A371)=10,DAY($A371)&gt;=15),MONTH($A371)=11,AND(MONTH($A371)=12,DAY($A371)&lt;=7)),1,0)</f>
        <v>0</v>
      </c>
      <c r="F371" s="4" t="n">
        <f aca="false">IF(MONTH($A371)&lt;=3,1,0)</f>
        <v>1</v>
      </c>
      <c r="G371" s="4" t="str">
        <f aca="false" t="array" ref="G371:G371">_xlfn.TEXTJOIN(" | ",TRUE(),IF('FEMA Disasters'!$F$2:$F$1000=$A371,'FEMA Disasters'!$D$2:$D$1000&amp;" begin: ["&amp;'FEMA Disasters'!$B$2:$B$1000&amp;"] "&amp;'FEMA Disasters'!$C$2:$C$1000&amp;"-"&amp;'FEMA Disasters'!$A$2:$A$1000,""),IF('FEMA Disasters'!$G$2:$G$1000=$A371,'FEMA Disasters'!$D$2:$D$1000&amp;" ended: ["&amp;'FEMA Disasters'!$B$2:$B$1000&amp;"] "&amp;'FEMA Disasters'!$C$2:$C$1000&amp;"-"&amp;'FEMA Disasters'!$A$2:$A$1000,""),IF('FEMA Disasters'!$K$2:$K$1000=$A371,"Disaster SEP opens: "&amp;'FEMA Disasters'!$D$2:$D$1000&amp;" ["&amp;'FEMA Disasters'!$B$2:$B$1000&amp;"] "&amp;'FEMA Disasters'!$C$2:$C$1000&amp;"-"&amp;'FEMA Disasters'!$A$2:$A$1000,""),IF('FEMA Disasters'!$L$2:$L$1000=$A371,"Disaster SEP ended: "&amp;'FEMA Disasters'!$D$2:$D$1000&amp;" ["&amp;'FEMA Disasters'!$B$2:$B$1000&amp;"] "&amp;'FEMA Disasters'!$C$2:$C$1000&amp;"-"&amp;'FEMA Disasters'!$A$2:$A$1000,""))</f>
        <v/>
      </c>
      <c r="H371" s="4" t="n">
        <f aca="false">COUNTIF(Events!$A$2:$A$397,$A371)</f>
        <v>0</v>
      </c>
      <c r="I371" s="6" t="str">
        <f aca="false" t="array" ref="I371:I371">_xlfn.TEXTJOIN(" | ",TRUE(),IF(Events!$A$2:$A$397=$A371,Events!$E$2:$E$397&amp;IF(Events!$G$2:$G$397="National",""," ["&amp;Events!$G$2:$G$397&amp;"]"),""))</f>
        <v/>
      </c>
    </row>
    <row r="372" customFormat="false" ht="15" hidden="false" customHeight="true" outlineLevel="0" collapsed="false">
      <c r="A372" s="3" t="n">
        <v>45662</v>
      </c>
      <c r="B372" s="4" t="n">
        <f aca="false">YEAR($A372)</f>
        <v>2025</v>
      </c>
      <c r="C372" s="4" t="n">
        <f aca="false">MONTH($A372)</f>
        <v>1</v>
      </c>
      <c r="D372" s="4" t="str">
        <f aca="false">TEXT($A372,"ddd")</f>
        <v>Sun</v>
      </c>
      <c r="E372" s="4" t="n">
        <f aca="false">IF(OR(AND(MONTH($A372)=10,DAY($A372)&gt;=15),MONTH($A372)=11,AND(MONTH($A372)=12,DAY($A372)&lt;=7)),1,0)</f>
        <v>0</v>
      </c>
      <c r="F372" s="4" t="n">
        <f aca="false">IF(MONTH($A372)&lt;=3,1,0)</f>
        <v>1</v>
      </c>
      <c r="G372" s="4" t="str">
        <f aca="false" t="array" ref="G372:G372">_xlfn.TEXTJOIN(" | ",TRUE(),IF('FEMA Disasters'!$F$2:$F$1000=$A372,'FEMA Disasters'!$D$2:$D$1000&amp;" begin: ["&amp;'FEMA Disasters'!$B$2:$B$1000&amp;"] "&amp;'FEMA Disasters'!$C$2:$C$1000&amp;"-"&amp;'FEMA Disasters'!$A$2:$A$1000,""),IF('FEMA Disasters'!$G$2:$G$1000=$A372,'FEMA Disasters'!$D$2:$D$1000&amp;" ended: ["&amp;'FEMA Disasters'!$B$2:$B$1000&amp;"] "&amp;'FEMA Disasters'!$C$2:$C$1000&amp;"-"&amp;'FEMA Disasters'!$A$2:$A$1000,""),IF('FEMA Disasters'!$K$2:$K$1000=$A372,"Disaster SEP opens: "&amp;'FEMA Disasters'!$D$2:$D$1000&amp;" ["&amp;'FEMA Disasters'!$B$2:$B$1000&amp;"] "&amp;'FEMA Disasters'!$C$2:$C$1000&amp;"-"&amp;'FEMA Disasters'!$A$2:$A$1000,""),IF('FEMA Disasters'!$L$2:$L$1000=$A372,"Disaster SEP ended: "&amp;'FEMA Disasters'!$D$2:$D$1000&amp;" ["&amp;'FEMA Disasters'!$B$2:$B$1000&amp;"] "&amp;'FEMA Disasters'!$C$2:$C$1000&amp;"-"&amp;'FEMA Disasters'!$A$2:$A$1000,""))</f>
        <v/>
      </c>
      <c r="H372" s="4" t="n">
        <f aca="false">COUNTIF(Events!$A$2:$A$397,$A372)</f>
        <v>0</v>
      </c>
      <c r="I372" s="6" t="str">
        <f aca="false" t="array" ref="I372:I372">_xlfn.TEXTJOIN(" | ",TRUE(),IF(Events!$A$2:$A$397=$A372,Events!$E$2:$E$397&amp;IF(Events!$G$2:$G$397="National",""," ["&amp;Events!$G$2:$G$397&amp;"]"),""))</f>
        <v/>
      </c>
    </row>
    <row r="373" customFormat="false" ht="15" hidden="false" customHeight="true" outlineLevel="0" collapsed="false">
      <c r="A373" s="3" t="n">
        <v>45663</v>
      </c>
      <c r="B373" s="4" t="n">
        <f aca="false">YEAR($A373)</f>
        <v>2025</v>
      </c>
      <c r="C373" s="4" t="n">
        <f aca="false">MONTH($A373)</f>
        <v>1</v>
      </c>
      <c r="D373" s="4" t="str">
        <f aca="false">TEXT($A373,"ddd")</f>
        <v>Mon</v>
      </c>
      <c r="E373" s="4" t="n">
        <f aca="false">IF(OR(AND(MONTH($A373)=10,DAY($A373)&gt;=15),MONTH($A373)=11,AND(MONTH($A373)=12,DAY($A373)&lt;=7)),1,0)</f>
        <v>0</v>
      </c>
      <c r="F373" s="4" t="n">
        <f aca="false">IF(MONTH($A373)&lt;=3,1,0)</f>
        <v>1</v>
      </c>
      <c r="G373" s="4" t="str">
        <f aca="false" t="array" ref="G373:G373">_xlfn.TEXTJOIN(" | ",TRUE(),IF('FEMA Disasters'!$F$2:$F$1000=$A373,'FEMA Disasters'!$D$2:$D$1000&amp;" begin: ["&amp;'FEMA Disasters'!$B$2:$B$1000&amp;"] "&amp;'FEMA Disasters'!$C$2:$C$1000&amp;"-"&amp;'FEMA Disasters'!$A$2:$A$1000,""),IF('FEMA Disasters'!$G$2:$G$1000=$A373,'FEMA Disasters'!$D$2:$D$1000&amp;" ended: ["&amp;'FEMA Disasters'!$B$2:$B$1000&amp;"] "&amp;'FEMA Disasters'!$C$2:$C$1000&amp;"-"&amp;'FEMA Disasters'!$A$2:$A$1000,""),IF('FEMA Disasters'!$K$2:$K$1000=$A373,"Disaster SEP opens: "&amp;'FEMA Disasters'!$D$2:$D$1000&amp;" ["&amp;'FEMA Disasters'!$B$2:$B$1000&amp;"] "&amp;'FEMA Disasters'!$C$2:$C$1000&amp;"-"&amp;'FEMA Disasters'!$A$2:$A$1000,""),IF('FEMA Disasters'!$L$2:$L$1000=$A373,"Disaster SEP ended: "&amp;'FEMA Disasters'!$D$2:$D$1000&amp;" ["&amp;'FEMA Disasters'!$B$2:$B$1000&amp;"] "&amp;'FEMA Disasters'!$C$2:$C$1000&amp;"-"&amp;'FEMA Disasters'!$A$2:$A$1000,""))</f>
        <v/>
      </c>
      <c r="H373" s="4" t="n">
        <f aca="false">COUNTIF(Events!$A$2:$A$397,$A373)</f>
        <v>0</v>
      </c>
      <c r="I373" s="6" t="str">
        <f aca="false" t="array" ref="I373:I373">_xlfn.TEXTJOIN(" | ",TRUE(),IF(Events!$A$2:$A$397=$A373,Events!$E$2:$E$397&amp;IF(Events!$G$2:$G$397="National",""," ["&amp;Events!$G$2:$G$397&amp;"]"),""))</f>
        <v/>
      </c>
    </row>
    <row r="374" customFormat="false" ht="15" hidden="false" customHeight="true" outlineLevel="0" collapsed="false">
      <c r="A374" s="3" t="n">
        <v>45664</v>
      </c>
      <c r="B374" s="4" t="n">
        <f aca="false">YEAR($A374)</f>
        <v>2025</v>
      </c>
      <c r="C374" s="4" t="n">
        <f aca="false">MONTH($A374)</f>
        <v>1</v>
      </c>
      <c r="D374" s="4" t="str">
        <f aca="false">TEXT($A374,"ddd")</f>
        <v>Tue</v>
      </c>
      <c r="E374" s="4" t="n">
        <f aca="false">IF(OR(AND(MONTH($A374)=10,DAY($A374)&gt;=15),MONTH($A374)=11,AND(MONTH($A374)=12,DAY($A374)&lt;=7)),1,0)</f>
        <v>0</v>
      </c>
      <c r="F374" s="4" t="n">
        <f aca="false">IF(MONTH($A374)&lt;=3,1,0)</f>
        <v>1</v>
      </c>
      <c r="G374" s="4" t="str">
        <f aca="false" t="array" ref="G374:G374">_xlfn.TEXTJOIN(" | ",TRUE(),IF('FEMA Disasters'!$F$2:$F$1000=$A374,'FEMA Disasters'!$D$2:$D$1000&amp;" begin: ["&amp;'FEMA Disasters'!$B$2:$B$1000&amp;"] "&amp;'FEMA Disasters'!$C$2:$C$1000&amp;"-"&amp;'FEMA Disasters'!$A$2:$A$1000,""),IF('FEMA Disasters'!$G$2:$G$1000=$A374,'FEMA Disasters'!$D$2:$D$1000&amp;" ended: ["&amp;'FEMA Disasters'!$B$2:$B$1000&amp;"] "&amp;'FEMA Disasters'!$C$2:$C$1000&amp;"-"&amp;'FEMA Disasters'!$A$2:$A$1000,""),IF('FEMA Disasters'!$K$2:$K$1000=$A374,"Disaster SEP opens: "&amp;'FEMA Disasters'!$D$2:$D$1000&amp;" ["&amp;'FEMA Disasters'!$B$2:$B$1000&amp;"] "&amp;'FEMA Disasters'!$C$2:$C$1000&amp;"-"&amp;'FEMA Disasters'!$A$2:$A$1000,""),IF('FEMA Disasters'!$L$2:$L$1000=$A374,"Disaster SEP ended: "&amp;'FEMA Disasters'!$D$2:$D$1000&amp;" ["&amp;'FEMA Disasters'!$B$2:$B$1000&amp;"] "&amp;'FEMA Disasters'!$C$2:$C$1000&amp;"-"&amp;'FEMA Disasters'!$A$2:$A$1000,""))</f>
        <v>Fire begin: [CA] DR-4856 | Fire begin: [CA] FM-5549 | Fire begin: [CA] FM-5550 | Fire begin: [CA] FM-5551</v>
      </c>
      <c r="H374" s="4" t="n">
        <f aca="false">COUNTIF(Events!$A$2:$A$397,$A374)</f>
        <v>0</v>
      </c>
      <c r="I374" s="6" t="str">
        <f aca="false" t="array" ref="I374:I374">_xlfn.TEXTJOIN(" | ",TRUE(),IF(Events!$A$2:$A$397=$A374,Events!$E$2:$E$397&amp;IF(Events!$G$2:$G$397="National",""," ["&amp;Events!$G$2:$G$397&amp;"]"),""))</f>
        <v/>
      </c>
    </row>
    <row r="375" customFormat="false" ht="15" hidden="false" customHeight="true" outlineLevel="0" collapsed="false">
      <c r="A375" s="3" t="n">
        <v>45665</v>
      </c>
      <c r="B375" s="4" t="n">
        <f aca="false">YEAR($A375)</f>
        <v>2025</v>
      </c>
      <c r="C375" s="4" t="n">
        <f aca="false">MONTH($A375)</f>
        <v>1</v>
      </c>
      <c r="D375" s="4" t="str">
        <f aca="false">TEXT($A375,"ddd")</f>
        <v>Wed</v>
      </c>
      <c r="E375" s="4" t="n">
        <f aca="false">IF(OR(AND(MONTH($A375)=10,DAY($A375)&gt;=15),MONTH($A375)=11,AND(MONTH($A375)=12,DAY($A375)&lt;=7)),1,0)</f>
        <v>0</v>
      </c>
      <c r="F375" s="4" t="n">
        <f aca="false">IF(MONTH($A375)&lt;=3,1,0)</f>
        <v>1</v>
      </c>
      <c r="G375" s="4" t="str">
        <f aca="false" t="array" ref="G375:G375">_xlfn.TEXTJOIN(" | ",TRUE(),IF('FEMA Disasters'!$F$2:$F$1000=$A375,'FEMA Disasters'!$D$2:$D$1000&amp;" begin: ["&amp;'FEMA Disasters'!$B$2:$B$1000&amp;"] "&amp;'FEMA Disasters'!$C$2:$C$1000&amp;"-"&amp;'FEMA Disasters'!$A$2:$A$1000,""),IF('FEMA Disasters'!$G$2:$G$1000=$A375,'FEMA Disasters'!$D$2:$D$1000&amp;" ended: ["&amp;'FEMA Disasters'!$B$2:$B$1000&amp;"] "&amp;'FEMA Disasters'!$C$2:$C$1000&amp;"-"&amp;'FEMA Disasters'!$A$2:$A$1000,""),IF('FEMA Disasters'!$K$2:$K$1000=$A375,"Disaster SEP opens: "&amp;'FEMA Disasters'!$D$2:$D$1000&amp;" ["&amp;'FEMA Disasters'!$B$2:$B$1000&amp;"] "&amp;'FEMA Disasters'!$C$2:$C$1000&amp;"-"&amp;'FEMA Disasters'!$A$2:$A$1000,""),IF('FEMA Disasters'!$L$2:$L$1000=$A375,"Disaster SEP ended: "&amp;'FEMA Disasters'!$D$2:$D$1000&amp;" ["&amp;'FEMA Disasters'!$B$2:$B$1000&amp;"] "&amp;'FEMA Disasters'!$C$2:$C$1000&amp;"-"&amp;'FEMA Disasters'!$A$2:$A$1000,""))</f>
        <v/>
      </c>
      <c r="H375" s="4" t="n">
        <f aca="false">COUNTIF(Events!$A$2:$A$397,$A375)</f>
        <v>0</v>
      </c>
      <c r="I375" s="6" t="str">
        <f aca="false" t="array" ref="I375:I375">_xlfn.TEXTJOIN(" | ",TRUE(),IF(Events!$A$2:$A$397=$A375,Events!$E$2:$E$397&amp;IF(Events!$G$2:$G$397="National",""," ["&amp;Events!$G$2:$G$397&amp;"]"),""))</f>
        <v/>
      </c>
    </row>
    <row r="376" customFormat="false" ht="15" hidden="false" customHeight="true" outlineLevel="0" collapsed="false">
      <c r="A376" s="3" t="n">
        <v>45666</v>
      </c>
      <c r="B376" s="4" t="n">
        <f aca="false">YEAR($A376)</f>
        <v>2025</v>
      </c>
      <c r="C376" s="4" t="n">
        <f aca="false">MONTH($A376)</f>
        <v>1</v>
      </c>
      <c r="D376" s="4" t="str">
        <f aca="false">TEXT($A376,"ddd")</f>
        <v>Thu</v>
      </c>
      <c r="E376" s="4" t="n">
        <f aca="false">IF(OR(AND(MONTH($A376)=10,DAY($A376)&gt;=15),MONTH($A376)=11,AND(MONTH($A376)=12,DAY($A376)&lt;=7)),1,0)</f>
        <v>0</v>
      </c>
      <c r="F376" s="4" t="n">
        <f aca="false">IF(MONTH($A376)&lt;=3,1,0)</f>
        <v>1</v>
      </c>
      <c r="G376" s="4" t="str">
        <f aca="false" t="array" ref="G376:G376">_xlfn.TEXTJOIN(" | ",TRUE(),IF('FEMA Disasters'!$F$2:$F$1000=$A376,'FEMA Disasters'!$D$2:$D$1000&amp;" begin: ["&amp;'FEMA Disasters'!$B$2:$B$1000&amp;"] "&amp;'FEMA Disasters'!$C$2:$C$1000&amp;"-"&amp;'FEMA Disasters'!$A$2:$A$1000,""),IF('FEMA Disasters'!$G$2:$G$1000=$A376,'FEMA Disasters'!$D$2:$D$1000&amp;" ended: ["&amp;'FEMA Disasters'!$B$2:$B$1000&amp;"] "&amp;'FEMA Disasters'!$C$2:$C$1000&amp;"-"&amp;'FEMA Disasters'!$A$2:$A$1000,""),IF('FEMA Disasters'!$K$2:$K$1000=$A376,"Disaster SEP opens: "&amp;'FEMA Disasters'!$D$2:$D$1000&amp;" ["&amp;'FEMA Disasters'!$B$2:$B$1000&amp;"] "&amp;'FEMA Disasters'!$C$2:$C$1000&amp;"-"&amp;'FEMA Disasters'!$A$2:$A$1000,""),IF('FEMA Disasters'!$L$2:$L$1000=$A376,"Disaster SEP ended: "&amp;'FEMA Disasters'!$D$2:$D$1000&amp;" ["&amp;'FEMA Disasters'!$B$2:$B$1000&amp;"] "&amp;'FEMA Disasters'!$C$2:$C$1000&amp;"-"&amp;'FEMA Disasters'!$A$2:$A$1000,""))</f>
        <v/>
      </c>
      <c r="H376" s="4" t="n">
        <f aca="false">COUNTIF(Events!$A$2:$A$397,$A376)</f>
        <v>0</v>
      </c>
      <c r="I376" s="6" t="str">
        <f aca="false" t="array" ref="I376:I376">_xlfn.TEXTJOIN(" | ",TRUE(),IF(Events!$A$2:$A$397=$A376,Events!$E$2:$E$397&amp;IF(Events!$G$2:$G$397="National",""," ["&amp;Events!$G$2:$G$397&amp;"]"),""))</f>
        <v/>
      </c>
    </row>
    <row r="377" customFormat="false" ht="15" hidden="false" customHeight="true" outlineLevel="0" collapsed="false">
      <c r="A377" s="3" t="n">
        <v>45667</v>
      </c>
      <c r="B377" s="4" t="n">
        <f aca="false">YEAR($A377)</f>
        <v>2025</v>
      </c>
      <c r="C377" s="4" t="n">
        <f aca="false">MONTH($A377)</f>
        <v>1</v>
      </c>
      <c r="D377" s="4" t="str">
        <f aca="false">TEXT($A377,"ddd")</f>
        <v>Fri</v>
      </c>
      <c r="E377" s="4" t="n">
        <f aca="false">IF(OR(AND(MONTH($A377)=10,DAY($A377)&gt;=15),MONTH($A377)=11,AND(MONTH($A377)=12,DAY($A377)&lt;=7)),1,0)</f>
        <v>0</v>
      </c>
      <c r="F377" s="4" t="n">
        <f aca="false">IF(MONTH($A377)&lt;=3,1,0)</f>
        <v>1</v>
      </c>
      <c r="G377" s="4" t="str">
        <f aca="false" t="array" ref="G377:G377">_xlfn.TEXTJOIN(" | ",TRUE(),IF('FEMA Disasters'!$F$2:$F$1000=$A377,'FEMA Disasters'!$D$2:$D$1000&amp;" begin: ["&amp;'FEMA Disasters'!$B$2:$B$1000&amp;"] "&amp;'FEMA Disasters'!$C$2:$C$1000&amp;"-"&amp;'FEMA Disasters'!$A$2:$A$1000,""),IF('FEMA Disasters'!$G$2:$G$1000=$A377,'FEMA Disasters'!$D$2:$D$1000&amp;" ended: ["&amp;'FEMA Disasters'!$B$2:$B$1000&amp;"] "&amp;'FEMA Disasters'!$C$2:$C$1000&amp;"-"&amp;'FEMA Disasters'!$A$2:$A$1000,""),IF('FEMA Disasters'!$K$2:$K$1000=$A377,"Disaster SEP opens: "&amp;'FEMA Disasters'!$D$2:$D$1000&amp;" ["&amp;'FEMA Disasters'!$B$2:$B$1000&amp;"] "&amp;'FEMA Disasters'!$C$2:$C$1000&amp;"-"&amp;'FEMA Disasters'!$A$2:$A$1000,""),IF('FEMA Disasters'!$L$2:$L$1000=$A377,"Disaster SEP ended: "&amp;'FEMA Disasters'!$D$2:$D$1000&amp;" ["&amp;'FEMA Disasters'!$B$2:$B$1000&amp;"] "&amp;'FEMA Disasters'!$C$2:$C$1000&amp;"-"&amp;'FEMA Disasters'!$A$2:$A$1000,""))</f>
        <v/>
      </c>
      <c r="H377" s="4" t="n">
        <f aca="false">COUNTIF(Events!$A$2:$A$397,$A377)</f>
        <v>1</v>
      </c>
      <c r="I377" s="6" t="str">
        <f aca="false" t="array" ref="I377:I377">_xlfn.TEXTJOIN(" | ",TRUE(),IF(Events!$A$2:$A$397=$A377,Events!$E$2:$E$397&amp;IF(Events!$G$2:$G$397="National",""," ["&amp;Events!$G$2:$G$397&amp;"]"),""))</f>
        <v>CY2026 Advance Notice released: proposed +4.33% avg payment (~$21B); final year of V28 risk model phase-in; comments due 2/10/2025</v>
      </c>
    </row>
    <row r="378" customFormat="false" ht="15" hidden="false" customHeight="true" outlineLevel="0" collapsed="false">
      <c r="A378" s="3" t="n">
        <v>45668</v>
      </c>
      <c r="B378" s="4" t="n">
        <f aca="false">YEAR($A378)</f>
        <v>2025</v>
      </c>
      <c r="C378" s="4" t="n">
        <f aca="false">MONTH($A378)</f>
        <v>1</v>
      </c>
      <c r="D378" s="4" t="str">
        <f aca="false">TEXT($A378,"ddd")</f>
        <v>Sat</v>
      </c>
      <c r="E378" s="4" t="n">
        <f aca="false">IF(OR(AND(MONTH($A378)=10,DAY($A378)&gt;=15),MONTH($A378)=11,AND(MONTH($A378)=12,DAY($A378)&lt;=7)),1,0)</f>
        <v>0</v>
      </c>
      <c r="F378" s="4" t="n">
        <f aca="false">IF(MONTH($A378)&lt;=3,1,0)</f>
        <v>1</v>
      </c>
      <c r="G378" s="4" t="str">
        <f aca="false" t="array" ref="G378:G378">_xlfn.TEXTJOIN(" | ",TRUE(),IF('FEMA Disasters'!$F$2:$F$1000=$A378,'FEMA Disasters'!$D$2:$D$1000&amp;" begin: ["&amp;'FEMA Disasters'!$B$2:$B$1000&amp;"] "&amp;'FEMA Disasters'!$C$2:$C$1000&amp;"-"&amp;'FEMA Disasters'!$A$2:$A$1000,""),IF('FEMA Disasters'!$G$2:$G$1000=$A378,'FEMA Disasters'!$D$2:$D$1000&amp;" ended: ["&amp;'FEMA Disasters'!$B$2:$B$1000&amp;"] "&amp;'FEMA Disasters'!$C$2:$C$1000&amp;"-"&amp;'FEMA Disasters'!$A$2:$A$1000,""),IF('FEMA Disasters'!$K$2:$K$1000=$A378,"Disaster SEP opens: "&amp;'FEMA Disasters'!$D$2:$D$1000&amp;" ["&amp;'FEMA Disasters'!$B$2:$B$1000&amp;"] "&amp;'FEMA Disasters'!$C$2:$C$1000&amp;"-"&amp;'FEMA Disasters'!$A$2:$A$1000,""),IF('FEMA Disasters'!$L$2:$L$1000=$A378,"Disaster SEP ended: "&amp;'FEMA Disasters'!$D$2:$D$1000&amp;" ["&amp;'FEMA Disasters'!$B$2:$B$1000&amp;"] "&amp;'FEMA Disasters'!$C$2:$C$1000&amp;"-"&amp;'FEMA Disasters'!$A$2:$A$1000,""))</f>
        <v/>
      </c>
      <c r="H378" s="4" t="n">
        <f aca="false">COUNTIF(Events!$A$2:$A$397,$A378)</f>
        <v>0</v>
      </c>
      <c r="I378" s="6" t="str">
        <f aca="false" t="array" ref="I378:I378">_xlfn.TEXTJOIN(" | ",TRUE(),IF(Events!$A$2:$A$397=$A378,Events!$E$2:$E$397&amp;IF(Events!$G$2:$G$397="National",""," ["&amp;Events!$G$2:$G$397&amp;"]"),""))</f>
        <v/>
      </c>
    </row>
    <row r="379" customFormat="false" ht="15" hidden="false" customHeight="true" outlineLevel="0" collapsed="false">
      <c r="A379" s="3" t="n">
        <v>45669</v>
      </c>
      <c r="B379" s="4" t="n">
        <f aca="false">YEAR($A379)</f>
        <v>2025</v>
      </c>
      <c r="C379" s="4" t="n">
        <f aca="false">MONTH($A379)</f>
        <v>1</v>
      </c>
      <c r="D379" s="4" t="str">
        <f aca="false">TEXT($A379,"ddd")</f>
        <v>Sun</v>
      </c>
      <c r="E379" s="4" t="n">
        <f aca="false">IF(OR(AND(MONTH($A379)=10,DAY($A379)&gt;=15),MONTH($A379)=11,AND(MONTH($A379)=12,DAY($A379)&lt;=7)),1,0)</f>
        <v>0</v>
      </c>
      <c r="F379" s="4" t="n">
        <f aca="false">IF(MONTH($A379)&lt;=3,1,0)</f>
        <v>1</v>
      </c>
      <c r="G379" s="4" t="str">
        <f aca="false" t="array" ref="G379:G379">_xlfn.TEXTJOIN(" | ",TRUE(),IF('FEMA Disasters'!$F$2:$F$1000=$A379,'FEMA Disasters'!$D$2:$D$1000&amp;" begin: ["&amp;'FEMA Disasters'!$B$2:$B$1000&amp;"] "&amp;'FEMA Disasters'!$C$2:$C$1000&amp;"-"&amp;'FEMA Disasters'!$A$2:$A$1000,""),IF('FEMA Disasters'!$G$2:$G$1000=$A379,'FEMA Disasters'!$D$2:$D$1000&amp;" ended: ["&amp;'FEMA Disasters'!$B$2:$B$1000&amp;"] "&amp;'FEMA Disasters'!$C$2:$C$1000&amp;"-"&amp;'FEMA Disasters'!$A$2:$A$1000,""),IF('FEMA Disasters'!$K$2:$K$1000=$A379,"Disaster SEP opens: "&amp;'FEMA Disasters'!$D$2:$D$1000&amp;" ["&amp;'FEMA Disasters'!$B$2:$B$1000&amp;"] "&amp;'FEMA Disasters'!$C$2:$C$1000&amp;"-"&amp;'FEMA Disasters'!$A$2:$A$1000,""),IF('FEMA Disasters'!$L$2:$L$1000=$A379,"Disaster SEP ended: "&amp;'FEMA Disasters'!$D$2:$D$1000&amp;" ["&amp;'FEMA Disasters'!$B$2:$B$1000&amp;"] "&amp;'FEMA Disasters'!$C$2:$C$1000&amp;"-"&amp;'FEMA Disasters'!$A$2:$A$1000,""))</f>
        <v/>
      </c>
      <c r="H379" s="4" t="n">
        <f aca="false">COUNTIF(Events!$A$2:$A$397,$A379)</f>
        <v>0</v>
      </c>
      <c r="I379" s="6" t="str">
        <f aca="false" t="array" ref="I379:I379">_xlfn.TEXTJOIN(" | ",TRUE(),IF(Events!$A$2:$A$397=$A379,Events!$E$2:$E$397&amp;IF(Events!$G$2:$G$397="National",""," ["&amp;Events!$G$2:$G$397&amp;"]"),""))</f>
        <v/>
      </c>
    </row>
    <row r="380" customFormat="false" ht="15" hidden="false" customHeight="true" outlineLevel="0" collapsed="false">
      <c r="A380" s="3" t="n">
        <v>45670</v>
      </c>
      <c r="B380" s="4" t="n">
        <f aca="false">YEAR($A380)</f>
        <v>2025</v>
      </c>
      <c r="C380" s="4" t="n">
        <f aca="false">MONTH($A380)</f>
        <v>1</v>
      </c>
      <c r="D380" s="4" t="str">
        <f aca="false">TEXT($A380,"ddd")</f>
        <v>Mon</v>
      </c>
      <c r="E380" s="4" t="n">
        <f aca="false">IF(OR(AND(MONTH($A380)=10,DAY($A380)&gt;=15),MONTH($A380)=11,AND(MONTH($A380)=12,DAY($A380)&lt;=7)),1,0)</f>
        <v>0</v>
      </c>
      <c r="F380" s="4" t="n">
        <f aca="false">IF(MONTH($A380)&lt;=3,1,0)</f>
        <v>1</v>
      </c>
      <c r="G380" s="4" t="str">
        <f aca="false" t="array" ref="G380:G380">_xlfn.TEXTJOIN(" | ",TRUE(),IF('FEMA Disasters'!$F$2:$F$1000=$A380,'FEMA Disasters'!$D$2:$D$1000&amp;" begin: ["&amp;'FEMA Disasters'!$B$2:$B$1000&amp;"] "&amp;'FEMA Disasters'!$C$2:$C$1000&amp;"-"&amp;'FEMA Disasters'!$A$2:$A$1000,""),IF('FEMA Disasters'!$G$2:$G$1000=$A380,'FEMA Disasters'!$D$2:$D$1000&amp;" ended: ["&amp;'FEMA Disasters'!$B$2:$B$1000&amp;"] "&amp;'FEMA Disasters'!$C$2:$C$1000&amp;"-"&amp;'FEMA Disasters'!$A$2:$A$1000,""),IF('FEMA Disasters'!$K$2:$K$1000=$A380,"Disaster SEP opens: "&amp;'FEMA Disasters'!$D$2:$D$1000&amp;" ["&amp;'FEMA Disasters'!$B$2:$B$1000&amp;"] "&amp;'FEMA Disasters'!$C$2:$C$1000&amp;"-"&amp;'FEMA Disasters'!$A$2:$A$1000,""),IF('FEMA Disasters'!$L$2:$L$1000=$A380,"Disaster SEP ended: "&amp;'FEMA Disasters'!$D$2:$D$1000&amp;" ["&amp;'FEMA Disasters'!$B$2:$B$1000&amp;"] "&amp;'FEMA Disasters'!$C$2:$C$1000&amp;"-"&amp;'FEMA Disasters'!$A$2:$A$1000,""))</f>
        <v/>
      </c>
      <c r="H380" s="4" t="n">
        <f aca="false">COUNTIF(Events!$A$2:$A$397,$A380)</f>
        <v>0</v>
      </c>
      <c r="I380" s="6" t="str">
        <f aca="false" t="array" ref="I380:I380">_xlfn.TEXTJOIN(" | ",TRUE(),IF(Events!$A$2:$A$397=$A380,Events!$E$2:$E$397&amp;IF(Events!$G$2:$G$397="National",""," ["&amp;Events!$G$2:$G$397&amp;"]"),""))</f>
        <v/>
      </c>
    </row>
    <row r="381" customFormat="false" ht="15" hidden="false" customHeight="true" outlineLevel="0" collapsed="false">
      <c r="A381" s="3" t="n">
        <v>45671</v>
      </c>
      <c r="B381" s="4" t="n">
        <f aca="false">YEAR($A381)</f>
        <v>2025</v>
      </c>
      <c r="C381" s="4" t="n">
        <f aca="false">MONTH($A381)</f>
        <v>1</v>
      </c>
      <c r="D381" s="4" t="str">
        <f aca="false">TEXT($A381,"ddd")</f>
        <v>Tue</v>
      </c>
      <c r="E381" s="4" t="n">
        <f aca="false">IF(OR(AND(MONTH($A381)=10,DAY($A381)&gt;=15),MONTH($A381)=11,AND(MONTH($A381)=12,DAY($A381)&lt;=7)),1,0)</f>
        <v>0</v>
      </c>
      <c r="F381" s="4" t="n">
        <f aca="false">IF(MONTH($A381)&lt;=3,1,0)</f>
        <v>1</v>
      </c>
      <c r="G381" s="4" t="str">
        <f aca="false" t="array" ref="G381:G381">_xlfn.TEXTJOIN(" | ",TRUE(),IF('FEMA Disasters'!$F$2:$F$1000=$A381,'FEMA Disasters'!$D$2:$D$1000&amp;" begin: ["&amp;'FEMA Disasters'!$B$2:$B$1000&amp;"] "&amp;'FEMA Disasters'!$C$2:$C$1000&amp;"-"&amp;'FEMA Disasters'!$A$2:$A$1000,""),IF('FEMA Disasters'!$G$2:$G$1000=$A381,'FEMA Disasters'!$D$2:$D$1000&amp;" ended: ["&amp;'FEMA Disasters'!$B$2:$B$1000&amp;"] "&amp;'FEMA Disasters'!$C$2:$C$1000&amp;"-"&amp;'FEMA Disasters'!$A$2:$A$1000,""),IF('FEMA Disasters'!$K$2:$K$1000=$A381,"Disaster SEP opens: "&amp;'FEMA Disasters'!$D$2:$D$1000&amp;" ["&amp;'FEMA Disasters'!$B$2:$B$1000&amp;"] "&amp;'FEMA Disasters'!$C$2:$C$1000&amp;"-"&amp;'FEMA Disasters'!$A$2:$A$1000,""),IF('FEMA Disasters'!$L$2:$L$1000=$A381,"Disaster SEP ended: "&amp;'FEMA Disasters'!$D$2:$D$1000&amp;" ["&amp;'FEMA Disasters'!$B$2:$B$1000&amp;"] "&amp;'FEMA Disasters'!$C$2:$C$1000&amp;"-"&amp;'FEMA Disasters'!$A$2:$A$1000,""))</f>
        <v/>
      </c>
      <c r="H381" s="4" t="n">
        <f aca="false">COUNTIF(Events!$A$2:$A$397,$A381)</f>
        <v>0</v>
      </c>
      <c r="I381" s="6" t="str">
        <f aca="false" t="array" ref="I381:I381">_xlfn.TEXTJOIN(" | ",TRUE(),IF(Events!$A$2:$A$397=$A381,Events!$E$2:$E$397&amp;IF(Events!$G$2:$G$397="National",""," ["&amp;Events!$G$2:$G$397&amp;"]"),""))</f>
        <v/>
      </c>
    </row>
    <row r="382" customFormat="false" ht="15" hidden="false" customHeight="true" outlineLevel="0" collapsed="false">
      <c r="A382" s="3" t="n">
        <v>45672</v>
      </c>
      <c r="B382" s="4" t="n">
        <f aca="false">YEAR($A382)</f>
        <v>2025</v>
      </c>
      <c r="C382" s="4" t="n">
        <f aca="false">MONTH($A382)</f>
        <v>1</v>
      </c>
      <c r="D382" s="4" t="str">
        <f aca="false">TEXT($A382,"ddd")</f>
        <v>Wed</v>
      </c>
      <c r="E382" s="4" t="n">
        <f aca="false">IF(OR(AND(MONTH($A382)=10,DAY($A382)&gt;=15),MONTH($A382)=11,AND(MONTH($A382)=12,DAY($A382)&lt;=7)),1,0)</f>
        <v>0</v>
      </c>
      <c r="F382" s="4" t="n">
        <f aca="false">IF(MONTH($A382)&lt;=3,1,0)</f>
        <v>1</v>
      </c>
      <c r="G382" s="4" t="str">
        <f aca="false" t="array" ref="G382:G382">_xlfn.TEXTJOIN(" | ",TRUE(),IF('FEMA Disasters'!$F$2:$F$1000=$A382,'FEMA Disasters'!$D$2:$D$1000&amp;" begin: ["&amp;'FEMA Disasters'!$B$2:$B$1000&amp;"] "&amp;'FEMA Disasters'!$C$2:$C$1000&amp;"-"&amp;'FEMA Disasters'!$A$2:$A$1000,""),IF('FEMA Disasters'!$G$2:$G$1000=$A382,'FEMA Disasters'!$D$2:$D$1000&amp;" ended: ["&amp;'FEMA Disasters'!$B$2:$B$1000&amp;"] "&amp;'FEMA Disasters'!$C$2:$C$1000&amp;"-"&amp;'FEMA Disasters'!$A$2:$A$1000,""),IF('FEMA Disasters'!$K$2:$K$1000=$A382,"Disaster SEP opens: "&amp;'FEMA Disasters'!$D$2:$D$1000&amp;" ["&amp;'FEMA Disasters'!$B$2:$B$1000&amp;"] "&amp;'FEMA Disasters'!$C$2:$C$1000&amp;"-"&amp;'FEMA Disasters'!$A$2:$A$1000,""),IF('FEMA Disasters'!$L$2:$L$1000=$A382,"Disaster SEP ended: "&amp;'FEMA Disasters'!$D$2:$D$1000&amp;" ["&amp;'FEMA Disasters'!$B$2:$B$1000&amp;"] "&amp;'FEMA Disasters'!$C$2:$C$1000&amp;"-"&amp;'FEMA Disasters'!$A$2:$A$1000,""))</f>
        <v/>
      </c>
      <c r="H382" s="4" t="n">
        <f aca="false">COUNTIF(Events!$A$2:$A$397,$A382)</f>
        <v>0</v>
      </c>
      <c r="I382" s="6" t="str">
        <f aca="false" t="array" ref="I382:I382">_xlfn.TEXTJOIN(" | ",TRUE(),IF(Events!$A$2:$A$397=$A382,Events!$E$2:$E$397&amp;IF(Events!$G$2:$G$397="National",""," ["&amp;Events!$G$2:$G$397&amp;"]"),""))</f>
        <v/>
      </c>
    </row>
    <row r="383" customFormat="false" ht="15" hidden="false" customHeight="true" outlineLevel="0" collapsed="false">
      <c r="A383" s="3" t="n">
        <v>45673</v>
      </c>
      <c r="B383" s="4" t="n">
        <f aca="false">YEAR($A383)</f>
        <v>2025</v>
      </c>
      <c r="C383" s="4" t="n">
        <f aca="false">MONTH($A383)</f>
        <v>1</v>
      </c>
      <c r="D383" s="4" t="str">
        <f aca="false">TEXT($A383,"ddd")</f>
        <v>Thu</v>
      </c>
      <c r="E383" s="4" t="n">
        <f aca="false">IF(OR(AND(MONTH($A383)=10,DAY($A383)&gt;=15),MONTH($A383)=11,AND(MONTH($A383)=12,DAY($A383)&lt;=7)),1,0)</f>
        <v>0</v>
      </c>
      <c r="F383" s="4" t="n">
        <f aca="false">IF(MONTH($A383)&lt;=3,1,0)</f>
        <v>1</v>
      </c>
      <c r="G383" s="4" t="str">
        <f aca="false" t="array" ref="G383:G383">_xlfn.TEXTJOIN(" | ",TRUE(),IF('FEMA Disasters'!$F$2:$F$1000=$A383,'FEMA Disasters'!$D$2:$D$1000&amp;" begin: ["&amp;'FEMA Disasters'!$B$2:$B$1000&amp;"] "&amp;'FEMA Disasters'!$C$2:$C$1000&amp;"-"&amp;'FEMA Disasters'!$A$2:$A$1000,""),IF('FEMA Disasters'!$G$2:$G$1000=$A383,'FEMA Disasters'!$D$2:$D$1000&amp;" ended: ["&amp;'FEMA Disasters'!$B$2:$B$1000&amp;"] "&amp;'FEMA Disasters'!$C$2:$C$1000&amp;"-"&amp;'FEMA Disasters'!$A$2:$A$1000,""),IF('FEMA Disasters'!$K$2:$K$1000=$A383,"Disaster SEP opens: "&amp;'FEMA Disasters'!$D$2:$D$1000&amp;" ["&amp;'FEMA Disasters'!$B$2:$B$1000&amp;"] "&amp;'FEMA Disasters'!$C$2:$C$1000&amp;"-"&amp;'FEMA Disasters'!$A$2:$A$1000,""),IF('FEMA Disasters'!$L$2:$L$1000=$A383,"Disaster SEP ended: "&amp;'FEMA Disasters'!$D$2:$D$1000&amp;" ["&amp;'FEMA Disasters'!$B$2:$B$1000&amp;"] "&amp;'FEMA Disasters'!$C$2:$C$1000&amp;"-"&amp;'FEMA Disasters'!$A$2:$A$1000,""))</f>
        <v/>
      </c>
      <c r="H383" s="4" t="n">
        <f aca="false">COUNTIF(Events!$A$2:$A$397,$A383)</f>
        <v>0</v>
      </c>
      <c r="I383" s="6" t="str">
        <f aca="false" t="array" ref="I383:I383">_xlfn.TEXTJOIN(" | ",TRUE(),IF(Events!$A$2:$A$397=$A383,Events!$E$2:$E$397&amp;IF(Events!$G$2:$G$397="National",""," ["&amp;Events!$G$2:$G$397&amp;"]"),""))</f>
        <v/>
      </c>
    </row>
    <row r="384" customFormat="false" ht="15" hidden="false" customHeight="true" outlineLevel="0" collapsed="false">
      <c r="A384" s="3" t="n">
        <v>45674</v>
      </c>
      <c r="B384" s="4" t="n">
        <f aca="false">YEAR($A384)</f>
        <v>2025</v>
      </c>
      <c r="C384" s="4" t="n">
        <f aca="false">MONTH($A384)</f>
        <v>1</v>
      </c>
      <c r="D384" s="4" t="str">
        <f aca="false">TEXT($A384,"ddd")</f>
        <v>Fri</v>
      </c>
      <c r="E384" s="4" t="n">
        <f aca="false">IF(OR(AND(MONTH($A384)=10,DAY($A384)&gt;=15),MONTH($A384)=11,AND(MONTH($A384)=12,DAY($A384)&lt;=7)),1,0)</f>
        <v>0</v>
      </c>
      <c r="F384" s="4" t="n">
        <f aca="false">IF(MONTH($A384)&lt;=3,1,0)</f>
        <v>1</v>
      </c>
      <c r="G384" s="4" t="str">
        <f aca="false" t="array" ref="G384:G384">_xlfn.TEXTJOIN(" | ",TRUE(),IF('FEMA Disasters'!$F$2:$F$1000=$A384,'FEMA Disasters'!$D$2:$D$1000&amp;" begin: ["&amp;'FEMA Disasters'!$B$2:$B$1000&amp;"] "&amp;'FEMA Disasters'!$C$2:$C$1000&amp;"-"&amp;'FEMA Disasters'!$A$2:$A$1000,""),IF('FEMA Disasters'!$G$2:$G$1000=$A384,'FEMA Disasters'!$D$2:$D$1000&amp;" ended: ["&amp;'FEMA Disasters'!$B$2:$B$1000&amp;"] "&amp;'FEMA Disasters'!$C$2:$C$1000&amp;"-"&amp;'FEMA Disasters'!$A$2:$A$1000,""),IF('FEMA Disasters'!$K$2:$K$1000=$A384,"Disaster SEP opens: "&amp;'FEMA Disasters'!$D$2:$D$1000&amp;" ["&amp;'FEMA Disasters'!$B$2:$B$1000&amp;"] "&amp;'FEMA Disasters'!$C$2:$C$1000&amp;"-"&amp;'FEMA Disasters'!$A$2:$A$1000,""),IF('FEMA Disasters'!$L$2:$L$1000=$A384,"Disaster SEP ended: "&amp;'FEMA Disasters'!$D$2:$D$1000&amp;" ["&amp;'FEMA Disasters'!$B$2:$B$1000&amp;"] "&amp;'FEMA Disasters'!$C$2:$C$1000&amp;"-"&amp;'FEMA Disasters'!$A$2:$A$1000,""))</f>
        <v/>
      </c>
      <c r="H384" s="4" t="n">
        <f aca="false">COUNTIF(Events!$A$2:$A$397,$A384)</f>
        <v>1</v>
      </c>
      <c r="I384" s="6" t="str">
        <f aca="false" t="array" ref="I384:I384">_xlfn.TEXTJOIN(" | ",TRUE(),IF(Events!$A$2:$A$397=$A384,Events!$E$2:$E$397&amp;IF(Events!$G$2:$G$397="National",""," ["&amp;Events!$G$2:$G$397&amp;"]"),""))</f>
        <v>CMS announces 15 additional Part D drugs selected for negotiation round 2 (effective 1/1/2027)</v>
      </c>
    </row>
    <row r="385" customFormat="false" ht="15" hidden="false" customHeight="true" outlineLevel="0" collapsed="false">
      <c r="A385" s="3" t="n">
        <v>45675</v>
      </c>
      <c r="B385" s="4" t="n">
        <f aca="false">YEAR($A385)</f>
        <v>2025</v>
      </c>
      <c r="C385" s="4" t="n">
        <f aca="false">MONTH($A385)</f>
        <v>1</v>
      </c>
      <c r="D385" s="4" t="str">
        <f aca="false">TEXT($A385,"ddd")</f>
        <v>Sat</v>
      </c>
      <c r="E385" s="4" t="n">
        <f aca="false">IF(OR(AND(MONTH($A385)=10,DAY($A385)&gt;=15),MONTH($A385)=11,AND(MONTH($A385)=12,DAY($A385)&lt;=7)),1,0)</f>
        <v>0</v>
      </c>
      <c r="F385" s="4" t="n">
        <f aca="false">IF(MONTH($A385)&lt;=3,1,0)</f>
        <v>1</v>
      </c>
      <c r="G385" s="4" t="str">
        <f aca="false" t="array" ref="G385:G385">_xlfn.TEXTJOIN(" | ",TRUE(),IF('FEMA Disasters'!$F$2:$F$1000=$A385,'FEMA Disasters'!$D$2:$D$1000&amp;" begin: ["&amp;'FEMA Disasters'!$B$2:$B$1000&amp;"] "&amp;'FEMA Disasters'!$C$2:$C$1000&amp;"-"&amp;'FEMA Disasters'!$A$2:$A$1000,""),IF('FEMA Disasters'!$G$2:$G$1000=$A385,'FEMA Disasters'!$D$2:$D$1000&amp;" ended: ["&amp;'FEMA Disasters'!$B$2:$B$1000&amp;"] "&amp;'FEMA Disasters'!$C$2:$C$1000&amp;"-"&amp;'FEMA Disasters'!$A$2:$A$1000,""),IF('FEMA Disasters'!$K$2:$K$1000=$A385,"Disaster SEP opens: "&amp;'FEMA Disasters'!$D$2:$D$1000&amp;" ["&amp;'FEMA Disasters'!$B$2:$B$1000&amp;"] "&amp;'FEMA Disasters'!$C$2:$C$1000&amp;"-"&amp;'FEMA Disasters'!$A$2:$A$1000,""),IF('FEMA Disasters'!$L$2:$L$1000=$A385,"Disaster SEP ended: "&amp;'FEMA Disasters'!$D$2:$D$1000&amp;" ["&amp;'FEMA Disasters'!$B$2:$B$1000&amp;"] "&amp;'FEMA Disasters'!$C$2:$C$1000&amp;"-"&amp;'FEMA Disasters'!$A$2:$A$1000,""))</f>
        <v/>
      </c>
      <c r="H385" s="4" t="n">
        <f aca="false">COUNTIF(Events!$A$2:$A$397,$A385)</f>
        <v>0</v>
      </c>
      <c r="I385" s="6" t="str">
        <f aca="false" t="array" ref="I385:I385">_xlfn.TEXTJOIN(" | ",TRUE(),IF(Events!$A$2:$A$397=$A385,Events!$E$2:$E$397&amp;IF(Events!$G$2:$G$397="National",""," ["&amp;Events!$G$2:$G$397&amp;"]"),""))</f>
        <v/>
      </c>
    </row>
    <row r="386" customFormat="false" ht="15" hidden="false" customHeight="true" outlineLevel="0" collapsed="false">
      <c r="A386" s="3" t="n">
        <v>45676</v>
      </c>
      <c r="B386" s="4" t="n">
        <f aca="false">YEAR($A386)</f>
        <v>2025</v>
      </c>
      <c r="C386" s="4" t="n">
        <f aca="false">MONTH($A386)</f>
        <v>1</v>
      </c>
      <c r="D386" s="4" t="str">
        <f aca="false">TEXT($A386,"ddd")</f>
        <v>Sun</v>
      </c>
      <c r="E386" s="4" t="n">
        <f aca="false">IF(OR(AND(MONTH($A386)=10,DAY($A386)&gt;=15),MONTH($A386)=11,AND(MONTH($A386)=12,DAY($A386)&lt;=7)),1,0)</f>
        <v>0</v>
      </c>
      <c r="F386" s="4" t="n">
        <f aca="false">IF(MONTH($A386)&lt;=3,1,0)</f>
        <v>1</v>
      </c>
      <c r="G386" s="4" t="str">
        <f aca="false" t="array" ref="G386:G386">_xlfn.TEXTJOIN(" | ",TRUE(),IF('FEMA Disasters'!$F$2:$F$1000=$A386,'FEMA Disasters'!$D$2:$D$1000&amp;" begin: ["&amp;'FEMA Disasters'!$B$2:$B$1000&amp;"] "&amp;'FEMA Disasters'!$C$2:$C$1000&amp;"-"&amp;'FEMA Disasters'!$A$2:$A$1000,""),IF('FEMA Disasters'!$G$2:$G$1000=$A386,'FEMA Disasters'!$D$2:$D$1000&amp;" ended: ["&amp;'FEMA Disasters'!$B$2:$B$1000&amp;"] "&amp;'FEMA Disasters'!$C$2:$C$1000&amp;"-"&amp;'FEMA Disasters'!$A$2:$A$1000,""),IF('FEMA Disasters'!$K$2:$K$1000=$A386,"Disaster SEP opens: "&amp;'FEMA Disasters'!$D$2:$D$1000&amp;" ["&amp;'FEMA Disasters'!$B$2:$B$1000&amp;"] "&amp;'FEMA Disasters'!$C$2:$C$1000&amp;"-"&amp;'FEMA Disasters'!$A$2:$A$1000,""),IF('FEMA Disasters'!$L$2:$L$1000=$A386,"Disaster SEP ended: "&amp;'FEMA Disasters'!$D$2:$D$1000&amp;" ["&amp;'FEMA Disasters'!$B$2:$B$1000&amp;"] "&amp;'FEMA Disasters'!$C$2:$C$1000&amp;"-"&amp;'FEMA Disasters'!$A$2:$A$1000,""))</f>
        <v/>
      </c>
      <c r="H386" s="4" t="n">
        <f aca="false">COUNTIF(Events!$A$2:$A$397,$A386)</f>
        <v>0</v>
      </c>
      <c r="I386" s="6" t="str">
        <f aca="false" t="array" ref="I386:I386">_xlfn.TEXTJOIN(" | ",TRUE(),IF(Events!$A$2:$A$397=$A386,Events!$E$2:$E$397&amp;IF(Events!$G$2:$G$397="National",""," ["&amp;Events!$G$2:$G$397&amp;"]"),""))</f>
        <v/>
      </c>
    </row>
    <row r="387" customFormat="false" ht="15" hidden="false" customHeight="true" outlineLevel="0" collapsed="false">
      <c r="A387" s="3" t="n">
        <v>45677</v>
      </c>
      <c r="B387" s="4" t="n">
        <f aca="false">YEAR($A387)</f>
        <v>2025</v>
      </c>
      <c r="C387" s="4" t="n">
        <f aca="false">MONTH($A387)</f>
        <v>1</v>
      </c>
      <c r="D387" s="4" t="str">
        <f aca="false">TEXT($A387,"ddd")</f>
        <v>Mon</v>
      </c>
      <c r="E387" s="4" t="n">
        <f aca="false">IF(OR(AND(MONTH($A387)=10,DAY($A387)&gt;=15),MONTH($A387)=11,AND(MONTH($A387)=12,DAY($A387)&lt;=7)),1,0)</f>
        <v>0</v>
      </c>
      <c r="F387" s="4" t="n">
        <f aca="false">IF(MONTH($A387)&lt;=3,1,0)</f>
        <v>1</v>
      </c>
      <c r="G387" s="4" t="str">
        <f aca="false" t="array" ref="G387:G387">_xlfn.TEXTJOIN(" | ",TRUE(),IF('FEMA Disasters'!$F$2:$F$1000=$A387,'FEMA Disasters'!$D$2:$D$1000&amp;" begin: ["&amp;'FEMA Disasters'!$B$2:$B$1000&amp;"] "&amp;'FEMA Disasters'!$C$2:$C$1000&amp;"-"&amp;'FEMA Disasters'!$A$2:$A$1000,""),IF('FEMA Disasters'!$G$2:$G$1000=$A387,'FEMA Disasters'!$D$2:$D$1000&amp;" ended: ["&amp;'FEMA Disasters'!$B$2:$B$1000&amp;"] "&amp;'FEMA Disasters'!$C$2:$C$1000&amp;"-"&amp;'FEMA Disasters'!$A$2:$A$1000,""),IF('FEMA Disasters'!$K$2:$K$1000=$A387,"Disaster SEP opens: "&amp;'FEMA Disasters'!$D$2:$D$1000&amp;" ["&amp;'FEMA Disasters'!$B$2:$B$1000&amp;"] "&amp;'FEMA Disasters'!$C$2:$C$1000&amp;"-"&amp;'FEMA Disasters'!$A$2:$A$1000,""),IF('FEMA Disasters'!$L$2:$L$1000=$A387,"Disaster SEP ended: "&amp;'FEMA Disasters'!$D$2:$D$1000&amp;" ["&amp;'FEMA Disasters'!$B$2:$B$1000&amp;"] "&amp;'FEMA Disasters'!$C$2:$C$1000&amp;"-"&amp;'FEMA Disasters'!$A$2:$A$1000,""))</f>
        <v/>
      </c>
      <c r="H387" s="4" t="n">
        <f aca="false">COUNTIF(Events!$A$2:$A$397,$A387)</f>
        <v>0</v>
      </c>
      <c r="I387" s="6" t="str">
        <f aca="false" t="array" ref="I387:I387">_xlfn.TEXTJOIN(" | ",TRUE(),IF(Events!$A$2:$A$397=$A387,Events!$E$2:$E$397&amp;IF(Events!$G$2:$G$397="National",""," ["&amp;Events!$G$2:$G$397&amp;"]"),""))</f>
        <v/>
      </c>
    </row>
    <row r="388" customFormat="false" ht="15" hidden="false" customHeight="true" outlineLevel="0" collapsed="false">
      <c r="A388" s="3" t="n">
        <v>45678</v>
      </c>
      <c r="B388" s="4" t="n">
        <f aca="false">YEAR($A388)</f>
        <v>2025</v>
      </c>
      <c r="C388" s="4" t="n">
        <f aca="false">MONTH($A388)</f>
        <v>1</v>
      </c>
      <c r="D388" s="4" t="str">
        <f aca="false">TEXT($A388,"ddd")</f>
        <v>Tue</v>
      </c>
      <c r="E388" s="4" t="n">
        <f aca="false">IF(OR(AND(MONTH($A388)=10,DAY($A388)&gt;=15),MONTH($A388)=11,AND(MONTH($A388)=12,DAY($A388)&lt;=7)),1,0)</f>
        <v>0</v>
      </c>
      <c r="F388" s="4" t="n">
        <f aca="false">IF(MONTH($A388)&lt;=3,1,0)</f>
        <v>1</v>
      </c>
      <c r="G388" s="4" t="str">
        <f aca="false" t="array" ref="G388:G388">_xlfn.TEXTJOIN(" | ",TRUE(),IF('FEMA Disasters'!$F$2:$F$1000=$A388,'FEMA Disasters'!$D$2:$D$1000&amp;" begin: ["&amp;'FEMA Disasters'!$B$2:$B$1000&amp;"] "&amp;'FEMA Disasters'!$C$2:$C$1000&amp;"-"&amp;'FEMA Disasters'!$A$2:$A$1000,""),IF('FEMA Disasters'!$G$2:$G$1000=$A388,'FEMA Disasters'!$D$2:$D$1000&amp;" ended: ["&amp;'FEMA Disasters'!$B$2:$B$1000&amp;"] "&amp;'FEMA Disasters'!$C$2:$C$1000&amp;"-"&amp;'FEMA Disasters'!$A$2:$A$1000,""),IF('FEMA Disasters'!$K$2:$K$1000=$A388,"Disaster SEP opens: "&amp;'FEMA Disasters'!$D$2:$D$1000&amp;" ["&amp;'FEMA Disasters'!$B$2:$B$1000&amp;"] "&amp;'FEMA Disasters'!$C$2:$C$1000&amp;"-"&amp;'FEMA Disasters'!$A$2:$A$1000,""),IF('FEMA Disasters'!$L$2:$L$1000=$A388,"Disaster SEP ended: "&amp;'FEMA Disasters'!$D$2:$D$1000&amp;" ["&amp;'FEMA Disasters'!$B$2:$B$1000&amp;"] "&amp;'FEMA Disasters'!$C$2:$C$1000&amp;"-"&amp;'FEMA Disasters'!$A$2:$A$1000,""))</f>
        <v/>
      </c>
      <c r="H388" s="4" t="n">
        <f aca="false">COUNTIF(Events!$A$2:$A$397,$A388)</f>
        <v>0</v>
      </c>
      <c r="I388" s="6" t="str">
        <f aca="false" t="array" ref="I388:I388">_xlfn.TEXTJOIN(" | ",TRUE(),IF(Events!$A$2:$A$397=$A388,Events!$E$2:$E$397&amp;IF(Events!$G$2:$G$397="National",""," ["&amp;Events!$G$2:$G$397&amp;"]"),""))</f>
        <v/>
      </c>
    </row>
    <row r="389" customFormat="false" ht="15" hidden="false" customHeight="true" outlineLevel="0" collapsed="false">
      <c r="A389" s="3" t="n">
        <v>45679</v>
      </c>
      <c r="B389" s="4" t="n">
        <f aca="false">YEAR($A389)</f>
        <v>2025</v>
      </c>
      <c r="C389" s="4" t="n">
        <f aca="false">MONTH($A389)</f>
        <v>1</v>
      </c>
      <c r="D389" s="4" t="str">
        <f aca="false">TEXT($A389,"ddd")</f>
        <v>Wed</v>
      </c>
      <c r="E389" s="4" t="n">
        <f aca="false">IF(OR(AND(MONTH($A389)=10,DAY($A389)&gt;=15),MONTH($A389)=11,AND(MONTH($A389)=12,DAY($A389)&lt;=7)),1,0)</f>
        <v>0</v>
      </c>
      <c r="F389" s="4" t="n">
        <f aca="false">IF(MONTH($A389)&lt;=3,1,0)</f>
        <v>1</v>
      </c>
      <c r="G389" s="4" t="str">
        <f aca="false" t="array" ref="G389:G389">_xlfn.TEXTJOIN(" | ",TRUE(),IF('FEMA Disasters'!$F$2:$F$1000=$A389,'FEMA Disasters'!$D$2:$D$1000&amp;" begin: ["&amp;'FEMA Disasters'!$B$2:$B$1000&amp;"] "&amp;'FEMA Disasters'!$C$2:$C$1000&amp;"-"&amp;'FEMA Disasters'!$A$2:$A$1000,""),IF('FEMA Disasters'!$G$2:$G$1000=$A389,'FEMA Disasters'!$D$2:$D$1000&amp;" ended: ["&amp;'FEMA Disasters'!$B$2:$B$1000&amp;"] "&amp;'FEMA Disasters'!$C$2:$C$1000&amp;"-"&amp;'FEMA Disasters'!$A$2:$A$1000,""),IF('FEMA Disasters'!$K$2:$K$1000=$A389,"Disaster SEP opens: "&amp;'FEMA Disasters'!$D$2:$D$1000&amp;" ["&amp;'FEMA Disasters'!$B$2:$B$1000&amp;"] "&amp;'FEMA Disasters'!$C$2:$C$1000&amp;"-"&amp;'FEMA Disasters'!$A$2:$A$1000,""),IF('FEMA Disasters'!$L$2:$L$1000=$A389,"Disaster SEP ended: "&amp;'FEMA Disasters'!$D$2:$D$1000&amp;" ["&amp;'FEMA Disasters'!$B$2:$B$1000&amp;"] "&amp;'FEMA Disasters'!$C$2:$C$1000&amp;"-"&amp;'FEMA Disasters'!$A$2:$A$1000,""))</f>
        <v/>
      </c>
      <c r="H389" s="4" t="n">
        <f aca="false">COUNTIF(Events!$A$2:$A$397,$A389)</f>
        <v>0</v>
      </c>
      <c r="I389" s="6" t="str">
        <f aca="false" t="array" ref="I389:I389">_xlfn.TEXTJOIN(" | ",TRUE(),IF(Events!$A$2:$A$397=$A389,Events!$E$2:$E$397&amp;IF(Events!$G$2:$G$397="National",""," ["&amp;Events!$G$2:$G$397&amp;"]"),""))</f>
        <v/>
      </c>
    </row>
    <row r="390" customFormat="false" ht="15" hidden="false" customHeight="true" outlineLevel="0" collapsed="false">
      <c r="A390" s="3" t="n">
        <v>45680</v>
      </c>
      <c r="B390" s="4" t="n">
        <f aca="false">YEAR($A390)</f>
        <v>2025</v>
      </c>
      <c r="C390" s="4" t="n">
        <f aca="false">MONTH($A390)</f>
        <v>1</v>
      </c>
      <c r="D390" s="4" t="str">
        <f aca="false">TEXT($A390,"ddd")</f>
        <v>Thu</v>
      </c>
      <c r="E390" s="4" t="n">
        <f aca="false">IF(OR(AND(MONTH($A390)=10,DAY($A390)&gt;=15),MONTH($A390)=11,AND(MONTH($A390)=12,DAY($A390)&lt;=7)),1,0)</f>
        <v>0</v>
      </c>
      <c r="F390" s="4" t="n">
        <f aca="false">IF(MONTH($A390)&lt;=3,1,0)</f>
        <v>1</v>
      </c>
      <c r="G390" s="4" t="str">
        <f aca="false" t="array" ref="G390:G390">_xlfn.TEXTJOIN(" | ",TRUE(),IF('FEMA Disasters'!$F$2:$F$1000=$A390,'FEMA Disasters'!$D$2:$D$1000&amp;" begin: ["&amp;'FEMA Disasters'!$B$2:$B$1000&amp;"] "&amp;'FEMA Disasters'!$C$2:$C$1000&amp;"-"&amp;'FEMA Disasters'!$A$2:$A$1000,""),IF('FEMA Disasters'!$G$2:$G$1000=$A390,'FEMA Disasters'!$D$2:$D$1000&amp;" ended: ["&amp;'FEMA Disasters'!$B$2:$B$1000&amp;"] "&amp;'FEMA Disasters'!$C$2:$C$1000&amp;"-"&amp;'FEMA Disasters'!$A$2:$A$1000,""),IF('FEMA Disasters'!$K$2:$K$1000=$A390,"Disaster SEP opens: "&amp;'FEMA Disasters'!$D$2:$D$1000&amp;" ["&amp;'FEMA Disasters'!$B$2:$B$1000&amp;"] "&amp;'FEMA Disasters'!$C$2:$C$1000&amp;"-"&amp;'FEMA Disasters'!$A$2:$A$1000,""),IF('FEMA Disasters'!$L$2:$L$1000=$A390,"Disaster SEP ended: "&amp;'FEMA Disasters'!$D$2:$D$1000&amp;" ["&amp;'FEMA Disasters'!$B$2:$B$1000&amp;"] "&amp;'FEMA Disasters'!$C$2:$C$1000&amp;"-"&amp;'FEMA Disasters'!$A$2:$A$1000,""))</f>
        <v/>
      </c>
      <c r="H390" s="4" t="n">
        <f aca="false">COUNTIF(Events!$A$2:$A$397,$A390)</f>
        <v>0</v>
      </c>
      <c r="I390" s="6" t="str">
        <f aca="false" t="array" ref="I390:I390">_xlfn.TEXTJOIN(" | ",TRUE(),IF(Events!$A$2:$A$397=$A390,Events!$E$2:$E$397&amp;IF(Events!$G$2:$G$397="National",""," ["&amp;Events!$G$2:$G$397&amp;"]"),""))</f>
        <v/>
      </c>
    </row>
    <row r="391" customFormat="false" ht="15" hidden="false" customHeight="true" outlineLevel="0" collapsed="false">
      <c r="A391" s="3" t="n">
        <v>45681</v>
      </c>
      <c r="B391" s="4" t="n">
        <f aca="false">YEAR($A391)</f>
        <v>2025</v>
      </c>
      <c r="C391" s="4" t="n">
        <f aca="false">MONTH($A391)</f>
        <v>1</v>
      </c>
      <c r="D391" s="4" t="str">
        <f aca="false">TEXT($A391,"ddd")</f>
        <v>Fri</v>
      </c>
      <c r="E391" s="4" t="n">
        <f aca="false">IF(OR(AND(MONTH($A391)=10,DAY($A391)&gt;=15),MONTH($A391)=11,AND(MONTH($A391)=12,DAY($A391)&lt;=7)),1,0)</f>
        <v>0</v>
      </c>
      <c r="F391" s="4" t="n">
        <f aca="false">IF(MONTH($A391)&lt;=3,1,0)</f>
        <v>1</v>
      </c>
      <c r="G391" s="4" t="str">
        <f aca="false" t="array" ref="G391:G391">_xlfn.TEXTJOIN(" | ",TRUE(),IF('FEMA Disasters'!$F$2:$F$1000=$A391,'FEMA Disasters'!$D$2:$D$1000&amp;" begin: ["&amp;'FEMA Disasters'!$B$2:$B$1000&amp;"] "&amp;'FEMA Disasters'!$C$2:$C$1000&amp;"-"&amp;'FEMA Disasters'!$A$2:$A$1000,""),IF('FEMA Disasters'!$G$2:$G$1000=$A391,'FEMA Disasters'!$D$2:$D$1000&amp;" ended: ["&amp;'FEMA Disasters'!$B$2:$B$1000&amp;"] "&amp;'FEMA Disasters'!$C$2:$C$1000&amp;"-"&amp;'FEMA Disasters'!$A$2:$A$1000,""),IF('FEMA Disasters'!$K$2:$K$1000=$A391,"Disaster SEP opens: "&amp;'FEMA Disasters'!$D$2:$D$1000&amp;" ["&amp;'FEMA Disasters'!$B$2:$B$1000&amp;"] "&amp;'FEMA Disasters'!$C$2:$C$1000&amp;"-"&amp;'FEMA Disasters'!$A$2:$A$1000,""),IF('FEMA Disasters'!$L$2:$L$1000=$A391,"Disaster SEP ended: "&amp;'FEMA Disasters'!$D$2:$D$1000&amp;" ["&amp;'FEMA Disasters'!$B$2:$B$1000&amp;"] "&amp;'FEMA Disasters'!$C$2:$C$1000&amp;"-"&amp;'FEMA Disasters'!$A$2:$A$1000,""))</f>
        <v/>
      </c>
      <c r="H391" s="4" t="n">
        <f aca="false">COUNTIF(Events!$A$2:$A$397,$A391)</f>
        <v>0</v>
      </c>
      <c r="I391" s="6" t="str">
        <f aca="false" t="array" ref="I391:I391">_xlfn.TEXTJOIN(" | ",TRUE(),IF(Events!$A$2:$A$397=$A391,Events!$E$2:$E$397&amp;IF(Events!$G$2:$G$397="National",""," ["&amp;Events!$G$2:$G$397&amp;"]"),""))</f>
        <v/>
      </c>
    </row>
    <row r="392" customFormat="false" ht="15" hidden="false" customHeight="true" outlineLevel="0" collapsed="false">
      <c r="A392" s="3" t="n">
        <v>45682</v>
      </c>
      <c r="B392" s="4" t="n">
        <f aca="false">YEAR($A392)</f>
        <v>2025</v>
      </c>
      <c r="C392" s="4" t="n">
        <f aca="false">MONTH($A392)</f>
        <v>1</v>
      </c>
      <c r="D392" s="4" t="str">
        <f aca="false">TEXT($A392,"ddd")</f>
        <v>Sat</v>
      </c>
      <c r="E392" s="4" t="n">
        <f aca="false">IF(OR(AND(MONTH($A392)=10,DAY($A392)&gt;=15),MONTH($A392)=11,AND(MONTH($A392)=12,DAY($A392)&lt;=7)),1,0)</f>
        <v>0</v>
      </c>
      <c r="F392" s="4" t="n">
        <f aca="false">IF(MONTH($A392)&lt;=3,1,0)</f>
        <v>1</v>
      </c>
      <c r="G392" s="4" t="str">
        <f aca="false" t="array" ref="G392:G392">_xlfn.TEXTJOIN(" | ",TRUE(),IF('FEMA Disasters'!$F$2:$F$1000=$A392,'FEMA Disasters'!$D$2:$D$1000&amp;" begin: ["&amp;'FEMA Disasters'!$B$2:$B$1000&amp;"] "&amp;'FEMA Disasters'!$C$2:$C$1000&amp;"-"&amp;'FEMA Disasters'!$A$2:$A$1000,""),IF('FEMA Disasters'!$G$2:$G$1000=$A392,'FEMA Disasters'!$D$2:$D$1000&amp;" ended: ["&amp;'FEMA Disasters'!$B$2:$B$1000&amp;"] "&amp;'FEMA Disasters'!$C$2:$C$1000&amp;"-"&amp;'FEMA Disasters'!$A$2:$A$1000,""),IF('FEMA Disasters'!$K$2:$K$1000=$A392,"Disaster SEP opens: "&amp;'FEMA Disasters'!$D$2:$D$1000&amp;" ["&amp;'FEMA Disasters'!$B$2:$B$1000&amp;"] "&amp;'FEMA Disasters'!$C$2:$C$1000&amp;"-"&amp;'FEMA Disasters'!$A$2:$A$1000,""),IF('FEMA Disasters'!$L$2:$L$1000=$A392,"Disaster SEP ended: "&amp;'FEMA Disasters'!$D$2:$D$1000&amp;" ["&amp;'FEMA Disasters'!$B$2:$B$1000&amp;"] "&amp;'FEMA Disasters'!$C$2:$C$1000&amp;"-"&amp;'FEMA Disasters'!$A$2:$A$1000,""))</f>
        <v/>
      </c>
      <c r="H392" s="4" t="n">
        <f aca="false">COUNTIF(Events!$A$2:$A$397,$A392)</f>
        <v>0</v>
      </c>
      <c r="I392" s="6" t="str">
        <f aca="false" t="array" ref="I392:I392">_xlfn.TEXTJOIN(" | ",TRUE(),IF(Events!$A$2:$A$397=$A392,Events!$E$2:$E$397&amp;IF(Events!$G$2:$G$397="National",""," ["&amp;Events!$G$2:$G$397&amp;"]"),""))</f>
        <v/>
      </c>
    </row>
    <row r="393" customFormat="false" ht="15" hidden="false" customHeight="true" outlineLevel="0" collapsed="false">
      <c r="A393" s="3" t="n">
        <v>45683</v>
      </c>
      <c r="B393" s="4" t="n">
        <f aca="false">YEAR($A393)</f>
        <v>2025</v>
      </c>
      <c r="C393" s="4" t="n">
        <f aca="false">MONTH($A393)</f>
        <v>1</v>
      </c>
      <c r="D393" s="4" t="str">
        <f aca="false">TEXT($A393,"ddd")</f>
        <v>Sun</v>
      </c>
      <c r="E393" s="4" t="n">
        <f aca="false">IF(OR(AND(MONTH($A393)=10,DAY($A393)&gt;=15),MONTH($A393)=11,AND(MONTH($A393)=12,DAY($A393)&lt;=7)),1,0)</f>
        <v>0</v>
      </c>
      <c r="F393" s="4" t="n">
        <f aca="false">IF(MONTH($A393)&lt;=3,1,0)</f>
        <v>1</v>
      </c>
      <c r="G393" s="4" t="str">
        <f aca="false" t="array" ref="G393:G393">_xlfn.TEXTJOIN(" | ",TRUE(),IF('FEMA Disasters'!$F$2:$F$1000=$A393,'FEMA Disasters'!$D$2:$D$1000&amp;" begin: ["&amp;'FEMA Disasters'!$B$2:$B$1000&amp;"] "&amp;'FEMA Disasters'!$C$2:$C$1000&amp;"-"&amp;'FEMA Disasters'!$A$2:$A$1000,""),IF('FEMA Disasters'!$G$2:$G$1000=$A393,'FEMA Disasters'!$D$2:$D$1000&amp;" ended: ["&amp;'FEMA Disasters'!$B$2:$B$1000&amp;"] "&amp;'FEMA Disasters'!$C$2:$C$1000&amp;"-"&amp;'FEMA Disasters'!$A$2:$A$1000,""),IF('FEMA Disasters'!$K$2:$K$1000=$A393,"Disaster SEP opens: "&amp;'FEMA Disasters'!$D$2:$D$1000&amp;" ["&amp;'FEMA Disasters'!$B$2:$B$1000&amp;"] "&amp;'FEMA Disasters'!$C$2:$C$1000&amp;"-"&amp;'FEMA Disasters'!$A$2:$A$1000,""),IF('FEMA Disasters'!$L$2:$L$1000=$A393,"Disaster SEP ended: "&amp;'FEMA Disasters'!$D$2:$D$1000&amp;" ["&amp;'FEMA Disasters'!$B$2:$B$1000&amp;"] "&amp;'FEMA Disasters'!$C$2:$C$1000&amp;"-"&amp;'FEMA Disasters'!$A$2:$A$1000,""))</f>
        <v/>
      </c>
      <c r="H393" s="4" t="n">
        <f aca="false">COUNTIF(Events!$A$2:$A$397,$A393)</f>
        <v>0</v>
      </c>
      <c r="I393" s="6" t="str">
        <f aca="false" t="array" ref="I393:I393">_xlfn.TEXTJOIN(" | ",TRUE(),IF(Events!$A$2:$A$397=$A393,Events!$E$2:$E$397&amp;IF(Events!$G$2:$G$397="National",""," ["&amp;Events!$G$2:$G$397&amp;"]"),""))</f>
        <v/>
      </c>
    </row>
    <row r="394" customFormat="false" ht="15" hidden="false" customHeight="true" outlineLevel="0" collapsed="false">
      <c r="A394" s="3" t="n">
        <v>45684</v>
      </c>
      <c r="B394" s="4" t="n">
        <f aca="false">YEAR($A394)</f>
        <v>2025</v>
      </c>
      <c r="C394" s="4" t="n">
        <f aca="false">MONTH($A394)</f>
        <v>1</v>
      </c>
      <c r="D394" s="4" t="str">
        <f aca="false">TEXT($A394,"ddd")</f>
        <v>Mon</v>
      </c>
      <c r="E394" s="4" t="n">
        <f aca="false">IF(OR(AND(MONTH($A394)=10,DAY($A394)&gt;=15),MONTH($A394)=11,AND(MONTH($A394)=12,DAY($A394)&lt;=7)),1,0)</f>
        <v>0</v>
      </c>
      <c r="F394" s="4" t="n">
        <f aca="false">IF(MONTH($A394)&lt;=3,1,0)</f>
        <v>1</v>
      </c>
      <c r="G394" s="4" t="str">
        <f aca="false" t="array" ref="G394:G394">_xlfn.TEXTJOIN(" | ",TRUE(),IF('FEMA Disasters'!$F$2:$F$1000=$A394,'FEMA Disasters'!$D$2:$D$1000&amp;" begin: ["&amp;'FEMA Disasters'!$B$2:$B$1000&amp;"] "&amp;'FEMA Disasters'!$C$2:$C$1000&amp;"-"&amp;'FEMA Disasters'!$A$2:$A$1000,""),IF('FEMA Disasters'!$G$2:$G$1000=$A394,'FEMA Disasters'!$D$2:$D$1000&amp;" ended: ["&amp;'FEMA Disasters'!$B$2:$B$1000&amp;"] "&amp;'FEMA Disasters'!$C$2:$C$1000&amp;"-"&amp;'FEMA Disasters'!$A$2:$A$1000,""),IF('FEMA Disasters'!$K$2:$K$1000=$A394,"Disaster SEP opens: "&amp;'FEMA Disasters'!$D$2:$D$1000&amp;" ["&amp;'FEMA Disasters'!$B$2:$B$1000&amp;"] "&amp;'FEMA Disasters'!$C$2:$C$1000&amp;"-"&amp;'FEMA Disasters'!$A$2:$A$1000,""),IF('FEMA Disasters'!$L$2:$L$1000=$A394,"Disaster SEP ended: "&amp;'FEMA Disasters'!$D$2:$D$1000&amp;" ["&amp;'FEMA Disasters'!$B$2:$B$1000&amp;"] "&amp;'FEMA Disasters'!$C$2:$C$1000&amp;"-"&amp;'FEMA Disasters'!$A$2:$A$1000,""))</f>
        <v/>
      </c>
      <c r="H394" s="4" t="n">
        <f aca="false">COUNTIF(Events!$A$2:$A$397,$A394)</f>
        <v>0</v>
      </c>
      <c r="I394" s="6" t="str">
        <f aca="false" t="array" ref="I394:I394">_xlfn.TEXTJOIN(" | ",TRUE(),IF(Events!$A$2:$A$397=$A394,Events!$E$2:$E$397&amp;IF(Events!$G$2:$G$397="National",""," ["&amp;Events!$G$2:$G$397&amp;"]"),""))</f>
        <v/>
      </c>
    </row>
    <row r="395" customFormat="false" ht="15" hidden="false" customHeight="true" outlineLevel="0" collapsed="false">
      <c r="A395" s="3" t="n">
        <v>45685</v>
      </c>
      <c r="B395" s="4" t="n">
        <f aca="false">YEAR($A395)</f>
        <v>2025</v>
      </c>
      <c r="C395" s="4" t="n">
        <f aca="false">MONTH($A395)</f>
        <v>1</v>
      </c>
      <c r="D395" s="4" t="str">
        <f aca="false">TEXT($A395,"ddd")</f>
        <v>Tue</v>
      </c>
      <c r="E395" s="4" t="n">
        <f aca="false">IF(OR(AND(MONTH($A395)=10,DAY($A395)&gt;=15),MONTH($A395)=11,AND(MONTH($A395)=12,DAY($A395)&lt;=7)),1,0)</f>
        <v>0</v>
      </c>
      <c r="F395" s="4" t="n">
        <f aca="false">IF(MONTH($A395)&lt;=3,1,0)</f>
        <v>1</v>
      </c>
      <c r="G395" s="4" t="str">
        <f aca="false" t="array" ref="G395:G395">_xlfn.TEXTJOIN(" | ",TRUE(),IF('FEMA Disasters'!$F$2:$F$1000=$A395,'FEMA Disasters'!$D$2:$D$1000&amp;" begin: ["&amp;'FEMA Disasters'!$B$2:$B$1000&amp;"] "&amp;'FEMA Disasters'!$C$2:$C$1000&amp;"-"&amp;'FEMA Disasters'!$A$2:$A$1000,""),IF('FEMA Disasters'!$G$2:$G$1000=$A395,'FEMA Disasters'!$D$2:$D$1000&amp;" ended: ["&amp;'FEMA Disasters'!$B$2:$B$1000&amp;"] "&amp;'FEMA Disasters'!$C$2:$C$1000&amp;"-"&amp;'FEMA Disasters'!$A$2:$A$1000,""),IF('FEMA Disasters'!$K$2:$K$1000=$A395,"Disaster SEP opens: "&amp;'FEMA Disasters'!$D$2:$D$1000&amp;" ["&amp;'FEMA Disasters'!$B$2:$B$1000&amp;"] "&amp;'FEMA Disasters'!$C$2:$C$1000&amp;"-"&amp;'FEMA Disasters'!$A$2:$A$1000,""),IF('FEMA Disasters'!$L$2:$L$1000=$A395,"Disaster SEP ended: "&amp;'FEMA Disasters'!$D$2:$D$1000&amp;" ["&amp;'FEMA Disasters'!$B$2:$B$1000&amp;"] "&amp;'FEMA Disasters'!$C$2:$C$1000&amp;"-"&amp;'FEMA Disasters'!$A$2:$A$1000,""))</f>
        <v/>
      </c>
      <c r="H395" s="4" t="n">
        <f aca="false">COUNTIF(Events!$A$2:$A$397,$A395)</f>
        <v>0</v>
      </c>
      <c r="I395" s="6" t="str">
        <f aca="false" t="array" ref="I395:I395">_xlfn.TEXTJOIN(" | ",TRUE(),IF(Events!$A$2:$A$397=$A395,Events!$E$2:$E$397&amp;IF(Events!$G$2:$G$397="National",""," ["&amp;Events!$G$2:$G$397&amp;"]"),""))</f>
        <v/>
      </c>
    </row>
    <row r="396" customFormat="false" ht="15" hidden="false" customHeight="true" outlineLevel="0" collapsed="false">
      <c r="A396" s="3" t="n">
        <v>45686</v>
      </c>
      <c r="B396" s="4" t="n">
        <f aca="false">YEAR($A396)</f>
        <v>2025</v>
      </c>
      <c r="C396" s="4" t="n">
        <f aca="false">MONTH($A396)</f>
        <v>1</v>
      </c>
      <c r="D396" s="4" t="str">
        <f aca="false">TEXT($A396,"ddd")</f>
        <v>Wed</v>
      </c>
      <c r="E396" s="4" t="n">
        <f aca="false">IF(OR(AND(MONTH($A396)=10,DAY($A396)&gt;=15),MONTH($A396)=11,AND(MONTH($A396)=12,DAY($A396)&lt;=7)),1,0)</f>
        <v>0</v>
      </c>
      <c r="F396" s="4" t="n">
        <f aca="false">IF(MONTH($A396)&lt;=3,1,0)</f>
        <v>1</v>
      </c>
      <c r="G396" s="4" t="str">
        <f aca="false" t="array" ref="G396:G396">_xlfn.TEXTJOIN(" | ",TRUE(),IF('FEMA Disasters'!$F$2:$F$1000=$A396,'FEMA Disasters'!$D$2:$D$1000&amp;" begin: ["&amp;'FEMA Disasters'!$B$2:$B$1000&amp;"] "&amp;'FEMA Disasters'!$C$2:$C$1000&amp;"-"&amp;'FEMA Disasters'!$A$2:$A$1000,""),IF('FEMA Disasters'!$G$2:$G$1000=$A396,'FEMA Disasters'!$D$2:$D$1000&amp;" ended: ["&amp;'FEMA Disasters'!$B$2:$B$1000&amp;"] "&amp;'FEMA Disasters'!$C$2:$C$1000&amp;"-"&amp;'FEMA Disasters'!$A$2:$A$1000,""),IF('FEMA Disasters'!$K$2:$K$1000=$A396,"Disaster SEP opens: "&amp;'FEMA Disasters'!$D$2:$D$1000&amp;" ["&amp;'FEMA Disasters'!$B$2:$B$1000&amp;"] "&amp;'FEMA Disasters'!$C$2:$C$1000&amp;"-"&amp;'FEMA Disasters'!$A$2:$A$1000,""),IF('FEMA Disasters'!$L$2:$L$1000=$A396,"Disaster SEP ended: "&amp;'FEMA Disasters'!$D$2:$D$1000&amp;" ["&amp;'FEMA Disasters'!$B$2:$B$1000&amp;"] "&amp;'FEMA Disasters'!$C$2:$C$1000&amp;"-"&amp;'FEMA Disasters'!$A$2:$A$1000,""))</f>
        <v/>
      </c>
      <c r="H396" s="4" t="n">
        <f aca="false">COUNTIF(Events!$A$2:$A$397,$A396)</f>
        <v>0</v>
      </c>
      <c r="I396" s="6" t="str">
        <f aca="false" t="array" ref="I396:I396">_xlfn.TEXTJOIN(" | ",TRUE(),IF(Events!$A$2:$A$397=$A396,Events!$E$2:$E$397&amp;IF(Events!$G$2:$G$397="National",""," ["&amp;Events!$G$2:$G$397&amp;"]"),""))</f>
        <v/>
      </c>
    </row>
    <row r="397" customFormat="false" ht="15" hidden="false" customHeight="true" outlineLevel="0" collapsed="false">
      <c r="A397" s="3" t="n">
        <v>45687</v>
      </c>
      <c r="B397" s="4" t="n">
        <f aca="false">YEAR($A397)</f>
        <v>2025</v>
      </c>
      <c r="C397" s="4" t="n">
        <f aca="false">MONTH($A397)</f>
        <v>1</v>
      </c>
      <c r="D397" s="4" t="str">
        <f aca="false">TEXT($A397,"ddd")</f>
        <v>Thu</v>
      </c>
      <c r="E397" s="4" t="n">
        <f aca="false">IF(OR(AND(MONTH($A397)=10,DAY($A397)&gt;=15),MONTH($A397)=11,AND(MONTH($A397)=12,DAY($A397)&lt;=7)),1,0)</f>
        <v>0</v>
      </c>
      <c r="F397" s="4" t="n">
        <f aca="false">IF(MONTH($A397)&lt;=3,1,0)</f>
        <v>1</v>
      </c>
      <c r="G397" s="4" t="str">
        <f aca="false" t="array" ref="G397:G397">_xlfn.TEXTJOIN(" | ",TRUE(),IF('FEMA Disasters'!$F$2:$F$1000=$A397,'FEMA Disasters'!$D$2:$D$1000&amp;" begin: ["&amp;'FEMA Disasters'!$B$2:$B$1000&amp;"] "&amp;'FEMA Disasters'!$C$2:$C$1000&amp;"-"&amp;'FEMA Disasters'!$A$2:$A$1000,""),IF('FEMA Disasters'!$G$2:$G$1000=$A397,'FEMA Disasters'!$D$2:$D$1000&amp;" ended: ["&amp;'FEMA Disasters'!$B$2:$B$1000&amp;"] "&amp;'FEMA Disasters'!$C$2:$C$1000&amp;"-"&amp;'FEMA Disasters'!$A$2:$A$1000,""),IF('FEMA Disasters'!$K$2:$K$1000=$A397,"Disaster SEP opens: "&amp;'FEMA Disasters'!$D$2:$D$1000&amp;" ["&amp;'FEMA Disasters'!$B$2:$B$1000&amp;"] "&amp;'FEMA Disasters'!$C$2:$C$1000&amp;"-"&amp;'FEMA Disasters'!$A$2:$A$1000,""),IF('FEMA Disasters'!$L$2:$L$1000=$A397,"Disaster SEP ended: "&amp;'FEMA Disasters'!$D$2:$D$1000&amp;" ["&amp;'FEMA Disasters'!$B$2:$B$1000&amp;"] "&amp;'FEMA Disasters'!$C$2:$C$1000&amp;"-"&amp;'FEMA Disasters'!$A$2:$A$1000,""))</f>
        <v/>
      </c>
      <c r="H397" s="4" t="n">
        <f aca="false">COUNTIF(Events!$A$2:$A$397,$A397)</f>
        <v>0</v>
      </c>
      <c r="I397" s="6" t="str">
        <f aca="false" t="array" ref="I397:I397">_xlfn.TEXTJOIN(" | ",TRUE(),IF(Events!$A$2:$A$397=$A397,Events!$E$2:$E$397&amp;IF(Events!$G$2:$G$397="National",""," ["&amp;Events!$G$2:$G$397&amp;"]"),""))</f>
        <v/>
      </c>
    </row>
    <row r="398" customFormat="false" ht="15" hidden="false" customHeight="true" outlineLevel="0" collapsed="false">
      <c r="A398" s="3" t="n">
        <v>45688</v>
      </c>
      <c r="B398" s="4" t="n">
        <f aca="false">YEAR($A398)</f>
        <v>2025</v>
      </c>
      <c r="C398" s="4" t="n">
        <f aca="false">MONTH($A398)</f>
        <v>1</v>
      </c>
      <c r="D398" s="4" t="str">
        <f aca="false">TEXT($A398,"ddd")</f>
        <v>Fri</v>
      </c>
      <c r="E398" s="4" t="n">
        <f aca="false">IF(OR(AND(MONTH($A398)=10,DAY($A398)&gt;=15),MONTH($A398)=11,AND(MONTH($A398)=12,DAY($A398)&lt;=7)),1,0)</f>
        <v>0</v>
      </c>
      <c r="F398" s="4" t="n">
        <f aca="false">IF(MONTH($A398)&lt;=3,1,0)</f>
        <v>1</v>
      </c>
      <c r="G398" s="4" t="str">
        <f aca="false" t="array" ref="G398:G398">_xlfn.TEXTJOIN(" | ",TRUE(),IF('FEMA Disasters'!$F$2:$F$1000=$A398,'FEMA Disasters'!$D$2:$D$1000&amp;" begin: ["&amp;'FEMA Disasters'!$B$2:$B$1000&amp;"] "&amp;'FEMA Disasters'!$C$2:$C$1000&amp;"-"&amp;'FEMA Disasters'!$A$2:$A$1000,""),IF('FEMA Disasters'!$G$2:$G$1000=$A398,'FEMA Disasters'!$D$2:$D$1000&amp;" ended: ["&amp;'FEMA Disasters'!$B$2:$B$1000&amp;"] "&amp;'FEMA Disasters'!$C$2:$C$1000&amp;"-"&amp;'FEMA Disasters'!$A$2:$A$1000,""),IF('FEMA Disasters'!$K$2:$K$1000=$A398,"Disaster SEP opens: "&amp;'FEMA Disasters'!$D$2:$D$1000&amp;" ["&amp;'FEMA Disasters'!$B$2:$B$1000&amp;"] "&amp;'FEMA Disasters'!$C$2:$C$1000&amp;"-"&amp;'FEMA Disasters'!$A$2:$A$1000,""),IF('FEMA Disasters'!$L$2:$L$1000=$A398,"Disaster SEP ended: "&amp;'FEMA Disasters'!$D$2:$D$1000&amp;" ["&amp;'FEMA Disasters'!$B$2:$B$1000&amp;"] "&amp;'FEMA Disasters'!$C$2:$C$1000&amp;"-"&amp;'FEMA Disasters'!$A$2:$A$1000,""))</f>
        <v>Fire ended: [CA] DR-4856 | Disaster SEP opens: Hurricane [FL] EM-3622 | Disaster SEP opens: Hurricane [FL] EM-3623 | Disaster SEP opens: Hurricane [FL] DR-4834 | Disaster SEP opens: Hurricane [FL] DR-4844 | Disaster SEP opens: Severe Storm [OK] DR-4862 | Disaster SEP opens: Severe Storm [MO] DR-4855 | Disaster SEP opens: Flood [SC] DR-4858 | Disaster SEP opens: Fire [CA] FM-5545 | Disaster SEP opens: Fire [NY] FM-5547 | Disaster SEP opens: Fire [NV] FM-5546 | Disaster SEP ended: Fire [NV] FM-5533 | Disaster SEP ended: Fire [CA] FM-5536 | Disaster SEP ended: Hurricane [LA] DR-4817 | Disaster SEP ended: Hurricane [LA] EM-3614 | Disaster SEP ended: Fire [CA] FM-5537 | Disaster SEP ended: Fire [CA] FM-5538 | Disaster SEP ended: Tropical Storm [NC] DR-4837 | Disaster SEP ended: Hurricane [AL] EM-3618 | Disaster SEP ended: Tropical Storm [WV] DR-4851 | Disaster SEP ended: Tropical Storm [TN] EM-3620 | Disaster SEP ended: Tropical Storm [TN] DR-4832 | Disaster SEP ended: Tropical Storm [KY] DR-4848</v>
      </c>
      <c r="H398" s="4" t="n">
        <f aca="false">COUNTIF(Events!$A$2:$A$397,$A398)</f>
        <v>0</v>
      </c>
      <c r="I398" s="6" t="str">
        <f aca="false" t="array" ref="I398:I398">_xlfn.TEXTJOIN(" | ",TRUE(),IF(Events!$A$2:$A$397=$A398,Events!$E$2:$E$397&amp;IF(Events!$G$2:$G$397="National",""," ["&amp;Events!$G$2:$G$397&amp;"]"),""))</f>
        <v/>
      </c>
    </row>
    <row r="399" customFormat="false" ht="15" hidden="false" customHeight="true" outlineLevel="0" collapsed="false">
      <c r="A399" s="3" t="n">
        <v>45689</v>
      </c>
      <c r="B399" s="4" t="n">
        <f aca="false">YEAR($A399)</f>
        <v>2025</v>
      </c>
      <c r="C399" s="4" t="n">
        <f aca="false">MONTH($A399)</f>
        <v>2</v>
      </c>
      <c r="D399" s="4" t="str">
        <f aca="false">TEXT($A399,"ddd")</f>
        <v>Sat</v>
      </c>
      <c r="E399" s="4" t="n">
        <f aca="false">IF(OR(AND(MONTH($A399)=10,DAY($A399)&gt;=15),MONTH($A399)=11,AND(MONTH($A399)=12,DAY($A399)&lt;=7)),1,0)</f>
        <v>0</v>
      </c>
      <c r="F399" s="4" t="n">
        <f aca="false">IF(MONTH($A399)&lt;=3,1,0)</f>
        <v>1</v>
      </c>
      <c r="G399" s="4" t="str">
        <f aca="false" t="array" ref="G399:G399">_xlfn.TEXTJOIN(" | ",TRUE(),IF('FEMA Disasters'!$F$2:$F$1000=$A399,'FEMA Disasters'!$D$2:$D$1000&amp;" begin: ["&amp;'FEMA Disasters'!$B$2:$B$1000&amp;"] "&amp;'FEMA Disasters'!$C$2:$C$1000&amp;"-"&amp;'FEMA Disasters'!$A$2:$A$1000,""),IF('FEMA Disasters'!$G$2:$G$1000=$A399,'FEMA Disasters'!$D$2:$D$1000&amp;" ended: ["&amp;'FEMA Disasters'!$B$2:$B$1000&amp;"] "&amp;'FEMA Disasters'!$C$2:$C$1000&amp;"-"&amp;'FEMA Disasters'!$A$2:$A$1000,""),IF('FEMA Disasters'!$K$2:$K$1000=$A399,"Disaster SEP opens: "&amp;'FEMA Disasters'!$D$2:$D$1000&amp;" ["&amp;'FEMA Disasters'!$B$2:$B$1000&amp;"] "&amp;'FEMA Disasters'!$C$2:$C$1000&amp;"-"&amp;'FEMA Disasters'!$A$2:$A$1000,""),IF('FEMA Disasters'!$L$2:$L$1000=$A399,"Disaster SEP ended: "&amp;'FEMA Disasters'!$D$2:$D$1000&amp;" ["&amp;'FEMA Disasters'!$B$2:$B$1000&amp;"] "&amp;'FEMA Disasters'!$C$2:$C$1000&amp;"-"&amp;'FEMA Disasters'!$A$2:$A$1000,""))</f>
        <v/>
      </c>
      <c r="H399" s="4" t="n">
        <f aca="false">COUNTIF(Events!$A$2:$A$397,$A399)</f>
        <v>0</v>
      </c>
      <c r="I399" s="6" t="str">
        <f aca="false" t="array" ref="I399:I399">_xlfn.TEXTJOIN(" | ",TRUE(),IF(Events!$A$2:$A$397=$A399,Events!$E$2:$E$397&amp;IF(Events!$G$2:$G$397="National",""," ["&amp;Events!$G$2:$G$397&amp;"]"),""))</f>
        <v/>
      </c>
    </row>
    <row r="400" customFormat="false" ht="15" hidden="false" customHeight="true" outlineLevel="0" collapsed="false">
      <c r="A400" s="3" t="n">
        <v>45690</v>
      </c>
      <c r="B400" s="4" t="n">
        <f aca="false">YEAR($A400)</f>
        <v>2025</v>
      </c>
      <c r="C400" s="4" t="n">
        <f aca="false">MONTH($A400)</f>
        <v>2</v>
      </c>
      <c r="D400" s="4" t="str">
        <f aca="false">TEXT($A400,"ddd")</f>
        <v>Sun</v>
      </c>
      <c r="E400" s="4" t="n">
        <f aca="false">IF(OR(AND(MONTH($A400)=10,DAY($A400)&gt;=15),MONTH($A400)=11,AND(MONTH($A400)=12,DAY($A400)&lt;=7)),1,0)</f>
        <v>0</v>
      </c>
      <c r="F400" s="4" t="n">
        <f aca="false">IF(MONTH($A400)&lt;=3,1,0)</f>
        <v>1</v>
      </c>
      <c r="G400" s="4" t="str">
        <f aca="false" t="array" ref="G400:G400">_xlfn.TEXTJOIN(" | ",TRUE(),IF('FEMA Disasters'!$F$2:$F$1000=$A400,'FEMA Disasters'!$D$2:$D$1000&amp;" begin: ["&amp;'FEMA Disasters'!$B$2:$B$1000&amp;"] "&amp;'FEMA Disasters'!$C$2:$C$1000&amp;"-"&amp;'FEMA Disasters'!$A$2:$A$1000,""),IF('FEMA Disasters'!$G$2:$G$1000=$A400,'FEMA Disasters'!$D$2:$D$1000&amp;" ended: ["&amp;'FEMA Disasters'!$B$2:$B$1000&amp;"] "&amp;'FEMA Disasters'!$C$2:$C$1000&amp;"-"&amp;'FEMA Disasters'!$A$2:$A$1000,""),IF('FEMA Disasters'!$K$2:$K$1000=$A400,"Disaster SEP opens: "&amp;'FEMA Disasters'!$D$2:$D$1000&amp;" ["&amp;'FEMA Disasters'!$B$2:$B$1000&amp;"] "&amp;'FEMA Disasters'!$C$2:$C$1000&amp;"-"&amp;'FEMA Disasters'!$A$2:$A$1000,""),IF('FEMA Disasters'!$L$2:$L$1000=$A400,"Disaster SEP ended: "&amp;'FEMA Disasters'!$D$2:$D$1000&amp;" ["&amp;'FEMA Disasters'!$B$2:$B$1000&amp;"] "&amp;'FEMA Disasters'!$C$2:$C$1000&amp;"-"&amp;'FEMA Disasters'!$A$2:$A$1000,""))</f>
        <v/>
      </c>
      <c r="H400" s="4" t="n">
        <f aca="false">COUNTIF(Events!$A$2:$A$397,$A400)</f>
        <v>0</v>
      </c>
      <c r="I400" s="6" t="str">
        <f aca="false" t="array" ref="I400:I400">_xlfn.TEXTJOIN(" | ",TRUE(),IF(Events!$A$2:$A$397=$A400,Events!$E$2:$E$397&amp;IF(Events!$G$2:$G$397="National",""," ["&amp;Events!$G$2:$G$397&amp;"]"),""))</f>
        <v/>
      </c>
    </row>
    <row r="401" customFormat="false" ht="15" hidden="false" customHeight="true" outlineLevel="0" collapsed="false">
      <c r="A401" s="3" t="n">
        <v>45691</v>
      </c>
      <c r="B401" s="4" t="n">
        <f aca="false">YEAR($A401)</f>
        <v>2025</v>
      </c>
      <c r="C401" s="4" t="n">
        <f aca="false">MONTH($A401)</f>
        <v>2</v>
      </c>
      <c r="D401" s="4" t="str">
        <f aca="false">TEXT($A401,"ddd")</f>
        <v>Mon</v>
      </c>
      <c r="E401" s="4" t="n">
        <f aca="false">IF(OR(AND(MONTH($A401)=10,DAY($A401)&gt;=15),MONTH($A401)=11,AND(MONTH($A401)=12,DAY($A401)&lt;=7)),1,0)</f>
        <v>0</v>
      </c>
      <c r="F401" s="4" t="n">
        <f aca="false">IF(MONTH($A401)&lt;=3,1,0)</f>
        <v>1</v>
      </c>
      <c r="G401" s="4" t="str">
        <f aca="false" t="array" ref="G401:G401">_xlfn.TEXTJOIN(" | ",TRUE(),IF('FEMA Disasters'!$F$2:$F$1000=$A401,'FEMA Disasters'!$D$2:$D$1000&amp;" begin: ["&amp;'FEMA Disasters'!$B$2:$B$1000&amp;"] "&amp;'FEMA Disasters'!$C$2:$C$1000&amp;"-"&amp;'FEMA Disasters'!$A$2:$A$1000,""),IF('FEMA Disasters'!$G$2:$G$1000=$A401,'FEMA Disasters'!$D$2:$D$1000&amp;" ended: ["&amp;'FEMA Disasters'!$B$2:$B$1000&amp;"] "&amp;'FEMA Disasters'!$C$2:$C$1000&amp;"-"&amp;'FEMA Disasters'!$A$2:$A$1000,""),IF('FEMA Disasters'!$K$2:$K$1000=$A401,"Disaster SEP opens: "&amp;'FEMA Disasters'!$D$2:$D$1000&amp;" ["&amp;'FEMA Disasters'!$B$2:$B$1000&amp;"] "&amp;'FEMA Disasters'!$C$2:$C$1000&amp;"-"&amp;'FEMA Disasters'!$A$2:$A$1000,""),IF('FEMA Disasters'!$L$2:$L$1000=$A401,"Disaster SEP ended: "&amp;'FEMA Disasters'!$D$2:$D$1000&amp;" ["&amp;'FEMA Disasters'!$B$2:$B$1000&amp;"] "&amp;'FEMA Disasters'!$C$2:$C$1000&amp;"-"&amp;'FEMA Disasters'!$A$2:$A$1000,""))</f>
        <v/>
      </c>
      <c r="H401" s="4" t="n">
        <f aca="false">COUNTIF(Events!$A$2:$A$397,$A401)</f>
        <v>0</v>
      </c>
      <c r="I401" s="6" t="str">
        <f aca="false" t="array" ref="I401:I401">_xlfn.TEXTJOIN(" | ",TRUE(),IF(Events!$A$2:$A$397=$A401,Events!$E$2:$E$397&amp;IF(Events!$G$2:$G$397="National",""," ["&amp;Events!$G$2:$G$397&amp;"]"),""))</f>
        <v/>
      </c>
    </row>
    <row r="402" customFormat="false" ht="15" hidden="false" customHeight="true" outlineLevel="0" collapsed="false">
      <c r="A402" s="3" t="n">
        <v>45692</v>
      </c>
      <c r="B402" s="4" t="n">
        <f aca="false">YEAR($A402)</f>
        <v>2025</v>
      </c>
      <c r="C402" s="4" t="n">
        <f aca="false">MONTH($A402)</f>
        <v>2</v>
      </c>
      <c r="D402" s="4" t="str">
        <f aca="false">TEXT($A402,"ddd")</f>
        <v>Tue</v>
      </c>
      <c r="E402" s="4" t="n">
        <f aca="false">IF(OR(AND(MONTH($A402)=10,DAY($A402)&gt;=15),MONTH($A402)=11,AND(MONTH($A402)=12,DAY($A402)&lt;=7)),1,0)</f>
        <v>0</v>
      </c>
      <c r="F402" s="4" t="n">
        <f aca="false">IF(MONTH($A402)&lt;=3,1,0)</f>
        <v>1</v>
      </c>
      <c r="G402" s="4" t="str">
        <f aca="false" t="array" ref="G402:G402">_xlfn.TEXTJOIN(" | ",TRUE(),IF('FEMA Disasters'!$F$2:$F$1000=$A402,'FEMA Disasters'!$D$2:$D$1000&amp;" begin: ["&amp;'FEMA Disasters'!$B$2:$B$1000&amp;"] "&amp;'FEMA Disasters'!$C$2:$C$1000&amp;"-"&amp;'FEMA Disasters'!$A$2:$A$1000,""),IF('FEMA Disasters'!$G$2:$G$1000=$A402,'FEMA Disasters'!$D$2:$D$1000&amp;" ended: ["&amp;'FEMA Disasters'!$B$2:$B$1000&amp;"] "&amp;'FEMA Disasters'!$C$2:$C$1000&amp;"-"&amp;'FEMA Disasters'!$A$2:$A$1000,""),IF('FEMA Disasters'!$K$2:$K$1000=$A402,"Disaster SEP opens: "&amp;'FEMA Disasters'!$D$2:$D$1000&amp;" ["&amp;'FEMA Disasters'!$B$2:$B$1000&amp;"] "&amp;'FEMA Disasters'!$C$2:$C$1000&amp;"-"&amp;'FEMA Disasters'!$A$2:$A$1000,""),IF('FEMA Disasters'!$L$2:$L$1000=$A402,"Disaster SEP ended: "&amp;'FEMA Disasters'!$D$2:$D$1000&amp;" ["&amp;'FEMA Disasters'!$B$2:$B$1000&amp;"] "&amp;'FEMA Disasters'!$C$2:$C$1000&amp;"-"&amp;'FEMA Disasters'!$A$2:$A$1000,""))</f>
        <v/>
      </c>
      <c r="H402" s="4" t="n">
        <f aca="false">COUNTIF(Events!$A$2:$A$397,$A402)</f>
        <v>0</v>
      </c>
      <c r="I402" s="6" t="str">
        <f aca="false" t="array" ref="I402:I402">_xlfn.TEXTJOIN(" | ",TRUE(),IF(Events!$A$2:$A$397=$A402,Events!$E$2:$E$397&amp;IF(Events!$G$2:$G$397="National",""," ["&amp;Events!$G$2:$G$397&amp;"]"),""))</f>
        <v/>
      </c>
    </row>
    <row r="403" customFormat="false" ht="15" hidden="false" customHeight="true" outlineLevel="0" collapsed="false">
      <c r="A403" s="3" t="n">
        <v>45693</v>
      </c>
      <c r="B403" s="4" t="n">
        <f aca="false">YEAR($A403)</f>
        <v>2025</v>
      </c>
      <c r="C403" s="4" t="n">
        <f aca="false">MONTH($A403)</f>
        <v>2</v>
      </c>
      <c r="D403" s="4" t="str">
        <f aca="false">TEXT($A403,"ddd")</f>
        <v>Wed</v>
      </c>
      <c r="E403" s="4" t="n">
        <f aca="false">IF(OR(AND(MONTH($A403)=10,DAY($A403)&gt;=15),MONTH($A403)=11,AND(MONTH($A403)=12,DAY($A403)&lt;=7)),1,0)</f>
        <v>0</v>
      </c>
      <c r="F403" s="4" t="n">
        <f aca="false">IF(MONTH($A403)&lt;=3,1,0)</f>
        <v>1</v>
      </c>
      <c r="G403" s="4" t="str">
        <f aca="false" t="array" ref="G403:G403">_xlfn.TEXTJOIN(" | ",TRUE(),IF('FEMA Disasters'!$F$2:$F$1000=$A403,'FEMA Disasters'!$D$2:$D$1000&amp;" begin: ["&amp;'FEMA Disasters'!$B$2:$B$1000&amp;"] "&amp;'FEMA Disasters'!$C$2:$C$1000&amp;"-"&amp;'FEMA Disasters'!$A$2:$A$1000,""),IF('FEMA Disasters'!$G$2:$G$1000=$A403,'FEMA Disasters'!$D$2:$D$1000&amp;" ended: ["&amp;'FEMA Disasters'!$B$2:$B$1000&amp;"] "&amp;'FEMA Disasters'!$C$2:$C$1000&amp;"-"&amp;'FEMA Disasters'!$A$2:$A$1000,""),IF('FEMA Disasters'!$K$2:$K$1000=$A403,"Disaster SEP opens: "&amp;'FEMA Disasters'!$D$2:$D$1000&amp;" ["&amp;'FEMA Disasters'!$B$2:$B$1000&amp;"] "&amp;'FEMA Disasters'!$C$2:$C$1000&amp;"-"&amp;'FEMA Disasters'!$A$2:$A$1000,""),IF('FEMA Disasters'!$L$2:$L$1000=$A403,"Disaster SEP ended: "&amp;'FEMA Disasters'!$D$2:$D$1000&amp;" ["&amp;'FEMA Disasters'!$B$2:$B$1000&amp;"] "&amp;'FEMA Disasters'!$C$2:$C$1000&amp;"-"&amp;'FEMA Disasters'!$A$2:$A$1000,""))</f>
        <v/>
      </c>
      <c r="H403" s="4" t="n">
        <f aca="false">COUNTIF(Events!$A$2:$A$397,$A403)</f>
        <v>0</v>
      </c>
      <c r="I403" s="6" t="str">
        <f aca="false" t="array" ref="I403:I403">_xlfn.TEXTJOIN(" | ",TRUE(),IF(Events!$A$2:$A$397=$A403,Events!$E$2:$E$397&amp;IF(Events!$G$2:$G$397="National",""," ["&amp;Events!$G$2:$G$397&amp;"]"),""))</f>
        <v/>
      </c>
    </row>
    <row r="404" customFormat="false" ht="15" hidden="false" customHeight="true" outlineLevel="0" collapsed="false">
      <c r="A404" s="3" t="n">
        <v>45694</v>
      </c>
      <c r="B404" s="4" t="n">
        <f aca="false">YEAR($A404)</f>
        <v>2025</v>
      </c>
      <c r="C404" s="4" t="n">
        <f aca="false">MONTH($A404)</f>
        <v>2</v>
      </c>
      <c r="D404" s="4" t="str">
        <f aca="false">TEXT($A404,"ddd")</f>
        <v>Thu</v>
      </c>
      <c r="E404" s="4" t="n">
        <f aca="false">IF(OR(AND(MONTH($A404)=10,DAY($A404)&gt;=15),MONTH($A404)=11,AND(MONTH($A404)=12,DAY($A404)&lt;=7)),1,0)</f>
        <v>0</v>
      </c>
      <c r="F404" s="4" t="n">
        <f aca="false">IF(MONTH($A404)&lt;=3,1,0)</f>
        <v>1</v>
      </c>
      <c r="G404" s="4" t="str">
        <f aca="false" t="array" ref="G404:G404">_xlfn.TEXTJOIN(" | ",TRUE(),IF('FEMA Disasters'!$F$2:$F$1000=$A404,'FEMA Disasters'!$D$2:$D$1000&amp;" begin: ["&amp;'FEMA Disasters'!$B$2:$B$1000&amp;"] "&amp;'FEMA Disasters'!$C$2:$C$1000&amp;"-"&amp;'FEMA Disasters'!$A$2:$A$1000,""),IF('FEMA Disasters'!$G$2:$G$1000=$A404,'FEMA Disasters'!$D$2:$D$1000&amp;" ended: ["&amp;'FEMA Disasters'!$B$2:$B$1000&amp;"] "&amp;'FEMA Disasters'!$C$2:$C$1000&amp;"-"&amp;'FEMA Disasters'!$A$2:$A$1000,""),IF('FEMA Disasters'!$K$2:$K$1000=$A404,"Disaster SEP opens: "&amp;'FEMA Disasters'!$D$2:$D$1000&amp;" ["&amp;'FEMA Disasters'!$B$2:$B$1000&amp;"] "&amp;'FEMA Disasters'!$C$2:$C$1000&amp;"-"&amp;'FEMA Disasters'!$A$2:$A$1000,""),IF('FEMA Disasters'!$L$2:$L$1000=$A404,"Disaster SEP ended: "&amp;'FEMA Disasters'!$D$2:$D$1000&amp;" ["&amp;'FEMA Disasters'!$B$2:$B$1000&amp;"] "&amp;'FEMA Disasters'!$C$2:$C$1000&amp;"-"&amp;'FEMA Disasters'!$A$2:$A$1000,""))</f>
        <v/>
      </c>
      <c r="H404" s="4" t="n">
        <f aca="false">COUNTIF(Events!$A$2:$A$397,$A404)</f>
        <v>0</v>
      </c>
      <c r="I404" s="6" t="str">
        <f aca="false" t="array" ref="I404:I404">_xlfn.TEXTJOIN(" | ",TRUE(),IF(Events!$A$2:$A$397=$A404,Events!$E$2:$E$397&amp;IF(Events!$G$2:$G$397="National",""," ["&amp;Events!$G$2:$G$397&amp;"]"),""))</f>
        <v/>
      </c>
    </row>
    <row r="405" customFormat="false" ht="15" hidden="false" customHeight="true" outlineLevel="0" collapsed="false">
      <c r="A405" s="3" t="n">
        <v>45695</v>
      </c>
      <c r="B405" s="4" t="n">
        <f aca="false">YEAR($A405)</f>
        <v>2025</v>
      </c>
      <c r="C405" s="4" t="n">
        <f aca="false">MONTH($A405)</f>
        <v>2</v>
      </c>
      <c r="D405" s="4" t="str">
        <f aca="false">TEXT($A405,"ddd")</f>
        <v>Fri</v>
      </c>
      <c r="E405" s="4" t="n">
        <f aca="false">IF(OR(AND(MONTH($A405)=10,DAY($A405)&gt;=15),MONTH($A405)=11,AND(MONTH($A405)=12,DAY($A405)&lt;=7)),1,0)</f>
        <v>0</v>
      </c>
      <c r="F405" s="4" t="n">
        <f aca="false">IF(MONTH($A405)&lt;=3,1,0)</f>
        <v>1</v>
      </c>
      <c r="G405" s="4" t="str">
        <f aca="false" t="array" ref="G405:G405">_xlfn.TEXTJOIN(" | ",TRUE(),IF('FEMA Disasters'!$F$2:$F$1000=$A405,'FEMA Disasters'!$D$2:$D$1000&amp;" begin: ["&amp;'FEMA Disasters'!$B$2:$B$1000&amp;"] "&amp;'FEMA Disasters'!$C$2:$C$1000&amp;"-"&amp;'FEMA Disasters'!$A$2:$A$1000,""),IF('FEMA Disasters'!$G$2:$G$1000=$A405,'FEMA Disasters'!$D$2:$D$1000&amp;" ended: ["&amp;'FEMA Disasters'!$B$2:$B$1000&amp;"] "&amp;'FEMA Disasters'!$C$2:$C$1000&amp;"-"&amp;'FEMA Disasters'!$A$2:$A$1000,""),IF('FEMA Disasters'!$K$2:$K$1000=$A405,"Disaster SEP opens: "&amp;'FEMA Disasters'!$D$2:$D$1000&amp;" ["&amp;'FEMA Disasters'!$B$2:$B$1000&amp;"] "&amp;'FEMA Disasters'!$C$2:$C$1000&amp;"-"&amp;'FEMA Disasters'!$A$2:$A$1000,""),IF('FEMA Disasters'!$L$2:$L$1000=$A405,"Disaster SEP ended: "&amp;'FEMA Disasters'!$D$2:$D$1000&amp;" ["&amp;'FEMA Disasters'!$B$2:$B$1000&amp;"] "&amp;'FEMA Disasters'!$C$2:$C$1000&amp;"-"&amp;'FEMA Disasters'!$A$2:$A$1000,""))</f>
        <v/>
      </c>
      <c r="H405" s="4" t="n">
        <f aca="false">COUNTIF(Events!$A$2:$A$397,$A405)</f>
        <v>0</v>
      </c>
      <c r="I405" s="6" t="str">
        <f aca="false" t="array" ref="I405:I405">_xlfn.TEXTJOIN(" | ",TRUE(),IF(Events!$A$2:$A$397=$A405,Events!$E$2:$E$397&amp;IF(Events!$G$2:$G$397="National",""," ["&amp;Events!$G$2:$G$397&amp;"]"),""))</f>
        <v/>
      </c>
    </row>
    <row r="406" customFormat="false" ht="15" hidden="false" customHeight="true" outlineLevel="0" collapsed="false">
      <c r="A406" s="3" t="n">
        <v>45696</v>
      </c>
      <c r="B406" s="4" t="n">
        <f aca="false">YEAR($A406)</f>
        <v>2025</v>
      </c>
      <c r="C406" s="4" t="n">
        <f aca="false">MONTH($A406)</f>
        <v>2</v>
      </c>
      <c r="D406" s="4" t="str">
        <f aca="false">TEXT($A406,"ddd")</f>
        <v>Sat</v>
      </c>
      <c r="E406" s="4" t="n">
        <f aca="false">IF(OR(AND(MONTH($A406)=10,DAY($A406)&gt;=15),MONTH($A406)=11,AND(MONTH($A406)=12,DAY($A406)&lt;=7)),1,0)</f>
        <v>0</v>
      </c>
      <c r="F406" s="4" t="n">
        <f aca="false">IF(MONTH($A406)&lt;=3,1,0)</f>
        <v>1</v>
      </c>
      <c r="G406" s="4" t="str">
        <f aca="false" t="array" ref="G406:G406">_xlfn.TEXTJOIN(" | ",TRUE(),IF('FEMA Disasters'!$F$2:$F$1000=$A406,'FEMA Disasters'!$D$2:$D$1000&amp;" begin: ["&amp;'FEMA Disasters'!$B$2:$B$1000&amp;"] "&amp;'FEMA Disasters'!$C$2:$C$1000&amp;"-"&amp;'FEMA Disasters'!$A$2:$A$1000,""),IF('FEMA Disasters'!$G$2:$G$1000=$A406,'FEMA Disasters'!$D$2:$D$1000&amp;" ended: ["&amp;'FEMA Disasters'!$B$2:$B$1000&amp;"] "&amp;'FEMA Disasters'!$C$2:$C$1000&amp;"-"&amp;'FEMA Disasters'!$A$2:$A$1000,""),IF('FEMA Disasters'!$K$2:$K$1000=$A406,"Disaster SEP opens: "&amp;'FEMA Disasters'!$D$2:$D$1000&amp;" ["&amp;'FEMA Disasters'!$B$2:$B$1000&amp;"] "&amp;'FEMA Disasters'!$C$2:$C$1000&amp;"-"&amp;'FEMA Disasters'!$A$2:$A$1000,""),IF('FEMA Disasters'!$L$2:$L$1000=$A406,"Disaster SEP ended: "&amp;'FEMA Disasters'!$D$2:$D$1000&amp;" ["&amp;'FEMA Disasters'!$B$2:$B$1000&amp;"] "&amp;'FEMA Disasters'!$C$2:$C$1000&amp;"-"&amp;'FEMA Disasters'!$A$2:$A$1000,""))</f>
        <v/>
      </c>
      <c r="H406" s="4" t="n">
        <f aca="false">COUNTIF(Events!$A$2:$A$397,$A406)</f>
        <v>0</v>
      </c>
      <c r="I406" s="6" t="str">
        <f aca="false" t="array" ref="I406:I406">_xlfn.TEXTJOIN(" | ",TRUE(),IF(Events!$A$2:$A$397=$A406,Events!$E$2:$E$397&amp;IF(Events!$G$2:$G$397="National",""," ["&amp;Events!$G$2:$G$397&amp;"]"),""))</f>
        <v/>
      </c>
    </row>
    <row r="407" customFormat="false" ht="15" hidden="false" customHeight="true" outlineLevel="0" collapsed="false">
      <c r="A407" s="3" t="n">
        <v>45697</v>
      </c>
      <c r="B407" s="4" t="n">
        <f aca="false">YEAR($A407)</f>
        <v>2025</v>
      </c>
      <c r="C407" s="4" t="n">
        <f aca="false">MONTH($A407)</f>
        <v>2</v>
      </c>
      <c r="D407" s="4" t="str">
        <f aca="false">TEXT($A407,"ddd")</f>
        <v>Sun</v>
      </c>
      <c r="E407" s="4" t="n">
        <f aca="false">IF(OR(AND(MONTH($A407)=10,DAY($A407)&gt;=15),MONTH($A407)=11,AND(MONTH($A407)=12,DAY($A407)&lt;=7)),1,0)</f>
        <v>0</v>
      </c>
      <c r="F407" s="4" t="n">
        <f aca="false">IF(MONTH($A407)&lt;=3,1,0)</f>
        <v>1</v>
      </c>
      <c r="G407" s="4" t="str">
        <f aca="false" t="array" ref="G407:G407">_xlfn.TEXTJOIN(" | ",TRUE(),IF('FEMA Disasters'!$F$2:$F$1000=$A407,'FEMA Disasters'!$D$2:$D$1000&amp;" begin: ["&amp;'FEMA Disasters'!$B$2:$B$1000&amp;"] "&amp;'FEMA Disasters'!$C$2:$C$1000&amp;"-"&amp;'FEMA Disasters'!$A$2:$A$1000,""),IF('FEMA Disasters'!$G$2:$G$1000=$A407,'FEMA Disasters'!$D$2:$D$1000&amp;" ended: ["&amp;'FEMA Disasters'!$B$2:$B$1000&amp;"] "&amp;'FEMA Disasters'!$C$2:$C$1000&amp;"-"&amp;'FEMA Disasters'!$A$2:$A$1000,""),IF('FEMA Disasters'!$K$2:$K$1000=$A407,"Disaster SEP opens: "&amp;'FEMA Disasters'!$D$2:$D$1000&amp;" ["&amp;'FEMA Disasters'!$B$2:$B$1000&amp;"] "&amp;'FEMA Disasters'!$C$2:$C$1000&amp;"-"&amp;'FEMA Disasters'!$A$2:$A$1000,""),IF('FEMA Disasters'!$L$2:$L$1000=$A407,"Disaster SEP ended: "&amp;'FEMA Disasters'!$D$2:$D$1000&amp;" ["&amp;'FEMA Disasters'!$B$2:$B$1000&amp;"] "&amp;'FEMA Disasters'!$C$2:$C$1000&amp;"-"&amp;'FEMA Disasters'!$A$2:$A$1000,""))</f>
        <v/>
      </c>
      <c r="H407" s="4" t="n">
        <f aca="false">COUNTIF(Events!$A$2:$A$397,$A407)</f>
        <v>0</v>
      </c>
      <c r="I407" s="6" t="str">
        <f aca="false" t="array" ref="I407:I407">_xlfn.TEXTJOIN(" | ",TRUE(),IF(Events!$A$2:$A$397=$A407,Events!$E$2:$E$397&amp;IF(Events!$G$2:$G$397="National",""," ["&amp;Events!$G$2:$G$397&amp;"]"),""))</f>
        <v/>
      </c>
    </row>
    <row r="408" customFormat="false" ht="15" hidden="false" customHeight="true" outlineLevel="0" collapsed="false">
      <c r="A408" s="3" t="n">
        <v>45698</v>
      </c>
      <c r="B408" s="4" t="n">
        <f aca="false">YEAR($A408)</f>
        <v>2025</v>
      </c>
      <c r="C408" s="4" t="n">
        <f aca="false">MONTH($A408)</f>
        <v>2</v>
      </c>
      <c r="D408" s="4" t="str">
        <f aca="false">TEXT($A408,"ddd")</f>
        <v>Mon</v>
      </c>
      <c r="E408" s="4" t="n">
        <f aca="false">IF(OR(AND(MONTH($A408)=10,DAY($A408)&gt;=15),MONTH($A408)=11,AND(MONTH($A408)=12,DAY($A408)&lt;=7)),1,0)</f>
        <v>0</v>
      </c>
      <c r="F408" s="4" t="n">
        <f aca="false">IF(MONTH($A408)&lt;=3,1,0)</f>
        <v>1</v>
      </c>
      <c r="G408" s="4" t="str">
        <f aca="false" t="array" ref="G408:G408">_xlfn.TEXTJOIN(" | ",TRUE(),IF('FEMA Disasters'!$F$2:$F$1000=$A408,'FEMA Disasters'!$D$2:$D$1000&amp;" begin: ["&amp;'FEMA Disasters'!$B$2:$B$1000&amp;"] "&amp;'FEMA Disasters'!$C$2:$C$1000&amp;"-"&amp;'FEMA Disasters'!$A$2:$A$1000,""),IF('FEMA Disasters'!$G$2:$G$1000=$A408,'FEMA Disasters'!$D$2:$D$1000&amp;" ended: ["&amp;'FEMA Disasters'!$B$2:$B$1000&amp;"] "&amp;'FEMA Disasters'!$C$2:$C$1000&amp;"-"&amp;'FEMA Disasters'!$A$2:$A$1000,""),IF('FEMA Disasters'!$K$2:$K$1000=$A408,"Disaster SEP opens: "&amp;'FEMA Disasters'!$D$2:$D$1000&amp;" ["&amp;'FEMA Disasters'!$B$2:$B$1000&amp;"] "&amp;'FEMA Disasters'!$C$2:$C$1000&amp;"-"&amp;'FEMA Disasters'!$A$2:$A$1000,""),IF('FEMA Disasters'!$L$2:$L$1000=$A408,"Disaster SEP ended: "&amp;'FEMA Disasters'!$D$2:$D$1000&amp;" ["&amp;'FEMA Disasters'!$B$2:$B$1000&amp;"] "&amp;'FEMA Disasters'!$C$2:$C$1000&amp;"-"&amp;'FEMA Disasters'!$A$2:$A$1000,""))</f>
        <v>Severe Storm begin: [VA] DR-4863</v>
      </c>
      <c r="H408" s="4" t="n">
        <f aca="false">COUNTIF(Events!$A$2:$A$397,$A408)</f>
        <v>0</v>
      </c>
      <c r="I408" s="6" t="str">
        <f aca="false" t="array" ref="I408:I408">_xlfn.TEXTJOIN(" | ",TRUE(),IF(Events!$A$2:$A$397=$A408,Events!$E$2:$E$397&amp;IF(Events!$G$2:$G$397="National",""," ["&amp;Events!$G$2:$G$397&amp;"]"),""))</f>
        <v/>
      </c>
    </row>
    <row r="409" customFormat="false" ht="15" hidden="false" customHeight="true" outlineLevel="0" collapsed="false">
      <c r="A409" s="3" t="n">
        <v>45699</v>
      </c>
      <c r="B409" s="4" t="n">
        <f aca="false">YEAR($A409)</f>
        <v>2025</v>
      </c>
      <c r="C409" s="4" t="n">
        <f aca="false">MONTH($A409)</f>
        <v>2</v>
      </c>
      <c r="D409" s="4" t="str">
        <f aca="false">TEXT($A409,"ddd")</f>
        <v>Tue</v>
      </c>
      <c r="E409" s="4" t="n">
        <f aca="false">IF(OR(AND(MONTH($A409)=10,DAY($A409)&gt;=15),MONTH($A409)=11,AND(MONTH($A409)=12,DAY($A409)&lt;=7)),1,0)</f>
        <v>0</v>
      </c>
      <c r="F409" s="4" t="n">
        <f aca="false">IF(MONTH($A409)&lt;=3,1,0)</f>
        <v>1</v>
      </c>
      <c r="G409" s="4" t="str">
        <f aca="false" t="array" ref="G409:G409">_xlfn.TEXTJOIN(" | ",TRUE(),IF('FEMA Disasters'!$F$2:$F$1000=$A409,'FEMA Disasters'!$D$2:$D$1000&amp;" begin: ["&amp;'FEMA Disasters'!$B$2:$B$1000&amp;"] "&amp;'FEMA Disasters'!$C$2:$C$1000&amp;"-"&amp;'FEMA Disasters'!$A$2:$A$1000,""),IF('FEMA Disasters'!$G$2:$G$1000=$A409,'FEMA Disasters'!$D$2:$D$1000&amp;" ended: ["&amp;'FEMA Disasters'!$B$2:$B$1000&amp;"] "&amp;'FEMA Disasters'!$C$2:$C$1000&amp;"-"&amp;'FEMA Disasters'!$A$2:$A$1000,""),IF('FEMA Disasters'!$K$2:$K$1000=$A409,"Disaster SEP opens: "&amp;'FEMA Disasters'!$D$2:$D$1000&amp;" ["&amp;'FEMA Disasters'!$B$2:$B$1000&amp;"] "&amp;'FEMA Disasters'!$C$2:$C$1000&amp;"-"&amp;'FEMA Disasters'!$A$2:$A$1000,""),IF('FEMA Disasters'!$L$2:$L$1000=$A409,"Disaster SEP ended: "&amp;'FEMA Disasters'!$D$2:$D$1000&amp;" ["&amp;'FEMA Disasters'!$B$2:$B$1000&amp;"] "&amp;'FEMA Disasters'!$C$2:$C$1000&amp;"-"&amp;'FEMA Disasters'!$A$2:$A$1000,""))</f>
        <v/>
      </c>
      <c r="H409" s="4" t="n">
        <f aca="false">COUNTIF(Events!$A$2:$A$397,$A409)</f>
        <v>0</v>
      </c>
      <c r="I409" s="6" t="str">
        <f aca="false" t="array" ref="I409:I409">_xlfn.TEXTJOIN(" | ",TRUE(),IF(Events!$A$2:$A$397=$A409,Events!$E$2:$E$397&amp;IF(Events!$G$2:$G$397="National",""," ["&amp;Events!$G$2:$G$397&amp;"]"),""))</f>
        <v/>
      </c>
    </row>
    <row r="410" customFormat="false" ht="15" hidden="false" customHeight="true" outlineLevel="0" collapsed="false">
      <c r="A410" s="3" t="n">
        <v>45700</v>
      </c>
      <c r="B410" s="4" t="n">
        <f aca="false">YEAR($A410)</f>
        <v>2025</v>
      </c>
      <c r="C410" s="4" t="n">
        <f aca="false">MONTH($A410)</f>
        <v>2</v>
      </c>
      <c r="D410" s="4" t="str">
        <f aca="false">TEXT($A410,"ddd")</f>
        <v>Wed</v>
      </c>
      <c r="E410" s="4" t="n">
        <f aca="false">IF(OR(AND(MONTH($A410)=10,DAY($A410)&gt;=15),MONTH($A410)=11,AND(MONTH($A410)=12,DAY($A410)&lt;=7)),1,0)</f>
        <v>0</v>
      </c>
      <c r="F410" s="4" t="n">
        <f aca="false">IF(MONTH($A410)&lt;=3,1,0)</f>
        <v>1</v>
      </c>
      <c r="G410" s="4" t="str">
        <f aca="false" t="array" ref="G410:G410">_xlfn.TEXTJOIN(" | ",TRUE(),IF('FEMA Disasters'!$F$2:$F$1000=$A410,'FEMA Disasters'!$D$2:$D$1000&amp;" begin: ["&amp;'FEMA Disasters'!$B$2:$B$1000&amp;"] "&amp;'FEMA Disasters'!$C$2:$C$1000&amp;"-"&amp;'FEMA Disasters'!$A$2:$A$1000,""),IF('FEMA Disasters'!$G$2:$G$1000=$A410,'FEMA Disasters'!$D$2:$D$1000&amp;" ended: ["&amp;'FEMA Disasters'!$B$2:$B$1000&amp;"] "&amp;'FEMA Disasters'!$C$2:$C$1000&amp;"-"&amp;'FEMA Disasters'!$A$2:$A$1000,""),IF('FEMA Disasters'!$K$2:$K$1000=$A410,"Disaster SEP opens: "&amp;'FEMA Disasters'!$D$2:$D$1000&amp;" ["&amp;'FEMA Disasters'!$B$2:$B$1000&amp;"] "&amp;'FEMA Disasters'!$C$2:$C$1000&amp;"-"&amp;'FEMA Disasters'!$A$2:$A$1000,""),IF('FEMA Disasters'!$L$2:$L$1000=$A410,"Disaster SEP ended: "&amp;'FEMA Disasters'!$D$2:$D$1000&amp;" ["&amp;'FEMA Disasters'!$B$2:$B$1000&amp;"] "&amp;'FEMA Disasters'!$C$2:$C$1000&amp;"-"&amp;'FEMA Disasters'!$A$2:$A$1000,""))</f>
        <v/>
      </c>
      <c r="H410" s="4" t="n">
        <f aca="false">COUNTIF(Events!$A$2:$A$397,$A410)</f>
        <v>0</v>
      </c>
      <c r="I410" s="6" t="str">
        <f aca="false" t="array" ref="I410:I410">_xlfn.TEXTJOIN(" | ",TRUE(),IF(Events!$A$2:$A$397=$A410,Events!$E$2:$E$397&amp;IF(Events!$G$2:$G$397="National",""," ["&amp;Events!$G$2:$G$397&amp;"]"),""))</f>
        <v/>
      </c>
    </row>
    <row r="411" customFormat="false" ht="15" hidden="false" customHeight="true" outlineLevel="0" collapsed="false">
      <c r="A411" s="3" t="n">
        <v>45701</v>
      </c>
      <c r="B411" s="4" t="n">
        <f aca="false">YEAR($A411)</f>
        <v>2025</v>
      </c>
      <c r="C411" s="4" t="n">
        <f aca="false">MONTH($A411)</f>
        <v>2</v>
      </c>
      <c r="D411" s="4" t="str">
        <f aca="false">TEXT($A411,"ddd")</f>
        <v>Thu</v>
      </c>
      <c r="E411" s="4" t="n">
        <f aca="false">IF(OR(AND(MONTH($A411)=10,DAY($A411)&gt;=15),MONTH($A411)=11,AND(MONTH($A411)=12,DAY($A411)&lt;=7)),1,0)</f>
        <v>0</v>
      </c>
      <c r="F411" s="4" t="n">
        <f aca="false">IF(MONTH($A411)&lt;=3,1,0)</f>
        <v>1</v>
      </c>
      <c r="G411" s="4" t="str">
        <f aca="false" t="array" ref="G411:G411">_xlfn.TEXTJOIN(" | ",TRUE(),IF('FEMA Disasters'!$F$2:$F$1000=$A411,'FEMA Disasters'!$D$2:$D$1000&amp;" begin: ["&amp;'FEMA Disasters'!$B$2:$B$1000&amp;"] "&amp;'FEMA Disasters'!$C$2:$C$1000&amp;"-"&amp;'FEMA Disasters'!$A$2:$A$1000,""),IF('FEMA Disasters'!$G$2:$G$1000=$A411,'FEMA Disasters'!$D$2:$D$1000&amp;" ended: ["&amp;'FEMA Disasters'!$B$2:$B$1000&amp;"] "&amp;'FEMA Disasters'!$C$2:$C$1000&amp;"-"&amp;'FEMA Disasters'!$A$2:$A$1000,""),IF('FEMA Disasters'!$K$2:$K$1000=$A411,"Disaster SEP opens: "&amp;'FEMA Disasters'!$D$2:$D$1000&amp;" ["&amp;'FEMA Disasters'!$B$2:$B$1000&amp;"] "&amp;'FEMA Disasters'!$C$2:$C$1000&amp;"-"&amp;'FEMA Disasters'!$A$2:$A$1000,""),IF('FEMA Disasters'!$L$2:$L$1000=$A411,"Disaster SEP ended: "&amp;'FEMA Disasters'!$D$2:$D$1000&amp;" ["&amp;'FEMA Disasters'!$B$2:$B$1000&amp;"] "&amp;'FEMA Disasters'!$C$2:$C$1000&amp;"-"&amp;'FEMA Disasters'!$A$2:$A$1000,""))</f>
        <v/>
      </c>
      <c r="H411" s="4" t="n">
        <f aca="false">COUNTIF(Events!$A$2:$A$397,$A411)</f>
        <v>0</v>
      </c>
      <c r="I411" s="6" t="str">
        <f aca="false" t="array" ref="I411:I411">_xlfn.TEXTJOIN(" | ",TRUE(),IF(Events!$A$2:$A$397=$A411,Events!$E$2:$E$397&amp;IF(Events!$G$2:$G$397="National",""," ["&amp;Events!$G$2:$G$397&amp;"]"),""))</f>
        <v/>
      </c>
    </row>
    <row r="412" customFormat="false" ht="15" hidden="false" customHeight="true" outlineLevel="0" collapsed="false">
      <c r="A412" s="3" t="n">
        <v>45702</v>
      </c>
      <c r="B412" s="4" t="n">
        <f aca="false">YEAR($A412)</f>
        <v>2025</v>
      </c>
      <c r="C412" s="4" t="n">
        <f aca="false">MONTH($A412)</f>
        <v>2</v>
      </c>
      <c r="D412" s="4" t="str">
        <f aca="false">TEXT($A412,"ddd")</f>
        <v>Fri</v>
      </c>
      <c r="E412" s="4" t="n">
        <f aca="false">IF(OR(AND(MONTH($A412)=10,DAY($A412)&gt;=15),MONTH($A412)=11,AND(MONTH($A412)=12,DAY($A412)&lt;=7)),1,0)</f>
        <v>0</v>
      </c>
      <c r="F412" s="4" t="n">
        <f aca="false">IF(MONTH($A412)&lt;=3,1,0)</f>
        <v>1</v>
      </c>
      <c r="G412" s="4" t="str">
        <f aca="false" t="array" ref="G412:G412">_xlfn.TEXTJOIN(" | ",TRUE(),IF('FEMA Disasters'!$F$2:$F$1000=$A412,'FEMA Disasters'!$D$2:$D$1000&amp;" begin: ["&amp;'FEMA Disasters'!$B$2:$B$1000&amp;"] "&amp;'FEMA Disasters'!$C$2:$C$1000&amp;"-"&amp;'FEMA Disasters'!$A$2:$A$1000,""),IF('FEMA Disasters'!$G$2:$G$1000=$A412,'FEMA Disasters'!$D$2:$D$1000&amp;" ended: ["&amp;'FEMA Disasters'!$B$2:$B$1000&amp;"] "&amp;'FEMA Disasters'!$C$2:$C$1000&amp;"-"&amp;'FEMA Disasters'!$A$2:$A$1000,""),IF('FEMA Disasters'!$K$2:$K$1000=$A412,"Disaster SEP opens: "&amp;'FEMA Disasters'!$D$2:$D$1000&amp;" ["&amp;'FEMA Disasters'!$B$2:$B$1000&amp;"] "&amp;'FEMA Disasters'!$C$2:$C$1000&amp;"-"&amp;'FEMA Disasters'!$A$2:$A$1000,""),IF('FEMA Disasters'!$L$2:$L$1000=$A412,"Disaster SEP ended: "&amp;'FEMA Disasters'!$D$2:$D$1000&amp;" ["&amp;'FEMA Disasters'!$B$2:$B$1000&amp;"] "&amp;'FEMA Disasters'!$C$2:$C$1000&amp;"-"&amp;'FEMA Disasters'!$A$2:$A$1000,""))</f>
        <v>Severe Storm begin: [KY] EM-3624 | Severe Storm begin: [KY] DR-4860</v>
      </c>
      <c r="H412" s="4" t="n">
        <f aca="false">COUNTIF(Events!$A$2:$A$397,$A412)</f>
        <v>0</v>
      </c>
      <c r="I412" s="6" t="str">
        <f aca="false" t="array" ref="I412:I412">_xlfn.TEXTJOIN(" | ",TRUE(),IF(Events!$A$2:$A$397=$A412,Events!$E$2:$E$397&amp;IF(Events!$G$2:$G$397="National",""," ["&amp;Events!$G$2:$G$397&amp;"]"),""))</f>
        <v/>
      </c>
    </row>
    <row r="413" customFormat="false" ht="15" hidden="false" customHeight="true" outlineLevel="0" collapsed="false">
      <c r="A413" s="3" t="n">
        <v>45703</v>
      </c>
      <c r="B413" s="4" t="n">
        <f aca="false">YEAR($A413)</f>
        <v>2025</v>
      </c>
      <c r="C413" s="4" t="n">
        <f aca="false">MONTH($A413)</f>
        <v>2</v>
      </c>
      <c r="D413" s="4" t="str">
        <f aca="false">TEXT($A413,"ddd")</f>
        <v>Sat</v>
      </c>
      <c r="E413" s="4" t="n">
        <f aca="false">IF(OR(AND(MONTH($A413)=10,DAY($A413)&gt;=15),MONTH($A413)=11,AND(MONTH($A413)=12,DAY($A413)&lt;=7)),1,0)</f>
        <v>0</v>
      </c>
      <c r="F413" s="4" t="n">
        <f aca="false">IF(MONTH($A413)&lt;=3,1,0)</f>
        <v>1</v>
      </c>
      <c r="G413" s="4" t="str">
        <f aca="false" t="array" ref="G413:G413">_xlfn.TEXTJOIN(" | ",TRUE(),IF('FEMA Disasters'!$F$2:$F$1000=$A413,'FEMA Disasters'!$D$2:$D$1000&amp;" begin: ["&amp;'FEMA Disasters'!$B$2:$B$1000&amp;"] "&amp;'FEMA Disasters'!$C$2:$C$1000&amp;"-"&amp;'FEMA Disasters'!$A$2:$A$1000,""),IF('FEMA Disasters'!$G$2:$G$1000=$A413,'FEMA Disasters'!$D$2:$D$1000&amp;" ended: ["&amp;'FEMA Disasters'!$B$2:$B$1000&amp;"] "&amp;'FEMA Disasters'!$C$2:$C$1000&amp;"-"&amp;'FEMA Disasters'!$A$2:$A$1000,""),IF('FEMA Disasters'!$K$2:$K$1000=$A413,"Disaster SEP opens: "&amp;'FEMA Disasters'!$D$2:$D$1000&amp;" ["&amp;'FEMA Disasters'!$B$2:$B$1000&amp;"] "&amp;'FEMA Disasters'!$C$2:$C$1000&amp;"-"&amp;'FEMA Disasters'!$A$2:$A$1000,""),IF('FEMA Disasters'!$L$2:$L$1000=$A413,"Disaster SEP ended: "&amp;'FEMA Disasters'!$D$2:$D$1000&amp;" ["&amp;'FEMA Disasters'!$B$2:$B$1000&amp;"] "&amp;'FEMA Disasters'!$C$2:$C$1000&amp;"-"&amp;'FEMA Disasters'!$A$2:$A$1000,""))</f>
        <v>Severe Storm begin: [WV] DR-4861</v>
      </c>
      <c r="H413" s="4" t="n">
        <f aca="false">COUNTIF(Events!$A$2:$A$397,$A413)</f>
        <v>0</v>
      </c>
      <c r="I413" s="6" t="str">
        <f aca="false" t="array" ref="I413:I413">_xlfn.TEXTJOIN(" | ",TRUE(),IF(Events!$A$2:$A$397=$A413,Events!$E$2:$E$397&amp;IF(Events!$G$2:$G$397="National",""," ["&amp;Events!$G$2:$G$397&amp;"]"),""))</f>
        <v/>
      </c>
    </row>
    <row r="414" customFormat="false" ht="15" hidden="false" customHeight="true" outlineLevel="0" collapsed="false">
      <c r="A414" s="3" t="n">
        <v>45704</v>
      </c>
      <c r="B414" s="4" t="n">
        <f aca="false">YEAR($A414)</f>
        <v>2025</v>
      </c>
      <c r="C414" s="4" t="n">
        <f aca="false">MONTH($A414)</f>
        <v>2</v>
      </c>
      <c r="D414" s="4" t="str">
        <f aca="false">TEXT($A414,"ddd")</f>
        <v>Sun</v>
      </c>
      <c r="E414" s="4" t="n">
        <f aca="false">IF(OR(AND(MONTH($A414)=10,DAY($A414)&gt;=15),MONTH($A414)=11,AND(MONTH($A414)=12,DAY($A414)&lt;=7)),1,0)</f>
        <v>0</v>
      </c>
      <c r="F414" s="4" t="n">
        <f aca="false">IF(MONTH($A414)&lt;=3,1,0)</f>
        <v>1</v>
      </c>
      <c r="G414" s="4" t="str">
        <f aca="false" t="array" ref="G414:G414">_xlfn.TEXTJOIN(" | ",TRUE(),IF('FEMA Disasters'!$F$2:$F$1000=$A414,'FEMA Disasters'!$D$2:$D$1000&amp;" begin: ["&amp;'FEMA Disasters'!$B$2:$B$1000&amp;"] "&amp;'FEMA Disasters'!$C$2:$C$1000&amp;"-"&amp;'FEMA Disasters'!$A$2:$A$1000,""),IF('FEMA Disasters'!$G$2:$G$1000=$A414,'FEMA Disasters'!$D$2:$D$1000&amp;" ended: ["&amp;'FEMA Disasters'!$B$2:$B$1000&amp;"] "&amp;'FEMA Disasters'!$C$2:$C$1000&amp;"-"&amp;'FEMA Disasters'!$A$2:$A$1000,""),IF('FEMA Disasters'!$K$2:$K$1000=$A414,"Disaster SEP opens: "&amp;'FEMA Disasters'!$D$2:$D$1000&amp;" ["&amp;'FEMA Disasters'!$B$2:$B$1000&amp;"] "&amp;'FEMA Disasters'!$C$2:$C$1000&amp;"-"&amp;'FEMA Disasters'!$A$2:$A$1000,""),IF('FEMA Disasters'!$L$2:$L$1000=$A414,"Disaster SEP ended: "&amp;'FEMA Disasters'!$D$2:$D$1000&amp;" ["&amp;'FEMA Disasters'!$B$2:$B$1000&amp;"] "&amp;'FEMA Disasters'!$C$2:$C$1000&amp;"-"&amp;'FEMA Disasters'!$A$2:$A$1000,""))</f>
        <v/>
      </c>
      <c r="H414" s="4" t="n">
        <f aca="false">COUNTIF(Events!$A$2:$A$397,$A414)</f>
        <v>0</v>
      </c>
      <c r="I414" s="6" t="str">
        <f aca="false" t="array" ref="I414:I414">_xlfn.TEXTJOIN(" | ",TRUE(),IF(Events!$A$2:$A$397=$A414,Events!$E$2:$E$397&amp;IF(Events!$G$2:$G$397="National",""," ["&amp;Events!$G$2:$G$397&amp;"]"),""))</f>
        <v/>
      </c>
    </row>
    <row r="415" customFormat="false" ht="15" hidden="false" customHeight="true" outlineLevel="0" collapsed="false">
      <c r="A415" s="3" t="n">
        <v>45705</v>
      </c>
      <c r="B415" s="4" t="n">
        <f aca="false">YEAR($A415)</f>
        <v>2025</v>
      </c>
      <c r="C415" s="4" t="n">
        <f aca="false">MONTH($A415)</f>
        <v>2</v>
      </c>
      <c r="D415" s="4" t="str">
        <f aca="false">TEXT($A415,"ddd")</f>
        <v>Mon</v>
      </c>
      <c r="E415" s="4" t="n">
        <f aca="false">IF(OR(AND(MONTH($A415)=10,DAY($A415)&gt;=15),MONTH($A415)=11,AND(MONTH($A415)=12,DAY($A415)&lt;=7)),1,0)</f>
        <v>0</v>
      </c>
      <c r="F415" s="4" t="n">
        <f aca="false">IF(MONTH($A415)&lt;=3,1,0)</f>
        <v>1</v>
      </c>
      <c r="G415" s="4" t="str">
        <f aca="false" t="array" ref="G415:G415">_xlfn.TEXTJOIN(" | ",TRUE(),IF('FEMA Disasters'!$F$2:$F$1000=$A415,'FEMA Disasters'!$D$2:$D$1000&amp;" begin: ["&amp;'FEMA Disasters'!$B$2:$B$1000&amp;"] "&amp;'FEMA Disasters'!$C$2:$C$1000&amp;"-"&amp;'FEMA Disasters'!$A$2:$A$1000,""),IF('FEMA Disasters'!$G$2:$G$1000=$A415,'FEMA Disasters'!$D$2:$D$1000&amp;" ended: ["&amp;'FEMA Disasters'!$B$2:$B$1000&amp;"] "&amp;'FEMA Disasters'!$C$2:$C$1000&amp;"-"&amp;'FEMA Disasters'!$A$2:$A$1000,""),IF('FEMA Disasters'!$K$2:$K$1000=$A415,"Disaster SEP opens: "&amp;'FEMA Disasters'!$D$2:$D$1000&amp;" ["&amp;'FEMA Disasters'!$B$2:$B$1000&amp;"] "&amp;'FEMA Disasters'!$C$2:$C$1000&amp;"-"&amp;'FEMA Disasters'!$A$2:$A$1000,""),IF('FEMA Disasters'!$L$2:$L$1000=$A415,"Disaster SEP ended: "&amp;'FEMA Disasters'!$D$2:$D$1000&amp;" ["&amp;'FEMA Disasters'!$B$2:$B$1000&amp;"] "&amp;'FEMA Disasters'!$C$2:$C$1000&amp;"-"&amp;'FEMA Disasters'!$A$2:$A$1000,""))</f>
        <v/>
      </c>
      <c r="H415" s="4" t="n">
        <f aca="false">COUNTIF(Events!$A$2:$A$397,$A415)</f>
        <v>0</v>
      </c>
      <c r="I415" s="6" t="str">
        <f aca="false" t="array" ref="I415:I415">_xlfn.TEXTJOIN(" | ",TRUE(),IF(Events!$A$2:$A$397=$A415,Events!$E$2:$E$397&amp;IF(Events!$G$2:$G$397="National",""," ["&amp;Events!$G$2:$G$397&amp;"]"),""))</f>
        <v/>
      </c>
    </row>
    <row r="416" customFormat="false" ht="15" hidden="false" customHeight="true" outlineLevel="0" collapsed="false">
      <c r="A416" s="3" t="n">
        <v>45706</v>
      </c>
      <c r="B416" s="4" t="n">
        <f aca="false">YEAR($A416)</f>
        <v>2025</v>
      </c>
      <c r="C416" s="4" t="n">
        <f aca="false">MONTH($A416)</f>
        <v>2</v>
      </c>
      <c r="D416" s="4" t="str">
        <f aca="false">TEXT($A416,"ddd")</f>
        <v>Tue</v>
      </c>
      <c r="E416" s="4" t="n">
        <f aca="false">IF(OR(AND(MONTH($A416)=10,DAY($A416)&gt;=15),MONTH($A416)=11,AND(MONTH($A416)=12,DAY($A416)&lt;=7)),1,0)</f>
        <v>0</v>
      </c>
      <c r="F416" s="4" t="n">
        <f aca="false">IF(MONTH($A416)&lt;=3,1,0)</f>
        <v>1</v>
      </c>
      <c r="G416" s="4" t="str">
        <f aca="false" t="array" ref="G416:G416">_xlfn.TEXTJOIN(" | ",TRUE(),IF('FEMA Disasters'!$F$2:$F$1000=$A416,'FEMA Disasters'!$D$2:$D$1000&amp;" begin: ["&amp;'FEMA Disasters'!$B$2:$B$1000&amp;"] "&amp;'FEMA Disasters'!$C$2:$C$1000&amp;"-"&amp;'FEMA Disasters'!$A$2:$A$1000,""),IF('FEMA Disasters'!$G$2:$G$1000=$A416,'FEMA Disasters'!$D$2:$D$1000&amp;" ended: ["&amp;'FEMA Disasters'!$B$2:$B$1000&amp;"] "&amp;'FEMA Disasters'!$C$2:$C$1000&amp;"-"&amp;'FEMA Disasters'!$A$2:$A$1000,""),IF('FEMA Disasters'!$K$2:$K$1000=$A416,"Disaster SEP opens: "&amp;'FEMA Disasters'!$D$2:$D$1000&amp;" ["&amp;'FEMA Disasters'!$B$2:$B$1000&amp;"] "&amp;'FEMA Disasters'!$C$2:$C$1000&amp;"-"&amp;'FEMA Disasters'!$A$2:$A$1000,""),IF('FEMA Disasters'!$L$2:$L$1000=$A416,"Disaster SEP ended: "&amp;'FEMA Disasters'!$D$2:$D$1000&amp;" ["&amp;'FEMA Disasters'!$B$2:$B$1000&amp;"] "&amp;'FEMA Disasters'!$C$2:$C$1000&amp;"-"&amp;'FEMA Disasters'!$A$2:$A$1000,""))</f>
        <v>Severe Storm ended: [VA] DR-4863 | Severe Storm ended: [WV] DR-4861</v>
      </c>
      <c r="H416" s="4" t="n">
        <f aca="false">COUNTIF(Events!$A$2:$A$397,$A416)</f>
        <v>0</v>
      </c>
      <c r="I416" s="6" t="str">
        <f aca="false" t="array" ref="I416:I416">_xlfn.TEXTJOIN(" | ",TRUE(),IF(Events!$A$2:$A$397=$A416,Events!$E$2:$E$397&amp;IF(Events!$G$2:$G$397="National",""," ["&amp;Events!$G$2:$G$397&amp;"]"),""))</f>
        <v/>
      </c>
    </row>
    <row r="417" customFormat="false" ht="15" hidden="false" customHeight="true" outlineLevel="0" collapsed="false">
      <c r="A417" s="3" t="n">
        <v>45707</v>
      </c>
      <c r="B417" s="4" t="n">
        <f aca="false">YEAR($A417)</f>
        <v>2025</v>
      </c>
      <c r="C417" s="4" t="n">
        <f aca="false">MONTH($A417)</f>
        <v>2</v>
      </c>
      <c r="D417" s="4" t="str">
        <f aca="false">TEXT($A417,"ddd")</f>
        <v>Wed</v>
      </c>
      <c r="E417" s="4" t="n">
        <f aca="false">IF(OR(AND(MONTH($A417)=10,DAY($A417)&gt;=15),MONTH($A417)=11,AND(MONTH($A417)=12,DAY($A417)&lt;=7)),1,0)</f>
        <v>0</v>
      </c>
      <c r="F417" s="4" t="n">
        <f aca="false">IF(MONTH($A417)&lt;=3,1,0)</f>
        <v>1</v>
      </c>
      <c r="G417" s="4" t="str">
        <f aca="false" t="array" ref="G417:G417">_xlfn.TEXTJOIN(" | ",TRUE(),IF('FEMA Disasters'!$F$2:$F$1000=$A417,'FEMA Disasters'!$D$2:$D$1000&amp;" begin: ["&amp;'FEMA Disasters'!$B$2:$B$1000&amp;"] "&amp;'FEMA Disasters'!$C$2:$C$1000&amp;"-"&amp;'FEMA Disasters'!$A$2:$A$1000,""),IF('FEMA Disasters'!$G$2:$G$1000=$A417,'FEMA Disasters'!$D$2:$D$1000&amp;" ended: ["&amp;'FEMA Disasters'!$B$2:$B$1000&amp;"] "&amp;'FEMA Disasters'!$C$2:$C$1000&amp;"-"&amp;'FEMA Disasters'!$A$2:$A$1000,""),IF('FEMA Disasters'!$K$2:$K$1000=$A417,"Disaster SEP opens: "&amp;'FEMA Disasters'!$D$2:$D$1000&amp;" ["&amp;'FEMA Disasters'!$B$2:$B$1000&amp;"] "&amp;'FEMA Disasters'!$C$2:$C$1000&amp;"-"&amp;'FEMA Disasters'!$A$2:$A$1000,""),IF('FEMA Disasters'!$L$2:$L$1000=$A417,"Disaster SEP ended: "&amp;'FEMA Disasters'!$D$2:$D$1000&amp;" ["&amp;'FEMA Disasters'!$B$2:$B$1000&amp;"] "&amp;'FEMA Disasters'!$C$2:$C$1000&amp;"-"&amp;'FEMA Disasters'!$A$2:$A$1000,""))</f>
        <v/>
      </c>
      <c r="H417" s="4" t="n">
        <f aca="false">COUNTIF(Events!$A$2:$A$397,$A417)</f>
        <v>0</v>
      </c>
      <c r="I417" s="6" t="str">
        <f aca="false" t="array" ref="I417:I417">_xlfn.TEXTJOIN(" | ",TRUE(),IF(Events!$A$2:$A$397=$A417,Events!$E$2:$E$397&amp;IF(Events!$G$2:$G$397="National",""," ["&amp;Events!$G$2:$G$397&amp;"]"),""))</f>
        <v/>
      </c>
    </row>
    <row r="418" customFormat="false" ht="15" hidden="false" customHeight="true" outlineLevel="0" collapsed="false">
      <c r="A418" s="3" t="n">
        <v>45708</v>
      </c>
      <c r="B418" s="4" t="n">
        <f aca="false">YEAR($A418)</f>
        <v>2025</v>
      </c>
      <c r="C418" s="4" t="n">
        <f aca="false">MONTH($A418)</f>
        <v>2</v>
      </c>
      <c r="D418" s="4" t="str">
        <f aca="false">TEXT($A418,"ddd")</f>
        <v>Thu</v>
      </c>
      <c r="E418" s="4" t="n">
        <f aca="false">IF(OR(AND(MONTH($A418)=10,DAY($A418)&gt;=15),MONTH($A418)=11,AND(MONTH($A418)=12,DAY($A418)&lt;=7)),1,0)</f>
        <v>0</v>
      </c>
      <c r="F418" s="4" t="n">
        <f aca="false">IF(MONTH($A418)&lt;=3,1,0)</f>
        <v>1</v>
      </c>
      <c r="G418" s="4" t="str">
        <f aca="false" t="array" ref="G418:G418">_xlfn.TEXTJOIN(" | ",TRUE(),IF('FEMA Disasters'!$F$2:$F$1000=$A418,'FEMA Disasters'!$D$2:$D$1000&amp;" begin: ["&amp;'FEMA Disasters'!$B$2:$B$1000&amp;"] "&amp;'FEMA Disasters'!$C$2:$C$1000&amp;"-"&amp;'FEMA Disasters'!$A$2:$A$1000,""),IF('FEMA Disasters'!$G$2:$G$1000=$A418,'FEMA Disasters'!$D$2:$D$1000&amp;" ended: ["&amp;'FEMA Disasters'!$B$2:$B$1000&amp;"] "&amp;'FEMA Disasters'!$C$2:$C$1000&amp;"-"&amp;'FEMA Disasters'!$A$2:$A$1000,""),IF('FEMA Disasters'!$K$2:$K$1000=$A418,"Disaster SEP opens: "&amp;'FEMA Disasters'!$D$2:$D$1000&amp;" ["&amp;'FEMA Disasters'!$B$2:$B$1000&amp;"] "&amp;'FEMA Disasters'!$C$2:$C$1000&amp;"-"&amp;'FEMA Disasters'!$A$2:$A$1000,""),IF('FEMA Disasters'!$L$2:$L$1000=$A418,"Disaster SEP ended: "&amp;'FEMA Disasters'!$D$2:$D$1000&amp;" ["&amp;'FEMA Disasters'!$B$2:$B$1000&amp;"] "&amp;'FEMA Disasters'!$C$2:$C$1000&amp;"-"&amp;'FEMA Disasters'!$A$2:$A$1000,""))</f>
        <v/>
      </c>
      <c r="H418" s="4" t="n">
        <f aca="false">COUNTIF(Events!$A$2:$A$397,$A418)</f>
        <v>0</v>
      </c>
      <c r="I418" s="6" t="str">
        <f aca="false" t="array" ref="I418:I418">_xlfn.TEXTJOIN(" | ",TRUE(),IF(Events!$A$2:$A$397=$A418,Events!$E$2:$E$397&amp;IF(Events!$G$2:$G$397="National",""," ["&amp;Events!$G$2:$G$397&amp;"]"),""))</f>
        <v/>
      </c>
    </row>
    <row r="419" customFormat="false" ht="15" hidden="false" customHeight="true" outlineLevel="0" collapsed="false">
      <c r="A419" s="3" t="n">
        <v>45709</v>
      </c>
      <c r="B419" s="4" t="n">
        <f aca="false">YEAR($A419)</f>
        <v>2025</v>
      </c>
      <c r="C419" s="4" t="n">
        <f aca="false">MONTH($A419)</f>
        <v>2</v>
      </c>
      <c r="D419" s="4" t="str">
        <f aca="false">TEXT($A419,"ddd")</f>
        <v>Fri</v>
      </c>
      <c r="E419" s="4" t="n">
        <f aca="false">IF(OR(AND(MONTH($A419)=10,DAY($A419)&gt;=15),MONTH($A419)=11,AND(MONTH($A419)=12,DAY($A419)&lt;=7)),1,0)</f>
        <v>0</v>
      </c>
      <c r="F419" s="4" t="n">
        <f aca="false">IF(MONTH($A419)&lt;=3,1,0)</f>
        <v>1</v>
      </c>
      <c r="G419" s="4" t="str">
        <f aca="false" t="array" ref="G419:G419">_xlfn.TEXTJOIN(" | ",TRUE(),IF('FEMA Disasters'!$F$2:$F$1000=$A419,'FEMA Disasters'!$D$2:$D$1000&amp;" begin: ["&amp;'FEMA Disasters'!$B$2:$B$1000&amp;"] "&amp;'FEMA Disasters'!$C$2:$C$1000&amp;"-"&amp;'FEMA Disasters'!$A$2:$A$1000,""),IF('FEMA Disasters'!$G$2:$G$1000=$A419,'FEMA Disasters'!$D$2:$D$1000&amp;" ended: ["&amp;'FEMA Disasters'!$B$2:$B$1000&amp;"] "&amp;'FEMA Disasters'!$C$2:$C$1000&amp;"-"&amp;'FEMA Disasters'!$A$2:$A$1000,""),IF('FEMA Disasters'!$K$2:$K$1000=$A419,"Disaster SEP opens: "&amp;'FEMA Disasters'!$D$2:$D$1000&amp;" ["&amp;'FEMA Disasters'!$B$2:$B$1000&amp;"] "&amp;'FEMA Disasters'!$C$2:$C$1000&amp;"-"&amp;'FEMA Disasters'!$A$2:$A$1000,""),IF('FEMA Disasters'!$L$2:$L$1000=$A419,"Disaster SEP ended: "&amp;'FEMA Disasters'!$D$2:$D$1000&amp;" ["&amp;'FEMA Disasters'!$B$2:$B$1000&amp;"] "&amp;'FEMA Disasters'!$C$2:$C$1000&amp;"-"&amp;'FEMA Disasters'!$A$2:$A$1000,""))</f>
        <v/>
      </c>
      <c r="H419" s="4" t="n">
        <f aca="false">COUNTIF(Events!$A$2:$A$397,$A419)</f>
        <v>0</v>
      </c>
      <c r="I419" s="6" t="str">
        <f aca="false" t="array" ref="I419:I419">_xlfn.TEXTJOIN(" | ",TRUE(),IF(Events!$A$2:$A$397=$A419,Events!$E$2:$E$397&amp;IF(Events!$G$2:$G$397="National",""," ["&amp;Events!$G$2:$G$397&amp;"]"),""))</f>
        <v/>
      </c>
    </row>
    <row r="420" customFormat="false" ht="15" hidden="false" customHeight="true" outlineLevel="0" collapsed="false">
      <c r="A420" s="3" t="n">
        <v>45710</v>
      </c>
      <c r="B420" s="4" t="n">
        <f aca="false">YEAR($A420)</f>
        <v>2025</v>
      </c>
      <c r="C420" s="4" t="n">
        <f aca="false">MONTH($A420)</f>
        <v>2</v>
      </c>
      <c r="D420" s="4" t="str">
        <f aca="false">TEXT($A420,"ddd")</f>
        <v>Sat</v>
      </c>
      <c r="E420" s="4" t="n">
        <f aca="false">IF(OR(AND(MONTH($A420)=10,DAY($A420)&gt;=15),MONTH($A420)=11,AND(MONTH($A420)=12,DAY($A420)&lt;=7)),1,0)</f>
        <v>0</v>
      </c>
      <c r="F420" s="4" t="n">
        <f aca="false">IF(MONTH($A420)&lt;=3,1,0)</f>
        <v>1</v>
      </c>
      <c r="G420" s="4" t="str">
        <f aca="false" t="array" ref="G420:G420">_xlfn.TEXTJOIN(" | ",TRUE(),IF('FEMA Disasters'!$F$2:$F$1000=$A420,'FEMA Disasters'!$D$2:$D$1000&amp;" begin: ["&amp;'FEMA Disasters'!$B$2:$B$1000&amp;"] "&amp;'FEMA Disasters'!$C$2:$C$1000&amp;"-"&amp;'FEMA Disasters'!$A$2:$A$1000,""),IF('FEMA Disasters'!$G$2:$G$1000=$A420,'FEMA Disasters'!$D$2:$D$1000&amp;" ended: ["&amp;'FEMA Disasters'!$B$2:$B$1000&amp;"] "&amp;'FEMA Disasters'!$C$2:$C$1000&amp;"-"&amp;'FEMA Disasters'!$A$2:$A$1000,""),IF('FEMA Disasters'!$K$2:$K$1000=$A420,"Disaster SEP opens: "&amp;'FEMA Disasters'!$D$2:$D$1000&amp;" ["&amp;'FEMA Disasters'!$B$2:$B$1000&amp;"] "&amp;'FEMA Disasters'!$C$2:$C$1000&amp;"-"&amp;'FEMA Disasters'!$A$2:$A$1000,""),IF('FEMA Disasters'!$L$2:$L$1000=$A420,"Disaster SEP ended: "&amp;'FEMA Disasters'!$D$2:$D$1000&amp;" ["&amp;'FEMA Disasters'!$B$2:$B$1000&amp;"] "&amp;'FEMA Disasters'!$C$2:$C$1000&amp;"-"&amp;'FEMA Disasters'!$A$2:$A$1000,""))</f>
        <v/>
      </c>
      <c r="H420" s="4" t="n">
        <f aca="false">COUNTIF(Events!$A$2:$A$397,$A420)</f>
        <v>0</v>
      </c>
      <c r="I420" s="6" t="str">
        <f aca="false" t="array" ref="I420:I420">_xlfn.TEXTJOIN(" | ",TRUE(),IF(Events!$A$2:$A$397=$A420,Events!$E$2:$E$397&amp;IF(Events!$G$2:$G$397="National",""," ["&amp;Events!$G$2:$G$397&amp;"]"),""))</f>
        <v/>
      </c>
    </row>
    <row r="421" customFormat="false" ht="15" hidden="false" customHeight="true" outlineLevel="0" collapsed="false">
      <c r="A421" s="3" t="n">
        <v>45711</v>
      </c>
      <c r="B421" s="4" t="n">
        <f aca="false">YEAR($A421)</f>
        <v>2025</v>
      </c>
      <c r="C421" s="4" t="n">
        <f aca="false">MONTH($A421)</f>
        <v>2</v>
      </c>
      <c r="D421" s="4" t="str">
        <f aca="false">TEXT($A421,"ddd")</f>
        <v>Sun</v>
      </c>
      <c r="E421" s="4" t="n">
        <f aca="false">IF(OR(AND(MONTH($A421)=10,DAY($A421)&gt;=15),MONTH($A421)=11,AND(MONTH($A421)=12,DAY($A421)&lt;=7)),1,0)</f>
        <v>0</v>
      </c>
      <c r="F421" s="4" t="n">
        <f aca="false">IF(MONTH($A421)&lt;=3,1,0)</f>
        <v>1</v>
      </c>
      <c r="G421" s="4" t="str">
        <f aca="false" t="array" ref="G421:G421">_xlfn.TEXTJOIN(" | ",TRUE(),IF('FEMA Disasters'!$F$2:$F$1000=$A421,'FEMA Disasters'!$D$2:$D$1000&amp;" begin: ["&amp;'FEMA Disasters'!$B$2:$B$1000&amp;"] "&amp;'FEMA Disasters'!$C$2:$C$1000&amp;"-"&amp;'FEMA Disasters'!$A$2:$A$1000,""),IF('FEMA Disasters'!$G$2:$G$1000=$A421,'FEMA Disasters'!$D$2:$D$1000&amp;" ended: ["&amp;'FEMA Disasters'!$B$2:$B$1000&amp;"] "&amp;'FEMA Disasters'!$C$2:$C$1000&amp;"-"&amp;'FEMA Disasters'!$A$2:$A$1000,""),IF('FEMA Disasters'!$K$2:$K$1000=$A421,"Disaster SEP opens: "&amp;'FEMA Disasters'!$D$2:$D$1000&amp;" ["&amp;'FEMA Disasters'!$B$2:$B$1000&amp;"] "&amp;'FEMA Disasters'!$C$2:$C$1000&amp;"-"&amp;'FEMA Disasters'!$A$2:$A$1000,""),IF('FEMA Disasters'!$L$2:$L$1000=$A421,"Disaster SEP ended: "&amp;'FEMA Disasters'!$D$2:$D$1000&amp;" ["&amp;'FEMA Disasters'!$B$2:$B$1000&amp;"] "&amp;'FEMA Disasters'!$C$2:$C$1000&amp;"-"&amp;'FEMA Disasters'!$A$2:$A$1000,""))</f>
        <v/>
      </c>
      <c r="H421" s="4" t="n">
        <f aca="false">COUNTIF(Events!$A$2:$A$397,$A421)</f>
        <v>0</v>
      </c>
      <c r="I421" s="6" t="str">
        <f aca="false" t="array" ref="I421:I421">_xlfn.TEXTJOIN(" | ",TRUE(),IF(Events!$A$2:$A$397=$A421,Events!$E$2:$E$397&amp;IF(Events!$G$2:$G$397="National",""," ["&amp;Events!$G$2:$G$397&amp;"]"),""))</f>
        <v/>
      </c>
    </row>
    <row r="422" customFormat="false" ht="15" hidden="false" customHeight="true" outlineLevel="0" collapsed="false">
      <c r="A422" s="3" t="n">
        <v>45712</v>
      </c>
      <c r="B422" s="4" t="n">
        <f aca="false">YEAR($A422)</f>
        <v>2025</v>
      </c>
      <c r="C422" s="4" t="n">
        <f aca="false">MONTH($A422)</f>
        <v>2</v>
      </c>
      <c r="D422" s="4" t="str">
        <f aca="false">TEXT($A422,"ddd")</f>
        <v>Mon</v>
      </c>
      <c r="E422" s="4" t="n">
        <f aca="false">IF(OR(AND(MONTH($A422)=10,DAY($A422)&gt;=15),MONTH($A422)=11,AND(MONTH($A422)=12,DAY($A422)&lt;=7)),1,0)</f>
        <v>0</v>
      </c>
      <c r="F422" s="4" t="n">
        <f aca="false">IF(MONTH($A422)&lt;=3,1,0)</f>
        <v>1</v>
      </c>
      <c r="G422" s="4" t="str">
        <f aca="false" t="array" ref="G422:G422">_xlfn.TEXTJOIN(" | ",TRUE(),IF('FEMA Disasters'!$F$2:$F$1000=$A422,'FEMA Disasters'!$D$2:$D$1000&amp;" begin: ["&amp;'FEMA Disasters'!$B$2:$B$1000&amp;"] "&amp;'FEMA Disasters'!$C$2:$C$1000&amp;"-"&amp;'FEMA Disasters'!$A$2:$A$1000,""),IF('FEMA Disasters'!$G$2:$G$1000=$A422,'FEMA Disasters'!$D$2:$D$1000&amp;" ended: ["&amp;'FEMA Disasters'!$B$2:$B$1000&amp;"] "&amp;'FEMA Disasters'!$C$2:$C$1000&amp;"-"&amp;'FEMA Disasters'!$A$2:$A$1000,""),IF('FEMA Disasters'!$K$2:$K$1000=$A422,"Disaster SEP opens: "&amp;'FEMA Disasters'!$D$2:$D$1000&amp;" ["&amp;'FEMA Disasters'!$B$2:$B$1000&amp;"] "&amp;'FEMA Disasters'!$C$2:$C$1000&amp;"-"&amp;'FEMA Disasters'!$A$2:$A$1000,""),IF('FEMA Disasters'!$L$2:$L$1000=$A422,"Disaster SEP ended: "&amp;'FEMA Disasters'!$D$2:$D$1000&amp;" ["&amp;'FEMA Disasters'!$B$2:$B$1000&amp;"] "&amp;'FEMA Disasters'!$C$2:$C$1000&amp;"-"&amp;'FEMA Disasters'!$A$2:$A$1000,""))</f>
        <v/>
      </c>
      <c r="H422" s="4" t="n">
        <f aca="false">COUNTIF(Events!$A$2:$A$397,$A422)</f>
        <v>0</v>
      </c>
      <c r="I422" s="6" t="str">
        <f aca="false" t="array" ref="I422:I422">_xlfn.TEXTJOIN(" | ",TRUE(),IF(Events!$A$2:$A$397=$A422,Events!$E$2:$E$397&amp;IF(Events!$G$2:$G$397="National",""," ["&amp;Events!$G$2:$G$397&amp;"]"),""))</f>
        <v/>
      </c>
    </row>
    <row r="423" customFormat="false" ht="15" hidden="false" customHeight="true" outlineLevel="0" collapsed="false">
      <c r="A423" s="3" t="n">
        <v>45713</v>
      </c>
      <c r="B423" s="4" t="n">
        <f aca="false">YEAR($A423)</f>
        <v>2025</v>
      </c>
      <c r="C423" s="4" t="n">
        <f aca="false">MONTH($A423)</f>
        <v>2</v>
      </c>
      <c r="D423" s="4" t="str">
        <f aca="false">TEXT($A423,"ddd")</f>
        <v>Tue</v>
      </c>
      <c r="E423" s="4" t="n">
        <f aca="false">IF(OR(AND(MONTH($A423)=10,DAY($A423)&gt;=15),MONTH($A423)=11,AND(MONTH($A423)=12,DAY($A423)&lt;=7)),1,0)</f>
        <v>0</v>
      </c>
      <c r="F423" s="4" t="n">
        <f aca="false">IF(MONTH($A423)&lt;=3,1,0)</f>
        <v>1</v>
      </c>
      <c r="G423" s="4" t="str">
        <f aca="false" t="array" ref="G423:G423">_xlfn.TEXTJOIN(" | ",TRUE(),IF('FEMA Disasters'!$F$2:$F$1000=$A423,'FEMA Disasters'!$D$2:$D$1000&amp;" begin: ["&amp;'FEMA Disasters'!$B$2:$B$1000&amp;"] "&amp;'FEMA Disasters'!$C$2:$C$1000&amp;"-"&amp;'FEMA Disasters'!$A$2:$A$1000,""),IF('FEMA Disasters'!$G$2:$G$1000=$A423,'FEMA Disasters'!$D$2:$D$1000&amp;" ended: ["&amp;'FEMA Disasters'!$B$2:$B$1000&amp;"] "&amp;'FEMA Disasters'!$C$2:$C$1000&amp;"-"&amp;'FEMA Disasters'!$A$2:$A$1000,""),IF('FEMA Disasters'!$K$2:$K$1000=$A423,"Disaster SEP opens: "&amp;'FEMA Disasters'!$D$2:$D$1000&amp;" ["&amp;'FEMA Disasters'!$B$2:$B$1000&amp;"] "&amp;'FEMA Disasters'!$C$2:$C$1000&amp;"-"&amp;'FEMA Disasters'!$A$2:$A$1000,""),IF('FEMA Disasters'!$L$2:$L$1000=$A423,"Disaster SEP ended: "&amp;'FEMA Disasters'!$D$2:$D$1000&amp;" ["&amp;'FEMA Disasters'!$B$2:$B$1000&amp;"] "&amp;'FEMA Disasters'!$C$2:$C$1000&amp;"-"&amp;'FEMA Disasters'!$A$2:$A$1000,""))</f>
        <v/>
      </c>
      <c r="H423" s="4" t="n">
        <f aca="false">COUNTIF(Events!$A$2:$A$397,$A423)</f>
        <v>0</v>
      </c>
      <c r="I423" s="6" t="str">
        <f aca="false" t="array" ref="I423:I423">_xlfn.TEXTJOIN(" | ",TRUE(),IF(Events!$A$2:$A$397=$A423,Events!$E$2:$E$397&amp;IF(Events!$G$2:$G$397="National",""," ["&amp;Events!$G$2:$G$397&amp;"]"),""))</f>
        <v/>
      </c>
    </row>
    <row r="424" customFormat="false" ht="15" hidden="false" customHeight="true" outlineLevel="0" collapsed="false">
      <c r="A424" s="3" t="n">
        <v>45714</v>
      </c>
      <c r="B424" s="4" t="n">
        <f aca="false">YEAR($A424)</f>
        <v>2025</v>
      </c>
      <c r="C424" s="4" t="n">
        <f aca="false">MONTH($A424)</f>
        <v>2</v>
      </c>
      <c r="D424" s="4" t="str">
        <f aca="false">TEXT($A424,"ddd")</f>
        <v>Wed</v>
      </c>
      <c r="E424" s="4" t="n">
        <f aca="false">IF(OR(AND(MONTH($A424)=10,DAY($A424)&gt;=15),MONTH($A424)=11,AND(MONTH($A424)=12,DAY($A424)&lt;=7)),1,0)</f>
        <v>0</v>
      </c>
      <c r="F424" s="4" t="n">
        <f aca="false">IF(MONTH($A424)&lt;=3,1,0)</f>
        <v>1</v>
      </c>
      <c r="G424" s="4" t="str">
        <f aca="false" t="array" ref="G424:G424">_xlfn.TEXTJOIN(" | ",TRUE(),IF('FEMA Disasters'!$F$2:$F$1000=$A424,'FEMA Disasters'!$D$2:$D$1000&amp;" begin: ["&amp;'FEMA Disasters'!$B$2:$B$1000&amp;"] "&amp;'FEMA Disasters'!$C$2:$C$1000&amp;"-"&amp;'FEMA Disasters'!$A$2:$A$1000,""),IF('FEMA Disasters'!$G$2:$G$1000=$A424,'FEMA Disasters'!$D$2:$D$1000&amp;" ended: ["&amp;'FEMA Disasters'!$B$2:$B$1000&amp;"] "&amp;'FEMA Disasters'!$C$2:$C$1000&amp;"-"&amp;'FEMA Disasters'!$A$2:$A$1000,""),IF('FEMA Disasters'!$K$2:$K$1000=$A424,"Disaster SEP opens: "&amp;'FEMA Disasters'!$D$2:$D$1000&amp;" ["&amp;'FEMA Disasters'!$B$2:$B$1000&amp;"] "&amp;'FEMA Disasters'!$C$2:$C$1000&amp;"-"&amp;'FEMA Disasters'!$A$2:$A$1000,""),IF('FEMA Disasters'!$L$2:$L$1000=$A424,"Disaster SEP ended: "&amp;'FEMA Disasters'!$D$2:$D$1000&amp;" ["&amp;'FEMA Disasters'!$B$2:$B$1000&amp;"] "&amp;'FEMA Disasters'!$C$2:$C$1000&amp;"-"&amp;'FEMA Disasters'!$A$2:$A$1000,""))</f>
        <v/>
      </c>
      <c r="H424" s="4" t="n">
        <f aca="false">COUNTIF(Events!$A$2:$A$397,$A424)</f>
        <v>0</v>
      </c>
      <c r="I424" s="6" t="str">
        <f aca="false" t="array" ref="I424:I424">_xlfn.TEXTJOIN(" | ",TRUE(),IF(Events!$A$2:$A$397=$A424,Events!$E$2:$E$397&amp;IF(Events!$G$2:$G$397="National",""," ["&amp;Events!$G$2:$G$397&amp;"]"),""))</f>
        <v/>
      </c>
    </row>
    <row r="425" customFormat="false" ht="15" hidden="false" customHeight="true" outlineLevel="0" collapsed="false">
      <c r="A425" s="3" t="n">
        <v>45715</v>
      </c>
      <c r="B425" s="4" t="n">
        <f aca="false">YEAR($A425)</f>
        <v>2025</v>
      </c>
      <c r="C425" s="4" t="n">
        <f aca="false">MONTH($A425)</f>
        <v>2</v>
      </c>
      <c r="D425" s="4" t="str">
        <f aca="false">TEXT($A425,"ddd")</f>
        <v>Thu</v>
      </c>
      <c r="E425" s="4" t="n">
        <f aca="false">IF(OR(AND(MONTH($A425)=10,DAY($A425)&gt;=15),MONTH($A425)=11,AND(MONTH($A425)=12,DAY($A425)&lt;=7)),1,0)</f>
        <v>0</v>
      </c>
      <c r="F425" s="4" t="n">
        <f aca="false">IF(MONTH($A425)&lt;=3,1,0)</f>
        <v>1</v>
      </c>
      <c r="G425" s="4" t="str">
        <f aca="false" t="array" ref="G425:G425">_xlfn.TEXTJOIN(" | ",TRUE(),IF('FEMA Disasters'!$F$2:$F$1000=$A425,'FEMA Disasters'!$D$2:$D$1000&amp;" begin: ["&amp;'FEMA Disasters'!$B$2:$B$1000&amp;"] "&amp;'FEMA Disasters'!$C$2:$C$1000&amp;"-"&amp;'FEMA Disasters'!$A$2:$A$1000,""),IF('FEMA Disasters'!$G$2:$G$1000=$A425,'FEMA Disasters'!$D$2:$D$1000&amp;" ended: ["&amp;'FEMA Disasters'!$B$2:$B$1000&amp;"] "&amp;'FEMA Disasters'!$C$2:$C$1000&amp;"-"&amp;'FEMA Disasters'!$A$2:$A$1000,""),IF('FEMA Disasters'!$K$2:$K$1000=$A425,"Disaster SEP opens: "&amp;'FEMA Disasters'!$D$2:$D$1000&amp;" ["&amp;'FEMA Disasters'!$B$2:$B$1000&amp;"] "&amp;'FEMA Disasters'!$C$2:$C$1000&amp;"-"&amp;'FEMA Disasters'!$A$2:$A$1000,""),IF('FEMA Disasters'!$L$2:$L$1000=$A425,"Disaster SEP ended: "&amp;'FEMA Disasters'!$D$2:$D$1000&amp;" ["&amp;'FEMA Disasters'!$B$2:$B$1000&amp;"] "&amp;'FEMA Disasters'!$C$2:$C$1000&amp;"-"&amp;'FEMA Disasters'!$A$2:$A$1000,""))</f>
        <v/>
      </c>
      <c r="H425" s="4" t="n">
        <f aca="false">COUNTIF(Events!$A$2:$A$397,$A425)</f>
        <v>0</v>
      </c>
      <c r="I425" s="6" t="str">
        <f aca="false" t="array" ref="I425:I425">_xlfn.TEXTJOIN(" | ",TRUE(),IF(Events!$A$2:$A$397=$A425,Events!$E$2:$E$397&amp;IF(Events!$G$2:$G$397="National",""," ["&amp;Events!$G$2:$G$397&amp;"]"),""))</f>
        <v/>
      </c>
    </row>
    <row r="426" customFormat="false" ht="15" hidden="false" customHeight="true" outlineLevel="0" collapsed="false">
      <c r="A426" s="3" t="n">
        <v>45716</v>
      </c>
      <c r="B426" s="4" t="n">
        <f aca="false">YEAR($A426)</f>
        <v>2025</v>
      </c>
      <c r="C426" s="4" t="n">
        <f aca="false">MONTH($A426)</f>
        <v>2</v>
      </c>
      <c r="D426" s="4" t="str">
        <f aca="false">TEXT($A426,"ddd")</f>
        <v>Fri</v>
      </c>
      <c r="E426" s="4" t="n">
        <f aca="false">IF(OR(AND(MONTH($A426)=10,DAY($A426)&gt;=15),MONTH($A426)=11,AND(MONTH($A426)=12,DAY($A426)&lt;=7)),1,0)</f>
        <v>0</v>
      </c>
      <c r="F426" s="4" t="n">
        <f aca="false">IF(MONTH($A426)&lt;=3,1,0)</f>
        <v>1</v>
      </c>
      <c r="G426" s="4" t="str">
        <f aca="false" t="array" ref="G426:G426">_xlfn.TEXTJOIN(" | ",TRUE(),IF('FEMA Disasters'!$F$2:$F$1000=$A426,'FEMA Disasters'!$D$2:$D$1000&amp;" begin: ["&amp;'FEMA Disasters'!$B$2:$B$1000&amp;"] "&amp;'FEMA Disasters'!$C$2:$C$1000&amp;"-"&amp;'FEMA Disasters'!$A$2:$A$1000,""),IF('FEMA Disasters'!$G$2:$G$1000=$A426,'FEMA Disasters'!$D$2:$D$1000&amp;" ended: ["&amp;'FEMA Disasters'!$B$2:$B$1000&amp;"] "&amp;'FEMA Disasters'!$C$2:$C$1000&amp;"-"&amp;'FEMA Disasters'!$A$2:$A$1000,""),IF('FEMA Disasters'!$K$2:$K$1000=$A426,"Disaster SEP opens: "&amp;'FEMA Disasters'!$D$2:$D$1000&amp;" ["&amp;'FEMA Disasters'!$B$2:$B$1000&amp;"] "&amp;'FEMA Disasters'!$C$2:$C$1000&amp;"-"&amp;'FEMA Disasters'!$A$2:$A$1000,""),IF('FEMA Disasters'!$L$2:$L$1000=$A426,"Disaster SEP ended: "&amp;'FEMA Disasters'!$D$2:$D$1000&amp;" ["&amp;'FEMA Disasters'!$B$2:$B$1000&amp;"] "&amp;'FEMA Disasters'!$C$2:$C$1000&amp;"-"&amp;'FEMA Disasters'!$A$2:$A$1000,""))</f>
        <v>Disaster SEP opens: Tropical Storm [NC] EM-3617 | Disaster SEP opens: Tropical Storm [NC] DR-4827 | Disaster SEP opens: Fire [CA] FM-5548 | Disaster SEP ended: Fire [CA] FM-5535 | Disaster SEP ended: Tropical Storm [FL] EM-3615 | Disaster SEP ended: Hurricane [FL] DR-4828 | Disaster SEP ended: Tropical Storm [GA] EM-3616 | Disaster SEP ended: Hurricane [GA] DR-4830 | Disaster SEP ended: Tropical Storm [SC] EM-3619 | Disaster SEP ended: Tropical Storm [VA] EM-3621 | Disaster SEP ended: Hurricane [SC] DR-4829 | Disaster SEP ended: Tropical Storm [VA] DR-4831 | Disaster SEP ended: Fire [WY] FM-5539 | Disaster SEP ended: Fire [ND] DR-4852 | Disaster SEP ended: Fire [ND] FM-5540 | Disaster SEP ended: Fire [ND] FM-5541 | Disaster SEP ended: Flood [NM] DR-4843 | Disaster SEP ended: Severe Storm [AK] DR-4859</v>
      </c>
      <c r="H426" s="4" t="n">
        <f aca="false">COUNTIF(Events!$A$2:$A$397,$A426)</f>
        <v>0</v>
      </c>
      <c r="I426" s="6" t="str">
        <f aca="false" t="array" ref="I426:I426">_xlfn.TEXTJOIN(" | ",TRUE(),IF(Events!$A$2:$A$397=$A426,Events!$E$2:$E$397&amp;IF(Events!$G$2:$G$397="National",""," ["&amp;Events!$G$2:$G$397&amp;"]"),""))</f>
        <v/>
      </c>
    </row>
    <row r="427" customFormat="false" ht="15" hidden="false" customHeight="true" outlineLevel="0" collapsed="false">
      <c r="A427" s="3" t="n">
        <v>45717</v>
      </c>
      <c r="B427" s="4" t="n">
        <f aca="false">YEAR($A427)</f>
        <v>2025</v>
      </c>
      <c r="C427" s="4" t="n">
        <f aca="false">MONTH($A427)</f>
        <v>3</v>
      </c>
      <c r="D427" s="4" t="str">
        <f aca="false">TEXT($A427,"ddd")</f>
        <v>Sat</v>
      </c>
      <c r="E427" s="4" t="n">
        <f aca="false">IF(OR(AND(MONTH($A427)=10,DAY($A427)&gt;=15),MONTH($A427)=11,AND(MONTH($A427)=12,DAY($A427)&lt;=7)),1,0)</f>
        <v>0</v>
      </c>
      <c r="F427" s="4" t="n">
        <f aca="false">IF(MONTH($A427)&lt;=3,1,0)</f>
        <v>1</v>
      </c>
      <c r="G427" s="4" t="str">
        <f aca="false" t="array" ref="G427:G427">_xlfn.TEXTJOIN(" | ",TRUE(),IF('FEMA Disasters'!$F$2:$F$1000=$A427,'FEMA Disasters'!$D$2:$D$1000&amp;" begin: ["&amp;'FEMA Disasters'!$B$2:$B$1000&amp;"] "&amp;'FEMA Disasters'!$C$2:$C$1000&amp;"-"&amp;'FEMA Disasters'!$A$2:$A$1000,""),IF('FEMA Disasters'!$G$2:$G$1000=$A427,'FEMA Disasters'!$D$2:$D$1000&amp;" ended: ["&amp;'FEMA Disasters'!$B$2:$B$1000&amp;"] "&amp;'FEMA Disasters'!$C$2:$C$1000&amp;"-"&amp;'FEMA Disasters'!$A$2:$A$1000,""),IF('FEMA Disasters'!$K$2:$K$1000=$A427,"Disaster SEP opens: "&amp;'FEMA Disasters'!$D$2:$D$1000&amp;" ["&amp;'FEMA Disasters'!$B$2:$B$1000&amp;"] "&amp;'FEMA Disasters'!$C$2:$C$1000&amp;"-"&amp;'FEMA Disasters'!$A$2:$A$1000,""),IF('FEMA Disasters'!$L$2:$L$1000=$A427,"Disaster SEP ended: "&amp;'FEMA Disasters'!$D$2:$D$1000&amp;" ["&amp;'FEMA Disasters'!$B$2:$B$1000&amp;"] "&amp;'FEMA Disasters'!$C$2:$C$1000&amp;"-"&amp;'FEMA Disasters'!$A$2:$A$1000,""))</f>
        <v>Fire begin: [SC] FM-5554</v>
      </c>
      <c r="H427" s="4" t="n">
        <f aca="false">COUNTIF(Events!$A$2:$A$397,$A427)</f>
        <v>0</v>
      </c>
      <c r="I427" s="6" t="str">
        <f aca="false" t="array" ref="I427:I427">_xlfn.TEXTJOIN(" | ",TRUE(),IF(Events!$A$2:$A$397=$A427,Events!$E$2:$E$397&amp;IF(Events!$G$2:$G$397="National",""," ["&amp;Events!$G$2:$G$397&amp;"]"),""))</f>
        <v/>
      </c>
    </row>
    <row r="428" customFormat="false" ht="15" hidden="false" customHeight="true" outlineLevel="0" collapsed="false">
      <c r="A428" s="3" t="n">
        <v>45718</v>
      </c>
      <c r="B428" s="4" t="n">
        <f aca="false">YEAR($A428)</f>
        <v>2025</v>
      </c>
      <c r="C428" s="4" t="n">
        <f aca="false">MONTH($A428)</f>
        <v>3</v>
      </c>
      <c r="D428" s="4" t="str">
        <f aca="false">TEXT($A428,"ddd")</f>
        <v>Sun</v>
      </c>
      <c r="E428" s="4" t="n">
        <f aca="false">IF(OR(AND(MONTH($A428)=10,DAY($A428)&gt;=15),MONTH($A428)=11,AND(MONTH($A428)=12,DAY($A428)&lt;=7)),1,0)</f>
        <v>0</v>
      </c>
      <c r="F428" s="4" t="n">
        <f aca="false">IF(MONTH($A428)&lt;=3,1,0)</f>
        <v>1</v>
      </c>
      <c r="G428" s="4" t="str">
        <f aca="false" t="array" ref="G428:G428">_xlfn.TEXTJOIN(" | ",TRUE(),IF('FEMA Disasters'!$F$2:$F$1000=$A428,'FEMA Disasters'!$D$2:$D$1000&amp;" begin: ["&amp;'FEMA Disasters'!$B$2:$B$1000&amp;"] "&amp;'FEMA Disasters'!$C$2:$C$1000&amp;"-"&amp;'FEMA Disasters'!$A$2:$A$1000,""),IF('FEMA Disasters'!$G$2:$G$1000=$A428,'FEMA Disasters'!$D$2:$D$1000&amp;" ended: ["&amp;'FEMA Disasters'!$B$2:$B$1000&amp;"] "&amp;'FEMA Disasters'!$C$2:$C$1000&amp;"-"&amp;'FEMA Disasters'!$A$2:$A$1000,""),IF('FEMA Disasters'!$K$2:$K$1000=$A428,"Disaster SEP opens: "&amp;'FEMA Disasters'!$D$2:$D$1000&amp;" ["&amp;'FEMA Disasters'!$B$2:$B$1000&amp;"] "&amp;'FEMA Disasters'!$C$2:$C$1000&amp;"-"&amp;'FEMA Disasters'!$A$2:$A$1000,""),IF('FEMA Disasters'!$L$2:$L$1000=$A428,"Disaster SEP ended: "&amp;'FEMA Disasters'!$D$2:$D$1000&amp;" ["&amp;'FEMA Disasters'!$B$2:$B$1000&amp;"] "&amp;'FEMA Disasters'!$C$2:$C$1000&amp;"-"&amp;'FEMA Disasters'!$A$2:$A$1000,""))</f>
        <v/>
      </c>
      <c r="H428" s="4" t="n">
        <f aca="false">COUNTIF(Events!$A$2:$A$397,$A428)</f>
        <v>0</v>
      </c>
      <c r="I428" s="6" t="str">
        <f aca="false" t="array" ref="I428:I428">_xlfn.TEXTJOIN(" | ",TRUE(),IF(Events!$A$2:$A$397=$A428,Events!$E$2:$E$397&amp;IF(Events!$G$2:$G$397="National",""," ["&amp;Events!$G$2:$G$397&amp;"]"),""))</f>
        <v/>
      </c>
    </row>
    <row r="429" customFormat="false" ht="15" hidden="false" customHeight="true" outlineLevel="0" collapsed="false">
      <c r="A429" s="3" t="n">
        <v>45719</v>
      </c>
      <c r="B429" s="4" t="n">
        <f aca="false">YEAR($A429)</f>
        <v>2025</v>
      </c>
      <c r="C429" s="4" t="n">
        <f aca="false">MONTH($A429)</f>
        <v>3</v>
      </c>
      <c r="D429" s="4" t="str">
        <f aca="false">TEXT($A429,"ddd")</f>
        <v>Mon</v>
      </c>
      <c r="E429" s="4" t="n">
        <f aca="false">IF(OR(AND(MONTH($A429)=10,DAY($A429)&gt;=15),MONTH($A429)=11,AND(MONTH($A429)=12,DAY($A429)&lt;=7)),1,0)</f>
        <v>0</v>
      </c>
      <c r="F429" s="4" t="n">
        <f aca="false">IF(MONTH($A429)&lt;=3,1,0)</f>
        <v>1</v>
      </c>
      <c r="G429" s="4" t="str">
        <f aca="false" t="array" ref="G429:G429">_xlfn.TEXTJOIN(" | ",TRUE(),IF('FEMA Disasters'!$F$2:$F$1000=$A429,'FEMA Disasters'!$D$2:$D$1000&amp;" begin: ["&amp;'FEMA Disasters'!$B$2:$B$1000&amp;"] "&amp;'FEMA Disasters'!$C$2:$C$1000&amp;"-"&amp;'FEMA Disasters'!$A$2:$A$1000,""),IF('FEMA Disasters'!$G$2:$G$1000=$A429,'FEMA Disasters'!$D$2:$D$1000&amp;" ended: ["&amp;'FEMA Disasters'!$B$2:$B$1000&amp;"] "&amp;'FEMA Disasters'!$C$2:$C$1000&amp;"-"&amp;'FEMA Disasters'!$A$2:$A$1000,""),IF('FEMA Disasters'!$K$2:$K$1000=$A429,"Disaster SEP opens: "&amp;'FEMA Disasters'!$D$2:$D$1000&amp;" ["&amp;'FEMA Disasters'!$B$2:$B$1000&amp;"] "&amp;'FEMA Disasters'!$C$2:$C$1000&amp;"-"&amp;'FEMA Disasters'!$A$2:$A$1000,""),IF('FEMA Disasters'!$L$2:$L$1000=$A429,"Disaster SEP ended: "&amp;'FEMA Disasters'!$D$2:$D$1000&amp;" ["&amp;'FEMA Disasters'!$B$2:$B$1000&amp;"] "&amp;'FEMA Disasters'!$C$2:$C$1000&amp;"-"&amp;'FEMA Disasters'!$A$2:$A$1000,""))</f>
        <v/>
      </c>
      <c r="H429" s="4" t="n">
        <f aca="false">COUNTIF(Events!$A$2:$A$397,$A429)</f>
        <v>0</v>
      </c>
      <c r="I429" s="6" t="str">
        <f aca="false" t="array" ref="I429:I429">_xlfn.TEXTJOIN(" | ",TRUE(),IF(Events!$A$2:$A$397=$A429,Events!$E$2:$E$397&amp;IF(Events!$G$2:$G$397="National",""," ["&amp;Events!$G$2:$G$397&amp;"]"),""))</f>
        <v/>
      </c>
    </row>
    <row r="430" customFormat="false" ht="15" hidden="false" customHeight="true" outlineLevel="0" collapsed="false">
      <c r="A430" s="3" t="n">
        <v>45720</v>
      </c>
      <c r="B430" s="4" t="n">
        <f aca="false">YEAR($A430)</f>
        <v>2025</v>
      </c>
      <c r="C430" s="4" t="n">
        <f aca="false">MONTH($A430)</f>
        <v>3</v>
      </c>
      <c r="D430" s="4" t="str">
        <f aca="false">TEXT($A430,"ddd")</f>
        <v>Tue</v>
      </c>
      <c r="E430" s="4" t="n">
        <f aca="false">IF(OR(AND(MONTH($A430)=10,DAY($A430)&gt;=15),MONTH($A430)=11,AND(MONTH($A430)=12,DAY($A430)&lt;=7)),1,0)</f>
        <v>0</v>
      </c>
      <c r="F430" s="4" t="n">
        <f aca="false">IF(MONTH($A430)&lt;=3,1,0)</f>
        <v>1</v>
      </c>
      <c r="G430" s="4" t="str">
        <f aca="false" t="array" ref="G430:G430">_xlfn.TEXTJOIN(" | ",TRUE(),IF('FEMA Disasters'!$F$2:$F$1000=$A430,'FEMA Disasters'!$D$2:$D$1000&amp;" begin: ["&amp;'FEMA Disasters'!$B$2:$B$1000&amp;"] "&amp;'FEMA Disasters'!$C$2:$C$1000&amp;"-"&amp;'FEMA Disasters'!$A$2:$A$1000,""),IF('FEMA Disasters'!$G$2:$G$1000=$A430,'FEMA Disasters'!$D$2:$D$1000&amp;" ended: ["&amp;'FEMA Disasters'!$B$2:$B$1000&amp;"] "&amp;'FEMA Disasters'!$C$2:$C$1000&amp;"-"&amp;'FEMA Disasters'!$A$2:$A$1000,""),IF('FEMA Disasters'!$K$2:$K$1000=$A430,"Disaster SEP opens: "&amp;'FEMA Disasters'!$D$2:$D$1000&amp;" ["&amp;'FEMA Disasters'!$B$2:$B$1000&amp;"] "&amp;'FEMA Disasters'!$C$2:$C$1000&amp;"-"&amp;'FEMA Disasters'!$A$2:$A$1000,""),IF('FEMA Disasters'!$L$2:$L$1000=$A430,"Disaster SEP ended: "&amp;'FEMA Disasters'!$D$2:$D$1000&amp;" ["&amp;'FEMA Disasters'!$B$2:$B$1000&amp;"] "&amp;'FEMA Disasters'!$C$2:$C$1000&amp;"-"&amp;'FEMA Disasters'!$A$2:$A$1000,""))</f>
        <v>Fire begin: [TX] FM-5552 | Fire begin: [TX] FM-5553</v>
      </c>
      <c r="H430" s="4" t="n">
        <f aca="false">COUNTIF(Events!$A$2:$A$397,$A430)</f>
        <v>0</v>
      </c>
      <c r="I430" s="6" t="str">
        <f aca="false" t="array" ref="I430:I430">_xlfn.TEXTJOIN(" | ",TRUE(),IF(Events!$A$2:$A$397=$A430,Events!$E$2:$E$397&amp;IF(Events!$G$2:$G$397="National",""," ["&amp;Events!$G$2:$G$397&amp;"]"),""))</f>
        <v/>
      </c>
    </row>
    <row r="431" customFormat="false" ht="15" hidden="false" customHeight="true" outlineLevel="0" collapsed="false">
      <c r="A431" s="3" t="n">
        <v>45721</v>
      </c>
      <c r="B431" s="4" t="n">
        <f aca="false">YEAR($A431)</f>
        <v>2025</v>
      </c>
      <c r="C431" s="4" t="n">
        <f aca="false">MONTH($A431)</f>
        <v>3</v>
      </c>
      <c r="D431" s="4" t="str">
        <f aca="false">TEXT($A431,"ddd")</f>
        <v>Wed</v>
      </c>
      <c r="E431" s="4" t="n">
        <f aca="false">IF(OR(AND(MONTH($A431)=10,DAY($A431)&gt;=15),MONTH($A431)=11,AND(MONTH($A431)=12,DAY($A431)&lt;=7)),1,0)</f>
        <v>0</v>
      </c>
      <c r="F431" s="4" t="n">
        <f aca="false">IF(MONTH($A431)&lt;=3,1,0)</f>
        <v>1</v>
      </c>
      <c r="G431" s="4" t="str">
        <f aca="false" t="array" ref="G431:G431">_xlfn.TEXTJOIN(" | ",TRUE(),IF('FEMA Disasters'!$F$2:$F$1000=$A431,'FEMA Disasters'!$D$2:$D$1000&amp;" begin: ["&amp;'FEMA Disasters'!$B$2:$B$1000&amp;"] "&amp;'FEMA Disasters'!$C$2:$C$1000&amp;"-"&amp;'FEMA Disasters'!$A$2:$A$1000,""),IF('FEMA Disasters'!$G$2:$G$1000=$A431,'FEMA Disasters'!$D$2:$D$1000&amp;" ended: ["&amp;'FEMA Disasters'!$B$2:$B$1000&amp;"] "&amp;'FEMA Disasters'!$C$2:$C$1000&amp;"-"&amp;'FEMA Disasters'!$A$2:$A$1000,""),IF('FEMA Disasters'!$K$2:$K$1000=$A431,"Disaster SEP opens: "&amp;'FEMA Disasters'!$D$2:$D$1000&amp;" ["&amp;'FEMA Disasters'!$B$2:$B$1000&amp;"] "&amp;'FEMA Disasters'!$C$2:$C$1000&amp;"-"&amp;'FEMA Disasters'!$A$2:$A$1000,""),IF('FEMA Disasters'!$L$2:$L$1000=$A431,"Disaster SEP ended: "&amp;'FEMA Disasters'!$D$2:$D$1000&amp;" ["&amp;'FEMA Disasters'!$B$2:$B$1000&amp;"] "&amp;'FEMA Disasters'!$C$2:$C$1000&amp;"-"&amp;'FEMA Disasters'!$A$2:$A$1000,""))</f>
        <v>Fire ended: [TX] FM-5553</v>
      </c>
      <c r="H431" s="4" t="n">
        <f aca="false">COUNTIF(Events!$A$2:$A$397,$A431)</f>
        <v>0</v>
      </c>
      <c r="I431" s="6" t="str">
        <f aca="false" t="array" ref="I431:I431">_xlfn.TEXTJOIN(" | ",TRUE(),IF(Events!$A$2:$A$397=$A431,Events!$E$2:$E$397&amp;IF(Events!$G$2:$G$397="National",""," ["&amp;Events!$G$2:$G$397&amp;"]"),""))</f>
        <v/>
      </c>
    </row>
    <row r="432" customFormat="false" ht="15" hidden="false" customHeight="true" outlineLevel="0" collapsed="false">
      <c r="A432" s="3" t="n">
        <v>45722</v>
      </c>
      <c r="B432" s="4" t="n">
        <f aca="false">YEAR($A432)</f>
        <v>2025</v>
      </c>
      <c r="C432" s="4" t="n">
        <f aca="false">MONTH($A432)</f>
        <v>3</v>
      </c>
      <c r="D432" s="4" t="str">
        <f aca="false">TEXT($A432,"ddd")</f>
        <v>Thu</v>
      </c>
      <c r="E432" s="4" t="n">
        <f aca="false">IF(OR(AND(MONTH($A432)=10,DAY($A432)&gt;=15),MONTH($A432)=11,AND(MONTH($A432)=12,DAY($A432)&lt;=7)),1,0)</f>
        <v>0</v>
      </c>
      <c r="F432" s="4" t="n">
        <f aca="false">IF(MONTH($A432)&lt;=3,1,0)</f>
        <v>1</v>
      </c>
      <c r="G432" s="4" t="str">
        <f aca="false" t="array" ref="G432:G432">_xlfn.TEXTJOIN(" | ",TRUE(),IF('FEMA Disasters'!$F$2:$F$1000=$A432,'FEMA Disasters'!$D$2:$D$1000&amp;" begin: ["&amp;'FEMA Disasters'!$B$2:$B$1000&amp;"] "&amp;'FEMA Disasters'!$C$2:$C$1000&amp;"-"&amp;'FEMA Disasters'!$A$2:$A$1000,""),IF('FEMA Disasters'!$G$2:$G$1000=$A432,'FEMA Disasters'!$D$2:$D$1000&amp;" ended: ["&amp;'FEMA Disasters'!$B$2:$B$1000&amp;"] "&amp;'FEMA Disasters'!$C$2:$C$1000&amp;"-"&amp;'FEMA Disasters'!$A$2:$A$1000,""),IF('FEMA Disasters'!$K$2:$K$1000=$A432,"Disaster SEP opens: "&amp;'FEMA Disasters'!$D$2:$D$1000&amp;" ["&amp;'FEMA Disasters'!$B$2:$B$1000&amp;"] "&amp;'FEMA Disasters'!$C$2:$C$1000&amp;"-"&amp;'FEMA Disasters'!$A$2:$A$1000,""),IF('FEMA Disasters'!$L$2:$L$1000=$A432,"Disaster SEP ended: "&amp;'FEMA Disasters'!$D$2:$D$1000&amp;" ["&amp;'FEMA Disasters'!$B$2:$B$1000&amp;"] "&amp;'FEMA Disasters'!$C$2:$C$1000&amp;"-"&amp;'FEMA Disasters'!$A$2:$A$1000,""))</f>
        <v/>
      </c>
      <c r="H432" s="4" t="n">
        <f aca="false">COUNTIF(Events!$A$2:$A$397,$A432)</f>
        <v>0</v>
      </c>
      <c r="I432" s="6" t="str">
        <f aca="false" t="array" ref="I432:I432">_xlfn.TEXTJOIN(" | ",TRUE(),IF(Events!$A$2:$A$397=$A432,Events!$E$2:$E$397&amp;IF(Events!$G$2:$G$397="National",""," ["&amp;Events!$G$2:$G$397&amp;"]"),""))</f>
        <v/>
      </c>
    </row>
    <row r="433" customFormat="false" ht="15" hidden="false" customHeight="true" outlineLevel="0" collapsed="false">
      <c r="A433" s="3" t="n">
        <v>45723</v>
      </c>
      <c r="B433" s="4" t="n">
        <f aca="false">YEAR($A433)</f>
        <v>2025</v>
      </c>
      <c r="C433" s="4" t="n">
        <f aca="false">MONTH($A433)</f>
        <v>3</v>
      </c>
      <c r="D433" s="4" t="str">
        <f aca="false">TEXT($A433,"ddd")</f>
        <v>Fri</v>
      </c>
      <c r="E433" s="4" t="n">
        <f aca="false">IF(OR(AND(MONTH($A433)=10,DAY($A433)&gt;=15),MONTH($A433)=11,AND(MONTH($A433)=12,DAY($A433)&lt;=7)),1,0)</f>
        <v>0</v>
      </c>
      <c r="F433" s="4" t="n">
        <f aca="false">IF(MONTH($A433)&lt;=3,1,0)</f>
        <v>1</v>
      </c>
      <c r="G433" s="4" t="str">
        <f aca="false" t="array" ref="G433:G433">_xlfn.TEXTJOIN(" | ",TRUE(),IF('FEMA Disasters'!$F$2:$F$1000=$A433,'FEMA Disasters'!$D$2:$D$1000&amp;" begin: ["&amp;'FEMA Disasters'!$B$2:$B$1000&amp;"] "&amp;'FEMA Disasters'!$C$2:$C$1000&amp;"-"&amp;'FEMA Disasters'!$A$2:$A$1000,""),IF('FEMA Disasters'!$G$2:$G$1000=$A433,'FEMA Disasters'!$D$2:$D$1000&amp;" ended: ["&amp;'FEMA Disasters'!$B$2:$B$1000&amp;"] "&amp;'FEMA Disasters'!$C$2:$C$1000&amp;"-"&amp;'FEMA Disasters'!$A$2:$A$1000,""),IF('FEMA Disasters'!$K$2:$K$1000=$A433,"Disaster SEP opens: "&amp;'FEMA Disasters'!$D$2:$D$1000&amp;" ["&amp;'FEMA Disasters'!$B$2:$B$1000&amp;"] "&amp;'FEMA Disasters'!$C$2:$C$1000&amp;"-"&amp;'FEMA Disasters'!$A$2:$A$1000,""),IF('FEMA Disasters'!$L$2:$L$1000=$A433,"Disaster SEP ended: "&amp;'FEMA Disasters'!$D$2:$D$1000&amp;" ["&amp;'FEMA Disasters'!$B$2:$B$1000&amp;"] "&amp;'FEMA Disasters'!$C$2:$C$1000&amp;"-"&amp;'FEMA Disasters'!$A$2:$A$1000,""))</f>
        <v>Severe Storm ended: [KY] EM-3624 | Severe Storm ended: [KY] DR-4860</v>
      </c>
      <c r="H433" s="4" t="n">
        <f aca="false">COUNTIF(Events!$A$2:$A$397,$A433)</f>
        <v>0</v>
      </c>
      <c r="I433" s="6" t="str">
        <f aca="false" t="array" ref="I433:I433">_xlfn.TEXTJOIN(" | ",TRUE(),IF(Events!$A$2:$A$397=$A433,Events!$E$2:$E$397&amp;IF(Events!$G$2:$G$397="National",""," ["&amp;Events!$G$2:$G$397&amp;"]"),""))</f>
        <v/>
      </c>
    </row>
    <row r="434" customFormat="false" ht="15" hidden="false" customHeight="true" outlineLevel="0" collapsed="false">
      <c r="A434" s="3" t="n">
        <v>45724</v>
      </c>
      <c r="B434" s="4" t="n">
        <f aca="false">YEAR($A434)</f>
        <v>2025</v>
      </c>
      <c r="C434" s="4" t="n">
        <f aca="false">MONTH($A434)</f>
        <v>3</v>
      </c>
      <c r="D434" s="4" t="str">
        <f aca="false">TEXT($A434,"ddd")</f>
        <v>Sat</v>
      </c>
      <c r="E434" s="4" t="n">
        <f aca="false">IF(OR(AND(MONTH($A434)=10,DAY($A434)&gt;=15),MONTH($A434)=11,AND(MONTH($A434)=12,DAY($A434)&lt;=7)),1,0)</f>
        <v>0</v>
      </c>
      <c r="F434" s="4" t="n">
        <f aca="false">IF(MONTH($A434)&lt;=3,1,0)</f>
        <v>1</v>
      </c>
      <c r="G434" s="4" t="str">
        <f aca="false" t="array" ref="G434:G434">_xlfn.TEXTJOIN(" | ",TRUE(),IF('FEMA Disasters'!$F$2:$F$1000=$A434,'FEMA Disasters'!$D$2:$D$1000&amp;" begin: ["&amp;'FEMA Disasters'!$B$2:$B$1000&amp;"] "&amp;'FEMA Disasters'!$C$2:$C$1000&amp;"-"&amp;'FEMA Disasters'!$A$2:$A$1000,""),IF('FEMA Disasters'!$G$2:$G$1000=$A434,'FEMA Disasters'!$D$2:$D$1000&amp;" ended: ["&amp;'FEMA Disasters'!$B$2:$B$1000&amp;"] "&amp;'FEMA Disasters'!$C$2:$C$1000&amp;"-"&amp;'FEMA Disasters'!$A$2:$A$1000,""),IF('FEMA Disasters'!$K$2:$K$1000=$A434,"Disaster SEP opens: "&amp;'FEMA Disasters'!$D$2:$D$1000&amp;" ["&amp;'FEMA Disasters'!$B$2:$B$1000&amp;"] "&amp;'FEMA Disasters'!$C$2:$C$1000&amp;"-"&amp;'FEMA Disasters'!$A$2:$A$1000,""),IF('FEMA Disasters'!$L$2:$L$1000=$A434,"Disaster SEP ended: "&amp;'FEMA Disasters'!$D$2:$D$1000&amp;" ["&amp;'FEMA Disasters'!$B$2:$B$1000&amp;"] "&amp;'FEMA Disasters'!$C$2:$C$1000&amp;"-"&amp;'FEMA Disasters'!$A$2:$A$1000,""))</f>
        <v/>
      </c>
      <c r="H434" s="4" t="n">
        <f aca="false">COUNTIF(Events!$A$2:$A$397,$A434)</f>
        <v>0</v>
      </c>
      <c r="I434" s="6" t="str">
        <f aca="false" t="array" ref="I434:I434">_xlfn.TEXTJOIN(" | ",TRUE(),IF(Events!$A$2:$A$397=$A434,Events!$E$2:$E$397&amp;IF(Events!$G$2:$G$397="National",""," ["&amp;Events!$G$2:$G$397&amp;"]"),""))</f>
        <v/>
      </c>
    </row>
    <row r="435" customFormat="false" ht="15" hidden="false" customHeight="true" outlineLevel="0" collapsed="false">
      <c r="A435" s="3" t="n">
        <v>45725</v>
      </c>
      <c r="B435" s="4" t="n">
        <f aca="false">YEAR($A435)</f>
        <v>2025</v>
      </c>
      <c r="C435" s="4" t="n">
        <f aca="false">MONTH($A435)</f>
        <v>3</v>
      </c>
      <c r="D435" s="4" t="str">
        <f aca="false">TEXT($A435,"ddd")</f>
        <v>Sun</v>
      </c>
      <c r="E435" s="4" t="n">
        <f aca="false">IF(OR(AND(MONTH($A435)=10,DAY($A435)&gt;=15),MONTH($A435)=11,AND(MONTH($A435)=12,DAY($A435)&lt;=7)),1,0)</f>
        <v>0</v>
      </c>
      <c r="F435" s="4" t="n">
        <f aca="false">IF(MONTH($A435)&lt;=3,1,0)</f>
        <v>1</v>
      </c>
      <c r="G435" s="4" t="str">
        <f aca="false" t="array" ref="G435:G435">_xlfn.TEXTJOIN(" | ",TRUE(),IF('FEMA Disasters'!$F$2:$F$1000=$A435,'FEMA Disasters'!$D$2:$D$1000&amp;" begin: ["&amp;'FEMA Disasters'!$B$2:$B$1000&amp;"] "&amp;'FEMA Disasters'!$C$2:$C$1000&amp;"-"&amp;'FEMA Disasters'!$A$2:$A$1000,""),IF('FEMA Disasters'!$G$2:$G$1000=$A435,'FEMA Disasters'!$D$2:$D$1000&amp;" ended: ["&amp;'FEMA Disasters'!$B$2:$B$1000&amp;"] "&amp;'FEMA Disasters'!$C$2:$C$1000&amp;"-"&amp;'FEMA Disasters'!$A$2:$A$1000,""),IF('FEMA Disasters'!$K$2:$K$1000=$A435,"Disaster SEP opens: "&amp;'FEMA Disasters'!$D$2:$D$1000&amp;" ["&amp;'FEMA Disasters'!$B$2:$B$1000&amp;"] "&amp;'FEMA Disasters'!$C$2:$C$1000&amp;"-"&amp;'FEMA Disasters'!$A$2:$A$1000,""),IF('FEMA Disasters'!$L$2:$L$1000=$A435,"Disaster SEP ended: "&amp;'FEMA Disasters'!$D$2:$D$1000&amp;" ["&amp;'FEMA Disasters'!$B$2:$B$1000&amp;"] "&amp;'FEMA Disasters'!$C$2:$C$1000&amp;"-"&amp;'FEMA Disasters'!$A$2:$A$1000,""))</f>
        <v>Fire ended: [TX] FM-5552</v>
      </c>
      <c r="H435" s="4" t="n">
        <f aca="false">COUNTIF(Events!$A$2:$A$397,$A435)</f>
        <v>0</v>
      </c>
      <c r="I435" s="6" t="str">
        <f aca="false" t="array" ref="I435:I435">_xlfn.TEXTJOIN(" | ",TRUE(),IF(Events!$A$2:$A$397=$A435,Events!$E$2:$E$397&amp;IF(Events!$G$2:$G$397="National",""," ["&amp;Events!$G$2:$G$397&amp;"]"),""))</f>
        <v/>
      </c>
    </row>
    <row r="436" customFormat="false" ht="15" hidden="false" customHeight="true" outlineLevel="0" collapsed="false">
      <c r="A436" s="3" t="n">
        <v>45726</v>
      </c>
      <c r="B436" s="4" t="n">
        <f aca="false">YEAR($A436)</f>
        <v>2025</v>
      </c>
      <c r="C436" s="4" t="n">
        <f aca="false">MONTH($A436)</f>
        <v>3</v>
      </c>
      <c r="D436" s="4" t="str">
        <f aca="false">TEXT($A436,"ddd")</f>
        <v>Mon</v>
      </c>
      <c r="E436" s="4" t="n">
        <f aca="false">IF(OR(AND(MONTH($A436)=10,DAY($A436)&gt;=15),MONTH($A436)=11,AND(MONTH($A436)=12,DAY($A436)&lt;=7)),1,0)</f>
        <v>0</v>
      </c>
      <c r="F436" s="4" t="n">
        <f aca="false">IF(MONTH($A436)&lt;=3,1,0)</f>
        <v>1</v>
      </c>
      <c r="G436" s="4" t="str">
        <f aca="false" t="array" ref="G436:G436">_xlfn.TEXTJOIN(" | ",TRUE(),IF('FEMA Disasters'!$F$2:$F$1000=$A436,'FEMA Disasters'!$D$2:$D$1000&amp;" begin: ["&amp;'FEMA Disasters'!$B$2:$B$1000&amp;"] "&amp;'FEMA Disasters'!$C$2:$C$1000&amp;"-"&amp;'FEMA Disasters'!$A$2:$A$1000,""),IF('FEMA Disasters'!$G$2:$G$1000=$A436,'FEMA Disasters'!$D$2:$D$1000&amp;" ended: ["&amp;'FEMA Disasters'!$B$2:$B$1000&amp;"] "&amp;'FEMA Disasters'!$C$2:$C$1000&amp;"-"&amp;'FEMA Disasters'!$A$2:$A$1000,""),IF('FEMA Disasters'!$K$2:$K$1000=$A436,"Disaster SEP opens: "&amp;'FEMA Disasters'!$D$2:$D$1000&amp;" ["&amp;'FEMA Disasters'!$B$2:$B$1000&amp;"] "&amp;'FEMA Disasters'!$C$2:$C$1000&amp;"-"&amp;'FEMA Disasters'!$A$2:$A$1000,""),IF('FEMA Disasters'!$L$2:$L$1000=$A436,"Disaster SEP ended: "&amp;'FEMA Disasters'!$D$2:$D$1000&amp;" ["&amp;'FEMA Disasters'!$B$2:$B$1000&amp;"] "&amp;'FEMA Disasters'!$C$2:$C$1000&amp;"-"&amp;'FEMA Disasters'!$A$2:$A$1000,""))</f>
        <v/>
      </c>
      <c r="H436" s="4" t="n">
        <f aca="false">COUNTIF(Events!$A$2:$A$397,$A436)</f>
        <v>0</v>
      </c>
      <c r="I436" s="6" t="str">
        <f aca="false" t="array" ref="I436:I436">_xlfn.TEXTJOIN(" | ",TRUE(),IF(Events!$A$2:$A$397=$A436,Events!$E$2:$E$397&amp;IF(Events!$G$2:$G$397="National",""," ["&amp;Events!$G$2:$G$397&amp;"]"),""))</f>
        <v/>
      </c>
    </row>
    <row r="437" customFormat="false" ht="15" hidden="false" customHeight="true" outlineLevel="0" collapsed="false">
      <c r="A437" s="3" t="n">
        <v>45727</v>
      </c>
      <c r="B437" s="4" t="n">
        <f aca="false">YEAR($A437)</f>
        <v>2025</v>
      </c>
      <c r="C437" s="4" t="n">
        <f aca="false">MONTH($A437)</f>
        <v>3</v>
      </c>
      <c r="D437" s="4" t="str">
        <f aca="false">TEXT($A437,"ddd")</f>
        <v>Tue</v>
      </c>
      <c r="E437" s="4" t="n">
        <f aca="false">IF(OR(AND(MONTH($A437)=10,DAY($A437)&gt;=15),MONTH($A437)=11,AND(MONTH($A437)=12,DAY($A437)&lt;=7)),1,0)</f>
        <v>0</v>
      </c>
      <c r="F437" s="4" t="n">
        <f aca="false">IF(MONTH($A437)&lt;=3,1,0)</f>
        <v>1</v>
      </c>
      <c r="G437" s="4" t="str">
        <f aca="false" t="array" ref="G437:G437">_xlfn.TEXTJOIN(" | ",TRUE(),IF('FEMA Disasters'!$F$2:$F$1000=$A437,'FEMA Disasters'!$D$2:$D$1000&amp;" begin: ["&amp;'FEMA Disasters'!$B$2:$B$1000&amp;"] "&amp;'FEMA Disasters'!$C$2:$C$1000&amp;"-"&amp;'FEMA Disasters'!$A$2:$A$1000,""),IF('FEMA Disasters'!$G$2:$G$1000=$A437,'FEMA Disasters'!$D$2:$D$1000&amp;" ended: ["&amp;'FEMA Disasters'!$B$2:$B$1000&amp;"] "&amp;'FEMA Disasters'!$C$2:$C$1000&amp;"-"&amp;'FEMA Disasters'!$A$2:$A$1000,""),IF('FEMA Disasters'!$K$2:$K$1000=$A437,"Disaster SEP opens: "&amp;'FEMA Disasters'!$D$2:$D$1000&amp;" ["&amp;'FEMA Disasters'!$B$2:$B$1000&amp;"] "&amp;'FEMA Disasters'!$C$2:$C$1000&amp;"-"&amp;'FEMA Disasters'!$A$2:$A$1000,""),IF('FEMA Disasters'!$L$2:$L$1000=$A437,"Disaster SEP ended: "&amp;'FEMA Disasters'!$D$2:$D$1000&amp;" ["&amp;'FEMA Disasters'!$B$2:$B$1000&amp;"] "&amp;'FEMA Disasters'!$C$2:$C$1000&amp;"-"&amp;'FEMA Disasters'!$A$2:$A$1000,""))</f>
        <v/>
      </c>
      <c r="H437" s="4" t="n">
        <f aca="false">COUNTIF(Events!$A$2:$A$397,$A437)</f>
        <v>0</v>
      </c>
      <c r="I437" s="6" t="str">
        <f aca="false" t="array" ref="I437:I437">_xlfn.TEXTJOIN(" | ",TRUE(),IF(Events!$A$2:$A$397=$A437,Events!$E$2:$E$397&amp;IF(Events!$G$2:$G$397="National",""," ["&amp;Events!$G$2:$G$397&amp;"]"),""))</f>
        <v/>
      </c>
    </row>
    <row r="438" customFormat="false" ht="15" hidden="false" customHeight="true" outlineLevel="0" collapsed="false">
      <c r="A438" s="3" t="n">
        <v>45728</v>
      </c>
      <c r="B438" s="4" t="n">
        <f aca="false">YEAR($A438)</f>
        <v>2025</v>
      </c>
      <c r="C438" s="4" t="n">
        <f aca="false">MONTH($A438)</f>
        <v>3</v>
      </c>
      <c r="D438" s="4" t="str">
        <f aca="false">TEXT($A438,"ddd")</f>
        <v>Wed</v>
      </c>
      <c r="E438" s="4" t="n">
        <f aca="false">IF(OR(AND(MONTH($A438)=10,DAY($A438)&gt;=15),MONTH($A438)=11,AND(MONTH($A438)=12,DAY($A438)&lt;=7)),1,0)</f>
        <v>0</v>
      </c>
      <c r="F438" s="4" t="n">
        <f aca="false">IF(MONTH($A438)&lt;=3,1,0)</f>
        <v>1</v>
      </c>
      <c r="G438" s="4" t="str">
        <f aca="false" t="array" ref="G438:G438">_xlfn.TEXTJOIN(" | ",TRUE(),IF('FEMA Disasters'!$F$2:$F$1000=$A438,'FEMA Disasters'!$D$2:$D$1000&amp;" begin: ["&amp;'FEMA Disasters'!$B$2:$B$1000&amp;"] "&amp;'FEMA Disasters'!$C$2:$C$1000&amp;"-"&amp;'FEMA Disasters'!$A$2:$A$1000,""),IF('FEMA Disasters'!$G$2:$G$1000=$A438,'FEMA Disasters'!$D$2:$D$1000&amp;" ended: ["&amp;'FEMA Disasters'!$B$2:$B$1000&amp;"] "&amp;'FEMA Disasters'!$C$2:$C$1000&amp;"-"&amp;'FEMA Disasters'!$A$2:$A$1000,""),IF('FEMA Disasters'!$K$2:$K$1000=$A438,"Disaster SEP opens: "&amp;'FEMA Disasters'!$D$2:$D$1000&amp;" ["&amp;'FEMA Disasters'!$B$2:$B$1000&amp;"] "&amp;'FEMA Disasters'!$C$2:$C$1000&amp;"-"&amp;'FEMA Disasters'!$A$2:$A$1000,""),IF('FEMA Disasters'!$L$2:$L$1000=$A438,"Disaster SEP ended: "&amp;'FEMA Disasters'!$D$2:$D$1000&amp;" ["&amp;'FEMA Disasters'!$B$2:$B$1000&amp;"] "&amp;'FEMA Disasters'!$C$2:$C$1000&amp;"-"&amp;'FEMA Disasters'!$A$2:$A$1000,""))</f>
        <v/>
      </c>
      <c r="H438" s="4" t="n">
        <f aca="false">COUNTIF(Events!$A$2:$A$397,$A438)</f>
        <v>0</v>
      </c>
      <c r="I438" s="6" t="str">
        <f aca="false" t="array" ref="I438:I438">_xlfn.TEXTJOIN(" | ",TRUE(),IF(Events!$A$2:$A$397=$A438,Events!$E$2:$E$397&amp;IF(Events!$G$2:$G$397="National",""," ["&amp;Events!$G$2:$G$397&amp;"]"),""))</f>
        <v/>
      </c>
    </row>
    <row r="439" customFormat="false" ht="15" hidden="false" customHeight="true" outlineLevel="0" collapsed="false">
      <c r="A439" s="3" t="n">
        <v>45729</v>
      </c>
      <c r="B439" s="4" t="n">
        <f aca="false">YEAR($A439)</f>
        <v>2025</v>
      </c>
      <c r="C439" s="4" t="n">
        <f aca="false">MONTH($A439)</f>
        <v>3</v>
      </c>
      <c r="D439" s="4" t="str">
        <f aca="false">TEXT($A439,"ddd")</f>
        <v>Thu</v>
      </c>
      <c r="E439" s="4" t="n">
        <f aca="false">IF(OR(AND(MONTH($A439)=10,DAY($A439)&gt;=15),MONTH($A439)=11,AND(MONTH($A439)=12,DAY($A439)&lt;=7)),1,0)</f>
        <v>0</v>
      </c>
      <c r="F439" s="4" t="n">
        <f aca="false">IF(MONTH($A439)&lt;=3,1,0)</f>
        <v>1</v>
      </c>
      <c r="G439" s="4" t="str">
        <f aca="false" t="array" ref="G439:G439">_xlfn.TEXTJOIN(" | ",TRUE(),IF('FEMA Disasters'!$F$2:$F$1000=$A439,'FEMA Disasters'!$D$2:$D$1000&amp;" begin: ["&amp;'FEMA Disasters'!$B$2:$B$1000&amp;"] "&amp;'FEMA Disasters'!$C$2:$C$1000&amp;"-"&amp;'FEMA Disasters'!$A$2:$A$1000,""),IF('FEMA Disasters'!$G$2:$G$1000=$A439,'FEMA Disasters'!$D$2:$D$1000&amp;" ended: ["&amp;'FEMA Disasters'!$B$2:$B$1000&amp;"] "&amp;'FEMA Disasters'!$C$2:$C$1000&amp;"-"&amp;'FEMA Disasters'!$A$2:$A$1000,""),IF('FEMA Disasters'!$K$2:$K$1000=$A439,"Disaster SEP opens: "&amp;'FEMA Disasters'!$D$2:$D$1000&amp;" ["&amp;'FEMA Disasters'!$B$2:$B$1000&amp;"] "&amp;'FEMA Disasters'!$C$2:$C$1000&amp;"-"&amp;'FEMA Disasters'!$A$2:$A$1000,""),IF('FEMA Disasters'!$L$2:$L$1000=$A439,"Disaster SEP ended: "&amp;'FEMA Disasters'!$D$2:$D$1000&amp;" ["&amp;'FEMA Disasters'!$B$2:$B$1000&amp;"] "&amp;'FEMA Disasters'!$C$2:$C$1000&amp;"-"&amp;'FEMA Disasters'!$A$2:$A$1000,""))</f>
        <v>Severe Storm begin: [OR] DR-4881</v>
      </c>
      <c r="H439" s="4" t="n">
        <f aca="false">COUNTIF(Events!$A$2:$A$397,$A439)</f>
        <v>0</v>
      </c>
      <c r="I439" s="6" t="str">
        <f aca="false" t="array" ref="I439:I439">_xlfn.TEXTJOIN(" | ",TRUE(),IF(Events!$A$2:$A$397=$A439,Events!$E$2:$E$397&amp;IF(Events!$G$2:$G$397="National",""," ["&amp;Events!$G$2:$G$397&amp;"]"),""))</f>
        <v/>
      </c>
    </row>
    <row r="440" customFormat="false" ht="15" hidden="false" customHeight="true" outlineLevel="0" collapsed="false">
      <c r="A440" s="3" t="n">
        <v>45730</v>
      </c>
      <c r="B440" s="4" t="n">
        <f aca="false">YEAR($A440)</f>
        <v>2025</v>
      </c>
      <c r="C440" s="4" t="n">
        <f aca="false">MONTH($A440)</f>
        <v>3</v>
      </c>
      <c r="D440" s="4" t="str">
        <f aca="false">TEXT($A440,"ddd")</f>
        <v>Fri</v>
      </c>
      <c r="E440" s="4" t="n">
        <f aca="false">IF(OR(AND(MONTH($A440)=10,DAY($A440)&gt;=15),MONTH($A440)=11,AND(MONTH($A440)=12,DAY($A440)&lt;=7)),1,0)</f>
        <v>0</v>
      </c>
      <c r="F440" s="4" t="n">
        <f aca="false">IF(MONTH($A440)&lt;=3,1,0)</f>
        <v>1</v>
      </c>
      <c r="G440" s="4" t="str">
        <f aca="false" t="array" ref="G440:G440">_xlfn.TEXTJOIN(" | ",TRUE(),IF('FEMA Disasters'!$F$2:$F$1000=$A440,'FEMA Disasters'!$D$2:$D$1000&amp;" begin: ["&amp;'FEMA Disasters'!$B$2:$B$1000&amp;"] "&amp;'FEMA Disasters'!$C$2:$C$1000&amp;"-"&amp;'FEMA Disasters'!$A$2:$A$1000,""),IF('FEMA Disasters'!$G$2:$G$1000=$A440,'FEMA Disasters'!$D$2:$D$1000&amp;" ended: ["&amp;'FEMA Disasters'!$B$2:$B$1000&amp;"] "&amp;'FEMA Disasters'!$C$2:$C$1000&amp;"-"&amp;'FEMA Disasters'!$A$2:$A$1000,""),IF('FEMA Disasters'!$K$2:$K$1000=$A440,"Disaster SEP opens: "&amp;'FEMA Disasters'!$D$2:$D$1000&amp;" ["&amp;'FEMA Disasters'!$B$2:$B$1000&amp;"] "&amp;'FEMA Disasters'!$C$2:$C$1000&amp;"-"&amp;'FEMA Disasters'!$A$2:$A$1000,""),IF('FEMA Disasters'!$L$2:$L$1000=$A440,"Disaster SEP ended: "&amp;'FEMA Disasters'!$D$2:$D$1000&amp;" ["&amp;'FEMA Disasters'!$B$2:$B$1000&amp;"] "&amp;'FEMA Disasters'!$C$2:$C$1000&amp;"-"&amp;'FEMA Disasters'!$A$2:$A$1000,""))</f>
        <v>Severe Storm begin: [AR] DR-4865 | Fire begin: [OK] DR-4866 | Severe Storm begin: [MO] DR-4867 | Severe Storm begin: [KS] DR-4869 | Severe Storm begin: [MS] DR-4874 | Fire begin: [TX] FM-5555 | Fire begin: [KS] FM-5556 | Fire begin: [OK] FM-5557 | Fire begin: [OK] FM-5558 | Fire begin: [OK] FM-5559 | Fire begin: [OK] FM-5560 | Fire begin: [OK] FM-5561 | Fire begin: [OK] FM-5562 | Fire begin: [OK] FM-5563 | Fire begin: [OK] FM-5564 | Fire begin: [OK] FM-5565 | Fire begin: [OK] FM-5566 | Fire begin: [OK] FM-5567 | Fire begin: [OK] FM-5568 | Fire begin: [OK] FM-5569</v>
      </c>
      <c r="H440" s="4" t="n">
        <f aca="false">COUNTIF(Events!$A$2:$A$397,$A440)</f>
        <v>0</v>
      </c>
      <c r="I440" s="6" t="str">
        <f aca="false" t="array" ref="I440:I440">_xlfn.TEXTJOIN(" | ",TRUE(),IF(Events!$A$2:$A$397=$A440,Events!$E$2:$E$397&amp;IF(Events!$G$2:$G$397="National",""," ["&amp;Events!$G$2:$G$397&amp;"]"),""))</f>
        <v/>
      </c>
    </row>
    <row r="441" customFormat="false" ht="15" hidden="false" customHeight="true" outlineLevel="0" collapsed="false">
      <c r="A441" s="3" t="n">
        <v>45731</v>
      </c>
      <c r="B441" s="4" t="n">
        <f aca="false">YEAR($A441)</f>
        <v>2025</v>
      </c>
      <c r="C441" s="4" t="n">
        <f aca="false">MONTH($A441)</f>
        <v>3</v>
      </c>
      <c r="D441" s="4" t="str">
        <f aca="false">TEXT($A441,"ddd")</f>
        <v>Sat</v>
      </c>
      <c r="E441" s="4" t="n">
        <f aca="false">IF(OR(AND(MONTH($A441)=10,DAY($A441)&gt;=15),MONTH($A441)=11,AND(MONTH($A441)=12,DAY($A441)&lt;=7)),1,0)</f>
        <v>0</v>
      </c>
      <c r="F441" s="4" t="n">
        <f aca="false">IF(MONTH($A441)&lt;=3,1,0)</f>
        <v>1</v>
      </c>
      <c r="G441" s="4" t="str">
        <f aca="false" t="array" ref="G441:G441">_xlfn.TEXTJOIN(" | ",TRUE(),IF('FEMA Disasters'!$F$2:$F$1000=$A441,'FEMA Disasters'!$D$2:$D$1000&amp;" begin: ["&amp;'FEMA Disasters'!$B$2:$B$1000&amp;"] "&amp;'FEMA Disasters'!$C$2:$C$1000&amp;"-"&amp;'FEMA Disasters'!$A$2:$A$1000,""),IF('FEMA Disasters'!$G$2:$G$1000=$A441,'FEMA Disasters'!$D$2:$D$1000&amp;" ended: ["&amp;'FEMA Disasters'!$B$2:$B$1000&amp;"] "&amp;'FEMA Disasters'!$C$2:$C$1000&amp;"-"&amp;'FEMA Disasters'!$A$2:$A$1000,""),IF('FEMA Disasters'!$K$2:$K$1000=$A441,"Disaster SEP opens: "&amp;'FEMA Disasters'!$D$2:$D$1000&amp;" ["&amp;'FEMA Disasters'!$B$2:$B$1000&amp;"] "&amp;'FEMA Disasters'!$C$2:$C$1000&amp;"-"&amp;'FEMA Disasters'!$A$2:$A$1000,""),IF('FEMA Disasters'!$L$2:$L$1000=$A441,"Disaster SEP ended: "&amp;'FEMA Disasters'!$D$2:$D$1000&amp;" ["&amp;'FEMA Disasters'!$B$2:$B$1000&amp;"] "&amp;'FEMA Disasters'!$C$2:$C$1000&amp;"-"&amp;'FEMA Disasters'!$A$2:$A$1000,""))</f>
        <v>Fire begin: [TX] FM-5570 | Severe Storm ended: [AR] DR-4865 | Severe Storm ended: [MO] DR-4867 | Severe Storm ended: [MS] DR-4874 | Fire ended: [OK] FM-5565</v>
      </c>
      <c r="H441" s="4" t="n">
        <f aca="false">COUNTIF(Events!$A$2:$A$397,$A441)</f>
        <v>0</v>
      </c>
      <c r="I441" s="6" t="str">
        <f aca="false" t="array" ref="I441:I441">_xlfn.TEXTJOIN(" | ",TRUE(),IF(Events!$A$2:$A$397=$A441,Events!$E$2:$E$397&amp;IF(Events!$G$2:$G$397="National",""," ["&amp;Events!$G$2:$G$397&amp;"]"),""))</f>
        <v/>
      </c>
    </row>
    <row r="442" customFormat="false" ht="15" hidden="false" customHeight="true" outlineLevel="0" collapsed="false">
      <c r="A442" s="3" t="n">
        <v>45732</v>
      </c>
      <c r="B442" s="4" t="n">
        <f aca="false">YEAR($A442)</f>
        <v>2025</v>
      </c>
      <c r="C442" s="4" t="n">
        <f aca="false">MONTH($A442)</f>
        <v>3</v>
      </c>
      <c r="D442" s="4" t="str">
        <f aca="false">TEXT($A442,"ddd")</f>
        <v>Sun</v>
      </c>
      <c r="E442" s="4" t="n">
        <f aca="false">IF(OR(AND(MONTH($A442)=10,DAY($A442)&gt;=15),MONTH($A442)=11,AND(MONTH($A442)=12,DAY($A442)&lt;=7)),1,0)</f>
        <v>0</v>
      </c>
      <c r="F442" s="4" t="n">
        <f aca="false">IF(MONTH($A442)&lt;=3,1,0)</f>
        <v>1</v>
      </c>
      <c r="G442" s="4" t="str">
        <f aca="false" t="array" ref="G442:G442">_xlfn.TEXTJOIN(" | ",TRUE(),IF('FEMA Disasters'!$F$2:$F$1000=$A442,'FEMA Disasters'!$D$2:$D$1000&amp;" begin: ["&amp;'FEMA Disasters'!$B$2:$B$1000&amp;"] "&amp;'FEMA Disasters'!$C$2:$C$1000&amp;"-"&amp;'FEMA Disasters'!$A$2:$A$1000,""),IF('FEMA Disasters'!$G$2:$G$1000=$A442,'FEMA Disasters'!$D$2:$D$1000&amp;" ended: ["&amp;'FEMA Disasters'!$B$2:$B$1000&amp;"] "&amp;'FEMA Disasters'!$C$2:$C$1000&amp;"-"&amp;'FEMA Disasters'!$A$2:$A$1000,""),IF('FEMA Disasters'!$K$2:$K$1000=$A442,"Disaster SEP opens: "&amp;'FEMA Disasters'!$D$2:$D$1000&amp;" ["&amp;'FEMA Disasters'!$B$2:$B$1000&amp;"] "&amp;'FEMA Disasters'!$C$2:$C$1000&amp;"-"&amp;'FEMA Disasters'!$A$2:$A$1000,""),IF('FEMA Disasters'!$L$2:$L$1000=$A442,"Disaster SEP ended: "&amp;'FEMA Disasters'!$D$2:$D$1000&amp;" ["&amp;'FEMA Disasters'!$B$2:$B$1000&amp;"] "&amp;'FEMA Disasters'!$C$2:$C$1000&amp;"-"&amp;'FEMA Disasters'!$A$2:$A$1000,""))</f>
        <v>Fire ended: [TX] FM-5555 | Fire ended: [KS] FM-5556</v>
      </c>
      <c r="H442" s="4" t="n">
        <f aca="false">COUNTIF(Events!$A$2:$A$397,$A442)</f>
        <v>0</v>
      </c>
      <c r="I442" s="6" t="str">
        <f aca="false" t="array" ref="I442:I442">_xlfn.TEXTJOIN(" | ",TRUE(),IF(Events!$A$2:$A$397=$A442,Events!$E$2:$E$397&amp;IF(Events!$G$2:$G$397="National",""," ["&amp;Events!$G$2:$G$397&amp;"]"),""))</f>
        <v/>
      </c>
    </row>
    <row r="443" customFormat="false" ht="15" hidden="false" customHeight="true" outlineLevel="0" collapsed="false">
      <c r="A443" s="3" t="n">
        <v>45733</v>
      </c>
      <c r="B443" s="4" t="n">
        <f aca="false">YEAR($A443)</f>
        <v>2025</v>
      </c>
      <c r="C443" s="4" t="n">
        <f aca="false">MONTH($A443)</f>
        <v>3</v>
      </c>
      <c r="D443" s="4" t="str">
        <f aca="false">TEXT($A443,"ddd")</f>
        <v>Mon</v>
      </c>
      <c r="E443" s="4" t="n">
        <f aca="false">IF(OR(AND(MONTH($A443)=10,DAY($A443)&gt;=15),MONTH($A443)=11,AND(MONTH($A443)=12,DAY($A443)&lt;=7)),1,0)</f>
        <v>0</v>
      </c>
      <c r="F443" s="4" t="n">
        <f aca="false">IF(MONTH($A443)&lt;=3,1,0)</f>
        <v>1</v>
      </c>
      <c r="G443" s="4" t="str">
        <f aca="false" t="array" ref="G443:G443">_xlfn.TEXTJOIN(" | ",TRUE(),IF('FEMA Disasters'!$F$2:$F$1000=$A443,'FEMA Disasters'!$D$2:$D$1000&amp;" begin: ["&amp;'FEMA Disasters'!$B$2:$B$1000&amp;"] "&amp;'FEMA Disasters'!$C$2:$C$1000&amp;"-"&amp;'FEMA Disasters'!$A$2:$A$1000,""),IF('FEMA Disasters'!$G$2:$G$1000=$A443,'FEMA Disasters'!$D$2:$D$1000&amp;" ended: ["&amp;'FEMA Disasters'!$B$2:$B$1000&amp;"] "&amp;'FEMA Disasters'!$C$2:$C$1000&amp;"-"&amp;'FEMA Disasters'!$A$2:$A$1000,""),IF('FEMA Disasters'!$K$2:$K$1000=$A443,"Disaster SEP opens: "&amp;'FEMA Disasters'!$D$2:$D$1000&amp;" ["&amp;'FEMA Disasters'!$B$2:$B$1000&amp;"] "&amp;'FEMA Disasters'!$C$2:$C$1000&amp;"-"&amp;'FEMA Disasters'!$A$2:$A$1000,""),IF('FEMA Disasters'!$L$2:$L$1000=$A443,"Disaster SEP ended: "&amp;'FEMA Disasters'!$D$2:$D$1000&amp;" ["&amp;'FEMA Disasters'!$B$2:$B$1000&amp;"] "&amp;'FEMA Disasters'!$C$2:$C$1000&amp;"-"&amp;'FEMA Disasters'!$A$2:$A$1000,""))</f>
        <v>Fire ended: [OK] FM-5568 | Fire ended: [OK] FM-5569</v>
      </c>
      <c r="H443" s="4" t="n">
        <f aca="false">COUNTIF(Events!$A$2:$A$397,$A443)</f>
        <v>0</v>
      </c>
      <c r="I443" s="6" t="str">
        <f aca="false" t="array" ref="I443:I443">_xlfn.TEXTJOIN(" | ",TRUE(),IF(Events!$A$2:$A$397=$A443,Events!$E$2:$E$397&amp;IF(Events!$G$2:$G$397="National",""," ["&amp;Events!$G$2:$G$397&amp;"]"),""))</f>
        <v/>
      </c>
    </row>
    <row r="444" customFormat="false" ht="15" hidden="false" customHeight="true" outlineLevel="0" collapsed="false">
      <c r="A444" s="3" t="n">
        <v>45734</v>
      </c>
      <c r="B444" s="4" t="n">
        <f aca="false">YEAR($A444)</f>
        <v>2025</v>
      </c>
      <c r="C444" s="4" t="n">
        <f aca="false">MONTH($A444)</f>
        <v>3</v>
      </c>
      <c r="D444" s="4" t="str">
        <f aca="false">TEXT($A444,"ddd")</f>
        <v>Tue</v>
      </c>
      <c r="E444" s="4" t="n">
        <f aca="false">IF(OR(AND(MONTH($A444)=10,DAY($A444)&gt;=15),MONTH($A444)=11,AND(MONTH($A444)=12,DAY($A444)&lt;=7)),1,0)</f>
        <v>0</v>
      </c>
      <c r="F444" s="4" t="n">
        <f aca="false">IF(MONTH($A444)&lt;=3,1,0)</f>
        <v>1</v>
      </c>
      <c r="G444" s="4" t="str">
        <f aca="false" t="array" ref="G444:G444">_xlfn.TEXTJOIN(" | ",TRUE(),IF('FEMA Disasters'!$F$2:$F$1000=$A444,'FEMA Disasters'!$D$2:$D$1000&amp;" begin: ["&amp;'FEMA Disasters'!$B$2:$B$1000&amp;"] "&amp;'FEMA Disasters'!$C$2:$C$1000&amp;"-"&amp;'FEMA Disasters'!$A$2:$A$1000,""),IF('FEMA Disasters'!$G$2:$G$1000=$A444,'FEMA Disasters'!$D$2:$D$1000&amp;" ended: ["&amp;'FEMA Disasters'!$B$2:$B$1000&amp;"] "&amp;'FEMA Disasters'!$C$2:$C$1000&amp;"-"&amp;'FEMA Disasters'!$A$2:$A$1000,""),IF('FEMA Disasters'!$K$2:$K$1000=$A444,"Disaster SEP opens: "&amp;'FEMA Disasters'!$D$2:$D$1000&amp;" ["&amp;'FEMA Disasters'!$B$2:$B$1000&amp;"] "&amp;'FEMA Disasters'!$C$2:$C$1000&amp;"-"&amp;'FEMA Disasters'!$A$2:$A$1000,""),IF('FEMA Disasters'!$L$2:$L$1000=$A444,"Disaster SEP ended: "&amp;'FEMA Disasters'!$D$2:$D$1000&amp;" ["&amp;'FEMA Disasters'!$B$2:$B$1000&amp;"] "&amp;'FEMA Disasters'!$C$2:$C$1000&amp;"-"&amp;'FEMA Disasters'!$A$2:$A$1000,""))</f>
        <v>Winter Storm begin: [NE] DR-4868 | Fire begin: [TX] FM-5571</v>
      </c>
      <c r="H444" s="4" t="n">
        <f aca="false">COUNTIF(Events!$A$2:$A$397,$A444)</f>
        <v>0</v>
      </c>
      <c r="I444" s="6" t="str">
        <f aca="false" t="array" ref="I444:I444">_xlfn.TEXTJOIN(" | ",TRUE(),IF(Events!$A$2:$A$397=$A444,Events!$E$2:$E$397&amp;IF(Events!$G$2:$G$397="National",""," ["&amp;Events!$G$2:$G$397&amp;"]"),""))</f>
        <v/>
      </c>
    </row>
    <row r="445" customFormat="false" ht="15" hidden="false" customHeight="true" outlineLevel="0" collapsed="false">
      <c r="A445" s="3" t="n">
        <v>45735</v>
      </c>
      <c r="B445" s="4" t="n">
        <f aca="false">YEAR($A445)</f>
        <v>2025</v>
      </c>
      <c r="C445" s="4" t="n">
        <f aca="false">MONTH($A445)</f>
        <v>3</v>
      </c>
      <c r="D445" s="4" t="str">
        <f aca="false">TEXT($A445,"ddd")</f>
        <v>Wed</v>
      </c>
      <c r="E445" s="4" t="n">
        <f aca="false">IF(OR(AND(MONTH($A445)=10,DAY($A445)&gt;=15),MONTH($A445)=11,AND(MONTH($A445)=12,DAY($A445)&lt;=7)),1,0)</f>
        <v>0</v>
      </c>
      <c r="F445" s="4" t="n">
        <f aca="false">IF(MONTH($A445)&lt;=3,1,0)</f>
        <v>1</v>
      </c>
      <c r="G445" s="4" t="str">
        <f aca="false" t="array" ref="G445:G445">_xlfn.TEXTJOIN(" | ",TRUE(),IF('FEMA Disasters'!$F$2:$F$1000=$A445,'FEMA Disasters'!$D$2:$D$1000&amp;" begin: ["&amp;'FEMA Disasters'!$B$2:$B$1000&amp;"] "&amp;'FEMA Disasters'!$C$2:$C$1000&amp;"-"&amp;'FEMA Disasters'!$A$2:$A$1000,""),IF('FEMA Disasters'!$G$2:$G$1000=$A445,'FEMA Disasters'!$D$2:$D$1000&amp;" ended: ["&amp;'FEMA Disasters'!$B$2:$B$1000&amp;"] "&amp;'FEMA Disasters'!$C$2:$C$1000&amp;"-"&amp;'FEMA Disasters'!$A$2:$A$1000,""),IF('FEMA Disasters'!$K$2:$K$1000=$A445,"Disaster SEP opens: "&amp;'FEMA Disasters'!$D$2:$D$1000&amp;" ["&amp;'FEMA Disasters'!$B$2:$B$1000&amp;"] "&amp;'FEMA Disasters'!$C$2:$C$1000&amp;"-"&amp;'FEMA Disasters'!$A$2:$A$1000,""),IF('FEMA Disasters'!$L$2:$L$1000=$A445,"Disaster SEP ended: "&amp;'FEMA Disasters'!$D$2:$D$1000&amp;" ["&amp;'FEMA Disasters'!$B$2:$B$1000&amp;"] "&amp;'FEMA Disasters'!$C$2:$C$1000&amp;"-"&amp;'FEMA Disasters'!$A$2:$A$1000,""))</f>
        <v>Winter Storm begin: [IA] DR-4870 | Fire begin: [OK] FM-5572 | Fire begin: [TX] FM-5573 | Fire begin: [NC] FM-5574 | Severe Storm ended: [KS] DR-4869 | Fire ended: [OK] FM-5559 | Fire ended: [OK] FM-5564 | Winter Storm ended: [NE] DR-4868 | Winter Storm ended: [IA] DR-4870</v>
      </c>
      <c r="H445" s="4" t="n">
        <f aca="false">COUNTIF(Events!$A$2:$A$397,$A445)</f>
        <v>0</v>
      </c>
      <c r="I445" s="6" t="str">
        <f aca="false" t="array" ref="I445:I445">_xlfn.TEXTJOIN(" | ",TRUE(),IF(Events!$A$2:$A$397=$A445,Events!$E$2:$E$397&amp;IF(Events!$G$2:$G$397="National",""," ["&amp;Events!$G$2:$G$397&amp;"]"),""))</f>
        <v/>
      </c>
    </row>
    <row r="446" customFormat="false" ht="15" hidden="false" customHeight="true" outlineLevel="0" collapsed="false">
      <c r="A446" s="3" t="n">
        <v>45736</v>
      </c>
      <c r="B446" s="4" t="n">
        <f aca="false">YEAR($A446)</f>
        <v>2025</v>
      </c>
      <c r="C446" s="4" t="n">
        <f aca="false">MONTH($A446)</f>
        <v>3</v>
      </c>
      <c r="D446" s="4" t="str">
        <f aca="false">TEXT($A446,"ddd")</f>
        <v>Thu</v>
      </c>
      <c r="E446" s="4" t="n">
        <f aca="false">IF(OR(AND(MONTH($A446)=10,DAY($A446)&gt;=15),MONTH($A446)=11,AND(MONTH($A446)=12,DAY($A446)&lt;=7)),1,0)</f>
        <v>0</v>
      </c>
      <c r="F446" s="4" t="n">
        <f aca="false">IF(MONTH($A446)&lt;=3,1,0)</f>
        <v>1</v>
      </c>
      <c r="G446" s="4" t="str">
        <f aca="false" t="array" ref="G446:G446">_xlfn.TEXTJOIN(" | ",TRUE(),IF('FEMA Disasters'!$F$2:$F$1000=$A446,'FEMA Disasters'!$D$2:$D$1000&amp;" begin: ["&amp;'FEMA Disasters'!$B$2:$B$1000&amp;"] "&amp;'FEMA Disasters'!$C$2:$C$1000&amp;"-"&amp;'FEMA Disasters'!$A$2:$A$1000,""),IF('FEMA Disasters'!$G$2:$G$1000=$A446,'FEMA Disasters'!$D$2:$D$1000&amp;" ended: ["&amp;'FEMA Disasters'!$B$2:$B$1000&amp;"] "&amp;'FEMA Disasters'!$C$2:$C$1000&amp;"-"&amp;'FEMA Disasters'!$A$2:$A$1000,""),IF('FEMA Disasters'!$K$2:$K$1000=$A446,"Disaster SEP opens: "&amp;'FEMA Disasters'!$D$2:$D$1000&amp;" ["&amp;'FEMA Disasters'!$B$2:$B$1000&amp;"] "&amp;'FEMA Disasters'!$C$2:$C$1000&amp;"-"&amp;'FEMA Disasters'!$A$2:$A$1000,""),IF('FEMA Disasters'!$L$2:$L$1000=$A446,"Disaster SEP ended: "&amp;'FEMA Disasters'!$D$2:$D$1000&amp;" ["&amp;'FEMA Disasters'!$B$2:$B$1000&amp;"] "&amp;'FEMA Disasters'!$C$2:$C$1000&amp;"-"&amp;'FEMA Disasters'!$A$2:$A$1000,""))</f>
        <v>Severe Storm ended: [OR] DR-4881</v>
      </c>
      <c r="H446" s="4" t="n">
        <f aca="false">COUNTIF(Events!$A$2:$A$397,$A446)</f>
        <v>0</v>
      </c>
      <c r="I446" s="6" t="str">
        <f aca="false" t="array" ref="I446:I446">_xlfn.TEXTJOIN(" | ",TRUE(),IF(Events!$A$2:$A$397=$A446,Events!$E$2:$E$397&amp;IF(Events!$G$2:$G$397="National",""," ["&amp;Events!$G$2:$G$397&amp;"]"),""))</f>
        <v/>
      </c>
    </row>
    <row r="447" customFormat="false" ht="15" hidden="false" customHeight="true" outlineLevel="0" collapsed="false">
      <c r="A447" s="3" t="n">
        <v>45737</v>
      </c>
      <c r="B447" s="4" t="n">
        <f aca="false">YEAR($A447)</f>
        <v>2025</v>
      </c>
      <c r="C447" s="4" t="n">
        <f aca="false">MONTH($A447)</f>
        <v>3</v>
      </c>
      <c r="D447" s="4" t="str">
        <f aca="false">TEXT($A447,"ddd")</f>
        <v>Fri</v>
      </c>
      <c r="E447" s="4" t="n">
        <f aca="false">IF(OR(AND(MONTH($A447)=10,DAY($A447)&gt;=15),MONTH($A447)=11,AND(MONTH($A447)=12,DAY($A447)&lt;=7)),1,0)</f>
        <v>0</v>
      </c>
      <c r="F447" s="4" t="n">
        <f aca="false">IF(MONTH($A447)&lt;=3,1,0)</f>
        <v>1</v>
      </c>
      <c r="G447" s="4" t="str">
        <f aca="false" t="array" ref="G447:G447">_xlfn.TEXTJOIN(" | ",TRUE(),IF('FEMA Disasters'!$F$2:$F$1000=$A447,'FEMA Disasters'!$D$2:$D$1000&amp;" begin: ["&amp;'FEMA Disasters'!$B$2:$B$1000&amp;"] "&amp;'FEMA Disasters'!$C$2:$C$1000&amp;"-"&amp;'FEMA Disasters'!$A$2:$A$1000,""),IF('FEMA Disasters'!$G$2:$G$1000=$A447,'FEMA Disasters'!$D$2:$D$1000&amp;" ended: ["&amp;'FEMA Disasters'!$B$2:$B$1000&amp;"] "&amp;'FEMA Disasters'!$C$2:$C$1000&amp;"-"&amp;'FEMA Disasters'!$A$2:$A$1000,""),IF('FEMA Disasters'!$K$2:$K$1000=$A447,"Disaster SEP opens: "&amp;'FEMA Disasters'!$D$2:$D$1000&amp;" ["&amp;'FEMA Disasters'!$B$2:$B$1000&amp;"] "&amp;'FEMA Disasters'!$C$2:$C$1000&amp;"-"&amp;'FEMA Disasters'!$A$2:$A$1000,""),IF('FEMA Disasters'!$L$2:$L$1000=$A447,"Disaster SEP ended: "&amp;'FEMA Disasters'!$D$2:$D$1000&amp;" ["&amp;'FEMA Disasters'!$B$2:$B$1000&amp;"] "&amp;'FEMA Disasters'!$C$2:$C$1000&amp;"-"&amp;'FEMA Disasters'!$A$2:$A$1000,""))</f>
        <v>Fire begin: [SC] FM-5575 | Fire ended: [OK] DR-4866 | Fire ended: [TX] FM-5570 | Fire ended: [TX] FM-5571</v>
      </c>
      <c r="H447" s="4" t="n">
        <f aca="false">COUNTIF(Events!$A$2:$A$397,$A447)</f>
        <v>0</v>
      </c>
      <c r="I447" s="6" t="str">
        <f aca="false" t="array" ref="I447:I447">_xlfn.TEXTJOIN(" | ",TRUE(),IF(Events!$A$2:$A$397=$A447,Events!$E$2:$E$397&amp;IF(Events!$G$2:$G$397="National",""," ["&amp;Events!$G$2:$G$397&amp;"]"),""))</f>
        <v/>
      </c>
    </row>
    <row r="448" customFormat="false" ht="15" hidden="false" customHeight="true" outlineLevel="0" collapsed="false">
      <c r="A448" s="3" t="n">
        <v>45738</v>
      </c>
      <c r="B448" s="4" t="n">
        <f aca="false">YEAR($A448)</f>
        <v>2025</v>
      </c>
      <c r="C448" s="4" t="n">
        <f aca="false">MONTH($A448)</f>
        <v>3</v>
      </c>
      <c r="D448" s="4" t="str">
        <f aca="false">TEXT($A448,"ddd")</f>
        <v>Sat</v>
      </c>
      <c r="E448" s="4" t="n">
        <f aca="false">IF(OR(AND(MONTH($A448)=10,DAY($A448)&gt;=15),MONTH($A448)=11,AND(MONTH($A448)=12,DAY($A448)&lt;=7)),1,0)</f>
        <v>0</v>
      </c>
      <c r="F448" s="4" t="n">
        <f aca="false">IF(MONTH($A448)&lt;=3,1,0)</f>
        <v>1</v>
      </c>
      <c r="G448" s="4" t="str">
        <f aca="false" t="array" ref="G448:G448">_xlfn.TEXTJOIN(" | ",TRUE(),IF('FEMA Disasters'!$F$2:$F$1000=$A448,'FEMA Disasters'!$D$2:$D$1000&amp;" begin: ["&amp;'FEMA Disasters'!$B$2:$B$1000&amp;"] "&amp;'FEMA Disasters'!$C$2:$C$1000&amp;"-"&amp;'FEMA Disasters'!$A$2:$A$1000,""),IF('FEMA Disasters'!$G$2:$G$1000=$A448,'FEMA Disasters'!$D$2:$D$1000&amp;" ended: ["&amp;'FEMA Disasters'!$B$2:$B$1000&amp;"] "&amp;'FEMA Disasters'!$C$2:$C$1000&amp;"-"&amp;'FEMA Disasters'!$A$2:$A$1000,""),IF('FEMA Disasters'!$K$2:$K$1000=$A448,"Disaster SEP opens: "&amp;'FEMA Disasters'!$D$2:$D$1000&amp;" ["&amp;'FEMA Disasters'!$B$2:$B$1000&amp;"] "&amp;'FEMA Disasters'!$C$2:$C$1000&amp;"-"&amp;'FEMA Disasters'!$A$2:$A$1000,""),IF('FEMA Disasters'!$L$2:$L$1000=$A448,"Disaster SEP ended: "&amp;'FEMA Disasters'!$D$2:$D$1000&amp;" ["&amp;'FEMA Disasters'!$B$2:$B$1000&amp;"] "&amp;'FEMA Disasters'!$C$2:$C$1000&amp;"-"&amp;'FEMA Disasters'!$A$2:$A$1000,""))</f>
        <v/>
      </c>
      <c r="H448" s="4" t="n">
        <f aca="false">COUNTIF(Events!$A$2:$A$397,$A448)</f>
        <v>0</v>
      </c>
      <c r="I448" s="6" t="str">
        <f aca="false" t="array" ref="I448:I448">_xlfn.TEXTJOIN(" | ",TRUE(),IF(Events!$A$2:$A$397=$A448,Events!$E$2:$E$397&amp;IF(Events!$G$2:$G$397="National",""," ["&amp;Events!$G$2:$G$397&amp;"]"),""))</f>
        <v/>
      </c>
    </row>
    <row r="449" customFormat="false" ht="15" hidden="false" customHeight="true" outlineLevel="0" collapsed="false">
      <c r="A449" s="3" t="n">
        <v>45739</v>
      </c>
      <c r="B449" s="4" t="n">
        <f aca="false">YEAR($A449)</f>
        <v>2025</v>
      </c>
      <c r="C449" s="4" t="n">
        <f aca="false">MONTH($A449)</f>
        <v>3</v>
      </c>
      <c r="D449" s="4" t="str">
        <f aca="false">TEXT($A449,"ddd")</f>
        <v>Sun</v>
      </c>
      <c r="E449" s="4" t="n">
        <f aca="false">IF(OR(AND(MONTH($A449)=10,DAY($A449)&gt;=15),MONTH($A449)=11,AND(MONTH($A449)=12,DAY($A449)&lt;=7)),1,0)</f>
        <v>0</v>
      </c>
      <c r="F449" s="4" t="n">
        <f aca="false">IF(MONTH($A449)&lt;=3,1,0)</f>
        <v>1</v>
      </c>
      <c r="G449" s="4" t="str">
        <f aca="false" t="array" ref="G449:G449">_xlfn.TEXTJOIN(" | ",TRUE(),IF('FEMA Disasters'!$F$2:$F$1000=$A449,'FEMA Disasters'!$D$2:$D$1000&amp;" begin: ["&amp;'FEMA Disasters'!$B$2:$B$1000&amp;"] "&amp;'FEMA Disasters'!$C$2:$C$1000&amp;"-"&amp;'FEMA Disasters'!$A$2:$A$1000,""),IF('FEMA Disasters'!$G$2:$G$1000=$A449,'FEMA Disasters'!$D$2:$D$1000&amp;" ended: ["&amp;'FEMA Disasters'!$B$2:$B$1000&amp;"] "&amp;'FEMA Disasters'!$C$2:$C$1000&amp;"-"&amp;'FEMA Disasters'!$A$2:$A$1000,""),IF('FEMA Disasters'!$K$2:$K$1000=$A449,"Disaster SEP opens: "&amp;'FEMA Disasters'!$D$2:$D$1000&amp;" ["&amp;'FEMA Disasters'!$B$2:$B$1000&amp;"] "&amp;'FEMA Disasters'!$C$2:$C$1000&amp;"-"&amp;'FEMA Disasters'!$A$2:$A$1000,""),IF('FEMA Disasters'!$L$2:$L$1000=$A449,"Disaster SEP ended: "&amp;'FEMA Disasters'!$D$2:$D$1000&amp;" ["&amp;'FEMA Disasters'!$B$2:$B$1000&amp;"] "&amp;'FEMA Disasters'!$C$2:$C$1000&amp;"-"&amp;'FEMA Disasters'!$A$2:$A$1000,""))</f>
        <v>Fire begin: [SC] FM-5576</v>
      </c>
      <c r="H449" s="4" t="n">
        <f aca="false">COUNTIF(Events!$A$2:$A$397,$A449)</f>
        <v>0</v>
      </c>
      <c r="I449" s="6" t="str">
        <f aca="false" t="array" ref="I449:I449">_xlfn.TEXTJOIN(" | ",TRUE(),IF(Events!$A$2:$A$397=$A449,Events!$E$2:$E$397&amp;IF(Events!$G$2:$G$397="National",""," ["&amp;Events!$G$2:$G$397&amp;"]"),""))</f>
        <v/>
      </c>
    </row>
    <row r="450" customFormat="false" ht="15" hidden="false" customHeight="true" outlineLevel="0" collapsed="false">
      <c r="A450" s="3" t="n">
        <v>45740</v>
      </c>
      <c r="B450" s="4" t="n">
        <f aca="false">YEAR($A450)</f>
        <v>2025</v>
      </c>
      <c r="C450" s="4" t="n">
        <f aca="false">MONTH($A450)</f>
        <v>3</v>
      </c>
      <c r="D450" s="4" t="str">
        <f aca="false">TEXT($A450,"ddd")</f>
        <v>Mon</v>
      </c>
      <c r="E450" s="4" t="n">
        <f aca="false">IF(OR(AND(MONTH($A450)=10,DAY($A450)&gt;=15),MONTH($A450)=11,AND(MONTH($A450)=12,DAY($A450)&lt;=7)),1,0)</f>
        <v>0</v>
      </c>
      <c r="F450" s="4" t="n">
        <f aca="false">IF(MONTH($A450)&lt;=3,1,0)</f>
        <v>1</v>
      </c>
      <c r="G450" s="4" t="str">
        <f aca="false" t="array" ref="G450:G450">_xlfn.TEXTJOIN(" | ",TRUE(),IF('FEMA Disasters'!$F$2:$F$1000=$A450,'FEMA Disasters'!$D$2:$D$1000&amp;" begin: ["&amp;'FEMA Disasters'!$B$2:$B$1000&amp;"] "&amp;'FEMA Disasters'!$C$2:$C$1000&amp;"-"&amp;'FEMA Disasters'!$A$2:$A$1000,""),IF('FEMA Disasters'!$G$2:$G$1000=$A450,'FEMA Disasters'!$D$2:$D$1000&amp;" ended: ["&amp;'FEMA Disasters'!$B$2:$B$1000&amp;"] "&amp;'FEMA Disasters'!$C$2:$C$1000&amp;"-"&amp;'FEMA Disasters'!$A$2:$A$1000,""),IF('FEMA Disasters'!$K$2:$K$1000=$A450,"Disaster SEP opens: "&amp;'FEMA Disasters'!$D$2:$D$1000&amp;" ["&amp;'FEMA Disasters'!$B$2:$B$1000&amp;"] "&amp;'FEMA Disasters'!$C$2:$C$1000&amp;"-"&amp;'FEMA Disasters'!$A$2:$A$1000,""),IF('FEMA Disasters'!$L$2:$L$1000=$A450,"Disaster SEP ended: "&amp;'FEMA Disasters'!$D$2:$D$1000&amp;" ["&amp;'FEMA Disasters'!$B$2:$B$1000&amp;"] "&amp;'FEMA Disasters'!$C$2:$C$1000&amp;"-"&amp;'FEMA Disasters'!$A$2:$A$1000,""))</f>
        <v>Fire ended: [OK] FM-5562</v>
      </c>
      <c r="H450" s="4" t="n">
        <f aca="false">COUNTIF(Events!$A$2:$A$397,$A450)</f>
        <v>0</v>
      </c>
      <c r="I450" s="6" t="str">
        <f aca="false" t="array" ref="I450:I450">_xlfn.TEXTJOIN(" | ",TRUE(),IF(Events!$A$2:$A$397=$A450,Events!$E$2:$E$397&amp;IF(Events!$G$2:$G$397="National",""," ["&amp;Events!$G$2:$G$397&amp;"]"),""))</f>
        <v/>
      </c>
    </row>
    <row r="451" customFormat="false" ht="15" hidden="false" customHeight="true" outlineLevel="0" collapsed="false">
      <c r="A451" s="3" t="n">
        <v>45741</v>
      </c>
      <c r="B451" s="4" t="n">
        <f aca="false">YEAR($A451)</f>
        <v>2025</v>
      </c>
      <c r="C451" s="4" t="n">
        <f aca="false">MONTH($A451)</f>
        <v>3</v>
      </c>
      <c r="D451" s="4" t="str">
        <f aca="false">TEXT($A451,"ddd")</f>
        <v>Tue</v>
      </c>
      <c r="E451" s="4" t="n">
        <f aca="false">IF(OR(AND(MONTH($A451)=10,DAY($A451)&gt;=15),MONTH($A451)=11,AND(MONTH($A451)=12,DAY($A451)&lt;=7)),1,0)</f>
        <v>0</v>
      </c>
      <c r="F451" s="4" t="n">
        <f aca="false">IF(MONTH($A451)&lt;=3,1,0)</f>
        <v>1</v>
      </c>
      <c r="G451" s="4" t="str">
        <f aca="false" t="array" ref="G451:G451">_xlfn.TEXTJOIN(" | ",TRUE(),IF('FEMA Disasters'!$F$2:$F$1000=$A451,'FEMA Disasters'!$D$2:$D$1000&amp;" begin: ["&amp;'FEMA Disasters'!$B$2:$B$1000&amp;"] "&amp;'FEMA Disasters'!$C$2:$C$1000&amp;"-"&amp;'FEMA Disasters'!$A$2:$A$1000,""),IF('FEMA Disasters'!$G$2:$G$1000=$A451,'FEMA Disasters'!$D$2:$D$1000&amp;" ended: ["&amp;'FEMA Disasters'!$B$2:$B$1000&amp;"] "&amp;'FEMA Disasters'!$C$2:$C$1000&amp;"-"&amp;'FEMA Disasters'!$A$2:$A$1000,""),IF('FEMA Disasters'!$K$2:$K$1000=$A451,"Disaster SEP opens: "&amp;'FEMA Disasters'!$D$2:$D$1000&amp;" ["&amp;'FEMA Disasters'!$B$2:$B$1000&amp;"] "&amp;'FEMA Disasters'!$C$2:$C$1000&amp;"-"&amp;'FEMA Disasters'!$A$2:$A$1000,""),IF('FEMA Disasters'!$L$2:$L$1000=$A451,"Disaster SEP ended: "&amp;'FEMA Disasters'!$D$2:$D$1000&amp;" ["&amp;'FEMA Disasters'!$B$2:$B$1000&amp;"] "&amp;'FEMA Disasters'!$C$2:$C$1000&amp;"-"&amp;'FEMA Disasters'!$A$2:$A$1000,""))</f>
        <v>Fire begin: [NC] FM-5577 | Fire ended: [OK] FM-5557</v>
      </c>
      <c r="H451" s="4" t="n">
        <f aca="false">COUNTIF(Events!$A$2:$A$397,$A451)</f>
        <v>0</v>
      </c>
      <c r="I451" s="6" t="str">
        <f aca="false" t="array" ref="I451:I451">_xlfn.TEXTJOIN(" | ",TRUE(),IF(Events!$A$2:$A$397=$A451,Events!$E$2:$E$397&amp;IF(Events!$G$2:$G$397="National",""," ["&amp;Events!$G$2:$G$397&amp;"]"),""))</f>
        <v/>
      </c>
    </row>
    <row r="452" customFormat="false" ht="15" hidden="false" customHeight="true" outlineLevel="0" collapsed="false">
      <c r="A452" s="3" t="n">
        <v>45742</v>
      </c>
      <c r="B452" s="4" t="n">
        <f aca="false">YEAR($A452)</f>
        <v>2025</v>
      </c>
      <c r="C452" s="4" t="n">
        <f aca="false">MONTH($A452)</f>
        <v>3</v>
      </c>
      <c r="D452" s="4" t="str">
        <f aca="false">TEXT($A452,"ddd")</f>
        <v>Wed</v>
      </c>
      <c r="E452" s="4" t="n">
        <f aca="false">IF(OR(AND(MONTH($A452)=10,DAY($A452)&gt;=15),MONTH($A452)=11,AND(MONTH($A452)=12,DAY($A452)&lt;=7)),1,0)</f>
        <v>0</v>
      </c>
      <c r="F452" s="4" t="n">
        <f aca="false">IF(MONTH($A452)&lt;=3,1,0)</f>
        <v>1</v>
      </c>
      <c r="G452" s="4" t="str">
        <f aca="false" t="array" ref="G452:G452">_xlfn.TEXTJOIN(" | ",TRUE(),IF('FEMA Disasters'!$F$2:$F$1000=$A452,'FEMA Disasters'!$D$2:$D$1000&amp;" begin: ["&amp;'FEMA Disasters'!$B$2:$B$1000&amp;"] "&amp;'FEMA Disasters'!$C$2:$C$1000&amp;"-"&amp;'FEMA Disasters'!$A$2:$A$1000,""),IF('FEMA Disasters'!$G$2:$G$1000=$A452,'FEMA Disasters'!$D$2:$D$1000&amp;" ended: ["&amp;'FEMA Disasters'!$B$2:$B$1000&amp;"] "&amp;'FEMA Disasters'!$C$2:$C$1000&amp;"-"&amp;'FEMA Disasters'!$A$2:$A$1000,""),IF('FEMA Disasters'!$K$2:$K$1000=$A452,"Disaster SEP opens: "&amp;'FEMA Disasters'!$D$2:$D$1000&amp;" ["&amp;'FEMA Disasters'!$B$2:$B$1000&amp;"] "&amp;'FEMA Disasters'!$C$2:$C$1000&amp;"-"&amp;'FEMA Disasters'!$A$2:$A$1000,""),IF('FEMA Disasters'!$L$2:$L$1000=$A452,"Disaster SEP ended: "&amp;'FEMA Disasters'!$D$2:$D$1000&amp;" ["&amp;'FEMA Disasters'!$B$2:$B$1000&amp;"] "&amp;'FEMA Disasters'!$C$2:$C$1000&amp;"-"&amp;'FEMA Disasters'!$A$2:$A$1000,""))</f>
        <v>Flood begin: [TX] DR-4871 | Fire begin: [NC] FM-5578 | Fire ended: [OK] FM-5558 | Fire ended: [OK] FM-5560 | Fire ended: [OK] FM-5566 | Fire ended: [TX] FM-5573</v>
      </c>
      <c r="H452" s="4" t="n">
        <f aca="false">COUNTIF(Events!$A$2:$A$397,$A452)</f>
        <v>0</v>
      </c>
      <c r="I452" s="6" t="str">
        <f aca="false" t="array" ref="I452:I452">_xlfn.TEXTJOIN(" | ",TRUE(),IF(Events!$A$2:$A$397=$A452,Events!$E$2:$E$397&amp;IF(Events!$G$2:$G$397="National",""," ["&amp;Events!$G$2:$G$397&amp;"]"),""))</f>
        <v/>
      </c>
    </row>
    <row r="453" customFormat="false" ht="15" hidden="false" customHeight="true" outlineLevel="0" collapsed="false">
      <c r="A453" s="3" t="n">
        <v>45743</v>
      </c>
      <c r="B453" s="4" t="n">
        <f aca="false">YEAR($A453)</f>
        <v>2025</v>
      </c>
      <c r="C453" s="4" t="n">
        <f aca="false">MONTH($A453)</f>
        <v>3</v>
      </c>
      <c r="D453" s="4" t="str">
        <f aca="false">TEXT($A453,"ddd")</f>
        <v>Thu</v>
      </c>
      <c r="E453" s="4" t="n">
        <f aca="false">IF(OR(AND(MONTH($A453)=10,DAY($A453)&gt;=15),MONTH($A453)=11,AND(MONTH($A453)=12,DAY($A453)&lt;=7)),1,0)</f>
        <v>0</v>
      </c>
      <c r="F453" s="4" t="n">
        <f aca="false">IF(MONTH($A453)&lt;=3,1,0)</f>
        <v>1</v>
      </c>
      <c r="G453" s="4" t="str">
        <f aca="false" t="array" ref="G453:G453">_xlfn.TEXTJOIN(" | ",TRUE(),IF('FEMA Disasters'!$F$2:$F$1000=$A453,'FEMA Disasters'!$D$2:$D$1000&amp;" begin: ["&amp;'FEMA Disasters'!$B$2:$B$1000&amp;"] "&amp;'FEMA Disasters'!$C$2:$C$1000&amp;"-"&amp;'FEMA Disasters'!$A$2:$A$1000,""),IF('FEMA Disasters'!$G$2:$G$1000=$A453,'FEMA Disasters'!$D$2:$D$1000&amp;" ended: ["&amp;'FEMA Disasters'!$B$2:$B$1000&amp;"] "&amp;'FEMA Disasters'!$C$2:$C$1000&amp;"-"&amp;'FEMA Disasters'!$A$2:$A$1000,""),IF('FEMA Disasters'!$K$2:$K$1000=$A453,"Disaster SEP opens: "&amp;'FEMA Disasters'!$D$2:$D$1000&amp;" ["&amp;'FEMA Disasters'!$B$2:$B$1000&amp;"] "&amp;'FEMA Disasters'!$C$2:$C$1000&amp;"-"&amp;'FEMA Disasters'!$A$2:$A$1000,""),IF('FEMA Disasters'!$L$2:$L$1000=$A453,"Disaster SEP ended: "&amp;'FEMA Disasters'!$D$2:$D$1000&amp;" ["&amp;'FEMA Disasters'!$B$2:$B$1000&amp;"] "&amp;'FEMA Disasters'!$C$2:$C$1000&amp;"-"&amp;'FEMA Disasters'!$A$2:$A$1000,""))</f>
        <v>Fire ended: [OK] FM-5563</v>
      </c>
      <c r="H453" s="4" t="n">
        <f aca="false">COUNTIF(Events!$A$2:$A$397,$A453)</f>
        <v>0</v>
      </c>
      <c r="I453" s="6" t="str">
        <f aca="false" t="array" ref="I453:I453">_xlfn.TEXTJOIN(" | ",TRUE(),IF(Events!$A$2:$A$397=$A453,Events!$E$2:$E$397&amp;IF(Events!$G$2:$G$397="National",""," ["&amp;Events!$G$2:$G$397&amp;"]"),""))</f>
        <v/>
      </c>
    </row>
    <row r="454" customFormat="false" ht="15" hidden="false" customHeight="true" outlineLevel="0" collapsed="false">
      <c r="A454" s="3" t="n">
        <v>45744</v>
      </c>
      <c r="B454" s="4" t="n">
        <f aca="false">YEAR($A454)</f>
        <v>2025</v>
      </c>
      <c r="C454" s="4" t="n">
        <f aca="false">MONTH($A454)</f>
        <v>3</v>
      </c>
      <c r="D454" s="4" t="str">
        <f aca="false">TEXT($A454,"ddd")</f>
        <v>Fri</v>
      </c>
      <c r="E454" s="4" t="n">
        <f aca="false">IF(OR(AND(MONTH($A454)=10,DAY($A454)&gt;=15),MONTH($A454)=11,AND(MONTH($A454)=12,DAY($A454)&lt;=7)),1,0)</f>
        <v>0</v>
      </c>
      <c r="F454" s="4" t="n">
        <f aca="false">IF(MONTH($A454)&lt;=3,1,0)</f>
        <v>1</v>
      </c>
      <c r="G454" s="4" t="str">
        <f aca="false" t="array" ref="G454:G454">_xlfn.TEXTJOIN(" | ",TRUE(),IF('FEMA Disasters'!$F$2:$F$1000=$A454,'FEMA Disasters'!$D$2:$D$1000&amp;" begin: ["&amp;'FEMA Disasters'!$B$2:$B$1000&amp;"] "&amp;'FEMA Disasters'!$C$2:$C$1000&amp;"-"&amp;'FEMA Disasters'!$A$2:$A$1000,""),IF('FEMA Disasters'!$G$2:$G$1000=$A454,'FEMA Disasters'!$D$2:$D$1000&amp;" ended: ["&amp;'FEMA Disasters'!$B$2:$B$1000&amp;"] "&amp;'FEMA Disasters'!$C$2:$C$1000&amp;"-"&amp;'FEMA Disasters'!$A$2:$A$1000,""),IF('FEMA Disasters'!$K$2:$K$1000=$A454,"Disaster SEP opens: "&amp;'FEMA Disasters'!$D$2:$D$1000&amp;" ["&amp;'FEMA Disasters'!$B$2:$B$1000&amp;"] "&amp;'FEMA Disasters'!$C$2:$C$1000&amp;"-"&amp;'FEMA Disasters'!$A$2:$A$1000,""),IF('FEMA Disasters'!$L$2:$L$1000=$A454,"Disaster SEP ended: "&amp;'FEMA Disasters'!$D$2:$D$1000&amp;" ["&amp;'FEMA Disasters'!$B$2:$B$1000&amp;"] "&amp;'FEMA Disasters'!$C$2:$C$1000&amp;"-"&amp;'FEMA Disasters'!$A$2:$A$1000,""))</f>
        <v>Severe Ice Storm begin: [MI] DR-4880 | Fire ended: [OK] FM-5567 | Fire ended: [OK] FM-5572 | Flood ended: [TX] DR-4871</v>
      </c>
      <c r="H454" s="4" t="n">
        <f aca="false">COUNTIF(Events!$A$2:$A$397,$A454)</f>
        <v>0</v>
      </c>
      <c r="I454" s="6" t="str">
        <f aca="false" t="array" ref="I454:I454">_xlfn.TEXTJOIN(" | ",TRUE(),IF(Events!$A$2:$A$397=$A454,Events!$E$2:$E$397&amp;IF(Events!$G$2:$G$397="National",""," ["&amp;Events!$G$2:$G$397&amp;"]"),""))</f>
        <v/>
      </c>
    </row>
    <row r="455" customFormat="false" ht="15" hidden="false" customHeight="true" outlineLevel="0" collapsed="false">
      <c r="A455" s="3" t="n">
        <v>45745</v>
      </c>
      <c r="B455" s="4" t="n">
        <f aca="false">YEAR($A455)</f>
        <v>2025</v>
      </c>
      <c r="C455" s="4" t="n">
        <f aca="false">MONTH($A455)</f>
        <v>3</v>
      </c>
      <c r="D455" s="4" t="str">
        <f aca="false">TEXT($A455,"ddd")</f>
        <v>Sat</v>
      </c>
      <c r="E455" s="4" t="n">
        <f aca="false">IF(OR(AND(MONTH($A455)=10,DAY($A455)&gt;=15),MONTH($A455)=11,AND(MONTH($A455)=12,DAY($A455)&lt;=7)),1,0)</f>
        <v>0</v>
      </c>
      <c r="F455" s="4" t="n">
        <f aca="false">IF(MONTH($A455)&lt;=3,1,0)</f>
        <v>1</v>
      </c>
      <c r="G455" s="4" t="str">
        <f aca="false" t="array" ref="G455:G455">_xlfn.TEXTJOIN(" | ",TRUE(),IF('FEMA Disasters'!$F$2:$F$1000=$A455,'FEMA Disasters'!$D$2:$D$1000&amp;" begin: ["&amp;'FEMA Disasters'!$B$2:$B$1000&amp;"] "&amp;'FEMA Disasters'!$C$2:$C$1000&amp;"-"&amp;'FEMA Disasters'!$A$2:$A$1000,""),IF('FEMA Disasters'!$G$2:$G$1000=$A455,'FEMA Disasters'!$D$2:$D$1000&amp;" ended: ["&amp;'FEMA Disasters'!$B$2:$B$1000&amp;"] "&amp;'FEMA Disasters'!$C$2:$C$1000&amp;"-"&amp;'FEMA Disasters'!$A$2:$A$1000,""),IF('FEMA Disasters'!$K$2:$K$1000=$A455,"Disaster SEP opens: "&amp;'FEMA Disasters'!$D$2:$D$1000&amp;" ["&amp;'FEMA Disasters'!$B$2:$B$1000&amp;"] "&amp;'FEMA Disasters'!$C$2:$C$1000&amp;"-"&amp;'FEMA Disasters'!$A$2:$A$1000,""),IF('FEMA Disasters'!$L$2:$L$1000=$A455,"Disaster SEP ended: "&amp;'FEMA Disasters'!$D$2:$D$1000&amp;" ["&amp;'FEMA Disasters'!$B$2:$B$1000&amp;"] "&amp;'FEMA Disasters'!$C$2:$C$1000&amp;"-"&amp;'FEMA Disasters'!$A$2:$A$1000,""))</f>
        <v/>
      </c>
      <c r="H455" s="4" t="n">
        <f aca="false">COUNTIF(Events!$A$2:$A$397,$A455)</f>
        <v>0</v>
      </c>
      <c r="I455" s="6" t="str">
        <f aca="false" t="array" ref="I455:I455">_xlfn.TEXTJOIN(" | ",TRUE(),IF(Events!$A$2:$A$397=$A455,Events!$E$2:$E$397&amp;IF(Events!$G$2:$G$397="National",""," ["&amp;Events!$G$2:$G$397&amp;"]"),""))</f>
        <v/>
      </c>
    </row>
    <row r="456" customFormat="false" ht="15" hidden="false" customHeight="true" outlineLevel="0" collapsed="false">
      <c r="A456" s="3" t="n">
        <v>45746</v>
      </c>
      <c r="B456" s="4" t="n">
        <f aca="false">YEAR($A456)</f>
        <v>2025</v>
      </c>
      <c r="C456" s="4" t="n">
        <f aca="false">MONTH($A456)</f>
        <v>3</v>
      </c>
      <c r="D456" s="4" t="str">
        <f aca="false">TEXT($A456,"ddd")</f>
        <v>Sun</v>
      </c>
      <c r="E456" s="4" t="n">
        <f aca="false">IF(OR(AND(MONTH($A456)=10,DAY($A456)&gt;=15),MONTH($A456)=11,AND(MONTH($A456)=12,DAY($A456)&lt;=7)),1,0)</f>
        <v>0</v>
      </c>
      <c r="F456" s="4" t="n">
        <f aca="false">IF(MONTH($A456)&lt;=3,1,0)</f>
        <v>1</v>
      </c>
      <c r="G456" s="4" t="str">
        <f aca="false" t="array" ref="G456:G456">_xlfn.TEXTJOIN(" | ",TRUE(),IF('FEMA Disasters'!$F$2:$F$1000=$A456,'FEMA Disasters'!$D$2:$D$1000&amp;" begin: ["&amp;'FEMA Disasters'!$B$2:$B$1000&amp;"] "&amp;'FEMA Disasters'!$C$2:$C$1000&amp;"-"&amp;'FEMA Disasters'!$A$2:$A$1000,""),IF('FEMA Disasters'!$G$2:$G$1000=$A456,'FEMA Disasters'!$D$2:$D$1000&amp;" ended: ["&amp;'FEMA Disasters'!$B$2:$B$1000&amp;"] "&amp;'FEMA Disasters'!$C$2:$C$1000&amp;"-"&amp;'FEMA Disasters'!$A$2:$A$1000,""),IF('FEMA Disasters'!$K$2:$K$1000=$A456,"Disaster SEP opens: "&amp;'FEMA Disasters'!$D$2:$D$1000&amp;" ["&amp;'FEMA Disasters'!$B$2:$B$1000&amp;"] "&amp;'FEMA Disasters'!$C$2:$C$1000&amp;"-"&amp;'FEMA Disasters'!$A$2:$A$1000,""),IF('FEMA Disasters'!$L$2:$L$1000=$A456,"Disaster SEP ended: "&amp;'FEMA Disasters'!$D$2:$D$1000&amp;" ["&amp;'FEMA Disasters'!$B$2:$B$1000&amp;"] "&amp;'FEMA Disasters'!$C$2:$C$1000&amp;"-"&amp;'FEMA Disasters'!$A$2:$A$1000,""))</f>
        <v>Severe Storm begin: [MO] DR-4872 | Flood begin: [IN] DR-4882 | Fire ended: [OK] FM-5561 | Severe Ice Storm ended: [MI] DR-4880</v>
      </c>
      <c r="H456" s="4" t="n">
        <f aca="false">COUNTIF(Events!$A$2:$A$397,$A456)</f>
        <v>0</v>
      </c>
      <c r="I456" s="6" t="str">
        <f aca="false" t="array" ref="I456:I456">_xlfn.TEXTJOIN(" | ",TRUE(),IF(Events!$A$2:$A$397=$A456,Events!$E$2:$E$397&amp;IF(Events!$G$2:$G$397="National",""," ["&amp;Events!$G$2:$G$397&amp;"]"),""))</f>
        <v/>
      </c>
    </row>
    <row r="457" customFormat="false" ht="15" hidden="false" customHeight="true" outlineLevel="0" collapsed="false">
      <c r="A457" s="3" t="n">
        <v>45747</v>
      </c>
      <c r="B457" s="4" t="n">
        <f aca="false">YEAR($A457)</f>
        <v>2025</v>
      </c>
      <c r="C457" s="4" t="n">
        <f aca="false">MONTH($A457)</f>
        <v>3</v>
      </c>
      <c r="D457" s="4" t="str">
        <f aca="false">TEXT($A457,"ddd")</f>
        <v>Mon</v>
      </c>
      <c r="E457" s="4" t="n">
        <f aca="false">IF(OR(AND(MONTH($A457)=10,DAY($A457)&gt;=15),MONTH($A457)=11,AND(MONTH($A457)=12,DAY($A457)&lt;=7)),1,0)</f>
        <v>0</v>
      </c>
      <c r="F457" s="4" t="n">
        <f aca="false">IF(MONTH($A457)&lt;=3,1,0)</f>
        <v>1</v>
      </c>
      <c r="G457" s="4" t="str">
        <f aca="false" t="array" ref="G457:G457">_xlfn.TEXTJOIN(" | ",TRUE(),IF('FEMA Disasters'!$F$2:$F$1000=$A457,'FEMA Disasters'!$D$2:$D$1000&amp;" begin: ["&amp;'FEMA Disasters'!$B$2:$B$1000&amp;"] "&amp;'FEMA Disasters'!$C$2:$C$1000&amp;"-"&amp;'FEMA Disasters'!$A$2:$A$1000,""),IF('FEMA Disasters'!$G$2:$G$1000=$A457,'FEMA Disasters'!$D$2:$D$1000&amp;" ended: ["&amp;'FEMA Disasters'!$B$2:$B$1000&amp;"] "&amp;'FEMA Disasters'!$C$2:$C$1000&amp;"-"&amp;'FEMA Disasters'!$A$2:$A$1000,""),IF('FEMA Disasters'!$K$2:$K$1000=$A457,"Disaster SEP opens: "&amp;'FEMA Disasters'!$D$2:$D$1000&amp;" ["&amp;'FEMA Disasters'!$B$2:$B$1000&amp;"] "&amp;'FEMA Disasters'!$C$2:$C$1000&amp;"-"&amp;'FEMA Disasters'!$A$2:$A$1000,""),IF('FEMA Disasters'!$L$2:$L$1000=$A457,"Disaster SEP ended: "&amp;'FEMA Disasters'!$D$2:$D$1000&amp;" ["&amp;'FEMA Disasters'!$B$2:$B$1000&amp;"] "&amp;'FEMA Disasters'!$C$2:$C$1000&amp;"-"&amp;'FEMA Disasters'!$A$2:$A$1000,""))</f>
        <v>Disaster SEP opens: Fire [CA] DR-4856 | Disaster SEP ended: Hurricane [FL] EM-3622 | Disaster SEP ended: Hurricane [FL] EM-3623 | Disaster SEP ended: Hurricane [FL] DR-4834 | Disaster SEP ended: Hurricane [FL] DR-4844 | Disaster SEP ended: Severe Storm [OK] DR-4862 | Disaster SEP ended: Severe Storm [MO] DR-4855 | Disaster SEP ended: Flood [SC] DR-4858 | Disaster SEP ended: Fire [CA] FM-5545 | Disaster SEP ended: Fire [NY] FM-5547 | Disaster SEP ended: Fire [NV] FM-5546</v>
      </c>
      <c r="H457" s="4" t="n">
        <f aca="false">COUNTIF(Events!$A$2:$A$397,$A457)</f>
        <v>0</v>
      </c>
      <c r="I457" s="6" t="str">
        <f aca="false" t="array" ref="I457:I457">_xlfn.TEXTJOIN(" | ",TRUE(),IF(Events!$A$2:$A$397=$A457,Events!$E$2:$E$397&amp;IF(Events!$G$2:$G$397="National",""," ["&amp;Events!$G$2:$G$397&amp;"]"),""))</f>
        <v/>
      </c>
    </row>
    <row r="458" customFormat="false" ht="15" hidden="false" customHeight="true" outlineLevel="0" collapsed="false">
      <c r="A458" s="3" t="n">
        <v>45748</v>
      </c>
      <c r="B458" s="4" t="n">
        <f aca="false">YEAR($A458)</f>
        <v>2025</v>
      </c>
      <c r="C458" s="4" t="n">
        <f aca="false">MONTH($A458)</f>
        <v>4</v>
      </c>
      <c r="D458" s="4" t="str">
        <f aca="false">TEXT($A458,"ddd")</f>
        <v>Tue</v>
      </c>
      <c r="E458" s="4" t="n">
        <f aca="false">IF(OR(AND(MONTH($A458)=10,DAY($A458)&gt;=15),MONTH($A458)=11,AND(MONTH($A458)=12,DAY($A458)&lt;=7)),1,0)</f>
        <v>0</v>
      </c>
      <c r="F458" s="4" t="n">
        <f aca="false">IF(MONTH($A458)&lt;=3,1,0)</f>
        <v>0</v>
      </c>
      <c r="G458" s="4" t="str">
        <f aca="false" t="array" ref="G458:G458">_xlfn.TEXTJOIN(" | ",TRUE(),IF('FEMA Disasters'!$F$2:$F$1000=$A458,'FEMA Disasters'!$D$2:$D$1000&amp;" begin: ["&amp;'FEMA Disasters'!$B$2:$B$1000&amp;"] "&amp;'FEMA Disasters'!$C$2:$C$1000&amp;"-"&amp;'FEMA Disasters'!$A$2:$A$1000,""),IF('FEMA Disasters'!$G$2:$G$1000=$A458,'FEMA Disasters'!$D$2:$D$1000&amp;" ended: ["&amp;'FEMA Disasters'!$B$2:$B$1000&amp;"] "&amp;'FEMA Disasters'!$C$2:$C$1000&amp;"-"&amp;'FEMA Disasters'!$A$2:$A$1000,""),IF('FEMA Disasters'!$K$2:$K$1000=$A458,"Disaster SEP opens: "&amp;'FEMA Disasters'!$D$2:$D$1000&amp;" ["&amp;'FEMA Disasters'!$B$2:$B$1000&amp;"] "&amp;'FEMA Disasters'!$C$2:$C$1000&amp;"-"&amp;'FEMA Disasters'!$A$2:$A$1000,""),IF('FEMA Disasters'!$L$2:$L$1000=$A458,"Disaster SEP ended: "&amp;'FEMA Disasters'!$D$2:$D$1000&amp;" ["&amp;'FEMA Disasters'!$B$2:$B$1000&amp;"] "&amp;'FEMA Disasters'!$C$2:$C$1000&amp;"-"&amp;'FEMA Disasters'!$A$2:$A$1000,""))</f>
        <v/>
      </c>
      <c r="H458" s="4" t="n">
        <f aca="false">COUNTIF(Events!$A$2:$A$397,$A458)</f>
        <v>0</v>
      </c>
      <c r="I458" s="6" t="str">
        <f aca="false" t="array" ref="I458:I458">_xlfn.TEXTJOIN(" | ",TRUE(),IF(Events!$A$2:$A$397=$A458,Events!$E$2:$E$397&amp;IF(Events!$G$2:$G$397="National",""," ["&amp;Events!$G$2:$G$397&amp;"]"),""))</f>
        <v/>
      </c>
    </row>
    <row r="459" customFormat="false" ht="15" hidden="false" customHeight="true" outlineLevel="0" collapsed="false">
      <c r="A459" s="3" t="n">
        <v>45749</v>
      </c>
      <c r="B459" s="4" t="n">
        <f aca="false">YEAR($A459)</f>
        <v>2025</v>
      </c>
      <c r="C459" s="4" t="n">
        <f aca="false">MONTH($A459)</f>
        <v>4</v>
      </c>
      <c r="D459" s="4" t="str">
        <f aca="false">TEXT($A459,"ddd")</f>
        <v>Wed</v>
      </c>
      <c r="E459" s="4" t="n">
        <f aca="false">IF(OR(AND(MONTH($A459)=10,DAY($A459)&gt;=15),MONTH($A459)=11,AND(MONTH($A459)=12,DAY($A459)&lt;=7)),1,0)</f>
        <v>0</v>
      </c>
      <c r="F459" s="4" t="n">
        <f aca="false">IF(MONTH($A459)&lt;=3,1,0)</f>
        <v>0</v>
      </c>
      <c r="G459" s="4" t="str">
        <f aca="false" t="array" ref="G459:G459">_xlfn.TEXTJOIN(" | ",TRUE(),IF('FEMA Disasters'!$F$2:$F$1000=$A459,'FEMA Disasters'!$D$2:$D$1000&amp;" begin: ["&amp;'FEMA Disasters'!$B$2:$B$1000&amp;"] "&amp;'FEMA Disasters'!$C$2:$C$1000&amp;"-"&amp;'FEMA Disasters'!$A$2:$A$1000,""),IF('FEMA Disasters'!$G$2:$G$1000=$A459,'FEMA Disasters'!$D$2:$D$1000&amp;" ended: ["&amp;'FEMA Disasters'!$B$2:$B$1000&amp;"] "&amp;'FEMA Disasters'!$C$2:$C$1000&amp;"-"&amp;'FEMA Disasters'!$A$2:$A$1000,""),IF('FEMA Disasters'!$K$2:$K$1000=$A459,"Disaster SEP opens: "&amp;'FEMA Disasters'!$D$2:$D$1000&amp;" ["&amp;'FEMA Disasters'!$B$2:$B$1000&amp;"] "&amp;'FEMA Disasters'!$C$2:$C$1000&amp;"-"&amp;'FEMA Disasters'!$A$2:$A$1000,""),IF('FEMA Disasters'!$L$2:$L$1000=$A459,"Disaster SEP ended: "&amp;'FEMA Disasters'!$D$2:$D$1000&amp;" ["&amp;'FEMA Disasters'!$B$2:$B$1000&amp;"] "&amp;'FEMA Disasters'!$C$2:$C$1000&amp;"-"&amp;'FEMA Disasters'!$A$2:$A$1000,""))</f>
        <v>Severe Storm begin: [TN] EM-3625 | Severe Storm begin: [KY] EM-3626 | Severe Storm begin: [AR] EM-3627 | Severe Storm begin: [KY] DR-4864 | Flood begin: [AR] DR-4873 | Severe Storm begin: [TN] DR-4878</v>
      </c>
      <c r="H459" s="4" t="n">
        <f aca="false">COUNTIF(Events!$A$2:$A$397,$A459)</f>
        <v>0</v>
      </c>
      <c r="I459" s="6" t="str">
        <f aca="false" t="array" ref="I459:I459">_xlfn.TEXTJOIN(" | ",TRUE(),IF(Events!$A$2:$A$397=$A459,Events!$E$2:$E$397&amp;IF(Events!$G$2:$G$397="National",""," ["&amp;Events!$G$2:$G$397&amp;"]"),""))</f>
        <v/>
      </c>
    </row>
    <row r="460" customFormat="false" ht="15" hidden="false" customHeight="true" outlineLevel="0" collapsed="false">
      <c r="A460" s="3" t="n">
        <v>45750</v>
      </c>
      <c r="B460" s="4" t="n">
        <f aca="false">YEAR($A460)</f>
        <v>2025</v>
      </c>
      <c r="C460" s="4" t="n">
        <f aca="false">MONTH($A460)</f>
        <v>4</v>
      </c>
      <c r="D460" s="4" t="str">
        <f aca="false">TEXT($A460,"ddd")</f>
        <v>Thu</v>
      </c>
      <c r="E460" s="4" t="n">
        <f aca="false">IF(OR(AND(MONTH($A460)=10,DAY($A460)&gt;=15),MONTH($A460)=11,AND(MONTH($A460)=12,DAY($A460)&lt;=7)),1,0)</f>
        <v>0</v>
      </c>
      <c r="F460" s="4" t="n">
        <f aca="false">IF(MONTH($A460)&lt;=3,1,0)</f>
        <v>0</v>
      </c>
      <c r="G460" s="4" t="str">
        <f aca="false" t="array" ref="G460:G460">_xlfn.TEXTJOIN(" | ",TRUE(),IF('FEMA Disasters'!$F$2:$F$1000=$A460,'FEMA Disasters'!$D$2:$D$1000&amp;" begin: ["&amp;'FEMA Disasters'!$B$2:$B$1000&amp;"] "&amp;'FEMA Disasters'!$C$2:$C$1000&amp;"-"&amp;'FEMA Disasters'!$A$2:$A$1000,""),IF('FEMA Disasters'!$G$2:$G$1000=$A460,'FEMA Disasters'!$D$2:$D$1000&amp;" ended: ["&amp;'FEMA Disasters'!$B$2:$B$1000&amp;"] "&amp;'FEMA Disasters'!$C$2:$C$1000&amp;"-"&amp;'FEMA Disasters'!$A$2:$A$1000,""),IF('FEMA Disasters'!$K$2:$K$1000=$A460,"Disaster SEP opens: "&amp;'FEMA Disasters'!$D$2:$D$1000&amp;" ["&amp;'FEMA Disasters'!$B$2:$B$1000&amp;"] "&amp;'FEMA Disasters'!$C$2:$C$1000&amp;"-"&amp;'FEMA Disasters'!$A$2:$A$1000,""),IF('FEMA Disasters'!$L$2:$L$1000=$A460,"Disaster SEP ended: "&amp;'FEMA Disasters'!$D$2:$D$1000&amp;" ["&amp;'FEMA Disasters'!$B$2:$B$1000&amp;"] "&amp;'FEMA Disasters'!$C$2:$C$1000&amp;"-"&amp;'FEMA Disasters'!$A$2:$A$1000,""))</f>
        <v/>
      </c>
      <c r="H460" s="4" t="n">
        <f aca="false">COUNTIF(Events!$A$2:$A$397,$A460)</f>
        <v>0</v>
      </c>
      <c r="I460" s="6" t="str">
        <f aca="false" t="array" ref="I460:I460">_xlfn.TEXTJOIN(" | ",TRUE(),IF(Events!$A$2:$A$397=$A460,Events!$E$2:$E$397&amp;IF(Events!$G$2:$G$397="National",""," ["&amp;Events!$G$2:$G$397&amp;"]"),""))</f>
        <v/>
      </c>
    </row>
    <row r="461" customFormat="false" ht="15" hidden="false" customHeight="true" outlineLevel="0" collapsed="false">
      <c r="A461" s="3" t="n">
        <v>45751</v>
      </c>
      <c r="B461" s="4" t="n">
        <f aca="false">YEAR($A461)</f>
        <v>2025</v>
      </c>
      <c r="C461" s="4" t="n">
        <f aca="false">MONTH($A461)</f>
        <v>4</v>
      </c>
      <c r="D461" s="4" t="str">
        <f aca="false">TEXT($A461,"ddd")</f>
        <v>Fri</v>
      </c>
      <c r="E461" s="4" t="n">
        <f aca="false">IF(OR(AND(MONTH($A461)=10,DAY($A461)&gt;=15),MONTH($A461)=11,AND(MONTH($A461)=12,DAY($A461)&lt;=7)),1,0)</f>
        <v>0</v>
      </c>
      <c r="F461" s="4" t="n">
        <f aca="false">IF(MONTH($A461)&lt;=3,1,0)</f>
        <v>0</v>
      </c>
      <c r="G461" s="4" t="str">
        <f aca="false" t="array" ref="G461:G461">_xlfn.TEXTJOIN(" | ",TRUE(),IF('FEMA Disasters'!$F$2:$F$1000=$A461,'FEMA Disasters'!$D$2:$D$1000&amp;" begin: ["&amp;'FEMA Disasters'!$B$2:$B$1000&amp;"] "&amp;'FEMA Disasters'!$C$2:$C$1000&amp;"-"&amp;'FEMA Disasters'!$A$2:$A$1000,""),IF('FEMA Disasters'!$G$2:$G$1000=$A461,'FEMA Disasters'!$D$2:$D$1000&amp;" ended: ["&amp;'FEMA Disasters'!$B$2:$B$1000&amp;"] "&amp;'FEMA Disasters'!$C$2:$C$1000&amp;"-"&amp;'FEMA Disasters'!$A$2:$A$1000,""),IF('FEMA Disasters'!$K$2:$K$1000=$A461,"Disaster SEP opens: "&amp;'FEMA Disasters'!$D$2:$D$1000&amp;" ["&amp;'FEMA Disasters'!$B$2:$B$1000&amp;"] "&amp;'FEMA Disasters'!$C$2:$C$1000&amp;"-"&amp;'FEMA Disasters'!$A$2:$A$1000,""),IF('FEMA Disasters'!$L$2:$L$1000=$A461,"Disaster SEP ended: "&amp;'FEMA Disasters'!$D$2:$D$1000&amp;" ["&amp;'FEMA Disasters'!$B$2:$B$1000&amp;"] "&amp;'FEMA Disasters'!$C$2:$C$1000&amp;"-"&amp;'FEMA Disasters'!$A$2:$A$1000,""))</f>
        <v/>
      </c>
      <c r="H461" s="4" t="n">
        <f aca="false">COUNTIF(Events!$A$2:$A$397,$A461)</f>
        <v>1</v>
      </c>
      <c r="I461" s="6" t="str">
        <f aca="false" t="array" ref="I461:I461">_xlfn.TEXTJOIN(" | ",TRUE(),IF(Events!$A$2:$A$397=$A461,Events!$E$2:$E$397&amp;IF(Events!$G$2:$G$397="National",""," ["&amp;Events!$G$2:$G$397&amp;"]"),""))</f>
        <v>CY2026 Final Rule (CMS-4208-F): scaled back vs proposed (dropped anti-obesity meds, AI guardrails, health equity analysis); finalized inpatient prior-auth protections, appeals loophole fixes, SSBCI non-allowable list, Rx Payment Plan auto-renewal, D-SNP integrated ID cards/HRAs by 2027 || C-SNP (indirect): adds further D-SNP integration burdens (integrated ID cards/HRAs by 2027) with no parallel C-SNP requirements - widens the regulatory-cost gap favoring C-SNP offerings.</v>
      </c>
    </row>
    <row r="462" customFormat="false" ht="15" hidden="false" customHeight="true" outlineLevel="0" collapsed="false">
      <c r="A462" s="3" t="n">
        <v>45752</v>
      </c>
      <c r="B462" s="4" t="n">
        <f aca="false">YEAR($A462)</f>
        <v>2025</v>
      </c>
      <c r="C462" s="4" t="n">
        <f aca="false">MONTH($A462)</f>
        <v>4</v>
      </c>
      <c r="D462" s="4" t="str">
        <f aca="false">TEXT($A462,"ddd")</f>
        <v>Sat</v>
      </c>
      <c r="E462" s="4" t="n">
        <f aca="false">IF(OR(AND(MONTH($A462)=10,DAY($A462)&gt;=15),MONTH($A462)=11,AND(MONTH($A462)=12,DAY($A462)&lt;=7)),1,0)</f>
        <v>0</v>
      </c>
      <c r="F462" s="4" t="n">
        <f aca="false">IF(MONTH($A462)&lt;=3,1,0)</f>
        <v>0</v>
      </c>
      <c r="G462" s="4" t="str">
        <f aca="false" t="array" ref="G462:G462">_xlfn.TEXTJOIN(" | ",TRUE(),IF('FEMA Disasters'!$F$2:$F$1000=$A462,'FEMA Disasters'!$D$2:$D$1000&amp;" begin: ["&amp;'FEMA Disasters'!$B$2:$B$1000&amp;"] "&amp;'FEMA Disasters'!$C$2:$C$1000&amp;"-"&amp;'FEMA Disasters'!$A$2:$A$1000,""),IF('FEMA Disasters'!$G$2:$G$1000=$A462,'FEMA Disasters'!$D$2:$D$1000&amp;" ended: ["&amp;'FEMA Disasters'!$B$2:$B$1000&amp;"] "&amp;'FEMA Disasters'!$C$2:$C$1000&amp;"-"&amp;'FEMA Disasters'!$A$2:$A$1000,""),IF('FEMA Disasters'!$K$2:$K$1000=$A462,"Disaster SEP opens: "&amp;'FEMA Disasters'!$D$2:$D$1000&amp;" ["&amp;'FEMA Disasters'!$B$2:$B$1000&amp;"] "&amp;'FEMA Disasters'!$C$2:$C$1000&amp;"-"&amp;'FEMA Disasters'!$A$2:$A$1000,""),IF('FEMA Disasters'!$L$2:$L$1000=$A462,"Disaster SEP ended: "&amp;'FEMA Disasters'!$D$2:$D$1000&amp;" ["&amp;'FEMA Disasters'!$B$2:$B$1000&amp;"] "&amp;'FEMA Disasters'!$C$2:$C$1000&amp;"-"&amp;'FEMA Disasters'!$A$2:$A$1000,""))</f>
        <v/>
      </c>
      <c r="H462" s="4" t="n">
        <f aca="false">COUNTIF(Events!$A$2:$A$397,$A462)</f>
        <v>0</v>
      </c>
      <c r="I462" s="6" t="str">
        <f aca="false" t="array" ref="I462:I462">_xlfn.TEXTJOIN(" | ",TRUE(),IF(Events!$A$2:$A$397=$A462,Events!$E$2:$E$397&amp;IF(Events!$G$2:$G$397="National",""," ["&amp;Events!$G$2:$G$397&amp;"]"),""))</f>
        <v/>
      </c>
    </row>
    <row r="463" customFormat="false" ht="15" hidden="false" customHeight="true" outlineLevel="0" collapsed="false">
      <c r="A463" s="3" t="n">
        <v>45753</v>
      </c>
      <c r="B463" s="4" t="n">
        <f aca="false">YEAR($A463)</f>
        <v>2025</v>
      </c>
      <c r="C463" s="4" t="n">
        <f aca="false">MONTH($A463)</f>
        <v>4</v>
      </c>
      <c r="D463" s="4" t="str">
        <f aca="false">TEXT($A463,"ddd")</f>
        <v>Sun</v>
      </c>
      <c r="E463" s="4" t="n">
        <f aca="false">IF(OR(AND(MONTH($A463)=10,DAY($A463)&gt;=15),MONTH($A463)=11,AND(MONTH($A463)=12,DAY($A463)&lt;=7)),1,0)</f>
        <v>0</v>
      </c>
      <c r="F463" s="4" t="n">
        <f aca="false">IF(MONTH($A463)&lt;=3,1,0)</f>
        <v>0</v>
      </c>
      <c r="G463" s="4" t="str">
        <f aca="false" t="array" ref="G463:G463">_xlfn.TEXTJOIN(" | ",TRUE(),IF('FEMA Disasters'!$F$2:$F$1000=$A463,'FEMA Disasters'!$D$2:$D$1000&amp;" begin: ["&amp;'FEMA Disasters'!$B$2:$B$1000&amp;"] "&amp;'FEMA Disasters'!$C$2:$C$1000&amp;"-"&amp;'FEMA Disasters'!$A$2:$A$1000,""),IF('FEMA Disasters'!$G$2:$G$1000=$A463,'FEMA Disasters'!$D$2:$D$1000&amp;" ended: ["&amp;'FEMA Disasters'!$B$2:$B$1000&amp;"] "&amp;'FEMA Disasters'!$C$2:$C$1000&amp;"-"&amp;'FEMA Disasters'!$A$2:$A$1000,""),IF('FEMA Disasters'!$K$2:$K$1000=$A463,"Disaster SEP opens: "&amp;'FEMA Disasters'!$D$2:$D$1000&amp;" ["&amp;'FEMA Disasters'!$B$2:$B$1000&amp;"] "&amp;'FEMA Disasters'!$C$2:$C$1000&amp;"-"&amp;'FEMA Disasters'!$A$2:$A$1000,""),IF('FEMA Disasters'!$L$2:$L$1000=$A463,"Disaster SEP ended: "&amp;'FEMA Disasters'!$D$2:$D$1000&amp;" ["&amp;'FEMA Disasters'!$B$2:$B$1000&amp;"] "&amp;'FEMA Disasters'!$C$2:$C$1000&amp;"-"&amp;'FEMA Disasters'!$A$2:$A$1000,""))</f>
        <v/>
      </c>
      <c r="H463" s="4" t="n">
        <f aca="false">COUNTIF(Events!$A$2:$A$397,$A463)</f>
        <v>0</v>
      </c>
      <c r="I463" s="6" t="str">
        <f aca="false" t="array" ref="I463:I463">_xlfn.TEXTJOIN(" | ",TRUE(),IF(Events!$A$2:$A$397=$A463,Events!$E$2:$E$397&amp;IF(Events!$G$2:$G$397="National",""," ["&amp;Events!$G$2:$G$397&amp;"]"),""))</f>
        <v/>
      </c>
    </row>
    <row r="464" customFormat="false" ht="15" hidden="false" customHeight="true" outlineLevel="0" collapsed="false">
      <c r="A464" s="3" t="n">
        <v>45754</v>
      </c>
      <c r="B464" s="4" t="n">
        <f aca="false">YEAR($A464)</f>
        <v>2025</v>
      </c>
      <c r="C464" s="4" t="n">
        <f aca="false">MONTH($A464)</f>
        <v>4</v>
      </c>
      <c r="D464" s="4" t="str">
        <f aca="false">TEXT($A464,"ddd")</f>
        <v>Mon</v>
      </c>
      <c r="E464" s="4" t="n">
        <f aca="false">IF(OR(AND(MONTH($A464)=10,DAY($A464)&gt;=15),MONTH($A464)=11,AND(MONTH($A464)=12,DAY($A464)&lt;=7)),1,0)</f>
        <v>0</v>
      </c>
      <c r="F464" s="4" t="n">
        <f aca="false">IF(MONTH($A464)&lt;=3,1,0)</f>
        <v>0</v>
      </c>
      <c r="G464" s="4" t="str">
        <f aca="false" t="array" ref="G464:G464">_xlfn.TEXTJOIN(" | ",TRUE(),IF('FEMA Disasters'!$F$2:$F$1000=$A464,'FEMA Disasters'!$D$2:$D$1000&amp;" begin: ["&amp;'FEMA Disasters'!$B$2:$B$1000&amp;"] "&amp;'FEMA Disasters'!$C$2:$C$1000&amp;"-"&amp;'FEMA Disasters'!$A$2:$A$1000,""),IF('FEMA Disasters'!$G$2:$G$1000=$A464,'FEMA Disasters'!$D$2:$D$1000&amp;" ended: ["&amp;'FEMA Disasters'!$B$2:$B$1000&amp;"] "&amp;'FEMA Disasters'!$C$2:$C$1000&amp;"-"&amp;'FEMA Disasters'!$A$2:$A$1000,""),IF('FEMA Disasters'!$K$2:$K$1000=$A464,"Disaster SEP opens: "&amp;'FEMA Disasters'!$D$2:$D$1000&amp;" ["&amp;'FEMA Disasters'!$B$2:$B$1000&amp;"] "&amp;'FEMA Disasters'!$C$2:$C$1000&amp;"-"&amp;'FEMA Disasters'!$A$2:$A$1000,""),IF('FEMA Disasters'!$L$2:$L$1000=$A464,"Disaster SEP ended: "&amp;'FEMA Disasters'!$D$2:$D$1000&amp;" ["&amp;'FEMA Disasters'!$B$2:$B$1000&amp;"] "&amp;'FEMA Disasters'!$C$2:$C$1000&amp;"-"&amp;'FEMA Disasters'!$A$2:$A$1000,""))</f>
        <v/>
      </c>
      <c r="H464" s="4" t="n">
        <f aca="false">COUNTIF(Events!$A$2:$A$397,$A464)</f>
        <v>1</v>
      </c>
      <c r="I464" s="6" t="str">
        <f aca="false" t="array" ref="I464:I464">_xlfn.TEXTJOIN(" | ",TRUE(),IF(Events!$A$2:$A$397=$A464,Events!$E$2:$E$397&amp;IF(Events!$G$2:$G$397="National",""," ["&amp;Events!$G$2:$G$397&amp;"]"),""))</f>
        <v>CY2026 Rate Announcement: +5.06% avg payment (~$25B, up from proposed 4.33%); V28 risk model phase-in complete (100%); Final CY2026 Part D Redesign Instructions || C-SNP (payment side): V28 consolidated/recalibrated diabetes and vascular HCCs - the conditions defining ~97% of C-SNPs - directly affecting C-SNP risk-score economics at full phase-in.</v>
      </c>
    </row>
    <row r="465" customFormat="false" ht="15" hidden="false" customHeight="true" outlineLevel="0" collapsed="false">
      <c r="A465" s="3" t="n">
        <v>45755</v>
      </c>
      <c r="B465" s="4" t="n">
        <f aca="false">YEAR($A465)</f>
        <v>2025</v>
      </c>
      <c r="C465" s="4" t="n">
        <f aca="false">MONTH($A465)</f>
        <v>4</v>
      </c>
      <c r="D465" s="4" t="str">
        <f aca="false">TEXT($A465,"ddd")</f>
        <v>Tue</v>
      </c>
      <c r="E465" s="4" t="n">
        <f aca="false">IF(OR(AND(MONTH($A465)=10,DAY($A465)&gt;=15),MONTH($A465)=11,AND(MONTH($A465)=12,DAY($A465)&lt;=7)),1,0)</f>
        <v>0</v>
      </c>
      <c r="F465" s="4" t="n">
        <f aca="false">IF(MONTH($A465)&lt;=3,1,0)</f>
        <v>0</v>
      </c>
      <c r="G465" s="4" t="str">
        <f aca="false" t="array" ref="G465:G465">_xlfn.TEXTJOIN(" | ",TRUE(),IF('FEMA Disasters'!$F$2:$F$1000=$A465,'FEMA Disasters'!$D$2:$D$1000&amp;" begin: ["&amp;'FEMA Disasters'!$B$2:$B$1000&amp;"] "&amp;'FEMA Disasters'!$C$2:$C$1000&amp;"-"&amp;'FEMA Disasters'!$A$2:$A$1000,""),IF('FEMA Disasters'!$G$2:$G$1000=$A465,'FEMA Disasters'!$D$2:$D$1000&amp;" ended: ["&amp;'FEMA Disasters'!$B$2:$B$1000&amp;"] "&amp;'FEMA Disasters'!$C$2:$C$1000&amp;"-"&amp;'FEMA Disasters'!$A$2:$A$1000,""),IF('FEMA Disasters'!$K$2:$K$1000=$A465,"Disaster SEP opens: "&amp;'FEMA Disasters'!$D$2:$D$1000&amp;" ["&amp;'FEMA Disasters'!$B$2:$B$1000&amp;"] "&amp;'FEMA Disasters'!$C$2:$C$1000&amp;"-"&amp;'FEMA Disasters'!$A$2:$A$1000,""),IF('FEMA Disasters'!$L$2:$L$1000=$A465,"Disaster SEP ended: "&amp;'FEMA Disasters'!$D$2:$D$1000&amp;" ["&amp;'FEMA Disasters'!$B$2:$B$1000&amp;"] "&amp;'FEMA Disasters'!$C$2:$C$1000&amp;"-"&amp;'FEMA Disasters'!$A$2:$A$1000,""))</f>
        <v>Severe Storm ended: [MO] DR-4872</v>
      </c>
      <c r="H465" s="4" t="n">
        <f aca="false">COUNTIF(Events!$A$2:$A$397,$A465)</f>
        <v>0</v>
      </c>
      <c r="I465" s="6" t="str">
        <f aca="false" t="array" ref="I465:I465">_xlfn.TEXTJOIN(" | ",TRUE(),IF(Events!$A$2:$A$397=$A465,Events!$E$2:$E$397&amp;IF(Events!$G$2:$G$397="National",""," ["&amp;Events!$G$2:$G$397&amp;"]"),""))</f>
        <v/>
      </c>
    </row>
    <row r="466" customFormat="false" ht="15" hidden="false" customHeight="true" outlineLevel="0" collapsed="false">
      <c r="A466" s="3" t="n">
        <v>45756</v>
      </c>
      <c r="B466" s="4" t="n">
        <f aca="false">YEAR($A466)</f>
        <v>2025</v>
      </c>
      <c r="C466" s="4" t="n">
        <f aca="false">MONTH($A466)</f>
        <v>4</v>
      </c>
      <c r="D466" s="4" t="str">
        <f aca="false">TEXT($A466,"ddd")</f>
        <v>Wed</v>
      </c>
      <c r="E466" s="4" t="n">
        <f aca="false">IF(OR(AND(MONTH($A466)=10,DAY($A466)&gt;=15),MONTH($A466)=11,AND(MONTH($A466)=12,DAY($A466)&lt;=7)),1,0)</f>
        <v>0</v>
      </c>
      <c r="F466" s="4" t="n">
        <f aca="false">IF(MONTH($A466)&lt;=3,1,0)</f>
        <v>0</v>
      </c>
      <c r="G466" s="4" t="str">
        <f aca="false" t="array" ref="G466:G466">_xlfn.TEXTJOIN(" | ",TRUE(),IF('FEMA Disasters'!$F$2:$F$1000=$A466,'FEMA Disasters'!$D$2:$D$1000&amp;" begin: ["&amp;'FEMA Disasters'!$B$2:$B$1000&amp;"] "&amp;'FEMA Disasters'!$C$2:$C$1000&amp;"-"&amp;'FEMA Disasters'!$A$2:$A$1000,""),IF('FEMA Disasters'!$G$2:$G$1000=$A466,'FEMA Disasters'!$D$2:$D$1000&amp;" ended: ["&amp;'FEMA Disasters'!$B$2:$B$1000&amp;"] "&amp;'FEMA Disasters'!$C$2:$C$1000&amp;"-"&amp;'FEMA Disasters'!$A$2:$A$1000,""),IF('FEMA Disasters'!$K$2:$K$1000=$A466,"Disaster SEP opens: "&amp;'FEMA Disasters'!$D$2:$D$1000&amp;" ["&amp;'FEMA Disasters'!$B$2:$B$1000&amp;"] "&amp;'FEMA Disasters'!$C$2:$C$1000&amp;"-"&amp;'FEMA Disasters'!$A$2:$A$1000,""),IF('FEMA Disasters'!$L$2:$L$1000=$A466,"Disaster SEP ended: "&amp;'FEMA Disasters'!$D$2:$D$1000&amp;" ["&amp;'FEMA Disasters'!$B$2:$B$1000&amp;"] "&amp;'FEMA Disasters'!$C$2:$C$1000&amp;"-"&amp;'FEMA Disasters'!$A$2:$A$1000,""))</f>
        <v>Flood ended: [IN] DR-4882</v>
      </c>
      <c r="H466" s="4" t="n">
        <f aca="false">COUNTIF(Events!$A$2:$A$397,$A466)</f>
        <v>0</v>
      </c>
      <c r="I466" s="6" t="str">
        <f aca="false" t="array" ref="I466:I466">_xlfn.TEXTJOIN(" | ",TRUE(),IF(Events!$A$2:$A$397=$A466,Events!$E$2:$E$397&amp;IF(Events!$G$2:$G$397="National",""," ["&amp;Events!$G$2:$G$397&amp;"]"),""))</f>
        <v/>
      </c>
    </row>
    <row r="467" customFormat="false" ht="15" hidden="false" customHeight="true" outlineLevel="0" collapsed="false">
      <c r="A467" s="3" t="n">
        <v>45757</v>
      </c>
      <c r="B467" s="4" t="n">
        <f aca="false">YEAR($A467)</f>
        <v>2025</v>
      </c>
      <c r="C467" s="4" t="n">
        <f aca="false">MONTH($A467)</f>
        <v>4</v>
      </c>
      <c r="D467" s="4" t="str">
        <f aca="false">TEXT($A467,"ddd")</f>
        <v>Thu</v>
      </c>
      <c r="E467" s="4" t="n">
        <f aca="false">IF(OR(AND(MONTH($A467)=10,DAY($A467)&gt;=15),MONTH($A467)=11,AND(MONTH($A467)=12,DAY($A467)&lt;=7)),1,0)</f>
        <v>0</v>
      </c>
      <c r="F467" s="4" t="n">
        <f aca="false">IF(MONTH($A467)&lt;=3,1,0)</f>
        <v>0</v>
      </c>
      <c r="G467" s="4" t="str">
        <f aca="false" t="array" ref="G467:G467">_xlfn.TEXTJOIN(" | ",TRUE(),IF('FEMA Disasters'!$F$2:$F$1000=$A467,'FEMA Disasters'!$D$2:$D$1000&amp;" begin: ["&amp;'FEMA Disasters'!$B$2:$B$1000&amp;"] "&amp;'FEMA Disasters'!$C$2:$C$1000&amp;"-"&amp;'FEMA Disasters'!$A$2:$A$1000,""),IF('FEMA Disasters'!$G$2:$G$1000=$A467,'FEMA Disasters'!$D$2:$D$1000&amp;" ended: ["&amp;'FEMA Disasters'!$B$2:$B$1000&amp;"] "&amp;'FEMA Disasters'!$C$2:$C$1000&amp;"-"&amp;'FEMA Disasters'!$A$2:$A$1000,""),IF('FEMA Disasters'!$K$2:$K$1000=$A467,"Disaster SEP opens: "&amp;'FEMA Disasters'!$D$2:$D$1000&amp;" ["&amp;'FEMA Disasters'!$B$2:$B$1000&amp;"] "&amp;'FEMA Disasters'!$C$2:$C$1000&amp;"-"&amp;'FEMA Disasters'!$A$2:$A$1000,""),IF('FEMA Disasters'!$L$2:$L$1000=$A467,"Disaster SEP ended: "&amp;'FEMA Disasters'!$D$2:$D$1000&amp;" ["&amp;'FEMA Disasters'!$B$2:$B$1000&amp;"] "&amp;'FEMA Disasters'!$C$2:$C$1000&amp;"-"&amp;'FEMA Disasters'!$A$2:$A$1000,""))</f>
        <v/>
      </c>
      <c r="H467" s="4" t="n">
        <f aca="false">COUNTIF(Events!$A$2:$A$397,$A467)</f>
        <v>0</v>
      </c>
      <c r="I467" s="6" t="str">
        <f aca="false" t="array" ref="I467:I467">_xlfn.TEXTJOIN(" | ",TRUE(),IF(Events!$A$2:$A$397=$A467,Events!$E$2:$E$397&amp;IF(Events!$G$2:$G$397="National",""," ["&amp;Events!$G$2:$G$397&amp;"]"),""))</f>
        <v/>
      </c>
    </row>
    <row r="468" customFormat="false" ht="15" hidden="false" customHeight="true" outlineLevel="0" collapsed="false">
      <c r="A468" s="3" t="n">
        <v>45758</v>
      </c>
      <c r="B468" s="4" t="n">
        <f aca="false">YEAR($A468)</f>
        <v>2025</v>
      </c>
      <c r="C468" s="4" t="n">
        <f aca="false">MONTH($A468)</f>
        <v>4</v>
      </c>
      <c r="D468" s="4" t="str">
        <f aca="false">TEXT($A468,"ddd")</f>
        <v>Fri</v>
      </c>
      <c r="E468" s="4" t="n">
        <f aca="false">IF(OR(AND(MONTH($A468)=10,DAY($A468)&gt;=15),MONTH($A468)=11,AND(MONTH($A468)=12,DAY($A468)&lt;=7)),1,0)</f>
        <v>0</v>
      </c>
      <c r="F468" s="4" t="n">
        <f aca="false">IF(MONTH($A468)&lt;=3,1,0)</f>
        <v>0</v>
      </c>
      <c r="G468" s="4" t="str">
        <f aca="false" t="array" ref="G468:G468">_xlfn.TEXTJOIN(" | ",TRUE(),IF('FEMA Disasters'!$F$2:$F$1000=$A468,'FEMA Disasters'!$D$2:$D$1000&amp;" begin: ["&amp;'FEMA Disasters'!$B$2:$B$1000&amp;"] "&amp;'FEMA Disasters'!$C$2:$C$1000&amp;"-"&amp;'FEMA Disasters'!$A$2:$A$1000,""),IF('FEMA Disasters'!$G$2:$G$1000=$A468,'FEMA Disasters'!$D$2:$D$1000&amp;" ended: ["&amp;'FEMA Disasters'!$B$2:$B$1000&amp;"] "&amp;'FEMA Disasters'!$C$2:$C$1000&amp;"-"&amp;'FEMA Disasters'!$A$2:$A$1000,""),IF('FEMA Disasters'!$K$2:$K$1000=$A468,"Disaster SEP opens: "&amp;'FEMA Disasters'!$D$2:$D$1000&amp;" ["&amp;'FEMA Disasters'!$B$2:$B$1000&amp;"] "&amp;'FEMA Disasters'!$C$2:$C$1000&amp;"-"&amp;'FEMA Disasters'!$A$2:$A$1000,""),IF('FEMA Disasters'!$L$2:$L$1000=$A468,"Disaster SEP ended: "&amp;'FEMA Disasters'!$D$2:$D$1000&amp;" ["&amp;'FEMA Disasters'!$B$2:$B$1000&amp;"] "&amp;'FEMA Disasters'!$C$2:$C$1000&amp;"-"&amp;'FEMA Disasters'!$A$2:$A$1000,""))</f>
        <v/>
      </c>
      <c r="H468" s="4" t="n">
        <f aca="false">COUNTIF(Events!$A$2:$A$397,$A468)</f>
        <v>0</v>
      </c>
      <c r="I468" s="6" t="str">
        <f aca="false" t="array" ref="I468:I468">_xlfn.TEXTJOIN(" | ",TRUE(),IF(Events!$A$2:$A$397=$A468,Events!$E$2:$E$397&amp;IF(Events!$G$2:$G$397="National",""," ["&amp;Events!$G$2:$G$397&amp;"]"),""))</f>
        <v/>
      </c>
    </row>
    <row r="469" customFormat="false" ht="15" hidden="false" customHeight="true" outlineLevel="0" collapsed="false">
      <c r="A469" s="3" t="n">
        <v>45759</v>
      </c>
      <c r="B469" s="4" t="n">
        <f aca="false">YEAR($A469)</f>
        <v>2025</v>
      </c>
      <c r="C469" s="4" t="n">
        <f aca="false">MONTH($A469)</f>
        <v>4</v>
      </c>
      <c r="D469" s="4" t="str">
        <f aca="false">TEXT($A469,"ddd")</f>
        <v>Sat</v>
      </c>
      <c r="E469" s="4" t="n">
        <f aca="false">IF(OR(AND(MONTH($A469)=10,DAY($A469)&gt;=15),MONTH($A469)=11,AND(MONTH($A469)=12,DAY($A469)&lt;=7)),1,0)</f>
        <v>0</v>
      </c>
      <c r="F469" s="4" t="n">
        <f aca="false">IF(MONTH($A469)&lt;=3,1,0)</f>
        <v>0</v>
      </c>
      <c r="G469" s="4" t="str">
        <f aca="false" t="array" ref="G469:G469">_xlfn.TEXTJOIN(" | ",TRUE(),IF('FEMA Disasters'!$F$2:$F$1000=$A469,'FEMA Disasters'!$D$2:$D$1000&amp;" begin: ["&amp;'FEMA Disasters'!$B$2:$B$1000&amp;"] "&amp;'FEMA Disasters'!$C$2:$C$1000&amp;"-"&amp;'FEMA Disasters'!$A$2:$A$1000,""),IF('FEMA Disasters'!$G$2:$G$1000=$A469,'FEMA Disasters'!$D$2:$D$1000&amp;" ended: ["&amp;'FEMA Disasters'!$B$2:$B$1000&amp;"] "&amp;'FEMA Disasters'!$C$2:$C$1000&amp;"-"&amp;'FEMA Disasters'!$A$2:$A$1000,""),IF('FEMA Disasters'!$K$2:$K$1000=$A469,"Disaster SEP opens: "&amp;'FEMA Disasters'!$D$2:$D$1000&amp;" ["&amp;'FEMA Disasters'!$B$2:$B$1000&amp;"] "&amp;'FEMA Disasters'!$C$2:$C$1000&amp;"-"&amp;'FEMA Disasters'!$A$2:$A$1000,""),IF('FEMA Disasters'!$L$2:$L$1000=$A469,"Disaster SEP ended: "&amp;'FEMA Disasters'!$D$2:$D$1000&amp;" ["&amp;'FEMA Disasters'!$B$2:$B$1000&amp;"] "&amp;'FEMA Disasters'!$C$2:$C$1000&amp;"-"&amp;'FEMA Disasters'!$A$2:$A$1000,""))</f>
        <v/>
      </c>
      <c r="H469" s="4" t="n">
        <f aca="false">COUNTIF(Events!$A$2:$A$397,$A469)</f>
        <v>0</v>
      </c>
      <c r="I469" s="6" t="str">
        <f aca="false" t="array" ref="I469:I469">_xlfn.TEXTJOIN(" | ",TRUE(),IF(Events!$A$2:$A$397=$A469,Events!$E$2:$E$397&amp;IF(Events!$G$2:$G$397="National",""," ["&amp;Events!$G$2:$G$397&amp;"]"),""))</f>
        <v/>
      </c>
    </row>
    <row r="470" customFormat="false" ht="15" hidden="false" customHeight="true" outlineLevel="0" collapsed="false">
      <c r="A470" s="3" t="n">
        <v>45760</v>
      </c>
      <c r="B470" s="4" t="n">
        <f aca="false">YEAR($A470)</f>
        <v>2025</v>
      </c>
      <c r="C470" s="4" t="n">
        <f aca="false">MONTH($A470)</f>
        <v>4</v>
      </c>
      <c r="D470" s="4" t="str">
        <f aca="false">TEXT($A470,"ddd")</f>
        <v>Sun</v>
      </c>
      <c r="E470" s="4" t="n">
        <f aca="false">IF(OR(AND(MONTH($A470)=10,DAY($A470)&gt;=15),MONTH($A470)=11,AND(MONTH($A470)=12,DAY($A470)&lt;=7)),1,0)</f>
        <v>0</v>
      </c>
      <c r="F470" s="4" t="n">
        <f aca="false">IF(MONTH($A470)&lt;=3,1,0)</f>
        <v>0</v>
      </c>
      <c r="G470" s="4" t="str">
        <f aca="false" t="array" ref="G470:G470">_xlfn.TEXTJOIN(" | ",TRUE(),IF('FEMA Disasters'!$F$2:$F$1000=$A470,'FEMA Disasters'!$D$2:$D$1000&amp;" begin: ["&amp;'FEMA Disasters'!$B$2:$B$1000&amp;"] "&amp;'FEMA Disasters'!$C$2:$C$1000&amp;"-"&amp;'FEMA Disasters'!$A$2:$A$1000,""),IF('FEMA Disasters'!$G$2:$G$1000=$A470,'FEMA Disasters'!$D$2:$D$1000&amp;" ended: ["&amp;'FEMA Disasters'!$B$2:$B$1000&amp;"] "&amp;'FEMA Disasters'!$C$2:$C$1000&amp;"-"&amp;'FEMA Disasters'!$A$2:$A$1000,""),IF('FEMA Disasters'!$K$2:$K$1000=$A470,"Disaster SEP opens: "&amp;'FEMA Disasters'!$D$2:$D$1000&amp;" ["&amp;'FEMA Disasters'!$B$2:$B$1000&amp;"] "&amp;'FEMA Disasters'!$C$2:$C$1000&amp;"-"&amp;'FEMA Disasters'!$A$2:$A$1000,""),IF('FEMA Disasters'!$L$2:$L$1000=$A470,"Disaster SEP ended: "&amp;'FEMA Disasters'!$D$2:$D$1000&amp;" ["&amp;'FEMA Disasters'!$B$2:$B$1000&amp;"] "&amp;'FEMA Disasters'!$C$2:$C$1000&amp;"-"&amp;'FEMA Disasters'!$A$2:$A$1000,""))</f>
        <v/>
      </c>
      <c r="H470" s="4" t="n">
        <f aca="false">COUNTIF(Events!$A$2:$A$397,$A470)</f>
        <v>0</v>
      </c>
      <c r="I470" s="6" t="str">
        <f aca="false" t="array" ref="I470:I470">_xlfn.TEXTJOIN(" | ",TRUE(),IF(Events!$A$2:$A$397=$A470,Events!$E$2:$E$397&amp;IF(Events!$G$2:$G$397="National",""," ["&amp;Events!$G$2:$G$397&amp;"]"),""))</f>
        <v/>
      </c>
    </row>
    <row r="471" customFormat="false" ht="15" hidden="false" customHeight="true" outlineLevel="0" collapsed="false">
      <c r="A471" s="3" t="n">
        <v>45761</v>
      </c>
      <c r="B471" s="4" t="n">
        <f aca="false">YEAR($A471)</f>
        <v>2025</v>
      </c>
      <c r="C471" s="4" t="n">
        <f aca="false">MONTH($A471)</f>
        <v>4</v>
      </c>
      <c r="D471" s="4" t="str">
        <f aca="false">TEXT($A471,"ddd")</f>
        <v>Mon</v>
      </c>
      <c r="E471" s="4" t="n">
        <f aca="false">IF(OR(AND(MONTH($A471)=10,DAY($A471)&gt;=15),MONTH($A471)=11,AND(MONTH($A471)=12,DAY($A471)&lt;=7)),1,0)</f>
        <v>0</v>
      </c>
      <c r="F471" s="4" t="n">
        <f aca="false">IF(MONTH($A471)&lt;=3,1,0)</f>
        <v>0</v>
      </c>
      <c r="G471" s="4" t="str">
        <f aca="false" t="array" ref="G471:G471">_xlfn.TEXTJOIN(" | ",TRUE(),IF('FEMA Disasters'!$F$2:$F$1000=$A471,'FEMA Disasters'!$D$2:$D$1000&amp;" begin: ["&amp;'FEMA Disasters'!$B$2:$B$1000&amp;"] "&amp;'FEMA Disasters'!$C$2:$C$1000&amp;"-"&amp;'FEMA Disasters'!$A$2:$A$1000,""),IF('FEMA Disasters'!$G$2:$G$1000=$A471,'FEMA Disasters'!$D$2:$D$1000&amp;" ended: ["&amp;'FEMA Disasters'!$B$2:$B$1000&amp;"] "&amp;'FEMA Disasters'!$C$2:$C$1000&amp;"-"&amp;'FEMA Disasters'!$A$2:$A$1000,""),IF('FEMA Disasters'!$K$2:$K$1000=$A471,"Disaster SEP opens: "&amp;'FEMA Disasters'!$D$2:$D$1000&amp;" ["&amp;'FEMA Disasters'!$B$2:$B$1000&amp;"] "&amp;'FEMA Disasters'!$C$2:$C$1000&amp;"-"&amp;'FEMA Disasters'!$A$2:$A$1000,""),IF('FEMA Disasters'!$L$2:$L$1000=$A471,"Disaster SEP ended: "&amp;'FEMA Disasters'!$D$2:$D$1000&amp;" ["&amp;'FEMA Disasters'!$B$2:$B$1000&amp;"] "&amp;'FEMA Disasters'!$C$2:$C$1000&amp;"-"&amp;'FEMA Disasters'!$A$2:$A$1000,""))</f>
        <v/>
      </c>
      <c r="H471" s="4" t="n">
        <f aca="false">COUNTIF(Events!$A$2:$A$397,$A471)</f>
        <v>0</v>
      </c>
      <c r="I471" s="6" t="str">
        <f aca="false" t="array" ref="I471:I471">_xlfn.TEXTJOIN(" | ",TRUE(),IF(Events!$A$2:$A$397=$A471,Events!$E$2:$E$397&amp;IF(Events!$G$2:$G$397="National",""," ["&amp;Events!$G$2:$G$397&amp;"]"),""))</f>
        <v/>
      </c>
    </row>
    <row r="472" customFormat="false" ht="15" hidden="false" customHeight="true" outlineLevel="0" collapsed="false">
      <c r="A472" s="3" t="n">
        <v>45762</v>
      </c>
      <c r="B472" s="4" t="n">
        <f aca="false">YEAR($A472)</f>
        <v>2025</v>
      </c>
      <c r="C472" s="4" t="n">
        <f aca="false">MONTH($A472)</f>
        <v>4</v>
      </c>
      <c r="D472" s="4" t="str">
        <f aca="false">TEXT($A472,"ddd")</f>
        <v>Tue</v>
      </c>
      <c r="E472" s="4" t="n">
        <f aca="false">IF(OR(AND(MONTH($A472)=10,DAY($A472)&gt;=15),MONTH($A472)=11,AND(MONTH($A472)=12,DAY($A472)&lt;=7)),1,0)</f>
        <v>0</v>
      </c>
      <c r="F472" s="4" t="n">
        <f aca="false">IF(MONTH($A472)&lt;=3,1,0)</f>
        <v>0</v>
      </c>
      <c r="G472" s="4" t="str">
        <f aca="false" t="array" ref="G472:G472">_xlfn.TEXTJOIN(" | ",TRUE(),IF('FEMA Disasters'!$F$2:$F$1000=$A472,'FEMA Disasters'!$D$2:$D$1000&amp;" begin: ["&amp;'FEMA Disasters'!$B$2:$B$1000&amp;"] "&amp;'FEMA Disasters'!$C$2:$C$1000&amp;"-"&amp;'FEMA Disasters'!$A$2:$A$1000,""),IF('FEMA Disasters'!$G$2:$G$1000=$A472,'FEMA Disasters'!$D$2:$D$1000&amp;" ended: ["&amp;'FEMA Disasters'!$B$2:$B$1000&amp;"] "&amp;'FEMA Disasters'!$C$2:$C$1000&amp;"-"&amp;'FEMA Disasters'!$A$2:$A$1000,""),IF('FEMA Disasters'!$K$2:$K$1000=$A472,"Disaster SEP opens: "&amp;'FEMA Disasters'!$D$2:$D$1000&amp;" ["&amp;'FEMA Disasters'!$B$2:$B$1000&amp;"] "&amp;'FEMA Disasters'!$C$2:$C$1000&amp;"-"&amp;'FEMA Disasters'!$A$2:$A$1000,""),IF('FEMA Disasters'!$L$2:$L$1000=$A472,"Disaster SEP ended: "&amp;'FEMA Disasters'!$D$2:$D$1000&amp;" ["&amp;'FEMA Disasters'!$B$2:$B$1000&amp;"] "&amp;'FEMA Disasters'!$C$2:$C$1000&amp;"-"&amp;'FEMA Disasters'!$A$2:$A$1000,""))</f>
        <v/>
      </c>
      <c r="H472" s="4" t="n">
        <f aca="false">COUNTIF(Events!$A$2:$A$397,$A472)</f>
        <v>0</v>
      </c>
      <c r="I472" s="6" t="str">
        <f aca="false" t="array" ref="I472:I472">_xlfn.TEXTJOIN(" | ",TRUE(),IF(Events!$A$2:$A$397=$A472,Events!$E$2:$E$397&amp;IF(Events!$G$2:$G$397="National",""," ["&amp;Events!$G$2:$G$397&amp;"]"),""))</f>
        <v/>
      </c>
    </row>
    <row r="473" customFormat="false" ht="15" hidden="false" customHeight="true" outlineLevel="0" collapsed="false">
      <c r="A473" s="3" t="n">
        <v>45763</v>
      </c>
      <c r="B473" s="4" t="n">
        <f aca="false">YEAR($A473)</f>
        <v>2025</v>
      </c>
      <c r="C473" s="4" t="n">
        <f aca="false">MONTH($A473)</f>
        <v>4</v>
      </c>
      <c r="D473" s="4" t="str">
        <f aca="false">TEXT($A473,"ddd")</f>
        <v>Wed</v>
      </c>
      <c r="E473" s="4" t="n">
        <f aca="false">IF(OR(AND(MONTH($A473)=10,DAY($A473)&gt;=15),MONTH($A473)=11,AND(MONTH($A473)=12,DAY($A473)&lt;=7)),1,0)</f>
        <v>0</v>
      </c>
      <c r="F473" s="4" t="n">
        <f aca="false">IF(MONTH($A473)&lt;=3,1,0)</f>
        <v>0</v>
      </c>
      <c r="G473" s="4" t="str">
        <f aca="false" t="array" ref="G473:G473">_xlfn.TEXTJOIN(" | ",TRUE(),IF('FEMA Disasters'!$F$2:$F$1000=$A473,'FEMA Disasters'!$D$2:$D$1000&amp;" begin: ["&amp;'FEMA Disasters'!$B$2:$B$1000&amp;"] "&amp;'FEMA Disasters'!$C$2:$C$1000&amp;"-"&amp;'FEMA Disasters'!$A$2:$A$1000,""),IF('FEMA Disasters'!$G$2:$G$1000=$A473,'FEMA Disasters'!$D$2:$D$1000&amp;" ended: ["&amp;'FEMA Disasters'!$B$2:$B$1000&amp;"] "&amp;'FEMA Disasters'!$C$2:$C$1000&amp;"-"&amp;'FEMA Disasters'!$A$2:$A$1000,""),IF('FEMA Disasters'!$K$2:$K$1000=$A473,"Disaster SEP opens: "&amp;'FEMA Disasters'!$D$2:$D$1000&amp;" ["&amp;'FEMA Disasters'!$B$2:$B$1000&amp;"] "&amp;'FEMA Disasters'!$C$2:$C$1000&amp;"-"&amp;'FEMA Disasters'!$A$2:$A$1000,""),IF('FEMA Disasters'!$L$2:$L$1000=$A473,"Disaster SEP ended: "&amp;'FEMA Disasters'!$D$2:$D$1000&amp;" ["&amp;'FEMA Disasters'!$B$2:$B$1000&amp;"] "&amp;'FEMA Disasters'!$C$2:$C$1000&amp;"-"&amp;'FEMA Disasters'!$A$2:$A$1000,""))</f>
        <v/>
      </c>
      <c r="H473" s="4" t="n">
        <f aca="false">COUNTIF(Events!$A$2:$A$397,$A473)</f>
        <v>0</v>
      </c>
      <c r="I473" s="6" t="str">
        <f aca="false" t="array" ref="I473:I473">_xlfn.TEXTJOIN(" | ",TRUE(),IF(Events!$A$2:$A$397=$A473,Events!$E$2:$E$397&amp;IF(Events!$G$2:$G$397="National",""," ["&amp;Events!$G$2:$G$397&amp;"]"),""))</f>
        <v/>
      </c>
    </row>
    <row r="474" customFormat="false" ht="15" hidden="false" customHeight="true" outlineLevel="0" collapsed="false">
      <c r="A474" s="3" t="n">
        <v>45764</v>
      </c>
      <c r="B474" s="4" t="n">
        <f aca="false">YEAR($A474)</f>
        <v>2025</v>
      </c>
      <c r="C474" s="4" t="n">
        <f aca="false">MONTH($A474)</f>
        <v>4</v>
      </c>
      <c r="D474" s="4" t="str">
        <f aca="false">TEXT($A474,"ddd")</f>
        <v>Thu</v>
      </c>
      <c r="E474" s="4" t="n">
        <f aca="false">IF(OR(AND(MONTH($A474)=10,DAY($A474)&gt;=15),MONTH($A474)=11,AND(MONTH($A474)=12,DAY($A474)&lt;=7)),1,0)</f>
        <v>0</v>
      </c>
      <c r="F474" s="4" t="n">
        <f aca="false">IF(MONTH($A474)&lt;=3,1,0)</f>
        <v>0</v>
      </c>
      <c r="G474" s="4" t="str">
        <f aca="false" t="array" ref="G474:G474">_xlfn.TEXTJOIN(" | ",TRUE(),IF('FEMA Disasters'!$F$2:$F$1000=$A474,'FEMA Disasters'!$D$2:$D$1000&amp;" begin: ["&amp;'FEMA Disasters'!$B$2:$B$1000&amp;"] "&amp;'FEMA Disasters'!$C$2:$C$1000&amp;"-"&amp;'FEMA Disasters'!$A$2:$A$1000,""),IF('FEMA Disasters'!$G$2:$G$1000=$A474,'FEMA Disasters'!$D$2:$D$1000&amp;" ended: ["&amp;'FEMA Disasters'!$B$2:$B$1000&amp;"] "&amp;'FEMA Disasters'!$C$2:$C$1000&amp;"-"&amp;'FEMA Disasters'!$A$2:$A$1000,""),IF('FEMA Disasters'!$K$2:$K$1000=$A474,"Disaster SEP opens: "&amp;'FEMA Disasters'!$D$2:$D$1000&amp;" ["&amp;'FEMA Disasters'!$B$2:$B$1000&amp;"] "&amp;'FEMA Disasters'!$C$2:$C$1000&amp;"-"&amp;'FEMA Disasters'!$A$2:$A$1000,""),IF('FEMA Disasters'!$L$2:$L$1000=$A474,"Disaster SEP ended: "&amp;'FEMA Disasters'!$D$2:$D$1000&amp;" ["&amp;'FEMA Disasters'!$B$2:$B$1000&amp;"] "&amp;'FEMA Disasters'!$C$2:$C$1000&amp;"-"&amp;'FEMA Disasters'!$A$2:$A$1000,""))</f>
        <v>Fire begin: [NM] FM-5579</v>
      </c>
      <c r="H474" s="4" t="n">
        <f aca="false">COUNTIF(Events!$A$2:$A$397,$A474)</f>
        <v>0</v>
      </c>
      <c r="I474" s="6" t="str">
        <f aca="false" t="array" ref="I474:I474">_xlfn.TEXTJOIN(" | ",TRUE(),IF(Events!$A$2:$A$397=$A474,Events!$E$2:$E$397&amp;IF(Events!$G$2:$G$397="National",""," ["&amp;Events!$G$2:$G$397&amp;"]"),""))</f>
        <v/>
      </c>
    </row>
    <row r="475" customFormat="false" ht="15" hidden="false" customHeight="true" outlineLevel="0" collapsed="false">
      <c r="A475" s="3" t="n">
        <v>45765</v>
      </c>
      <c r="B475" s="4" t="n">
        <f aca="false">YEAR($A475)</f>
        <v>2025</v>
      </c>
      <c r="C475" s="4" t="n">
        <f aca="false">MONTH($A475)</f>
        <v>4</v>
      </c>
      <c r="D475" s="4" t="str">
        <f aca="false">TEXT($A475,"ddd")</f>
        <v>Fri</v>
      </c>
      <c r="E475" s="4" t="n">
        <f aca="false">IF(OR(AND(MONTH($A475)=10,DAY($A475)&gt;=15),MONTH($A475)=11,AND(MONTH($A475)=12,DAY($A475)&lt;=7)),1,0)</f>
        <v>0</v>
      </c>
      <c r="F475" s="4" t="n">
        <f aca="false">IF(MONTH($A475)&lt;=3,1,0)</f>
        <v>0</v>
      </c>
      <c r="G475" s="4" t="str">
        <f aca="false" t="array" ref="G475:G475">_xlfn.TEXTJOIN(" | ",TRUE(),IF('FEMA Disasters'!$F$2:$F$1000=$A475,'FEMA Disasters'!$D$2:$D$1000&amp;" begin: ["&amp;'FEMA Disasters'!$B$2:$B$1000&amp;"] "&amp;'FEMA Disasters'!$C$2:$C$1000&amp;"-"&amp;'FEMA Disasters'!$A$2:$A$1000,""),IF('FEMA Disasters'!$G$2:$G$1000=$A475,'FEMA Disasters'!$D$2:$D$1000&amp;" ended: ["&amp;'FEMA Disasters'!$B$2:$B$1000&amp;"] "&amp;'FEMA Disasters'!$C$2:$C$1000&amp;"-"&amp;'FEMA Disasters'!$A$2:$A$1000,""),IF('FEMA Disasters'!$K$2:$K$1000=$A475,"Disaster SEP opens: "&amp;'FEMA Disasters'!$D$2:$D$1000&amp;" ["&amp;'FEMA Disasters'!$B$2:$B$1000&amp;"] "&amp;'FEMA Disasters'!$C$2:$C$1000&amp;"-"&amp;'FEMA Disasters'!$A$2:$A$1000,""),IF('FEMA Disasters'!$L$2:$L$1000=$A475,"Disaster SEP ended: "&amp;'FEMA Disasters'!$D$2:$D$1000&amp;" ["&amp;'FEMA Disasters'!$B$2:$B$1000&amp;"] "&amp;'FEMA Disasters'!$C$2:$C$1000&amp;"-"&amp;'FEMA Disasters'!$A$2:$A$1000,""))</f>
        <v>Fire begin: [NC] FM-5580</v>
      </c>
      <c r="H475" s="4" t="n">
        <f aca="false">COUNTIF(Events!$A$2:$A$397,$A475)</f>
        <v>0</v>
      </c>
      <c r="I475" s="6" t="str">
        <f aca="false" t="array" ref="I475:I475">_xlfn.TEXTJOIN(" | ",TRUE(),IF(Events!$A$2:$A$397=$A475,Events!$E$2:$E$397&amp;IF(Events!$G$2:$G$397="National",""," ["&amp;Events!$G$2:$G$397&amp;"]"),""))</f>
        <v/>
      </c>
    </row>
    <row r="476" customFormat="false" ht="15" hidden="false" customHeight="true" outlineLevel="0" collapsed="false">
      <c r="A476" s="3" t="n">
        <v>45766</v>
      </c>
      <c r="B476" s="4" t="n">
        <f aca="false">YEAR($A476)</f>
        <v>2025</v>
      </c>
      <c r="C476" s="4" t="n">
        <f aca="false">MONTH($A476)</f>
        <v>4</v>
      </c>
      <c r="D476" s="4" t="str">
        <f aca="false">TEXT($A476,"ddd")</f>
        <v>Sat</v>
      </c>
      <c r="E476" s="4" t="n">
        <f aca="false">IF(OR(AND(MONTH($A476)=10,DAY($A476)&gt;=15),MONTH($A476)=11,AND(MONTH($A476)=12,DAY($A476)&lt;=7)),1,0)</f>
        <v>0</v>
      </c>
      <c r="F476" s="4" t="n">
        <f aca="false">IF(MONTH($A476)&lt;=3,1,0)</f>
        <v>0</v>
      </c>
      <c r="G476" s="4" t="str">
        <f aca="false" t="array" ref="G476:G476">_xlfn.TEXTJOIN(" | ",TRUE(),IF('FEMA Disasters'!$F$2:$F$1000=$A476,'FEMA Disasters'!$D$2:$D$1000&amp;" begin: ["&amp;'FEMA Disasters'!$B$2:$B$1000&amp;"] "&amp;'FEMA Disasters'!$C$2:$C$1000&amp;"-"&amp;'FEMA Disasters'!$A$2:$A$1000,""),IF('FEMA Disasters'!$G$2:$G$1000=$A476,'FEMA Disasters'!$D$2:$D$1000&amp;" ended: ["&amp;'FEMA Disasters'!$B$2:$B$1000&amp;"] "&amp;'FEMA Disasters'!$C$2:$C$1000&amp;"-"&amp;'FEMA Disasters'!$A$2:$A$1000,""),IF('FEMA Disasters'!$K$2:$K$1000=$A476,"Disaster SEP opens: "&amp;'FEMA Disasters'!$D$2:$D$1000&amp;" ["&amp;'FEMA Disasters'!$B$2:$B$1000&amp;"] "&amp;'FEMA Disasters'!$C$2:$C$1000&amp;"-"&amp;'FEMA Disasters'!$A$2:$A$1000,""),IF('FEMA Disasters'!$L$2:$L$1000=$A476,"Disaster SEP ended: "&amp;'FEMA Disasters'!$D$2:$D$1000&amp;" ["&amp;'FEMA Disasters'!$B$2:$B$1000&amp;"] "&amp;'FEMA Disasters'!$C$2:$C$1000&amp;"-"&amp;'FEMA Disasters'!$A$2:$A$1000,""))</f>
        <v/>
      </c>
      <c r="H476" s="4" t="n">
        <f aca="false">COUNTIF(Events!$A$2:$A$397,$A476)</f>
        <v>0</v>
      </c>
      <c r="I476" s="6" t="str">
        <f aca="false" t="array" ref="I476:I476">_xlfn.TEXTJOIN(" | ",TRUE(),IF(Events!$A$2:$A$397=$A476,Events!$E$2:$E$397&amp;IF(Events!$G$2:$G$397="National",""," ["&amp;Events!$G$2:$G$397&amp;"]"),""))</f>
        <v/>
      </c>
    </row>
    <row r="477" customFormat="false" ht="15" hidden="false" customHeight="true" outlineLevel="0" collapsed="false">
      <c r="A477" s="3" t="n">
        <v>45767</v>
      </c>
      <c r="B477" s="4" t="n">
        <f aca="false">YEAR($A477)</f>
        <v>2025</v>
      </c>
      <c r="C477" s="4" t="n">
        <f aca="false">MONTH($A477)</f>
        <v>4</v>
      </c>
      <c r="D477" s="4" t="str">
        <f aca="false">TEXT($A477,"ddd")</f>
        <v>Sun</v>
      </c>
      <c r="E477" s="4" t="n">
        <f aca="false">IF(OR(AND(MONTH($A477)=10,DAY($A477)&gt;=15),MONTH($A477)=11,AND(MONTH($A477)=12,DAY($A477)&lt;=7)),1,0)</f>
        <v>0</v>
      </c>
      <c r="F477" s="4" t="n">
        <f aca="false">IF(MONTH($A477)&lt;=3,1,0)</f>
        <v>0</v>
      </c>
      <c r="G477" s="4" t="str">
        <f aca="false" t="array" ref="G477:G477">_xlfn.TEXTJOIN(" | ",TRUE(),IF('FEMA Disasters'!$F$2:$F$1000=$A477,'FEMA Disasters'!$D$2:$D$1000&amp;" begin: ["&amp;'FEMA Disasters'!$B$2:$B$1000&amp;"] "&amp;'FEMA Disasters'!$C$2:$C$1000&amp;"-"&amp;'FEMA Disasters'!$A$2:$A$1000,""),IF('FEMA Disasters'!$G$2:$G$1000=$A477,'FEMA Disasters'!$D$2:$D$1000&amp;" ended: ["&amp;'FEMA Disasters'!$B$2:$B$1000&amp;"] "&amp;'FEMA Disasters'!$C$2:$C$1000&amp;"-"&amp;'FEMA Disasters'!$A$2:$A$1000,""),IF('FEMA Disasters'!$K$2:$K$1000=$A477,"Disaster SEP opens: "&amp;'FEMA Disasters'!$D$2:$D$1000&amp;" ["&amp;'FEMA Disasters'!$B$2:$B$1000&amp;"] "&amp;'FEMA Disasters'!$C$2:$C$1000&amp;"-"&amp;'FEMA Disasters'!$A$2:$A$1000,""),IF('FEMA Disasters'!$L$2:$L$1000=$A477,"Disaster SEP ended: "&amp;'FEMA Disasters'!$D$2:$D$1000&amp;" ["&amp;'FEMA Disasters'!$B$2:$B$1000&amp;"] "&amp;'FEMA Disasters'!$C$2:$C$1000&amp;"-"&amp;'FEMA Disasters'!$A$2:$A$1000,""))</f>
        <v/>
      </c>
      <c r="H477" s="4" t="n">
        <f aca="false">COUNTIF(Events!$A$2:$A$397,$A477)</f>
        <v>0</v>
      </c>
      <c r="I477" s="6" t="str">
        <f aca="false" t="array" ref="I477:I477">_xlfn.TEXTJOIN(" | ",TRUE(),IF(Events!$A$2:$A$397=$A477,Events!$E$2:$E$397&amp;IF(Events!$G$2:$G$397="National",""," ["&amp;Events!$G$2:$G$397&amp;"]"),""))</f>
        <v/>
      </c>
    </row>
    <row r="478" customFormat="false" ht="15" hidden="false" customHeight="true" outlineLevel="0" collapsed="false">
      <c r="A478" s="3" t="n">
        <v>45768</v>
      </c>
      <c r="B478" s="4" t="n">
        <f aca="false">YEAR($A478)</f>
        <v>2025</v>
      </c>
      <c r="C478" s="4" t="n">
        <f aca="false">MONTH($A478)</f>
        <v>4</v>
      </c>
      <c r="D478" s="4" t="str">
        <f aca="false">TEXT($A478,"ddd")</f>
        <v>Mon</v>
      </c>
      <c r="E478" s="4" t="n">
        <f aca="false">IF(OR(AND(MONTH($A478)=10,DAY($A478)&gt;=15),MONTH($A478)=11,AND(MONTH($A478)=12,DAY($A478)&lt;=7)),1,0)</f>
        <v>0</v>
      </c>
      <c r="F478" s="4" t="n">
        <f aca="false">IF(MONTH($A478)&lt;=3,1,0)</f>
        <v>0</v>
      </c>
      <c r="G478" s="4" t="str">
        <f aca="false" t="array" ref="G478:G478">_xlfn.TEXTJOIN(" | ",TRUE(),IF('FEMA Disasters'!$F$2:$F$1000=$A478,'FEMA Disasters'!$D$2:$D$1000&amp;" begin: ["&amp;'FEMA Disasters'!$B$2:$B$1000&amp;"] "&amp;'FEMA Disasters'!$C$2:$C$1000&amp;"-"&amp;'FEMA Disasters'!$A$2:$A$1000,""),IF('FEMA Disasters'!$G$2:$G$1000=$A478,'FEMA Disasters'!$D$2:$D$1000&amp;" ended: ["&amp;'FEMA Disasters'!$B$2:$B$1000&amp;"] "&amp;'FEMA Disasters'!$C$2:$C$1000&amp;"-"&amp;'FEMA Disasters'!$A$2:$A$1000,""),IF('FEMA Disasters'!$K$2:$K$1000=$A478,"Disaster SEP opens: "&amp;'FEMA Disasters'!$D$2:$D$1000&amp;" ["&amp;'FEMA Disasters'!$B$2:$B$1000&amp;"] "&amp;'FEMA Disasters'!$C$2:$C$1000&amp;"-"&amp;'FEMA Disasters'!$A$2:$A$1000,""),IF('FEMA Disasters'!$L$2:$L$1000=$A478,"Disaster SEP ended: "&amp;'FEMA Disasters'!$D$2:$D$1000&amp;" ["&amp;'FEMA Disasters'!$B$2:$B$1000&amp;"] "&amp;'FEMA Disasters'!$C$2:$C$1000&amp;"-"&amp;'FEMA Disasters'!$A$2:$A$1000,""))</f>
        <v/>
      </c>
      <c r="H478" s="4" t="n">
        <f aca="false">COUNTIF(Events!$A$2:$A$397,$A478)</f>
        <v>0</v>
      </c>
      <c r="I478" s="6" t="str">
        <f aca="false" t="array" ref="I478:I478">_xlfn.TEXTJOIN(" | ",TRUE(),IF(Events!$A$2:$A$397=$A478,Events!$E$2:$E$397&amp;IF(Events!$G$2:$G$397="National",""," ["&amp;Events!$G$2:$G$397&amp;"]"),""))</f>
        <v/>
      </c>
    </row>
    <row r="479" customFormat="false" ht="15" hidden="false" customHeight="true" outlineLevel="0" collapsed="false">
      <c r="A479" s="3" t="n">
        <v>45769</v>
      </c>
      <c r="B479" s="4" t="n">
        <f aca="false">YEAR($A479)</f>
        <v>2025</v>
      </c>
      <c r="C479" s="4" t="n">
        <f aca="false">MONTH($A479)</f>
        <v>4</v>
      </c>
      <c r="D479" s="4" t="str">
        <f aca="false">TEXT($A479,"ddd")</f>
        <v>Tue</v>
      </c>
      <c r="E479" s="4" t="n">
        <f aca="false">IF(OR(AND(MONTH($A479)=10,DAY($A479)&gt;=15),MONTH($A479)=11,AND(MONTH($A479)=12,DAY($A479)&lt;=7)),1,0)</f>
        <v>0</v>
      </c>
      <c r="F479" s="4" t="n">
        <f aca="false">IF(MONTH($A479)&lt;=3,1,0)</f>
        <v>0</v>
      </c>
      <c r="G479" s="4" t="str">
        <f aca="false" t="array" ref="G479:G479">_xlfn.TEXTJOIN(" | ",TRUE(),IF('FEMA Disasters'!$F$2:$F$1000=$A479,'FEMA Disasters'!$D$2:$D$1000&amp;" begin: ["&amp;'FEMA Disasters'!$B$2:$B$1000&amp;"] "&amp;'FEMA Disasters'!$C$2:$C$1000&amp;"-"&amp;'FEMA Disasters'!$A$2:$A$1000,""),IF('FEMA Disasters'!$G$2:$G$1000=$A479,'FEMA Disasters'!$D$2:$D$1000&amp;" ended: ["&amp;'FEMA Disasters'!$B$2:$B$1000&amp;"] "&amp;'FEMA Disasters'!$C$2:$C$1000&amp;"-"&amp;'FEMA Disasters'!$A$2:$A$1000,""),IF('FEMA Disasters'!$K$2:$K$1000=$A479,"Disaster SEP opens: "&amp;'FEMA Disasters'!$D$2:$D$1000&amp;" ["&amp;'FEMA Disasters'!$B$2:$B$1000&amp;"] "&amp;'FEMA Disasters'!$C$2:$C$1000&amp;"-"&amp;'FEMA Disasters'!$A$2:$A$1000,""),IF('FEMA Disasters'!$L$2:$L$1000=$A479,"Disaster SEP ended: "&amp;'FEMA Disasters'!$D$2:$D$1000&amp;" ["&amp;'FEMA Disasters'!$B$2:$B$1000&amp;"] "&amp;'FEMA Disasters'!$C$2:$C$1000&amp;"-"&amp;'FEMA Disasters'!$A$2:$A$1000,""))</f>
        <v>Fire begin: [NJ] FM-5581 | Severe Storm ended: [AR] EM-3627 | Flood ended: [AR] DR-4873</v>
      </c>
      <c r="H479" s="4" t="n">
        <f aca="false">COUNTIF(Events!$A$2:$A$397,$A479)</f>
        <v>0</v>
      </c>
      <c r="I479" s="6" t="str">
        <f aca="false" t="array" ref="I479:I479">_xlfn.TEXTJOIN(" | ",TRUE(),IF(Events!$A$2:$A$397=$A479,Events!$E$2:$E$397&amp;IF(Events!$G$2:$G$397="National",""," ["&amp;Events!$G$2:$G$397&amp;"]"),""))</f>
        <v/>
      </c>
    </row>
    <row r="480" customFormat="false" ht="15" hidden="false" customHeight="true" outlineLevel="0" collapsed="false">
      <c r="A480" s="3" t="n">
        <v>45770</v>
      </c>
      <c r="B480" s="4" t="n">
        <f aca="false">YEAR($A480)</f>
        <v>2025</v>
      </c>
      <c r="C480" s="4" t="n">
        <f aca="false">MONTH($A480)</f>
        <v>4</v>
      </c>
      <c r="D480" s="4" t="str">
        <f aca="false">TEXT($A480,"ddd")</f>
        <v>Wed</v>
      </c>
      <c r="E480" s="4" t="n">
        <f aca="false">IF(OR(AND(MONTH($A480)=10,DAY($A480)&gt;=15),MONTH($A480)=11,AND(MONTH($A480)=12,DAY($A480)&lt;=7)),1,0)</f>
        <v>0</v>
      </c>
      <c r="F480" s="4" t="n">
        <f aca="false">IF(MONTH($A480)&lt;=3,1,0)</f>
        <v>0</v>
      </c>
      <c r="G480" s="4" t="str">
        <f aca="false" t="array" ref="G480:G480">_xlfn.TEXTJOIN(" | ",TRUE(),IF('FEMA Disasters'!$F$2:$F$1000=$A480,'FEMA Disasters'!$D$2:$D$1000&amp;" begin: ["&amp;'FEMA Disasters'!$B$2:$B$1000&amp;"] "&amp;'FEMA Disasters'!$C$2:$C$1000&amp;"-"&amp;'FEMA Disasters'!$A$2:$A$1000,""),IF('FEMA Disasters'!$G$2:$G$1000=$A480,'FEMA Disasters'!$D$2:$D$1000&amp;" ended: ["&amp;'FEMA Disasters'!$B$2:$B$1000&amp;"] "&amp;'FEMA Disasters'!$C$2:$C$1000&amp;"-"&amp;'FEMA Disasters'!$A$2:$A$1000,""),IF('FEMA Disasters'!$K$2:$K$1000=$A480,"Disaster SEP opens: "&amp;'FEMA Disasters'!$D$2:$D$1000&amp;" ["&amp;'FEMA Disasters'!$B$2:$B$1000&amp;"] "&amp;'FEMA Disasters'!$C$2:$C$1000&amp;"-"&amp;'FEMA Disasters'!$A$2:$A$1000,""),IF('FEMA Disasters'!$L$2:$L$1000=$A480,"Disaster SEP ended: "&amp;'FEMA Disasters'!$D$2:$D$1000&amp;" ["&amp;'FEMA Disasters'!$B$2:$B$1000&amp;"] "&amp;'FEMA Disasters'!$C$2:$C$1000&amp;"-"&amp;'FEMA Disasters'!$A$2:$A$1000,""))</f>
        <v/>
      </c>
      <c r="H480" s="4" t="n">
        <f aca="false">COUNTIF(Events!$A$2:$A$397,$A480)</f>
        <v>0</v>
      </c>
      <c r="I480" s="6" t="str">
        <f aca="false" t="array" ref="I480:I480">_xlfn.TEXTJOIN(" | ",TRUE(),IF(Events!$A$2:$A$397=$A480,Events!$E$2:$E$397&amp;IF(Events!$G$2:$G$397="National",""," ["&amp;Events!$G$2:$G$397&amp;"]"),""))</f>
        <v/>
      </c>
    </row>
    <row r="481" customFormat="false" ht="15" hidden="false" customHeight="true" outlineLevel="0" collapsed="false">
      <c r="A481" s="3" t="n">
        <v>45771</v>
      </c>
      <c r="B481" s="4" t="n">
        <f aca="false">YEAR($A481)</f>
        <v>2025</v>
      </c>
      <c r="C481" s="4" t="n">
        <f aca="false">MONTH($A481)</f>
        <v>4</v>
      </c>
      <c r="D481" s="4" t="str">
        <f aca="false">TEXT($A481,"ddd")</f>
        <v>Thu</v>
      </c>
      <c r="E481" s="4" t="n">
        <f aca="false">IF(OR(AND(MONTH($A481)=10,DAY($A481)&gt;=15),MONTH($A481)=11,AND(MONTH($A481)=12,DAY($A481)&lt;=7)),1,0)</f>
        <v>0</v>
      </c>
      <c r="F481" s="4" t="n">
        <f aca="false">IF(MONTH($A481)&lt;=3,1,0)</f>
        <v>0</v>
      </c>
      <c r="G481" s="4" t="str">
        <f aca="false" t="array" ref="G481:G481">_xlfn.TEXTJOIN(" | ",TRUE(),IF('FEMA Disasters'!$F$2:$F$1000=$A481,'FEMA Disasters'!$D$2:$D$1000&amp;" begin: ["&amp;'FEMA Disasters'!$B$2:$B$1000&amp;"] "&amp;'FEMA Disasters'!$C$2:$C$1000&amp;"-"&amp;'FEMA Disasters'!$A$2:$A$1000,""),IF('FEMA Disasters'!$G$2:$G$1000=$A481,'FEMA Disasters'!$D$2:$D$1000&amp;" ended: ["&amp;'FEMA Disasters'!$B$2:$B$1000&amp;"] "&amp;'FEMA Disasters'!$C$2:$C$1000&amp;"-"&amp;'FEMA Disasters'!$A$2:$A$1000,""),IF('FEMA Disasters'!$K$2:$K$1000=$A481,"Disaster SEP opens: "&amp;'FEMA Disasters'!$D$2:$D$1000&amp;" ["&amp;'FEMA Disasters'!$B$2:$B$1000&amp;"] "&amp;'FEMA Disasters'!$C$2:$C$1000&amp;"-"&amp;'FEMA Disasters'!$A$2:$A$1000,""),IF('FEMA Disasters'!$L$2:$L$1000=$A481,"Disaster SEP ended: "&amp;'FEMA Disasters'!$D$2:$D$1000&amp;" ["&amp;'FEMA Disasters'!$B$2:$B$1000&amp;"] "&amp;'FEMA Disasters'!$C$2:$C$1000&amp;"-"&amp;'FEMA Disasters'!$A$2:$A$1000,""))</f>
        <v>Severe Storm ended: [TN] EM-3625 | Severe Storm ended: [TN] DR-4878</v>
      </c>
      <c r="H481" s="4" t="n">
        <f aca="false">COUNTIF(Events!$A$2:$A$397,$A481)</f>
        <v>0</v>
      </c>
      <c r="I481" s="6" t="str">
        <f aca="false" t="array" ref="I481:I481">_xlfn.TEXTJOIN(" | ",TRUE(),IF(Events!$A$2:$A$397=$A481,Events!$E$2:$E$397&amp;IF(Events!$G$2:$G$397="National",""," ["&amp;Events!$G$2:$G$397&amp;"]"),""))</f>
        <v/>
      </c>
    </row>
    <row r="482" customFormat="false" ht="15" hidden="false" customHeight="true" outlineLevel="0" collapsed="false">
      <c r="A482" s="3" t="n">
        <v>45772</v>
      </c>
      <c r="B482" s="4" t="n">
        <f aca="false">YEAR($A482)</f>
        <v>2025</v>
      </c>
      <c r="C482" s="4" t="n">
        <f aca="false">MONTH($A482)</f>
        <v>4</v>
      </c>
      <c r="D482" s="4" t="str">
        <f aca="false">TEXT($A482,"ddd")</f>
        <v>Fri</v>
      </c>
      <c r="E482" s="4" t="n">
        <f aca="false">IF(OR(AND(MONTH($A482)=10,DAY($A482)&gt;=15),MONTH($A482)=11,AND(MONTH($A482)=12,DAY($A482)&lt;=7)),1,0)</f>
        <v>0</v>
      </c>
      <c r="F482" s="4" t="n">
        <f aca="false">IF(MONTH($A482)&lt;=3,1,0)</f>
        <v>0</v>
      </c>
      <c r="G482" s="4" t="str">
        <f aca="false" t="array" ref="G482:G482">_xlfn.TEXTJOIN(" | ",TRUE(),IF('FEMA Disasters'!$F$2:$F$1000=$A482,'FEMA Disasters'!$D$2:$D$1000&amp;" begin: ["&amp;'FEMA Disasters'!$B$2:$B$1000&amp;"] "&amp;'FEMA Disasters'!$C$2:$C$1000&amp;"-"&amp;'FEMA Disasters'!$A$2:$A$1000,""),IF('FEMA Disasters'!$G$2:$G$1000=$A482,'FEMA Disasters'!$D$2:$D$1000&amp;" ended: ["&amp;'FEMA Disasters'!$B$2:$B$1000&amp;"] "&amp;'FEMA Disasters'!$C$2:$C$1000&amp;"-"&amp;'FEMA Disasters'!$A$2:$A$1000,""),IF('FEMA Disasters'!$K$2:$K$1000=$A482,"Disaster SEP opens: "&amp;'FEMA Disasters'!$D$2:$D$1000&amp;" ["&amp;'FEMA Disasters'!$B$2:$B$1000&amp;"] "&amp;'FEMA Disasters'!$C$2:$C$1000&amp;"-"&amp;'FEMA Disasters'!$A$2:$A$1000,""),IF('FEMA Disasters'!$L$2:$L$1000=$A482,"Disaster SEP ended: "&amp;'FEMA Disasters'!$D$2:$D$1000&amp;" ["&amp;'FEMA Disasters'!$B$2:$B$1000&amp;"] "&amp;'FEMA Disasters'!$C$2:$C$1000&amp;"-"&amp;'FEMA Disasters'!$A$2:$A$1000,""))</f>
        <v/>
      </c>
      <c r="H482" s="4" t="n">
        <f aca="false">COUNTIF(Events!$A$2:$A$397,$A482)</f>
        <v>0</v>
      </c>
      <c r="I482" s="6" t="str">
        <f aca="false" t="array" ref="I482:I482">_xlfn.TEXTJOIN(" | ",TRUE(),IF(Events!$A$2:$A$397=$A482,Events!$E$2:$E$397&amp;IF(Events!$G$2:$G$397="National",""," ["&amp;Events!$G$2:$G$397&amp;"]"),""))</f>
        <v/>
      </c>
    </row>
    <row r="483" customFormat="false" ht="15" hidden="false" customHeight="true" outlineLevel="0" collapsed="false">
      <c r="A483" s="3" t="n">
        <v>45773</v>
      </c>
      <c r="B483" s="4" t="n">
        <f aca="false">YEAR($A483)</f>
        <v>2025</v>
      </c>
      <c r="C483" s="4" t="n">
        <f aca="false">MONTH($A483)</f>
        <v>4</v>
      </c>
      <c r="D483" s="4" t="str">
        <f aca="false">TEXT($A483,"ddd")</f>
        <v>Sat</v>
      </c>
      <c r="E483" s="4" t="n">
        <f aca="false">IF(OR(AND(MONTH($A483)=10,DAY($A483)&gt;=15),MONTH($A483)=11,AND(MONTH($A483)=12,DAY($A483)&lt;=7)),1,0)</f>
        <v>0</v>
      </c>
      <c r="F483" s="4" t="n">
        <f aca="false">IF(MONTH($A483)&lt;=3,1,0)</f>
        <v>0</v>
      </c>
      <c r="G483" s="4" t="str">
        <f aca="false" t="array" ref="G483:G483">_xlfn.TEXTJOIN(" | ",TRUE(),IF('FEMA Disasters'!$F$2:$F$1000=$A483,'FEMA Disasters'!$D$2:$D$1000&amp;" begin: ["&amp;'FEMA Disasters'!$B$2:$B$1000&amp;"] "&amp;'FEMA Disasters'!$C$2:$C$1000&amp;"-"&amp;'FEMA Disasters'!$A$2:$A$1000,""),IF('FEMA Disasters'!$G$2:$G$1000=$A483,'FEMA Disasters'!$D$2:$D$1000&amp;" ended: ["&amp;'FEMA Disasters'!$B$2:$B$1000&amp;"] "&amp;'FEMA Disasters'!$C$2:$C$1000&amp;"-"&amp;'FEMA Disasters'!$A$2:$A$1000,""),IF('FEMA Disasters'!$K$2:$K$1000=$A483,"Disaster SEP opens: "&amp;'FEMA Disasters'!$D$2:$D$1000&amp;" ["&amp;'FEMA Disasters'!$B$2:$B$1000&amp;"] "&amp;'FEMA Disasters'!$C$2:$C$1000&amp;"-"&amp;'FEMA Disasters'!$A$2:$A$1000,""),IF('FEMA Disasters'!$L$2:$L$1000=$A483,"Disaster SEP ended: "&amp;'FEMA Disasters'!$D$2:$D$1000&amp;" ["&amp;'FEMA Disasters'!$B$2:$B$1000&amp;"] "&amp;'FEMA Disasters'!$C$2:$C$1000&amp;"-"&amp;'FEMA Disasters'!$A$2:$A$1000,""))</f>
        <v/>
      </c>
      <c r="H483" s="4" t="n">
        <f aca="false">COUNTIF(Events!$A$2:$A$397,$A483)</f>
        <v>0</v>
      </c>
      <c r="I483" s="6" t="str">
        <f aca="false" t="array" ref="I483:I483">_xlfn.TEXTJOIN(" | ",TRUE(),IF(Events!$A$2:$A$397=$A483,Events!$E$2:$E$397&amp;IF(Events!$G$2:$G$397="National",""," ["&amp;Events!$G$2:$G$397&amp;"]"),""))</f>
        <v/>
      </c>
    </row>
    <row r="484" customFormat="false" ht="15" hidden="false" customHeight="true" outlineLevel="0" collapsed="false">
      <c r="A484" s="3" t="n">
        <v>45774</v>
      </c>
      <c r="B484" s="4" t="n">
        <f aca="false">YEAR($A484)</f>
        <v>2025</v>
      </c>
      <c r="C484" s="4" t="n">
        <f aca="false">MONTH($A484)</f>
        <v>4</v>
      </c>
      <c r="D484" s="4" t="str">
        <f aca="false">TEXT($A484,"ddd")</f>
        <v>Sun</v>
      </c>
      <c r="E484" s="4" t="n">
        <f aca="false">IF(OR(AND(MONTH($A484)=10,DAY($A484)&gt;=15),MONTH($A484)=11,AND(MONTH($A484)=12,DAY($A484)&lt;=7)),1,0)</f>
        <v>0</v>
      </c>
      <c r="F484" s="4" t="n">
        <f aca="false">IF(MONTH($A484)&lt;=3,1,0)</f>
        <v>0</v>
      </c>
      <c r="G484" s="4" t="str">
        <f aca="false" t="array" ref="G484:G484">_xlfn.TEXTJOIN(" | ",TRUE(),IF('FEMA Disasters'!$F$2:$F$1000=$A484,'FEMA Disasters'!$D$2:$D$1000&amp;" begin: ["&amp;'FEMA Disasters'!$B$2:$B$1000&amp;"] "&amp;'FEMA Disasters'!$C$2:$C$1000&amp;"-"&amp;'FEMA Disasters'!$A$2:$A$1000,""),IF('FEMA Disasters'!$G$2:$G$1000=$A484,'FEMA Disasters'!$D$2:$D$1000&amp;" ended: ["&amp;'FEMA Disasters'!$B$2:$B$1000&amp;"] "&amp;'FEMA Disasters'!$C$2:$C$1000&amp;"-"&amp;'FEMA Disasters'!$A$2:$A$1000,""),IF('FEMA Disasters'!$K$2:$K$1000=$A484,"Disaster SEP opens: "&amp;'FEMA Disasters'!$D$2:$D$1000&amp;" ["&amp;'FEMA Disasters'!$B$2:$B$1000&amp;"] "&amp;'FEMA Disasters'!$C$2:$C$1000&amp;"-"&amp;'FEMA Disasters'!$A$2:$A$1000,""),IF('FEMA Disasters'!$L$2:$L$1000=$A484,"Disaster SEP ended: "&amp;'FEMA Disasters'!$D$2:$D$1000&amp;" ["&amp;'FEMA Disasters'!$B$2:$B$1000&amp;"] "&amp;'FEMA Disasters'!$C$2:$C$1000&amp;"-"&amp;'FEMA Disasters'!$A$2:$A$1000,""))</f>
        <v/>
      </c>
      <c r="H484" s="4" t="n">
        <f aca="false">COUNTIF(Events!$A$2:$A$397,$A484)</f>
        <v>0</v>
      </c>
      <c r="I484" s="6" t="str">
        <f aca="false" t="array" ref="I484:I484">_xlfn.TEXTJOIN(" | ",TRUE(),IF(Events!$A$2:$A$397=$A484,Events!$E$2:$E$397&amp;IF(Events!$G$2:$G$397="National",""," ["&amp;Events!$G$2:$G$397&amp;"]"),""))</f>
        <v/>
      </c>
    </row>
    <row r="485" customFormat="false" ht="15" hidden="false" customHeight="true" outlineLevel="0" collapsed="false">
      <c r="A485" s="3" t="n">
        <v>45775</v>
      </c>
      <c r="B485" s="4" t="n">
        <f aca="false">YEAR($A485)</f>
        <v>2025</v>
      </c>
      <c r="C485" s="4" t="n">
        <f aca="false">MONTH($A485)</f>
        <v>4</v>
      </c>
      <c r="D485" s="4" t="str">
        <f aca="false">TEXT($A485,"ddd")</f>
        <v>Mon</v>
      </c>
      <c r="E485" s="4" t="n">
        <f aca="false">IF(OR(AND(MONTH($A485)=10,DAY($A485)&gt;=15),MONTH($A485)=11,AND(MONTH($A485)=12,DAY($A485)&lt;=7)),1,0)</f>
        <v>0</v>
      </c>
      <c r="F485" s="4" t="n">
        <f aca="false">IF(MONTH($A485)&lt;=3,1,0)</f>
        <v>0</v>
      </c>
      <c r="G485" s="4" t="str">
        <f aca="false" t="array" ref="G485:G485">_xlfn.TEXTJOIN(" | ",TRUE(),IF('FEMA Disasters'!$F$2:$F$1000=$A485,'FEMA Disasters'!$D$2:$D$1000&amp;" begin: ["&amp;'FEMA Disasters'!$B$2:$B$1000&amp;"] "&amp;'FEMA Disasters'!$C$2:$C$1000&amp;"-"&amp;'FEMA Disasters'!$A$2:$A$1000,""),IF('FEMA Disasters'!$G$2:$G$1000=$A485,'FEMA Disasters'!$D$2:$D$1000&amp;" ended: ["&amp;'FEMA Disasters'!$B$2:$B$1000&amp;"] "&amp;'FEMA Disasters'!$C$2:$C$1000&amp;"-"&amp;'FEMA Disasters'!$A$2:$A$1000,""),IF('FEMA Disasters'!$K$2:$K$1000=$A485,"Disaster SEP opens: "&amp;'FEMA Disasters'!$D$2:$D$1000&amp;" ["&amp;'FEMA Disasters'!$B$2:$B$1000&amp;"] "&amp;'FEMA Disasters'!$C$2:$C$1000&amp;"-"&amp;'FEMA Disasters'!$A$2:$A$1000,""),IF('FEMA Disasters'!$L$2:$L$1000=$A485,"Disaster SEP ended: "&amp;'FEMA Disasters'!$D$2:$D$1000&amp;" ["&amp;'FEMA Disasters'!$B$2:$B$1000&amp;"] "&amp;'FEMA Disasters'!$C$2:$C$1000&amp;"-"&amp;'FEMA Disasters'!$A$2:$A$1000,""))</f>
        <v/>
      </c>
      <c r="H485" s="4" t="n">
        <f aca="false">COUNTIF(Events!$A$2:$A$397,$A485)</f>
        <v>0</v>
      </c>
      <c r="I485" s="6" t="str">
        <f aca="false" t="array" ref="I485:I485">_xlfn.TEXTJOIN(" | ",TRUE(),IF(Events!$A$2:$A$397=$A485,Events!$E$2:$E$397&amp;IF(Events!$G$2:$G$397="National",""," ["&amp;Events!$G$2:$G$397&amp;"]"),""))</f>
        <v/>
      </c>
    </row>
    <row r="486" customFormat="false" ht="15" hidden="false" customHeight="true" outlineLevel="0" collapsed="false">
      <c r="A486" s="3" t="n">
        <v>45776</v>
      </c>
      <c r="B486" s="4" t="n">
        <f aca="false">YEAR($A486)</f>
        <v>2025</v>
      </c>
      <c r="C486" s="4" t="n">
        <f aca="false">MONTH($A486)</f>
        <v>4</v>
      </c>
      <c r="D486" s="4" t="str">
        <f aca="false">TEXT($A486,"ddd")</f>
        <v>Tue</v>
      </c>
      <c r="E486" s="4" t="n">
        <f aca="false">IF(OR(AND(MONTH($A486)=10,DAY($A486)&gt;=15),MONTH($A486)=11,AND(MONTH($A486)=12,DAY($A486)&lt;=7)),1,0)</f>
        <v>0</v>
      </c>
      <c r="F486" s="4" t="n">
        <f aca="false">IF(MONTH($A486)&lt;=3,1,0)</f>
        <v>0</v>
      </c>
      <c r="G486" s="4" t="str">
        <f aca="false" t="array" ref="G486:G486">_xlfn.TEXTJOIN(" | ",TRUE(),IF('FEMA Disasters'!$F$2:$F$1000=$A486,'FEMA Disasters'!$D$2:$D$1000&amp;" begin: ["&amp;'FEMA Disasters'!$B$2:$B$1000&amp;"] "&amp;'FEMA Disasters'!$C$2:$C$1000&amp;"-"&amp;'FEMA Disasters'!$A$2:$A$1000,""),IF('FEMA Disasters'!$G$2:$G$1000=$A486,'FEMA Disasters'!$D$2:$D$1000&amp;" ended: ["&amp;'FEMA Disasters'!$B$2:$B$1000&amp;"] "&amp;'FEMA Disasters'!$C$2:$C$1000&amp;"-"&amp;'FEMA Disasters'!$A$2:$A$1000,""),IF('FEMA Disasters'!$K$2:$K$1000=$A486,"Disaster SEP opens: "&amp;'FEMA Disasters'!$D$2:$D$1000&amp;" ["&amp;'FEMA Disasters'!$B$2:$B$1000&amp;"] "&amp;'FEMA Disasters'!$C$2:$C$1000&amp;"-"&amp;'FEMA Disasters'!$A$2:$A$1000,""),IF('FEMA Disasters'!$L$2:$L$1000=$A486,"Disaster SEP ended: "&amp;'FEMA Disasters'!$D$2:$D$1000&amp;" ["&amp;'FEMA Disasters'!$B$2:$B$1000&amp;"] "&amp;'FEMA Disasters'!$C$2:$C$1000&amp;"-"&amp;'FEMA Disasters'!$A$2:$A$1000,""))</f>
        <v>Severe Storm begin: [MO] DR-4876 | Severe Storm ended: [MO] DR-4876</v>
      </c>
      <c r="H486" s="4" t="n">
        <f aca="false">COUNTIF(Events!$A$2:$A$397,$A486)</f>
        <v>0</v>
      </c>
      <c r="I486" s="6" t="str">
        <f aca="false" t="array" ref="I486:I486">_xlfn.TEXTJOIN(" | ",TRUE(),IF(Events!$A$2:$A$397=$A486,Events!$E$2:$E$397&amp;IF(Events!$G$2:$G$397="National",""," ["&amp;Events!$G$2:$G$397&amp;"]"),""))</f>
        <v/>
      </c>
    </row>
    <row r="487" customFormat="false" ht="15" hidden="false" customHeight="true" outlineLevel="0" collapsed="false">
      <c r="A487" s="3" t="n">
        <v>45777</v>
      </c>
      <c r="B487" s="4" t="n">
        <f aca="false">YEAR($A487)</f>
        <v>2025</v>
      </c>
      <c r="C487" s="4" t="n">
        <f aca="false">MONTH($A487)</f>
        <v>4</v>
      </c>
      <c r="D487" s="4" t="str">
        <f aca="false">TEXT($A487,"ddd")</f>
        <v>Wed</v>
      </c>
      <c r="E487" s="4" t="n">
        <f aca="false">IF(OR(AND(MONTH($A487)=10,DAY($A487)&gt;=15),MONTH($A487)=11,AND(MONTH($A487)=12,DAY($A487)&lt;=7)),1,0)</f>
        <v>0</v>
      </c>
      <c r="F487" s="4" t="n">
        <f aca="false">IF(MONTH($A487)&lt;=3,1,0)</f>
        <v>0</v>
      </c>
      <c r="G487" s="4" t="str">
        <f aca="false" t="array" ref="G487:G487">_xlfn.TEXTJOIN(" | ",TRUE(),IF('FEMA Disasters'!$F$2:$F$1000=$A487,'FEMA Disasters'!$D$2:$D$1000&amp;" begin: ["&amp;'FEMA Disasters'!$B$2:$B$1000&amp;"] "&amp;'FEMA Disasters'!$C$2:$C$1000&amp;"-"&amp;'FEMA Disasters'!$A$2:$A$1000,""),IF('FEMA Disasters'!$G$2:$G$1000=$A487,'FEMA Disasters'!$D$2:$D$1000&amp;" ended: ["&amp;'FEMA Disasters'!$B$2:$B$1000&amp;"] "&amp;'FEMA Disasters'!$C$2:$C$1000&amp;"-"&amp;'FEMA Disasters'!$A$2:$A$1000,""),IF('FEMA Disasters'!$K$2:$K$1000=$A487,"Disaster SEP opens: "&amp;'FEMA Disasters'!$D$2:$D$1000&amp;" ["&amp;'FEMA Disasters'!$B$2:$B$1000&amp;"] "&amp;'FEMA Disasters'!$C$2:$C$1000&amp;"-"&amp;'FEMA Disasters'!$A$2:$A$1000,""),IF('FEMA Disasters'!$L$2:$L$1000=$A487,"Disaster SEP ended: "&amp;'FEMA Disasters'!$D$2:$D$1000&amp;" ["&amp;'FEMA Disasters'!$B$2:$B$1000&amp;"] "&amp;'FEMA Disasters'!$C$2:$C$1000&amp;"-"&amp;'FEMA Disasters'!$A$2:$A$1000,""))</f>
        <v>Disaster SEP opens: Severe Storm [VA] DR-4863 | Disaster SEP opens: Severe Storm [WV] DR-4861 | Disaster SEP ended: Tropical Storm [NC] EM-3617 | Disaster SEP ended: Tropical Storm [NC] DR-4827 | Disaster SEP ended: Fire [CA] FM-5548</v>
      </c>
      <c r="H487" s="4" t="n">
        <f aca="false">COUNTIF(Events!$A$2:$A$397,$A487)</f>
        <v>0</v>
      </c>
      <c r="I487" s="6" t="str">
        <f aca="false" t="array" ref="I487:I487">_xlfn.TEXTJOIN(" | ",TRUE(),IF(Events!$A$2:$A$397=$A487,Events!$E$2:$E$397&amp;IF(Events!$G$2:$G$397="National",""," ["&amp;Events!$G$2:$G$397&amp;"]"),""))</f>
        <v/>
      </c>
    </row>
    <row r="488" customFormat="false" ht="15" hidden="false" customHeight="true" outlineLevel="0" collapsed="false">
      <c r="A488" s="3" t="n">
        <v>45778</v>
      </c>
      <c r="B488" s="4" t="n">
        <f aca="false">YEAR($A488)</f>
        <v>2025</v>
      </c>
      <c r="C488" s="4" t="n">
        <f aca="false">MONTH($A488)</f>
        <v>5</v>
      </c>
      <c r="D488" s="4" t="str">
        <f aca="false">TEXT($A488,"ddd")</f>
        <v>Thu</v>
      </c>
      <c r="E488" s="4" t="n">
        <f aca="false">IF(OR(AND(MONTH($A488)=10,DAY($A488)&gt;=15),MONTH($A488)=11,AND(MONTH($A488)=12,DAY($A488)&lt;=7)),1,0)</f>
        <v>0</v>
      </c>
      <c r="F488" s="4" t="n">
        <f aca="false">IF(MONTH($A488)&lt;=3,1,0)</f>
        <v>0</v>
      </c>
      <c r="G488" s="4" t="str">
        <f aca="false" t="array" ref="G488:G488">_xlfn.TEXTJOIN(" | ",TRUE(),IF('FEMA Disasters'!$F$2:$F$1000=$A488,'FEMA Disasters'!$D$2:$D$1000&amp;" begin: ["&amp;'FEMA Disasters'!$B$2:$B$1000&amp;"] "&amp;'FEMA Disasters'!$C$2:$C$1000&amp;"-"&amp;'FEMA Disasters'!$A$2:$A$1000,""),IF('FEMA Disasters'!$G$2:$G$1000=$A488,'FEMA Disasters'!$D$2:$D$1000&amp;" ended: ["&amp;'FEMA Disasters'!$B$2:$B$1000&amp;"] "&amp;'FEMA Disasters'!$C$2:$C$1000&amp;"-"&amp;'FEMA Disasters'!$A$2:$A$1000,""),IF('FEMA Disasters'!$K$2:$K$1000=$A488,"Disaster SEP opens: "&amp;'FEMA Disasters'!$D$2:$D$1000&amp;" ["&amp;'FEMA Disasters'!$B$2:$B$1000&amp;"] "&amp;'FEMA Disasters'!$C$2:$C$1000&amp;"-"&amp;'FEMA Disasters'!$A$2:$A$1000,""),IF('FEMA Disasters'!$L$2:$L$1000=$A488,"Disaster SEP ended: "&amp;'FEMA Disasters'!$D$2:$D$1000&amp;" ["&amp;'FEMA Disasters'!$B$2:$B$1000&amp;"] "&amp;'FEMA Disasters'!$C$2:$C$1000&amp;"-"&amp;'FEMA Disasters'!$A$2:$A$1000,""))</f>
        <v/>
      </c>
      <c r="H488" s="4" t="n">
        <f aca="false">COUNTIF(Events!$A$2:$A$397,$A488)</f>
        <v>0</v>
      </c>
      <c r="I488" s="6" t="str">
        <f aca="false" t="array" ref="I488:I488">_xlfn.TEXTJOIN(" | ",TRUE(),IF(Events!$A$2:$A$397=$A488,Events!$E$2:$E$397&amp;IF(Events!$G$2:$G$397="National",""," ["&amp;Events!$G$2:$G$397&amp;"]"),""))</f>
        <v/>
      </c>
    </row>
    <row r="489" customFormat="false" ht="15" hidden="false" customHeight="true" outlineLevel="0" collapsed="false">
      <c r="A489" s="3" t="n">
        <v>45779</v>
      </c>
      <c r="B489" s="4" t="n">
        <f aca="false">YEAR($A489)</f>
        <v>2025</v>
      </c>
      <c r="C489" s="4" t="n">
        <f aca="false">MONTH($A489)</f>
        <v>5</v>
      </c>
      <c r="D489" s="4" t="str">
        <f aca="false">TEXT($A489,"ddd")</f>
        <v>Fri</v>
      </c>
      <c r="E489" s="4" t="n">
        <f aca="false">IF(OR(AND(MONTH($A489)=10,DAY($A489)&gt;=15),MONTH($A489)=11,AND(MONTH($A489)=12,DAY($A489)&lt;=7)),1,0)</f>
        <v>0</v>
      </c>
      <c r="F489" s="4" t="n">
        <f aca="false">IF(MONTH($A489)&lt;=3,1,0)</f>
        <v>0</v>
      </c>
      <c r="G489" s="4" t="str">
        <f aca="false" t="array" ref="G489:G489">_xlfn.TEXTJOIN(" | ",TRUE(),IF('FEMA Disasters'!$F$2:$F$1000=$A489,'FEMA Disasters'!$D$2:$D$1000&amp;" begin: ["&amp;'FEMA Disasters'!$B$2:$B$1000&amp;"] "&amp;'FEMA Disasters'!$C$2:$C$1000&amp;"-"&amp;'FEMA Disasters'!$A$2:$A$1000,""),IF('FEMA Disasters'!$G$2:$G$1000=$A489,'FEMA Disasters'!$D$2:$D$1000&amp;" ended: ["&amp;'FEMA Disasters'!$B$2:$B$1000&amp;"] "&amp;'FEMA Disasters'!$C$2:$C$1000&amp;"-"&amp;'FEMA Disasters'!$A$2:$A$1000,""),IF('FEMA Disasters'!$K$2:$K$1000=$A489,"Disaster SEP opens: "&amp;'FEMA Disasters'!$D$2:$D$1000&amp;" ["&amp;'FEMA Disasters'!$B$2:$B$1000&amp;"] "&amp;'FEMA Disasters'!$C$2:$C$1000&amp;"-"&amp;'FEMA Disasters'!$A$2:$A$1000,""),IF('FEMA Disasters'!$L$2:$L$1000=$A489,"Disaster SEP ended: "&amp;'FEMA Disasters'!$D$2:$D$1000&amp;" ["&amp;'FEMA Disasters'!$B$2:$B$1000&amp;"] "&amp;'FEMA Disasters'!$C$2:$C$1000&amp;"-"&amp;'FEMA Disasters'!$A$2:$A$1000,""))</f>
        <v>Fire begin: [NC] FM-5582</v>
      </c>
      <c r="H489" s="4" t="n">
        <f aca="false">COUNTIF(Events!$A$2:$A$397,$A489)</f>
        <v>0</v>
      </c>
      <c r="I489" s="6" t="str">
        <f aca="false" t="array" ref="I489:I489">_xlfn.TEXTJOIN(" | ",TRUE(),IF(Events!$A$2:$A$397=$A489,Events!$E$2:$E$397&amp;IF(Events!$G$2:$G$397="National",""," ["&amp;Events!$G$2:$G$397&amp;"]"),""))</f>
        <v/>
      </c>
    </row>
    <row r="490" customFormat="false" ht="15" hidden="false" customHeight="true" outlineLevel="0" collapsed="false">
      <c r="A490" s="3" t="n">
        <v>45780</v>
      </c>
      <c r="B490" s="4" t="n">
        <f aca="false">YEAR($A490)</f>
        <v>2025</v>
      </c>
      <c r="C490" s="4" t="n">
        <f aca="false">MONTH($A490)</f>
        <v>5</v>
      </c>
      <c r="D490" s="4" t="str">
        <f aca="false">TEXT($A490,"ddd")</f>
        <v>Sat</v>
      </c>
      <c r="E490" s="4" t="n">
        <f aca="false">IF(OR(AND(MONTH($A490)=10,DAY($A490)&gt;=15),MONTH($A490)=11,AND(MONTH($A490)=12,DAY($A490)&lt;=7)),1,0)</f>
        <v>0</v>
      </c>
      <c r="F490" s="4" t="n">
        <f aca="false">IF(MONTH($A490)&lt;=3,1,0)</f>
        <v>0</v>
      </c>
      <c r="G490" s="4" t="str">
        <f aca="false" t="array" ref="G490:G490">_xlfn.TEXTJOIN(" | ",TRUE(),IF('FEMA Disasters'!$F$2:$F$1000=$A490,'FEMA Disasters'!$D$2:$D$1000&amp;" begin: ["&amp;'FEMA Disasters'!$B$2:$B$1000&amp;"] "&amp;'FEMA Disasters'!$C$2:$C$1000&amp;"-"&amp;'FEMA Disasters'!$A$2:$A$1000,""),IF('FEMA Disasters'!$G$2:$G$1000=$A490,'FEMA Disasters'!$D$2:$D$1000&amp;" ended: ["&amp;'FEMA Disasters'!$B$2:$B$1000&amp;"] "&amp;'FEMA Disasters'!$C$2:$C$1000&amp;"-"&amp;'FEMA Disasters'!$A$2:$A$1000,""),IF('FEMA Disasters'!$K$2:$K$1000=$A490,"Disaster SEP opens: "&amp;'FEMA Disasters'!$D$2:$D$1000&amp;" ["&amp;'FEMA Disasters'!$B$2:$B$1000&amp;"] "&amp;'FEMA Disasters'!$C$2:$C$1000&amp;"-"&amp;'FEMA Disasters'!$A$2:$A$1000,""),IF('FEMA Disasters'!$L$2:$L$1000=$A490,"Disaster SEP ended: "&amp;'FEMA Disasters'!$D$2:$D$1000&amp;" ["&amp;'FEMA Disasters'!$B$2:$B$1000&amp;"] "&amp;'FEMA Disasters'!$C$2:$C$1000&amp;"-"&amp;'FEMA Disasters'!$A$2:$A$1000,""))</f>
        <v/>
      </c>
      <c r="H490" s="4" t="n">
        <f aca="false">COUNTIF(Events!$A$2:$A$397,$A490)</f>
        <v>0</v>
      </c>
      <c r="I490" s="6" t="str">
        <f aca="false" t="array" ref="I490:I490">_xlfn.TEXTJOIN(" | ",TRUE(),IF(Events!$A$2:$A$397=$A490,Events!$E$2:$E$397&amp;IF(Events!$G$2:$G$397="National",""," ["&amp;Events!$G$2:$G$397&amp;"]"),""))</f>
        <v/>
      </c>
    </row>
    <row r="491" customFormat="false" ht="15" hidden="false" customHeight="true" outlineLevel="0" collapsed="false">
      <c r="A491" s="3" t="n">
        <v>45781</v>
      </c>
      <c r="B491" s="4" t="n">
        <f aca="false">YEAR($A491)</f>
        <v>2025</v>
      </c>
      <c r="C491" s="4" t="n">
        <f aca="false">MONTH($A491)</f>
        <v>5</v>
      </c>
      <c r="D491" s="4" t="str">
        <f aca="false">TEXT($A491,"ddd")</f>
        <v>Sun</v>
      </c>
      <c r="E491" s="4" t="n">
        <f aca="false">IF(OR(AND(MONTH($A491)=10,DAY($A491)&gt;=15),MONTH($A491)=11,AND(MONTH($A491)=12,DAY($A491)&lt;=7)),1,0)</f>
        <v>0</v>
      </c>
      <c r="F491" s="4" t="n">
        <f aca="false">IF(MONTH($A491)&lt;=3,1,0)</f>
        <v>0</v>
      </c>
      <c r="G491" s="4" t="str">
        <f aca="false" t="array" ref="G491:G491">_xlfn.TEXTJOIN(" | ",TRUE(),IF('FEMA Disasters'!$F$2:$F$1000=$A491,'FEMA Disasters'!$D$2:$D$1000&amp;" begin: ["&amp;'FEMA Disasters'!$B$2:$B$1000&amp;"] "&amp;'FEMA Disasters'!$C$2:$C$1000&amp;"-"&amp;'FEMA Disasters'!$A$2:$A$1000,""),IF('FEMA Disasters'!$G$2:$G$1000=$A491,'FEMA Disasters'!$D$2:$D$1000&amp;" ended: ["&amp;'FEMA Disasters'!$B$2:$B$1000&amp;"] "&amp;'FEMA Disasters'!$C$2:$C$1000&amp;"-"&amp;'FEMA Disasters'!$A$2:$A$1000,""),IF('FEMA Disasters'!$K$2:$K$1000=$A491,"Disaster SEP opens: "&amp;'FEMA Disasters'!$D$2:$D$1000&amp;" ["&amp;'FEMA Disasters'!$B$2:$B$1000&amp;"] "&amp;'FEMA Disasters'!$C$2:$C$1000&amp;"-"&amp;'FEMA Disasters'!$A$2:$A$1000,""),IF('FEMA Disasters'!$L$2:$L$1000=$A491,"Disaster SEP ended: "&amp;'FEMA Disasters'!$D$2:$D$1000&amp;" ["&amp;'FEMA Disasters'!$B$2:$B$1000&amp;"] "&amp;'FEMA Disasters'!$C$2:$C$1000&amp;"-"&amp;'FEMA Disasters'!$A$2:$A$1000,""))</f>
        <v/>
      </c>
      <c r="H491" s="4" t="n">
        <f aca="false">COUNTIF(Events!$A$2:$A$397,$A491)</f>
        <v>0</v>
      </c>
      <c r="I491" s="6" t="str">
        <f aca="false" t="array" ref="I491:I491">_xlfn.TEXTJOIN(" | ",TRUE(),IF(Events!$A$2:$A$397=$A491,Events!$E$2:$E$397&amp;IF(Events!$G$2:$G$397="National",""," ["&amp;Events!$G$2:$G$397&amp;"]"),""))</f>
        <v/>
      </c>
    </row>
    <row r="492" customFormat="false" ht="15" hidden="false" customHeight="true" outlineLevel="0" collapsed="false">
      <c r="A492" s="3" t="n">
        <v>45782</v>
      </c>
      <c r="B492" s="4" t="n">
        <f aca="false">YEAR($A492)</f>
        <v>2025</v>
      </c>
      <c r="C492" s="4" t="n">
        <f aca="false">MONTH($A492)</f>
        <v>5</v>
      </c>
      <c r="D492" s="4" t="str">
        <f aca="false">TEXT($A492,"ddd")</f>
        <v>Mon</v>
      </c>
      <c r="E492" s="4" t="n">
        <f aca="false">IF(OR(AND(MONTH($A492)=10,DAY($A492)&gt;=15),MONTH($A492)=11,AND(MONTH($A492)=12,DAY($A492)&lt;=7)),1,0)</f>
        <v>0</v>
      </c>
      <c r="F492" s="4" t="n">
        <f aca="false">IF(MONTH($A492)&lt;=3,1,0)</f>
        <v>0</v>
      </c>
      <c r="G492" s="4" t="str">
        <f aca="false" t="array" ref="G492:G492">_xlfn.TEXTJOIN(" | ",TRUE(),IF('FEMA Disasters'!$F$2:$F$1000=$A492,'FEMA Disasters'!$D$2:$D$1000&amp;" begin: ["&amp;'FEMA Disasters'!$B$2:$B$1000&amp;"] "&amp;'FEMA Disasters'!$C$2:$C$1000&amp;"-"&amp;'FEMA Disasters'!$A$2:$A$1000,""),IF('FEMA Disasters'!$G$2:$G$1000=$A492,'FEMA Disasters'!$D$2:$D$1000&amp;" ended: ["&amp;'FEMA Disasters'!$B$2:$B$1000&amp;"] "&amp;'FEMA Disasters'!$C$2:$C$1000&amp;"-"&amp;'FEMA Disasters'!$A$2:$A$1000,""),IF('FEMA Disasters'!$K$2:$K$1000=$A492,"Disaster SEP opens: "&amp;'FEMA Disasters'!$D$2:$D$1000&amp;" ["&amp;'FEMA Disasters'!$B$2:$B$1000&amp;"] "&amp;'FEMA Disasters'!$C$2:$C$1000&amp;"-"&amp;'FEMA Disasters'!$A$2:$A$1000,""),IF('FEMA Disasters'!$L$2:$L$1000=$A492,"Disaster SEP ended: "&amp;'FEMA Disasters'!$D$2:$D$1000&amp;" ["&amp;'FEMA Disasters'!$B$2:$B$1000&amp;"] "&amp;'FEMA Disasters'!$C$2:$C$1000&amp;"-"&amp;'FEMA Disasters'!$A$2:$A$1000,""))</f>
        <v/>
      </c>
      <c r="H492" s="4" t="n">
        <f aca="false">COUNTIF(Events!$A$2:$A$397,$A492)</f>
        <v>0</v>
      </c>
      <c r="I492" s="6" t="str">
        <f aca="false" t="array" ref="I492:I492">_xlfn.TEXTJOIN(" | ",TRUE(),IF(Events!$A$2:$A$397=$A492,Events!$E$2:$E$397&amp;IF(Events!$G$2:$G$397="National",""," ["&amp;Events!$G$2:$G$397&amp;"]"),""))</f>
        <v/>
      </c>
    </row>
    <row r="493" customFormat="false" ht="15" hidden="false" customHeight="true" outlineLevel="0" collapsed="false">
      <c r="A493" s="3" t="n">
        <v>45783</v>
      </c>
      <c r="B493" s="4" t="n">
        <f aca="false">YEAR($A493)</f>
        <v>2025</v>
      </c>
      <c r="C493" s="4" t="n">
        <f aca="false">MONTH($A493)</f>
        <v>5</v>
      </c>
      <c r="D493" s="4" t="str">
        <f aca="false">TEXT($A493,"ddd")</f>
        <v>Tue</v>
      </c>
      <c r="E493" s="4" t="n">
        <f aca="false">IF(OR(AND(MONTH($A493)=10,DAY($A493)&gt;=15),MONTH($A493)=11,AND(MONTH($A493)=12,DAY($A493)&lt;=7)),1,0)</f>
        <v>0</v>
      </c>
      <c r="F493" s="4" t="n">
        <f aca="false">IF(MONTH($A493)&lt;=3,1,0)</f>
        <v>0</v>
      </c>
      <c r="G493" s="4" t="str">
        <f aca="false" t="array" ref="G493:G493">_xlfn.TEXTJOIN(" | ",TRUE(),IF('FEMA Disasters'!$F$2:$F$1000=$A493,'FEMA Disasters'!$D$2:$D$1000&amp;" begin: ["&amp;'FEMA Disasters'!$B$2:$B$1000&amp;"] "&amp;'FEMA Disasters'!$C$2:$C$1000&amp;"-"&amp;'FEMA Disasters'!$A$2:$A$1000,""),IF('FEMA Disasters'!$G$2:$G$1000=$A493,'FEMA Disasters'!$D$2:$D$1000&amp;" ended: ["&amp;'FEMA Disasters'!$B$2:$B$1000&amp;"] "&amp;'FEMA Disasters'!$C$2:$C$1000&amp;"-"&amp;'FEMA Disasters'!$A$2:$A$1000,""),IF('FEMA Disasters'!$K$2:$K$1000=$A493,"Disaster SEP opens: "&amp;'FEMA Disasters'!$D$2:$D$1000&amp;" ["&amp;'FEMA Disasters'!$B$2:$B$1000&amp;"] "&amp;'FEMA Disasters'!$C$2:$C$1000&amp;"-"&amp;'FEMA Disasters'!$A$2:$A$1000,""),IF('FEMA Disasters'!$L$2:$L$1000=$A493,"Disaster SEP ended: "&amp;'FEMA Disasters'!$D$2:$D$1000&amp;" ["&amp;'FEMA Disasters'!$B$2:$B$1000&amp;"] "&amp;'FEMA Disasters'!$C$2:$C$1000&amp;"-"&amp;'FEMA Disasters'!$A$2:$A$1000,""))</f>
        <v/>
      </c>
      <c r="H493" s="4" t="n">
        <f aca="false">COUNTIF(Events!$A$2:$A$397,$A493)</f>
        <v>0</v>
      </c>
      <c r="I493" s="6" t="str">
        <f aca="false" t="array" ref="I493:I493">_xlfn.TEXTJOIN(" | ",TRUE(),IF(Events!$A$2:$A$397=$A493,Events!$E$2:$E$397&amp;IF(Events!$G$2:$G$397="National",""," ["&amp;Events!$G$2:$G$397&amp;"]"),""))</f>
        <v/>
      </c>
    </row>
    <row r="494" customFormat="false" ht="15" hidden="false" customHeight="true" outlineLevel="0" collapsed="false">
      <c r="A494" s="3" t="n">
        <v>45784</v>
      </c>
      <c r="B494" s="4" t="n">
        <f aca="false">YEAR($A494)</f>
        <v>2025</v>
      </c>
      <c r="C494" s="4" t="n">
        <f aca="false">MONTH($A494)</f>
        <v>5</v>
      </c>
      <c r="D494" s="4" t="str">
        <f aca="false">TEXT($A494,"ddd")</f>
        <v>Wed</v>
      </c>
      <c r="E494" s="4" t="n">
        <f aca="false">IF(OR(AND(MONTH($A494)=10,DAY($A494)&gt;=15),MONTH($A494)=11,AND(MONTH($A494)=12,DAY($A494)&lt;=7)),1,0)</f>
        <v>0</v>
      </c>
      <c r="F494" s="4" t="n">
        <f aca="false">IF(MONTH($A494)&lt;=3,1,0)</f>
        <v>0</v>
      </c>
      <c r="G494" s="4" t="str">
        <f aca="false" t="array" ref="G494:G494">_xlfn.TEXTJOIN(" | ",TRUE(),IF('FEMA Disasters'!$F$2:$F$1000=$A494,'FEMA Disasters'!$D$2:$D$1000&amp;" begin: ["&amp;'FEMA Disasters'!$B$2:$B$1000&amp;"] "&amp;'FEMA Disasters'!$C$2:$C$1000&amp;"-"&amp;'FEMA Disasters'!$A$2:$A$1000,""),IF('FEMA Disasters'!$G$2:$G$1000=$A494,'FEMA Disasters'!$D$2:$D$1000&amp;" ended: ["&amp;'FEMA Disasters'!$B$2:$B$1000&amp;"] "&amp;'FEMA Disasters'!$C$2:$C$1000&amp;"-"&amp;'FEMA Disasters'!$A$2:$A$1000,""),IF('FEMA Disasters'!$K$2:$K$1000=$A494,"Disaster SEP opens: "&amp;'FEMA Disasters'!$D$2:$D$1000&amp;" ["&amp;'FEMA Disasters'!$B$2:$B$1000&amp;"] "&amp;'FEMA Disasters'!$C$2:$C$1000&amp;"-"&amp;'FEMA Disasters'!$A$2:$A$1000,""),IF('FEMA Disasters'!$L$2:$L$1000=$A494,"Disaster SEP ended: "&amp;'FEMA Disasters'!$D$2:$D$1000&amp;" ["&amp;'FEMA Disasters'!$B$2:$B$1000&amp;"] "&amp;'FEMA Disasters'!$C$2:$C$1000&amp;"-"&amp;'FEMA Disasters'!$A$2:$A$1000,""))</f>
        <v/>
      </c>
      <c r="H494" s="4" t="n">
        <f aca="false">COUNTIF(Events!$A$2:$A$397,$A494)</f>
        <v>1</v>
      </c>
      <c r="I494" s="6" t="str">
        <f aca="false" t="array" ref="I494:I494">_xlfn.TEXTJOIN(" | ",TRUE(),IF(Events!$A$2:$A$397=$A494,Events!$E$2:$E$397&amp;IF(Events!$G$2:$G$397="National",""," ["&amp;Events!$G$2:$G$397&amp;"]"),""))</f>
        <v>Utah Medigap birthday rule takes effect (HB 258, enacted 3/26/2025): 60-day window from birthday to switch to an equal-or-lesser plan with the current insurer only, no underwriting [UT]</v>
      </c>
    </row>
    <row r="495" customFormat="false" ht="15" hidden="false" customHeight="true" outlineLevel="0" collapsed="false">
      <c r="A495" s="3" t="n">
        <v>45785</v>
      </c>
      <c r="B495" s="4" t="n">
        <f aca="false">YEAR($A495)</f>
        <v>2025</v>
      </c>
      <c r="C495" s="4" t="n">
        <f aca="false">MONTH($A495)</f>
        <v>5</v>
      </c>
      <c r="D495" s="4" t="str">
        <f aca="false">TEXT($A495,"ddd")</f>
        <v>Thu</v>
      </c>
      <c r="E495" s="4" t="n">
        <f aca="false">IF(OR(AND(MONTH($A495)=10,DAY($A495)&gt;=15),MONTH($A495)=11,AND(MONTH($A495)=12,DAY($A495)&lt;=7)),1,0)</f>
        <v>0</v>
      </c>
      <c r="F495" s="4" t="n">
        <f aca="false">IF(MONTH($A495)&lt;=3,1,0)</f>
        <v>0</v>
      </c>
      <c r="G495" s="4" t="str">
        <f aca="false" t="array" ref="G495:G495">_xlfn.TEXTJOIN(" | ",TRUE(),IF('FEMA Disasters'!$F$2:$F$1000=$A495,'FEMA Disasters'!$D$2:$D$1000&amp;" begin: ["&amp;'FEMA Disasters'!$B$2:$B$1000&amp;"] "&amp;'FEMA Disasters'!$C$2:$C$1000&amp;"-"&amp;'FEMA Disasters'!$A$2:$A$1000,""),IF('FEMA Disasters'!$G$2:$G$1000=$A495,'FEMA Disasters'!$D$2:$D$1000&amp;" ended: ["&amp;'FEMA Disasters'!$B$2:$B$1000&amp;"] "&amp;'FEMA Disasters'!$C$2:$C$1000&amp;"-"&amp;'FEMA Disasters'!$A$2:$A$1000,""),IF('FEMA Disasters'!$K$2:$K$1000=$A495,"Disaster SEP opens: "&amp;'FEMA Disasters'!$D$2:$D$1000&amp;" ["&amp;'FEMA Disasters'!$B$2:$B$1000&amp;"] "&amp;'FEMA Disasters'!$C$2:$C$1000&amp;"-"&amp;'FEMA Disasters'!$A$2:$A$1000,""),IF('FEMA Disasters'!$L$2:$L$1000=$A495,"Disaster SEP ended: "&amp;'FEMA Disasters'!$D$2:$D$1000&amp;" ["&amp;'FEMA Disasters'!$B$2:$B$1000&amp;"] "&amp;'FEMA Disasters'!$C$2:$C$1000&amp;"-"&amp;'FEMA Disasters'!$A$2:$A$1000,""))</f>
        <v/>
      </c>
      <c r="H495" s="4" t="n">
        <f aca="false">COUNTIF(Events!$A$2:$A$397,$A495)</f>
        <v>0</v>
      </c>
      <c r="I495" s="6" t="str">
        <f aca="false" t="array" ref="I495:I495">_xlfn.TEXTJOIN(" | ",TRUE(),IF(Events!$A$2:$A$397=$A495,Events!$E$2:$E$397&amp;IF(Events!$G$2:$G$397="National",""," ["&amp;Events!$G$2:$G$397&amp;"]"),""))</f>
        <v/>
      </c>
    </row>
    <row r="496" customFormat="false" ht="15" hidden="false" customHeight="true" outlineLevel="0" collapsed="false">
      <c r="A496" s="3" t="n">
        <v>45786</v>
      </c>
      <c r="B496" s="4" t="n">
        <f aca="false">YEAR($A496)</f>
        <v>2025</v>
      </c>
      <c r="C496" s="4" t="n">
        <f aca="false">MONTH($A496)</f>
        <v>5</v>
      </c>
      <c r="D496" s="4" t="str">
        <f aca="false">TEXT($A496,"ddd")</f>
        <v>Fri</v>
      </c>
      <c r="E496" s="4" t="n">
        <f aca="false">IF(OR(AND(MONTH($A496)=10,DAY($A496)&gt;=15),MONTH($A496)=11,AND(MONTH($A496)=12,DAY($A496)&lt;=7)),1,0)</f>
        <v>0</v>
      </c>
      <c r="F496" s="4" t="n">
        <f aca="false">IF(MONTH($A496)&lt;=3,1,0)</f>
        <v>0</v>
      </c>
      <c r="G496" s="4" t="str">
        <f aca="false" t="array" ref="G496:G496">_xlfn.TEXTJOIN(" | ",TRUE(),IF('FEMA Disasters'!$F$2:$F$1000=$A496,'FEMA Disasters'!$D$2:$D$1000&amp;" begin: ["&amp;'FEMA Disasters'!$B$2:$B$1000&amp;"] "&amp;'FEMA Disasters'!$C$2:$C$1000&amp;"-"&amp;'FEMA Disasters'!$A$2:$A$1000,""),IF('FEMA Disasters'!$G$2:$G$1000=$A496,'FEMA Disasters'!$D$2:$D$1000&amp;" ended: ["&amp;'FEMA Disasters'!$B$2:$B$1000&amp;"] "&amp;'FEMA Disasters'!$C$2:$C$1000&amp;"-"&amp;'FEMA Disasters'!$A$2:$A$1000,""),IF('FEMA Disasters'!$K$2:$K$1000=$A496,"Disaster SEP opens: "&amp;'FEMA Disasters'!$D$2:$D$1000&amp;" ["&amp;'FEMA Disasters'!$B$2:$B$1000&amp;"] "&amp;'FEMA Disasters'!$C$2:$C$1000&amp;"-"&amp;'FEMA Disasters'!$A$2:$A$1000,""),IF('FEMA Disasters'!$L$2:$L$1000=$A496,"Disaster SEP ended: "&amp;'FEMA Disasters'!$D$2:$D$1000&amp;" ["&amp;'FEMA Disasters'!$B$2:$B$1000&amp;"] "&amp;'FEMA Disasters'!$C$2:$C$1000&amp;"-"&amp;'FEMA Disasters'!$A$2:$A$1000,""))</f>
        <v/>
      </c>
      <c r="H496" s="4" t="n">
        <f aca="false">COUNTIF(Events!$A$2:$A$397,$A496)</f>
        <v>0</v>
      </c>
      <c r="I496" s="6" t="str">
        <f aca="false" t="array" ref="I496:I496">_xlfn.TEXTJOIN(" | ",TRUE(),IF(Events!$A$2:$A$397=$A496,Events!$E$2:$E$397&amp;IF(Events!$G$2:$G$397="National",""," ["&amp;Events!$G$2:$G$397&amp;"]"),""))</f>
        <v/>
      </c>
    </row>
    <row r="497" customFormat="false" ht="15" hidden="false" customHeight="true" outlineLevel="0" collapsed="false">
      <c r="A497" s="3" t="n">
        <v>45787</v>
      </c>
      <c r="B497" s="4" t="n">
        <f aca="false">YEAR($A497)</f>
        <v>2025</v>
      </c>
      <c r="C497" s="4" t="n">
        <f aca="false">MONTH($A497)</f>
        <v>5</v>
      </c>
      <c r="D497" s="4" t="str">
        <f aca="false">TEXT($A497,"ddd")</f>
        <v>Sat</v>
      </c>
      <c r="E497" s="4" t="n">
        <f aca="false">IF(OR(AND(MONTH($A497)=10,DAY($A497)&gt;=15),MONTH($A497)=11,AND(MONTH($A497)=12,DAY($A497)&lt;=7)),1,0)</f>
        <v>0</v>
      </c>
      <c r="F497" s="4" t="n">
        <f aca="false">IF(MONTH($A497)&lt;=3,1,0)</f>
        <v>0</v>
      </c>
      <c r="G497" s="4" t="str">
        <f aca="false" t="array" ref="G497:G497">_xlfn.TEXTJOIN(" | ",TRUE(),IF('FEMA Disasters'!$F$2:$F$1000=$A497,'FEMA Disasters'!$D$2:$D$1000&amp;" begin: ["&amp;'FEMA Disasters'!$B$2:$B$1000&amp;"] "&amp;'FEMA Disasters'!$C$2:$C$1000&amp;"-"&amp;'FEMA Disasters'!$A$2:$A$1000,""),IF('FEMA Disasters'!$G$2:$G$1000=$A497,'FEMA Disasters'!$D$2:$D$1000&amp;" ended: ["&amp;'FEMA Disasters'!$B$2:$B$1000&amp;"] "&amp;'FEMA Disasters'!$C$2:$C$1000&amp;"-"&amp;'FEMA Disasters'!$A$2:$A$1000,""),IF('FEMA Disasters'!$K$2:$K$1000=$A497,"Disaster SEP opens: "&amp;'FEMA Disasters'!$D$2:$D$1000&amp;" ["&amp;'FEMA Disasters'!$B$2:$B$1000&amp;"] "&amp;'FEMA Disasters'!$C$2:$C$1000&amp;"-"&amp;'FEMA Disasters'!$A$2:$A$1000,""),IF('FEMA Disasters'!$L$2:$L$1000=$A497,"Disaster SEP ended: "&amp;'FEMA Disasters'!$D$2:$D$1000&amp;" ["&amp;'FEMA Disasters'!$B$2:$B$1000&amp;"] "&amp;'FEMA Disasters'!$C$2:$C$1000&amp;"-"&amp;'FEMA Disasters'!$A$2:$A$1000,""))</f>
        <v/>
      </c>
      <c r="H497" s="4" t="n">
        <f aca="false">COUNTIF(Events!$A$2:$A$397,$A497)</f>
        <v>0</v>
      </c>
      <c r="I497" s="6" t="str">
        <f aca="false" t="array" ref="I497:I497">_xlfn.TEXTJOIN(" | ",TRUE(),IF(Events!$A$2:$A$397=$A497,Events!$E$2:$E$397&amp;IF(Events!$G$2:$G$397="National",""," ["&amp;Events!$G$2:$G$397&amp;"]"),""))</f>
        <v/>
      </c>
    </row>
    <row r="498" customFormat="false" ht="15" hidden="false" customHeight="true" outlineLevel="0" collapsed="false">
      <c r="A498" s="3" t="n">
        <v>45788</v>
      </c>
      <c r="B498" s="4" t="n">
        <f aca="false">YEAR($A498)</f>
        <v>2025</v>
      </c>
      <c r="C498" s="4" t="n">
        <f aca="false">MONTH($A498)</f>
        <v>5</v>
      </c>
      <c r="D498" s="4" t="str">
        <f aca="false">TEXT($A498,"ddd")</f>
        <v>Sun</v>
      </c>
      <c r="E498" s="4" t="n">
        <f aca="false">IF(OR(AND(MONTH($A498)=10,DAY($A498)&gt;=15),MONTH($A498)=11,AND(MONTH($A498)=12,DAY($A498)&lt;=7)),1,0)</f>
        <v>0</v>
      </c>
      <c r="F498" s="4" t="n">
        <f aca="false">IF(MONTH($A498)&lt;=3,1,0)</f>
        <v>0</v>
      </c>
      <c r="G498" s="4" t="str">
        <f aca="false" t="array" ref="G498:G498">_xlfn.TEXTJOIN(" | ",TRUE(),IF('FEMA Disasters'!$F$2:$F$1000=$A498,'FEMA Disasters'!$D$2:$D$1000&amp;" begin: ["&amp;'FEMA Disasters'!$B$2:$B$1000&amp;"] "&amp;'FEMA Disasters'!$C$2:$C$1000&amp;"-"&amp;'FEMA Disasters'!$A$2:$A$1000,""),IF('FEMA Disasters'!$G$2:$G$1000=$A498,'FEMA Disasters'!$D$2:$D$1000&amp;" ended: ["&amp;'FEMA Disasters'!$B$2:$B$1000&amp;"] "&amp;'FEMA Disasters'!$C$2:$C$1000&amp;"-"&amp;'FEMA Disasters'!$A$2:$A$1000,""),IF('FEMA Disasters'!$K$2:$K$1000=$A498,"Disaster SEP opens: "&amp;'FEMA Disasters'!$D$2:$D$1000&amp;" ["&amp;'FEMA Disasters'!$B$2:$B$1000&amp;"] "&amp;'FEMA Disasters'!$C$2:$C$1000&amp;"-"&amp;'FEMA Disasters'!$A$2:$A$1000,""),IF('FEMA Disasters'!$L$2:$L$1000=$A498,"Disaster SEP ended: "&amp;'FEMA Disasters'!$D$2:$D$1000&amp;" ["&amp;'FEMA Disasters'!$B$2:$B$1000&amp;"] "&amp;'FEMA Disasters'!$C$2:$C$1000&amp;"-"&amp;'FEMA Disasters'!$A$2:$A$1000,""))</f>
        <v/>
      </c>
      <c r="H498" s="4" t="n">
        <f aca="false">COUNTIF(Events!$A$2:$A$397,$A498)</f>
        <v>0</v>
      </c>
      <c r="I498" s="6" t="str">
        <f aca="false" t="array" ref="I498:I498">_xlfn.TEXTJOIN(" | ",TRUE(),IF(Events!$A$2:$A$397=$A498,Events!$E$2:$E$397&amp;IF(Events!$G$2:$G$397="National",""," ["&amp;Events!$G$2:$G$397&amp;"]"),""))</f>
        <v/>
      </c>
    </row>
    <row r="499" customFormat="false" ht="15" hidden="false" customHeight="true" outlineLevel="0" collapsed="false">
      <c r="A499" s="3" t="n">
        <v>45789</v>
      </c>
      <c r="B499" s="4" t="n">
        <f aca="false">YEAR($A499)</f>
        <v>2025</v>
      </c>
      <c r="C499" s="4" t="n">
        <f aca="false">MONTH($A499)</f>
        <v>5</v>
      </c>
      <c r="D499" s="4" t="str">
        <f aca="false">TEXT($A499,"ddd")</f>
        <v>Mon</v>
      </c>
      <c r="E499" s="4" t="n">
        <f aca="false">IF(OR(AND(MONTH($A499)=10,DAY($A499)&gt;=15),MONTH($A499)=11,AND(MONTH($A499)=12,DAY($A499)&lt;=7)),1,0)</f>
        <v>0</v>
      </c>
      <c r="F499" s="4" t="n">
        <f aca="false">IF(MONTH($A499)&lt;=3,1,0)</f>
        <v>0</v>
      </c>
      <c r="G499" s="4" t="str">
        <f aca="false" t="array" ref="G499:G499">_xlfn.TEXTJOIN(" | ",TRUE(),IF('FEMA Disasters'!$F$2:$F$1000=$A499,'FEMA Disasters'!$D$2:$D$1000&amp;" begin: ["&amp;'FEMA Disasters'!$B$2:$B$1000&amp;"] "&amp;'FEMA Disasters'!$C$2:$C$1000&amp;"-"&amp;'FEMA Disasters'!$A$2:$A$1000,""),IF('FEMA Disasters'!$G$2:$G$1000=$A499,'FEMA Disasters'!$D$2:$D$1000&amp;" ended: ["&amp;'FEMA Disasters'!$B$2:$B$1000&amp;"] "&amp;'FEMA Disasters'!$C$2:$C$1000&amp;"-"&amp;'FEMA Disasters'!$A$2:$A$1000,""),IF('FEMA Disasters'!$K$2:$K$1000=$A499,"Disaster SEP opens: "&amp;'FEMA Disasters'!$D$2:$D$1000&amp;" ["&amp;'FEMA Disasters'!$B$2:$B$1000&amp;"] "&amp;'FEMA Disasters'!$C$2:$C$1000&amp;"-"&amp;'FEMA Disasters'!$A$2:$A$1000,""),IF('FEMA Disasters'!$L$2:$L$1000=$A499,"Disaster SEP ended: "&amp;'FEMA Disasters'!$D$2:$D$1000&amp;" ["&amp;'FEMA Disasters'!$B$2:$B$1000&amp;"] "&amp;'FEMA Disasters'!$C$2:$C$1000&amp;"-"&amp;'FEMA Disasters'!$A$2:$A$1000,""))</f>
        <v>Fire begin: [MN] FM-5583</v>
      </c>
      <c r="H499" s="4" t="n">
        <f aca="false">COUNTIF(Events!$A$2:$A$397,$A499)</f>
        <v>0</v>
      </c>
      <c r="I499" s="6" t="str">
        <f aca="false" t="array" ref="I499:I499">_xlfn.TEXTJOIN(" | ",TRUE(),IF(Events!$A$2:$A$397=$A499,Events!$E$2:$E$397&amp;IF(Events!$G$2:$G$397="National",""," ["&amp;Events!$G$2:$G$397&amp;"]"),""))</f>
        <v/>
      </c>
    </row>
    <row r="500" customFormat="false" ht="15" hidden="false" customHeight="true" outlineLevel="0" collapsed="false">
      <c r="A500" s="3" t="n">
        <v>45790</v>
      </c>
      <c r="B500" s="4" t="n">
        <f aca="false">YEAR($A500)</f>
        <v>2025</v>
      </c>
      <c r="C500" s="4" t="n">
        <f aca="false">MONTH($A500)</f>
        <v>5</v>
      </c>
      <c r="D500" s="4" t="str">
        <f aca="false">TEXT($A500,"ddd")</f>
        <v>Tue</v>
      </c>
      <c r="E500" s="4" t="n">
        <f aca="false">IF(OR(AND(MONTH($A500)=10,DAY($A500)&gt;=15),MONTH($A500)=11,AND(MONTH($A500)=12,DAY($A500)&lt;=7)),1,0)</f>
        <v>0</v>
      </c>
      <c r="F500" s="4" t="n">
        <f aca="false">IF(MONTH($A500)&lt;=3,1,0)</f>
        <v>0</v>
      </c>
      <c r="G500" s="4" t="str">
        <f aca="false" t="array" ref="G500:G500">_xlfn.TEXTJOIN(" | ",TRUE(),IF('FEMA Disasters'!$F$2:$F$1000=$A500,'FEMA Disasters'!$D$2:$D$1000&amp;" begin: ["&amp;'FEMA Disasters'!$B$2:$B$1000&amp;"] "&amp;'FEMA Disasters'!$C$2:$C$1000&amp;"-"&amp;'FEMA Disasters'!$A$2:$A$1000,""),IF('FEMA Disasters'!$G$2:$G$1000=$A500,'FEMA Disasters'!$D$2:$D$1000&amp;" ended: ["&amp;'FEMA Disasters'!$B$2:$B$1000&amp;"] "&amp;'FEMA Disasters'!$C$2:$C$1000&amp;"-"&amp;'FEMA Disasters'!$A$2:$A$1000,""),IF('FEMA Disasters'!$K$2:$K$1000=$A500,"Disaster SEP opens: "&amp;'FEMA Disasters'!$D$2:$D$1000&amp;" ["&amp;'FEMA Disasters'!$B$2:$B$1000&amp;"] "&amp;'FEMA Disasters'!$C$2:$C$1000&amp;"-"&amp;'FEMA Disasters'!$A$2:$A$1000,""),IF('FEMA Disasters'!$L$2:$L$1000=$A500,"Disaster SEP ended: "&amp;'FEMA Disasters'!$D$2:$D$1000&amp;" ["&amp;'FEMA Disasters'!$B$2:$B$1000&amp;"] "&amp;'FEMA Disasters'!$C$2:$C$1000&amp;"-"&amp;'FEMA Disasters'!$A$2:$A$1000,""))</f>
        <v/>
      </c>
      <c r="H500" s="4" t="n">
        <f aca="false">COUNTIF(Events!$A$2:$A$397,$A500)</f>
        <v>0</v>
      </c>
      <c r="I500" s="6" t="str">
        <f aca="false" t="array" ref="I500:I500">_xlfn.TEXTJOIN(" | ",TRUE(),IF(Events!$A$2:$A$397=$A500,Events!$E$2:$E$397&amp;IF(Events!$G$2:$G$397="National",""," ["&amp;Events!$G$2:$G$397&amp;"]"),""))</f>
        <v/>
      </c>
    </row>
    <row r="501" customFormat="false" ht="15" hidden="false" customHeight="true" outlineLevel="0" collapsed="false">
      <c r="A501" s="3" t="n">
        <v>45791</v>
      </c>
      <c r="B501" s="4" t="n">
        <f aca="false">YEAR($A501)</f>
        <v>2025</v>
      </c>
      <c r="C501" s="4" t="n">
        <f aca="false">MONTH($A501)</f>
        <v>5</v>
      </c>
      <c r="D501" s="4" t="str">
        <f aca="false">TEXT($A501,"ddd")</f>
        <v>Wed</v>
      </c>
      <c r="E501" s="4" t="n">
        <f aca="false">IF(OR(AND(MONTH($A501)=10,DAY($A501)&gt;=15),MONTH($A501)=11,AND(MONTH($A501)=12,DAY($A501)&lt;=7)),1,0)</f>
        <v>0</v>
      </c>
      <c r="F501" s="4" t="n">
        <f aca="false">IF(MONTH($A501)&lt;=3,1,0)</f>
        <v>0</v>
      </c>
      <c r="G501" s="4" t="str">
        <f aca="false" t="array" ref="G501:G501">_xlfn.TEXTJOIN(" | ",TRUE(),IF('FEMA Disasters'!$F$2:$F$1000=$A501,'FEMA Disasters'!$D$2:$D$1000&amp;" begin: ["&amp;'FEMA Disasters'!$B$2:$B$1000&amp;"] "&amp;'FEMA Disasters'!$C$2:$C$1000&amp;"-"&amp;'FEMA Disasters'!$A$2:$A$1000,""),IF('FEMA Disasters'!$G$2:$G$1000=$A501,'FEMA Disasters'!$D$2:$D$1000&amp;" ended: ["&amp;'FEMA Disasters'!$B$2:$B$1000&amp;"] "&amp;'FEMA Disasters'!$C$2:$C$1000&amp;"-"&amp;'FEMA Disasters'!$A$2:$A$1000,""),IF('FEMA Disasters'!$K$2:$K$1000=$A501,"Disaster SEP opens: "&amp;'FEMA Disasters'!$D$2:$D$1000&amp;" ["&amp;'FEMA Disasters'!$B$2:$B$1000&amp;"] "&amp;'FEMA Disasters'!$C$2:$C$1000&amp;"-"&amp;'FEMA Disasters'!$A$2:$A$1000,""),IF('FEMA Disasters'!$L$2:$L$1000=$A501,"Disaster SEP ended: "&amp;'FEMA Disasters'!$D$2:$D$1000&amp;" ["&amp;'FEMA Disasters'!$B$2:$B$1000&amp;"] "&amp;'FEMA Disasters'!$C$2:$C$1000&amp;"-"&amp;'FEMA Disasters'!$A$2:$A$1000,""))</f>
        <v>Fire begin: [AZ] FM-5584</v>
      </c>
      <c r="H501" s="4" t="n">
        <f aca="false">COUNTIF(Events!$A$2:$A$397,$A501)</f>
        <v>0</v>
      </c>
      <c r="I501" s="6" t="str">
        <f aca="false" t="array" ref="I501:I501">_xlfn.TEXTJOIN(" | ",TRUE(),IF(Events!$A$2:$A$397=$A501,Events!$E$2:$E$397&amp;IF(Events!$G$2:$G$397="National",""," ["&amp;Events!$G$2:$G$397&amp;"]"),""))</f>
        <v/>
      </c>
    </row>
    <row r="502" customFormat="false" ht="15" hidden="false" customHeight="true" outlineLevel="0" collapsed="false">
      <c r="A502" s="3" t="n">
        <v>45792</v>
      </c>
      <c r="B502" s="4" t="n">
        <f aca="false">YEAR($A502)</f>
        <v>2025</v>
      </c>
      <c r="C502" s="4" t="n">
        <f aca="false">MONTH($A502)</f>
        <v>5</v>
      </c>
      <c r="D502" s="4" t="str">
        <f aca="false">TEXT($A502,"ddd")</f>
        <v>Thu</v>
      </c>
      <c r="E502" s="4" t="n">
        <f aca="false">IF(OR(AND(MONTH($A502)=10,DAY($A502)&gt;=15),MONTH($A502)=11,AND(MONTH($A502)=12,DAY($A502)&lt;=7)),1,0)</f>
        <v>0</v>
      </c>
      <c r="F502" s="4" t="n">
        <f aca="false">IF(MONTH($A502)&lt;=3,1,0)</f>
        <v>0</v>
      </c>
      <c r="G502" s="4" t="str">
        <f aca="false" t="array" ref="G502:G502">_xlfn.TEXTJOIN(" | ",TRUE(),IF('FEMA Disasters'!$F$2:$F$1000=$A502,'FEMA Disasters'!$D$2:$D$1000&amp;" begin: ["&amp;'FEMA Disasters'!$B$2:$B$1000&amp;"] "&amp;'FEMA Disasters'!$C$2:$C$1000&amp;"-"&amp;'FEMA Disasters'!$A$2:$A$1000,""),IF('FEMA Disasters'!$G$2:$G$1000=$A502,'FEMA Disasters'!$D$2:$D$1000&amp;" ended: ["&amp;'FEMA Disasters'!$B$2:$B$1000&amp;"] "&amp;'FEMA Disasters'!$C$2:$C$1000&amp;"-"&amp;'FEMA Disasters'!$A$2:$A$1000,""),IF('FEMA Disasters'!$K$2:$K$1000=$A502,"Disaster SEP opens: "&amp;'FEMA Disasters'!$D$2:$D$1000&amp;" ["&amp;'FEMA Disasters'!$B$2:$B$1000&amp;"] "&amp;'FEMA Disasters'!$C$2:$C$1000&amp;"-"&amp;'FEMA Disasters'!$A$2:$A$1000,""),IF('FEMA Disasters'!$L$2:$L$1000=$A502,"Disaster SEP ended: "&amp;'FEMA Disasters'!$D$2:$D$1000&amp;" ["&amp;'FEMA Disasters'!$B$2:$B$1000&amp;"] "&amp;'FEMA Disasters'!$C$2:$C$1000&amp;"-"&amp;'FEMA Disasters'!$A$2:$A$1000,""))</f>
        <v/>
      </c>
      <c r="H502" s="4" t="n">
        <f aca="false">COUNTIF(Events!$A$2:$A$397,$A502)</f>
        <v>0</v>
      </c>
      <c r="I502" s="6" t="str">
        <f aca="false" t="array" ref="I502:I502">_xlfn.TEXTJOIN(" | ",TRUE(),IF(Events!$A$2:$A$397=$A502,Events!$E$2:$E$397&amp;IF(Events!$G$2:$G$397="National",""," ["&amp;Events!$G$2:$G$397&amp;"]"),""))</f>
        <v/>
      </c>
    </row>
    <row r="503" customFormat="false" ht="15" hidden="false" customHeight="true" outlineLevel="0" collapsed="false">
      <c r="A503" s="3" t="n">
        <v>45793</v>
      </c>
      <c r="B503" s="4" t="n">
        <f aca="false">YEAR($A503)</f>
        <v>2025</v>
      </c>
      <c r="C503" s="4" t="n">
        <f aca="false">MONTH($A503)</f>
        <v>5</v>
      </c>
      <c r="D503" s="4" t="str">
        <f aca="false">TEXT($A503,"ddd")</f>
        <v>Fri</v>
      </c>
      <c r="E503" s="4" t="n">
        <f aca="false">IF(OR(AND(MONTH($A503)=10,DAY($A503)&gt;=15),MONTH($A503)=11,AND(MONTH($A503)=12,DAY($A503)&lt;=7)),1,0)</f>
        <v>0</v>
      </c>
      <c r="F503" s="4" t="n">
        <f aca="false">IF(MONTH($A503)&lt;=3,1,0)</f>
        <v>0</v>
      </c>
      <c r="G503" s="4" t="str">
        <f aca="false" t="array" ref="G503:G503">_xlfn.TEXTJOIN(" | ",TRUE(),IF('FEMA Disasters'!$F$2:$F$1000=$A503,'FEMA Disasters'!$D$2:$D$1000&amp;" begin: ["&amp;'FEMA Disasters'!$B$2:$B$1000&amp;"] "&amp;'FEMA Disasters'!$C$2:$C$1000&amp;"-"&amp;'FEMA Disasters'!$A$2:$A$1000,""),IF('FEMA Disasters'!$G$2:$G$1000=$A503,'FEMA Disasters'!$D$2:$D$1000&amp;" ended: ["&amp;'FEMA Disasters'!$B$2:$B$1000&amp;"] "&amp;'FEMA Disasters'!$C$2:$C$1000&amp;"-"&amp;'FEMA Disasters'!$A$2:$A$1000,""),IF('FEMA Disasters'!$K$2:$K$1000=$A503,"Disaster SEP opens: "&amp;'FEMA Disasters'!$D$2:$D$1000&amp;" ["&amp;'FEMA Disasters'!$B$2:$B$1000&amp;"] "&amp;'FEMA Disasters'!$C$2:$C$1000&amp;"-"&amp;'FEMA Disasters'!$A$2:$A$1000,""),IF('FEMA Disasters'!$L$2:$L$1000=$A503,"Disaster SEP ended: "&amp;'FEMA Disasters'!$D$2:$D$1000&amp;" ["&amp;'FEMA Disasters'!$B$2:$B$1000&amp;"] "&amp;'FEMA Disasters'!$C$2:$C$1000&amp;"-"&amp;'FEMA Disasters'!$A$2:$A$1000,""))</f>
        <v>Severe Storm begin: [KY] DR-4875 | Severe Storm begin: [MO] DR-4877 | Severe Storm ended: [KY] EM-3626 | Severe Storm ended: [KY] DR-4864 | Severe Storm ended: [MO] DR-4877</v>
      </c>
      <c r="H503" s="4" t="n">
        <f aca="false">COUNTIF(Events!$A$2:$A$397,$A503)</f>
        <v>0</v>
      </c>
      <c r="I503" s="6" t="str">
        <f aca="false" t="array" ref="I503:I503">_xlfn.TEXTJOIN(" | ",TRUE(),IF(Events!$A$2:$A$397=$A503,Events!$E$2:$E$397&amp;IF(Events!$G$2:$G$397="National",""," ["&amp;Events!$G$2:$G$397&amp;"]"),""))</f>
        <v/>
      </c>
    </row>
    <row r="504" customFormat="false" ht="15" hidden="false" customHeight="true" outlineLevel="0" collapsed="false">
      <c r="A504" s="3" t="n">
        <v>45794</v>
      </c>
      <c r="B504" s="4" t="n">
        <f aca="false">YEAR($A504)</f>
        <v>2025</v>
      </c>
      <c r="C504" s="4" t="n">
        <f aca="false">MONTH($A504)</f>
        <v>5</v>
      </c>
      <c r="D504" s="4" t="str">
        <f aca="false">TEXT($A504,"ddd")</f>
        <v>Sat</v>
      </c>
      <c r="E504" s="4" t="n">
        <f aca="false">IF(OR(AND(MONTH($A504)=10,DAY($A504)&gt;=15),MONTH($A504)=11,AND(MONTH($A504)=12,DAY($A504)&lt;=7)),1,0)</f>
        <v>0</v>
      </c>
      <c r="F504" s="4" t="n">
        <f aca="false">IF(MONTH($A504)&lt;=3,1,0)</f>
        <v>0</v>
      </c>
      <c r="G504" s="4" t="str">
        <f aca="false" t="array" ref="G504:G504">_xlfn.TEXTJOIN(" | ",TRUE(),IF('FEMA Disasters'!$F$2:$F$1000=$A504,'FEMA Disasters'!$D$2:$D$1000&amp;" begin: ["&amp;'FEMA Disasters'!$B$2:$B$1000&amp;"] "&amp;'FEMA Disasters'!$C$2:$C$1000&amp;"-"&amp;'FEMA Disasters'!$A$2:$A$1000,""),IF('FEMA Disasters'!$G$2:$G$1000=$A504,'FEMA Disasters'!$D$2:$D$1000&amp;" ended: ["&amp;'FEMA Disasters'!$B$2:$B$1000&amp;"] "&amp;'FEMA Disasters'!$C$2:$C$1000&amp;"-"&amp;'FEMA Disasters'!$A$2:$A$1000,""),IF('FEMA Disasters'!$K$2:$K$1000=$A504,"Disaster SEP opens: "&amp;'FEMA Disasters'!$D$2:$D$1000&amp;" ["&amp;'FEMA Disasters'!$B$2:$B$1000&amp;"] "&amp;'FEMA Disasters'!$C$2:$C$1000&amp;"-"&amp;'FEMA Disasters'!$A$2:$A$1000,""),IF('FEMA Disasters'!$L$2:$L$1000=$A504,"Disaster SEP ended: "&amp;'FEMA Disasters'!$D$2:$D$1000&amp;" ["&amp;'FEMA Disasters'!$B$2:$B$1000&amp;"] "&amp;'FEMA Disasters'!$C$2:$C$1000&amp;"-"&amp;'FEMA Disasters'!$A$2:$A$1000,""))</f>
        <v>Severe Storm ended: [KY] DR-4875</v>
      </c>
      <c r="H504" s="4" t="n">
        <f aca="false">COUNTIF(Events!$A$2:$A$397,$A504)</f>
        <v>0</v>
      </c>
      <c r="I504" s="6" t="str">
        <f aca="false" t="array" ref="I504:I504">_xlfn.TEXTJOIN(" | ",TRUE(),IF(Events!$A$2:$A$397=$A504,Events!$E$2:$E$397&amp;IF(Events!$G$2:$G$397="National",""," ["&amp;Events!$G$2:$G$397&amp;"]"),""))</f>
        <v/>
      </c>
    </row>
    <row r="505" customFormat="false" ht="15" hidden="false" customHeight="true" outlineLevel="0" collapsed="false">
      <c r="A505" s="3" t="n">
        <v>45795</v>
      </c>
      <c r="B505" s="4" t="n">
        <f aca="false">YEAR($A505)</f>
        <v>2025</v>
      </c>
      <c r="C505" s="4" t="n">
        <f aca="false">MONTH($A505)</f>
        <v>5</v>
      </c>
      <c r="D505" s="4" t="str">
        <f aca="false">TEXT($A505,"ddd")</f>
        <v>Sun</v>
      </c>
      <c r="E505" s="4" t="n">
        <f aca="false">IF(OR(AND(MONTH($A505)=10,DAY($A505)&gt;=15),MONTH($A505)=11,AND(MONTH($A505)=12,DAY($A505)&lt;=7)),1,0)</f>
        <v>0</v>
      </c>
      <c r="F505" s="4" t="n">
        <f aca="false">IF(MONTH($A505)&lt;=3,1,0)</f>
        <v>0</v>
      </c>
      <c r="G505" s="4" t="str">
        <f aca="false" t="array" ref="G505:G505">_xlfn.TEXTJOIN(" | ",TRUE(),IF('FEMA Disasters'!$F$2:$F$1000=$A505,'FEMA Disasters'!$D$2:$D$1000&amp;" begin: ["&amp;'FEMA Disasters'!$B$2:$B$1000&amp;"] "&amp;'FEMA Disasters'!$C$2:$C$1000&amp;"-"&amp;'FEMA Disasters'!$A$2:$A$1000,""),IF('FEMA Disasters'!$G$2:$G$1000=$A505,'FEMA Disasters'!$D$2:$D$1000&amp;" ended: ["&amp;'FEMA Disasters'!$B$2:$B$1000&amp;"] "&amp;'FEMA Disasters'!$C$2:$C$1000&amp;"-"&amp;'FEMA Disasters'!$A$2:$A$1000,""),IF('FEMA Disasters'!$K$2:$K$1000=$A505,"Disaster SEP opens: "&amp;'FEMA Disasters'!$D$2:$D$1000&amp;" ["&amp;'FEMA Disasters'!$B$2:$B$1000&amp;"] "&amp;'FEMA Disasters'!$C$2:$C$1000&amp;"-"&amp;'FEMA Disasters'!$A$2:$A$1000,""),IF('FEMA Disasters'!$L$2:$L$1000=$A505,"Disaster SEP ended: "&amp;'FEMA Disasters'!$D$2:$D$1000&amp;" ["&amp;'FEMA Disasters'!$B$2:$B$1000&amp;"] "&amp;'FEMA Disasters'!$C$2:$C$1000&amp;"-"&amp;'FEMA Disasters'!$A$2:$A$1000,""))</f>
        <v>Severe Storm begin: [KS] DR-4883 | Flood begin: [MT] DR-4887</v>
      </c>
      <c r="H505" s="4" t="n">
        <f aca="false">COUNTIF(Events!$A$2:$A$397,$A505)</f>
        <v>0</v>
      </c>
      <c r="I505" s="6" t="str">
        <f aca="false" t="array" ref="I505:I505">_xlfn.TEXTJOIN(" | ",TRUE(),IF(Events!$A$2:$A$397=$A505,Events!$E$2:$E$397&amp;IF(Events!$G$2:$G$397="National",""," ["&amp;Events!$G$2:$G$397&amp;"]"),""))</f>
        <v/>
      </c>
    </row>
    <row r="506" customFormat="false" ht="15" hidden="false" customHeight="true" outlineLevel="0" collapsed="false">
      <c r="A506" s="3" t="n">
        <v>45796</v>
      </c>
      <c r="B506" s="4" t="n">
        <f aca="false">YEAR($A506)</f>
        <v>2025</v>
      </c>
      <c r="C506" s="4" t="n">
        <f aca="false">MONTH($A506)</f>
        <v>5</v>
      </c>
      <c r="D506" s="4" t="str">
        <f aca="false">TEXT($A506,"ddd")</f>
        <v>Mon</v>
      </c>
      <c r="E506" s="4" t="n">
        <f aca="false">IF(OR(AND(MONTH($A506)=10,DAY($A506)&gt;=15),MONTH($A506)=11,AND(MONTH($A506)=12,DAY($A506)&lt;=7)),1,0)</f>
        <v>0</v>
      </c>
      <c r="F506" s="4" t="n">
        <f aca="false">IF(MONTH($A506)&lt;=3,1,0)</f>
        <v>0</v>
      </c>
      <c r="G506" s="4" t="str">
        <f aca="false" t="array" ref="G506:G506">_xlfn.TEXTJOIN(" | ",TRUE(),IF('FEMA Disasters'!$F$2:$F$1000=$A506,'FEMA Disasters'!$D$2:$D$1000&amp;" begin: ["&amp;'FEMA Disasters'!$B$2:$B$1000&amp;"] "&amp;'FEMA Disasters'!$C$2:$C$1000&amp;"-"&amp;'FEMA Disasters'!$A$2:$A$1000,""),IF('FEMA Disasters'!$G$2:$G$1000=$A506,'FEMA Disasters'!$D$2:$D$1000&amp;" ended: ["&amp;'FEMA Disasters'!$B$2:$B$1000&amp;"] "&amp;'FEMA Disasters'!$C$2:$C$1000&amp;"-"&amp;'FEMA Disasters'!$A$2:$A$1000,""),IF('FEMA Disasters'!$K$2:$K$1000=$A506,"Disaster SEP opens: "&amp;'FEMA Disasters'!$D$2:$D$1000&amp;" ["&amp;'FEMA Disasters'!$B$2:$B$1000&amp;"] "&amp;'FEMA Disasters'!$C$2:$C$1000&amp;"-"&amp;'FEMA Disasters'!$A$2:$A$1000,""),IF('FEMA Disasters'!$L$2:$L$1000=$A506,"Disaster SEP ended: "&amp;'FEMA Disasters'!$D$2:$D$1000&amp;" ["&amp;'FEMA Disasters'!$B$2:$B$1000&amp;"] "&amp;'FEMA Disasters'!$C$2:$C$1000&amp;"-"&amp;'FEMA Disasters'!$A$2:$A$1000,""))</f>
        <v>Severe Storm ended: [KS] DR-4883</v>
      </c>
      <c r="H506" s="4" t="n">
        <f aca="false">COUNTIF(Events!$A$2:$A$397,$A506)</f>
        <v>0</v>
      </c>
      <c r="I506" s="6" t="str">
        <f aca="false" t="array" ref="I506:I506">_xlfn.TEXTJOIN(" | ",TRUE(),IF(Events!$A$2:$A$397=$A506,Events!$E$2:$E$397&amp;IF(Events!$G$2:$G$397="National",""," ["&amp;Events!$G$2:$G$397&amp;"]"),""))</f>
        <v/>
      </c>
    </row>
    <row r="507" customFormat="false" ht="15" hidden="false" customHeight="true" outlineLevel="0" collapsed="false">
      <c r="A507" s="3" t="n">
        <v>45797</v>
      </c>
      <c r="B507" s="4" t="n">
        <f aca="false">YEAR($A507)</f>
        <v>2025</v>
      </c>
      <c r="C507" s="4" t="n">
        <f aca="false">MONTH($A507)</f>
        <v>5</v>
      </c>
      <c r="D507" s="4" t="str">
        <f aca="false">TEXT($A507,"ddd")</f>
        <v>Tue</v>
      </c>
      <c r="E507" s="4" t="n">
        <f aca="false">IF(OR(AND(MONTH($A507)=10,DAY($A507)&gt;=15),MONTH($A507)=11,AND(MONTH($A507)=12,DAY($A507)&lt;=7)),1,0)</f>
        <v>0</v>
      </c>
      <c r="F507" s="4" t="n">
        <f aca="false">IF(MONTH($A507)&lt;=3,1,0)</f>
        <v>0</v>
      </c>
      <c r="G507" s="4" t="str">
        <f aca="false" t="array" ref="G507:G507">_xlfn.TEXTJOIN(" | ",TRUE(),IF('FEMA Disasters'!$F$2:$F$1000=$A507,'FEMA Disasters'!$D$2:$D$1000&amp;" begin: ["&amp;'FEMA Disasters'!$B$2:$B$1000&amp;"] "&amp;'FEMA Disasters'!$C$2:$C$1000&amp;"-"&amp;'FEMA Disasters'!$A$2:$A$1000,""),IF('FEMA Disasters'!$G$2:$G$1000=$A507,'FEMA Disasters'!$D$2:$D$1000&amp;" ended: ["&amp;'FEMA Disasters'!$B$2:$B$1000&amp;"] "&amp;'FEMA Disasters'!$C$2:$C$1000&amp;"-"&amp;'FEMA Disasters'!$A$2:$A$1000,""),IF('FEMA Disasters'!$K$2:$K$1000=$A507,"Disaster SEP opens: "&amp;'FEMA Disasters'!$D$2:$D$1000&amp;" ["&amp;'FEMA Disasters'!$B$2:$B$1000&amp;"] "&amp;'FEMA Disasters'!$C$2:$C$1000&amp;"-"&amp;'FEMA Disasters'!$A$2:$A$1000,""),IF('FEMA Disasters'!$L$2:$L$1000=$A507,"Disaster SEP ended: "&amp;'FEMA Disasters'!$D$2:$D$1000&amp;" ["&amp;'FEMA Disasters'!$B$2:$B$1000&amp;"] "&amp;'FEMA Disasters'!$C$2:$C$1000&amp;"-"&amp;'FEMA Disasters'!$A$2:$A$1000,""))</f>
        <v>Fire ended: [MN] FM-5583 | Fire ended: [AZ] FM-5584</v>
      </c>
      <c r="H507" s="4" t="n">
        <f aca="false">COUNTIF(Events!$A$2:$A$397,$A507)</f>
        <v>0</v>
      </c>
      <c r="I507" s="6" t="str">
        <f aca="false" t="array" ref="I507:I507">_xlfn.TEXTJOIN(" | ",TRUE(),IF(Events!$A$2:$A$397=$A507,Events!$E$2:$E$397&amp;IF(Events!$G$2:$G$397="National",""," ["&amp;Events!$G$2:$G$397&amp;"]"),""))</f>
        <v/>
      </c>
    </row>
    <row r="508" customFormat="false" ht="15" hidden="false" customHeight="true" outlineLevel="0" collapsed="false">
      <c r="A508" s="3" t="n">
        <v>45798</v>
      </c>
      <c r="B508" s="4" t="n">
        <f aca="false">YEAR($A508)</f>
        <v>2025</v>
      </c>
      <c r="C508" s="4" t="n">
        <f aca="false">MONTH($A508)</f>
        <v>5</v>
      </c>
      <c r="D508" s="4" t="str">
        <f aca="false">TEXT($A508,"ddd")</f>
        <v>Wed</v>
      </c>
      <c r="E508" s="4" t="n">
        <f aca="false">IF(OR(AND(MONTH($A508)=10,DAY($A508)&gt;=15),MONTH($A508)=11,AND(MONTH($A508)=12,DAY($A508)&lt;=7)),1,0)</f>
        <v>0</v>
      </c>
      <c r="F508" s="4" t="n">
        <f aca="false">IF(MONTH($A508)&lt;=3,1,0)</f>
        <v>0</v>
      </c>
      <c r="G508" s="4" t="str">
        <f aca="false" t="array" ref="G508:G508">_xlfn.TEXTJOIN(" | ",TRUE(),IF('FEMA Disasters'!$F$2:$F$1000=$A508,'FEMA Disasters'!$D$2:$D$1000&amp;" begin: ["&amp;'FEMA Disasters'!$B$2:$B$1000&amp;"] "&amp;'FEMA Disasters'!$C$2:$C$1000&amp;"-"&amp;'FEMA Disasters'!$A$2:$A$1000,""),IF('FEMA Disasters'!$G$2:$G$1000=$A508,'FEMA Disasters'!$D$2:$D$1000&amp;" ended: ["&amp;'FEMA Disasters'!$B$2:$B$1000&amp;"] "&amp;'FEMA Disasters'!$C$2:$C$1000&amp;"-"&amp;'FEMA Disasters'!$A$2:$A$1000,""),IF('FEMA Disasters'!$K$2:$K$1000=$A508,"Disaster SEP opens: "&amp;'FEMA Disasters'!$D$2:$D$1000&amp;" ["&amp;'FEMA Disasters'!$B$2:$B$1000&amp;"] "&amp;'FEMA Disasters'!$C$2:$C$1000&amp;"-"&amp;'FEMA Disasters'!$A$2:$A$1000,""),IF('FEMA Disasters'!$L$2:$L$1000=$A508,"Disaster SEP ended: "&amp;'FEMA Disasters'!$D$2:$D$1000&amp;" ["&amp;'FEMA Disasters'!$B$2:$B$1000&amp;"] "&amp;'FEMA Disasters'!$C$2:$C$1000&amp;"-"&amp;'FEMA Disasters'!$A$2:$A$1000,""))</f>
        <v>Fire begin: [AZ] FM-5585</v>
      </c>
      <c r="H508" s="4" t="n">
        <f aca="false">COUNTIF(Events!$A$2:$A$397,$A508)</f>
        <v>0</v>
      </c>
      <c r="I508" s="6" t="str">
        <f aca="false" t="array" ref="I508:I508">_xlfn.TEXTJOIN(" | ",TRUE(),IF(Events!$A$2:$A$397=$A508,Events!$E$2:$E$397&amp;IF(Events!$G$2:$G$397="National",""," ["&amp;Events!$G$2:$G$397&amp;"]"),""))</f>
        <v/>
      </c>
    </row>
    <row r="509" customFormat="false" ht="15" hidden="false" customHeight="true" outlineLevel="0" collapsed="false">
      <c r="A509" s="3" t="n">
        <v>45799</v>
      </c>
      <c r="B509" s="4" t="n">
        <f aca="false">YEAR($A509)</f>
        <v>2025</v>
      </c>
      <c r="C509" s="4" t="n">
        <f aca="false">MONTH($A509)</f>
        <v>5</v>
      </c>
      <c r="D509" s="4" t="str">
        <f aca="false">TEXT($A509,"ddd")</f>
        <v>Thu</v>
      </c>
      <c r="E509" s="4" t="n">
        <f aca="false">IF(OR(AND(MONTH($A509)=10,DAY($A509)&gt;=15),MONTH($A509)=11,AND(MONTH($A509)=12,DAY($A509)&lt;=7)),1,0)</f>
        <v>0</v>
      </c>
      <c r="F509" s="4" t="n">
        <f aca="false">IF(MONTH($A509)&lt;=3,1,0)</f>
        <v>0</v>
      </c>
      <c r="G509" s="4" t="str">
        <f aca="false" t="array" ref="G509:G509">_xlfn.TEXTJOIN(" | ",TRUE(),IF('FEMA Disasters'!$F$2:$F$1000=$A509,'FEMA Disasters'!$D$2:$D$1000&amp;" begin: ["&amp;'FEMA Disasters'!$B$2:$B$1000&amp;"] "&amp;'FEMA Disasters'!$C$2:$C$1000&amp;"-"&amp;'FEMA Disasters'!$A$2:$A$1000,""),IF('FEMA Disasters'!$G$2:$G$1000=$A509,'FEMA Disasters'!$D$2:$D$1000&amp;" ended: ["&amp;'FEMA Disasters'!$B$2:$B$1000&amp;"] "&amp;'FEMA Disasters'!$C$2:$C$1000&amp;"-"&amp;'FEMA Disasters'!$A$2:$A$1000,""),IF('FEMA Disasters'!$K$2:$K$1000=$A509,"Disaster SEP opens: "&amp;'FEMA Disasters'!$D$2:$D$1000&amp;" ["&amp;'FEMA Disasters'!$B$2:$B$1000&amp;"] "&amp;'FEMA Disasters'!$C$2:$C$1000&amp;"-"&amp;'FEMA Disasters'!$A$2:$A$1000,""),IF('FEMA Disasters'!$L$2:$L$1000=$A509,"Disaster SEP ended: "&amp;'FEMA Disasters'!$D$2:$D$1000&amp;" ["&amp;'FEMA Disasters'!$B$2:$B$1000&amp;"] "&amp;'FEMA Disasters'!$C$2:$C$1000&amp;"-"&amp;'FEMA Disasters'!$A$2:$A$1000,""))</f>
        <v>Flood ended: [MT] DR-4887</v>
      </c>
      <c r="H509" s="4" t="n">
        <f aca="false">COUNTIF(Events!$A$2:$A$397,$A509)</f>
        <v>0</v>
      </c>
      <c r="I509" s="6" t="str">
        <f aca="false" t="array" ref="I509:I509">_xlfn.TEXTJOIN(" | ",TRUE(),IF(Events!$A$2:$A$397=$A509,Events!$E$2:$E$397&amp;IF(Events!$G$2:$G$397="National",""," ["&amp;Events!$G$2:$G$397&amp;"]"),""))</f>
        <v/>
      </c>
    </row>
    <row r="510" customFormat="false" ht="15" hidden="false" customHeight="true" outlineLevel="0" collapsed="false">
      <c r="A510" s="3" t="n">
        <v>45800</v>
      </c>
      <c r="B510" s="4" t="n">
        <f aca="false">YEAR($A510)</f>
        <v>2025</v>
      </c>
      <c r="C510" s="4" t="n">
        <f aca="false">MONTH($A510)</f>
        <v>5</v>
      </c>
      <c r="D510" s="4" t="str">
        <f aca="false">TEXT($A510,"ddd")</f>
        <v>Fri</v>
      </c>
      <c r="E510" s="4" t="n">
        <f aca="false">IF(OR(AND(MONTH($A510)=10,DAY($A510)&gt;=15),MONTH($A510)=11,AND(MONTH($A510)=12,DAY($A510)&lt;=7)),1,0)</f>
        <v>0</v>
      </c>
      <c r="F510" s="4" t="n">
        <f aca="false">IF(MONTH($A510)&lt;=3,1,0)</f>
        <v>0</v>
      </c>
      <c r="G510" s="4" t="str">
        <f aca="false" t="array" ref="G510:G510">_xlfn.TEXTJOIN(" | ",TRUE(),IF('FEMA Disasters'!$F$2:$F$1000=$A510,'FEMA Disasters'!$D$2:$D$1000&amp;" begin: ["&amp;'FEMA Disasters'!$B$2:$B$1000&amp;"] "&amp;'FEMA Disasters'!$C$2:$C$1000&amp;"-"&amp;'FEMA Disasters'!$A$2:$A$1000,""),IF('FEMA Disasters'!$G$2:$G$1000=$A510,'FEMA Disasters'!$D$2:$D$1000&amp;" ended: ["&amp;'FEMA Disasters'!$B$2:$B$1000&amp;"] "&amp;'FEMA Disasters'!$C$2:$C$1000&amp;"-"&amp;'FEMA Disasters'!$A$2:$A$1000,""),IF('FEMA Disasters'!$K$2:$K$1000=$A510,"Disaster SEP opens: "&amp;'FEMA Disasters'!$D$2:$D$1000&amp;" ["&amp;'FEMA Disasters'!$B$2:$B$1000&amp;"] "&amp;'FEMA Disasters'!$C$2:$C$1000&amp;"-"&amp;'FEMA Disasters'!$A$2:$A$1000,""),IF('FEMA Disasters'!$L$2:$L$1000=$A510,"Disaster SEP ended: "&amp;'FEMA Disasters'!$D$2:$D$1000&amp;" ["&amp;'FEMA Disasters'!$B$2:$B$1000&amp;"] "&amp;'FEMA Disasters'!$C$2:$C$1000&amp;"-"&amp;'FEMA Disasters'!$A$2:$A$1000,""))</f>
        <v>Severe Storm begin: [MO] DR-4885</v>
      </c>
      <c r="H510" s="4" t="n">
        <f aca="false">COUNTIF(Events!$A$2:$A$397,$A510)</f>
        <v>0</v>
      </c>
      <c r="I510" s="6" t="str">
        <f aca="false" t="array" ref="I510:I510">_xlfn.TEXTJOIN(" | ",TRUE(),IF(Events!$A$2:$A$397=$A510,Events!$E$2:$E$397&amp;IF(Events!$G$2:$G$397="National",""," ["&amp;Events!$G$2:$G$397&amp;"]"),""))</f>
        <v/>
      </c>
    </row>
    <row r="511" customFormat="false" ht="15" hidden="false" customHeight="true" outlineLevel="0" collapsed="false">
      <c r="A511" s="3" t="n">
        <v>45801</v>
      </c>
      <c r="B511" s="4" t="n">
        <f aca="false">YEAR($A511)</f>
        <v>2025</v>
      </c>
      <c r="C511" s="4" t="n">
        <f aca="false">MONTH($A511)</f>
        <v>5</v>
      </c>
      <c r="D511" s="4" t="str">
        <f aca="false">TEXT($A511,"ddd")</f>
        <v>Sat</v>
      </c>
      <c r="E511" s="4" t="n">
        <f aca="false">IF(OR(AND(MONTH($A511)=10,DAY($A511)&gt;=15),MONTH($A511)=11,AND(MONTH($A511)=12,DAY($A511)&lt;=7)),1,0)</f>
        <v>0</v>
      </c>
      <c r="F511" s="4" t="n">
        <f aca="false">IF(MONTH($A511)&lt;=3,1,0)</f>
        <v>0</v>
      </c>
      <c r="G511" s="4" t="str">
        <f aca="false" t="array" ref="G511:G511">_xlfn.TEXTJOIN(" | ",TRUE(),IF('FEMA Disasters'!$F$2:$F$1000=$A511,'FEMA Disasters'!$D$2:$D$1000&amp;" begin: ["&amp;'FEMA Disasters'!$B$2:$B$1000&amp;"] "&amp;'FEMA Disasters'!$C$2:$C$1000&amp;"-"&amp;'FEMA Disasters'!$A$2:$A$1000,""),IF('FEMA Disasters'!$G$2:$G$1000=$A511,'FEMA Disasters'!$D$2:$D$1000&amp;" ended: ["&amp;'FEMA Disasters'!$B$2:$B$1000&amp;"] "&amp;'FEMA Disasters'!$C$2:$C$1000&amp;"-"&amp;'FEMA Disasters'!$A$2:$A$1000,""),IF('FEMA Disasters'!$K$2:$K$1000=$A511,"Disaster SEP opens: "&amp;'FEMA Disasters'!$D$2:$D$1000&amp;" ["&amp;'FEMA Disasters'!$B$2:$B$1000&amp;"] "&amp;'FEMA Disasters'!$C$2:$C$1000&amp;"-"&amp;'FEMA Disasters'!$A$2:$A$1000,""),IF('FEMA Disasters'!$L$2:$L$1000=$A511,"Disaster SEP ended: "&amp;'FEMA Disasters'!$D$2:$D$1000&amp;" ["&amp;'FEMA Disasters'!$B$2:$B$1000&amp;"] "&amp;'FEMA Disasters'!$C$2:$C$1000&amp;"-"&amp;'FEMA Disasters'!$A$2:$A$1000,""))</f>
        <v/>
      </c>
      <c r="H511" s="4" t="n">
        <f aca="false">COUNTIF(Events!$A$2:$A$397,$A511)</f>
        <v>0</v>
      </c>
      <c r="I511" s="6" t="str">
        <f aca="false" t="array" ref="I511:I511">_xlfn.TEXTJOIN(" | ",TRUE(),IF(Events!$A$2:$A$397=$A511,Events!$E$2:$E$397&amp;IF(Events!$G$2:$G$397="National",""," ["&amp;Events!$G$2:$G$397&amp;"]"),""))</f>
        <v/>
      </c>
    </row>
    <row r="512" customFormat="false" ht="15" hidden="false" customHeight="true" outlineLevel="0" collapsed="false">
      <c r="A512" s="3" t="n">
        <v>45802</v>
      </c>
      <c r="B512" s="4" t="n">
        <f aca="false">YEAR($A512)</f>
        <v>2025</v>
      </c>
      <c r="C512" s="4" t="n">
        <f aca="false">MONTH($A512)</f>
        <v>5</v>
      </c>
      <c r="D512" s="4" t="str">
        <f aca="false">TEXT($A512,"ddd")</f>
        <v>Sun</v>
      </c>
      <c r="E512" s="4" t="n">
        <f aca="false">IF(OR(AND(MONTH($A512)=10,DAY($A512)&gt;=15),MONTH($A512)=11,AND(MONTH($A512)=12,DAY($A512)&lt;=7)),1,0)</f>
        <v>0</v>
      </c>
      <c r="F512" s="4" t="n">
        <f aca="false">IF(MONTH($A512)&lt;=3,1,0)</f>
        <v>0</v>
      </c>
      <c r="G512" s="4" t="str">
        <f aca="false" t="array" ref="G512:G512">_xlfn.TEXTJOIN(" | ",TRUE(),IF('FEMA Disasters'!$F$2:$F$1000=$A512,'FEMA Disasters'!$D$2:$D$1000&amp;" begin: ["&amp;'FEMA Disasters'!$B$2:$B$1000&amp;"] "&amp;'FEMA Disasters'!$C$2:$C$1000&amp;"-"&amp;'FEMA Disasters'!$A$2:$A$1000,""),IF('FEMA Disasters'!$G$2:$G$1000=$A512,'FEMA Disasters'!$D$2:$D$1000&amp;" ended: ["&amp;'FEMA Disasters'!$B$2:$B$1000&amp;"] "&amp;'FEMA Disasters'!$C$2:$C$1000&amp;"-"&amp;'FEMA Disasters'!$A$2:$A$1000,""),IF('FEMA Disasters'!$K$2:$K$1000=$A512,"Disaster SEP opens: "&amp;'FEMA Disasters'!$D$2:$D$1000&amp;" ["&amp;'FEMA Disasters'!$B$2:$B$1000&amp;"] "&amp;'FEMA Disasters'!$C$2:$C$1000&amp;"-"&amp;'FEMA Disasters'!$A$2:$A$1000,""),IF('FEMA Disasters'!$L$2:$L$1000=$A512,"Disaster SEP ended: "&amp;'FEMA Disasters'!$D$2:$D$1000&amp;" ["&amp;'FEMA Disasters'!$B$2:$B$1000&amp;"] "&amp;'FEMA Disasters'!$C$2:$C$1000&amp;"-"&amp;'FEMA Disasters'!$A$2:$A$1000,""))</f>
        <v/>
      </c>
      <c r="H512" s="4" t="n">
        <f aca="false">COUNTIF(Events!$A$2:$A$397,$A512)</f>
        <v>0</v>
      </c>
      <c r="I512" s="6" t="str">
        <f aca="false" t="array" ref="I512:I512">_xlfn.TEXTJOIN(" | ",TRUE(),IF(Events!$A$2:$A$397=$A512,Events!$E$2:$E$397&amp;IF(Events!$G$2:$G$397="National",""," ["&amp;Events!$G$2:$G$397&amp;"]"),""))</f>
        <v/>
      </c>
    </row>
    <row r="513" customFormat="false" ht="15" hidden="false" customHeight="true" outlineLevel="0" collapsed="false">
      <c r="A513" s="3" t="n">
        <v>45803</v>
      </c>
      <c r="B513" s="4" t="n">
        <f aca="false">YEAR($A513)</f>
        <v>2025</v>
      </c>
      <c r="C513" s="4" t="n">
        <f aca="false">MONTH($A513)</f>
        <v>5</v>
      </c>
      <c r="D513" s="4" t="str">
        <f aca="false">TEXT($A513,"ddd")</f>
        <v>Mon</v>
      </c>
      <c r="E513" s="4" t="n">
        <f aca="false">IF(OR(AND(MONTH($A513)=10,DAY($A513)&gt;=15),MONTH($A513)=11,AND(MONTH($A513)=12,DAY($A513)&lt;=7)),1,0)</f>
        <v>0</v>
      </c>
      <c r="F513" s="4" t="n">
        <f aca="false">IF(MONTH($A513)&lt;=3,1,0)</f>
        <v>0</v>
      </c>
      <c r="G513" s="4" t="str">
        <f aca="false" t="array" ref="G513:G513">_xlfn.TEXTJOIN(" | ",TRUE(),IF('FEMA Disasters'!$F$2:$F$1000=$A513,'FEMA Disasters'!$D$2:$D$1000&amp;" begin: ["&amp;'FEMA Disasters'!$B$2:$B$1000&amp;"] "&amp;'FEMA Disasters'!$C$2:$C$1000&amp;"-"&amp;'FEMA Disasters'!$A$2:$A$1000,""),IF('FEMA Disasters'!$G$2:$G$1000=$A513,'FEMA Disasters'!$D$2:$D$1000&amp;" ended: ["&amp;'FEMA Disasters'!$B$2:$B$1000&amp;"] "&amp;'FEMA Disasters'!$C$2:$C$1000&amp;"-"&amp;'FEMA Disasters'!$A$2:$A$1000,""),IF('FEMA Disasters'!$K$2:$K$1000=$A513,"Disaster SEP opens: "&amp;'FEMA Disasters'!$D$2:$D$1000&amp;" ["&amp;'FEMA Disasters'!$B$2:$B$1000&amp;"] "&amp;'FEMA Disasters'!$C$2:$C$1000&amp;"-"&amp;'FEMA Disasters'!$A$2:$A$1000,""),IF('FEMA Disasters'!$L$2:$L$1000=$A513,"Disaster SEP ended: "&amp;'FEMA Disasters'!$D$2:$D$1000&amp;" ["&amp;'FEMA Disasters'!$B$2:$B$1000&amp;"] "&amp;'FEMA Disasters'!$C$2:$C$1000&amp;"-"&amp;'FEMA Disasters'!$A$2:$A$1000,""))</f>
        <v>Severe Storm ended: [MO] DR-4885</v>
      </c>
      <c r="H513" s="4" t="n">
        <f aca="false">COUNTIF(Events!$A$2:$A$397,$A513)</f>
        <v>0</v>
      </c>
      <c r="I513" s="6" t="str">
        <f aca="false" t="array" ref="I513:I513">_xlfn.TEXTJOIN(" | ",TRUE(),IF(Events!$A$2:$A$397=$A513,Events!$E$2:$E$397&amp;IF(Events!$G$2:$G$397="National",""," ["&amp;Events!$G$2:$G$397&amp;"]"),""))</f>
        <v/>
      </c>
    </row>
    <row r="514" customFormat="false" ht="15" hidden="false" customHeight="true" outlineLevel="0" collapsed="false">
      <c r="A514" s="3" t="n">
        <v>45804</v>
      </c>
      <c r="B514" s="4" t="n">
        <f aca="false">YEAR($A514)</f>
        <v>2025</v>
      </c>
      <c r="C514" s="4" t="n">
        <f aca="false">MONTH($A514)</f>
        <v>5</v>
      </c>
      <c r="D514" s="4" t="str">
        <f aca="false">TEXT($A514,"ddd")</f>
        <v>Tue</v>
      </c>
      <c r="E514" s="4" t="n">
        <f aca="false">IF(OR(AND(MONTH($A514)=10,DAY($A514)&gt;=15),MONTH($A514)=11,AND(MONTH($A514)=12,DAY($A514)&lt;=7)),1,0)</f>
        <v>0</v>
      </c>
      <c r="F514" s="4" t="n">
        <f aca="false">IF(MONTH($A514)&lt;=3,1,0)</f>
        <v>0</v>
      </c>
      <c r="G514" s="4" t="str">
        <f aca="false" t="array" ref="G514:G514">_xlfn.TEXTJOIN(" | ",TRUE(),IF('FEMA Disasters'!$F$2:$F$1000=$A514,'FEMA Disasters'!$D$2:$D$1000&amp;" begin: ["&amp;'FEMA Disasters'!$B$2:$B$1000&amp;"] "&amp;'FEMA Disasters'!$C$2:$C$1000&amp;"-"&amp;'FEMA Disasters'!$A$2:$A$1000,""),IF('FEMA Disasters'!$G$2:$G$1000=$A514,'FEMA Disasters'!$D$2:$D$1000&amp;" ended: ["&amp;'FEMA Disasters'!$B$2:$B$1000&amp;"] "&amp;'FEMA Disasters'!$C$2:$C$1000&amp;"-"&amp;'FEMA Disasters'!$A$2:$A$1000,""),IF('FEMA Disasters'!$K$2:$K$1000=$A514,"Disaster SEP opens: "&amp;'FEMA Disasters'!$D$2:$D$1000&amp;" ["&amp;'FEMA Disasters'!$B$2:$B$1000&amp;"] "&amp;'FEMA Disasters'!$C$2:$C$1000&amp;"-"&amp;'FEMA Disasters'!$A$2:$A$1000,""),IF('FEMA Disasters'!$L$2:$L$1000=$A514,"Disaster SEP ended: "&amp;'FEMA Disasters'!$D$2:$D$1000&amp;" ["&amp;'FEMA Disasters'!$B$2:$B$1000&amp;"] "&amp;'FEMA Disasters'!$C$2:$C$1000&amp;"-"&amp;'FEMA Disasters'!$A$2:$A$1000,""))</f>
        <v>Fire ended: [AZ] FM-5585</v>
      </c>
      <c r="H514" s="4" t="n">
        <f aca="false">COUNTIF(Events!$A$2:$A$397,$A514)</f>
        <v>0</v>
      </c>
      <c r="I514" s="6" t="str">
        <f aca="false" t="array" ref="I514:I514">_xlfn.TEXTJOIN(" | ",TRUE(),IF(Events!$A$2:$A$397=$A514,Events!$E$2:$E$397&amp;IF(Events!$G$2:$G$397="National",""," ["&amp;Events!$G$2:$G$397&amp;"]"),""))</f>
        <v/>
      </c>
    </row>
    <row r="515" customFormat="false" ht="15" hidden="false" customHeight="true" outlineLevel="0" collapsed="false">
      <c r="A515" s="3" t="n">
        <v>45805</v>
      </c>
      <c r="B515" s="4" t="n">
        <f aca="false">YEAR($A515)</f>
        <v>2025</v>
      </c>
      <c r="C515" s="4" t="n">
        <f aca="false">MONTH($A515)</f>
        <v>5</v>
      </c>
      <c r="D515" s="4" t="str">
        <f aca="false">TEXT($A515,"ddd")</f>
        <v>Wed</v>
      </c>
      <c r="E515" s="4" t="n">
        <f aca="false">IF(OR(AND(MONTH($A515)=10,DAY($A515)&gt;=15),MONTH($A515)=11,AND(MONTH($A515)=12,DAY($A515)&lt;=7)),1,0)</f>
        <v>0</v>
      </c>
      <c r="F515" s="4" t="n">
        <f aca="false">IF(MONTH($A515)&lt;=3,1,0)</f>
        <v>0</v>
      </c>
      <c r="G515" s="4" t="str">
        <f aca="false" t="array" ref="G515:G515">_xlfn.TEXTJOIN(" | ",TRUE(),IF('FEMA Disasters'!$F$2:$F$1000=$A515,'FEMA Disasters'!$D$2:$D$1000&amp;" begin: ["&amp;'FEMA Disasters'!$B$2:$B$1000&amp;"] "&amp;'FEMA Disasters'!$C$2:$C$1000&amp;"-"&amp;'FEMA Disasters'!$A$2:$A$1000,""),IF('FEMA Disasters'!$G$2:$G$1000=$A515,'FEMA Disasters'!$D$2:$D$1000&amp;" ended: ["&amp;'FEMA Disasters'!$B$2:$B$1000&amp;"] "&amp;'FEMA Disasters'!$C$2:$C$1000&amp;"-"&amp;'FEMA Disasters'!$A$2:$A$1000,""),IF('FEMA Disasters'!$K$2:$K$1000=$A515,"Disaster SEP opens: "&amp;'FEMA Disasters'!$D$2:$D$1000&amp;" ["&amp;'FEMA Disasters'!$B$2:$B$1000&amp;"] "&amp;'FEMA Disasters'!$C$2:$C$1000&amp;"-"&amp;'FEMA Disasters'!$A$2:$A$1000,""),IF('FEMA Disasters'!$L$2:$L$1000=$A515,"Disaster SEP ended: "&amp;'FEMA Disasters'!$D$2:$D$1000&amp;" ["&amp;'FEMA Disasters'!$B$2:$B$1000&amp;"] "&amp;'FEMA Disasters'!$C$2:$C$1000&amp;"-"&amp;'FEMA Disasters'!$A$2:$A$1000,""))</f>
        <v/>
      </c>
      <c r="H515" s="4" t="n">
        <f aca="false">COUNTIF(Events!$A$2:$A$397,$A515)</f>
        <v>0</v>
      </c>
      <c r="I515" s="6" t="str">
        <f aca="false" t="array" ref="I515:I515">_xlfn.TEXTJOIN(" | ",TRUE(),IF(Events!$A$2:$A$397=$A515,Events!$E$2:$E$397&amp;IF(Events!$G$2:$G$397="National",""," ["&amp;Events!$G$2:$G$397&amp;"]"),""))</f>
        <v/>
      </c>
    </row>
    <row r="516" customFormat="false" ht="15" hidden="false" customHeight="true" outlineLevel="0" collapsed="false">
      <c r="A516" s="3" t="n">
        <v>45806</v>
      </c>
      <c r="B516" s="4" t="n">
        <f aca="false">YEAR($A516)</f>
        <v>2025</v>
      </c>
      <c r="C516" s="4" t="n">
        <f aca="false">MONTH($A516)</f>
        <v>5</v>
      </c>
      <c r="D516" s="4" t="str">
        <f aca="false">TEXT($A516,"ddd")</f>
        <v>Thu</v>
      </c>
      <c r="E516" s="4" t="n">
        <f aca="false">IF(OR(AND(MONTH($A516)=10,DAY($A516)&gt;=15),MONTH($A516)=11,AND(MONTH($A516)=12,DAY($A516)&lt;=7)),1,0)</f>
        <v>0</v>
      </c>
      <c r="F516" s="4" t="n">
        <f aca="false">IF(MONTH($A516)&lt;=3,1,0)</f>
        <v>0</v>
      </c>
      <c r="G516" s="4" t="str">
        <f aca="false" t="array" ref="G516:G516">_xlfn.TEXTJOIN(" | ",TRUE(),IF('FEMA Disasters'!$F$2:$F$1000=$A516,'FEMA Disasters'!$D$2:$D$1000&amp;" begin: ["&amp;'FEMA Disasters'!$B$2:$B$1000&amp;"] "&amp;'FEMA Disasters'!$C$2:$C$1000&amp;"-"&amp;'FEMA Disasters'!$A$2:$A$1000,""),IF('FEMA Disasters'!$G$2:$G$1000=$A516,'FEMA Disasters'!$D$2:$D$1000&amp;" ended: ["&amp;'FEMA Disasters'!$B$2:$B$1000&amp;"] "&amp;'FEMA Disasters'!$C$2:$C$1000&amp;"-"&amp;'FEMA Disasters'!$A$2:$A$1000,""),IF('FEMA Disasters'!$K$2:$K$1000=$A516,"Disaster SEP opens: "&amp;'FEMA Disasters'!$D$2:$D$1000&amp;" ["&amp;'FEMA Disasters'!$B$2:$B$1000&amp;"] "&amp;'FEMA Disasters'!$C$2:$C$1000&amp;"-"&amp;'FEMA Disasters'!$A$2:$A$1000,""),IF('FEMA Disasters'!$L$2:$L$1000=$A516,"Disaster SEP ended: "&amp;'FEMA Disasters'!$D$2:$D$1000&amp;" ["&amp;'FEMA Disasters'!$B$2:$B$1000&amp;"] "&amp;'FEMA Disasters'!$C$2:$C$1000&amp;"-"&amp;'FEMA Disasters'!$A$2:$A$1000,""))</f>
        <v/>
      </c>
      <c r="H516" s="4" t="n">
        <f aca="false">COUNTIF(Events!$A$2:$A$397,$A516)</f>
        <v>0</v>
      </c>
      <c r="I516" s="6" t="str">
        <f aca="false" t="array" ref="I516:I516">_xlfn.TEXTJOIN(" | ",TRUE(),IF(Events!$A$2:$A$397=$A516,Events!$E$2:$E$397&amp;IF(Events!$G$2:$G$397="National",""," ["&amp;Events!$G$2:$G$397&amp;"]"),""))</f>
        <v/>
      </c>
    </row>
    <row r="517" customFormat="false" ht="15" hidden="false" customHeight="true" outlineLevel="0" collapsed="false">
      <c r="A517" s="3" t="n">
        <v>45807</v>
      </c>
      <c r="B517" s="4" t="n">
        <f aca="false">YEAR($A517)</f>
        <v>2025</v>
      </c>
      <c r="C517" s="4" t="n">
        <f aca="false">MONTH($A517)</f>
        <v>5</v>
      </c>
      <c r="D517" s="4" t="str">
        <f aca="false">TEXT($A517,"ddd")</f>
        <v>Fri</v>
      </c>
      <c r="E517" s="4" t="n">
        <f aca="false">IF(OR(AND(MONTH($A517)=10,DAY($A517)&gt;=15),MONTH($A517)=11,AND(MONTH($A517)=12,DAY($A517)&lt;=7)),1,0)</f>
        <v>0</v>
      </c>
      <c r="F517" s="4" t="n">
        <f aca="false">IF(MONTH($A517)&lt;=3,1,0)</f>
        <v>0</v>
      </c>
      <c r="G517" s="4" t="str">
        <f aca="false" t="array" ref="G517:G517">_xlfn.TEXTJOIN(" | ",TRUE(),IF('FEMA Disasters'!$F$2:$F$1000=$A517,'FEMA Disasters'!$D$2:$D$1000&amp;" begin: ["&amp;'FEMA Disasters'!$B$2:$B$1000&amp;"] "&amp;'FEMA Disasters'!$C$2:$C$1000&amp;"-"&amp;'FEMA Disasters'!$A$2:$A$1000,""),IF('FEMA Disasters'!$G$2:$G$1000=$A517,'FEMA Disasters'!$D$2:$D$1000&amp;" ended: ["&amp;'FEMA Disasters'!$B$2:$B$1000&amp;"] "&amp;'FEMA Disasters'!$C$2:$C$1000&amp;"-"&amp;'FEMA Disasters'!$A$2:$A$1000,""),IF('FEMA Disasters'!$K$2:$K$1000=$A517,"Disaster SEP opens: "&amp;'FEMA Disasters'!$D$2:$D$1000&amp;" ["&amp;'FEMA Disasters'!$B$2:$B$1000&amp;"] "&amp;'FEMA Disasters'!$C$2:$C$1000&amp;"-"&amp;'FEMA Disasters'!$A$2:$A$1000,""),IF('FEMA Disasters'!$L$2:$L$1000=$A517,"Disaster SEP ended: "&amp;'FEMA Disasters'!$D$2:$D$1000&amp;" ["&amp;'FEMA Disasters'!$B$2:$B$1000&amp;"] "&amp;'FEMA Disasters'!$C$2:$C$1000&amp;"-"&amp;'FEMA Disasters'!$A$2:$A$1000,""))</f>
        <v/>
      </c>
      <c r="H517" s="4" t="n">
        <f aca="false">COUNTIF(Events!$A$2:$A$397,$A517)</f>
        <v>0</v>
      </c>
      <c r="I517" s="6" t="str">
        <f aca="false" t="array" ref="I517:I517">_xlfn.TEXTJOIN(" | ",TRUE(),IF(Events!$A$2:$A$397=$A517,Events!$E$2:$E$397&amp;IF(Events!$G$2:$G$397="National",""," ["&amp;Events!$G$2:$G$397&amp;"]"),""))</f>
        <v/>
      </c>
    </row>
    <row r="518" customFormat="false" ht="15" hidden="false" customHeight="true" outlineLevel="0" collapsed="false">
      <c r="A518" s="3" t="n">
        <v>45808</v>
      </c>
      <c r="B518" s="4" t="n">
        <f aca="false">YEAR($A518)</f>
        <v>2025</v>
      </c>
      <c r="C518" s="4" t="n">
        <f aca="false">MONTH($A518)</f>
        <v>5</v>
      </c>
      <c r="D518" s="4" t="str">
        <f aca="false">TEXT($A518,"ddd")</f>
        <v>Sat</v>
      </c>
      <c r="E518" s="4" t="n">
        <f aca="false">IF(OR(AND(MONTH($A518)=10,DAY($A518)&gt;=15),MONTH($A518)=11,AND(MONTH($A518)=12,DAY($A518)&lt;=7)),1,0)</f>
        <v>0</v>
      </c>
      <c r="F518" s="4" t="n">
        <f aca="false">IF(MONTH($A518)&lt;=3,1,0)</f>
        <v>0</v>
      </c>
      <c r="G518" s="4" t="str">
        <f aca="false" t="array" ref="G518:G518">_xlfn.TEXTJOIN(" | ",TRUE(),IF('FEMA Disasters'!$F$2:$F$1000=$A518,'FEMA Disasters'!$D$2:$D$1000&amp;" begin: ["&amp;'FEMA Disasters'!$B$2:$B$1000&amp;"] "&amp;'FEMA Disasters'!$C$2:$C$1000&amp;"-"&amp;'FEMA Disasters'!$A$2:$A$1000,""),IF('FEMA Disasters'!$G$2:$G$1000=$A518,'FEMA Disasters'!$D$2:$D$1000&amp;" ended: ["&amp;'FEMA Disasters'!$B$2:$B$1000&amp;"] "&amp;'FEMA Disasters'!$C$2:$C$1000&amp;"-"&amp;'FEMA Disasters'!$A$2:$A$1000,""),IF('FEMA Disasters'!$K$2:$K$1000=$A518,"Disaster SEP opens: "&amp;'FEMA Disasters'!$D$2:$D$1000&amp;" ["&amp;'FEMA Disasters'!$B$2:$B$1000&amp;"] "&amp;'FEMA Disasters'!$C$2:$C$1000&amp;"-"&amp;'FEMA Disasters'!$A$2:$A$1000,""),IF('FEMA Disasters'!$L$2:$L$1000=$A518,"Disaster SEP ended: "&amp;'FEMA Disasters'!$D$2:$D$1000&amp;" ["&amp;'FEMA Disasters'!$B$2:$B$1000&amp;"] "&amp;'FEMA Disasters'!$C$2:$C$1000&amp;"-"&amp;'FEMA Disasters'!$A$2:$A$1000,""))</f>
        <v>Disaster SEP opens: Severe Storm [KY] EM-3624 | Disaster SEP opens: Severe Storm [KY] DR-4860 | Disaster SEP opens: Fire [TX] FM-5552 | Disaster SEP opens: Fire [TX] FM-5553 | Disaster SEP opens: Severe Storm [OR] DR-4881 | Disaster SEP opens: Severe Storm [AR] DR-4865 | Disaster SEP opens: Fire [OK] DR-4866 | Disaster SEP opens: Severe Storm [MO] DR-4867 | Disaster SEP opens: Severe Storm [KS] DR-4869 | Disaster SEP opens: Severe Storm [MS] DR-4874 | Disaster SEP opens: Fire [TX] FM-5555 | Disaster SEP opens: Fire [KS] FM-5556 | Disaster SEP opens: Fire [OK] FM-5557 | Disaster SEP opens: Fire [OK] FM-5558 | Disaster SEP opens: Fire [OK] FM-5559 | Disaster SEP opens: Fire [OK] FM-5560 | Disaster SEP opens: Fire [OK] FM-5561 | Disaster SEP opens: Fire [OK] FM-5562 | Disaster SEP opens: Fire [OK] FM-5563 | Disaster SEP opens: Fire [OK] FM-5564 | Disaster SEP opens: Fire [OK] FM-5565 | Disaster SEP opens: Fire [OK] FM-5566 | Disaster SEP opens: Fire [OK] FM-5567 | Disaster SEP opens: Fire [OK] FM-5568 | Disaster SEP opens: Fire [OK] FM-5569 | Disaster SEP opens: Fire [TX] FM-5570 | Disaster SEP opens: Winter Storm [NE] DR-4868 | Disaster SEP opens: Fire [TX] FM-5571 | Disaster SEP opens: Winter Storm [IA] DR-4870 | Disaster SEP opens: Fire [OK] FM-5572 | Disaster SEP opens: Fire [TX] FM-5573 | Disaster SEP opens: Flood [TX] DR-4871 | Disaster SEP opens: Severe Ice Storm [MI] DR-4880 | Disaster SEP ended: Fire [CA] DR-4856</v>
      </c>
      <c r="H518" s="4" t="n">
        <f aca="false">COUNTIF(Events!$A$2:$A$397,$A518)</f>
        <v>0</v>
      </c>
      <c r="I518" s="6" t="str">
        <f aca="false" t="array" ref="I518:I518">_xlfn.TEXTJOIN(" | ",TRUE(),IF(Events!$A$2:$A$397=$A518,Events!$E$2:$E$397&amp;IF(Events!$G$2:$G$397="National",""," ["&amp;Events!$G$2:$G$397&amp;"]"),""))</f>
        <v/>
      </c>
    </row>
    <row r="519" customFormat="false" ht="15" hidden="false" customHeight="true" outlineLevel="0" collapsed="false">
      <c r="A519" s="3" t="n">
        <v>45809</v>
      </c>
      <c r="B519" s="4" t="n">
        <f aca="false">YEAR($A519)</f>
        <v>2025</v>
      </c>
      <c r="C519" s="4" t="n">
        <f aca="false">MONTH($A519)</f>
        <v>6</v>
      </c>
      <c r="D519" s="4" t="str">
        <f aca="false">TEXT($A519,"ddd")</f>
        <v>Sun</v>
      </c>
      <c r="E519" s="4" t="n">
        <f aca="false">IF(OR(AND(MONTH($A519)=10,DAY($A519)&gt;=15),MONTH($A519)=11,AND(MONTH($A519)=12,DAY($A519)&lt;=7)),1,0)</f>
        <v>0</v>
      </c>
      <c r="F519" s="4" t="n">
        <f aca="false">IF(MONTH($A519)&lt;=3,1,0)</f>
        <v>0</v>
      </c>
      <c r="G519" s="4" t="str">
        <f aca="false" t="array" ref="G519:G519">_xlfn.TEXTJOIN(" | ",TRUE(),IF('FEMA Disasters'!$F$2:$F$1000=$A519,'FEMA Disasters'!$D$2:$D$1000&amp;" begin: ["&amp;'FEMA Disasters'!$B$2:$B$1000&amp;"] "&amp;'FEMA Disasters'!$C$2:$C$1000&amp;"-"&amp;'FEMA Disasters'!$A$2:$A$1000,""),IF('FEMA Disasters'!$G$2:$G$1000=$A519,'FEMA Disasters'!$D$2:$D$1000&amp;" ended: ["&amp;'FEMA Disasters'!$B$2:$B$1000&amp;"] "&amp;'FEMA Disasters'!$C$2:$C$1000&amp;"-"&amp;'FEMA Disasters'!$A$2:$A$1000,""),IF('FEMA Disasters'!$K$2:$K$1000=$A519,"Disaster SEP opens: "&amp;'FEMA Disasters'!$D$2:$D$1000&amp;" ["&amp;'FEMA Disasters'!$B$2:$B$1000&amp;"] "&amp;'FEMA Disasters'!$C$2:$C$1000&amp;"-"&amp;'FEMA Disasters'!$A$2:$A$1000,""),IF('FEMA Disasters'!$L$2:$L$1000=$A519,"Disaster SEP ended: "&amp;'FEMA Disasters'!$D$2:$D$1000&amp;" ["&amp;'FEMA Disasters'!$B$2:$B$1000&amp;"] "&amp;'FEMA Disasters'!$C$2:$C$1000&amp;"-"&amp;'FEMA Disasters'!$A$2:$A$1000,""))</f>
        <v/>
      </c>
      <c r="H519" s="4" t="n">
        <f aca="false">COUNTIF(Events!$A$2:$A$397,$A519)</f>
        <v>0</v>
      </c>
      <c r="I519" s="6" t="str">
        <f aca="false" t="array" ref="I519:I519">_xlfn.TEXTJOIN(" | ",TRUE(),IF(Events!$A$2:$A$397=$A519,Events!$E$2:$E$397&amp;IF(Events!$G$2:$G$397="National",""," ["&amp;Events!$G$2:$G$397&amp;"]"),""))</f>
        <v/>
      </c>
    </row>
    <row r="520" customFormat="false" ht="15" hidden="false" customHeight="true" outlineLevel="0" collapsed="false">
      <c r="A520" s="3" t="n">
        <v>45810</v>
      </c>
      <c r="B520" s="4" t="n">
        <f aca="false">YEAR($A520)</f>
        <v>2025</v>
      </c>
      <c r="C520" s="4" t="n">
        <f aca="false">MONTH($A520)</f>
        <v>6</v>
      </c>
      <c r="D520" s="4" t="str">
        <f aca="false">TEXT($A520,"ddd")</f>
        <v>Mon</v>
      </c>
      <c r="E520" s="4" t="n">
        <f aca="false">IF(OR(AND(MONTH($A520)=10,DAY($A520)&gt;=15),MONTH($A520)=11,AND(MONTH($A520)=12,DAY($A520)&lt;=7)),1,0)</f>
        <v>0</v>
      </c>
      <c r="F520" s="4" t="n">
        <f aca="false">IF(MONTH($A520)&lt;=3,1,0)</f>
        <v>0</v>
      </c>
      <c r="G520" s="4" t="str">
        <f aca="false" t="array" ref="G520:G520">_xlfn.TEXTJOIN(" | ",TRUE(),IF('FEMA Disasters'!$F$2:$F$1000=$A520,'FEMA Disasters'!$D$2:$D$1000&amp;" begin: ["&amp;'FEMA Disasters'!$B$2:$B$1000&amp;"] "&amp;'FEMA Disasters'!$C$2:$C$1000&amp;"-"&amp;'FEMA Disasters'!$A$2:$A$1000,""),IF('FEMA Disasters'!$G$2:$G$1000=$A520,'FEMA Disasters'!$D$2:$D$1000&amp;" ended: ["&amp;'FEMA Disasters'!$B$2:$B$1000&amp;"] "&amp;'FEMA Disasters'!$C$2:$C$1000&amp;"-"&amp;'FEMA Disasters'!$A$2:$A$1000,""),IF('FEMA Disasters'!$K$2:$K$1000=$A520,"Disaster SEP opens: "&amp;'FEMA Disasters'!$D$2:$D$1000&amp;" ["&amp;'FEMA Disasters'!$B$2:$B$1000&amp;"] "&amp;'FEMA Disasters'!$C$2:$C$1000&amp;"-"&amp;'FEMA Disasters'!$A$2:$A$1000,""),IF('FEMA Disasters'!$L$2:$L$1000=$A520,"Disaster SEP ended: "&amp;'FEMA Disasters'!$D$2:$D$1000&amp;" ["&amp;'FEMA Disasters'!$B$2:$B$1000&amp;"] "&amp;'FEMA Disasters'!$C$2:$C$1000&amp;"-"&amp;'FEMA Disasters'!$A$2:$A$1000,""))</f>
        <v/>
      </c>
      <c r="H520" s="4" t="n">
        <f aca="false">COUNTIF(Events!$A$2:$A$397,$A520)</f>
        <v>0</v>
      </c>
      <c r="I520" s="6" t="str">
        <f aca="false" t="array" ref="I520:I520">_xlfn.TEXTJOIN(" | ",TRUE(),IF(Events!$A$2:$A$397=$A520,Events!$E$2:$E$397&amp;IF(Events!$G$2:$G$397="National",""," ["&amp;Events!$G$2:$G$397&amp;"]"),""))</f>
        <v/>
      </c>
    </row>
    <row r="521" customFormat="false" ht="15" hidden="false" customHeight="true" outlineLevel="0" collapsed="false">
      <c r="A521" s="3" t="n">
        <v>45811</v>
      </c>
      <c r="B521" s="4" t="n">
        <f aca="false">YEAR($A521)</f>
        <v>2025</v>
      </c>
      <c r="C521" s="4" t="n">
        <f aca="false">MONTH($A521)</f>
        <v>6</v>
      </c>
      <c r="D521" s="4" t="str">
        <f aca="false">TEXT($A521,"ddd")</f>
        <v>Tue</v>
      </c>
      <c r="E521" s="4" t="n">
        <f aca="false">IF(OR(AND(MONTH($A521)=10,DAY($A521)&gt;=15),MONTH($A521)=11,AND(MONTH($A521)=12,DAY($A521)&lt;=7)),1,0)</f>
        <v>0</v>
      </c>
      <c r="F521" s="4" t="n">
        <f aca="false">IF(MONTH($A521)&lt;=3,1,0)</f>
        <v>0</v>
      </c>
      <c r="G521" s="4" t="str">
        <f aca="false" t="array" ref="G521:G521">_xlfn.TEXTJOIN(" | ",TRUE(),IF('FEMA Disasters'!$F$2:$F$1000=$A521,'FEMA Disasters'!$D$2:$D$1000&amp;" begin: ["&amp;'FEMA Disasters'!$B$2:$B$1000&amp;"] "&amp;'FEMA Disasters'!$C$2:$C$1000&amp;"-"&amp;'FEMA Disasters'!$A$2:$A$1000,""),IF('FEMA Disasters'!$G$2:$G$1000=$A521,'FEMA Disasters'!$D$2:$D$1000&amp;" ended: ["&amp;'FEMA Disasters'!$B$2:$B$1000&amp;"] "&amp;'FEMA Disasters'!$C$2:$C$1000&amp;"-"&amp;'FEMA Disasters'!$A$2:$A$1000,""),IF('FEMA Disasters'!$K$2:$K$1000=$A521,"Disaster SEP opens: "&amp;'FEMA Disasters'!$D$2:$D$1000&amp;" ["&amp;'FEMA Disasters'!$B$2:$B$1000&amp;"] "&amp;'FEMA Disasters'!$C$2:$C$1000&amp;"-"&amp;'FEMA Disasters'!$A$2:$A$1000,""),IF('FEMA Disasters'!$L$2:$L$1000=$A521,"Disaster SEP ended: "&amp;'FEMA Disasters'!$D$2:$D$1000&amp;" ["&amp;'FEMA Disasters'!$B$2:$B$1000&amp;"] "&amp;'FEMA Disasters'!$C$2:$C$1000&amp;"-"&amp;'FEMA Disasters'!$A$2:$A$1000,""))</f>
        <v>Severe Storm begin: [KS] DR-4891</v>
      </c>
      <c r="H521" s="4" t="n">
        <f aca="false">COUNTIF(Events!$A$2:$A$397,$A521)</f>
        <v>0</v>
      </c>
      <c r="I521" s="6" t="str">
        <f aca="false" t="array" ref="I521:I521">_xlfn.TEXTJOIN(" | ",TRUE(),IF(Events!$A$2:$A$397=$A521,Events!$E$2:$E$397&amp;IF(Events!$G$2:$G$397="National",""," ["&amp;Events!$G$2:$G$397&amp;"]"),""))</f>
        <v/>
      </c>
    </row>
    <row r="522" customFormat="false" ht="15" hidden="false" customHeight="true" outlineLevel="0" collapsed="false">
      <c r="A522" s="3" t="n">
        <v>45812</v>
      </c>
      <c r="B522" s="4" t="n">
        <f aca="false">YEAR($A522)</f>
        <v>2025</v>
      </c>
      <c r="C522" s="4" t="n">
        <f aca="false">MONTH($A522)</f>
        <v>6</v>
      </c>
      <c r="D522" s="4" t="str">
        <f aca="false">TEXT($A522,"ddd")</f>
        <v>Wed</v>
      </c>
      <c r="E522" s="4" t="n">
        <f aca="false">IF(OR(AND(MONTH($A522)=10,DAY($A522)&gt;=15),MONTH($A522)=11,AND(MONTH($A522)=12,DAY($A522)&lt;=7)),1,0)</f>
        <v>0</v>
      </c>
      <c r="F522" s="4" t="n">
        <f aca="false">IF(MONTH($A522)&lt;=3,1,0)</f>
        <v>0</v>
      </c>
      <c r="G522" s="4" t="str">
        <f aca="false" t="array" ref="G522:G522">_xlfn.TEXTJOIN(" | ",TRUE(),IF('FEMA Disasters'!$F$2:$F$1000=$A522,'FEMA Disasters'!$D$2:$D$1000&amp;" begin: ["&amp;'FEMA Disasters'!$B$2:$B$1000&amp;"] "&amp;'FEMA Disasters'!$C$2:$C$1000&amp;"-"&amp;'FEMA Disasters'!$A$2:$A$1000,""),IF('FEMA Disasters'!$G$2:$G$1000=$A522,'FEMA Disasters'!$D$2:$D$1000&amp;" ended: ["&amp;'FEMA Disasters'!$B$2:$B$1000&amp;"] "&amp;'FEMA Disasters'!$C$2:$C$1000&amp;"-"&amp;'FEMA Disasters'!$A$2:$A$1000,""),IF('FEMA Disasters'!$K$2:$K$1000=$A522,"Disaster SEP opens: "&amp;'FEMA Disasters'!$D$2:$D$1000&amp;" ["&amp;'FEMA Disasters'!$B$2:$B$1000&amp;"] "&amp;'FEMA Disasters'!$C$2:$C$1000&amp;"-"&amp;'FEMA Disasters'!$A$2:$A$1000,""),IF('FEMA Disasters'!$L$2:$L$1000=$A522,"Disaster SEP ended: "&amp;'FEMA Disasters'!$D$2:$D$1000&amp;" ["&amp;'FEMA Disasters'!$B$2:$B$1000&amp;"] "&amp;'FEMA Disasters'!$C$2:$C$1000&amp;"-"&amp;'FEMA Disasters'!$A$2:$A$1000,""))</f>
        <v/>
      </c>
      <c r="H522" s="4" t="n">
        <f aca="false">COUNTIF(Events!$A$2:$A$397,$A522)</f>
        <v>1</v>
      </c>
      <c r="I522" s="6" t="str">
        <f aca="false" t="array" ref="I522:I522">_xlfn.TEXTJOIN(" | ",TRUE(),IF(Events!$A$2:$A$397=$A522,Events!$E$2:$E$397&amp;IF(Events!$G$2:$G$397="National",""," ["&amp;Events!$G$2:$G$397&amp;"]"),""))</f>
        <v>Wyoming Medigap birthday rule takes effect - adopted as a Wyoming Department of Insurance rule (proposed late 2024, public comment through 2/19/2025, signed by Governor), not a statute: 63-day post-birthday window, same-or-lesser benefits, carrier switching allowed, no underwriting [WY]</v>
      </c>
    </row>
    <row r="523" customFormat="false" ht="15" hidden="false" customHeight="true" outlineLevel="0" collapsed="false">
      <c r="A523" s="3" t="n">
        <v>45813</v>
      </c>
      <c r="B523" s="4" t="n">
        <f aca="false">YEAR($A523)</f>
        <v>2025</v>
      </c>
      <c r="C523" s="4" t="n">
        <f aca="false">MONTH($A523)</f>
        <v>6</v>
      </c>
      <c r="D523" s="4" t="str">
        <f aca="false">TEXT($A523,"ddd")</f>
        <v>Thu</v>
      </c>
      <c r="E523" s="4" t="n">
        <f aca="false">IF(OR(AND(MONTH($A523)=10,DAY($A523)&gt;=15),MONTH($A523)=11,AND(MONTH($A523)=12,DAY($A523)&lt;=7)),1,0)</f>
        <v>0</v>
      </c>
      <c r="F523" s="4" t="n">
        <f aca="false">IF(MONTH($A523)&lt;=3,1,0)</f>
        <v>0</v>
      </c>
      <c r="G523" s="4" t="str">
        <f aca="false" t="array" ref="G523:G523">_xlfn.TEXTJOIN(" | ",TRUE(),IF('FEMA Disasters'!$F$2:$F$1000=$A523,'FEMA Disasters'!$D$2:$D$1000&amp;" begin: ["&amp;'FEMA Disasters'!$B$2:$B$1000&amp;"] "&amp;'FEMA Disasters'!$C$2:$C$1000&amp;"-"&amp;'FEMA Disasters'!$A$2:$A$1000,""),IF('FEMA Disasters'!$G$2:$G$1000=$A523,'FEMA Disasters'!$D$2:$D$1000&amp;" ended: ["&amp;'FEMA Disasters'!$B$2:$B$1000&amp;"] "&amp;'FEMA Disasters'!$C$2:$C$1000&amp;"-"&amp;'FEMA Disasters'!$A$2:$A$1000,""),IF('FEMA Disasters'!$K$2:$K$1000=$A523,"Disaster SEP opens: "&amp;'FEMA Disasters'!$D$2:$D$1000&amp;" ["&amp;'FEMA Disasters'!$B$2:$B$1000&amp;"] "&amp;'FEMA Disasters'!$C$2:$C$1000&amp;"-"&amp;'FEMA Disasters'!$A$2:$A$1000,""),IF('FEMA Disasters'!$L$2:$L$1000=$A523,"Disaster SEP ended: "&amp;'FEMA Disasters'!$D$2:$D$1000&amp;" ["&amp;'FEMA Disasters'!$B$2:$B$1000&amp;"] "&amp;'FEMA Disasters'!$C$2:$C$1000&amp;"-"&amp;'FEMA Disasters'!$A$2:$A$1000,""))</f>
        <v/>
      </c>
      <c r="H523" s="4" t="n">
        <f aca="false">COUNTIF(Events!$A$2:$A$397,$A523)</f>
        <v>0</v>
      </c>
      <c r="I523" s="6" t="str">
        <f aca="false" t="array" ref="I523:I523">_xlfn.TEXTJOIN(" | ",TRUE(),IF(Events!$A$2:$A$397=$A523,Events!$E$2:$E$397&amp;IF(Events!$G$2:$G$397="National",""," ["&amp;Events!$G$2:$G$397&amp;"]"),""))</f>
        <v/>
      </c>
    </row>
    <row r="524" customFormat="false" ht="15" hidden="false" customHeight="true" outlineLevel="0" collapsed="false">
      <c r="A524" s="3" t="n">
        <v>45814</v>
      </c>
      <c r="B524" s="4" t="n">
        <f aca="false">YEAR($A524)</f>
        <v>2025</v>
      </c>
      <c r="C524" s="4" t="n">
        <f aca="false">MONTH($A524)</f>
        <v>6</v>
      </c>
      <c r="D524" s="4" t="str">
        <f aca="false">TEXT($A524,"ddd")</f>
        <v>Fri</v>
      </c>
      <c r="E524" s="4" t="n">
        <f aca="false">IF(OR(AND(MONTH($A524)=10,DAY($A524)&gt;=15),MONTH($A524)=11,AND(MONTH($A524)=12,DAY($A524)&lt;=7)),1,0)</f>
        <v>0</v>
      </c>
      <c r="F524" s="4" t="n">
        <f aca="false">IF(MONTH($A524)&lt;=3,1,0)</f>
        <v>0</v>
      </c>
      <c r="G524" s="4" t="str">
        <f aca="false" t="array" ref="G524:G524">_xlfn.TEXTJOIN(" | ",TRUE(),IF('FEMA Disasters'!$F$2:$F$1000=$A524,'FEMA Disasters'!$D$2:$D$1000&amp;" begin: ["&amp;'FEMA Disasters'!$B$2:$B$1000&amp;"] "&amp;'FEMA Disasters'!$C$2:$C$1000&amp;"-"&amp;'FEMA Disasters'!$A$2:$A$1000,""),IF('FEMA Disasters'!$G$2:$G$1000=$A524,'FEMA Disasters'!$D$2:$D$1000&amp;" ended: ["&amp;'FEMA Disasters'!$B$2:$B$1000&amp;"] "&amp;'FEMA Disasters'!$C$2:$C$1000&amp;"-"&amp;'FEMA Disasters'!$A$2:$A$1000,""),IF('FEMA Disasters'!$K$2:$K$1000=$A524,"Disaster SEP opens: "&amp;'FEMA Disasters'!$D$2:$D$1000&amp;" ["&amp;'FEMA Disasters'!$B$2:$B$1000&amp;"] "&amp;'FEMA Disasters'!$C$2:$C$1000&amp;"-"&amp;'FEMA Disasters'!$A$2:$A$1000,""),IF('FEMA Disasters'!$L$2:$L$1000=$A524,"Disaster SEP ended: "&amp;'FEMA Disasters'!$D$2:$D$1000&amp;" ["&amp;'FEMA Disasters'!$B$2:$B$1000&amp;"] "&amp;'FEMA Disasters'!$C$2:$C$1000&amp;"-"&amp;'FEMA Disasters'!$A$2:$A$1000,""))</f>
        <v/>
      </c>
      <c r="H524" s="4" t="n">
        <f aca="false">COUNTIF(Events!$A$2:$A$397,$A524)</f>
        <v>0</v>
      </c>
      <c r="I524" s="6" t="str">
        <f aca="false" t="array" ref="I524:I524">_xlfn.TEXTJOIN(" | ",TRUE(),IF(Events!$A$2:$A$397=$A524,Events!$E$2:$E$397&amp;IF(Events!$G$2:$G$397="National",""," ["&amp;Events!$G$2:$G$397&amp;"]"),""))</f>
        <v/>
      </c>
    </row>
    <row r="525" customFormat="false" ht="15" hidden="false" customHeight="true" outlineLevel="0" collapsed="false">
      <c r="A525" s="3" t="n">
        <v>45815</v>
      </c>
      <c r="B525" s="4" t="n">
        <f aca="false">YEAR($A525)</f>
        <v>2025</v>
      </c>
      <c r="C525" s="4" t="n">
        <f aca="false">MONTH($A525)</f>
        <v>6</v>
      </c>
      <c r="D525" s="4" t="str">
        <f aca="false">TEXT($A525,"ddd")</f>
        <v>Sat</v>
      </c>
      <c r="E525" s="4" t="n">
        <f aca="false">IF(OR(AND(MONTH($A525)=10,DAY($A525)&gt;=15),MONTH($A525)=11,AND(MONTH($A525)=12,DAY($A525)&lt;=7)),1,0)</f>
        <v>0</v>
      </c>
      <c r="F525" s="4" t="n">
        <f aca="false">IF(MONTH($A525)&lt;=3,1,0)</f>
        <v>0</v>
      </c>
      <c r="G525" s="4" t="str">
        <f aca="false" t="array" ref="G525:G525">_xlfn.TEXTJOIN(" | ",TRUE(),IF('FEMA Disasters'!$F$2:$F$1000=$A525,'FEMA Disasters'!$D$2:$D$1000&amp;" begin: ["&amp;'FEMA Disasters'!$B$2:$B$1000&amp;"] "&amp;'FEMA Disasters'!$C$2:$C$1000&amp;"-"&amp;'FEMA Disasters'!$A$2:$A$1000,""),IF('FEMA Disasters'!$G$2:$G$1000=$A525,'FEMA Disasters'!$D$2:$D$1000&amp;" ended: ["&amp;'FEMA Disasters'!$B$2:$B$1000&amp;"] "&amp;'FEMA Disasters'!$C$2:$C$1000&amp;"-"&amp;'FEMA Disasters'!$A$2:$A$1000,""),IF('FEMA Disasters'!$K$2:$K$1000=$A525,"Disaster SEP opens: "&amp;'FEMA Disasters'!$D$2:$D$1000&amp;" ["&amp;'FEMA Disasters'!$B$2:$B$1000&amp;"] "&amp;'FEMA Disasters'!$C$2:$C$1000&amp;"-"&amp;'FEMA Disasters'!$A$2:$A$1000,""),IF('FEMA Disasters'!$L$2:$L$1000=$A525,"Disaster SEP ended: "&amp;'FEMA Disasters'!$D$2:$D$1000&amp;" ["&amp;'FEMA Disasters'!$B$2:$B$1000&amp;"] "&amp;'FEMA Disasters'!$C$2:$C$1000&amp;"-"&amp;'FEMA Disasters'!$A$2:$A$1000,""))</f>
        <v>Severe Storm ended: [KS] DR-4891</v>
      </c>
      <c r="H525" s="4" t="n">
        <f aca="false">COUNTIF(Events!$A$2:$A$397,$A525)</f>
        <v>0</v>
      </c>
      <c r="I525" s="6" t="str">
        <f aca="false" t="array" ref="I525:I525">_xlfn.TEXTJOIN(" | ",TRUE(),IF(Events!$A$2:$A$397=$A525,Events!$E$2:$E$397&amp;IF(Events!$G$2:$G$397="National",""," ["&amp;Events!$G$2:$G$397&amp;"]"),""))</f>
        <v/>
      </c>
    </row>
    <row r="526" customFormat="false" ht="15" hidden="false" customHeight="true" outlineLevel="0" collapsed="false">
      <c r="A526" s="3" t="n">
        <v>45816</v>
      </c>
      <c r="B526" s="4" t="n">
        <f aca="false">YEAR($A526)</f>
        <v>2025</v>
      </c>
      <c r="C526" s="4" t="n">
        <f aca="false">MONTH($A526)</f>
        <v>6</v>
      </c>
      <c r="D526" s="4" t="str">
        <f aca="false">TEXT($A526,"ddd")</f>
        <v>Sun</v>
      </c>
      <c r="E526" s="4" t="n">
        <f aca="false">IF(OR(AND(MONTH($A526)=10,DAY($A526)&gt;=15),MONTH($A526)=11,AND(MONTH($A526)=12,DAY($A526)&lt;=7)),1,0)</f>
        <v>0</v>
      </c>
      <c r="F526" s="4" t="n">
        <f aca="false">IF(MONTH($A526)&lt;=3,1,0)</f>
        <v>0</v>
      </c>
      <c r="G526" s="4" t="str">
        <f aca="false" t="array" ref="G526:G526">_xlfn.TEXTJOIN(" | ",TRUE(),IF('FEMA Disasters'!$F$2:$F$1000=$A526,'FEMA Disasters'!$D$2:$D$1000&amp;" begin: ["&amp;'FEMA Disasters'!$B$2:$B$1000&amp;"] "&amp;'FEMA Disasters'!$C$2:$C$1000&amp;"-"&amp;'FEMA Disasters'!$A$2:$A$1000,""),IF('FEMA Disasters'!$G$2:$G$1000=$A526,'FEMA Disasters'!$D$2:$D$1000&amp;" ended: ["&amp;'FEMA Disasters'!$B$2:$B$1000&amp;"] "&amp;'FEMA Disasters'!$C$2:$C$1000&amp;"-"&amp;'FEMA Disasters'!$A$2:$A$1000,""),IF('FEMA Disasters'!$K$2:$K$1000=$A526,"Disaster SEP opens: "&amp;'FEMA Disasters'!$D$2:$D$1000&amp;" ["&amp;'FEMA Disasters'!$B$2:$B$1000&amp;"] "&amp;'FEMA Disasters'!$C$2:$C$1000&amp;"-"&amp;'FEMA Disasters'!$A$2:$A$1000,""),IF('FEMA Disasters'!$L$2:$L$1000=$A526,"Disaster SEP ended: "&amp;'FEMA Disasters'!$D$2:$D$1000&amp;" ["&amp;'FEMA Disasters'!$B$2:$B$1000&amp;"] "&amp;'FEMA Disasters'!$C$2:$C$1000&amp;"-"&amp;'FEMA Disasters'!$A$2:$A$1000,""))</f>
        <v/>
      </c>
      <c r="H526" s="4" t="n">
        <f aca="false">COUNTIF(Events!$A$2:$A$397,$A526)</f>
        <v>0</v>
      </c>
      <c r="I526" s="6" t="str">
        <f aca="false" t="array" ref="I526:I526">_xlfn.TEXTJOIN(" | ",TRUE(),IF(Events!$A$2:$A$397=$A526,Events!$E$2:$E$397&amp;IF(Events!$G$2:$G$397="National",""," ["&amp;Events!$G$2:$G$397&amp;"]"),""))</f>
        <v/>
      </c>
    </row>
    <row r="527" customFormat="false" ht="15" hidden="false" customHeight="true" outlineLevel="0" collapsed="false">
      <c r="A527" s="3" t="n">
        <v>45817</v>
      </c>
      <c r="B527" s="4" t="n">
        <f aca="false">YEAR($A527)</f>
        <v>2025</v>
      </c>
      <c r="C527" s="4" t="n">
        <f aca="false">MONTH($A527)</f>
        <v>6</v>
      </c>
      <c r="D527" s="4" t="str">
        <f aca="false">TEXT($A527,"ddd")</f>
        <v>Mon</v>
      </c>
      <c r="E527" s="4" t="n">
        <f aca="false">IF(OR(AND(MONTH($A527)=10,DAY($A527)&gt;=15),MONTH($A527)=11,AND(MONTH($A527)=12,DAY($A527)&lt;=7)),1,0)</f>
        <v>0</v>
      </c>
      <c r="F527" s="4" t="n">
        <f aca="false">IF(MONTH($A527)&lt;=3,1,0)</f>
        <v>0</v>
      </c>
      <c r="G527" s="4" t="str">
        <f aca="false" t="array" ref="G527:G527">_xlfn.TEXTJOIN(" | ",TRUE(),IF('FEMA Disasters'!$F$2:$F$1000=$A527,'FEMA Disasters'!$D$2:$D$1000&amp;" begin: ["&amp;'FEMA Disasters'!$B$2:$B$1000&amp;"] "&amp;'FEMA Disasters'!$C$2:$C$1000&amp;"-"&amp;'FEMA Disasters'!$A$2:$A$1000,""),IF('FEMA Disasters'!$G$2:$G$1000=$A527,'FEMA Disasters'!$D$2:$D$1000&amp;" ended: ["&amp;'FEMA Disasters'!$B$2:$B$1000&amp;"] "&amp;'FEMA Disasters'!$C$2:$C$1000&amp;"-"&amp;'FEMA Disasters'!$A$2:$A$1000,""),IF('FEMA Disasters'!$K$2:$K$1000=$A527,"Disaster SEP opens: "&amp;'FEMA Disasters'!$D$2:$D$1000&amp;" ["&amp;'FEMA Disasters'!$B$2:$B$1000&amp;"] "&amp;'FEMA Disasters'!$C$2:$C$1000&amp;"-"&amp;'FEMA Disasters'!$A$2:$A$1000,""),IF('FEMA Disasters'!$L$2:$L$1000=$A527,"Disaster SEP ended: "&amp;'FEMA Disasters'!$D$2:$D$1000&amp;" ["&amp;'FEMA Disasters'!$B$2:$B$1000&amp;"] "&amp;'FEMA Disasters'!$C$2:$C$1000&amp;"-"&amp;'FEMA Disasters'!$A$2:$A$1000,""))</f>
        <v/>
      </c>
      <c r="H527" s="4" t="n">
        <f aca="false">COUNTIF(Events!$A$2:$A$397,$A527)</f>
        <v>0</v>
      </c>
      <c r="I527" s="6" t="str">
        <f aca="false" t="array" ref="I527:I527">_xlfn.TEXTJOIN(" | ",TRUE(),IF(Events!$A$2:$A$397=$A527,Events!$E$2:$E$397&amp;IF(Events!$G$2:$G$397="National",""," ["&amp;Events!$G$2:$G$397&amp;"]"),""))</f>
        <v/>
      </c>
    </row>
    <row r="528" customFormat="false" ht="15" hidden="false" customHeight="true" outlineLevel="0" collapsed="false">
      <c r="A528" s="3" t="n">
        <v>45818</v>
      </c>
      <c r="B528" s="4" t="n">
        <f aca="false">YEAR($A528)</f>
        <v>2025</v>
      </c>
      <c r="C528" s="4" t="n">
        <f aca="false">MONTH($A528)</f>
        <v>6</v>
      </c>
      <c r="D528" s="4" t="str">
        <f aca="false">TEXT($A528,"ddd")</f>
        <v>Tue</v>
      </c>
      <c r="E528" s="4" t="n">
        <f aca="false">IF(OR(AND(MONTH($A528)=10,DAY($A528)&gt;=15),MONTH($A528)=11,AND(MONTH($A528)=12,DAY($A528)&lt;=7)),1,0)</f>
        <v>0</v>
      </c>
      <c r="F528" s="4" t="n">
        <f aca="false">IF(MONTH($A528)&lt;=3,1,0)</f>
        <v>0</v>
      </c>
      <c r="G528" s="4" t="str">
        <f aca="false" t="array" ref="G528:G528">_xlfn.TEXTJOIN(" | ",TRUE(),IF('FEMA Disasters'!$F$2:$F$1000=$A528,'FEMA Disasters'!$D$2:$D$1000&amp;" begin: ["&amp;'FEMA Disasters'!$B$2:$B$1000&amp;"] "&amp;'FEMA Disasters'!$C$2:$C$1000&amp;"-"&amp;'FEMA Disasters'!$A$2:$A$1000,""),IF('FEMA Disasters'!$G$2:$G$1000=$A528,'FEMA Disasters'!$D$2:$D$1000&amp;" ended: ["&amp;'FEMA Disasters'!$B$2:$B$1000&amp;"] "&amp;'FEMA Disasters'!$C$2:$C$1000&amp;"-"&amp;'FEMA Disasters'!$A$2:$A$1000,""),IF('FEMA Disasters'!$K$2:$K$1000=$A528,"Disaster SEP opens: "&amp;'FEMA Disasters'!$D$2:$D$1000&amp;" ["&amp;'FEMA Disasters'!$B$2:$B$1000&amp;"] "&amp;'FEMA Disasters'!$C$2:$C$1000&amp;"-"&amp;'FEMA Disasters'!$A$2:$A$1000,""),IF('FEMA Disasters'!$L$2:$L$1000=$A528,"Disaster SEP ended: "&amp;'FEMA Disasters'!$D$2:$D$1000&amp;" ["&amp;'FEMA Disasters'!$B$2:$B$1000&amp;"] "&amp;'FEMA Disasters'!$C$2:$C$1000&amp;"-"&amp;'FEMA Disasters'!$A$2:$A$1000,""))</f>
        <v>Fire begin: [NV] FM-5586</v>
      </c>
      <c r="H528" s="4" t="n">
        <f aca="false">COUNTIF(Events!$A$2:$A$397,$A528)</f>
        <v>0</v>
      </c>
      <c r="I528" s="6" t="str">
        <f aca="false" t="array" ref="I528:I528">_xlfn.TEXTJOIN(" | ",TRUE(),IF(Events!$A$2:$A$397=$A528,Events!$E$2:$E$397&amp;IF(Events!$G$2:$G$397="National",""," ["&amp;Events!$G$2:$G$397&amp;"]"),""))</f>
        <v/>
      </c>
    </row>
    <row r="529" customFormat="false" ht="15" hidden="false" customHeight="true" outlineLevel="0" collapsed="false">
      <c r="A529" s="3" t="n">
        <v>45819</v>
      </c>
      <c r="B529" s="4" t="n">
        <f aca="false">YEAR($A529)</f>
        <v>2025</v>
      </c>
      <c r="C529" s="4" t="n">
        <f aca="false">MONTH($A529)</f>
        <v>6</v>
      </c>
      <c r="D529" s="4" t="str">
        <f aca="false">TEXT($A529,"ddd")</f>
        <v>Wed</v>
      </c>
      <c r="E529" s="4" t="n">
        <f aca="false">IF(OR(AND(MONTH($A529)=10,DAY($A529)&gt;=15),MONTH($A529)=11,AND(MONTH($A529)=12,DAY($A529)&lt;=7)),1,0)</f>
        <v>0</v>
      </c>
      <c r="F529" s="4" t="n">
        <f aca="false">IF(MONTH($A529)&lt;=3,1,0)</f>
        <v>0</v>
      </c>
      <c r="G529" s="4" t="str">
        <f aca="false" t="array" ref="G529:G529">_xlfn.TEXTJOIN(" | ",TRUE(),IF('FEMA Disasters'!$F$2:$F$1000=$A529,'FEMA Disasters'!$D$2:$D$1000&amp;" begin: ["&amp;'FEMA Disasters'!$B$2:$B$1000&amp;"] "&amp;'FEMA Disasters'!$C$2:$C$1000&amp;"-"&amp;'FEMA Disasters'!$A$2:$A$1000,""),IF('FEMA Disasters'!$G$2:$G$1000=$A529,'FEMA Disasters'!$D$2:$D$1000&amp;" ended: ["&amp;'FEMA Disasters'!$B$2:$B$1000&amp;"] "&amp;'FEMA Disasters'!$C$2:$C$1000&amp;"-"&amp;'FEMA Disasters'!$A$2:$A$1000,""),IF('FEMA Disasters'!$K$2:$K$1000=$A529,"Disaster SEP opens: "&amp;'FEMA Disasters'!$D$2:$D$1000&amp;" ["&amp;'FEMA Disasters'!$B$2:$B$1000&amp;"] "&amp;'FEMA Disasters'!$C$2:$C$1000&amp;"-"&amp;'FEMA Disasters'!$A$2:$A$1000,""),IF('FEMA Disasters'!$L$2:$L$1000=$A529,"Disaster SEP ended: "&amp;'FEMA Disasters'!$D$2:$D$1000&amp;" ["&amp;'FEMA Disasters'!$B$2:$B$1000&amp;"] "&amp;'FEMA Disasters'!$C$2:$C$1000&amp;"-"&amp;'FEMA Disasters'!$A$2:$A$1000,""))</f>
        <v>Fire begin: [OR] FM-5587</v>
      </c>
      <c r="H529" s="4" t="n">
        <f aca="false">COUNTIF(Events!$A$2:$A$397,$A529)</f>
        <v>0</v>
      </c>
      <c r="I529" s="6" t="str">
        <f aca="false" t="array" ref="I529:I529">_xlfn.TEXTJOIN(" | ",TRUE(),IF(Events!$A$2:$A$397=$A529,Events!$E$2:$E$397&amp;IF(Events!$G$2:$G$397="National",""," ["&amp;Events!$G$2:$G$397&amp;"]"),""))</f>
        <v/>
      </c>
    </row>
    <row r="530" customFormat="false" ht="15" hidden="false" customHeight="true" outlineLevel="0" collapsed="false">
      <c r="A530" s="3" t="n">
        <v>45820</v>
      </c>
      <c r="B530" s="4" t="n">
        <f aca="false">YEAR($A530)</f>
        <v>2025</v>
      </c>
      <c r="C530" s="4" t="n">
        <f aca="false">MONTH($A530)</f>
        <v>6</v>
      </c>
      <c r="D530" s="4" t="str">
        <f aca="false">TEXT($A530,"ddd")</f>
        <v>Thu</v>
      </c>
      <c r="E530" s="4" t="n">
        <f aca="false">IF(OR(AND(MONTH($A530)=10,DAY($A530)&gt;=15),MONTH($A530)=11,AND(MONTH($A530)=12,DAY($A530)&lt;=7)),1,0)</f>
        <v>0</v>
      </c>
      <c r="F530" s="4" t="n">
        <f aca="false">IF(MONTH($A530)&lt;=3,1,0)</f>
        <v>0</v>
      </c>
      <c r="G530" s="4" t="str">
        <f aca="false" t="array" ref="G530:G530">_xlfn.TEXTJOIN(" | ",TRUE(),IF('FEMA Disasters'!$F$2:$F$1000=$A530,'FEMA Disasters'!$D$2:$D$1000&amp;" begin: ["&amp;'FEMA Disasters'!$B$2:$B$1000&amp;"] "&amp;'FEMA Disasters'!$C$2:$C$1000&amp;"-"&amp;'FEMA Disasters'!$A$2:$A$1000,""),IF('FEMA Disasters'!$G$2:$G$1000=$A530,'FEMA Disasters'!$D$2:$D$1000&amp;" ended: ["&amp;'FEMA Disasters'!$B$2:$B$1000&amp;"] "&amp;'FEMA Disasters'!$C$2:$C$1000&amp;"-"&amp;'FEMA Disasters'!$A$2:$A$1000,""),IF('FEMA Disasters'!$K$2:$K$1000=$A530,"Disaster SEP opens: "&amp;'FEMA Disasters'!$D$2:$D$1000&amp;" ["&amp;'FEMA Disasters'!$B$2:$B$1000&amp;"] "&amp;'FEMA Disasters'!$C$2:$C$1000&amp;"-"&amp;'FEMA Disasters'!$A$2:$A$1000,""),IF('FEMA Disasters'!$L$2:$L$1000=$A530,"Disaster SEP ended: "&amp;'FEMA Disasters'!$D$2:$D$1000&amp;" ["&amp;'FEMA Disasters'!$B$2:$B$1000&amp;"] "&amp;'FEMA Disasters'!$C$2:$C$1000&amp;"-"&amp;'FEMA Disasters'!$A$2:$A$1000,""))</f>
        <v>Flood begin: [SD] DR-4890 | Fire ended: [NV] FM-5586</v>
      </c>
      <c r="H530" s="4" t="n">
        <f aca="false">COUNTIF(Events!$A$2:$A$397,$A530)</f>
        <v>0</v>
      </c>
      <c r="I530" s="6" t="str">
        <f aca="false" t="array" ref="I530:I530">_xlfn.TEXTJOIN(" | ",TRUE(),IF(Events!$A$2:$A$397=$A530,Events!$E$2:$E$397&amp;IF(Events!$G$2:$G$397="National",""," ["&amp;Events!$G$2:$G$397&amp;"]"),""))</f>
        <v/>
      </c>
    </row>
    <row r="531" customFormat="false" ht="15" hidden="false" customHeight="true" outlineLevel="0" collapsed="false">
      <c r="A531" s="3" t="n">
        <v>45821</v>
      </c>
      <c r="B531" s="4" t="n">
        <f aca="false">YEAR($A531)</f>
        <v>2025</v>
      </c>
      <c r="C531" s="4" t="n">
        <f aca="false">MONTH($A531)</f>
        <v>6</v>
      </c>
      <c r="D531" s="4" t="str">
        <f aca="false">TEXT($A531,"ddd")</f>
        <v>Fri</v>
      </c>
      <c r="E531" s="4" t="n">
        <f aca="false">IF(OR(AND(MONTH($A531)=10,DAY($A531)&gt;=15),MONTH($A531)=11,AND(MONTH($A531)=12,DAY($A531)&lt;=7)),1,0)</f>
        <v>0</v>
      </c>
      <c r="F531" s="4" t="n">
        <f aca="false">IF(MONTH($A531)&lt;=3,1,0)</f>
        <v>0</v>
      </c>
      <c r="G531" s="4" t="str">
        <f aca="false" t="array" ref="G531:G531">_xlfn.TEXTJOIN(" | ",TRUE(),IF('FEMA Disasters'!$F$2:$F$1000=$A531,'FEMA Disasters'!$D$2:$D$1000&amp;" begin: ["&amp;'FEMA Disasters'!$B$2:$B$1000&amp;"] "&amp;'FEMA Disasters'!$C$2:$C$1000&amp;"-"&amp;'FEMA Disasters'!$A$2:$A$1000,""),IF('FEMA Disasters'!$G$2:$G$1000=$A531,'FEMA Disasters'!$D$2:$D$1000&amp;" ended: ["&amp;'FEMA Disasters'!$B$2:$B$1000&amp;"] "&amp;'FEMA Disasters'!$C$2:$C$1000&amp;"-"&amp;'FEMA Disasters'!$A$2:$A$1000,""),IF('FEMA Disasters'!$K$2:$K$1000=$A531,"Disaster SEP opens: "&amp;'FEMA Disasters'!$D$2:$D$1000&amp;" ["&amp;'FEMA Disasters'!$B$2:$B$1000&amp;"] "&amp;'FEMA Disasters'!$C$2:$C$1000&amp;"-"&amp;'FEMA Disasters'!$A$2:$A$1000,""),IF('FEMA Disasters'!$L$2:$L$1000=$A531,"Disaster SEP ended: "&amp;'FEMA Disasters'!$D$2:$D$1000&amp;" ["&amp;'FEMA Disasters'!$B$2:$B$1000&amp;"] "&amp;'FEMA Disasters'!$C$2:$C$1000&amp;"-"&amp;'FEMA Disasters'!$A$2:$A$1000,""))</f>
        <v/>
      </c>
      <c r="H531" s="4" t="n">
        <f aca="false">COUNTIF(Events!$A$2:$A$397,$A531)</f>
        <v>0</v>
      </c>
      <c r="I531" s="6" t="str">
        <f aca="false" t="array" ref="I531:I531">_xlfn.TEXTJOIN(" | ",TRUE(),IF(Events!$A$2:$A$397=$A531,Events!$E$2:$E$397&amp;IF(Events!$G$2:$G$397="National",""," ["&amp;Events!$G$2:$G$397&amp;"]"),""))</f>
        <v/>
      </c>
    </row>
    <row r="532" customFormat="false" ht="15" hidden="false" customHeight="true" outlineLevel="0" collapsed="false">
      <c r="A532" s="3" t="n">
        <v>45822</v>
      </c>
      <c r="B532" s="4" t="n">
        <f aca="false">YEAR($A532)</f>
        <v>2025</v>
      </c>
      <c r="C532" s="4" t="n">
        <f aca="false">MONTH($A532)</f>
        <v>6</v>
      </c>
      <c r="D532" s="4" t="str">
        <f aca="false">TEXT($A532,"ddd")</f>
        <v>Sat</v>
      </c>
      <c r="E532" s="4" t="n">
        <f aca="false">IF(OR(AND(MONTH($A532)=10,DAY($A532)&gt;=15),MONTH($A532)=11,AND(MONTH($A532)=12,DAY($A532)&lt;=7)),1,0)</f>
        <v>0</v>
      </c>
      <c r="F532" s="4" t="n">
        <f aca="false">IF(MONTH($A532)&lt;=3,1,0)</f>
        <v>0</v>
      </c>
      <c r="G532" s="4" t="str">
        <f aca="false" t="array" ref="G532:G532">_xlfn.TEXTJOIN(" | ",TRUE(),IF('FEMA Disasters'!$F$2:$F$1000=$A532,'FEMA Disasters'!$D$2:$D$1000&amp;" begin: ["&amp;'FEMA Disasters'!$B$2:$B$1000&amp;"] "&amp;'FEMA Disasters'!$C$2:$C$1000&amp;"-"&amp;'FEMA Disasters'!$A$2:$A$1000,""),IF('FEMA Disasters'!$G$2:$G$1000=$A532,'FEMA Disasters'!$D$2:$D$1000&amp;" ended: ["&amp;'FEMA Disasters'!$B$2:$B$1000&amp;"] "&amp;'FEMA Disasters'!$C$2:$C$1000&amp;"-"&amp;'FEMA Disasters'!$A$2:$A$1000,""),IF('FEMA Disasters'!$K$2:$K$1000=$A532,"Disaster SEP opens: "&amp;'FEMA Disasters'!$D$2:$D$1000&amp;" ["&amp;'FEMA Disasters'!$B$2:$B$1000&amp;"] "&amp;'FEMA Disasters'!$C$2:$C$1000&amp;"-"&amp;'FEMA Disasters'!$A$2:$A$1000,""),IF('FEMA Disasters'!$L$2:$L$1000=$A532,"Disaster SEP ended: "&amp;'FEMA Disasters'!$D$2:$D$1000&amp;" ["&amp;'FEMA Disasters'!$B$2:$B$1000&amp;"] "&amp;'FEMA Disasters'!$C$2:$C$1000&amp;"-"&amp;'FEMA Disasters'!$A$2:$A$1000,""))</f>
        <v>Flood begin: [WV] DR-4884</v>
      </c>
      <c r="H532" s="4" t="n">
        <f aca="false">COUNTIF(Events!$A$2:$A$397,$A532)</f>
        <v>0</v>
      </c>
      <c r="I532" s="6" t="str">
        <f aca="false" t="array" ref="I532:I532">_xlfn.TEXTJOIN(" | ",TRUE(),IF(Events!$A$2:$A$397=$A532,Events!$E$2:$E$397&amp;IF(Events!$G$2:$G$397="National",""," ["&amp;Events!$G$2:$G$397&amp;"]"),""))</f>
        <v/>
      </c>
    </row>
    <row r="533" customFormat="false" ht="15" hidden="false" customHeight="true" outlineLevel="0" collapsed="false">
      <c r="A533" s="3" t="n">
        <v>45823</v>
      </c>
      <c r="B533" s="4" t="n">
        <f aca="false">YEAR($A533)</f>
        <v>2025</v>
      </c>
      <c r="C533" s="4" t="n">
        <f aca="false">MONTH($A533)</f>
        <v>6</v>
      </c>
      <c r="D533" s="4" t="str">
        <f aca="false">TEXT($A533,"ddd")</f>
        <v>Sun</v>
      </c>
      <c r="E533" s="4" t="n">
        <f aca="false">IF(OR(AND(MONTH($A533)=10,DAY($A533)&gt;=15),MONTH($A533)=11,AND(MONTH($A533)=12,DAY($A533)&lt;=7)),1,0)</f>
        <v>0</v>
      </c>
      <c r="F533" s="4" t="n">
        <f aca="false">IF(MONTH($A533)&lt;=3,1,0)</f>
        <v>0</v>
      </c>
      <c r="G533" s="4" t="str">
        <f aca="false" t="array" ref="G533:G533">_xlfn.TEXTJOIN(" | ",TRUE(),IF('FEMA Disasters'!$F$2:$F$1000=$A533,'FEMA Disasters'!$D$2:$D$1000&amp;" begin: ["&amp;'FEMA Disasters'!$B$2:$B$1000&amp;"] "&amp;'FEMA Disasters'!$C$2:$C$1000&amp;"-"&amp;'FEMA Disasters'!$A$2:$A$1000,""),IF('FEMA Disasters'!$G$2:$G$1000=$A533,'FEMA Disasters'!$D$2:$D$1000&amp;" ended: ["&amp;'FEMA Disasters'!$B$2:$B$1000&amp;"] "&amp;'FEMA Disasters'!$C$2:$C$1000&amp;"-"&amp;'FEMA Disasters'!$A$2:$A$1000,""),IF('FEMA Disasters'!$K$2:$K$1000=$A533,"Disaster SEP opens: "&amp;'FEMA Disasters'!$D$2:$D$1000&amp;" ["&amp;'FEMA Disasters'!$B$2:$B$1000&amp;"] "&amp;'FEMA Disasters'!$C$2:$C$1000&amp;"-"&amp;'FEMA Disasters'!$A$2:$A$1000,""),IF('FEMA Disasters'!$L$2:$L$1000=$A533,"Disaster SEP ended: "&amp;'FEMA Disasters'!$D$2:$D$1000&amp;" ["&amp;'FEMA Disasters'!$B$2:$B$1000&amp;"] "&amp;'FEMA Disasters'!$C$2:$C$1000&amp;"-"&amp;'FEMA Disasters'!$A$2:$A$1000,""))</f>
        <v>Flood ended: [WV] DR-4884</v>
      </c>
      <c r="H533" s="4" t="n">
        <f aca="false">COUNTIF(Events!$A$2:$A$397,$A533)</f>
        <v>0</v>
      </c>
      <c r="I533" s="6" t="str">
        <f aca="false" t="array" ref="I533:I533">_xlfn.TEXTJOIN(" | ",TRUE(),IF(Events!$A$2:$A$397=$A533,Events!$E$2:$E$397&amp;IF(Events!$G$2:$G$397="National",""," ["&amp;Events!$G$2:$G$397&amp;"]"),""))</f>
        <v/>
      </c>
    </row>
    <row r="534" customFormat="false" ht="15" hidden="false" customHeight="true" outlineLevel="0" collapsed="false">
      <c r="A534" s="3" t="n">
        <v>45824</v>
      </c>
      <c r="B534" s="4" t="n">
        <f aca="false">YEAR($A534)</f>
        <v>2025</v>
      </c>
      <c r="C534" s="4" t="n">
        <f aca="false">MONTH($A534)</f>
        <v>6</v>
      </c>
      <c r="D534" s="4" t="str">
        <f aca="false">TEXT($A534,"ddd")</f>
        <v>Mon</v>
      </c>
      <c r="E534" s="4" t="n">
        <f aca="false">IF(OR(AND(MONTH($A534)=10,DAY($A534)&gt;=15),MONTH($A534)=11,AND(MONTH($A534)=12,DAY($A534)&lt;=7)),1,0)</f>
        <v>0</v>
      </c>
      <c r="F534" s="4" t="n">
        <f aca="false">IF(MONTH($A534)&lt;=3,1,0)</f>
        <v>0</v>
      </c>
      <c r="G534" s="4" t="str">
        <f aca="false" t="array" ref="G534:G534">_xlfn.TEXTJOIN(" | ",TRUE(),IF('FEMA Disasters'!$F$2:$F$1000=$A534,'FEMA Disasters'!$D$2:$D$1000&amp;" begin: ["&amp;'FEMA Disasters'!$B$2:$B$1000&amp;"] "&amp;'FEMA Disasters'!$C$2:$C$1000&amp;"-"&amp;'FEMA Disasters'!$A$2:$A$1000,""),IF('FEMA Disasters'!$G$2:$G$1000=$A534,'FEMA Disasters'!$D$2:$D$1000&amp;" ended: ["&amp;'FEMA Disasters'!$B$2:$B$1000&amp;"] "&amp;'FEMA Disasters'!$C$2:$C$1000&amp;"-"&amp;'FEMA Disasters'!$A$2:$A$1000,""),IF('FEMA Disasters'!$K$2:$K$1000=$A534,"Disaster SEP opens: "&amp;'FEMA Disasters'!$D$2:$D$1000&amp;" ["&amp;'FEMA Disasters'!$B$2:$B$1000&amp;"] "&amp;'FEMA Disasters'!$C$2:$C$1000&amp;"-"&amp;'FEMA Disasters'!$A$2:$A$1000,""),IF('FEMA Disasters'!$L$2:$L$1000=$A534,"Disaster SEP ended: "&amp;'FEMA Disasters'!$D$2:$D$1000&amp;" ["&amp;'FEMA Disasters'!$B$2:$B$1000&amp;"] "&amp;'FEMA Disasters'!$C$2:$C$1000&amp;"-"&amp;'FEMA Disasters'!$A$2:$A$1000,""))</f>
        <v>Fire begin: [NM] FM-5588 | Fire begin: [OR] FM-5589 | Flood ended: [SD] DR-4890</v>
      </c>
      <c r="H534" s="4" t="n">
        <f aca="false">COUNTIF(Events!$A$2:$A$397,$A534)</f>
        <v>0</v>
      </c>
      <c r="I534" s="6" t="str">
        <f aca="false" t="array" ref="I534:I534">_xlfn.TEXTJOIN(" | ",TRUE(),IF(Events!$A$2:$A$397=$A534,Events!$E$2:$E$397&amp;IF(Events!$G$2:$G$397="National",""," ["&amp;Events!$G$2:$G$397&amp;"]"),""))</f>
        <v/>
      </c>
    </row>
    <row r="535" customFormat="false" ht="15" hidden="false" customHeight="true" outlineLevel="0" collapsed="false">
      <c r="A535" s="3" t="n">
        <v>45825</v>
      </c>
      <c r="B535" s="4" t="n">
        <f aca="false">YEAR($A535)</f>
        <v>2025</v>
      </c>
      <c r="C535" s="4" t="n">
        <f aca="false">MONTH($A535)</f>
        <v>6</v>
      </c>
      <c r="D535" s="4" t="str">
        <f aca="false">TEXT($A535,"ddd")</f>
        <v>Tue</v>
      </c>
      <c r="E535" s="4" t="n">
        <f aca="false">IF(OR(AND(MONTH($A535)=10,DAY($A535)&gt;=15),MONTH($A535)=11,AND(MONTH($A535)=12,DAY($A535)&lt;=7)),1,0)</f>
        <v>0</v>
      </c>
      <c r="F535" s="4" t="n">
        <f aca="false">IF(MONTH($A535)&lt;=3,1,0)</f>
        <v>0</v>
      </c>
      <c r="G535" s="4" t="str">
        <f aca="false" t="array" ref="G535:G535">_xlfn.TEXTJOIN(" | ",TRUE(),IF('FEMA Disasters'!$F$2:$F$1000=$A535,'FEMA Disasters'!$D$2:$D$1000&amp;" begin: ["&amp;'FEMA Disasters'!$B$2:$B$1000&amp;"] "&amp;'FEMA Disasters'!$C$2:$C$1000&amp;"-"&amp;'FEMA Disasters'!$A$2:$A$1000,""),IF('FEMA Disasters'!$G$2:$G$1000=$A535,'FEMA Disasters'!$D$2:$D$1000&amp;" ended: ["&amp;'FEMA Disasters'!$B$2:$B$1000&amp;"] "&amp;'FEMA Disasters'!$C$2:$C$1000&amp;"-"&amp;'FEMA Disasters'!$A$2:$A$1000,""),IF('FEMA Disasters'!$K$2:$K$1000=$A535,"Disaster SEP opens: "&amp;'FEMA Disasters'!$D$2:$D$1000&amp;" ["&amp;'FEMA Disasters'!$B$2:$B$1000&amp;"] "&amp;'FEMA Disasters'!$C$2:$C$1000&amp;"-"&amp;'FEMA Disasters'!$A$2:$A$1000,""),IF('FEMA Disasters'!$L$2:$L$1000=$A535,"Disaster SEP ended: "&amp;'FEMA Disasters'!$D$2:$D$1000&amp;" ["&amp;'FEMA Disasters'!$B$2:$B$1000&amp;"] "&amp;'FEMA Disasters'!$C$2:$C$1000&amp;"-"&amp;'FEMA Disasters'!$A$2:$A$1000,""))</f>
        <v/>
      </c>
      <c r="H535" s="4" t="n">
        <f aca="false">COUNTIF(Events!$A$2:$A$397,$A535)</f>
        <v>0</v>
      </c>
      <c r="I535" s="6" t="str">
        <f aca="false" t="array" ref="I535:I535">_xlfn.TEXTJOIN(" | ",TRUE(),IF(Events!$A$2:$A$397=$A535,Events!$E$2:$E$397&amp;IF(Events!$G$2:$G$397="National",""," ["&amp;Events!$G$2:$G$397&amp;"]"),""))</f>
        <v/>
      </c>
    </row>
    <row r="536" customFormat="false" ht="15" hidden="false" customHeight="true" outlineLevel="0" collapsed="false">
      <c r="A536" s="3" t="n">
        <v>45826</v>
      </c>
      <c r="B536" s="4" t="n">
        <f aca="false">YEAR($A536)</f>
        <v>2025</v>
      </c>
      <c r="C536" s="4" t="n">
        <f aca="false">MONTH($A536)</f>
        <v>6</v>
      </c>
      <c r="D536" s="4" t="str">
        <f aca="false">TEXT($A536,"ddd")</f>
        <v>Wed</v>
      </c>
      <c r="E536" s="4" t="n">
        <f aca="false">IF(OR(AND(MONTH($A536)=10,DAY($A536)&gt;=15),MONTH($A536)=11,AND(MONTH($A536)=12,DAY($A536)&lt;=7)),1,0)</f>
        <v>0</v>
      </c>
      <c r="F536" s="4" t="n">
        <f aca="false">IF(MONTH($A536)&lt;=3,1,0)</f>
        <v>0</v>
      </c>
      <c r="G536" s="4" t="str">
        <f aca="false" t="array" ref="G536:G536">_xlfn.TEXTJOIN(" | ",TRUE(),IF('FEMA Disasters'!$F$2:$F$1000=$A536,'FEMA Disasters'!$D$2:$D$1000&amp;" begin: ["&amp;'FEMA Disasters'!$B$2:$B$1000&amp;"] "&amp;'FEMA Disasters'!$C$2:$C$1000&amp;"-"&amp;'FEMA Disasters'!$A$2:$A$1000,""),IF('FEMA Disasters'!$G$2:$G$1000=$A536,'FEMA Disasters'!$D$2:$D$1000&amp;" ended: ["&amp;'FEMA Disasters'!$B$2:$B$1000&amp;"] "&amp;'FEMA Disasters'!$C$2:$C$1000&amp;"-"&amp;'FEMA Disasters'!$A$2:$A$1000,""),IF('FEMA Disasters'!$K$2:$K$1000=$A536,"Disaster SEP opens: "&amp;'FEMA Disasters'!$D$2:$D$1000&amp;" ["&amp;'FEMA Disasters'!$B$2:$B$1000&amp;"] "&amp;'FEMA Disasters'!$C$2:$C$1000&amp;"-"&amp;'FEMA Disasters'!$A$2:$A$1000,""),IF('FEMA Disasters'!$L$2:$L$1000=$A536,"Disaster SEP ended: "&amp;'FEMA Disasters'!$D$2:$D$1000&amp;" ["&amp;'FEMA Disasters'!$B$2:$B$1000&amp;"] "&amp;'FEMA Disasters'!$C$2:$C$1000&amp;"-"&amp;'FEMA Disasters'!$A$2:$A$1000,""))</f>
        <v>Fire begin: [OR] FM-5590</v>
      </c>
      <c r="H536" s="4" t="n">
        <f aca="false">COUNTIF(Events!$A$2:$A$397,$A536)</f>
        <v>0</v>
      </c>
      <c r="I536" s="6" t="str">
        <f aca="false" t="array" ref="I536:I536">_xlfn.TEXTJOIN(" | ",TRUE(),IF(Events!$A$2:$A$397=$A536,Events!$E$2:$E$397&amp;IF(Events!$G$2:$G$397="National",""," ["&amp;Events!$G$2:$G$397&amp;"]"),""))</f>
        <v/>
      </c>
    </row>
    <row r="537" customFormat="false" ht="15" hidden="false" customHeight="true" outlineLevel="0" collapsed="false">
      <c r="A537" s="3" t="n">
        <v>45827</v>
      </c>
      <c r="B537" s="4" t="n">
        <f aca="false">YEAR($A537)</f>
        <v>2025</v>
      </c>
      <c r="C537" s="4" t="n">
        <f aca="false">MONTH($A537)</f>
        <v>6</v>
      </c>
      <c r="D537" s="4" t="str">
        <f aca="false">TEXT($A537,"ddd")</f>
        <v>Thu</v>
      </c>
      <c r="E537" s="4" t="n">
        <f aca="false">IF(OR(AND(MONTH($A537)=10,DAY($A537)&gt;=15),MONTH($A537)=11,AND(MONTH($A537)=12,DAY($A537)&lt;=7)),1,0)</f>
        <v>0</v>
      </c>
      <c r="F537" s="4" t="n">
        <f aca="false">IF(MONTH($A537)&lt;=3,1,0)</f>
        <v>0</v>
      </c>
      <c r="G537" s="4" t="str">
        <f aca="false" t="array" ref="G537:G537">_xlfn.TEXTJOIN(" | ",TRUE(),IF('FEMA Disasters'!$F$2:$F$1000=$A537,'FEMA Disasters'!$D$2:$D$1000&amp;" begin: ["&amp;'FEMA Disasters'!$B$2:$B$1000&amp;"] "&amp;'FEMA Disasters'!$C$2:$C$1000&amp;"-"&amp;'FEMA Disasters'!$A$2:$A$1000,""),IF('FEMA Disasters'!$G$2:$G$1000=$A537,'FEMA Disasters'!$D$2:$D$1000&amp;" ended: ["&amp;'FEMA Disasters'!$B$2:$B$1000&amp;"] "&amp;'FEMA Disasters'!$C$2:$C$1000&amp;"-"&amp;'FEMA Disasters'!$A$2:$A$1000,""),IF('FEMA Disasters'!$K$2:$K$1000=$A537,"Disaster SEP opens: "&amp;'FEMA Disasters'!$D$2:$D$1000&amp;" ["&amp;'FEMA Disasters'!$B$2:$B$1000&amp;"] "&amp;'FEMA Disasters'!$C$2:$C$1000&amp;"-"&amp;'FEMA Disasters'!$A$2:$A$1000,""),IF('FEMA Disasters'!$L$2:$L$1000=$A537,"Disaster SEP ended: "&amp;'FEMA Disasters'!$D$2:$D$1000&amp;" ["&amp;'FEMA Disasters'!$B$2:$B$1000&amp;"] "&amp;'FEMA Disasters'!$C$2:$C$1000&amp;"-"&amp;'FEMA Disasters'!$A$2:$A$1000,""))</f>
        <v>Fire begin: [UT] FM-5591 | Fire ended: [OR] FM-5587</v>
      </c>
      <c r="H537" s="4" t="n">
        <f aca="false">COUNTIF(Events!$A$2:$A$397,$A537)</f>
        <v>0</v>
      </c>
      <c r="I537" s="6" t="str">
        <f aca="false" t="array" ref="I537:I537">_xlfn.TEXTJOIN(" | ",TRUE(),IF(Events!$A$2:$A$397=$A537,Events!$E$2:$E$397&amp;IF(Events!$G$2:$G$397="National",""," ["&amp;Events!$G$2:$G$397&amp;"]"),""))</f>
        <v/>
      </c>
    </row>
    <row r="538" customFormat="false" ht="15" hidden="false" customHeight="true" outlineLevel="0" collapsed="false">
      <c r="A538" s="3" t="n">
        <v>45828</v>
      </c>
      <c r="B538" s="4" t="n">
        <f aca="false">YEAR($A538)</f>
        <v>2025</v>
      </c>
      <c r="C538" s="4" t="n">
        <f aca="false">MONTH($A538)</f>
        <v>6</v>
      </c>
      <c r="D538" s="4" t="str">
        <f aca="false">TEXT($A538,"ddd")</f>
        <v>Fri</v>
      </c>
      <c r="E538" s="4" t="n">
        <f aca="false">IF(OR(AND(MONTH($A538)=10,DAY($A538)&gt;=15),MONTH($A538)=11,AND(MONTH($A538)=12,DAY($A538)&lt;=7)),1,0)</f>
        <v>0</v>
      </c>
      <c r="F538" s="4" t="n">
        <f aca="false">IF(MONTH($A538)&lt;=3,1,0)</f>
        <v>0</v>
      </c>
      <c r="G538" s="4" t="str">
        <f aca="false" t="array" ref="G538:G538">_xlfn.TEXTJOIN(" | ",TRUE(),IF('FEMA Disasters'!$F$2:$F$1000=$A538,'FEMA Disasters'!$D$2:$D$1000&amp;" begin: ["&amp;'FEMA Disasters'!$B$2:$B$1000&amp;"] "&amp;'FEMA Disasters'!$C$2:$C$1000&amp;"-"&amp;'FEMA Disasters'!$A$2:$A$1000,""),IF('FEMA Disasters'!$G$2:$G$1000=$A538,'FEMA Disasters'!$D$2:$D$1000&amp;" ended: ["&amp;'FEMA Disasters'!$B$2:$B$1000&amp;"] "&amp;'FEMA Disasters'!$C$2:$C$1000&amp;"-"&amp;'FEMA Disasters'!$A$2:$A$1000,""),IF('FEMA Disasters'!$K$2:$K$1000=$A538,"Disaster SEP opens: "&amp;'FEMA Disasters'!$D$2:$D$1000&amp;" ["&amp;'FEMA Disasters'!$B$2:$B$1000&amp;"] "&amp;'FEMA Disasters'!$C$2:$C$1000&amp;"-"&amp;'FEMA Disasters'!$A$2:$A$1000,""),IF('FEMA Disasters'!$L$2:$L$1000=$A538,"Disaster SEP ended: "&amp;'FEMA Disasters'!$D$2:$D$1000&amp;" ["&amp;'FEMA Disasters'!$B$2:$B$1000&amp;"] "&amp;'FEMA Disasters'!$C$2:$C$1000&amp;"-"&amp;'FEMA Disasters'!$A$2:$A$1000,""))</f>
        <v>Severe Storm begin: [ND] DR-4888 | Fire begin: [NV] FM-5592</v>
      </c>
      <c r="H538" s="4" t="n">
        <f aca="false">COUNTIF(Events!$A$2:$A$397,$A538)</f>
        <v>0</v>
      </c>
      <c r="I538" s="6" t="str">
        <f aca="false" t="array" ref="I538:I538">_xlfn.TEXTJOIN(" | ",TRUE(),IF(Events!$A$2:$A$397=$A538,Events!$E$2:$E$397&amp;IF(Events!$G$2:$G$397="National",""," ["&amp;Events!$G$2:$G$397&amp;"]"),""))</f>
        <v/>
      </c>
    </row>
    <row r="539" customFormat="false" ht="15" hidden="false" customHeight="true" outlineLevel="0" collapsed="false">
      <c r="A539" s="3" t="n">
        <v>45829</v>
      </c>
      <c r="B539" s="4" t="n">
        <f aca="false">YEAR($A539)</f>
        <v>2025</v>
      </c>
      <c r="C539" s="4" t="n">
        <f aca="false">MONTH($A539)</f>
        <v>6</v>
      </c>
      <c r="D539" s="4" t="str">
        <f aca="false">TEXT($A539,"ddd")</f>
        <v>Sat</v>
      </c>
      <c r="E539" s="4" t="n">
        <f aca="false">IF(OR(AND(MONTH($A539)=10,DAY($A539)&gt;=15),MONTH($A539)=11,AND(MONTH($A539)=12,DAY($A539)&lt;=7)),1,0)</f>
        <v>0</v>
      </c>
      <c r="F539" s="4" t="n">
        <f aca="false">IF(MONTH($A539)&lt;=3,1,0)</f>
        <v>0</v>
      </c>
      <c r="G539" s="4" t="str">
        <f aca="false" t="array" ref="G539:G539">_xlfn.TEXTJOIN(" | ",TRUE(),IF('FEMA Disasters'!$F$2:$F$1000=$A539,'FEMA Disasters'!$D$2:$D$1000&amp;" begin: ["&amp;'FEMA Disasters'!$B$2:$B$1000&amp;"] "&amp;'FEMA Disasters'!$C$2:$C$1000&amp;"-"&amp;'FEMA Disasters'!$A$2:$A$1000,""),IF('FEMA Disasters'!$G$2:$G$1000=$A539,'FEMA Disasters'!$D$2:$D$1000&amp;" ended: ["&amp;'FEMA Disasters'!$B$2:$B$1000&amp;"] "&amp;'FEMA Disasters'!$C$2:$C$1000&amp;"-"&amp;'FEMA Disasters'!$A$2:$A$1000,""),IF('FEMA Disasters'!$K$2:$K$1000=$A539,"Disaster SEP opens: "&amp;'FEMA Disasters'!$D$2:$D$1000&amp;" ["&amp;'FEMA Disasters'!$B$2:$B$1000&amp;"] "&amp;'FEMA Disasters'!$C$2:$C$1000&amp;"-"&amp;'FEMA Disasters'!$A$2:$A$1000,""),IF('FEMA Disasters'!$L$2:$L$1000=$A539,"Disaster SEP ended: "&amp;'FEMA Disasters'!$D$2:$D$1000&amp;" ["&amp;'FEMA Disasters'!$B$2:$B$1000&amp;"] "&amp;'FEMA Disasters'!$C$2:$C$1000&amp;"-"&amp;'FEMA Disasters'!$A$2:$A$1000,""))</f>
        <v>Straight-Line Winds begin: [MN] DR-4894 | Fire begin: [NM] FM-5593 | Fire begin: [AK] FM-5596 | Fire ended: [OR] FM-5590 | Severe Storm ended: [ND] DR-4888 | Straight-Line Winds ended: [MN] DR-4894</v>
      </c>
      <c r="H539" s="4" t="n">
        <f aca="false">COUNTIF(Events!$A$2:$A$397,$A539)</f>
        <v>0</v>
      </c>
      <c r="I539" s="6" t="str">
        <f aca="false" t="array" ref="I539:I539">_xlfn.TEXTJOIN(" | ",TRUE(),IF(Events!$A$2:$A$397=$A539,Events!$E$2:$E$397&amp;IF(Events!$G$2:$G$397="National",""," ["&amp;Events!$G$2:$G$397&amp;"]"),""))</f>
        <v/>
      </c>
    </row>
    <row r="540" customFormat="false" ht="15" hidden="false" customHeight="true" outlineLevel="0" collapsed="false">
      <c r="A540" s="3" t="n">
        <v>45830</v>
      </c>
      <c r="B540" s="4" t="n">
        <f aca="false">YEAR($A540)</f>
        <v>2025</v>
      </c>
      <c r="C540" s="4" t="n">
        <f aca="false">MONTH($A540)</f>
        <v>6</v>
      </c>
      <c r="D540" s="4" t="str">
        <f aca="false">TEXT($A540,"ddd")</f>
        <v>Sun</v>
      </c>
      <c r="E540" s="4" t="n">
        <f aca="false">IF(OR(AND(MONTH($A540)=10,DAY($A540)&gt;=15),MONTH($A540)=11,AND(MONTH($A540)=12,DAY($A540)&lt;=7)),1,0)</f>
        <v>0</v>
      </c>
      <c r="F540" s="4" t="n">
        <f aca="false">IF(MONTH($A540)&lt;=3,1,0)</f>
        <v>0</v>
      </c>
      <c r="G540" s="4" t="str">
        <f aca="false" t="array" ref="G540:G540">_xlfn.TEXTJOIN(" | ",TRUE(),IF('FEMA Disasters'!$F$2:$F$1000=$A540,'FEMA Disasters'!$D$2:$D$1000&amp;" begin: ["&amp;'FEMA Disasters'!$B$2:$B$1000&amp;"] "&amp;'FEMA Disasters'!$C$2:$C$1000&amp;"-"&amp;'FEMA Disasters'!$A$2:$A$1000,""),IF('FEMA Disasters'!$G$2:$G$1000=$A540,'FEMA Disasters'!$D$2:$D$1000&amp;" ended: ["&amp;'FEMA Disasters'!$B$2:$B$1000&amp;"] "&amp;'FEMA Disasters'!$C$2:$C$1000&amp;"-"&amp;'FEMA Disasters'!$A$2:$A$1000,""),IF('FEMA Disasters'!$K$2:$K$1000=$A540,"Disaster SEP opens: "&amp;'FEMA Disasters'!$D$2:$D$1000&amp;" ["&amp;'FEMA Disasters'!$B$2:$B$1000&amp;"] "&amp;'FEMA Disasters'!$C$2:$C$1000&amp;"-"&amp;'FEMA Disasters'!$A$2:$A$1000,""),IF('FEMA Disasters'!$L$2:$L$1000=$A540,"Disaster SEP ended: "&amp;'FEMA Disasters'!$D$2:$D$1000&amp;" ["&amp;'FEMA Disasters'!$B$2:$B$1000&amp;"] "&amp;'FEMA Disasters'!$C$2:$C$1000&amp;"-"&amp;'FEMA Disasters'!$A$2:$A$1000,""))</f>
        <v>Fire begin: [NM] FM-5594 | Fire begin: [AK] FM-5595 | Fire ended: [OR] FM-5589</v>
      </c>
      <c r="H540" s="4" t="n">
        <f aca="false">COUNTIF(Events!$A$2:$A$397,$A540)</f>
        <v>0</v>
      </c>
      <c r="I540" s="6" t="str">
        <f aca="false" t="array" ref="I540:I540">_xlfn.TEXTJOIN(" | ",TRUE(),IF(Events!$A$2:$A$397=$A540,Events!$E$2:$E$397&amp;IF(Events!$G$2:$G$397="National",""," ["&amp;Events!$G$2:$G$397&amp;"]"),""))</f>
        <v/>
      </c>
    </row>
    <row r="541" customFormat="false" ht="15" hidden="false" customHeight="true" outlineLevel="0" collapsed="false">
      <c r="A541" s="3" t="n">
        <v>45831</v>
      </c>
      <c r="B541" s="4" t="n">
        <f aca="false">YEAR($A541)</f>
        <v>2025</v>
      </c>
      <c r="C541" s="4" t="n">
        <f aca="false">MONTH($A541)</f>
        <v>6</v>
      </c>
      <c r="D541" s="4" t="str">
        <f aca="false">TEXT($A541,"ddd")</f>
        <v>Mon</v>
      </c>
      <c r="E541" s="4" t="n">
        <f aca="false">IF(OR(AND(MONTH($A541)=10,DAY($A541)&gt;=15),MONTH($A541)=11,AND(MONTH($A541)=12,DAY($A541)&lt;=7)),1,0)</f>
        <v>0</v>
      </c>
      <c r="F541" s="4" t="n">
        <f aca="false">IF(MONTH($A541)&lt;=3,1,0)</f>
        <v>0</v>
      </c>
      <c r="G541" s="4" t="str">
        <f aca="false" t="array" ref="G541:G541">_xlfn.TEXTJOIN(" | ",TRUE(),IF('FEMA Disasters'!$F$2:$F$1000=$A541,'FEMA Disasters'!$D$2:$D$1000&amp;" begin: ["&amp;'FEMA Disasters'!$B$2:$B$1000&amp;"] "&amp;'FEMA Disasters'!$C$2:$C$1000&amp;"-"&amp;'FEMA Disasters'!$A$2:$A$1000,""),IF('FEMA Disasters'!$G$2:$G$1000=$A541,'FEMA Disasters'!$D$2:$D$1000&amp;" ended: ["&amp;'FEMA Disasters'!$B$2:$B$1000&amp;"] "&amp;'FEMA Disasters'!$C$2:$C$1000&amp;"-"&amp;'FEMA Disasters'!$A$2:$A$1000,""),IF('FEMA Disasters'!$K$2:$K$1000=$A541,"Disaster SEP opens: "&amp;'FEMA Disasters'!$D$2:$D$1000&amp;" ["&amp;'FEMA Disasters'!$B$2:$B$1000&amp;"] "&amp;'FEMA Disasters'!$C$2:$C$1000&amp;"-"&amp;'FEMA Disasters'!$A$2:$A$1000,""),IF('FEMA Disasters'!$L$2:$L$1000=$A541,"Disaster SEP ended: "&amp;'FEMA Disasters'!$D$2:$D$1000&amp;" ["&amp;'FEMA Disasters'!$B$2:$B$1000&amp;"] "&amp;'FEMA Disasters'!$C$2:$C$1000&amp;"-"&amp;'FEMA Disasters'!$A$2:$A$1000,""))</f>
        <v>Flood begin: [NM] EM-3628 | Flood begin: [NM] DR-4886</v>
      </c>
      <c r="H541" s="4" t="n">
        <f aca="false">COUNTIF(Events!$A$2:$A$397,$A541)</f>
        <v>0</v>
      </c>
      <c r="I541" s="6" t="str">
        <f aca="false" t="array" ref="I541:I541">_xlfn.TEXTJOIN(" | ",TRUE(),IF(Events!$A$2:$A$397=$A541,Events!$E$2:$E$397&amp;IF(Events!$G$2:$G$397="National",""," ["&amp;Events!$G$2:$G$397&amp;"]"),""))</f>
        <v/>
      </c>
    </row>
    <row r="542" customFormat="false" ht="15" hidden="false" customHeight="true" outlineLevel="0" collapsed="false">
      <c r="A542" s="3" t="n">
        <v>45832</v>
      </c>
      <c r="B542" s="4" t="n">
        <f aca="false">YEAR($A542)</f>
        <v>2025</v>
      </c>
      <c r="C542" s="4" t="n">
        <f aca="false">MONTH($A542)</f>
        <v>6</v>
      </c>
      <c r="D542" s="4" t="str">
        <f aca="false">TEXT($A542,"ddd")</f>
        <v>Tue</v>
      </c>
      <c r="E542" s="4" t="n">
        <f aca="false">IF(OR(AND(MONTH($A542)=10,DAY($A542)&gt;=15),MONTH($A542)=11,AND(MONTH($A542)=12,DAY($A542)&lt;=7)),1,0)</f>
        <v>0</v>
      </c>
      <c r="F542" s="4" t="n">
        <f aca="false">IF(MONTH($A542)&lt;=3,1,0)</f>
        <v>0</v>
      </c>
      <c r="G542" s="4" t="str">
        <f aca="false" t="array" ref="G542:G542">_xlfn.TEXTJOIN(" | ",TRUE(),IF('FEMA Disasters'!$F$2:$F$1000=$A542,'FEMA Disasters'!$D$2:$D$1000&amp;" begin: ["&amp;'FEMA Disasters'!$B$2:$B$1000&amp;"] "&amp;'FEMA Disasters'!$C$2:$C$1000&amp;"-"&amp;'FEMA Disasters'!$A$2:$A$1000,""),IF('FEMA Disasters'!$G$2:$G$1000=$A542,'FEMA Disasters'!$D$2:$D$1000&amp;" ended: ["&amp;'FEMA Disasters'!$B$2:$B$1000&amp;"] "&amp;'FEMA Disasters'!$C$2:$C$1000&amp;"-"&amp;'FEMA Disasters'!$A$2:$A$1000,""),IF('FEMA Disasters'!$K$2:$K$1000=$A542,"Disaster SEP opens: "&amp;'FEMA Disasters'!$D$2:$D$1000&amp;" ["&amp;'FEMA Disasters'!$B$2:$B$1000&amp;"] "&amp;'FEMA Disasters'!$C$2:$C$1000&amp;"-"&amp;'FEMA Disasters'!$A$2:$A$1000,""),IF('FEMA Disasters'!$L$2:$L$1000=$A542,"Disaster SEP ended: "&amp;'FEMA Disasters'!$D$2:$D$1000&amp;" ["&amp;'FEMA Disasters'!$B$2:$B$1000&amp;"] "&amp;'FEMA Disasters'!$C$2:$C$1000&amp;"-"&amp;'FEMA Disasters'!$A$2:$A$1000,""))</f>
        <v>Fire ended: [NV] FM-5592</v>
      </c>
      <c r="H542" s="4" t="n">
        <f aca="false">COUNTIF(Events!$A$2:$A$397,$A542)</f>
        <v>0</v>
      </c>
      <c r="I542" s="6" t="str">
        <f aca="false" t="array" ref="I542:I542">_xlfn.TEXTJOIN(" | ",TRUE(),IF(Events!$A$2:$A$397=$A542,Events!$E$2:$E$397&amp;IF(Events!$G$2:$G$397="National",""," ["&amp;Events!$G$2:$G$397&amp;"]"),""))</f>
        <v/>
      </c>
    </row>
    <row r="543" customFormat="false" ht="15" hidden="false" customHeight="true" outlineLevel="0" collapsed="false">
      <c r="A543" s="3" t="n">
        <v>45833</v>
      </c>
      <c r="B543" s="4" t="n">
        <f aca="false">YEAR($A543)</f>
        <v>2025</v>
      </c>
      <c r="C543" s="4" t="n">
        <f aca="false">MONTH($A543)</f>
        <v>6</v>
      </c>
      <c r="D543" s="4" t="str">
        <f aca="false">TEXT($A543,"ddd")</f>
        <v>Wed</v>
      </c>
      <c r="E543" s="4" t="n">
        <f aca="false">IF(OR(AND(MONTH($A543)=10,DAY($A543)&gt;=15),MONTH($A543)=11,AND(MONTH($A543)=12,DAY($A543)&lt;=7)),1,0)</f>
        <v>0</v>
      </c>
      <c r="F543" s="4" t="n">
        <f aca="false">IF(MONTH($A543)&lt;=3,1,0)</f>
        <v>0</v>
      </c>
      <c r="G543" s="4" t="str">
        <f aca="false" t="array" ref="G543:G543">_xlfn.TEXTJOIN(" | ",TRUE(),IF('FEMA Disasters'!$F$2:$F$1000=$A543,'FEMA Disasters'!$D$2:$D$1000&amp;" begin: ["&amp;'FEMA Disasters'!$B$2:$B$1000&amp;"] "&amp;'FEMA Disasters'!$C$2:$C$1000&amp;"-"&amp;'FEMA Disasters'!$A$2:$A$1000,""),IF('FEMA Disasters'!$G$2:$G$1000=$A543,'FEMA Disasters'!$D$2:$D$1000&amp;" ended: ["&amp;'FEMA Disasters'!$B$2:$B$1000&amp;"] "&amp;'FEMA Disasters'!$C$2:$C$1000&amp;"-"&amp;'FEMA Disasters'!$A$2:$A$1000,""),IF('FEMA Disasters'!$K$2:$K$1000=$A543,"Disaster SEP opens: "&amp;'FEMA Disasters'!$D$2:$D$1000&amp;" ["&amp;'FEMA Disasters'!$B$2:$B$1000&amp;"] "&amp;'FEMA Disasters'!$C$2:$C$1000&amp;"-"&amp;'FEMA Disasters'!$A$2:$A$1000,""),IF('FEMA Disasters'!$L$2:$L$1000=$A543,"Disaster SEP ended: "&amp;'FEMA Disasters'!$D$2:$D$1000&amp;" ["&amp;'FEMA Disasters'!$B$2:$B$1000&amp;"] "&amp;'FEMA Disasters'!$C$2:$C$1000&amp;"-"&amp;'FEMA Disasters'!$A$2:$A$1000,""))</f>
        <v/>
      </c>
      <c r="H543" s="4" t="n">
        <f aca="false">COUNTIF(Events!$A$2:$A$397,$A543)</f>
        <v>0</v>
      </c>
      <c r="I543" s="6" t="str">
        <f aca="false" t="array" ref="I543:I543">_xlfn.TEXTJOIN(" | ",TRUE(),IF(Events!$A$2:$A$397=$A543,Events!$E$2:$E$397&amp;IF(Events!$G$2:$G$397="National",""," ["&amp;Events!$G$2:$G$397&amp;"]"),""))</f>
        <v/>
      </c>
    </row>
    <row r="544" customFormat="false" ht="15" hidden="false" customHeight="true" outlineLevel="0" collapsed="false">
      <c r="A544" s="3" t="n">
        <v>45834</v>
      </c>
      <c r="B544" s="4" t="n">
        <f aca="false">YEAR($A544)</f>
        <v>2025</v>
      </c>
      <c r="C544" s="4" t="n">
        <f aca="false">MONTH($A544)</f>
        <v>6</v>
      </c>
      <c r="D544" s="4" t="str">
        <f aca="false">TEXT($A544,"ddd")</f>
        <v>Thu</v>
      </c>
      <c r="E544" s="4" t="n">
        <f aca="false">IF(OR(AND(MONTH($A544)=10,DAY($A544)&gt;=15),MONTH($A544)=11,AND(MONTH($A544)=12,DAY($A544)&lt;=7)),1,0)</f>
        <v>0</v>
      </c>
      <c r="F544" s="4" t="n">
        <f aca="false">IF(MONTH($A544)&lt;=3,1,0)</f>
        <v>0</v>
      </c>
      <c r="G544" s="4" t="str">
        <f aca="false" t="array" ref="G544:G544">_xlfn.TEXTJOIN(" | ",TRUE(),IF('FEMA Disasters'!$F$2:$F$1000=$A544,'FEMA Disasters'!$D$2:$D$1000&amp;" begin: ["&amp;'FEMA Disasters'!$B$2:$B$1000&amp;"] "&amp;'FEMA Disasters'!$C$2:$C$1000&amp;"-"&amp;'FEMA Disasters'!$A$2:$A$1000,""),IF('FEMA Disasters'!$G$2:$G$1000=$A544,'FEMA Disasters'!$D$2:$D$1000&amp;" ended: ["&amp;'FEMA Disasters'!$B$2:$B$1000&amp;"] "&amp;'FEMA Disasters'!$C$2:$C$1000&amp;"-"&amp;'FEMA Disasters'!$A$2:$A$1000,""),IF('FEMA Disasters'!$K$2:$K$1000=$A544,"Disaster SEP opens: "&amp;'FEMA Disasters'!$D$2:$D$1000&amp;" ["&amp;'FEMA Disasters'!$B$2:$B$1000&amp;"] "&amp;'FEMA Disasters'!$C$2:$C$1000&amp;"-"&amp;'FEMA Disasters'!$A$2:$A$1000,""),IF('FEMA Disasters'!$L$2:$L$1000=$A544,"Disaster SEP ended: "&amp;'FEMA Disasters'!$D$2:$D$1000&amp;" ["&amp;'FEMA Disasters'!$B$2:$B$1000&amp;"] "&amp;'FEMA Disasters'!$C$2:$C$1000&amp;"-"&amp;'FEMA Disasters'!$A$2:$A$1000,""))</f>
        <v>Fire ended: [AK] FM-5596</v>
      </c>
      <c r="H544" s="4" t="n">
        <f aca="false">COUNTIF(Events!$A$2:$A$397,$A544)</f>
        <v>0</v>
      </c>
      <c r="I544" s="6" t="str">
        <f aca="false" t="array" ref="I544:I544">_xlfn.TEXTJOIN(" | ",TRUE(),IF(Events!$A$2:$A$397=$A544,Events!$E$2:$E$397&amp;IF(Events!$G$2:$G$397="National",""," ["&amp;Events!$G$2:$G$397&amp;"]"),""))</f>
        <v/>
      </c>
    </row>
    <row r="545" customFormat="false" ht="15" hidden="false" customHeight="true" outlineLevel="0" collapsed="false">
      <c r="A545" s="3" t="n">
        <v>45835</v>
      </c>
      <c r="B545" s="4" t="n">
        <f aca="false">YEAR($A545)</f>
        <v>2025</v>
      </c>
      <c r="C545" s="4" t="n">
        <f aca="false">MONTH($A545)</f>
        <v>6</v>
      </c>
      <c r="D545" s="4" t="str">
        <f aca="false">TEXT($A545,"ddd")</f>
        <v>Fri</v>
      </c>
      <c r="E545" s="4" t="n">
        <f aca="false">IF(OR(AND(MONTH($A545)=10,DAY($A545)&gt;=15),MONTH($A545)=11,AND(MONTH($A545)=12,DAY($A545)&lt;=7)),1,0)</f>
        <v>0</v>
      </c>
      <c r="F545" s="4" t="n">
        <f aca="false">IF(MONTH($A545)&lt;=3,1,0)</f>
        <v>0</v>
      </c>
      <c r="G545" s="4" t="str">
        <f aca="false" t="array" ref="G545:G545">_xlfn.TEXTJOIN(" | ",TRUE(),IF('FEMA Disasters'!$F$2:$F$1000=$A545,'FEMA Disasters'!$D$2:$D$1000&amp;" begin: ["&amp;'FEMA Disasters'!$B$2:$B$1000&amp;"] "&amp;'FEMA Disasters'!$C$2:$C$1000&amp;"-"&amp;'FEMA Disasters'!$A$2:$A$1000,""),IF('FEMA Disasters'!$G$2:$G$1000=$A545,'FEMA Disasters'!$D$2:$D$1000&amp;" ended: ["&amp;'FEMA Disasters'!$B$2:$B$1000&amp;"] "&amp;'FEMA Disasters'!$C$2:$C$1000&amp;"-"&amp;'FEMA Disasters'!$A$2:$A$1000,""),IF('FEMA Disasters'!$K$2:$K$1000=$A545,"Disaster SEP opens: "&amp;'FEMA Disasters'!$D$2:$D$1000&amp;" ["&amp;'FEMA Disasters'!$B$2:$B$1000&amp;"] "&amp;'FEMA Disasters'!$C$2:$C$1000&amp;"-"&amp;'FEMA Disasters'!$A$2:$A$1000,""),IF('FEMA Disasters'!$L$2:$L$1000=$A545,"Disaster SEP ended: "&amp;'FEMA Disasters'!$D$2:$D$1000&amp;" ["&amp;'FEMA Disasters'!$B$2:$B$1000&amp;"] "&amp;'FEMA Disasters'!$C$2:$C$1000&amp;"-"&amp;'FEMA Disasters'!$A$2:$A$1000,""))</f>
        <v/>
      </c>
      <c r="H545" s="4" t="n">
        <f aca="false">COUNTIF(Events!$A$2:$A$397,$A545)</f>
        <v>0</v>
      </c>
      <c r="I545" s="6" t="str">
        <f aca="false" t="array" ref="I545:I545">_xlfn.TEXTJOIN(" | ",TRUE(),IF(Events!$A$2:$A$397=$A545,Events!$E$2:$E$397&amp;IF(Events!$G$2:$G$397="National",""," ["&amp;Events!$G$2:$G$397&amp;"]"),""))</f>
        <v/>
      </c>
    </row>
    <row r="546" customFormat="false" ht="15" hidden="false" customHeight="true" outlineLevel="0" collapsed="false">
      <c r="A546" s="3" t="n">
        <v>45836</v>
      </c>
      <c r="B546" s="4" t="n">
        <f aca="false">YEAR($A546)</f>
        <v>2025</v>
      </c>
      <c r="C546" s="4" t="n">
        <f aca="false">MONTH($A546)</f>
        <v>6</v>
      </c>
      <c r="D546" s="4" t="str">
        <f aca="false">TEXT($A546,"ddd")</f>
        <v>Sat</v>
      </c>
      <c r="E546" s="4" t="n">
        <f aca="false">IF(OR(AND(MONTH($A546)=10,DAY($A546)&gt;=15),MONTH($A546)=11,AND(MONTH($A546)=12,DAY($A546)&lt;=7)),1,0)</f>
        <v>0</v>
      </c>
      <c r="F546" s="4" t="n">
        <f aca="false">IF(MONTH($A546)&lt;=3,1,0)</f>
        <v>0</v>
      </c>
      <c r="G546" s="4" t="str">
        <f aca="false" t="array" ref="G546:G546">_xlfn.TEXTJOIN(" | ",TRUE(),IF('FEMA Disasters'!$F$2:$F$1000=$A546,'FEMA Disasters'!$D$2:$D$1000&amp;" begin: ["&amp;'FEMA Disasters'!$B$2:$B$1000&amp;"] "&amp;'FEMA Disasters'!$C$2:$C$1000&amp;"-"&amp;'FEMA Disasters'!$A$2:$A$1000,""),IF('FEMA Disasters'!$G$2:$G$1000=$A546,'FEMA Disasters'!$D$2:$D$1000&amp;" ended: ["&amp;'FEMA Disasters'!$B$2:$B$1000&amp;"] "&amp;'FEMA Disasters'!$C$2:$C$1000&amp;"-"&amp;'FEMA Disasters'!$A$2:$A$1000,""),IF('FEMA Disasters'!$K$2:$K$1000=$A546,"Disaster SEP opens: "&amp;'FEMA Disasters'!$D$2:$D$1000&amp;" ["&amp;'FEMA Disasters'!$B$2:$B$1000&amp;"] "&amp;'FEMA Disasters'!$C$2:$C$1000&amp;"-"&amp;'FEMA Disasters'!$A$2:$A$1000,""),IF('FEMA Disasters'!$L$2:$L$1000=$A546,"Disaster SEP ended: "&amp;'FEMA Disasters'!$D$2:$D$1000&amp;" ["&amp;'FEMA Disasters'!$B$2:$B$1000&amp;"] "&amp;'FEMA Disasters'!$C$2:$C$1000&amp;"-"&amp;'FEMA Disasters'!$A$2:$A$1000,""))</f>
        <v/>
      </c>
      <c r="H546" s="4" t="n">
        <f aca="false">COUNTIF(Events!$A$2:$A$397,$A546)</f>
        <v>0</v>
      </c>
      <c r="I546" s="6" t="str">
        <f aca="false" t="array" ref="I546:I546">_xlfn.TEXTJOIN(" | ",TRUE(),IF(Events!$A$2:$A$397=$A546,Events!$E$2:$E$397&amp;IF(Events!$G$2:$G$397="National",""," ["&amp;Events!$G$2:$G$397&amp;"]"),""))</f>
        <v/>
      </c>
    </row>
    <row r="547" customFormat="false" ht="15" hidden="false" customHeight="true" outlineLevel="0" collapsed="false">
      <c r="A547" s="3" t="n">
        <v>45837</v>
      </c>
      <c r="B547" s="4" t="n">
        <f aca="false">YEAR($A547)</f>
        <v>2025</v>
      </c>
      <c r="C547" s="4" t="n">
        <f aca="false">MONTH($A547)</f>
        <v>6</v>
      </c>
      <c r="D547" s="4" t="str">
        <f aca="false">TEXT($A547,"ddd")</f>
        <v>Sun</v>
      </c>
      <c r="E547" s="4" t="n">
        <f aca="false">IF(OR(AND(MONTH($A547)=10,DAY($A547)&gt;=15),MONTH($A547)=11,AND(MONTH($A547)=12,DAY($A547)&lt;=7)),1,0)</f>
        <v>0</v>
      </c>
      <c r="F547" s="4" t="n">
        <f aca="false">IF(MONTH($A547)&lt;=3,1,0)</f>
        <v>0</v>
      </c>
      <c r="G547" s="4" t="str">
        <f aca="false" t="array" ref="G547:G547">_xlfn.TEXTJOIN(" | ",TRUE(),IF('FEMA Disasters'!$F$2:$F$1000=$A547,'FEMA Disasters'!$D$2:$D$1000&amp;" begin: ["&amp;'FEMA Disasters'!$B$2:$B$1000&amp;"] "&amp;'FEMA Disasters'!$C$2:$C$1000&amp;"-"&amp;'FEMA Disasters'!$A$2:$A$1000,""),IF('FEMA Disasters'!$G$2:$G$1000=$A547,'FEMA Disasters'!$D$2:$D$1000&amp;" ended: ["&amp;'FEMA Disasters'!$B$2:$B$1000&amp;"] "&amp;'FEMA Disasters'!$C$2:$C$1000&amp;"-"&amp;'FEMA Disasters'!$A$2:$A$1000,""),IF('FEMA Disasters'!$K$2:$K$1000=$A547,"Disaster SEP opens: "&amp;'FEMA Disasters'!$D$2:$D$1000&amp;" ["&amp;'FEMA Disasters'!$B$2:$B$1000&amp;"] "&amp;'FEMA Disasters'!$C$2:$C$1000&amp;"-"&amp;'FEMA Disasters'!$A$2:$A$1000,""),IF('FEMA Disasters'!$L$2:$L$1000=$A547,"Disaster SEP ended: "&amp;'FEMA Disasters'!$D$2:$D$1000&amp;" ["&amp;'FEMA Disasters'!$B$2:$B$1000&amp;"] "&amp;'FEMA Disasters'!$C$2:$C$1000&amp;"-"&amp;'FEMA Disasters'!$A$2:$A$1000,""))</f>
        <v/>
      </c>
      <c r="H547" s="4" t="n">
        <f aca="false">COUNTIF(Events!$A$2:$A$397,$A547)</f>
        <v>0</v>
      </c>
      <c r="I547" s="6" t="str">
        <f aca="false" t="array" ref="I547:I547">_xlfn.TEXTJOIN(" | ",TRUE(),IF(Events!$A$2:$A$397=$A547,Events!$E$2:$E$397&amp;IF(Events!$G$2:$G$397="National",""," ["&amp;Events!$G$2:$G$397&amp;"]"),""))</f>
        <v/>
      </c>
    </row>
    <row r="548" customFormat="false" ht="15" hidden="false" customHeight="true" outlineLevel="0" collapsed="false">
      <c r="A548" s="3" t="n">
        <v>45838</v>
      </c>
      <c r="B548" s="4" t="n">
        <f aca="false">YEAR($A548)</f>
        <v>2025</v>
      </c>
      <c r="C548" s="4" t="n">
        <f aca="false">MONTH($A548)</f>
        <v>6</v>
      </c>
      <c r="D548" s="4" t="str">
        <f aca="false">TEXT($A548,"ddd")</f>
        <v>Mon</v>
      </c>
      <c r="E548" s="4" t="n">
        <f aca="false">IF(OR(AND(MONTH($A548)=10,DAY($A548)&gt;=15),MONTH($A548)=11,AND(MONTH($A548)=12,DAY($A548)&lt;=7)),1,0)</f>
        <v>0</v>
      </c>
      <c r="F548" s="4" t="n">
        <f aca="false">IF(MONTH($A548)&lt;=3,1,0)</f>
        <v>0</v>
      </c>
      <c r="G548" s="4" t="str">
        <f aca="false" t="array" ref="G548:G548">_xlfn.TEXTJOIN(" | ",TRUE(),IF('FEMA Disasters'!$F$2:$F$1000=$A548,'FEMA Disasters'!$D$2:$D$1000&amp;" begin: ["&amp;'FEMA Disasters'!$B$2:$B$1000&amp;"] "&amp;'FEMA Disasters'!$C$2:$C$1000&amp;"-"&amp;'FEMA Disasters'!$A$2:$A$1000,""),IF('FEMA Disasters'!$G$2:$G$1000=$A548,'FEMA Disasters'!$D$2:$D$1000&amp;" ended: ["&amp;'FEMA Disasters'!$B$2:$B$1000&amp;"] "&amp;'FEMA Disasters'!$C$2:$C$1000&amp;"-"&amp;'FEMA Disasters'!$A$2:$A$1000,""),IF('FEMA Disasters'!$K$2:$K$1000=$A548,"Disaster SEP opens: "&amp;'FEMA Disasters'!$D$2:$D$1000&amp;" ["&amp;'FEMA Disasters'!$B$2:$B$1000&amp;"] "&amp;'FEMA Disasters'!$C$2:$C$1000&amp;"-"&amp;'FEMA Disasters'!$A$2:$A$1000,""),IF('FEMA Disasters'!$L$2:$L$1000=$A548,"Disaster SEP ended: "&amp;'FEMA Disasters'!$D$2:$D$1000&amp;" ["&amp;'FEMA Disasters'!$B$2:$B$1000&amp;"] "&amp;'FEMA Disasters'!$C$2:$C$1000&amp;"-"&amp;'FEMA Disasters'!$A$2:$A$1000,""))</f>
        <v>Disaster SEP opens: Severe Storm [MO] DR-4872 | Disaster SEP opens: Flood [IN] DR-4882 | Disaster SEP opens: Severe Storm [TN] EM-3625 | Disaster SEP opens: Severe Storm [AR] EM-3627 | Disaster SEP opens: Flood [AR] DR-4873 | Disaster SEP opens: Severe Storm [TN] DR-4878 | Disaster SEP opens: Severe Storm [MO] DR-4876 | Disaster SEP ended: Severe Storm [VA] DR-4863 | Disaster SEP ended: Severe Storm [WV] DR-4861</v>
      </c>
      <c r="H548" s="4" t="n">
        <f aca="false">COUNTIF(Events!$A$2:$A$397,$A548)</f>
        <v>0</v>
      </c>
      <c r="I548" s="6" t="str">
        <f aca="false" t="array" ref="I548:I548">_xlfn.TEXTJOIN(" | ",TRUE(),IF(Events!$A$2:$A$397=$A548,Events!$E$2:$E$397&amp;IF(Events!$G$2:$G$397="National",""," ["&amp;Events!$G$2:$G$397&amp;"]"),""))</f>
        <v/>
      </c>
    </row>
    <row r="549" customFormat="false" ht="15" hidden="false" customHeight="true" outlineLevel="0" collapsed="false">
      <c r="A549" s="3" t="n">
        <v>45839</v>
      </c>
      <c r="B549" s="4" t="n">
        <f aca="false">YEAR($A549)</f>
        <v>2025</v>
      </c>
      <c r="C549" s="4" t="n">
        <f aca="false">MONTH($A549)</f>
        <v>7</v>
      </c>
      <c r="D549" s="4" t="str">
        <f aca="false">TEXT($A549,"ddd")</f>
        <v>Tue</v>
      </c>
      <c r="E549" s="4" t="n">
        <f aca="false">IF(OR(AND(MONTH($A549)=10,DAY($A549)&gt;=15),MONTH($A549)=11,AND(MONTH($A549)=12,DAY($A549)&lt;=7)),1,0)</f>
        <v>0</v>
      </c>
      <c r="F549" s="4" t="n">
        <f aca="false">IF(MONTH($A549)&lt;=3,1,0)</f>
        <v>0</v>
      </c>
      <c r="G549" s="4" t="str">
        <f aca="false" t="array" ref="G549:G549">_xlfn.TEXTJOIN(" | ",TRUE(),IF('FEMA Disasters'!$F$2:$F$1000=$A549,'FEMA Disasters'!$D$2:$D$1000&amp;" begin: ["&amp;'FEMA Disasters'!$B$2:$B$1000&amp;"] "&amp;'FEMA Disasters'!$C$2:$C$1000&amp;"-"&amp;'FEMA Disasters'!$A$2:$A$1000,""),IF('FEMA Disasters'!$G$2:$G$1000=$A549,'FEMA Disasters'!$D$2:$D$1000&amp;" ended: ["&amp;'FEMA Disasters'!$B$2:$B$1000&amp;"] "&amp;'FEMA Disasters'!$C$2:$C$1000&amp;"-"&amp;'FEMA Disasters'!$A$2:$A$1000,""),IF('FEMA Disasters'!$K$2:$K$1000=$A549,"Disaster SEP opens: "&amp;'FEMA Disasters'!$D$2:$D$1000&amp;" ["&amp;'FEMA Disasters'!$B$2:$B$1000&amp;"] "&amp;'FEMA Disasters'!$C$2:$C$1000&amp;"-"&amp;'FEMA Disasters'!$A$2:$A$1000,""),IF('FEMA Disasters'!$L$2:$L$1000=$A549,"Disaster SEP ended: "&amp;'FEMA Disasters'!$D$2:$D$1000&amp;" ["&amp;'FEMA Disasters'!$B$2:$B$1000&amp;"] "&amp;'FEMA Disasters'!$C$2:$C$1000&amp;"-"&amp;'FEMA Disasters'!$A$2:$A$1000,""))</f>
        <v/>
      </c>
      <c r="H549" s="4" t="n">
        <f aca="false">COUNTIF(Events!$A$2:$A$397,$A549)</f>
        <v>1</v>
      </c>
      <c r="I549" s="6" t="str">
        <f aca="false" t="array" ref="I549:I549">_xlfn.TEXTJOIN(" | ",TRUE(),IF(Events!$A$2:$A$397=$A549,Events!$E$2:$E$397&amp;IF(Events!$G$2:$G$397="National",""," ["&amp;Events!$G$2:$G$397&amp;"]"),""))</f>
        <v>Virginia Medigap birthday rule takes effect (SB 1199 / HB 2100, enacted 3/24/2025): 60-day open enrollment from birthday to switch to any Medigap policy with the same benefits from any insurer, no underwriting; insurers must send advance written notice of the window [VA]</v>
      </c>
    </row>
    <row r="550" customFormat="false" ht="15" hidden="false" customHeight="true" outlineLevel="0" collapsed="false">
      <c r="A550" s="3" t="n">
        <v>45840</v>
      </c>
      <c r="B550" s="4" t="n">
        <f aca="false">YEAR($A550)</f>
        <v>2025</v>
      </c>
      <c r="C550" s="4" t="n">
        <f aca="false">MONTH($A550)</f>
        <v>7</v>
      </c>
      <c r="D550" s="4" t="str">
        <f aca="false">TEXT($A550,"ddd")</f>
        <v>Wed</v>
      </c>
      <c r="E550" s="4" t="n">
        <f aca="false">IF(OR(AND(MONTH($A550)=10,DAY($A550)&gt;=15),MONTH($A550)=11,AND(MONTH($A550)=12,DAY($A550)&lt;=7)),1,0)</f>
        <v>0</v>
      </c>
      <c r="F550" s="4" t="n">
        <f aca="false">IF(MONTH($A550)&lt;=3,1,0)</f>
        <v>0</v>
      </c>
      <c r="G550" s="4" t="str">
        <f aca="false" t="array" ref="G550:G550">_xlfn.TEXTJOIN(" | ",TRUE(),IF('FEMA Disasters'!$F$2:$F$1000=$A550,'FEMA Disasters'!$D$2:$D$1000&amp;" begin: ["&amp;'FEMA Disasters'!$B$2:$B$1000&amp;"] "&amp;'FEMA Disasters'!$C$2:$C$1000&amp;"-"&amp;'FEMA Disasters'!$A$2:$A$1000,""),IF('FEMA Disasters'!$G$2:$G$1000=$A550,'FEMA Disasters'!$D$2:$D$1000&amp;" ended: ["&amp;'FEMA Disasters'!$B$2:$B$1000&amp;"] "&amp;'FEMA Disasters'!$C$2:$C$1000&amp;"-"&amp;'FEMA Disasters'!$A$2:$A$1000,""),IF('FEMA Disasters'!$K$2:$K$1000=$A550,"Disaster SEP opens: "&amp;'FEMA Disasters'!$D$2:$D$1000&amp;" ["&amp;'FEMA Disasters'!$B$2:$B$1000&amp;"] "&amp;'FEMA Disasters'!$C$2:$C$1000&amp;"-"&amp;'FEMA Disasters'!$A$2:$A$1000,""),IF('FEMA Disasters'!$L$2:$L$1000=$A550,"Disaster SEP ended: "&amp;'FEMA Disasters'!$D$2:$D$1000&amp;" ["&amp;'FEMA Disasters'!$B$2:$B$1000&amp;"] "&amp;'FEMA Disasters'!$C$2:$C$1000&amp;"-"&amp;'FEMA Disasters'!$A$2:$A$1000,""))</f>
        <v>Flood begin: [TX] DR-4879</v>
      </c>
      <c r="H550" s="4" t="n">
        <f aca="false">COUNTIF(Events!$A$2:$A$397,$A550)</f>
        <v>1</v>
      </c>
      <c r="I550" s="6" t="str">
        <f aca="false" t="array" ref="I550:I550">_xlfn.TEXTJOIN(" | ",TRUE(),IF(Events!$A$2:$A$397=$A550,Events!$E$2:$E$397&amp;IF(Events!$G$2:$G$397="National",""," ["&amp;Events!$G$2:$G$397&amp;"]"),""))</f>
        <v>Rhode Island SB 610 signed: creates an annual guaranteed-issue Medigap window aligned with the Medicare AEP (Oct 15-Dec 7) - NOT birthday-based - for anyone with continuous Medigap/MA coverage since their Initial Enrollment Period (no gap &gt;90 days) to switch to ANY Medigap plan; adds 6-month open enrollment at 65 for under-65 enrollees; bans gender/attained-age/issue-age rating from 1/1/2026 [RI]</v>
      </c>
    </row>
    <row r="551" customFormat="false" ht="15" hidden="false" customHeight="true" outlineLevel="0" collapsed="false">
      <c r="A551" s="3" t="n">
        <v>45841</v>
      </c>
      <c r="B551" s="4" t="n">
        <f aca="false">YEAR($A551)</f>
        <v>2025</v>
      </c>
      <c r="C551" s="4" t="n">
        <f aca="false">MONTH($A551)</f>
        <v>7</v>
      </c>
      <c r="D551" s="4" t="str">
        <f aca="false">TEXT($A551,"ddd")</f>
        <v>Thu</v>
      </c>
      <c r="E551" s="4" t="n">
        <f aca="false">IF(OR(AND(MONTH($A551)=10,DAY($A551)&gt;=15),MONTH($A551)=11,AND(MONTH($A551)=12,DAY($A551)&lt;=7)),1,0)</f>
        <v>0</v>
      </c>
      <c r="F551" s="4" t="n">
        <f aca="false">IF(MONTH($A551)&lt;=3,1,0)</f>
        <v>0</v>
      </c>
      <c r="G551" s="4" t="str">
        <f aca="false" t="array" ref="G551:G551">_xlfn.TEXTJOIN(" | ",TRUE(),IF('FEMA Disasters'!$F$2:$F$1000=$A551,'FEMA Disasters'!$D$2:$D$1000&amp;" begin: ["&amp;'FEMA Disasters'!$B$2:$B$1000&amp;"] "&amp;'FEMA Disasters'!$C$2:$C$1000&amp;"-"&amp;'FEMA Disasters'!$A$2:$A$1000,""),IF('FEMA Disasters'!$G$2:$G$1000=$A551,'FEMA Disasters'!$D$2:$D$1000&amp;" ended: ["&amp;'FEMA Disasters'!$B$2:$B$1000&amp;"] "&amp;'FEMA Disasters'!$C$2:$C$1000&amp;"-"&amp;'FEMA Disasters'!$A$2:$A$1000,""),IF('FEMA Disasters'!$K$2:$K$1000=$A551,"Disaster SEP opens: "&amp;'FEMA Disasters'!$D$2:$D$1000&amp;" ["&amp;'FEMA Disasters'!$B$2:$B$1000&amp;"] "&amp;'FEMA Disasters'!$C$2:$C$1000&amp;"-"&amp;'FEMA Disasters'!$A$2:$A$1000,""),IF('FEMA Disasters'!$L$2:$L$1000=$A551,"Disaster SEP ended: "&amp;'FEMA Disasters'!$D$2:$D$1000&amp;" ["&amp;'FEMA Disasters'!$B$2:$B$1000&amp;"] "&amp;'FEMA Disasters'!$C$2:$C$1000&amp;"-"&amp;'FEMA Disasters'!$A$2:$A$1000,""))</f>
        <v/>
      </c>
      <c r="H551" s="4" t="n">
        <f aca="false">COUNTIF(Events!$A$2:$A$397,$A551)</f>
        <v>0</v>
      </c>
      <c r="I551" s="6" t="str">
        <f aca="false" t="array" ref="I551:I551">_xlfn.TEXTJOIN(" | ",TRUE(),IF(Events!$A$2:$A$397=$A551,Events!$E$2:$E$397&amp;IF(Events!$G$2:$G$397="National",""," ["&amp;Events!$G$2:$G$397&amp;"]"),""))</f>
        <v/>
      </c>
    </row>
    <row r="552" customFormat="false" ht="15" hidden="false" customHeight="true" outlineLevel="0" collapsed="false">
      <c r="A552" s="3" t="n">
        <v>45842</v>
      </c>
      <c r="B552" s="4" t="n">
        <f aca="false">YEAR($A552)</f>
        <v>2025</v>
      </c>
      <c r="C552" s="4" t="n">
        <f aca="false">MONTH($A552)</f>
        <v>7</v>
      </c>
      <c r="D552" s="4" t="str">
        <f aca="false">TEXT($A552,"ddd")</f>
        <v>Fri</v>
      </c>
      <c r="E552" s="4" t="n">
        <f aca="false">IF(OR(AND(MONTH($A552)=10,DAY($A552)&gt;=15),MONTH($A552)=11,AND(MONTH($A552)=12,DAY($A552)&lt;=7)),1,0)</f>
        <v>0</v>
      </c>
      <c r="F552" s="4" t="n">
        <f aca="false">IF(MONTH($A552)&lt;=3,1,0)</f>
        <v>0</v>
      </c>
      <c r="G552" s="4" t="str">
        <f aca="false" t="array" ref="G552:G552">_xlfn.TEXTJOIN(" | ",TRUE(),IF('FEMA Disasters'!$F$2:$F$1000=$A552,'FEMA Disasters'!$D$2:$D$1000&amp;" begin: ["&amp;'FEMA Disasters'!$B$2:$B$1000&amp;"] "&amp;'FEMA Disasters'!$C$2:$C$1000&amp;"-"&amp;'FEMA Disasters'!$A$2:$A$1000,""),IF('FEMA Disasters'!$G$2:$G$1000=$A552,'FEMA Disasters'!$D$2:$D$1000&amp;" ended: ["&amp;'FEMA Disasters'!$B$2:$B$1000&amp;"] "&amp;'FEMA Disasters'!$C$2:$C$1000&amp;"-"&amp;'FEMA Disasters'!$A$2:$A$1000,""),IF('FEMA Disasters'!$K$2:$K$1000=$A552,"Disaster SEP opens: "&amp;'FEMA Disasters'!$D$2:$D$1000&amp;" ["&amp;'FEMA Disasters'!$B$2:$B$1000&amp;"] "&amp;'FEMA Disasters'!$C$2:$C$1000&amp;"-"&amp;'FEMA Disasters'!$A$2:$A$1000,""),IF('FEMA Disasters'!$L$2:$L$1000=$A552,"Disaster SEP ended: "&amp;'FEMA Disasters'!$D$2:$D$1000&amp;" ["&amp;'FEMA Disasters'!$B$2:$B$1000&amp;"] "&amp;'FEMA Disasters'!$C$2:$C$1000&amp;"-"&amp;'FEMA Disasters'!$A$2:$A$1000,""))</f>
        <v>Fire begin: [AK] FM-5597</v>
      </c>
      <c r="H552" s="4" t="n">
        <f aca="false">COUNTIF(Events!$A$2:$A$397,$A552)</f>
        <v>1</v>
      </c>
      <c r="I552" s="6" t="str">
        <f aca="false" t="array" ref="I552:I552">_xlfn.TEXTJOIN(" | ",TRUE(),IF(Events!$A$2:$A$397=$A552,Events!$E$2:$E$397&amp;IF(Events!$G$2:$G$397="National",""," ["&amp;Events!$G$2:$G$397&amp;"]"),""))</f>
        <v>OBBBA (P.L. 119-21) signed: immediate moratorium through 2034 on the MSP eligibility-streamlining rule (CBO: $66B less MSP/Medicaid enrollment support; ~1.3M fewer duals in Medicaid by 2034); Medicare eligibility restricted for certain lawfully present non-citizens; Medicaid work requirements and 6-month redeterminations effective after 2026 - shrinks the D-SNP-eligible pipeline long-run || C-SNP: duals losing Medicaid via work requirements/6-mo redeterminations/MSP moratorium exit D-SNP eligibility but often retain C-SNP-qualifying chronic conditions - long-run C-SNP tailwind.</v>
      </c>
    </row>
    <row r="553" customFormat="false" ht="15" hidden="false" customHeight="true" outlineLevel="0" collapsed="false">
      <c r="A553" s="3" t="n">
        <v>45843</v>
      </c>
      <c r="B553" s="4" t="n">
        <f aca="false">YEAR($A553)</f>
        <v>2025</v>
      </c>
      <c r="C553" s="4" t="n">
        <f aca="false">MONTH($A553)</f>
        <v>7</v>
      </c>
      <c r="D553" s="4" t="str">
        <f aca="false">TEXT($A553,"ddd")</f>
        <v>Sat</v>
      </c>
      <c r="E553" s="4" t="n">
        <f aca="false">IF(OR(AND(MONTH($A553)=10,DAY($A553)&gt;=15),MONTH($A553)=11,AND(MONTH($A553)=12,DAY($A553)&lt;=7)),1,0)</f>
        <v>0</v>
      </c>
      <c r="F553" s="4" t="n">
        <f aca="false">IF(MONTH($A553)&lt;=3,1,0)</f>
        <v>0</v>
      </c>
      <c r="G553" s="4" t="str">
        <f aca="false" t="array" ref="G553:G553">_xlfn.TEXTJOIN(" | ",TRUE(),IF('FEMA Disasters'!$F$2:$F$1000=$A553,'FEMA Disasters'!$D$2:$D$1000&amp;" begin: ["&amp;'FEMA Disasters'!$B$2:$B$1000&amp;"] "&amp;'FEMA Disasters'!$C$2:$C$1000&amp;"-"&amp;'FEMA Disasters'!$A$2:$A$1000,""),IF('FEMA Disasters'!$G$2:$G$1000=$A553,'FEMA Disasters'!$D$2:$D$1000&amp;" ended: ["&amp;'FEMA Disasters'!$B$2:$B$1000&amp;"] "&amp;'FEMA Disasters'!$C$2:$C$1000&amp;"-"&amp;'FEMA Disasters'!$A$2:$A$1000,""),IF('FEMA Disasters'!$K$2:$K$1000=$A553,"Disaster SEP opens: "&amp;'FEMA Disasters'!$D$2:$D$1000&amp;" ["&amp;'FEMA Disasters'!$B$2:$B$1000&amp;"] "&amp;'FEMA Disasters'!$C$2:$C$1000&amp;"-"&amp;'FEMA Disasters'!$A$2:$A$1000,""),IF('FEMA Disasters'!$L$2:$L$1000=$A553,"Disaster SEP ended: "&amp;'FEMA Disasters'!$D$2:$D$1000&amp;" ["&amp;'FEMA Disasters'!$B$2:$B$1000&amp;"] "&amp;'FEMA Disasters'!$C$2:$C$1000&amp;"-"&amp;'FEMA Disasters'!$A$2:$A$1000,""))</f>
        <v/>
      </c>
      <c r="H553" s="4" t="n">
        <f aca="false">COUNTIF(Events!$A$2:$A$397,$A553)</f>
        <v>0</v>
      </c>
      <c r="I553" s="6" t="str">
        <f aca="false" t="array" ref="I553:I553">_xlfn.TEXTJOIN(" | ",TRUE(),IF(Events!$A$2:$A$397=$A553,Events!$E$2:$E$397&amp;IF(Events!$G$2:$G$397="National",""," ["&amp;Events!$G$2:$G$397&amp;"]"),""))</f>
        <v/>
      </c>
    </row>
    <row r="554" customFormat="false" ht="15" hidden="false" customHeight="true" outlineLevel="0" collapsed="false">
      <c r="A554" s="3" t="n">
        <v>45844</v>
      </c>
      <c r="B554" s="4" t="n">
        <f aca="false">YEAR($A554)</f>
        <v>2025</v>
      </c>
      <c r="C554" s="4" t="n">
        <f aca="false">MONTH($A554)</f>
        <v>7</v>
      </c>
      <c r="D554" s="4" t="str">
        <f aca="false">TEXT($A554,"ddd")</f>
        <v>Sun</v>
      </c>
      <c r="E554" s="4" t="n">
        <f aca="false">IF(OR(AND(MONTH($A554)=10,DAY($A554)&gt;=15),MONTH($A554)=11,AND(MONTH($A554)=12,DAY($A554)&lt;=7)),1,0)</f>
        <v>0</v>
      </c>
      <c r="F554" s="4" t="n">
        <f aca="false">IF(MONTH($A554)&lt;=3,1,0)</f>
        <v>0</v>
      </c>
      <c r="G554" s="4" t="str">
        <f aca="false" t="array" ref="G554:G554">_xlfn.TEXTJOIN(" | ",TRUE(),IF('FEMA Disasters'!$F$2:$F$1000=$A554,'FEMA Disasters'!$D$2:$D$1000&amp;" begin: ["&amp;'FEMA Disasters'!$B$2:$B$1000&amp;"] "&amp;'FEMA Disasters'!$C$2:$C$1000&amp;"-"&amp;'FEMA Disasters'!$A$2:$A$1000,""),IF('FEMA Disasters'!$G$2:$G$1000=$A554,'FEMA Disasters'!$D$2:$D$1000&amp;" ended: ["&amp;'FEMA Disasters'!$B$2:$B$1000&amp;"] "&amp;'FEMA Disasters'!$C$2:$C$1000&amp;"-"&amp;'FEMA Disasters'!$A$2:$A$1000,""),IF('FEMA Disasters'!$K$2:$K$1000=$A554,"Disaster SEP opens: "&amp;'FEMA Disasters'!$D$2:$D$1000&amp;" ["&amp;'FEMA Disasters'!$B$2:$B$1000&amp;"] "&amp;'FEMA Disasters'!$C$2:$C$1000&amp;"-"&amp;'FEMA Disasters'!$A$2:$A$1000,""),IF('FEMA Disasters'!$L$2:$L$1000=$A554,"Disaster SEP ended: "&amp;'FEMA Disasters'!$D$2:$D$1000&amp;" ["&amp;'FEMA Disasters'!$B$2:$B$1000&amp;"] "&amp;'FEMA Disasters'!$C$2:$C$1000&amp;"-"&amp;'FEMA Disasters'!$A$2:$A$1000,""))</f>
        <v>Tropical Depression begin: [NC] DR-4889</v>
      </c>
      <c r="H554" s="4" t="n">
        <f aca="false">COUNTIF(Events!$A$2:$A$397,$A554)</f>
        <v>0</v>
      </c>
      <c r="I554" s="6" t="str">
        <f aca="false" t="array" ref="I554:I554">_xlfn.TEXTJOIN(" | ",TRUE(),IF(Events!$A$2:$A$397=$A554,Events!$E$2:$E$397&amp;IF(Events!$G$2:$G$397="National",""," ["&amp;Events!$G$2:$G$397&amp;"]"),""))</f>
        <v/>
      </c>
    </row>
    <row r="555" customFormat="false" ht="15" hidden="false" customHeight="true" outlineLevel="0" collapsed="false">
      <c r="A555" s="3" t="n">
        <v>45845</v>
      </c>
      <c r="B555" s="4" t="n">
        <f aca="false">YEAR($A555)</f>
        <v>2025</v>
      </c>
      <c r="C555" s="4" t="n">
        <f aca="false">MONTH($A555)</f>
        <v>7</v>
      </c>
      <c r="D555" s="4" t="str">
        <f aca="false">TEXT($A555,"ddd")</f>
        <v>Mon</v>
      </c>
      <c r="E555" s="4" t="n">
        <f aca="false">IF(OR(AND(MONTH($A555)=10,DAY($A555)&gt;=15),MONTH($A555)=11,AND(MONTH($A555)=12,DAY($A555)&lt;=7)),1,0)</f>
        <v>0</v>
      </c>
      <c r="F555" s="4" t="n">
        <f aca="false">IF(MONTH($A555)&lt;=3,1,0)</f>
        <v>0</v>
      </c>
      <c r="G555" s="4" t="str">
        <f aca="false" t="array" ref="G555:G555">_xlfn.TEXTJOIN(" | ",TRUE(),IF('FEMA Disasters'!$F$2:$F$1000=$A555,'FEMA Disasters'!$D$2:$D$1000&amp;" begin: ["&amp;'FEMA Disasters'!$B$2:$B$1000&amp;"] "&amp;'FEMA Disasters'!$C$2:$C$1000&amp;"-"&amp;'FEMA Disasters'!$A$2:$A$1000,""),IF('FEMA Disasters'!$G$2:$G$1000=$A555,'FEMA Disasters'!$D$2:$D$1000&amp;" ended: ["&amp;'FEMA Disasters'!$B$2:$B$1000&amp;"] "&amp;'FEMA Disasters'!$C$2:$C$1000&amp;"-"&amp;'FEMA Disasters'!$A$2:$A$1000,""),IF('FEMA Disasters'!$K$2:$K$1000=$A555,"Disaster SEP opens: "&amp;'FEMA Disasters'!$D$2:$D$1000&amp;" ["&amp;'FEMA Disasters'!$B$2:$B$1000&amp;"] "&amp;'FEMA Disasters'!$C$2:$C$1000&amp;"-"&amp;'FEMA Disasters'!$A$2:$A$1000,""),IF('FEMA Disasters'!$L$2:$L$1000=$A555,"Disaster SEP ended: "&amp;'FEMA Disasters'!$D$2:$D$1000&amp;" ["&amp;'FEMA Disasters'!$B$2:$B$1000&amp;"] "&amp;'FEMA Disasters'!$C$2:$C$1000&amp;"-"&amp;'FEMA Disasters'!$A$2:$A$1000,""))</f>
        <v>Tropical Depression ended: [NC] DR-4889</v>
      </c>
      <c r="H555" s="4" t="n">
        <f aca="false">COUNTIF(Events!$A$2:$A$397,$A555)</f>
        <v>0</v>
      </c>
      <c r="I555" s="6" t="str">
        <f aca="false" t="array" ref="I555:I555">_xlfn.TEXTJOIN(" | ",TRUE(),IF(Events!$A$2:$A$397=$A555,Events!$E$2:$E$397&amp;IF(Events!$G$2:$G$397="National",""," ["&amp;Events!$G$2:$G$397&amp;"]"),""))</f>
        <v/>
      </c>
    </row>
    <row r="556" customFormat="false" ht="15" hidden="false" customHeight="true" outlineLevel="0" collapsed="false">
      <c r="A556" s="3" t="n">
        <v>45846</v>
      </c>
      <c r="B556" s="4" t="n">
        <f aca="false">YEAR($A556)</f>
        <v>2025</v>
      </c>
      <c r="C556" s="4" t="n">
        <f aca="false">MONTH($A556)</f>
        <v>7</v>
      </c>
      <c r="D556" s="4" t="str">
        <f aca="false">TEXT($A556,"ddd")</f>
        <v>Tue</v>
      </c>
      <c r="E556" s="4" t="n">
        <f aca="false">IF(OR(AND(MONTH($A556)=10,DAY($A556)&gt;=15),MONTH($A556)=11,AND(MONTH($A556)=12,DAY($A556)&lt;=7)),1,0)</f>
        <v>0</v>
      </c>
      <c r="F556" s="4" t="n">
        <f aca="false">IF(MONTH($A556)&lt;=3,1,0)</f>
        <v>0</v>
      </c>
      <c r="G556" s="4" t="str">
        <f aca="false" t="array" ref="G556:G556">_xlfn.TEXTJOIN(" | ",TRUE(),IF('FEMA Disasters'!$F$2:$F$1000=$A556,'FEMA Disasters'!$D$2:$D$1000&amp;" begin: ["&amp;'FEMA Disasters'!$B$2:$B$1000&amp;"] "&amp;'FEMA Disasters'!$C$2:$C$1000&amp;"-"&amp;'FEMA Disasters'!$A$2:$A$1000,""),IF('FEMA Disasters'!$G$2:$G$1000=$A556,'FEMA Disasters'!$D$2:$D$1000&amp;" ended: ["&amp;'FEMA Disasters'!$B$2:$B$1000&amp;"] "&amp;'FEMA Disasters'!$C$2:$C$1000&amp;"-"&amp;'FEMA Disasters'!$A$2:$A$1000,""),IF('FEMA Disasters'!$K$2:$K$1000=$A556,"Disaster SEP opens: "&amp;'FEMA Disasters'!$D$2:$D$1000&amp;" ["&amp;'FEMA Disasters'!$B$2:$B$1000&amp;"] "&amp;'FEMA Disasters'!$C$2:$C$1000&amp;"-"&amp;'FEMA Disasters'!$A$2:$A$1000,""),IF('FEMA Disasters'!$L$2:$L$1000=$A556,"Disaster SEP ended: "&amp;'FEMA Disasters'!$D$2:$D$1000&amp;" ["&amp;'FEMA Disasters'!$B$2:$B$1000&amp;"] "&amp;'FEMA Disasters'!$C$2:$C$1000&amp;"-"&amp;'FEMA Disasters'!$A$2:$A$1000,""))</f>
        <v/>
      </c>
      <c r="H556" s="4" t="n">
        <f aca="false">COUNTIF(Events!$A$2:$A$397,$A556)</f>
        <v>0</v>
      </c>
      <c r="I556" s="6" t="str">
        <f aca="false" t="array" ref="I556:I556">_xlfn.TEXTJOIN(" | ",TRUE(),IF(Events!$A$2:$A$397=$A556,Events!$E$2:$E$397&amp;IF(Events!$G$2:$G$397="National",""," ["&amp;Events!$G$2:$G$397&amp;"]"),""))</f>
        <v/>
      </c>
    </row>
    <row r="557" customFormat="false" ht="15" hidden="false" customHeight="true" outlineLevel="0" collapsed="false">
      <c r="A557" s="3" t="n">
        <v>45847</v>
      </c>
      <c r="B557" s="4" t="n">
        <f aca="false">YEAR($A557)</f>
        <v>2025</v>
      </c>
      <c r="C557" s="4" t="n">
        <f aca="false">MONTH($A557)</f>
        <v>7</v>
      </c>
      <c r="D557" s="4" t="str">
        <f aca="false">TEXT($A557,"ddd")</f>
        <v>Wed</v>
      </c>
      <c r="E557" s="4" t="n">
        <f aca="false">IF(OR(AND(MONTH($A557)=10,DAY($A557)&gt;=15),MONTH($A557)=11,AND(MONTH($A557)=12,DAY($A557)&lt;=7)),1,0)</f>
        <v>0</v>
      </c>
      <c r="F557" s="4" t="n">
        <f aca="false">IF(MONTH($A557)&lt;=3,1,0)</f>
        <v>0</v>
      </c>
      <c r="G557" s="4" t="str">
        <f aca="false" t="array" ref="G557:G557">_xlfn.TEXTJOIN(" | ",TRUE(),IF('FEMA Disasters'!$F$2:$F$1000=$A557,'FEMA Disasters'!$D$2:$D$1000&amp;" begin: ["&amp;'FEMA Disasters'!$B$2:$B$1000&amp;"] "&amp;'FEMA Disasters'!$C$2:$C$1000&amp;"-"&amp;'FEMA Disasters'!$A$2:$A$1000,""),IF('FEMA Disasters'!$G$2:$G$1000=$A557,'FEMA Disasters'!$D$2:$D$1000&amp;" ended: ["&amp;'FEMA Disasters'!$B$2:$B$1000&amp;"] "&amp;'FEMA Disasters'!$C$2:$C$1000&amp;"-"&amp;'FEMA Disasters'!$A$2:$A$1000,""),IF('FEMA Disasters'!$K$2:$K$1000=$A557,"Disaster SEP opens: "&amp;'FEMA Disasters'!$D$2:$D$1000&amp;" ["&amp;'FEMA Disasters'!$B$2:$B$1000&amp;"] "&amp;'FEMA Disasters'!$C$2:$C$1000&amp;"-"&amp;'FEMA Disasters'!$A$2:$A$1000,""),IF('FEMA Disasters'!$L$2:$L$1000=$A557,"Disaster SEP ended: "&amp;'FEMA Disasters'!$D$2:$D$1000&amp;" ["&amp;'FEMA Disasters'!$B$2:$B$1000&amp;"] "&amp;'FEMA Disasters'!$C$2:$C$1000&amp;"-"&amp;'FEMA Disasters'!$A$2:$A$1000,""))</f>
        <v/>
      </c>
      <c r="H557" s="4" t="n">
        <f aca="false">COUNTIF(Events!$A$2:$A$397,$A557)</f>
        <v>0</v>
      </c>
      <c r="I557" s="6" t="str">
        <f aca="false" t="array" ref="I557:I557">_xlfn.TEXTJOIN(" | ",TRUE(),IF(Events!$A$2:$A$397=$A557,Events!$E$2:$E$397&amp;IF(Events!$G$2:$G$397="National",""," ["&amp;Events!$G$2:$G$397&amp;"]"),""))</f>
        <v/>
      </c>
    </row>
    <row r="558" customFormat="false" ht="15" hidden="false" customHeight="true" outlineLevel="0" collapsed="false">
      <c r="A558" s="3" t="n">
        <v>45848</v>
      </c>
      <c r="B558" s="4" t="n">
        <f aca="false">YEAR($A558)</f>
        <v>2025</v>
      </c>
      <c r="C558" s="4" t="n">
        <f aca="false">MONTH($A558)</f>
        <v>7</v>
      </c>
      <c r="D558" s="4" t="str">
        <f aca="false">TEXT($A558,"ddd")</f>
        <v>Thu</v>
      </c>
      <c r="E558" s="4" t="n">
        <f aca="false">IF(OR(AND(MONTH($A558)=10,DAY($A558)&gt;=15),MONTH($A558)=11,AND(MONTH($A558)=12,DAY($A558)&lt;=7)),1,0)</f>
        <v>0</v>
      </c>
      <c r="F558" s="4" t="n">
        <f aca="false">IF(MONTH($A558)&lt;=3,1,0)</f>
        <v>0</v>
      </c>
      <c r="G558" s="4" t="str">
        <f aca="false" t="array" ref="G558:G558">_xlfn.TEXTJOIN(" | ",TRUE(),IF('FEMA Disasters'!$F$2:$F$1000=$A558,'FEMA Disasters'!$D$2:$D$1000&amp;" begin: ["&amp;'FEMA Disasters'!$B$2:$B$1000&amp;"] "&amp;'FEMA Disasters'!$C$2:$C$1000&amp;"-"&amp;'FEMA Disasters'!$A$2:$A$1000,""),IF('FEMA Disasters'!$G$2:$G$1000=$A558,'FEMA Disasters'!$D$2:$D$1000&amp;" ended: ["&amp;'FEMA Disasters'!$B$2:$B$1000&amp;"] "&amp;'FEMA Disasters'!$C$2:$C$1000&amp;"-"&amp;'FEMA Disasters'!$A$2:$A$1000,""),IF('FEMA Disasters'!$K$2:$K$1000=$A558,"Disaster SEP opens: "&amp;'FEMA Disasters'!$D$2:$D$1000&amp;" ["&amp;'FEMA Disasters'!$B$2:$B$1000&amp;"] "&amp;'FEMA Disasters'!$C$2:$C$1000&amp;"-"&amp;'FEMA Disasters'!$A$2:$A$1000,""),IF('FEMA Disasters'!$L$2:$L$1000=$A558,"Disaster SEP ended: "&amp;'FEMA Disasters'!$D$2:$D$1000&amp;" ["&amp;'FEMA Disasters'!$B$2:$B$1000&amp;"] "&amp;'FEMA Disasters'!$C$2:$C$1000&amp;"-"&amp;'FEMA Disasters'!$A$2:$A$1000,""))</f>
        <v>Fire begin: [UT] FM-5598</v>
      </c>
      <c r="H558" s="4" t="n">
        <f aca="false">COUNTIF(Events!$A$2:$A$397,$A558)</f>
        <v>0</v>
      </c>
      <c r="I558" s="6" t="str">
        <f aca="false" t="array" ref="I558:I558">_xlfn.TEXTJOIN(" | ",TRUE(),IF(Events!$A$2:$A$397=$A558,Events!$E$2:$E$397&amp;IF(Events!$G$2:$G$397="National",""," ["&amp;Events!$G$2:$G$397&amp;"]"),""))</f>
        <v/>
      </c>
    </row>
    <row r="559" customFormat="false" ht="15" hidden="false" customHeight="true" outlineLevel="0" collapsed="false">
      <c r="A559" s="3" t="n">
        <v>45849</v>
      </c>
      <c r="B559" s="4" t="n">
        <f aca="false">YEAR($A559)</f>
        <v>2025</v>
      </c>
      <c r="C559" s="4" t="n">
        <f aca="false">MONTH($A559)</f>
        <v>7</v>
      </c>
      <c r="D559" s="4" t="str">
        <f aca="false">TEXT($A559,"ddd")</f>
        <v>Fri</v>
      </c>
      <c r="E559" s="4" t="n">
        <f aca="false">IF(OR(AND(MONTH($A559)=10,DAY($A559)&gt;=15),MONTH($A559)=11,AND(MONTH($A559)=12,DAY($A559)&lt;=7)),1,0)</f>
        <v>0</v>
      </c>
      <c r="F559" s="4" t="n">
        <f aca="false">IF(MONTH($A559)&lt;=3,1,0)</f>
        <v>0</v>
      </c>
      <c r="G559" s="4" t="str">
        <f aca="false" t="array" ref="G559:G559">_xlfn.TEXTJOIN(" | ",TRUE(),IF('FEMA Disasters'!$F$2:$F$1000=$A559,'FEMA Disasters'!$D$2:$D$1000&amp;" begin: ["&amp;'FEMA Disasters'!$B$2:$B$1000&amp;"] "&amp;'FEMA Disasters'!$C$2:$C$1000&amp;"-"&amp;'FEMA Disasters'!$A$2:$A$1000,""),IF('FEMA Disasters'!$G$2:$G$1000=$A559,'FEMA Disasters'!$D$2:$D$1000&amp;" ended: ["&amp;'FEMA Disasters'!$B$2:$B$1000&amp;"] "&amp;'FEMA Disasters'!$C$2:$C$1000&amp;"-"&amp;'FEMA Disasters'!$A$2:$A$1000,""),IF('FEMA Disasters'!$K$2:$K$1000=$A559,"Disaster SEP opens: "&amp;'FEMA Disasters'!$D$2:$D$1000&amp;" ["&amp;'FEMA Disasters'!$B$2:$B$1000&amp;"] "&amp;'FEMA Disasters'!$C$2:$C$1000&amp;"-"&amp;'FEMA Disasters'!$A$2:$A$1000,""),IF('FEMA Disasters'!$L$2:$L$1000=$A559,"Disaster SEP ended: "&amp;'FEMA Disasters'!$D$2:$D$1000&amp;" ["&amp;'FEMA Disasters'!$B$2:$B$1000&amp;"] "&amp;'FEMA Disasters'!$C$2:$C$1000&amp;"-"&amp;'FEMA Disasters'!$A$2:$A$1000,""))</f>
        <v/>
      </c>
      <c r="H559" s="4" t="n">
        <f aca="false">COUNTIF(Events!$A$2:$A$397,$A559)</f>
        <v>0</v>
      </c>
      <c r="I559" s="6" t="str">
        <f aca="false" t="array" ref="I559:I559">_xlfn.TEXTJOIN(" | ",TRUE(),IF(Events!$A$2:$A$397=$A559,Events!$E$2:$E$397&amp;IF(Events!$G$2:$G$397="National",""," ["&amp;Events!$G$2:$G$397&amp;"]"),""))</f>
        <v/>
      </c>
    </row>
    <row r="560" customFormat="false" ht="15" hidden="false" customHeight="true" outlineLevel="0" collapsed="false">
      <c r="A560" s="3" t="n">
        <v>45850</v>
      </c>
      <c r="B560" s="4" t="n">
        <f aca="false">YEAR($A560)</f>
        <v>2025</v>
      </c>
      <c r="C560" s="4" t="n">
        <f aca="false">MONTH($A560)</f>
        <v>7</v>
      </c>
      <c r="D560" s="4" t="str">
        <f aca="false">TEXT($A560,"ddd")</f>
        <v>Sat</v>
      </c>
      <c r="E560" s="4" t="n">
        <f aca="false">IF(OR(AND(MONTH($A560)=10,DAY($A560)&gt;=15),MONTH($A560)=11,AND(MONTH($A560)=12,DAY($A560)&lt;=7)),1,0)</f>
        <v>0</v>
      </c>
      <c r="F560" s="4" t="n">
        <f aca="false">IF(MONTH($A560)&lt;=3,1,0)</f>
        <v>0</v>
      </c>
      <c r="G560" s="4" t="str">
        <f aca="false" t="array" ref="G560:G560">_xlfn.TEXTJOIN(" | ",TRUE(),IF('FEMA Disasters'!$F$2:$F$1000=$A560,'FEMA Disasters'!$D$2:$D$1000&amp;" begin: ["&amp;'FEMA Disasters'!$B$2:$B$1000&amp;"] "&amp;'FEMA Disasters'!$C$2:$C$1000&amp;"-"&amp;'FEMA Disasters'!$A$2:$A$1000,""),IF('FEMA Disasters'!$G$2:$G$1000=$A560,'FEMA Disasters'!$D$2:$D$1000&amp;" ended: ["&amp;'FEMA Disasters'!$B$2:$B$1000&amp;"] "&amp;'FEMA Disasters'!$C$2:$C$1000&amp;"-"&amp;'FEMA Disasters'!$A$2:$A$1000,""),IF('FEMA Disasters'!$K$2:$K$1000=$A560,"Disaster SEP opens: "&amp;'FEMA Disasters'!$D$2:$D$1000&amp;" ["&amp;'FEMA Disasters'!$B$2:$B$1000&amp;"] "&amp;'FEMA Disasters'!$C$2:$C$1000&amp;"-"&amp;'FEMA Disasters'!$A$2:$A$1000,""),IF('FEMA Disasters'!$L$2:$L$1000=$A560,"Disaster SEP ended: "&amp;'FEMA Disasters'!$D$2:$D$1000&amp;" ["&amp;'FEMA Disasters'!$B$2:$B$1000&amp;"] "&amp;'FEMA Disasters'!$C$2:$C$1000&amp;"-"&amp;'FEMA Disasters'!$A$2:$A$1000,""))</f>
        <v>Fire begin: [OR] FM-5599</v>
      </c>
      <c r="H560" s="4" t="n">
        <f aca="false">COUNTIF(Events!$A$2:$A$397,$A560)</f>
        <v>0</v>
      </c>
      <c r="I560" s="6" t="str">
        <f aca="false" t="array" ref="I560:I560">_xlfn.TEXTJOIN(" | ",TRUE(),IF(Events!$A$2:$A$397=$A560,Events!$E$2:$E$397&amp;IF(Events!$G$2:$G$397="National",""," ["&amp;Events!$G$2:$G$397&amp;"]"),""))</f>
        <v/>
      </c>
    </row>
    <row r="561" customFormat="false" ht="15" hidden="false" customHeight="true" outlineLevel="0" collapsed="false">
      <c r="A561" s="3" t="n">
        <v>45851</v>
      </c>
      <c r="B561" s="4" t="n">
        <f aca="false">YEAR($A561)</f>
        <v>2025</v>
      </c>
      <c r="C561" s="4" t="n">
        <f aca="false">MONTH($A561)</f>
        <v>7</v>
      </c>
      <c r="D561" s="4" t="str">
        <f aca="false">TEXT($A561,"ddd")</f>
        <v>Sun</v>
      </c>
      <c r="E561" s="4" t="n">
        <f aca="false">IF(OR(AND(MONTH($A561)=10,DAY($A561)&gt;=15),MONTH($A561)=11,AND(MONTH($A561)=12,DAY($A561)&lt;=7)),1,0)</f>
        <v>0</v>
      </c>
      <c r="F561" s="4" t="n">
        <f aca="false">IF(MONTH($A561)&lt;=3,1,0)</f>
        <v>0</v>
      </c>
      <c r="G561" s="4" t="str">
        <f aca="false" t="array" ref="G561:G561">_xlfn.TEXTJOIN(" | ",TRUE(),IF('FEMA Disasters'!$F$2:$F$1000=$A561,'FEMA Disasters'!$D$2:$D$1000&amp;" begin: ["&amp;'FEMA Disasters'!$B$2:$B$1000&amp;"] "&amp;'FEMA Disasters'!$C$2:$C$1000&amp;"-"&amp;'FEMA Disasters'!$A$2:$A$1000,""),IF('FEMA Disasters'!$G$2:$G$1000=$A561,'FEMA Disasters'!$D$2:$D$1000&amp;" ended: ["&amp;'FEMA Disasters'!$B$2:$B$1000&amp;"] "&amp;'FEMA Disasters'!$C$2:$C$1000&amp;"-"&amp;'FEMA Disasters'!$A$2:$A$1000,""),IF('FEMA Disasters'!$K$2:$K$1000=$A561,"Disaster SEP opens: "&amp;'FEMA Disasters'!$D$2:$D$1000&amp;" ["&amp;'FEMA Disasters'!$B$2:$B$1000&amp;"] "&amp;'FEMA Disasters'!$C$2:$C$1000&amp;"-"&amp;'FEMA Disasters'!$A$2:$A$1000,""),IF('FEMA Disasters'!$L$2:$L$1000=$A561,"Disaster SEP ended: "&amp;'FEMA Disasters'!$D$2:$D$1000&amp;" ["&amp;'FEMA Disasters'!$B$2:$B$1000&amp;"] "&amp;'FEMA Disasters'!$C$2:$C$1000&amp;"-"&amp;'FEMA Disasters'!$A$2:$A$1000,""))</f>
        <v>Fire begin: [UT] FM-5600 | Fire ended: [NM] FM-5588</v>
      </c>
      <c r="H561" s="4" t="n">
        <f aca="false">COUNTIF(Events!$A$2:$A$397,$A561)</f>
        <v>0</v>
      </c>
      <c r="I561" s="6" t="str">
        <f aca="false" t="array" ref="I561:I561">_xlfn.TEXTJOIN(" | ",TRUE(),IF(Events!$A$2:$A$397=$A561,Events!$E$2:$E$397&amp;IF(Events!$G$2:$G$397="National",""," ["&amp;Events!$G$2:$G$397&amp;"]"),""))</f>
        <v/>
      </c>
    </row>
    <row r="562" customFormat="false" ht="15" hidden="false" customHeight="true" outlineLevel="0" collapsed="false">
      <c r="A562" s="3" t="n">
        <v>45852</v>
      </c>
      <c r="B562" s="4" t="n">
        <f aca="false">YEAR($A562)</f>
        <v>2025</v>
      </c>
      <c r="C562" s="4" t="n">
        <f aca="false">MONTH($A562)</f>
        <v>7</v>
      </c>
      <c r="D562" s="4" t="str">
        <f aca="false">TEXT($A562,"ddd")</f>
        <v>Mon</v>
      </c>
      <c r="E562" s="4" t="n">
        <f aca="false">IF(OR(AND(MONTH($A562)=10,DAY($A562)&gt;=15),MONTH($A562)=11,AND(MONTH($A562)=12,DAY($A562)&lt;=7)),1,0)</f>
        <v>0</v>
      </c>
      <c r="F562" s="4" t="n">
        <f aca="false">IF(MONTH($A562)&lt;=3,1,0)</f>
        <v>0</v>
      </c>
      <c r="G562" s="4" t="str">
        <f aca="false" t="array" ref="G562:G562">_xlfn.TEXTJOIN(" | ",TRUE(),IF('FEMA Disasters'!$F$2:$F$1000=$A562,'FEMA Disasters'!$D$2:$D$1000&amp;" begin: ["&amp;'FEMA Disasters'!$B$2:$B$1000&amp;"] "&amp;'FEMA Disasters'!$C$2:$C$1000&amp;"-"&amp;'FEMA Disasters'!$A$2:$A$1000,""),IF('FEMA Disasters'!$G$2:$G$1000=$A562,'FEMA Disasters'!$D$2:$D$1000&amp;" ended: ["&amp;'FEMA Disasters'!$B$2:$B$1000&amp;"] "&amp;'FEMA Disasters'!$C$2:$C$1000&amp;"-"&amp;'FEMA Disasters'!$A$2:$A$1000,""),IF('FEMA Disasters'!$K$2:$K$1000=$A562,"Disaster SEP opens: "&amp;'FEMA Disasters'!$D$2:$D$1000&amp;" ["&amp;'FEMA Disasters'!$B$2:$B$1000&amp;"] "&amp;'FEMA Disasters'!$C$2:$C$1000&amp;"-"&amp;'FEMA Disasters'!$A$2:$A$1000,""),IF('FEMA Disasters'!$L$2:$L$1000=$A562,"Disaster SEP ended: "&amp;'FEMA Disasters'!$D$2:$D$1000&amp;" ["&amp;'FEMA Disasters'!$B$2:$B$1000&amp;"] "&amp;'FEMA Disasters'!$C$2:$C$1000&amp;"-"&amp;'FEMA Disasters'!$A$2:$A$1000,""))</f>
        <v>Fire ended: [AK] FM-5595</v>
      </c>
      <c r="H562" s="4" t="n">
        <f aca="false">COUNTIF(Events!$A$2:$A$397,$A562)</f>
        <v>0</v>
      </c>
      <c r="I562" s="6" t="str">
        <f aca="false" t="array" ref="I562:I562">_xlfn.TEXTJOIN(" | ",TRUE(),IF(Events!$A$2:$A$397=$A562,Events!$E$2:$E$397&amp;IF(Events!$G$2:$G$397="National",""," ["&amp;Events!$G$2:$G$397&amp;"]"),""))</f>
        <v/>
      </c>
    </row>
    <row r="563" customFormat="false" ht="15" hidden="false" customHeight="true" outlineLevel="0" collapsed="false">
      <c r="A563" s="3" t="n">
        <v>45853</v>
      </c>
      <c r="B563" s="4" t="n">
        <f aca="false">YEAR($A563)</f>
        <v>2025</v>
      </c>
      <c r="C563" s="4" t="n">
        <f aca="false">MONTH($A563)</f>
        <v>7</v>
      </c>
      <c r="D563" s="4" t="str">
        <f aca="false">TEXT($A563,"ddd")</f>
        <v>Tue</v>
      </c>
      <c r="E563" s="4" t="n">
        <f aca="false">IF(OR(AND(MONTH($A563)=10,DAY($A563)&gt;=15),MONTH($A563)=11,AND(MONTH($A563)=12,DAY($A563)&lt;=7)),1,0)</f>
        <v>0</v>
      </c>
      <c r="F563" s="4" t="n">
        <f aca="false">IF(MONTH($A563)&lt;=3,1,0)</f>
        <v>0</v>
      </c>
      <c r="G563" s="4" t="str">
        <f aca="false" t="array" ref="G563:G563">_xlfn.TEXTJOIN(" | ",TRUE(),IF('FEMA Disasters'!$F$2:$F$1000=$A563,'FEMA Disasters'!$D$2:$D$1000&amp;" begin: ["&amp;'FEMA Disasters'!$B$2:$B$1000&amp;"] "&amp;'FEMA Disasters'!$C$2:$C$1000&amp;"-"&amp;'FEMA Disasters'!$A$2:$A$1000,""),IF('FEMA Disasters'!$G$2:$G$1000=$A563,'FEMA Disasters'!$D$2:$D$1000&amp;" ended: ["&amp;'FEMA Disasters'!$B$2:$B$1000&amp;"] "&amp;'FEMA Disasters'!$C$2:$C$1000&amp;"-"&amp;'FEMA Disasters'!$A$2:$A$1000,""),IF('FEMA Disasters'!$K$2:$K$1000=$A563,"Disaster SEP opens: "&amp;'FEMA Disasters'!$D$2:$D$1000&amp;" ["&amp;'FEMA Disasters'!$B$2:$B$1000&amp;"] "&amp;'FEMA Disasters'!$C$2:$C$1000&amp;"-"&amp;'FEMA Disasters'!$A$2:$A$1000,""),IF('FEMA Disasters'!$L$2:$L$1000=$A563,"Disaster SEP ended: "&amp;'FEMA Disasters'!$D$2:$D$1000&amp;" ["&amp;'FEMA Disasters'!$B$2:$B$1000&amp;"] "&amp;'FEMA Disasters'!$C$2:$C$1000&amp;"-"&amp;'FEMA Disasters'!$A$2:$A$1000,""))</f>
        <v/>
      </c>
      <c r="H563" s="4" t="n">
        <f aca="false">COUNTIF(Events!$A$2:$A$397,$A563)</f>
        <v>0</v>
      </c>
      <c r="I563" s="6" t="str">
        <f aca="false" t="array" ref="I563:I563">_xlfn.TEXTJOIN(" | ",TRUE(),IF(Events!$A$2:$A$397=$A563,Events!$E$2:$E$397&amp;IF(Events!$G$2:$G$397="National",""," ["&amp;Events!$G$2:$G$397&amp;"]"),""))</f>
        <v/>
      </c>
    </row>
    <row r="564" customFormat="false" ht="15" hidden="false" customHeight="true" outlineLevel="0" collapsed="false">
      <c r="A564" s="3" t="n">
        <v>45854</v>
      </c>
      <c r="B564" s="4" t="n">
        <f aca="false">YEAR($A564)</f>
        <v>2025</v>
      </c>
      <c r="C564" s="4" t="n">
        <f aca="false">MONTH($A564)</f>
        <v>7</v>
      </c>
      <c r="D564" s="4" t="str">
        <f aca="false">TEXT($A564,"ddd")</f>
        <v>Wed</v>
      </c>
      <c r="E564" s="4" t="n">
        <f aca="false">IF(OR(AND(MONTH($A564)=10,DAY($A564)&gt;=15),MONTH($A564)=11,AND(MONTH($A564)=12,DAY($A564)&lt;=7)),1,0)</f>
        <v>0</v>
      </c>
      <c r="F564" s="4" t="n">
        <f aca="false">IF(MONTH($A564)&lt;=3,1,0)</f>
        <v>0</v>
      </c>
      <c r="G564" s="4" t="str">
        <f aca="false" t="array" ref="G564:G564">_xlfn.TEXTJOIN(" | ",TRUE(),IF('FEMA Disasters'!$F$2:$F$1000=$A564,'FEMA Disasters'!$D$2:$D$1000&amp;" begin: ["&amp;'FEMA Disasters'!$B$2:$B$1000&amp;"] "&amp;'FEMA Disasters'!$C$2:$C$1000&amp;"-"&amp;'FEMA Disasters'!$A$2:$A$1000,""),IF('FEMA Disasters'!$G$2:$G$1000=$A564,'FEMA Disasters'!$D$2:$D$1000&amp;" ended: ["&amp;'FEMA Disasters'!$B$2:$B$1000&amp;"] "&amp;'FEMA Disasters'!$C$2:$C$1000&amp;"-"&amp;'FEMA Disasters'!$A$2:$A$1000,""),IF('FEMA Disasters'!$K$2:$K$1000=$A564,"Disaster SEP opens: "&amp;'FEMA Disasters'!$D$2:$D$1000&amp;" ["&amp;'FEMA Disasters'!$B$2:$B$1000&amp;"] "&amp;'FEMA Disasters'!$C$2:$C$1000&amp;"-"&amp;'FEMA Disasters'!$A$2:$A$1000,""),IF('FEMA Disasters'!$L$2:$L$1000=$A564,"Disaster SEP ended: "&amp;'FEMA Disasters'!$D$2:$D$1000&amp;" ["&amp;'FEMA Disasters'!$B$2:$B$1000&amp;"] "&amp;'FEMA Disasters'!$C$2:$C$1000&amp;"-"&amp;'FEMA Disasters'!$A$2:$A$1000,""))</f>
        <v/>
      </c>
      <c r="H564" s="4" t="n">
        <f aca="false">COUNTIF(Events!$A$2:$A$397,$A564)</f>
        <v>0</v>
      </c>
      <c r="I564" s="6" t="str">
        <f aca="false" t="array" ref="I564:I564">_xlfn.TEXTJOIN(" | ",TRUE(),IF(Events!$A$2:$A$397=$A564,Events!$E$2:$E$397&amp;IF(Events!$G$2:$G$397="National",""," ["&amp;Events!$G$2:$G$397&amp;"]"),""))</f>
        <v/>
      </c>
    </row>
    <row r="565" customFormat="false" ht="15" hidden="false" customHeight="true" outlineLevel="0" collapsed="false">
      <c r="A565" s="3" t="n">
        <v>45855</v>
      </c>
      <c r="B565" s="4" t="n">
        <f aca="false">YEAR($A565)</f>
        <v>2025</v>
      </c>
      <c r="C565" s="4" t="n">
        <f aca="false">MONTH($A565)</f>
        <v>7</v>
      </c>
      <c r="D565" s="4" t="str">
        <f aca="false">TEXT($A565,"ddd")</f>
        <v>Thu</v>
      </c>
      <c r="E565" s="4" t="n">
        <f aca="false">IF(OR(AND(MONTH($A565)=10,DAY($A565)&gt;=15),MONTH($A565)=11,AND(MONTH($A565)=12,DAY($A565)&lt;=7)),1,0)</f>
        <v>0</v>
      </c>
      <c r="F565" s="4" t="n">
        <f aca="false">IF(MONTH($A565)&lt;=3,1,0)</f>
        <v>0</v>
      </c>
      <c r="G565" s="4" t="str">
        <f aca="false" t="array" ref="G565:G565">_xlfn.TEXTJOIN(" | ",TRUE(),IF('FEMA Disasters'!$F$2:$F$1000=$A565,'FEMA Disasters'!$D$2:$D$1000&amp;" begin: ["&amp;'FEMA Disasters'!$B$2:$B$1000&amp;"] "&amp;'FEMA Disasters'!$C$2:$C$1000&amp;"-"&amp;'FEMA Disasters'!$A$2:$A$1000,""),IF('FEMA Disasters'!$G$2:$G$1000=$A565,'FEMA Disasters'!$D$2:$D$1000&amp;" ended: ["&amp;'FEMA Disasters'!$B$2:$B$1000&amp;"] "&amp;'FEMA Disasters'!$C$2:$C$1000&amp;"-"&amp;'FEMA Disasters'!$A$2:$A$1000,""),IF('FEMA Disasters'!$K$2:$K$1000=$A565,"Disaster SEP opens: "&amp;'FEMA Disasters'!$D$2:$D$1000&amp;" ["&amp;'FEMA Disasters'!$B$2:$B$1000&amp;"] "&amp;'FEMA Disasters'!$C$2:$C$1000&amp;"-"&amp;'FEMA Disasters'!$A$2:$A$1000,""),IF('FEMA Disasters'!$L$2:$L$1000=$A565,"Disaster SEP ended: "&amp;'FEMA Disasters'!$D$2:$D$1000&amp;" ["&amp;'FEMA Disasters'!$B$2:$B$1000&amp;"] "&amp;'FEMA Disasters'!$C$2:$C$1000&amp;"-"&amp;'FEMA Disasters'!$A$2:$A$1000,""))</f>
        <v>Severe Storm begin: [KS] DR-4897</v>
      </c>
      <c r="H565" s="4" t="n">
        <f aca="false">COUNTIF(Events!$A$2:$A$397,$A565)</f>
        <v>0</v>
      </c>
      <c r="I565" s="6" t="str">
        <f aca="false" t="array" ref="I565:I565">_xlfn.TEXTJOIN(" | ",TRUE(),IF(Events!$A$2:$A$397=$A565,Events!$E$2:$E$397&amp;IF(Events!$G$2:$G$397="National",""," ["&amp;Events!$G$2:$G$397&amp;"]"),""))</f>
        <v/>
      </c>
    </row>
    <row r="566" customFormat="false" ht="15" hidden="false" customHeight="true" outlineLevel="0" collapsed="false">
      <c r="A566" s="3" t="n">
        <v>45856</v>
      </c>
      <c r="B566" s="4" t="n">
        <f aca="false">YEAR($A566)</f>
        <v>2025</v>
      </c>
      <c r="C566" s="4" t="n">
        <f aca="false">MONTH($A566)</f>
        <v>7</v>
      </c>
      <c r="D566" s="4" t="str">
        <f aca="false">TEXT($A566,"ddd")</f>
        <v>Fri</v>
      </c>
      <c r="E566" s="4" t="n">
        <f aca="false">IF(OR(AND(MONTH($A566)=10,DAY($A566)&gt;=15),MONTH($A566)=11,AND(MONTH($A566)=12,DAY($A566)&lt;=7)),1,0)</f>
        <v>0</v>
      </c>
      <c r="F566" s="4" t="n">
        <f aca="false">IF(MONTH($A566)&lt;=3,1,0)</f>
        <v>0</v>
      </c>
      <c r="G566" s="4" t="str">
        <f aca="false" t="array" ref="G566:G566">_xlfn.TEXTJOIN(" | ",TRUE(),IF('FEMA Disasters'!$F$2:$F$1000=$A566,'FEMA Disasters'!$D$2:$D$1000&amp;" begin: ["&amp;'FEMA Disasters'!$B$2:$B$1000&amp;"] "&amp;'FEMA Disasters'!$C$2:$C$1000&amp;"-"&amp;'FEMA Disasters'!$A$2:$A$1000,""),IF('FEMA Disasters'!$G$2:$G$1000=$A566,'FEMA Disasters'!$D$2:$D$1000&amp;" ended: ["&amp;'FEMA Disasters'!$B$2:$B$1000&amp;"] "&amp;'FEMA Disasters'!$C$2:$C$1000&amp;"-"&amp;'FEMA Disasters'!$A$2:$A$1000,""),IF('FEMA Disasters'!$K$2:$K$1000=$A566,"Disaster SEP opens: "&amp;'FEMA Disasters'!$D$2:$D$1000&amp;" ["&amp;'FEMA Disasters'!$B$2:$B$1000&amp;"] "&amp;'FEMA Disasters'!$C$2:$C$1000&amp;"-"&amp;'FEMA Disasters'!$A$2:$A$1000,""),IF('FEMA Disasters'!$L$2:$L$1000=$A566,"Disaster SEP ended: "&amp;'FEMA Disasters'!$D$2:$D$1000&amp;" ["&amp;'FEMA Disasters'!$B$2:$B$1000&amp;"] "&amp;'FEMA Disasters'!$C$2:$C$1000&amp;"-"&amp;'FEMA Disasters'!$A$2:$A$1000,""))</f>
        <v>Fire begin: [WA] FM-5601 | Fire ended: [UT] FM-5591 | Flood ended: [TX] DR-4879</v>
      </c>
      <c r="H566" s="4" t="n">
        <f aca="false">COUNTIF(Events!$A$2:$A$397,$A566)</f>
        <v>0</v>
      </c>
      <c r="I566" s="6" t="str">
        <f aca="false" t="array" ref="I566:I566">_xlfn.TEXTJOIN(" | ",TRUE(),IF(Events!$A$2:$A$397=$A566,Events!$E$2:$E$397&amp;IF(Events!$G$2:$G$397="National",""," ["&amp;Events!$G$2:$G$397&amp;"]"),""))</f>
        <v/>
      </c>
    </row>
    <row r="567" customFormat="false" ht="15" hidden="false" customHeight="true" outlineLevel="0" collapsed="false">
      <c r="A567" s="3" t="n">
        <v>45857</v>
      </c>
      <c r="B567" s="4" t="n">
        <f aca="false">YEAR($A567)</f>
        <v>2025</v>
      </c>
      <c r="C567" s="4" t="n">
        <f aca="false">MONTH($A567)</f>
        <v>7</v>
      </c>
      <c r="D567" s="4" t="str">
        <f aca="false">TEXT($A567,"ddd")</f>
        <v>Sat</v>
      </c>
      <c r="E567" s="4" t="n">
        <f aca="false">IF(OR(AND(MONTH($A567)=10,DAY($A567)&gt;=15),MONTH($A567)=11,AND(MONTH($A567)=12,DAY($A567)&lt;=7)),1,0)</f>
        <v>0</v>
      </c>
      <c r="F567" s="4" t="n">
        <f aca="false">IF(MONTH($A567)&lt;=3,1,0)</f>
        <v>0</v>
      </c>
      <c r="G567" s="4" t="str">
        <f aca="false" t="array" ref="G567:G567">_xlfn.TEXTJOIN(" | ",TRUE(),IF('FEMA Disasters'!$F$2:$F$1000=$A567,'FEMA Disasters'!$D$2:$D$1000&amp;" begin: ["&amp;'FEMA Disasters'!$B$2:$B$1000&amp;"] "&amp;'FEMA Disasters'!$C$2:$C$1000&amp;"-"&amp;'FEMA Disasters'!$A$2:$A$1000,""),IF('FEMA Disasters'!$G$2:$G$1000=$A567,'FEMA Disasters'!$D$2:$D$1000&amp;" ended: ["&amp;'FEMA Disasters'!$B$2:$B$1000&amp;"] "&amp;'FEMA Disasters'!$C$2:$C$1000&amp;"-"&amp;'FEMA Disasters'!$A$2:$A$1000,""),IF('FEMA Disasters'!$K$2:$K$1000=$A567,"Disaster SEP opens: "&amp;'FEMA Disasters'!$D$2:$D$1000&amp;" ["&amp;'FEMA Disasters'!$B$2:$B$1000&amp;"] "&amp;'FEMA Disasters'!$C$2:$C$1000&amp;"-"&amp;'FEMA Disasters'!$A$2:$A$1000,""),IF('FEMA Disasters'!$L$2:$L$1000=$A567,"Disaster SEP ended: "&amp;'FEMA Disasters'!$D$2:$D$1000&amp;" ["&amp;'FEMA Disasters'!$B$2:$B$1000&amp;"] "&amp;'FEMA Disasters'!$C$2:$C$1000&amp;"-"&amp;'FEMA Disasters'!$A$2:$A$1000,""))</f>
        <v/>
      </c>
      <c r="H567" s="4" t="n">
        <f aca="false">COUNTIF(Events!$A$2:$A$397,$A567)</f>
        <v>0</v>
      </c>
      <c r="I567" s="6" t="str">
        <f aca="false" t="array" ref="I567:I567">_xlfn.TEXTJOIN(" | ",TRUE(),IF(Events!$A$2:$A$397=$A567,Events!$E$2:$E$397&amp;IF(Events!$G$2:$G$397="National",""," ["&amp;Events!$G$2:$G$397&amp;"]"),""))</f>
        <v/>
      </c>
    </row>
    <row r="568" customFormat="false" ht="15" hidden="false" customHeight="true" outlineLevel="0" collapsed="false">
      <c r="A568" s="3" t="n">
        <v>45858</v>
      </c>
      <c r="B568" s="4" t="n">
        <f aca="false">YEAR($A568)</f>
        <v>2025</v>
      </c>
      <c r="C568" s="4" t="n">
        <f aca="false">MONTH($A568)</f>
        <v>7</v>
      </c>
      <c r="D568" s="4" t="str">
        <f aca="false">TEXT($A568,"ddd")</f>
        <v>Sun</v>
      </c>
      <c r="E568" s="4" t="n">
        <f aca="false">IF(OR(AND(MONTH($A568)=10,DAY($A568)&gt;=15),MONTH($A568)=11,AND(MONTH($A568)=12,DAY($A568)&lt;=7)),1,0)</f>
        <v>0</v>
      </c>
      <c r="F568" s="4" t="n">
        <f aca="false">IF(MONTH($A568)&lt;=3,1,0)</f>
        <v>0</v>
      </c>
      <c r="G568" s="4" t="str">
        <f aca="false" t="array" ref="G568:G568">_xlfn.TEXTJOIN(" | ",TRUE(),IF('FEMA Disasters'!$F$2:$F$1000=$A568,'FEMA Disasters'!$D$2:$D$1000&amp;" begin: ["&amp;'FEMA Disasters'!$B$2:$B$1000&amp;"] "&amp;'FEMA Disasters'!$C$2:$C$1000&amp;"-"&amp;'FEMA Disasters'!$A$2:$A$1000,""),IF('FEMA Disasters'!$G$2:$G$1000=$A568,'FEMA Disasters'!$D$2:$D$1000&amp;" ended: ["&amp;'FEMA Disasters'!$B$2:$B$1000&amp;"] "&amp;'FEMA Disasters'!$C$2:$C$1000&amp;"-"&amp;'FEMA Disasters'!$A$2:$A$1000,""),IF('FEMA Disasters'!$K$2:$K$1000=$A568,"Disaster SEP opens: "&amp;'FEMA Disasters'!$D$2:$D$1000&amp;" ["&amp;'FEMA Disasters'!$B$2:$B$1000&amp;"] "&amp;'FEMA Disasters'!$C$2:$C$1000&amp;"-"&amp;'FEMA Disasters'!$A$2:$A$1000,""),IF('FEMA Disasters'!$L$2:$L$1000=$A568,"Disaster SEP ended: "&amp;'FEMA Disasters'!$D$2:$D$1000&amp;" ["&amp;'FEMA Disasters'!$B$2:$B$1000&amp;"] "&amp;'FEMA Disasters'!$C$2:$C$1000&amp;"-"&amp;'FEMA Disasters'!$A$2:$A$1000,""))</f>
        <v>Fire ended: [OR] FM-5599</v>
      </c>
      <c r="H568" s="4" t="n">
        <f aca="false">COUNTIF(Events!$A$2:$A$397,$A568)</f>
        <v>0</v>
      </c>
      <c r="I568" s="6" t="str">
        <f aca="false" t="array" ref="I568:I568">_xlfn.TEXTJOIN(" | ",TRUE(),IF(Events!$A$2:$A$397=$A568,Events!$E$2:$E$397&amp;IF(Events!$G$2:$G$397="National",""," ["&amp;Events!$G$2:$G$397&amp;"]"),""))</f>
        <v/>
      </c>
    </row>
    <row r="569" customFormat="false" ht="15" hidden="false" customHeight="true" outlineLevel="0" collapsed="false">
      <c r="A569" s="3" t="n">
        <v>45859</v>
      </c>
      <c r="B569" s="4" t="n">
        <f aca="false">YEAR($A569)</f>
        <v>2025</v>
      </c>
      <c r="C569" s="4" t="n">
        <f aca="false">MONTH($A569)</f>
        <v>7</v>
      </c>
      <c r="D569" s="4" t="str">
        <f aca="false">TEXT($A569,"ddd")</f>
        <v>Mon</v>
      </c>
      <c r="E569" s="4" t="n">
        <f aca="false">IF(OR(AND(MONTH($A569)=10,DAY($A569)&gt;=15),MONTH($A569)=11,AND(MONTH($A569)=12,DAY($A569)&lt;=7)),1,0)</f>
        <v>0</v>
      </c>
      <c r="F569" s="4" t="n">
        <f aca="false">IF(MONTH($A569)&lt;=3,1,0)</f>
        <v>0</v>
      </c>
      <c r="G569" s="4" t="str">
        <f aca="false" t="array" ref="G569:G569">_xlfn.TEXTJOIN(" | ",TRUE(),IF('FEMA Disasters'!$F$2:$F$1000=$A569,'FEMA Disasters'!$D$2:$D$1000&amp;" begin: ["&amp;'FEMA Disasters'!$B$2:$B$1000&amp;"] "&amp;'FEMA Disasters'!$C$2:$C$1000&amp;"-"&amp;'FEMA Disasters'!$A$2:$A$1000,""),IF('FEMA Disasters'!$G$2:$G$1000=$A569,'FEMA Disasters'!$D$2:$D$1000&amp;" ended: ["&amp;'FEMA Disasters'!$B$2:$B$1000&amp;"] "&amp;'FEMA Disasters'!$C$2:$C$1000&amp;"-"&amp;'FEMA Disasters'!$A$2:$A$1000,""),IF('FEMA Disasters'!$K$2:$K$1000=$A569,"Disaster SEP opens: "&amp;'FEMA Disasters'!$D$2:$D$1000&amp;" ["&amp;'FEMA Disasters'!$B$2:$B$1000&amp;"] "&amp;'FEMA Disasters'!$C$2:$C$1000&amp;"-"&amp;'FEMA Disasters'!$A$2:$A$1000,""),IF('FEMA Disasters'!$L$2:$L$1000=$A569,"Disaster SEP ended: "&amp;'FEMA Disasters'!$D$2:$D$1000&amp;" ["&amp;'FEMA Disasters'!$B$2:$B$1000&amp;"] "&amp;'FEMA Disasters'!$C$2:$C$1000&amp;"-"&amp;'FEMA Disasters'!$A$2:$A$1000,""))</f>
        <v/>
      </c>
      <c r="H569" s="4" t="n">
        <f aca="false">COUNTIF(Events!$A$2:$A$397,$A569)</f>
        <v>0</v>
      </c>
      <c r="I569" s="6" t="str">
        <f aca="false" t="array" ref="I569:I569">_xlfn.TEXTJOIN(" | ",TRUE(),IF(Events!$A$2:$A$397=$A569,Events!$E$2:$E$397&amp;IF(Events!$G$2:$G$397="National",""," ["&amp;Events!$G$2:$G$397&amp;"]"),""))</f>
        <v/>
      </c>
    </row>
    <row r="570" customFormat="false" ht="15" hidden="false" customHeight="true" outlineLevel="0" collapsed="false">
      <c r="A570" s="3" t="n">
        <v>45860</v>
      </c>
      <c r="B570" s="4" t="n">
        <f aca="false">YEAR($A570)</f>
        <v>2025</v>
      </c>
      <c r="C570" s="4" t="n">
        <f aca="false">MONTH($A570)</f>
        <v>7</v>
      </c>
      <c r="D570" s="4" t="str">
        <f aca="false">TEXT($A570,"ddd")</f>
        <v>Tue</v>
      </c>
      <c r="E570" s="4" t="n">
        <f aca="false">IF(OR(AND(MONTH($A570)=10,DAY($A570)&gt;=15),MONTH($A570)=11,AND(MONTH($A570)=12,DAY($A570)&lt;=7)),1,0)</f>
        <v>0</v>
      </c>
      <c r="F570" s="4" t="n">
        <f aca="false">IF(MONTH($A570)&lt;=3,1,0)</f>
        <v>0</v>
      </c>
      <c r="G570" s="4" t="str">
        <f aca="false" t="array" ref="G570:G570">_xlfn.TEXTJOIN(" | ",TRUE(),IF('FEMA Disasters'!$F$2:$F$1000=$A570,'FEMA Disasters'!$D$2:$D$1000&amp;" begin: ["&amp;'FEMA Disasters'!$B$2:$B$1000&amp;"] "&amp;'FEMA Disasters'!$C$2:$C$1000&amp;"-"&amp;'FEMA Disasters'!$A$2:$A$1000,""),IF('FEMA Disasters'!$G$2:$G$1000=$A570,'FEMA Disasters'!$D$2:$D$1000&amp;" ended: ["&amp;'FEMA Disasters'!$B$2:$B$1000&amp;"] "&amp;'FEMA Disasters'!$C$2:$C$1000&amp;"-"&amp;'FEMA Disasters'!$A$2:$A$1000,""),IF('FEMA Disasters'!$K$2:$K$1000=$A570,"Disaster SEP opens: "&amp;'FEMA Disasters'!$D$2:$D$1000&amp;" ["&amp;'FEMA Disasters'!$B$2:$B$1000&amp;"] "&amp;'FEMA Disasters'!$C$2:$C$1000&amp;"-"&amp;'FEMA Disasters'!$A$2:$A$1000,""),IF('FEMA Disasters'!$L$2:$L$1000=$A570,"Disaster SEP ended: "&amp;'FEMA Disasters'!$D$2:$D$1000&amp;" ["&amp;'FEMA Disasters'!$B$2:$B$1000&amp;"] "&amp;'FEMA Disasters'!$C$2:$C$1000&amp;"-"&amp;'FEMA Disasters'!$A$2:$A$1000,""))</f>
        <v>Severe Storm ended: [KS] DR-4897</v>
      </c>
      <c r="H570" s="4" t="n">
        <f aca="false">COUNTIF(Events!$A$2:$A$397,$A570)</f>
        <v>0</v>
      </c>
      <c r="I570" s="6" t="str">
        <f aca="false" t="array" ref="I570:I570">_xlfn.TEXTJOIN(" | ",TRUE(),IF(Events!$A$2:$A$397=$A570,Events!$E$2:$E$397&amp;IF(Events!$G$2:$G$397="National",""," ["&amp;Events!$G$2:$G$397&amp;"]"),""))</f>
        <v/>
      </c>
    </row>
    <row r="571" customFormat="false" ht="15" hidden="false" customHeight="true" outlineLevel="0" collapsed="false">
      <c r="A571" s="3" t="n">
        <v>45861</v>
      </c>
      <c r="B571" s="4" t="n">
        <f aca="false">YEAR($A571)</f>
        <v>2025</v>
      </c>
      <c r="C571" s="4" t="n">
        <f aca="false">MONTH($A571)</f>
        <v>7</v>
      </c>
      <c r="D571" s="4" t="str">
        <f aca="false">TEXT($A571,"ddd")</f>
        <v>Wed</v>
      </c>
      <c r="E571" s="4" t="n">
        <f aca="false">IF(OR(AND(MONTH($A571)=10,DAY($A571)&gt;=15),MONTH($A571)=11,AND(MONTH($A571)=12,DAY($A571)&lt;=7)),1,0)</f>
        <v>0</v>
      </c>
      <c r="F571" s="4" t="n">
        <f aca="false">IF(MONTH($A571)&lt;=3,1,0)</f>
        <v>0</v>
      </c>
      <c r="G571" s="4" t="str">
        <f aca="false" t="array" ref="G571:G571">_xlfn.TEXTJOIN(" | ",TRUE(),IF('FEMA Disasters'!$F$2:$F$1000=$A571,'FEMA Disasters'!$D$2:$D$1000&amp;" begin: ["&amp;'FEMA Disasters'!$B$2:$B$1000&amp;"] "&amp;'FEMA Disasters'!$C$2:$C$1000&amp;"-"&amp;'FEMA Disasters'!$A$2:$A$1000,""),IF('FEMA Disasters'!$G$2:$G$1000=$A571,'FEMA Disasters'!$D$2:$D$1000&amp;" ended: ["&amp;'FEMA Disasters'!$B$2:$B$1000&amp;"] "&amp;'FEMA Disasters'!$C$2:$C$1000&amp;"-"&amp;'FEMA Disasters'!$A$2:$A$1000,""),IF('FEMA Disasters'!$K$2:$K$1000=$A571,"Disaster SEP opens: "&amp;'FEMA Disasters'!$D$2:$D$1000&amp;" ["&amp;'FEMA Disasters'!$B$2:$B$1000&amp;"] "&amp;'FEMA Disasters'!$C$2:$C$1000&amp;"-"&amp;'FEMA Disasters'!$A$2:$A$1000,""),IF('FEMA Disasters'!$L$2:$L$1000=$A571,"Disaster SEP ended: "&amp;'FEMA Disasters'!$D$2:$D$1000&amp;" ["&amp;'FEMA Disasters'!$B$2:$B$1000&amp;"] "&amp;'FEMA Disasters'!$C$2:$C$1000&amp;"-"&amp;'FEMA Disasters'!$A$2:$A$1000,""))</f>
        <v>Fire ended: [AK] FM-5597</v>
      </c>
      <c r="H571" s="4" t="n">
        <f aca="false">COUNTIF(Events!$A$2:$A$397,$A571)</f>
        <v>0</v>
      </c>
      <c r="I571" s="6" t="str">
        <f aca="false" t="array" ref="I571:I571">_xlfn.TEXTJOIN(" | ",TRUE(),IF(Events!$A$2:$A$397=$A571,Events!$E$2:$E$397&amp;IF(Events!$G$2:$G$397="National",""," ["&amp;Events!$G$2:$G$397&amp;"]"),""))</f>
        <v/>
      </c>
    </row>
    <row r="572" customFormat="false" ht="15" hidden="false" customHeight="true" outlineLevel="0" collapsed="false">
      <c r="A572" s="3" t="n">
        <v>45862</v>
      </c>
      <c r="B572" s="4" t="n">
        <f aca="false">YEAR($A572)</f>
        <v>2025</v>
      </c>
      <c r="C572" s="4" t="n">
        <f aca="false">MONTH($A572)</f>
        <v>7</v>
      </c>
      <c r="D572" s="4" t="str">
        <f aca="false">TEXT($A572,"ddd")</f>
        <v>Thu</v>
      </c>
      <c r="E572" s="4" t="n">
        <f aca="false">IF(OR(AND(MONTH($A572)=10,DAY($A572)&gt;=15),MONTH($A572)=11,AND(MONTH($A572)=12,DAY($A572)&lt;=7)),1,0)</f>
        <v>0</v>
      </c>
      <c r="F572" s="4" t="n">
        <f aca="false">IF(MONTH($A572)&lt;=3,1,0)</f>
        <v>0</v>
      </c>
      <c r="G572" s="4" t="str">
        <f aca="false" t="array" ref="G572:G572">_xlfn.TEXTJOIN(" | ",TRUE(),IF('FEMA Disasters'!$F$2:$F$1000=$A572,'FEMA Disasters'!$D$2:$D$1000&amp;" begin: ["&amp;'FEMA Disasters'!$B$2:$B$1000&amp;"] "&amp;'FEMA Disasters'!$C$2:$C$1000&amp;"-"&amp;'FEMA Disasters'!$A$2:$A$1000,""),IF('FEMA Disasters'!$G$2:$G$1000=$A572,'FEMA Disasters'!$D$2:$D$1000&amp;" ended: ["&amp;'FEMA Disasters'!$B$2:$B$1000&amp;"] "&amp;'FEMA Disasters'!$C$2:$C$1000&amp;"-"&amp;'FEMA Disasters'!$A$2:$A$1000,""),IF('FEMA Disasters'!$K$2:$K$1000=$A572,"Disaster SEP opens: "&amp;'FEMA Disasters'!$D$2:$D$1000&amp;" ["&amp;'FEMA Disasters'!$B$2:$B$1000&amp;"] "&amp;'FEMA Disasters'!$C$2:$C$1000&amp;"-"&amp;'FEMA Disasters'!$A$2:$A$1000,""),IF('FEMA Disasters'!$L$2:$L$1000=$A572,"Disaster SEP ended: "&amp;'FEMA Disasters'!$D$2:$D$1000&amp;" ["&amp;'FEMA Disasters'!$B$2:$B$1000&amp;"] "&amp;'FEMA Disasters'!$C$2:$C$1000&amp;"-"&amp;'FEMA Disasters'!$A$2:$A$1000,""))</f>
        <v/>
      </c>
      <c r="H572" s="4" t="n">
        <f aca="false">COUNTIF(Events!$A$2:$A$397,$A572)</f>
        <v>0</v>
      </c>
      <c r="I572" s="6" t="str">
        <f aca="false" t="array" ref="I572:I572">_xlfn.TEXTJOIN(" | ",TRUE(),IF(Events!$A$2:$A$397=$A572,Events!$E$2:$E$397&amp;IF(Events!$G$2:$G$397="National",""," ["&amp;Events!$G$2:$G$397&amp;"]"),""))</f>
        <v/>
      </c>
    </row>
    <row r="573" customFormat="false" ht="15" hidden="false" customHeight="true" outlineLevel="0" collapsed="false">
      <c r="A573" s="3" t="n">
        <v>45863</v>
      </c>
      <c r="B573" s="4" t="n">
        <f aca="false">YEAR($A573)</f>
        <v>2025</v>
      </c>
      <c r="C573" s="4" t="n">
        <f aca="false">MONTH($A573)</f>
        <v>7</v>
      </c>
      <c r="D573" s="4" t="str">
        <f aca="false">TEXT($A573,"ddd")</f>
        <v>Fri</v>
      </c>
      <c r="E573" s="4" t="n">
        <f aca="false">IF(OR(AND(MONTH($A573)=10,DAY($A573)&gt;=15),MONTH($A573)=11,AND(MONTH($A573)=12,DAY($A573)&lt;=7)),1,0)</f>
        <v>0</v>
      </c>
      <c r="F573" s="4" t="n">
        <f aca="false">IF(MONTH($A573)&lt;=3,1,0)</f>
        <v>0</v>
      </c>
      <c r="G573" s="4" t="str">
        <f aca="false" t="array" ref="G573:G573">_xlfn.TEXTJOIN(" | ",TRUE(),IF('FEMA Disasters'!$F$2:$F$1000=$A573,'FEMA Disasters'!$D$2:$D$1000&amp;" begin: ["&amp;'FEMA Disasters'!$B$2:$B$1000&amp;"] "&amp;'FEMA Disasters'!$C$2:$C$1000&amp;"-"&amp;'FEMA Disasters'!$A$2:$A$1000,""),IF('FEMA Disasters'!$G$2:$G$1000=$A573,'FEMA Disasters'!$D$2:$D$1000&amp;" ended: ["&amp;'FEMA Disasters'!$B$2:$B$1000&amp;"] "&amp;'FEMA Disasters'!$C$2:$C$1000&amp;"-"&amp;'FEMA Disasters'!$A$2:$A$1000,""),IF('FEMA Disasters'!$K$2:$K$1000=$A573,"Disaster SEP opens: "&amp;'FEMA Disasters'!$D$2:$D$1000&amp;" ["&amp;'FEMA Disasters'!$B$2:$B$1000&amp;"] "&amp;'FEMA Disasters'!$C$2:$C$1000&amp;"-"&amp;'FEMA Disasters'!$A$2:$A$1000,""),IF('FEMA Disasters'!$L$2:$L$1000=$A573,"Disaster SEP ended: "&amp;'FEMA Disasters'!$D$2:$D$1000&amp;" ["&amp;'FEMA Disasters'!$B$2:$B$1000&amp;"] "&amp;'FEMA Disasters'!$C$2:$C$1000&amp;"-"&amp;'FEMA Disasters'!$A$2:$A$1000,""))</f>
        <v/>
      </c>
      <c r="H573" s="4" t="n">
        <f aca="false">COUNTIF(Events!$A$2:$A$397,$A573)</f>
        <v>0</v>
      </c>
      <c r="I573" s="6" t="str">
        <f aca="false" t="array" ref="I573:I573">_xlfn.TEXTJOIN(" | ",TRUE(),IF(Events!$A$2:$A$397=$A573,Events!$E$2:$E$397&amp;IF(Events!$G$2:$G$397="National",""," ["&amp;Events!$G$2:$G$397&amp;"]"),""))</f>
        <v/>
      </c>
    </row>
    <row r="574" customFormat="false" ht="15" hidden="false" customHeight="true" outlineLevel="0" collapsed="false">
      <c r="A574" s="3" t="n">
        <v>45864</v>
      </c>
      <c r="B574" s="4" t="n">
        <f aca="false">YEAR($A574)</f>
        <v>2025</v>
      </c>
      <c r="C574" s="4" t="n">
        <f aca="false">MONTH($A574)</f>
        <v>7</v>
      </c>
      <c r="D574" s="4" t="str">
        <f aca="false">TEXT($A574,"ddd")</f>
        <v>Sat</v>
      </c>
      <c r="E574" s="4" t="n">
        <f aca="false">IF(OR(AND(MONTH($A574)=10,DAY($A574)&gt;=15),MONTH($A574)=11,AND(MONTH($A574)=12,DAY($A574)&lt;=7)),1,0)</f>
        <v>0</v>
      </c>
      <c r="F574" s="4" t="n">
        <f aca="false">IF(MONTH($A574)&lt;=3,1,0)</f>
        <v>0</v>
      </c>
      <c r="G574" s="4" t="str">
        <f aca="false" t="array" ref="G574:G574">_xlfn.TEXTJOIN(" | ",TRUE(),IF('FEMA Disasters'!$F$2:$F$1000=$A574,'FEMA Disasters'!$D$2:$D$1000&amp;" begin: ["&amp;'FEMA Disasters'!$B$2:$B$1000&amp;"] "&amp;'FEMA Disasters'!$C$2:$C$1000&amp;"-"&amp;'FEMA Disasters'!$A$2:$A$1000,""),IF('FEMA Disasters'!$G$2:$G$1000=$A574,'FEMA Disasters'!$D$2:$D$1000&amp;" ended: ["&amp;'FEMA Disasters'!$B$2:$B$1000&amp;"] "&amp;'FEMA Disasters'!$C$2:$C$1000&amp;"-"&amp;'FEMA Disasters'!$A$2:$A$1000,""),IF('FEMA Disasters'!$K$2:$K$1000=$A574,"Disaster SEP opens: "&amp;'FEMA Disasters'!$D$2:$D$1000&amp;" ["&amp;'FEMA Disasters'!$B$2:$B$1000&amp;"] "&amp;'FEMA Disasters'!$C$2:$C$1000&amp;"-"&amp;'FEMA Disasters'!$A$2:$A$1000,""),IF('FEMA Disasters'!$L$2:$L$1000=$A574,"Disaster SEP ended: "&amp;'FEMA Disasters'!$D$2:$D$1000&amp;" ["&amp;'FEMA Disasters'!$B$2:$B$1000&amp;"] "&amp;'FEMA Disasters'!$C$2:$C$1000&amp;"-"&amp;'FEMA Disasters'!$A$2:$A$1000,""))</f>
        <v/>
      </c>
      <c r="H574" s="4" t="n">
        <f aca="false">COUNTIF(Events!$A$2:$A$397,$A574)</f>
        <v>0</v>
      </c>
      <c r="I574" s="6" t="str">
        <f aca="false" t="array" ref="I574:I574">_xlfn.TEXTJOIN(" | ",TRUE(),IF(Events!$A$2:$A$397=$A574,Events!$E$2:$E$397&amp;IF(Events!$G$2:$G$397="National",""," ["&amp;Events!$G$2:$G$397&amp;"]"),""))</f>
        <v/>
      </c>
    </row>
    <row r="575" customFormat="false" ht="15" hidden="false" customHeight="true" outlineLevel="0" collapsed="false">
      <c r="A575" s="3" t="n">
        <v>45865</v>
      </c>
      <c r="B575" s="4" t="n">
        <f aca="false">YEAR($A575)</f>
        <v>2025</v>
      </c>
      <c r="C575" s="4" t="n">
        <f aca="false">MONTH($A575)</f>
        <v>7</v>
      </c>
      <c r="D575" s="4" t="str">
        <f aca="false">TEXT($A575,"ddd")</f>
        <v>Sun</v>
      </c>
      <c r="E575" s="4" t="n">
        <f aca="false">IF(OR(AND(MONTH($A575)=10,DAY($A575)&gt;=15),MONTH($A575)=11,AND(MONTH($A575)=12,DAY($A575)&lt;=7)),1,0)</f>
        <v>0</v>
      </c>
      <c r="F575" s="4" t="n">
        <f aca="false">IF(MONTH($A575)&lt;=3,1,0)</f>
        <v>0</v>
      </c>
      <c r="G575" s="4" t="str">
        <f aca="false" t="array" ref="G575:G575">_xlfn.TEXTJOIN(" | ",TRUE(),IF('FEMA Disasters'!$F$2:$F$1000=$A575,'FEMA Disasters'!$D$2:$D$1000&amp;" begin: ["&amp;'FEMA Disasters'!$B$2:$B$1000&amp;"] "&amp;'FEMA Disasters'!$C$2:$C$1000&amp;"-"&amp;'FEMA Disasters'!$A$2:$A$1000,""),IF('FEMA Disasters'!$G$2:$G$1000=$A575,'FEMA Disasters'!$D$2:$D$1000&amp;" ended: ["&amp;'FEMA Disasters'!$B$2:$B$1000&amp;"] "&amp;'FEMA Disasters'!$C$2:$C$1000&amp;"-"&amp;'FEMA Disasters'!$A$2:$A$1000,""),IF('FEMA Disasters'!$K$2:$K$1000=$A575,"Disaster SEP opens: "&amp;'FEMA Disasters'!$D$2:$D$1000&amp;" ["&amp;'FEMA Disasters'!$B$2:$B$1000&amp;"] "&amp;'FEMA Disasters'!$C$2:$C$1000&amp;"-"&amp;'FEMA Disasters'!$A$2:$A$1000,""),IF('FEMA Disasters'!$L$2:$L$1000=$A575,"Disaster SEP ended: "&amp;'FEMA Disasters'!$D$2:$D$1000&amp;" ["&amp;'FEMA Disasters'!$B$2:$B$1000&amp;"] "&amp;'FEMA Disasters'!$C$2:$C$1000&amp;"-"&amp;'FEMA Disasters'!$A$2:$A$1000,""))</f>
        <v/>
      </c>
      <c r="H575" s="4" t="n">
        <f aca="false">COUNTIF(Events!$A$2:$A$397,$A575)</f>
        <v>0</v>
      </c>
      <c r="I575" s="6" t="str">
        <f aca="false" t="array" ref="I575:I575">_xlfn.TEXTJOIN(" | ",TRUE(),IF(Events!$A$2:$A$397=$A575,Events!$E$2:$E$397&amp;IF(Events!$G$2:$G$397="National",""," ["&amp;Events!$G$2:$G$397&amp;"]"),""))</f>
        <v/>
      </c>
    </row>
    <row r="576" customFormat="false" ht="15" hidden="false" customHeight="true" outlineLevel="0" collapsed="false">
      <c r="A576" s="3" t="n">
        <v>45866</v>
      </c>
      <c r="B576" s="4" t="n">
        <f aca="false">YEAR($A576)</f>
        <v>2025</v>
      </c>
      <c r="C576" s="4" t="n">
        <f aca="false">MONTH($A576)</f>
        <v>7</v>
      </c>
      <c r="D576" s="4" t="str">
        <f aca="false">TEXT($A576,"ddd")</f>
        <v>Mon</v>
      </c>
      <c r="E576" s="4" t="n">
        <f aca="false">IF(OR(AND(MONTH($A576)=10,DAY($A576)&gt;=15),MONTH($A576)=11,AND(MONTH($A576)=12,DAY($A576)&lt;=7)),1,0)</f>
        <v>0</v>
      </c>
      <c r="F576" s="4" t="n">
        <f aca="false">IF(MONTH($A576)&lt;=3,1,0)</f>
        <v>0</v>
      </c>
      <c r="G576" s="4" t="str">
        <f aca="false" t="array" ref="G576:G576">_xlfn.TEXTJOIN(" | ",TRUE(),IF('FEMA Disasters'!$F$2:$F$1000=$A576,'FEMA Disasters'!$D$2:$D$1000&amp;" begin: ["&amp;'FEMA Disasters'!$B$2:$B$1000&amp;"] "&amp;'FEMA Disasters'!$C$2:$C$1000&amp;"-"&amp;'FEMA Disasters'!$A$2:$A$1000,""),IF('FEMA Disasters'!$G$2:$G$1000=$A576,'FEMA Disasters'!$D$2:$D$1000&amp;" ended: ["&amp;'FEMA Disasters'!$B$2:$B$1000&amp;"] "&amp;'FEMA Disasters'!$C$2:$C$1000&amp;"-"&amp;'FEMA Disasters'!$A$2:$A$1000,""),IF('FEMA Disasters'!$K$2:$K$1000=$A576,"Disaster SEP opens: "&amp;'FEMA Disasters'!$D$2:$D$1000&amp;" ["&amp;'FEMA Disasters'!$B$2:$B$1000&amp;"] "&amp;'FEMA Disasters'!$C$2:$C$1000&amp;"-"&amp;'FEMA Disasters'!$A$2:$A$1000,""),IF('FEMA Disasters'!$L$2:$L$1000=$A576,"Disaster SEP ended: "&amp;'FEMA Disasters'!$D$2:$D$1000&amp;" ["&amp;'FEMA Disasters'!$B$2:$B$1000&amp;"] "&amp;'FEMA Disasters'!$C$2:$C$1000&amp;"-"&amp;'FEMA Disasters'!$A$2:$A$1000,""))</f>
        <v>Fire ended: [NM] FM-5593 | Fire ended: [NM] FM-5594</v>
      </c>
      <c r="H576" s="4" t="n">
        <f aca="false">COUNTIF(Events!$A$2:$A$397,$A576)</f>
        <v>0</v>
      </c>
      <c r="I576" s="6" t="str">
        <f aca="false" t="array" ref="I576:I576">_xlfn.TEXTJOIN(" | ",TRUE(),IF(Events!$A$2:$A$397=$A576,Events!$E$2:$E$397&amp;IF(Events!$G$2:$G$397="National",""," ["&amp;Events!$G$2:$G$397&amp;"]"),""))</f>
        <v/>
      </c>
    </row>
    <row r="577" customFormat="false" ht="15" hidden="false" customHeight="true" outlineLevel="0" collapsed="false">
      <c r="A577" s="3" t="n">
        <v>45867</v>
      </c>
      <c r="B577" s="4" t="n">
        <f aca="false">YEAR($A577)</f>
        <v>2025</v>
      </c>
      <c r="C577" s="4" t="n">
        <f aca="false">MONTH($A577)</f>
        <v>7</v>
      </c>
      <c r="D577" s="4" t="str">
        <f aca="false">TEXT($A577,"ddd")</f>
        <v>Tue</v>
      </c>
      <c r="E577" s="4" t="n">
        <f aca="false">IF(OR(AND(MONTH($A577)=10,DAY($A577)&gt;=15),MONTH($A577)=11,AND(MONTH($A577)=12,DAY($A577)&lt;=7)),1,0)</f>
        <v>0</v>
      </c>
      <c r="F577" s="4" t="n">
        <f aca="false">IF(MONTH($A577)&lt;=3,1,0)</f>
        <v>0</v>
      </c>
      <c r="G577" s="4" t="str">
        <f aca="false" t="array" ref="G577:G577">_xlfn.TEXTJOIN(" | ",TRUE(),IF('FEMA Disasters'!$F$2:$F$1000=$A577,'FEMA Disasters'!$D$2:$D$1000&amp;" begin: ["&amp;'FEMA Disasters'!$B$2:$B$1000&amp;"] "&amp;'FEMA Disasters'!$C$2:$C$1000&amp;"-"&amp;'FEMA Disasters'!$A$2:$A$1000,""),IF('FEMA Disasters'!$G$2:$G$1000=$A577,'FEMA Disasters'!$D$2:$D$1000&amp;" ended: ["&amp;'FEMA Disasters'!$B$2:$B$1000&amp;"] "&amp;'FEMA Disasters'!$C$2:$C$1000&amp;"-"&amp;'FEMA Disasters'!$A$2:$A$1000,""),IF('FEMA Disasters'!$K$2:$K$1000=$A577,"Disaster SEP opens: "&amp;'FEMA Disasters'!$D$2:$D$1000&amp;" ["&amp;'FEMA Disasters'!$B$2:$B$1000&amp;"] "&amp;'FEMA Disasters'!$C$2:$C$1000&amp;"-"&amp;'FEMA Disasters'!$A$2:$A$1000,""),IF('FEMA Disasters'!$L$2:$L$1000=$A577,"Disaster SEP ended: "&amp;'FEMA Disasters'!$D$2:$D$1000&amp;" ["&amp;'FEMA Disasters'!$B$2:$B$1000&amp;"] "&amp;'FEMA Disasters'!$C$2:$C$1000&amp;"-"&amp;'FEMA Disasters'!$A$2:$A$1000,""))</f>
        <v/>
      </c>
      <c r="H577" s="4" t="n">
        <f aca="false">COUNTIF(Events!$A$2:$A$397,$A577)</f>
        <v>0</v>
      </c>
      <c r="I577" s="6" t="str">
        <f aca="false" t="array" ref="I577:I577">_xlfn.TEXTJOIN(" | ",TRUE(),IF(Events!$A$2:$A$397=$A577,Events!$E$2:$E$397&amp;IF(Events!$G$2:$G$397="National",""," ["&amp;Events!$G$2:$G$397&amp;"]"),""))</f>
        <v/>
      </c>
    </row>
    <row r="578" customFormat="false" ht="15" hidden="false" customHeight="true" outlineLevel="0" collapsed="false">
      <c r="A578" s="3" t="n">
        <v>45868</v>
      </c>
      <c r="B578" s="4" t="n">
        <f aca="false">YEAR($A578)</f>
        <v>2025</v>
      </c>
      <c r="C578" s="4" t="n">
        <f aca="false">MONTH($A578)</f>
        <v>7</v>
      </c>
      <c r="D578" s="4" t="str">
        <f aca="false">TEXT($A578,"ddd")</f>
        <v>Wed</v>
      </c>
      <c r="E578" s="4" t="n">
        <f aca="false">IF(OR(AND(MONTH($A578)=10,DAY($A578)&gt;=15),MONTH($A578)=11,AND(MONTH($A578)=12,DAY($A578)&lt;=7)),1,0)</f>
        <v>0</v>
      </c>
      <c r="F578" s="4" t="n">
        <f aca="false">IF(MONTH($A578)&lt;=3,1,0)</f>
        <v>0</v>
      </c>
      <c r="G578" s="4" t="str">
        <f aca="false" t="array" ref="G578:G578">_xlfn.TEXTJOIN(" | ",TRUE(),IF('FEMA Disasters'!$F$2:$F$1000=$A578,'FEMA Disasters'!$D$2:$D$1000&amp;" begin: ["&amp;'FEMA Disasters'!$B$2:$B$1000&amp;"] "&amp;'FEMA Disasters'!$C$2:$C$1000&amp;"-"&amp;'FEMA Disasters'!$A$2:$A$1000,""),IF('FEMA Disasters'!$G$2:$G$1000=$A578,'FEMA Disasters'!$D$2:$D$1000&amp;" ended: ["&amp;'FEMA Disasters'!$B$2:$B$1000&amp;"] "&amp;'FEMA Disasters'!$C$2:$C$1000&amp;"-"&amp;'FEMA Disasters'!$A$2:$A$1000,""),IF('FEMA Disasters'!$K$2:$K$1000=$A578,"Disaster SEP opens: "&amp;'FEMA Disasters'!$D$2:$D$1000&amp;" ["&amp;'FEMA Disasters'!$B$2:$B$1000&amp;"] "&amp;'FEMA Disasters'!$C$2:$C$1000&amp;"-"&amp;'FEMA Disasters'!$A$2:$A$1000,""),IF('FEMA Disasters'!$L$2:$L$1000=$A578,"Disaster SEP ended: "&amp;'FEMA Disasters'!$D$2:$D$1000&amp;" ["&amp;'FEMA Disasters'!$B$2:$B$1000&amp;"] "&amp;'FEMA Disasters'!$C$2:$C$1000&amp;"-"&amp;'FEMA Disasters'!$A$2:$A$1000,""))</f>
        <v/>
      </c>
      <c r="H578" s="4" t="n">
        <f aca="false">COUNTIF(Events!$A$2:$A$397,$A578)</f>
        <v>0</v>
      </c>
      <c r="I578" s="6" t="str">
        <f aca="false" t="array" ref="I578:I578">_xlfn.TEXTJOIN(" | ",TRUE(),IF(Events!$A$2:$A$397=$A578,Events!$E$2:$E$397&amp;IF(Events!$G$2:$G$397="National",""," ["&amp;Events!$G$2:$G$397&amp;"]"),""))</f>
        <v/>
      </c>
    </row>
    <row r="579" customFormat="false" ht="15" hidden="false" customHeight="true" outlineLevel="0" collapsed="false">
      <c r="A579" s="3" t="n">
        <v>45869</v>
      </c>
      <c r="B579" s="4" t="n">
        <f aca="false">YEAR($A579)</f>
        <v>2025</v>
      </c>
      <c r="C579" s="4" t="n">
        <f aca="false">MONTH($A579)</f>
        <v>7</v>
      </c>
      <c r="D579" s="4" t="str">
        <f aca="false">TEXT($A579,"ddd")</f>
        <v>Thu</v>
      </c>
      <c r="E579" s="4" t="n">
        <f aca="false">IF(OR(AND(MONTH($A579)=10,DAY($A579)&gt;=15),MONTH($A579)=11,AND(MONTH($A579)=12,DAY($A579)&lt;=7)),1,0)</f>
        <v>0</v>
      </c>
      <c r="F579" s="4" t="n">
        <f aca="false">IF(MONTH($A579)&lt;=3,1,0)</f>
        <v>0</v>
      </c>
      <c r="G579" s="4" t="str">
        <f aca="false" t="array" ref="G579:G579">_xlfn.TEXTJOIN(" | ",TRUE(),IF('FEMA Disasters'!$F$2:$F$1000=$A579,'FEMA Disasters'!$D$2:$D$1000&amp;" begin: ["&amp;'FEMA Disasters'!$B$2:$B$1000&amp;"] "&amp;'FEMA Disasters'!$C$2:$C$1000&amp;"-"&amp;'FEMA Disasters'!$A$2:$A$1000,""),IF('FEMA Disasters'!$G$2:$G$1000=$A579,'FEMA Disasters'!$D$2:$D$1000&amp;" ended: ["&amp;'FEMA Disasters'!$B$2:$B$1000&amp;"] "&amp;'FEMA Disasters'!$C$2:$C$1000&amp;"-"&amp;'FEMA Disasters'!$A$2:$A$1000,""),IF('FEMA Disasters'!$K$2:$K$1000=$A579,"Disaster SEP opens: "&amp;'FEMA Disasters'!$D$2:$D$1000&amp;" ["&amp;'FEMA Disasters'!$B$2:$B$1000&amp;"] "&amp;'FEMA Disasters'!$C$2:$C$1000&amp;"-"&amp;'FEMA Disasters'!$A$2:$A$1000,""),IF('FEMA Disasters'!$L$2:$L$1000=$A579,"Disaster SEP ended: "&amp;'FEMA Disasters'!$D$2:$D$1000&amp;" ["&amp;'FEMA Disasters'!$B$2:$B$1000&amp;"] "&amp;'FEMA Disasters'!$C$2:$C$1000&amp;"-"&amp;'FEMA Disasters'!$A$2:$A$1000,""))</f>
        <v>Disaster SEP opens: Severe Storm [KY] EM-3626 | Disaster SEP opens: Severe Storm [KY] DR-4864 | Disaster SEP opens: Fire [MN] FM-5583 | Disaster SEP opens: Fire [AZ] FM-5584 | Disaster SEP opens: Severe Storm [KY] DR-4875 | Disaster SEP opens: Severe Storm [MO] DR-4877 | Disaster SEP opens: Severe Storm [KS] DR-4883 | Disaster SEP opens: Flood [MT] DR-4887 | Disaster SEP opens: Fire [AZ] FM-5585 | Disaster SEP opens: Severe Storm [MO] DR-4885 | Disaster SEP ended: Severe Storm [KY] EM-3624 | Disaster SEP ended: Severe Storm [KY] DR-4860 | Disaster SEP ended: Fire [TX] FM-5552 | Disaster SEP ended: Fire [TX] FM-5553 | Disaster SEP ended: Severe Storm [OR] DR-4881 | Disaster SEP ended: Severe Storm [AR] DR-4865 | Disaster SEP ended: Fire [OK] DR-4866 | Disaster SEP ended: Severe Storm [MO] DR-4867 | Disaster SEP ended: Severe Storm [KS] DR-4869 | Disaster SEP ended: Severe Storm [MS] DR-4874 | Disaster SEP ended: Fire [TX] FM-5555 | Disaster SEP ended: Fire [KS] FM-5556 | Disaster SEP ended: Fire [OK] FM-5557 | Disaster SEP ended: Fire [OK] FM-5558 | Disaster SEP ended: Fire [OK] FM-5559 | Disaster SEP ended: Fire [OK] FM-5560 | Disaster SEP ended: Fire [OK] FM-5561 | Disaster SEP ended: Fire [OK] FM-5562 | Disaster SEP ended: Fire [OK] FM-5563 | Disaster SEP ended: Fire [OK] FM-5564 | Disaster SEP ended: Fire [OK] FM-5565 | Disaster SEP ended: Fire [OK] FM-5566 | Disaster SEP ended: Fire [OK] FM-5567 | Disaster SEP ended: Fire [OK] FM-5568 | Disaster SEP ended: Fire [OK] FM-5569 | Disaster SEP ended: Fire [TX] FM-5570 | Disaster SEP ended: Winter Storm [NE] DR-4868 | Disaster SEP ended: Fire [TX] FM-5571 | Disaster SEP ended: Winter Storm [IA] DR-4870 | Disaster SEP ended: Fire [OK] FM-5572 | Disaster SEP ended: Fire [TX] FM-5573 | Disaster SEP ended: Flood [TX] DR-4871 | Disaster SEP ended: Severe Ice Storm [MI] DR-4880</v>
      </c>
      <c r="H579" s="4" t="n">
        <f aca="false">COUNTIF(Events!$A$2:$A$397,$A579)</f>
        <v>0</v>
      </c>
      <c r="I579" s="6" t="str">
        <f aca="false" t="array" ref="I579:I579">_xlfn.TEXTJOIN(" | ",TRUE(),IF(Events!$A$2:$A$397=$A579,Events!$E$2:$E$397&amp;IF(Events!$G$2:$G$397="National",""," ["&amp;Events!$G$2:$G$397&amp;"]"),""))</f>
        <v/>
      </c>
    </row>
    <row r="580" customFormat="false" ht="15" hidden="false" customHeight="true" outlineLevel="0" collapsed="false">
      <c r="A580" s="3" t="n">
        <v>45870</v>
      </c>
      <c r="B580" s="4" t="n">
        <f aca="false">YEAR($A580)</f>
        <v>2025</v>
      </c>
      <c r="C580" s="4" t="n">
        <f aca="false">MONTH($A580)</f>
        <v>8</v>
      </c>
      <c r="D580" s="4" t="str">
        <f aca="false">TEXT($A580,"ddd")</f>
        <v>Fri</v>
      </c>
      <c r="E580" s="4" t="n">
        <f aca="false">IF(OR(AND(MONTH($A580)=10,DAY($A580)&gt;=15),MONTH($A580)=11,AND(MONTH($A580)=12,DAY($A580)&lt;=7)),1,0)</f>
        <v>0</v>
      </c>
      <c r="F580" s="4" t="n">
        <f aca="false">IF(MONTH($A580)&lt;=3,1,0)</f>
        <v>0</v>
      </c>
      <c r="G580" s="4" t="str">
        <f aca="false" t="array" ref="G580:G580">_xlfn.TEXTJOIN(" | ",TRUE(),IF('FEMA Disasters'!$F$2:$F$1000=$A580,'FEMA Disasters'!$D$2:$D$1000&amp;" begin: ["&amp;'FEMA Disasters'!$B$2:$B$1000&amp;"] "&amp;'FEMA Disasters'!$C$2:$C$1000&amp;"-"&amp;'FEMA Disasters'!$A$2:$A$1000,""),IF('FEMA Disasters'!$G$2:$G$1000=$A580,'FEMA Disasters'!$D$2:$D$1000&amp;" ended: ["&amp;'FEMA Disasters'!$B$2:$B$1000&amp;"] "&amp;'FEMA Disasters'!$C$2:$C$1000&amp;"-"&amp;'FEMA Disasters'!$A$2:$A$1000,""),IF('FEMA Disasters'!$K$2:$K$1000=$A580,"Disaster SEP opens: "&amp;'FEMA Disasters'!$D$2:$D$1000&amp;" ["&amp;'FEMA Disasters'!$B$2:$B$1000&amp;"] "&amp;'FEMA Disasters'!$C$2:$C$1000&amp;"-"&amp;'FEMA Disasters'!$A$2:$A$1000,""),IF('FEMA Disasters'!$L$2:$L$1000=$A580,"Disaster SEP ended: "&amp;'FEMA Disasters'!$D$2:$D$1000&amp;" ["&amp;'FEMA Disasters'!$B$2:$B$1000&amp;"] "&amp;'FEMA Disasters'!$C$2:$C$1000&amp;"-"&amp;'FEMA Disasters'!$A$2:$A$1000,""))</f>
        <v/>
      </c>
      <c r="H580" s="4" t="n">
        <f aca="false">COUNTIF(Events!$A$2:$A$397,$A580)</f>
        <v>0</v>
      </c>
      <c r="I580" s="6" t="str">
        <f aca="false" t="array" ref="I580:I580">_xlfn.TEXTJOIN(" | ",TRUE(),IF(Events!$A$2:$A$397=$A580,Events!$E$2:$E$397&amp;IF(Events!$G$2:$G$397="National",""," ["&amp;Events!$G$2:$G$397&amp;"]"),""))</f>
        <v/>
      </c>
    </row>
    <row r="581" customFormat="false" ht="15" hidden="false" customHeight="true" outlineLevel="0" collapsed="false">
      <c r="A581" s="3" t="n">
        <v>45871</v>
      </c>
      <c r="B581" s="4" t="n">
        <f aca="false">YEAR($A581)</f>
        <v>2025</v>
      </c>
      <c r="C581" s="4" t="n">
        <f aca="false">MONTH($A581)</f>
        <v>8</v>
      </c>
      <c r="D581" s="4" t="str">
        <f aca="false">TEXT($A581,"ddd")</f>
        <v>Sat</v>
      </c>
      <c r="E581" s="4" t="n">
        <f aca="false">IF(OR(AND(MONTH($A581)=10,DAY($A581)&gt;=15),MONTH($A581)=11,AND(MONTH($A581)=12,DAY($A581)&lt;=7)),1,0)</f>
        <v>0</v>
      </c>
      <c r="F581" s="4" t="n">
        <f aca="false">IF(MONTH($A581)&lt;=3,1,0)</f>
        <v>0</v>
      </c>
      <c r="G581" s="4" t="str">
        <f aca="false" t="array" ref="G581:G581">_xlfn.TEXTJOIN(" | ",TRUE(),IF('FEMA Disasters'!$F$2:$F$1000=$A581,'FEMA Disasters'!$D$2:$D$1000&amp;" begin: ["&amp;'FEMA Disasters'!$B$2:$B$1000&amp;"] "&amp;'FEMA Disasters'!$C$2:$C$1000&amp;"-"&amp;'FEMA Disasters'!$A$2:$A$1000,""),IF('FEMA Disasters'!$G$2:$G$1000=$A581,'FEMA Disasters'!$D$2:$D$1000&amp;" ended: ["&amp;'FEMA Disasters'!$B$2:$B$1000&amp;"] "&amp;'FEMA Disasters'!$C$2:$C$1000&amp;"-"&amp;'FEMA Disasters'!$A$2:$A$1000,""),IF('FEMA Disasters'!$K$2:$K$1000=$A581,"Disaster SEP opens: "&amp;'FEMA Disasters'!$D$2:$D$1000&amp;" ["&amp;'FEMA Disasters'!$B$2:$B$1000&amp;"] "&amp;'FEMA Disasters'!$C$2:$C$1000&amp;"-"&amp;'FEMA Disasters'!$A$2:$A$1000,""),IF('FEMA Disasters'!$L$2:$L$1000=$A581,"Disaster SEP ended: "&amp;'FEMA Disasters'!$D$2:$D$1000&amp;" ["&amp;'FEMA Disasters'!$B$2:$B$1000&amp;"] "&amp;'FEMA Disasters'!$C$2:$C$1000&amp;"-"&amp;'FEMA Disasters'!$A$2:$A$1000,""))</f>
        <v>Fire begin: [NV] FM-5602 | Fire begin: [CO] FM-5603 | Fire begin: [CO] FM-5604</v>
      </c>
      <c r="H581" s="4" t="n">
        <f aca="false">COUNTIF(Events!$A$2:$A$397,$A581)</f>
        <v>0</v>
      </c>
      <c r="I581" s="6" t="str">
        <f aca="false" t="array" ref="I581:I581">_xlfn.TEXTJOIN(" | ",TRUE(),IF(Events!$A$2:$A$397=$A581,Events!$E$2:$E$397&amp;IF(Events!$G$2:$G$397="National",""," ["&amp;Events!$G$2:$G$397&amp;"]"),""))</f>
        <v/>
      </c>
    </row>
    <row r="582" customFormat="false" ht="15" hidden="false" customHeight="true" outlineLevel="0" collapsed="false">
      <c r="A582" s="3" t="n">
        <v>45872</v>
      </c>
      <c r="B582" s="4" t="n">
        <f aca="false">YEAR($A582)</f>
        <v>2025</v>
      </c>
      <c r="C582" s="4" t="n">
        <f aca="false">MONTH($A582)</f>
        <v>8</v>
      </c>
      <c r="D582" s="4" t="str">
        <f aca="false">TEXT($A582,"ddd")</f>
        <v>Sun</v>
      </c>
      <c r="E582" s="4" t="n">
        <f aca="false">IF(OR(AND(MONTH($A582)=10,DAY($A582)&gt;=15),MONTH($A582)=11,AND(MONTH($A582)=12,DAY($A582)&lt;=7)),1,0)</f>
        <v>0</v>
      </c>
      <c r="F582" s="4" t="n">
        <f aca="false">IF(MONTH($A582)&lt;=3,1,0)</f>
        <v>0</v>
      </c>
      <c r="G582" s="4" t="str">
        <f aca="false" t="array" ref="G582:G582">_xlfn.TEXTJOIN(" | ",TRUE(),IF('FEMA Disasters'!$F$2:$F$1000=$A582,'FEMA Disasters'!$D$2:$D$1000&amp;" begin: ["&amp;'FEMA Disasters'!$B$2:$B$1000&amp;"] "&amp;'FEMA Disasters'!$C$2:$C$1000&amp;"-"&amp;'FEMA Disasters'!$A$2:$A$1000,""),IF('FEMA Disasters'!$G$2:$G$1000=$A582,'FEMA Disasters'!$D$2:$D$1000&amp;" ended: ["&amp;'FEMA Disasters'!$B$2:$B$1000&amp;"] "&amp;'FEMA Disasters'!$C$2:$C$1000&amp;"-"&amp;'FEMA Disasters'!$A$2:$A$1000,""),IF('FEMA Disasters'!$K$2:$K$1000=$A582,"Disaster SEP opens: "&amp;'FEMA Disasters'!$D$2:$D$1000&amp;" ["&amp;'FEMA Disasters'!$B$2:$B$1000&amp;"] "&amp;'FEMA Disasters'!$C$2:$C$1000&amp;"-"&amp;'FEMA Disasters'!$A$2:$A$1000,""),IF('FEMA Disasters'!$L$2:$L$1000=$A582,"Disaster SEP ended: "&amp;'FEMA Disasters'!$D$2:$D$1000&amp;" ["&amp;'FEMA Disasters'!$B$2:$B$1000&amp;"] "&amp;'FEMA Disasters'!$C$2:$C$1000&amp;"-"&amp;'FEMA Disasters'!$A$2:$A$1000,""))</f>
        <v>Fire ended: [WA] FM-5601</v>
      </c>
      <c r="H582" s="4" t="n">
        <f aca="false">COUNTIF(Events!$A$2:$A$397,$A582)</f>
        <v>0</v>
      </c>
      <c r="I582" s="6" t="str">
        <f aca="false" t="array" ref="I582:I582">_xlfn.TEXTJOIN(" | ",TRUE(),IF(Events!$A$2:$A$397=$A582,Events!$E$2:$E$397&amp;IF(Events!$G$2:$G$397="National",""," ["&amp;Events!$G$2:$G$397&amp;"]"),""))</f>
        <v/>
      </c>
    </row>
    <row r="583" customFormat="false" ht="15" hidden="false" customHeight="true" outlineLevel="0" collapsed="false">
      <c r="A583" s="3" t="n">
        <v>45873</v>
      </c>
      <c r="B583" s="4" t="n">
        <f aca="false">YEAR($A583)</f>
        <v>2025</v>
      </c>
      <c r="C583" s="4" t="n">
        <f aca="false">MONTH($A583)</f>
        <v>8</v>
      </c>
      <c r="D583" s="4" t="str">
        <f aca="false">TEXT($A583,"ddd")</f>
        <v>Mon</v>
      </c>
      <c r="E583" s="4" t="n">
        <f aca="false">IF(OR(AND(MONTH($A583)=10,DAY($A583)&gt;=15),MONTH($A583)=11,AND(MONTH($A583)=12,DAY($A583)&lt;=7)),1,0)</f>
        <v>0</v>
      </c>
      <c r="F583" s="4" t="n">
        <f aca="false">IF(MONTH($A583)&lt;=3,1,0)</f>
        <v>0</v>
      </c>
      <c r="G583" s="4" t="str">
        <f aca="false" t="array" ref="G583:G583">_xlfn.TEXTJOIN(" | ",TRUE(),IF('FEMA Disasters'!$F$2:$F$1000=$A583,'FEMA Disasters'!$D$2:$D$1000&amp;" begin: ["&amp;'FEMA Disasters'!$B$2:$B$1000&amp;"] "&amp;'FEMA Disasters'!$C$2:$C$1000&amp;"-"&amp;'FEMA Disasters'!$A$2:$A$1000,""),IF('FEMA Disasters'!$G$2:$G$1000=$A583,'FEMA Disasters'!$D$2:$D$1000&amp;" ended: ["&amp;'FEMA Disasters'!$B$2:$B$1000&amp;"] "&amp;'FEMA Disasters'!$C$2:$C$1000&amp;"-"&amp;'FEMA Disasters'!$A$2:$A$1000,""),IF('FEMA Disasters'!$K$2:$K$1000=$A583,"Disaster SEP opens: "&amp;'FEMA Disasters'!$D$2:$D$1000&amp;" ["&amp;'FEMA Disasters'!$B$2:$B$1000&amp;"] "&amp;'FEMA Disasters'!$C$2:$C$1000&amp;"-"&amp;'FEMA Disasters'!$A$2:$A$1000,""),IF('FEMA Disasters'!$L$2:$L$1000=$A583,"Disaster SEP ended: "&amp;'FEMA Disasters'!$D$2:$D$1000&amp;" ["&amp;'FEMA Disasters'!$B$2:$B$1000&amp;"] "&amp;'FEMA Disasters'!$C$2:$C$1000&amp;"-"&amp;'FEMA Disasters'!$A$2:$A$1000,""))</f>
        <v>Fire ended: [NV] FM-5602</v>
      </c>
      <c r="H583" s="4" t="n">
        <f aca="false">COUNTIF(Events!$A$2:$A$397,$A583)</f>
        <v>0</v>
      </c>
      <c r="I583" s="6" t="str">
        <f aca="false" t="array" ref="I583:I583">_xlfn.TEXTJOIN(" | ",TRUE(),IF(Events!$A$2:$A$397=$A583,Events!$E$2:$E$397&amp;IF(Events!$G$2:$G$397="National",""," ["&amp;Events!$G$2:$G$397&amp;"]"),""))</f>
        <v/>
      </c>
    </row>
    <row r="584" customFormat="false" ht="15" hidden="false" customHeight="true" outlineLevel="0" collapsed="false">
      <c r="A584" s="3" t="n">
        <v>45874</v>
      </c>
      <c r="B584" s="4" t="n">
        <f aca="false">YEAR($A584)</f>
        <v>2025</v>
      </c>
      <c r="C584" s="4" t="n">
        <f aca="false">MONTH($A584)</f>
        <v>8</v>
      </c>
      <c r="D584" s="4" t="str">
        <f aca="false">TEXT($A584,"ddd")</f>
        <v>Tue</v>
      </c>
      <c r="E584" s="4" t="n">
        <f aca="false">IF(OR(AND(MONTH($A584)=10,DAY($A584)&gt;=15),MONTH($A584)=11,AND(MONTH($A584)=12,DAY($A584)&lt;=7)),1,0)</f>
        <v>0</v>
      </c>
      <c r="F584" s="4" t="n">
        <f aca="false">IF(MONTH($A584)&lt;=3,1,0)</f>
        <v>0</v>
      </c>
      <c r="G584" s="4" t="str">
        <f aca="false" t="array" ref="G584:G584">_xlfn.TEXTJOIN(" | ",TRUE(),IF('FEMA Disasters'!$F$2:$F$1000=$A584,'FEMA Disasters'!$D$2:$D$1000&amp;" begin: ["&amp;'FEMA Disasters'!$B$2:$B$1000&amp;"] "&amp;'FEMA Disasters'!$C$2:$C$1000&amp;"-"&amp;'FEMA Disasters'!$A$2:$A$1000,""),IF('FEMA Disasters'!$G$2:$G$1000=$A584,'FEMA Disasters'!$D$2:$D$1000&amp;" ended: ["&amp;'FEMA Disasters'!$B$2:$B$1000&amp;"] "&amp;'FEMA Disasters'!$C$2:$C$1000&amp;"-"&amp;'FEMA Disasters'!$A$2:$A$1000,""),IF('FEMA Disasters'!$K$2:$K$1000=$A584,"Disaster SEP opens: "&amp;'FEMA Disasters'!$D$2:$D$1000&amp;" ["&amp;'FEMA Disasters'!$B$2:$B$1000&amp;"] "&amp;'FEMA Disasters'!$C$2:$C$1000&amp;"-"&amp;'FEMA Disasters'!$A$2:$A$1000,""),IF('FEMA Disasters'!$L$2:$L$1000=$A584,"Disaster SEP ended: "&amp;'FEMA Disasters'!$D$2:$D$1000&amp;" ["&amp;'FEMA Disasters'!$B$2:$B$1000&amp;"] "&amp;'FEMA Disasters'!$C$2:$C$1000&amp;"-"&amp;'FEMA Disasters'!$A$2:$A$1000,""))</f>
        <v>Flood ended: [NM] EM-3628 | Flood ended: [NM] DR-4886</v>
      </c>
      <c r="H584" s="4" t="n">
        <f aca="false">COUNTIF(Events!$A$2:$A$397,$A584)</f>
        <v>0</v>
      </c>
      <c r="I584" s="6" t="str">
        <f aca="false" t="array" ref="I584:I584">_xlfn.TEXTJOIN(" | ",TRUE(),IF(Events!$A$2:$A$397=$A584,Events!$E$2:$E$397&amp;IF(Events!$G$2:$G$397="National",""," ["&amp;Events!$G$2:$G$397&amp;"]"),""))</f>
        <v/>
      </c>
    </row>
    <row r="585" customFormat="false" ht="15" hidden="false" customHeight="true" outlineLevel="0" collapsed="false">
      <c r="A585" s="3" t="n">
        <v>45875</v>
      </c>
      <c r="B585" s="4" t="n">
        <f aca="false">YEAR($A585)</f>
        <v>2025</v>
      </c>
      <c r="C585" s="4" t="n">
        <f aca="false">MONTH($A585)</f>
        <v>8</v>
      </c>
      <c r="D585" s="4" t="str">
        <f aca="false">TEXT($A585,"ddd")</f>
        <v>Wed</v>
      </c>
      <c r="E585" s="4" t="n">
        <f aca="false">IF(OR(AND(MONTH($A585)=10,DAY($A585)&gt;=15),MONTH($A585)=11,AND(MONTH($A585)=12,DAY($A585)&lt;=7)),1,0)</f>
        <v>0</v>
      </c>
      <c r="F585" s="4" t="n">
        <f aca="false">IF(MONTH($A585)&lt;=3,1,0)</f>
        <v>0</v>
      </c>
      <c r="G585" s="4" t="str">
        <f aca="false" t="array" ref="G585:G585">_xlfn.TEXTJOIN(" | ",TRUE(),IF('FEMA Disasters'!$F$2:$F$1000=$A585,'FEMA Disasters'!$D$2:$D$1000&amp;" begin: ["&amp;'FEMA Disasters'!$B$2:$B$1000&amp;"] "&amp;'FEMA Disasters'!$C$2:$C$1000&amp;"-"&amp;'FEMA Disasters'!$A$2:$A$1000,""),IF('FEMA Disasters'!$G$2:$G$1000=$A585,'FEMA Disasters'!$D$2:$D$1000&amp;" ended: ["&amp;'FEMA Disasters'!$B$2:$B$1000&amp;"] "&amp;'FEMA Disasters'!$C$2:$C$1000&amp;"-"&amp;'FEMA Disasters'!$A$2:$A$1000,""),IF('FEMA Disasters'!$K$2:$K$1000=$A585,"Disaster SEP opens: "&amp;'FEMA Disasters'!$D$2:$D$1000&amp;" ["&amp;'FEMA Disasters'!$B$2:$B$1000&amp;"] "&amp;'FEMA Disasters'!$C$2:$C$1000&amp;"-"&amp;'FEMA Disasters'!$A$2:$A$1000,""),IF('FEMA Disasters'!$L$2:$L$1000=$A585,"Disaster SEP ended: "&amp;'FEMA Disasters'!$D$2:$D$1000&amp;" ["&amp;'FEMA Disasters'!$B$2:$B$1000&amp;"] "&amp;'FEMA Disasters'!$C$2:$C$1000&amp;"-"&amp;'FEMA Disasters'!$A$2:$A$1000,""))</f>
        <v/>
      </c>
      <c r="H585" s="4" t="n">
        <f aca="false">COUNTIF(Events!$A$2:$A$397,$A585)</f>
        <v>0</v>
      </c>
      <c r="I585" s="6" t="str">
        <f aca="false" t="array" ref="I585:I585">_xlfn.TEXTJOIN(" | ",TRUE(),IF(Events!$A$2:$A$397=$A585,Events!$E$2:$E$397&amp;IF(Events!$G$2:$G$397="National",""," ["&amp;Events!$G$2:$G$397&amp;"]"),""))</f>
        <v/>
      </c>
    </row>
    <row r="586" customFormat="false" ht="15" hidden="false" customHeight="true" outlineLevel="0" collapsed="false">
      <c r="A586" s="3" t="n">
        <v>45876</v>
      </c>
      <c r="B586" s="4" t="n">
        <f aca="false">YEAR($A586)</f>
        <v>2025</v>
      </c>
      <c r="C586" s="4" t="n">
        <f aca="false">MONTH($A586)</f>
        <v>8</v>
      </c>
      <c r="D586" s="4" t="str">
        <f aca="false">TEXT($A586,"ddd")</f>
        <v>Thu</v>
      </c>
      <c r="E586" s="4" t="n">
        <f aca="false">IF(OR(AND(MONTH($A586)=10,DAY($A586)&gt;=15),MONTH($A586)=11,AND(MONTH($A586)=12,DAY($A586)&lt;=7)),1,0)</f>
        <v>0</v>
      </c>
      <c r="F586" s="4" t="n">
        <f aca="false">IF(MONTH($A586)&lt;=3,1,0)</f>
        <v>0</v>
      </c>
      <c r="G586" s="4" t="str">
        <f aca="false" t="array" ref="G586:G586">_xlfn.TEXTJOIN(" | ",TRUE(),IF('FEMA Disasters'!$F$2:$F$1000=$A586,'FEMA Disasters'!$D$2:$D$1000&amp;" begin: ["&amp;'FEMA Disasters'!$B$2:$B$1000&amp;"] "&amp;'FEMA Disasters'!$C$2:$C$1000&amp;"-"&amp;'FEMA Disasters'!$A$2:$A$1000,""),IF('FEMA Disasters'!$G$2:$G$1000=$A586,'FEMA Disasters'!$D$2:$D$1000&amp;" ended: ["&amp;'FEMA Disasters'!$B$2:$B$1000&amp;"] "&amp;'FEMA Disasters'!$C$2:$C$1000&amp;"-"&amp;'FEMA Disasters'!$A$2:$A$1000,""),IF('FEMA Disasters'!$K$2:$K$1000=$A586,"Disaster SEP opens: "&amp;'FEMA Disasters'!$D$2:$D$1000&amp;" ["&amp;'FEMA Disasters'!$B$2:$B$1000&amp;"] "&amp;'FEMA Disasters'!$C$2:$C$1000&amp;"-"&amp;'FEMA Disasters'!$A$2:$A$1000,""),IF('FEMA Disasters'!$L$2:$L$1000=$A586,"Disaster SEP ended: "&amp;'FEMA Disasters'!$D$2:$D$1000&amp;" ["&amp;'FEMA Disasters'!$B$2:$B$1000&amp;"] "&amp;'FEMA Disasters'!$C$2:$C$1000&amp;"-"&amp;'FEMA Disasters'!$A$2:$A$1000,""))</f>
        <v>Severe Storm begin: [ND] DR-4895 | Fire begin: [CA] FM-5605</v>
      </c>
      <c r="H586" s="4" t="n">
        <f aca="false">COUNTIF(Events!$A$2:$A$397,$A586)</f>
        <v>0</v>
      </c>
      <c r="I586" s="6" t="str">
        <f aca="false" t="array" ref="I586:I586">_xlfn.TEXTJOIN(" | ",TRUE(),IF(Events!$A$2:$A$397=$A586,Events!$E$2:$E$397&amp;IF(Events!$G$2:$G$397="National",""," ["&amp;Events!$G$2:$G$397&amp;"]"),""))</f>
        <v/>
      </c>
    </row>
    <row r="587" customFormat="false" ht="15" hidden="false" customHeight="true" outlineLevel="0" collapsed="false">
      <c r="A587" s="3" t="n">
        <v>45877</v>
      </c>
      <c r="B587" s="4" t="n">
        <f aca="false">YEAR($A587)</f>
        <v>2025</v>
      </c>
      <c r="C587" s="4" t="n">
        <f aca="false">MONTH($A587)</f>
        <v>8</v>
      </c>
      <c r="D587" s="4" t="str">
        <f aca="false">TEXT($A587,"ddd")</f>
        <v>Fri</v>
      </c>
      <c r="E587" s="4" t="n">
        <f aca="false">IF(OR(AND(MONTH($A587)=10,DAY($A587)&gt;=15),MONTH($A587)=11,AND(MONTH($A587)=12,DAY($A587)&lt;=7)),1,0)</f>
        <v>0</v>
      </c>
      <c r="F587" s="4" t="n">
        <f aca="false">IF(MONTH($A587)&lt;=3,1,0)</f>
        <v>0</v>
      </c>
      <c r="G587" s="4" t="str">
        <f aca="false" t="array" ref="G587:G587">_xlfn.TEXTJOIN(" | ",TRUE(),IF('FEMA Disasters'!$F$2:$F$1000=$A587,'FEMA Disasters'!$D$2:$D$1000&amp;" begin: ["&amp;'FEMA Disasters'!$B$2:$B$1000&amp;"] "&amp;'FEMA Disasters'!$C$2:$C$1000&amp;"-"&amp;'FEMA Disasters'!$A$2:$A$1000,""),IF('FEMA Disasters'!$G$2:$G$1000=$A587,'FEMA Disasters'!$D$2:$D$1000&amp;" ended: ["&amp;'FEMA Disasters'!$B$2:$B$1000&amp;"] "&amp;'FEMA Disasters'!$C$2:$C$1000&amp;"-"&amp;'FEMA Disasters'!$A$2:$A$1000,""),IF('FEMA Disasters'!$K$2:$K$1000=$A587,"Disaster SEP opens: "&amp;'FEMA Disasters'!$D$2:$D$1000&amp;" ["&amp;'FEMA Disasters'!$B$2:$B$1000&amp;"] "&amp;'FEMA Disasters'!$C$2:$C$1000&amp;"-"&amp;'FEMA Disasters'!$A$2:$A$1000,""),IF('FEMA Disasters'!$L$2:$L$1000=$A587,"Disaster SEP ended: "&amp;'FEMA Disasters'!$D$2:$D$1000&amp;" ["&amp;'FEMA Disasters'!$B$2:$B$1000&amp;"] "&amp;'FEMA Disasters'!$C$2:$C$1000&amp;"-"&amp;'FEMA Disasters'!$A$2:$A$1000,""))</f>
        <v>Severe Storm begin: [NE] DR-4896 | Severe Storm ended: [ND] DR-4895</v>
      </c>
      <c r="H587" s="4" t="n">
        <f aca="false">COUNTIF(Events!$A$2:$A$397,$A587)</f>
        <v>0</v>
      </c>
      <c r="I587" s="6" t="str">
        <f aca="false" t="array" ref="I587:I587">_xlfn.TEXTJOIN(" | ",TRUE(),IF(Events!$A$2:$A$397=$A587,Events!$E$2:$E$397&amp;IF(Events!$G$2:$G$397="National",""," ["&amp;Events!$G$2:$G$397&amp;"]"),""))</f>
        <v/>
      </c>
    </row>
    <row r="588" customFormat="false" ht="15" hidden="false" customHeight="true" outlineLevel="0" collapsed="false">
      <c r="A588" s="3" t="n">
        <v>45878</v>
      </c>
      <c r="B588" s="4" t="n">
        <f aca="false">YEAR($A588)</f>
        <v>2025</v>
      </c>
      <c r="C588" s="4" t="n">
        <f aca="false">MONTH($A588)</f>
        <v>8</v>
      </c>
      <c r="D588" s="4" t="str">
        <f aca="false">TEXT($A588,"ddd")</f>
        <v>Sat</v>
      </c>
      <c r="E588" s="4" t="n">
        <f aca="false">IF(OR(AND(MONTH($A588)=10,DAY($A588)&gt;=15),MONTH($A588)=11,AND(MONTH($A588)=12,DAY($A588)&lt;=7)),1,0)</f>
        <v>0</v>
      </c>
      <c r="F588" s="4" t="n">
        <f aca="false">IF(MONTH($A588)&lt;=3,1,0)</f>
        <v>0</v>
      </c>
      <c r="G588" s="4" t="str">
        <f aca="false" t="array" ref="G588:G588">_xlfn.TEXTJOIN(" | ",TRUE(),IF('FEMA Disasters'!$F$2:$F$1000=$A588,'FEMA Disasters'!$D$2:$D$1000&amp;" begin: ["&amp;'FEMA Disasters'!$B$2:$B$1000&amp;"] "&amp;'FEMA Disasters'!$C$2:$C$1000&amp;"-"&amp;'FEMA Disasters'!$A$2:$A$1000,""),IF('FEMA Disasters'!$G$2:$G$1000=$A588,'FEMA Disasters'!$D$2:$D$1000&amp;" ended: ["&amp;'FEMA Disasters'!$B$2:$B$1000&amp;"] "&amp;'FEMA Disasters'!$C$2:$C$1000&amp;"-"&amp;'FEMA Disasters'!$A$2:$A$1000,""),IF('FEMA Disasters'!$K$2:$K$1000=$A588,"Disaster SEP opens: "&amp;'FEMA Disasters'!$D$2:$D$1000&amp;" ["&amp;'FEMA Disasters'!$B$2:$B$1000&amp;"] "&amp;'FEMA Disasters'!$C$2:$C$1000&amp;"-"&amp;'FEMA Disasters'!$A$2:$A$1000,""),IF('FEMA Disasters'!$L$2:$L$1000=$A588,"Disaster SEP ended: "&amp;'FEMA Disasters'!$D$2:$D$1000&amp;" ["&amp;'FEMA Disasters'!$B$2:$B$1000&amp;"] "&amp;'FEMA Disasters'!$C$2:$C$1000&amp;"-"&amp;'FEMA Disasters'!$A$2:$A$1000,""))</f>
        <v>Flood begin: [WI] DR-4892</v>
      </c>
      <c r="H588" s="4" t="n">
        <f aca="false">COUNTIF(Events!$A$2:$A$397,$A588)</f>
        <v>0</v>
      </c>
      <c r="I588" s="6" t="str">
        <f aca="false" t="array" ref="I588:I588">_xlfn.TEXTJOIN(" | ",TRUE(),IF(Events!$A$2:$A$397=$A588,Events!$E$2:$E$397&amp;IF(Events!$G$2:$G$397="National",""," ["&amp;Events!$G$2:$G$397&amp;"]"),""))</f>
        <v/>
      </c>
    </row>
    <row r="589" customFormat="false" ht="15" hidden="false" customHeight="true" outlineLevel="0" collapsed="false">
      <c r="A589" s="3" t="n">
        <v>45879</v>
      </c>
      <c r="B589" s="4" t="n">
        <f aca="false">YEAR($A589)</f>
        <v>2025</v>
      </c>
      <c r="C589" s="4" t="n">
        <f aca="false">MONTH($A589)</f>
        <v>8</v>
      </c>
      <c r="D589" s="4" t="str">
        <f aca="false">TEXT($A589,"ddd")</f>
        <v>Sun</v>
      </c>
      <c r="E589" s="4" t="n">
        <f aca="false">IF(OR(AND(MONTH($A589)=10,DAY($A589)&gt;=15),MONTH($A589)=11,AND(MONTH($A589)=12,DAY($A589)&lt;=7)),1,0)</f>
        <v>0</v>
      </c>
      <c r="F589" s="4" t="n">
        <f aca="false">IF(MONTH($A589)&lt;=3,1,0)</f>
        <v>0</v>
      </c>
      <c r="G589" s="4" t="str">
        <f aca="false" t="array" ref="G589:G589">_xlfn.TEXTJOIN(" | ",TRUE(),IF('FEMA Disasters'!$F$2:$F$1000=$A589,'FEMA Disasters'!$D$2:$D$1000&amp;" begin: ["&amp;'FEMA Disasters'!$B$2:$B$1000&amp;"] "&amp;'FEMA Disasters'!$C$2:$C$1000&amp;"-"&amp;'FEMA Disasters'!$A$2:$A$1000,""),IF('FEMA Disasters'!$G$2:$G$1000=$A589,'FEMA Disasters'!$D$2:$D$1000&amp;" ended: ["&amp;'FEMA Disasters'!$B$2:$B$1000&amp;"] "&amp;'FEMA Disasters'!$C$2:$C$1000&amp;"-"&amp;'FEMA Disasters'!$A$2:$A$1000,""),IF('FEMA Disasters'!$K$2:$K$1000=$A589,"Disaster SEP opens: "&amp;'FEMA Disasters'!$D$2:$D$1000&amp;" ["&amp;'FEMA Disasters'!$B$2:$B$1000&amp;"] "&amp;'FEMA Disasters'!$C$2:$C$1000&amp;"-"&amp;'FEMA Disasters'!$A$2:$A$1000,""),IF('FEMA Disasters'!$L$2:$L$1000=$A589,"Disaster SEP ended: "&amp;'FEMA Disasters'!$D$2:$D$1000&amp;" ["&amp;'FEMA Disasters'!$B$2:$B$1000&amp;"] "&amp;'FEMA Disasters'!$C$2:$C$1000&amp;"-"&amp;'FEMA Disasters'!$A$2:$A$1000,""))</f>
        <v>Fire begin: [CO] FM-5606 | Severe Storm ended: [NE] DR-4896</v>
      </c>
      <c r="H589" s="4" t="n">
        <f aca="false">COUNTIF(Events!$A$2:$A$397,$A589)</f>
        <v>0</v>
      </c>
      <c r="I589" s="6" t="str">
        <f aca="false" t="array" ref="I589:I589">_xlfn.TEXTJOIN(" | ",TRUE(),IF(Events!$A$2:$A$397=$A589,Events!$E$2:$E$397&amp;IF(Events!$G$2:$G$397="National",""," ["&amp;Events!$G$2:$G$397&amp;"]"),""))</f>
        <v/>
      </c>
    </row>
    <row r="590" customFormat="false" ht="15" hidden="false" customHeight="true" outlineLevel="0" collapsed="false">
      <c r="A590" s="3" t="n">
        <v>45880</v>
      </c>
      <c r="B590" s="4" t="n">
        <f aca="false">YEAR($A590)</f>
        <v>2025</v>
      </c>
      <c r="C590" s="4" t="n">
        <f aca="false">MONTH($A590)</f>
        <v>8</v>
      </c>
      <c r="D590" s="4" t="str">
        <f aca="false">TEXT($A590,"ddd")</f>
        <v>Mon</v>
      </c>
      <c r="E590" s="4" t="n">
        <f aca="false">IF(OR(AND(MONTH($A590)=10,DAY($A590)&gt;=15),MONTH($A590)=11,AND(MONTH($A590)=12,DAY($A590)&lt;=7)),1,0)</f>
        <v>0</v>
      </c>
      <c r="F590" s="4" t="n">
        <f aca="false">IF(MONTH($A590)&lt;=3,1,0)</f>
        <v>0</v>
      </c>
      <c r="G590" s="4" t="str">
        <f aca="false" t="array" ref="G590:G590">_xlfn.TEXTJOIN(" | ",TRUE(),IF('FEMA Disasters'!$F$2:$F$1000=$A590,'FEMA Disasters'!$D$2:$D$1000&amp;" begin: ["&amp;'FEMA Disasters'!$B$2:$B$1000&amp;"] "&amp;'FEMA Disasters'!$C$2:$C$1000&amp;"-"&amp;'FEMA Disasters'!$A$2:$A$1000,""),IF('FEMA Disasters'!$G$2:$G$1000=$A590,'FEMA Disasters'!$D$2:$D$1000&amp;" ended: ["&amp;'FEMA Disasters'!$B$2:$B$1000&amp;"] "&amp;'FEMA Disasters'!$C$2:$C$1000&amp;"-"&amp;'FEMA Disasters'!$A$2:$A$1000,""),IF('FEMA Disasters'!$K$2:$K$1000=$A590,"Disaster SEP opens: "&amp;'FEMA Disasters'!$D$2:$D$1000&amp;" ["&amp;'FEMA Disasters'!$B$2:$B$1000&amp;"] "&amp;'FEMA Disasters'!$C$2:$C$1000&amp;"-"&amp;'FEMA Disasters'!$A$2:$A$1000,""),IF('FEMA Disasters'!$L$2:$L$1000=$A590,"Disaster SEP ended: "&amp;'FEMA Disasters'!$D$2:$D$1000&amp;" ["&amp;'FEMA Disasters'!$B$2:$B$1000&amp;"] "&amp;'FEMA Disasters'!$C$2:$C$1000&amp;"-"&amp;'FEMA Disasters'!$A$2:$A$1000,""))</f>
        <v>Fire ended: [UT] FM-5598</v>
      </c>
      <c r="H590" s="4" t="n">
        <f aca="false">COUNTIF(Events!$A$2:$A$397,$A590)</f>
        <v>0</v>
      </c>
      <c r="I590" s="6" t="str">
        <f aca="false" t="array" ref="I590:I590">_xlfn.TEXTJOIN(" | ",TRUE(),IF(Events!$A$2:$A$397=$A590,Events!$E$2:$E$397&amp;IF(Events!$G$2:$G$397="National",""," ["&amp;Events!$G$2:$G$397&amp;"]"),""))</f>
        <v/>
      </c>
    </row>
    <row r="591" customFormat="false" ht="15" hidden="false" customHeight="true" outlineLevel="0" collapsed="false">
      <c r="A591" s="3" t="n">
        <v>45881</v>
      </c>
      <c r="B591" s="4" t="n">
        <f aca="false">YEAR($A591)</f>
        <v>2025</v>
      </c>
      <c r="C591" s="4" t="n">
        <f aca="false">MONTH($A591)</f>
        <v>8</v>
      </c>
      <c r="D591" s="4" t="str">
        <f aca="false">TEXT($A591,"ddd")</f>
        <v>Tue</v>
      </c>
      <c r="E591" s="4" t="n">
        <f aca="false">IF(OR(AND(MONTH($A591)=10,DAY($A591)&gt;=15),MONTH($A591)=11,AND(MONTH($A591)=12,DAY($A591)&lt;=7)),1,0)</f>
        <v>0</v>
      </c>
      <c r="F591" s="4" t="n">
        <f aca="false">IF(MONTH($A591)&lt;=3,1,0)</f>
        <v>0</v>
      </c>
      <c r="G591" s="4" t="str">
        <f aca="false" t="array" ref="G591:G591">_xlfn.TEXTJOIN(" | ",TRUE(),IF('FEMA Disasters'!$F$2:$F$1000=$A591,'FEMA Disasters'!$D$2:$D$1000&amp;" begin: ["&amp;'FEMA Disasters'!$B$2:$B$1000&amp;"] "&amp;'FEMA Disasters'!$C$2:$C$1000&amp;"-"&amp;'FEMA Disasters'!$A$2:$A$1000,""),IF('FEMA Disasters'!$G$2:$G$1000=$A591,'FEMA Disasters'!$D$2:$D$1000&amp;" ended: ["&amp;'FEMA Disasters'!$B$2:$B$1000&amp;"] "&amp;'FEMA Disasters'!$C$2:$C$1000&amp;"-"&amp;'FEMA Disasters'!$A$2:$A$1000,""),IF('FEMA Disasters'!$K$2:$K$1000=$A591,"Disaster SEP opens: "&amp;'FEMA Disasters'!$D$2:$D$1000&amp;" ["&amp;'FEMA Disasters'!$B$2:$B$1000&amp;"] "&amp;'FEMA Disasters'!$C$2:$C$1000&amp;"-"&amp;'FEMA Disasters'!$A$2:$A$1000,""),IF('FEMA Disasters'!$L$2:$L$1000=$A591,"Disaster SEP ended: "&amp;'FEMA Disasters'!$D$2:$D$1000&amp;" ["&amp;'FEMA Disasters'!$B$2:$B$1000&amp;"] "&amp;'FEMA Disasters'!$C$2:$C$1000&amp;"-"&amp;'FEMA Disasters'!$A$2:$A$1000,""))</f>
        <v>Flood ended: [WI] DR-4892</v>
      </c>
      <c r="H591" s="4" t="n">
        <f aca="false">COUNTIF(Events!$A$2:$A$397,$A591)</f>
        <v>0</v>
      </c>
      <c r="I591" s="6" t="str">
        <f aca="false" t="array" ref="I591:I591">_xlfn.TEXTJOIN(" | ",TRUE(),IF(Events!$A$2:$A$397=$A591,Events!$E$2:$E$397&amp;IF(Events!$G$2:$G$397="National",""," ["&amp;Events!$G$2:$G$397&amp;"]"),""))</f>
        <v/>
      </c>
    </row>
    <row r="592" customFormat="false" ht="15" hidden="false" customHeight="true" outlineLevel="0" collapsed="false">
      <c r="A592" s="3" t="n">
        <v>45882</v>
      </c>
      <c r="B592" s="4" t="n">
        <f aca="false">YEAR($A592)</f>
        <v>2025</v>
      </c>
      <c r="C592" s="4" t="n">
        <f aca="false">MONTH($A592)</f>
        <v>8</v>
      </c>
      <c r="D592" s="4" t="str">
        <f aca="false">TEXT($A592,"ddd")</f>
        <v>Wed</v>
      </c>
      <c r="E592" s="4" t="n">
        <f aca="false">IF(OR(AND(MONTH($A592)=10,DAY($A592)&gt;=15),MONTH($A592)=11,AND(MONTH($A592)=12,DAY($A592)&lt;=7)),1,0)</f>
        <v>0</v>
      </c>
      <c r="F592" s="4" t="n">
        <f aca="false">IF(MONTH($A592)&lt;=3,1,0)</f>
        <v>0</v>
      </c>
      <c r="G592" s="4" t="str">
        <f aca="false" t="array" ref="G592:G592">_xlfn.TEXTJOIN(" | ",TRUE(),IF('FEMA Disasters'!$F$2:$F$1000=$A592,'FEMA Disasters'!$D$2:$D$1000&amp;" begin: ["&amp;'FEMA Disasters'!$B$2:$B$1000&amp;"] "&amp;'FEMA Disasters'!$C$2:$C$1000&amp;"-"&amp;'FEMA Disasters'!$A$2:$A$1000,""),IF('FEMA Disasters'!$G$2:$G$1000=$A592,'FEMA Disasters'!$D$2:$D$1000&amp;" ended: ["&amp;'FEMA Disasters'!$B$2:$B$1000&amp;"] "&amp;'FEMA Disasters'!$C$2:$C$1000&amp;"-"&amp;'FEMA Disasters'!$A$2:$A$1000,""),IF('FEMA Disasters'!$K$2:$K$1000=$A592,"Disaster SEP opens: "&amp;'FEMA Disasters'!$D$2:$D$1000&amp;" ["&amp;'FEMA Disasters'!$B$2:$B$1000&amp;"] "&amp;'FEMA Disasters'!$C$2:$C$1000&amp;"-"&amp;'FEMA Disasters'!$A$2:$A$1000,""),IF('FEMA Disasters'!$L$2:$L$1000=$A592,"Disaster SEP ended: "&amp;'FEMA Disasters'!$D$2:$D$1000&amp;" ["&amp;'FEMA Disasters'!$B$2:$B$1000&amp;"] "&amp;'FEMA Disasters'!$C$2:$C$1000&amp;"-"&amp;'FEMA Disasters'!$A$2:$A$1000,""))</f>
        <v/>
      </c>
      <c r="H592" s="4" t="n">
        <f aca="false">COUNTIF(Events!$A$2:$A$397,$A592)</f>
        <v>0</v>
      </c>
      <c r="I592" s="6" t="str">
        <f aca="false" t="array" ref="I592:I592">_xlfn.TEXTJOIN(" | ",TRUE(),IF(Events!$A$2:$A$397=$A592,Events!$E$2:$E$397&amp;IF(Events!$G$2:$G$397="National",""," ["&amp;Events!$G$2:$G$397&amp;"]"),""))</f>
        <v/>
      </c>
    </row>
    <row r="593" customFormat="false" ht="15" hidden="false" customHeight="true" outlineLevel="0" collapsed="false">
      <c r="A593" s="3" t="n">
        <v>45883</v>
      </c>
      <c r="B593" s="4" t="n">
        <f aca="false">YEAR($A593)</f>
        <v>2025</v>
      </c>
      <c r="C593" s="4" t="n">
        <f aca="false">MONTH($A593)</f>
        <v>8</v>
      </c>
      <c r="D593" s="4" t="str">
        <f aca="false">TEXT($A593,"ddd")</f>
        <v>Thu</v>
      </c>
      <c r="E593" s="4" t="n">
        <f aca="false">IF(OR(AND(MONTH($A593)=10,DAY($A593)&gt;=15),MONTH($A593)=11,AND(MONTH($A593)=12,DAY($A593)&lt;=7)),1,0)</f>
        <v>0</v>
      </c>
      <c r="F593" s="4" t="n">
        <f aca="false">IF(MONTH($A593)&lt;=3,1,0)</f>
        <v>0</v>
      </c>
      <c r="G593" s="4" t="str">
        <f aca="false" t="array" ref="G593:G593">_xlfn.TEXTJOIN(" | ",TRUE(),IF('FEMA Disasters'!$F$2:$F$1000=$A593,'FEMA Disasters'!$D$2:$D$1000&amp;" begin: ["&amp;'FEMA Disasters'!$B$2:$B$1000&amp;"] "&amp;'FEMA Disasters'!$C$2:$C$1000&amp;"-"&amp;'FEMA Disasters'!$A$2:$A$1000,""),IF('FEMA Disasters'!$G$2:$G$1000=$A593,'FEMA Disasters'!$D$2:$D$1000&amp;" ended: ["&amp;'FEMA Disasters'!$B$2:$B$1000&amp;"] "&amp;'FEMA Disasters'!$C$2:$C$1000&amp;"-"&amp;'FEMA Disasters'!$A$2:$A$1000,""),IF('FEMA Disasters'!$K$2:$K$1000=$A593,"Disaster SEP opens: "&amp;'FEMA Disasters'!$D$2:$D$1000&amp;" ["&amp;'FEMA Disasters'!$B$2:$B$1000&amp;"] "&amp;'FEMA Disasters'!$C$2:$C$1000&amp;"-"&amp;'FEMA Disasters'!$A$2:$A$1000,""),IF('FEMA Disasters'!$L$2:$L$1000=$A593,"Disaster SEP ended: "&amp;'FEMA Disasters'!$D$2:$D$1000&amp;" ["&amp;'FEMA Disasters'!$B$2:$B$1000&amp;"] "&amp;'FEMA Disasters'!$C$2:$C$1000&amp;"-"&amp;'FEMA Disasters'!$A$2:$A$1000,""))</f>
        <v>Fire begin: [ID] FM-5607</v>
      </c>
      <c r="H593" s="4" t="n">
        <f aca="false">COUNTIF(Events!$A$2:$A$397,$A593)</f>
        <v>0</v>
      </c>
      <c r="I593" s="6" t="str">
        <f aca="false" t="array" ref="I593:I593">_xlfn.TEXTJOIN(" | ",TRUE(),IF(Events!$A$2:$A$397=$A593,Events!$E$2:$E$397&amp;IF(Events!$G$2:$G$397="National",""," ["&amp;Events!$G$2:$G$397&amp;"]"),""))</f>
        <v/>
      </c>
    </row>
    <row r="594" customFormat="false" ht="15" hidden="false" customHeight="true" outlineLevel="0" collapsed="false">
      <c r="A594" s="3" t="n">
        <v>45884</v>
      </c>
      <c r="B594" s="4" t="n">
        <f aca="false">YEAR($A594)</f>
        <v>2025</v>
      </c>
      <c r="C594" s="4" t="n">
        <f aca="false">MONTH($A594)</f>
        <v>8</v>
      </c>
      <c r="D594" s="4" t="str">
        <f aca="false">TEXT($A594,"ddd")</f>
        <v>Fri</v>
      </c>
      <c r="E594" s="4" t="n">
        <f aca="false">IF(OR(AND(MONTH($A594)=10,DAY($A594)&gt;=15),MONTH($A594)=11,AND(MONTH($A594)=12,DAY($A594)&lt;=7)),1,0)</f>
        <v>0</v>
      </c>
      <c r="F594" s="4" t="n">
        <f aca="false">IF(MONTH($A594)&lt;=3,1,0)</f>
        <v>0</v>
      </c>
      <c r="G594" s="4" t="str">
        <f aca="false" t="array" ref="G594:G594">_xlfn.TEXTJOIN(" | ",TRUE(),IF('FEMA Disasters'!$F$2:$F$1000=$A594,'FEMA Disasters'!$D$2:$D$1000&amp;" begin: ["&amp;'FEMA Disasters'!$B$2:$B$1000&amp;"] "&amp;'FEMA Disasters'!$C$2:$C$1000&amp;"-"&amp;'FEMA Disasters'!$A$2:$A$1000,""),IF('FEMA Disasters'!$G$2:$G$1000=$A594,'FEMA Disasters'!$D$2:$D$1000&amp;" ended: ["&amp;'FEMA Disasters'!$B$2:$B$1000&amp;"] "&amp;'FEMA Disasters'!$C$2:$C$1000&amp;"-"&amp;'FEMA Disasters'!$A$2:$A$1000,""),IF('FEMA Disasters'!$K$2:$K$1000=$A594,"Disaster SEP opens: "&amp;'FEMA Disasters'!$D$2:$D$1000&amp;" ["&amp;'FEMA Disasters'!$B$2:$B$1000&amp;"] "&amp;'FEMA Disasters'!$C$2:$C$1000&amp;"-"&amp;'FEMA Disasters'!$A$2:$A$1000,""),IF('FEMA Disasters'!$L$2:$L$1000=$A594,"Disaster SEP ended: "&amp;'FEMA Disasters'!$D$2:$D$1000&amp;" ["&amp;'FEMA Disasters'!$B$2:$B$1000&amp;"] "&amp;'FEMA Disasters'!$C$2:$C$1000&amp;"-"&amp;'FEMA Disasters'!$A$2:$A$1000,""))</f>
        <v>Fire begin: [WY] FM-5608</v>
      </c>
      <c r="H594" s="4" t="n">
        <f aca="false">COUNTIF(Events!$A$2:$A$397,$A594)</f>
        <v>0</v>
      </c>
      <c r="I594" s="6" t="str">
        <f aca="false" t="array" ref="I594:I594">_xlfn.TEXTJOIN(" | ",TRUE(),IF(Events!$A$2:$A$397=$A594,Events!$E$2:$E$397&amp;IF(Events!$G$2:$G$397="National",""," ["&amp;Events!$G$2:$G$397&amp;"]"),""))</f>
        <v/>
      </c>
    </row>
    <row r="595" customFormat="false" ht="15" hidden="false" customHeight="true" outlineLevel="0" collapsed="false">
      <c r="A595" s="3" t="n">
        <v>45885</v>
      </c>
      <c r="B595" s="4" t="n">
        <f aca="false">YEAR($A595)</f>
        <v>2025</v>
      </c>
      <c r="C595" s="4" t="n">
        <f aca="false">MONTH($A595)</f>
        <v>8</v>
      </c>
      <c r="D595" s="4" t="str">
        <f aca="false">TEXT($A595,"ddd")</f>
        <v>Sat</v>
      </c>
      <c r="E595" s="4" t="n">
        <f aca="false">IF(OR(AND(MONTH($A595)=10,DAY($A595)&gt;=15),MONTH($A595)=11,AND(MONTH($A595)=12,DAY($A595)&lt;=7)),1,0)</f>
        <v>0</v>
      </c>
      <c r="F595" s="4" t="n">
        <f aca="false">IF(MONTH($A595)&lt;=3,1,0)</f>
        <v>0</v>
      </c>
      <c r="G595" s="4" t="str">
        <f aca="false" t="array" ref="G595:G595">_xlfn.TEXTJOIN(" | ",TRUE(),IF('FEMA Disasters'!$F$2:$F$1000=$A595,'FEMA Disasters'!$D$2:$D$1000&amp;" begin: ["&amp;'FEMA Disasters'!$B$2:$B$1000&amp;"] "&amp;'FEMA Disasters'!$C$2:$C$1000&amp;"-"&amp;'FEMA Disasters'!$A$2:$A$1000,""),IF('FEMA Disasters'!$G$2:$G$1000=$A595,'FEMA Disasters'!$D$2:$D$1000&amp;" ended: ["&amp;'FEMA Disasters'!$B$2:$B$1000&amp;"] "&amp;'FEMA Disasters'!$C$2:$C$1000&amp;"-"&amp;'FEMA Disasters'!$A$2:$A$1000,""),IF('FEMA Disasters'!$K$2:$K$1000=$A595,"Disaster SEP opens: "&amp;'FEMA Disasters'!$D$2:$D$1000&amp;" ["&amp;'FEMA Disasters'!$B$2:$B$1000&amp;"] "&amp;'FEMA Disasters'!$C$2:$C$1000&amp;"-"&amp;'FEMA Disasters'!$A$2:$A$1000,""),IF('FEMA Disasters'!$L$2:$L$1000=$A595,"Disaster SEP ended: "&amp;'FEMA Disasters'!$D$2:$D$1000&amp;" ["&amp;'FEMA Disasters'!$B$2:$B$1000&amp;"] "&amp;'FEMA Disasters'!$C$2:$C$1000&amp;"-"&amp;'FEMA Disasters'!$A$2:$A$1000,""))</f>
        <v/>
      </c>
      <c r="H595" s="4" t="n">
        <f aca="false">COUNTIF(Events!$A$2:$A$397,$A595)</f>
        <v>0</v>
      </c>
      <c r="I595" s="6" t="str">
        <f aca="false" t="array" ref="I595:I595">_xlfn.TEXTJOIN(" | ",TRUE(),IF(Events!$A$2:$A$397=$A595,Events!$E$2:$E$397&amp;IF(Events!$G$2:$G$397="National",""," ["&amp;Events!$G$2:$G$397&amp;"]"),""))</f>
        <v/>
      </c>
    </row>
    <row r="596" customFormat="false" ht="15" hidden="false" customHeight="true" outlineLevel="0" collapsed="false">
      <c r="A596" s="3" t="n">
        <v>45886</v>
      </c>
      <c r="B596" s="4" t="n">
        <f aca="false">YEAR($A596)</f>
        <v>2025</v>
      </c>
      <c r="C596" s="4" t="n">
        <f aca="false">MONTH($A596)</f>
        <v>8</v>
      </c>
      <c r="D596" s="4" t="str">
        <f aca="false">TEXT($A596,"ddd")</f>
        <v>Sun</v>
      </c>
      <c r="E596" s="4" t="n">
        <f aca="false">IF(OR(AND(MONTH($A596)=10,DAY($A596)&gt;=15),MONTH($A596)=11,AND(MONTH($A596)=12,DAY($A596)&lt;=7)),1,0)</f>
        <v>0</v>
      </c>
      <c r="F596" s="4" t="n">
        <f aca="false">IF(MONTH($A596)&lt;=3,1,0)</f>
        <v>0</v>
      </c>
      <c r="G596" s="4" t="str">
        <f aca="false" t="array" ref="G596:G596">_xlfn.TEXTJOIN(" | ",TRUE(),IF('FEMA Disasters'!$F$2:$F$1000=$A596,'FEMA Disasters'!$D$2:$D$1000&amp;" begin: ["&amp;'FEMA Disasters'!$B$2:$B$1000&amp;"] "&amp;'FEMA Disasters'!$C$2:$C$1000&amp;"-"&amp;'FEMA Disasters'!$A$2:$A$1000,""),IF('FEMA Disasters'!$G$2:$G$1000=$A596,'FEMA Disasters'!$D$2:$D$1000&amp;" ended: ["&amp;'FEMA Disasters'!$B$2:$B$1000&amp;"] "&amp;'FEMA Disasters'!$C$2:$C$1000&amp;"-"&amp;'FEMA Disasters'!$A$2:$A$1000,""),IF('FEMA Disasters'!$K$2:$K$1000=$A596,"Disaster SEP opens: "&amp;'FEMA Disasters'!$D$2:$D$1000&amp;" ["&amp;'FEMA Disasters'!$B$2:$B$1000&amp;"] "&amp;'FEMA Disasters'!$C$2:$C$1000&amp;"-"&amp;'FEMA Disasters'!$A$2:$A$1000,""),IF('FEMA Disasters'!$L$2:$L$1000=$A596,"Disaster SEP ended: "&amp;'FEMA Disasters'!$D$2:$D$1000&amp;" ["&amp;'FEMA Disasters'!$B$2:$B$1000&amp;"] "&amp;'FEMA Disasters'!$C$2:$C$1000&amp;"-"&amp;'FEMA Disasters'!$A$2:$A$1000,""))</f>
        <v/>
      </c>
      <c r="H596" s="4" t="n">
        <f aca="false">COUNTIF(Events!$A$2:$A$397,$A596)</f>
        <v>0</v>
      </c>
      <c r="I596" s="6" t="str">
        <f aca="false" t="array" ref="I596:I596">_xlfn.TEXTJOIN(" | ",TRUE(),IF(Events!$A$2:$A$397=$A596,Events!$E$2:$E$397&amp;IF(Events!$G$2:$G$397="National",""," ["&amp;Events!$G$2:$G$397&amp;"]"),""))</f>
        <v/>
      </c>
    </row>
    <row r="597" customFormat="false" ht="15" hidden="false" customHeight="true" outlineLevel="0" collapsed="false">
      <c r="A597" s="3" t="n">
        <v>45887</v>
      </c>
      <c r="B597" s="4" t="n">
        <f aca="false">YEAR($A597)</f>
        <v>2025</v>
      </c>
      <c r="C597" s="4" t="n">
        <f aca="false">MONTH($A597)</f>
        <v>8</v>
      </c>
      <c r="D597" s="4" t="str">
        <f aca="false">TEXT($A597,"ddd")</f>
        <v>Mon</v>
      </c>
      <c r="E597" s="4" t="n">
        <f aca="false">IF(OR(AND(MONTH($A597)=10,DAY($A597)&gt;=15),MONTH($A597)=11,AND(MONTH($A597)=12,DAY($A597)&lt;=7)),1,0)</f>
        <v>0</v>
      </c>
      <c r="F597" s="4" t="n">
        <f aca="false">IF(MONTH($A597)&lt;=3,1,0)</f>
        <v>0</v>
      </c>
      <c r="G597" s="4" t="str">
        <f aca="false" t="array" ref="G597:G597">_xlfn.TEXTJOIN(" | ",TRUE(),IF('FEMA Disasters'!$F$2:$F$1000=$A597,'FEMA Disasters'!$D$2:$D$1000&amp;" begin: ["&amp;'FEMA Disasters'!$B$2:$B$1000&amp;"] "&amp;'FEMA Disasters'!$C$2:$C$1000&amp;"-"&amp;'FEMA Disasters'!$A$2:$A$1000,""),IF('FEMA Disasters'!$G$2:$G$1000=$A597,'FEMA Disasters'!$D$2:$D$1000&amp;" ended: ["&amp;'FEMA Disasters'!$B$2:$B$1000&amp;"] "&amp;'FEMA Disasters'!$C$2:$C$1000&amp;"-"&amp;'FEMA Disasters'!$A$2:$A$1000,""),IF('FEMA Disasters'!$K$2:$K$1000=$A597,"Disaster SEP opens: "&amp;'FEMA Disasters'!$D$2:$D$1000&amp;" ["&amp;'FEMA Disasters'!$B$2:$B$1000&amp;"] "&amp;'FEMA Disasters'!$C$2:$C$1000&amp;"-"&amp;'FEMA Disasters'!$A$2:$A$1000,""),IF('FEMA Disasters'!$L$2:$L$1000=$A597,"Disaster SEP ended: "&amp;'FEMA Disasters'!$D$2:$D$1000&amp;" ["&amp;'FEMA Disasters'!$B$2:$B$1000&amp;"] "&amp;'FEMA Disasters'!$C$2:$C$1000&amp;"-"&amp;'FEMA Disasters'!$A$2:$A$1000,""))</f>
        <v/>
      </c>
      <c r="H597" s="4" t="n">
        <f aca="false">COUNTIF(Events!$A$2:$A$397,$A597)</f>
        <v>1</v>
      </c>
      <c r="I597" s="6" t="str">
        <f aca="false" t="array" ref="I597:I597">_xlfn.TEXTJOIN(" | ",TRUE(),IF(Events!$A$2:$A$397=$A597,Events!$E$2:$E$397&amp;IF(Events!$G$2:$G$397="National",""," ["&amp;Events!$G$2:$G$397&amp;"]"),""))</f>
        <v>N.D. Tex. vacates the CY2025 rule's fixed-fee and FMO contract-terms provisions outright (upholds the beneficiary data-consent restriction) - broker-compensation reform dead, not just paused, heading into AEP 2026 (ruling week of 8/18/2025)</v>
      </c>
    </row>
    <row r="598" customFormat="false" ht="15" hidden="false" customHeight="true" outlineLevel="0" collapsed="false">
      <c r="A598" s="3" t="n">
        <v>45888</v>
      </c>
      <c r="B598" s="4" t="n">
        <f aca="false">YEAR($A598)</f>
        <v>2025</v>
      </c>
      <c r="C598" s="4" t="n">
        <f aca="false">MONTH($A598)</f>
        <v>8</v>
      </c>
      <c r="D598" s="4" t="str">
        <f aca="false">TEXT($A598,"ddd")</f>
        <v>Tue</v>
      </c>
      <c r="E598" s="4" t="n">
        <f aca="false">IF(OR(AND(MONTH($A598)=10,DAY($A598)&gt;=15),MONTH($A598)=11,AND(MONTH($A598)=12,DAY($A598)&lt;=7)),1,0)</f>
        <v>0</v>
      </c>
      <c r="F598" s="4" t="n">
        <f aca="false">IF(MONTH($A598)&lt;=3,1,0)</f>
        <v>0</v>
      </c>
      <c r="G598" s="4" t="str">
        <f aca="false" t="array" ref="G598:G598">_xlfn.TEXTJOIN(" | ",TRUE(),IF('FEMA Disasters'!$F$2:$F$1000=$A598,'FEMA Disasters'!$D$2:$D$1000&amp;" begin: ["&amp;'FEMA Disasters'!$B$2:$B$1000&amp;"] "&amp;'FEMA Disasters'!$C$2:$C$1000&amp;"-"&amp;'FEMA Disasters'!$A$2:$A$1000,""),IF('FEMA Disasters'!$G$2:$G$1000=$A598,'FEMA Disasters'!$D$2:$D$1000&amp;" ended: ["&amp;'FEMA Disasters'!$B$2:$B$1000&amp;"] "&amp;'FEMA Disasters'!$C$2:$C$1000&amp;"-"&amp;'FEMA Disasters'!$A$2:$A$1000,""),IF('FEMA Disasters'!$K$2:$K$1000=$A598,"Disaster SEP opens: "&amp;'FEMA Disasters'!$D$2:$D$1000&amp;" ["&amp;'FEMA Disasters'!$B$2:$B$1000&amp;"] "&amp;'FEMA Disasters'!$C$2:$C$1000&amp;"-"&amp;'FEMA Disasters'!$A$2:$A$1000,""),IF('FEMA Disasters'!$L$2:$L$1000=$A598,"Disaster SEP ended: "&amp;'FEMA Disasters'!$D$2:$D$1000&amp;" ["&amp;'FEMA Disasters'!$B$2:$B$1000&amp;"] "&amp;'FEMA Disasters'!$C$2:$C$1000&amp;"-"&amp;'FEMA Disasters'!$A$2:$A$1000,""))</f>
        <v>Fire begin: [HI] FM-5609</v>
      </c>
      <c r="H598" s="4" t="n">
        <f aca="false">COUNTIF(Events!$A$2:$A$397,$A598)</f>
        <v>0</v>
      </c>
      <c r="I598" s="6" t="str">
        <f aca="false" t="array" ref="I598:I598">_xlfn.TEXTJOIN(" | ",TRUE(),IF(Events!$A$2:$A$397=$A598,Events!$E$2:$E$397&amp;IF(Events!$G$2:$G$397="National",""," ["&amp;Events!$G$2:$G$397&amp;"]"),""))</f>
        <v/>
      </c>
    </row>
    <row r="599" customFormat="false" ht="15" hidden="false" customHeight="true" outlineLevel="0" collapsed="false">
      <c r="A599" s="3" t="n">
        <v>45889</v>
      </c>
      <c r="B599" s="4" t="n">
        <f aca="false">YEAR($A599)</f>
        <v>2025</v>
      </c>
      <c r="C599" s="4" t="n">
        <f aca="false">MONTH($A599)</f>
        <v>8</v>
      </c>
      <c r="D599" s="4" t="str">
        <f aca="false">TEXT($A599,"ddd")</f>
        <v>Wed</v>
      </c>
      <c r="E599" s="4" t="n">
        <f aca="false">IF(OR(AND(MONTH($A599)=10,DAY($A599)&gt;=15),MONTH($A599)=11,AND(MONTH($A599)=12,DAY($A599)&lt;=7)),1,0)</f>
        <v>0</v>
      </c>
      <c r="F599" s="4" t="n">
        <f aca="false">IF(MONTH($A599)&lt;=3,1,0)</f>
        <v>0</v>
      </c>
      <c r="G599" s="4" t="str">
        <f aca="false" t="array" ref="G599:G599">_xlfn.TEXTJOIN(" | ",TRUE(),IF('FEMA Disasters'!$F$2:$F$1000=$A599,'FEMA Disasters'!$D$2:$D$1000&amp;" begin: ["&amp;'FEMA Disasters'!$B$2:$B$1000&amp;"] "&amp;'FEMA Disasters'!$C$2:$C$1000&amp;"-"&amp;'FEMA Disasters'!$A$2:$A$1000,""),IF('FEMA Disasters'!$G$2:$G$1000=$A599,'FEMA Disasters'!$D$2:$D$1000&amp;" ended: ["&amp;'FEMA Disasters'!$B$2:$B$1000&amp;"] "&amp;'FEMA Disasters'!$C$2:$C$1000&amp;"-"&amp;'FEMA Disasters'!$A$2:$A$1000,""),IF('FEMA Disasters'!$K$2:$K$1000=$A599,"Disaster SEP opens: "&amp;'FEMA Disasters'!$D$2:$D$1000&amp;" ["&amp;'FEMA Disasters'!$B$2:$B$1000&amp;"] "&amp;'FEMA Disasters'!$C$2:$C$1000&amp;"-"&amp;'FEMA Disasters'!$A$2:$A$1000,""),IF('FEMA Disasters'!$L$2:$L$1000=$A599,"Disaster SEP ended: "&amp;'FEMA Disasters'!$D$2:$D$1000&amp;" ["&amp;'FEMA Disasters'!$B$2:$B$1000&amp;"] "&amp;'FEMA Disasters'!$C$2:$C$1000&amp;"-"&amp;'FEMA Disasters'!$A$2:$A$1000,""))</f>
        <v/>
      </c>
      <c r="H599" s="4" t="n">
        <f aca="false">COUNTIF(Events!$A$2:$A$397,$A599)</f>
        <v>0</v>
      </c>
      <c r="I599" s="6" t="str">
        <f aca="false" t="array" ref="I599:I599">_xlfn.TEXTJOIN(" | ",TRUE(),IF(Events!$A$2:$A$397=$A599,Events!$E$2:$E$397&amp;IF(Events!$G$2:$G$397="National",""," ["&amp;Events!$G$2:$G$397&amp;"]"),""))</f>
        <v/>
      </c>
    </row>
    <row r="600" customFormat="false" ht="15" hidden="false" customHeight="true" outlineLevel="0" collapsed="false">
      <c r="A600" s="3" t="n">
        <v>45890</v>
      </c>
      <c r="B600" s="4" t="n">
        <f aca="false">YEAR($A600)</f>
        <v>2025</v>
      </c>
      <c r="C600" s="4" t="n">
        <f aca="false">MONTH($A600)</f>
        <v>8</v>
      </c>
      <c r="D600" s="4" t="str">
        <f aca="false">TEXT($A600,"ddd")</f>
        <v>Thu</v>
      </c>
      <c r="E600" s="4" t="n">
        <f aca="false">IF(OR(AND(MONTH($A600)=10,DAY($A600)&gt;=15),MONTH($A600)=11,AND(MONTH($A600)=12,DAY($A600)&lt;=7)),1,0)</f>
        <v>0</v>
      </c>
      <c r="F600" s="4" t="n">
        <f aca="false">IF(MONTH($A600)&lt;=3,1,0)</f>
        <v>0</v>
      </c>
      <c r="G600" s="4" t="str">
        <f aca="false" t="array" ref="G600:G600">_xlfn.TEXTJOIN(" | ",TRUE(),IF('FEMA Disasters'!$F$2:$F$1000=$A600,'FEMA Disasters'!$D$2:$D$1000&amp;" begin: ["&amp;'FEMA Disasters'!$B$2:$B$1000&amp;"] "&amp;'FEMA Disasters'!$C$2:$C$1000&amp;"-"&amp;'FEMA Disasters'!$A$2:$A$1000,""),IF('FEMA Disasters'!$G$2:$G$1000=$A600,'FEMA Disasters'!$D$2:$D$1000&amp;" ended: ["&amp;'FEMA Disasters'!$B$2:$B$1000&amp;"] "&amp;'FEMA Disasters'!$C$2:$C$1000&amp;"-"&amp;'FEMA Disasters'!$A$2:$A$1000,""),IF('FEMA Disasters'!$K$2:$K$1000=$A600,"Disaster SEP opens: "&amp;'FEMA Disasters'!$D$2:$D$1000&amp;" ["&amp;'FEMA Disasters'!$B$2:$B$1000&amp;"] "&amp;'FEMA Disasters'!$C$2:$C$1000&amp;"-"&amp;'FEMA Disasters'!$A$2:$A$1000,""),IF('FEMA Disasters'!$L$2:$L$1000=$A600,"Disaster SEP ended: "&amp;'FEMA Disasters'!$D$2:$D$1000&amp;" ["&amp;'FEMA Disasters'!$B$2:$B$1000&amp;"] "&amp;'FEMA Disasters'!$C$2:$C$1000&amp;"-"&amp;'FEMA Disasters'!$A$2:$A$1000,""))</f>
        <v/>
      </c>
      <c r="H600" s="4" t="n">
        <f aca="false">COUNTIF(Events!$A$2:$A$397,$A600)</f>
        <v>0</v>
      </c>
      <c r="I600" s="6" t="str">
        <f aca="false" t="array" ref="I600:I600">_xlfn.TEXTJOIN(" | ",TRUE(),IF(Events!$A$2:$A$397=$A600,Events!$E$2:$E$397&amp;IF(Events!$G$2:$G$397="National",""," ["&amp;Events!$G$2:$G$397&amp;"]"),""))</f>
        <v/>
      </c>
    </row>
    <row r="601" customFormat="false" ht="15" hidden="false" customHeight="true" outlineLevel="0" collapsed="false">
      <c r="A601" s="3" t="n">
        <v>45891</v>
      </c>
      <c r="B601" s="4" t="n">
        <f aca="false">YEAR($A601)</f>
        <v>2025</v>
      </c>
      <c r="C601" s="4" t="n">
        <f aca="false">MONTH($A601)</f>
        <v>8</v>
      </c>
      <c r="D601" s="4" t="str">
        <f aca="false">TEXT($A601,"ddd")</f>
        <v>Fri</v>
      </c>
      <c r="E601" s="4" t="n">
        <f aca="false">IF(OR(AND(MONTH($A601)=10,DAY($A601)&gt;=15),MONTH($A601)=11,AND(MONTH($A601)=12,DAY($A601)&lt;=7)),1,0)</f>
        <v>0</v>
      </c>
      <c r="F601" s="4" t="n">
        <f aca="false">IF(MONTH($A601)&lt;=3,1,0)</f>
        <v>0</v>
      </c>
      <c r="G601" s="4" t="str">
        <f aca="false" t="array" ref="G601:G601">_xlfn.TEXTJOIN(" | ",TRUE(),IF('FEMA Disasters'!$F$2:$F$1000=$A601,'FEMA Disasters'!$D$2:$D$1000&amp;" begin: ["&amp;'FEMA Disasters'!$B$2:$B$1000&amp;"] "&amp;'FEMA Disasters'!$C$2:$C$1000&amp;"-"&amp;'FEMA Disasters'!$A$2:$A$1000,""),IF('FEMA Disasters'!$G$2:$G$1000=$A601,'FEMA Disasters'!$D$2:$D$1000&amp;" ended: ["&amp;'FEMA Disasters'!$B$2:$B$1000&amp;"] "&amp;'FEMA Disasters'!$C$2:$C$1000&amp;"-"&amp;'FEMA Disasters'!$A$2:$A$1000,""),IF('FEMA Disasters'!$K$2:$K$1000=$A601,"Disaster SEP opens: "&amp;'FEMA Disasters'!$D$2:$D$1000&amp;" ["&amp;'FEMA Disasters'!$B$2:$B$1000&amp;"] "&amp;'FEMA Disasters'!$C$2:$C$1000&amp;"-"&amp;'FEMA Disasters'!$A$2:$A$1000,""),IF('FEMA Disasters'!$L$2:$L$1000=$A601,"Disaster SEP ended: "&amp;'FEMA Disasters'!$D$2:$D$1000&amp;" ["&amp;'FEMA Disasters'!$B$2:$B$1000&amp;"] "&amp;'FEMA Disasters'!$C$2:$C$1000&amp;"-"&amp;'FEMA Disasters'!$A$2:$A$1000,""))</f>
        <v>Fire begin: [OR] FM-5610</v>
      </c>
      <c r="H601" s="4" t="n">
        <f aca="false">COUNTIF(Events!$A$2:$A$397,$A601)</f>
        <v>0</v>
      </c>
      <c r="I601" s="6" t="str">
        <f aca="false" t="array" ref="I601:I601">_xlfn.TEXTJOIN(" | ",TRUE(),IF(Events!$A$2:$A$397=$A601,Events!$E$2:$E$397&amp;IF(Events!$G$2:$G$397="National",""," ["&amp;Events!$G$2:$G$397&amp;"]"),""))</f>
        <v/>
      </c>
    </row>
    <row r="602" customFormat="false" ht="15" hidden="false" customHeight="true" outlineLevel="0" collapsed="false">
      <c r="A602" s="3" t="n">
        <v>45892</v>
      </c>
      <c r="B602" s="4" t="n">
        <f aca="false">YEAR($A602)</f>
        <v>2025</v>
      </c>
      <c r="C602" s="4" t="n">
        <f aca="false">MONTH($A602)</f>
        <v>8</v>
      </c>
      <c r="D602" s="4" t="str">
        <f aca="false">TEXT($A602,"ddd")</f>
        <v>Sat</v>
      </c>
      <c r="E602" s="4" t="n">
        <f aca="false">IF(OR(AND(MONTH($A602)=10,DAY($A602)&gt;=15),MONTH($A602)=11,AND(MONTH($A602)=12,DAY($A602)&lt;=7)),1,0)</f>
        <v>0</v>
      </c>
      <c r="F602" s="4" t="n">
        <f aca="false">IF(MONTH($A602)&lt;=3,1,0)</f>
        <v>0</v>
      </c>
      <c r="G602" s="4" t="str">
        <f aca="false" t="array" ref="G602:G602">_xlfn.TEXTJOIN(" | ",TRUE(),IF('FEMA Disasters'!$F$2:$F$1000=$A602,'FEMA Disasters'!$D$2:$D$1000&amp;" begin: ["&amp;'FEMA Disasters'!$B$2:$B$1000&amp;"] "&amp;'FEMA Disasters'!$C$2:$C$1000&amp;"-"&amp;'FEMA Disasters'!$A$2:$A$1000,""),IF('FEMA Disasters'!$G$2:$G$1000=$A602,'FEMA Disasters'!$D$2:$D$1000&amp;" ended: ["&amp;'FEMA Disasters'!$B$2:$B$1000&amp;"] "&amp;'FEMA Disasters'!$C$2:$C$1000&amp;"-"&amp;'FEMA Disasters'!$A$2:$A$1000,""),IF('FEMA Disasters'!$K$2:$K$1000=$A602,"Disaster SEP opens: "&amp;'FEMA Disasters'!$D$2:$D$1000&amp;" ["&amp;'FEMA Disasters'!$B$2:$B$1000&amp;"] "&amp;'FEMA Disasters'!$C$2:$C$1000&amp;"-"&amp;'FEMA Disasters'!$A$2:$A$1000,""),IF('FEMA Disasters'!$L$2:$L$1000=$A602,"Disaster SEP ended: "&amp;'FEMA Disasters'!$D$2:$D$1000&amp;" ["&amp;'FEMA Disasters'!$B$2:$B$1000&amp;"] "&amp;'FEMA Disasters'!$C$2:$C$1000&amp;"-"&amp;'FEMA Disasters'!$A$2:$A$1000,""))</f>
        <v>Fire ended: [UT] FM-5600 | Fire ended: [HI] FM-5609</v>
      </c>
      <c r="H602" s="4" t="n">
        <f aca="false">COUNTIF(Events!$A$2:$A$397,$A602)</f>
        <v>0</v>
      </c>
      <c r="I602" s="6" t="str">
        <f aca="false" t="array" ref="I602:I602">_xlfn.TEXTJOIN(" | ",TRUE(),IF(Events!$A$2:$A$397=$A602,Events!$E$2:$E$397&amp;IF(Events!$G$2:$G$397="National",""," ["&amp;Events!$G$2:$G$397&amp;"]"),""))</f>
        <v/>
      </c>
    </row>
    <row r="603" customFormat="false" ht="15" hidden="false" customHeight="true" outlineLevel="0" collapsed="false">
      <c r="A603" s="3" t="n">
        <v>45893</v>
      </c>
      <c r="B603" s="4" t="n">
        <f aca="false">YEAR($A603)</f>
        <v>2025</v>
      </c>
      <c r="C603" s="4" t="n">
        <f aca="false">MONTH($A603)</f>
        <v>8</v>
      </c>
      <c r="D603" s="4" t="str">
        <f aca="false">TEXT($A603,"ddd")</f>
        <v>Sun</v>
      </c>
      <c r="E603" s="4" t="n">
        <f aca="false">IF(OR(AND(MONTH($A603)=10,DAY($A603)&gt;=15),MONTH($A603)=11,AND(MONTH($A603)=12,DAY($A603)&lt;=7)),1,0)</f>
        <v>0</v>
      </c>
      <c r="F603" s="4" t="n">
        <f aca="false">IF(MONTH($A603)&lt;=3,1,0)</f>
        <v>0</v>
      </c>
      <c r="G603" s="4" t="str">
        <f aca="false" t="array" ref="G603:G603">_xlfn.TEXTJOIN(" | ",TRUE(),IF('FEMA Disasters'!$F$2:$F$1000=$A603,'FEMA Disasters'!$D$2:$D$1000&amp;" begin: ["&amp;'FEMA Disasters'!$B$2:$B$1000&amp;"] "&amp;'FEMA Disasters'!$C$2:$C$1000&amp;"-"&amp;'FEMA Disasters'!$A$2:$A$1000,""),IF('FEMA Disasters'!$G$2:$G$1000=$A603,'FEMA Disasters'!$D$2:$D$1000&amp;" ended: ["&amp;'FEMA Disasters'!$B$2:$B$1000&amp;"] "&amp;'FEMA Disasters'!$C$2:$C$1000&amp;"-"&amp;'FEMA Disasters'!$A$2:$A$1000,""),IF('FEMA Disasters'!$K$2:$K$1000=$A603,"Disaster SEP opens: "&amp;'FEMA Disasters'!$D$2:$D$1000&amp;" ["&amp;'FEMA Disasters'!$B$2:$B$1000&amp;"] "&amp;'FEMA Disasters'!$C$2:$C$1000&amp;"-"&amp;'FEMA Disasters'!$A$2:$A$1000,""),IF('FEMA Disasters'!$L$2:$L$1000=$A603,"Disaster SEP ended: "&amp;'FEMA Disasters'!$D$2:$D$1000&amp;" ["&amp;'FEMA Disasters'!$B$2:$B$1000&amp;"] "&amp;'FEMA Disasters'!$C$2:$C$1000&amp;"-"&amp;'FEMA Disasters'!$A$2:$A$1000,""))</f>
        <v/>
      </c>
      <c r="H603" s="4" t="n">
        <f aca="false">COUNTIF(Events!$A$2:$A$397,$A603)</f>
        <v>0</v>
      </c>
      <c r="I603" s="6" t="str">
        <f aca="false" t="array" ref="I603:I603">_xlfn.TEXTJOIN(" | ",TRUE(),IF(Events!$A$2:$A$397=$A603,Events!$E$2:$E$397&amp;IF(Events!$G$2:$G$397="National",""," ["&amp;Events!$G$2:$G$397&amp;"]"),""))</f>
        <v/>
      </c>
    </row>
    <row r="604" customFormat="false" ht="15" hidden="false" customHeight="true" outlineLevel="0" collapsed="false">
      <c r="A604" s="3" t="n">
        <v>45894</v>
      </c>
      <c r="B604" s="4" t="n">
        <f aca="false">YEAR($A604)</f>
        <v>2025</v>
      </c>
      <c r="C604" s="4" t="n">
        <f aca="false">MONTH($A604)</f>
        <v>8</v>
      </c>
      <c r="D604" s="4" t="str">
        <f aca="false">TEXT($A604,"ddd")</f>
        <v>Mon</v>
      </c>
      <c r="E604" s="4" t="n">
        <f aca="false">IF(OR(AND(MONTH($A604)=10,DAY($A604)&gt;=15),MONTH($A604)=11,AND(MONTH($A604)=12,DAY($A604)&lt;=7)),1,0)</f>
        <v>0</v>
      </c>
      <c r="F604" s="4" t="n">
        <f aca="false">IF(MONTH($A604)&lt;=3,1,0)</f>
        <v>0</v>
      </c>
      <c r="G604" s="4" t="str">
        <f aca="false" t="array" ref="G604:G604">_xlfn.TEXTJOIN(" | ",TRUE(),IF('FEMA Disasters'!$F$2:$F$1000=$A604,'FEMA Disasters'!$D$2:$D$1000&amp;" begin: ["&amp;'FEMA Disasters'!$B$2:$B$1000&amp;"] "&amp;'FEMA Disasters'!$C$2:$C$1000&amp;"-"&amp;'FEMA Disasters'!$A$2:$A$1000,""),IF('FEMA Disasters'!$G$2:$G$1000=$A604,'FEMA Disasters'!$D$2:$D$1000&amp;" ended: ["&amp;'FEMA Disasters'!$B$2:$B$1000&amp;"] "&amp;'FEMA Disasters'!$C$2:$C$1000&amp;"-"&amp;'FEMA Disasters'!$A$2:$A$1000,""),IF('FEMA Disasters'!$K$2:$K$1000=$A604,"Disaster SEP opens: "&amp;'FEMA Disasters'!$D$2:$D$1000&amp;" ["&amp;'FEMA Disasters'!$B$2:$B$1000&amp;"] "&amp;'FEMA Disasters'!$C$2:$C$1000&amp;"-"&amp;'FEMA Disasters'!$A$2:$A$1000,""),IF('FEMA Disasters'!$L$2:$L$1000=$A604,"Disaster SEP ended: "&amp;'FEMA Disasters'!$D$2:$D$1000&amp;" ["&amp;'FEMA Disasters'!$B$2:$B$1000&amp;"] "&amp;'FEMA Disasters'!$C$2:$C$1000&amp;"-"&amp;'FEMA Disasters'!$A$2:$A$1000,""))</f>
        <v/>
      </c>
      <c r="H604" s="4" t="n">
        <f aca="false">COUNTIF(Events!$A$2:$A$397,$A604)</f>
        <v>0</v>
      </c>
      <c r="I604" s="6" t="str">
        <f aca="false" t="array" ref="I604:I604">_xlfn.TEXTJOIN(" | ",TRUE(),IF(Events!$A$2:$A$397=$A604,Events!$E$2:$E$397&amp;IF(Events!$G$2:$G$397="National",""," ["&amp;Events!$G$2:$G$397&amp;"]"),""))</f>
        <v/>
      </c>
    </row>
    <row r="605" customFormat="false" ht="15" hidden="false" customHeight="true" outlineLevel="0" collapsed="false">
      <c r="A605" s="3" t="n">
        <v>45895</v>
      </c>
      <c r="B605" s="4" t="n">
        <f aca="false">YEAR($A605)</f>
        <v>2025</v>
      </c>
      <c r="C605" s="4" t="n">
        <f aca="false">MONTH($A605)</f>
        <v>8</v>
      </c>
      <c r="D605" s="4" t="str">
        <f aca="false">TEXT($A605,"ddd")</f>
        <v>Tue</v>
      </c>
      <c r="E605" s="4" t="n">
        <f aca="false">IF(OR(AND(MONTH($A605)=10,DAY($A605)&gt;=15),MONTH($A605)=11,AND(MONTH($A605)=12,DAY($A605)&lt;=7)),1,0)</f>
        <v>0</v>
      </c>
      <c r="F605" s="4" t="n">
        <f aca="false">IF(MONTH($A605)&lt;=3,1,0)</f>
        <v>0</v>
      </c>
      <c r="G605" s="4" t="str">
        <f aca="false" t="array" ref="G605:G605">_xlfn.TEXTJOIN(" | ",TRUE(),IF('FEMA Disasters'!$F$2:$F$1000=$A605,'FEMA Disasters'!$D$2:$D$1000&amp;" begin: ["&amp;'FEMA Disasters'!$B$2:$B$1000&amp;"] "&amp;'FEMA Disasters'!$C$2:$C$1000&amp;"-"&amp;'FEMA Disasters'!$A$2:$A$1000,""),IF('FEMA Disasters'!$G$2:$G$1000=$A605,'FEMA Disasters'!$D$2:$D$1000&amp;" ended: ["&amp;'FEMA Disasters'!$B$2:$B$1000&amp;"] "&amp;'FEMA Disasters'!$C$2:$C$1000&amp;"-"&amp;'FEMA Disasters'!$A$2:$A$1000,""),IF('FEMA Disasters'!$K$2:$K$1000=$A605,"Disaster SEP opens: "&amp;'FEMA Disasters'!$D$2:$D$1000&amp;" ["&amp;'FEMA Disasters'!$B$2:$B$1000&amp;"] "&amp;'FEMA Disasters'!$C$2:$C$1000&amp;"-"&amp;'FEMA Disasters'!$A$2:$A$1000,""),IF('FEMA Disasters'!$L$2:$L$1000=$A605,"Disaster SEP ended: "&amp;'FEMA Disasters'!$D$2:$D$1000&amp;" ["&amp;'FEMA Disasters'!$B$2:$B$1000&amp;"] "&amp;'FEMA Disasters'!$C$2:$C$1000&amp;"-"&amp;'FEMA Disasters'!$A$2:$A$1000,""))</f>
        <v>Fire begin: [MT] FM-5611</v>
      </c>
      <c r="H605" s="4" t="n">
        <f aca="false">COUNTIF(Events!$A$2:$A$397,$A605)</f>
        <v>0</v>
      </c>
      <c r="I605" s="6" t="str">
        <f aca="false" t="array" ref="I605:I605">_xlfn.TEXTJOIN(" | ",TRUE(),IF(Events!$A$2:$A$397=$A605,Events!$E$2:$E$397&amp;IF(Events!$G$2:$G$397="National",""," ["&amp;Events!$G$2:$G$397&amp;"]"),""))</f>
        <v/>
      </c>
    </row>
    <row r="606" customFormat="false" ht="15" hidden="false" customHeight="true" outlineLevel="0" collapsed="false">
      <c r="A606" s="3" t="n">
        <v>45896</v>
      </c>
      <c r="B606" s="4" t="n">
        <f aca="false">YEAR($A606)</f>
        <v>2025</v>
      </c>
      <c r="C606" s="4" t="n">
        <f aca="false">MONTH($A606)</f>
        <v>8</v>
      </c>
      <c r="D606" s="4" t="str">
        <f aca="false">TEXT($A606,"ddd")</f>
        <v>Wed</v>
      </c>
      <c r="E606" s="4" t="n">
        <f aca="false">IF(OR(AND(MONTH($A606)=10,DAY($A606)&gt;=15),MONTH($A606)=11,AND(MONTH($A606)=12,DAY($A606)&lt;=7)),1,0)</f>
        <v>0</v>
      </c>
      <c r="F606" s="4" t="n">
        <f aca="false">IF(MONTH($A606)&lt;=3,1,0)</f>
        <v>0</v>
      </c>
      <c r="G606" s="4" t="str">
        <f aca="false" t="array" ref="G606:G606">_xlfn.TEXTJOIN(" | ",TRUE(),IF('FEMA Disasters'!$F$2:$F$1000=$A606,'FEMA Disasters'!$D$2:$D$1000&amp;" begin: ["&amp;'FEMA Disasters'!$B$2:$B$1000&amp;"] "&amp;'FEMA Disasters'!$C$2:$C$1000&amp;"-"&amp;'FEMA Disasters'!$A$2:$A$1000,""),IF('FEMA Disasters'!$G$2:$G$1000=$A606,'FEMA Disasters'!$D$2:$D$1000&amp;" ended: ["&amp;'FEMA Disasters'!$B$2:$B$1000&amp;"] "&amp;'FEMA Disasters'!$C$2:$C$1000&amp;"-"&amp;'FEMA Disasters'!$A$2:$A$1000,""),IF('FEMA Disasters'!$K$2:$K$1000=$A606,"Disaster SEP opens: "&amp;'FEMA Disasters'!$D$2:$D$1000&amp;" ["&amp;'FEMA Disasters'!$B$2:$B$1000&amp;"] "&amp;'FEMA Disasters'!$C$2:$C$1000&amp;"-"&amp;'FEMA Disasters'!$A$2:$A$1000,""),IF('FEMA Disasters'!$L$2:$L$1000=$A606,"Disaster SEP ended: "&amp;'FEMA Disasters'!$D$2:$D$1000&amp;" ["&amp;'FEMA Disasters'!$B$2:$B$1000&amp;"] "&amp;'FEMA Disasters'!$C$2:$C$1000&amp;"-"&amp;'FEMA Disasters'!$A$2:$A$1000,""))</f>
        <v/>
      </c>
      <c r="H606" s="4" t="n">
        <f aca="false">COUNTIF(Events!$A$2:$A$397,$A606)</f>
        <v>0</v>
      </c>
      <c r="I606" s="6" t="str">
        <f aca="false" t="array" ref="I606:I606">_xlfn.TEXTJOIN(" | ",TRUE(),IF(Events!$A$2:$A$397=$A606,Events!$E$2:$E$397&amp;IF(Events!$G$2:$G$397="National",""," ["&amp;Events!$G$2:$G$397&amp;"]"),""))</f>
        <v/>
      </c>
    </row>
    <row r="607" customFormat="false" ht="15" hidden="false" customHeight="true" outlineLevel="0" collapsed="false">
      <c r="A607" s="3" t="n">
        <v>45897</v>
      </c>
      <c r="B607" s="4" t="n">
        <f aca="false">YEAR($A607)</f>
        <v>2025</v>
      </c>
      <c r="C607" s="4" t="n">
        <f aca="false">MONTH($A607)</f>
        <v>8</v>
      </c>
      <c r="D607" s="4" t="str">
        <f aca="false">TEXT($A607,"ddd")</f>
        <v>Thu</v>
      </c>
      <c r="E607" s="4" t="n">
        <f aca="false">IF(OR(AND(MONTH($A607)=10,DAY($A607)&gt;=15),MONTH($A607)=11,AND(MONTH($A607)=12,DAY($A607)&lt;=7)),1,0)</f>
        <v>0</v>
      </c>
      <c r="F607" s="4" t="n">
        <f aca="false">IF(MONTH($A607)&lt;=3,1,0)</f>
        <v>0</v>
      </c>
      <c r="G607" s="4" t="str">
        <f aca="false" t="array" ref="G607:G607">_xlfn.TEXTJOIN(" | ",TRUE(),IF('FEMA Disasters'!$F$2:$F$1000=$A607,'FEMA Disasters'!$D$2:$D$1000&amp;" begin: ["&amp;'FEMA Disasters'!$B$2:$B$1000&amp;"] "&amp;'FEMA Disasters'!$C$2:$C$1000&amp;"-"&amp;'FEMA Disasters'!$A$2:$A$1000,""),IF('FEMA Disasters'!$G$2:$G$1000=$A607,'FEMA Disasters'!$D$2:$D$1000&amp;" ended: ["&amp;'FEMA Disasters'!$B$2:$B$1000&amp;"] "&amp;'FEMA Disasters'!$C$2:$C$1000&amp;"-"&amp;'FEMA Disasters'!$A$2:$A$1000,""),IF('FEMA Disasters'!$K$2:$K$1000=$A607,"Disaster SEP opens: "&amp;'FEMA Disasters'!$D$2:$D$1000&amp;" ["&amp;'FEMA Disasters'!$B$2:$B$1000&amp;"] "&amp;'FEMA Disasters'!$C$2:$C$1000&amp;"-"&amp;'FEMA Disasters'!$A$2:$A$1000,""),IF('FEMA Disasters'!$L$2:$L$1000=$A607,"Disaster SEP ended: "&amp;'FEMA Disasters'!$D$2:$D$1000&amp;" ["&amp;'FEMA Disasters'!$B$2:$B$1000&amp;"] "&amp;'FEMA Disasters'!$C$2:$C$1000&amp;"-"&amp;'FEMA Disasters'!$A$2:$A$1000,""))</f>
        <v/>
      </c>
      <c r="H607" s="4" t="n">
        <f aca="false">COUNTIF(Events!$A$2:$A$397,$A607)</f>
        <v>0</v>
      </c>
      <c r="I607" s="6" t="str">
        <f aca="false" t="array" ref="I607:I607">_xlfn.TEXTJOIN(" | ",TRUE(),IF(Events!$A$2:$A$397=$A607,Events!$E$2:$E$397&amp;IF(Events!$G$2:$G$397="National",""," ["&amp;Events!$G$2:$G$397&amp;"]"),""))</f>
        <v/>
      </c>
    </row>
    <row r="608" customFormat="false" ht="15" hidden="false" customHeight="true" outlineLevel="0" collapsed="false">
      <c r="A608" s="3" t="n">
        <v>45898</v>
      </c>
      <c r="B608" s="4" t="n">
        <f aca="false">YEAR($A608)</f>
        <v>2025</v>
      </c>
      <c r="C608" s="4" t="n">
        <f aca="false">MONTH($A608)</f>
        <v>8</v>
      </c>
      <c r="D608" s="4" t="str">
        <f aca="false">TEXT($A608,"ddd")</f>
        <v>Fri</v>
      </c>
      <c r="E608" s="4" t="n">
        <f aca="false">IF(OR(AND(MONTH($A608)=10,DAY($A608)&gt;=15),MONTH($A608)=11,AND(MONTH($A608)=12,DAY($A608)&lt;=7)),1,0)</f>
        <v>0</v>
      </c>
      <c r="F608" s="4" t="n">
        <f aca="false">IF(MONTH($A608)&lt;=3,1,0)</f>
        <v>0</v>
      </c>
      <c r="G608" s="4" t="str">
        <f aca="false" t="array" ref="G608:G608">_xlfn.TEXTJOIN(" | ",TRUE(),IF('FEMA Disasters'!$F$2:$F$1000=$A608,'FEMA Disasters'!$D$2:$D$1000&amp;" begin: ["&amp;'FEMA Disasters'!$B$2:$B$1000&amp;"] "&amp;'FEMA Disasters'!$C$2:$C$1000&amp;"-"&amp;'FEMA Disasters'!$A$2:$A$1000,""),IF('FEMA Disasters'!$G$2:$G$1000=$A608,'FEMA Disasters'!$D$2:$D$1000&amp;" ended: ["&amp;'FEMA Disasters'!$B$2:$B$1000&amp;"] "&amp;'FEMA Disasters'!$C$2:$C$1000&amp;"-"&amp;'FEMA Disasters'!$A$2:$A$1000,""),IF('FEMA Disasters'!$K$2:$K$1000=$A608,"Disaster SEP opens: "&amp;'FEMA Disasters'!$D$2:$D$1000&amp;" ["&amp;'FEMA Disasters'!$B$2:$B$1000&amp;"] "&amp;'FEMA Disasters'!$C$2:$C$1000&amp;"-"&amp;'FEMA Disasters'!$A$2:$A$1000,""),IF('FEMA Disasters'!$L$2:$L$1000=$A608,"Disaster SEP ended: "&amp;'FEMA Disasters'!$D$2:$D$1000&amp;" ["&amp;'FEMA Disasters'!$B$2:$B$1000&amp;"] "&amp;'FEMA Disasters'!$C$2:$C$1000&amp;"-"&amp;'FEMA Disasters'!$A$2:$A$1000,""))</f>
        <v/>
      </c>
      <c r="H608" s="4" t="n">
        <f aca="false">COUNTIF(Events!$A$2:$A$397,$A608)</f>
        <v>0</v>
      </c>
      <c r="I608" s="6" t="str">
        <f aca="false" t="array" ref="I608:I608">_xlfn.TEXTJOIN(" | ",TRUE(),IF(Events!$A$2:$A$397=$A608,Events!$E$2:$E$397&amp;IF(Events!$G$2:$G$397="National",""," ["&amp;Events!$G$2:$G$397&amp;"]"),""))</f>
        <v/>
      </c>
    </row>
    <row r="609" customFormat="false" ht="15" hidden="false" customHeight="true" outlineLevel="0" collapsed="false">
      <c r="A609" s="3" t="n">
        <v>45899</v>
      </c>
      <c r="B609" s="4" t="n">
        <f aca="false">YEAR($A609)</f>
        <v>2025</v>
      </c>
      <c r="C609" s="4" t="n">
        <f aca="false">MONTH($A609)</f>
        <v>8</v>
      </c>
      <c r="D609" s="4" t="str">
        <f aca="false">TEXT($A609,"ddd")</f>
        <v>Sat</v>
      </c>
      <c r="E609" s="4" t="n">
        <f aca="false">IF(OR(AND(MONTH($A609)=10,DAY($A609)&gt;=15),MONTH($A609)=11,AND(MONTH($A609)=12,DAY($A609)&lt;=7)),1,0)</f>
        <v>0</v>
      </c>
      <c r="F609" s="4" t="n">
        <f aca="false">IF(MONTH($A609)&lt;=3,1,0)</f>
        <v>0</v>
      </c>
      <c r="G609" s="4" t="str">
        <f aca="false" t="array" ref="G609:G609">_xlfn.TEXTJOIN(" | ",TRUE(),IF('FEMA Disasters'!$F$2:$F$1000=$A609,'FEMA Disasters'!$D$2:$D$1000&amp;" begin: ["&amp;'FEMA Disasters'!$B$2:$B$1000&amp;"] "&amp;'FEMA Disasters'!$C$2:$C$1000&amp;"-"&amp;'FEMA Disasters'!$A$2:$A$1000,""),IF('FEMA Disasters'!$G$2:$G$1000=$A609,'FEMA Disasters'!$D$2:$D$1000&amp;" ended: ["&amp;'FEMA Disasters'!$B$2:$B$1000&amp;"] "&amp;'FEMA Disasters'!$C$2:$C$1000&amp;"-"&amp;'FEMA Disasters'!$A$2:$A$1000,""),IF('FEMA Disasters'!$K$2:$K$1000=$A609,"Disaster SEP opens: "&amp;'FEMA Disasters'!$D$2:$D$1000&amp;" ["&amp;'FEMA Disasters'!$B$2:$B$1000&amp;"] "&amp;'FEMA Disasters'!$C$2:$C$1000&amp;"-"&amp;'FEMA Disasters'!$A$2:$A$1000,""),IF('FEMA Disasters'!$L$2:$L$1000=$A609,"Disaster SEP ended: "&amp;'FEMA Disasters'!$D$2:$D$1000&amp;" ["&amp;'FEMA Disasters'!$B$2:$B$1000&amp;"] "&amp;'FEMA Disasters'!$C$2:$C$1000&amp;"-"&amp;'FEMA Disasters'!$A$2:$A$1000,""))</f>
        <v/>
      </c>
      <c r="H609" s="4" t="n">
        <f aca="false">COUNTIF(Events!$A$2:$A$397,$A609)</f>
        <v>0</v>
      </c>
      <c r="I609" s="6" t="str">
        <f aca="false" t="array" ref="I609:I609">_xlfn.TEXTJOIN(" | ",TRUE(),IF(Events!$A$2:$A$397=$A609,Events!$E$2:$E$397&amp;IF(Events!$G$2:$G$397="National",""," ["&amp;Events!$G$2:$G$397&amp;"]"),""))</f>
        <v/>
      </c>
    </row>
    <row r="610" customFormat="false" ht="15" hidden="false" customHeight="true" outlineLevel="0" collapsed="false">
      <c r="A610" s="3" t="n">
        <v>45900</v>
      </c>
      <c r="B610" s="4" t="n">
        <f aca="false">YEAR($A610)</f>
        <v>2025</v>
      </c>
      <c r="C610" s="4" t="n">
        <f aca="false">MONTH($A610)</f>
        <v>8</v>
      </c>
      <c r="D610" s="4" t="str">
        <f aca="false">TEXT($A610,"ddd")</f>
        <v>Sun</v>
      </c>
      <c r="E610" s="4" t="n">
        <f aca="false">IF(OR(AND(MONTH($A610)=10,DAY($A610)&gt;=15),MONTH($A610)=11,AND(MONTH($A610)=12,DAY($A610)&lt;=7)),1,0)</f>
        <v>0</v>
      </c>
      <c r="F610" s="4" t="n">
        <f aca="false">IF(MONTH($A610)&lt;=3,1,0)</f>
        <v>0</v>
      </c>
      <c r="G610" s="4" t="str">
        <f aca="false" t="array" ref="G610:G610">_xlfn.TEXTJOIN(" | ",TRUE(),IF('FEMA Disasters'!$F$2:$F$1000=$A610,'FEMA Disasters'!$D$2:$D$1000&amp;" begin: ["&amp;'FEMA Disasters'!$B$2:$B$1000&amp;"] "&amp;'FEMA Disasters'!$C$2:$C$1000&amp;"-"&amp;'FEMA Disasters'!$A$2:$A$1000,""),IF('FEMA Disasters'!$G$2:$G$1000=$A610,'FEMA Disasters'!$D$2:$D$1000&amp;" ended: ["&amp;'FEMA Disasters'!$B$2:$B$1000&amp;"] "&amp;'FEMA Disasters'!$C$2:$C$1000&amp;"-"&amp;'FEMA Disasters'!$A$2:$A$1000,""),IF('FEMA Disasters'!$K$2:$K$1000=$A610,"Disaster SEP opens: "&amp;'FEMA Disasters'!$D$2:$D$1000&amp;" ["&amp;'FEMA Disasters'!$B$2:$B$1000&amp;"] "&amp;'FEMA Disasters'!$C$2:$C$1000&amp;"-"&amp;'FEMA Disasters'!$A$2:$A$1000,""),IF('FEMA Disasters'!$L$2:$L$1000=$A610,"Disaster SEP ended: "&amp;'FEMA Disasters'!$D$2:$D$1000&amp;" ["&amp;'FEMA Disasters'!$B$2:$B$1000&amp;"] "&amp;'FEMA Disasters'!$C$2:$C$1000&amp;"-"&amp;'FEMA Disasters'!$A$2:$A$1000,""))</f>
        <v>Disaster SEP opens: Severe Storm [KS] DR-4891 | Disaster SEP opens: Fire [NV] FM-5586 | Disaster SEP opens: Fire [OR] FM-5587 | Disaster SEP opens: Flood [SD] DR-4890 | Disaster SEP opens: Flood [WV] DR-4884 | Disaster SEP opens: Fire [OR] FM-5589 | Disaster SEP opens: Fire [OR] FM-5590 | Disaster SEP opens: Severe Storm [ND] DR-4888 | Disaster SEP opens: Fire [NV] FM-5592 | Disaster SEP opens: Straight-Line Winds [MN] DR-4894 | Disaster SEP opens: Fire [AK] FM-5596 | Disaster SEP ended: Severe Storm [MO] DR-4872 | Disaster SEP ended: Flood [IN] DR-4882 | Disaster SEP ended: Severe Storm [TN] EM-3625 | Disaster SEP ended: Severe Storm [AR] EM-3627 | Disaster SEP ended: Flood [AR] DR-4873 | Disaster SEP ended: Severe Storm [TN] DR-4878 | Disaster SEP ended: Severe Storm [MO] DR-4876</v>
      </c>
      <c r="H610" s="4" t="n">
        <f aca="false">COUNTIF(Events!$A$2:$A$397,$A610)</f>
        <v>0</v>
      </c>
      <c r="I610" s="6" t="str">
        <f aca="false" t="array" ref="I610:I610">_xlfn.TEXTJOIN(" | ",TRUE(),IF(Events!$A$2:$A$397=$A610,Events!$E$2:$E$397&amp;IF(Events!$G$2:$G$397="National",""," ["&amp;Events!$G$2:$G$397&amp;"]"),""))</f>
        <v/>
      </c>
    </row>
    <row r="611" customFormat="false" ht="15" hidden="false" customHeight="true" outlineLevel="0" collapsed="false">
      <c r="A611" s="3" t="n">
        <v>45901</v>
      </c>
      <c r="B611" s="4" t="n">
        <f aca="false">YEAR($A611)</f>
        <v>2025</v>
      </c>
      <c r="C611" s="4" t="n">
        <f aca="false">MONTH($A611)</f>
        <v>9</v>
      </c>
      <c r="D611" s="4" t="str">
        <f aca="false">TEXT($A611,"ddd")</f>
        <v>Mon</v>
      </c>
      <c r="E611" s="4" t="n">
        <f aca="false">IF(OR(AND(MONTH($A611)=10,DAY($A611)&gt;=15),MONTH($A611)=11,AND(MONTH($A611)=12,DAY($A611)&lt;=7)),1,0)</f>
        <v>0</v>
      </c>
      <c r="F611" s="4" t="n">
        <f aca="false">IF(MONTH($A611)&lt;=3,1,0)</f>
        <v>0</v>
      </c>
      <c r="G611" s="4" t="str">
        <f aca="false" t="array" ref="G611:G611">_xlfn.TEXTJOIN(" | ",TRUE(),IF('FEMA Disasters'!$F$2:$F$1000=$A611,'FEMA Disasters'!$D$2:$D$1000&amp;" begin: ["&amp;'FEMA Disasters'!$B$2:$B$1000&amp;"] "&amp;'FEMA Disasters'!$C$2:$C$1000&amp;"-"&amp;'FEMA Disasters'!$A$2:$A$1000,""),IF('FEMA Disasters'!$G$2:$G$1000=$A611,'FEMA Disasters'!$D$2:$D$1000&amp;" ended: ["&amp;'FEMA Disasters'!$B$2:$B$1000&amp;"] "&amp;'FEMA Disasters'!$C$2:$C$1000&amp;"-"&amp;'FEMA Disasters'!$A$2:$A$1000,""),IF('FEMA Disasters'!$K$2:$K$1000=$A611,"Disaster SEP opens: "&amp;'FEMA Disasters'!$D$2:$D$1000&amp;" ["&amp;'FEMA Disasters'!$B$2:$B$1000&amp;"] "&amp;'FEMA Disasters'!$C$2:$C$1000&amp;"-"&amp;'FEMA Disasters'!$A$2:$A$1000,""),IF('FEMA Disasters'!$L$2:$L$1000=$A611,"Disaster SEP ended: "&amp;'FEMA Disasters'!$D$2:$D$1000&amp;" ["&amp;'FEMA Disasters'!$B$2:$B$1000&amp;"] "&amp;'FEMA Disasters'!$C$2:$C$1000&amp;"-"&amp;'FEMA Disasters'!$A$2:$A$1000,""))</f>
        <v>Fire ended: [ID] FM-5607</v>
      </c>
      <c r="H611" s="4" t="n">
        <f aca="false">COUNTIF(Events!$A$2:$A$397,$A611)</f>
        <v>0</v>
      </c>
      <c r="I611" s="6" t="str">
        <f aca="false" t="array" ref="I611:I611">_xlfn.TEXTJOIN(" | ",TRUE(),IF(Events!$A$2:$A$397=$A611,Events!$E$2:$E$397&amp;IF(Events!$G$2:$G$397="National",""," ["&amp;Events!$G$2:$G$397&amp;"]"),""))</f>
        <v/>
      </c>
    </row>
    <row r="612" customFormat="false" ht="15" hidden="false" customHeight="true" outlineLevel="0" collapsed="false">
      <c r="A612" s="3" t="n">
        <v>45902</v>
      </c>
      <c r="B612" s="4" t="n">
        <f aca="false">YEAR($A612)</f>
        <v>2025</v>
      </c>
      <c r="C612" s="4" t="n">
        <f aca="false">MONTH($A612)</f>
        <v>9</v>
      </c>
      <c r="D612" s="4" t="str">
        <f aca="false">TEXT($A612,"ddd")</f>
        <v>Tue</v>
      </c>
      <c r="E612" s="4" t="n">
        <f aca="false">IF(OR(AND(MONTH($A612)=10,DAY($A612)&gt;=15),MONTH($A612)=11,AND(MONTH($A612)=12,DAY($A612)&lt;=7)),1,0)</f>
        <v>0</v>
      </c>
      <c r="F612" s="4" t="n">
        <f aca="false">IF(MONTH($A612)&lt;=3,1,0)</f>
        <v>0</v>
      </c>
      <c r="G612" s="4" t="str">
        <f aca="false" t="array" ref="G612:G612">_xlfn.TEXTJOIN(" | ",TRUE(),IF('FEMA Disasters'!$F$2:$F$1000=$A612,'FEMA Disasters'!$D$2:$D$1000&amp;" begin: ["&amp;'FEMA Disasters'!$B$2:$B$1000&amp;"] "&amp;'FEMA Disasters'!$C$2:$C$1000&amp;"-"&amp;'FEMA Disasters'!$A$2:$A$1000,""),IF('FEMA Disasters'!$G$2:$G$1000=$A612,'FEMA Disasters'!$D$2:$D$1000&amp;" ended: ["&amp;'FEMA Disasters'!$B$2:$B$1000&amp;"] "&amp;'FEMA Disasters'!$C$2:$C$1000&amp;"-"&amp;'FEMA Disasters'!$A$2:$A$1000,""),IF('FEMA Disasters'!$K$2:$K$1000=$A612,"Disaster SEP opens: "&amp;'FEMA Disasters'!$D$2:$D$1000&amp;" ["&amp;'FEMA Disasters'!$B$2:$B$1000&amp;"] "&amp;'FEMA Disasters'!$C$2:$C$1000&amp;"-"&amp;'FEMA Disasters'!$A$2:$A$1000,""),IF('FEMA Disasters'!$L$2:$L$1000=$A612,"Disaster SEP ended: "&amp;'FEMA Disasters'!$D$2:$D$1000&amp;" ["&amp;'FEMA Disasters'!$B$2:$B$1000&amp;"] "&amp;'FEMA Disasters'!$C$2:$C$1000&amp;"-"&amp;'FEMA Disasters'!$A$2:$A$1000,""))</f>
        <v>Fire begin: [CA] FM-5612</v>
      </c>
      <c r="H612" s="4" t="n">
        <f aca="false">COUNTIF(Events!$A$2:$A$397,$A612)</f>
        <v>0</v>
      </c>
      <c r="I612" s="6" t="str">
        <f aca="false" t="array" ref="I612:I612">_xlfn.TEXTJOIN(" | ",TRUE(),IF(Events!$A$2:$A$397=$A612,Events!$E$2:$E$397&amp;IF(Events!$G$2:$G$397="National",""," ["&amp;Events!$G$2:$G$397&amp;"]"),""))</f>
        <v/>
      </c>
    </row>
    <row r="613" customFormat="false" ht="15" hidden="false" customHeight="true" outlineLevel="0" collapsed="false">
      <c r="A613" s="3" t="n">
        <v>45903</v>
      </c>
      <c r="B613" s="4" t="n">
        <f aca="false">YEAR($A613)</f>
        <v>2025</v>
      </c>
      <c r="C613" s="4" t="n">
        <f aca="false">MONTH($A613)</f>
        <v>9</v>
      </c>
      <c r="D613" s="4" t="str">
        <f aca="false">TEXT($A613,"ddd")</f>
        <v>Wed</v>
      </c>
      <c r="E613" s="4" t="n">
        <f aca="false">IF(OR(AND(MONTH($A613)=10,DAY($A613)&gt;=15),MONTH($A613)=11,AND(MONTH($A613)=12,DAY($A613)&lt;=7)),1,0)</f>
        <v>0</v>
      </c>
      <c r="F613" s="4" t="n">
        <f aca="false">IF(MONTH($A613)&lt;=3,1,0)</f>
        <v>0</v>
      </c>
      <c r="G613" s="4" t="str">
        <f aca="false" t="array" ref="G613:G613">_xlfn.TEXTJOIN(" | ",TRUE(),IF('FEMA Disasters'!$F$2:$F$1000=$A613,'FEMA Disasters'!$D$2:$D$1000&amp;" begin: ["&amp;'FEMA Disasters'!$B$2:$B$1000&amp;"] "&amp;'FEMA Disasters'!$C$2:$C$1000&amp;"-"&amp;'FEMA Disasters'!$A$2:$A$1000,""),IF('FEMA Disasters'!$G$2:$G$1000=$A613,'FEMA Disasters'!$D$2:$D$1000&amp;" ended: ["&amp;'FEMA Disasters'!$B$2:$B$1000&amp;"] "&amp;'FEMA Disasters'!$C$2:$C$1000&amp;"-"&amp;'FEMA Disasters'!$A$2:$A$1000,""),IF('FEMA Disasters'!$K$2:$K$1000=$A613,"Disaster SEP opens: "&amp;'FEMA Disasters'!$D$2:$D$1000&amp;" ["&amp;'FEMA Disasters'!$B$2:$B$1000&amp;"] "&amp;'FEMA Disasters'!$C$2:$C$1000&amp;"-"&amp;'FEMA Disasters'!$A$2:$A$1000,""),IF('FEMA Disasters'!$L$2:$L$1000=$A613,"Disaster SEP ended: "&amp;'FEMA Disasters'!$D$2:$D$1000&amp;" ["&amp;'FEMA Disasters'!$B$2:$B$1000&amp;"] "&amp;'FEMA Disasters'!$C$2:$C$1000&amp;"-"&amp;'FEMA Disasters'!$A$2:$A$1000,""))</f>
        <v/>
      </c>
      <c r="H613" s="4" t="n">
        <f aca="false">COUNTIF(Events!$A$2:$A$397,$A613)</f>
        <v>0</v>
      </c>
      <c r="I613" s="6" t="str">
        <f aca="false" t="array" ref="I613:I613">_xlfn.TEXTJOIN(" | ",TRUE(),IF(Events!$A$2:$A$397=$A613,Events!$E$2:$E$397&amp;IF(Events!$G$2:$G$397="National",""," ["&amp;Events!$G$2:$G$397&amp;"]"),""))</f>
        <v/>
      </c>
    </row>
    <row r="614" customFormat="false" ht="15" hidden="false" customHeight="true" outlineLevel="0" collapsed="false">
      <c r="A614" s="3" t="n">
        <v>45904</v>
      </c>
      <c r="B614" s="4" t="n">
        <f aca="false">YEAR($A614)</f>
        <v>2025</v>
      </c>
      <c r="C614" s="4" t="n">
        <f aca="false">MONTH($A614)</f>
        <v>9</v>
      </c>
      <c r="D614" s="4" t="str">
        <f aca="false">TEXT($A614,"ddd")</f>
        <v>Thu</v>
      </c>
      <c r="E614" s="4" t="n">
        <f aca="false">IF(OR(AND(MONTH($A614)=10,DAY($A614)&gt;=15),MONTH($A614)=11,AND(MONTH($A614)=12,DAY($A614)&lt;=7)),1,0)</f>
        <v>0</v>
      </c>
      <c r="F614" s="4" t="n">
        <f aca="false">IF(MONTH($A614)&lt;=3,1,0)</f>
        <v>0</v>
      </c>
      <c r="G614" s="4" t="str">
        <f aca="false" t="array" ref="G614:G614">_xlfn.TEXTJOIN(" | ",TRUE(),IF('FEMA Disasters'!$F$2:$F$1000=$A614,'FEMA Disasters'!$D$2:$D$1000&amp;" begin: ["&amp;'FEMA Disasters'!$B$2:$B$1000&amp;"] "&amp;'FEMA Disasters'!$C$2:$C$1000&amp;"-"&amp;'FEMA Disasters'!$A$2:$A$1000,""),IF('FEMA Disasters'!$G$2:$G$1000=$A614,'FEMA Disasters'!$D$2:$D$1000&amp;" ended: ["&amp;'FEMA Disasters'!$B$2:$B$1000&amp;"] "&amp;'FEMA Disasters'!$C$2:$C$1000&amp;"-"&amp;'FEMA Disasters'!$A$2:$A$1000,""),IF('FEMA Disasters'!$K$2:$K$1000=$A614,"Disaster SEP opens: "&amp;'FEMA Disasters'!$D$2:$D$1000&amp;" ["&amp;'FEMA Disasters'!$B$2:$B$1000&amp;"] "&amp;'FEMA Disasters'!$C$2:$C$1000&amp;"-"&amp;'FEMA Disasters'!$A$2:$A$1000,""),IF('FEMA Disasters'!$L$2:$L$1000=$A614,"Disaster SEP ended: "&amp;'FEMA Disasters'!$D$2:$D$1000&amp;" ["&amp;'FEMA Disasters'!$B$2:$B$1000&amp;"] "&amp;'FEMA Disasters'!$C$2:$C$1000&amp;"-"&amp;'FEMA Disasters'!$A$2:$A$1000,""))</f>
        <v/>
      </c>
      <c r="H614" s="4" t="n">
        <f aca="false">COUNTIF(Events!$A$2:$A$397,$A614)</f>
        <v>0</v>
      </c>
      <c r="I614" s="6" t="str">
        <f aca="false" t="array" ref="I614:I614">_xlfn.TEXTJOIN(" | ",TRUE(),IF(Events!$A$2:$A$397=$A614,Events!$E$2:$E$397&amp;IF(Events!$G$2:$G$397="National",""," ["&amp;Events!$G$2:$G$397&amp;"]"),""))</f>
        <v/>
      </c>
    </row>
    <row r="615" customFormat="false" ht="15" hidden="false" customHeight="true" outlineLevel="0" collapsed="false">
      <c r="A615" s="3" t="n">
        <v>45905</v>
      </c>
      <c r="B615" s="4" t="n">
        <f aca="false">YEAR($A615)</f>
        <v>2025</v>
      </c>
      <c r="C615" s="4" t="n">
        <f aca="false">MONTH($A615)</f>
        <v>9</v>
      </c>
      <c r="D615" s="4" t="str">
        <f aca="false">TEXT($A615,"ddd")</f>
        <v>Fri</v>
      </c>
      <c r="E615" s="4" t="n">
        <f aca="false">IF(OR(AND(MONTH($A615)=10,DAY($A615)&gt;=15),MONTH($A615)=11,AND(MONTH($A615)=12,DAY($A615)&lt;=7)),1,0)</f>
        <v>0</v>
      </c>
      <c r="F615" s="4" t="n">
        <f aca="false">IF(MONTH($A615)&lt;=3,1,0)</f>
        <v>0</v>
      </c>
      <c r="G615" s="4" t="str">
        <f aca="false" t="array" ref="G615:G615">_xlfn.TEXTJOIN(" | ",TRUE(),IF('FEMA Disasters'!$F$2:$F$1000=$A615,'FEMA Disasters'!$D$2:$D$1000&amp;" begin: ["&amp;'FEMA Disasters'!$B$2:$B$1000&amp;"] "&amp;'FEMA Disasters'!$C$2:$C$1000&amp;"-"&amp;'FEMA Disasters'!$A$2:$A$1000,""),IF('FEMA Disasters'!$G$2:$G$1000=$A615,'FEMA Disasters'!$D$2:$D$1000&amp;" ended: ["&amp;'FEMA Disasters'!$B$2:$B$1000&amp;"] "&amp;'FEMA Disasters'!$C$2:$C$1000&amp;"-"&amp;'FEMA Disasters'!$A$2:$A$1000,""),IF('FEMA Disasters'!$K$2:$K$1000=$A615,"Disaster SEP opens: "&amp;'FEMA Disasters'!$D$2:$D$1000&amp;" ["&amp;'FEMA Disasters'!$B$2:$B$1000&amp;"] "&amp;'FEMA Disasters'!$C$2:$C$1000&amp;"-"&amp;'FEMA Disasters'!$A$2:$A$1000,""),IF('FEMA Disasters'!$L$2:$L$1000=$A615,"Disaster SEP ended: "&amp;'FEMA Disasters'!$D$2:$D$1000&amp;" ["&amp;'FEMA Disasters'!$B$2:$B$1000&amp;"] "&amp;'FEMA Disasters'!$C$2:$C$1000&amp;"-"&amp;'FEMA Disasters'!$A$2:$A$1000,""))</f>
        <v>Fire ended: [OR] FM-5610</v>
      </c>
      <c r="H615" s="4" t="n">
        <f aca="false">COUNTIF(Events!$A$2:$A$397,$A615)</f>
        <v>0</v>
      </c>
      <c r="I615" s="6" t="str">
        <f aca="false" t="array" ref="I615:I615">_xlfn.TEXTJOIN(" | ",TRUE(),IF(Events!$A$2:$A$397=$A615,Events!$E$2:$E$397&amp;IF(Events!$G$2:$G$397="National",""," ["&amp;Events!$G$2:$G$397&amp;"]"),""))</f>
        <v/>
      </c>
    </row>
    <row r="616" customFormat="false" ht="15" hidden="false" customHeight="true" outlineLevel="0" collapsed="false">
      <c r="A616" s="3" t="n">
        <v>45906</v>
      </c>
      <c r="B616" s="4" t="n">
        <f aca="false">YEAR($A616)</f>
        <v>2025</v>
      </c>
      <c r="C616" s="4" t="n">
        <f aca="false">MONTH($A616)</f>
        <v>9</v>
      </c>
      <c r="D616" s="4" t="str">
        <f aca="false">TEXT($A616,"ddd")</f>
        <v>Sat</v>
      </c>
      <c r="E616" s="4" t="n">
        <f aca="false">IF(OR(AND(MONTH($A616)=10,DAY($A616)&gt;=15),MONTH($A616)=11,AND(MONTH($A616)=12,DAY($A616)&lt;=7)),1,0)</f>
        <v>0</v>
      </c>
      <c r="F616" s="4" t="n">
        <f aca="false">IF(MONTH($A616)&lt;=3,1,0)</f>
        <v>0</v>
      </c>
      <c r="G616" s="4" t="str">
        <f aca="false" t="array" ref="G616:G616">_xlfn.TEXTJOIN(" | ",TRUE(),IF('FEMA Disasters'!$F$2:$F$1000=$A616,'FEMA Disasters'!$D$2:$D$1000&amp;" begin: ["&amp;'FEMA Disasters'!$B$2:$B$1000&amp;"] "&amp;'FEMA Disasters'!$C$2:$C$1000&amp;"-"&amp;'FEMA Disasters'!$A$2:$A$1000,""),IF('FEMA Disasters'!$G$2:$G$1000=$A616,'FEMA Disasters'!$D$2:$D$1000&amp;" ended: ["&amp;'FEMA Disasters'!$B$2:$B$1000&amp;"] "&amp;'FEMA Disasters'!$C$2:$C$1000&amp;"-"&amp;'FEMA Disasters'!$A$2:$A$1000,""),IF('FEMA Disasters'!$K$2:$K$1000=$A616,"Disaster SEP opens: "&amp;'FEMA Disasters'!$D$2:$D$1000&amp;" ["&amp;'FEMA Disasters'!$B$2:$B$1000&amp;"] "&amp;'FEMA Disasters'!$C$2:$C$1000&amp;"-"&amp;'FEMA Disasters'!$A$2:$A$1000,""),IF('FEMA Disasters'!$L$2:$L$1000=$A616,"Disaster SEP ended: "&amp;'FEMA Disasters'!$D$2:$D$1000&amp;" ["&amp;'FEMA Disasters'!$B$2:$B$1000&amp;"] "&amp;'FEMA Disasters'!$C$2:$C$1000&amp;"-"&amp;'FEMA Disasters'!$A$2:$A$1000,""))</f>
        <v/>
      </c>
      <c r="H616" s="4" t="n">
        <f aca="false">COUNTIF(Events!$A$2:$A$397,$A616)</f>
        <v>0</v>
      </c>
      <c r="I616" s="6" t="str">
        <f aca="false" t="array" ref="I616:I616">_xlfn.TEXTJOIN(" | ",TRUE(),IF(Events!$A$2:$A$397=$A616,Events!$E$2:$E$397&amp;IF(Events!$G$2:$G$397="National",""," ["&amp;Events!$G$2:$G$397&amp;"]"),""))</f>
        <v/>
      </c>
    </row>
    <row r="617" customFormat="false" ht="15" hidden="false" customHeight="true" outlineLevel="0" collapsed="false">
      <c r="A617" s="3" t="n">
        <v>45907</v>
      </c>
      <c r="B617" s="4" t="n">
        <f aca="false">YEAR($A617)</f>
        <v>2025</v>
      </c>
      <c r="C617" s="4" t="n">
        <f aca="false">MONTH($A617)</f>
        <v>9</v>
      </c>
      <c r="D617" s="4" t="str">
        <f aca="false">TEXT($A617,"ddd")</f>
        <v>Sun</v>
      </c>
      <c r="E617" s="4" t="n">
        <f aca="false">IF(OR(AND(MONTH($A617)=10,DAY($A617)&gt;=15),MONTH($A617)=11,AND(MONTH($A617)=12,DAY($A617)&lt;=7)),1,0)</f>
        <v>0</v>
      </c>
      <c r="F617" s="4" t="n">
        <f aca="false">IF(MONTH($A617)&lt;=3,1,0)</f>
        <v>0</v>
      </c>
      <c r="G617" s="4" t="str">
        <f aca="false" t="array" ref="G617:G617">_xlfn.TEXTJOIN(" | ",TRUE(),IF('FEMA Disasters'!$F$2:$F$1000=$A617,'FEMA Disasters'!$D$2:$D$1000&amp;" begin: ["&amp;'FEMA Disasters'!$B$2:$B$1000&amp;"] "&amp;'FEMA Disasters'!$C$2:$C$1000&amp;"-"&amp;'FEMA Disasters'!$A$2:$A$1000,""),IF('FEMA Disasters'!$G$2:$G$1000=$A617,'FEMA Disasters'!$D$2:$D$1000&amp;" ended: ["&amp;'FEMA Disasters'!$B$2:$B$1000&amp;"] "&amp;'FEMA Disasters'!$C$2:$C$1000&amp;"-"&amp;'FEMA Disasters'!$A$2:$A$1000,""),IF('FEMA Disasters'!$K$2:$K$1000=$A617,"Disaster SEP opens: "&amp;'FEMA Disasters'!$D$2:$D$1000&amp;" ["&amp;'FEMA Disasters'!$B$2:$B$1000&amp;"] "&amp;'FEMA Disasters'!$C$2:$C$1000&amp;"-"&amp;'FEMA Disasters'!$A$2:$A$1000,""),IF('FEMA Disasters'!$L$2:$L$1000=$A617,"Disaster SEP ended: "&amp;'FEMA Disasters'!$D$2:$D$1000&amp;" ["&amp;'FEMA Disasters'!$B$2:$B$1000&amp;"] "&amp;'FEMA Disasters'!$C$2:$C$1000&amp;"-"&amp;'FEMA Disasters'!$A$2:$A$1000,""))</f>
        <v/>
      </c>
      <c r="H617" s="4" t="n">
        <f aca="false">COUNTIF(Events!$A$2:$A$397,$A617)</f>
        <v>0</v>
      </c>
      <c r="I617" s="6" t="str">
        <f aca="false" t="array" ref="I617:I617">_xlfn.TEXTJOIN(" | ",TRUE(),IF(Events!$A$2:$A$397=$A617,Events!$E$2:$E$397&amp;IF(Events!$G$2:$G$397="National",""," ["&amp;Events!$G$2:$G$397&amp;"]"),""))</f>
        <v/>
      </c>
    </row>
    <row r="618" customFormat="false" ht="15" hidden="false" customHeight="true" outlineLevel="0" collapsed="false">
      <c r="A618" s="3" t="n">
        <v>45908</v>
      </c>
      <c r="B618" s="4" t="n">
        <f aca="false">YEAR($A618)</f>
        <v>2025</v>
      </c>
      <c r="C618" s="4" t="n">
        <f aca="false">MONTH($A618)</f>
        <v>9</v>
      </c>
      <c r="D618" s="4" t="str">
        <f aca="false">TEXT($A618,"ddd")</f>
        <v>Mon</v>
      </c>
      <c r="E618" s="4" t="n">
        <f aca="false">IF(OR(AND(MONTH($A618)=10,DAY($A618)&gt;=15),MONTH($A618)=11,AND(MONTH($A618)=12,DAY($A618)&lt;=7)),1,0)</f>
        <v>0</v>
      </c>
      <c r="F618" s="4" t="n">
        <f aca="false">IF(MONTH($A618)&lt;=3,1,0)</f>
        <v>0</v>
      </c>
      <c r="G618" s="4" t="str">
        <f aca="false" t="array" ref="G618:G618">_xlfn.TEXTJOIN(" | ",TRUE(),IF('FEMA Disasters'!$F$2:$F$1000=$A618,'FEMA Disasters'!$D$2:$D$1000&amp;" begin: ["&amp;'FEMA Disasters'!$B$2:$B$1000&amp;"] "&amp;'FEMA Disasters'!$C$2:$C$1000&amp;"-"&amp;'FEMA Disasters'!$A$2:$A$1000,""),IF('FEMA Disasters'!$G$2:$G$1000=$A618,'FEMA Disasters'!$D$2:$D$1000&amp;" ended: ["&amp;'FEMA Disasters'!$B$2:$B$1000&amp;"] "&amp;'FEMA Disasters'!$C$2:$C$1000&amp;"-"&amp;'FEMA Disasters'!$A$2:$A$1000,""),IF('FEMA Disasters'!$K$2:$K$1000=$A618,"Disaster SEP opens: "&amp;'FEMA Disasters'!$D$2:$D$1000&amp;" ["&amp;'FEMA Disasters'!$B$2:$B$1000&amp;"] "&amp;'FEMA Disasters'!$C$2:$C$1000&amp;"-"&amp;'FEMA Disasters'!$A$2:$A$1000,""),IF('FEMA Disasters'!$L$2:$L$1000=$A618,"Disaster SEP ended: "&amp;'FEMA Disasters'!$D$2:$D$1000&amp;" ["&amp;'FEMA Disasters'!$B$2:$B$1000&amp;"] "&amp;'FEMA Disasters'!$C$2:$C$1000&amp;"-"&amp;'FEMA Disasters'!$A$2:$A$1000,""))</f>
        <v/>
      </c>
      <c r="H618" s="4" t="n">
        <f aca="false">COUNTIF(Events!$A$2:$A$397,$A618)</f>
        <v>0</v>
      </c>
      <c r="I618" s="6" t="str">
        <f aca="false" t="array" ref="I618:I618">_xlfn.TEXTJOIN(" | ",TRUE(),IF(Events!$A$2:$A$397=$A618,Events!$E$2:$E$397&amp;IF(Events!$G$2:$G$397="National",""," ["&amp;Events!$G$2:$G$397&amp;"]"),""))</f>
        <v/>
      </c>
    </row>
    <row r="619" customFormat="false" ht="15" hidden="false" customHeight="true" outlineLevel="0" collapsed="false">
      <c r="A619" s="3" t="n">
        <v>45909</v>
      </c>
      <c r="B619" s="4" t="n">
        <f aca="false">YEAR($A619)</f>
        <v>2025</v>
      </c>
      <c r="C619" s="4" t="n">
        <f aca="false">MONTH($A619)</f>
        <v>9</v>
      </c>
      <c r="D619" s="4" t="str">
        <f aca="false">TEXT($A619,"ddd")</f>
        <v>Tue</v>
      </c>
      <c r="E619" s="4" t="n">
        <f aca="false">IF(OR(AND(MONTH($A619)=10,DAY($A619)&gt;=15),MONTH($A619)=11,AND(MONTH($A619)=12,DAY($A619)&lt;=7)),1,0)</f>
        <v>0</v>
      </c>
      <c r="F619" s="4" t="n">
        <f aca="false">IF(MONTH($A619)&lt;=3,1,0)</f>
        <v>0</v>
      </c>
      <c r="G619" s="4" t="str">
        <f aca="false" t="array" ref="G619:G619">_xlfn.TEXTJOIN(" | ",TRUE(),IF('FEMA Disasters'!$F$2:$F$1000=$A619,'FEMA Disasters'!$D$2:$D$1000&amp;" begin: ["&amp;'FEMA Disasters'!$B$2:$B$1000&amp;"] "&amp;'FEMA Disasters'!$C$2:$C$1000&amp;"-"&amp;'FEMA Disasters'!$A$2:$A$1000,""),IF('FEMA Disasters'!$G$2:$G$1000=$A619,'FEMA Disasters'!$D$2:$D$1000&amp;" ended: ["&amp;'FEMA Disasters'!$B$2:$B$1000&amp;"] "&amp;'FEMA Disasters'!$C$2:$C$1000&amp;"-"&amp;'FEMA Disasters'!$A$2:$A$1000,""),IF('FEMA Disasters'!$K$2:$K$1000=$A619,"Disaster SEP opens: "&amp;'FEMA Disasters'!$D$2:$D$1000&amp;" ["&amp;'FEMA Disasters'!$B$2:$B$1000&amp;"] "&amp;'FEMA Disasters'!$C$2:$C$1000&amp;"-"&amp;'FEMA Disasters'!$A$2:$A$1000,""),IF('FEMA Disasters'!$L$2:$L$1000=$A619,"Disaster SEP ended: "&amp;'FEMA Disasters'!$D$2:$D$1000&amp;" ["&amp;'FEMA Disasters'!$B$2:$B$1000&amp;"] "&amp;'FEMA Disasters'!$C$2:$C$1000&amp;"-"&amp;'FEMA Disasters'!$A$2:$A$1000,""))</f>
        <v/>
      </c>
      <c r="H619" s="4" t="n">
        <f aca="false">COUNTIF(Events!$A$2:$A$397,$A619)</f>
        <v>0</v>
      </c>
      <c r="I619" s="6" t="str">
        <f aca="false" t="array" ref="I619:I619">_xlfn.TEXTJOIN(" | ",TRUE(),IF(Events!$A$2:$A$397=$A619,Events!$E$2:$E$397&amp;IF(Events!$G$2:$G$397="National",""," ["&amp;Events!$G$2:$G$397&amp;"]"),""))</f>
        <v/>
      </c>
    </row>
    <row r="620" customFormat="false" ht="15" hidden="false" customHeight="true" outlineLevel="0" collapsed="false">
      <c r="A620" s="3" t="n">
        <v>45910</v>
      </c>
      <c r="B620" s="4" t="n">
        <f aca="false">YEAR($A620)</f>
        <v>2025</v>
      </c>
      <c r="C620" s="4" t="n">
        <f aca="false">MONTH($A620)</f>
        <v>9</v>
      </c>
      <c r="D620" s="4" t="str">
        <f aca="false">TEXT($A620,"ddd")</f>
        <v>Wed</v>
      </c>
      <c r="E620" s="4" t="n">
        <f aca="false">IF(OR(AND(MONTH($A620)=10,DAY($A620)&gt;=15),MONTH($A620)=11,AND(MONTH($A620)=12,DAY($A620)&lt;=7)),1,0)</f>
        <v>0</v>
      </c>
      <c r="F620" s="4" t="n">
        <f aca="false">IF(MONTH($A620)&lt;=3,1,0)</f>
        <v>0</v>
      </c>
      <c r="G620" s="4" t="str">
        <f aca="false" t="array" ref="G620:G620">_xlfn.TEXTJOIN(" | ",TRUE(),IF('FEMA Disasters'!$F$2:$F$1000=$A620,'FEMA Disasters'!$D$2:$D$1000&amp;" begin: ["&amp;'FEMA Disasters'!$B$2:$B$1000&amp;"] "&amp;'FEMA Disasters'!$C$2:$C$1000&amp;"-"&amp;'FEMA Disasters'!$A$2:$A$1000,""),IF('FEMA Disasters'!$G$2:$G$1000=$A620,'FEMA Disasters'!$D$2:$D$1000&amp;" ended: ["&amp;'FEMA Disasters'!$B$2:$B$1000&amp;"] "&amp;'FEMA Disasters'!$C$2:$C$1000&amp;"-"&amp;'FEMA Disasters'!$A$2:$A$1000,""),IF('FEMA Disasters'!$K$2:$K$1000=$A620,"Disaster SEP opens: "&amp;'FEMA Disasters'!$D$2:$D$1000&amp;" ["&amp;'FEMA Disasters'!$B$2:$B$1000&amp;"] "&amp;'FEMA Disasters'!$C$2:$C$1000&amp;"-"&amp;'FEMA Disasters'!$A$2:$A$1000,""),IF('FEMA Disasters'!$L$2:$L$1000=$A620,"Disaster SEP ended: "&amp;'FEMA Disasters'!$D$2:$D$1000&amp;" ["&amp;'FEMA Disasters'!$B$2:$B$1000&amp;"] "&amp;'FEMA Disasters'!$C$2:$C$1000&amp;"-"&amp;'FEMA Disasters'!$A$2:$A$1000,""))</f>
        <v/>
      </c>
      <c r="H620" s="4" t="n">
        <f aca="false">COUNTIF(Events!$A$2:$A$397,$A620)</f>
        <v>0</v>
      </c>
      <c r="I620" s="6" t="str">
        <f aca="false" t="array" ref="I620:I620">_xlfn.TEXTJOIN(" | ",TRUE(),IF(Events!$A$2:$A$397=$A620,Events!$E$2:$E$397&amp;IF(Events!$G$2:$G$397="National",""," ["&amp;Events!$G$2:$G$397&amp;"]"),""))</f>
        <v/>
      </c>
    </row>
    <row r="621" customFormat="false" ht="15" hidden="false" customHeight="true" outlineLevel="0" collapsed="false">
      <c r="A621" s="3" t="n">
        <v>45911</v>
      </c>
      <c r="B621" s="4" t="n">
        <f aca="false">YEAR($A621)</f>
        <v>2025</v>
      </c>
      <c r="C621" s="4" t="n">
        <f aca="false">MONTH($A621)</f>
        <v>9</v>
      </c>
      <c r="D621" s="4" t="str">
        <f aca="false">TEXT($A621,"ddd")</f>
        <v>Thu</v>
      </c>
      <c r="E621" s="4" t="n">
        <f aca="false">IF(OR(AND(MONTH($A621)=10,DAY($A621)&gt;=15),MONTH($A621)=11,AND(MONTH($A621)=12,DAY($A621)&lt;=7)),1,0)</f>
        <v>0</v>
      </c>
      <c r="F621" s="4" t="n">
        <f aca="false">IF(MONTH($A621)&lt;=3,1,0)</f>
        <v>0</v>
      </c>
      <c r="G621" s="4" t="str">
        <f aca="false" t="array" ref="G621:G621">_xlfn.TEXTJOIN(" | ",TRUE(),IF('FEMA Disasters'!$F$2:$F$1000=$A621,'FEMA Disasters'!$D$2:$D$1000&amp;" begin: ["&amp;'FEMA Disasters'!$B$2:$B$1000&amp;"] "&amp;'FEMA Disasters'!$C$2:$C$1000&amp;"-"&amp;'FEMA Disasters'!$A$2:$A$1000,""),IF('FEMA Disasters'!$G$2:$G$1000=$A621,'FEMA Disasters'!$D$2:$D$1000&amp;" ended: ["&amp;'FEMA Disasters'!$B$2:$B$1000&amp;"] "&amp;'FEMA Disasters'!$C$2:$C$1000&amp;"-"&amp;'FEMA Disasters'!$A$2:$A$1000,""),IF('FEMA Disasters'!$K$2:$K$1000=$A621,"Disaster SEP opens: "&amp;'FEMA Disasters'!$D$2:$D$1000&amp;" ["&amp;'FEMA Disasters'!$B$2:$B$1000&amp;"] "&amp;'FEMA Disasters'!$C$2:$C$1000&amp;"-"&amp;'FEMA Disasters'!$A$2:$A$1000,""),IF('FEMA Disasters'!$L$2:$L$1000=$A621,"Disaster SEP ended: "&amp;'FEMA Disasters'!$D$2:$D$1000&amp;" ["&amp;'FEMA Disasters'!$B$2:$B$1000&amp;"] "&amp;'FEMA Disasters'!$C$2:$C$1000&amp;"-"&amp;'FEMA Disasters'!$A$2:$A$1000,""))</f>
        <v/>
      </c>
      <c r="H621" s="4" t="n">
        <f aca="false">COUNTIF(Events!$A$2:$A$397,$A621)</f>
        <v>0</v>
      </c>
      <c r="I621" s="6" t="str">
        <f aca="false" t="array" ref="I621:I621">_xlfn.TEXTJOIN(" | ",TRUE(),IF(Events!$A$2:$A$397=$A621,Events!$E$2:$E$397&amp;IF(Events!$G$2:$G$397="National",""," ["&amp;Events!$G$2:$G$397&amp;"]"),""))</f>
        <v/>
      </c>
    </row>
    <row r="622" customFormat="false" ht="15" hidden="false" customHeight="true" outlineLevel="0" collapsed="false">
      <c r="A622" s="3" t="n">
        <v>45912</v>
      </c>
      <c r="B622" s="4" t="n">
        <f aca="false">YEAR($A622)</f>
        <v>2025</v>
      </c>
      <c r="C622" s="4" t="n">
        <f aca="false">MONTH($A622)</f>
        <v>9</v>
      </c>
      <c r="D622" s="4" t="str">
        <f aca="false">TEXT($A622,"ddd")</f>
        <v>Fri</v>
      </c>
      <c r="E622" s="4" t="n">
        <f aca="false">IF(OR(AND(MONTH($A622)=10,DAY($A622)&gt;=15),MONTH($A622)=11,AND(MONTH($A622)=12,DAY($A622)&lt;=7)),1,0)</f>
        <v>0</v>
      </c>
      <c r="F622" s="4" t="n">
        <f aca="false">IF(MONTH($A622)&lt;=3,1,0)</f>
        <v>0</v>
      </c>
      <c r="G622" s="4" t="str">
        <f aca="false" t="array" ref="G622:G622">_xlfn.TEXTJOIN(" | ",TRUE(),IF('FEMA Disasters'!$F$2:$F$1000=$A622,'FEMA Disasters'!$D$2:$D$1000&amp;" begin: ["&amp;'FEMA Disasters'!$B$2:$B$1000&amp;"] "&amp;'FEMA Disasters'!$C$2:$C$1000&amp;"-"&amp;'FEMA Disasters'!$A$2:$A$1000,""),IF('FEMA Disasters'!$G$2:$G$1000=$A622,'FEMA Disasters'!$D$2:$D$1000&amp;" ended: ["&amp;'FEMA Disasters'!$B$2:$B$1000&amp;"] "&amp;'FEMA Disasters'!$C$2:$C$1000&amp;"-"&amp;'FEMA Disasters'!$A$2:$A$1000,""),IF('FEMA Disasters'!$K$2:$K$1000=$A622,"Disaster SEP opens: "&amp;'FEMA Disasters'!$D$2:$D$1000&amp;" ["&amp;'FEMA Disasters'!$B$2:$B$1000&amp;"] "&amp;'FEMA Disasters'!$C$2:$C$1000&amp;"-"&amp;'FEMA Disasters'!$A$2:$A$1000,""),IF('FEMA Disasters'!$L$2:$L$1000=$A622,"Disaster SEP ended: "&amp;'FEMA Disasters'!$D$2:$D$1000&amp;" ["&amp;'FEMA Disasters'!$B$2:$B$1000&amp;"] "&amp;'FEMA Disasters'!$C$2:$C$1000&amp;"-"&amp;'FEMA Disasters'!$A$2:$A$1000,""))</f>
        <v/>
      </c>
      <c r="H622" s="4" t="n">
        <f aca="false">COUNTIF(Events!$A$2:$A$397,$A622)</f>
        <v>0</v>
      </c>
      <c r="I622" s="6" t="str">
        <f aca="false" t="array" ref="I622:I622">_xlfn.TEXTJOIN(" | ",TRUE(),IF(Events!$A$2:$A$397=$A622,Events!$E$2:$E$397&amp;IF(Events!$G$2:$G$397="National",""," ["&amp;Events!$G$2:$G$397&amp;"]"),""))</f>
        <v/>
      </c>
    </row>
    <row r="623" customFormat="false" ht="15" hidden="false" customHeight="true" outlineLevel="0" collapsed="false">
      <c r="A623" s="3" t="n">
        <v>45913</v>
      </c>
      <c r="B623" s="4" t="n">
        <f aca="false">YEAR($A623)</f>
        <v>2025</v>
      </c>
      <c r="C623" s="4" t="n">
        <f aca="false">MONTH($A623)</f>
        <v>9</v>
      </c>
      <c r="D623" s="4" t="str">
        <f aca="false">TEXT($A623,"ddd")</f>
        <v>Sat</v>
      </c>
      <c r="E623" s="4" t="n">
        <f aca="false">IF(OR(AND(MONTH($A623)=10,DAY($A623)&gt;=15),MONTH($A623)=11,AND(MONTH($A623)=12,DAY($A623)&lt;=7)),1,0)</f>
        <v>0</v>
      </c>
      <c r="F623" s="4" t="n">
        <f aca="false">IF(MONTH($A623)&lt;=3,1,0)</f>
        <v>0</v>
      </c>
      <c r="G623" s="4" t="str">
        <f aca="false" t="array" ref="G623:G623">_xlfn.TEXTJOIN(" | ",TRUE(),IF('FEMA Disasters'!$F$2:$F$1000=$A623,'FEMA Disasters'!$D$2:$D$1000&amp;" begin: ["&amp;'FEMA Disasters'!$B$2:$B$1000&amp;"] "&amp;'FEMA Disasters'!$C$2:$C$1000&amp;"-"&amp;'FEMA Disasters'!$A$2:$A$1000,""),IF('FEMA Disasters'!$G$2:$G$1000=$A623,'FEMA Disasters'!$D$2:$D$1000&amp;" ended: ["&amp;'FEMA Disasters'!$B$2:$B$1000&amp;"] "&amp;'FEMA Disasters'!$C$2:$C$1000&amp;"-"&amp;'FEMA Disasters'!$A$2:$A$1000,""),IF('FEMA Disasters'!$K$2:$K$1000=$A623,"Disaster SEP opens: "&amp;'FEMA Disasters'!$D$2:$D$1000&amp;" ["&amp;'FEMA Disasters'!$B$2:$B$1000&amp;"] "&amp;'FEMA Disasters'!$C$2:$C$1000&amp;"-"&amp;'FEMA Disasters'!$A$2:$A$1000,""),IF('FEMA Disasters'!$L$2:$L$1000=$A623,"Disaster SEP ended: "&amp;'FEMA Disasters'!$D$2:$D$1000&amp;" ["&amp;'FEMA Disasters'!$B$2:$B$1000&amp;"] "&amp;'FEMA Disasters'!$C$2:$C$1000&amp;"-"&amp;'FEMA Disasters'!$A$2:$A$1000,""))</f>
        <v/>
      </c>
      <c r="H623" s="4" t="n">
        <f aca="false">COUNTIF(Events!$A$2:$A$397,$A623)</f>
        <v>0</v>
      </c>
      <c r="I623" s="6" t="str">
        <f aca="false" t="array" ref="I623:I623">_xlfn.TEXTJOIN(" | ",TRUE(),IF(Events!$A$2:$A$397=$A623,Events!$E$2:$E$397&amp;IF(Events!$G$2:$G$397="National",""," ["&amp;Events!$G$2:$G$397&amp;"]"),""))</f>
        <v/>
      </c>
    </row>
    <row r="624" customFormat="false" ht="15" hidden="false" customHeight="true" outlineLevel="0" collapsed="false">
      <c r="A624" s="3" t="n">
        <v>45914</v>
      </c>
      <c r="B624" s="4" t="n">
        <f aca="false">YEAR($A624)</f>
        <v>2025</v>
      </c>
      <c r="C624" s="4" t="n">
        <f aca="false">MONTH($A624)</f>
        <v>9</v>
      </c>
      <c r="D624" s="4" t="str">
        <f aca="false">TEXT($A624,"ddd")</f>
        <v>Sun</v>
      </c>
      <c r="E624" s="4" t="n">
        <f aca="false">IF(OR(AND(MONTH($A624)=10,DAY($A624)&gt;=15),MONTH($A624)=11,AND(MONTH($A624)=12,DAY($A624)&lt;=7)),1,0)</f>
        <v>0</v>
      </c>
      <c r="F624" s="4" t="n">
        <f aca="false">IF(MONTH($A624)&lt;=3,1,0)</f>
        <v>0</v>
      </c>
      <c r="G624" s="4" t="str">
        <f aca="false" t="array" ref="G624:G624">_xlfn.TEXTJOIN(" | ",TRUE(),IF('FEMA Disasters'!$F$2:$F$1000=$A624,'FEMA Disasters'!$D$2:$D$1000&amp;" begin: ["&amp;'FEMA Disasters'!$B$2:$B$1000&amp;"] "&amp;'FEMA Disasters'!$C$2:$C$1000&amp;"-"&amp;'FEMA Disasters'!$A$2:$A$1000,""),IF('FEMA Disasters'!$G$2:$G$1000=$A624,'FEMA Disasters'!$D$2:$D$1000&amp;" ended: ["&amp;'FEMA Disasters'!$B$2:$B$1000&amp;"] "&amp;'FEMA Disasters'!$C$2:$C$1000&amp;"-"&amp;'FEMA Disasters'!$A$2:$A$1000,""),IF('FEMA Disasters'!$K$2:$K$1000=$A624,"Disaster SEP opens: "&amp;'FEMA Disasters'!$D$2:$D$1000&amp;" ["&amp;'FEMA Disasters'!$B$2:$B$1000&amp;"] "&amp;'FEMA Disasters'!$C$2:$C$1000&amp;"-"&amp;'FEMA Disasters'!$A$2:$A$1000,""),IF('FEMA Disasters'!$L$2:$L$1000=$A624,"Disaster SEP ended: "&amp;'FEMA Disasters'!$D$2:$D$1000&amp;" ["&amp;'FEMA Disasters'!$B$2:$B$1000&amp;"] "&amp;'FEMA Disasters'!$C$2:$C$1000&amp;"-"&amp;'FEMA Disasters'!$A$2:$A$1000,""))</f>
        <v/>
      </c>
      <c r="H624" s="4" t="n">
        <f aca="false">COUNTIF(Events!$A$2:$A$397,$A624)</f>
        <v>0</v>
      </c>
      <c r="I624" s="6" t="str">
        <f aca="false" t="array" ref="I624:I624">_xlfn.TEXTJOIN(" | ",TRUE(),IF(Events!$A$2:$A$397=$A624,Events!$E$2:$E$397&amp;IF(Events!$G$2:$G$397="National",""," ["&amp;Events!$G$2:$G$397&amp;"]"),""))</f>
        <v/>
      </c>
    </row>
    <row r="625" customFormat="false" ht="15" hidden="false" customHeight="true" outlineLevel="0" collapsed="false">
      <c r="A625" s="3" t="n">
        <v>45915</v>
      </c>
      <c r="B625" s="4" t="n">
        <f aca="false">YEAR($A625)</f>
        <v>2025</v>
      </c>
      <c r="C625" s="4" t="n">
        <f aca="false">MONTH($A625)</f>
        <v>9</v>
      </c>
      <c r="D625" s="4" t="str">
        <f aca="false">TEXT($A625,"ddd")</f>
        <v>Mon</v>
      </c>
      <c r="E625" s="4" t="n">
        <f aca="false">IF(OR(AND(MONTH($A625)=10,DAY($A625)&gt;=15),MONTH($A625)=11,AND(MONTH($A625)=12,DAY($A625)&lt;=7)),1,0)</f>
        <v>0</v>
      </c>
      <c r="F625" s="4" t="n">
        <f aca="false">IF(MONTH($A625)&lt;=3,1,0)</f>
        <v>0</v>
      </c>
      <c r="G625" s="4" t="str">
        <f aca="false" t="array" ref="G625:G625">_xlfn.TEXTJOIN(" | ",TRUE(),IF('FEMA Disasters'!$F$2:$F$1000=$A625,'FEMA Disasters'!$D$2:$D$1000&amp;" begin: ["&amp;'FEMA Disasters'!$B$2:$B$1000&amp;"] "&amp;'FEMA Disasters'!$C$2:$C$1000&amp;"-"&amp;'FEMA Disasters'!$A$2:$A$1000,""),IF('FEMA Disasters'!$G$2:$G$1000=$A625,'FEMA Disasters'!$D$2:$D$1000&amp;" ended: ["&amp;'FEMA Disasters'!$B$2:$B$1000&amp;"] "&amp;'FEMA Disasters'!$C$2:$C$1000&amp;"-"&amp;'FEMA Disasters'!$A$2:$A$1000,""),IF('FEMA Disasters'!$K$2:$K$1000=$A625,"Disaster SEP opens: "&amp;'FEMA Disasters'!$D$2:$D$1000&amp;" ["&amp;'FEMA Disasters'!$B$2:$B$1000&amp;"] "&amp;'FEMA Disasters'!$C$2:$C$1000&amp;"-"&amp;'FEMA Disasters'!$A$2:$A$1000,""),IF('FEMA Disasters'!$L$2:$L$1000=$A625,"Disaster SEP ended: "&amp;'FEMA Disasters'!$D$2:$D$1000&amp;" ["&amp;'FEMA Disasters'!$B$2:$B$1000&amp;"] "&amp;'FEMA Disasters'!$C$2:$C$1000&amp;"-"&amp;'FEMA Disasters'!$A$2:$A$1000,""))</f>
        <v/>
      </c>
      <c r="H625" s="4" t="n">
        <f aca="false">COUNTIF(Events!$A$2:$A$397,$A625)</f>
        <v>0</v>
      </c>
      <c r="I625" s="6" t="str">
        <f aca="false" t="array" ref="I625:I625">_xlfn.TEXTJOIN(" | ",TRUE(),IF(Events!$A$2:$A$397=$A625,Events!$E$2:$E$397&amp;IF(Events!$G$2:$G$397="National",""," ["&amp;Events!$G$2:$G$397&amp;"]"),""))</f>
        <v/>
      </c>
    </row>
    <row r="626" customFormat="false" ht="15" hidden="false" customHeight="true" outlineLevel="0" collapsed="false">
      <c r="A626" s="3" t="n">
        <v>45916</v>
      </c>
      <c r="B626" s="4" t="n">
        <f aca="false">YEAR($A626)</f>
        <v>2025</v>
      </c>
      <c r="C626" s="4" t="n">
        <f aca="false">MONTH($A626)</f>
        <v>9</v>
      </c>
      <c r="D626" s="4" t="str">
        <f aca="false">TEXT($A626,"ddd")</f>
        <v>Tue</v>
      </c>
      <c r="E626" s="4" t="n">
        <f aca="false">IF(OR(AND(MONTH($A626)=10,DAY($A626)&gt;=15),MONTH($A626)=11,AND(MONTH($A626)=12,DAY($A626)&lt;=7)),1,0)</f>
        <v>0</v>
      </c>
      <c r="F626" s="4" t="n">
        <f aca="false">IF(MONTH($A626)&lt;=3,1,0)</f>
        <v>0</v>
      </c>
      <c r="G626" s="4" t="str">
        <f aca="false" t="array" ref="G626:G626">_xlfn.TEXTJOIN(" | ",TRUE(),IF('FEMA Disasters'!$F$2:$F$1000=$A626,'FEMA Disasters'!$D$2:$D$1000&amp;" begin: ["&amp;'FEMA Disasters'!$B$2:$B$1000&amp;"] "&amp;'FEMA Disasters'!$C$2:$C$1000&amp;"-"&amp;'FEMA Disasters'!$A$2:$A$1000,""),IF('FEMA Disasters'!$G$2:$G$1000=$A626,'FEMA Disasters'!$D$2:$D$1000&amp;" ended: ["&amp;'FEMA Disasters'!$B$2:$B$1000&amp;"] "&amp;'FEMA Disasters'!$C$2:$C$1000&amp;"-"&amp;'FEMA Disasters'!$A$2:$A$1000,""),IF('FEMA Disasters'!$K$2:$K$1000=$A626,"Disaster SEP opens: "&amp;'FEMA Disasters'!$D$2:$D$1000&amp;" ["&amp;'FEMA Disasters'!$B$2:$B$1000&amp;"] "&amp;'FEMA Disasters'!$C$2:$C$1000&amp;"-"&amp;'FEMA Disasters'!$A$2:$A$1000,""),IF('FEMA Disasters'!$L$2:$L$1000=$A626,"Disaster SEP ended: "&amp;'FEMA Disasters'!$D$2:$D$1000&amp;" ["&amp;'FEMA Disasters'!$B$2:$B$1000&amp;"] "&amp;'FEMA Disasters'!$C$2:$C$1000&amp;"-"&amp;'FEMA Disasters'!$A$2:$A$1000,""))</f>
        <v/>
      </c>
      <c r="H626" s="4" t="n">
        <f aca="false">COUNTIF(Events!$A$2:$A$397,$A626)</f>
        <v>0</v>
      </c>
      <c r="I626" s="6" t="str">
        <f aca="false" t="array" ref="I626:I626">_xlfn.TEXTJOIN(" | ",TRUE(),IF(Events!$A$2:$A$397=$A626,Events!$E$2:$E$397&amp;IF(Events!$G$2:$G$397="National",""," ["&amp;Events!$G$2:$G$397&amp;"]"),""))</f>
        <v/>
      </c>
    </row>
    <row r="627" customFormat="false" ht="15" hidden="false" customHeight="true" outlineLevel="0" collapsed="false">
      <c r="A627" s="3" t="n">
        <v>45917</v>
      </c>
      <c r="B627" s="4" t="n">
        <f aca="false">YEAR($A627)</f>
        <v>2025</v>
      </c>
      <c r="C627" s="4" t="n">
        <f aca="false">MONTH($A627)</f>
        <v>9</v>
      </c>
      <c r="D627" s="4" t="str">
        <f aca="false">TEXT($A627,"ddd")</f>
        <v>Wed</v>
      </c>
      <c r="E627" s="4" t="n">
        <f aca="false">IF(OR(AND(MONTH($A627)=10,DAY($A627)&gt;=15),MONTH($A627)=11,AND(MONTH($A627)=12,DAY($A627)&lt;=7)),1,0)</f>
        <v>0</v>
      </c>
      <c r="F627" s="4" t="n">
        <f aca="false">IF(MONTH($A627)&lt;=3,1,0)</f>
        <v>0</v>
      </c>
      <c r="G627" s="4" t="str">
        <f aca="false" t="array" ref="G627:G627">_xlfn.TEXTJOIN(" | ",TRUE(),IF('FEMA Disasters'!$F$2:$F$1000=$A627,'FEMA Disasters'!$D$2:$D$1000&amp;" begin: ["&amp;'FEMA Disasters'!$B$2:$B$1000&amp;"] "&amp;'FEMA Disasters'!$C$2:$C$1000&amp;"-"&amp;'FEMA Disasters'!$A$2:$A$1000,""),IF('FEMA Disasters'!$G$2:$G$1000=$A627,'FEMA Disasters'!$D$2:$D$1000&amp;" ended: ["&amp;'FEMA Disasters'!$B$2:$B$1000&amp;"] "&amp;'FEMA Disasters'!$C$2:$C$1000&amp;"-"&amp;'FEMA Disasters'!$A$2:$A$1000,""),IF('FEMA Disasters'!$K$2:$K$1000=$A627,"Disaster SEP opens: "&amp;'FEMA Disasters'!$D$2:$D$1000&amp;" ["&amp;'FEMA Disasters'!$B$2:$B$1000&amp;"] "&amp;'FEMA Disasters'!$C$2:$C$1000&amp;"-"&amp;'FEMA Disasters'!$A$2:$A$1000,""),IF('FEMA Disasters'!$L$2:$L$1000=$A627,"Disaster SEP ended: "&amp;'FEMA Disasters'!$D$2:$D$1000&amp;" ["&amp;'FEMA Disasters'!$B$2:$B$1000&amp;"] "&amp;'FEMA Disasters'!$C$2:$C$1000&amp;"-"&amp;'FEMA Disasters'!$A$2:$A$1000,""))</f>
        <v/>
      </c>
      <c r="H627" s="4" t="n">
        <f aca="false">COUNTIF(Events!$A$2:$A$397,$A627)</f>
        <v>0</v>
      </c>
      <c r="I627" s="6" t="str">
        <f aca="false" t="array" ref="I627:I627">_xlfn.TEXTJOIN(" | ",TRUE(),IF(Events!$A$2:$A$397=$A627,Events!$E$2:$E$397&amp;IF(Events!$G$2:$G$397="National",""," ["&amp;Events!$G$2:$G$397&amp;"]"),""))</f>
        <v/>
      </c>
    </row>
    <row r="628" customFormat="false" ht="15" hidden="false" customHeight="true" outlineLevel="0" collapsed="false">
      <c r="A628" s="3" t="n">
        <v>45918</v>
      </c>
      <c r="B628" s="4" t="n">
        <f aca="false">YEAR($A628)</f>
        <v>2025</v>
      </c>
      <c r="C628" s="4" t="n">
        <f aca="false">MONTH($A628)</f>
        <v>9</v>
      </c>
      <c r="D628" s="4" t="str">
        <f aca="false">TEXT($A628,"ddd")</f>
        <v>Thu</v>
      </c>
      <c r="E628" s="4" t="n">
        <f aca="false">IF(OR(AND(MONTH($A628)=10,DAY($A628)&gt;=15),MONTH($A628)=11,AND(MONTH($A628)=12,DAY($A628)&lt;=7)),1,0)</f>
        <v>0</v>
      </c>
      <c r="F628" s="4" t="n">
        <f aca="false">IF(MONTH($A628)&lt;=3,1,0)</f>
        <v>0</v>
      </c>
      <c r="G628" s="4" t="str">
        <f aca="false" t="array" ref="G628:G628">_xlfn.TEXTJOIN(" | ",TRUE(),IF('FEMA Disasters'!$F$2:$F$1000=$A628,'FEMA Disasters'!$D$2:$D$1000&amp;" begin: ["&amp;'FEMA Disasters'!$B$2:$B$1000&amp;"] "&amp;'FEMA Disasters'!$C$2:$C$1000&amp;"-"&amp;'FEMA Disasters'!$A$2:$A$1000,""),IF('FEMA Disasters'!$G$2:$G$1000=$A628,'FEMA Disasters'!$D$2:$D$1000&amp;" ended: ["&amp;'FEMA Disasters'!$B$2:$B$1000&amp;"] "&amp;'FEMA Disasters'!$C$2:$C$1000&amp;"-"&amp;'FEMA Disasters'!$A$2:$A$1000,""),IF('FEMA Disasters'!$K$2:$K$1000=$A628,"Disaster SEP opens: "&amp;'FEMA Disasters'!$D$2:$D$1000&amp;" ["&amp;'FEMA Disasters'!$B$2:$B$1000&amp;"] "&amp;'FEMA Disasters'!$C$2:$C$1000&amp;"-"&amp;'FEMA Disasters'!$A$2:$A$1000,""),IF('FEMA Disasters'!$L$2:$L$1000=$A628,"Disaster SEP ended: "&amp;'FEMA Disasters'!$D$2:$D$1000&amp;" ["&amp;'FEMA Disasters'!$B$2:$B$1000&amp;"] "&amp;'FEMA Disasters'!$C$2:$C$1000&amp;"-"&amp;'FEMA Disasters'!$A$2:$A$1000,""))</f>
        <v/>
      </c>
      <c r="H628" s="4" t="n">
        <f aca="false">COUNTIF(Events!$A$2:$A$397,$A628)</f>
        <v>0</v>
      </c>
      <c r="I628" s="6" t="str">
        <f aca="false" t="array" ref="I628:I628">_xlfn.TEXTJOIN(" | ",TRUE(),IF(Events!$A$2:$A$397=$A628,Events!$E$2:$E$397&amp;IF(Events!$G$2:$G$397="National",""," ["&amp;Events!$G$2:$G$397&amp;"]"),""))</f>
        <v/>
      </c>
    </row>
    <row r="629" customFormat="false" ht="15" hidden="false" customHeight="true" outlineLevel="0" collapsed="false">
      <c r="A629" s="3" t="n">
        <v>45919</v>
      </c>
      <c r="B629" s="4" t="n">
        <f aca="false">YEAR($A629)</f>
        <v>2025</v>
      </c>
      <c r="C629" s="4" t="n">
        <f aca="false">MONTH($A629)</f>
        <v>9</v>
      </c>
      <c r="D629" s="4" t="str">
        <f aca="false">TEXT($A629,"ddd")</f>
        <v>Fri</v>
      </c>
      <c r="E629" s="4" t="n">
        <f aca="false">IF(OR(AND(MONTH($A629)=10,DAY($A629)&gt;=15),MONTH($A629)=11,AND(MONTH($A629)=12,DAY($A629)&lt;=7)),1,0)</f>
        <v>0</v>
      </c>
      <c r="F629" s="4" t="n">
        <f aca="false">IF(MONTH($A629)&lt;=3,1,0)</f>
        <v>0</v>
      </c>
      <c r="G629" s="4" t="str">
        <f aca="false" t="array" ref="G629:G629">_xlfn.TEXTJOIN(" | ",TRUE(),IF('FEMA Disasters'!$F$2:$F$1000=$A629,'FEMA Disasters'!$D$2:$D$1000&amp;" begin: ["&amp;'FEMA Disasters'!$B$2:$B$1000&amp;"] "&amp;'FEMA Disasters'!$C$2:$C$1000&amp;"-"&amp;'FEMA Disasters'!$A$2:$A$1000,""),IF('FEMA Disasters'!$G$2:$G$1000=$A629,'FEMA Disasters'!$D$2:$D$1000&amp;" ended: ["&amp;'FEMA Disasters'!$B$2:$B$1000&amp;"] "&amp;'FEMA Disasters'!$C$2:$C$1000&amp;"-"&amp;'FEMA Disasters'!$A$2:$A$1000,""),IF('FEMA Disasters'!$K$2:$K$1000=$A629,"Disaster SEP opens: "&amp;'FEMA Disasters'!$D$2:$D$1000&amp;" ["&amp;'FEMA Disasters'!$B$2:$B$1000&amp;"] "&amp;'FEMA Disasters'!$C$2:$C$1000&amp;"-"&amp;'FEMA Disasters'!$A$2:$A$1000,""),IF('FEMA Disasters'!$L$2:$L$1000=$A629,"Disaster SEP ended: "&amp;'FEMA Disasters'!$D$2:$D$1000&amp;" ["&amp;'FEMA Disasters'!$B$2:$B$1000&amp;"] "&amp;'FEMA Disasters'!$C$2:$C$1000&amp;"-"&amp;'FEMA Disasters'!$A$2:$A$1000,""))</f>
        <v>Fire ended: [MT] FM-5611</v>
      </c>
      <c r="H629" s="4" t="n">
        <f aca="false">COUNTIF(Events!$A$2:$A$397,$A629)</f>
        <v>1</v>
      </c>
      <c r="I629" s="6" t="str">
        <f aca="false" t="array" ref="I629:I629">_xlfn.TEXTJOIN(" | ",TRUE(),IF(Events!$A$2:$A$397=$A629,Events!$E$2:$E$397&amp;IF(Events!$G$2:$G$397="National",""," ["&amp;Events!$G$2:$G$397&amp;"]"),""))</f>
        <v>Provider directory rule (CMS-4208-F2): MA plans must submit provider directory data to CMS for publication in Mediare Plan Finder, with 30 day update requirements and annual accurancy attestations (target "ghost networks"; effective 11/17/2025; applicable plan years begin 1/1/2026)</v>
      </c>
    </row>
    <row r="630" customFormat="false" ht="15" hidden="false" customHeight="true" outlineLevel="0" collapsed="false">
      <c r="A630" s="3" t="n">
        <v>45920</v>
      </c>
      <c r="B630" s="4" t="n">
        <f aca="false">YEAR($A630)</f>
        <v>2025</v>
      </c>
      <c r="C630" s="4" t="n">
        <f aca="false">MONTH($A630)</f>
        <v>9</v>
      </c>
      <c r="D630" s="4" t="str">
        <f aca="false">TEXT($A630,"ddd")</f>
        <v>Sat</v>
      </c>
      <c r="E630" s="4" t="n">
        <f aca="false">IF(OR(AND(MONTH($A630)=10,DAY($A630)&gt;=15),MONTH($A630)=11,AND(MONTH($A630)=12,DAY($A630)&lt;=7)),1,0)</f>
        <v>0</v>
      </c>
      <c r="F630" s="4" t="n">
        <f aca="false">IF(MONTH($A630)&lt;=3,1,0)</f>
        <v>0</v>
      </c>
      <c r="G630" s="4" t="str">
        <f aca="false" t="array" ref="G630:G630">_xlfn.TEXTJOIN(" | ",TRUE(),IF('FEMA Disasters'!$F$2:$F$1000=$A630,'FEMA Disasters'!$D$2:$D$1000&amp;" begin: ["&amp;'FEMA Disasters'!$B$2:$B$1000&amp;"] "&amp;'FEMA Disasters'!$C$2:$C$1000&amp;"-"&amp;'FEMA Disasters'!$A$2:$A$1000,""),IF('FEMA Disasters'!$G$2:$G$1000=$A630,'FEMA Disasters'!$D$2:$D$1000&amp;" ended: ["&amp;'FEMA Disasters'!$B$2:$B$1000&amp;"] "&amp;'FEMA Disasters'!$C$2:$C$1000&amp;"-"&amp;'FEMA Disasters'!$A$2:$A$1000,""),IF('FEMA Disasters'!$K$2:$K$1000=$A630,"Disaster SEP opens: "&amp;'FEMA Disasters'!$D$2:$D$1000&amp;" ["&amp;'FEMA Disasters'!$B$2:$B$1000&amp;"] "&amp;'FEMA Disasters'!$C$2:$C$1000&amp;"-"&amp;'FEMA Disasters'!$A$2:$A$1000,""),IF('FEMA Disasters'!$L$2:$L$1000=$A630,"Disaster SEP ended: "&amp;'FEMA Disasters'!$D$2:$D$1000&amp;" ["&amp;'FEMA Disasters'!$B$2:$B$1000&amp;"] "&amp;'FEMA Disasters'!$C$2:$C$1000&amp;"-"&amp;'FEMA Disasters'!$A$2:$A$1000,""))</f>
        <v/>
      </c>
      <c r="H630" s="4" t="n">
        <f aca="false">COUNTIF(Events!$A$2:$A$397,$A630)</f>
        <v>0</v>
      </c>
      <c r="I630" s="6" t="str">
        <f aca="false" t="array" ref="I630:I630">_xlfn.TEXTJOIN(" | ",TRUE(),IF(Events!$A$2:$A$397=$A630,Events!$E$2:$E$397&amp;IF(Events!$G$2:$G$397="National",""," ["&amp;Events!$G$2:$G$397&amp;"]"),""))</f>
        <v/>
      </c>
    </row>
    <row r="631" customFormat="false" ht="15" hidden="false" customHeight="true" outlineLevel="0" collapsed="false">
      <c r="A631" s="3" t="n">
        <v>45921</v>
      </c>
      <c r="B631" s="4" t="n">
        <f aca="false">YEAR($A631)</f>
        <v>2025</v>
      </c>
      <c r="C631" s="4" t="n">
        <f aca="false">MONTH($A631)</f>
        <v>9</v>
      </c>
      <c r="D631" s="4" t="str">
        <f aca="false">TEXT($A631,"ddd")</f>
        <v>Sun</v>
      </c>
      <c r="E631" s="4" t="n">
        <f aca="false">IF(OR(AND(MONTH($A631)=10,DAY($A631)&gt;=15),MONTH($A631)=11,AND(MONTH($A631)=12,DAY($A631)&lt;=7)),1,0)</f>
        <v>0</v>
      </c>
      <c r="F631" s="4" t="n">
        <f aca="false">IF(MONTH($A631)&lt;=3,1,0)</f>
        <v>0</v>
      </c>
      <c r="G631" s="4" t="str">
        <f aca="false" t="array" ref="G631:G631">_xlfn.TEXTJOIN(" | ",TRUE(),IF('FEMA Disasters'!$F$2:$F$1000=$A631,'FEMA Disasters'!$D$2:$D$1000&amp;" begin: ["&amp;'FEMA Disasters'!$B$2:$B$1000&amp;"] "&amp;'FEMA Disasters'!$C$2:$C$1000&amp;"-"&amp;'FEMA Disasters'!$A$2:$A$1000,""),IF('FEMA Disasters'!$G$2:$G$1000=$A631,'FEMA Disasters'!$D$2:$D$1000&amp;" ended: ["&amp;'FEMA Disasters'!$B$2:$B$1000&amp;"] "&amp;'FEMA Disasters'!$C$2:$C$1000&amp;"-"&amp;'FEMA Disasters'!$A$2:$A$1000,""),IF('FEMA Disasters'!$K$2:$K$1000=$A631,"Disaster SEP opens: "&amp;'FEMA Disasters'!$D$2:$D$1000&amp;" ["&amp;'FEMA Disasters'!$B$2:$B$1000&amp;"] "&amp;'FEMA Disasters'!$C$2:$C$1000&amp;"-"&amp;'FEMA Disasters'!$A$2:$A$1000,""),IF('FEMA Disasters'!$L$2:$L$1000=$A631,"Disaster SEP ended: "&amp;'FEMA Disasters'!$D$2:$D$1000&amp;" ["&amp;'FEMA Disasters'!$B$2:$B$1000&amp;"] "&amp;'FEMA Disasters'!$C$2:$C$1000&amp;"-"&amp;'FEMA Disasters'!$A$2:$A$1000,""))</f>
        <v/>
      </c>
      <c r="H631" s="4" t="n">
        <f aca="false">COUNTIF(Events!$A$2:$A$397,$A631)</f>
        <v>0</v>
      </c>
      <c r="I631" s="6" t="str">
        <f aca="false" t="array" ref="I631:I631">_xlfn.TEXTJOIN(" | ",TRUE(),IF(Events!$A$2:$A$397=$A631,Events!$E$2:$E$397&amp;IF(Events!$G$2:$G$397="National",""," ["&amp;Events!$G$2:$G$397&amp;"]"),""))</f>
        <v/>
      </c>
    </row>
    <row r="632" customFormat="false" ht="15" hidden="false" customHeight="true" outlineLevel="0" collapsed="false">
      <c r="A632" s="3" t="n">
        <v>45922</v>
      </c>
      <c r="B632" s="4" t="n">
        <f aca="false">YEAR($A632)</f>
        <v>2025</v>
      </c>
      <c r="C632" s="4" t="n">
        <f aca="false">MONTH($A632)</f>
        <v>9</v>
      </c>
      <c r="D632" s="4" t="str">
        <f aca="false">TEXT($A632,"ddd")</f>
        <v>Mon</v>
      </c>
      <c r="E632" s="4" t="n">
        <f aca="false">IF(OR(AND(MONTH($A632)=10,DAY($A632)&gt;=15),MONTH($A632)=11,AND(MONTH($A632)=12,DAY($A632)&lt;=7)),1,0)</f>
        <v>0</v>
      </c>
      <c r="F632" s="4" t="n">
        <f aca="false">IF(MONTH($A632)&lt;=3,1,0)</f>
        <v>0</v>
      </c>
      <c r="G632" s="4" t="str">
        <f aca="false" t="array" ref="G632:G632">_xlfn.TEXTJOIN(" | ",TRUE(),IF('FEMA Disasters'!$F$2:$F$1000=$A632,'FEMA Disasters'!$D$2:$D$1000&amp;" begin: ["&amp;'FEMA Disasters'!$B$2:$B$1000&amp;"] "&amp;'FEMA Disasters'!$C$2:$C$1000&amp;"-"&amp;'FEMA Disasters'!$A$2:$A$1000,""),IF('FEMA Disasters'!$G$2:$G$1000=$A632,'FEMA Disasters'!$D$2:$D$1000&amp;" ended: ["&amp;'FEMA Disasters'!$B$2:$B$1000&amp;"] "&amp;'FEMA Disasters'!$C$2:$C$1000&amp;"-"&amp;'FEMA Disasters'!$A$2:$A$1000,""),IF('FEMA Disasters'!$K$2:$K$1000=$A632,"Disaster SEP opens: "&amp;'FEMA Disasters'!$D$2:$D$1000&amp;" ["&amp;'FEMA Disasters'!$B$2:$B$1000&amp;"] "&amp;'FEMA Disasters'!$C$2:$C$1000&amp;"-"&amp;'FEMA Disasters'!$A$2:$A$1000,""),IF('FEMA Disasters'!$L$2:$L$1000=$A632,"Disaster SEP ended: "&amp;'FEMA Disasters'!$D$2:$D$1000&amp;" ["&amp;'FEMA Disasters'!$B$2:$B$1000&amp;"] "&amp;'FEMA Disasters'!$C$2:$C$1000&amp;"-"&amp;'FEMA Disasters'!$A$2:$A$1000,""))</f>
        <v/>
      </c>
      <c r="H632" s="4" t="n">
        <f aca="false">COUNTIF(Events!$A$2:$A$397,$A632)</f>
        <v>0</v>
      </c>
      <c r="I632" s="6" t="str">
        <f aca="false" t="array" ref="I632:I632">_xlfn.TEXTJOIN(" | ",TRUE(),IF(Events!$A$2:$A$397=$A632,Events!$E$2:$E$397&amp;IF(Events!$G$2:$G$397="National",""," ["&amp;Events!$G$2:$G$397&amp;"]"),""))</f>
        <v/>
      </c>
    </row>
    <row r="633" customFormat="false" ht="15" hidden="false" customHeight="true" outlineLevel="0" collapsed="false">
      <c r="A633" s="3" t="n">
        <v>45923</v>
      </c>
      <c r="B633" s="4" t="n">
        <f aca="false">YEAR($A633)</f>
        <v>2025</v>
      </c>
      <c r="C633" s="4" t="n">
        <f aca="false">MONTH($A633)</f>
        <v>9</v>
      </c>
      <c r="D633" s="4" t="str">
        <f aca="false">TEXT($A633,"ddd")</f>
        <v>Tue</v>
      </c>
      <c r="E633" s="4" t="n">
        <f aca="false">IF(OR(AND(MONTH($A633)=10,DAY($A633)&gt;=15),MONTH($A633)=11,AND(MONTH($A633)=12,DAY($A633)&lt;=7)),1,0)</f>
        <v>0</v>
      </c>
      <c r="F633" s="4" t="n">
        <f aca="false">IF(MONTH($A633)&lt;=3,1,0)</f>
        <v>0</v>
      </c>
      <c r="G633" s="4" t="str">
        <f aca="false" t="array" ref="G633:G633">_xlfn.TEXTJOIN(" | ",TRUE(),IF('FEMA Disasters'!$F$2:$F$1000=$A633,'FEMA Disasters'!$D$2:$D$1000&amp;" begin: ["&amp;'FEMA Disasters'!$B$2:$B$1000&amp;"] "&amp;'FEMA Disasters'!$C$2:$C$1000&amp;"-"&amp;'FEMA Disasters'!$A$2:$A$1000,""),IF('FEMA Disasters'!$G$2:$G$1000=$A633,'FEMA Disasters'!$D$2:$D$1000&amp;" ended: ["&amp;'FEMA Disasters'!$B$2:$B$1000&amp;"] "&amp;'FEMA Disasters'!$C$2:$C$1000&amp;"-"&amp;'FEMA Disasters'!$A$2:$A$1000,""),IF('FEMA Disasters'!$K$2:$K$1000=$A633,"Disaster SEP opens: "&amp;'FEMA Disasters'!$D$2:$D$1000&amp;" ["&amp;'FEMA Disasters'!$B$2:$B$1000&amp;"] "&amp;'FEMA Disasters'!$C$2:$C$1000&amp;"-"&amp;'FEMA Disasters'!$A$2:$A$1000,""),IF('FEMA Disasters'!$L$2:$L$1000=$A633,"Disaster SEP ended: "&amp;'FEMA Disasters'!$D$2:$D$1000&amp;" ["&amp;'FEMA Disasters'!$B$2:$B$1000&amp;"] "&amp;'FEMA Disasters'!$C$2:$C$1000&amp;"-"&amp;'FEMA Disasters'!$A$2:$A$1000,""))</f>
        <v>Fire begin: [HI] FM-5613 | Fire ended: [HI] FM-5613</v>
      </c>
      <c r="H633" s="4" t="n">
        <f aca="false">COUNTIF(Events!$A$2:$A$397,$A633)</f>
        <v>0</v>
      </c>
      <c r="I633" s="6" t="str">
        <f aca="false" t="array" ref="I633:I633">_xlfn.TEXTJOIN(" | ",TRUE(),IF(Events!$A$2:$A$397=$A633,Events!$E$2:$E$397&amp;IF(Events!$G$2:$G$397="National",""," ["&amp;Events!$G$2:$G$397&amp;"]"),""))</f>
        <v/>
      </c>
    </row>
    <row r="634" customFormat="false" ht="15" hidden="false" customHeight="true" outlineLevel="0" collapsed="false">
      <c r="A634" s="3" t="n">
        <v>45924</v>
      </c>
      <c r="B634" s="4" t="n">
        <f aca="false">YEAR($A634)</f>
        <v>2025</v>
      </c>
      <c r="C634" s="4" t="n">
        <f aca="false">MONTH($A634)</f>
        <v>9</v>
      </c>
      <c r="D634" s="4" t="str">
        <f aca="false">TEXT($A634,"ddd")</f>
        <v>Wed</v>
      </c>
      <c r="E634" s="4" t="n">
        <f aca="false">IF(OR(AND(MONTH($A634)=10,DAY($A634)&gt;=15),MONTH($A634)=11,AND(MONTH($A634)=12,DAY($A634)&lt;=7)),1,0)</f>
        <v>0</v>
      </c>
      <c r="F634" s="4" t="n">
        <f aca="false">IF(MONTH($A634)&lt;=3,1,0)</f>
        <v>0</v>
      </c>
      <c r="G634" s="4" t="str">
        <f aca="false" t="array" ref="G634:G634">_xlfn.TEXTJOIN(" | ",TRUE(),IF('FEMA Disasters'!$F$2:$F$1000=$A634,'FEMA Disasters'!$D$2:$D$1000&amp;" begin: ["&amp;'FEMA Disasters'!$B$2:$B$1000&amp;"] "&amp;'FEMA Disasters'!$C$2:$C$1000&amp;"-"&amp;'FEMA Disasters'!$A$2:$A$1000,""),IF('FEMA Disasters'!$G$2:$G$1000=$A634,'FEMA Disasters'!$D$2:$D$1000&amp;" ended: ["&amp;'FEMA Disasters'!$B$2:$B$1000&amp;"] "&amp;'FEMA Disasters'!$C$2:$C$1000&amp;"-"&amp;'FEMA Disasters'!$A$2:$A$1000,""),IF('FEMA Disasters'!$K$2:$K$1000=$A634,"Disaster SEP opens: "&amp;'FEMA Disasters'!$D$2:$D$1000&amp;" ["&amp;'FEMA Disasters'!$B$2:$B$1000&amp;"] "&amp;'FEMA Disasters'!$C$2:$C$1000&amp;"-"&amp;'FEMA Disasters'!$A$2:$A$1000,""),IF('FEMA Disasters'!$L$2:$L$1000=$A634,"Disaster SEP ended: "&amp;'FEMA Disasters'!$D$2:$D$1000&amp;" ["&amp;'FEMA Disasters'!$B$2:$B$1000&amp;"] "&amp;'FEMA Disasters'!$C$2:$C$1000&amp;"-"&amp;'FEMA Disasters'!$A$2:$A$1000,""))</f>
        <v/>
      </c>
      <c r="H634" s="4" t="n">
        <f aca="false">COUNTIF(Events!$A$2:$A$397,$A634)</f>
        <v>0</v>
      </c>
      <c r="I634" s="6" t="str">
        <f aca="false" t="array" ref="I634:I634">_xlfn.TEXTJOIN(" | ",TRUE(),IF(Events!$A$2:$A$397=$A634,Events!$E$2:$E$397&amp;IF(Events!$G$2:$G$397="National",""," ["&amp;Events!$G$2:$G$397&amp;"]"),""))</f>
        <v/>
      </c>
    </row>
    <row r="635" customFormat="false" ht="15" hidden="false" customHeight="true" outlineLevel="0" collapsed="false">
      <c r="A635" s="3" t="n">
        <v>45925</v>
      </c>
      <c r="B635" s="4" t="n">
        <f aca="false">YEAR($A635)</f>
        <v>2025</v>
      </c>
      <c r="C635" s="4" t="n">
        <f aca="false">MONTH($A635)</f>
        <v>9</v>
      </c>
      <c r="D635" s="4" t="str">
        <f aca="false">TEXT($A635,"ddd")</f>
        <v>Thu</v>
      </c>
      <c r="E635" s="4" t="n">
        <f aca="false">IF(OR(AND(MONTH($A635)=10,DAY($A635)&gt;=15),MONTH($A635)=11,AND(MONTH($A635)=12,DAY($A635)&lt;=7)),1,0)</f>
        <v>0</v>
      </c>
      <c r="F635" s="4" t="n">
        <f aca="false">IF(MONTH($A635)&lt;=3,1,0)</f>
        <v>0</v>
      </c>
      <c r="G635" s="4" t="str">
        <f aca="false" t="array" ref="G635:G635">_xlfn.TEXTJOIN(" | ",TRUE(),IF('FEMA Disasters'!$F$2:$F$1000=$A635,'FEMA Disasters'!$D$2:$D$1000&amp;" begin: ["&amp;'FEMA Disasters'!$B$2:$B$1000&amp;"] "&amp;'FEMA Disasters'!$C$2:$C$1000&amp;"-"&amp;'FEMA Disasters'!$A$2:$A$1000,""),IF('FEMA Disasters'!$G$2:$G$1000=$A635,'FEMA Disasters'!$D$2:$D$1000&amp;" ended: ["&amp;'FEMA Disasters'!$B$2:$B$1000&amp;"] "&amp;'FEMA Disasters'!$C$2:$C$1000&amp;"-"&amp;'FEMA Disasters'!$A$2:$A$1000,""),IF('FEMA Disasters'!$K$2:$K$1000=$A635,"Disaster SEP opens: "&amp;'FEMA Disasters'!$D$2:$D$1000&amp;" ["&amp;'FEMA Disasters'!$B$2:$B$1000&amp;"] "&amp;'FEMA Disasters'!$C$2:$C$1000&amp;"-"&amp;'FEMA Disasters'!$A$2:$A$1000,""),IF('FEMA Disasters'!$L$2:$L$1000=$A635,"Disaster SEP ended: "&amp;'FEMA Disasters'!$D$2:$D$1000&amp;" ["&amp;'FEMA Disasters'!$B$2:$B$1000&amp;"] "&amp;'FEMA Disasters'!$C$2:$C$1000&amp;"-"&amp;'FEMA Disasters'!$A$2:$A$1000,""))</f>
        <v>Fire begin: [WA] FM-5614</v>
      </c>
      <c r="H635" s="4" t="n">
        <f aca="false">COUNTIF(Events!$A$2:$A$397,$A635)</f>
        <v>0</v>
      </c>
      <c r="I635" s="6" t="str">
        <f aca="false" t="array" ref="I635:I635">_xlfn.TEXTJOIN(" | ",TRUE(),IF(Events!$A$2:$A$397=$A635,Events!$E$2:$E$397&amp;IF(Events!$G$2:$G$397="National",""," ["&amp;Events!$G$2:$G$397&amp;"]"),""))</f>
        <v/>
      </c>
    </row>
    <row r="636" customFormat="false" ht="15" hidden="false" customHeight="true" outlineLevel="0" collapsed="false">
      <c r="A636" s="3" t="n">
        <v>45926</v>
      </c>
      <c r="B636" s="4" t="n">
        <f aca="false">YEAR($A636)</f>
        <v>2025</v>
      </c>
      <c r="C636" s="4" t="n">
        <f aca="false">MONTH($A636)</f>
        <v>9</v>
      </c>
      <c r="D636" s="4" t="str">
        <f aca="false">TEXT($A636,"ddd")</f>
        <v>Fri</v>
      </c>
      <c r="E636" s="4" t="n">
        <f aca="false">IF(OR(AND(MONTH($A636)=10,DAY($A636)&gt;=15),MONTH($A636)=11,AND(MONTH($A636)=12,DAY($A636)&lt;=7)),1,0)</f>
        <v>0</v>
      </c>
      <c r="F636" s="4" t="n">
        <f aca="false">IF(MONTH($A636)&lt;=3,1,0)</f>
        <v>0</v>
      </c>
      <c r="G636" s="4" t="str">
        <f aca="false" t="array" ref="G636:G636">_xlfn.TEXTJOIN(" | ",TRUE(),IF('FEMA Disasters'!$F$2:$F$1000=$A636,'FEMA Disasters'!$D$2:$D$1000&amp;" begin: ["&amp;'FEMA Disasters'!$B$2:$B$1000&amp;"] "&amp;'FEMA Disasters'!$C$2:$C$1000&amp;"-"&amp;'FEMA Disasters'!$A$2:$A$1000,""),IF('FEMA Disasters'!$G$2:$G$1000=$A636,'FEMA Disasters'!$D$2:$D$1000&amp;" ended: ["&amp;'FEMA Disasters'!$B$2:$B$1000&amp;"] "&amp;'FEMA Disasters'!$C$2:$C$1000&amp;"-"&amp;'FEMA Disasters'!$A$2:$A$1000,""),IF('FEMA Disasters'!$K$2:$K$1000=$A636,"Disaster SEP opens: "&amp;'FEMA Disasters'!$D$2:$D$1000&amp;" ["&amp;'FEMA Disasters'!$B$2:$B$1000&amp;"] "&amp;'FEMA Disasters'!$C$2:$C$1000&amp;"-"&amp;'FEMA Disasters'!$A$2:$A$1000,""),IF('FEMA Disasters'!$L$2:$L$1000=$A636,"Disaster SEP ended: "&amp;'FEMA Disasters'!$D$2:$D$1000&amp;" ["&amp;'FEMA Disasters'!$B$2:$B$1000&amp;"] "&amp;'FEMA Disasters'!$C$2:$C$1000&amp;"-"&amp;'FEMA Disasters'!$A$2:$A$1000,""))</f>
        <v/>
      </c>
      <c r="H636" s="4" t="n">
        <f aca="false">COUNTIF(Events!$A$2:$A$397,$A636)</f>
        <v>0</v>
      </c>
      <c r="I636" s="6" t="str">
        <f aca="false" t="array" ref="I636:I636">_xlfn.TEXTJOIN(" | ",TRUE(),IF(Events!$A$2:$A$397=$A636,Events!$E$2:$E$397&amp;IF(Events!$G$2:$G$397="National",""," ["&amp;Events!$G$2:$G$397&amp;"]"),""))</f>
        <v/>
      </c>
    </row>
    <row r="637" customFormat="false" ht="15" hidden="false" customHeight="true" outlineLevel="0" collapsed="false">
      <c r="A637" s="3" t="n">
        <v>45927</v>
      </c>
      <c r="B637" s="4" t="n">
        <f aca="false">YEAR($A637)</f>
        <v>2025</v>
      </c>
      <c r="C637" s="4" t="n">
        <f aca="false">MONTH($A637)</f>
        <v>9</v>
      </c>
      <c r="D637" s="4" t="str">
        <f aca="false">TEXT($A637,"ddd")</f>
        <v>Sat</v>
      </c>
      <c r="E637" s="4" t="n">
        <f aca="false">IF(OR(AND(MONTH($A637)=10,DAY($A637)&gt;=15),MONTH($A637)=11,AND(MONTH($A637)=12,DAY($A637)&lt;=7)),1,0)</f>
        <v>0</v>
      </c>
      <c r="F637" s="4" t="n">
        <f aca="false">IF(MONTH($A637)&lt;=3,1,0)</f>
        <v>0</v>
      </c>
      <c r="G637" s="4" t="str">
        <f aca="false" t="array" ref="G637:G637">_xlfn.TEXTJOIN(" | ",TRUE(),IF('FEMA Disasters'!$F$2:$F$1000=$A637,'FEMA Disasters'!$D$2:$D$1000&amp;" begin: ["&amp;'FEMA Disasters'!$B$2:$B$1000&amp;"] "&amp;'FEMA Disasters'!$C$2:$C$1000&amp;"-"&amp;'FEMA Disasters'!$A$2:$A$1000,""),IF('FEMA Disasters'!$G$2:$G$1000=$A637,'FEMA Disasters'!$D$2:$D$1000&amp;" ended: ["&amp;'FEMA Disasters'!$B$2:$B$1000&amp;"] "&amp;'FEMA Disasters'!$C$2:$C$1000&amp;"-"&amp;'FEMA Disasters'!$A$2:$A$1000,""),IF('FEMA Disasters'!$K$2:$K$1000=$A637,"Disaster SEP opens: "&amp;'FEMA Disasters'!$D$2:$D$1000&amp;" ["&amp;'FEMA Disasters'!$B$2:$B$1000&amp;"] "&amp;'FEMA Disasters'!$C$2:$C$1000&amp;"-"&amp;'FEMA Disasters'!$A$2:$A$1000,""),IF('FEMA Disasters'!$L$2:$L$1000=$A637,"Disaster SEP ended: "&amp;'FEMA Disasters'!$D$2:$D$1000&amp;" ["&amp;'FEMA Disasters'!$B$2:$B$1000&amp;"] "&amp;'FEMA Disasters'!$C$2:$C$1000&amp;"-"&amp;'FEMA Disasters'!$A$2:$A$1000,""))</f>
        <v/>
      </c>
      <c r="H637" s="4" t="n">
        <f aca="false">COUNTIF(Events!$A$2:$A$397,$A637)</f>
        <v>0</v>
      </c>
      <c r="I637" s="6" t="str">
        <f aca="false" t="array" ref="I637:I637">_xlfn.TEXTJOIN(" | ",TRUE(),IF(Events!$A$2:$A$397=$A637,Events!$E$2:$E$397&amp;IF(Events!$G$2:$G$397="National",""," ["&amp;Events!$G$2:$G$397&amp;"]"),""))</f>
        <v/>
      </c>
    </row>
    <row r="638" customFormat="false" ht="15" hidden="false" customHeight="true" outlineLevel="0" collapsed="false">
      <c r="A638" s="3" t="n">
        <v>45928</v>
      </c>
      <c r="B638" s="4" t="n">
        <f aca="false">YEAR($A638)</f>
        <v>2025</v>
      </c>
      <c r="C638" s="4" t="n">
        <f aca="false">MONTH($A638)</f>
        <v>9</v>
      </c>
      <c r="D638" s="4" t="str">
        <f aca="false">TEXT($A638,"ddd")</f>
        <v>Sun</v>
      </c>
      <c r="E638" s="4" t="n">
        <f aca="false">IF(OR(AND(MONTH($A638)=10,DAY($A638)&gt;=15),MONTH($A638)=11,AND(MONTH($A638)=12,DAY($A638)&lt;=7)),1,0)</f>
        <v>0</v>
      </c>
      <c r="F638" s="4" t="n">
        <f aca="false">IF(MONTH($A638)&lt;=3,1,0)</f>
        <v>0</v>
      </c>
      <c r="G638" s="4" t="str">
        <f aca="false" t="array" ref="G638:G638">_xlfn.TEXTJOIN(" | ",TRUE(),IF('FEMA Disasters'!$F$2:$F$1000=$A638,'FEMA Disasters'!$D$2:$D$1000&amp;" begin: ["&amp;'FEMA Disasters'!$B$2:$B$1000&amp;"] "&amp;'FEMA Disasters'!$C$2:$C$1000&amp;"-"&amp;'FEMA Disasters'!$A$2:$A$1000,""),IF('FEMA Disasters'!$G$2:$G$1000=$A638,'FEMA Disasters'!$D$2:$D$1000&amp;" ended: ["&amp;'FEMA Disasters'!$B$2:$B$1000&amp;"] "&amp;'FEMA Disasters'!$C$2:$C$1000&amp;"-"&amp;'FEMA Disasters'!$A$2:$A$1000,""),IF('FEMA Disasters'!$K$2:$K$1000=$A638,"Disaster SEP opens: "&amp;'FEMA Disasters'!$D$2:$D$1000&amp;" ["&amp;'FEMA Disasters'!$B$2:$B$1000&amp;"] "&amp;'FEMA Disasters'!$C$2:$C$1000&amp;"-"&amp;'FEMA Disasters'!$A$2:$A$1000,""),IF('FEMA Disasters'!$L$2:$L$1000=$A638,"Disaster SEP ended: "&amp;'FEMA Disasters'!$D$2:$D$1000&amp;" ["&amp;'FEMA Disasters'!$B$2:$B$1000&amp;"] "&amp;'FEMA Disasters'!$C$2:$C$1000&amp;"-"&amp;'FEMA Disasters'!$A$2:$A$1000,""))</f>
        <v>Severe Storm begin: [NM] DR-4918</v>
      </c>
      <c r="H638" s="4" t="n">
        <f aca="false">COUNTIF(Events!$A$2:$A$397,$A638)</f>
        <v>0</v>
      </c>
      <c r="I638" s="6" t="str">
        <f aca="false" t="array" ref="I638:I638">_xlfn.TEXTJOIN(" | ",TRUE(),IF(Events!$A$2:$A$397=$A638,Events!$E$2:$E$397&amp;IF(Events!$G$2:$G$397="National",""," ["&amp;Events!$G$2:$G$397&amp;"]"),""))</f>
        <v/>
      </c>
    </row>
    <row r="639" customFormat="false" ht="15" hidden="false" customHeight="true" outlineLevel="0" collapsed="false">
      <c r="A639" s="3" t="n">
        <v>45929</v>
      </c>
      <c r="B639" s="4" t="n">
        <f aca="false">YEAR($A639)</f>
        <v>2025</v>
      </c>
      <c r="C639" s="4" t="n">
        <f aca="false">MONTH($A639)</f>
        <v>9</v>
      </c>
      <c r="D639" s="4" t="str">
        <f aca="false">TEXT($A639,"ddd")</f>
        <v>Mon</v>
      </c>
      <c r="E639" s="4" t="n">
        <f aca="false">IF(OR(AND(MONTH($A639)=10,DAY($A639)&gt;=15),MONTH($A639)=11,AND(MONTH($A639)=12,DAY($A639)&lt;=7)),1,0)</f>
        <v>0</v>
      </c>
      <c r="F639" s="4" t="n">
        <f aca="false">IF(MONTH($A639)&lt;=3,1,0)</f>
        <v>0</v>
      </c>
      <c r="G639" s="4" t="str">
        <f aca="false" t="array" ref="G639:G639">_xlfn.TEXTJOIN(" | ",TRUE(),IF('FEMA Disasters'!$F$2:$F$1000=$A639,'FEMA Disasters'!$D$2:$D$1000&amp;" begin: ["&amp;'FEMA Disasters'!$B$2:$B$1000&amp;"] "&amp;'FEMA Disasters'!$C$2:$C$1000&amp;"-"&amp;'FEMA Disasters'!$A$2:$A$1000,""),IF('FEMA Disasters'!$G$2:$G$1000=$A639,'FEMA Disasters'!$D$2:$D$1000&amp;" ended: ["&amp;'FEMA Disasters'!$B$2:$B$1000&amp;"] "&amp;'FEMA Disasters'!$C$2:$C$1000&amp;"-"&amp;'FEMA Disasters'!$A$2:$A$1000,""),IF('FEMA Disasters'!$K$2:$K$1000=$A639,"Disaster SEP opens: "&amp;'FEMA Disasters'!$D$2:$D$1000&amp;" ["&amp;'FEMA Disasters'!$B$2:$B$1000&amp;"] "&amp;'FEMA Disasters'!$C$2:$C$1000&amp;"-"&amp;'FEMA Disasters'!$A$2:$A$1000,""),IF('FEMA Disasters'!$L$2:$L$1000=$A639,"Disaster SEP ended: "&amp;'FEMA Disasters'!$D$2:$D$1000&amp;" ["&amp;'FEMA Disasters'!$B$2:$B$1000&amp;"] "&amp;'FEMA Disasters'!$C$2:$C$1000&amp;"-"&amp;'FEMA Disasters'!$A$2:$A$1000,""))</f>
        <v>Severe Storm ended: [NM] DR-4918</v>
      </c>
      <c r="H639" s="4" t="n">
        <f aca="false">COUNTIF(Events!$A$2:$A$397,$A639)</f>
        <v>0</v>
      </c>
      <c r="I639" s="6" t="str">
        <f aca="false" t="array" ref="I639:I639">_xlfn.TEXTJOIN(" | ",TRUE(),IF(Events!$A$2:$A$397=$A639,Events!$E$2:$E$397&amp;IF(Events!$G$2:$G$397="National",""," ["&amp;Events!$G$2:$G$397&amp;"]"),""))</f>
        <v/>
      </c>
    </row>
    <row r="640" customFormat="false" ht="15" hidden="false" customHeight="true" outlineLevel="0" collapsed="false">
      <c r="A640" s="3" t="n">
        <v>45930</v>
      </c>
      <c r="B640" s="4" t="n">
        <f aca="false">YEAR($A640)</f>
        <v>2025</v>
      </c>
      <c r="C640" s="4" t="n">
        <f aca="false">MONTH($A640)</f>
        <v>9</v>
      </c>
      <c r="D640" s="4" t="str">
        <f aca="false">TEXT($A640,"ddd")</f>
        <v>Tue</v>
      </c>
      <c r="E640" s="4" t="n">
        <f aca="false">IF(OR(AND(MONTH($A640)=10,DAY($A640)&gt;=15),MONTH($A640)=11,AND(MONTH($A640)=12,DAY($A640)&lt;=7)),1,0)</f>
        <v>0</v>
      </c>
      <c r="F640" s="4" t="n">
        <f aca="false">IF(MONTH($A640)&lt;=3,1,0)</f>
        <v>0</v>
      </c>
      <c r="G640" s="4" t="str">
        <f aca="false" t="array" ref="G640:G640">_xlfn.TEXTJOIN(" | ",TRUE(),IF('FEMA Disasters'!$F$2:$F$1000=$A640,'FEMA Disasters'!$D$2:$D$1000&amp;" begin: ["&amp;'FEMA Disasters'!$B$2:$B$1000&amp;"] "&amp;'FEMA Disasters'!$C$2:$C$1000&amp;"-"&amp;'FEMA Disasters'!$A$2:$A$1000,""),IF('FEMA Disasters'!$G$2:$G$1000=$A640,'FEMA Disasters'!$D$2:$D$1000&amp;" ended: ["&amp;'FEMA Disasters'!$B$2:$B$1000&amp;"] "&amp;'FEMA Disasters'!$C$2:$C$1000&amp;"-"&amp;'FEMA Disasters'!$A$2:$A$1000,""),IF('FEMA Disasters'!$K$2:$K$1000=$A640,"Disaster SEP opens: "&amp;'FEMA Disasters'!$D$2:$D$1000&amp;" ["&amp;'FEMA Disasters'!$B$2:$B$1000&amp;"] "&amp;'FEMA Disasters'!$C$2:$C$1000&amp;"-"&amp;'FEMA Disasters'!$A$2:$A$1000,""),IF('FEMA Disasters'!$L$2:$L$1000=$A640,"Disaster SEP ended: "&amp;'FEMA Disasters'!$D$2:$D$1000&amp;" ["&amp;'FEMA Disasters'!$B$2:$B$1000&amp;"] "&amp;'FEMA Disasters'!$C$2:$C$1000&amp;"-"&amp;'FEMA Disasters'!$A$2:$A$1000,""))</f>
        <v>Disaster SEP opens: Fire [NM] FM-5588 | Disaster SEP opens: Fire [UT] FM-5591 | Disaster SEP opens: Fire [NM] FM-5593 | Disaster SEP opens: Fire [NM] FM-5594 | Disaster SEP opens: Fire [AK] FM-5595 | Disaster SEP opens: Flood [TX] DR-4879 | Disaster SEP opens: Fire [AK] FM-5597 | Disaster SEP opens: Tropical Depression [NC] DR-4889 | Disaster SEP opens: Fire [OR] FM-5599 | Disaster SEP opens: Severe Storm [KS] DR-4897 | Disaster SEP ended: Severe Storm [KY] EM-3626 | Disaster SEP ended: Severe Storm [KY] DR-4864 | Disaster SEP ended: Fire [MN] FM-5583 | Disaster SEP ended: Fire [AZ] FM-5584 | Disaster SEP ended: Severe Storm [KY] DR-4875 | Disaster SEP ended: Severe Storm [MO] DR-4877 | Disaster SEP ended: Severe Storm [KS] DR-4883 | Disaster SEP ended: Flood [MT] DR-4887 | Disaster SEP ended: Fire [AZ] FM-5585 | Disaster SEP ended: Severe Storm [MO] DR-4885</v>
      </c>
      <c r="H640" s="4" t="n">
        <f aca="false">COUNTIF(Events!$A$2:$A$397,$A640)</f>
        <v>1</v>
      </c>
      <c r="I640" s="6" t="str">
        <f aca="false" t="array" ref="I640:I640">_xlfn.TEXTJOIN(" | ",TRUE(),IF(Events!$A$2:$A$397=$A640,Events!$E$2:$E$397&amp;IF(Events!$G$2:$G$397="National",""," ["&amp;Events!$G$2:$G$397&amp;"]"),""))</f>
        <v>ANOC delivery deadline: every MA/MA-PD/PDP enrollee must receive their plan's Annual Notice of Change by 9/30 - the day enrollees are actually notified of their plan's CY2026 premium, benefit, and cost-sharing changes ahead of AEP (first 10 negotiated drug prices, OOP cap indexed to $2,100, insulin lesser-of-$35/25% language, VBID removal). Not a policy change itself, but the synchronized mass-notification shock preceding AEP 2026</v>
      </c>
    </row>
    <row r="641" customFormat="false" ht="15" hidden="false" customHeight="true" outlineLevel="0" collapsed="false">
      <c r="A641" s="3" t="n">
        <v>45931</v>
      </c>
      <c r="B641" s="4" t="n">
        <f aca="false">YEAR($A641)</f>
        <v>2025</v>
      </c>
      <c r="C641" s="4" t="n">
        <f aca="false">MONTH($A641)</f>
        <v>10</v>
      </c>
      <c r="D641" s="4" t="str">
        <f aca="false">TEXT($A641,"ddd")</f>
        <v>Wed</v>
      </c>
      <c r="E641" s="4" t="n">
        <f aca="false">IF(OR(AND(MONTH($A641)=10,DAY($A641)&gt;=15),MONTH($A641)=11,AND(MONTH($A641)=12,DAY($A641)&lt;=7)),1,0)</f>
        <v>0</v>
      </c>
      <c r="F641" s="4" t="n">
        <f aca="false">IF(MONTH($A641)&lt;=3,1,0)</f>
        <v>0</v>
      </c>
      <c r="G641" s="4" t="str">
        <f aca="false" t="array" ref="G641:G641">_xlfn.TEXTJOIN(" | ",TRUE(),IF('FEMA Disasters'!$F$2:$F$1000=$A641,'FEMA Disasters'!$D$2:$D$1000&amp;" begin: ["&amp;'FEMA Disasters'!$B$2:$B$1000&amp;"] "&amp;'FEMA Disasters'!$C$2:$C$1000&amp;"-"&amp;'FEMA Disasters'!$A$2:$A$1000,""),IF('FEMA Disasters'!$G$2:$G$1000=$A641,'FEMA Disasters'!$D$2:$D$1000&amp;" ended: ["&amp;'FEMA Disasters'!$B$2:$B$1000&amp;"] "&amp;'FEMA Disasters'!$C$2:$C$1000&amp;"-"&amp;'FEMA Disasters'!$A$2:$A$1000,""),IF('FEMA Disasters'!$K$2:$K$1000=$A641,"Disaster SEP opens: "&amp;'FEMA Disasters'!$D$2:$D$1000&amp;" ["&amp;'FEMA Disasters'!$B$2:$B$1000&amp;"] "&amp;'FEMA Disasters'!$C$2:$C$1000&amp;"-"&amp;'FEMA Disasters'!$A$2:$A$1000,""),IF('FEMA Disasters'!$L$2:$L$1000=$A641,"Disaster SEP ended: "&amp;'FEMA Disasters'!$D$2:$D$1000&amp;" ["&amp;'FEMA Disasters'!$B$2:$B$1000&amp;"] "&amp;'FEMA Disasters'!$C$2:$C$1000&amp;"-"&amp;'FEMA Disasters'!$A$2:$A$1000,""))</f>
        <v/>
      </c>
      <c r="H641" s="4" t="n">
        <f aca="false">COUNTIF(Events!$A$2:$A$397,$A641)</f>
        <v>1</v>
      </c>
      <c r="I641" s="6" t="str">
        <f aca="false" t="array" ref="I641:I641">_xlfn.TEXTJOIN(" | ",TRUE(),IF(Events!$A$2:$A$397=$A641,Events!$E$2:$E$397&amp;IF(Events!$G$2:$G$397="National",""," ["&amp;Events!$G$2:$G$397&amp;"]"),""))</f>
        <v>CY2026 plan marketing begins; plans notify enrollees of 2026 changes; 2026 landscape released ahead of AEP</v>
      </c>
    </row>
    <row r="642" customFormat="false" ht="15" hidden="false" customHeight="true" outlineLevel="0" collapsed="false">
      <c r="A642" s="3" t="n">
        <v>45932</v>
      </c>
      <c r="B642" s="4" t="n">
        <f aca="false">YEAR($A642)</f>
        <v>2025</v>
      </c>
      <c r="C642" s="4" t="n">
        <f aca="false">MONTH($A642)</f>
        <v>10</v>
      </c>
      <c r="D642" s="4" t="str">
        <f aca="false">TEXT($A642,"ddd")</f>
        <v>Thu</v>
      </c>
      <c r="E642" s="4" t="n">
        <f aca="false">IF(OR(AND(MONTH($A642)=10,DAY($A642)&gt;=15),MONTH($A642)=11,AND(MONTH($A642)=12,DAY($A642)&lt;=7)),1,0)</f>
        <v>0</v>
      </c>
      <c r="F642" s="4" t="n">
        <f aca="false">IF(MONTH($A642)&lt;=3,1,0)</f>
        <v>0</v>
      </c>
      <c r="G642" s="4" t="str">
        <f aca="false" t="array" ref="G642:G642">_xlfn.TEXTJOIN(" | ",TRUE(),IF('FEMA Disasters'!$F$2:$F$1000=$A642,'FEMA Disasters'!$D$2:$D$1000&amp;" begin: ["&amp;'FEMA Disasters'!$B$2:$B$1000&amp;"] "&amp;'FEMA Disasters'!$C$2:$C$1000&amp;"-"&amp;'FEMA Disasters'!$A$2:$A$1000,""),IF('FEMA Disasters'!$G$2:$G$1000=$A642,'FEMA Disasters'!$D$2:$D$1000&amp;" ended: ["&amp;'FEMA Disasters'!$B$2:$B$1000&amp;"] "&amp;'FEMA Disasters'!$C$2:$C$1000&amp;"-"&amp;'FEMA Disasters'!$A$2:$A$1000,""),IF('FEMA Disasters'!$K$2:$K$1000=$A642,"Disaster SEP opens: "&amp;'FEMA Disasters'!$D$2:$D$1000&amp;" ["&amp;'FEMA Disasters'!$B$2:$B$1000&amp;"] "&amp;'FEMA Disasters'!$C$2:$C$1000&amp;"-"&amp;'FEMA Disasters'!$A$2:$A$1000,""),IF('FEMA Disasters'!$L$2:$L$1000=$A642,"Disaster SEP ended: "&amp;'FEMA Disasters'!$D$2:$D$1000&amp;" ["&amp;'FEMA Disasters'!$B$2:$B$1000&amp;"] "&amp;'FEMA Disasters'!$C$2:$C$1000&amp;"-"&amp;'FEMA Disasters'!$A$2:$A$1000,""))</f>
        <v/>
      </c>
      <c r="H642" s="4" t="n">
        <f aca="false">COUNTIF(Events!$A$2:$A$397,$A642)</f>
        <v>0</v>
      </c>
      <c r="I642" s="6" t="str">
        <f aca="false" t="array" ref="I642:I642">_xlfn.TEXTJOIN(" | ",TRUE(),IF(Events!$A$2:$A$397=$A642,Events!$E$2:$E$397&amp;IF(Events!$G$2:$G$397="National",""," ["&amp;Events!$G$2:$G$397&amp;"]"),""))</f>
        <v/>
      </c>
    </row>
    <row r="643" customFormat="false" ht="15" hidden="false" customHeight="true" outlineLevel="0" collapsed="false">
      <c r="A643" s="3" t="n">
        <v>45933</v>
      </c>
      <c r="B643" s="4" t="n">
        <f aca="false">YEAR($A643)</f>
        <v>2025</v>
      </c>
      <c r="C643" s="4" t="n">
        <f aca="false">MONTH($A643)</f>
        <v>10</v>
      </c>
      <c r="D643" s="4" t="str">
        <f aca="false">TEXT($A643,"ddd")</f>
        <v>Fri</v>
      </c>
      <c r="E643" s="4" t="n">
        <f aca="false">IF(OR(AND(MONTH($A643)=10,DAY($A643)&gt;=15),MONTH($A643)=11,AND(MONTH($A643)=12,DAY($A643)&lt;=7)),1,0)</f>
        <v>0</v>
      </c>
      <c r="F643" s="4" t="n">
        <f aca="false">IF(MONTH($A643)&lt;=3,1,0)</f>
        <v>0</v>
      </c>
      <c r="G643" s="4" t="str">
        <f aca="false" t="array" ref="G643:G643">_xlfn.TEXTJOIN(" | ",TRUE(),IF('FEMA Disasters'!$F$2:$F$1000=$A643,'FEMA Disasters'!$D$2:$D$1000&amp;" begin: ["&amp;'FEMA Disasters'!$B$2:$B$1000&amp;"] "&amp;'FEMA Disasters'!$C$2:$C$1000&amp;"-"&amp;'FEMA Disasters'!$A$2:$A$1000,""),IF('FEMA Disasters'!$G$2:$G$1000=$A643,'FEMA Disasters'!$D$2:$D$1000&amp;" ended: ["&amp;'FEMA Disasters'!$B$2:$B$1000&amp;"] "&amp;'FEMA Disasters'!$C$2:$C$1000&amp;"-"&amp;'FEMA Disasters'!$A$2:$A$1000,""),IF('FEMA Disasters'!$K$2:$K$1000=$A643,"Disaster SEP opens: "&amp;'FEMA Disasters'!$D$2:$D$1000&amp;" ["&amp;'FEMA Disasters'!$B$2:$B$1000&amp;"] "&amp;'FEMA Disasters'!$C$2:$C$1000&amp;"-"&amp;'FEMA Disasters'!$A$2:$A$1000,""),IF('FEMA Disasters'!$L$2:$L$1000=$A643,"Disaster SEP ended: "&amp;'FEMA Disasters'!$D$2:$D$1000&amp;" ["&amp;'FEMA Disasters'!$B$2:$B$1000&amp;"] "&amp;'FEMA Disasters'!$C$2:$C$1000&amp;"-"&amp;'FEMA Disasters'!$A$2:$A$1000,""))</f>
        <v/>
      </c>
      <c r="H643" s="4" t="n">
        <f aca="false">COUNTIF(Events!$A$2:$A$397,$A643)</f>
        <v>0</v>
      </c>
      <c r="I643" s="6" t="str">
        <f aca="false" t="array" ref="I643:I643">_xlfn.TEXTJOIN(" | ",TRUE(),IF(Events!$A$2:$A$397=$A643,Events!$E$2:$E$397&amp;IF(Events!$G$2:$G$397="National",""," ["&amp;Events!$G$2:$G$397&amp;"]"),""))</f>
        <v/>
      </c>
    </row>
    <row r="644" customFormat="false" ht="15" hidden="false" customHeight="true" outlineLevel="0" collapsed="false">
      <c r="A644" s="3" t="n">
        <v>45934</v>
      </c>
      <c r="B644" s="4" t="n">
        <f aca="false">YEAR($A644)</f>
        <v>2025</v>
      </c>
      <c r="C644" s="4" t="n">
        <f aca="false">MONTH($A644)</f>
        <v>10</v>
      </c>
      <c r="D644" s="4" t="str">
        <f aca="false">TEXT($A644,"ddd")</f>
        <v>Sat</v>
      </c>
      <c r="E644" s="4" t="n">
        <f aca="false">IF(OR(AND(MONTH($A644)=10,DAY($A644)&gt;=15),MONTH($A644)=11,AND(MONTH($A644)=12,DAY($A644)&lt;=7)),1,0)</f>
        <v>0</v>
      </c>
      <c r="F644" s="4" t="n">
        <f aca="false">IF(MONTH($A644)&lt;=3,1,0)</f>
        <v>0</v>
      </c>
      <c r="G644" s="4" t="str">
        <f aca="false" t="array" ref="G644:G644">_xlfn.TEXTJOIN(" | ",TRUE(),IF('FEMA Disasters'!$F$2:$F$1000=$A644,'FEMA Disasters'!$D$2:$D$1000&amp;" begin: ["&amp;'FEMA Disasters'!$B$2:$B$1000&amp;"] "&amp;'FEMA Disasters'!$C$2:$C$1000&amp;"-"&amp;'FEMA Disasters'!$A$2:$A$1000,""),IF('FEMA Disasters'!$G$2:$G$1000=$A644,'FEMA Disasters'!$D$2:$D$1000&amp;" ended: ["&amp;'FEMA Disasters'!$B$2:$B$1000&amp;"] "&amp;'FEMA Disasters'!$C$2:$C$1000&amp;"-"&amp;'FEMA Disasters'!$A$2:$A$1000,""),IF('FEMA Disasters'!$K$2:$K$1000=$A644,"Disaster SEP opens: "&amp;'FEMA Disasters'!$D$2:$D$1000&amp;" ["&amp;'FEMA Disasters'!$B$2:$B$1000&amp;"] "&amp;'FEMA Disasters'!$C$2:$C$1000&amp;"-"&amp;'FEMA Disasters'!$A$2:$A$1000,""),IF('FEMA Disasters'!$L$2:$L$1000=$A644,"Disaster SEP ended: "&amp;'FEMA Disasters'!$D$2:$D$1000&amp;" ["&amp;'FEMA Disasters'!$B$2:$B$1000&amp;"] "&amp;'FEMA Disasters'!$C$2:$C$1000&amp;"-"&amp;'FEMA Disasters'!$A$2:$A$1000,""))</f>
        <v/>
      </c>
      <c r="H644" s="4" t="n">
        <f aca="false">COUNTIF(Events!$A$2:$A$397,$A644)</f>
        <v>0</v>
      </c>
      <c r="I644" s="6" t="str">
        <f aca="false" t="array" ref="I644:I644">_xlfn.TEXTJOIN(" | ",TRUE(),IF(Events!$A$2:$A$397=$A644,Events!$E$2:$E$397&amp;IF(Events!$G$2:$G$397="National",""," ["&amp;Events!$G$2:$G$397&amp;"]"),""))</f>
        <v/>
      </c>
    </row>
    <row r="645" customFormat="false" ht="15" hidden="false" customHeight="true" outlineLevel="0" collapsed="false">
      <c r="A645" s="3" t="n">
        <v>45935</v>
      </c>
      <c r="B645" s="4" t="n">
        <f aca="false">YEAR($A645)</f>
        <v>2025</v>
      </c>
      <c r="C645" s="4" t="n">
        <f aca="false">MONTH($A645)</f>
        <v>10</v>
      </c>
      <c r="D645" s="4" t="str">
        <f aca="false">TEXT($A645,"ddd")</f>
        <v>Sun</v>
      </c>
      <c r="E645" s="4" t="n">
        <f aca="false">IF(OR(AND(MONTH($A645)=10,DAY($A645)&gt;=15),MONTH($A645)=11,AND(MONTH($A645)=12,DAY($A645)&lt;=7)),1,0)</f>
        <v>0</v>
      </c>
      <c r="F645" s="4" t="n">
        <f aca="false">IF(MONTH($A645)&lt;=3,1,0)</f>
        <v>0</v>
      </c>
      <c r="G645" s="4" t="str">
        <f aca="false" t="array" ref="G645:G645">_xlfn.TEXTJOIN(" | ",TRUE(),IF('FEMA Disasters'!$F$2:$F$1000=$A645,'FEMA Disasters'!$D$2:$D$1000&amp;" begin: ["&amp;'FEMA Disasters'!$B$2:$B$1000&amp;"] "&amp;'FEMA Disasters'!$C$2:$C$1000&amp;"-"&amp;'FEMA Disasters'!$A$2:$A$1000,""),IF('FEMA Disasters'!$G$2:$G$1000=$A645,'FEMA Disasters'!$D$2:$D$1000&amp;" ended: ["&amp;'FEMA Disasters'!$B$2:$B$1000&amp;"] "&amp;'FEMA Disasters'!$C$2:$C$1000&amp;"-"&amp;'FEMA Disasters'!$A$2:$A$1000,""),IF('FEMA Disasters'!$K$2:$K$1000=$A645,"Disaster SEP opens: "&amp;'FEMA Disasters'!$D$2:$D$1000&amp;" ["&amp;'FEMA Disasters'!$B$2:$B$1000&amp;"] "&amp;'FEMA Disasters'!$C$2:$C$1000&amp;"-"&amp;'FEMA Disasters'!$A$2:$A$1000,""),IF('FEMA Disasters'!$L$2:$L$1000=$A645,"Disaster SEP ended: "&amp;'FEMA Disasters'!$D$2:$D$1000&amp;" ["&amp;'FEMA Disasters'!$B$2:$B$1000&amp;"] "&amp;'FEMA Disasters'!$C$2:$C$1000&amp;"-"&amp;'FEMA Disasters'!$A$2:$A$1000,""))</f>
        <v/>
      </c>
      <c r="H645" s="4" t="n">
        <f aca="false">COUNTIF(Events!$A$2:$A$397,$A645)</f>
        <v>0</v>
      </c>
      <c r="I645" s="6" t="str">
        <f aca="false" t="array" ref="I645:I645">_xlfn.TEXTJOIN(" | ",TRUE(),IF(Events!$A$2:$A$397=$A645,Events!$E$2:$E$397&amp;IF(Events!$G$2:$G$397="National",""," ["&amp;Events!$G$2:$G$397&amp;"]"),""))</f>
        <v/>
      </c>
    </row>
    <row r="646" customFormat="false" ht="15" hidden="false" customHeight="true" outlineLevel="0" collapsed="false">
      <c r="A646" s="3" t="n">
        <v>45936</v>
      </c>
      <c r="B646" s="4" t="n">
        <f aca="false">YEAR($A646)</f>
        <v>2025</v>
      </c>
      <c r="C646" s="4" t="n">
        <f aca="false">MONTH($A646)</f>
        <v>10</v>
      </c>
      <c r="D646" s="4" t="str">
        <f aca="false">TEXT($A646,"ddd")</f>
        <v>Mon</v>
      </c>
      <c r="E646" s="4" t="n">
        <f aca="false">IF(OR(AND(MONTH($A646)=10,DAY($A646)&gt;=15),MONTH($A646)=11,AND(MONTH($A646)=12,DAY($A646)&lt;=7)),1,0)</f>
        <v>0</v>
      </c>
      <c r="F646" s="4" t="n">
        <f aca="false">IF(MONTH($A646)&lt;=3,1,0)</f>
        <v>0</v>
      </c>
      <c r="G646" s="4" t="str">
        <f aca="false" t="array" ref="G646:G646">_xlfn.TEXTJOIN(" | ",TRUE(),IF('FEMA Disasters'!$F$2:$F$1000=$A646,'FEMA Disasters'!$D$2:$D$1000&amp;" begin: ["&amp;'FEMA Disasters'!$B$2:$B$1000&amp;"] "&amp;'FEMA Disasters'!$C$2:$C$1000&amp;"-"&amp;'FEMA Disasters'!$A$2:$A$1000,""),IF('FEMA Disasters'!$G$2:$G$1000=$A646,'FEMA Disasters'!$D$2:$D$1000&amp;" ended: ["&amp;'FEMA Disasters'!$B$2:$B$1000&amp;"] "&amp;'FEMA Disasters'!$C$2:$C$1000&amp;"-"&amp;'FEMA Disasters'!$A$2:$A$1000,""),IF('FEMA Disasters'!$K$2:$K$1000=$A646,"Disaster SEP opens: "&amp;'FEMA Disasters'!$D$2:$D$1000&amp;" ["&amp;'FEMA Disasters'!$B$2:$B$1000&amp;"] "&amp;'FEMA Disasters'!$C$2:$C$1000&amp;"-"&amp;'FEMA Disasters'!$A$2:$A$1000,""),IF('FEMA Disasters'!$L$2:$L$1000=$A646,"Disaster SEP ended: "&amp;'FEMA Disasters'!$D$2:$D$1000&amp;" ["&amp;'FEMA Disasters'!$B$2:$B$1000&amp;"] "&amp;'FEMA Disasters'!$C$2:$C$1000&amp;"-"&amp;'FEMA Disasters'!$A$2:$A$1000,""))</f>
        <v/>
      </c>
      <c r="H646" s="4" t="n">
        <f aca="false">COUNTIF(Events!$A$2:$A$397,$A646)</f>
        <v>0</v>
      </c>
      <c r="I646" s="6" t="str">
        <f aca="false" t="array" ref="I646:I646">_xlfn.TEXTJOIN(" | ",TRUE(),IF(Events!$A$2:$A$397=$A646,Events!$E$2:$E$397&amp;IF(Events!$G$2:$G$397="National",""," ["&amp;Events!$G$2:$G$397&amp;"]"),""))</f>
        <v/>
      </c>
    </row>
    <row r="647" customFormat="false" ht="15" hidden="false" customHeight="true" outlineLevel="0" collapsed="false">
      <c r="A647" s="3" t="n">
        <v>45937</v>
      </c>
      <c r="B647" s="4" t="n">
        <f aca="false">YEAR($A647)</f>
        <v>2025</v>
      </c>
      <c r="C647" s="4" t="n">
        <f aca="false">MONTH($A647)</f>
        <v>10</v>
      </c>
      <c r="D647" s="4" t="str">
        <f aca="false">TEXT($A647,"ddd")</f>
        <v>Tue</v>
      </c>
      <c r="E647" s="4" t="n">
        <f aca="false">IF(OR(AND(MONTH($A647)=10,DAY($A647)&gt;=15),MONTH($A647)=11,AND(MONTH($A647)=12,DAY($A647)&lt;=7)),1,0)</f>
        <v>0</v>
      </c>
      <c r="F647" s="4" t="n">
        <f aca="false">IF(MONTH($A647)&lt;=3,1,0)</f>
        <v>0</v>
      </c>
      <c r="G647" s="4" t="str">
        <f aca="false" t="array" ref="G647:G647">_xlfn.TEXTJOIN(" | ",TRUE(),IF('FEMA Disasters'!$F$2:$F$1000=$A647,'FEMA Disasters'!$D$2:$D$1000&amp;" begin: ["&amp;'FEMA Disasters'!$B$2:$B$1000&amp;"] "&amp;'FEMA Disasters'!$C$2:$C$1000&amp;"-"&amp;'FEMA Disasters'!$A$2:$A$1000,""),IF('FEMA Disasters'!$G$2:$G$1000=$A647,'FEMA Disasters'!$D$2:$D$1000&amp;" ended: ["&amp;'FEMA Disasters'!$B$2:$B$1000&amp;"] "&amp;'FEMA Disasters'!$C$2:$C$1000&amp;"-"&amp;'FEMA Disasters'!$A$2:$A$1000,""),IF('FEMA Disasters'!$K$2:$K$1000=$A647,"Disaster SEP opens: "&amp;'FEMA Disasters'!$D$2:$D$1000&amp;" ["&amp;'FEMA Disasters'!$B$2:$B$1000&amp;"] "&amp;'FEMA Disasters'!$C$2:$C$1000&amp;"-"&amp;'FEMA Disasters'!$A$2:$A$1000,""),IF('FEMA Disasters'!$L$2:$L$1000=$A647,"Disaster SEP ended: "&amp;'FEMA Disasters'!$D$2:$D$1000&amp;" ["&amp;'FEMA Disasters'!$B$2:$B$1000&amp;"] "&amp;'FEMA Disasters'!$C$2:$C$1000&amp;"-"&amp;'FEMA Disasters'!$A$2:$A$1000,""))</f>
        <v/>
      </c>
      <c r="H647" s="4" t="n">
        <f aca="false">COUNTIF(Events!$A$2:$A$397,$A647)</f>
        <v>0</v>
      </c>
      <c r="I647" s="6" t="str">
        <f aca="false" t="array" ref="I647:I647">_xlfn.TEXTJOIN(" | ",TRUE(),IF(Events!$A$2:$A$397=$A647,Events!$E$2:$E$397&amp;IF(Events!$G$2:$G$397="National",""," ["&amp;Events!$G$2:$G$397&amp;"]"),""))</f>
        <v/>
      </c>
    </row>
    <row r="648" customFormat="false" ht="15" hidden="false" customHeight="true" outlineLevel="0" collapsed="false">
      <c r="A648" s="3" t="n">
        <v>45938</v>
      </c>
      <c r="B648" s="4" t="n">
        <f aca="false">YEAR($A648)</f>
        <v>2025</v>
      </c>
      <c r="C648" s="4" t="n">
        <f aca="false">MONTH($A648)</f>
        <v>10</v>
      </c>
      <c r="D648" s="4" t="str">
        <f aca="false">TEXT($A648,"ddd")</f>
        <v>Wed</v>
      </c>
      <c r="E648" s="4" t="n">
        <f aca="false">IF(OR(AND(MONTH($A648)=10,DAY($A648)&gt;=15),MONTH($A648)=11,AND(MONTH($A648)=12,DAY($A648)&lt;=7)),1,0)</f>
        <v>0</v>
      </c>
      <c r="F648" s="4" t="n">
        <f aca="false">IF(MONTH($A648)&lt;=3,1,0)</f>
        <v>0</v>
      </c>
      <c r="G648" s="4" t="str">
        <f aca="false" t="array" ref="G648:G648">_xlfn.TEXTJOIN(" | ",TRUE(),IF('FEMA Disasters'!$F$2:$F$1000=$A648,'FEMA Disasters'!$D$2:$D$1000&amp;" begin: ["&amp;'FEMA Disasters'!$B$2:$B$1000&amp;"] "&amp;'FEMA Disasters'!$C$2:$C$1000&amp;"-"&amp;'FEMA Disasters'!$A$2:$A$1000,""),IF('FEMA Disasters'!$G$2:$G$1000=$A648,'FEMA Disasters'!$D$2:$D$1000&amp;" ended: ["&amp;'FEMA Disasters'!$B$2:$B$1000&amp;"] "&amp;'FEMA Disasters'!$C$2:$C$1000&amp;"-"&amp;'FEMA Disasters'!$A$2:$A$1000,""),IF('FEMA Disasters'!$K$2:$K$1000=$A648,"Disaster SEP opens: "&amp;'FEMA Disasters'!$D$2:$D$1000&amp;" ["&amp;'FEMA Disasters'!$B$2:$B$1000&amp;"] "&amp;'FEMA Disasters'!$C$2:$C$1000&amp;"-"&amp;'FEMA Disasters'!$A$2:$A$1000,""),IF('FEMA Disasters'!$L$2:$L$1000=$A648,"Disaster SEP ended: "&amp;'FEMA Disasters'!$D$2:$D$1000&amp;" ["&amp;'FEMA Disasters'!$B$2:$B$1000&amp;"] "&amp;'FEMA Disasters'!$C$2:$C$1000&amp;"-"&amp;'FEMA Disasters'!$A$2:$A$1000,""))</f>
        <v>Flood begin: [AK] DR-4893 | Flood begin: [AK] DR-4912</v>
      </c>
      <c r="H648" s="4" t="n">
        <f aca="false">COUNTIF(Events!$A$2:$A$397,$A648)</f>
        <v>0</v>
      </c>
      <c r="I648" s="6" t="str">
        <f aca="false" t="array" ref="I648:I648">_xlfn.TEXTJOIN(" | ",TRUE(),IF(Events!$A$2:$A$397=$A648,Events!$E$2:$E$397&amp;IF(Events!$G$2:$G$397="National",""," ["&amp;Events!$G$2:$G$397&amp;"]"),""))</f>
        <v/>
      </c>
    </row>
    <row r="649" customFormat="false" ht="15" hidden="false" customHeight="true" outlineLevel="0" collapsed="false">
      <c r="A649" s="3" t="n">
        <v>45939</v>
      </c>
      <c r="B649" s="4" t="n">
        <f aca="false">YEAR($A649)</f>
        <v>2025</v>
      </c>
      <c r="C649" s="4" t="n">
        <f aca="false">MONTH($A649)</f>
        <v>10</v>
      </c>
      <c r="D649" s="4" t="str">
        <f aca="false">TEXT($A649,"ddd")</f>
        <v>Thu</v>
      </c>
      <c r="E649" s="4" t="n">
        <f aca="false">IF(OR(AND(MONTH($A649)=10,DAY($A649)&gt;=15),MONTH($A649)=11,AND(MONTH($A649)=12,DAY($A649)&lt;=7)),1,0)</f>
        <v>0</v>
      </c>
      <c r="F649" s="4" t="n">
        <f aca="false">IF(MONTH($A649)&lt;=3,1,0)</f>
        <v>0</v>
      </c>
      <c r="G649" s="4" t="str">
        <f aca="false" t="array" ref="G649:G649">_xlfn.TEXTJOIN(" | ",TRUE(),IF('FEMA Disasters'!$F$2:$F$1000=$A649,'FEMA Disasters'!$D$2:$D$1000&amp;" begin: ["&amp;'FEMA Disasters'!$B$2:$B$1000&amp;"] "&amp;'FEMA Disasters'!$C$2:$C$1000&amp;"-"&amp;'FEMA Disasters'!$A$2:$A$1000,""),IF('FEMA Disasters'!$G$2:$G$1000=$A649,'FEMA Disasters'!$D$2:$D$1000&amp;" ended: ["&amp;'FEMA Disasters'!$B$2:$B$1000&amp;"] "&amp;'FEMA Disasters'!$C$2:$C$1000&amp;"-"&amp;'FEMA Disasters'!$A$2:$A$1000,""),IF('FEMA Disasters'!$K$2:$K$1000=$A649,"Disaster SEP opens: "&amp;'FEMA Disasters'!$D$2:$D$1000&amp;" ["&amp;'FEMA Disasters'!$B$2:$B$1000&amp;"] "&amp;'FEMA Disasters'!$C$2:$C$1000&amp;"-"&amp;'FEMA Disasters'!$A$2:$A$1000,""),IF('FEMA Disasters'!$L$2:$L$1000=$A649,"Disaster SEP ended: "&amp;'FEMA Disasters'!$D$2:$D$1000&amp;" ["&amp;'FEMA Disasters'!$B$2:$B$1000&amp;"] "&amp;'FEMA Disasters'!$C$2:$C$1000&amp;"-"&amp;'FEMA Disasters'!$A$2:$A$1000,""))</f>
        <v/>
      </c>
      <c r="H649" s="4" t="n">
        <f aca="false">COUNTIF(Events!$A$2:$A$397,$A649)</f>
        <v>1</v>
      </c>
      <c r="I649" s="6" t="str">
        <f aca="false" t="array" ref="I649:I649">_xlfn.TEXTJOIN(" | ",TRUE(),IF(Events!$A$2:$A$397=$A649,Events!$E$2:$E$397&amp;IF(Events!$G$2:$G$397="National",""," ["&amp;Events!$G$2:$G$397&amp;"]"),""))</f>
        <v>2026 Star Ratings published on Medicare Plan Finder: 18 contracts earned 5 stars (vs 7 prior yr); measure-set changes (patient-experience weight cut 4 to 2, Kidney Health measure added). NOTE: HCSC enrollment-weighted avg fell ~0.30 stars, remains below 4 stars (HealthScape/Chartis analysis)</v>
      </c>
    </row>
    <row r="650" customFormat="false" ht="15" hidden="false" customHeight="true" outlineLevel="0" collapsed="false">
      <c r="A650" s="3" t="n">
        <v>45940</v>
      </c>
      <c r="B650" s="4" t="n">
        <f aca="false">YEAR($A650)</f>
        <v>2025</v>
      </c>
      <c r="C650" s="4" t="n">
        <f aca="false">MONTH($A650)</f>
        <v>10</v>
      </c>
      <c r="D650" s="4" t="str">
        <f aca="false">TEXT($A650,"ddd")</f>
        <v>Fri</v>
      </c>
      <c r="E650" s="4" t="n">
        <f aca="false">IF(OR(AND(MONTH($A650)=10,DAY($A650)&gt;=15),MONTH($A650)=11,AND(MONTH($A650)=12,DAY($A650)&lt;=7)),1,0)</f>
        <v>0</v>
      </c>
      <c r="F650" s="4" t="n">
        <f aca="false">IF(MONTH($A650)&lt;=3,1,0)</f>
        <v>0</v>
      </c>
      <c r="G650" s="4" t="str">
        <f aca="false" t="array" ref="G650:G650">_xlfn.TEXTJOIN(" | ",TRUE(),IF('FEMA Disasters'!$F$2:$F$1000=$A650,'FEMA Disasters'!$D$2:$D$1000&amp;" begin: ["&amp;'FEMA Disasters'!$B$2:$B$1000&amp;"] "&amp;'FEMA Disasters'!$C$2:$C$1000&amp;"-"&amp;'FEMA Disasters'!$A$2:$A$1000,""),IF('FEMA Disasters'!$G$2:$G$1000=$A650,'FEMA Disasters'!$D$2:$D$1000&amp;" ended: ["&amp;'FEMA Disasters'!$B$2:$B$1000&amp;"] "&amp;'FEMA Disasters'!$C$2:$C$1000&amp;"-"&amp;'FEMA Disasters'!$A$2:$A$1000,""),IF('FEMA Disasters'!$K$2:$K$1000=$A650,"Disaster SEP opens: "&amp;'FEMA Disasters'!$D$2:$D$1000&amp;" ["&amp;'FEMA Disasters'!$B$2:$B$1000&amp;"] "&amp;'FEMA Disasters'!$C$2:$C$1000&amp;"-"&amp;'FEMA Disasters'!$A$2:$A$1000,""),IF('FEMA Disasters'!$L$2:$L$1000=$A650,"Disaster SEP ended: "&amp;'FEMA Disasters'!$D$2:$D$1000&amp;" ["&amp;'FEMA Disasters'!$B$2:$B$1000&amp;"] "&amp;'FEMA Disasters'!$C$2:$C$1000&amp;"-"&amp;'FEMA Disasters'!$A$2:$A$1000,""))</f>
        <v>Severe Storm begin: [AZ] DR-4911 | Fire ended: [WA] FM-5614</v>
      </c>
      <c r="H650" s="4" t="n">
        <f aca="false">COUNTIF(Events!$A$2:$A$397,$A650)</f>
        <v>0</v>
      </c>
      <c r="I650" s="6" t="str">
        <f aca="false" t="array" ref="I650:I650">_xlfn.TEXTJOIN(" | ",TRUE(),IF(Events!$A$2:$A$397=$A650,Events!$E$2:$E$397&amp;IF(Events!$G$2:$G$397="National",""," ["&amp;Events!$G$2:$G$397&amp;"]"),""))</f>
        <v/>
      </c>
    </row>
    <row r="651" customFormat="false" ht="15" hidden="false" customHeight="true" outlineLevel="0" collapsed="false">
      <c r="A651" s="3" t="n">
        <v>45941</v>
      </c>
      <c r="B651" s="4" t="n">
        <f aca="false">YEAR($A651)</f>
        <v>2025</v>
      </c>
      <c r="C651" s="4" t="n">
        <f aca="false">MONTH($A651)</f>
        <v>10</v>
      </c>
      <c r="D651" s="4" t="str">
        <f aca="false">TEXT($A651,"ddd")</f>
        <v>Sat</v>
      </c>
      <c r="E651" s="4" t="n">
        <f aca="false">IF(OR(AND(MONTH($A651)=10,DAY($A651)&gt;=15),MONTH($A651)=11,AND(MONTH($A651)=12,DAY($A651)&lt;=7)),1,0)</f>
        <v>0</v>
      </c>
      <c r="F651" s="4" t="n">
        <f aca="false">IF(MONTH($A651)&lt;=3,1,0)</f>
        <v>0</v>
      </c>
      <c r="G651" s="4" t="str">
        <f aca="false" t="array" ref="G651:G651">_xlfn.TEXTJOIN(" | ",TRUE(),IF('FEMA Disasters'!$F$2:$F$1000=$A651,'FEMA Disasters'!$D$2:$D$1000&amp;" begin: ["&amp;'FEMA Disasters'!$B$2:$B$1000&amp;"] "&amp;'FEMA Disasters'!$C$2:$C$1000&amp;"-"&amp;'FEMA Disasters'!$A$2:$A$1000,""),IF('FEMA Disasters'!$G$2:$G$1000=$A651,'FEMA Disasters'!$D$2:$D$1000&amp;" ended: ["&amp;'FEMA Disasters'!$B$2:$B$1000&amp;"] "&amp;'FEMA Disasters'!$C$2:$C$1000&amp;"-"&amp;'FEMA Disasters'!$A$2:$A$1000,""),IF('FEMA Disasters'!$K$2:$K$1000=$A651,"Disaster SEP opens: "&amp;'FEMA Disasters'!$D$2:$D$1000&amp;" ["&amp;'FEMA Disasters'!$B$2:$B$1000&amp;"] "&amp;'FEMA Disasters'!$C$2:$C$1000&amp;"-"&amp;'FEMA Disasters'!$A$2:$A$1000,""),IF('FEMA Disasters'!$L$2:$L$1000=$A651,"Disaster SEP ended: "&amp;'FEMA Disasters'!$D$2:$D$1000&amp;" ["&amp;'FEMA Disasters'!$B$2:$B$1000&amp;"] "&amp;'FEMA Disasters'!$C$2:$C$1000&amp;"-"&amp;'FEMA Disasters'!$A$2:$A$1000,""))</f>
        <v/>
      </c>
      <c r="H651" s="4" t="n">
        <f aca="false">COUNTIF(Events!$A$2:$A$397,$A651)</f>
        <v>0</v>
      </c>
      <c r="I651" s="6" t="str">
        <f aca="false" t="array" ref="I651:I651">_xlfn.TEXTJOIN(" | ",TRUE(),IF(Events!$A$2:$A$397=$A651,Events!$E$2:$E$397&amp;IF(Events!$G$2:$G$397="National",""," ["&amp;Events!$G$2:$G$397&amp;"]"),""))</f>
        <v/>
      </c>
    </row>
    <row r="652" customFormat="false" ht="15" hidden="false" customHeight="true" outlineLevel="0" collapsed="false">
      <c r="A652" s="3" t="n">
        <v>45942</v>
      </c>
      <c r="B652" s="4" t="n">
        <f aca="false">YEAR($A652)</f>
        <v>2025</v>
      </c>
      <c r="C652" s="4" t="n">
        <f aca="false">MONTH($A652)</f>
        <v>10</v>
      </c>
      <c r="D652" s="4" t="str">
        <f aca="false">TEXT($A652,"ddd")</f>
        <v>Sun</v>
      </c>
      <c r="E652" s="4" t="n">
        <f aca="false">IF(OR(AND(MONTH($A652)=10,DAY($A652)&gt;=15),MONTH($A652)=11,AND(MONTH($A652)=12,DAY($A652)&lt;=7)),1,0)</f>
        <v>0</v>
      </c>
      <c r="F652" s="4" t="n">
        <f aca="false">IF(MONTH($A652)&lt;=3,1,0)</f>
        <v>0</v>
      </c>
      <c r="G652" s="4" t="str">
        <f aca="false" t="array" ref="G652:G652">_xlfn.TEXTJOIN(" | ",TRUE(),IF('FEMA Disasters'!$F$2:$F$1000=$A652,'FEMA Disasters'!$D$2:$D$1000&amp;" begin: ["&amp;'FEMA Disasters'!$B$2:$B$1000&amp;"] "&amp;'FEMA Disasters'!$C$2:$C$1000&amp;"-"&amp;'FEMA Disasters'!$A$2:$A$1000,""),IF('FEMA Disasters'!$G$2:$G$1000=$A652,'FEMA Disasters'!$D$2:$D$1000&amp;" ended: ["&amp;'FEMA Disasters'!$B$2:$B$1000&amp;"] "&amp;'FEMA Disasters'!$C$2:$C$1000&amp;"-"&amp;'FEMA Disasters'!$A$2:$A$1000,""),IF('FEMA Disasters'!$K$2:$K$1000=$A652,"Disaster SEP opens: "&amp;'FEMA Disasters'!$D$2:$D$1000&amp;" ["&amp;'FEMA Disasters'!$B$2:$B$1000&amp;"] "&amp;'FEMA Disasters'!$C$2:$C$1000&amp;"-"&amp;'FEMA Disasters'!$A$2:$A$1000,""),IF('FEMA Disasters'!$L$2:$L$1000=$A652,"Disaster SEP ended: "&amp;'FEMA Disasters'!$D$2:$D$1000&amp;" ["&amp;'FEMA Disasters'!$B$2:$B$1000&amp;"] "&amp;'FEMA Disasters'!$C$2:$C$1000&amp;"-"&amp;'FEMA Disasters'!$A$2:$A$1000,""))</f>
        <v/>
      </c>
      <c r="H652" s="4" t="n">
        <f aca="false">COUNTIF(Events!$A$2:$A$397,$A652)</f>
        <v>0</v>
      </c>
      <c r="I652" s="6" t="str">
        <f aca="false" t="array" ref="I652:I652">_xlfn.TEXTJOIN(" | ",TRUE(),IF(Events!$A$2:$A$397=$A652,Events!$E$2:$E$397&amp;IF(Events!$G$2:$G$397="National",""," ["&amp;Events!$G$2:$G$397&amp;"]"),""))</f>
        <v/>
      </c>
    </row>
    <row r="653" customFormat="false" ht="15" hidden="false" customHeight="true" outlineLevel="0" collapsed="false">
      <c r="A653" s="3" t="n">
        <v>45943</v>
      </c>
      <c r="B653" s="4" t="n">
        <f aca="false">YEAR($A653)</f>
        <v>2025</v>
      </c>
      <c r="C653" s="4" t="n">
        <f aca="false">MONTH($A653)</f>
        <v>10</v>
      </c>
      <c r="D653" s="4" t="str">
        <f aca="false">TEXT($A653,"ddd")</f>
        <v>Mon</v>
      </c>
      <c r="E653" s="4" t="n">
        <f aca="false">IF(OR(AND(MONTH($A653)=10,DAY($A653)&gt;=15),MONTH($A653)=11,AND(MONTH($A653)=12,DAY($A653)&lt;=7)),1,0)</f>
        <v>0</v>
      </c>
      <c r="F653" s="4" t="n">
        <f aca="false">IF(MONTH($A653)&lt;=3,1,0)</f>
        <v>0</v>
      </c>
      <c r="G653" s="4" t="str">
        <f aca="false" t="array" ref="G653:G653">_xlfn.TEXTJOIN(" | ",TRUE(),IF('FEMA Disasters'!$F$2:$F$1000=$A653,'FEMA Disasters'!$D$2:$D$1000&amp;" begin: ["&amp;'FEMA Disasters'!$B$2:$B$1000&amp;"] "&amp;'FEMA Disasters'!$C$2:$C$1000&amp;"-"&amp;'FEMA Disasters'!$A$2:$A$1000,""),IF('FEMA Disasters'!$G$2:$G$1000=$A653,'FEMA Disasters'!$D$2:$D$1000&amp;" ended: ["&amp;'FEMA Disasters'!$B$2:$B$1000&amp;"] "&amp;'FEMA Disasters'!$C$2:$C$1000&amp;"-"&amp;'FEMA Disasters'!$A$2:$A$1000,""),IF('FEMA Disasters'!$K$2:$K$1000=$A653,"Disaster SEP opens: "&amp;'FEMA Disasters'!$D$2:$D$1000&amp;" ["&amp;'FEMA Disasters'!$B$2:$B$1000&amp;"] "&amp;'FEMA Disasters'!$C$2:$C$1000&amp;"-"&amp;'FEMA Disasters'!$A$2:$A$1000,""),IF('FEMA Disasters'!$L$2:$L$1000=$A653,"Disaster SEP ended: "&amp;'FEMA Disasters'!$D$2:$D$1000&amp;" ["&amp;'FEMA Disasters'!$B$2:$B$1000&amp;"] "&amp;'FEMA Disasters'!$C$2:$C$1000&amp;"-"&amp;'FEMA Disasters'!$A$2:$A$1000,""))</f>
        <v>Flood ended: [AK] DR-4893 | Flood ended: [AK] DR-4912 | Severe Storm ended: [AZ] DR-4911</v>
      </c>
      <c r="H653" s="4" t="n">
        <f aca="false">COUNTIF(Events!$A$2:$A$397,$A653)</f>
        <v>0</v>
      </c>
      <c r="I653" s="6" t="str">
        <f aca="false" t="array" ref="I653:I653">_xlfn.TEXTJOIN(" | ",TRUE(),IF(Events!$A$2:$A$397=$A653,Events!$E$2:$E$397&amp;IF(Events!$G$2:$G$397="National",""," ["&amp;Events!$G$2:$G$397&amp;"]"),""))</f>
        <v/>
      </c>
    </row>
    <row r="654" customFormat="false" ht="15" hidden="false" customHeight="true" outlineLevel="0" collapsed="false">
      <c r="A654" s="3" t="n">
        <v>45944</v>
      </c>
      <c r="B654" s="4" t="n">
        <f aca="false">YEAR($A654)</f>
        <v>2025</v>
      </c>
      <c r="C654" s="4" t="n">
        <f aca="false">MONTH($A654)</f>
        <v>10</v>
      </c>
      <c r="D654" s="4" t="str">
        <f aca="false">TEXT($A654,"ddd")</f>
        <v>Tue</v>
      </c>
      <c r="E654" s="4" t="n">
        <f aca="false">IF(OR(AND(MONTH($A654)=10,DAY($A654)&gt;=15),MONTH($A654)=11,AND(MONTH($A654)=12,DAY($A654)&lt;=7)),1,0)</f>
        <v>0</v>
      </c>
      <c r="F654" s="4" t="n">
        <f aca="false">IF(MONTH($A654)&lt;=3,1,0)</f>
        <v>0</v>
      </c>
      <c r="G654" s="4" t="str">
        <f aca="false" t="array" ref="G654:G654">_xlfn.TEXTJOIN(" | ",TRUE(),IF('FEMA Disasters'!$F$2:$F$1000=$A654,'FEMA Disasters'!$D$2:$D$1000&amp;" begin: ["&amp;'FEMA Disasters'!$B$2:$B$1000&amp;"] "&amp;'FEMA Disasters'!$C$2:$C$1000&amp;"-"&amp;'FEMA Disasters'!$A$2:$A$1000,""),IF('FEMA Disasters'!$G$2:$G$1000=$A654,'FEMA Disasters'!$D$2:$D$1000&amp;" ended: ["&amp;'FEMA Disasters'!$B$2:$B$1000&amp;"] "&amp;'FEMA Disasters'!$C$2:$C$1000&amp;"-"&amp;'FEMA Disasters'!$A$2:$A$1000,""),IF('FEMA Disasters'!$K$2:$K$1000=$A654,"Disaster SEP opens: "&amp;'FEMA Disasters'!$D$2:$D$1000&amp;" ["&amp;'FEMA Disasters'!$B$2:$B$1000&amp;"] "&amp;'FEMA Disasters'!$C$2:$C$1000&amp;"-"&amp;'FEMA Disasters'!$A$2:$A$1000,""),IF('FEMA Disasters'!$L$2:$L$1000=$A654,"Disaster SEP ended: "&amp;'FEMA Disasters'!$D$2:$D$1000&amp;" ["&amp;'FEMA Disasters'!$B$2:$B$1000&amp;"] "&amp;'FEMA Disasters'!$C$2:$C$1000&amp;"-"&amp;'FEMA Disasters'!$A$2:$A$1000,""))</f>
        <v/>
      </c>
      <c r="H654" s="4" t="n">
        <f aca="false">COUNTIF(Events!$A$2:$A$397,$A654)</f>
        <v>0</v>
      </c>
      <c r="I654" s="6" t="str">
        <f aca="false" t="array" ref="I654:I654">_xlfn.TEXTJOIN(" | ",TRUE(),IF(Events!$A$2:$A$397=$A654,Events!$E$2:$E$397&amp;IF(Events!$G$2:$G$397="National",""," ["&amp;Events!$G$2:$G$397&amp;"]"),""))</f>
        <v/>
      </c>
    </row>
    <row r="655" customFormat="false" ht="15" hidden="false" customHeight="true" outlineLevel="0" collapsed="false">
      <c r="A655" s="3" t="n">
        <v>45945</v>
      </c>
      <c r="B655" s="4" t="n">
        <f aca="false">YEAR($A655)</f>
        <v>2025</v>
      </c>
      <c r="C655" s="4" t="n">
        <f aca="false">MONTH($A655)</f>
        <v>10</v>
      </c>
      <c r="D655" s="4" t="str">
        <f aca="false">TEXT($A655,"ddd")</f>
        <v>Wed</v>
      </c>
      <c r="E655" s="4" t="n">
        <f aca="false">IF(OR(AND(MONTH($A655)=10,DAY($A655)&gt;=15),MONTH($A655)=11,AND(MONTH($A655)=12,DAY($A655)&lt;=7)),1,0)</f>
        <v>1</v>
      </c>
      <c r="F655" s="4" t="n">
        <f aca="false">IF(MONTH($A655)&lt;=3,1,0)</f>
        <v>0</v>
      </c>
      <c r="G655" s="4" t="str">
        <f aca="false" t="array" ref="G655:G655">_xlfn.TEXTJOIN(" | ",TRUE(),IF('FEMA Disasters'!$F$2:$F$1000=$A655,'FEMA Disasters'!$D$2:$D$1000&amp;" begin: ["&amp;'FEMA Disasters'!$B$2:$B$1000&amp;"] "&amp;'FEMA Disasters'!$C$2:$C$1000&amp;"-"&amp;'FEMA Disasters'!$A$2:$A$1000,""),IF('FEMA Disasters'!$G$2:$G$1000=$A655,'FEMA Disasters'!$D$2:$D$1000&amp;" ended: ["&amp;'FEMA Disasters'!$B$2:$B$1000&amp;"] "&amp;'FEMA Disasters'!$C$2:$C$1000&amp;"-"&amp;'FEMA Disasters'!$A$2:$A$1000,""),IF('FEMA Disasters'!$K$2:$K$1000=$A655,"Disaster SEP opens: "&amp;'FEMA Disasters'!$D$2:$D$1000&amp;" ["&amp;'FEMA Disasters'!$B$2:$B$1000&amp;"] "&amp;'FEMA Disasters'!$C$2:$C$1000&amp;"-"&amp;'FEMA Disasters'!$A$2:$A$1000,""),IF('FEMA Disasters'!$L$2:$L$1000=$A655,"Disaster SEP ended: "&amp;'FEMA Disasters'!$D$2:$D$1000&amp;" ["&amp;'FEMA Disasters'!$B$2:$B$1000&amp;"] "&amp;'FEMA Disasters'!$C$2:$C$1000&amp;"-"&amp;'FEMA Disasters'!$A$2:$A$1000,""))</f>
        <v/>
      </c>
      <c r="H655" s="4" t="n">
        <f aca="false">COUNTIF(Events!$A$2:$A$397,$A655)</f>
        <v>2</v>
      </c>
      <c r="I655" s="6" t="str">
        <f aca="false" t="array" ref="I655:I655">_xlfn.TEXTJOIN(" | ",TRUE(),IF(Events!$A$2:$A$397=$A655,Events!$E$2:$E$397&amp;IF(Events!$G$2:$G$397="National",""," ["&amp;Events!$G$2:$G$397&amp;"]"),""))</f>
        <v>AEP opens with California's new Medi-Medi (exclusively aligned D-SNP) plans available for enrollment statewide for 1/1/2026 coverage start || C-SNP: CA's closure of non-aligned D-SNP enrollment creates steering pressure toward C-SNPs for duals not in aligned plans (largest state market). [CA] | First Rhode Island annual Medigap guaranteed-issue window opens with the AEP (RIGL 27-18.2-3(h); OHIC Bulletin 2025-05, effective 9/26/2025): continuous-coverage enrollees may switch to any Medigap plan, and MA enrollees gain a guaranteed off-ramp to Medigap, without underwriting [RI]</v>
      </c>
    </row>
    <row r="656" customFormat="false" ht="15" hidden="false" customHeight="true" outlineLevel="0" collapsed="false">
      <c r="A656" s="3" t="n">
        <v>45946</v>
      </c>
      <c r="B656" s="4" t="n">
        <f aca="false">YEAR($A656)</f>
        <v>2025</v>
      </c>
      <c r="C656" s="4" t="n">
        <f aca="false">MONTH($A656)</f>
        <v>10</v>
      </c>
      <c r="D656" s="4" t="str">
        <f aca="false">TEXT($A656,"ddd")</f>
        <v>Thu</v>
      </c>
      <c r="E656" s="4" t="n">
        <f aca="false">IF(OR(AND(MONTH($A656)=10,DAY($A656)&gt;=15),MONTH($A656)=11,AND(MONTH($A656)=12,DAY($A656)&lt;=7)),1,0)</f>
        <v>1</v>
      </c>
      <c r="F656" s="4" t="n">
        <f aca="false">IF(MONTH($A656)&lt;=3,1,0)</f>
        <v>0</v>
      </c>
      <c r="G656" s="4" t="str">
        <f aca="false" t="array" ref="G656:G656">_xlfn.TEXTJOIN(" | ",TRUE(),IF('FEMA Disasters'!$F$2:$F$1000=$A656,'FEMA Disasters'!$D$2:$D$1000&amp;" begin: ["&amp;'FEMA Disasters'!$B$2:$B$1000&amp;"] "&amp;'FEMA Disasters'!$C$2:$C$1000&amp;"-"&amp;'FEMA Disasters'!$A$2:$A$1000,""),IF('FEMA Disasters'!$G$2:$G$1000=$A656,'FEMA Disasters'!$D$2:$D$1000&amp;" ended: ["&amp;'FEMA Disasters'!$B$2:$B$1000&amp;"] "&amp;'FEMA Disasters'!$C$2:$C$1000&amp;"-"&amp;'FEMA Disasters'!$A$2:$A$1000,""),IF('FEMA Disasters'!$K$2:$K$1000=$A656,"Disaster SEP opens: "&amp;'FEMA Disasters'!$D$2:$D$1000&amp;" ["&amp;'FEMA Disasters'!$B$2:$B$1000&amp;"] "&amp;'FEMA Disasters'!$C$2:$C$1000&amp;"-"&amp;'FEMA Disasters'!$A$2:$A$1000,""),IF('FEMA Disasters'!$L$2:$L$1000=$A656,"Disaster SEP ended: "&amp;'FEMA Disasters'!$D$2:$D$1000&amp;" ["&amp;'FEMA Disasters'!$B$2:$B$1000&amp;"] "&amp;'FEMA Disasters'!$C$2:$C$1000&amp;"-"&amp;'FEMA Disasters'!$A$2:$A$1000,""))</f>
        <v/>
      </c>
      <c r="H656" s="4" t="n">
        <f aca="false">COUNTIF(Events!$A$2:$A$397,$A656)</f>
        <v>0</v>
      </c>
      <c r="I656" s="6" t="str">
        <f aca="false" t="array" ref="I656:I656">_xlfn.TEXTJOIN(" | ",TRUE(),IF(Events!$A$2:$A$397=$A656,Events!$E$2:$E$397&amp;IF(Events!$G$2:$G$397="National",""," ["&amp;Events!$G$2:$G$397&amp;"]"),""))</f>
        <v/>
      </c>
    </row>
    <row r="657" customFormat="false" ht="15" hidden="false" customHeight="true" outlineLevel="0" collapsed="false">
      <c r="A657" s="3" t="n">
        <v>45947</v>
      </c>
      <c r="B657" s="4" t="n">
        <f aca="false">YEAR($A657)</f>
        <v>2025</v>
      </c>
      <c r="C657" s="4" t="n">
        <f aca="false">MONTH($A657)</f>
        <v>10</v>
      </c>
      <c r="D657" s="4" t="str">
        <f aca="false">TEXT($A657,"ddd")</f>
        <v>Fri</v>
      </c>
      <c r="E657" s="4" t="n">
        <f aca="false">IF(OR(AND(MONTH($A657)=10,DAY($A657)&gt;=15),MONTH($A657)=11,AND(MONTH($A657)=12,DAY($A657)&lt;=7)),1,0)</f>
        <v>1</v>
      </c>
      <c r="F657" s="4" t="n">
        <f aca="false">IF(MONTH($A657)&lt;=3,1,0)</f>
        <v>0</v>
      </c>
      <c r="G657" s="4" t="str">
        <f aca="false" t="array" ref="G657:G657">_xlfn.TEXTJOIN(" | ",TRUE(),IF('FEMA Disasters'!$F$2:$F$1000=$A657,'FEMA Disasters'!$D$2:$D$1000&amp;" begin: ["&amp;'FEMA Disasters'!$B$2:$B$1000&amp;"] "&amp;'FEMA Disasters'!$C$2:$C$1000&amp;"-"&amp;'FEMA Disasters'!$A$2:$A$1000,""),IF('FEMA Disasters'!$G$2:$G$1000=$A657,'FEMA Disasters'!$D$2:$D$1000&amp;" ended: ["&amp;'FEMA Disasters'!$B$2:$B$1000&amp;"] "&amp;'FEMA Disasters'!$C$2:$C$1000&amp;"-"&amp;'FEMA Disasters'!$A$2:$A$1000,""),IF('FEMA Disasters'!$K$2:$K$1000=$A657,"Disaster SEP opens: "&amp;'FEMA Disasters'!$D$2:$D$1000&amp;" ["&amp;'FEMA Disasters'!$B$2:$B$1000&amp;"] "&amp;'FEMA Disasters'!$C$2:$C$1000&amp;"-"&amp;'FEMA Disasters'!$A$2:$A$1000,""),IF('FEMA Disasters'!$L$2:$L$1000=$A657,"Disaster SEP ended: "&amp;'FEMA Disasters'!$D$2:$D$1000&amp;" ["&amp;'FEMA Disasters'!$B$2:$B$1000&amp;"] "&amp;'FEMA Disasters'!$C$2:$C$1000&amp;"-"&amp;'FEMA Disasters'!$A$2:$A$1000,""))</f>
        <v/>
      </c>
      <c r="H657" s="4" t="n">
        <f aca="false">COUNTIF(Events!$A$2:$A$397,$A657)</f>
        <v>0</v>
      </c>
      <c r="I657" s="6" t="str">
        <f aca="false" t="array" ref="I657:I657">_xlfn.TEXTJOIN(" | ",TRUE(),IF(Events!$A$2:$A$397=$A657,Events!$E$2:$E$397&amp;IF(Events!$G$2:$G$397="National",""," ["&amp;Events!$G$2:$G$397&amp;"]"),""))</f>
        <v/>
      </c>
    </row>
    <row r="658" customFormat="false" ht="15" hidden="false" customHeight="true" outlineLevel="0" collapsed="false">
      <c r="A658" s="3" t="n">
        <v>45948</v>
      </c>
      <c r="B658" s="4" t="n">
        <f aca="false">YEAR($A658)</f>
        <v>2025</v>
      </c>
      <c r="C658" s="4" t="n">
        <f aca="false">MONTH($A658)</f>
        <v>10</v>
      </c>
      <c r="D658" s="4" t="str">
        <f aca="false">TEXT($A658,"ddd")</f>
        <v>Sat</v>
      </c>
      <c r="E658" s="4" t="n">
        <f aca="false">IF(OR(AND(MONTH($A658)=10,DAY($A658)&gt;=15),MONTH($A658)=11,AND(MONTH($A658)=12,DAY($A658)&lt;=7)),1,0)</f>
        <v>1</v>
      </c>
      <c r="F658" s="4" t="n">
        <f aca="false">IF(MONTH($A658)&lt;=3,1,0)</f>
        <v>0</v>
      </c>
      <c r="G658" s="4" t="str">
        <f aca="false" t="array" ref="G658:G658">_xlfn.TEXTJOIN(" | ",TRUE(),IF('FEMA Disasters'!$F$2:$F$1000=$A658,'FEMA Disasters'!$D$2:$D$1000&amp;" begin: ["&amp;'FEMA Disasters'!$B$2:$B$1000&amp;"] "&amp;'FEMA Disasters'!$C$2:$C$1000&amp;"-"&amp;'FEMA Disasters'!$A$2:$A$1000,""),IF('FEMA Disasters'!$G$2:$G$1000=$A658,'FEMA Disasters'!$D$2:$D$1000&amp;" ended: ["&amp;'FEMA Disasters'!$B$2:$B$1000&amp;"] "&amp;'FEMA Disasters'!$C$2:$C$1000&amp;"-"&amp;'FEMA Disasters'!$A$2:$A$1000,""),IF('FEMA Disasters'!$K$2:$K$1000=$A658,"Disaster SEP opens: "&amp;'FEMA Disasters'!$D$2:$D$1000&amp;" ["&amp;'FEMA Disasters'!$B$2:$B$1000&amp;"] "&amp;'FEMA Disasters'!$C$2:$C$1000&amp;"-"&amp;'FEMA Disasters'!$A$2:$A$1000,""),IF('FEMA Disasters'!$L$2:$L$1000=$A658,"Disaster SEP ended: "&amp;'FEMA Disasters'!$D$2:$D$1000&amp;" ["&amp;'FEMA Disasters'!$B$2:$B$1000&amp;"] "&amp;'FEMA Disasters'!$C$2:$C$1000&amp;"-"&amp;'FEMA Disasters'!$A$2:$A$1000,""))</f>
        <v/>
      </c>
      <c r="H658" s="4" t="n">
        <f aca="false">COUNTIF(Events!$A$2:$A$397,$A658)</f>
        <v>0</v>
      </c>
      <c r="I658" s="6" t="str">
        <f aca="false" t="array" ref="I658:I658">_xlfn.TEXTJOIN(" | ",TRUE(),IF(Events!$A$2:$A$397=$A658,Events!$E$2:$E$397&amp;IF(Events!$G$2:$G$397="National",""," ["&amp;Events!$G$2:$G$397&amp;"]"),""))</f>
        <v/>
      </c>
    </row>
    <row r="659" customFormat="false" ht="15" hidden="false" customHeight="true" outlineLevel="0" collapsed="false">
      <c r="A659" s="3" t="n">
        <v>45949</v>
      </c>
      <c r="B659" s="4" t="n">
        <f aca="false">YEAR($A659)</f>
        <v>2025</v>
      </c>
      <c r="C659" s="4" t="n">
        <f aca="false">MONTH($A659)</f>
        <v>10</v>
      </c>
      <c r="D659" s="4" t="str">
        <f aca="false">TEXT($A659,"ddd")</f>
        <v>Sun</v>
      </c>
      <c r="E659" s="4" t="n">
        <f aca="false">IF(OR(AND(MONTH($A659)=10,DAY($A659)&gt;=15),MONTH($A659)=11,AND(MONTH($A659)=12,DAY($A659)&lt;=7)),1,0)</f>
        <v>1</v>
      </c>
      <c r="F659" s="4" t="n">
        <f aca="false">IF(MONTH($A659)&lt;=3,1,0)</f>
        <v>0</v>
      </c>
      <c r="G659" s="4" t="str">
        <f aca="false" t="array" ref="G659:G659">_xlfn.TEXTJOIN(" | ",TRUE(),IF('FEMA Disasters'!$F$2:$F$1000=$A659,'FEMA Disasters'!$D$2:$D$1000&amp;" begin: ["&amp;'FEMA Disasters'!$B$2:$B$1000&amp;"] "&amp;'FEMA Disasters'!$C$2:$C$1000&amp;"-"&amp;'FEMA Disasters'!$A$2:$A$1000,""),IF('FEMA Disasters'!$G$2:$G$1000=$A659,'FEMA Disasters'!$D$2:$D$1000&amp;" ended: ["&amp;'FEMA Disasters'!$B$2:$B$1000&amp;"] "&amp;'FEMA Disasters'!$C$2:$C$1000&amp;"-"&amp;'FEMA Disasters'!$A$2:$A$1000,""),IF('FEMA Disasters'!$K$2:$K$1000=$A659,"Disaster SEP opens: "&amp;'FEMA Disasters'!$D$2:$D$1000&amp;" ["&amp;'FEMA Disasters'!$B$2:$B$1000&amp;"] "&amp;'FEMA Disasters'!$C$2:$C$1000&amp;"-"&amp;'FEMA Disasters'!$A$2:$A$1000,""),IF('FEMA Disasters'!$L$2:$L$1000=$A659,"Disaster SEP ended: "&amp;'FEMA Disasters'!$D$2:$D$1000&amp;" ["&amp;'FEMA Disasters'!$B$2:$B$1000&amp;"] "&amp;'FEMA Disasters'!$C$2:$C$1000&amp;"-"&amp;'FEMA Disasters'!$A$2:$A$1000,""))</f>
        <v/>
      </c>
      <c r="H659" s="4" t="n">
        <f aca="false">COUNTIF(Events!$A$2:$A$397,$A659)</f>
        <v>0</v>
      </c>
      <c r="I659" s="6" t="str">
        <f aca="false" t="array" ref="I659:I659">_xlfn.TEXTJOIN(" | ",TRUE(),IF(Events!$A$2:$A$397=$A659,Events!$E$2:$E$397&amp;IF(Events!$G$2:$G$397="National",""," ["&amp;Events!$G$2:$G$397&amp;"]"),""))</f>
        <v/>
      </c>
    </row>
    <row r="660" customFormat="false" ht="15" hidden="false" customHeight="true" outlineLevel="0" collapsed="false">
      <c r="A660" s="3" t="n">
        <v>45950</v>
      </c>
      <c r="B660" s="4" t="n">
        <f aca="false">YEAR($A660)</f>
        <v>2025</v>
      </c>
      <c r="C660" s="4" t="n">
        <f aca="false">MONTH($A660)</f>
        <v>10</v>
      </c>
      <c r="D660" s="4" t="str">
        <f aca="false">TEXT($A660,"ddd")</f>
        <v>Mon</v>
      </c>
      <c r="E660" s="4" t="n">
        <f aca="false">IF(OR(AND(MONTH($A660)=10,DAY($A660)&gt;=15),MONTH($A660)=11,AND(MONTH($A660)=12,DAY($A660)&lt;=7)),1,0)</f>
        <v>1</v>
      </c>
      <c r="F660" s="4" t="n">
        <f aca="false">IF(MONTH($A660)&lt;=3,1,0)</f>
        <v>0</v>
      </c>
      <c r="G660" s="4" t="str">
        <f aca="false" t="array" ref="G660:G660">_xlfn.TEXTJOIN(" | ",TRUE(),IF('FEMA Disasters'!$F$2:$F$1000=$A660,'FEMA Disasters'!$D$2:$D$1000&amp;" begin: ["&amp;'FEMA Disasters'!$B$2:$B$1000&amp;"] "&amp;'FEMA Disasters'!$C$2:$C$1000&amp;"-"&amp;'FEMA Disasters'!$A$2:$A$1000,""),IF('FEMA Disasters'!$G$2:$G$1000=$A660,'FEMA Disasters'!$D$2:$D$1000&amp;" ended: ["&amp;'FEMA Disasters'!$B$2:$B$1000&amp;"] "&amp;'FEMA Disasters'!$C$2:$C$1000&amp;"-"&amp;'FEMA Disasters'!$A$2:$A$1000,""),IF('FEMA Disasters'!$K$2:$K$1000=$A660,"Disaster SEP opens: "&amp;'FEMA Disasters'!$D$2:$D$1000&amp;" ["&amp;'FEMA Disasters'!$B$2:$B$1000&amp;"] "&amp;'FEMA Disasters'!$C$2:$C$1000&amp;"-"&amp;'FEMA Disasters'!$A$2:$A$1000,""),IF('FEMA Disasters'!$L$2:$L$1000=$A660,"Disaster SEP ended: "&amp;'FEMA Disasters'!$D$2:$D$1000&amp;" ["&amp;'FEMA Disasters'!$B$2:$B$1000&amp;"] "&amp;'FEMA Disasters'!$C$2:$C$1000&amp;"-"&amp;'FEMA Disasters'!$A$2:$A$1000,""))</f>
        <v/>
      </c>
      <c r="H660" s="4" t="n">
        <f aca="false">COUNTIF(Events!$A$2:$A$397,$A660)</f>
        <v>0</v>
      </c>
      <c r="I660" s="6" t="str">
        <f aca="false" t="array" ref="I660:I660">_xlfn.TEXTJOIN(" | ",TRUE(),IF(Events!$A$2:$A$397=$A660,Events!$E$2:$E$397&amp;IF(Events!$G$2:$G$397="National",""," ["&amp;Events!$G$2:$G$397&amp;"]"),""))</f>
        <v/>
      </c>
    </row>
    <row r="661" customFormat="false" ht="15" hidden="false" customHeight="true" outlineLevel="0" collapsed="false">
      <c r="A661" s="3" t="n">
        <v>45951</v>
      </c>
      <c r="B661" s="4" t="n">
        <f aca="false">YEAR($A661)</f>
        <v>2025</v>
      </c>
      <c r="C661" s="4" t="n">
        <f aca="false">MONTH($A661)</f>
        <v>10</v>
      </c>
      <c r="D661" s="4" t="str">
        <f aca="false">TEXT($A661,"ddd")</f>
        <v>Tue</v>
      </c>
      <c r="E661" s="4" t="n">
        <f aca="false">IF(OR(AND(MONTH($A661)=10,DAY($A661)&gt;=15),MONTH($A661)=11,AND(MONTH($A661)=12,DAY($A661)&lt;=7)),1,0)</f>
        <v>1</v>
      </c>
      <c r="F661" s="4" t="n">
        <f aca="false">IF(MONTH($A661)&lt;=3,1,0)</f>
        <v>0</v>
      </c>
      <c r="G661" s="4" t="str">
        <f aca="false" t="array" ref="G661:G661">_xlfn.TEXTJOIN(" | ",TRUE(),IF('FEMA Disasters'!$F$2:$F$1000=$A661,'FEMA Disasters'!$D$2:$D$1000&amp;" begin: ["&amp;'FEMA Disasters'!$B$2:$B$1000&amp;"] "&amp;'FEMA Disasters'!$C$2:$C$1000&amp;"-"&amp;'FEMA Disasters'!$A$2:$A$1000,""),IF('FEMA Disasters'!$G$2:$G$1000=$A661,'FEMA Disasters'!$D$2:$D$1000&amp;" ended: ["&amp;'FEMA Disasters'!$B$2:$B$1000&amp;"] "&amp;'FEMA Disasters'!$C$2:$C$1000&amp;"-"&amp;'FEMA Disasters'!$A$2:$A$1000,""),IF('FEMA Disasters'!$K$2:$K$1000=$A661,"Disaster SEP opens: "&amp;'FEMA Disasters'!$D$2:$D$1000&amp;" ["&amp;'FEMA Disasters'!$B$2:$B$1000&amp;"] "&amp;'FEMA Disasters'!$C$2:$C$1000&amp;"-"&amp;'FEMA Disasters'!$A$2:$A$1000,""),IF('FEMA Disasters'!$L$2:$L$1000=$A661,"Disaster SEP ended: "&amp;'FEMA Disasters'!$D$2:$D$1000&amp;" ["&amp;'FEMA Disasters'!$B$2:$B$1000&amp;"] "&amp;'FEMA Disasters'!$C$2:$C$1000&amp;"-"&amp;'FEMA Disasters'!$A$2:$A$1000,""))</f>
        <v/>
      </c>
      <c r="H661" s="4" t="n">
        <f aca="false">COUNTIF(Events!$A$2:$A$397,$A661)</f>
        <v>0</v>
      </c>
      <c r="I661" s="6" t="str">
        <f aca="false" t="array" ref="I661:I661">_xlfn.TEXTJOIN(" | ",TRUE(),IF(Events!$A$2:$A$397=$A661,Events!$E$2:$E$397&amp;IF(Events!$G$2:$G$397="National",""," ["&amp;Events!$G$2:$G$397&amp;"]"),""))</f>
        <v/>
      </c>
    </row>
    <row r="662" customFormat="false" ht="15" hidden="false" customHeight="true" outlineLevel="0" collapsed="false">
      <c r="A662" s="3" t="n">
        <v>45952</v>
      </c>
      <c r="B662" s="4" t="n">
        <f aca="false">YEAR($A662)</f>
        <v>2025</v>
      </c>
      <c r="C662" s="4" t="n">
        <f aca="false">MONTH($A662)</f>
        <v>10</v>
      </c>
      <c r="D662" s="4" t="str">
        <f aca="false">TEXT($A662,"ddd")</f>
        <v>Wed</v>
      </c>
      <c r="E662" s="4" t="n">
        <f aca="false">IF(OR(AND(MONTH($A662)=10,DAY($A662)&gt;=15),MONTH($A662)=11,AND(MONTH($A662)=12,DAY($A662)&lt;=7)),1,0)</f>
        <v>1</v>
      </c>
      <c r="F662" s="4" t="n">
        <f aca="false">IF(MONTH($A662)&lt;=3,1,0)</f>
        <v>0</v>
      </c>
      <c r="G662" s="4" t="str">
        <f aca="false" t="array" ref="G662:G662">_xlfn.TEXTJOIN(" | ",TRUE(),IF('FEMA Disasters'!$F$2:$F$1000=$A662,'FEMA Disasters'!$D$2:$D$1000&amp;" begin: ["&amp;'FEMA Disasters'!$B$2:$B$1000&amp;"] "&amp;'FEMA Disasters'!$C$2:$C$1000&amp;"-"&amp;'FEMA Disasters'!$A$2:$A$1000,""),IF('FEMA Disasters'!$G$2:$G$1000=$A662,'FEMA Disasters'!$D$2:$D$1000&amp;" ended: ["&amp;'FEMA Disasters'!$B$2:$B$1000&amp;"] "&amp;'FEMA Disasters'!$C$2:$C$1000&amp;"-"&amp;'FEMA Disasters'!$A$2:$A$1000,""),IF('FEMA Disasters'!$K$2:$K$1000=$A662,"Disaster SEP opens: "&amp;'FEMA Disasters'!$D$2:$D$1000&amp;" ["&amp;'FEMA Disasters'!$B$2:$B$1000&amp;"] "&amp;'FEMA Disasters'!$C$2:$C$1000&amp;"-"&amp;'FEMA Disasters'!$A$2:$A$1000,""),IF('FEMA Disasters'!$L$2:$L$1000=$A662,"Disaster SEP ended: "&amp;'FEMA Disasters'!$D$2:$D$1000&amp;" ["&amp;'FEMA Disasters'!$B$2:$B$1000&amp;"] "&amp;'FEMA Disasters'!$C$2:$C$1000&amp;"-"&amp;'FEMA Disasters'!$A$2:$A$1000,""))</f>
        <v/>
      </c>
      <c r="H662" s="4" t="n">
        <f aca="false">COUNTIF(Events!$A$2:$A$397,$A662)</f>
        <v>0</v>
      </c>
      <c r="I662" s="6" t="str">
        <f aca="false" t="array" ref="I662:I662">_xlfn.TEXTJOIN(" | ",TRUE(),IF(Events!$A$2:$A$397=$A662,Events!$E$2:$E$397&amp;IF(Events!$G$2:$G$397="National",""," ["&amp;Events!$G$2:$G$397&amp;"]"),""))</f>
        <v/>
      </c>
    </row>
    <row r="663" customFormat="false" ht="15" hidden="false" customHeight="true" outlineLevel="0" collapsed="false">
      <c r="A663" s="3" t="n">
        <v>45953</v>
      </c>
      <c r="B663" s="4" t="n">
        <f aca="false">YEAR($A663)</f>
        <v>2025</v>
      </c>
      <c r="C663" s="4" t="n">
        <f aca="false">MONTH($A663)</f>
        <v>10</v>
      </c>
      <c r="D663" s="4" t="str">
        <f aca="false">TEXT($A663,"ddd")</f>
        <v>Thu</v>
      </c>
      <c r="E663" s="4" t="n">
        <f aca="false">IF(OR(AND(MONTH($A663)=10,DAY($A663)&gt;=15),MONTH($A663)=11,AND(MONTH($A663)=12,DAY($A663)&lt;=7)),1,0)</f>
        <v>1</v>
      </c>
      <c r="F663" s="4" t="n">
        <f aca="false">IF(MONTH($A663)&lt;=3,1,0)</f>
        <v>0</v>
      </c>
      <c r="G663" s="4" t="str">
        <f aca="false" t="array" ref="G663:G663">_xlfn.TEXTJOIN(" | ",TRUE(),IF('FEMA Disasters'!$F$2:$F$1000=$A663,'FEMA Disasters'!$D$2:$D$1000&amp;" begin: ["&amp;'FEMA Disasters'!$B$2:$B$1000&amp;"] "&amp;'FEMA Disasters'!$C$2:$C$1000&amp;"-"&amp;'FEMA Disasters'!$A$2:$A$1000,""),IF('FEMA Disasters'!$G$2:$G$1000=$A663,'FEMA Disasters'!$D$2:$D$1000&amp;" ended: ["&amp;'FEMA Disasters'!$B$2:$B$1000&amp;"] "&amp;'FEMA Disasters'!$C$2:$C$1000&amp;"-"&amp;'FEMA Disasters'!$A$2:$A$1000,""),IF('FEMA Disasters'!$K$2:$K$1000=$A663,"Disaster SEP opens: "&amp;'FEMA Disasters'!$D$2:$D$1000&amp;" ["&amp;'FEMA Disasters'!$B$2:$B$1000&amp;"] "&amp;'FEMA Disasters'!$C$2:$C$1000&amp;"-"&amp;'FEMA Disasters'!$A$2:$A$1000,""),IF('FEMA Disasters'!$L$2:$L$1000=$A663,"Disaster SEP ended: "&amp;'FEMA Disasters'!$D$2:$D$1000&amp;" ["&amp;'FEMA Disasters'!$B$2:$B$1000&amp;"] "&amp;'FEMA Disasters'!$C$2:$C$1000&amp;"-"&amp;'FEMA Disasters'!$A$2:$A$1000,""))</f>
        <v/>
      </c>
      <c r="H663" s="4" t="n">
        <f aca="false">COUNTIF(Events!$A$2:$A$397,$A663)</f>
        <v>0</v>
      </c>
      <c r="I663" s="6" t="str">
        <f aca="false" t="array" ref="I663:I663">_xlfn.TEXTJOIN(" | ",TRUE(),IF(Events!$A$2:$A$397=$A663,Events!$E$2:$E$397&amp;IF(Events!$G$2:$G$397="National",""," ["&amp;Events!$G$2:$G$397&amp;"]"),""))</f>
        <v/>
      </c>
    </row>
    <row r="664" customFormat="false" ht="15" hidden="false" customHeight="true" outlineLevel="0" collapsed="false">
      <c r="A664" s="3" t="n">
        <v>45954</v>
      </c>
      <c r="B664" s="4" t="n">
        <f aca="false">YEAR($A664)</f>
        <v>2025</v>
      </c>
      <c r="C664" s="4" t="n">
        <f aca="false">MONTH($A664)</f>
        <v>10</v>
      </c>
      <c r="D664" s="4" t="str">
        <f aca="false">TEXT($A664,"ddd")</f>
        <v>Fri</v>
      </c>
      <c r="E664" s="4" t="n">
        <f aca="false">IF(OR(AND(MONTH($A664)=10,DAY($A664)&gt;=15),MONTH($A664)=11,AND(MONTH($A664)=12,DAY($A664)&lt;=7)),1,0)</f>
        <v>1</v>
      </c>
      <c r="F664" s="4" t="n">
        <f aca="false">IF(MONTH($A664)&lt;=3,1,0)</f>
        <v>0</v>
      </c>
      <c r="G664" s="4" t="str">
        <f aca="false" t="array" ref="G664:G664">_xlfn.TEXTJOIN(" | ",TRUE(),IF('FEMA Disasters'!$F$2:$F$1000=$A664,'FEMA Disasters'!$D$2:$D$1000&amp;" begin: ["&amp;'FEMA Disasters'!$B$2:$B$1000&amp;"] "&amp;'FEMA Disasters'!$C$2:$C$1000&amp;"-"&amp;'FEMA Disasters'!$A$2:$A$1000,""),IF('FEMA Disasters'!$G$2:$G$1000=$A664,'FEMA Disasters'!$D$2:$D$1000&amp;" ended: ["&amp;'FEMA Disasters'!$B$2:$B$1000&amp;"] "&amp;'FEMA Disasters'!$C$2:$C$1000&amp;"-"&amp;'FEMA Disasters'!$A$2:$A$1000,""),IF('FEMA Disasters'!$K$2:$K$1000=$A664,"Disaster SEP opens: "&amp;'FEMA Disasters'!$D$2:$D$1000&amp;" ["&amp;'FEMA Disasters'!$B$2:$B$1000&amp;"] "&amp;'FEMA Disasters'!$C$2:$C$1000&amp;"-"&amp;'FEMA Disasters'!$A$2:$A$1000,""),IF('FEMA Disasters'!$L$2:$L$1000=$A664,"Disaster SEP ended: "&amp;'FEMA Disasters'!$D$2:$D$1000&amp;" ["&amp;'FEMA Disasters'!$B$2:$B$1000&amp;"] "&amp;'FEMA Disasters'!$C$2:$C$1000&amp;"-"&amp;'FEMA Disasters'!$A$2:$A$1000,""))</f>
        <v/>
      </c>
      <c r="H664" s="4" t="n">
        <f aca="false">COUNTIF(Events!$A$2:$A$397,$A664)</f>
        <v>0</v>
      </c>
      <c r="I664" s="6" t="str">
        <f aca="false" t="array" ref="I664:I664">_xlfn.TEXTJOIN(" | ",TRUE(),IF(Events!$A$2:$A$397=$A664,Events!$E$2:$E$397&amp;IF(Events!$G$2:$G$397="National",""," ["&amp;Events!$G$2:$G$397&amp;"]"),""))</f>
        <v/>
      </c>
    </row>
    <row r="665" customFormat="false" ht="15" hidden="false" customHeight="true" outlineLevel="0" collapsed="false">
      <c r="A665" s="3" t="n">
        <v>45955</v>
      </c>
      <c r="B665" s="4" t="n">
        <f aca="false">YEAR($A665)</f>
        <v>2025</v>
      </c>
      <c r="C665" s="4" t="n">
        <f aca="false">MONTH($A665)</f>
        <v>10</v>
      </c>
      <c r="D665" s="4" t="str">
        <f aca="false">TEXT($A665,"ddd")</f>
        <v>Sat</v>
      </c>
      <c r="E665" s="4" t="n">
        <f aca="false">IF(OR(AND(MONTH($A665)=10,DAY($A665)&gt;=15),MONTH($A665)=11,AND(MONTH($A665)=12,DAY($A665)&lt;=7)),1,0)</f>
        <v>1</v>
      </c>
      <c r="F665" s="4" t="n">
        <f aca="false">IF(MONTH($A665)&lt;=3,1,0)</f>
        <v>0</v>
      </c>
      <c r="G665" s="4" t="str">
        <f aca="false" t="array" ref="G665:G665">_xlfn.TEXTJOIN(" | ",TRUE(),IF('FEMA Disasters'!$F$2:$F$1000=$A665,'FEMA Disasters'!$D$2:$D$1000&amp;" begin: ["&amp;'FEMA Disasters'!$B$2:$B$1000&amp;"] "&amp;'FEMA Disasters'!$C$2:$C$1000&amp;"-"&amp;'FEMA Disasters'!$A$2:$A$1000,""),IF('FEMA Disasters'!$G$2:$G$1000=$A665,'FEMA Disasters'!$D$2:$D$1000&amp;" ended: ["&amp;'FEMA Disasters'!$B$2:$B$1000&amp;"] "&amp;'FEMA Disasters'!$C$2:$C$1000&amp;"-"&amp;'FEMA Disasters'!$A$2:$A$1000,""),IF('FEMA Disasters'!$K$2:$K$1000=$A665,"Disaster SEP opens: "&amp;'FEMA Disasters'!$D$2:$D$1000&amp;" ["&amp;'FEMA Disasters'!$B$2:$B$1000&amp;"] "&amp;'FEMA Disasters'!$C$2:$C$1000&amp;"-"&amp;'FEMA Disasters'!$A$2:$A$1000,""),IF('FEMA Disasters'!$L$2:$L$1000=$A665,"Disaster SEP ended: "&amp;'FEMA Disasters'!$D$2:$D$1000&amp;" ["&amp;'FEMA Disasters'!$B$2:$B$1000&amp;"] "&amp;'FEMA Disasters'!$C$2:$C$1000&amp;"-"&amp;'FEMA Disasters'!$A$2:$A$1000,""))</f>
        <v/>
      </c>
      <c r="H665" s="4" t="n">
        <f aca="false">COUNTIF(Events!$A$2:$A$397,$A665)</f>
        <v>0</v>
      </c>
      <c r="I665" s="6" t="str">
        <f aca="false" t="array" ref="I665:I665">_xlfn.TEXTJOIN(" | ",TRUE(),IF(Events!$A$2:$A$397=$A665,Events!$E$2:$E$397&amp;IF(Events!$G$2:$G$397="National",""," ["&amp;Events!$G$2:$G$397&amp;"]"),""))</f>
        <v/>
      </c>
    </row>
    <row r="666" customFormat="false" ht="15" hidden="false" customHeight="true" outlineLevel="0" collapsed="false">
      <c r="A666" s="3" t="n">
        <v>45956</v>
      </c>
      <c r="B666" s="4" t="n">
        <f aca="false">YEAR($A666)</f>
        <v>2025</v>
      </c>
      <c r="C666" s="4" t="n">
        <f aca="false">MONTH($A666)</f>
        <v>10</v>
      </c>
      <c r="D666" s="4" t="str">
        <f aca="false">TEXT($A666,"ddd")</f>
        <v>Sun</v>
      </c>
      <c r="E666" s="4" t="n">
        <f aca="false">IF(OR(AND(MONTH($A666)=10,DAY($A666)&gt;=15),MONTH($A666)=11,AND(MONTH($A666)=12,DAY($A666)&lt;=7)),1,0)</f>
        <v>1</v>
      </c>
      <c r="F666" s="4" t="n">
        <f aca="false">IF(MONTH($A666)&lt;=3,1,0)</f>
        <v>0</v>
      </c>
      <c r="G666" s="4" t="str">
        <f aca="false" t="array" ref="G666:G666">_xlfn.TEXTJOIN(" | ",TRUE(),IF('FEMA Disasters'!$F$2:$F$1000=$A666,'FEMA Disasters'!$D$2:$D$1000&amp;" begin: ["&amp;'FEMA Disasters'!$B$2:$B$1000&amp;"] "&amp;'FEMA Disasters'!$C$2:$C$1000&amp;"-"&amp;'FEMA Disasters'!$A$2:$A$1000,""),IF('FEMA Disasters'!$G$2:$G$1000=$A666,'FEMA Disasters'!$D$2:$D$1000&amp;" ended: ["&amp;'FEMA Disasters'!$B$2:$B$1000&amp;"] "&amp;'FEMA Disasters'!$C$2:$C$1000&amp;"-"&amp;'FEMA Disasters'!$A$2:$A$1000,""),IF('FEMA Disasters'!$K$2:$K$1000=$A666,"Disaster SEP opens: "&amp;'FEMA Disasters'!$D$2:$D$1000&amp;" ["&amp;'FEMA Disasters'!$B$2:$B$1000&amp;"] "&amp;'FEMA Disasters'!$C$2:$C$1000&amp;"-"&amp;'FEMA Disasters'!$A$2:$A$1000,""),IF('FEMA Disasters'!$L$2:$L$1000=$A666,"Disaster SEP ended: "&amp;'FEMA Disasters'!$D$2:$D$1000&amp;" ["&amp;'FEMA Disasters'!$B$2:$B$1000&amp;"] "&amp;'FEMA Disasters'!$C$2:$C$1000&amp;"-"&amp;'FEMA Disasters'!$A$2:$A$1000,""))</f>
        <v/>
      </c>
      <c r="H666" s="4" t="n">
        <f aca="false">COUNTIF(Events!$A$2:$A$397,$A666)</f>
        <v>0</v>
      </c>
      <c r="I666" s="6" t="str">
        <f aca="false" t="array" ref="I666:I666">_xlfn.TEXTJOIN(" | ",TRUE(),IF(Events!$A$2:$A$397=$A666,Events!$E$2:$E$397&amp;IF(Events!$G$2:$G$397="National",""," ["&amp;Events!$G$2:$G$397&amp;"]"),""))</f>
        <v/>
      </c>
    </row>
    <row r="667" customFormat="false" ht="15" hidden="false" customHeight="true" outlineLevel="0" collapsed="false">
      <c r="A667" s="3" t="n">
        <v>45957</v>
      </c>
      <c r="B667" s="4" t="n">
        <f aca="false">YEAR($A667)</f>
        <v>2025</v>
      </c>
      <c r="C667" s="4" t="n">
        <f aca="false">MONTH($A667)</f>
        <v>10</v>
      </c>
      <c r="D667" s="4" t="str">
        <f aca="false">TEXT($A667,"ddd")</f>
        <v>Mon</v>
      </c>
      <c r="E667" s="4" t="n">
        <f aca="false">IF(OR(AND(MONTH($A667)=10,DAY($A667)&gt;=15),MONTH($A667)=11,AND(MONTH($A667)=12,DAY($A667)&lt;=7)),1,0)</f>
        <v>1</v>
      </c>
      <c r="F667" s="4" t="n">
        <f aca="false">IF(MONTH($A667)&lt;=3,1,0)</f>
        <v>0</v>
      </c>
      <c r="G667" s="4" t="str">
        <f aca="false" t="array" ref="G667:G667">_xlfn.TEXTJOIN(" | ",TRUE(),IF('FEMA Disasters'!$F$2:$F$1000=$A667,'FEMA Disasters'!$D$2:$D$1000&amp;" begin: ["&amp;'FEMA Disasters'!$B$2:$B$1000&amp;"] "&amp;'FEMA Disasters'!$C$2:$C$1000&amp;"-"&amp;'FEMA Disasters'!$A$2:$A$1000,""),IF('FEMA Disasters'!$G$2:$G$1000=$A667,'FEMA Disasters'!$D$2:$D$1000&amp;" ended: ["&amp;'FEMA Disasters'!$B$2:$B$1000&amp;"] "&amp;'FEMA Disasters'!$C$2:$C$1000&amp;"-"&amp;'FEMA Disasters'!$A$2:$A$1000,""),IF('FEMA Disasters'!$K$2:$K$1000=$A667,"Disaster SEP opens: "&amp;'FEMA Disasters'!$D$2:$D$1000&amp;" ["&amp;'FEMA Disasters'!$B$2:$B$1000&amp;"] "&amp;'FEMA Disasters'!$C$2:$C$1000&amp;"-"&amp;'FEMA Disasters'!$A$2:$A$1000,""),IF('FEMA Disasters'!$L$2:$L$1000=$A667,"Disaster SEP ended: "&amp;'FEMA Disasters'!$D$2:$D$1000&amp;" ["&amp;'FEMA Disasters'!$B$2:$B$1000&amp;"] "&amp;'FEMA Disasters'!$C$2:$C$1000&amp;"-"&amp;'FEMA Disasters'!$A$2:$A$1000,""))</f>
        <v/>
      </c>
      <c r="H667" s="4" t="n">
        <f aca="false">COUNTIF(Events!$A$2:$A$397,$A667)</f>
        <v>0</v>
      </c>
      <c r="I667" s="6" t="str">
        <f aca="false" t="array" ref="I667:I667">_xlfn.TEXTJOIN(" | ",TRUE(),IF(Events!$A$2:$A$397=$A667,Events!$E$2:$E$397&amp;IF(Events!$G$2:$G$397="National",""," ["&amp;Events!$G$2:$G$397&amp;"]"),""))</f>
        <v/>
      </c>
    </row>
    <row r="668" customFormat="false" ht="15" hidden="false" customHeight="true" outlineLevel="0" collapsed="false">
      <c r="A668" s="3" t="n">
        <v>45958</v>
      </c>
      <c r="B668" s="4" t="n">
        <f aca="false">YEAR($A668)</f>
        <v>2025</v>
      </c>
      <c r="C668" s="4" t="n">
        <f aca="false">MONTH($A668)</f>
        <v>10</v>
      </c>
      <c r="D668" s="4" t="str">
        <f aca="false">TEXT($A668,"ddd")</f>
        <v>Tue</v>
      </c>
      <c r="E668" s="4" t="n">
        <f aca="false">IF(OR(AND(MONTH($A668)=10,DAY($A668)&gt;=15),MONTH($A668)=11,AND(MONTH($A668)=12,DAY($A668)&lt;=7)),1,0)</f>
        <v>1</v>
      </c>
      <c r="F668" s="4" t="n">
        <f aca="false">IF(MONTH($A668)&lt;=3,1,0)</f>
        <v>0</v>
      </c>
      <c r="G668" s="4" t="str">
        <f aca="false" t="array" ref="G668:G668">_xlfn.TEXTJOIN(" | ",TRUE(),IF('FEMA Disasters'!$F$2:$F$1000=$A668,'FEMA Disasters'!$D$2:$D$1000&amp;" begin: ["&amp;'FEMA Disasters'!$B$2:$B$1000&amp;"] "&amp;'FEMA Disasters'!$C$2:$C$1000&amp;"-"&amp;'FEMA Disasters'!$A$2:$A$1000,""),IF('FEMA Disasters'!$G$2:$G$1000=$A668,'FEMA Disasters'!$D$2:$D$1000&amp;" ended: ["&amp;'FEMA Disasters'!$B$2:$B$1000&amp;"] "&amp;'FEMA Disasters'!$C$2:$C$1000&amp;"-"&amp;'FEMA Disasters'!$A$2:$A$1000,""),IF('FEMA Disasters'!$K$2:$K$1000=$A668,"Disaster SEP opens: "&amp;'FEMA Disasters'!$D$2:$D$1000&amp;" ["&amp;'FEMA Disasters'!$B$2:$B$1000&amp;"] "&amp;'FEMA Disasters'!$C$2:$C$1000&amp;"-"&amp;'FEMA Disasters'!$A$2:$A$1000,""),IF('FEMA Disasters'!$L$2:$L$1000=$A668,"Disaster SEP ended: "&amp;'FEMA Disasters'!$D$2:$D$1000&amp;" ["&amp;'FEMA Disasters'!$B$2:$B$1000&amp;"] "&amp;'FEMA Disasters'!$C$2:$C$1000&amp;"-"&amp;'FEMA Disasters'!$A$2:$A$1000,""))</f>
        <v/>
      </c>
      <c r="H668" s="4" t="n">
        <f aca="false">COUNTIF(Events!$A$2:$A$397,$A668)</f>
        <v>0</v>
      </c>
      <c r="I668" s="6" t="str">
        <f aca="false" t="array" ref="I668:I668">_xlfn.TEXTJOIN(" | ",TRUE(),IF(Events!$A$2:$A$397=$A668,Events!$E$2:$E$397&amp;IF(Events!$G$2:$G$397="National",""," ["&amp;Events!$G$2:$G$397&amp;"]"),""))</f>
        <v/>
      </c>
    </row>
    <row r="669" customFormat="false" ht="15" hidden="false" customHeight="true" outlineLevel="0" collapsed="false">
      <c r="A669" s="3" t="n">
        <v>45959</v>
      </c>
      <c r="B669" s="4" t="n">
        <f aca="false">YEAR($A669)</f>
        <v>2025</v>
      </c>
      <c r="C669" s="4" t="n">
        <f aca="false">MONTH($A669)</f>
        <v>10</v>
      </c>
      <c r="D669" s="4" t="str">
        <f aca="false">TEXT($A669,"ddd")</f>
        <v>Wed</v>
      </c>
      <c r="E669" s="4" t="n">
        <f aca="false">IF(OR(AND(MONTH($A669)=10,DAY($A669)&gt;=15),MONTH($A669)=11,AND(MONTH($A669)=12,DAY($A669)&lt;=7)),1,0)</f>
        <v>1</v>
      </c>
      <c r="F669" s="4" t="n">
        <f aca="false">IF(MONTH($A669)&lt;=3,1,0)</f>
        <v>0</v>
      </c>
      <c r="G669" s="4" t="str">
        <f aca="false" t="array" ref="G669:G669">_xlfn.TEXTJOIN(" | ",TRUE(),IF('FEMA Disasters'!$F$2:$F$1000=$A669,'FEMA Disasters'!$D$2:$D$1000&amp;" begin: ["&amp;'FEMA Disasters'!$B$2:$B$1000&amp;"] "&amp;'FEMA Disasters'!$C$2:$C$1000&amp;"-"&amp;'FEMA Disasters'!$A$2:$A$1000,""),IF('FEMA Disasters'!$G$2:$G$1000=$A669,'FEMA Disasters'!$D$2:$D$1000&amp;" ended: ["&amp;'FEMA Disasters'!$B$2:$B$1000&amp;"] "&amp;'FEMA Disasters'!$C$2:$C$1000&amp;"-"&amp;'FEMA Disasters'!$A$2:$A$1000,""),IF('FEMA Disasters'!$K$2:$K$1000=$A669,"Disaster SEP opens: "&amp;'FEMA Disasters'!$D$2:$D$1000&amp;" ["&amp;'FEMA Disasters'!$B$2:$B$1000&amp;"] "&amp;'FEMA Disasters'!$C$2:$C$1000&amp;"-"&amp;'FEMA Disasters'!$A$2:$A$1000,""),IF('FEMA Disasters'!$L$2:$L$1000=$A669,"Disaster SEP ended: "&amp;'FEMA Disasters'!$D$2:$D$1000&amp;" ["&amp;'FEMA Disasters'!$B$2:$B$1000&amp;"] "&amp;'FEMA Disasters'!$C$2:$C$1000&amp;"-"&amp;'FEMA Disasters'!$A$2:$A$1000,""))</f>
        <v/>
      </c>
      <c r="H669" s="4" t="n">
        <f aca="false">COUNTIF(Events!$A$2:$A$397,$A669)</f>
        <v>0</v>
      </c>
      <c r="I669" s="6" t="str">
        <f aca="false" t="array" ref="I669:I669">_xlfn.TEXTJOIN(" | ",TRUE(),IF(Events!$A$2:$A$397=$A669,Events!$E$2:$E$397&amp;IF(Events!$G$2:$G$397="National",""," ["&amp;Events!$G$2:$G$397&amp;"]"),""))</f>
        <v/>
      </c>
    </row>
    <row r="670" customFormat="false" ht="15" hidden="false" customHeight="true" outlineLevel="0" collapsed="false">
      <c r="A670" s="3" t="n">
        <v>45960</v>
      </c>
      <c r="B670" s="4" t="n">
        <f aca="false">YEAR($A670)</f>
        <v>2025</v>
      </c>
      <c r="C670" s="4" t="n">
        <f aca="false">MONTH($A670)</f>
        <v>10</v>
      </c>
      <c r="D670" s="4" t="str">
        <f aca="false">TEXT($A670,"ddd")</f>
        <v>Thu</v>
      </c>
      <c r="E670" s="4" t="n">
        <f aca="false">IF(OR(AND(MONTH($A670)=10,DAY($A670)&gt;=15),MONTH($A670)=11,AND(MONTH($A670)=12,DAY($A670)&lt;=7)),1,0)</f>
        <v>1</v>
      </c>
      <c r="F670" s="4" t="n">
        <f aca="false">IF(MONTH($A670)&lt;=3,1,0)</f>
        <v>0</v>
      </c>
      <c r="G670" s="4" t="str">
        <f aca="false" t="array" ref="G670:G670">_xlfn.TEXTJOIN(" | ",TRUE(),IF('FEMA Disasters'!$F$2:$F$1000=$A670,'FEMA Disasters'!$D$2:$D$1000&amp;" begin: ["&amp;'FEMA Disasters'!$B$2:$B$1000&amp;"] "&amp;'FEMA Disasters'!$C$2:$C$1000&amp;"-"&amp;'FEMA Disasters'!$A$2:$A$1000,""),IF('FEMA Disasters'!$G$2:$G$1000=$A670,'FEMA Disasters'!$D$2:$D$1000&amp;" ended: ["&amp;'FEMA Disasters'!$B$2:$B$1000&amp;"] "&amp;'FEMA Disasters'!$C$2:$C$1000&amp;"-"&amp;'FEMA Disasters'!$A$2:$A$1000,""),IF('FEMA Disasters'!$K$2:$K$1000=$A670,"Disaster SEP opens: "&amp;'FEMA Disasters'!$D$2:$D$1000&amp;" ["&amp;'FEMA Disasters'!$B$2:$B$1000&amp;"] "&amp;'FEMA Disasters'!$C$2:$C$1000&amp;"-"&amp;'FEMA Disasters'!$A$2:$A$1000,""),IF('FEMA Disasters'!$L$2:$L$1000=$A670,"Disaster SEP ended: "&amp;'FEMA Disasters'!$D$2:$D$1000&amp;" ["&amp;'FEMA Disasters'!$B$2:$B$1000&amp;"] "&amp;'FEMA Disasters'!$C$2:$C$1000&amp;"-"&amp;'FEMA Disasters'!$A$2:$A$1000,""))</f>
        <v/>
      </c>
      <c r="H670" s="4" t="n">
        <f aca="false">COUNTIF(Events!$A$2:$A$397,$A670)</f>
        <v>0</v>
      </c>
      <c r="I670" s="6" t="str">
        <f aca="false" t="array" ref="I670:I670">_xlfn.TEXTJOIN(" | ",TRUE(),IF(Events!$A$2:$A$397=$A670,Events!$E$2:$E$397&amp;IF(Events!$G$2:$G$397="National",""," ["&amp;Events!$G$2:$G$397&amp;"]"),""))</f>
        <v/>
      </c>
    </row>
    <row r="671" customFormat="false" ht="15" hidden="false" customHeight="true" outlineLevel="0" collapsed="false">
      <c r="A671" s="3" t="n">
        <v>45961</v>
      </c>
      <c r="B671" s="4" t="n">
        <f aca="false">YEAR($A671)</f>
        <v>2025</v>
      </c>
      <c r="C671" s="4" t="n">
        <f aca="false">MONTH($A671)</f>
        <v>10</v>
      </c>
      <c r="D671" s="4" t="str">
        <f aca="false">TEXT($A671,"ddd")</f>
        <v>Fri</v>
      </c>
      <c r="E671" s="4" t="n">
        <f aca="false">IF(OR(AND(MONTH($A671)=10,DAY($A671)&gt;=15),MONTH($A671)=11,AND(MONTH($A671)=12,DAY($A671)&lt;=7)),1,0)</f>
        <v>1</v>
      </c>
      <c r="F671" s="4" t="n">
        <f aca="false">IF(MONTH($A671)&lt;=3,1,0)</f>
        <v>0</v>
      </c>
      <c r="G671" s="4" t="str">
        <f aca="false" t="array" ref="G671:G671">_xlfn.TEXTJOIN(" | ",TRUE(),IF('FEMA Disasters'!$F$2:$F$1000=$A671,'FEMA Disasters'!$D$2:$D$1000&amp;" begin: ["&amp;'FEMA Disasters'!$B$2:$B$1000&amp;"] "&amp;'FEMA Disasters'!$C$2:$C$1000&amp;"-"&amp;'FEMA Disasters'!$A$2:$A$1000,""),IF('FEMA Disasters'!$G$2:$G$1000=$A671,'FEMA Disasters'!$D$2:$D$1000&amp;" ended: ["&amp;'FEMA Disasters'!$B$2:$B$1000&amp;"] "&amp;'FEMA Disasters'!$C$2:$C$1000&amp;"-"&amp;'FEMA Disasters'!$A$2:$A$1000,""),IF('FEMA Disasters'!$K$2:$K$1000=$A671,"Disaster SEP opens: "&amp;'FEMA Disasters'!$D$2:$D$1000&amp;" ["&amp;'FEMA Disasters'!$B$2:$B$1000&amp;"] "&amp;'FEMA Disasters'!$C$2:$C$1000&amp;"-"&amp;'FEMA Disasters'!$A$2:$A$1000,""),IF('FEMA Disasters'!$L$2:$L$1000=$A671,"Disaster SEP ended: "&amp;'FEMA Disasters'!$D$2:$D$1000&amp;" ["&amp;'FEMA Disasters'!$B$2:$B$1000&amp;"] "&amp;'FEMA Disasters'!$C$2:$C$1000&amp;"-"&amp;'FEMA Disasters'!$A$2:$A$1000,""))</f>
        <v>Disaster SEP opens: Flood [NM] EM-3628 | Disaster SEP opens: Flood [NM] DR-4886 | Disaster SEP opens: Fire [UT] FM-5598 | Disaster SEP opens: Fire [UT] FM-5600 | Disaster SEP opens: Fire [WA] FM-5601 | Disaster SEP opens: Fire [NV] FM-5602 | Disaster SEP opens: Severe Storm [ND] DR-4895 | Disaster SEP opens: Severe Storm [NE] DR-4896 | Disaster SEP opens: Flood [WI] DR-4892 | Disaster SEP opens: Fire [HI] FM-5609 | Disaster SEP ended: Severe Storm [KS] DR-4891 | Disaster SEP ended: Fire [NV] FM-5586 | Disaster SEP ended: Fire [OR] FM-5587 | Disaster SEP ended: Flood [SD] DR-4890 | Disaster SEP ended: Flood [WV] DR-4884 | Disaster SEP ended: Fire [OR] FM-5589 | Disaster SEP ended: Fire [OR] FM-5590 | Disaster SEP ended: Severe Storm [ND] DR-4888 | Disaster SEP ended: Fire [NV] FM-5592 | Disaster SEP ended: Straight-Line Winds [MN] DR-4894 | Disaster SEP ended: Fire [AK] FM-5596</v>
      </c>
      <c r="H671" s="4" t="n">
        <f aca="false">COUNTIF(Events!$A$2:$A$397,$A671)</f>
        <v>0</v>
      </c>
      <c r="I671" s="6" t="str">
        <f aca="false" t="array" ref="I671:I671">_xlfn.TEXTJOIN(" | ",TRUE(),IF(Events!$A$2:$A$397=$A671,Events!$E$2:$E$397&amp;IF(Events!$G$2:$G$397="National",""," ["&amp;Events!$G$2:$G$397&amp;"]"),""))</f>
        <v/>
      </c>
    </row>
    <row r="672" customFormat="false" ht="15" hidden="false" customHeight="true" outlineLevel="0" collapsed="false">
      <c r="A672" s="3" t="n">
        <v>45962</v>
      </c>
      <c r="B672" s="4" t="n">
        <f aca="false">YEAR($A672)</f>
        <v>2025</v>
      </c>
      <c r="C672" s="4" t="n">
        <f aca="false">MONTH($A672)</f>
        <v>11</v>
      </c>
      <c r="D672" s="4" t="str">
        <f aca="false">TEXT($A672,"ddd")</f>
        <v>Sat</v>
      </c>
      <c r="E672" s="4" t="n">
        <f aca="false">IF(OR(AND(MONTH($A672)=10,DAY($A672)&gt;=15),MONTH($A672)=11,AND(MONTH($A672)=12,DAY($A672)&lt;=7)),1,0)</f>
        <v>1</v>
      </c>
      <c r="F672" s="4" t="n">
        <f aca="false">IF(MONTH($A672)&lt;=3,1,0)</f>
        <v>0</v>
      </c>
      <c r="G672" s="4" t="str">
        <f aca="false" t="array" ref="G672:G672">_xlfn.TEXTJOIN(" | ",TRUE(),IF('FEMA Disasters'!$F$2:$F$1000=$A672,'FEMA Disasters'!$D$2:$D$1000&amp;" begin: ["&amp;'FEMA Disasters'!$B$2:$B$1000&amp;"] "&amp;'FEMA Disasters'!$C$2:$C$1000&amp;"-"&amp;'FEMA Disasters'!$A$2:$A$1000,""),IF('FEMA Disasters'!$G$2:$G$1000=$A672,'FEMA Disasters'!$D$2:$D$1000&amp;" ended: ["&amp;'FEMA Disasters'!$B$2:$B$1000&amp;"] "&amp;'FEMA Disasters'!$C$2:$C$1000&amp;"-"&amp;'FEMA Disasters'!$A$2:$A$1000,""),IF('FEMA Disasters'!$K$2:$K$1000=$A672,"Disaster SEP opens: "&amp;'FEMA Disasters'!$D$2:$D$1000&amp;" ["&amp;'FEMA Disasters'!$B$2:$B$1000&amp;"] "&amp;'FEMA Disasters'!$C$2:$C$1000&amp;"-"&amp;'FEMA Disasters'!$A$2:$A$1000,""),IF('FEMA Disasters'!$L$2:$L$1000=$A672,"Disaster SEP ended: "&amp;'FEMA Disasters'!$D$2:$D$1000&amp;" ["&amp;'FEMA Disasters'!$B$2:$B$1000&amp;"] "&amp;'FEMA Disasters'!$C$2:$C$1000&amp;"-"&amp;'FEMA Disasters'!$A$2:$A$1000,""))</f>
        <v/>
      </c>
      <c r="H672" s="4" t="n">
        <f aca="false">COUNTIF(Events!$A$2:$A$397,$A672)</f>
        <v>0</v>
      </c>
      <c r="I672" s="6" t="str">
        <f aca="false" t="array" ref="I672:I672">_xlfn.TEXTJOIN(" | ",TRUE(),IF(Events!$A$2:$A$397=$A672,Events!$E$2:$E$397&amp;IF(Events!$G$2:$G$397="National",""," ["&amp;Events!$G$2:$G$397&amp;"]"),""))</f>
        <v/>
      </c>
    </row>
    <row r="673" customFormat="false" ht="15" hidden="false" customHeight="true" outlineLevel="0" collapsed="false">
      <c r="A673" s="3" t="n">
        <v>45963</v>
      </c>
      <c r="B673" s="4" t="n">
        <f aca="false">YEAR($A673)</f>
        <v>2025</v>
      </c>
      <c r="C673" s="4" t="n">
        <f aca="false">MONTH($A673)</f>
        <v>11</v>
      </c>
      <c r="D673" s="4" t="str">
        <f aca="false">TEXT($A673,"ddd")</f>
        <v>Sun</v>
      </c>
      <c r="E673" s="4" t="n">
        <f aca="false">IF(OR(AND(MONTH($A673)=10,DAY($A673)&gt;=15),MONTH($A673)=11,AND(MONTH($A673)=12,DAY($A673)&lt;=7)),1,0)</f>
        <v>1</v>
      </c>
      <c r="F673" s="4" t="n">
        <f aca="false">IF(MONTH($A673)&lt;=3,1,0)</f>
        <v>0</v>
      </c>
      <c r="G673" s="4" t="str">
        <f aca="false" t="array" ref="G673:G673">_xlfn.TEXTJOIN(" | ",TRUE(),IF('FEMA Disasters'!$F$2:$F$1000=$A673,'FEMA Disasters'!$D$2:$D$1000&amp;" begin: ["&amp;'FEMA Disasters'!$B$2:$B$1000&amp;"] "&amp;'FEMA Disasters'!$C$2:$C$1000&amp;"-"&amp;'FEMA Disasters'!$A$2:$A$1000,""),IF('FEMA Disasters'!$G$2:$G$1000=$A673,'FEMA Disasters'!$D$2:$D$1000&amp;" ended: ["&amp;'FEMA Disasters'!$B$2:$B$1000&amp;"] "&amp;'FEMA Disasters'!$C$2:$C$1000&amp;"-"&amp;'FEMA Disasters'!$A$2:$A$1000,""),IF('FEMA Disasters'!$K$2:$K$1000=$A673,"Disaster SEP opens: "&amp;'FEMA Disasters'!$D$2:$D$1000&amp;" ["&amp;'FEMA Disasters'!$B$2:$B$1000&amp;"] "&amp;'FEMA Disasters'!$C$2:$C$1000&amp;"-"&amp;'FEMA Disasters'!$A$2:$A$1000,""),IF('FEMA Disasters'!$L$2:$L$1000=$A673,"Disaster SEP ended: "&amp;'FEMA Disasters'!$D$2:$D$1000&amp;" ["&amp;'FEMA Disasters'!$B$2:$B$1000&amp;"] "&amp;'FEMA Disasters'!$C$2:$C$1000&amp;"-"&amp;'FEMA Disasters'!$A$2:$A$1000,""))</f>
        <v/>
      </c>
      <c r="H673" s="4" t="n">
        <f aca="false">COUNTIF(Events!$A$2:$A$397,$A673)</f>
        <v>0</v>
      </c>
      <c r="I673" s="6" t="str">
        <f aca="false" t="array" ref="I673:I673">_xlfn.TEXTJOIN(" | ",TRUE(),IF(Events!$A$2:$A$397=$A673,Events!$E$2:$E$397&amp;IF(Events!$G$2:$G$397="National",""," ["&amp;Events!$G$2:$G$397&amp;"]"),""))</f>
        <v/>
      </c>
    </row>
    <row r="674" customFormat="false" ht="15" hidden="false" customHeight="true" outlineLevel="0" collapsed="false">
      <c r="A674" s="3" t="n">
        <v>45964</v>
      </c>
      <c r="B674" s="4" t="n">
        <f aca="false">YEAR($A674)</f>
        <v>2025</v>
      </c>
      <c r="C674" s="4" t="n">
        <f aca="false">MONTH($A674)</f>
        <v>11</v>
      </c>
      <c r="D674" s="4" t="str">
        <f aca="false">TEXT($A674,"ddd")</f>
        <v>Mon</v>
      </c>
      <c r="E674" s="4" t="n">
        <f aca="false">IF(OR(AND(MONTH($A674)=10,DAY($A674)&gt;=15),MONTH($A674)=11,AND(MONTH($A674)=12,DAY($A674)&lt;=7)),1,0)</f>
        <v>1</v>
      </c>
      <c r="F674" s="4" t="n">
        <f aca="false">IF(MONTH($A674)&lt;=3,1,0)</f>
        <v>0</v>
      </c>
      <c r="G674" s="4" t="str">
        <f aca="false" t="array" ref="G674:G674">_xlfn.TEXTJOIN(" | ",TRUE(),IF('FEMA Disasters'!$F$2:$F$1000=$A674,'FEMA Disasters'!$D$2:$D$1000&amp;" begin: ["&amp;'FEMA Disasters'!$B$2:$B$1000&amp;"] "&amp;'FEMA Disasters'!$C$2:$C$1000&amp;"-"&amp;'FEMA Disasters'!$A$2:$A$1000,""),IF('FEMA Disasters'!$G$2:$G$1000=$A674,'FEMA Disasters'!$D$2:$D$1000&amp;" ended: ["&amp;'FEMA Disasters'!$B$2:$B$1000&amp;"] "&amp;'FEMA Disasters'!$C$2:$C$1000&amp;"-"&amp;'FEMA Disasters'!$A$2:$A$1000,""),IF('FEMA Disasters'!$K$2:$K$1000=$A674,"Disaster SEP opens: "&amp;'FEMA Disasters'!$D$2:$D$1000&amp;" ["&amp;'FEMA Disasters'!$B$2:$B$1000&amp;"] "&amp;'FEMA Disasters'!$C$2:$C$1000&amp;"-"&amp;'FEMA Disasters'!$A$2:$A$1000,""),IF('FEMA Disasters'!$L$2:$L$1000=$A674,"Disaster SEP ended: "&amp;'FEMA Disasters'!$D$2:$D$1000&amp;" ["&amp;'FEMA Disasters'!$B$2:$B$1000&amp;"] "&amp;'FEMA Disasters'!$C$2:$C$1000&amp;"-"&amp;'FEMA Disasters'!$A$2:$A$1000,""))</f>
        <v/>
      </c>
      <c r="H674" s="4" t="n">
        <f aca="false">COUNTIF(Events!$A$2:$A$397,$A674)</f>
        <v>0</v>
      </c>
      <c r="I674" s="6" t="str">
        <f aca="false" t="array" ref="I674:I674">_xlfn.TEXTJOIN(" | ",TRUE(),IF(Events!$A$2:$A$397=$A674,Events!$E$2:$E$397&amp;IF(Events!$G$2:$G$397="National",""," ["&amp;Events!$G$2:$G$397&amp;"]"),""))</f>
        <v/>
      </c>
    </row>
    <row r="675" customFormat="false" ht="15" hidden="false" customHeight="true" outlineLevel="0" collapsed="false">
      <c r="A675" s="3" t="n">
        <v>45965</v>
      </c>
      <c r="B675" s="4" t="n">
        <f aca="false">YEAR($A675)</f>
        <v>2025</v>
      </c>
      <c r="C675" s="4" t="n">
        <f aca="false">MONTH($A675)</f>
        <v>11</v>
      </c>
      <c r="D675" s="4" t="str">
        <f aca="false">TEXT($A675,"ddd")</f>
        <v>Tue</v>
      </c>
      <c r="E675" s="4" t="n">
        <f aca="false">IF(OR(AND(MONTH($A675)=10,DAY($A675)&gt;=15),MONTH($A675)=11,AND(MONTH($A675)=12,DAY($A675)&lt;=7)),1,0)</f>
        <v>1</v>
      </c>
      <c r="F675" s="4" t="n">
        <f aca="false">IF(MONTH($A675)&lt;=3,1,0)</f>
        <v>0</v>
      </c>
      <c r="G675" s="4" t="str">
        <f aca="false" t="array" ref="G675:G675">_xlfn.TEXTJOIN(" | ",TRUE(),IF('FEMA Disasters'!$F$2:$F$1000=$A675,'FEMA Disasters'!$D$2:$D$1000&amp;" begin: ["&amp;'FEMA Disasters'!$B$2:$B$1000&amp;"] "&amp;'FEMA Disasters'!$C$2:$C$1000&amp;"-"&amp;'FEMA Disasters'!$A$2:$A$1000,""),IF('FEMA Disasters'!$G$2:$G$1000=$A675,'FEMA Disasters'!$D$2:$D$1000&amp;" ended: ["&amp;'FEMA Disasters'!$B$2:$B$1000&amp;"] "&amp;'FEMA Disasters'!$C$2:$C$1000&amp;"-"&amp;'FEMA Disasters'!$A$2:$A$1000,""),IF('FEMA Disasters'!$K$2:$K$1000=$A675,"Disaster SEP opens: "&amp;'FEMA Disasters'!$D$2:$D$1000&amp;" ["&amp;'FEMA Disasters'!$B$2:$B$1000&amp;"] "&amp;'FEMA Disasters'!$C$2:$C$1000&amp;"-"&amp;'FEMA Disasters'!$A$2:$A$1000,""),IF('FEMA Disasters'!$L$2:$L$1000=$A675,"Disaster SEP ended: "&amp;'FEMA Disasters'!$D$2:$D$1000&amp;" ["&amp;'FEMA Disasters'!$B$2:$B$1000&amp;"] "&amp;'FEMA Disasters'!$C$2:$C$1000&amp;"-"&amp;'FEMA Disasters'!$A$2:$A$1000,""))</f>
        <v/>
      </c>
      <c r="H675" s="4" t="n">
        <f aca="false">COUNTIF(Events!$A$2:$A$397,$A675)</f>
        <v>0</v>
      </c>
      <c r="I675" s="6" t="str">
        <f aca="false" t="array" ref="I675:I675">_xlfn.TEXTJOIN(" | ",TRUE(),IF(Events!$A$2:$A$397=$A675,Events!$E$2:$E$397&amp;IF(Events!$G$2:$G$397="National",""," ["&amp;Events!$G$2:$G$397&amp;"]"),""))</f>
        <v/>
      </c>
    </row>
    <row r="676" customFormat="false" ht="15" hidden="false" customHeight="true" outlineLevel="0" collapsed="false">
      <c r="A676" s="3" t="n">
        <v>45966</v>
      </c>
      <c r="B676" s="4" t="n">
        <f aca="false">YEAR($A676)</f>
        <v>2025</v>
      </c>
      <c r="C676" s="4" t="n">
        <f aca="false">MONTH($A676)</f>
        <v>11</v>
      </c>
      <c r="D676" s="4" t="str">
        <f aca="false">TEXT($A676,"ddd")</f>
        <v>Wed</v>
      </c>
      <c r="E676" s="4" t="n">
        <f aca="false">IF(OR(AND(MONTH($A676)=10,DAY($A676)&gt;=15),MONTH($A676)=11,AND(MONTH($A676)=12,DAY($A676)&lt;=7)),1,0)</f>
        <v>1</v>
      </c>
      <c r="F676" s="4" t="n">
        <f aca="false">IF(MONTH($A676)&lt;=3,1,0)</f>
        <v>0</v>
      </c>
      <c r="G676" s="4" t="str">
        <f aca="false" t="array" ref="G676:G676">_xlfn.TEXTJOIN(" | ",TRUE(),IF('FEMA Disasters'!$F$2:$F$1000=$A676,'FEMA Disasters'!$D$2:$D$1000&amp;" begin: ["&amp;'FEMA Disasters'!$B$2:$B$1000&amp;"] "&amp;'FEMA Disasters'!$C$2:$C$1000&amp;"-"&amp;'FEMA Disasters'!$A$2:$A$1000,""),IF('FEMA Disasters'!$G$2:$G$1000=$A676,'FEMA Disasters'!$D$2:$D$1000&amp;" ended: ["&amp;'FEMA Disasters'!$B$2:$B$1000&amp;"] "&amp;'FEMA Disasters'!$C$2:$C$1000&amp;"-"&amp;'FEMA Disasters'!$A$2:$A$1000,""),IF('FEMA Disasters'!$K$2:$K$1000=$A676,"Disaster SEP opens: "&amp;'FEMA Disasters'!$D$2:$D$1000&amp;" ["&amp;'FEMA Disasters'!$B$2:$B$1000&amp;"] "&amp;'FEMA Disasters'!$C$2:$C$1000&amp;"-"&amp;'FEMA Disasters'!$A$2:$A$1000,""),IF('FEMA Disasters'!$L$2:$L$1000=$A676,"Disaster SEP ended: "&amp;'FEMA Disasters'!$D$2:$D$1000&amp;" ["&amp;'FEMA Disasters'!$B$2:$B$1000&amp;"] "&amp;'FEMA Disasters'!$C$2:$C$1000&amp;"-"&amp;'FEMA Disasters'!$A$2:$A$1000,""))</f>
        <v/>
      </c>
      <c r="H676" s="4" t="n">
        <f aca="false">COUNTIF(Events!$A$2:$A$397,$A676)</f>
        <v>0</v>
      </c>
      <c r="I676" s="6" t="str">
        <f aca="false" t="array" ref="I676:I676">_xlfn.TEXTJOIN(" | ",TRUE(),IF(Events!$A$2:$A$397=$A676,Events!$E$2:$E$397&amp;IF(Events!$G$2:$G$397="National",""," ["&amp;Events!$G$2:$G$397&amp;"]"),""))</f>
        <v/>
      </c>
    </row>
    <row r="677" customFormat="false" ht="15" hidden="false" customHeight="true" outlineLevel="0" collapsed="false">
      <c r="A677" s="3" t="n">
        <v>45967</v>
      </c>
      <c r="B677" s="4" t="n">
        <f aca="false">YEAR($A677)</f>
        <v>2025</v>
      </c>
      <c r="C677" s="4" t="n">
        <f aca="false">MONTH($A677)</f>
        <v>11</v>
      </c>
      <c r="D677" s="4" t="str">
        <f aca="false">TEXT($A677,"ddd")</f>
        <v>Thu</v>
      </c>
      <c r="E677" s="4" t="n">
        <f aca="false">IF(OR(AND(MONTH($A677)=10,DAY($A677)&gt;=15),MONTH($A677)=11,AND(MONTH($A677)=12,DAY($A677)&lt;=7)),1,0)</f>
        <v>1</v>
      </c>
      <c r="F677" s="4" t="n">
        <f aca="false">IF(MONTH($A677)&lt;=3,1,0)</f>
        <v>0</v>
      </c>
      <c r="G677" s="4" t="str">
        <f aca="false" t="array" ref="G677:G677">_xlfn.TEXTJOIN(" | ",TRUE(),IF('FEMA Disasters'!$F$2:$F$1000=$A677,'FEMA Disasters'!$D$2:$D$1000&amp;" begin: ["&amp;'FEMA Disasters'!$B$2:$B$1000&amp;"] "&amp;'FEMA Disasters'!$C$2:$C$1000&amp;"-"&amp;'FEMA Disasters'!$A$2:$A$1000,""),IF('FEMA Disasters'!$G$2:$G$1000=$A677,'FEMA Disasters'!$D$2:$D$1000&amp;" ended: ["&amp;'FEMA Disasters'!$B$2:$B$1000&amp;"] "&amp;'FEMA Disasters'!$C$2:$C$1000&amp;"-"&amp;'FEMA Disasters'!$A$2:$A$1000,""),IF('FEMA Disasters'!$K$2:$K$1000=$A677,"Disaster SEP opens: "&amp;'FEMA Disasters'!$D$2:$D$1000&amp;" ["&amp;'FEMA Disasters'!$B$2:$B$1000&amp;"] "&amp;'FEMA Disasters'!$C$2:$C$1000&amp;"-"&amp;'FEMA Disasters'!$A$2:$A$1000,""),IF('FEMA Disasters'!$L$2:$L$1000=$A677,"Disaster SEP ended: "&amp;'FEMA Disasters'!$D$2:$D$1000&amp;" ["&amp;'FEMA Disasters'!$B$2:$B$1000&amp;"] "&amp;'FEMA Disasters'!$C$2:$C$1000&amp;"-"&amp;'FEMA Disasters'!$A$2:$A$1000,""))</f>
        <v/>
      </c>
      <c r="H677" s="4" t="n">
        <f aca="false">COUNTIF(Events!$A$2:$A$397,$A677)</f>
        <v>0</v>
      </c>
      <c r="I677" s="6" t="str">
        <f aca="false" t="array" ref="I677:I677">_xlfn.TEXTJOIN(" | ",TRUE(),IF(Events!$A$2:$A$397=$A677,Events!$E$2:$E$397&amp;IF(Events!$G$2:$G$397="National",""," ["&amp;Events!$G$2:$G$397&amp;"]"),""))</f>
        <v/>
      </c>
    </row>
    <row r="678" customFormat="false" ht="15" hidden="false" customHeight="true" outlineLevel="0" collapsed="false">
      <c r="A678" s="3" t="n">
        <v>45968</v>
      </c>
      <c r="B678" s="4" t="n">
        <f aca="false">YEAR($A678)</f>
        <v>2025</v>
      </c>
      <c r="C678" s="4" t="n">
        <f aca="false">MONTH($A678)</f>
        <v>11</v>
      </c>
      <c r="D678" s="4" t="str">
        <f aca="false">TEXT($A678,"ddd")</f>
        <v>Fri</v>
      </c>
      <c r="E678" s="4" t="n">
        <f aca="false">IF(OR(AND(MONTH($A678)=10,DAY($A678)&gt;=15),MONTH($A678)=11,AND(MONTH($A678)=12,DAY($A678)&lt;=7)),1,0)</f>
        <v>1</v>
      </c>
      <c r="F678" s="4" t="n">
        <f aca="false">IF(MONTH($A678)&lt;=3,1,0)</f>
        <v>0</v>
      </c>
      <c r="G678" s="4" t="str">
        <f aca="false" t="array" ref="G678:G678">_xlfn.TEXTJOIN(" | ",TRUE(),IF('FEMA Disasters'!$F$2:$F$1000=$A678,'FEMA Disasters'!$D$2:$D$1000&amp;" begin: ["&amp;'FEMA Disasters'!$B$2:$B$1000&amp;"] "&amp;'FEMA Disasters'!$C$2:$C$1000&amp;"-"&amp;'FEMA Disasters'!$A$2:$A$1000,""),IF('FEMA Disasters'!$G$2:$G$1000=$A678,'FEMA Disasters'!$D$2:$D$1000&amp;" ended: ["&amp;'FEMA Disasters'!$B$2:$B$1000&amp;"] "&amp;'FEMA Disasters'!$C$2:$C$1000&amp;"-"&amp;'FEMA Disasters'!$A$2:$A$1000,""),IF('FEMA Disasters'!$K$2:$K$1000=$A678,"Disaster SEP opens: "&amp;'FEMA Disasters'!$D$2:$D$1000&amp;" ["&amp;'FEMA Disasters'!$B$2:$B$1000&amp;"] "&amp;'FEMA Disasters'!$C$2:$C$1000&amp;"-"&amp;'FEMA Disasters'!$A$2:$A$1000,""),IF('FEMA Disasters'!$L$2:$L$1000=$A678,"Disaster SEP ended: "&amp;'FEMA Disasters'!$D$2:$D$1000&amp;" ["&amp;'FEMA Disasters'!$B$2:$B$1000&amp;"] "&amp;'FEMA Disasters'!$C$2:$C$1000&amp;"-"&amp;'FEMA Disasters'!$A$2:$A$1000,""))</f>
        <v/>
      </c>
      <c r="H678" s="4" t="n">
        <f aca="false">COUNTIF(Events!$A$2:$A$397,$A678)</f>
        <v>0</v>
      </c>
      <c r="I678" s="6" t="str">
        <f aca="false" t="array" ref="I678:I678">_xlfn.TEXTJOIN(" | ",TRUE(),IF(Events!$A$2:$A$397=$A678,Events!$E$2:$E$397&amp;IF(Events!$G$2:$G$397="National",""," ["&amp;Events!$G$2:$G$397&amp;"]"),""))</f>
        <v/>
      </c>
    </row>
    <row r="679" customFormat="false" ht="15" hidden="false" customHeight="true" outlineLevel="0" collapsed="false">
      <c r="A679" s="3" t="n">
        <v>45969</v>
      </c>
      <c r="B679" s="4" t="n">
        <f aca="false">YEAR($A679)</f>
        <v>2025</v>
      </c>
      <c r="C679" s="4" t="n">
        <f aca="false">MONTH($A679)</f>
        <v>11</v>
      </c>
      <c r="D679" s="4" t="str">
        <f aca="false">TEXT($A679,"ddd")</f>
        <v>Sat</v>
      </c>
      <c r="E679" s="4" t="n">
        <f aca="false">IF(OR(AND(MONTH($A679)=10,DAY($A679)&gt;=15),MONTH($A679)=11,AND(MONTH($A679)=12,DAY($A679)&lt;=7)),1,0)</f>
        <v>1</v>
      </c>
      <c r="F679" s="4" t="n">
        <f aca="false">IF(MONTH($A679)&lt;=3,1,0)</f>
        <v>0</v>
      </c>
      <c r="G679" s="4" t="str">
        <f aca="false" t="array" ref="G679:G679">_xlfn.TEXTJOIN(" | ",TRUE(),IF('FEMA Disasters'!$F$2:$F$1000=$A679,'FEMA Disasters'!$D$2:$D$1000&amp;" begin: ["&amp;'FEMA Disasters'!$B$2:$B$1000&amp;"] "&amp;'FEMA Disasters'!$C$2:$C$1000&amp;"-"&amp;'FEMA Disasters'!$A$2:$A$1000,""),IF('FEMA Disasters'!$G$2:$G$1000=$A679,'FEMA Disasters'!$D$2:$D$1000&amp;" ended: ["&amp;'FEMA Disasters'!$B$2:$B$1000&amp;"] "&amp;'FEMA Disasters'!$C$2:$C$1000&amp;"-"&amp;'FEMA Disasters'!$A$2:$A$1000,""),IF('FEMA Disasters'!$K$2:$K$1000=$A679,"Disaster SEP opens: "&amp;'FEMA Disasters'!$D$2:$D$1000&amp;" ["&amp;'FEMA Disasters'!$B$2:$B$1000&amp;"] "&amp;'FEMA Disasters'!$C$2:$C$1000&amp;"-"&amp;'FEMA Disasters'!$A$2:$A$1000,""),IF('FEMA Disasters'!$L$2:$L$1000=$A679,"Disaster SEP ended: "&amp;'FEMA Disasters'!$D$2:$D$1000&amp;" ["&amp;'FEMA Disasters'!$B$2:$B$1000&amp;"] "&amp;'FEMA Disasters'!$C$2:$C$1000&amp;"-"&amp;'FEMA Disasters'!$A$2:$A$1000,""))</f>
        <v/>
      </c>
      <c r="H679" s="4" t="n">
        <f aca="false">COUNTIF(Events!$A$2:$A$397,$A679)</f>
        <v>0</v>
      </c>
      <c r="I679" s="6" t="str">
        <f aca="false" t="array" ref="I679:I679">_xlfn.TEXTJOIN(" | ",TRUE(),IF(Events!$A$2:$A$397=$A679,Events!$E$2:$E$397&amp;IF(Events!$G$2:$G$397="National",""," ["&amp;Events!$G$2:$G$397&amp;"]"),""))</f>
        <v/>
      </c>
    </row>
    <row r="680" customFormat="false" ht="15" hidden="false" customHeight="true" outlineLevel="0" collapsed="false">
      <c r="A680" s="3" t="n">
        <v>45970</v>
      </c>
      <c r="B680" s="4" t="n">
        <f aca="false">YEAR($A680)</f>
        <v>2025</v>
      </c>
      <c r="C680" s="4" t="n">
        <f aca="false">MONTH($A680)</f>
        <v>11</v>
      </c>
      <c r="D680" s="4" t="str">
        <f aca="false">TEXT($A680,"ddd")</f>
        <v>Sun</v>
      </c>
      <c r="E680" s="4" t="n">
        <f aca="false">IF(OR(AND(MONTH($A680)=10,DAY($A680)&gt;=15),MONTH($A680)=11,AND(MONTH($A680)=12,DAY($A680)&lt;=7)),1,0)</f>
        <v>1</v>
      </c>
      <c r="F680" s="4" t="n">
        <f aca="false">IF(MONTH($A680)&lt;=3,1,0)</f>
        <v>0</v>
      </c>
      <c r="G680" s="4" t="str">
        <f aca="false" t="array" ref="G680:G680">_xlfn.TEXTJOIN(" | ",TRUE(),IF('FEMA Disasters'!$F$2:$F$1000=$A680,'FEMA Disasters'!$D$2:$D$1000&amp;" begin: ["&amp;'FEMA Disasters'!$B$2:$B$1000&amp;"] "&amp;'FEMA Disasters'!$C$2:$C$1000&amp;"-"&amp;'FEMA Disasters'!$A$2:$A$1000,""),IF('FEMA Disasters'!$G$2:$G$1000=$A680,'FEMA Disasters'!$D$2:$D$1000&amp;" ended: ["&amp;'FEMA Disasters'!$B$2:$B$1000&amp;"] "&amp;'FEMA Disasters'!$C$2:$C$1000&amp;"-"&amp;'FEMA Disasters'!$A$2:$A$1000,""),IF('FEMA Disasters'!$K$2:$K$1000=$A680,"Disaster SEP opens: "&amp;'FEMA Disasters'!$D$2:$D$1000&amp;" ["&amp;'FEMA Disasters'!$B$2:$B$1000&amp;"] "&amp;'FEMA Disasters'!$C$2:$C$1000&amp;"-"&amp;'FEMA Disasters'!$A$2:$A$1000,""),IF('FEMA Disasters'!$L$2:$L$1000=$A680,"Disaster SEP ended: "&amp;'FEMA Disasters'!$D$2:$D$1000&amp;" ["&amp;'FEMA Disasters'!$B$2:$B$1000&amp;"] "&amp;'FEMA Disasters'!$C$2:$C$1000&amp;"-"&amp;'FEMA Disasters'!$A$2:$A$1000,""))</f>
        <v/>
      </c>
      <c r="H680" s="4" t="n">
        <f aca="false">COUNTIF(Events!$A$2:$A$397,$A680)</f>
        <v>0</v>
      </c>
      <c r="I680" s="6" t="str">
        <f aca="false" t="array" ref="I680:I680">_xlfn.TEXTJOIN(" | ",TRUE(),IF(Events!$A$2:$A$397=$A680,Events!$E$2:$E$397&amp;IF(Events!$G$2:$G$397="National",""," ["&amp;Events!$G$2:$G$397&amp;"]"),""))</f>
        <v/>
      </c>
    </row>
    <row r="681" customFormat="false" ht="15" hidden="false" customHeight="true" outlineLevel="0" collapsed="false">
      <c r="A681" s="3" t="n">
        <v>45971</v>
      </c>
      <c r="B681" s="4" t="n">
        <f aca="false">YEAR($A681)</f>
        <v>2025</v>
      </c>
      <c r="C681" s="4" t="n">
        <f aca="false">MONTH($A681)</f>
        <v>11</v>
      </c>
      <c r="D681" s="4" t="str">
        <f aca="false">TEXT($A681,"ddd")</f>
        <v>Mon</v>
      </c>
      <c r="E681" s="4" t="n">
        <f aca="false">IF(OR(AND(MONTH($A681)=10,DAY($A681)&gt;=15),MONTH($A681)=11,AND(MONTH($A681)=12,DAY($A681)&lt;=7)),1,0)</f>
        <v>1</v>
      </c>
      <c r="F681" s="4" t="n">
        <f aca="false">IF(MONTH($A681)&lt;=3,1,0)</f>
        <v>0</v>
      </c>
      <c r="G681" s="4" t="str">
        <f aca="false" t="array" ref="G681:G681">_xlfn.TEXTJOIN(" | ",TRUE(),IF('FEMA Disasters'!$F$2:$F$1000=$A681,'FEMA Disasters'!$D$2:$D$1000&amp;" begin: ["&amp;'FEMA Disasters'!$B$2:$B$1000&amp;"] "&amp;'FEMA Disasters'!$C$2:$C$1000&amp;"-"&amp;'FEMA Disasters'!$A$2:$A$1000,""),IF('FEMA Disasters'!$G$2:$G$1000=$A681,'FEMA Disasters'!$D$2:$D$1000&amp;" ended: ["&amp;'FEMA Disasters'!$B$2:$B$1000&amp;"] "&amp;'FEMA Disasters'!$C$2:$C$1000&amp;"-"&amp;'FEMA Disasters'!$A$2:$A$1000,""),IF('FEMA Disasters'!$K$2:$K$1000=$A681,"Disaster SEP opens: "&amp;'FEMA Disasters'!$D$2:$D$1000&amp;" ["&amp;'FEMA Disasters'!$B$2:$B$1000&amp;"] "&amp;'FEMA Disasters'!$C$2:$C$1000&amp;"-"&amp;'FEMA Disasters'!$A$2:$A$1000,""),IF('FEMA Disasters'!$L$2:$L$1000=$A681,"Disaster SEP ended: "&amp;'FEMA Disasters'!$D$2:$D$1000&amp;" ["&amp;'FEMA Disasters'!$B$2:$B$1000&amp;"] "&amp;'FEMA Disasters'!$C$2:$C$1000&amp;"-"&amp;'FEMA Disasters'!$A$2:$A$1000,""))</f>
        <v/>
      </c>
      <c r="H681" s="4" t="n">
        <f aca="false">COUNTIF(Events!$A$2:$A$397,$A681)</f>
        <v>0</v>
      </c>
      <c r="I681" s="6" t="str">
        <f aca="false" t="array" ref="I681:I681">_xlfn.TEXTJOIN(" | ",TRUE(),IF(Events!$A$2:$A$397=$A681,Events!$E$2:$E$397&amp;IF(Events!$G$2:$G$397="National",""," ["&amp;Events!$G$2:$G$397&amp;"]"),""))</f>
        <v/>
      </c>
    </row>
    <row r="682" customFormat="false" ht="15" hidden="false" customHeight="true" outlineLevel="0" collapsed="false">
      <c r="A682" s="3" t="n">
        <v>45972</v>
      </c>
      <c r="B682" s="4" t="n">
        <f aca="false">YEAR($A682)</f>
        <v>2025</v>
      </c>
      <c r="C682" s="4" t="n">
        <f aca="false">MONTH($A682)</f>
        <v>11</v>
      </c>
      <c r="D682" s="4" t="str">
        <f aca="false">TEXT($A682,"ddd")</f>
        <v>Tue</v>
      </c>
      <c r="E682" s="4" t="n">
        <f aca="false">IF(OR(AND(MONTH($A682)=10,DAY($A682)&gt;=15),MONTH($A682)=11,AND(MONTH($A682)=12,DAY($A682)&lt;=7)),1,0)</f>
        <v>1</v>
      </c>
      <c r="F682" s="4" t="n">
        <f aca="false">IF(MONTH($A682)&lt;=3,1,0)</f>
        <v>0</v>
      </c>
      <c r="G682" s="4" t="str">
        <f aca="false" t="array" ref="G682:G682">_xlfn.TEXTJOIN(" | ",TRUE(),IF('FEMA Disasters'!$F$2:$F$1000=$A682,'FEMA Disasters'!$D$2:$D$1000&amp;" begin: ["&amp;'FEMA Disasters'!$B$2:$B$1000&amp;"] "&amp;'FEMA Disasters'!$C$2:$C$1000&amp;"-"&amp;'FEMA Disasters'!$A$2:$A$1000,""),IF('FEMA Disasters'!$G$2:$G$1000=$A682,'FEMA Disasters'!$D$2:$D$1000&amp;" ended: ["&amp;'FEMA Disasters'!$B$2:$B$1000&amp;"] "&amp;'FEMA Disasters'!$C$2:$C$1000&amp;"-"&amp;'FEMA Disasters'!$A$2:$A$1000,""),IF('FEMA Disasters'!$K$2:$K$1000=$A682,"Disaster SEP opens: "&amp;'FEMA Disasters'!$D$2:$D$1000&amp;" ["&amp;'FEMA Disasters'!$B$2:$B$1000&amp;"] "&amp;'FEMA Disasters'!$C$2:$C$1000&amp;"-"&amp;'FEMA Disasters'!$A$2:$A$1000,""),IF('FEMA Disasters'!$L$2:$L$1000=$A682,"Disaster SEP ended: "&amp;'FEMA Disasters'!$D$2:$D$1000&amp;" ["&amp;'FEMA Disasters'!$B$2:$B$1000&amp;"] "&amp;'FEMA Disasters'!$C$2:$C$1000&amp;"-"&amp;'FEMA Disasters'!$A$2:$A$1000,""))</f>
        <v/>
      </c>
      <c r="H682" s="4" t="n">
        <f aca="false">COUNTIF(Events!$A$2:$A$397,$A682)</f>
        <v>0</v>
      </c>
      <c r="I682" s="6" t="str">
        <f aca="false" t="array" ref="I682:I682">_xlfn.TEXTJOIN(" | ",TRUE(),IF(Events!$A$2:$A$397=$A682,Events!$E$2:$E$397&amp;IF(Events!$G$2:$G$397="National",""," ["&amp;Events!$G$2:$G$397&amp;"]"),""))</f>
        <v/>
      </c>
    </row>
    <row r="683" customFormat="false" ht="15" hidden="false" customHeight="true" outlineLevel="0" collapsed="false">
      <c r="A683" s="3" t="n">
        <v>45973</v>
      </c>
      <c r="B683" s="4" t="n">
        <f aca="false">YEAR($A683)</f>
        <v>2025</v>
      </c>
      <c r="C683" s="4" t="n">
        <f aca="false">MONTH($A683)</f>
        <v>11</v>
      </c>
      <c r="D683" s="4" t="str">
        <f aca="false">TEXT($A683,"ddd")</f>
        <v>Wed</v>
      </c>
      <c r="E683" s="4" t="n">
        <f aca="false">IF(OR(AND(MONTH($A683)=10,DAY($A683)&gt;=15),MONTH($A683)=11,AND(MONTH($A683)=12,DAY($A683)&lt;=7)),1,0)</f>
        <v>1</v>
      </c>
      <c r="F683" s="4" t="n">
        <f aca="false">IF(MONTH($A683)&lt;=3,1,0)</f>
        <v>0</v>
      </c>
      <c r="G683" s="4" t="str">
        <f aca="false" t="array" ref="G683:G683">_xlfn.TEXTJOIN(" | ",TRUE(),IF('FEMA Disasters'!$F$2:$F$1000=$A683,'FEMA Disasters'!$D$2:$D$1000&amp;" begin: ["&amp;'FEMA Disasters'!$B$2:$B$1000&amp;"] "&amp;'FEMA Disasters'!$C$2:$C$1000&amp;"-"&amp;'FEMA Disasters'!$A$2:$A$1000,""),IF('FEMA Disasters'!$G$2:$G$1000=$A683,'FEMA Disasters'!$D$2:$D$1000&amp;" ended: ["&amp;'FEMA Disasters'!$B$2:$B$1000&amp;"] "&amp;'FEMA Disasters'!$C$2:$C$1000&amp;"-"&amp;'FEMA Disasters'!$A$2:$A$1000,""),IF('FEMA Disasters'!$K$2:$K$1000=$A683,"Disaster SEP opens: "&amp;'FEMA Disasters'!$D$2:$D$1000&amp;" ["&amp;'FEMA Disasters'!$B$2:$B$1000&amp;"] "&amp;'FEMA Disasters'!$C$2:$C$1000&amp;"-"&amp;'FEMA Disasters'!$A$2:$A$1000,""),IF('FEMA Disasters'!$L$2:$L$1000=$A683,"Disaster SEP ended: "&amp;'FEMA Disasters'!$D$2:$D$1000&amp;" ["&amp;'FEMA Disasters'!$B$2:$B$1000&amp;"] "&amp;'FEMA Disasters'!$C$2:$C$1000&amp;"-"&amp;'FEMA Disasters'!$A$2:$A$1000,""))</f>
        <v/>
      </c>
      <c r="H683" s="4" t="n">
        <f aca="false">COUNTIF(Events!$A$2:$A$397,$A683)</f>
        <v>0</v>
      </c>
      <c r="I683" s="6" t="str">
        <f aca="false" t="array" ref="I683:I683">_xlfn.TEXTJOIN(" | ",TRUE(),IF(Events!$A$2:$A$397=$A683,Events!$E$2:$E$397&amp;IF(Events!$G$2:$G$397="National",""," ["&amp;Events!$G$2:$G$397&amp;"]"),""))</f>
        <v/>
      </c>
    </row>
    <row r="684" customFormat="false" ht="15" hidden="false" customHeight="true" outlineLevel="0" collapsed="false">
      <c r="A684" s="3" t="n">
        <v>45974</v>
      </c>
      <c r="B684" s="4" t="n">
        <f aca="false">YEAR($A684)</f>
        <v>2025</v>
      </c>
      <c r="C684" s="4" t="n">
        <f aca="false">MONTH($A684)</f>
        <v>11</v>
      </c>
      <c r="D684" s="4" t="str">
        <f aca="false">TEXT($A684,"ddd")</f>
        <v>Thu</v>
      </c>
      <c r="E684" s="4" t="n">
        <f aca="false">IF(OR(AND(MONTH($A684)=10,DAY($A684)&gt;=15),MONTH($A684)=11,AND(MONTH($A684)=12,DAY($A684)&lt;=7)),1,0)</f>
        <v>1</v>
      </c>
      <c r="F684" s="4" t="n">
        <f aca="false">IF(MONTH($A684)&lt;=3,1,0)</f>
        <v>0</v>
      </c>
      <c r="G684" s="4" t="str">
        <f aca="false" t="array" ref="G684:G684">_xlfn.TEXTJOIN(" | ",TRUE(),IF('FEMA Disasters'!$F$2:$F$1000=$A684,'FEMA Disasters'!$D$2:$D$1000&amp;" begin: ["&amp;'FEMA Disasters'!$B$2:$B$1000&amp;"] "&amp;'FEMA Disasters'!$C$2:$C$1000&amp;"-"&amp;'FEMA Disasters'!$A$2:$A$1000,""),IF('FEMA Disasters'!$G$2:$G$1000=$A684,'FEMA Disasters'!$D$2:$D$1000&amp;" ended: ["&amp;'FEMA Disasters'!$B$2:$B$1000&amp;"] "&amp;'FEMA Disasters'!$C$2:$C$1000&amp;"-"&amp;'FEMA Disasters'!$A$2:$A$1000,""),IF('FEMA Disasters'!$K$2:$K$1000=$A684,"Disaster SEP opens: "&amp;'FEMA Disasters'!$D$2:$D$1000&amp;" ["&amp;'FEMA Disasters'!$B$2:$B$1000&amp;"] "&amp;'FEMA Disasters'!$C$2:$C$1000&amp;"-"&amp;'FEMA Disasters'!$A$2:$A$1000,""),IF('FEMA Disasters'!$L$2:$L$1000=$A684,"Disaster SEP ended: "&amp;'FEMA Disasters'!$D$2:$D$1000&amp;" ["&amp;'FEMA Disasters'!$B$2:$B$1000&amp;"] "&amp;'FEMA Disasters'!$C$2:$C$1000&amp;"-"&amp;'FEMA Disasters'!$A$2:$A$1000,""))</f>
        <v/>
      </c>
      <c r="H684" s="4" t="n">
        <f aca="false">COUNTIF(Events!$A$2:$A$397,$A684)</f>
        <v>0</v>
      </c>
      <c r="I684" s="6" t="str">
        <f aca="false" t="array" ref="I684:I684">_xlfn.TEXTJOIN(" | ",TRUE(),IF(Events!$A$2:$A$397=$A684,Events!$E$2:$E$397&amp;IF(Events!$G$2:$G$397="National",""," ["&amp;Events!$G$2:$G$397&amp;"]"),""))</f>
        <v/>
      </c>
    </row>
    <row r="685" customFormat="false" ht="15" hidden="false" customHeight="true" outlineLevel="0" collapsed="false">
      <c r="A685" s="3" t="n">
        <v>45975</v>
      </c>
      <c r="B685" s="4" t="n">
        <f aca="false">YEAR($A685)</f>
        <v>2025</v>
      </c>
      <c r="C685" s="4" t="n">
        <f aca="false">MONTH($A685)</f>
        <v>11</v>
      </c>
      <c r="D685" s="4" t="str">
        <f aca="false">TEXT($A685,"ddd")</f>
        <v>Fri</v>
      </c>
      <c r="E685" s="4" t="n">
        <f aca="false">IF(OR(AND(MONTH($A685)=10,DAY($A685)&gt;=15),MONTH($A685)=11,AND(MONTH($A685)=12,DAY($A685)&lt;=7)),1,0)</f>
        <v>1</v>
      </c>
      <c r="F685" s="4" t="n">
        <f aca="false">IF(MONTH($A685)&lt;=3,1,0)</f>
        <v>0</v>
      </c>
      <c r="G685" s="4" t="str">
        <f aca="false" t="array" ref="G685:G685">_xlfn.TEXTJOIN(" | ",TRUE(),IF('FEMA Disasters'!$F$2:$F$1000=$A685,'FEMA Disasters'!$D$2:$D$1000&amp;" begin: ["&amp;'FEMA Disasters'!$B$2:$B$1000&amp;"] "&amp;'FEMA Disasters'!$C$2:$C$1000&amp;"-"&amp;'FEMA Disasters'!$A$2:$A$1000,""),IF('FEMA Disasters'!$G$2:$G$1000=$A685,'FEMA Disasters'!$D$2:$D$1000&amp;" ended: ["&amp;'FEMA Disasters'!$B$2:$B$1000&amp;"] "&amp;'FEMA Disasters'!$C$2:$C$1000&amp;"-"&amp;'FEMA Disasters'!$A$2:$A$1000,""),IF('FEMA Disasters'!$K$2:$K$1000=$A685,"Disaster SEP opens: "&amp;'FEMA Disasters'!$D$2:$D$1000&amp;" ["&amp;'FEMA Disasters'!$B$2:$B$1000&amp;"] "&amp;'FEMA Disasters'!$C$2:$C$1000&amp;"-"&amp;'FEMA Disasters'!$A$2:$A$1000,""),IF('FEMA Disasters'!$L$2:$L$1000=$A685,"Disaster SEP ended: "&amp;'FEMA Disasters'!$D$2:$D$1000&amp;" ["&amp;'FEMA Disasters'!$B$2:$B$1000&amp;"] "&amp;'FEMA Disasters'!$C$2:$C$1000&amp;"-"&amp;'FEMA Disasters'!$A$2:$A$1000,""))</f>
        <v/>
      </c>
      <c r="H685" s="4" t="n">
        <f aca="false">COUNTIF(Events!$A$2:$A$397,$A685)</f>
        <v>0</v>
      </c>
      <c r="I685" s="6" t="str">
        <f aca="false" t="array" ref="I685:I685">_xlfn.TEXTJOIN(" | ",TRUE(),IF(Events!$A$2:$A$397=$A685,Events!$E$2:$E$397&amp;IF(Events!$G$2:$G$397="National",""," ["&amp;Events!$G$2:$G$397&amp;"]"),""))</f>
        <v/>
      </c>
    </row>
    <row r="686" customFormat="false" ht="15" hidden="false" customHeight="true" outlineLevel="0" collapsed="false">
      <c r="A686" s="3" t="n">
        <v>45976</v>
      </c>
      <c r="B686" s="4" t="n">
        <f aca="false">YEAR($A686)</f>
        <v>2025</v>
      </c>
      <c r="C686" s="4" t="n">
        <f aca="false">MONTH($A686)</f>
        <v>11</v>
      </c>
      <c r="D686" s="4" t="str">
        <f aca="false">TEXT($A686,"ddd")</f>
        <v>Sat</v>
      </c>
      <c r="E686" s="4" t="n">
        <f aca="false">IF(OR(AND(MONTH($A686)=10,DAY($A686)&gt;=15),MONTH($A686)=11,AND(MONTH($A686)=12,DAY($A686)&lt;=7)),1,0)</f>
        <v>1</v>
      </c>
      <c r="F686" s="4" t="n">
        <f aca="false">IF(MONTH($A686)&lt;=3,1,0)</f>
        <v>0</v>
      </c>
      <c r="G686" s="4" t="str">
        <f aca="false" t="array" ref="G686:G686">_xlfn.TEXTJOIN(" | ",TRUE(),IF('FEMA Disasters'!$F$2:$F$1000=$A686,'FEMA Disasters'!$D$2:$D$1000&amp;" begin: ["&amp;'FEMA Disasters'!$B$2:$B$1000&amp;"] "&amp;'FEMA Disasters'!$C$2:$C$1000&amp;"-"&amp;'FEMA Disasters'!$A$2:$A$1000,""),IF('FEMA Disasters'!$G$2:$G$1000=$A686,'FEMA Disasters'!$D$2:$D$1000&amp;" ended: ["&amp;'FEMA Disasters'!$B$2:$B$1000&amp;"] "&amp;'FEMA Disasters'!$C$2:$C$1000&amp;"-"&amp;'FEMA Disasters'!$A$2:$A$1000,""),IF('FEMA Disasters'!$K$2:$K$1000=$A686,"Disaster SEP opens: "&amp;'FEMA Disasters'!$D$2:$D$1000&amp;" ["&amp;'FEMA Disasters'!$B$2:$B$1000&amp;"] "&amp;'FEMA Disasters'!$C$2:$C$1000&amp;"-"&amp;'FEMA Disasters'!$A$2:$A$1000,""),IF('FEMA Disasters'!$L$2:$L$1000=$A686,"Disaster SEP ended: "&amp;'FEMA Disasters'!$D$2:$D$1000&amp;" ["&amp;'FEMA Disasters'!$B$2:$B$1000&amp;"] "&amp;'FEMA Disasters'!$C$2:$C$1000&amp;"-"&amp;'FEMA Disasters'!$A$2:$A$1000,""))</f>
        <v/>
      </c>
      <c r="H686" s="4" t="n">
        <f aca="false">COUNTIF(Events!$A$2:$A$397,$A686)</f>
        <v>0</v>
      </c>
      <c r="I686" s="6" t="str">
        <f aca="false" t="array" ref="I686:I686">_xlfn.TEXTJOIN(" | ",TRUE(),IF(Events!$A$2:$A$397=$A686,Events!$E$2:$E$397&amp;IF(Events!$G$2:$G$397="National",""," ["&amp;Events!$G$2:$G$397&amp;"]"),""))</f>
        <v/>
      </c>
    </row>
    <row r="687" customFormat="false" ht="15" hidden="false" customHeight="true" outlineLevel="0" collapsed="false">
      <c r="A687" s="3" t="n">
        <v>45977</v>
      </c>
      <c r="B687" s="4" t="n">
        <f aca="false">YEAR($A687)</f>
        <v>2025</v>
      </c>
      <c r="C687" s="4" t="n">
        <f aca="false">MONTH($A687)</f>
        <v>11</v>
      </c>
      <c r="D687" s="4" t="str">
        <f aca="false">TEXT($A687,"ddd")</f>
        <v>Sun</v>
      </c>
      <c r="E687" s="4" t="n">
        <f aca="false">IF(OR(AND(MONTH($A687)=10,DAY($A687)&gt;=15),MONTH($A687)=11,AND(MONTH($A687)=12,DAY($A687)&lt;=7)),1,0)</f>
        <v>1</v>
      </c>
      <c r="F687" s="4" t="n">
        <f aca="false">IF(MONTH($A687)&lt;=3,1,0)</f>
        <v>0</v>
      </c>
      <c r="G687" s="4" t="str">
        <f aca="false" t="array" ref="G687:G687">_xlfn.TEXTJOIN(" | ",TRUE(),IF('FEMA Disasters'!$F$2:$F$1000=$A687,'FEMA Disasters'!$D$2:$D$1000&amp;" begin: ["&amp;'FEMA Disasters'!$B$2:$B$1000&amp;"] "&amp;'FEMA Disasters'!$C$2:$C$1000&amp;"-"&amp;'FEMA Disasters'!$A$2:$A$1000,""),IF('FEMA Disasters'!$G$2:$G$1000=$A687,'FEMA Disasters'!$D$2:$D$1000&amp;" ended: ["&amp;'FEMA Disasters'!$B$2:$B$1000&amp;"] "&amp;'FEMA Disasters'!$C$2:$C$1000&amp;"-"&amp;'FEMA Disasters'!$A$2:$A$1000,""),IF('FEMA Disasters'!$K$2:$K$1000=$A687,"Disaster SEP opens: "&amp;'FEMA Disasters'!$D$2:$D$1000&amp;" ["&amp;'FEMA Disasters'!$B$2:$B$1000&amp;"] "&amp;'FEMA Disasters'!$C$2:$C$1000&amp;"-"&amp;'FEMA Disasters'!$A$2:$A$1000,""),IF('FEMA Disasters'!$L$2:$L$1000=$A687,"Disaster SEP ended: "&amp;'FEMA Disasters'!$D$2:$D$1000&amp;" ["&amp;'FEMA Disasters'!$B$2:$B$1000&amp;"] "&amp;'FEMA Disasters'!$C$2:$C$1000&amp;"-"&amp;'FEMA Disasters'!$A$2:$A$1000,""))</f>
        <v/>
      </c>
      <c r="H687" s="4" t="n">
        <f aca="false">COUNTIF(Events!$A$2:$A$397,$A687)</f>
        <v>0</v>
      </c>
      <c r="I687" s="6" t="str">
        <f aca="false" t="array" ref="I687:I687">_xlfn.TEXTJOIN(" | ",TRUE(),IF(Events!$A$2:$A$397=$A687,Events!$E$2:$E$397&amp;IF(Events!$G$2:$G$397="National",""," ["&amp;Events!$G$2:$G$397&amp;"]"),""))</f>
        <v/>
      </c>
    </row>
    <row r="688" customFormat="false" ht="15" hidden="false" customHeight="true" outlineLevel="0" collapsed="false">
      <c r="A688" s="3" t="n">
        <v>45978</v>
      </c>
      <c r="B688" s="4" t="n">
        <f aca="false">YEAR($A688)</f>
        <v>2025</v>
      </c>
      <c r="C688" s="4" t="n">
        <f aca="false">MONTH($A688)</f>
        <v>11</v>
      </c>
      <c r="D688" s="4" t="str">
        <f aca="false">TEXT($A688,"ddd")</f>
        <v>Mon</v>
      </c>
      <c r="E688" s="4" t="n">
        <f aca="false">IF(OR(AND(MONTH($A688)=10,DAY($A688)&gt;=15),MONTH($A688)=11,AND(MONTH($A688)=12,DAY($A688)&lt;=7)),1,0)</f>
        <v>1</v>
      </c>
      <c r="F688" s="4" t="n">
        <f aca="false">IF(MONTH($A688)&lt;=3,1,0)</f>
        <v>0</v>
      </c>
      <c r="G688" s="4" t="str">
        <f aca="false" t="array" ref="G688:G688">_xlfn.TEXTJOIN(" | ",TRUE(),IF('FEMA Disasters'!$F$2:$F$1000=$A688,'FEMA Disasters'!$D$2:$D$1000&amp;" begin: ["&amp;'FEMA Disasters'!$B$2:$B$1000&amp;"] "&amp;'FEMA Disasters'!$C$2:$C$1000&amp;"-"&amp;'FEMA Disasters'!$A$2:$A$1000,""),IF('FEMA Disasters'!$G$2:$G$1000=$A688,'FEMA Disasters'!$D$2:$D$1000&amp;" ended: ["&amp;'FEMA Disasters'!$B$2:$B$1000&amp;"] "&amp;'FEMA Disasters'!$C$2:$C$1000&amp;"-"&amp;'FEMA Disasters'!$A$2:$A$1000,""),IF('FEMA Disasters'!$K$2:$K$1000=$A688,"Disaster SEP opens: "&amp;'FEMA Disasters'!$D$2:$D$1000&amp;" ["&amp;'FEMA Disasters'!$B$2:$B$1000&amp;"] "&amp;'FEMA Disasters'!$C$2:$C$1000&amp;"-"&amp;'FEMA Disasters'!$A$2:$A$1000,""),IF('FEMA Disasters'!$L$2:$L$1000=$A688,"Disaster SEP ended: "&amp;'FEMA Disasters'!$D$2:$D$1000&amp;" ["&amp;'FEMA Disasters'!$B$2:$B$1000&amp;"] "&amp;'FEMA Disasters'!$C$2:$C$1000&amp;"-"&amp;'FEMA Disasters'!$A$2:$A$1000,""))</f>
        <v/>
      </c>
      <c r="H688" s="4" t="n">
        <f aca="false">COUNTIF(Events!$A$2:$A$397,$A688)</f>
        <v>0</v>
      </c>
      <c r="I688" s="6" t="str">
        <f aca="false" t="array" ref="I688:I688">_xlfn.TEXTJOIN(" | ",TRUE(),IF(Events!$A$2:$A$397=$A688,Events!$E$2:$E$397&amp;IF(Events!$G$2:$G$397="National",""," ["&amp;Events!$G$2:$G$397&amp;"]"),""))</f>
        <v/>
      </c>
    </row>
    <row r="689" customFormat="false" ht="15" hidden="false" customHeight="true" outlineLevel="0" collapsed="false">
      <c r="A689" s="3" t="n">
        <v>45979</v>
      </c>
      <c r="B689" s="4" t="n">
        <f aca="false">YEAR($A689)</f>
        <v>2025</v>
      </c>
      <c r="C689" s="4" t="n">
        <f aca="false">MONTH($A689)</f>
        <v>11</v>
      </c>
      <c r="D689" s="4" t="str">
        <f aca="false">TEXT($A689,"ddd")</f>
        <v>Tue</v>
      </c>
      <c r="E689" s="4" t="n">
        <f aca="false">IF(OR(AND(MONTH($A689)=10,DAY($A689)&gt;=15),MONTH($A689)=11,AND(MONTH($A689)=12,DAY($A689)&lt;=7)),1,0)</f>
        <v>1</v>
      </c>
      <c r="F689" s="4" t="n">
        <f aca="false">IF(MONTH($A689)&lt;=3,1,0)</f>
        <v>0</v>
      </c>
      <c r="G689" s="4" t="str">
        <f aca="false" t="array" ref="G689:G689">_xlfn.TEXTJOIN(" | ",TRUE(),IF('FEMA Disasters'!$F$2:$F$1000=$A689,'FEMA Disasters'!$D$2:$D$1000&amp;" begin: ["&amp;'FEMA Disasters'!$B$2:$B$1000&amp;"] "&amp;'FEMA Disasters'!$C$2:$C$1000&amp;"-"&amp;'FEMA Disasters'!$A$2:$A$1000,""),IF('FEMA Disasters'!$G$2:$G$1000=$A689,'FEMA Disasters'!$D$2:$D$1000&amp;" ended: ["&amp;'FEMA Disasters'!$B$2:$B$1000&amp;"] "&amp;'FEMA Disasters'!$C$2:$C$1000&amp;"-"&amp;'FEMA Disasters'!$A$2:$A$1000,""),IF('FEMA Disasters'!$K$2:$K$1000=$A689,"Disaster SEP opens: "&amp;'FEMA Disasters'!$D$2:$D$1000&amp;" ["&amp;'FEMA Disasters'!$B$2:$B$1000&amp;"] "&amp;'FEMA Disasters'!$C$2:$C$1000&amp;"-"&amp;'FEMA Disasters'!$A$2:$A$1000,""),IF('FEMA Disasters'!$L$2:$L$1000=$A689,"Disaster SEP ended: "&amp;'FEMA Disasters'!$D$2:$D$1000&amp;" ["&amp;'FEMA Disasters'!$B$2:$B$1000&amp;"] "&amp;'FEMA Disasters'!$C$2:$C$1000&amp;"-"&amp;'FEMA Disasters'!$A$2:$A$1000,""))</f>
        <v/>
      </c>
      <c r="H689" s="4" t="n">
        <f aca="false">COUNTIF(Events!$A$2:$A$397,$A689)</f>
        <v>0</v>
      </c>
      <c r="I689" s="6" t="str">
        <f aca="false" t="array" ref="I689:I689">_xlfn.TEXTJOIN(" | ",TRUE(),IF(Events!$A$2:$A$397=$A689,Events!$E$2:$E$397&amp;IF(Events!$G$2:$G$397="National",""," ["&amp;Events!$G$2:$G$397&amp;"]"),""))</f>
        <v/>
      </c>
    </row>
    <row r="690" customFormat="false" ht="15" hidden="false" customHeight="true" outlineLevel="0" collapsed="false">
      <c r="A690" s="3" t="n">
        <v>45980</v>
      </c>
      <c r="B690" s="4" t="n">
        <f aca="false">YEAR($A690)</f>
        <v>2025</v>
      </c>
      <c r="C690" s="4" t="n">
        <f aca="false">MONTH($A690)</f>
        <v>11</v>
      </c>
      <c r="D690" s="4" t="str">
        <f aca="false">TEXT($A690,"ddd")</f>
        <v>Wed</v>
      </c>
      <c r="E690" s="4" t="n">
        <f aca="false">IF(OR(AND(MONTH($A690)=10,DAY($A690)&gt;=15),MONTH($A690)=11,AND(MONTH($A690)=12,DAY($A690)&lt;=7)),1,0)</f>
        <v>1</v>
      </c>
      <c r="F690" s="4" t="n">
        <f aca="false">IF(MONTH($A690)&lt;=3,1,0)</f>
        <v>0</v>
      </c>
      <c r="G690" s="4" t="str">
        <f aca="false" t="array" ref="G690:G690">_xlfn.TEXTJOIN(" | ",TRUE(),IF('FEMA Disasters'!$F$2:$F$1000=$A690,'FEMA Disasters'!$D$2:$D$1000&amp;" begin: ["&amp;'FEMA Disasters'!$B$2:$B$1000&amp;"] "&amp;'FEMA Disasters'!$C$2:$C$1000&amp;"-"&amp;'FEMA Disasters'!$A$2:$A$1000,""),IF('FEMA Disasters'!$G$2:$G$1000=$A690,'FEMA Disasters'!$D$2:$D$1000&amp;" ended: ["&amp;'FEMA Disasters'!$B$2:$B$1000&amp;"] "&amp;'FEMA Disasters'!$C$2:$C$1000&amp;"-"&amp;'FEMA Disasters'!$A$2:$A$1000,""),IF('FEMA Disasters'!$K$2:$K$1000=$A690,"Disaster SEP opens: "&amp;'FEMA Disasters'!$D$2:$D$1000&amp;" ["&amp;'FEMA Disasters'!$B$2:$B$1000&amp;"] "&amp;'FEMA Disasters'!$C$2:$C$1000&amp;"-"&amp;'FEMA Disasters'!$A$2:$A$1000,""),IF('FEMA Disasters'!$L$2:$L$1000=$A690,"Disaster SEP ended: "&amp;'FEMA Disasters'!$D$2:$D$1000&amp;" ["&amp;'FEMA Disasters'!$B$2:$B$1000&amp;"] "&amp;'FEMA Disasters'!$C$2:$C$1000&amp;"-"&amp;'FEMA Disasters'!$A$2:$A$1000,""))</f>
        <v/>
      </c>
      <c r="H690" s="4" t="n">
        <f aca="false">COUNTIF(Events!$A$2:$A$397,$A690)</f>
        <v>1</v>
      </c>
      <c r="I690" s="6" t="str">
        <f aca="false" t="array" ref="I690:I690">_xlfn.TEXTJOIN(" | ",TRUE(),IF(Events!$A$2:$A$397=$A690,Events!$E$2:$E$397&amp;IF(Events!$G$2:$G$397="National",""," ["&amp;Events!$G$2:$G$397&amp;"]"),""))</f>
        <v>CY2026 Part B premium set: standard premium $202.90/mo, up 9.7% ($17.90) from $185, deductible $283 (+$26); press release 11/14/2025, FR notice 11/19/2025. Mid AEP, second largest dollar jump on record.</v>
      </c>
    </row>
    <row r="691" customFormat="false" ht="15" hidden="false" customHeight="true" outlineLevel="0" collapsed="false">
      <c r="A691" s="3" t="n">
        <v>45981</v>
      </c>
      <c r="B691" s="4" t="n">
        <f aca="false">YEAR($A691)</f>
        <v>2025</v>
      </c>
      <c r="C691" s="4" t="n">
        <f aca="false">MONTH($A691)</f>
        <v>11</v>
      </c>
      <c r="D691" s="4" t="str">
        <f aca="false">TEXT($A691,"ddd")</f>
        <v>Thu</v>
      </c>
      <c r="E691" s="4" t="n">
        <f aca="false">IF(OR(AND(MONTH($A691)=10,DAY($A691)&gt;=15),MONTH($A691)=11,AND(MONTH($A691)=12,DAY($A691)&lt;=7)),1,0)</f>
        <v>1</v>
      </c>
      <c r="F691" s="4" t="n">
        <f aca="false">IF(MONTH($A691)&lt;=3,1,0)</f>
        <v>0</v>
      </c>
      <c r="G691" s="4" t="str">
        <f aca="false" t="array" ref="G691:G691">_xlfn.TEXTJOIN(" | ",TRUE(),IF('FEMA Disasters'!$F$2:$F$1000=$A691,'FEMA Disasters'!$D$2:$D$1000&amp;" begin: ["&amp;'FEMA Disasters'!$B$2:$B$1000&amp;"] "&amp;'FEMA Disasters'!$C$2:$C$1000&amp;"-"&amp;'FEMA Disasters'!$A$2:$A$1000,""),IF('FEMA Disasters'!$G$2:$G$1000=$A691,'FEMA Disasters'!$D$2:$D$1000&amp;" ended: ["&amp;'FEMA Disasters'!$B$2:$B$1000&amp;"] "&amp;'FEMA Disasters'!$C$2:$C$1000&amp;"-"&amp;'FEMA Disasters'!$A$2:$A$1000,""),IF('FEMA Disasters'!$K$2:$K$1000=$A691,"Disaster SEP opens: "&amp;'FEMA Disasters'!$D$2:$D$1000&amp;" ["&amp;'FEMA Disasters'!$B$2:$B$1000&amp;"] "&amp;'FEMA Disasters'!$C$2:$C$1000&amp;"-"&amp;'FEMA Disasters'!$A$2:$A$1000,""),IF('FEMA Disasters'!$L$2:$L$1000=$A691,"Disaster SEP ended: "&amp;'FEMA Disasters'!$D$2:$D$1000&amp;" ["&amp;'FEMA Disasters'!$B$2:$B$1000&amp;"] "&amp;'FEMA Disasters'!$C$2:$C$1000&amp;"-"&amp;'FEMA Disasters'!$A$2:$A$1000,""))</f>
        <v/>
      </c>
      <c r="H691" s="4" t="n">
        <f aca="false">COUNTIF(Events!$A$2:$A$397,$A691)</f>
        <v>0</v>
      </c>
      <c r="I691" s="6" t="str">
        <f aca="false" t="array" ref="I691:I691">_xlfn.TEXTJOIN(" | ",TRUE(),IF(Events!$A$2:$A$397=$A691,Events!$E$2:$E$397&amp;IF(Events!$G$2:$G$397="National",""," ["&amp;Events!$G$2:$G$397&amp;"]"),""))</f>
        <v/>
      </c>
    </row>
    <row r="692" customFormat="false" ht="15" hidden="false" customHeight="true" outlineLevel="0" collapsed="false">
      <c r="A692" s="3" t="n">
        <v>45982</v>
      </c>
      <c r="B692" s="4" t="n">
        <f aca="false">YEAR($A692)</f>
        <v>2025</v>
      </c>
      <c r="C692" s="4" t="n">
        <f aca="false">MONTH($A692)</f>
        <v>11</v>
      </c>
      <c r="D692" s="4" t="str">
        <f aca="false">TEXT($A692,"ddd")</f>
        <v>Fri</v>
      </c>
      <c r="E692" s="4" t="n">
        <f aca="false">IF(OR(AND(MONTH($A692)=10,DAY($A692)&gt;=15),MONTH($A692)=11,AND(MONTH($A692)=12,DAY($A692)&lt;=7)),1,0)</f>
        <v>1</v>
      </c>
      <c r="F692" s="4" t="n">
        <f aca="false">IF(MONTH($A692)&lt;=3,1,0)</f>
        <v>0</v>
      </c>
      <c r="G692" s="4" t="str">
        <f aca="false" t="array" ref="G692:G692">_xlfn.TEXTJOIN(" | ",TRUE(),IF('FEMA Disasters'!$F$2:$F$1000=$A692,'FEMA Disasters'!$D$2:$D$1000&amp;" begin: ["&amp;'FEMA Disasters'!$B$2:$B$1000&amp;"] "&amp;'FEMA Disasters'!$C$2:$C$1000&amp;"-"&amp;'FEMA Disasters'!$A$2:$A$1000,""),IF('FEMA Disasters'!$G$2:$G$1000=$A692,'FEMA Disasters'!$D$2:$D$1000&amp;" ended: ["&amp;'FEMA Disasters'!$B$2:$B$1000&amp;"] "&amp;'FEMA Disasters'!$C$2:$C$1000&amp;"-"&amp;'FEMA Disasters'!$A$2:$A$1000,""),IF('FEMA Disasters'!$K$2:$K$1000=$A692,"Disaster SEP opens: "&amp;'FEMA Disasters'!$D$2:$D$1000&amp;" ["&amp;'FEMA Disasters'!$B$2:$B$1000&amp;"] "&amp;'FEMA Disasters'!$C$2:$C$1000&amp;"-"&amp;'FEMA Disasters'!$A$2:$A$1000,""),IF('FEMA Disasters'!$L$2:$L$1000=$A692,"Disaster SEP ended: "&amp;'FEMA Disasters'!$D$2:$D$1000&amp;" ["&amp;'FEMA Disasters'!$B$2:$B$1000&amp;"] "&amp;'FEMA Disasters'!$C$2:$C$1000&amp;"-"&amp;'FEMA Disasters'!$A$2:$A$1000,""))</f>
        <v/>
      </c>
      <c r="H692" s="4" t="n">
        <f aca="false">COUNTIF(Events!$A$2:$A$397,$A692)</f>
        <v>0</v>
      </c>
      <c r="I692" s="6" t="str">
        <f aca="false" t="array" ref="I692:I692">_xlfn.TEXTJOIN(" | ",TRUE(),IF(Events!$A$2:$A$397=$A692,Events!$E$2:$E$397&amp;IF(Events!$G$2:$G$397="National",""," ["&amp;Events!$G$2:$G$397&amp;"]"),""))</f>
        <v/>
      </c>
    </row>
    <row r="693" customFormat="false" ht="15" hidden="false" customHeight="true" outlineLevel="0" collapsed="false">
      <c r="A693" s="3" t="n">
        <v>45983</v>
      </c>
      <c r="B693" s="4" t="n">
        <f aca="false">YEAR($A693)</f>
        <v>2025</v>
      </c>
      <c r="C693" s="4" t="n">
        <f aca="false">MONTH($A693)</f>
        <v>11</v>
      </c>
      <c r="D693" s="4" t="str">
        <f aca="false">TEXT($A693,"ddd")</f>
        <v>Sat</v>
      </c>
      <c r="E693" s="4" t="n">
        <f aca="false">IF(OR(AND(MONTH($A693)=10,DAY($A693)&gt;=15),MONTH($A693)=11,AND(MONTH($A693)=12,DAY($A693)&lt;=7)),1,0)</f>
        <v>1</v>
      </c>
      <c r="F693" s="4" t="n">
        <f aca="false">IF(MONTH($A693)&lt;=3,1,0)</f>
        <v>0</v>
      </c>
      <c r="G693" s="4" t="str">
        <f aca="false" t="array" ref="G693:G693">_xlfn.TEXTJOIN(" | ",TRUE(),IF('FEMA Disasters'!$F$2:$F$1000=$A693,'FEMA Disasters'!$D$2:$D$1000&amp;" begin: ["&amp;'FEMA Disasters'!$B$2:$B$1000&amp;"] "&amp;'FEMA Disasters'!$C$2:$C$1000&amp;"-"&amp;'FEMA Disasters'!$A$2:$A$1000,""),IF('FEMA Disasters'!$G$2:$G$1000=$A693,'FEMA Disasters'!$D$2:$D$1000&amp;" ended: ["&amp;'FEMA Disasters'!$B$2:$B$1000&amp;"] "&amp;'FEMA Disasters'!$C$2:$C$1000&amp;"-"&amp;'FEMA Disasters'!$A$2:$A$1000,""),IF('FEMA Disasters'!$K$2:$K$1000=$A693,"Disaster SEP opens: "&amp;'FEMA Disasters'!$D$2:$D$1000&amp;" ["&amp;'FEMA Disasters'!$B$2:$B$1000&amp;"] "&amp;'FEMA Disasters'!$C$2:$C$1000&amp;"-"&amp;'FEMA Disasters'!$A$2:$A$1000,""),IF('FEMA Disasters'!$L$2:$L$1000=$A693,"Disaster SEP ended: "&amp;'FEMA Disasters'!$D$2:$D$1000&amp;" ["&amp;'FEMA Disasters'!$B$2:$B$1000&amp;"] "&amp;'FEMA Disasters'!$C$2:$C$1000&amp;"-"&amp;'FEMA Disasters'!$A$2:$A$1000,""))</f>
        <v/>
      </c>
      <c r="H693" s="4" t="n">
        <f aca="false">COUNTIF(Events!$A$2:$A$397,$A693)</f>
        <v>0</v>
      </c>
      <c r="I693" s="6" t="str">
        <f aca="false" t="array" ref="I693:I693">_xlfn.TEXTJOIN(" | ",TRUE(),IF(Events!$A$2:$A$397=$A693,Events!$E$2:$E$397&amp;IF(Events!$G$2:$G$397="National",""," ["&amp;Events!$G$2:$G$397&amp;"]"),""))</f>
        <v/>
      </c>
    </row>
    <row r="694" customFormat="false" ht="15" hidden="false" customHeight="true" outlineLevel="0" collapsed="false">
      <c r="A694" s="3" t="n">
        <v>45984</v>
      </c>
      <c r="B694" s="4" t="n">
        <f aca="false">YEAR($A694)</f>
        <v>2025</v>
      </c>
      <c r="C694" s="4" t="n">
        <f aca="false">MONTH($A694)</f>
        <v>11</v>
      </c>
      <c r="D694" s="4" t="str">
        <f aca="false">TEXT($A694,"ddd")</f>
        <v>Sun</v>
      </c>
      <c r="E694" s="4" t="n">
        <f aca="false">IF(OR(AND(MONTH($A694)=10,DAY($A694)&gt;=15),MONTH($A694)=11,AND(MONTH($A694)=12,DAY($A694)&lt;=7)),1,0)</f>
        <v>1</v>
      </c>
      <c r="F694" s="4" t="n">
        <f aca="false">IF(MONTH($A694)&lt;=3,1,0)</f>
        <v>0</v>
      </c>
      <c r="G694" s="4" t="str">
        <f aca="false" t="array" ref="G694:G694">_xlfn.TEXTJOIN(" | ",TRUE(),IF('FEMA Disasters'!$F$2:$F$1000=$A694,'FEMA Disasters'!$D$2:$D$1000&amp;" begin: ["&amp;'FEMA Disasters'!$B$2:$B$1000&amp;"] "&amp;'FEMA Disasters'!$C$2:$C$1000&amp;"-"&amp;'FEMA Disasters'!$A$2:$A$1000,""),IF('FEMA Disasters'!$G$2:$G$1000=$A694,'FEMA Disasters'!$D$2:$D$1000&amp;" ended: ["&amp;'FEMA Disasters'!$B$2:$B$1000&amp;"] "&amp;'FEMA Disasters'!$C$2:$C$1000&amp;"-"&amp;'FEMA Disasters'!$A$2:$A$1000,""),IF('FEMA Disasters'!$K$2:$K$1000=$A694,"Disaster SEP opens: "&amp;'FEMA Disasters'!$D$2:$D$1000&amp;" ["&amp;'FEMA Disasters'!$B$2:$B$1000&amp;"] "&amp;'FEMA Disasters'!$C$2:$C$1000&amp;"-"&amp;'FEMA Disasters'!$A$2:$A$1000,""),IF('FEMA Disasters'!$L$2:$L$1000=$A694,"Disaster SEP ended: "&amp;'FEMA Disasters'!$D$2:$D$1000&amp;" ["&amp;'FEMA Disasters'!$B$2:$B$1000&amp;"] "&amp;'FEMA Disasters'!$C$2:$C$1000&amp;"-"&amp;'FEMA Disasters'!$A$2:$A$1000,""))</f>
        <v/>
      </c>
      <c r="H694" s="4" t="n">
        <f aca="false">COUNTIF(Events!$A$2:$A$397,$A694)</f>
        <v>0</v>
      </c>
      <c r="I694" s="6" t="str">
        <f aca="false" t="array" ref="I694:I694">_xlfn.TEXTJOIN(" | ",TRUE(),IF(Events!$A$2:$A$397=$A694,Events!$E$2:$E$397&amp;IF(Events!$G$2:$G$397="National",""," ["&amp;Events!$G$2:$G$397&amp;"]"),""))</f>
        <v/>
      </c>
    </row>
    <row r="695" customFormat="false" ht="15" hidden="false" customHeight="true" outlineLevel="0" collapsed="false">
      <c r="A695" s="3" t="n">
        <v>45985</v>
      </c>
      <c r="B695" s="4" t="n">
        <f aca="false">YEAR($A695)</f>
        <v>2025</v>
      </c>
      <c r="C695" s="4" t="n">
        <f aca="false">MONTH($A695)</f>
        <v>11</v>
      </c>
      <c r="D695" s="4" t="str">
        <f aca="false">TEXT($A695,"ddd")</f>
        <v>Mon</v>
      </c>
      <c r="E695" s="4" t="n">
        <f aca="false">IF(OR(AND(MONTH($A695)=10,DAY($A695)&gt;=15),MONTH($A695)=11,AND(MONTH($A695)=12,DAY($A695)&lt;=7)),1,0)</f>
        <v>1</v>
      </c>
      <c r="F695" s="4" t="n">
        <f aca="false">IF(MONTH($A695)&lt;=3,1,0)</f>
        <v>0</v>
      </c>
      <c r="G695" s="4" t="str">
        <f aca="false" t="array" ref="G695:G695">_xlfn.TEXTJOIN(" | ",TRUE(),IF('FEMA Disasters'!$F$2:$F$1000=$A695,'FEMA Disasters'!$D$2:$D$1000&amp;" begin: ["&amp;'FEMA Disasters'!$B$2:$B$1000&amp;"] "&amp;'FEMA Disasters'!$C$2:$C$1000&amp;"-"&amp;'FEMA Disasters'!$A$2:$A$1000,""),IF('FEMA Disasters'!$G$2:$G$1000=$A695,'FEMA Disasters'!$D$2:$D$1000&amp;" ended: ["&amp;'FEMA Disasters'!$B$2:$B$1000&amp;"] "&amp;'FEMA Disasters'!$C$2:$C$1000&amp;"-"&amp;'FEMA Disasters'!$A$2:$A$1000,""),IF('FEMA Disasters'!$K$2:$K$1000=$A695,"Disaster SEP opens: "&amp;'FEMA Disasters'!$D$2:$D$1000&amp;" ["&amp;'FEMA Disasters'!$B$2:$B$1000&amp;"] "&amp;'FEMA Disasters'!$C$2:$C$1000&amp;"-"&amp;'FEMA Disasters'!$A$2:$A$1000,""),IF('FEMA Disasters'!$L$2:$L$1000=$A695,"Disaster SEP ended: "&amp;'FEMA Disasters'!$D$2:$D$1000&amp;" ["&amp;'FEMA Disasters'!$B$2:$B$1000&amp;"] "&amp;'FEMA Disasters'!$C$2:$C$1000&amp;"-"&amp;'FEMA Disasters'!$A$2:$A$1000,""))</f>
        <v/>
      </c>
      <c r="H695" s="4" t="n">
        <f aca="false">COUNTIF(Events!$A$2:$A$397,$A695)</f>
        <v>0</v>
      </c>
      <c r="I695" s="6" t="str">
        <f aca="false" t="array" ref="I695:I695">_xlfn.TEXTJOIN(" | ",TRUE(),IF(Events!$A$2:$A$397=$A695,Events!$E$2:$E$397&amp;IF(Events!$G$2:$G$397="National",""," ["&amp;Events!$G$2:$G$397&amp;"]"),""))</f>
        <v/>
      </c>
    </row>
    <row r="696" customFormat="false" ht="15" hidden="false" customHeight="true" outlineLevel="0" collapsed="false">
      <c r="A696" s="3" t="n">
        <v>45986</v>
      </c>
      <c r="B696" s="4" t="n">
        <f aca="false">YEAR($A696)</f>
        <v>2025</v>
      </c>
      <c r="C696" s="4" t="n">
        <f aca="false">MONTH($A696)</f>
        <v>11</v>
      </c>
      <c r="D696" s="4" t="str">
        <f aca="false">TEXT($A696,"ddd")</f>
        <v>Tue</v>
      </c>
      <c r="E696" s="4" t="n">
        <f aca="false">IF(OR(AND(MONTH($A696)=10,DAY($A696)&gt;=15),MONTH($A696)=11,AND(MONTH($A696)=12,DAY($A696)&lt;=7)),1,0)</f>
        <v>1</v>
      </c>
      <c r="F696" s="4" t="n">
        <f aca="false">IF(MONTH($A696)&lt;=3,1,0)</f>
        <v>0</v>
      </c>
      <c r="G696" s="4" t="str">
        <f aca="false" t="array" ref="G696:G696">_xlfn.TEXTJOIN(" | ",TRUE(),IF('FEMA Disasters'!$F$2:$F$1000=$A696,'FEMA Disasters'!$D$2:$D$1000&amp;" begin: ["&amp;'FEMA Disasters'!$B$2:$B$1000&amp;"] "&amp;'FEMA Disasters'!$C$2:$C$1000&amp;"-"&amp;'FEMA Disasters'!$A$2:$A$1000,""),IF('FEMA Disasters'!$G$2:$G$1000=$A696,'FEMA Disasters'!$D$2:$D$1000&amp;" ended: ["&amp;'FEMA Disasters'!$B$2:$B$1000&amp;"] "&amp;'FEMA Disasters'!$C$2:$C$1000&amp;"-"&amp;'FEMA Disasters'!$A$2:$A$1000,""),IF('FEMA Disasters'!$K$2:$K$1000=$A696,"Disaster SEP opens: "&amp;'FEMA Disasters'!$D$2:$D$1000&amp;" ["&amp;'FEMA Disasters'!$B$2:$B$1000&amp;"] "&amp;'FEMA Disasters'!$C$2:$C$1000&amp;"-"&amp;'FEMA Disasters'!$A$2:$A$1000,""),IF('FEMA Disasters'!$L$2:$L$1000=$A696,"Disaster SEP ended: "&amp;'FEMA Disasters'!$D$2:$D$1000&amp;" ["&amp;'FEMA Disasters'!$B$2:$B$1000&amp;"] "&amp;'FEMA Disasters'!$C$2:$C$1000&amp;"-"&amp;'FEMA Disasters'!$A$2:$A$1000,""))</f>
        <v/>
      </c>
      <c r="H696" s="4" t="n">
        <f aca="false">COUNTIF(Events!$A$2:$A$397,$A696)</f>
        <v>0</v>
      </c>
      <c r="I696" s="6" t="str">
        <f aca="false" t="array" ref="I696:I696">_xlfn.TEXTJOIN(" | ",TRUE(),IF(Events!$A$2:$A$397=$A696,Events!$E$2:$E$397&amp;IF(Events!$G$2:$G$397="National",""," ["&amp;Events!$G$2:$G$397&amp;"]"),""))</f>
        <v/>
      </c>
    </row>
    <row r="697" customFormat="false" ht="15" hidden="false" customHeight="true" outlineLevel="0" collapsed="false">
      <c r="A697" s="3" t="n">
        <v>45987</v>
      </c>
      <c r="B697" s="4" t="n">
        <f aca="false">YEAR($A697)</f>
        <v>2025</v>
      </c>
      <c r="C697" s="4" t="n">
        <f aca="false">MONTH($A697)</f>
        <v>11</v>
      </c>
      <c r="D697" s="4" t="str">
        <f aca="false">TEXT($A697,"ddd")</f>
        <v>Wed</v>
      </c>
      <c r="E697" s="4" t="n">
        <f aca="false">IF(OR(AND(MONTH($A697)=10,DAY($A697)&gt;=15),MONTH($A697)=11,AND(MONTH($A697)=12,DAY($A697)&lt;=7)),1,0)</f>
        <v>1</v>
      </c>
      <c r="F697" s="4" t="n">
        <f aca="false">IF(MONTH($A697)&lt;=3,1,0)</f>
        <v>0</v>
      </c>
      <c r="G697" s="4" t="str">
        <f aca="false" t="array" ref="G697:G697">_xlfn.TEXTJOIN(" | ",TRUE(),IF('FEMA Disasters'!$F$2:$F$1000=$A697,'FEMA Disasters'!$D$2:$D$1000&amp;" begin: ["&amp;'FEMA Disasters'!$B$2:$B$1000&amp;"] "&amp;'FEMA Disasters'!$C$2:$C$1000&amp;"-"&amp;'FEMA Disasters'!$A$2:$A$1000,""),IF('FEMA Disasters'!$G$2:$G$1000=$A697,'FEMA Disasters'!$D$2:$D$1000&amp;" ended: ["&amp;'FEMA Disasters'!$B$2:$B$1000&amp;"] "&amp;'FEMA Disasters'!$C$2:$C$1000&amp;"-"&amp;'FEMA Disasters'!$A$2:$A$1000,""),IF('FEMA Disasters'!$K$2:$K$1000=$A697,"Disaster SEP opens: "&amp;'FEMA Disasters'!$D$2:$D$1000&amp;" ["&amp;'FEMA Disasters'!$B$2:$B$1000&amp;"] "&amp;'FEMA Disasters'!$C$2:$C$1000&amp;"-"&amp;'FEMA Disasters'!$A$2:$A$1000,""),IF('FEMA Disasters'!$L$2:$L$1000=$A697,"Disaster SEP ended: "&amp;'FEMA Disasters'!$D$2:$D$1000&amp;" ["&amp;'FEMA Disasters'!$B$2:$B$1000&amp;"] "&amp;'FEMA Disasters'!$C$2:$C$1000&amp;"-"&amp;'FEMA Disasters'!$A$2:$A$1000,""))</f>
        <v/>
      </c>
      <c r="H697" s="4" t="n">
        <f aca="false">COUNTIF(Events!$A$2:$A$397,$A697)</f>
        <v>0</v>
      </c>
      <c r="I697" s="6" t="str">
        <f aca="false" t="array" ref="I697:I697">_xlfn.TEXTJOIN(" | ",TRUE(),IF(Events!$A$2:$A$397=$A697,Events!$E$2:$E$397&amp;IF(Events!$G$2:$G$397="National",""," ["&amp;Events!$G$2:$G$397&amp;"]"),""))</f>
        <v/>
      </c>
    </row>
    <row r="698" customFormat="false" ht="15" hidden="false" customHeight="true" outlineLevel="0" collapsed="false">
      <c r="A698" s="3" t="n">
        <v>45988</v>
      </c>
      <c r="B698" s="4" t="n">
        <f aca="false">YEAR($A698)</f>
        <v>2025</v>
      </c>
      <c r="C698" s="4" t="n">
        <f aca="false">MONTH($A698)</f>
        <v>11</v>
      </c>
      <c r="D698" s="4" t="str">
        <f aca="false">TEXT($A698,"ddd")</f>
        <v>Thu</v>
      </c>
      <c r="E698" s="4" t="n">
        <f aca="false">IF(OR(AND(MONTH($A698)=10,DAY($A698)&gt;=15),MONTH($A698)=11,AND(MONTH($A698)=12,DAY($A698)&lt;=7)),1,0)</f>
        <v>1</v>
      </c>
      <c r="F698" s="4" t="n">
        <f aca="false">IF(MONTH($A698)&lt;=3,1,0)</f>
        <v>0</v>
      </c>
      <c r="G698" s="4" t="str">
        <f aca="false" t="array" ref="G698:G698">_xlfn.TEXTJOIN(" | ",TRUE(),IF('FEMA Disasters'!$F$2:$F$1000=$A698,'FEMA Disasters'!$D$2:$D$1000&amp;" begin: ["&amp;'FEMA Disasters'!$B$2:$B$1000&amp;"] "&amp;'FEMA Disasters'!$C$2:$C$1000&amp;"-"&amp;'FEMA Disasters'!$A$2:$A$1000,""),IF('FEMA Disasters'!$G$2:$G$1000=$A698,'FEMA Disasters'!$D$2:$D$1000&amp;" ended: ["&amp;'FEMA Disasters'!$B$2:$B$1000&amp;"] "&amp;'FEMA Disasters'!$C$2:$C$1000&amp;"-"&amp;'FEMA Disasters'!$A$2:$A$1000,""),IF('FEMA Disasters'!$K$2:$K$1000=$A698,"Disaster SEP opens: "&amp;'FEMA Disasters'!$D$2:$D$1000&amp;" ["&amp;'FEMA Disasters'!$B$2:$B$1000&amp;"] "&amp;'FEMA Disasters'!$C$2:$C$1000&amp;"-"&amp;'FEMA Disasters'!$A$2:$A$1000,""),IF('FEMA Disasters'!$L$2:$L$1000=$A698,"Disaster SEP ended: "&amp;'FEMA Disasters'!$D$2:$D$1000&amp;" ["&amp;'FEMA Disasters'!$B$2:$B$1000&amp;"] "&amp;'FEMA Disasters'!$C$2:$C$1000&amp;"-"&amp;'FEMA Disasters'!$A$2:$A$1000,""))</f>
        <v/>
      </c>
      <c r="H698" s="4" t="n">
        <f aca="false">COUNTIF(Events!$A$2:$A$397,$A698)</f>
        <v>0</v>
      </c>
      <c r="I698" s="6" t="str">
        <f aca="false" t="array" ref="I698:I698">_xlfn.TEXTJOIN(" | ",TRUE(),IF(Events!$A$2:$A$397=$A698,Events!$E$2:$E$397&amp;IF(Events!$G$2:$G$397="National",""," ["&amp;Events!$G$2:$G$397&amp;"]"),""))</f>
        <v/>
      </c>
    </row>
    <row r="699" customFormat="false" ht="15" hidden="false" customHeight="true" outlineLevel="0" collapsed="false">
      <c r="A699" s="3" t="n">
        <v>45989</v>
      </c>
      <c r="B699" s="4" t="n">
        <f aca="false">YEAR($A699)</f>
        <v>2025</v>
      </c>
      <c r="C699" s="4" t="n">
        <f aca="false">MONTH($A699)</f>
        <v>11</v>
      </c>
      <c r="D699" s="4" t="str">
        <f aca="false">TEXT($A699,"ddd")</f>
        <v>Fri</v>
      </c>
      <c r="E699" s="4" t="n">
        <f aca="false">IF(OR(AND(MONTH($A699)=10,DAY($A699)&gt;=15),MONTH($A699)=11,AND(MONTH($A699)=12,DAY($A699)&lt;=7)),1,0)</f>
        <v>1</v>
      </c>
      <c r="F699" s="4" t="n">
        <f aca="false">IF(MONTH($A699)&lt;=3,1,0)</f>
        <v>0</v>
      </c>
      <c r="G699" s="4" t="str">
        <f aca="false" t="array" ref="G699:G699">_xlfn.TEXTJOIN(" | ",TRUE(),IF('FEMA Disasters'!$F$2:$F$1000=$A699,'FEMA Disasters'!$D$2:$D$1000&amp;" begin: ["&amp;'FEMA Disasters'!$B$2:$B$1000&amp;"] "&amp;'FEMA Disasters'!$C$2:$C$1000&amp;"-"&amp;'FEMA Disasters'!$A$2:$A$1000,""),IF('FEMA Disasters'!$G$2:$G$1000=$A699,'FEMA Disasters'!$D$2:$D$1000&amp;" ended: ["&amp;'FEMA Disasters'!$B$2:$B$1000&amp;"] "&amp;'FEMA Disasters'!$C$2:$C$1000&amp;"-"&amp;'FEMA Disasters'!$A$2:$A$1000,""),IF('FEMA Disasters'!$K$2:$K$1000=$A699,"Disaster SEP opens: "&amp;'FEMA Disasters'!$D$2:$D$1000&amp;" ["&amp;'FEMA Disasters'!$B$2:$B$1000&amp;"] "&amp;'FEMA Disasters'!$C$2:$C$1000&amp;"-"&amp;'FEMA Disasters'!$A$2:$A$1000,""),IF('FEMA Disasters'!$L$2:$L$1000=$A699,"Disaster SEP ended: "&amp;'FEMA Disasters'!$D$2:$D$1000&amp;" ["&amp;'FEMA Disasters'!$B$2:$B$1000&amp;"] "&amp;'FEMA Disasters'!$C$2:$C$1000&amp;"-"&amp;'FEMA Disasters'!$A$2:$A$1000,""))</f>
        <v/>
      </c>
      <c r="H699" s="4" t="n">
        <f aca="false">COUNTIF(Events!$A$2:$A$397,$A699)</f>
        <v>1</v>
      </c>
      <c r="I699" s="6" t="str">
        <f aca="false" t="array" ref="I699:I699">_xlfn.TEXTJOIN(" | ",TRUE(),IF(Events!$A$2:$A$397=$A699,Events!$E$2:$E$397&amp;IF(Events!$G$2:$G$397="National",""," ["&amp;Events!$G$2:$G$397&amp;"]"),""))</f>
        <v>CY2027 Proposed Rule published in Federal Register: Star Ratings measure removals, Part D redesign codification, D-SNP enrollment continuity proposals || C-SNP-CRITICAL: rule contains a formal RFI on C-SNP/I-SNP growth among dually eligible individuals - CMS explicitly flags C-SNP growth as possible circumvention of D-SNP integration rules and floats extending look-alike contracting limits, SMAC requirements, and care-coordination standards to C-SNPs. First direct CMS policy signal aimed at C-SNPs; comments due 1/26/2026.</v>
      </c>
    </row>
    <row r="700" customFormat="false" ht="15" hidden="false" customHeight="true" outlineLevel="0" collapsed="false">
      <c r="A700" s="3" t="n">
        <v>45990</v>
      </c>
      <c r="B700" s="4" t="n">
        <f aca="false">YEAR($A700)</f>
        <v>2025</v>
      </c>
      <c r="C700" s="4" t="n">
        <f aca="false">MONTH($A700)</f>
        <v>11</v>
      </c>
      <c r="D700" s="4" t="str">
        <f aca="false">TEXT($A700,"ddd")</f>
        <v>Sat</v>
      </c>
      <c r="E700" s="4" t="n">
        <f aca="false">IF(OR(AND(MONTH($A700)=10,DAY($A700)&gt;=15),MONTH($A700)=11,AND(MONTH($A700)=12,DAY($A700)&lt;=7)),1,0)</f>
        <v>1</v>
      </c>
      <c r="F700" s="4" t="n">
        <f aca="false">IF(MONTH($A700)&lt;=3,1,0)</f>
        <v>0</v>
      </c>
      <c r="G700" s="4" t="str">
        <f aca="false" t="array" ref="G700:G700">_xlfn.TEXTJOIN(" | ",TRUE(),IF('FEMA Disasters'!$F$2:$F$1000=$A700,'FEMA Disasters'!$D$2:$D$1000&amp;" begin: ["&amp;'FEMA Disasters'!$B$2:$B$1000&amp;"] "&amp;'FEMA Disasters'!$C$2:$C$1000&amp;"-"&amp;'FEMA Disasters'!$A$2:$A$1000,""),IF('FEMA Disasters'!$G$2:$G$1000=$A700,'FEMA Disasters'!$D$2:$D$1000&amp;" ended: ["&amp;'FEMA Disasters'!$B$2:$B$1000&amp;"] "&amp;'FEMA Disasters'!$C$2:$C$1000&amp;"-"&amp;'FEMA Disasters'!$A$2:$A$1000,""),IF('FEMA Disasters'!$K$2:$K$1000=$A700,"Disaster SEP opens: "&amp;'FEMA Disasters'!$D$2:$D$1000&amp;" ["&amp;'FEMA Disasters'!$B$2:$B$1000&amp;"] "&amp;'FEMA Disasters'!$C$2:$C$1000&amp;"-"&amp;'FEMA Disasters'!$A$2:$A$1000,""),IF('FEMA Disasters'!$L$2:$L$1000=$A700,"Disaster SEP ended: "&amp;'FEMA Disasters'!$D$2:$D$1000&amp;" ["&amp;'FEMA Disasters'!$B$2:$B$1000&amp;"] "&amp;'FEMA Disasters'!$C$2:$C$1000&amp;"-"&amp;'FEMA Disasters'!$A$2:$A$1000,""))</f>
        <v/>
      </c>
      <c r="H700" s="4" t="n">
        <f aca="false">COUNTIF(Events!$A$2:$A$397,$A700)</f>
        <v>0</v>
      </c>
      <c r="I700" s="6" t="str">
        <f aca="false" t="array" ref="I700:I700">_xlfn.TEXTJOIN(" | ",TRUE(),IF(Events!$A$2:$A$397=$A700,Events!$E$2:$E$397&amp;IF(Events!$G$2:$G$397="National",""," ["&amp;Events!$G$2:$G$397&amp;"]"),""))</f>
        <v/>
      </c>
    </row>
    <row r="701" customFormat="false" ht="15" hidden="false" customHeight="true" outlineLevel="0" collapsed="false">
      <c r="A701" s="3" t="n">
        <v>45991</v>
      </c>
      <c r="B701" s="4" t="n">
        <f aca="false">YEAR($A701)</f>
        <v>2025</v>
      </c>
      <c r="C701" s="4" t="n">
        <f aca="false">MONTH($A701)</f>
        <v>11</v>
      </c>
      <c r="D701" s="4" t="str">
        <f aca="false">TEXT($A701,"ddd")</f>
        <v>Sun</v>
      </c>
      <c r="E701" s="4" t="n">
        <f aca="false">IF(OR(AND(MONTH($A701)=10,DAY($A701)&gt;=15),MONTH($A701)=11,AND(MONTH($A701)=12,DAY($A701)&lt;=7)),1,0)</f>
        <v>1</v>
      </c>
      <c r="F701" s="4" t="n">
        <f aca="false">IF(MONTH($A701)&lt;=3,1,0)</f>
        <v>0</v>
      </c>
      <c r="G701" s="4" t="str">
        <f aca="false" t="array" ref="G701:G701">_xlfn.TEXTJOIN(" | ",TRUE(),IF('FEMA Disasters'!$F$2:$F$1000=$A701,'FEMA Disasters'!$D$2:$D$1000&amp;" begin: ["&amp;'FEMA Disasters'!$B$2:$B$1000&amp;"] "&amp;'FEMA Disasters'!$C$2:$C$1000&amp;"-"&amp;'FEMA Disasters'!$A$2:$A$1000,""),IF('FEMA Disasters'!$G$2:$G$1000=$A701,'FEMA Disasters'!$D$2:$D$1000&amp;" ended: ["&amp;'FEMA Disasters'!$B$2:$B$1000&amp;"] "&amp;'FEMA Disasters'!$C$2:$C$1000&amp;"-"&amp;'FEMA Disasters'!$A$2:$A$1000,""),IF('FEMA Disasters'!$K$2:$K$1000=$A701,"Disaster SEP opens: "&amp;'FEMA Disasters'!$D$2:$D$1000&amp;" ["&amp;'FEMA Disasters'!$B$2:$B$1000&amp;"] "&amp;'FEMA Disasters'!$C$2:$C$1000&amp;"-"&amp;'FEMA Disasters'!$A$2:$A$1000,""),IF('FEMA Disasters'!$L$2:$L$1000=$A701,"Disaster SEP ended: "&amp;'FEMA Disasters'!$D$2:$D$1000&amp;" ["&amp;'FEMA Disasters'!$B$2:$B$1000&amp;"] "&amp;'FEMA Disasters'!$C$2:$C$1000&amp;"-"&amp;'FEMA Disasters'!$A$2:$A$1000,""))</f>
        <v>Disaster SEP opens: Fire [ID] FM-5607 | Disaster SEP opens: Fire [OR] FM-5610 | Disaster SEP opens: Fire [MT] FM-5611 | Disaster SEP opens: Fire [HI] FM-5613 | Disaster SEP opens: Severe Storm [NM] DR-4918 | Disaster SEP ended: Fire [NM] FM-5588 | Disaster SEP ended: Fire [UT] FM-5591 | Disaster SEP ended: Fire [NM] FM-5593 | Disaster SEP ended: Fire [NM] FM-5594 | Disaster SEP ended: Fire [AK] FM-5595 | Disaster SEP ended: Flood [TX] DR-4879 | Disaster SEP ended: Fire [AK] FM-5597 | Disaster SEP ended: Tropical Depression [NC] DR-4889 | Disaster SEP ended: Fire [OR] FM-5599 | Disaster SEP ended: Severe Storm [KS] DR-4897</v>
      </c>
      <c r="H701" s="4" t="n">
        <f aca="false">COUNTIF(Events!$A$2:$A$397,$A701)</f>
        <v>1</v>
      </c>
      <c r="I701" s="6" t="str">
        <f aca="false" t="array" ref="I701:I701">_xlfn.TEXTJOIN(" | ",TRUE(),IF(Events!$A$2:$A$397=$A701,Events!$E$2:$E$397&amp;IF(Events!$G$2:$G$397="National",""," ["&amp;Events!$G$2:$G$397&amp;"]"),""))</f>
        <v>CMS publishes MFPs for the 15 rounds-2 drugs (statutory deadline; effective 1/1/2027)</v>
      </c>
    </row>
    <row r="702" customFormat="false" ht="15" hidden="false" customHeight="true" outlineLevel="0" collapsed="false">
      <c r="A702" s="3" t="n">
        <v>45992</v>
      </c>
      <c r="B702" s="4" t="n">
        <f aca="false">YEAR($A702)</f>
        <v>2025</v>
      </c>
      <c r="C702" s="4" t="n">
        <f aca="false">MONTH($A702)</f>
        <v>12</v>
      </c>
      <c r="D702" s="4" t="str">
        <f aca="false">TEXT($A702,"ddd")</f>
        <v>Mon</v>
      </c>
      <c r="E702" s="4" t="n">
        <f aca="false">IF(OR(AND(MONTH($A702)=10,DAY($A702)&gt;=15),MONTH($A702)=11,AND(MONTH($A702)=12,DAY($A702)&lt;=7)),1,0)</f>
        <v>1</v>
      </c>
      <c r="F702" s="4" t="n">
        <f aca="false">IF(MONTH($A702)&lt;=3,1,0)</f>
        <v>0</v>
      </c>
      <c r="G702" s="4" t="str">
        <f aca="false" t="array" ref="G702:G702">_xlfn.TEXTJOIN(" | ",TRUE(),IF('FEMA Disasters'!$F$2:$F$1000=$A702,'FEMA Disasters'!$D$2:$D$1000&amp;" begin: ["&amp;'FEMA Disasters'!$B$2:$B$1000&amp;"] "&amp;'FEMA Disasters'!$C$2:$C$1000&amp;"-"&amp;'FEMA Disasters'!$A$2:$A$1000,""),IF('FEMA Disasters'!$G$2:$G$1000=$A702,'FEMA Disasters'!$D$2:$D$1000&amp;" ended: ["&amp;'FEMA Disasters'!$B$2:$B$1000&amp;"] "&amp;'FEMA Disasters'!$C$2:$C$1000&amp;"-"&amp;'FEMA Disasters'!$A$2:$A$1000,""),IF('FEMA Disasters'!$K$2:$K$1000=$A702,"Disaster SEP opens: "&amp;'FEMA Disasters'!$D$2:$D$1000&amp;" ["&amp;'FEMA Disasters'!$B$2:$B$1000&amp;"] "&amp;'FEMA Disasters'!$C$2:$C$1000&amp;"-"&amp;'FEMA Disasters'!$A$2:$A$1000,""),IF('FEMA Disasters'!$L$2:$L$1000=$A702,"Disaster SEP ended: "&amp;'FEMA Disasters'!$D$2:$D$1000&amp;" ["&amp;'FEMA Disasters'!$B$2:$B$1000&amp;"] "&amp;'FEMA Disasters'!$C$2:$C$1000&amp;"-"&amp;'FEMA Disasters'!$A$2:$A$1000,""))</f>
        <v/>
      </c>
      <c r="H702" s="4" t="n">
        <f aca="false">COUNTIF(Events!$A$2:$A$397,$A702)</f>
        <v>0</v>
      </c>
      <c r="I702" s="6" t="str">
        <f aca="false" t="array" ref="I702:I702">_xlfn.TEXTJOIN(" | ",TRUE(),IF(Events!$A$2:$A$397=$A702,Events!$E$2:$E$397&amp;IF(Events!$G$2:$G$397="National",""," ["&amp;Events!$G$2:$G$397&amp;"]"),""))</f>
        <v/>
      </c>
    </row>
    <row r="703" customFormat="false" ht="15" hidden="false" customHeight="true" outlineLevel="0" collapsed="false">
      <c r="A703" s="3" t="n">
        <v>45993</v>
      </c>
      <c r="B703" s="4" t="n">
        <f aca="false">YEAR($A703)</f>
        <v>2025</v>
      </c>
      <c r="C703" s="4" t="n">
        <f aca="false">MONTH($A703)</f>
        <v>12</v>
      </c>
      <c r="D703" s="4" t="str">
        <f aca="false">TEXT($A703,"ddd")</f>
        <v>Tue</v>
      </c>
      <c r="E703" s="4" t="n">
        <f aca="false">IF(OR(AND(MONTH($A703)=10,DAY($A703)&gt;=15),MONTH($A703)=11,AND(MONTH($A703)=12,DAY($A703)&lt;=7)),1,0)</f>
        <v>1</v>
      </c>
      <c r="F703" s="4" t="n">
        <f aca="false">IF(MONTH($A703)&lt;=3,1,0)</f>
        <v>0</v>
      </c>
      <c r="G703" s="4" t="str">
        <f aca="false" t="array" ref="G703:G703">_xlfn.TEXTJOIN(" | ",TRUE(),IF('FEMA Disasters'!$F$2:$F$1000=$A703,'FEMA Disasters'!$D$2:$D$1000&amp;" begin: ["&amp;'FEMA Disasters'!$B$2:$B$1000&amp;"] "&amp;'FEMA Disasters'!$C$2:$C$1000&amp;"-"&amp;'FEMA Disasters'!$A$2:$A$1000,""),IF('FEMA Disasters'!$G$2:$G$1000=$A703,'FEMA Disasters'!$D$2:$D$1000&amp;" ended: ["&amp;'FEMA Disasters'!$B$2:$B$1000&amp;"] "&amp;'FEMA Disasters'!$C$2:$C$1000&amp;"-"&amp;'FEMA Disasters'!$A$2:$A$1000,""),IF('FEMA Disasters'!$K$2:$K$1000=$A703,"Disaster SEP opens: "&amp;'FEMA Disasters'!$D$2:$D$1000&amp;" ["&amp;'FEMA Disasters'!$B$2:$B$1000&amp;"] "&amp;'FEMA Disasters'!$C$2:$C$1000&amp;"-"&amp;'FEMA Disasters'!$A$2:$A$1000,""),IF('FEMA Disasters'!$L$2:$L$1000=$A703,"Disaster SEP ended: "&amp;'FEMA Disasters'!$D$2:$D$1000&amp;" ["&amp;'FEMA Disasters'!$B$2:$B$1000&amp;"] "&amp;'FEMA Disasters'!$C$2:$C$1000&amp;"-"&amp;'FEMA Disasters'!$A$2:$A$1000,""))</f>
        <v/>
      </c>
      <c r="H703" s="4" t="n">
        <f aca="false">COUNTIF(Events!$A$2:$A$397,$A703)</f>
        <v>0</v>
      </c>
      <c r="I703" s="6" t="str">
        <f aca="false" t="array" ref="I703:I703">_xlfn.TEXTJOIN(" | ",TRUE(),IF(Events!$A$2:$A$397=$A703,Events!$E$2:$E$397&amp;IF(Events!$G$2:$G$397="National",""," ["&amp;Events!$G$2:$G$397&amp;"]"),""))</f>
        <v/>
      </c>
    </row>
    <row r="704" customFormat="false" ht="15" hidden="false" customHeight="true" outlineLevel="0" collapsed="false">
      <c r="A704" s="3" t="n">
        <v>45994</v>
      </c>
      <c r="B704" s="4" t="n">
        <f aca="false">YEAR($A704)</f>
        <v>2025</v>
      </c>
      <c r="C704" s="4" t="n">
        <f aca="false">MONTH($A704)</f>
        <v>12</v>
      </c>
      <c r="D704" s="4" t="str">
        <f aca="false">TEXT($A704,"ddd")</f>
        <v>Wed</v>
      </c>
      <c r="E704" s="4" t="n">
        <f aca="false">IF(OR(AND(MONTH($A704)=10,DAY($A704)&gt;=15),MONTH($A704)=11,AND(MONTH($A704)=12,DAY($A704)&lt;=7)),1,0)</f>
        <v>1</v>
      </c>
      <c r="F704" s="4" t="n">
        <f aca="false">IF(MONTH($A704)&lt;=3,1,0)</f>
        <v>0</v>
      </c>
      <c r="G704" s="4" t="str">
        <f aca="false" t="array" ref="G704:G704">_xlfn.TEXTJOIN(" | ",TRUE(),IF('FEMA Disasters'!$F$2:$F$1000=$A704,'FEMA Disasters'!$D$2:$D$1000&amp;" begin: ["&amp;'FEMA Disasters'!$B$2:$B$1000&amp;"] "&amp;'FEMA Disasters'!$C$2:$C$1000&amp;"-"&amp;'FEMA Disasters'!$A$2:$A$1000,""),IF('FEMA Disasters'!$G$2:$G$1000=$A704,'FEMA Disasters'!$D$2:$D$1000&amp;" ended: ["&amp;'FEMA Disasters'!$B$2:$B$1000&amp;"] "&amp;'FEMA Disasters'!$C$2:$C$1000&amp;"-"&amp;'FEMA Disasters'!$A$2:$A$1000,""),IF('FEMA Disasters'!$K$2:$K$1000=$A704,"Disaster SEP opens: "&amp;'FEMA Disasters'!$D$2:$D$1000&amp;" ["&amp;'FEMA Disasters'!$B$2:$B$1000&amp;"] "&amp;'FEMA Disasters'!$C$2:$C$1000&amp;"-"&amp;'FEMA Disasters'!$A$2:$A$1000,""),IF('FEMA Disasters'!$L$2:$L$1000=$A704,"Disaster SEP ended: "&amp;'FEMA Disasters'!$D$2:$D$1000&amp;" ["&amp;'FEMA Disasters'!$B$2:$B$1000&amp;"] "&amp;'FEMA Disasters'!$C$2:$C$1000&amp;"-"&amp;'FEMA Disasters'!$A$2:$A$1000,""))</f>
        <v/>
      </c>
      <c r="H704" s="4" t="n">
        <f aca="false">COUNTIF(Events!$A$2:$A$397,$A704)</f>
        <v>0</v>
      </c>
      <c r="I704" s="6" t="str">
        <f aca="false" t="array" ref="I704:I704">_xlfn.TEXTJOIN(" | ",TRUE(),IF(Events!$A$2:$A$397=$A704,Events!$E$2:$E$397&amp;IF(Events!$G$2:$G$397="National",""," ["&amp;Events!$G$2:$G$397&amp;"]"),""))</f>
        <v/>
      </c>
    </row>
    <row r="705" customFormat="false" ht="15" hidden="false" customHeight="true" outlineLevel="0" collapsed="false">
      <c r="A705" s="3" t="n">
        <v>45995</v>
      </c>
      <c r="B705" s="4" t="n">
        <f aca="false">YEAR($A705)</f>
        <v>2025</v>
      </c>
      <c r="C705" s="4" t="n">
        <f aca="false">MONTH($A705)</f>
        <v>12</v>
      </c>
      <c r="D705" s="4" t="str">
        <f aca="false">TEXT($A705,"ddd")</f>
        <v>Thu</v>
      </c>
      <c r="E705" s="4" t="n">
        <f aca="false">IF(OR(AND(MONTH($A705)=10,DAY($A705)&gt;=15),MONTH($A705)=11,AND(MONTH($A705)=12,DAY($A705)&lt;=7)),1,0)</f>
        <v>1</v>
      </c>
      <c r="F705" s="4" t="n">
        <f aca="false">IF(MONTH($A705)&lt;=3,1,0)</f>
        <v>0</v>
      </c>
      <c r="G705" s="4" t="str">
        <f aca="false" t="array" ref="G705:G705">_xlfn.TEXTJOIN(" | ",TRUE(),IF('FEMA Disasters'!$F$2:$F$1000=$A705,'FEMA Disasters'!$D$2:$D$1000&amp;" begin: ["&amp;'FEMA Disasters'!$B$2:$B$1000&amp;"] "&amp;'FEMA Disasters'!$C$2:$C$1000&amp;"-"&amp;'FEMA Disasters'!$A$2:$A$1000,""),IF('FEMA Disasters'!$G$2:$G$1000=$A705,'FEMA Disasters'!$D$2:$D$1000&amp;" ended: ["&amp;'FEMA Disasters'!$B$2:$B$1000&amp;"] "&amp;'FEMA Disasters'!$C$2:$C$1000&amp;"-"&amp;'FEMA Disasters'!$A$2:$A$1000,""),IF('FEMA Disasters'!$K$2:$K$1000=$A705,"Disaster SEP opens: "&amp;'FEMA Disasters'!$D$2:$D$1000&amp;" ["&amp;'FEMA Disasters'!$B$2:$B$1000&amp;"] "&amp;'FEMA Disasters'!$C$2:$C$1000&amp;"-"&amp;'FEMA Disasters'!$A$2:$A$1000,""),IF('FEMA Disasters'!$L$2:$L$1000=$A705,"Disaster SEP ended: "&amp;'FEMA Disasters'!$D$2:$D$1000&amp;" ["&amp;'FEMA Disasters'!$B$2:$B$1000&amp;"] "&amp;'FEMA Disasters'!$C$2:$C$1000&amp;"-"&amp;'FEMA Disasters'!$A$2:$A$1000,""))</f>
        <v/>
      </c>
      <c r="H705" s="4" t="n">
        <f aca="false">COUNTIF(Events!$A$2:$A$397,$A705)</f>
        <v>0</v>
      </c>
      <c r="I705" s="6" t="str">
        <f aca="false" t="array" ref="I705:I705">_xlfn.TEXTJOIN(" | ",TRUE(),IF(Events!$A$2:$A$397=$A705,Events!$E$2:$E$397&amp;IF(Events!$G$2:$G$397="National",""," ["&amp;Events!$G$2:$G$397&amp;"]"),""))</f>
        <v/>
      </c>
    </row>
    <row r="706" customFormat="false" ht="15" hidden="false" customHeight="true" outlineLevel="0" collapsed="false">
      <c r="A706" s="3" t="n">
        <v>45996</v>
      </c>
      <c r="B706" s="4" t="n">
        <f aca="false">YEAR($A706)</f>
        <v>2025</v>
      </c>
      <c r="C706" s="4" t="n">
        <f aca="false">MONTH($A706)</f>
        <v>12</v>
      </c>
      <c r="D706" s="4" t="str">
        <f aca="false">TEXT($A706,"ddd")</f>
        <v>Fri</v>
      </c>
      <c r="E706" s="4" t="n">
        <f aca="false">IF(OR(AND(MONTH($A706)=10,DAY($A706)&gt;=15),MONTH($A706)=11,AND(MONTH($A706)=12,DAY($A706)&lt;=7)),1,0)</f>
        <v>1</v>
      </c>
      <c r="F706" s="4" t="n">
        <f aca="false">IF(MONTH($A706)&lt;=3,1,0)</f>
        <v>0</v>
      </c>
      <c r="G706" s="4" t="str">
        <f aca="false" t="array" ref="G706:G706">_xlfn.TEXTJOIN(" | ",TRUE(),IF('FEMA Disasters'!$F$2:$F$1000=$A706,'FEMA Disasters'!$D$2:$D$1000&amp;" begin: ["&amp;'FEMA Disasters'!$B$2:$B$1000&amp;"] "&amp;'FEMA Disasters'!$C$2:$C$1000&amp;"-"&amp;'FEMA Disasters'!$A$2:$A$1000,""),IF('FEMA Disasters'!$G$2:$G$1000=$A706,'FEMA Disasters'!$D$2:$D$1000&amp;" ended: ["&amp;'FEMA Disasters'!$B$2:$B$1000&amp;"] "&amp;'FEMA Disasters'!$C$2:$C$1000&amp;"-"&amp;'FEMA Disasters'!$A$2:$A$1000,""),IF('FEMA Disasters'!$K$2:$K$1000=$A706,"Disaster SEP opens: "&amp;'FEMA Disasters'!$D$2:$D$1000&amp;" ["&amp;'FEMA Disasters'!$B$2:$B$1000&amp;"] "&amp;'FEMA Disasters'!$C$2:$C$1000&amp;"-"&amp;'FEMA Disasters'!$A$2:$A$1000,""),IF('FEMA Disasters'!$L$2:$L$1000=$A706,"Disaster SEP ended: "&amp;'FEMA Disasters'!$D$2:$D$1000&amp;" ["&amp;'FEMA Disasters'!$B$2:$B$1000&amp;"] "&amp;'FEMA Disasters'!$C$2:$C$1000&amp;"-"&amp;'FEMA Disasters'!$A$2:$A$1000,""))</f>
        <v>Flood begin: [WA] DR-4906</v>
      </c>
      <c r="H706" s="4" t="n">
        <f aca="false">COUNTIF(Events!$A$2:$A$397,$A706)</f>
        <v>0</v>
      </c>
      <c r="I706" s="6" t="str">
        <f aca="false" t="array" ref="I706:I706">_xlfn.TEXTJOIN(" | ",TRUE(),IF(Events!$A$2:$A$397=$A706,Events!$E$2:$E$397&amp;IF(Events!$G$2:$G$397="National",""," ["&amp;Events!$G$2:$G$397&amp;"]"),""))</f>
        <v/>
      </c>
    </row>
    <row r="707" customFormat="false" ht="15" hidden="false" customHeight="true" outlineLevel="0" collapsed="false">
      <c r="A707" s="3" t="n">
        <v>45997</v>
      </c>
      <c r="B707" s="4" t="n">
        <f aca="false">YEAR($A707)</f>
        <v>2025</v>
      </c>
      <c r="C707" s="4" t="n">
        <f aca="false">MONTH($A707)</f>
        <v>12</v>
      </c>
      <c r="D707" s="4" t="str">
        <f aca="false">TEXT($A707,"ddd")</f>
        <v>Sat</v>
      </c>
      <c r="E707" s="4" t="n">
        <f aca="false">IF(OR(AND(MONTH($A707)=10,DAY($A707)&gt;=15),MONTH($A707)=11,AND(MONTH($A707)=12,DAY($A707)&lt;=7)),1,0)</f>
        <v>1</v>
      </c>
      <c r="F707" s="4" t="n">
        <f aca="false">IF(MONTH($A707)&lt;=3,1,0)</f>
        <v>0</v>
      </c>
      <c r="G707" s="4" t="str">
        <f aca="false" t="array" ref="G707:G707">_xlfn.TEXTJOIN(" | ",TRUE(),IF('FEMA Disasters'!$F$2:$F$1000=$A707,'FEMA Disasters'!$D$2:$D$1000&amp;" begin: ["&amp;'FEMA Disasters'!$B$2:$B$1000&amp;"] "&amp;'FEMA Disasters'!$C$2:$C$1000&amp;"-"&amp;'FEMA Disasters'!$A$2:$A$1000,""),IF('FEMA Disasters'!$G$2:$G$1000=$A707,'FEMA Disasters'!$D$2:$D$1000&amp;" ended: ["&amp;'FEMA Disasters'!$B$2:$B$1000&amp;"] "&amp;'FEMA Disasters'!$C$2:$C$1000&amp;"-"&amp;'FEMA Disasters'!$A$2:$A$1000,""),IF('FEMA Disasters'!$K$2:$K$1000=$A707,"Disaster SEP opens: "&amp;'FEMA Disasters'!$D$2:$D$1000&amp;" ["&amp;'FEMA Disasters'!$B$2:$B$1000&amp;"] "&amp;'FEMA Disasters'!$C$2:$C$1000&amp;"-"&amp;'FEMA Disasters'!$A$2:$A$1000,""),IF('FEMA Disasters'!$L$2:$L$1000=$A707,"Disaster SEP ended: "&amp;'FEMA Disasters'!$D$2:$D$1000&amp;" ["&amp;'FEMA Disasters'!$B$2:$B$1000&amp;"] "&amp;'FEMA Disasters'!$C$2:$C$1000&amp;"-"&amp;'FEMA Disasters'!$A$2:$A$1000,""))</f>
        <v>Winter Storm begin: [AK] DR-4904</v>
      </c>
      <c r="H707" s="4" t="n">
        <f aca="false">COUNTIF(Events!$A$2:$A$397,$A707)</f>
        <v>0</v>
      </c>
      <c r="I707" s="6" t="str">
        <f aca="false" t="array" ref="I707:I707">_xlfn.TEXTJOIN(" | ",TRUE(),IF(Events!$A$2:$A$397=$A707,Events!$E$2:$E$397&amp;IF(Events!$G$2:$G$397="National",""," ["&amp;Events!$G$2:$G$397&amp;"]"),""))</f>
        <v/>
      </c>
    </row>
    <row r="708" customFormat="false" ht="15" hidden="false" customHeight="true" outlineLevel="0" collapsed="false">
      <c r="A708" s="3" t="n">
        <v>45998</v>
      </c>
      <c r="B708" s="4" t="n">
        <f aca="false">YEAR($A708)</f>
        <v>2025</v>
      </c>
      <c r="C708" s="4" t="n">
        <f aca="false">MONTH($A708)</f>
        <v>12</v>
      </c>
      <c r="D708" s="4" t="str">
        <f aca="false">TEXT($A708,"ddd")</f>
        <v>Sun</v>
      </c>
      <c r="E708" s="4" t="n">
        <f aca="false">IF(OR(AND(MONTH($A708)=10,DAY($A708)&gt;=15),MONTH($A708)=11,AND(MONTH($A708)=12,DAY($A708)&lt;=7)),1,0)</f>
        <v>1</v>
      </c>
      <c r="F708" s="4" t="n">
        <f aca="false">IF(MONTH($A708)&lt;=3,1,0)</f>
        <v>0</v>
      </c>
      <c r="G708" s="4" t="str">
        <f aca="false" t="array" ref="G708:G708">_xlfn.TEXTJOIN(" | ",TRUE(),IF('FEMA Disasters'!$F$2:$F$1000=$A708,'FEMA Disasters'!$D$2:$D$1000&amp;" begin: ["&amp;'FEMA Disasters'!$B$2:$B$1000&amp;"] "&amp;'FEMA Disasters'!$C$2:$C$1000&amp;"-"&amp;'FEMA Disasters'!$A$2:$A$1000,""),IF('FEMA Disasters'!$G$2:$G$1000=$A708,'FEMA Disasters'!$D$2:$D$1000&amp;" ended: ["&amp;'FEMA Disasters'!$B$2:$B$1000&amp;"] "&amp;'FEMA Disasters'!$C$2:$C$1000&amp;"-"&amp;'FEMA Disasters'!$A$2:$A$1000,""),IF('FEMA Disasters'!$K$2:$K$1000=$A708,"Disaster SEP opens: "&amp;'FEMA Disasters'!$D$2:$D$1000&amp;" ["&amp;'FEMA Disasters'!$B$2:$B$1000&amp;"] "&amp;'FEMA Disasters'!$C$2:$C$1000&amp;"-"&amp;'FEMA Disasters'!$A$2:$A$1000,""),IF('FEMA Disasters'!$L$2:$L$1000=$A708,"Disaster SEP ended: "&amp;'FEMA Disasters'!$D$2:$D$1000&amp;" ["&amp;'FEMA Disasters'!$B$2:$B$1000&amp;"] "&amp;'FEMA Disasters'!$C$2:$C$1000&amp;"-"&amp;'FEMA Disasters'!$A$2:$A$1000,""))</f>
        <v/>
      </c>
      <c r="H708" s="4" t="n">
        <f aca="false">COUNTIF(Events!$A$2:$A$397,$A708)</f>
        <v>0</v>
      </c>
      <c r="I708" s="6" t="str">
        <f aca="false" t="array" ref="I708:I708">_xlfn.TEXTJOIN(" | ",TRUE(),IF(Events!$A$2:$A$397=$A708,Events!$E$2:$E$397&amp;IF(Events!$G$2:$G$397="National",""," ["&amp;Events!$G$2:$G$397&amp;"]"),""))</f>
        <v/>
      </c>
    </row>
    <row r="709" customFormat="false" ht="15" hidden="false" customHeight="true" outlineLevel="0" collapsed="false">
      <c r="A709" s="3" t="n">
        <v>45999</v>
      </c>
      <c r="B709" s="4" t="n">
        <f aca="false">YEAR($A709)</f>
        <v>2025</v>
      </c>
      <c r="C709" s="4" t="n">
        <f aca="false">MONTH($A709)</f>
        <v>12</v>
      </c>
      <c r="D709" s="4" t="str">
        <f aca="false">TEXT($A709,"ddd")</f>
        <v>Mon</v>
      </c>
      <c r="E709" s="4" t="n">
        <f aca="false">IF(OR(AND(MONTH($A709)=10,DAY($A709)&gt;=15),MONTH($A709)=11,AND(MONTH($A709)=12,DAY($A709)&lt;=7)),1,0)</f>
        <v>0</v>
      </c>
      <c r="F709" s="4" t="n">
        <f aca="false">IF(MONTH($A709)&lt;=3,1,0)</f>
        <v>0</v>
      </c>
      <c r="G709" s="4" t="str">
        <f aca="false" t="array" ref="G709:G709">_xlfn.TEXTJOIN(" | ",TRUE(),IF('FEMA Disasters'!$F$2:$F$1000=$A709,'FEMA Disasters'!$D$2:$D$1000&amp;" begin: ["&amp;'FEMA Disasters'!$B$2:$B$1000&amp;"] "&amp;'FEMA Disasters'!$C$2:$C$1000&amp;"-"&amp;'FEMA Disasters'!$A$2:$A$1000,""),IF('FEMA Disasters'!$G$2:$G$1000=$A709,'FEMA Disasters'!$D$2:$D$1000&amp;" ended: ["&amp;'FEMA Disasters'!$B$2:$B$1000&amp;"] "&amp;'FEMA Disasters'!$C$2:$C$1000&amp;"-"&amp;'FEMA Disasters'!$A$2:$A$1000,""),IF('FEMA Disasters'!$K$2:$K$1000=$A709,"Disaster SEP opens: "&amp;'FEMA Disasters'!$D$2:$D$1000&amp;" ["&amp;'FEMA Disasters'!$B$2:$B$1000&amp;"] "&amp;'FEMA Disasters'!$C$2:$C$1000&amp;"-"&amp;'FEMA Disasters'!$A$2:$A$1000,""),IF('FEMA Disasters'!$L$2:$L$1000=$A709,"Disaster SEP ended: "&amp;'FEMA Disasters'!$D$2:$D$1000&amp;" ["&amp;'FEMA Disasters'!$B$2:$B$1000&amp;"] "&amp;'FEMA Disasters'!$C$2:$C$1000&amp;"-"&amp;'FEMA Disasters'!$A$2:$A$1000,""))</f>
        <v/>
      </c>
      <c r="H709" s="4" t="n">
        <f aca="false">COUNTIF(Events!$A$2:$A$397,$A709)</f>
        <v>0</v>
      </c>
      <c r="I709" s="6" t="str">
        <f aca="false" t="array" ref="I709:I709">_xlfn.TEXTJOIN(" | ",TRUE(),IF(Events!$A$2:$A$397=$A709,Events!$E$2:$E$397&amp;IF(Events!$G$2:$G$397="National",""," ["&amp;Events!$G$2:$G$397&amp;"]"),""))</f>
        <v/>
      </c>
    </row>
    <row r="710" customFormat="false" ht="15" hidden="false" customHeight="true" outlineLevel="0" collapsed="false">
      <c r="A710" s="3" t="n">
        <v>46000</v>
      </c>
      <c r="B710" s="4" t="n">
        <f aca="false">YEAR($A710)</f>
        <v>2025</v>
      </c>
      <c r="C710" s="4" t="n">
        <f aca="false">MONTH($A710)</f>
        <v>12</v>
      </c>
      <c r="D710" s="4" t="str">
        <f aca="false">TEXT($A710,"ddd")</f>
        <v>Tue</v>
      </c>
      <c r="E710" s="4" t="n">
        <f aca="false">IF(OR(AND(MONTH($A710)=10,DAY($A710)&gt;=15),MONTH($A710)=11,AND(MONTH($A710)=12,DAY($A710)&lt;=7)),1,0)</f>
        <v>0</v>
      </c>
      <c r="F710" s="4" t="n">
        <f aca="false">IF(MONTH($A710)&lt;=3,1,0)</f>
        <v>0</v>
      </c>
      <c r="G710" s="4" t="str">
        <f aca="false" t="array" ref="G710:G710">_xlfn.TEXTJOIN(" | ",TRUE(),IF('FEMA Disasters'!$F$2:$F$1000=$A710,'FEMA Disasters'!$D$2:$D$1000&amp;" begin: ["&amp;'FEMA Disasters'!$B$2:$B$1000&amp;"] "&amp;'FEMA Disasters'!$C$2:$C$1000&amp;"-"&amp;'FEMA Disasters'!$A$2:$A$1000,""),IF('FEMA Disasters'!$G$2:$G$1000=$A710,'FEMA Disasters'!$D$2:$D$1000&amp;" ended: ["&amp;'FEMA Disasters'!$B$2:$B$1000&amp;"] "&amp;'FEMA Disasters'!$C$2:$C$1000&amp;"-"&amp;'FEMA Disasters'!$A$2:$A$1000,""),IF('FEMA Disasters'!$K$2:$K$1000=$A710,"Disaster SEP opens: "&amp;'FEMA Disasters'!$D$2:$D$1000&amp;" ["&amp;'FEMA Disasters'!$B$2:$B$1000&amp;"] "&amp;'FEMA Disasters'!$C$2:$C$1000&amp;"-"&amp;'FEMA Disasters'!$A$2:$A$1000,""),IF('FEMA Disasters'!$L$2:$L$1000=$A710,"Disaster SEP ended: "&amp;'FEMA Disasters'!$D$2:$D$1000&amp;" ["&amp;'FEMA Disasters'!$B$2:$B$1000&amp;"] "&amp;'FEMA Disasters'!$C$2:$C$1000&amp;"-"&amp;'FEMA Disasters'!$A$2:$A$1000,""))</f>
        <v>Flood begin: [WA] EM-3629 | Flood begin: [MT] DR-4901 | Winter Storm ended: [AK] DR-4904</v>
      </c>
      <c r="H710" s="4" t="n">
        <f aca="false">COUNTIF(Events!$A$2:$A$397,$A710)</f>
        <v>0</v>
      </c>
      <c r="I710" s="6" t="str">
        <f aca="false" t="array" ref="I710:I710">_xlfn.TEXTJOIN(" | ",TRUE(),IF(Events!$A$2:$A$397=$A710,Events!$E$2:$E$397&amp;IF(Events!$G$2:$G$397="National",""," ["&amp;Events!$G$2:$G$397&amp;"]"),""))</f>
        <v/>
      </c>
    </row>
    <row r="711" customFormat="false" ht="15" hidden="false" customHeight="true" outlineLevel="0" collapsed="false">
      <c r="A711" s="3" t="n">
        <v>46001</v>
      </c>
      <c r="B711" s="4" t="n">
        <f aca="false">YEAR($A711)</f>
        <v>2025</v>
      </c>
      <c r="C711" s="4" t="n">
        <f aca="false">MONTH($A711)</f>
        <v>12</v>
      </c>
      <c r="D711" s="4" t="str">
        <f aca="false">TEXT($A711,"ddd")</f>
        <v>Wed</v>
      </c>
      <c r="E711" s="4" t="n">
        <f aca="false">IF(OR(AND(MONTH($A711)=10,DAY($A711)&gt;=15),MONTH($A711)=11,AND(MONTH($A711)=12,DAY($A711)&lt;=7)),1,0)</f>
        <v>0</v>
      </c>
      <c r="F711" s="4" t="n">
        <f aca="false">IF(MONTH($A711)&lt;=3,1,0)</f>
        <v>0</v>
      </c>
      <c r="G711" s="4" t="str">
        <f aca="false" t="array" ref="G711:G711">_xlfn.TEXTJOIN(" | ",TRUE(),IF('FEMA Disasters'!$F$2:$F$1000=$A711,'FEMA Disasters'!$D$2:$D$1000&amp;" begin: ["&amp;'FEMA Disasters'!$B$2:$B$1000&amp;"] "&amp;'FEMA Disasters'!$C$2:$C$1000&amp;"-"&amp;'FEMA Disasters'!$A$2:$A$1000,""),IF('FEMA Disasters'!$G$2:$G$1000=$A711,'FEMA Disasters'!$D$2:$D$1000&amp;" ended: ["&amp;'FEMA Disasters'!$B$2:$B$1000&amp;"] "&amp;'FEMA Disasters'!$C$2:$C$1000&amp;"-"&amp;'FEMA Disasters'!$A$2:$A$1000,""),IF('FEMA Disasters'!$K$2:$K$1000=$A711,"Disaster SEP opens: "&amp;'FEMA Disasters'!$D$2:$D$1000&amp;" ["&amp;'FEMA Disasters'!$B$2:$B$1000&amp;"] "&amp;'FEMA Disasters'!$C$2:$C$1000&amp;"-"&amp;'FEMA Disasters'!$A$2:$A$1000,""),IF('FEMA Disasters'!$L$2:$L$1000=$A711,"Disaster SEP ended: "&amp;'FEMA Disasters'!$D$2:$D$1000&amp;" ["&amp;'FEMA Disasters'!$B$2:$B$1000&amp;"] "&amp;'FEMA Disasters'!$C$2:$C$1000&amp;"-"&amp;'FEMA Disasters'!$A$2:$A$1000,""))</f>
        <v>Flood begin: [MT] EM-3630</v>
      </c>
      <c r="H711" s="4" t="n">
        <f aca="false">COUNTIF(Events!$A$2:$A$397,$A711)</f>
        <v>0</v>
      </c>
      <c r="I711" s="6" t="str">
        <f aca="false" t="array" ref="I711:I711">_xlfn.TEXTJOIN(" | ",TRUE(),IF(Events!$A$2:$A$397=$A711,Events!$E$2:$E$397&amp;IF(Events!$G$2:$G$397="National",""," ["&amp;Events!$G$2:$G$397&amp;"]"),""))</f>
        <v/>
      </c>
    </row>
    <row r="712" customFormat="false" ht="15" hidden="false" customHeight="true" outlineLevel="0" collapsed="false">
      <c r="A712" s="3" t="n">
        <v>46002</v>
      </c>
      <c r="B712" s="4" t="n">
        <f aca="false">YEAR($A712)</f>
        <v>2025</v>
      </c>
      <c r="C712" s="4" t="n">
        <f aca="false">MONTH($A712)</f>
        <v>12</v>
      </c>
      <c r="D712" s="4" t="str">
        <f aca="false">TEXT($A712,"ddd")</f>
        <v>Thu</v>
      </c>
      <c r="E712" s="4" t="n">
        <f aca="false">IF(OR(AND(MONTH($A712)=10,DAY($A712)&gt;=15),MONTH($A712)=11,AND(MONTH($A712)=12,DAY($A712)&lt;=7)),1,0)</f>
        <v>0</v>
      </c>
      <c r="F712" s="4" t="n">
        <f aca="false">IF(MONTH($A712)&lt;=3,1,0)</f>
        <v>0</v>
      </c>
      <c r="G712" s="4" t="str">
        <f aca="false" t="array" ref="G712:G712">_xlfn.TEXTJOIN(" | ",TRUE(),IF('FEMA Disasters'!$F$2:$F$1000=$A712,'FEMA Disasters'!$D$2:$D$1000&amp;" begin: ["&amp;'FEMA Disasters'!$B$2:$B$1000&amp;"] "&amp;'FEMA Disasters'!$C$2:$C$1000&amp;"-"&amp;'FEMA Disasters'!$A$2:$A$1000,""),IF('FEMA Disasters'!$G$2:$G$1000=$A712,'FEMA Disasters'!$D$2:$D$1000&amp;" ended: ["&amp;'FEMA Disasters'!$B$2:$B$1000&amp;"] "&amp;'FEMA Disasters'!$C$2:$C$1000&amp;"-"&amp;'FEMA Disasters'!$A$2:$A$1000,""),IF('FEMA Disasters'!$K$2:$K$1000=$A712,"Disaster SEP opens: "&amp;'FEMA Disasters'!$D$2:$D$1000&amp;" ["&amp;'FEMA Disasters'!$B$2:$B$1000&amp;"] "&amp;'FEMA Disasters'!$C$2:$C$1000&amp;"-"&amp;'FEMA Disasters'!$A$2:$A$1000,""),IF('FEMA Disasters'!$L$2:$L$1000=$A712,"Disaster SEP ended: "&amp;'FEMA Disasters'!$D$2:$D$1000&amp;" ["&amp;'FEMA Disasters'!$B$2:$B$1000&amp;"] "&amp;'FEMA Disasters'!$C$2:$C$1000&amp;"-"&amp;'FEMA Disasters'!$A$2:$A$1000,""))</f>
        <v>Flood ended: [MT] DR-4901 | Flood ended: [MT] EM-3630</v>
      </c>
      <c r="H712" s="4" t="n">
        <f aca="false">COUNTIF(Events!$A$2:$A$397,$A712)</f>
        <v>0</v>
      </c>
      <c r="I712" s="6" t="str">
        <f aca="false" t="array" ref="I712:I712">_xlfn.TEXTJOIN(" | ",TRUE(),IF(Events!$A$2:$A$397=$A712,Events!$E$2:$E$397&amp;IF(Events!$G$2:$G$397="National",""," ["&amp;Events!$G$2:$G$397&amp;"]"),""))</f>
        <v/>
      </c>
    </row>
    <row r="713" customFormat="false" ht="15" hidden="false" customHeight="true" outlineLevel="0" collapsed="false">
      <c r="A713" s="3" t="n">
        <v>46003</v>
      </c>
      <c r="B713" s="4" t="n">
        <f aca="false">YEAR($A713)</f>
        <v>2025</v>
      </c>
      <c r="C713" s="4" t="n">
        <f aca="false">MONTH($A713)</f>
        <v>12</v>
      </c>
      <c r="D713" s="4" t="str">
        <f aca="false">TEXT($A713,"ddd")</f>
        <v>Fri</v>
      </c>
      <c r="E713" s="4" t="n">
        <f aca="false">IF(OR(AND(MONTH($A713)=10,DAY($A713)&gt;=15),MONTH($A713)=11,AND(MONTH($A713)=12,DAY($A713)&lt;=7)),1,0)</f>
        <v>0</v>
      </c>
      <c r="F713" s="4" t="n">
        <f aca="false">IF(MONTH($A713)&lt;=3,1,0)</f>
        <v>0</v>
      </c>
      <c r="G713" s="4" t="str">
        <f aca="false" t="array" ref="G713:G713">_xlfn.TEXTJOIN(" | ",TRUE(),IF('FEMA Disasters'!$F$2:$F$1000=$A713,'FEMA Disasters'!$D$2:$D$1000&amp;" begin: ["&amp;'FEMA Disasters'!$B$2:$B$1000&amp;"] "&amp;'FEMA Disasters'!$C$2:$C$1000&amp;"-"&amp;'FEMA Disasters'!$A$2:$A$1000,""),IF('FEMA Disasters'!$G$2:$G$1000=$A713,'FEMA Disasters'!$D$2:$D$1000&amp;" ended: ["&amp;'FEMA Disasters'!$B$2:$B$1000&amp;"] "&amp;'FEMA Disasters'!$C$2:$C$1000&amp;"-"&amp;'FEMA Disasters'!$A$2:$A$1000,""),IF('FEMA Disasters'!$K$2:$K$1000=$A713,"Disaster SEP opens: "&amp;'FEMA Disasters'!$D$2:$D$1000&amp;" ["&amp;'FEMA Disasters'!$B$2:$B$1000&amp;"] "&amp;'FEMA Disasters'!$C$2:$C$1000&amp;"-"&amp;'FEMA Disasters'!$A$2:$A$1000,""),IF('FEMA Disasters'!$L$2:$L$1000=$A713,"Disaster SEP ended: "&amp;'FEMA Disasters'!$D$2:$D$1000&amp;" ["&amp;'FEMA Disasters'!$B$2:$B$1000&amp;"] "&amp;'FEMA Disasters'!$C$2:$C$1000&amp;"-"&amp;'FEMA Disasters'!$A$2:$A$1000,""))</f>
        <v/>
      </c>
      <c r="H713" s="4" t="n">
        <f aca="false">COUNTIF(Events!$A$2:$A$397,$A713)</f>
        <v>0</v>
      </c>
      <c r="I713" s="6" t="str">
        <f aca="false" t="array" ref="I713:I713">_xlfn.TEXTJOIN(" | ",TRUE(),IF(Events!$A$2:$A$397=$A713,Events!$E$2:$E$397&amp;IF(Events!$G$2:$G$397="National",""," ["&amp;Events!$G$2:$G$397&amp;"]"),""))</f>
        <v/>
      </c>
    </row>
    <row r="714" customFormat="false" ht="15" hidden="false" customHeight="true" outlineLevel="0" collapsed="false">
      <c r="A714" s="3" t="n">
        <v>46004</v>
      </c>
      <c r="B714" s="4" t="n">
        <f aca="false">YEAR($A714)</f>
        <v>2025</v>
      </c>
      <c r="C714" s="4" t="n">
        <f aca="false">MONTH($A714)</f>
        <v>12</v>
      </c>
      <c r="D714" s="4" t="str">
        <f aca="false">TEXT($A714,"ddd")</f>
        <v>Sat</v>
      </c>
      <c r="E714" s="4" t="n">
        <f aca="false">IF(OR(AND(MONTH($A714)=10,DAY($A714)&gt;=15),MONTH($A714)=11,AND(MONTH($A714)=12,DAY($A714)&lt;=7)),1,0)</f>
        <v>0</v>
      </c>
      <c r="F714" s="4" t="n">
        <f aca="false">IF(MONTH($A714)&lt;=3,1,0)</f>
        <v>0</v>
      </c>
      <c r="G714" s="4" t="str">
        <f aca="false" t="array" ref="G714:G714">_xlfn.TEXTJOIN(" | ",TRUE(),IF('FEMA Disasters'!$F$2:$F$1000=$A714,'FEMA Disasters'!$D$2:$D$1000&amp;" begin: ["&amp;'FEMA Disasters'!$B$2:$B$1000&amp;"] "&amp;'FEMA Disasters'!$C$2:$C$1000&amp;"-"&amp;'FEMA Disasters'!$A$2:$A$1000,""),IF('FEMA Disasters'!$G$2:$G$1000=$A714,'FEMA Disasters'!$D$2:$D$1000&amp;" ended: ["&amp;'FEMA Disasters'!$B$2:$B$1000&amp;"] "&amp;'FEMA Disasters'!$C$2:$C$1000&amp;"-"&amp;'FEMA Disasters'!$A$2:$A$1000,""),IF('FEMA Disasters'!$K$2:$K$1000=$A714,"Disaster SEP opens: "&amp;'FEMA Disasters'!$D$2:$D$1000&amp;" ["&amp;'FEMA Disasters'!$B$2:$B$1000&amp;"] "&amp;'FEMA Disasters'!$C$2:$C$1000&amp;"-"&amp;'FEMA Disasters'!$A$2:$A$1000,""),IF('FEMA Disasters'!$L$2:$L$1000=$A714,"Disaster SEP ended: "&amp;'FEMA Disasters'!$D$2:$D$1000&amp;" ["&amp;'FEMA Disasters'!$B$2:$B$1000&amp;"] "&amp;'FEMA Disasters'!$C$2:$C$1000&amp;"-"&amp;'FEMA Disasters'!$A$2:$A$1000,""))</f>
        <v/>
      </c>
      <c r="H714" s="4" t="n">
        <f aca="false">COUNTIF(Events!$A$2:$A$397,$A714)</f>
        <v>0</v>
      </c>
      <c r="I714" s="6" t="str">
        <f aca="false" t="array" ref="I714:I714">_xlfn.TEXTJOIN(" | ",TRUE(),IF(Events!$A$2:$A$397=$A714,Events!$E$2:$E$397&amp;IF(Events!$G$2:$G$397="National",""," ["&amp;Events!$G$2:$G$397&amp;"]"),""))</f>
        <v/>
      </c>
    </row>
    <row r="715" customFormat="false" ht="15" hidden="false" customHeight="true" outlineLevel="0" collapsed="false">
      <c r="A715" s="3" t="n">
        <v>46005</v>
      </c>
      <c r="B715" s="4" t="n">
        <f aca="false">YEAR($A715)</f>
        <v>2025</v>
      </c>
      <c r="C715" s="4" t="n">
        <f aca="false">MONTH($A715)</f>
        <v>12</v>
      </c>
      <c r="D715" s="4" t="str">
        <f aca="false">TEXT($A715,"ddd")</f>
        <v>Sun</v>
      </c>
      <c r="E715" s="4" t="n">
        <f aca="false">IF(OR(AND(MONTH($A715)=10,DAY($A715)&gt;=15),MONTH($A715)=11,AND(MONTH($A715)=12,DAY($A715)&lt;=7)),1,0)</f>
        <v>0</v>
      </c>
      <c r="F715" s="4" t="n">
        <f aca="false">IF(MONTH($A715)&lt;=3,1,0)</f>
        <v>0</v>
      </c>
      <c r="G715" s="4" t="str">
        <f aca="false" t="array" ref="G715:G715">_xlfn.TEXTJOIN(" | ",TRUE(),IF('FEMA Disasters'!$F$2:$F$1000=$A715,'FEMA Disasters'!$D$2:$D$1000&amp;" begin: ["&amp;'FEMA Disasters'!$B$2:$B$1000&amp;"] "&amp;'FEMA Disasters'!$C$2:$C$1000&amp;"-"&amp;'FEMA Disasters'!$A$2:$A$1000,""),IF('FEMA Disasters'!$G$2:$G$1000=$A715,'FEMA Disasters'!$D$2:$D$1000&amp;" ended: ["&amp;'FEMA Disasters'!$B$2:$B$1000&amp;"] "&amp;'FEMA Disasters'!$C$2:$C$1000&amp;"-"&amp;'FEMA Disasters'!$A$2:$A$1000,""),IF('FEMA Disasters'!$K$2:$K$1000=$A715,"Disaster SEP opens: "&amp;'FEMA Disasters'!$D$2:$D$1000&amp;" ["&amp;'FEMA Disasters'!$B$2:$B$1000&amp;"] "&amp;'FEMA Disasters'!$C$2:$C$1000&amp;"-"&amp;'FEMA Disasters'!$A$2:$A$1000,""),IF('FEMA Disasters'!$L$2:$L$1000=$A715,"Disaster SEP ended: "&amp;'FEMA Disasters'!$D$2:$D$1000&amp;" ["&amp;'FEMA Disasters'!$B$2:$B$1000&amp;"] "&amp;'FEMA Disasters'!$C$2:$C$1000&amp;"-"&amp;'FEMA Disasters'!$A$2:$A$1000,""))</f>
        <v/>
      </c>
      <c r="H715" s="4" t="n">
        <f aca="false">COUNTIF(Events!$A$2:$A$397,$A715)</f>
        <v>0</v>
      </c>
      <c r="I715" s="6" t="str">
        <f aca="false" t="array" ref="I715:I715">_xlfn.TEXTJOIN(" | ",TRUE(),IF(Events!$A$2:$A$397=$A715,Events!$E$2:$E$397&amp;IF(Events!$G$2:$G$397="National",""," ["&amp;Events!$G$2:$G$397&amp;"]"),""))</f>
        <v/>
      </c>
    </row>
    <row r="716" customFormat="false" ht="15" hidden="false" customHeight="true" outlineLevel="0" collapsed="false">
      <c r="A716" s="3" t="n">
        <v>46006</v>
      </c>
      <c r="B716" s="4" t="n">
        <f aca="false">YEAR($A716)</f>
        <v>2025</v>
      </c>
      <c r="C716" s="4" t="n">
        <f aca="false">MONTH($A716)</f>
        <v>12</v>
      </c>
      <c r="D716" s="4" t="str">
        <f aca="false">TEXT($A716,"ddd")</f>
        <v>Mon</v>
      </c>
      <c r="E716" s="4" t="n">
        <f aca="false">IF(OR(AND(MONTH($A716)=10,DAY($A716)&gt;=15),MONTH($A716)=11,AND(MONTH($A716)=12,DAY($A716)&lt;=7)),1,0)</f>
        <v>0</v>
      </c>
      <c r="F716" s="4" t="n">
        <f aca="false">IF(MONTH($A716)&lt;=3,1,0)</f>
        <v>0</v>
      </c>
      <c r="G716" s="4" t="str">
        <f aca="false" t="array" ref="G716:G716">_xlfn.TEXTJOIN(" | ",TRUE(),IF('FEMA Disasters'!$F$2:$F$1000=$A716,'FEMA Disasters'!$D$2:$D$1000&amp;" begin: ["&amp;'FEMA Disasters'!$B$2:$B$1000&amp;"] "&amp;'FEMA Disasters'!$C$2:$C$1000&amp;"-"&amp;'FEMA Disasters'!$A$2:$A$1000,""),IF('FEMA Disasters'!$G$2:$G$1000=$A716,'FEMA Disasters'!$D$2:$D$1000&amp;" ended: ["&amp;'FEMA Disasters'!$B$2:$B$1000&amp;"] "&amp;'FEMA Disasters'!$C$2:$C$1000&amp;"-"&amp;'FEMA Disasters'!$A$2:$A$1000,""),IF('FEMA Disasters'!$K$2:$K$1000=$A716,"Disaster SEP opens: "&amp;'FEMA Disasters'!$D$2:$D$1000&amp;" ["&amp;'FEMA Disasters'!$B$2:$B$1000&amp;"] "&amp;'FEMA Disasters'!$C$2:$C$1000&amp;"-"&amp;'FEMA Disasters'!$A$2:$A$1000,""),IF('FEMA Disasters'!$L$2:$L$1000=$A716,"Disaster SEP ended: "&amp;'FEMA Disasters'!$D$2:$D$1000&amp;" ["&amp;'FEMA Disasters'!$B$2:$B$1000&amp;"] "&amp;'FEMA Disasters'!$C$2:$C$1000&amp;"-"&amp;'FEMA Disasters'!$A$2:$A$1000,""))</f>
        <v>Severe Storm begin: [OR] DR-4907</v>
      </c>
      <c r="H716" s="4" t="n">
        <f aca="false">COUNTIF(Events!$A$2:$A$397,$A716)</f>
        <v>0</v>
      </c>
      <c r="I716" s="6" t="str">
        <f aca="false" t="array" ref="I716:I716">_xlfn.TEXTJOIN(" | ",TRUE(),IF(Events!$A$2:$A$397=$A716,Events!$E$2:$E$397&amp;IF(Events!$G$2:$G$397="National",""," ["&amp;Events!$G$2:$G$397&amp;"]"),""))</f>
        <v/>
      </c>
    </row>
    <row r="717" customFormat="false" ht="15" hidden="false" customHeight="true" outlineLevel="0" collapsed="false">
      <c r="A717" s="3" t="n">
        <v>46007</v>
      </c>
      <c r="B717" s="4" t="n">
        <f aca="false">YEAR($A717)</f>
        <v>2025</v>
      </c>
      <c r="C717" s="4" t="n">
        <f aca="false">MONTH($A717)</f>
        <v>12</v>
      </c>
      <c r="D717" s="4" t="str">
        <f aca="false">TEXT($A717,"ddd")</f>
        <v>Tue</v>
      </c>
      <c r="E717" s="4" t="n">
        <f aca="false">IF(OR(AND(MONTH($A717)=10,DAY($A717)&gt;=15),MONTH($A717)=11,AND(MONTH($A717)=12,DAY($A717)&lt;=7)),1,0)</f>
        <v>0</v>
      </c>
      <c r="F717" s="4" t="n">
        <f aca="false">IF(MONTH($A717)&lt;=3,1,0)</f>
        <v>0</v>
      </c>
      <c r="G717" s="4" t="str">
        <f aca="false" t="array" ref="G717:G717">_xlfn.TEXTJOIN(" | ",TRUE(),IF('FEMA Disasters'!$F$2:$F$1000=$A717,'FEMA Disasters'!$D$2:$D$1000&amp;" begin: ["&amp;'FEMA Disasters'!$B$2:$B$1000&amp;"] "&amp;'FEMA Disasters'!$C$2:$C$1000&amp;"-"&amp;'FEMA Disasters'!$A$2:$A$1000,""),IF('FEMA Disasters'!$G$2:$G$1000=$A717,'FEMA Disasters'!$D$2:$D$1000&amp;" ended: ["&amp;'FEMA Disasters'!$B$2:$B$1000&amp;"] "&amp;'FEMA Disasters'!$C$2:$C$1000&amp;"-"&amp;'FEMA Disasters'!$A$2:$A$1000,""),IF('FEMA Disasters'!$K$2:$K$1000=$A717,"Disaster SEP opens: "&amp;'FEMA Disasters'!$D$2:$D$1000&amp;" ["&amp;'FEMA Disasters'!$B$2:$B$1000&amp;"] "&amp;'FEMA Disasters'!$C$2:$C$1000&amp;"-"&amp;'FEMA Disasters'!$A$2:$A$1000,""),IF('FEMA Disasters'!$L$2:$L$1000=$A717,"Disaster SEP ended: "&amp;'FEMA Disasters'!$D$2:$D$1000&amp;" ["&amp;'FEMA Disasters'!$B$2:$B$1000&amp;"] "&amp;'FEMA Disasters'!$C$2:$C$1000&amp;"-"&amp;'FEMA Disasters'!$A$2:$A$1000,""))</f>
        <v>Straight-Line Winds begin: [ID] DR-4905</v>
      </c>
      <c r="H717" s="4" t="n">
        <f aca="false">COUNTIF(Events!$A$2:$A$397,$A717)</f>
        <v>0</v>
      </c>
      <c r="I717" s="6" t="str">
        <f aca="false" t="array" ref="I717:I717">_xlfn.TEXTJOIN(" | ",TRUE(),IF(Events!$A$2:$A$397=$A717,Events!$E$2:$E$397&amp;IF(Events!$G$2:$G$397="National",""," ["&amp;Events!$G$2:$G$397&amp;"]"),""))</f>
        <v/>
      </c>
    </row>
    <row r="718" customFormat="false" ht="15" hidden="false" customHeight="true" outlineLevel="0" collapsed="false">
      <c r="A718" s="3" t="n">
        <v>46008</v>
      </c>
      <c r="B718" s="4" t="n">
        <f aca="false">YEAR($A718)</f>
        <v>2025</v>
      </c>
      <c r="C718" s="4" t="n">
        <f aca="false">MONTH($A718)</f>
        <v>12</v>
      </c>
      <c r="D718" s="4" t="str">
        <f aca="false">TEXT($A718,"ddd")</f>
        <v>Wed</v>
      </c>
      <c r="E718" s="4" t="n">
        <f aca="false">IF(OR(AND(MONTH($A718)=10,DAY($A718)&gt;=15),MONTH($A718)=11,AND(MONTH($A718)=12,DAY($A718)&lt;=7)),1,0)</f>
        <v>0</v>
      </c>
      <c r="F718" s="4" t="n">
        <f aca="false">IF(MONTH($A718)&lt;=3,1,0)</f>
        <v>0</v>
      </c>
      <c r="G718" s="4" t="str">
        <f aca="false" t="array" ref="G718:G718">_xlfn.TEXTJOIN(" | ",TRUE(),IF('FEMA Disasters'!$F$2:$F$1000=$A718,'FEMA Disasters'!$D$2:$D$1000&amp;" begin: ["&amp;'FEMA Disasters'!$B$2:$B$1000&amp;"] "&amp;'FEMA Disasters'!$C$2:$C$1000&amp;"-"&amp;'FEMA Disasters'!$A$2:$A$1000,""),IF('FEMA Disasters'!$G$2:$G$1000=$A718,'FEMA Disasters'!$D$2:$D$1000&amp;" ended: ["&amp;'FEMA Disasters'!$B$2:$B$1000&amp;"] "&amp;'FEMA Disasters'!$C$2:$C$1000&amp;"-"&amp;'FEMA Disasters'!$A$2:$A$1000,""),IF('FEMA Disasters'!$K$2:$K$1000=$A718,"Disaster SEP opens: "&amp;'FEMA Disasters'!$D$2:$D$1000&amp;" ["&amp;'FEMA Disasters'!$B$2:$B$1000&amp;"] "&amp;'FEMA Disasters'!$C$2:$C$1000&amp;"-"&amp;'FEMA Disasters'!$A$2:$A$1000,""),IF('FEMA Disasters'!$L$2:$L$1000=$A718,"Disaster SEP ended: "&amp;'FEMA Disasters'!$D$2:$D$1000&amp;" ["&amp;'FEMA Disasters'!$B$2:$B$1000&amp;"] "&amp;'FEMA Disasters'!$C$2:$C$1000&amp;"-"&amp;'FEMA Disasters'!$A$2:$A$1000,""))</f>
        <v>Straight-Line Winds begin: [MT] DR-4902 | Straight-Line Winds begin: [SD] DR-4903 | Winter Storm begin: [MT] DR-4914 | Straight-Line Winds begin: [MT] DR-4915</v>
      </c>
      <c r="H718" s="4" t="n">
        <f aca="false">COUNTIF(Events!$A$2:$A$397,$A718)</f>
        <v>0</v>
      </c>
      <c r="I718" s="6" t="str">
        <f aca="false" t="array" ref="I718:I718">_xlfn.TEXTJOIN(" | ",TRUE(),IF(Events!$A$2:$A$397=$A718,Events!$E$2:$E$397&amp;IF(Events!$G$2:$G$397="National",""," ["&amp;Events!$G$2:$G$397&amp;"]"),""))</f>
        <v/>
      </c>
    </row>
    <row r="719" customFormat="false" ht="15" hidden="false" customHeight="true" outlineLevel="0" collapsed="false">
      <c r="A719" s="3" t="n">
        <v>46009</v>
      </c>
      <c r="B719" s="4" t="n">
        <f aca="false">YEAR($A719)</f>
        <v>2025</v>
      </c>
      <c r="C719" s="4" t="n">
        <f aca="false">MONTH($A719)</f>
        <v>12</v>
      </c>
      <c r="D719" s="4" t="str">
        <f aca="false">TEXT($A719,"ddd")</f>
        <v>Thu</v>
      </c>
      <c r="E719" s="4" t="n">
        <f aca="false">IF(OR(AND(MONTH($A719)=10,DAY($A719)&gt;=15),MONTH($A719)=11,AND(MONTH($A719)=12,DAY($A719)&lt;=7)),1,0)</f>
        <v>0</v>
      </c>
      <c r="F719" s="4" t="n">
        <f aca="false">IF(MONTH($A719)&lt;=3,1,0)</f>
        <v>0</v>
      </c>
      <c r="G719" s="4" t="str">
        <f aca="false" t="array" ref="G719:G719">_xlfn.TEXTJOIN(" | ",TRUE(),IF('FEMA Disasters'!$F$2:$F$1000=$A719,'FEMA Disasters'!$D$2:$D$1000&amp;" begin: ["&amp;'FEMA Disasters'!$B$2:$B$1000&amp;"] "&amp;'FEMA Disasters'!$C$2:$C$1000&amp;"-"&amp;'FEMA Disasters'!$A$2:$A$1000,""),IF('FEMA Disasters'!$G$2:$G$1000=$A719,'FEMA Disasters'!$D$2:$D$1000&amp;" ended: ["&amp;'FEMA Disasters'!$B$2:$B$1000&amp;"] "&amp;'FEMA Disasters'!$C$2:$C$1000&amp;"-"&amp;'FEMA Disasters'!$A$2:$A$1000,""),IF('FEMA Disasters'!$K$2:$K$1000=$A719,"Disaster SEP opens: "&amp;'FEMA Disasters'!$D$2:$D$1000&amp;" ["&amp;'FEMA Disasters'!$B$2:$B$1000&amp;"] "&amp;'FEMA Disasters'!$C$2:$C$1000&amp;"-"&amp;'FEMA Disasters'!$A$2:$A$1000,""),IF('FEMA Disasters'!$L$2:$L$1000=$A719,"Disaster SEP ended: "&amp;'FEMA Disasters'!$D$2:$D$1000&amp;" ["&amp;'FEMA Disasters'!$B$2:$B$1000&amp;"] "&amp;'FEMA Disasters'!$C$2:$C$1000&amp;"-"&amp;'FEMA Disasters'!$A$2:$A$1000,""))</f>
        <v>Straight-Line Winds ended: [ID] DR-4905 | Straight-Line Winds ended: [MT] DR-4902 | Straight-Line Winds ended: [SD] DR-4903 | Winter Storm ended: [MT] DR-4914</v>
      </c>
      <c r="H719" s="4" t="n">
        <f aca="false">COUNTIF(Events!$A$2:$A$397,$A719)</f>
        <v>0</v>
      </c>
      <c r="I719" s="6" t="str">
        <f aca="false" t="array" ref="I719:I719">_xlfn.TEXTJOIN(" | ",TRUE(),IF(Events!$A$2:$A$397=$A719,Events!$E$2:$E$397&amp;IF(Events!$G$2:$G$397="National",""," ["&amp;Events!$G$2:$G$397&amp;"]"),""))</f>
        <v/>
      </c>
    </row>
    <row r="720" customFormat="false" ht="15" hidden="false" customHeight="true" outlineLevel="0" collapsed="false">
      <c r="A720" s="3" t="n">
        <v>46010</v>
      </c>
      <c r="B720" s="4" t="n">
        <f aca="false">YEAR($A720)</f>
        <v>2025</v>
      </c>
      <c r="C720" s="4" t="n">
        <f aca="false">MONTH($A720)</f>
        <v>12</v>
      </c>
      <c r="D720" s="4" t="str">
        <f aca="false">TEXT($A720,"ddd")</f>
        <v>Fri</v>
      </c>
      <c r="E720" s="4" t="n">
        <f aca="false">IF(OR(AND(MONTH($A720)=10,DAY($A720)&gt;=15),MONTH($A720)=11,AND(MONTH($A720)=12,DAY($A720)&lt;=7)),1,0)</f>
        <v>0</v>
      </c>
      <c r="F720" s="4" t="n">
        <f aca="false">IF(MONTH($A720)&lt;=3,1,0)</f>
        <v>0</v>
      </c>
      <c r="G720" s="4" t="str">
        <f aca="false" t="array" ref="G720:G720">_xlfn.TEXTJOIN(" | ",TRUE(),IF('FEMA Disasters'!$F$2:$F$1000=$A720,'FEMA Disasters'!$D$2:$D$1000&amp;" begin: ["&amp;'FEMA Disasters'!$B$2:$B$1000&amp;"] "&amp;'FEMA Disasters'!$C$2:$C$1000&amp;"-"&amp;'FEMA Disasters'!$A$2:$A$1000,""),IF('FEMA Disasters'!$G$2:$G$1000=$A720,'FEMA Disasters'!$D$2:$D$1000&amp;" ended: ["&amp;'FEMA Disasters'!$B$2:$B$1000&amp;"] "&amp;'FEMA Disasters'!$C$2:$C$1000&amp;"-"&amp;'FEMA Disasters'!$A$2:$A$1000,""),IF('FEMA Disasters'!$K$2:$K$1000=$A720,"Disaster SEP opens: "&amp;'FEMA Disasters'!$D$2:$D$1000&amp;" ["&amp;'FEMA Disasters'!$B$2:$B$1000&amp;"] "&amp;'FEMA Disasters'!$C$2:$C$1000&amp;"-"&amp;'FEMA Disasters'!$A$2:$A$1000,""),IF('FEMA Disasters'!$L$2:$L$1000=$A720,"Disaster SEP ended: "&amp;'FEMA Disasters'!$D$2:$D$1000&amp;" ["&amp;'FEMA Disasters'!$B$2:$B$1000&amp;"] "&amp;'FEMA Disasters'!$C$2:$C$1000&amp;"-"&amp;'FEMA Disasters'!$A$2:$A$1000,""))</f>
        <v>Fire begin: [OK] FM-5615 | Flood ended: [WA] DR-4906 | Flood ended: [WA] EM-3629 | Straight-Line Winds ended: [MT] DR-4915</v>
      </c>
      <c r="H720" s="4" t="n">
        <f aca="false">COUNTIF(Events!$A$2:$A$397,$A720)</f>
        <v>0</v>
      </c>
      <c r="I720" s="6" t="str">
        <f aca="false" t="array" ref="I720:I720">_xlfn.TEXTJOIN(" | ",TRUE(),IF(Events!$A$2:$A$397=$A720,Events!$E$2:$E$397&amp;IF(Events!$G$2:$G$397="National",""," ["&amp;Events!$G$2:$G$397&amp;"]"),""))</f>
        <v/>
      </c>
    </row>
    <row r="721" customFormat="false" ht="15" hidden="false" customHeight="true" outlineLevel="0" collapsed="false">
      <c r="A721" s="3" t="n">
        <v>46011</v>
      </c>
      <c r="B721" s="4" t="n">
        <f aca="false">YEAR($A721)</f>
        <v>2025</v>
      </c>
      <c r="C721" s="4" t="n">
        <f aca="false">MONTH($A721)</f>
        <v>12</v>
      </c>
      <c r="D721" s="4" t="str">
        <f aca="false">TEXT($A721,"ddd")</f>
        <v>Sat</v>
      </c>
      <c r="E721" s="4" t="n">
        <f aca="false">IF(OR(AND(MONTH($A721)=10,DAY($A721)&gt;=15),MONTH($A721)=11,AND(MONTH($A721)=12,DAY($A721)&lt;=7)),1,0)</f>
        <v>0</v>
      </c>
      <c r="F721" s="4" t="n">
        <f aca="false">IF(MONTH($A721)&lt;=3,1,0)</f>
        <v>0</v>
      </c>
      <c r="G721" s="4" t="str">
        <f aca="false" t="array" ref="G721:G721">_xlfn.TEXTJOIN(" | ",TRUE(),IF('FEMA Disasters'!$F$2:$F$1000=$A721,'FEMA Disasters'!$D$2:$D$1000&amp;" begin: ["&amp;'FEMA Disasters'!$B$2:$B$1000&amp;"] "&amp;'FEMA Disasters'!$C$2:$C$1000&amp;"-"&amp;'FEMA Disasters'!$A$2:$A$1000,""),IF('FEMA Disasters'!$G$2:$G$1000=$A721,'FEMA Disasters'!$D$2:$D$1000&amp;" ended: ["&amp;'FEMA Disasters'!$B$2:$B$1000&amp;"] "&amp;'FEMA Disasters'!$C$2:$C$1000&amp;"-"&amp;'FEMA Disasters'!$A$2:$A$1000,""),IF('FEMA Disasters'!$K$2:$K$1000=$A721,"Disaster SEP opens: "&amp;'FEMA Disasters'!$D$2:$D$1000&amp;" ["&amp;'FEMA Disasters'!$B$2:$B$1000&amp;"] "&amp;'FEMA Disasters'!$C$2:$C$1000&amp;"-"&amp;'FEMA Disasters'!$A$2:$A$1000,""),IF('FEMA Disasters'!$L$2:$L$1000=$A721,"Disaster SEP ended: "&amp;'FEMA Disasters'!$D$2:$D$1000&amp;" ["&amp;'FEMA Disasters'!$B$2:$B$1000&amp;"] "&amp;'FEMA Disasters'!$C$2:$C$1000&amp;"-"&amp;'FEMA Disasters'!$A$2:$A$1000,""))</f>
        <v/>
      </c>
      <c r="H721" s="4" t="n">
        <f aca="false">COUNTIF(Events!$A$2:$A$397,$A721)</f>
        <v>0</v>
      </c>
      <c r="I721" s="6" t="str">
        <f aca="false" t="array" ref="I721:I721">_xlfn.TEXTJOIN(" | ",TRUE(),IF(Events!$A$2:$A$397=$A721,Events!$E$2:$E$397&amp;IF(Events!$G$2:$G$397="National",""," ["&amp;Events!$G$2:$G$397&amp;"]"),""))</f>
        <v/>
      </c>
    </row>
    <row r="722" customFormat="false" ht="15" hidden="false" customHeight="true" outlineLevel="0" collapsed="false">
      <c r="A722" s="3" t="n">
        <v>46012</v>
      </c>
      <c r="B722" s="4" t="n">
        <f aca="false">YEAR($A722)</f>
        <v>2025</v>
      </c>
      <c r="C722" s="4" t="n">
        <f aca="false">MONTH($A722)</f>
        <v>12</v>
      </c>
      <c r="D722" s="4" t="str">
        <f aca="false">TEXT($A722,"ddd")</f>
        <v>Sun</v>
      </c>
      <c r="E722" s="4" t="n">
        <f aca="false">IF(OR(AND(MONTH($A722)=10,DAY($A722)&gt;=15),MONTH($A722)=11,AND(MONTH($A722)=12,DAY($A722)&lt;=7)),1,0)</f>
        <v>0</v>
      </c>
      <c r="F722" s="4" t="n">
        <f aca="false">IF(MONTH($A722)&lt;=3,1,0)</f>
        <v>0</v>
      </c>
      <c r="G722" s="4" t="str">
        <f aca="false" t="array" ref="G722:G722">_xlfn.TEXTJOIN(" | ",TRUE(),IF('FEMA Disasters'!$F$2:$F$1000=$A722,'FEMA Disasters'!$D$2:$D$1000&amp;" begin: ["&amp;'FEMA Disasters'!$B$2:$B$1000&amp;"] "&amp;'FEMA Disasters'!$C$2:$C$1000&amp;"-"&amp;'FEMA Disasters'!$A$2:$A$1000,""),IF('FEMA Disasters'!$G$2:$G$1000=$A722,'FEMA Disasters'!$D$2:$D$1000&amp;" ended: ["&amp;'FEMA Disasters'!$B$2:$B$1000&amp;"] "&amp;'FEMA Disasters'!$C$2:$C$1000&amp;"-"&amp;'FEMA Disasters'!$A$2:$A$1000,""),IF('FEMA Disasters'!$K$2:$K$1000=$A722,"Disaster SEP opens: "&amp;'FEMA Disasters'!$D$2:$D$1000&amp;" ["&amp;'FEMA Disasters'!$B$2:$B$1000&amp;"] "&amp;'FEMA Disasters'!$C$2:$C$1000&amp;"-"&amp;'FEMA Disasters'!$A$2:$A$1000,""),IF('FEMA Disasters'!$L$2:$L$1000=$A722,"Disaster SEP ended: "&amp;'FEMA Disasters'!$D$2:$D$1000&amp;" ["&amp;'FEMA Disasters'!$B$2:$B$1000&amp;"] "&amp;'FEMA Disasters'!$C$2:$C$1000&amp;"-"&amp;'FEMA Disasters'!$A$2:$A$1000,""))</f>
        <v>Severe Storm ended: [OR] DR-4907</v>
      </c>
      <c r="H722" s="4" t="n">
        <f aca="false">COUNTIF(Events!$A$2:$A$397,$A722)</f>
        <v>0</v>
      </c>
      <c r="I722" s="6" t="str">
        <f aca="false" t="array" ref="I722:I722">_xlfn.TEXTJOIN(" | ",TRUE(),IF(Events!$A$2:$A$397=$A722,Events!$E$2:$E$397&amp;IF(Events!$G$2:$G$397="National",""," ["&amp;Events!$G$2:$G$397&amp;"]"),""))</f>
        <v/>
      </c>
    </row>
    <row r="723" customFormat="false" ht="15" hidden="false" customHeight="true" outlineLevel="0" collapsed="false">
      <c r="A723" s="3" t="n">
        <v>46013</v>
      </c>
      <c r="B723" s="4" t="n">
        <f aca="false">YEAR($A723)</f>
        <v>2025</v>
      </c>
      <c r="C723" s="4" t="n">
        <f aca="false">MONTH($A723)</f>
        <v>12</v>
      </c>
      <c r="D723" s="4" t="str">
        <f aca="false">TEXT($A723,"ddd")</f>
        <v>Mon</v>
      </c>
      <c r="E723" s="4" t="n">
        <f aca="false">IF(OR(AND(MONTH($A723)=10,DAY($A723)&gt;=15),MONTH($A723)=11,AND(MONTH($A723)=12,DAY($A723)&lt;=7)),1,0)</f>
        <v>0</v>
      </c>
      <c r="F723" s="4" t="n">
        <f aca="false">IF(MONTH($A723)&lt;=3,1,0)</f>
        <v>0</v>
      </c>
      <c r="G723" s="4" t="str">
        <f aca="false" t="array" ref="G723:G723">_xlfn.TEXTJOIN(" | ",TRUE(),IF('FEMA Disasters'!$F$2:$F$1000=$A723,'FEMA Disasters'!$D$2:$D$1000&amp;" begin: ["&amp;'FEMA Disasters'!$B$2:$B$1000&amp;"] "&amp;'FEMA Disasters'!$C$2:$C$1000&amp;"-"&amp;'FEMA Disasters'!$A$2:$A$1000,""),IF('FEMA Disasters'!$G$2:$G$1000=$A723,'FEMA Disasters'!$D$2:$D$1000&amp;" ended: ["&amp;'FEMA Disasters'!$B$2:$B$1000&amp;"] "&amp;'FEMA Disasters'!$C$2:$C$1000&amp;"-"&amp;'FEMA Disasters'!$A$2:$A$1000,""),IF('FEMA Disasters'!$K$2:$K$1000=$A723,"Disaster SEP opens: "&amp;'FEMA Disasters'!$D$2:$D$1000&amp;" ["&amp;'FEMA Disasters'!$B$2:$B$1000&amp;"] "&amp;'FEMA Disasters'!$C$2:$C$1000&amp;"-"&amp;'FEMA Disasters'!$A$2:$A$1000,""),IF('FEMA Disasters'!$L$2:$L$1000=$A723,"Disaster SEP ended: "&amp;'FEMA Disasters'!$D$2:$D$1000&amp;" ["&amp;'FEMA Disasters'!$B$2:$B$1000&amp;"] "&amp;'FEMA Disasters'!$C$2:$C$1000&amp;"-"&amp;'FEMA Disasters'!$A$2:$A$1000,""))</f>
        <v/>
      </c>
      <c r="H723" s="4" t="n">
        <f aca="false">COUNTIF(Events!$A$2:$A$397,$A723)</f>
        <v>0</v>
      </c>
      <c r="I723" s="6" t="str">
        <f aca="false" t="array" ref="I723:I723">_xlfn.TEXTJOIN(" | ",TRUE(),IF(Events!$A$2:$A$397=$A723,Events!$E$2:$E$397&amp;IF(Events!$G$2:$G$397="National",""," ["&amp;Events!$G$2:$G$397&amp;"]"),""))</f>
        <v/>
      </c>
    </row>
    <row r="724" customFormat="false" ht="15" hidden="false" customHeight="true" outlineLevel="0" collapsed="false">
      <c r="A724" s="3" t="n">
        <v>46014</v>
      </c>
      <c r="B724" s="4" t="n">
        <f aca="false">YEAR($A724)</f>
        <v>2025</v>
      </c>
      <c r="C724" s="4" t="n">
        <f aca="false">MONTH($A724)</f>
        <v>12</v>
      </c>
      <c r="D724" s="4" t="str">
        <f aca="false">TEXT($A724,"ddd")</f>
        <v>Tue</v>
      </c>
      <c r="E724" s="4" t="n">
        <f aca="false">IF(OR(AND(MONTH($A724)=10,DAY($A724)&gt;=15),MONTH($A724)=11,AND(MONTH($A724)=12,DAY($A724)&lt;=7)),1,0)</f>
        <v>0</v>
      </c>
      <c r="F724" s="4" t="n">
        <f aca="false">IF(MONTH($A724)&lt;=3,1,0)</f>
        <v>0</v>
      </c>
      <c r="G724" s="4" t="str">
        <f aca="false" t="array" ref="G724:G724">_xlfn.TEXTJOIN(" | ",TRUE(),IF('FEMA Disasters'!$F$2:$F$1000=$A724,'FEMA Disasters'!$D$2:$D$1000&amp;" begin: ["&amp;'FEMA Disasters'!$B$2:$B$1000&amp;"] "&amp;'FEMA Disasters'!$C$2:$C$1000&amp;"-"&amp;'FEMA Disasters'!$A$2:$A$1000,""),IF('FEMA Disasters'!$G$2:$G$1000=$A724,'FEMA Disasters'!$D$2:$D$1000&amp;" ended: ["&amp;'FEMA Disasters'!$B$2:$B$1000&amp;"] "&amp;'FEMA Disasters'!$C$2:$C$1000&amp;"-"&amp;'FEMA Disasters'!$A$2:$A$1000,""),IF('FEMA Disasters'!$K$2:$K$1000=$A724,"Disaster SEP opens: "&amp;'FEMA Disasters'!$D$2:$D$1000&amp;" ["&amp;'FEMA Disasters'!$B$2:$B$1000&amp;"] "&amp;'FEMA Disasters'!$C$2:$C$1000&amp;"-"&amp;'FEMA Disasters'!$A$2:$A$1000,""),IF('FEMA Disasters'!$L$2:$L$1000=$A724,"Disaster SEP ended: "&amp;'FEMA Disasters'!$D$2:$D$1000&amp;" ["&amp;'FEMA Disasters'!$B$2:$B$1000&amp;"] "&amp;'FEMA Disasters'!$C$2:$C$1000&amp;"-"&amp;'FEMA Disasters'!$A$2:$A$1000,""))</f>
        <v/>
      </c>
      <c r="H724" s="4" t="n">
        <f aca="false">COUNTIF(Events!$A$2:$A$397,$A724)</f>
        <v>0</v>
      </c>
      <c r="I724" s="6" t="str">
        <f aca="false" t="array" ref="I724:I724">_xlfn.TEXTJOIN(" | ",TRUE(),IF(Events!$A$2:$A$397=$A724,Events!$E$2:$E$397&amp;IF(Events!$G$2:$G$397="National",""," ["&amp;Events!$G$2:$G$397&amp;"]"),""))</f>
        <v/>
      </c>
    </row>
    <row r="725" customFormat="false" ht="15" hidden="false" customHeight="true" outlineLevel="0" collapsed="false">
      <c r="A725" s="3" t="n">
        <v>46015</v>
      </c>
      <c r="B725" s="4" t="n">
        <f aca="false">YEAR($A725)</f>
        <v>2025</v>
      </c>
      <c r="C725" s="4" t="n">
        <f aca="false">MONTH($A725)</f>
        <v>12</v>
      </c>
      <c r="D725" s="4" t="str">
        <f aca="false">TEXT($A725,"ddd")</f>
        <v>Wed</v>
      </c>
      <c r="E725" s="4" t="n">
        <f aca="false">IF(OR(AND(MONTH($A725)=10,DAY($A725)&gt;=15),MONTH($A725)=11,AND(MONTH($A725)=12,DAY($A725)&lt;=7)),1,0)</f>
        <v>0</v>
      </c>
      <c r="F725" s="4" t="n">
        <f aca="false">IF(MONTH($A725)&lt;=3,1,0)</f>
        <v>0</v>
      </c>
      <c r="G725" s="4" t="str">
        <f aca="false" t="array" ref="G725:G725">_xlfn.TEXTJOIN(" | ",TRUE(),IF('FEMA Disasters'!$F$2:$F$1000=$A725,'FEMA Disasters'!$D$2:$D$1000&amp;" begin: ["&amp;'FEMA Disasters'!$B$2:$B$1000&amp;"] "&amp;'FEMA Disasters'!$C$2:$C$1000&amp;"-"&amp;'FEMA Disasters'!$A$2:$A$1000,""),IF('FEMA Disasters'!$G$2:$G$1000=$A725,'FEMA Disasters'!$D$2:$D$1000&amp;" ended: ["&amp;'FEMA Disasters'!$B$2:$B$1000&amp;"] "&amp;'FEMA Disasters'!$C$2:$C$1000&amp;"-"&amp;'FEMA Disasters'!$A$2:$A$1000,""),IF('FEMA Disasters'!$K$2:$K$1000=$A725,"Disaster SEP opens: "&amp;'FEMA Disasters'!$D$2:$D$1000&amp;" ["&amp;'FEMA Disasters'!$B$2:$B$1000&amp;"] "&amp;'FEMA Disasters'!$C$2:$C$1000&amp;"-"&amp;'FEMA Disasters'!$A$2:$A$1000,""),IF('FEMA Disasters'!$L$2:$L$1000=$A725,"Disaster SEP ended: "&amp;'FEMA Disasters'!$D$2:$D$1000&amp;" ["&amp;'FEMA Disasters'!$B$2:$B$1000&amp;"] "&amp;'FEMA Disasters'!$C$2:$C$1000&amp;"-"&amp;'FEMA Disasters'!$A$2:$A$1000,""))</f>
        <v/>
      </c>
      <c r="H725" s="4" t="n">
        <f aca="false">COUNTIF(Events!$A$2:$A$397,$A725)</f>
        <v>0</v>
      </c>
      <c r="I725" s="6" t="str">
        <f aca="false" t="array" ref="I725:I725">_xlfn.TEXTJOIN(" | ",TRUE(),IF(Events!$A$2:$A$397=$A725,Events!$E$2:$E$397&amp;IF(Events!$G$2:$G$397="National",""," ["&amp;Events!$G$2:$G$397&amp;"]"),""))</f>
        <v/>
      </c>
    </row>
    <row r="726" customFormat="false" ht="15" hidden="false" customHeight="true" outlineLevel="0" collapsed="false">
      <c r="A726" s="3" t="n">
        <v>46016</v>
      </c>
      <c r="B726" s="4" t="n">
        <f aca="false">YEAR($A726)</f>
        <v>2025</v>
      </c>
      <c r="C726" s="4" t="n">
        <f aca="false">MONTH($A726)</f>
        <v>12</v>
      </c>
      <c r="D726" s="4" t="str">
        <f aca="false">TEXT($A726,"ddd")</f>
        <v>Thu</v>
      </c>
      <c r="E726" s="4" t="n">
        <f aca="false">IF(OR(AND(MONTH($A726)=10,DAY($A726)&gt;=15),MONTH($A726)=11,AND(MONTH($A726)=12,DAY($A726)&lt;=7)),1,0)</f>
        <v>0</v>
      </c>
      <c r="F726" s="4" t="n">
        <f aca="false">IF(MONTH($A726)&lt;=3,1,0)</f>
        <v>0</v>
      </c>
      <c r="G726" s="4" t="str">
        <f aca="false" t="array" ref="G726:G726">_xlfn.TEXTJOIN(" | ",TRUE(),IF('FEMA Disasters'!$F$2:$F$1000=$A726,'FEMA Disasters'!$D$2:$D$1000&amp;" begin: ["&amp;'FEMA Disasters'!$B$2:$B$1000&amp;"] "&amp;'FEMA Disasters'!$C$2:$C$1000&amp;"-"&amp;'FEMA Disasters'!$A$2:$A$1000,""),IF('FEMA Disasters'!$G$2:$G$1000=$A726,'FEMA Disasters'!$D$2:$D$1000&amp;" ended: ["&amp;'FEMA Disasters'!$B$2:$B$1000&amp;"] "&amp;'FEMA Disasters'!$C$2:$C$1000&amp;"-"&amp;'FEMA Disasters'!$A$2:$A$1000,""),IF('FEMA Disasters'!$K$2:$K$1000=$A726,"Disaster SEP opens: "&amp;'FEMA Disasters'!$D$2:$D$1000&amp;" ["&amp;'FEMA Disasters'!$B$2:$B$1000&amp;"] "&amp;'FEMA Disasters'!$C$2:$C$1000&amp;"-"&amp;'FEMA Disasters'!$A$2:$A$1000,""),IF('FEMA Disasters'!$L$2:$L$1000=$A726,"Disaster SEP ended: "&amp;'FEMA Disasters'!$D$2:$D$1000&amp;" ["&amp;'FEMA Disasters'!$B$2:$B$1000&amp;"] "&amp;'FEMA Disasters'!$C$2:$C$1000&amp;"-"&amp;'FEMA Disasters'!$A$2:$A$1000,""))</f>
        <v/>
      </c>
      <c r="H726" s="4" t="n">
        <f aca="false">COUNTIF(Events!$A$2:$A$397,$A726)</f>
        <v>0</v>
      </c>
      <c r="I726" s="6" t="str">
        <f aca="false" t="array" ref="I726:I726">_xlfn.TEXTJOIN(" | ",TRUE(),IF(Events!$A$2:$A$397=$A726,Events!$E$2:$E$397&amp;IF(Events!$G$2:$G$397="National",""," ["&amp;Events!$G$2:$G$397&amp;"]"),""))</f>
        <v/>
      </c>
    </row>
    <row r="727" customFormat="false" ht="15" hidden="false" customHeight="true" outlineLevel="0" collapsed="false">
      <c r="A727" s="3" t="n">
        <v>46017</v>
      </c>
      <c r="B727" s="4" t="n">
        <f aca="false">YEAR($A727)</f>
        <v>2025</v>
      </c>
      <c r="C727" s="4" t="n">
        <f aca="false">MONTH($A727)</f>
        <v>12</v>
      </c>
      <c r="D727" s="4" t="str">
        <f aca="false">TEXT($A727,"ddd")</f>
        <v>Fri</v>
      </c>
      <c r="E727" s="4" t="n">
        <f aca="false">IF(OR(AND(MONTH($A727)=10,DAY($A727)&gt;=15),MONTH($A727)=11,AND(MONTH($A727)=12,DAY($A727)&lt;=7)),1,0)</f>
        <v>0</v>
      </c>
      <c r="F727" s="4" t="n">
        <f aca="false">IF(MONTH($A727)&lt;=3,1,0)</f>
        <v>0</v>
      </c>
      <c r="G727" s="4" t="str">
        <f aca="false" t="array" ref="G727:G727">_xlfn.TEXTJOIN(" | ",TRUE(),IF('FEMA Disasters'!$F$2:$F$1000=$A727,'FEMA Disasters'!$D$2:$D$1000&amp;" begin: ["&amp;'FEMA Disasters'!$B$2:$B$1000&amp;"] "&amp;'FEMA Disasters'!$C$2:$C$1000&amp;"-"&amp;'FEMA Disasters'!$A$2:$A$1000,""),IF('FEMA Disasters'!$G$2:$G$1000=$A727,'FEMA Disasters'!$D$2:$D$1000&amp;" ended: ["&amp;'FEMA Disasters'!$B$2:$B$1000&amp;"] "&amp;'FEMA Disasters'!$C$2:$C$1000&amp;"-"&amp;'FEMA Disasters'!$A$2:$A$1000,""),IF('FEMA Disasters'!$K$2:$K$1000=$A727,"Disaster SEP opens: "&amp;'FEMA Disasters'!$D$2:$D$1000&amp;" ["&amp;'FEMA Disasters'!$B$2:$B$1000&amp;"] "&amp;'FEMA Disasters'!$C$2:$C$1000&amp;"-"&amp;'FEMA Disasters'!$A$2:$A$1000,""),IF('FEMA Disasters'!$L$2:$L$1000=$A727,"Disaster SEP ended: "&amp;'FEMA Disasters'!$D$2:$D$1000&amp;" ["&amp;'FEMA Disasters'!$B$2:$B$1000&amp;"] "&amp;'FEMA Disasters'!$C$2:$C$1000&amp;"-"&amp;'FEMA Disasters'!$A$2:$A$1000,""))</f>
        <v/>
      </c>
      <c r="H727" s="4" t="n">
        <f aca="false">COUNTIF(Events!$A$2:$A$397,$A727)</f>
        <v>0</v>
      </c>
      <c r="I727" s="6" t="str">
        <f aca="false" t="array" ref="I727:I727">_xlfn.TEXTJOIN(" | ",TRUE(),IF(Events!$A$2:$A$397=$A727,Events!$E$2:$E$397&amp;IF(Events!$G$2:$G$397="National",""," ["&amp;Events!$G$2:$G$397&amp;"]"),""))</f>
        <v/>
      </c>
    </row>
    <row r="728" customFormat="false" ht="15" hidden="false" customHeight="true" outlineLevel="0" collapsed="false">
      <c r="A728" s="3" t="n">
        <v>46018</v>
      </c>
      <c r="B728" s="4" t="n">
        <f aca="false">YEAR($A728)</f>
        <v>2025</v>
      </c>
      <c r="C728" s="4" t="n">
        <f aca="false">MONTH($A728)</f>
        <v>12</v>
      </c>
      <c r="D728" s="4" t="str">
        <f aca="false">TEXT($A728,"ddd")</f>
        <v>Sat</v>
      </c>
      <c r="E728" s="4" t="n">
        <f aca="false">IF(OR(AND(MONTH($A728)=10,DAY($A728)&gt;=15),MONTH($A728)=11,AND(MONTH($A728)=12,DAY($A728)&lt;=7)),1,0)</f>
        <v>0</v>
      </c>
      <c r="F728" s="4" t="n">
        <f aca="false">IF(MONTH($A728)&lt;=3,1,0)</f>
        <v>0</v>
      </c>
      <c r="G728" s="4" t="str">
        <f aca="false" t="array" ref="G728:G728">_xlfn.TEXTJOIN(" | ",TRUE(),IF('FEMA Disasters'!$F$2:$F$1000=$A728,'FEMA Disasters'!$D$2:$D$1000&amp;" begin: ["&amp;'FEMA Disasters'!$B$2:$B$1000&amp;"] "&amp;'FEMA Disasters'!$C$2:$C$1000&amp;"-"&amp;'FEMA Disasters'!$A$2:$A$1000,""),IF('FEMA Disasters'!$G$2:$G$1000=$A728,'FEMA Disasters'!$D$2:$D$1000&amp;" ended: ["&amp;'FEMA Disasters'!$B$2:$B$1000&amp;"] "&amp;'FEMA Disasters'!$C$2:$C$1000&amp;"-"&amp;'FEMA Disasters'!$A$2:$A$1000,""),IF('FEMA Disasters'!$K$2:$K$1000=$A728,"Disaster SEP opens: "&amp;'FEMA Disasters'!$D$2:$D$1000&amp;" ["&amp;'FEMA Disasters'!$B$2:$B$1000&amp;"] "&amp;'FEMA Disasters'!$C$2:$C$1000&amp;"-"&amp;'FEMA Disasters'!$A$2:$A$1000,""),IF('FEMA Disasters'!$L$2:$L$1000=$A728,"Disaster SEP ended: "&amp;'FEMA Disasters'!$D$2:$D$1000&amp;" ["&amp;'FEMA Disasters'!$B$2:$B$1000&amp;"] "&amp;'FEMA Disasters'!$C$2:$C$1000&amp;"-"&amp;'FEMA Disasters'!$A$2:$A$1000,""))</f>
        <v/>
      </c>
      <c r="H728" s="4" t="n">
        <f aca="false">COUNTIF(Events!$A$2:$A$397,$A728)</f>
        <v>0</v>
      </c>
      <c r="I728" s="6" t="str">
        <f aca="false" t="array" ref="I728:I728">_xlfn.TEXTJOIN(" | ",TRUE(),IF(Events!$A$2:$A$397=$A728,Events!$E$2:$E$397&amp;IF(Events!$G$2:$G$397="National",""," ["&amp;Events!$G$2:$G$397&amp;"]"),""))</f>
        <v/>
      </c>
    </row>
    <row r="729" customFormat="false" ht="15" hidden="false" customHeight="true" outlineLevel="0" collapsed="false">
      <c r="A729" s="3" t="n">
        <v>46019</v>
      </c>
      <c r="B729" s="4" t="n">
        <f aca="false">YEAR($A729)</f>
        <v>2025</v>
      </c>
      <c r="C729" s="4" t="n">
        <f aca="false">MONTH($A729)</f>
        <v>12</v>
      </c>
      <c r="D729" s="4" t="str">
        <f aca="false">TEXT($A729,"ddd")</f>
        <v>Sun</v>
      </c>
      <c r="E729" s="4" t="n">
        <f aca="false">IF(OR(AND(MONTH($A729)=10,DAY($A729)&gt;=15),MONTH($A729)=11,AND(MONTH($A729)=12,DAY($A729)&lt;=7)),1,0)</f>
        <v>0</v>
      </c>
      <c r="F729" s="4" t="n">
        <f aca="false">IF(MONTH($A729)&lt;=3,1,0)</f>
        <v>0</v>
      </c>
      <c r="G729" s="4" t="str">
        <f aca="false" t="array" ref="G729:G729">_xlfn.TEXTJOIN(" | ",TRUE(),IF('FEMA Disasters'!$F$2:$F$1000=$A729,'FEMA Disasters'!$D$2:$D$1000&amp;" begin: ["&amp;'FEMA Disasters'!$B$2:$B$1000&amp;"] "&amp;'FEMA Disasters'!$C$2:$C$1000&amp;"-"&amp;'FEMA Disasters'!$A$2:$A$1000,""),IF('FEMA Disasters'!$G$2:$G$1000=$A729,'FEMA Disasters'!$D$2:$D$1000&amp;" ended: ["&amp;'FEMA Disasters'!$B$2:$B$1000&amp;"] "&amp;'FEMA Disasters'!$C$2:$C$1000&amp;"-"&amp;'FEMA Disasters'!$A$2:$A$1000,""),IF('FEMA Disasters'!$K$2:$K$1000=$A729,"Disaster SEP opens: "&amp;'FEMA Disasters'!$D$2:$D$1000&amp;" ["&amp;'FEMA Disasters'!$B$2:$B$1000&amp;"] "&amp;'FEMA Disasters'!$C$2:$C$1000&amp;"-"&amp;'FEMA Disasters'!$A$2:$A$1000,""),IF('FEMA Disasters'!$L$2:$L$1000=$A729,"Disaster SEP ended: "&amp;'FEMA Disasters'!$D$2:$D$1000&amp;" ["&amp;'FEMA Disasters'!$B$2:$B$1000&amp;"] "&amp;'FEMA Disasters'!$C$2:$C$1000&amp;"-"&amp;'FEMA Disasters'!$A$2:$A$1000,""))</f>
        <v/>
      </c>
      <c r="H729" s="4" t="n">
        <f aca="false">COUNTIF(Events!$A$2:$A$397,$A729)</f>
        <v>0</v>
      </c>
      <c r="I729" s="6" t="str">
        <f aca="false" t="array" ref="I729:I729">_xlfn.TEXTJOIN(" | ",TRUE(),IF(Events!$A$2:$A$397=$A729,Events!$E$2:$E$397&amp;IF(Events!$G$2:$G$397="National",""," ["&amp;Events!$G$2:$G$397&amp;"]"),""))</f>
        <v/>
      </c>
    </row>
    <row r="730" customFormat="false" ht="15" hidden="false" customHeight="true" outlineLevel="0" collapsed="false">
      <c r="A730" s="3" t="n">
        <v>46020</v>
      </c>
      <c r="B730" s="4" t="n">
        <f aca="false">YEAR($A730)</f>
        <v>2025</v>
      </c>
      <c r="C730" s="4" t="n">
        <f aca="false">MONTH($A730)</f>
        <v>12</v>
      </c>
      <c r="D730" s="4" t="str">
        <f aca="false">TEXT($A730,"ddd")</f>
        <v>Mon</v>
      </c>
      <c r="E730" s="4" t="n">
        <f aca="false">IF(OR(AND(MONTH($A730)=10,DAY($A730)&gt;=15),MONTH($A730)=11,AND(MONTH($A730)=12,DAY($A730)&lt;=7)),1,0)</f>
        <v>0</v>
      </c>
      <c r="F730" s="4" t="n">
        <f aca="false">IF(MONTH($A730)&lt;=3,1,0)</f>
        <v>0</v>
      </c>
      <c r="G730" s="4" t="str">
        <f aca="false" t="array" ref="G730:G730">_xlfn.TEXTJOIN(" | ",TRUE(),IF('FEMA Disasters'!$F$2:$F$1000=$A730,'FEMA Disasters'!$D$2:$D$1000&amp;" begin: ["&amp;'FEMA Disasters'!$B$2:$B$1000&amp;"] "&amp;'FEMA Disasters'!$C$2:$C$1000&amp;"-"&amp;'FEMA Disasters'!$A$2:$A$1000,""),IF('FEMA Disasters'!$G$2:$G$1000=$A730,'FEMA Disasters'!$D$2:$D$1000&amp;" ended: ["&amp;'FEMA Disasters'!$B$2:$B$1000&amp;"] "&amp;'FEMA Disasters'!$C$2:$C$1000&amp;"-"&amp;'FEMA Disasters'!$A$2:$A$1000,""),IF('FEMA Disasters'!$K$2:$K$1000=$A730,"Disaster SEP opens: "&amp;'FEMA Disasters'!$D$2:$D$1000&amp;" ["&amp;'FEMA Disasters'!$B$2:$B$1000&amp;"] "&amp;'FEMA Disasters'!$C$2:$C$1000&amp;"-"&amp;'FEMA Disasters'!$A$2:$A$1000,""),IF('FEMA Disasters'!$L$2:$L$1000=$A730,"Disaster SEP ended: "&amp;'FEMA Disasters'!$D$2:$D$1000&amp;" ["&amp;'FEMA Disasters'!$B$2:$B$1000&amp;"] "&amp;'FEMA Disasters'!$C$2:$C$1000&amp;"-"&amp;'FEMA Disasters'!$A$2:$A$1000,""))</f>
        <v/>
      </c>
      <c r="H730" s="4" t="n">
        <f aca="false">COUNTIF(Events!$A$2:$A$397,$A730)</f>
        <v>0</v>
      </c>
      <c r="I730" s="6" t="str">
        <f aca="false" t="array" ref="I730:I730">_xlfn.TEXTJOIN(" | ",TRUE(),IF(Events!$A$2:$A$397=$A730,Events!$E$2:$E$397&amp;IF(Events!$G$2:$G$397="National",""," ["&amp;Events!$G$2:$G$397&amp;"]"),""))</f>
        <v/>
      </c>
    </row>
    <row r="731" customFormat="false" ht="15" hidden="false" customHeight="true" outlineLevel="0" collapsed="false">
      <c r="A731" s="3" t="n">
        <v>46021</v>
      </c>
      <c r="B731" s="4" t="n">
        <f aca="false">YEAR($A731)</f>
        <v>2025</v>
      </c>
      <c r="C731" s="4" t="n">
        <f aca="false">MONTH($A731)</f>
        <v>12</v>
      </c>
      <c r="D731" s="4" t="str">
        <f aca="false">TEXT($A731,"ddd")</f>
        <v>Tue</v>
      </c>
      <c r="E731" s="4" t="n">
        <f aca="false">IF(OR(AND(MONTH($A731)=10,DAY($A731)&gt;=15),MONTH($A731)=11,AND(MONTH($A731)=12,DAY($A731)&lt;=7)),1,0)</f>
        <v>0</v>
      </c>
      <c r="F731" s="4" t="n">
        <f aca="false">IF(MONTH($A731)&lt;=3,1,0)</f>
        <v>0</v>
      </c>
      <c r="G731" s="4" t="str">
        <f aca="false" t="array" ref="G731:G731">_xlfn.TEXTJOIN(" | ",TRUE(),IF('FEMA Disasters'!$F$2:$F$1000=$A731,'FEMA Disasters'!$D$2:$D$1000&amp;" begin: ["&amp;'FEMA Disasters'!$B$2:$B$1000&amp;"] "&amp;'FEMA Disasters'!$C$2:$C$1000&amp;"-"&amp;'FEMA Disasters'!$A$2:$A$1000,""),IF('FEMA Disasters'!$G$2:$G$1000=$A731,'FEMA Disasters'!$D$2:$D$1000&amp;" ended: ["&amp;'FEMA Disasters'!$B$2:$B$1000&amp;"] "&amp;'FEMA Disasters'!$C$2:$C$1000&amp;"-"&amp;'FEMA Disasters'!$A$2:$A$1000,""),IF('FEMA Disasters'!$K$2:$K$1000=$A731,"Disaster SEP opens: "&amp;'FEMA Disasters'!$D$2:$D$1000&amp;" ["&amp;'FEMA Disasters'!$B$2:$B$1000&amp;"] "&amp;'FEMA Disasters'!$C$2:$C$1000&amp;"-"&amp;'FEMA Disasters'!$A$2:$A$1000,""),IF('FEMA Disasters'!$L$2:$L$1000=$A731,"Disaster SEP ended: "&amp;'FEMA Disasters'!$D$2:$D$1000&amp;" ["&amp;'FEMA Disasters'!$B$2:$B$1000&amp;"] "&amp;'FEMA Disasters'!$C$2:$C$1000&amp;"-"&amp;'FEMA Disasters'!$A$2:$A$1000,""))</f>
        <v>Fire ended: [OK] FM-5615</v>
      </c>
      <c r="H731" s="4" t="n">
        <f aca="false">COUNTIF(Events!$A$2:$A$397,$A731)</f>
        <v>0</v>
      </c>
      <c r="I731" s="6" t="str">
        <f aca="false" t="array" ref="I731:I731">_xlfn.TEXTJOIN(" | ",TRUE(),IF(Events!$A$2:$A$397=$A731,Events!$E$2:$E$397&amp;IF(Events!$G$2:$G$397="National",""," ["&amp;Events!$G$2:$G$397&amp;"]"),""))</f>
        <v/>
      </c>
    </row>
    <row r="732" customFormat="false" ht="15" hidden="false" customHeight="true" outlineLevel="0" collapsed="false">
      <c r="A732" s="3" t="n">
        <v>46022</v>
      </c>
      <c r="B732" s="4" t="n">
        <f aca="false">YEAR($A732)</f>
        <v>2025</v>
      </c>
      <c r="C732" s="4" t="n">
        <f aca="false">MONTH($A732)</f>
        <v>12</v>
      </c>
      <c r="D732" s="4" t="str">
        <f aca="false">TEXT($A732,"ddd")</f>
        <v>Wed</v>
      </c>
      <c r="E732" s="4" t="n">
        <f aca="false">IF(OR(AND(MONTH($A732)=10,DAY($A732)&gt;=15),MONTH($A732)=11,AND(MONTH($A732)=12,DAY($A732)&lt;=7)),1,0)</f>
        <v>0</v>
      </c>
      <c r="F732" s="4" t="n">
        <f aca="false">IF(MONTH($A732)&lt;=3,1,0)</f>
        <v>0</v>
      </c>
      <c r="G732" s="4" t="str">
        <f aca="false" t="array" ref="G732:G732">_xlfn.TEXTJOIN(" | ",TRUE(),IF('FEMA Disasters'!$F$2:$F$1000=$A732,'FEMA Disasters'!$D$2:$D$1000&amp;" begin: ["&amp;'FEMA Disasters'!$B$2:$B$1000&amp;"] "&amp;'FEMA Disasters'!$C$2:$C$1000&amp;"-"&amp;'FEMA Disasters'!$A$2:$A$1000,""),IF('FEMA Disasters'!$G$2:$G$1000=$A732,'FEMA Disasters'!$D$2:$D$1000&amp;" ended: ["&amp;'FEMA Disasters'!$B$2:$B$1000&amp;"] "&amp;'FEMA Disasters'!$C$2:$C$1000&amp;"-"&amp;'FEMA Disasters'!$A$2:$A$1000,""),IF('FEMA Disasters'!$K$2:$K$1000=$A732,"Disaster SEP opens: "&amp;'FEMA Disasters'!$D$2:$D$1000&amp;" ["&amp;'FEMA Disasters'!$B$2:$B$1000&amp;"] "&amp;'FEMA Disasters'!$C$2:$C$1000&amp;"-"&amp;'FEMA Disasters'!$A$2:$A$1000,""),IF('FEMA Disasters'!$L$2:$L$1000=$A732,"Disaster SEP ended: "&amp;'FEMA Disasters'!$D$2:$D$1000&amp;" ["&amp;'FEMA Disasters'!$B$2:$B$1000&amp;"] "&amp;'FEMA Disasters'!$C$2:$C$1000&amp;"-"&amp;'FEMA Disasters'!$A$2:$A$1000,""))</f>
        <v>Disaster SEP opens: Fire [WA] FM-5614 | Disaster SEP opens: Flood [AK] DR-4893 | Disaster SEP opens: Flood [AK] DR-4912 | Disaster SEP opens: Severe Storm [AZ] DR-4911 | Disaster SEP ended: Flood [NM] EM-3628 | Disaster SEP ended: Flood [NM] DR-4886 | Disaster SEP ended: Fire [UT] FM-5598 | Disaster SEP ended: Fire [UT] FM-5600 | Disaster SEP ended: Fire [WA] FM-5601 | Disaster SEP ended: Fire [NV] FM-5602 | Disaster SEP ended: Severe Storm [ND] DR-4895 | Disaster SEP ended: Severe Storm [NE] DR-4896 | Disaster SEP ended: Flood [WI] DR-4892 | Disaster SEP ended: Fire [HI] FM-5609</v>
      </c>
      <c r="H732" s="4" t="n">
        <f aca="false">COUNTIF(Events!$A$2:$A$397,$A732)</f>
        <v>0</v>
      </c>
      <c r="I732" s="6" t="str">
        <f aca="false" t="array" ref="I732:I732">_xlfn.TEXTJOIN(" | ",TRUE(),IF(Events!$A$2:$A$397=$A732,Events!$E$2:$E$397&amp;IF(Events!$G$2:$G$397="National",""," ["&amp;Events!$G$2:$G$397&amp;"]"),""))</f>
        <v/>
      </c>
    </row>
    <row r="733" customFormat="false" ht="15" hidden="false" customHeight="true" outlineLevel="0" collapsed="false">
      <c r="A733" s="3" t="n">
        <v>46023</v>
      </c>
      <c r="B733" s="4" t="n">
        <f aca="false">YEAR($A733)</f>
        <v>2026</v>
      </c>
      <c r="C733" s="4" t="n">
        <f aca="false">MONTH($A733)</f>
        <v>1</v>
      </c>
      <c r="D733" s="4" t="str">
        <f aca="false">TEXT($A733,"ddd")</f>
        <v>Thu</v>
      </c>
      <c r="E733" s="4" t="n">
        <f aca="false">IF(OR(AND(MONTH($A733)=10,DAY($A733)&gt;=15),MONTH($A733)=11,AND(MONTH($A733)=12,DAY($A733)&lt;=7)),1,0)</f>
        <v>0</v>
      </c>
      <c r="F733" s="4" t="n">
        <f aca="false">IF(MONTH($A733)&lt;=3,1,0)</f>
        <v>1</v>
      </c>
      <c r="G733" s="4" t="str">
        <f aca="false" t="array" ref="G733:G733">_xlfn.TEXTJOIN(" | ",TRUE(),IF('FEMA Disasters'!$F$2:$F$1000=$A733,'FEMA Disasters'!$D$2:$D$1000&amp;" begin: ["&amp;'FEMA Disasters'!$B$2:$B$1000&amp;"] "&amp;'FEMA Disasters'!$C$2:$C$1000&amp;"-"&amp;'FEMA Disasters'!$A$2:$A$1000,""),IF('FEMA Disasters'!$G$2:$G$1000=$A733,'FEMA Disasters'!$D$2:$D$1000&amp;" ended: ["&amp;'FEMA Disasters'!$B$2:$B$1000&amp;"] "&amp;'FEMA Disasters'!$C$2:$C$1000&amp;"-"&amp;'FEMA Disasters'!$A$2:$A$1000,""),IF('FEMA Disasters'!$K$2:$K$1000=$A733,"Disaster SEP opens: "&amp;'FEMA Disasters'!$D$2:$D$1000&amp;" ["&amp;'FEMA Disasters'!$B$2:$B$1000&amp;"] "&amp;'FEMA Disasters'!$C$2:$C$1000&amp;"-"&amp;'FEMA Disasters'!$A$2:$A$1000,""),IF('FEMA Disasters'!$L$2:$L$1000=$A733,"Disaster SEP ended: "&amp;'FEMA Disasters'!$D$2:$D$1000&amp;" ["&amp;'FEMA Disasters'!$B$2:$B$1000&amp;"] "&amp;'FEMA Disasters'!$C$2:$C$1000&amp;"-"&amp;'FEMA Disasters'!$A$2:$A$1000,""))</f>
        <v/>
      </c>
      <c r="H733" s="4" t="n">
        <f aca="false">COUNTIF(Events!$A$2:$A$397,$A733)</f>
        <v>6</v>
      </c>
      <c r="I733" s="6" t="str">
        <f aca="false" t="array" ref="I733:I733">_xlfn.TEXTJOIN(" | ",TRUE(),IF(Events!$A$2:$A$397=$A733,Events!$E$2:$E$397&amp;IF(Events!$G$2:$G$397="National",""," ["&amp;Events!$G$2:$G$397&amp;"]"),""))</f>
        <v>Medicare Drug Price Negotiation: negotiated prices (MFPs) for first 10 selected drugs take effect; Part D OOP cap indexed to $2,100; D-SNP look-alike threshold drops to 60%; D-SNP PPO out-of-network cost-sharing limits begin; CY2026 Final Rule provisions apply to coverage || C-SNP: 60% look-alike threshold further squeezes dual-heavy conventional plans; C-SNPs remain exempt - continued migration pressure. | CalAIM statewide EAE D-SNP launch: all Medi-Cal managed care plans must operate exclusively aligned D-SNPs (1.7M+ dual eligibles); new enrollment into non-aligned D-SNPs closed under state law - only Medi-Medi plans and SCAN FIDE-SNP accept new members || C-SNP: same steering mechanism as 10/15/2025 AEP row, now at full statewide scale (1.7M+ duals). [CA] | Indiana Medigap birthday rule takes effect (HB 1226, enacted April 2025): window from ~1 month before to ~1 month after birthday to switch to any insurer's version of the current same-letter policy, no underwriting [IN] | Delaware Medigap birthday rule takes effect (SB 71, signed 9/3/2025): annual SEP from 30 days before birthday to at least 30 days after; switch to any same-or-lesser Medigap plan from any carrier, no underwriting; insurers must notify policyholders 30-60 days before their birthday; law also strengthens MA-to-Medigap transition rights [DE] | Illinois birthday-rule expansion takes effect (SB 56 / P.A. 103-0747, enacted 8/2/2024): during the 45-day post-birthday window (ages 65-75), enrollees may purchase an equal-or-lesser Medigap policy from the same issuer OR any authorized affiliate - previously same-issuer only [IL] | Rhode Island Medigap community rating mandate takes effect (SB 610): issuers may no longer use gender, attained-age, or issue-age as rating factors - restructures Medigap premium schedules statewide [RI]</v>
      </c>
    </row>
    <row r="734" customFormat="false" ht="15" hidden="false" customHeight="true" outlineLevel="0" collapsed="false">
      <c r="A734" s="3" t="n">
        <v>46024</v>
      </c>
      <c r="B734" s="4" t="n">
        <f aca="false">YEAR($A734)</f>
        <v>2026</v>
      </c>
      <c r="C734" s="4" t="n">
        <f aca="false">MONTH($A734)</f>
        <v>1</v>
      </c>
      <c r="D734" s="4" t="str">
        <f aca="false">TEXT($A734,"ddd")</f>
        <v>Fri</v>
      </c>
      <c r="E734" s="4" t="n">
        <f aca="false">IF(OR(AND(MONTH($A734)=10,DAY($A734)&gt;=15),MONTH($A734)=11,AND(MONTH($A734)=12,DAY($A734)&lt;=7)),1,0)</f>
        <v>0</v>
      </c>
      <c r="F734" s="4" t="n">
        <f aca="false">IF(MONTH($A734)&lt;=3,1,0)</f>
        <v>1</v>
      </c>
      <c r="G734" s="4" t="str">
        <f aca="false" t="array" ref="G734:G734">_xlfn.TEXTJOIN(" | ",TRUE(),IF('FEMA Disasters'!$F$2:$F$1000=$A734,'FEMA Disasters'!$D$2:$D$1000&amp;" begin: ["&amp;'FEMA Disasters'!$B$2:$B$1000&amp;"] "&amp;'FEMA Disasters'!$C$2:$C$1000&amp;"-"&amp;'FEMA Disasters'!$A$2:$A$1000,""),IF('FEMA Disasters'!$G$2:$G$1000=$A734,'FEMA Disasters'!$D$2:$D$1000&amp;" ended: ["&amp;'FEMA Disasters'!$B$2:$B$1000&amp;"] "&amp;'FEMA Disasters'!$C$2:$C$1000&amp;"-"&amp;'FEMA Disasters'!$A$2:$A$1000,""),IF('FEMA Disasters'!$K$2:$K$1000=$A734,"Disaster SEP opens: "&amp;'FEMA Disasters'!$D$2:$D$1000&amp;" ["&amp;'FEMA Disasters'!$B$2:$B$1000&amp;"] "&amp;'FEMA Disasters'!$C$2:$C$1000&amp;"-"&amp;'FEMA Disasters'!$A$2:$A$1000,""),IF('FEMA Disasters'!$L$2:$L$1000=$A734,"Disaster SEP ended: "&amp;'FEMA Disasters'!$D$2:$D$1000&amp;" ["&amp;'FEMA Disasters'!$B$2:$B$1000&amp;"] "&amp;'FEMA Disasters'!$C$2:$C$1000&amp;"-"&amp;'FEMA Disasters'!$A$2:$A$1000,""))</f>
        <v/>
      </c>
      <c r="H734" s="4" t="n">
        <f aca="false">COUNTIF(Events!$A$2:$A$397,$A734)</f>
        <v>0</v>
      </c>
      <c r="I734" s="6" t="str">
        <f aca="false" t="array" ref="I734:I734">_xlfn.TEXTJOIN(" | ",TRUE(),IF(Events!$A$2:$A$397=$A734,Events!$E$2:$E$397&amp;IF(Events!$G$2:$G$397="National",""," ["&amp;Events!$G$2:$G$397&amp;"]"),""))</f>
        <v/>
      </c>
    </row>
    <row r="735" customFormat="false" ht="15" hidden="false" customHeight="true" outlineLevel="0" collapsed="false">
      <c r="A735" s="3" t="n">
        <v>46025</v>
      </c>
      <c r="B735" s="4" t="n">
        <f aca="false">YEAR($A735)</f>
        <v>2026</v>
      </c>
      <c r="C735" s="4" t="n">
        <f aca="false">MONTH($A735)</f>
        <v>1</v>
      </c>
      <c r="D735" s="4" t="str">
        <f aca="false">TEXT($A735,"ddd")</f>
        <v>Sat</v>
      </c>
      <c r="E735" s="4" t="n">
        <f aca="false">IF(OR(AND(MONTH($A735)=10,DAY($A735)&gt;=15),MONTH($A735)=11,AND(MONTH($A735)=12,DAY($A735)&lt;=7)),1,0)</f>
        <v>0</v>
      </c>
      <c r="F735" s="4" t="n">
        <f aca="false">IF(MONTH($A735)&lt;=3,1,0)</f>
        <v>1</v>
      </c>
      <c r="G735" s="4" t="str">
        <f aca="false" t="array" ref="G735:G735">_xlfn.TEXTJOIN(" | ",TRUE(),IF('FEMA Disasters'!$F$2:$F$1000=$A735,'FEMA Disasters'!$D$2:$D$1000&amp;" begin: ["&amp;'FEMA Disasters'!$B$2:$B$1000&amp;"] "&amp;'FEMA Disasters'!$C$2:$C$1000&amp;"-"&amp;'FEMA Disasters'!$A$2:$A$1000,""),IF('FEMA Disasters'!$G$2:$G$1000=$A735,'FEMA Disasters'!$D$2:$D$1000&amp;" ended: ["&amp;'FEMA Disasters'!$B$2:$B$1000&amp;"] "&amp;'FEMA Disasters'!$C$2:$C$1000&amp;"-"&amp;'FEMA Disasters'!$A$2:$A$1000,""),IF('FEMA Disasters'!$K$2:$K$1000=$A735,"Disaster SEP opens: "&amp;'FEMA Disasters'!$D$2:$D$1000&amp;" ["&amp;'FEMA Disasters'!$B$2:$B$1000&amp;"] "&amp;'FEMA Disasters'!$C$2:$C$1000&amp;"-"&amp;'FEMA Disasters'!$A$2:$A$1000,""),IF('FEMA Disasters'!$L$2:$L$1000=$A735,"Disaster SEP ended: "&amp;'FEMA Disasters'!$D$2:$D$1000&amp;" ["&amp;'FEMA Disasters'!$B$2:$B$1000&amp;"] "&amp;'FEMA Disasters'!$C$2:$C$1000&amp;"-"&amp;'FEMA Disasters'!$A$2:$A$1000,""))</f>
        <v/>
      </c>
      <c r="H735" s="4" t="n">
        <f aca="false">COUNTIF(Events!$A$2:$A$397,$A735)</f>
        <v>0</v>
      </c>
      <c r="I735" s="6" t="str">
        <f aca="false" t="array" ref="I735:I735">_xlfn.TEXTJOIN(" | ",TRUE(),IF(Events!$A$2:$A$397=$A735,Events!$E$2:$E$397&amp;IF(Events!$G$2:$G$397="National",""," ["&amp;Events!$G$2:$G$397&amp;"]"),""))</f>
        <v/>
      </c>
    </row>
    <row r="736" customFormat="false" ht="15" hidden="false" customHeight="true" outlineLevel="0" collapsed="false">
      <c r="A736" s="3" t="n">
        <v>46026</v>
      </c>
      <c r="B736" s="4" t="n">
        <f aca="false">YEAR($A736)</f>
        <v>2026</v>
      </c>
      <c r="C736" s="4" t="n">
        <f aca="false">MONTH($A736)</f>
        <v>1</v>
      </c>
      <c r="D736" s="4" t="str">
        <f aca="false">TEXT($A736,"ddd")</f>
        <v>Sun</v>
      </c>
      <c r="E736" s="4" t="n">
        <f aca="false">IF(OR(AND(MONTH($A736)=10,DAY($A736)&gt;=15),MONTH($A736)=11,AND(MONTH($A736)=12,DAY($A736)&lt;=7)),1,0)</f>
        <v>0</v>
      </c>
      <c r="F736" s="4" t="n">
        <f aca="false">IF(MONTH($A736)&lt;=3,1,0)</f>
        <v>1</v>
      </c>
      <c r="G736" s="4" t="str">
        <f aca="false" t="array" ref="G736:G736">_xlfn.TEXTJOIN(" | ",TRUE(),IF('FEMA Disasters'!$F$2:$F$1000=$A736,'FEMA Disasters'!$D$2:$D$1000&amp;" begin: ["&amp;'FEMA Disasters'!$B$2:$B$1000&amp;"] "&amp;'FEMA Disasters'!$C$2:$C$1000&amp;"-"&amp;'FEMA Disasters'!$A$2:$A$1000,""),IF('FEMA Disasters'!$G$2:$G$1000=$A736,'FEMA Disasters'!$D$2:$D$1000&amp;" ended: ["&amp;'FEMA Disasters'!$B$2:$B$1000&amp;"] "&amp;'FEMA Disasters'!$C$2:$C$1000&amp;"-"&amp;'FEMA Disasters'!$A$2:$A$1000,""),IF('FEMA Disasters'!$K$2:$K$1000=$A736,"Disaster SEP opens: "&amp;'FEMA Disasters'!$D$2:$D$1000&amp;" ["&amp;'FEMA Disasters'!$B$2:$B$1000&amp;"] "&amp;'FEMA Disasters'!$C$2:$C$1000&amp;"-"&amp;'FEMA Disasters'!$A$2:$A$1000,""),IF('FEMA Disasters'!$L$2:$L$1000=$A736,"Disaster SEP ended: "&amp;'FEMA Disasters'!$D$2:$D$1000&amp;" ["&amp;'FEMA Disasters'!$B$2:$B$1000&amp;"] "&amp;'FEMA Disasters'!$C$2:$C$1000&amp;"-"&amp;'FEMA Disasters'!$A$2:$A$1000,""))</f>
        <v/>
      </c>
      <c r="H736" s="4" t="n">
        <f aca="false">COUNTIF(Events!$A$2:$A$397,$A736)</f>
        <v>0</v>
      </c>
      <c r="I736" s="6" t="str">
        <f aca="false" t="array" ref="I736:I736">_xlfn.TEXTJOIN(" | ",TRUE(),IF(Events!$A$2:$A$397=$A736,Events!$E$2:$E$397&amp;IF(Events!$G$2:$G$397="National",""," ["&amp;Events!$G$2:$G$397&amp;"]"),""))</f>
        <v/>
      </c>
    </row>
    <row r="737" customFormat="false" ht="15" hidden="false" customHeight="true" outlineLevel="0" collapsed="false">
      <c r="A737" s="3" t="n">
        <v>46027</v>
      </c>
      <c r="B737" s="4" t="n">
        <f aca="false">YEAR($A737)</f>
        <v>2026</v>
      </c>
      <c r="C737" s="4" t="n">
        <f aca="false">MONTH($A737)</f>
        <v>1</v>
      </c>
      <c r="D737" s="4" t="str">
        <f aca="false">TEXT($A737,"ddd")</f>
        <v>Mon</v>
      </c>
      <c r="E737" s="4" t="n">
        <f aca="false">IF(OR(AND(MONTH($A737)=10,DAY($A737)&gt;=15),MONTH($A737)=11,AND(MONTH($A737)=12,DAY($A737)&lt;=7)),1,0)</f>
        <v>0</v>
      </c>
      <c r="F737" s="4" t="n">
        <f aca="false">IF(MONTH($A737)&lt;=3,1,0)</f>
        <v>1</v>
      </c>
      <c r="G737" s="4" t="str">
        <f aca="false" t="array" ref="G737:G737">_xlfn.TEXTJOIN(" | ",TRUE(),IF('FEMA Disasters'!$F$2:$F$1000=$A737,'FEMA Disasters'!$D$2:$D$1000&amp;" begin: ["&amp;'FEMA Disasters'!$B$2:$B$1000&amp;"] "&amp;'FEMA Disasters'!$C$2:$C$1000&amp;"-"&amp;'FEMA Disasters'!$A$2:$A$1000,""),IF('FEMA Disasters'!$G$2:$G$1000=$A737,'FEMA Disasters'!$D$2:$D$1000&amp;" ended: ["&amp;'FEMA Disasters'!$B$2:$B$1000&amp;"] "&amp;'FEMA Disasters'!$C$2:$C$1000&amp;"-"&amp;'FEMA Disasters'!$A$2:$A$1000,""),IF('FEMA Disasters'!$K$2:$K$1000=$A737,"Disaster SEP opens: "&amp;'FEMA Disasters'!$D$2:$D$1000&amp;" ["&amp;'FEMA Disasters'!$B$2:$B$1000&amp;"] "&amp;'FEMA Disasters'!$C$2:$C$1000&amp;"-"&amp;'FEMA Disasters'!$A$2:$A$1000,""),IF('FEMA Disasters'!$L$2:$L$1000=$A737,"Disaster SEP ended: "&amp;'FEMA Disasters'!$D$2:$D$1000&amp;" ["&amp;'FEMA Disasters'!$B$2:$B$1000&amp;"] "&amp;'FEMA Disasters'!$C$2:$C$1000&amp;"-"&amp;'FEMA Disasters'!$A$2:$A$1000,""))</f>
        <v/>
      </c>
      <c r="H737" s="4" t="n">
        <f aca="false">COUNTIF(Events!$A$2:$A$397,$A737)</f>
        <v>0</v>
      </c>
      <c r="I737" s="6" t="str">
        <f aca="false" t="array" ref="I737:I737">_xlfn.TEXTJOIN(" | ",TRUE(),IF(Events!$A$2:$A$397=$A737,Events!$E$2:$E$397&amp;IF(Events!$G$2:$G$397="National",""," ["&amp;Events!$G$2:$G$397&amp;"]"),""))</f>
        <v/>
      </c>
    </row>
    <row r="738" customFormat="false" ht="15" hidden="false" customHeight="true" outlineLevel="0" collapsed="false">
      <c r="A738" s="3" t="n">
        <v>46028</v>
      </c>
      <c r="B738" s="4" t="n">
        <f aca="false">YEAR($A738)</f>
        <v>2026</v>
      </c>
      <c r="C738" s="4" t="n">
        <f aca="false">MONTH($A738)</f>
        <v>1</v>
      </c>
      <c r="D738" s="4" t="str">
        <f aca="false">TEXT($A738,"ddd")</f>
        <v>Tue</v>
      </c>
      <c r="E738" s="4" t="n">
        <f aca="false">IF(OR(AND(MONTH($A738)=10,DAY($A738)&gt;=15),MONTH($A738)=11,AND(MONTH($A738)=12,DAY($A738)&lt;=7)),1,0)</f>
        <v>0</v>
      </c>
      <c r="F738" s="4" t="n">
        <f aca="false">IF(MONTH($A738)&lt;=3,1,0)</f>
        <v>1</v>
      </c>
      <c r="G738" s="4" t="str">
        <f aca="false" t="array" ref="G738:G738">_xlfn.TEXTJOIN(" | ",TRUE(),IF('FEMA Disasters'!$F$2:$F$1000=$A738,'FEMA Disasters'!$D$2:$D$1000&amp;" begin: ["&amp;'FEMA Disasters'!$B$2:$B$1000&amp;"] "&amp;'FEMA Disasters'!$C$2:$C$1000&amp;"-"&amp;'FEMA Disasters'!$A$2:$A$1000,""),IF('FEMA Disasters'!$G$2:$G$1000=$A738,'FEMA Disasters'!$D$2:$D$1000&amp;" ended: ["&amp;'FEMA Disasters'!$B$2:$B$1000&amp;"] "&amp;'FEMA Disasters'!$C$2:$C$1000&amp;"-"&amp;'FEMA Disasters'!$A$2:$A$1000,""),IF('FEMA Disasters'!$K$2:$K$1000=$A738,"Disaster SEP opens: "&amp;'FEMA Disasters'!$D$2:$D$1000&amp;" ["&amp;'FEMA Disasters'!$B$2:$B$1000&amp;"] "&amp;'FEMA Disasters'!$C$2:$C$1000&amp;"-"&amp;'FEMA Disasters'!$A$2:$A$1000,""),IF('FEMA Disasters'!$L$2:$L$1000=$A738,"Disaster SEP ended: "&amp;'FEMA Disasters'!$D$2:$D$1000&amp;" ["&amp;'FEMA Disasters'!$B$2:$B$1000&amp;"] "&amp;'FEMA Disasters'!$C$2:$C$1000&amp;"-"&amp;'FEMA Disasters'!$A$2:$A$1000,""))</f>
        <v/>
      </c>
      <c r="H738" s="4" t="n">
        <f aca="false">COUNTIF(Events!$A$2:$A$397,$A738)</f>
        <v>0</v>
      </c>
      <c r="I738" s="6" t="str">
        <f aca="false" t="array" ref="I738:I738">_xlfn.TEXTJOIN(" | ",TRUE(),IF(Events!$A$2:$A$397=$A738,Events!$E$2:$E$397&amp;IF(Events!$G$2:$G$397="National",""," ["&amp;Events!$G$2:$G$397&amp;"]"),""))</f>
        <v/>
      </c>
    </row>
    <row r="739" customFormat="false" ht="15" hidden="false" customHeight="true" outlineLevel="0" collapsed="false">
      <c r="A739" s="3" t="n">
        <v>46029</v>
      </c>
      <c r="B739" s="4" t="n">
        <f aca="false">YEAR($A739)</f>
        <v>2026</v>
      </c>
      <c r="C739" s="4" t="n">
        <f aca="false">MONTH($A739)</f>
        <v>1</v>
      </c>
      <c r="D739" s="4" t="str">
        <f aca="false">TEXT($A739,"ddd")</f>
        <v>Wed</v>
      </c>
      <c r="E739" s="4" t="n">
        <f aca="false">IF(OR(AND(MONTH($A739)=10,DAY($A739)&gt;=15),MONTH($A739)=11,AND(MONTH($A739)=12,DAY($A739)&lt;=7)),1,0)</f>
        <v>0</v>
      </c>
      <c r="F739" s="4" t="n">
        <f aca="false">IF(MONTH($A739)&lt;=3,1,0)</f>
        <v>1</v>
      </c>
      <c r="G739" s="4" t="str">
        <f aca="false" t="array" ref="G739:G739">_xlfn.TEXTJOIN(" | ",TRUE(),IF('FEMA Disasters'!$F$2:$F$1000=$A739,'FEMA Disasters'!$D$2:$D$1000&amp;" begin: ["&amp;'FEMA Disasters'!$B$2:$B$1000&amp;"] "&amp;'FEMA Disasters'!$C$2:$C$1000&amp;"-"&amp;'FEMA Disasters'!$A$2:$A$1000,""),IF('FEMA Disasters'!$G$2:$G$1000=$A739,'FEMA Disasters'!$D$2:$D$1000&amp;" ended: ["&amp;'FEMA Disasters'!$B$2:$B$1000&amp;"] "&amp;'FEMA Disasters'!$C$2:$C$1000&amp;"-"&amp;'FEMA Disasters'!$A$2:$A$1000,""),IF('FEMA Disasters'!$K$2:$K$1000=$A739,"Disaster SEP opens: "&amp;'FEMA Disasters'!$D$2:$D$1000&amp;" ["&amp;'FEMA Disasters'!$B$2:$B$1000&amp;"] "&amp;'FEMA Disasters'!$C$2:$C$1000&amp;"-"&amp;'FEMA Disasters'!$A$2:$A$1000,""),IF('FEMA Disasters'!$L$2:$L$1000=$A739,"Disaster SEP ended: "&amp;'FEMA Disasters'!$D$2:$D$1000&amp;" ["&amp;'FEMA Disasters'!$B$2:$B$1000&amp;"] "&amp;'FEMA Disasters'!$C$2:$C$1000&amp;"-"&amp;'FEMA Disasters'!$A$2:$A$1000,""))</f>
        <v/>
      </c>
      <c r="H739" s="4" t="n">
        <f aca="false">COUNTIF(Events!$A$2:$A$397,$A739)</f>
        <v>0</v>
      </c>
      <c r="I739" s="6" t="str">
        <f aca="false" t="array" ref="I739:I739">_xlfn.TEXTJOIN(" | ",TRUE(),IF(Events!$A$2:$A$397=$A739,Events!$E$2:$E$397&amp;IF(Events!$G$2:$G$397="National",""," ["&amp;Events!$G$2:$G$397&amp;"]"),""))</f>
        <v/>
      </c>
    </row>
    <row r="740" customFormat="false" ht="15" hidden="false" customHeight="true" outlineLevel="0" collapsed="false">
      <c r="A740" s="3" t="n">
        <v>46030</v>
      </c>
      <c r="B740" s="4" t="n">
        <f aca="false">YEAR($A740)</f>
        <v>2026</v>
      </c>
      <c r="C740" s="4" t="n">
        <f aca="false">MONTH($A740)</f>
        <v>1</v>
      </c>
      <c r="D740" s="4" t="str">
        <f aca="false">TEXT($A740,"ddd")</f>
        <v>Thu</v>
      </c>
      <c r="E740" s="4" t="n">
        <f aca="false">IF(OR(AND(MONTH($A740)=10,DAY($A740)&gt;=15),MONTH($A740)=11,AND(MONTH($A740)=12,DAY($A740)&lt;=7)),1,0)</f>
        <v>0</v>
      </c>
      <c r="F740" s="4" t="n">
        <f aca="false">IF(MONTH($A740)&lt;=3,1,0)</f>
        <v>1</v>
      </c>
      <c r="G740" s="4" t="str">
        <f aca="false" t="array" ref="G740:G740">_xlfn.TEXTJOIN(" | ",TRUE(),IF('FEMA Disasters'!$F$2:$F$1000=$A740,'FEMA Disasters'!$D$2:$D$1000&amp;" begin: ["&amp;'FEMA Disasters'!$B$2:$B$1000&amp;"] "&amp;'FEMA Disasters'!$C$2:$C$1000&amp;"-"&amp;'FEMA Disasters'!$A$2:$A$1000,""),IF('FEMA Disasters'!$G$2:$G$1000=$A740,'FEMA Disasters'!$D$2:$D$1000&amp;" ended: ["&amp;'FEMA Disasters'!$B$2:$B$1000&amp;"] "&amp;'FEMA Disasters'!$C$2:$C$1000&amp;"-"&amp;'FEMA Disasters'!$A$2:$A$1000,""),IF('FEMA Disasters'!$K$2:$K$1000=$A740,"Disaster SEP opens: "&amp;'FEMA Disasters'!$D$2:$D$1000&amp;" ["&amp;'FEMA Disasters'!$B$2:$B$1000&amp;"] "&amp;'FEMA Disasters'!$C$2:$C$1000&amp;"-"&amp;'FEMA Disasters'!$A$2:$A$1000,""),IF('FEMA Disasters'!$L$2:$L$1000=$A740,"Disaster SEP ended: "&amp;'FEMA Disasters'!$D$2:$D$1000&amp;" ["&amp;'FEMA Disasters'!$B$2:$B$1000&amp;"] "&amp;'FEMA Disasters'!$C$2:$C$1000&amp;"-"&amp;'FEMA Disasters'!$A$2:$A$1000,""))</f>
        <v/>
      </c>
      <c r="H740" s="4" t="n">
        <f aca="false">COUNTIF(Events!$A$2:$A$397,$A740)</f>
        <v>0</v>
      </c>
      <c r="I740" s="6" t="str">
        <f aca="false" t="array" ref="I740:I740">_xlfn.TEXTJOIN(" | ",TRUE(),IF(Events!$A$2:$A$397=$A740,Events!$E$2:$E$397&amp;IF(Events!$G$2:$G$397="National",""," ["&amp;Events!$G$2:$G$397&amp;"]"),""))</f>
        <v/>
      </c>
    </row>
    <row r="741" customFormat="false" ht="15" hidden="false" customHeight="true" outlineLevel="0" collapsed="false">
      <c r="A741" s="3" t="n">
        <v>46031</v>
      </c>
      <c r="B741" s="4" t="n">
        <f aca="false">YEAR($A741)</f>
        <v>2026</v>
      </c>
      <c r="C741" s="4" t="n">
        <f aca="false">MONTH($A741)</f>
        <v>1</v>
      </c>
      <c r="D741" s="4" t="str">
        <f aca="false">TEXT($A741,"ddd")</f>
        <v>Fri</v>
      </c>
      <c r="E741" s="4" t="n">
        <f aca="false">IF(OR(AND(MONTH($A741)=10,DAY($A741)&gt;=15),MONTH($A741)=11,AND(MONTH($A741)=12,DAY($A741)&lt;=7)),1,0)</f>
        <v>0</v>
      </c>
      <c r="F741" s="4" t="n">
        <f aca="false">IF(MONTH($A741)&lt;=3,1,0)</f>
        <v>1</v>
      </c>
      <c r="G741" s="4" t="str">
        <f aca="false" t="array" ref="G741:G741">_xlfn.TEXTJOIN(" | ",TRUE(),IF('FEMA Disasters'!$F$2:$F$1000=$A741,'FEMA Disasters'!$D$2:$D$1000&amp;" begin: ["&amp;'FEMA Disasters'!$B$2:$B$1000&amp;"] "&amp;'FEMA Disasters'!$C$2:$C$1000&amp;"-"&amp;'FEMA Disasters'!$A$2:$A$1000,""),IF('FEMA Disasters'!$G$2:$G$1000=$A741,'FEMA Disasters'!$D$2:$D$1000&amp;" ended: ["&amp;'FEMA Disasters'!$B$2:$B$1000&amp;"] "&amp;'FEMA Disasters'!$C$2:$C$1000&amp;"-"&amp;'FEMA Disasters'!$A$2:$A$1000,""),IF('FEMA Disasters'!$K$2:$K$1000=$A741,"Disaster SEP opens: "&amp;'FEMA Disasters'!$D$2:$D$1000&amp;" ["&amp;'FEMA Disasters'!$B$2:$B$1000&amp;"] "&amp;'FEMA Disasters'!$C$2:$C$1000&amp;"-"&amp;'FEMA Disasters'!$A$2:$A$1000,""),IF('FEMA Disasters'!$L$2:$L$1000=$A741,"Disaster SEP ended: "&amp;'FEMA Disasters'!$D$2:$D$1000&amp;" ["&amp;'FEMA Disasters'!$B$2:$B$1000&amp;"] "&amp;'FEMA Disasters'!$C$2:$C$1000&amp;"-"&amp;'FEMA Disasters'!$A$2:$A$1000,""))</f>
        <v/>
      </c>
      <c r="H741" s="4" t="n">
        <f aca="false">COUNTIF(Events!$A$2:$A$397,$A741)</f>
        <v>0</v>
      </c>
      <c r="I741" s="6" t="str">
        <f aca="false" t="array" ref="I741:I741">_xlfn.TEXTJOIN(" | ",TRUE(),IF(Events!$A$2:$A$397=$A741,Events!$E$2:$E$397&amp;IF(Events!$G$2:$G$397="National",""," ["&amp;Events!$G$2:$G$397&amp;"]"),""))</f>
        <v/>
      </c>
    </row>
    <row r="742" customFormat="false" ht="15" hidden="false" customHeight="true" outlineLevel="0" collapsed="false">
      <c r="A742" s="3" t="n">
        <v>46032</v>
      </c>
      <c r="B742" s="4" t="n">
        <f aca="false">YEAR($A742)</f>
        <v>2026</v>
      </c>
      <c r="C742" s="4" t="n">
        <f aca="false">MONTH($A742)</f>
        <v>1</v>
      </c>
      <c r="D742" s="4" t="str">
        <f aca="false">TEXT($A742,"ddd")</f>
        <v>Sat</v>
      </c>
      <c r="E742" s="4" t="n">
        <f aca="false">IF(OR(AND(MONTH($A742)=10,DAY($A742)&gt;=15),MONTH($A742)=11,AND(MONTH($A742)=12,DAY($A742)&lt;=7)),1,0)</f>
        <v>0</v>
      </c>
      <c r="F742" s="4" t="n">
        <f aca="false">IF(MONTH($A742)&lt;=3,1,0)</f>
        <v>1</v>
      </c>
      <c r="G742" s="4" t="str">
        <f aca="false" t="array" ref="G742:G742">_xlfn.TEXTJOIN(" | ",TRUE(),IF('FEMA Disasters'!$F$2:$F$1000=$A742,'FEMA Disasters'!$D$2:$D$1000&amp;" begin: ["&amp;'FEMA Disasters'!$B$2:$B$1000&amp;"] "&amp;'FEMA Disasters'!$C$2:$C$1000&amp;"-"&amp;'FEMA Disasters'!$A$2:$A$1000,""),IF('FEMA Disasters'!$G$2:$G$1000=$A742,'FEMA Disasters'!$D$2:$D$1000&amp;" ended: ["&amp;'FEMA Disasters'!$B$2:$B$1000&amp;"] "&amp;'FEMA Disasters'!$C$2:$C$1000&amp;"-"&amp;'FEMA Disasters'!$A$2:$A$1000,""),IF('FEMA Disasters'!$K$2:$K$1000=$A742,"Disaster SEP opens: "&amp;'FEMA Disasters'!$D$2:$D$1000&amp;" ["&amp;'FEMA Disasters'!$B$2:$B$1000&amp;"] "&amp;'FEMA Disasters'!$C$2:$C$1000&amp;"-"&amp;'FEMA Disasters'!$A$2:$A$1000,""),IF('FEMA Disasters'!$L$2:$L$1000=$A742,"Disaster SEP ended: "&amp;'FEMA Disasters'!$D$2:$D$1000&amp;" ["&amp;'FEMA Disasters'!$B$2:$B$1000&amp;"] "&amp;'FEMA Disasters'!$C$2:$C$1000&amp;"-"&amp;'FEMA Disasters'!$A$2:$A$1000,""))</f>
        <v/>
      </c>
      <c r="H742" s="4" t="n">
        <f aca="false">COUNTIF(Events!$A$2:$A$397,$A742)</f>
        <v>0</v>
      </c>
      <c r="I742" s="6" t="str">
        <f aca="false" t="array" ref="I742:I742">_xlfn.TEXTJOIN(" | ",TRUE(),IF(Events!$A$2:$A$397=$A742,Events!$E$2:$E$397&amp;IF(Events!$G$2:$G$397="National",""," ["&amp;Events!$G$2:$G$397&amp;"]"),""))</f>
        <v/>
      </c>
    </row>
    <row r="743" customFormat="false" ht="15" hidden="false" customHeight="true" outlineLevel="0" collapsed="false">
      <c r="A743" s="3" t="n">
        <v>46033</v>
      </c>
      <c r="B743" s="4" t="n">
        <f aca="false">YEAR($A743)</f>
        <v>2026</v>
      </c>
      <c r="C743" s="4" t="n">
        <f aca="false">MONTH($A743)</f>
        <v>1</v>
      </c>
      <c r="D743" s="4" t="str">
        <f aca="false">TEXT($A743,"ddd")</f>
        <v>Sun</v>
      </c>
      <c r="E743" s="4" t="n">
        <f aca="false">IF(OR(AND(MONTH($A743)=10,DAY($A743)&gt;=15),MONTH($A743)=11,AND(MONTH($A743)=12,DAY($A743)&lt;=7)),1,0)</f>
        <v>0</v>
      </c>
      <c r="F743" s="4" t="n">
        <f aca="false">IF(MONTH($A743)&lt;=3,1,0)</f>
        <v>1</v>
      </c>
      <c r="G743" s="4" t="str">
        <f aca="false" t="array" ref="G743:G743">_xlfn.TEXTJOIN(" | ",TRUE(),IF('FEMA Disasters'!$F$2:$F$1000=$A743,'FEMA Disasters'!$D$2:$D$1000&amp;" begin: ["&amp;'FEMA Disasters'!$B$2:$B$1000&amp;"] "&amp;'FEMA Disasters'!$C$2:$C$1000&amp;"-"&amp;'FEMA Disasters'!$A$2:$A$1000,""),IF('FEMA Disasters'!$G$2:$G$1000=$A743,'FEMA Disasters'!$D$2:$D$1000&amp;" ended: ["&amp;'FEMA Disasters'!$B$2:$B$1000&amp;"] "&amp;'FEMA Disasters'!$C$2:$C$1000&amp;"-"&amp;'FEMA Disasters'!$A$2:$A$1000,""),IF('FEMA Disasters'!$K$2:$K$1000=$A743,"Disaster SEP opens: "&amp;'FEMA Disasters'!$D$2:$D$1000&amp;" ["&amp;'FEMA Disasters'!$B$2:$B$1000&amp;"] "&amp;'FEMA Disasters'!$C$2:$C$1000&amp;"-"&amp;'FEMA Disasters'!$A$2:$A$1000,""),IF('FEMA Disasters'!$L$2:$L$1000=$A743,"Disaster SEP ended: "&amp;'FEMA Disasters'!$D$2:$D$1000&amp;" ["&amp;'FEMA Disasters'!$B$2:$B$1000&amp;"] "&amp;'FEMA Disasters'!$C$2:$C$1000&amp;"-"&amp;'FEMA Disasters'!$A$2:$A$1000,""))</f>
        <v/>
      </c>
      <c r="H743" s="4" t="n">
        <f aca="false">COUNTIF(Events!$A$2:$A$397,$A743)</f>
        <v>0</v>
      </c>
      <c r="I743" s="6" t="str">
        <f aca="false" t="array" ref="I743:I743">_xlfn.TEXTJOIN(" | ",TRUE(),IF(Events!$A$2:$A$397=$A743,Events!$E$2:$E$397&amp;IF(Events!$G$2:$G$397="National",""," ["&amp;Events!$G$2:$G$397&amp;"]"),""))</f>
        <v/>
      </c>
    </row>
    <row r="744" customFormat="false" ht="15" hidden="false" customHeight="true" outlineLevel="0" collapsed="false">
      <c r="A744" s="3" t="n">
        <v>46034</v>
      </c>
      <c r="B744" s="4" t="n">
        <f aca="false">YEAR($A744)</f>
        <v>2026</v>
      </c>
      <c r="C744" s="4" t="n">
        <f aca="false">MONTH($A744)</f>
        <v>1</v>
      </c>
      <c r="D744" s="4" t="str">
        <f aca="false">TEXT($A744,"ddd")</f>
        <v>Mon</v>
      </c>
      <c r="E744" s="4" t="n">
        <f aca="false">IF(OR(AND(MONTH($A744)=10,DAY($A744)&gt;=15),MONTH($A744)=11,AND(MONTH($A744)=12,DAY($A744)&lt;=7)),1,0)</f>
        <v>0</v>
      </c>
      <c r="F744" s="4" t="n">
        <f aca="false">IF(MONTH($A744)&lt;=3,1,0)</f>
        <v>1</v>
      </c>
      <c r="G744" s="4" t="str">
        <f aca="false" t="array" ref="G744:G744">_xlfn.TEXTJOIN(" | ",TRUE(),IF('FEMA Disasters'!$F$2:$F$1000=$A744,'FEMA Disasters'!$D$2:$D$1000&amp;" begin: ["&amp;'FEMA Disasters'!$B$2:$B$1000&amp;"] "&amp;'FEMA Disasters'!$C$2:$C$1000&amp;"-"&amp;'FEMA Disasters'!$A$2:$A$1000,""),IF('FEMA Disasters'!$G$2:$G$1000=$A744,'FEMA Disasters'!$D$2:$D$1000&amp;" ended: ["&amp;'FEMA Disasters'!$B$2:$B$1000&amp;"] "&amp;'FEMA Disasters'!$C$2:$C$1000&amp;"-"&amp;'FEMA Disasters'!$A$2:$A$1000,""),IF('FEMA Disasters'!$K$2:$K$1000=$A744,"Disaster SEP opens: "&amp;'FEMA Disasters'!$D$2:$D$1000&amp;" ["&amp;'FEMA Disasters'!$B$2:$B$1000&amp;"] "&amp;'FEMA Disasters'!$C$2:$C$1000&amp;"-"&amp;'FEMA Disasters'!$A$2:$A$1000,""),IF('FEMA Disasters'!$L$2:$L$1000=$A744,"Disaster SEP ended: "&amp;'FEMA Disasters'!$D$2:$D$1000&amp;" ["&amp;'FEMA Disasters'!$B$2:$B$1000&amp;"] "&amp;'FEMA Disasters'!$C$2:$C$1000&amp;"-"&amp;'FEMA Disasters'!$A$2:$A$1000,""))</f>
        <v/>
      </c>
      <c r="H744" s="4" t="n">
        <f aca="false">COUNTIF(Events!$A$2:$A$397,$A744)</f>
        <v>0</v>
      </c>
      <c r="I744" s="6" t="str">
        <f aca="false" t="array" ref="I744:I744">_xlfn.TEXTJOIN(" | ",TRUE(),IF(Events!$A$2:$A$397=$A744,Events!$E$2:$E$397&amp;IF(Events!$G$2:$G$397="National",""," ["&amp;Events!$G$2:$G$397&amp;"]"),""))</f>
        <v/>
      </c>
    </row>
    <row r="745" customFormat="false" ht="15" hidden="false" customHeight="true" outlineLevel="0" collapsed="false">
      <c r="A745" s="3" t="n">
        <v>46035</v>
      </c>
      <c r="B745" s="4" t="n">
        <f aca="false">YEAR($A745)</f>
        <v>2026</v>
      </c>
      <c r="C745" s="4" t="n">
        <f aca="false">MONTH($A745)</f>
        <v>1</v>
      </c>
      <c r="D745" s="4" t="str">
        <f aca="false">TEXT($A745,"ddd")</f>
        <v>Tue</v>
      </c>
      <c r="E745" s="4" t="n">
        <f aca="false">IF(OR(AND(MONTH($A745)=10,DAY($A745)&gt;=15),MONTH($A745)=11,AND(MONTH($A745)=12,DAY($A745)&lt;=7)),1,0)</f>
        <v>0</v>
      </c>
      <c r="F745" s="4" t="n">
        <f aca="false">IF(MONTH($A745)&lt;=3,1,0)</f>
        <v>1</v>
      </c>
      <c r="G745" s="4" t="str">
        <f aca="false" t="array" ref="G745:G745">_xlfn.TEXTJOIN(" | ",TRUE(),IF('FEMA Disasters'!$F$2:$F$1000=$A745,'FEMA Disasters'!$D$2:$D$1000&amp;" begin: ["&amp;'FEMA Disasters'!$B$2:$B$1000&amp;"] "&amp;'FEMA Disasters'!$C$2:$C$1000&amp;"-"&amp;'FEMA Disasters'!$A$2:$A$1000,""),IF('FEMA Disasters'!$G$2:$G$1000=$A745,'FEMA Disasters'!$D$2:$D$1000&amp;" ended: ["&amp;'FEMA Disasters'!$B$2:$B$1000&amp;"] "&amp;'FEMA Disasters'!$C$2:$C$1000&amp;"-"&amp;'FEMA Disasters'!$A$2:$A$1000,""),IF('FEMA Disasters'!$K$2:$K$1000=$A745,"Disaster SEP opens: "&amp;'FEMA Disasters'!$D$2:$D$1000&amp;" ["&amp;'FEMA Disasters'!$B$2:$B$1000&amp;"] "&amp;'FEMA Disasters'!$C$2:$C$1000&amp;"-"&amp;'FEMA Disasters'!$A$2:$A$1000,""),IF('FEMA Disasters'!$L$2:$L$1000=$A745,"Disaster SEP ended: "&amp;'FEMA Disasters'!$D$2:$D$1000&amp;" ["&amp;'FEMA Disasters'!$B$2:$B$1000&amp;"] "&amp;'FEMA Disasters'!$C$2:$C$1000&amp;"-"&amp;'FEMA Disasters'!$A$2:$A$1000,""))</f>
        <v/>
      </c>
      <c r="H745" s="4" t="n">
        <f aca="false">COUNTIF(Events!$A$2:$A$397,$A745)</f>
        <v>0</v>
      </c>
      <c r="I745" s="6" t="str">
        <f aca="false" t="array" ref="I745:I745">_xlfn.TEXTJOIN(" | ",TRUE(),IF(Events!$A$2:$A$397=$A745,Events!$E$2:$E$397&amp;IF(Events!$G$2:$G$397="National",""," ["&amp;Events!$G$2:$G$397&amp;"]"),""))</f>
        <v/>
      </c>
    </row>
    <row r="746" customFormat="false" ht="15" hidden="false" customHeight="true" outlineLevel="0" collapsed="false">
      <c r="A746" s="3" t="n">
        <v>46036</v>
      </c>
      <c r="B746" s="4" t="n">
        <f aca="false">YEAR($A746)</f>
        <v>2026</v>
      </c>
      <c r="C746" s="4" t="n">
        <f aca="false">MONTH($A746)</f>
        <v>1</v>
      </c>
      <c r="D746" s="4" t="str">
        <f aca="false">TEXT($A746,"ddd")</f>
        <v>Wed</v>
      </c>
      <c r="E746" s="4" t="n">
        <f aca="false">IF(OR(AND(MONTH($A746)=10,DAY($A746)&gt;=15),MONTH($A746)=11,AND(MONTH($A746)=12,DAY($A746)&lt;=7)),1,0)</f>
        <v>0</v>
      </c>
      <c r="F746" s="4" t="n">
        <f aca="false">IF(MONTH($A746)&lt;=3,1,0)</f>
        <v>1</v>
      </c>
      <c r="G746" s="4" t="str">
        <f aca="false" t="array" ref="G746:G746">_xlfn.TEXTJOIN(" | ",TRUE(),IF('FEMA Disasters'!$F$2:$F$1000=$A746,'FEMA Disasters'!$D$2:$D$1000&amp;" begin: ["&amp;'FEMA Disasters'!$B$2:$B$1000&amp;"] "&amp;'FEMA Disasters'!$C$2:$C$1000&amp;"-"&amp;'FEMA Disasters'!$A$2:$A$1000,""),IF('FEMA Disasters'!$G$2:$G$1000=$A746,'FEMA Disasters'!$D$2:$D$1000&amp;" ended: ["&amp;'FEMA Disasters'!$B$2:$B$1000&amp;"] "&amp;'FEMA Disasters'!$C$2:$C$1000&amp;"-"&amp;'FEMA Disasters'!$A$2:$A$1000,""),IF('FEMA Disasters'!$K$2:$K$1000=$A746,"Disaster SEP opens: "&amp;'FEMA Disasters'!$D$2:$D$1000&amp;" ["&amp;'FEMA Disasters'!$B$2:$B$1000&amp;"] "&amp;'FEMA Disasters'!$C$2:$C$1000&amp;"-"&amp;'FEMA Disasters'!$A$2:$A$1000,""),IF('FEMA Disasters'!$L$2:$L$1000=$A746,"Disaster SEP ended: "&amp;'FEMA Disasters'!$D$2:$D$1000&amp;" ["&amp;'FEMA Disasters'!$B$2:$B$1000&amp;"] "&amp;'FEMA Disasters'!$C$2:$C$1000&amp;"-"&amp;'FEMA Disasters'!$A$2:$A$1000,""))</f>
        <v/>
      </c>
      <c r="H746" s="4" t="n">
        <f aca="false">COUNTIF(Events!$A$2:$A$397,$A746)</f>
        <v>0</v>
      </c>
      <c r="I746" s="6" t="str">
        <f aca="false" t="array" ref="I746:I746">_xlfn.TEXTJOIN(" | ",TRUE(),IF(Events!$A$2:$A$397=$A746,Events!$E$2:$E$397&amp;IF(Events!$G$2:$G$397="National",""," ["&amp;Events!$G$2:$G$397&amp;"]"),""))</f>
        <v/>
      </c>
    </row>
    <row r="747" customFormat="false" ht="15" hidden="false" customHeight="true" outlineLevel="0" collapsed="false">
      <c r="A747" s="3" t="n">
        <v>46037</v>
      </c>
      <c r="B747" s="4" t="n">
        <f aca="false">YEAR($A747)</f>
        <v>2026</v>
      </c>
      <c r="C747" s="4" t="n">
        <f aca="false">MONTH($A747)</f>
        <v>1</v>
      </c>
      <c r="D747" s="4" t="str">
        <f aca="false">TEXT($A747,"ddd")</f>
        <v>Thu</v>
      </c>
      <c r="E747" s="4" t="n">
        <f aca="false">IF(OR(AND(MONTH($A747)=10,DAY($A747)&gt;=15),MONTH($A747)=11,AND(MONTH($A747)=12,DAY($A747)&lt;=7)),1,0)</f>
        <v>0</v>
      </c>
      <c r="F747" s="4" t="n">
        <f aca="false">IF(MONTH($A747)&lt;=3,1,0)</f>
        <v>1</v>
      </c>
      <c r="G747" s="4" t="str">
        <f aca="false" t="array" ref="G747:G747">_xlfn.TEXTJOIN(" | ",TRUE(),IF('FEMA Disasters'!$F$2:$F$1000=$A747,'FEMA Disasters'!$D$2:$D$1000&amp;" begin: ["&amp;'FEMA Disasters'!$B$2:$B$1000&amp;"] "&amp;'FEMA Disasters'!$C$2:$C$1000&amp;"-"&amp;'FEMA Disasters'!$A$2:$A$1000,""),IF('FEMA Disasters'!$G$2:$G$1000=$A747,'FEMA Disasters'!$D$2:$D$1000&amp;" ended: ["&amp;'FEMA Disasters'!$B$2:$B$1000&amp;"] "&amp;'FEMA Disasters'!$C$2:$C$1000&amp;"-"&amp;'FEMA Disasters'!$A$2:$A$1000,""),IF('FEMA Disasters'!$K$2:$K$1000=$A747,"Disaster SEP opens: "&amp;'FEMA Disasters'!$D$2:$D$1000&amp;" ["&amp;'FEMA Disasters'!$B$2:$B$1000&amp;"] "&amp;'FEMA Disasters'!$C$2:$C$1000&amp;"-"&amp;'FEMA Disasters'!$A$2:$A$1000,""),IF('FEMA Disasters'!$L$2:$L$1000=$A747,"Disaster SEP ended: "&amp;'FEMA Disasters'!$D$2:$D$1000&amp;" ["&amp;'FEMA Disasters'!$B$2:$B$1000&amp;"] "&amp;'FEMA Disasters'!$C$2:$C$1000&amp;"-"&amp;'FEMA Disasters'!$A$2:$A$1000,""))</f>
        <v/>
      </c>
      <c r="H747" s="4" t="n">
        <f aca="false">COUNTIF(Events!$A$2:$A$397,$A747)</f>
        <v>0</v>
      </c>
      <c r="I747" s="6" t="str">
        <f aca="false" t="array" ref="I747:I747">_xlfn.TEXTJOIN(" | ",TRUE(),IF(Events!$A$2:$A$397=$A747,Events!$E$2:$E$397&amp;IF(Events!$G$2:$G$397="National",""," ["&amp;Events!$G$2:$G$397&amp;"]"),""))</f>
        <v/>
      </c>
    </row>
    <row r="748" customFormat="false" ht="15" hidden="false" customHeight="true" outlineLevel="0" collapsed="false">
      <c r="A748" s="3" t="n">
        <v>46038</v>
      </c>
      <c r="B748" s="4" t="n">
        <f aca="false">YEAR($A748)</f>
        <v>2026</v>
      </c>
      <c r="C748" s="4" t="n">
        <f aca="false">MONTH($A748)</f>
        <v>1</v>
      </c>
      <c r="D748" s="4" t="str">
        <f aca="false">TEXT($A748,"ddd")</f>
        <v>Fri</v>
      </c>
      <c r="E748" s="4" t="n">
        <f aca="false">IF(OR(AND(MONTH($A748)=10,DAY($A748)&gt;=15),MONTH($A748)=11,AND(MONTH($A748)=12,DAY($A748)&lt;=7)),1,0)</f>
        <v>0</v>
      </c>
      <c r="F748" s="4" t="n">
        <f aca="false">IF(MONTH($A748)&lt;=3,1,0)</f>
        <v>1</v>
      </c>
      <c r="G748" s="4" t="str">
        <f aca="false" t="array" ref="G748:G748">_xlfn.TEXTJOIN(" | ",TRUE(),IF('FEMA Disasters'!$F$2:$F$1000=$A748,'FEMA Disasters'!$D$2:$D$1000&amp;" begin: ["&amp;'FEMA Disasters'!$B$2:$B$1000&amp;"] "&amp;'FEMA Disasters'!$C$2:$C$1000&amp;"-"&amp;'FEMA Disasters'!$A$2:$A$1000,""),IF('FEMA Disasters'!$G$2:$G$1000=$A748,'FEMA Disasters'!$D$2:$D$1000&amp;" ended: ["&amp;'FEMA Disasters'!$B$2:$B$1000&amp;"] "&amp;'FEMA Disasters'!$C$2:$C$1000&amp;"-"&amp;'FEMA Disasters'!$A$2:$A$1000,""),IF('FEMA Disasters'!$K$2:$K$1000=$A748,"Disaster SEP opens: "&amp;'FEMA Disasters'!$D$2:$D$1000&amp;" ["&amp;'FEMA Disasters'!$B$2:$B$1000&amp;"] "&amp;'FEMA Disasters'!$C$2:$C$1000&amp;"-"&amp;'FEMA Disasters'!$A$2:$A$1000,""),IF('FEMA Disasters'!$L$2:$L$1000=$A748,"Disaster SEP ended: "&amp;'FEMA Disasters'!$D$2:$D$1000&amp;" ["&amp;'FEMA Disasters'!$B$2:$B$1000&amp;"] "&amp;'FEMA Disasters'!$C$2:$C$1000&amp;"-"&amp;'FEMA Disasters'!$A$2:$A$1000,""))</f>
        <v/>
      </c>
      <c r="H748" s="4" t="n">
        <f aca="false">COUNTIF(Events!$A$2:$A$397,$A748)</f>
        <v>0</v>
      </c>
      <c r="I748" s="6" t="str">
        <f aca="false" t="array" ref="I748:I748">_xlfn.TEXTJOIN(" | ",TRUE(),IF(Events!$A$2:$A$397=$A748,Events!$E$2:$E$397&amp;IF(Events!$G$2:$G$397="National",""," ["&amp;Events!$G$2:$G$397&amp;"]"),""))</f>
        <v/>
      </c>
    </row>
    <row r="749" customFormat="false" ht="15" hidden="false" customHeight="true" outlineLevel="0" collapsed="false">
      <c r="A749" s="3" t="n">
        <v>46039</v>
      </c>
      <c r="B749" s="4" t="n">
        <f aca="false">YEAR($A749)</f>
        <v>2026</v>
      </c>
      <c r="C749" s="4" t="n">
        <f aca="false">MONTH($A749)</f>
        <v>1</v>
      </c>
      <c r="D749" s="4" t="str">
        <f aca="false">TEXT($A749,"ddd")</f>
        <v>Sat</v>
      </c>
      <c r="E749" s="4" t="n">
        <f aca="false">IF(OR(AND(MONTH($A749)=10,DAY($A749)&gt;=15),MONTH($A749)=11,AND(MONTH($A749)=12,DAY($A749)&lt;=7)),1,0)</f>
        <v>0</v>
      </c>
      <c r="F749" s="4" t="n">
        <f aca="false">IF(MONTH($A749)&lt;=3,1,0)</f>
        <v>1</v>
      </c>
      <c r="G749" s="4" t="str">
        <f aca="false" t="array" ref="G749:G749">_xlfn.TEXTJOIN(" | ",TRUE(),IF('FEMA Disasters'!$F$2:$F$1000=$A749,'FEMA Disasters'!$D$2:$D$1000&amp;" begin: ["&amp;'FEMA Disasters'!$B$2:$B$1000&amp;"] "&amp;'FEMA Disasters'!$C$2:$C$1000&amp;"-"&amp;'FEMA Disasters'!$A$2:$A$1000,""),IF('FEMA Disasters'!$G$2:$G$1000=$A749,'FEMA Disasters'!$D$2:$D$1000&amp;" ended: ["&amp;'FEMA Disasters'!$B$2:$B$1000&amp;"] "&amp;'FEMA Disasters'!$C$2:$C$1000&amp;"-"&amp;'FEMA Disasters'!$A$2:$A$1000,""),IF('FEMA Disasters'!$K$2:$K$1000=$A749,"Disaster SEP opens: "&amp;'FEMA Disasters'!$D$2:$D$1000&amp;" ["&amp;'FEMA Disasters'!$B$2:$B$1000&amp;"] "&amp;'FEMA Disasters'!$C$2:$C$1000&amp;"-"&amp;'FEMA Disasters'!$A$2:$A$1000,""),IF('FEMA Disasters'!$L$2:$L$1000=$A749,"Disaster SEP ended: "&amp;'FEMA Disasters'!$D$2:$D$1000&amp;" ["&amp;'FEMA Disasters'!$B$2:$B$1000&amp;"] "&amp;'FEMA Disasters'!$C$2:$C$1000&amp;"-"&amp;'FEMA Disasters'!$A$2:$A$1000,""))</f>
        <v/>
      </c>
      <c r="H749" s="4" t="n">
        <f aca="false">COUNTIF(Events!$A$2:$A$397,$A749)</f>
        <v>0</v>
      </c>
      <c r="I749" s="6" t="str">
        <f aca="false" t="array" ref="I749:I749">_xlfn.TEXTJOIN(" | ",TRUE(),IF(Events!$A$2:$A$397=$A749,Events!$E$2:$E$397&amp;IF(Events!$G$2:$G$397="National",""," ["&amp;Events!$G$2:$G$397&amp;"]"),""))</f>
        <v/>
      </c>
    </row>
    <row r="750" customFormat="false" ht="15" hidden="false" customHeight="true" outlineLevel="0" collapsed="false">
      <c r="A750" s="3" t="n">
        <v>46040</v>
      </c>
      <c r="B750" s="4" t="n">
        <f aca="false">YEAR($A750)</f>
        <v>2026</v>
      </c>
      <c r="C750" s="4" t="n">
        <f aca="false">MONTH($A750)</f>
        <v>1</v>
      </c>
      <c r="D750" s="4" t="str">
        <f aca="false">TEXT($A750,"ddd")</f>
        <v>Sun</v>
      </c>
      <c r="E750" s="4" t="n">
        <f aca="false">IF(OR(AND(MONTH($A750)=10,DAY($A750)&gt;=15),MONTH($A750)=11,AND(MONTH($A750)=12,DAY($A750)&lt;=7)),1,0)</f>
        <v>0</v>
      </c>
      <c r="F750" s="4" t="n">
        <f aca="false">IF(MONTH($A750)&lt;=3,1,0)</f>
        <v>1</v>
      </c>
      <c r="G750" s="4" t="str">
        <f aca="false" t="array" ref="G750:G750">_xlfn.TEXTJOIN(" | ",TRUE(),IF('FEMA Disasters'!$F$2:$F$1000=$A750,'FEMA Disasters'!$D$2:$D$1000&amp;" begin: ["&amp;'FEMA Disasters'!$B$2:$B$1000&amp;"] "&amp;'FEMA Disasters'!$C$2:$C$1000&amp;"-"&amp;'FEMA Disasters'!$A$2:$A$1000,""),IF('FEMA Disasters'!$G$2:$G$1000=$A750,'FEMA Disasters'!$D$2:$D$1000&amp;" ended: ["&amp;'FEMA Disasters'!$B$2:$B$1000&amp;"] "&amp;'FEMA Disasters'!$C$2:$C$1000&amp;"-"&amp;'FEMA Disasters'!$A$2:$A$1000,""),IF('FEMA Disasters'!$K$2:$K$1000=$A750,"Disaster SEP opens: "&amp;'FEMA Disasters'!$D$2:$D$1000&amp;" ["&amp;'FEMA Disasters'!$B$2:$B$1000&amp;"] "&amp;'FEMA Disasters'!$C$2:$C$1000&amp;"-"&amp;'FEMA Disasters'!$A$2:$A$1000,""),IF('FEMA Disasters'!$L$2:$L$1000=$A750,"Disaster SEP ended: "&amp;'FEMA Disasters'!$D$2:$D$1000&amp;" ["&amp;'FEMA Disasters'!$B$2:$B$1000&amp;"] "&amp;'FEMA Disasters'!$C$2:$C$1000&amp;"-"&amp;'FEMA Disasters'!$A$2:$A$1000,""))</f>
        <v/>
      </c>
      <c r="H750" s="4" t="n">
        <f aca="false">COUNTIF(Events!$A$2:$A$397,$A750)</f>
        <v>0</v>
      </c>
      <c r="I750" s="6" t="str">
        <f aca="false" t="array" ref="I750:I750">_xlfn.TEXTJOIN(" | ",TRUE(),IF(Events!$A$2:$A$397=$A750,Events!$E$2:$E$397&amp;IF(Events!$G$2:$G$397="National",""," ["&amp;Events!$G$2:$G$397&amp;"]"),""))</f>
        <v/>
      </c>
    </row>
    <row r="751" customFormat="false" ht="15" hidden="false" customHeight="true" outlineLevel="0" collapsed="false">
      <c r="A751" s="3" t="n">
        <v>46041</v>
      </c>
      <c r="B751" s="4" t="n">
        <f aca="false">YEAR($A751)</f>
        <v>2026</v>
      </c>
      <c r="C751" s="4" t="n">
        <f aca="false">MONTH($A751)</f>
        <v>1</v>
      </c>
      <c r="D751" s="4" t="str">
        <f aca="false">TEXT($A751,"ddd")</f>
        <v>Mon</v>
      </c>
      <c r="E751" s="4" t="n">
        <f aca="false">IF(OR(AND(MONTH($A751)=10,DAY($A751)&gt;=15),MONTH($A751)=11,AND(MONTH($A751)=12,DAY($A751)&lt;=7)),1,0)</f>
        <v>0</v>
      </c>
      <c r="F751" s="4" t="n">
        <f aca="false">IF(MONTH($A751)&lt;=3,1,0)</f>
        <v>1</v>
      </c>
      <c r="G751" s="4" t="str">
        <f aca="false" t="array" ref="G751:G751">_xlfn.TEXTJOIN(" | ",TRUE(),IF('FEMA Disasters'!$F$2:$F$1000=$A751,'FEMA Disasters'!$D$2:$D$1000&amp;" begin: ["&amp;'FEMA Disasters'!$B$2:$B$1000&amp;"] "&amp;'FEMA Disasters'!$C$2:$C$1000&amp;"-"&amp;'FEMA Disasters'!$A$2:$A$1000,""),IF('FEMA Disasters'!$G$2:$G$1000=$A751,'FEMA Disasters'!$D$2:$D$1000&amp;" ended: ["&amp;'FEMA Disasters'!$B$2:$B$1000&amp;"] "&amp;'FEMA Disasters'!$C$2:$C$1000&amp;"-"&amp;'FEMA Disasters'!$A$2:$A$1000,""),IF('FEMA Disasters'!$K$2:$K$1000=$A751,"Disaster SEP opens: "&amp;'FEMA Disasters'!$D$2:$D$1000&amp;" ["&amp;'FEMA Disasters'!$B$2:$B$1000&amp;"] "&amp;'FEMA Disasters'!$C$2:$C$1000&amp;"-"&amp;'FEMA Disasters'!$A$2:$A$1000,""),IF('FEMA Disasters'!$L$2:$L$1000=$A751,"Disaster SEP ended: "&amp;'FEMA Disasters'!$D$2:$D$1000&amp;" ["&amp;'FEMA Disasters'!$B$2:$B$1000&amp;"] "&amp;'FEMA Disasters'!$C$2:$C$1000&amp;"-"&amp;'FEMA Disasters'!$A$2:$A$1000,""))</f>
        <v>Other begin: [DC] EM-3643</v>
      </c>
      <c r="H751" s="4" t="n">
        <f aca="false">COUNTIF(Events!$A$2:$A$397,$A751)</f>
        <v>0</v>
      </c>
      <c r="I751" s="6" t="str">
        <f aca="false" t="array" ref="I751:I751">_xlfn.TEXTJOIN(" | ",TRUE(),IF(Events!$A$2:$A$397=$A751,Events!$E$2:$E$397&amp;IF(Events!$G$2:$G$397="National",""," ["&amp;Events!$G$2:$G$397&amp;"]"),""))</f>
        <v/>
      </c>
    </row>
    <row r="752" customFormat="false" ht="15" hidden="false" customHeight="true" outlineLevel="0" collapsed="false">
      <c r="A752" s="3" t="n">
        <v>46042</v>
      </c>
      <c r="B752" s="4" t="n">
        <f aca="false">YEAR($A752)</f>
        <v>2026</v>
      </c>
      <c r="C752" s="4" t="n">
        <f aca="false">MONTH($A752)</f>
        <v>1</v>
      </c>
      <c r="D752" s="4" t="str">
        <f aca="false">TEXT($A752,"ddd")</f>
        <v>Tue</v>
      </c>
      <c r="E752" s="4" t="n">
        <f aca="false">IF(OR(AND(MONTH($A752)=10,DAY($A752)&gt;=15),MONTH($A752)=11,AND(MONTH($A752)=12,DAY($A752)&lt;=7)),1,0)</f>
        <v>0</v>
      </c>
      <c r="F752" s="4" t="n">
        <f aca="false">IF(MONTH($A752)&lt;=3,1,0)</f>
        <v>1</v>
      </c>
      <c r="G752" s="4" t="str">
        <f aca="false" t="array" ref="G752:G752">_xlfn.TEXTJOIN(" | ",TRUE(),IF('FEMA Disasters'!$F$2:$F$1000=$A752,'FEMA Disasters'!$D$2:$D$1000&amp;" begin: ["&amp;'FEMA Disasters'!$B$2:$B$1000&amp;"] "&amp;'FEMA Disasters'!$C$2:$C$1000&amp;"-"&amp;'FEMA Disasters'!$A$2:$A$1000,""),IF('FEMA Disasters'!$G$2:$G$1000=$A752,'FEMA Disasters'!$D$2:$D$1000&amp;" ended: ["&amp;'FEMA Disasters'!$B$2:$B$1000&amp;"] "&amp;'FEMA Disasters'!$C$2:$C$1000&amp;"-"&amp;'FEMA Disasters'!$A$2:$A$1000,""),IF('FEMA Disasters'!$K$2:$K$1000=$A752,"Disaster SEP opens: "&amp;'FEMA Disasters'!$D$2:$D$1000&amp;" ["&amp;'FEMA Disasters'!$B$2:$B$1000&amp;"] "&amp;'FEMA Disasters'!$C$2:$C$1000&amp;"-"&amp;'FEMA Disasters'!$A$2:$A$1000,""),IF('FEMA Disasters'!$L$2:$L$1000=$A752,"Disaster SEP ended: "&amp;'FEMA Disasters'!$D$2:$D$1000&amp;" ["&amp;'FEMA Disasters'!$B$2:$B$1000&amp;"] "&amp;'FEMA Disasters'!$C$2:$C$1000&amp;"-"&amp;'FEMA Disasters'!$A$2:$A$1000,""))</f>
        <v/>
      </c>
      <c r="H752" s="4" t="n">
        <f aca="false">COUNTIF(Events!$A$2:$A$397,$A752)</f>
        <v>0</v>
      </c>
      <c r="I752" s="6" t="str">
        <f aca="false" t="array" ref="I752:I752">_xlfn.TEXTJOIN(" | ",TRUE(),IF(Events!$A$2:$A$397=$A752,Events!$E$2:$E$397&amp;IF(Events!$G$2:$G$397="National",""," ["&amp;Events!$G$2:$G$397&amp;"]"),""))</f>
        <v/>
      </c>
    </row>
    <row r="753" customFormat="false" ht="15" hidden="false" customHeight="true" outlineLevel="0" collapsed="false">
      <c r="A753" s="3" t="n">
        <v>46043</v>
      </c>
      <c r="B753" s="4" t="n">
        <f aca="false">YEAR($A753)</f>
        <v>2026</v>
      </c>
      <c r="C753" s="4" t="n">
        <f aca="false">MONTH($A753)</f>
        <v>1</v>
      </c>
      <c r="D753" s="4" t="str">
        <f aca="false">TEXT($A753,"ddd")</f>
        <v>Wed</v>
      </c>
      <c r="E753" s="4" t="n">
        <f aca="false">IF(OR(AND(MONTH($A753)=10,DAY($A753)&gt;=15),MONTH($A753)=11,AND(MONTH($A753)=12,DAY($A753)&lt;=7)),1,0)</f>
        <v>0</v>
      </c>
      <c r="F753" s="4" t="n">
        <f aca="false">IF(MONTH($A753)&lt;=3,1,0)</f>
        <v>1</v>
      </c>
      <c r="G753" s="4" t="str">
        <f aca="false" t="array" ref="G753:G753">_xlfn.TEXTJOIN(" | ",TRUE(),IF('FEMA Disasters'!$F$2:$F$1000=$A753,'FEMA Disasters'!$D$2:$D$1000&amp;" begin: ["&amp;'FEMA Disasters'!$B$2:$B$1000&amp;"] "&amp;'FEMA Disasters'!$C$2:$C$1000&amp;"-"&amp;'FEMA Disasters'!$A$2:$A$1000,""),IF('FEMA Disasters'!$G$2:$G$1000=$A753,'FEMA Disasters'!$D$2:$D$1000&amp;" ended: ["&amp;'FEMA Disasters'!$B$2:$B$1000&amp;"] "&amp;'FEMA Disasters'!$C$2:$C$1000&amp;"-"&amp;'FEMA Disasters'!$A$2:$A$1000,""),IF('FEMA Disasters'!$K$2:$K$1000=$A753,"Disaster SEP opens: "&amp;'FEMA Disasters'!$D$2:$D$1000&amp;" ["&amp;'FEMA Disasters'!$B$2:$B$1000&amp;"] "&amp;'FEMA Disasters'!$C$2:$C$1000&amp;"-"&amp;'FEMA Disasters'!$A$2:$A$1000,""),IF('FEMA Disasters'!$L$2:$L$1000=$A753,"Disaster SEP ended: "&amp;'FEMA Disasters'!$D$2:$D$1000&amp;" ["&amp;'FEMA Disasters'!$B$2:$B$1000&amp;"] "&amp;'FEMA Disasters'!$C$2:$C$1000&amp;"-"&amp;'FEMA Disasters'!$A$2:$A$1000,""))</f>
        <v>Winter Storm begin: [SC] EM-3632 | Winter Storm begin: [NC] EM-3637 | Winter Storm begin: [SC] DR-4908</v>
      </c>
      <c r="H753" s="4" t="n">
        <f aca="false">COUNTIF(Events!$A$2:$A$397,$A753)</f>
        <v>0</v>
      </c>
      <c r="I753" s="6" t="str">
        <f aca="false" t="array" ref="I753:I753">_xlfn.TEXTJOIN(" | ",TRUE(),IF(Events!$A$2:$A$397=$A753,Events!$E$2:$E$397&amp;IF(Events!$G$2:$G$397="National",""," ["&amp;Events!$G$2:$G$397&amp;"]"),""))</f>
        <v/>
      </c>
    </row>
    <row r="754" customFormat="false" ht="15" hidden="false" customHeight="true" outlineLevel="0" collapsed="false">
      <c r="A754" s="3" t="n">
        <v>46044</v>
      </c>
      <c r="B754" s="4" t="n">
        <f aca="false">YEAR($A754)</f>
        <v>2026</v>
      </c>
      <c r="C754" s="4" t="n">
        <f aca="false">MONTH($A754)</f>
        <v>1</v>
      </c>
      <c r="D754" s="4" t="str">
        <f aca="false">TEXT($A754,"ddd")</f>
        <v>Thu</v>
      </c>
      <c r="E754" s="4" t="n">
        <f aca="false">IF(OR(AND(MONTH($A754)=10,DAY($A754)&gt;=15),MONTH($A754)=11,AND(MONTH($A754)=12,DAY($A754)&lt;=7)),1,0)</f>
        <v>0</v>
      </c>
      <c r="F754" s="4" t="n">
        <f aca="false">IF(MONTH($A754)&lt;=3,1,0)</f>
        <v>1</v>
      </c>
      <c r="G754" s="4" t="str">
        <f aca="false" t="array" ref="G754:G754">_xlfn.TEXTJOIN(" | ",TRUE(),IF('FEMA Disasters'!$F$2:$F$1000=$A754,'FEMA Disasters'!$D$2:$D$1000&amp;" begin: ["&amp;'FEMA Disasters'!$B$2:$B$1000&amp;"] "&amp;'FEMA Disasters'!$C$2:$C$1000&amp;"-"&amp;'FEMA Disasters'!$A$2:$A$1000,""),IF('FEMA Disasters'!$G$2:$G$1000=$A754,'FEMA Disasters'!$D$2:$D$1000&amp;" ended: ["&amp;'FEMA Disasters'!$B$2:$B$1000&amp;"] "&amp;'FEMA Disasters'!$C$2:$C$1000&amp;"-"&amp;'FEMA Disasters'!$A$2:$A$1000,""),IF('FEMA Disasters'!$K$2:$K$1000=$A754,"Disaster SEP opens: "&amp;'FEMA Disasters'!$D$2:$D$1000&amp;" ["&amp;'FEMA Disasters'!$B$2:$B$1000&amp;"] "&amp;'FEMA Disasters'!$C$2:$C$1000&amp;"-"&amp;'FEMA Disasters'!$A$2:$A$1000,""),IF('FEMA Disasters'!$L$2:$L$1000=$A754,"Disaster SEP ended: "&amp;'FEMA Disasters'!$D$2:$D$1000&amp;" ["&amp;'FEMA Disasters'!$B$2:$B$1000&amp;"] "&amp;'FEMA Disasters'!$C$2:$C$1000&amp;"-"&amp;'FEMA Disasters'!$A$2:$A$1000,""))</f>
        <v>Winter Storm begin: [VA] EM-3631 | Winter Storm begin: [TN] EM-3635 | Winter Storm begin: [GA] EM-3642 | Winter Storm begin: [TN] DR-4898</v>
      </c>
      <c r="H754" s="4" t="n">
        <f aca="false">COUNTIF(Events!$A$2:$A$397,$A754)</f>
        <v>0</v>
      </c>
      <c r="I754" s="6" t="str">
        <f aca="false" t="array" ref="I754:I754">_xlfn.TEXTJOIN(" | ",TRUE(),IF(Events!$A$2:$A$397=$A754,Events!$E$2:$E$397&amp;IF(Events!$G$2:$G$397="National",""," ["&amp;Events!$G$2:$G$397&amp;"]"),""))</f>
        <v/>
      </c>
    </row>
    <row r="755" customFormat="false" ht="15" hidden="false" customHeight="true" outlineLevel="0" collapsed="false">
      <c r="A755" s="3" t="n">
        <v>46045</v>
      </c>
      <c r="B755" s="4" t="n">
        <f aca="false">YEAR($A755)</f>
        <v>2026</v>
      </c>
      <c r="C755" s="4" t="n">
        <f aca="false">MONTH($A755)</f>
        <v>1</v>
      </c>
      <c r="D755" s="4" t="str">
        <f aca="false">TEXT($A755,"ddd")</f>
        <v>Fri</v>
      </c>
      <c r="E755" s="4" t="n">
        <f aca="false">IF(OR(AND(MONTH($A755)=10,DAY($A755)&gt;=15),MONTH($A755)=11,AND(MONTH($A755)=12,DAY($A755)&lt;=7)),1,0)</f>
        <v>0</v>
      </c>
      <c r="F755" s="4" t="n">
        <f aca="false">IF(MONTH($A755)&lt;=3,1,0)</f>
        <v>1</v>
      </c>
      <c r="G755" s="4" t="str">
        <f aca="false" t="array" ref="G755:G755">_xlfn.TEXTJOIN(" | ",TRUE(),IF('FEMA Disasters'!$F$2:$F$1000=$A755,'FEMA Disasters'!$D$2:$D$1000&amp;" begin: ["&amp;'FEMA Disasters'!$B$2:$B$1000&amp;"] "&amp;'FEMA Disasters'!$C$2:$C$1000&amp;"-"&amp;'FEMA Disasters'!$A$2:$A$1000,""),IF('FEMA Disasters'!$G$2:$G$1000=$A755,'FEMA Disasters'!$D$2:$D$1000&amp;" ended: ["&amp;'FEMA Disasters'!$B$2:$B$1000&amp;"] "&amp;'FEMA Disasters'!$C$2:$C$1000&amp;"-"&amp;'FEMA Disasters'!$A$2:$A$1000,""),IF('FEMA Disasters'!$K$2:$K$1000=$A755,"Disaster SEP opens: "&amp;'FEMA Disasters'!$D$2:$D$1000&amp;" ["&amp;'FEMA Disasters'!$B$2:$B$1000&amp;"] "&amp;'FEMA Disasters'!$C$2:$C$1000&amp;"-"&amp;'FEMA Disasters'!$A$2:$A$1000,""),IF('FEMA Disasters'!$L$2:$L$1000=$A755,"Disaster SEP ended: "&amp;'FEMA Disasters'!$D$2:$D$1000&amp;" ["&amp;'FEMA Disasters'!$B$2:$B$1000&amp;"] "&amp;'FEMA Disasters'!$C$2:$C$1000&amp;"-"&amp;'FEMA Disasters'!$A$2:$A$1000,""))</f>
        <v>Winter Storm begin: [KY] EM-3633 | Winter Storm begin: [MD] EM-3634 | Winter Storm begin: [AR] EM-3636 | Winter Storm begin: [LA] EM-3638 | Winter Storm begin: [WV] EM-3639 | Winter Storm begin: [MS] EM-3640 | Winter Storm begin: [IN] EM-3641 | Winter Storm begin: [MS] DR-4899 | Winter Storm begin: [LA] DR-4900 | Winter Storm begin: [KY] DR-4913</v>
      </c>
      <c r="H755" s="4" t="n">
        <f aca="false">COUNTIF(Events!$A$2:$A$397,$A755)</f>
        <v>0</v>
      </c>
      <c r="I755" s="6" t="str">
        <f aca="false" t="array" ref="I755:I755">_xlfn.TEXTJOIN(" | ",TRUE(),IF(Events!$A$2:$A$397=$A755,Events!$E$2:$E$397&amp;IF(Events!$G$2:$G$397="National",""," ["&amp;Events!$G$2:$G$397&amp;"]"),""))</f>
        <v/>
      </c>
    </row>
    <row r="756" customFormat="false" ht="15" hidden="false" customHeight="true" outlineLevel="0" collapsed="false">
      <c r="A756" s="3" t="n">
        <v>46046</v>
      </c>
      <c r="B756" s="4" t="n">
        <f aca="false">YEAR($A756)</f>
        <v>2026</v>
      </c>
      <c r="C756" s="4" t="n">
        <f aca="false">MONTH($A756)</f>
        <v>1</v>
      </c>
      <c r="D756" s="4" t="str">
        <f aca="false">TEXT($A756,"ddd")</f>
        <v>Sat</v>
      </c>
      <c r="E756" s="4" t="n">
        <f aca="false">IF(OR(AND(MONTH($A756)=10,DAY($A756)&gt;=15),MONTH($A756)=11,AND(MONTH($A756)=12,DAY($A756)&lt;=7)),1,0)</f>
        <v>0</v>
      </c>
      <c r="F756" s="4" t="n">
        <f aca="false">IF(MONTH($A756)&lt;=3,1,0)</f>
        <v>1</v>
      </c>
      <c r="G756" s="4" t="str">
        <f aca="false" t="array" ref="G756:G756">_xlfn.TEXTJOIN(" | ",TRUE(),IF('FEMA Disasters'!$F$2:$F$1000=$A756,'FEMA Disasters'!$D$2:$D$1000&amp;" begin: ["&amp;'FEMA Disasters'!$B$2:$B$1000&amp;"] "&amp;'FEMA Disasters'!$C$2:$C$1000&amp;"-"&amp;'FEMA Disasters'!$A$2:$A$1000,""),IF('FEMA Disasters'!$G$2:$G$1000=$A756,'FEMA Disasters'!$D$2:$D$1000&amp;" ended: ["&amp;'FEMA Disasters'!$B$2:$B$1000&amp;"] "&amp;'FEMA Disasters'!$C$2:$C$1000&amp;"-"&amp;'FEMA Disasters'!$A$2:$A$1000,""),IF('FEMA Disasters'!$K$2:$K$1000=$A756,"Disaster SEP opens: "&amp;'FEMA Disasters'!$D$2:$D$1000&amp;" ["&amp;'FEMA Disasters'!$B$2:$B$1000&amp;"] "&amp;'FEMA Disasters'!$C$2:$C$1000&amp;"-"&amp;'FEMA Disasters'!$A$2:$A$1000,""),IF('FEMA Disasters'!$L$2:$L$1000=$A756,"Disaster SEP ended: "&amp;'FEMA Disasters'!$D$2:$D$1000&amp;" ["&amp;'FEMA Disasters'!$B$2:$B$1000&amp;"] "&amp;'FEMA Disasters'!$C$2:$C$1000&amp;"-"&amp;'FEMA Disasters'!$A$2:$A$1000,""))</f>
        <v/>
      </c>
      <c r="H756" s="4" t="n">
        <f aca="false">COUNTIF(Events!$A$2:$A$397,$A756)</f>
        <v>0</v>
      </c>
      <c r="I756" s="6" t="str">
        <f aca="false" t="array" ref="I756:I756">_xlfn.TEXTJOIN(" | ",TRUE(),IF(Events!$A$2:$A$397=$A756,Events!$E$2:$E$397&amp;IF(Events!$G$2:$G$397="National",""," ["&amp;Events!$G$2:$G$397&amp;"]"),""))</f>
        <v/>
      </c>
    </row>
    <row r="757" customFormat="false" ht="15" hidden="false" customHeight="true" outlineLevel="0" collapsed="false">
      <c r="A757" s="3" t="n">
        <v>46047</v>
      </c>
      <c r="B757" s="4" t="n">
        <f aca="false">YEAR($A757)</f>
        <v>2026</v>
      </c>
      <c r="C757" s="4" t="n">
        <f aca="false">MONTH($A757)</f>
        <v>1</v>
      </c>
      <c r="D757" s="4" t="str">
        <f aca="false">TEXT($A757,"ddd")</f>
        <v>Sun</v>
      </c>
      <c r="E757" s="4" t="n">
        <f aca="false">IF(OR(AND(MONTH($A757)=10,DAY($A757)&gt;=15),MONTH($A757)=11,AND(MONTH($A757)=12,DAY($A757)&lt;=7)),1,0)</f>
        <v>0</v>
      </c>
      <c r="F757" s="4" t="n">
        <f aca="false">IF(MONTH($A757)&lt;=3,1,0)</f>
        <v>1</v>
      </c>
      <c r="G757" s="4" t="str">
        <f aca="false" t="array" ref="G757:G757">_xlfn.TEXTJOIN(" | ",TRUE(),IF('FEMA Disasters'!$F$2:$F$1000=$A757,'FEMA Disasters'!$D$2:$D$1000&amp;" begin: ["&amp;'FEMA Disasters'!$B$2:$B$1000&amp;"] "&amp;'FEMA Disasters'!$C$2:$C$1000&amp;"-"&amp;'FEMA Disasters'!$A$2:$A$1000,""),IF('FEMA Disasters'!$G$2:$G$1000=$A757,'FEMA Disasters'!$D$2:$D$1000&amp;" ended: ["&amp;'FEMA Disasters'!$B$2:$B$1000&amp;"] "&amp;'FEMA Disasters'!$C$2:$C$1000&amp;"-"&amp;'FEMA Disasters'!$A$2:$A$1000,""),IF('FEMA Disasters'!$K$2:$K$1000=$A757,"Disaster SEP opens: "&amp;'FEMA Disasters'!$D$2:$D$1000&amp;" ["&amp;'FEMA Disasters'!$B$2:$B$1000&amp;"] "&amp;'FEMA Disasters'!$C$2:$C$1000&amp;"-"&amp;'FEMA Disasters'!$A$2:$A$1000,""),IF('FEMA Disasters'!$L$2:$L$1000=$A757,"Disaster SEP ended: "&amp;'FEMA Disasters'!$D$2:$D$1000&amp;" ["&amp;'FEMA Disasters'!$B$2:$B$1000&amp;"] "&amp;'FEMA Disasters'!$C$2:$C$1000&amp;"-"&amp;'FEMA Disasters'!$A$2:$A$1000,""))</f>
        <v/>
      </c>
      <c r="H757" s="4" t="n">
        <f aca="false">COUNTIF(Events!$A$2:$A$397,$A757)</f>
        <v>0</v>
      </c>
      <c r="I757" s="6" t="str">
        <f aca="false" t="array" ref="I757:I757">_xlfn.TEXTJOIN(" | ",TRUE(),IF(Events!$A$2:$A$397=$A757,Events!$E$2:$E$397&amp;IF(Events!$G$2:$G$397="National",""," ["&amp;Events!$G$2:$G$397&amp;"]"),""))</f>
        <v/>
      </c>
    </row>
    <row r="758" customFormat="false" ht="15" hidden="false" customHeight="true" outlineLevel="0" collapsed="false">
      <c r="A758" s="3" t="n">
        <v>46048</v>
      </c>
      <c r="B758" s="4" t="n">
        <f aca="false">YEAR($A758)</f>
        <v>2026</v>
      </c>
      <c r="C758" s="4" t="n">
        <f aca="false">MONTH($A758)</f>
        <v>1</v>
      </c>
      <c r="D758" s="4" t="str">
        <f aca="false">TEXT($A758,"ddd")</f>
        <v>Mon</v>
      </c>
      <c r="E758" s="4" t="n">
        <f aca="false">IF(OR(AND(MONTH($A758)=10,DAY($A758)&gt;=15),MONTH($A758)=11,AND(MONTH($A758)=12,DAY($A758)&lt;=7)),1,0)</f>
        <v>0</v>
      </c>
      <c r="F758" s="4" t="n">
        <f aca="false">IF(MONTH($A758)&lt;=3,1,0)</f>
        <v>1</v>
      </c>
      <c r="G758" s="4" t="str">
        <f aca="false" t="array" ref="G758:G758">_xlfn.TEXTJOIN(" | ",TRUE(),IF('FEMA Disasters'!$F$2:$F$1000=$A758,'FEMA Disasters'!$D$2:$D$1000&amp;" begin: ["&amp;'FEMA Disasters'!$B$2:$B$1000&amp;"] "&amp;'FEMA Disasters'!$C$2:$C$1000&amp;"-"&amp;'FEMA Disasters'!$A$2:$A$1000,""),IF('FEMA Disasters'!$G$2:$G$1000=$A758,'FEMA Disasters'!$D$2:$D$1000&amp;" ended: ["&amp;'FEMA Disasters'!$B$2:$B$1000&amp;"] "&amp;'FEMA Disasters'!$C$2:$C$1000&amp;"-"&amp;'FEMA Disasters'!$A$2:$A$1000,""),IF('FEMA Disasters'!$K$2:$K$1000=$A758,"Disaster SEP opens: "&amp;'FEMA Disasters'!$D$2:$D$1000&amp;" ["&amp;'FEMA Disasters'!$B$2:$B$1000&amp;"] "&amp;'FEMA Disasters'!$C$2:$C$1000&amp;"-"&amp;'FEMA Disasters'!$A$2:$A$1000,""),IF('FEMA Disasters'!$L$2:$L$1000=$A758,"Disaster SEP ended: "&amp;'FEMA Disasters'!$D$2:$D$1000&amp;" ["&amp;'FEMA Disasters'!$B$2:$B$1000&amp;"] "&amp;'FEMA Disasters'!$C$2:$C$1000&amp;"-"&amp;'FEMA Disasters'!$A$2:$A$1000,""))</f>
        <v/>
      </c>
      <c r="H758" s="4" t="n">
        <f aca="false">COUNTIF(Events!$A$2:$A$397,$A758)</f>
        <v>1</v>
      </c>
      <c r="I758" s="6" t="str">
        <f aca="false" t="array" ref="I758:I758">_xlfn.TEXTJOIN(" | ",TRUE(),IF(Events!$A$2:$A$397=$A758,Events!$E$2:$E$397&amp;IF(Events!$G$2:$G$397="National",""," ["&amp;Events!$G$2:$G$397&amp;"]"),""))</f>
        <v>CY2027 Advance Notice released: proposed only +0.09% base update (~$700M) - far below prior years; proposed excluding unlinked chart-review and audio-only diagnoses from risk scores; comments due 2/25/2026</v>
      </c>
    </row>
    <row r="759" customFormat="false" ht="15" hidden="false" customHeight="true" outlineLevel="0" collapsed="false">
      <c r="A759" s="3" t="n">
        <v>46049</v>
      </c>
      <c r="B759" s="4" t="n">
        <f aca="false">YEAR($A759)</f>
        <v>2026</v>
      </c>
      <c r="C759" s="4" t="n">
        <f aca="false">MONTH($A759)</f>
        <v>1</v>
      </c>
      <c r="D759" s="4" t="str">
        <f aca="false">TEXT($A759,"ddd")</f>
        <v>Tue</v>
      </c>
      <c r="E759" s="4" t="n">
        <f aca="false">IF(OR(AND(MONTH($A759)=10,DAY($A759)&gt;=15),MONTH($A759)=11,AND(MONTH($A759)=12,DAY($A759)&lt;=7)),1,0)</f>
        <v>0</v>
      </c>
      <c r="F759" s="4" t="n">
        <f aca="false">IF(MONTH($A759)&lt;=3,1,0)</f>
        <v>1</v>
      </c>
      <c r="G759" s="4" t="str">
        <f aca="false" t="array" ref="G759:G759">_xlfn.TEXTJOIN(" | ",TRUE(),IF('FEMA Disasters'!$F$2:$F$1000=$A759,'FEMA Disasters'!$D$2:$D$1000&amp;" begin: ["&amp;'FEMA Disasters'!$B$2:$B$1000&amp;"] "&amp;'FEMA Disasters'!$C$2:$C$1000&amp;"-"&amp;'FEMA Disasters'!$A$2:$A$1000,""),IF('FEMA Disasters'!$G$2:$G$1000=$A759,'FEMA Disasters'!$D$2:$D$1000&amp;" ended: ["&amp;'FEMA Disasters'!$B$2:$B$1000&amp;"] "&amp;'FEMA Disasters'!$C$2:$C$1000&amp;"-"&amp;'FEMA Disasters'!$A$2:$A$1000,""),IF('FEMA Disasters'!$K$2:$K$1000=$A759,"Disaster SEP opens: "&amp;'FEMA Disasters'!$D$2:$D$1000&amp;" ["&amp;'FEMA Disasters'!$B$2:$B$1000&amp;"] "&amp;'FEMA Disasters'!$C$2:$C$1000&amp;"-"&amp;'FEMA Disasters'!$A$2:$A$1000,""),IF('FEMA Disasters'!$L$2:$L$1000=$A759,"Disaster SEP ended: "&amp;'FEMA Disasters'!$D$2:$D$1000&amp;" ["&amp;'FEMA Disasters'!$B$2:$B$1000&amp;"] "&amp;'FEMA Disasters'!$C$2:$C$1000&amp;"-"&amp;'FEMA Disasters'!$A$2:$A$1000,""))</f>
        <v>Winter Storm ended: [SC] EM-3632 | Winter Storm ended: [NC] EM-3637 | Winter Storm ended: [SC] DR-4908 | Winter Storm ended: [VA] EM-3631 | Winter Storm ended: [TN] EM-3635 | Winter Storm ended: [GA] EM-3642 | Winter Storm ended: [TN] DR-4898 | Winter Storm ended: [KY] EM-3633 | Winter Storm ended: [MD] EM-3634 | Winter Storm ended: [AR] EM-3636 | Winter Storm ended: [LA] EM-3638 | Winter Storm ended: [WV] EM-3639 | Winter Storm ended: [MS] EM-3640 | Winter Storm ended: [IN] EM-3641 | Winter Storm ended: [MS] DR-4899 | Winter Storm ended: [LA] DR-4900 | Winter Storm ended: [KY] DR-4913</v>
      </c>
      <c r="H759" s="4" t="n">
        <f aca="false">COUNTIF(Events!$A$2:$A$397,$A759)</f>
        <v>1</v>
      </c>
      <c r="I759" s="6" t="str">
        <f aca="false" t="array" ref="I759:I759">_xlfn.TEXTJOIN(" | ",TRUE(),IF(Events!$A$2:$A$397=$A759,Events!$E$2:$E$397&amp;IF(Events!$G$2:$G$397="National",""," ["&amp;Events!$G$2:$G$397&amp;"]"),""))</f>
        <v>CMS announces 15 round-3 drugs (first round eligible to include Part B drugs; effective 2028)</v>
      </c>
    </row>
    <row r="760" customFormat="false" ht="15" hidden="false" customHeight="true" outlineLevel="0" collapsed="false">
      <c r="A760" s="3" t="n">
        <v>46050</v>
      </c>
      <c r="B760" s="4" t="n">
        <f aca="false">YEAR($A760)</f>
        <v>2026</v>
      </c>
      <c r="C760" s="4" t="n">
        <f aca="false">MONTH($A760)</f>
        <v>1</v>
      </c>
      <c r="D760" s="4" t="str">
        <f aca="false">TEXT($A760,"ddd")</f>
        <v>Wed</v>
      </c>
      <c r="E760" s="4" t="n">
        <f aca="false">IF(OR(AND(MONTH($A760)=10,DAY($A760)&gt;=15),MONTH($A760)=11,AND(MONTH($A760)=12,DAY($A760)&lt;=7)),1,0)</f>
        <v>0</v>
      </c>
      <c r="F760" s="4" t="n">
        <f aca="false">IF(MONTH($A760)&lt;=3,1,0)</f>
        <v>1</v>
      </c>
      <c r="G760" s="4" t="str">
        <f aca="false" t="array" ref="G760:G760">_xlfn.TEXTJOIN(" | ",TRUE(),IF('FEMA Disasters'!$F$2:$F$1000=$A760,'FEMA Disasters'!$D$2:$D$1000&amp;" begin: ["&amp;'FEMA Disasters'!$B$2:$B$1000&amp;"] "&amp;'FEMA Disasters'!$C$2:$C$1000&amp;"-"&amp;'FEMA Disasters'!$A$2:$A$1000,""),IF('FEMA Disasters'!$G$2:$G$1000=$A760,'FEMA Disasters'!$D$2:$D$1000&amp;" ended: ["&amp;'FEMA Disasters'!$B$2:$B$1000&amp;"] "&amp;'FEMA Disasters'!$C$2:$C$1000&amp;"-"&amp;'FEMA Disasters'!$A$2:$A$1000,""),IF('FEMA Disasters'!$K$2:$K$1000=$A760,"Disaster SEP opens: "&amp;'FEMA Disasters'!$D$2:$D$1000&amp;" ["&amp;'FEMA Disasters'!$B$2:$B$1000&amp;"] "&amp;'FEMA Disasters'!$C$2:$C$1000&amp;"-"&amp;'FEMA Disasters'!$A$2:$A$1000,""),IF('FEMA Disasters'!$L$2:$L$1000=$A760,"Disaster SEP ended: "&amp;'FEMA Disasters'!$D$2:$D$1000&amp;" ["&amp;'FEMA Disasters'!$B$2:$B$1000&amp;"] "&amp;'FEMA Disasters'!$C$2:$C$1000&amp;"-"&amp;'FEMA Disasters'!$A$2:$A$1000,""))</f>
        <v/>
      </c>
      <c r="H760" s="4" t="n">
        <f aca="false">COUNTIF(Events!$A$2:$A$397,$A760)</f>
        <v>0</v>
      </c>
      <c r="I760" s="6" t="str">
        <f aca="false" t="array" ref="I760:I760">_xlfn.TEXTJOIN(" | ",TRUE(),IF(Events!$A$2:$A$397=$A760,Events!$E$2:$E$397&amp;IF(Events!$G$2:$G$397="National",""," ["&amp;Events!$G$2:$G$397&amp;"]"),""))</f>
        <v/>
      </c>
    </row>
    <row r="761" customFormat="false" ht="15" hidden="false" customHeight="true" outlineLevel="0" collapsed="false">
      <c r="A761" s="3" t="n">
        <v>46051</v>
      </c>
      <c r="B761" s="4" t="n">
        <f aca="false">YEAR($A761)</f>
        <v>2026</v>
      </c>
      <c r="C761" s="4" t="n">
        <f aca="false">MONTH($A761)</f>
        <v>1</v>
      </c>
      <c r="D761" s="4" t="str">
        <f aca="false">TEXT($A761,"ddd")</f>
        <v>Thu</v>
      </c>
      <c r="E761" s="4" t="n">
        <f aca="false">IF(OR(AND(MONTH($A761)=10,DAY($A761)&gt;=15),MONTH($A761)=11,AND(MONTH($A761)=12,DAY($A761)&lt;=7)),1,0)</f>
        <v>0</v>
      </c>
      <c r="F761" s="4" t="n">
        <f aca="false">IF(MONTH($A761)&lt;=3,1,0)</f>
        <v>1</v>
      </c>
      <c r="G761" s="4" t="str">
        <f aca="false" t="array" ref="G761:G761">_xlfn.TEXTJOIN(" | ",TRUE(),IF('FEMA Disasters'!$F$2:$F$1000=$A761,'FEMA Disasters'!$D$2:$D$1000&amp;" begin: ["&amp;'FEMA Disasters'!$B$2:$B$1000&amp;"] "&amp;'FEMA Disasters'!$C$2:$C$1000&amp;"-"&amp;'FEMA Disasters'!$A$2:$A$1000,""),IF('FEMA Disasters'!$G$2:$G$1000=$A761,'FEMA Disasters'!$D$2:$D$1000&amp;" ended: ["&amp;'FEMA Disasters'!$B$2:$B$1000&amp;"] "&amp;'FEMA Disasters'!$C$2:$C$1000&amp;"-"&amp;'FEMA Disasters'!$A$2:$A$1000,""),IF('FEMA Disasters'!$K$2:$K$1000=$A761,"Disaster SEP opens: "&amp;'FEMA Disasters'!$D$2:$D$1000&amp;" ["&amp;'FEMA Disasters'!$B$2:$B$1000&amp;"] "&amp;'FEMA Disasters'!$C$2:$C$1000&amp;"-"&amp;'FEMA Disasters'!$A$2:$A$1000,""),IF('FEMA Disasters'!$L$2:$L$1000=$A761,"Disaster SEP ended: "&amp;'FEMA Disasters'!$D$2:$D$1000&amp;" ["&amp;'FEMA Disasters'!$B$2:$B$1000&amp;"] "&amp;'FEMA Disasters'!$C$2:$C$1000&amp;"-"&amp;'FEMA Disasters'!$A$2:$A$1000,""))</f>
        <v/>
      </c>
      <c r="H761" s="4" t="n">
        <f aca="false">COUNTIF(Events!$A$2:$A$397,$A761)</f>
        <v>0</v>
      </c>
      <c r="I761" s="6" t="str">
        <f aca="false" t="array" ref="I761:I761">_xlfn.TEXTJOIN(" | ",TRUE(),IF(Events!$A$2:$A$397=$A761,Events!$E$2:$E$397&amp;IF(Events!$G$2:$G$397="National",""," ["&amp;Events!$G$2:$G$397&amp;"]"),""))</f>
        <v/>
      </c>
    </row>
    <row r="762" customFormat="false" ht="15" hidden="false" customHeight="true" outlineLevel="0" collapsed="false">
      <c r="A762" s="3" t="n">
        <v>46052</v>
      </c>
      <c r="B762" s="4" t="n">
        <f aca="false">YEAR($A762)</f>
        <v>2026</v>
      </c>
      <c r="C762" s="4" t="n">
        <f aca="false">MONTH($A762)</f>
        <v>1</v>
      </c>
      <c r="D762" s="4" t="str">
        <f aca="false">TEXT($A762,"ddd")</f>
        <v>Fri</v>
      </c>
      <c r="E762" s="4" t="n">
        <f aca="false">IF(OR(AND(MONTH($A762)=10,DAY($A762)&gt;=15),MONTH($A762)=11,AND(MONTH($A762)=12,DAY($A762)&lt;=7)),1,0)</f>
        <v>0</v>
      </c>
      <c r="F762" s="4" t="n">
        <f aca="false">IF(MONTH($A762)&lt;=3,1,0)</f>
        <v>1</v>
      </c>
      <c r="G762" s="4" t="str">
        <f aca="false" t="array" ref="G762:G762">_xlfn.TEXTJOIN(" | ",TRUE(),IF('FEMA Disasters'!$F$2:$F$1000=$A762,'FEMA Disasters'!$D$2:$D$1000&amp;" begin: ["&amp;'FEMA Disasters'!$B$2:$B$1000&amp;"] "&amp;'FEMA Disasters'!$C$2:$C$1000&amp;"-"&amp;'FEMA Disasters'!$A$2:$A$1000,""),IF('FEMA Disasters'!$G$2:$G$1000=$A762,'FEMA Disasters'!$D$2:$D$1000&amp;" ended: ["&amp;'FEMA Disasters'!$B$2:$B$1000&amp;"] "&amp;'FEMA Disasters'!$C$2:$C$1000&amp;"-"&amp;'FEMA Disasters'!$A$2:$A$1000,""),IF('FEMA Disasters'!$K$2:$K$1000=$A762,"Disaster SEP opens: "&amp;'FEMA Disasters'!$D$2:$D$1000&amp;" ["&amp;'FEMA Disasters'!$B$2:$B$1000&amp;"] "&amp;'FEMA Disasters'!$C$2:$C$1000&amp;"-"&amp;'FEMA Disasters'!$A$2:$A$1000,""),IF('FEMA Disasters'!$L$2:$L$1000=$A762,"Disaster SEP ended: "&amp;'FEMA Disasters'!$D$2:$D$1000&amp;" ["&amp;'FEMA Disasters'!$B$2:$B$1000&amp;"] "&amp;'FEMA Disasters'!$C$2:$C$1000&amp;"-"&amp;'FEMA Disasters'!$A$2:$A$1000,""))</f>
        <v/>
      </c>
      <c r="H762" s="4" t="n">
        <f aca="false">COUNTIF(Events!$A$2:$A$397,$A762)</f>
        <v>0</v>
      </c>
      <c r="I762" s="6" t="str">
        <f aca="false" t="array" ref="I762:I762">_xlfn.TEXTJOIN(" | ",TRUE(),IF(Events!$A$2:$A$397=$A762,Events!$E$2:$E$397&amp;IF(Events!$G$2:$G$397="National",""," ["&amp;Events!$G$2:$G$397&amp;"]"),""))</f>
        <v/>
      </c>
    </row>
    <row r="763" customFormat="false" ht="15" hidden="false" customHeight="true" outlineLevel="0" collapsed="false">
      <c r="A763" s="3" t="n">
        <v>46053</v>
      </c>
      <c r="B763" s="4" t="n">
        <f aca="false">YEAR($A763)</f>
        <v>2026</v>
      </c>
      <c r="C763" s="4" t="n">
        <f aca="false">MONTH($A763)</f>
        <v>1</v>
      </c>
      <c r="D763" s="4" t="str">
        <f aca="false">TEXT($A763,"ddd")</f>
        <v>Sat</v>
      </c>
      <c r="E763" s="4" t="n">
        <f aca="false">IF(OR(AND(MONTH($A763)=10,DAY($A763)&gt;=15),MONTH($A763)=11,AND(MONTH($A763)=12,DAY($A763)&lt;=7)),1,0)</f>
        <v>0</v>
      </c>
      <c r="F763" s="4" t="n">
        <f aca="false">IF(MONTH($A763)&lt;=3,1,0)</f>
        <v>1</v>
      </c>
      <c r="G763" s="4" t="str">
        <f aca="false" t="array" ref="G763:G763">_xlfn.TEXTJOIN(" | ",TRUE(),IF('FEMA Disasters'!$F$2:$F$1000=$A763,'FEMA Disasters'!$D$2:$D$1000&amp;" begin: ["&amp;'FEMA Disasters'!$B$2:$B$1000&amp;"] "&amp;'FEMA Disasters'!$C$2:$C$1000&amp;"-"&amp;'FEMA Disasters'!$A$2:$A$1000,""),IF('FEMA Disasters'!$G$2:$G$1000=$A763,'FEMA Disasters'!$D$2:$D$1000&amp;" ended: ["&amp;'FEMA Disasters'!$B$2:$B$1000&amp;"] "&amp;'FEMA Disasters'!$C$2:$C$1000&amp;"-"&amp;'FEMA Disasters'!$A$2:$A$1000,""),IF('FEMA Disasters'!$K$2:$K$1000=$A763,"Disaster SEP opens: "&amp;'FEMA Disasters'!$D$2:$D$1000&amp;" ["&amp;'FEMA Disasters'!$B$2:$B$1000&amp;"] "&amp;'FEMA Disasters'!$C$2:$C$1000&amp;"-"&amp;'FEMA Disasters'!$A$2:$A$1000,""),IF('FEMA Disasters'!$L$2:$L$1000=$A763,"Disaster SEP ended: "&amp;'FEMA Disasters'!$D$2:$D$1000&amp;" ["&amp;'FEMA Disasters'!$B$2:$B$1000&amp;"] "&amp;'FEMA Disasters'!$C$2:$C$1000&amp;"-"&amp;'FEMA Disasters'!$A$2:$A$1000,""))</f>
        <v>Disaster SEP ended: Fire [ID] FM-5607 | Disaster SEP ended: Fire [OR] FM-5610 | Disaster SEP ended: Fire [MT] FM-5611 | Disaster SEP ended: Fire [HI] FM-5613 | Disaster SEP ended: Severe Storm [NM] DR-4918</v>
      </c>
      <c r="H763" s="4" t="n">
        <f aca="false">COUNTIF(Events!$A$2:$A$397,$A763)</f>
        <v>0</v>
      </c>
      <c r="I763" s="6" t="str">
        <f aca="false" t="array" ref="I763:I763">_xlfn.TEXTJOIN(" | ",TRUE(),IF(Events!$A$2:$A$397=$A763,Events!$E$2:$E$397&amp;IF(Events!$G$2:$G$397="National",""," ["&amp;Events!$G$2:$G$397&amp;"]"),""))</f>
        <v/>
      </c>
    </row>
    <row r="764" customFormat="false" ht="15" hidden="false" customHeight="true" outlineLevel="0" collapsed="false">
      <c r="A764" s="3" t="n">
        <v>46054</v>
      </c>
      <c r="B764" s="4" t="n">
        <f aca="false">YEAR($A764)</f>
        <v>2026</v>
      </c>
      <c r="C764" s="4" t="n">
        <f aca="false">MONTH($A764)</f>
        <v>2</v>
      </c>
      <c r="D764" s="4" t="str">
        <f aca="false">TEXT($A764,"ddd")</f>
        <v>Sun</v>
      </c>
      <c r="E764" s="4" t="n">
        <f aca="false">IF(OR(AND(MONTH($A764)=10,DAY($A764)&gt;=15),MONTH($A764)=11,AND(MONTH($A764)=12,DAY($A764)&lt;=7)),1,0)</f>
        <v>0</v>
      </c>
      <c r="F764" s="4" t="n">
        <f aca="false">IF(MONTH($A764)&lt;=3,1,0)</f>
        <v>1</v>
      </c>
      <c r="G764" s="4" t="str">
        <f aca="false" t="array" ref="G764:G764">_xlfn.TEXTJOIN(" | ",TRUE(),IF('FEMA Disasters'!$F$2:$F$1000=$A764,'FEMA Disasters'!$D$2:$D$1000&amp;" begin: ["&amp;'FEMA Disasters'!$B$2:$B$1000&amp;"] "&amp;'FEMA Disasters'!$C$2:$C$1000&amp;"-"&amp;'FEMA Disasters'!$A$2:$A$1000,""),IF('FEMA Disasters'!$G$2:$G$1000=$A764,'FEMA Disasters'!$D$2:$D$1000&amp;" ended: ["&amp;'FEMA Disasters'!$B$2:$B$1000&amp;"] "&amp;'FEMA Disasters'!$C$2:$C$1000&amp;"-"&amp;'FEMA Disasters'!$A$2:$A$1000,""),IF('FEMA Disasters'!$K$2:$K$1000=$A764,"Disaster SEP opens: "&amp;'FEMA Disasters'!$D$2:$D$1000&amp;" ["&amp;'FEMA Disasters'!$B$2:$B$1000&amp;"] "&amp;'FEMA Disasters'!$C$2:$C$1000&amp;"-"&amp;'FEMA Disasters'!$A$2:$A$1000,""),IF('FEMA Disasters'!$L$2:$L$1000=$A764,"Disaster SEP ended: "&amp;'FEMA Disasters'!$D$2:$D$1000&amp;" ["&amp;'FEMA Disasters'!$B$2:$B$1000&amp;"] "&amp;'FEMA Disasters'!$C$2:$C$1000&amp;"-"&amp;'FEMA Disasters'!$A$2:$A$1000,""))</f>
        <v/>
      </c>
      <c r="H764" s="4" t="n">
        <f aca="false">COUNTIF(Events!$A$2:$A$397,$A764)</f>
        <v>0</v>
      </c>
      <c r="I764" s="6" t="str">
        <f aca="false" t="array" ref="I764:I764">_xlfn.TEXTJOIN(" | ",TRUE(),IF(Events!$A$2:$A$397=$A764,Events!$E$2:$E$397&amp;IF(Events!$G$2:$G$397="National",""," ["&amp;Events!$G$2:$G$397&amp;"]"),""))</f>
        <v/>
      </c>
    </row>
    <row r="765" customFormat="false" ht="15" hidden="false" customHeight="true" outlineLevel="0" collapsed="false">
      <c r="A765" s="3" t="n">
        <v>46055</v>
      </c>
      <c r="B765" s="4" t="n">
        <f aca="false">YEAR($A765)</f>
        <v>2026</v>
      </c>
      <c r="C765" s="4" t="n">
        <f aca="false">MONTH($A765)</f>
        <v>2</v>
      </c>
      <c r="D765" s="4" t="str">
        <f aca="false">TEXT($A765,"ddd")</f>
        <v>Mon</v>
      </c>
      <c r="E765" s="4" t="n">
        <f aca="false">IF(OR(AND(MONTH($A765)=10,DAY($A765)&gt;=15),MONTH($A765)=11,AND(MONTH($A765)=12,DAY($A765)&lt;=7)),1,0)</f>
        <v>0</v>
      </c>
      <c r="F765" s="4" t="n">
        <f aca="false">IF(MONTH($A765)&lt;=3,1,0)</f>
        <v>1</v>
      </c>
      <c r="G765" s="4" t="str">
        <f aca="false" t="array" ref="G765:G765">_xlfn.TEXTJOIN(" | ",TRUE(),IF('FEMA Disasters'!$F$2:$F$1000=$A765,'FEMA Disasters'!$D$2:$D$1000&amp;" begin: ["&amp;'FEMA Disasters'!$B$2:$B$1000&amp;"] "&amp;'FEMA Disasters'!$C$2:$C$1000&amp;"-"&amp;'FEMA Disasters'!$A$2:$A$1000,""),IF('FEMA Disasters'!$G$2:$G$1000=$A765,'FEMA Disasters'!$D$2:$D$1000&amp;" ended: ["&amp;'FEMA Disasters'!$B$2:$B$1000&amp;"] "&amp;'FEMA Disasters'!$C$2:$C$1000&amp;"-"&amp;'FEMA Disasters'!$A$2:$A$1000,""),IF('FEMA Disasters'!$K$2:$K$1000=$A765,"Disaster SEP opens: "&amp;'FEMA Disasters'!$D$2:$D$1000&amp;" ["&amp;'FEMA Disasters'!$B$2:$B$1000&amp;"] "&amp;'FEMA Disasters'!$C$2:$C$1000&amp;"-"&amp;'FEMA Disasters'!$A$2:$A$1000,""),IF('FEMA Disasters'!$L$2:$L$1000=$A765,"Disaster SEP ended: "&amp;'FEMA Disasters'!$D$2:$D$1000&amp;" ["&amp;'FEMA Disasters'!$B$2:$B$1000&amp;"] "&amp;'FEMA Disasters'!$C$2:$C$1000&amp;"-"&amp;'FEMA Disasters'!$A$2:$A$1000,""))</f>
        <v/>
      </c>
      <c r="H765" s="4" t="n">
        <f aca="false">COUNTIF(Events!$A$2:$A$397,$A765)</f>
        <v>0</v>
      </c>
      <c r="I765" s="6" t="str">
        <f aca="false" t="array" ref="I765:I765">_xlfn.TEXTJOIN(" | ",TRUE(),IF(Events!$A$2:$A$397=$A765,Events!$E$2:$E$397&amp;IF(Events!$G$2:$G$397="National",""," ["&amp;Events!$G$2:$G$397&amp;"]"),""))</f>
        <v/>
      </c>
    </row>
    <row r="766" customFormat="false" ht="15" hidden="false" customHeight="true" outlineLevel="0" collapsed="false">
      <c r="A766" s="3" t="n">
        <v>46056</v>
      </c>
      <c r="B766" s="4" t="n">
        <f aca="false">YEAR($A766)</f>
        <v>2026</v>
      </c>
      <c r="C766" s="4" t="n">
        <f aca="false">MONTH($A766)</f>
        <v>2</v>
      </c>
      <c r="D766" s="4" t="str">
        <f aca="false">TEXT($A766,"ddd")</f>
        <v>Tue</v>
      </c>
      <c r="E766" s="4" t="n">
        <f aca="false">IF(OR(AND(MONTH($A766)=10,DAY($A766)&gt;=15),MONTH($A766)=11,AND(MONTH($A766)=12,DAY($A766)&lt;=7)),1,0)</f>
        <v>0</v>
      </c>
      <c r="F766" s="4" t="n">
        <f aca="false">IF(MONTH($A766)&lt;=3,1,0)</f>
        <v>1</v>
      </c>
      <c r="G766" s="4" t="str">
        <f aca="false" t="array" ref="G766:G766">_xlfn.TEXTJOIN(" | ",TRUE(),IF('FEMA Disasters'!$F$2:$F$1000=$A766,'FEMA Disasters'!$D$2:$D$1000&amp;" begin: ["&amp;'FEMA Disasters'!$B$2:$B$1000&amp;"] "&amp;'FEMA Disasters'!$C$2:$C$1000&amp;"-"&amp;'FEMA Disasters'!$A$2:$A$1000,""),IF('FEMA Disasters'!$G$2:$G$1000=$A766,'FEMA Disasters'!$D$2:$D$1000&amp;" ended: ["&amp;'FEMA Disasters'!$B$2:$B$1000&amp;"] "&amp;'FEMA Disasters'!$C$2:$C$1000&amp;"-"&amp;'FEMA Disasters'!$A$2:$A$1000,""),IF('FEMA Disasters'!$K$2:$K$1000=$A766,"Disaster SEP opens: "&amp;'FEMA Disasters'!$D$2:$D$1000&amp;" ["&amp;'FEMA Disasters'!$B$2:$B$1000&amp;"] "&amp;'FEMA Disasters'!$C$2:$C$1000&amp;"-"&amp;'FEMA Disasters'!$A$2:$A$1000,""),IF('FEMA Disasters'!$L$2:$L$1000=$A766,"Disaster SEP ended: "&amp;'FEMA Disasters'!$D$2:$D$1000&amp;" ["&amp;'FEMA Disasters'!$B$2:$B$1000&amp;"] "&amp;'FEMA Disasters'!$C$2:$C$1000&amp;"-"&amp;'FEMA Disasters'!$A$2:$A$1000,""))</f>
        <v/>
      </c>
      <c r="H766" s="4" t="n">
        <f aca="false">COUNTIF(Events!$A$2:$A$397,$A766)</f>
        <v>0</v>
      </c>
      <c r="I766" s="6" t="str">
        <f aca="false" t="array" ref="I766:I766">_xlfn.TEXTJOIN(" | ",TRUE(),IF(Events!$A$2:$A$397=$A766,Events!$E$2:$E$397&amp;IF(Events!$G$2:$G$397="National",""," ["&amp;Events!$G$2:$G$397&amp;"]"),""))</f>
        <v/>
      </c>
    </row>
    <row r="767" customFormat="false" ht="15" hidden="false" customHeight="true" outlineLevel="0" collapsed="false">
      <c r="A767" s="3" t="n">
        <v>46057</v>
      </c>
      <c r="B767" s="4" t="n">
        <f aca="false">YEAR($A767)</f>
        <v>2026</v>
      </c>
      <c r="C767" s="4" t="n">
        <f aca="false">MONTH($A767)</f>
        <v>2</v>
      </c>
      <c r="D767" s="4" t="str">
        <f aca="false">TEXT($A767,"ddd")</f>
        <v>Wed</v>
      </c>
      <c r="E767" s="4" t="n">
        <f aca="false">IF(OR(AND(MONTH($A767)=10,DAY($A767)&gt;=15),MONTH($A767)=11,AND(MONTH($A767)=12,DAY($A767)&lt;=7)),1,0)</f>
        <v>0</v>
      </c>
      <c r="F767" s="4" t="n">
        <f aca="false">IF(MONTH($A767)&lt;=3,1,0)</f>
        <v>1</v>
      </c>
      <c r="G767" s="4" t="str">
        <f aca="false" t="array" ref="G767:G767">_xlfn.TEXTJOIN(" | ",TRUE(),IF('FEMA Disasters'!$F$2:$F$1000=$A767,'FEMA Disasters'!$D$2:$D$1000&amp;" begin: ["&amp;'FEMA Disasters'!$B$2:$B$1000&amp;"] "&amp;'FEMA Disasters'!$C$2:$C$1000&amp;"-"&amp;'FEMA Disasters'!$A$2:$A$1000,""),IF('FEMA Disasters'!$G$2:$G$1000=$A767,'FEMA Disasters'!$D$2:$D$1000&amp;" ended: ["&amp;'FEMA Disasters'!$B$2:$B$1000&amp;"] "&amp;'FEMA Disasters'!$C$2:$C$1000&amp;"-"&amp;'FEMA Disasters'!$A$2:$A$1000,""),IF('FEMA Disasters'!$K$2:$K$1000=$A767,"Disaster SEP opens: "&amp;'FEMA Disasters'!$D$2:$D$1000&amp;" ["&amp;'FEMA Disasters'!$B$2:$B$1000&amp;"] "&amp;'FEMA Disasters'!$C$2:$C$1000&amp;"-"&amp;'FEMA Disasters'!$A$2:$A$1000,""),IF('FEMA Disasters'!$L$2:$L$1000=$A767,"Disaster SEP ended: "&amp;'FEMA Disasters'!$D$2:$D$1000&amp;" ["&amp;'FEMA Disasters'!$B$2:$B$1000&amp;"] "&amp;'FEMA Disasters'!$C$2:$C$1000&amp;"-"&amp;'FEMA Disasters'!$A$2:$A$1000,""))</f>
        <v/>
      </c>
      <c r="H767" s="4" t="n">
        <f aca="false">COUNTIF(Events!$A$2:$A$397,$A767)</f>
        <v>0</v>
      </c>
      <c r="I767" s="6" t="str">
        <f aca="false" t="array" ref="I767:I767">_xlfn.TEXTJOIN(" | ",TRUE(),IF(Events!$A$2:$A$397=$A767,Events!$E$2:$E$397&amp;IF(Events!$G$2:$G$397="National",""," ["&amp;Events!$G$2:$G$397&amp;"]"),""))</f>
        <v/>
      </c>
    </row>
    <row r="768" customFormat="false" ht="15" hidden="false" customHeight="true" outlineLevel="0" collapsed="false">
      <c r="A768" s="3" t="n">
        <v>46058</v>
      </c>
      <c r="B768" s="4" t="n">
        <f aca="false">YEAR($A768)</f>
        <v>2026</v>
      </c>
      <c r="C768" s="4" t="n">
        <f aca="false">MONTH($A768)</f>
        <v>2</v>
      </c>
      <c r="D768" s="4" t="str">
        <f aca="false">TEXT($A768,"ddd")</f>
        <v>Thu</v>
      </c>
      <c r="E768" s="4" t="n">
        <f aca="false">IF(OR(AND(MONTH($A768)=10,DAY($A768)&gt;=15),MONTH($A768)=11,AND(MONTH($A768)=12,DAY($A768)&lt;=7)),1,0)</f>
        <v>0</v>
      </c>
      <c r="F768" s="4" t="n">
        <f aca="false">IF(MONTH($A768)&lt;=3,1,0)</f>
        <v>1</v>
      </c>
      <c r="G768" s="4" t="str">
        <f aca="false" t="array" ref="G768:G768">_xlfn.TEXTJOIN(" | ",TRUE(),IF('FEMA Disasters'!$F$2:$F$1000=$A768,'FEMA Disasters'!$D$2:$D$1000&amp;" begin: ["&amp;'FEMA Disasters'!$B$2:$B$1000&amp;"] "&amp;'FEMA Disasters'!$C$2:$C$1000&amp;"-"&amp;'FEMA Disasters'!$A$2:$A$1000,""),IF('FEMA Disasters'!$G$2:$G$1000=$A768,'FEMA Disasters'!$D$2:$D$1000&amp;" ended: ["&amp;'FEMA Disasters'!$B$2:$B$1000&amp;"] "&amp;'FEMA Disasters'!$C$2:$C$1000&amp;"-"&amp;'FEMA Disasters'!$A$2:$A$1000,""),IF('FEMA Disasters'!$K$2:$K$1000=$A768,"Disaster SEP opens: "&amp;'FEMA Disasters'!$D$2:$D$1000&amp;" ["&amp;'FEMA Disasters'!$B$2:$B$1000&amp;"] "&amp;'FEMA Disasters'!$C$2:$C$1000&amp;"-"&amp;'FEMA Disasters'!$A$2:$A$1000,""),IF('FEMA Disasters'!$L$2:$L$1000=$A768,"Disaster SEP ended: "&amp;'FEMA Disasters'!$D$2:$D$1000&amp;" ["&amp;'FEMA Disasters'!$B$2:$B$1000&amp;"] "&amp;'FEMA Disasters'!$C$2:$C$1000&amp;"-"&amp;'FEMA Disasters'!$A$2:$A$1000,""))</f>
        <v/>
      </c>
      <c r="H768" s="4" t="n">
        <f aca="false">COUNTIF(Events!$A$2:$A$397,$A768)</f>
        <v>0</v>
      </c>
      <c r="I768" s="6" t="str">
        <f aca="false" t="array" ref="I768:I768">_xlfn.TEXTJOIN(" | ",TRUE(),IF(Events!$A$2:$A$397=$A768,Events!$E$2:$E$397&amp;IF(Events!$G$2:$G$397="National",""," ["&amp;Events!$G$2:$G$397&amp;"]"),""))</f>
        <v/>
      </c>
    </row>
    <row r="769" customFormat="false" ht="15" hidden="false" customHeight="true" outlineLevel="0" collapsed="false">
      <c r="A769" s="3" t="n">
        <v>46059</v>
      </c>
      <c r="B769" s="4" t="n">
        <f aca="false">YEAR($A769)</f>
        <v>2026</v>
      </c>
      <c r="C769" s="4" t="n">
        <f aca="false">MONTH($A769)</f>
        <v>2</v>
      </c>
      <c r="D769" s="4" t="str">
        <f aca="false">TEXT($A769,"ddd")</f>
        <v>Fri</v>
      </c>
      <c r="E769" s="4" t="n">
        <f aca="false">IF(OR(AND(MONTH($A769)=10,DAY($A769)&gt;=15),MONTH($A769)=11,AND(MONTH($A769)=12,DAY($A769)&lt;=7)),1,0)</f>
        <v>0</v>
      </c>
      <c r="F769" s="4" t="n">
        <f aca="false">IF(MONTH($A769)&lt;=3,1,0)</f>
        <v>1</v>
      </c>
      <c r="G769" s="4" t="str">
        <f aca="false" t="array" ref="G769:G769">_xlfn.TEXTJOIN(" | ",TRUE(),IF('FEMA Disasters'!$F$2:$F$1000=$A769,'FEMA Disasters'!$D$2:$D$1000&amp;" begin: ["&amp;'FEMA Disasters'!$B$2:$B$1000&amp;"] "&amp;'FEMA Disasters'!$C$2:$C$1000&amp;"-"&amp;'FEMA Disasters'!$A$2:$A$1000,""),IF('FEMA Disasters'!$G$2:$G$1000=$A769,'FEMA Disasters'!$D$2:$D$1000&amp;" ended: ["&amp;'FEMA Disasters'!$B$2:$B$1000&amp;"] "&amp;'FEMA Disasters'!$C$2:$C$1000&amp;"-"&amp;'FEMA Disasters'!$A$2:$A$1000,""),IF('FEMA Disasters'!$K$2:$K$1000=$A769,"Disaster SEP opens: "&amp;'FEMA Disasters'!$D$2:$D$1000&amp;" ["&amp;'FEMA Disasters'!$B$2:$B$1000&amp;"] "&amp;'FEMA Disasters'!$C$2:$C$1000&amp;"-"&amp;'FEMA Disasters'!$A$2:$A$1000,""),IF('FEMA Disasters'!$L$2:$L$1000=$A769,"Disaster SEP ended: "&amp;'FEMA Disasters'!$D$2:$D$1000&amp;" ["&amp;'FEMA Disasters'!$B$2:$B$1000&amp;"] "&amp;'FEMA Disasters'!$C$2:$C$1000&amp;"-"&amp;'FEMA Disasters'!$A$2:$A$1000,""))</f>
        <v/>
      </c>
      <c r="H769" s="4" t="n">
        <f aca="false">COUNTIF(Events!$A$2:$A$397,$A769)</f>
        <v>0</v>
      </c>
      <c r="I769" s="6" t="str">
        <f aca="false" t="array" ref="I769:I769">_xlfn.TEXTJOIN(" | ",TRUE(),IF(Events!$A$2:$A$397=$A769,Events!$E$2:$E$397&amp;IF(Events!$G$2:$G$397="National",""," ["&amp;Events!$G$2:$G$397&amp;"]"),""))</f>
        <v/>
      </c>
    </row>
    <row r="770" customFormat="false" ht="15" hidden="false" customHeight="true" outlineLevel="0" collapsed="false">
      <c r="A770" s="3" t="n">
        <v>46060</v>
      </c>
      <c r="B770" s="4" t="n">
        <f aca="false">YEAR($A770)</f>
        <v>2026</v>
      </c>
      <c r="C770" s="4" t="n">
        <f aca="false">MONTH($A770)</f>
        <v>2</v>
      </c>
      <c r="D770" s="4" t="str">
        <f aca="false">TEXT($A770,"ddd")</f>
        <v>Sat</v>
      </c>
      <c r="E770" s="4" t="n">
        <f aca="false">IF(OR(AND(MONTH($A770)=10,DAY($A770)&gt;=15),MONTH($A770)=11,AND(MONTH($A770)=12,DAY($A770)&lt;=7)),1,0)</f>
        <v>0</v>
      </c>
      <c r="F770" s="4" t="n">
        <f aca="false">IF(MONTH($A770)&lt;=3,1,0)</f>
        <v>1</v>
      </c>
      <c r="G770" s="4" t="str">
        <f aca="false" t="array" ref="G770:G770">_xlfn.TEXTJOIN(" | ",TRUE(),IF('FEMA Disasters'!$F$2:$F$1000=$A770,'FEMA Disasters'!$D$2:$D$1000&amp;" begin: ["&amp;'FEMA Disasters'!$B$2:$B$1000&amp;"] "&amp;'FEMA Disasters'!$C$2:$C$1000&amp;"-"&amp;'FEMA Disasters'!$A$2:$A$1000,""),IF('FEMA Disasters'!$G$2:$G$1000=$A770,'FEMA Disasters'!$D$2:$D$1000&amp;" ended: ["&amp;'FEMA Disasters'!$B$2:$B$1000&amp;"] "&amp;'FEMA Disasters'!$C$2:$C$1000&amp;"-"&amp;'FEMA Disasters'!$A$2:$A$1000,""),IF('FEMA Disasters'!$K$2:$K$1000=$A770,"Disaster SEP opens: "&amp;'FEMA Disasters'!$D$2:$D$1000&amp;" ["&amp;'FEMA Disasters'!$B$2:$B$1000&amp;"] "&amp;'FEMA Disasters'!$C$2:$C$1000&amp;"-"&amp;'FEMA Disasters'!$A$2:$A$1000,""),IF('FEMA Disasters'!$L$2:$L$1000=$A770,"Disaster SEP ended: "&amp;'FEMA Disasters'!$D$2:$D$1000&amp;" ["&amp;'FEMA Disasters'!$B$2:$B$1000&amp;"] "&amp;'FEMA Disasters'!$C$2:$C$1000&amp;"-"&amp;'FEMA Disasters'!$A$2:$A$1000,""))</f>
        <v/>
      </c>
      <c r="H770" s="4" t="n">
        <f aca="false">COUNTIF(Events!$A$2:$A$397,$A770)</f>
        <v>0</v>
      </c>
      <c r="I770" s="6" t="str">
        <f aca="false" t="array" ref="I770:I770">_xlfn.TEXTJOIN(" | ",TRUE(),IF(Events!$A$2:$A$397=$A770,Events!$E$2:$E$397&amp;IF(Events!$G$2:$G$397="National",""," ["&amp;Events!$G$2:$G$397&amp;"]"),""))</f>
        <v/>
      </c>
    </row>
    <row r="771" customFormat="false" ht="15" hidden="false" customHeight="true" outlineLevel="0" collapsed="false">
      <c r="A771" s="3" t="n">
        <v>46061</v>
      </c>
      <c r="B771" s="4" t="n">
        <f aca="false">YEAR($A771)</f>
        <v>2026</v>
      </c>
      <c r="C771" s="4" t="n">
        <f aca="false">MONTH($A771)</f>
        <v>2</v>
      </c>
      <c r="D771" s="4" t="str">
        <f aca="false">TEXT($A771,"ddd")</f>
        <v>Sun</v>
      </c>
      <c r="E771" s="4" t="n">
        <f aca="false">IF(OR(AND(MONTH($A771)=10,DAY($A771)&gt;=15),MONTH($A771)=11,AND(MONTH($A771)=12,DAY($A771)&lt;=7)),1,0)</f>
        <v>0</v>
      </c>
      <c r="F771" s="4" t="n">
        <f aca="false">IF(MONTH($A771)&lt;=3,1,0)</f>
        <v>1</v>
      </c>
      <c r="G771" s="4" t="str">
        <f aca="false" t="array" ref="G771:G771">_xlfn.TEXTJOIN(" | ",TRUE(),IF('FEMA Disasters'!$F$2:$F$1000=$A771,'FEMA Disasters'!$D$2:$D$1000&amp;" begin: ["&amp;'FEMA Disasters'!$B$2:$B$1000&amp;"] "&amp;'FEMA Disasters'!$C$2:$C$1000&amp;"-"&amp;'FEMA Disasters'!$A$2:$A$1000,""),IF('FEMA Disasters'!$G$2:$G$1000=$A771,'FEMA Disasters'!$D$2:$D$1000&amp;" ended: ["&amp;'FEMA Disasters'!$B$2:$B$1000&amp;"] "&amp;'FEMA Disasters'!$C$2:$C$1000&amp;"-"&amp;'FEMA Disasters'!$A$2:$A$1000,""),IF('FEMA Disasters'!$K$2:$K$1000=$A771,"Disaster SEP opens: "&amp;'FEMA Disasters'!$D$2:$D$1000&amp;" ["&amp;'FEMA Disasters'!$B$2:$B$1000&amp;"] "&amp;'FEMA Disasters'!$C$2:$C$1000&amp;"-"&amp;'FEMA Disasters'!$A$2:$A$1000,""),IF('FEMA Disasters'!$L$2:$L$1000=$A771,"Disaster SEP ended: "&amp;'FEMA Disasters'!$D$2:$D$1000&amp;" ["&amp;'FEMA Disasters'!$B$2:$B$1000&amp;"] "&amp;'FEMA Disasters'!$C$2:$C$1000&amp;"-"&amp;'FEMA Disasters'!$A$2:$A$1000,""))</f>
        <v/>
      </c>
      <c r="H771" s="4" t="n">
        <f aca="false">COUNTIF(Events!$A$2:$A$397,$A771)</f>
        <v>0</v>
      </c>
      <c r="I771" s="6" t="str">
        <f aca="false" t="array" ref="I771:I771">_xlfn.TEXTJOIN(" | ",TRUE(),IF(Events!$A$2:$A$397=$A771,Events!$E$2:$E$397&amp;IF(Events!$G$2:$G$397="National",""," ["&amp;Events!$G$2:$G$397&amp;"]"),""))</f>
        <v/>
      </c>
    </row>
    <row r="772" customFormat="false" ht="15" hidden="false" customHeight="true" outlineLevel="0" collapsed="false">
      <c r="A772" s="3" t="n">
        <v>46062</v>
      </c>
      <c r="B772" s="4" t="n">
        <f aca="false">YEAR($A772)</f>
        <v>2026</v>
      </c>
      <c r="C772" s="4" t="n">
        <f aca="false">MONTH($A772)</f>
        <v>2</v>
      </c>
      <c r="D772" s="4" t="str">
        <f aca="false">TEXT($A772,"ddd")</f>
        <v>Mon</v>
      </c>
      <c r="E772" s="4" t="n">
        <f aca="false">IF(OR(AND(MONTH($A772)=10,DAY($A772)&gt;=15),MONTH($A772)=11,AND(MONTH($A772)=12,DAY($A772)&lt;=7)),1,0)</f>
        <v>0</v>
      </c>
      <c r="F772" s="4" t="n">
        <f aca="false">IF(MONTH($A772)&lt;=3,1,0)</f>
        <v>1</v>
      </c>
      <c r="G772" s="4" t="str">
        <f aca="false" t="array" ref="G772:G772">_xlfn.TEXTJOIN(" | ",TRUE(),IF('FEMA Disasters'!$F$2:$F$1000=$A772,'FEMA Disasters'!$D$2:$D$1000&amp;" begin: ["&amp;'FEMA Disasters'!$B$2:$B$1000&amp;"] "&amp;'FEMA Disasters'!$C$2:$C$1000&amp;"-"&amp;'FEMA Disasters'!$A$2:$A$1000,""),IF('FEMA Disasters'!$G$2:$G$1000=$A772,'FEMA Disasters'!$D$2:$D$1000&amp;" ended: ["&amp;'FEMA Disasters'!$B$2:$B$1000&amp;"] "&amp;'FEMA Disasters'!$C$2:$C$1000&amp;"-"&amp;'FEMA Disasters'!$A$2:$A$1000,""),IF('FEMA Disasters'!$K$2:$K$1000=$A772,"Disaster SEP opens: "&amp;'FEMA Disasters'!$D$2:$D$1000&amp;" ["&amp;'FEMA Disasters'!$B$2:$B$1000&amp;"] "&amp;'FEMA Disasters'!$C$2:$C$1000&amp;"-"&amp;'FEMA Disasters'!$A$2:$A$1000,""),IF('FEMA Disasters'!$L$2:$L$1000=$A772,"Disaster SEP ended: "&amp;'FEMA Disasters'!$D$2:$D$1000&amp;" ["&amp;'FEMA Disasters'!$B$2:$B$1000&amp;"] "&amp;'FEMA Disasters'!$C$2:$C$1000&amp;"-"&amp;'FEMA Disasters'!$A$2:$A$1000,""))</f>
        <v/>
      </c>
      <c r="H772" s="4" t="n">
        <f aca="false">COUNTIF(Events!$A$2:$A$397,$A772)</f>
        <v>0</v>
      </c>
      <c r="I772" s="6" t="str">
        <f aca="false" t="array" ref="I772:I772">_xlfn.TEXTJOIN(" | ",TRUE(),IF(Events!$A$2:$A$397=$A772,Events!$E$2:$E$397&amp;IF(Events!$G$2:$G$397="National",""," ["&amp;Events!$G$2:$G$397&amp;"]"),""))</f>
        <v/>
      </c>
    </row>
    <row r="773" customFormat="false" ht="15" hidden="false" customHeight="true" outlineLevel="0" collapsed="false">
      <c r="A773" s="3" t="n">
        <v>46063</v>
      </c>
      <c r="B773" s="4" t="n">
        <f aca="false">YEAR($A773)</f>
        <v>2026</v>
      </c>
      <c r="C773" s="4" t="n">
        <f aca="false">MONTH($A773)</f>
        <v>2</v>
      </c>
      <c r="D773" s="4" t="str">
        <f aca="false">TEXT($A773,"ddd")</f>
        <v>Tue</v>
      </c>
      <c r="E773" s="4" t="n">
        <f aca="false">IF(OR(AND(MONTH($A773)=10,DAY($A773)&gt;=15),MONTH($A773)=11,AND(MONTH($A773)=12,DAY($A773)&lt;=7)),1,0)</f>
        <v>0</v>
      </c>
      <c r="F773" s="4" t="n">
        <f aca="false">IF(MONTH($A773)&lt;=3,1,0)</f>
        <v>1</v>
      </c>
      <c r="G773" s="4" t="str">
        <f aca="false" t="array" ref="G773:G773">_xlfn.TEXTJOIN(" | ",TRUE(),IF('FEMA Disasters'!$F$2:$F$1000=$A773,'FEMA Disasters'!$D$2:$D$1000&amp;" begin: ["&amp;'FEMA Disasters'!$B$2:$B$1000&amp;"] "&amp;'FEMA Disasters'!$C$2:$C$1000&amp;"-"&amp;'FEMA Disasters'!$A$2:$A$1000,""),IF('FEMA Disasters'!$G$2:$G$1000=$A773,'FEMA Disasters'!$D$2:$D$1000&amp;" ended: ["&amp;'FEMA Disasters'!$B$2:$B$1000&amp;"] "&amp;'FEMA Disasters'!$C$2:$C$1000&amp;"-"&amp;'FEMA Disasters'!$A$2:$A$1000,""),IF('FEMA Disasters'!$K$2:$K$1000=$A773,"Disaster SEP opens: "&amp;'FEMA Disasters'!$D$2:$D$1000&amp;" ["&amp;'FEMA Disasters'!$B$2:$B$1000&amp;"] "&amp;'FEMA Disasters'!$C$2:$C$1000&amp;"-"&amp;'FEMA Disasters'!$A$2:$A$1000,""),IF('FEMA Disasters'!$L$2:$L$1000=$A773,"Disaster SEP ended: "&amp;'FEMA Disasters'!$D$2:$D$1000&amp;" ["&amp;'FEMA Disasters'!$B$2:$B$1000&amp;"] "&amp;'FEMA Disasters'!$C$2:$C$1000&amp;"-"&amp;'FEMA Disasters'!$A$2:$A$1000,""))</f>
        <v/>
      </c>
      <c r="H773" s="4" t="n">
        <f aca="false">COUNTIF(Events!$A$2:$A$397,$A773)</f>
        <v>0</v>
      </c>
      <c r="I773" s="6" t="str">
        <f aca="false" t="array" ref="I773:I773">_xlfn.TEXTJOIN(" | ",TRUE(),IF(Events!$A$2:$A$397=$A773,Events!$E$2:$E$397&amp;IF(Events!$G$2:$G$397="National",""," ["&amp;Events!$G$2:$G$397&amp;"]"),""))</f>
        <v/>
      </c>
    </row>
    <row r="774" customFormat="false" ht="15" hidden="false" customHeight="true" outlineLevel="0" collapsed="false">
      <c r="A774" s="3" t="n">
        <v>46064</v>
      </c>
      <c r="B774" s="4" t="n">
        <f aca="false">YEAR($A774)</f>
        <v>2026</v>
      </c>
      <c r="C774" s="4" t="n">
        <f aca="false">MONTH($A774)</f>
        <v>2</v>
      </c>
      <c r="D774" s="4" t="str">
        <f aca="false">TEXT($A774,"ddd")</f>
        <v>Wed</v>
      </c>
      <c r="E774" s="4" t="n">
        <f aca="false">IF(OR(AND(MONTH($A774)=10,DAY($A774)&gt;=15),MONTH($A774)=11,AND(MONTH($A774)=12,DAY($A774)&lt;=7)),1,0)</f>
        <v>0</v>
      </c>
      <c r="F774" s="4" t="n">
        <f aca="false">IF(MONTH($A774)&lt;=3,1,0)</f>
        <v>1</v>
      </c>
      <c r="G774" s="4" t="str">
        <f aca="false" t="array" ref="G774:G774">_xlfn.TEXTJOIN(" | ",TRUE(),IF('FEMA Disasters'!$F$2:$F$1000=$A774,'FEMA Disasters'!$D$2:$D$1000&amp;" begin: ["&amp;'FEMA Disasters'!$B$2:$B$1000&amp;"] "&amp;'FEMA Disasters'!$C$2:$C$1000&amp;"-"&amp;'FEMA Disasters'!$A$2:$A$1000,""),IF('FEMA Disasters'!$G$2:$G$1000=$A774,'FEMA Disasters'!$D$2:$D$1000&amp;" ended: ["&amp;'FEMA Disasters'!$B$2:$B$1000&amp;"] "&amp;'FEMA Disasters'!$C$2:$C$1000&amp;"-"&amp;'FEMA Disasters'!$A$2:$A$1000,""),IF('FEMA Disasters'!$K$2:$K$1000=$A774,"Disaster SEP opens: "&amp;'FEMA Disasters'!$D$2:$D$1000&amp;" ["&amp;'FEMA Disasters'!$B$2:$B$1000&amp;"] "&amp;'FEMA Disasters'!$C$2:$C$1000&amp;"-"&amp;'FEMA Disasters'!$A$2:$A$1000,""),IF('FEMA Disasters'!$L$2:$L$1000=$A774,"Disaster SEP ended: "&amp;'FEMA Disasters'!$D$2:$D$1000&amp;" ["&amp;'FEMA Disasters'!$B$2:$B$1000&amp;"] "&amp;'FEMA Disasters'!$C$2:$C$1000&amp;"-"&amp;'FEMA Disasters'!$A$2:$A$1000,""))</f>
        <v/>
      </c>
      <c r="H774" s="4" t="n">
        <f aca="false">COUNTIF(Events!$A$2:$A$397,$A774)</f>
        <v>0</v>
      </c>
      <c r="I774" s="6" t="str">
        <f aca="false" t="array" ref="I774:I774">_xlfn.TEXTJOIN(" | ",TRUE(),IF(Events!$A$2:$A$397=$A774,Events!$E$2:$E$397&amp;IF(Events!$G$2:$G$397="National",""," ["&amp;Events!$G$2:$G$397&amp;"]"),""))</f>
        <v/>
      </c>
    </row>
    <row r="775" customFormat="false" ht="15" hidden="false" customHeight="true" outlineLevel="0" collapsed="false">
      <c r="A775" s="3" t="n">
        <v>46065</v>
      </c>
      <c r="B775" s="4" t="n">
        <f aca="false">YEAR($A775)</f>
        <v>2026</v>
      </c>
      <c r="C775" s="4" t="n">
        <f aca="false">MONTH($A775)</f>
        <v>2</v>
      </c>
      <c r="D775" s="4" t="str">
        <f aca="false">TEXT($A775,"ddd")</f>
        <v>Thu</v>
      </c>
      <c r="E775" s="4" t="n">
        <f aca="false">IF(OR(AND(MONTH($A775)=10,DAY($A775)&gt;=15),MONTH($A775)=11,AND(MONTH($A775)=12,DAY($A775)&lt;=7)),1,0)</f>
        <v>0</v>
      </c>
      <c r="F775" s="4" t="n">
        <f aca="false">IF(MONTH($A775)&lt;=3,1,0)</f>
        <v>1</v>
      </c>
      <c r="G775" s="4" t="str">
        <f aca="false" t="array" ref="G775:G775">_xlfn.TEXTJOIN(" | ",TRUE(),IF('FEMA Disasters'!$F$2:$F$1000=$A775,'FEMA Disasters'!$D$2:$D$1000&amp;" begin: ["&amp;'FEMA Disasters'!$B$2:$B$1000&amp;"] "&amp;'FEMA Disasters'!$C$2:$C$1000&amp;"-"&amp;'FEMA Disasters'!$A$2:$A$1000,""),IF('FEMA Disasters'!$G$2:$G$1000=$A775,'FEMA Disasters'!$D$2:$D$1000&amp;" ended: ["&amp;'FEMA Disasters'!$B$2:$B$1000&amp;"] "&amp;'FEMA Disasters'!$C$2:$C$1000&amp;"-"&amp;'FEMA Disasters'!$A$2:$A$1000,""),IF('FEMA Disasters'!$K$2:$K$1000=$A775,"Disaster SEP opens: "&amp;'FEMA Disasters'!$D$2:$D$1000&amp;" ["&amp;'FEMA Disasters'!$B$2:$B$1000&amp;"] "&amp;'FEMA Disasters'!$C$2:$C$1000&amp;"-"&amp;'FEMA Disasters'!$A$2:$A$1000,""),IF('FEMA Disasters'!$L$2:$L$1000=$A775,"Disaster SEP ended: "&amp;'FEMA Disasters'!$D$2:$D$1000&amp;" ["&amp;'FEMA Disasters'!$B$2:$B$1000&amp;"] "&amp;'FEMA Disasters'!$C$2:$C$1000&amp;"-"&amp;'FEMA Disasters'!$A$2:$A$1000,""))</f>
        <v/>
      </c>
      <c r="H775" s="4" t="n">
        <f aca="false">COUNTIF(Events!$A$2:$A$397,$A775)</f>
        <v>0</v>
      </c>
      <c r="I775" s="6" t="str">
        <f aca="false" t="array" ref="I775:I775">_xlfn.TEXTJOIN(" | ",TRUE(),IF(Events!$A$2:$A$397=$A775,Events!$E$2:$E$397&amp;IF(Events!$G$2:$G$397="National",""," ["&amp;Events!$G$2:$G$397&amp;"]"),""))</f>
        <v/>
      </c>
    </row>
    <row r="776" customFormat="false" ht="15" hidden="false" customHeight="true" outlineLevel="0" collapsed="false">
      <c r="A776" s="3" t="n">
        <v>46066</v>
      </c>
      <c r="B776" s="4" t="n">
        <f aca="false">YEAR($A776)</f>
        <v>2026</v>
      </c>
      <c r="C776" s="4" t="n">
        <f aca="false">MONTH($A776)</f>
        <v>2</v>
      </c>
      <c r="D776" s="4" t="str">
        <f aca="false">TEXT($A776,"ddd")</f>
        <v>Fri</v>
      </c>
      <c r="E776" s="4" t="n">
        <f aca="false">IF(OR(AND(MONTH($A776)=10,DAY($A776)&gt;=15),MONTH($A776)=11,AND(MONTH($A776)=12,DAY($A776)&lt;=7)),1,0)</f>
        <v>0</v>
      </c>
      <c r="F776" s="4" t="n">
        <f aca="false">IF(MONTH($A776)&lt;=3,1,0)</f>
        <v>1</v>
      </c>
      <c r="G776" s="4" t="str">
        <f aca="false" t="array" ref="G776:G776">_xlfn.TEXTJOIN(" | ",TRUE(),IF('FEMA Disasters'!$F$2:$F$1000=$A776,'FEMA Disasters'!$D$2:$D$1000&amp;" begin: ["&amp;'FEMA Disasters'!$B$2:$B$1000&amp;"] "&amp;'FEMA Disasters'!$C$2:$C$1000&amp;"-"&amp;'FEMA Disasters'!$A$2:$A$1000,""),IF('FEMA Disasters'!$G$2:$G$1000=$A776,'FEMA Disasters'!$D$2:$D$1000&amp;" ended: ["&amp;'FEMA Disasters'!$B$2:$B$1000&amp;"] "&amp;'FEMA Disasters'!$C$2:$C$1000&amp;"-"&amp;'FEMA Disasters'!$A$2:$A$1000,""),IF('FEMA Disasters'!$K$2:$K$1000=$A776,"Disaster SEP opens: "&amp;'FEMA Disasters'!$D$2:$D$1000&amp;" ["&amp;'FEMA Disasters'!$B$2:$B$1000&amp;"] "&amp;'FEMA Disasters'!$C$2:$C$1000&amp;"-"&amp;'FEMA Disasters'!$A$2:$A$1000,""),IF('FEMA Disasters'!$L$2:$L$1000=$A776,"Disaster SEP ended: "&amp;'FEMA Disasters'!$D$2:$D$1000&amp;" ["&amp;'FEMA Disasters'!$B$2:$B$1000&amp;"] "&amp;'FEMA Disasters'!$C$2:$C$1000&amp;"-"&amp;'FEMA Disasters'!$A$2:$A$1000,""))</f>
        <v/>
      </c>
      <c r="H776" s="4" t="n">
        <f aca="false">COUNTIF(Events!$A$2:$A$397,$A776)</f>
        <v>0</v>
      </c>
      <c r="I776" s="6" t="str">
        <f aca="false" t="array" ref="I776:I776">_xlfn.TEXTJOIN(" | ",TRUE(),IF(Events!$A$2:$A$397=$A776,Events!$E$2:$E$397&amp;IF(Events!$G$2:$G$397="National",""," ["&amp;Events!$G$2:$G$397&amp;"]"),""))</f>
        <v/>
      </c>
    </row>
    <row r="777" customFormat="false" ht="15" hidden="false" customHeight="true" outlineLevel="0" collapsed="false">
      <c r="A777" s="3" t="n">
        <v>46067</v>
      </c>
      <c r="B777" s="4" t="n">
        <f aca="false">YEAR($A777)</f>
        <v>2026</v>
      </c>
      <c r="C777" s="4" t="n">
        <f aca="false">MONTH($A777)</f>
        <v>2</v>
      </c>
      <c r="D777" s="4" t="str">
        <f aca="false">TEXT($A777,"ddd")</f>
        <v>Sat</v>
      </c>
      <c r="E777" s="4" t="n">
        <f aca="false">IF(OR(AND(MONTH($A777)=10,DAY($A777)&gt;=15),MONTH($A777)=11,AND(MONTH($A777)=12,DAY($A777)&lt;=7)),1,0)</f>
        <v>0</v>
      </c>
      <c r="F777" s="4" t="n">
        <f aca="false">IF(MONTH($A777)&lt;=3,1,0)</f>
        <v>1</v>
      </c>
      <c r="G777" s="4" t="str">
        <f aca="false" t="array" ref="G777:G777">_xlfn.TEXTJOIN(" | ",TRUE(),IF('FEMA Disasters'!$F$2:$F$1000=$A777,'FEMA Disasters'!$D$2:$D$1000&amp;" begin: ["&amp;'FEMA Disasters'!$B$2:$B$1000&amp;"] "&amp;'FEMA Disasters'!$C$2:$C$1000&amp;"-"&amp;'FEMA Disasters'!$A$2:$A$1000,""),IF('FEMA Disasters'!$G$2:$G$1000=$A777,'FEMA Disasters'!$D$2:$D$1000&amp;" ended: ["&amp;'FEMA Disasters'!$B$2:$B$1000&amp;"] "&amp;'FEMA Disasters'!$C$2:$C$1000&amp;"-"&amp;'FEMA Disasters'!$A$2:$A$1000,""),IF('FEMA Disasters'!$K$2:$K$1000=$A777,"Disaster SEP opens: "&amp;'FEMA Disasters'!$D$2:$D$1000&amp;" ["&amp;'FEMA Disasters'!$B$2:$B$1000&amp;"] "&amp;'FEMA Disasters'!$C$2:$C$1000&amp;"-"&amp;'FEMA Disasters'!$A$2:$A$1000,""),IF('FEMA Disasters'!$L$2:$L$1000=$A777,"Disaster SEP ended: "&amp;'FEMA Disasters'!$D$2:$D$1000&amp;" ["&amp;'FEMA Disasters'!$B$2:$B$1000&amp;"] "&amp;'FEMA Disasters'!$C$2:$C$1000&amp;"-"&amp;'FEMA Disasters'!$A$2:$A$1000,""))</f>
        <v/>
      </c>
      <c r="H777" s="4" t="n">
        <f aca="false">COUNTIF(Events!$A$2:$A$397,$A777)</f>
        <v>0</v>
      </c>
      <c r="I777" s="6" t="str">
        <f aca="false" t="array" ref="I777:I777">_xlfn.TEXTJOIN(" | ",TRUE(),IF(Events!$A$2:$A$397=$A777,Events!$E$2:$E$397&amp;IF(Events!$G$2:$G$397="National",""," ["&amp;Events!$G$2:$G$397&amp;"]"),""))</f>
        <v/>
      </c>
    </row>
    <row r="778" customFormat="false" ht="15" hidden="false" customHeight="true" outlineLevel="0" collapsed="false">
      <c r="A778" s="3" t="n">
        <v>46068</v>
      </c>
      <c r="B778" s="4" t="n">
        <f aca="false">YEAR($A778)</f>
        <v>2026</v>
      </c>
      <c r="C778" s="4" t="n">
        <f aca="false">MONTH($A778)</f>
        <v>2</v>
      </c>
      <c r="D778" s="4" t="str">
        <f aca="false">TEXT($A778,"ddd")</f>
        <v>Sun</v>
      </c>
      <c r="E778" s="4" t="n">
        <f aca="false">IF(OR(AND(MONTH($A778)=10,DAY($A778)&gt;=15),MONTH($A778)=11,AND(MONTH($A778)=12,DAY($A778)&lt;=7)),1,0)</f>
        <v>0</v>
      </c>
      <c r="F778" s="4" t="n">
        <f aca="false">IF(MONTH($A778)&lt;=3,1,0)</f>
        <v>1</v>
      </c>
      <c r="G778" s="4" t="str">
        <f aca="false" t="array" ref="G778:G778">_xlfn.TEXTJOIN(" | ",TRUE(),IF('FEMA Disasters'!$F$2:$F$1000=$A778,'FEMA Disasters'!$D$2:$D$1000&amp;" begin: ["&amp;'FEMA Disasters'!$B$2:$B$1000&amp;"] "&amp;'FEMA Disasters'!$C$2:$C$1000&amp;"-"&amp;'FEMA Disasters'!$A$2:$A$1000,""),IF('FEMA Disasters'!$G$2:$G$1000=$A778,'FEMA Disasters'!$D$2:$D$1000&amp;" ended: ["&amp;'FEMA Disasters'!$B$2:$B$1000&amp;"] "&amp;'FEMA Disasters'!$C$2:$C$1000&amp;"-"&amp;'FEMA Disasters'!$A$2:$A$1000,""),IF('FEMA Disasters'!$K$2:$K$1000=$A778,"Disaster SEP opens: "&amp;'FEMA Disasters'!$D$2:$D$1000&amp;" ["&amp;'FEMA Disasters'!$B$2:$B$1000&amp;"] "&amp;'FEMA Disasters'!$C$2:$C$1000&amp;"-"&amp;'FEMA Disasters'!$A$2:$A$1000,""),IF('FEMA Disasters'!$L$2:$L$1000=$A778,"Disaster SEP ended: "&amp;'FEMA Disasters'!$D$2:$D$1000&amp;" ["&amp;'FEMA Disasters'!$B$2:$B$1000&amp;"] "&amp;'FEMA Disasters'!$C$2:$C$1000&amp;"-"&amp;'FEMA Disasters'!$A$2:$A$1000,""))</f>
        <v/>
      </c>
      <c r="H778" s="4" t="n">
        <f aca="false">COUNTIF(Events!$A$2:$A$397,$A778)</f>
        <v>0</v>
      </c>
      <c r="I778" s="6" t="str">
        <f aca="false" t="array" ref="I778:I778">_xlfn.TEXTJOIN(" | ",TRUE(),IF(Events!$A$2:$A$397=$A778,Events!$E$2:$E$397&amp;IF(Events!$G$2:$G$397="National",""," ["&amp;Events!$G$2:$G$397&amp;"]"),""))</f>
        <v/>
      </c>
    </row>
    <row r="779" customFormat="false" ht="15" hidden="false" customHeight="true" outlineLevel="0" collapsed="false">
      <c r="A779" s="3" t="n">
        <v>46069</v>
      </c>
      <c r="B779" s="4" t="n">
        <f aca="false">YEAR($A779)</f>
        <v>2026</v>
      </c>
      <c r="C779" s="4" t="n">
        <f aca="false">MONTH($A779)</f>
        <v>2</v>
      </c>
      <c r="D779" s="4" t="str">
        <f aca="false">TEXT($A779,"ddd")</f>
        <v>Mon</v>
      </c>
      <c r="E779" s="4" t="n">
        <f aca="false">IF(OR(AND(MONTH($A779)=10,DAY($A779)&gt;=15),MONTH($A779)=11,AND(MONTH($A779)=12,DAY($A779)&lt;=7)),1,0)</f>
        <v>0</v>
      </c>
      <c r="F779" s="4" t="n">
        <f aca="false">IF(MONTH($A779)&lt;=3,1,0)</f>
        <v>1</v>
      </c>
      <c r="G779" s="4" t="str">
        <f aca="false" t="array" ref="G779:G779">_xlfn.TEXTJOIN(" | ",TRUE(),IF('FEMA Disasters'!$F$2:$F$1000=$A779,'FEMA Disasters'!$D$2:$D$1000&amp;" begin: ["&amp;'FEMA Disasters'!$B$2:$B$1000&amp;"] "&amp;'FEMA Disasters'!$C$2:$C$1000&amp;"-"&amp;'FEMA Disasters'!$A$2:$A$1000,""),IF('FEMA Disasters'!$G$2:$G$1000=$A779,'FEMA Disasters'!$D$2:$D$1000&amp;" ended: ["&amp;'FEMA Disasters'!$B$2:$B$1000&amp;"] "&amp;'FEMA Disasters'!$C$2:$C$1000&amp;"-"&amp;'FEMA Disasters'!$A$2:$A$1000,""),IF('FEMA Disasters'!$K$2:$K$1000=$A779,"Disaster SEP opens: "&amp;'FEMA Disasters'!$D$2:$D$1000&amp;" ["&amp;'FEMA Disasters'!$B$2:$B$1000&amp;"] "&amp;'FEMA Disasters'!$C$2:$C$1000&amp;"-"&amp;'FEMA Disasters'!$A$2:$A$1000,""),IF('FEMA Disasters'!$L$2:$L$1000=$A779,"Disaster SEP ended: "&amp;'FEMA Disasters'!$D$2:$D$1000&amp;" ["&amp;'FEMA Disasters'!$B$2:$B$1000&amp;"] "&amp;'FEMA Disasters'!$C$2:$C$1000&amp;"-"&amp;'FEMA Disasters'!$A$2:$A$1000,""))</f>
        <v/>
      </c>
      <c r="H779" s="4" t="n">
        <f aca="false">COUNTIF(Events!$A$2:$A$397,$A779)</f>
        <v>0</v>
      </c>
      <c r="I779" s="6" t="str">
        <f aca="false" t="array" ref="I779:I779">_xlfn.TEXTJOIN(" | ",TRUE(),IF(Events!$A$2:$A$397=$A779,Events!$E$2:$E$397&amp;IF(Events!$G$2:$G$397="National",""," ["&amp;Events!$G$2:$G$397&amp;"]"),""))</f>
        <v/>
      </c>
    </row>
    <row r="780" customFormat="false" ht="15" hidden="false" customHeight="true" outlineLevel="0" collapsed="false">
      <c r="A780" s="3" t="n">
        <v>46070</v>
      </c>
      <c r="B780" s="4" t="n">
        <f aca="false">YEAR($A780)</f>
        <v>2026</v>
      </c>
      <c r="C780" s="4" t="n">
        <f aca="false">MONTH($A780)</f>
        <v>2</v>
      </c>
      <c r="D780" s="4" t="str">
        <f aca="false">TEXT($A780,"ddd")</f>
        <v>Tue</v>
      </c>
      <c r="E780" s="4" t="n">
        <f aca="false">IF(OR(AND(MONTH($A780)=10,DAY($A780)&gt;=15),MONTH($A780)=11,AND(MONTH($A780)=12,DAY($A780)&lt;=7)),1,0)</f>
        <v>0</v>
      </c>
      <c r="F780" s="4" t="n">
        <f aca="false">IF(MONTH($A780)&lt;=3,1,0)</f>
        <v>1</v>
      </c>
      <c r="G780" s="4" t="str">
        <f aca="false" t="array" ref="G780:G780">_xlfn.TEXTJOIN(" | ",TRUE(),IF('FEMA Disasters'!$F$2:$F$1000=$A780,'FEMA Disasters'!$D$2:$D$1000&amp;" begin: ["&amp;'FEMA Disasters'!$B$2:$B$1000&amp;"] "&amp;'FEMA Disasters'!$C$2:$C$1000&amp;"-"&amp;'FEMA Disasters'!$A$2:$A$1000,""),IF('FEMA Disasters'!$G$2:$G$1000=$A780,'FEMA Disasters'!$D$2:$D$1000&amp;" ended: ["&amp;'FEMA Disasters'!$B$2:$B$1000&amp;"] "&amp;'FEMA Disasters'!$C$2:$C$1000&amp;"-"&amp;'FEMA Disasters'!$A$2:$A$1000,""),IF('FEMA Disasters'!$K$2:$K$1000=$A780,"Disaster SEP opens: "&amp;'FEMA Disasters'!$D$2:$D$1000&amp;" ["&amp;'FEMA Disasters'!$B$2:$B$1000&amp;"] "&amp;'FEMA Disasters'!$C$2:$C$1000&amp;"-"&amp;'FEMA Disasters'!$A$2:$A$1000,""),IF('FEMA Disasters'!$L$2:$L$1000=$A780,"Disaster SEP ended: "&amp;'FEMA Disasters'!$D$2:$D$1000&amp;" ["&amp;'FEMA Disasters'!$B$2:$B$1000&amp;"] "&amp;'FEMA Disasters'!$C$2:$C$1000&amp;"-"&amp;'FEMA Disasters'!$A$2:$A$1000,""))</f>
        <v>Fire begin: [OK] FM-5616 | Fire begin: [OK] FM-5617 | Fire begin: [OK] FM-5618 | Fire begin: [TX] FM-5619</v>
      </c>
      <c r="H780" s="4" t="n">
        <f aca="false">COUNTIF(Events!$A$2:$A$397,$A780)</f>
        <v>0</v>
      </c>
      <c r="I780" s="6" t="str">
        <f aca="false" t="array" ref="I780:I780">_xlfn.TEXTJOIN(" | ",TRUE(),IF(Events!$A$2:$A$397=$A780,Events!$E$2:$E$397&amp;IF(Events!$G$2:$G$397="National",""," ["&amp;Events!$G$2:$G$397&amp;"]"),""))</f>
        <v/>
      </c>
    </row>
    <row r="781" customFormat="false" ht="15" hidden="false" customHeight="true" outlineLevel="0" collapsed="false">
      <c r="A781" s="3" t="n">
        <v>46071</v>
      </c>
      <c r="B781" s="4" t="n">
        <f aca="false">YEAR($A781)</f>
        <v>2026</v>
      </c>
      <c r="C781" s="4" t="n">
        <f aca="false">MONTH($A781)</f>
        <v>2</v>
      </c>
      <c r="D781" s="4" t="str">
        <f aca="false">TEXT($A781,"ddd")</f>
        <v>Wed</v>
      </c>
      <c r="E781" s="4" t="n">
        <f aca="false">IF(OR(AND(MONTH($A781)=10,DAY($A781)&gt;=15),MONTH($A781)=11,AND(MONTH($A781)=12,DAY($A781)&lt;=7)),1,0)</f>
        <v>0</v>
      </c>
      <c r="F781" s="4" t="n">
        <f aca="false">IF(MONTH($A781)&lt;=3,1,0)</f>
        <v>1</v>
      </c>
      <c r="G781" s="4" t="str">
        <f aca="false" t="array" ref="G781:G781">_xlfn.TEXTJOIN(" | ",TRUE(),IF('FEMA Disasters'!$F$2:$F$1000=$A781,'FEMA Disasters'!$D$2:$D$1000&amp;" begin: ["&amp;'FEMA Disasters'!$B$2:$B$1000&amp;"] "&amp;'FEMA Disasters'!$C$2:$C$1000&amp;"-"&amp;'FEMA Disasters'!$A$2:$A$1000,""),IF('FEMA Disasters'!$G$2:$G$1000=$A781,'FEMA Disasters'!$D$2:$D$1000&amp;" ended: ["&amp;'FEMA Disasters'!$B$2:$B$1000&amp;"] "&amp;'FEMA Disasters'!$C$2:$C$1000&amp;"-"&amp;'FEMA Disasters'!$A$2:$A$1000,""),IF('FEMA Disasters'!$K$2:$K$1000=$A781,"Disaster SEP opens: "&amp;'FEMA Disasters'!$D$2:$D$1000&amp;" ["&amp;'FEMA Disasters'!$B$2:$B$1000&amp;"] "&amp;'FEMA Disasters'!$C$2:$C$1000&amp;"-"&amp;'FEMA Disasters'!$A$2:$A$1000,""),IF('FEMA Disasters'!$L$2:$L$1000=$A781,"Disaster SEP ended: "&amp;'FEMA Disasters'!$D$2:$D$1000&amp;" ["&amp;'FEMA Disasters'!$B$2:$B$1000&amp;"] "&amp;'FEMA Disasters'!$C$2:$C$1000&amp;"-"&amp;'FEMA Disasters'!$A$2:$A$1000,""))</f>
        <v/>
      </c>
      <c r="H781" s="4" t="n">
        <f aca="false">COUNTIF(Events!$A$2:$A$397,$A781)</f>
        <v>0</v>
      </c>
      <c r="I781" s="6" t="str">
        <f aca="false" t="array" ref="I781:I781">_xlfn.TEXTJOIN(" | ",TRUE(),IF(Events!$A$2:$A$397=$A781,Events!$E$2:$E$397&amp;IF(Events!$G$2:$G$397="National",""," ["&amp;Events!$G$2:$G$397&amp;"]"),""))</f>
        <v/>
      </c>
    </row>
    <row r="782" customFormat="false" ht="15" hidden="false" customHeight="true" outlineLevel="0" collapsed="false">
      <c r="A782" s="3" t="n">
        <v>46072</v>
      </c>
      <c r="B782" s="4" t="n">
        <f aca="false">YEAR($A782)</f>
        <v>2026</v>
      </c>
      <c r="C782" s="4" t="n">
        <f aca="false">MONTH($A782)</f>
        <v>2</v>
      </c>
      <c r="D782" s="4" t="str">
        <f aca="false">TEXT($A782,"ddd")</f>
        <v>Thu</v>
      </c>
      <c r="E782" s="4" t="n">
        <f aca="false">IF(OR(AND(MONTH($A782)=10,DAY($A782)&gt;=15),MONTH($A782)=11,AND(MONTH($A782)=12,DAY($A782)&lt;=7)),1,0)</f>
        <v>0</v>
      </c>
      <c r="F782" s="4" t="n">
        <f aca="false">IF(MONTH($A782)&lt;=3,1,0)</f>
        <v>1</v>
      </c>
      <c r="G782" s="4" t="str">
        <f aca="false" t="array" ref="G782:G782">_xlfn.TEXTJOIN(" | ",TRUE(),IF('FEMA Disasters'!$F$2:$F$1000=$A782,'FEMA Disasters'!$D$2:$D$1000&amp;" begin: ["&amp;'FEMA Disasters'!$B$2:$B$1000&amp;"] "&amp;'FEMA Disasters'!$C$2:$C$1000&amp;"-"&amp;'FEMA Disasters'!$A$2:$A$1000,""),IF('FEMA Disasters'!$G$2:$G$1000=$A782,'FEMA Disasters'!$D$2:$D$1000&amp;" ended: ["&amp;'FEMA Disasters'!$B$2:$B$1000&amp;"] "&amp;'FEMA Disasters'!$C$2:$C$1000&amp;"-"&amp;'FEMA Disasters'!$A$2:$A$1000,""),IF('FEMA Disasters'!$K$2:$K$1000=$A782,"Disaster SEP opens: "&amp;'FEMA Disasters'!$D$2:$D$1000&amp;" ["&amp;'FEMA Disasters'!$B$2:$B$1000&amp;"] "&amp;'FEMA Disasters'!$C$2:$C$1000&amp;"-"&amp;'FEMA Disasters'!$A$2:$A$1000,""),IF('FEMA Disasters'!$L$2:$L$1000=$A782,"Disaster SEP ended: "&amp;'FEMA Disasters'!$D$2:$D$1000&amp;" ["&amp;'FEMA Disasters'!$B$2:$B$1000&amp;"] "&amp;'FEMA Disasters'!$C$2:$C$1000&amp;"-"&amp;'FEMA Disasters'!$A$2:$A$1000,""))</f>
        <v>Fire begin: [OK] FM-5620 | Fire begin: [OK] FM-5621</v>
      </c>
      <c r="H782" s="4" t="n">
        <f aca="false">COUNTIF(Events!$A$2:$A$397,$A782)</f>
        <v>0</v>
      </c>
      <c r="I782" s="6" t="str">
        <f aca="false" t="array" ref="I782:I782">_xlfn.TEXTJOIN(" | ",TRUE(),IF(Events!$A$2:$A$397=$A782,Events!$E$2:$E$397&amp;IF(Events!$G$2:$G$397="National",""," ["&amp;Events!$G$2:$G$397&amp;"]"),""))</f>
        <v/>
      </c>
    </row>
    <row r="783" customFormat="false" ht="15" hidden="false" customHeight="true" outlineLevel="0" collapsed="false">
      <c r="A783" s="3" t="n">
        <v>46073</v>
      </c>
      <c r="B783" s="4" t="n">
        <f aca="false">YEAR($A783)</f>
        <v>2026</v>
      </c>
      <c r="C783" s="4" t="n">
        <f aca="false">MONTH($A783)</f>
        <v>2</v>
      </c>
      <c r="D783" s="4" t="str">
        <f aca="false">TEXT($A783,"ddd")</f>
        <v>Fri</v>
      </c>
      <c r="E783" s="4" t="n">
        <f aca="false">IF(OR(AND(MONTH($A783)=10,DAY($A783)&gt;=15),MONTH($A783)=11,AND(MONTH($A783)=12,DAY($A783)&lt;=7)),1,0)</f>
        <v>0</v>
      </c>
      <c r="F783" s="4" t="n">
        <f aca="false">IF(MONTH($A783)&lt;=3,1,0)</f>
        <v>1</v>
      </c>
      <c r="G783" s="4" t="str">
        <f aca="false" t="array" ref="G783:G783">_xlfn.TEXTJOIN(" | ",TRUE(),IF('FEMA Disasters'!$F$2:$F$1000=$A783,'FEMA Disasters'!$D$2:$D$1000&amp;" begin: ["&amp;'FEMA Disasters'!$B$2:$B$1000&amp;"] "&amp;'FEMA Disasters'!$C$2:$C$1000&amp;"-"&amp;'FEMA Disasters'!$A$2:$A$1000,""),IF('FEMA Disasters'!$G$2:$G$1000=$A783,'FEMA Disasters'!$D$2:$D$1000&amp;" ended: ["&amp;'FEMA Disasters'!$B$2:$B$1000&amp;"] "&amp;'FEMA Disasters'!$C$2:$C$1000&amp;"-"&amp;'FEMA Disasters'!$A$2:$A$1000,""),IF('FEMA Disasters'!$K$2:$K$1000=$A783,"Disaster SEP opens: "&amp;'FEMA Disasters'!$D$2:$D$1000&amp;" ["&amp;'FEMA Disasters'!$B$2:$B$1000&amp;"] "&amp;'FEMA Disasters'!$C$2:$C$1000&amp;"-"&amp;'FEMA Disasters'!$A$2:$A$1000,""),IF('FEMA Disasters'!$L$2:$L$1000=$A783,"Disaster SEP ended: "&amp;'FEMA Disasters'!$D$2:$D$1000&amp;" ["&amp;'FEMA Disasters'!$B$2:$B$1000&amp;"] "&amp;'FEMA Disasters'!$C$2:$C$1000&amp;"-"&amp;'FEMA Disasters'!$A$2:$A$1000,""))</f>
        <v/>
      </c>
      <c r="H783" s="4" t="n">
        <f aca="false">COUNTIF(Events!$A$2:$A$397,$A783)</f>
        <v>0</v>
      </c>
      <c r="I783" s="6" t="str">
        <f aca="false" t="array" ref="I783:I783">_xlfn.TEXTJOIN(" | ",TRUE(),IF(Events!$A$2:$A$397=$A783,Events!$E$2:$E$397&amp;IF(Events!$G$2:$G$397="National",""," ["&amp;Events!$G$2:$G$397&amp;"]"),""))</f>
        <v/>
      </c>
    </row>
    <row r="784" customFormat="false" ht="15" hidden="false" customHeight="true" outlineLevel="0" collapsed="false">
      <c r="A784" s="3" t="n">
        <v>46074</v>
      </c>
      <c r="B784" s="4" t="n">
        <f aca="false">YEAR($A784)</f>
        <v>2026</v>
      </c>
      <c r="C784" s="4" t="n">
        <f aca="false">MONTH($A784)</f>
        <v>2</v>
      </c>
      <c r="D784" s="4" t="str">
        <f aca="false">TEXT($A784,"ddd")</f>
        <v>Sat</v>
      </c>
      <c r="E784" s="4" t="n">
        <f aca="false">IF(OR(AND(MONTH($A784)=10,DAY($A784)&gt;=15),MONTH($A784)=11,AND(MONTH($A784)=12,DAY($A784)&lt;=7)),1,0)</f>
        <v>0</v>
      </c>
      <c r="F784" s="4" t="n">
        <f aca="false">IF(MONTH($A784)&lt;=3,1,0)</f>
        <v>1</v>
      </c>
      <c r="G784" s="4" t="str">
        <f aca="false" t="array" ref="G784:G784">_xlfn.TEXTJOIN(" | ",TRUE(),IF('FEMA Disasters'!$F$2:$F$1000=$A784,'FEMA Disasters'!$D$2:$D$1000&amp;" begin: ["&amp;'FEMA Disasters'!$B$2:$B$1000&amp;"] "&amp;'FEMA Disasters'!$C$2:$C$1000&amp;"-"&amp;'FEMA Disasters'!$A$2:$A$1000,""),IF('FEMA Disasters'!$G$2:$G$1000=$A784,'FEMA Disasters'!$D$2:$D$1000&amp;" ended: ["&amp;'FEMA Disasters'!$B$2:$B$1000&amp;"] "&amp;'FEMA Disasters'!$C$2:$C$1000&amp;"-"&amp;'FEMA Disasters'!$A$2:$A$1000,""),IF('FEMA Disasters'!$K$2:$K$1000=$A784,"Disaster SEP opens: "&amp;'FEMA Disasters'!$D$2:$D$1000&amp;" ["&amp;'FEMA Disasters'!$B$2:$B$1000&amp;"] "&amp;'FEMA Disasters'!$C$2:$C$1000&amp;"-"&amp;'FEMA Disasters'!$A$2:$A$1000,""),IF('FEMA Disasters'!$L$2:$L$1000=$A784,"Disaster SEP ended: "&amp;'FEMA Disasters'!$D$2:$D$1000&amp;" ["&amp;'FEMA Disasters'!$B$2:$B$1000&amp;"] "&amp;'FEMA Disasters'!$C$2:$C$1000&amp;"-"&amp;'FEMA Disasters'!$A$2:$A$1000,""))</f>
        <v/>
      </c>
      <c r="H784" s="4" t="n">
        <f aca="false">COUNTIF(Events!$A$2:$A$397,$A784)</f>
        <v>0</v>
      </c>
      <c r="I784" s="6" t="str">
        <f aca="false" t="array" ref="I784:I784">_xlfn.TEXTJOIN(" | ",TRUE(),IF(Events!$A$2:$A$397=$A784,Events!$E$2:$E$397&amp;IF(Events!$G$2:$G$397="National",""," ["&amp;Events!$G$2:$G$397&amp;"]"),""))</f>
        <v/>
      </c>
    </row>
    <row r="785" customFormat="false" ht="15" hidden="false" customHeight="true" outlineLevel="0" collapsed="false">
      <c r="A785" s="3" t="n">
        <v>46075</v>
      </c>
      <c r="B785" s="4" t="n">
        <f aca="false">YEAR($A785)</f>
        <v>2026</v>
      </c>
      <c r="C785" s="4" t="n">
        <f aca="false">MONTH($A785)</f>
        <v>2</v>
      </c>
      <c r="D785" s="4" t="str">
        <f aca="false">TEXT($A785,"ddd")</f>
        <v>Sun</v>
      </c>
      <c r="E785" s="4" t="n">
        <f aca="false">IF(OR(AND(MONTH($A785)=10,DAY($A785)&gt;=15),MONTH($A785)=11,AND(MONTH($A785)=12,DAY($A785)&lt;=7)),1,0)</f>
        <v>0</v>
      </c>
      <c r="F785" s="4" t="n">
        <f aca="false">IF(MONTH($A785)&lt;=3,1,0)</f>
        <v>1</v>
      </c>
      <c r="G785" s="4" t="str">
        <f aca="false" t="array" ref="G785:G785">_xlfn.TEXTJOIN(" | ",TRUE(),IF('FEMA Disasters'!$F$2:$F$1000=$A785,'FEMA Disasters'!$D$2:$D$1000&amp;" begin: ["&amp;'FEMA Disasters'!$B$2:$B$1000&amp;"] "&amp;'FEMA Disasters'!$C$2:$C$1000&amp;"-"&amp;'FEMA Disasters'!$A$2:$A$1000,""),IF('FEMA Disasters'!$G$2:$G$1000=$A785,'FEMA Disasters'!$D$2:$D$1000&amp;" ended: ["&amp;'FEMA Disasters'!$B$2:$B$1000&amp;"] "&amp;'FEMA Disasters'!$C$2:$C$1000&amp;"-"&amp;'FEMA Disasters'!$A$2:$A$1000,""),IF('FEMA Disasters'!$K$2:$K$1000=$A785,"Disaster SEP opens: "&amp;'FEMA Disasters'!$D$2:$D$1000&amp;" ["&amp;'FEMA Disasters'!$B$2:$B$1000&amp;"] "&amp;'FEMA Disasters'!$C$2:$C$1000&amp;"-"&amp;'FEMA Disasters'!$A$2:$A$1000,""),IF('FEMA Disasters'!$L$2:$L$1000=$A785,"Disaster SEP ended: "&amp;'FEMA Disasters'!$D$2:$D$1000&amp;" ["&amp;'FEMA Disasters'!$B$2:$B$1000&amp;"] "&amp;'FEMA Disasters'!$C$2:$C$1000&amp;"-"&amp;'FEMA Disasters'!$A$2:$A$1000,""))</f>
        <v>Winter Storm begin: [DE] DR-4916 | Winter Storm begin: [MA] DR-4919 | Fire ended: [OK] FM-5618 | Fire ended: [OK] FM-5620</v>
      </c>
      <c r="H785" s="4" t="n">
        <f aca="false">COUNTIF(Events!$A$2:$A$397,$A785)</f>
        <v>0</v>
      </c>
      <c r="I785" s="6" t="str">
        <f aca="false" t="array" ref="I785:I785">_xlfn.TEXTJOIN(" | ",TRUE(),IF(Events!$A$2:$A$397=$A785,Events!$E$2:$E$397&amp;IF(Events!$G$2:$G$397="National",""," ["&amp;Events!$G$2:$G$397&amp;"]"),""))</f>
        <v/>
      </c>
    </row>
    <row r="786" customFormat="false" ht="15" hidden="false" customHeight="true" outlineLevel="0" collapsed="false">
      <c r="A786" s="3" t="n">
        <v>46076</v>
      </c>
      <c r="B786" s="4" t="n">
        <f aca="false">YEAR($A786)</f>
        <v>2026</v>
      </c>
      <c r="C786" s="4" t="n">
        <f aca="false">MONTH($A786)</f>
        <v>2</v>
      </c>
      <c r="D786" s="4" t="str">
        <f aca="false">TEXT($A786,"ddd")</f>
        <v>Mon</v>
      </c>
      <c r="E786" s="4" t="n">
        <f aca="false">IF(OR(AND(MONTH($A786)=10,DAY($A786)&gt;=15),MONTH($A786)=11,AND(MONTH($A786)=12,DAY($A786)&lt;=7)),1,0)</f>
        <v>0</v>
      </c>
      <c r="F786" s="4" t="n">
        <f aca="false">IF(MONTH($A786)&lt;=3,1,0)</f>
        <v>1</v>
      </c>
      <c r="G786" s="4" t="str">
        <f aca="false" t="array" ref="G786:G786">_xlfn.TEXTJOIN(" | ",TRUE(),IF('FEMA Disasters'!$F$2:$F$1000=$A786,'FEMA Disasters'!$D$2:$D$1000&amp;" begin: ["&amp;'FEMA Disasters'!$B$2:$B$1000&amp;"] "&amp;'FEMA Disasters'!$C$2:$C$1000&amp;"-"&amp;'FEMA Disasters'!$A$2:$A$1000,""),IF('FEMA Disasters'!$G$2:$G$1000=$A786,'FEMA Disasters'!$D$2:$D$1000&amp;" ended: ["&amp;'FEMA Disasters'!$B$2:$B$1000&amp;"] "&amp;'FEMA Disasters'!$C$2:$C$1000&amp;"-"&amp;'FEMA Disasters'!$A$2:$A$1000,""),IF('FEMA Disasters'!$K$2:$K$1000=$A786,"Disaster SEP opens: "&amp;'FEMA Disasters'!$D$2:$D$1000&amp;" ["&amp;'FEMA Disasters'!$B$2:$B$1000&amp;"] "&amp;'FEMA Disasters'!$C$2:$C$1000&amp;"-"&amp;'FEMA Disasters'!$A$2:$A$1000,""),IF('FEMA Disasters'!$L$2:$L$1000=$A786,"Disaster SEP ended: "&amp;'FEMA Disasters'!$D$2:$D$1000&amp;" ["&amp;'FEMA Disasters'!$B$2:$B$1000&amp;"] "&amp;'FEMA Disasters'!$C$2:$C$1000&amp;"-"&amp;'FEMA Disasters'!$A$2:$A$1000,""))</f>
        <v>Fire ended: [OK] FM-5616 | Winter Storm ended: [DE] DR-4916 | Winter Storm ended: [MA] DR-4919</v>
      </c>
      <c r="H786" s="4" t="n">
        <f aca="false">COUNTIF(Events!$A$2:$A$397,$A786)</f>
        <v>0</v>
      </c>
      <c r="I786" s="6" t="str">
        <f aca="false" t="array" ref="I786:I786">_xlfn.TEXTJOIN(" | ",TRUE(),IF(Events!$A$2:$A$397=$A786,Events!$E$2:$E$397&amp;IF(Events!$G$2:$G$397="National",""," ["&amp;Events!$G$2:$G$397&amp;"]"),""))</f>
        <v/>
      </c>
    </row>
    <row r="787" customFormat="false" ht="15" hidden="false" customHeight="true" outlineLevel="0" collapsed="false">
      <c r="A787" s="3" t="n">
        <v>46077</v>
      </c>
      <c r="B787" s="4" t="n">
        <f aca="false">YEAR($A787)</f>
        <v>2026</v>
      </c>
      <c r="C787" s="4" t="n">
        <f aca="false">MONTH($A787)</f>
        <v>2</v>
      </c>
      <c r="D787" s="4" t="str">
        <f aca="false">TEXT($A787,"ddd")</f>
        <v>Tue</v>
      </c>
      <c r="E787" s="4" t="n">
        <f aca="false">IF(OR(AND(MONTH($A787)=10,DAY($A787)&gt;=15),MONTH($A787)=11,AND(MONTH($A787)=12,DAY($A787)&lt;=7)),1,0)</f>
        <v>0</v>
      </c>
      <c r="F787" s="4" t="n">
        <f aca="false">IF(MONTH($A787)&lt;=3,1,0)</f>
        <v>1</v>
      </c>
      <c r="G787" s="4" t="str">
        <f aca="false" t="array" ref="G787:G787">_xlfn.TEXTJOIN(" | ",TRUE(),IF('FEMA Disasters'!$F$2:$F$1000=$A787,'FEMA Disasters'!$D$2:$D$1000&amp;" begin: ["&amp;'FEMA Disasters'!$B$2:$B$1000&amp;"] "&amp;'FEMA Disasters'!$C$2:$C$1000&amp;"-"&amp;'FEMA Disasters'!$A$2:$A$1000,""),IF('FEMA Disasters'!$G$2:$G$1000=$A787,'FEMA Disasters'!$D$2:$D$1000&amp;" ended: ["&amp;'FEMA Disasters'!$B$2:$B$1000&amp;"] "&amp;'FEMA Disasters'!$C$2:$C$1000&amp;"-"&amp;'FEMA Disasters'!$A$2:$A$1000,""),IF('FEMA Disasters'!$K$2:$K$1000=$A787,"Disaster SEP opens: "&amp;'FEMA Disasters'!$D$2:$D$1000&amp;" ["&amp;'FEMA Disasters'!$B$2:$B$1000&amp;"] "&amp;'FEMA Disasters'!$C$2:$C$1000&amp;"-"&amp;'FEMA Disasters'!$A$2:$A$1000,""),IF('FEMA Disasters'!$L$2:$L$1000=$A787,"Disaster SEP ended: "&amp;'FEMA Disasters'!$D$2:$D$1000&amp;" ["&amp;'FEMA Disasters'!$B$2:$B$1000&amp;"] "&amp;'FEMA Disasters'!$C$2:$C$1000&amp;"-"&amp;'FEMA Disasters'!$A$2:$A$1000,""))</f>
        <v>Fire ended: [OK] FM-5617</v>
      </c>
      <c r="H787" s="4" t="n">
        <f aca="false">COUNTIF(Events!$A$2:$A$397,$A787)</f>
        <v>0</v>
      </c>
      <c r="I787" s="6" t="str">
        <f aca="false" t="array" ref="I787:I787">_xlfn.TEXTJOIN(" | ",TRUE(),IF(Events!$A$2:$A$397=$A787,Events!$E$2:$E$397&amp;IF(Events!$G$2:$G$397="National",""," ["&amp;Events!$G$2:$G$397&amp;"]"),""))</f>
        <v/>
      </c>
    </row>
    <row r="788" customFormat="false" ht="15" hidden="false" customHeight="true" outlineLevel="0" collapsed="false">
      <c r="A788" s="3" t="n">
        <v>46078</v>
      </c>
      <c r="B788" s="4" t="n">
        <f aca="false">YEAR($A788)</f>
        <v>2026</v>
      </c>
      <c r="C788" s="4" t="n">
        <f aca="false">MONTH($A788)</f>
        <v>2</v>
      </c>
      <c r="D788" s="4" t="str">
        <f aca="false">TEXT($A788,"ddd")</f>
        <v>Wed</v>
      </c>
      <c r="E788" s="4" t="n">
        <f aca="false">IF(OR(AND(MONTH($A788)=10,DAY($A788)&gt;=15),MONTH($A788)=11,AND(MONTH($A788)=12,DAY($A788)&lt;=7)),1,0)</f>
        <v>0</v>
      </c>
      <c r="F788" s="4" t="n">
        <f aca="false">IF(MONTH($A788)&lt;=3,1,0)</f>
        <v>1</v>
      </c>
      <c r="G788" s="4" t="str">
        <f aca="false" t="array" ref="G788:G788">_xlfn.TEXTJOIN(" | ",TRUE(),IF('FEMA Disasters'!$F$2:$F$1000=$A788,'FEMA Disasters'!$D$2:$D$1000&amp;" begin: ["&amp;'FEMA Disasters'!$B$2:$B$1000&amp;"] "&amp;'FEMA Disasters'!$C$2:$C$1000&amp;"-"&amp;'FEMA Disasters'!$A$2:$A$1000,""),IF('FEMA Disasters'!$G$2:$G$1000=$A788,'FEMA Disasters'!$D$2:$D$1000&amp;" ended: ["&amp;'FEMA Disasters'!$B$2:$B$1000&amp;"] "&amp;'FEMA Disasters'!$C$2:$C$1000&amp;"-"&amp;'FEMA Disasters'!$A$2:$A$1000,""),IF('FEMA Disasters'!$K$2:$K$1000=$A788,"Disaster SEP opens: "&amp;'FEMA Disasters'!$D$2:$D$1000&amp;" ["&amp;'FEMA Disasters'!$B$2:$B$1000&amp;"] "&amp;'FEMA Disasters'!$C$2:$C$1000&amp;"-"&amp;'FEMA Disasters'!$A$2:$A$1000,""),IF('FEMA Disasters'!$L$2:$L$1000=$A788,"Disaster SEP ended: "&amp;'FEMA Disasters'!$D$2:$D$1000&amp;" ["&amp;'FEMA Disasters'!$B$2:$B$1000&amp;"] "&amp;'FEMA Disasters'!$C$2:$C$1000&amp;"-"&amp;'FEMA Disasters'!$A$2:$A$1000,""))</f>
        <v/>
      </c>
      <c r="H788" s="4" t="n">
        <f aca="false">COUNTIF(Events!$A$2:$A$397,$A788)</f>
        <v>0</v>
      </c>
      <c r="I788" s="6" t="str">
        <f aca="false" t="array" ref="I788:I788">_xlfn.TEXTJOIN(" | ",TRUE(),IF(Events!$A$2:$A$397=$A788,Events!$E$2:$E$397&amp;IF(Events!$G$2:$G$397="National",""," ["&amp;Events!$G$2:$G$397&amp;"]"),""))</f>
        <v/>
      </c>
    </row>
    <row r="789" customFormat="false" ht="15" hidden="false" customHeight="true" outlineLevel="0" collapsed="false">
      <c r="A789" s="3" t="n">
        <v>46079</v>
      </c>
      <c r="B789" s="4" t="n">
        <f aca="false">YEAR($A789)</f>
        <v>2026</v>
      </c>
      <c r="C789" s="4" t="n">
        <f aca="false">MONTH($A789)</f>
        <v>2</v>
      </c>
      <c r="D789" s="4" t="str">
        <f aca="false">TEXT($A789,"ddd")</f>
        <v>Thu</v>
      </c>
      <c r="E789" s="4" t="n">
        <f aca="false">IF(OR(AND(MONTH($A789)=10,DAY($A789)&gt;=15),MONTH($A789)=11,AND(MONTH($A789)=12,DAY($A789)&lt;=7)),1,0)</f>
        <v>0</v>
      </c>
      <c r="F789" s="4" t="n">
        <f aca="false">IF(MONTH($A789)&lt;=3,1,0)</f>
        <v>1</v>
      </c>
      <c r="G789" s="4" t="str">
        <f aca="false" t="array" ref="G789:G789">_xlfn.TEXTJOIN(" | ",TRUE(),IF('FEMA Disasters'!$F$2:$F$1000=$A789,'FEMA Disasters'!$D$2:$D$1000&amp;" begin: ["&amp;'FEMA Disasters'!$B$2:$B$1000&amp;"] "&amp;'FEMA Disasters'!$C$2:$C$1000&amp;"-"&amp;'FEMA Disasters'!$A$2:$A$1000,""),IF('FEMA Disasters'!$G$2:$G$1000=$A789,'FEMA Disasters'!$D$2:$D$1000&amp;" ended: ["&amp;'FEMA Disasters'!$B$2:$B$1000&amp;"] "&amp;'FEMA Disasters'!$C$2:$C$1000&amp;"-"&amp;'FEMA Disasters'!$A$2:$A$1000,""),IF('FEMA Disasters'!$K$2:$K$1000=$A789,"Disaster SEP opens: "&amp;'FEMA Disasters'!$D$2:$D$1000&amp;" ["&amp;'FEMA Disasters'!$B$2:$B$1000&amp;"] "&amp;'FEMA Disasters'!$C$2:$C$1000&amp;"-"&amp;'FEMA Disasters'!$A$2:$A$1000,""),IF('FEMA Disasters'!$L$2:$L$1000=$A789,"Disaster SEP ended: "&amp;'FEMA Disasters'!$D$2:$D$1000&amp;" ["&amp;'FEMA Disasters'!$B$2:$B$1000&amp;"] "&amp;'FEMA Disasters'!$C$2:$C$1000&amp;"-"&amp;'FEMA Disasters'!$A$2:$A$1000,""))</f>
        <v>Fire ended: [OK] FM-5621</v>
      </c>
      <c r="H789" s="4" t="n">
        <f aca="false">COUNTIF(Events!$A$2:$A$397,$A789)</f>
        <v>0</v>
      </c>
      <c r="I789" s="6" t="str">
        <f aca="false" t="array" ref="I789:I789">_xlfn.TEXTJOIN(" | ",TRUE(),IF(Events!$A$2:$A$397=$A789,Events!$E$2:$E$397&amp;IF(Events!$G$2:$G$397="National",""," ["&amp;Events!$G$2:$G$397&amp;"]"),""))</f>
        <v/>
      </c>
    </row>
    <row r="790" customFormat="false" ht="15" hidden="false" customHeight="true" outlineLevel="0" collapsed="false">
      <c r="A790" s="3" t="n">
        <v>46080</v>
      </c>
      <c r="B790" s="4" t="n">
        <f aca="false">YEAR($A790)</f>
        <v>2026</v>
      </c>
      <c r="C790" s="4" t="n">
        <f aca="false">MONTH($A790)</f>
        <v>2</v>
      </c>
      <c r="D790" s="4" t="str">
        <f aca="false">TEXT($A790,"ddd")</f>
        <v>Fri</v>
      </c>
      <c r="E790" s="4" t="n">
        <f aca="false">IF(OR(AND(MONTH($A790)=10,DAY($A790)&gt;=15),MONTH($A790)=11,AND(MONTH($A790)=12,DAY($A790)&lt;=7)),1,0)</f>
        <v>0</v>
      </c>
      <c r="F790" s="4" t="n">
        <f aca="false">IF(MONTH($A790)&lt;=3,1,0)</f>
        <v>1</v>
      </c>
      <c r="G790" s="4" t="str">
        <f aca="false" t="array" ref="G790:G790">_xlfn.TEXTJOIN(" | ",TRUE(),IF('FEMA Disasters'!$F$2:$F$1000=$A790,'FEMA Disasters'!$D$2:$D$1000&amp;" begin: ["&amp;'FEMA Disasters'!$B$2:$B$1000&amp;"] "&amp;'FEMA Disasters'!$C$2:$C$1000&amp;"-"&amp;'FEMA Disasters'!$A$2:$A$1000,""),IF('FEMA Disasters'!$G$2:$G$1000=$A790,'FEMA Disasters'!$D$2:$D$1000&amp;" ended: ["&amp;'FEMA Disasters'!$B$2:$B$1000&amp;"] "&amp;'FEMA Disasters'!$C$2:$C$1000&amp;"-"&amp;'FEMA Disasters'!$A$2:$A$1000,""),IF('FEMA Disasters'!$K$2:$K$1000=$A790,"Disaster SEP opens: "&amp;'FEMA Disasters'!$D$2:$D$1000&amp;" ["&amp;'FEMA Disasters'!$B$2:$B$1000&amp;"] "&amp;'FEMA Disasters'!$C$2:$C$1000&amp;"-"&amp;'FEMA Disasters'!$A$2:$A$1000,""),IF('FEMA Disasters'!$L$2:$L$1000=$A790,"Disaster SEP ended: "&amp;'FEMA Disasters'!$D$2:$D$1000&amp;" ["&amp;'FEMA Disasters'!$B$2:$B$1000&amp;"] "&amp;'FEMA Disasters'!$C$2:$C$1000&amp;"-"&amp;'FEMA Disasters'!$A$2:$A$1000,""))</f>
        <v/>
      </c>
      <c r="H790" s="4" t="n">
        <f aca="false">COUNTIF(Events!$A$2:$A$397,$A790)</f>
        <v>0</v>
      </c>
      <c r="I790" s="6" t="str">
        <f aca="false" t="array" ref="I790:I790">_xlfn.TEXTJOIN(" | ",TRUE(),IF(Events!$A$2:$A$397=$A790,Events!$E$2:$E$397&amp;IF(Events!$G$2:$G$397="National",""," ["&amp;Events!$G$2:$G$397&amp;"]"),""))</f>
        <v/>
      </c>
    </row>
    <row r="791" customFormat="false" ht="15" hidden="false" customHeight="true" outlineLevel="0" collapsed="false">
      <c r="A791" s="3" t="n">
        <v>46081</v>
      </c>
      <c r="B791" s="4" t="n">
        <f aca="false">YEAR($A791)</f>
        <v>2026</v>
      </c>
      <c r="C791" s="4" t="n">
        <f aca="false">MONTH($A791)</f>
        <v>2</v>
      </c>
      <c r="D791" s="4" t="str">
        <f aca="false">TEXT($A791,"ddd")</f>
        <v>Sat</v>
      </c>
      <c r="E791" s="4" t="n">
        <f aca="false">IF(OR(AND(MONTH($A791)=10,DAY($A791)&gt;=15),MONTH($A791)=11,AND(MONTH($A791)=12,DAY($A791)&lt;=7)),1,0)</f>
        <v>0</v>
      </c>
      <c r="F791" s="4" t="n">
        <f aca="false">IF(MONTH($A791)&lt;=3,1,0)</f>
        <v>1</v>
      </c>
      <c r="G791" s="4" t="str">
        <f aca="false" t="array" ref="G791:G791">_xlfn.TEXTJOIN(" | ",TRUE(),IF('FEMA Disasters'!$F$2:$F$1000=$A791,'FEMA Disasters'!$D$2:$D$1000&amp;" begin: ["&amp;'FEMA Disasters'!$B$2:$B$1000&amp;"] "&amp;'FEMA Disasters'!$C$2:$C$1000&amp;"-"&amp;'FEMA Disasters'!$A$2:$A$1000,""),IF('FEMA Disasters'!$G$2:$G$1000=$A791,'FEMA Disasters'!$D$2:$D$1000&amp;" ended: ["&amp;'FEMA Disasters'!$B$2:$B$1000&amp;"] "&amp;'FEMA Disasters'!$C$2:$C$1000&amp;"-"&amp;'FEMA Disasters'!$A$2:$A$1000,""),IF('FEMA Disasters'!$K$2:$K$1000=$A791,"Disaster SEP opens: "&amp;'FEMA Disasters'!$D$2:$D$1000&amp;" ["&amp;'FEMA Disasters'!$B$2:$B$1000&amp;"] "&amp;'FEMA Disasters'!$C$2:$C$1000&amp;"-"&amp;'FEMA Disasters'!$A$2:$A$1000,""),IF('FEMA Disasters'!$L$2:$L$1000=$A791,"Disaster SEP ended: "&amp;'FEMA Disasters'!$D$2:$D$1000&amp;" ["&amp;'FEMA Disasters'!$B$2:$B$1000&amp;"] "&amp;'FEMA Disasters'!$C$2:$C$1000&amp;"-"&amp;'FEMA Disasters'!$A$2:$A$1000,""))</f>
        <v>Disaster SEP opens: Flood [WA] DR-4906 | Disaster SEP opens: Winter Storm [AK] DR-4904 | Disaster SEP opens: Flood [WA] EM-3629 | Disaster SEP opens: Flood [MT] DR-4901 | Disaster SEP opens: Flood [MT] EM-3630 | Disaster SEP opens: Severe Storm [OR] DR-4907 | Disaster SEP opens: Straight-Line Winds [ID] DR-4905 | Disaster SEP opens: Straight-Line Winds [MT] DR-4902 | Disaster SEP opens: Straight-Line Winds [SD] DR-4903 | Disaster SEP opens: Winter Storm [MT] DR-4914 | Disaster SEP opens: Straight-Line Winds [MT] DR-4915 | Disaster SEP opens: Fire [OK] FM-5615 | Disaster SEP ended: Fire [WA] FM-5614 | Disaster SEP ended: Flood [AK] DR-4893 | Disaster SEP ended: Flood [AK] DR-4912 | Disaster SEP ended: Severe Storm [AZ] DR-4911</v>
      </c>
      <c r="H791" s="4" t="n">
        <f aca="false">COUNTIF(Events!$A$2:$A$397,$A791)</f>
        <v>0</v>
      </c>
      <c r="I791" s="6" t="str">
        <f aca="false" t="array" ref="I791:I791">_xlfn.TEXTJOIN(" | ",TRUE(),IF(Events!$A$2:$A$397=$A791,Events!$E$2:$E$397&amp;IF(Events!$G$2:$G$397="National",""," ["&amp;Events!$G$2:$G$397&amp;"]"),""))</f>
        <v/>
      </c>
    </row>
    <row r="792" customFormat="false" ht="15" hidden="false" customHeight="true" outlineLevel="0" collapsed="false">
      <c r="A792" s="3" t="n">
        <v>46082</v>
      </c>
      <c r="B792" s="4" t="n">
        <f aca="false">YEAR($A792)</f>
        <v>2026</v>
      </c>
      <c r="C792" s="4" t="n">
        <f aca="false">MONTH($A792)</f>
        <v>3</v>
      </c>
      <c r="D792" s="4" t="str">
        <f aca="false">TEXT($A792,"ddd")</f>
        <v>Sun</v>
      </c>
      <c r="E792" s="4" t="n">
        <f aca="false">IF(OR(AND(MONTH($A792)=10,DAY($A792)&gt;=15),MONTH($A792)=11,AND(MONTH($A792)=12,DAY($A792)&lt;=7)),1,0)</f>
        <v>0</v>
      </c>
      <c r="F792" s="4" t="n">
        <f aca="false">IF(MONTH($A792)&lt;=3,1,0)</f>
        <v>1</v>
      </c>
      <c r="G792" s="4" t="str">
        <f aca="false" t="array" ref="G792:G792">_xlfn.TEXTJOIN(" | ",TRUE(),IF('FEMA Disasters'!$F$2:$F$1000=$A792,'FEMA Disasters'!$D$2:$D$1000&amp;" begin: ["&amp;'FEMA Disasters'!$B$2:$B$1000&amp;"] "&amp;'FEMA Disasters'!$C$2:$C$1000&amp;"-"&amp;'FEMA Disasters'!$A$2:$A$1000,""),IF('FEMA Disasters'!$G$2:$G$1000=$A792,'FEMA Disasters'!$D$2:$D$1000&amp;" ended: ["&amp;'FEMA Disasters'!$B$2:$B$1000&amp;"] "&amp;'FEMA Disasters'!$C$2:$C$1000&amp;"-"&amp;'FEMA Disasters'!$A$2:$A$1000,""),IF('FEMA Disasters'!$K$2:$K$1000=$A792,"Disaster SEP opens: "&amp;'FEMA Disasters'!$D$2:$D$1000&amp;" ["&amp;'FEMA Disasters'!$B$2:$B$1000&amp;"] "&amp;'FEMA Disasters'!$C$2:$C$1000&amp;"-"&amp;'FEMA Disasters'!$A$2:$A$1000,""),IF('FEMA Disasters'!$L$2:$L$1000=$A792,"Disaster SEP ended: "&amp;'FEMA Disasters'!$D$2:$D$1000&amp;" ["&amp;'FEMA Disasters'!$B$2:$B$1000&amp;"] "&amp;'FEMA Disasters'!$C$2:$C$1000&amp;"-"&amp;'FEMA Disasters'!$A$2:$A$1000,""))</f>
        <v/>
      </c>
      <c r="H792" s="4" t="n">
        <f aca="false">COUNTIF(Events!$A$2:$A$397,$A792)</f>
        <v>0</v>
      </c>
      <c r="I792" s="6" t="str">
        <f aca="false" t="array" ref="I792:I792">_xlfn.TEXTJOIN(" | ",TRUE(),IF(Events!$A$2:$A$397=$A792,Events!$E$2:$E$397&amp;IF(Events!$G$2:$G$397="National",""," ["&amp;Events!$G$2:$G$397&amp;"]"),""))</f>
        <v/>
      </c>
    </row>
    <row r="793" customFormat="false" ht="15" hidden="false" customHeight="true" outlineLevel="0" collapsed="false">
      <c r="A793" s="3" t="n">
        <v>46083</v>
      </c>
      <c r="B793" s="4" t="n">
        <f aca="false">YEAR($A793)</f>
        <v>2026</v>
      </c>
      <c r="C793" s="4" t="n">
        <f aca="false">MONTH($A793)</f>
        <v>3</v>
      </c>
      <c r="D793" s="4" t="str">
        <f aca="false">TEXT($A793,"ddd")</f>
        <v>Mon</v>
      </c>
      <c r="E793" s="4" t="n">
        <f aca="false">IF(OR(AND(MONTH($A793)=10,DAY($A793)&gt;=15),MONTH($A793)=11,AND(MONTH($A793)=12,DAY($A793)&lt;=7)),1,0)</f>
        <v>0</v>
      </c>
      <c r="F793" s="4" t="n">
        <f aca="false">IF(MONTH($A793)&lt;=3,1,0)</f>
        <v>1</v>
      </c>
      <c r="G793" s="4" t="str">
        <f aca="false" t="array" ref="G793:G793">_xlfn.TEXTJOIN(" | ",TRUE(),IF('FEMA Disasters'!$F$2:$F$1000=$A793,'FEMA Disasters'!$D$2:$D$1000&amp;" begin: ["&amp;'FEMA Disasters'!$B$2:$B$1000&amp;"] "&amp;'FEMA Disasters'!$C$2:$C$1000&amp;"-"&amp;'FEMA Disasters'!$A$2:$A$1000,""),IF('FEMA Disasters'!$G$2:$G$1000=$A793,'FEMA Disasters'!$D$2:$D$1000&amp;" ended: ["&amp;'FEMA Disasters'!$B$2:$B$1000&amp;"] "&amp;'FEMA Disasters'!$C$2:$C$1000&amp;"-"&amp;'FEMA Disasters'!$A$2:$A$1000,""),IF('FEMA Disasters'!$K$2:$K$1000=$A793,"Disaster SEP opens: "&amp;'FEMA Disasters'!$D$2:$D$1000&amp;" ["&amp;'FEMA Disasters'!$B$2:$B$1000&amp;"] "&amp;'FEMA Disasters'!$C$2:$C$1000&amp;"-"&amp;'FEMA Disasters'!$A$2:$A$1000,""),IF('FEMA Disasters'!$L$2:$L$1000=$A793,"Disaster SEP ended: "&amp;'FEMA Disasters'!$D$2:$D$1000&amp;" ["&amp;'FEMA Disasters'!$B$2:$B$1000&amp;"] "&amp;'FEMA Disasters'!$C$2:$C$1000&amp;"-"&amp;'FEMA Disasters'!$A$2:$A$1000,""))</f>
        <v/>
      </c>
      <c r="H793" s="4" t="n">
        <f aca="false">COUNTIF(Events!$A$2:$A$397,$A793)</f>
        <v>0</v>
      </c>
      <c r="I793" s="6" t="str">
        <f aca="false" t="array" ref="I793:I793">_xlfn.TEXTJOIN(" | ",TRUE(),IF(Events!$A$2:$A$397=$A793,Events!$E$2:$E$397&amp;IF(Events!$G$2:$G$397="National",""," ["&amp;Events!$G$2:$G$397&amp;"]"),""))</f>
        <v/>
      </c>
    </row>
    <row r="794" customFormat="false" ht="15" hidden="false" customHeight="true" outlineLevel="0" collapsed="false">
      <c r="A794" s="3" t="n">
        <v>46084</v>
      </c>
      <c r="B794" s="4" t="n">
        <f aca="false">YEAR($A794)</f>
        <v>2026</v>
      </c>
      <c r="C794" s="4" t="n">
        <f aca="false">MONTH($A794)</f>
        <v>3</v>
      </c>
      <c r="D794" s="4" t="str">
        <f aca="false">TEXT($A794,"ddd")</f>
        <v>Tue</v>
      </c>
      <c r="E794" s="4" t="n">
        <f aca="false">IF(OR(AND(MONTH($A794)=10,DAY($A794)&gt;=15),MONTH($A794)=11,AND(MONTH($A794)=12,DAY($A794)&lt;=7)),1,0)</f>
        <v>0</v>
      </c>
      <c r="F794" s="4" t="n">
        <f aca="false">IF(MONTH($A794)&lt;=3,1,0)</f>
        <v>1</v>
      </c>
      <c r="G794" s="4" t="str">
        <f aca="false" t="array" ref="G794:G794">_xlfn.TEXTJOIN(" | ",TRUE(),IF('FEMA Disasters'!$F$2:$F$1000=$A794,'FEMA Disasters'!$D$2:$D$1000&amp;" begin: ["&amp;'FEMA Disasters'!$B$2:$B$1000&amp;"] "&amp;'FEMA Disasters'!$C$2:$C$1000&amp;"-"&amp;'FEMA Disasters'!$A$2:$A$1000,""),IF('FEMA Disasters'!$G$2:$G$1000=$A794,'FEMA Disasters'!$D$2:$D$1000&amp;" ended: ["&amp;'FEMA Disasters'!$B$2:$B$1000&amp;"] "&amp;'FEMA Disasters'!$C$2:$C$1000&amp;"-"&amp;'FEMA Disasters'!$A$2:$A$1000,""),IF('FEMA Disasters'!$K$2:$K$1000=$A794,"Disaster SEP opens: "&amp;'FEMA Disasters'!$D$2:$D$1000&amp;" ["&amp;'FEMA Disasters'!$B$2:$B$1000&amp;"] "&amp;'FEMA Disasters'!$C$2:$C$1000&amp;"-"&amp;'FEMA Disasters'!$A$2:$A$1000,""),IF('FEMA Disasters'!$L$2:$L$1000=$A794,"Disaster SEP ended: "&amp;'FEMA Disasters'!$D$2:$D$1000&amp;" ["&amp;'FEMA Disasters'!$B$2:$B$1000&amp;"] "&amp;'FEMA Disasters'!$C$2:$C$1000&amp;"-"&amp;'FEMA Disasters'!$A$2:$A$1000,""))</f>
        <v/>
      </c>
      <c r="H794" s="4" t="n">
        <f aca="false">COUNTIF(Events!$A$2:$A$397,$A794)</f>
        <v>1</v>
      </c>
      <c r="I794" s="6" t="str">
        <f aca="false" t="array" ref="I794:I794">_xlfn.TEXTJOIN(" | ",TRUE(),IF(Events!$A$2:$A$397=$A794,Events!$E$2:$E$397&amp;IF(Events!$G$2:$G$397="National",""," ["&amp;Events!$G$2:$G$397&amp;"]"),""))</f>
        <v>New Mexico SB21 'Medicare Supplement Open Enrollment' signed by Governor (Chapter 10): creates a birthday-rule guaranteed-issue window of 60+ days from the first day of the birth month, equal-or-lesser plans - effective 1/1/2027 (outside data window; signing is the in-window event) [NM]</v>
      </c>
    </row>
    <row r="795" customFormat="false" ht="15" hidden="false" customHeight="true" outlineLevel="0" collapsed="false">
      <c r="A795" s="3" t="n">
        <v>46085</v>
      </c>
      <c r="B795" s="4" t="n">
        <f aca="false">YEAR($A795)</f>
        <v>2026</v>
      </c>
      <c r="C795" s="4" t="n">
        <f aca="false">MONTH($A795)</f>
        <v>3</v>
      </c>
      <c r="D795" s="4" t="str">
        <f aca="false">TEXT($A795,"ddd")</f>
        <v>Wed</v>
      </c>
      <c r="E795" s="4" t="n">
        <f aca="false">IF(OR(AND(MONTH($A795)=10,DAY($A795)&gt;=15),MONTH($A795)=11,AND(MONTH($A795)=12,DAY($A795)&lt;=7)),1,0)</f>
        <v>0</v>
      </c>
      <c r="F795" s="4" t="n">
        <f aca="false">IF(MONTH($A795)&lt;=3,1,0)</f>
        <v>1</v>
      </c>
      <c r="G795" s="4" t="str">
        <f aca="false" t="array" ref="G795:G795">_xlfn.TEXTJOIN(" | ",TRUE(),IF('FEMA Disasters'!$F$2:$F$1000=$A795,'FEMA Disasters'!$D$2:$D$1000&amp;" begin: ["&amp;'FEMA Disasters'!$B$2:$B$1000&amp;"] "&amp;'FEMA Disasters'!$C$2:$C$1000&amp;"-"&amp;'FEMA Disasters'!$A$2:$A$1000,""),IF('FEMA Disasters'!$G$2:$G$1000=$A795,'FEMA Disasters'!$D$2:$D$1000&amp;" ended: ["&amp;'FEMA Disasters'!$B$2:$B$1000&amp;"] "&amp;'FEMA Disasters'!$C$2:$C$1000&amp;"-"&amp;'FEMA Disasters'!$A$2:$A$1000,""),IF('FEMA Disasters'!$K$2:$K$1000=$A795,"Disaster SEP opens: "&amp;'FEMA Disasters'!$D$2:$D$1000&amp;" ["&amp;'FEMA Disasters'!$B$2:$B$1000&amp;"] "&amp;'FEMA Disasters'!$C$2:$C$1000&amp;"-"&amp;'FEMA Disasters'!$A$2:$A$1000,""),IF('FEMA Disasters'!$L$2:$L$1000=$A795,"Disaster SEP ended: "&amp;'FEMA Disasters'!$D$2:$D$1000&amp;" ["&amp;'FEMA Disasters'!$B$2:$B$1000&amp;"] "&amp;'FEMA Disasters'!$C$2:$C$1000&amp;"-"&amp;'FEMA Disasters'!$A$2:$A$1000,""))</f>
        <v/>
      </c>
      <c r="H795" s="4" t="n">
        <f aca="false">COUNTIF(Events!$A$2:$A$397,$A795)</f>
        <v>0</v>
      </c>
      <c r="I795" s="6" t="str">
        <f aca="false" t="array" ref="I795:I795">_xlfn.TEXTJOIN(" | ",TRUE(),IF(Events!$A$2:$A$397=$A795,Events!$E$2:$E$397&amp;IF(Events!$G$2:$G$397="National",""," ["&amp;Events!$G$2:$G$397&amp;"]"),""))</f>
        <v/>
      </c>
    </row>
    <row r="796" customFormat="false" ht="15" hidden="false" customHeight="true" outlineLevel="0" collapsed="false">
      <c r="A796" s="3" t="n">
        <v>46086</v>
      </c>
      <c r="B796" s="4" t="n">
        <f aca="false">YEAR($A796)</f>
        <v>2026</v>
      </c>
      <c r="C796" s="4" t="n">
        <f aca="false">MONTH($A796)</f>
        <v>3</v>
      </c>
      <c r="D796" s="4" t="str">
        <f aca="false">TEXT($A796,"ddd")</f>
        <v>Thu</v>
      </c>
      <c r="E796" s="4" t="n">
        <f aca="false">IF(OR(AND(MONTH($A796)=10,DAY($A796)&gt;=15),MONTH($A796)=11,AND(MONTH($A796)=12,DAY($A796)&lt;=7)),1,0)</f>
        <v>0</v>
      </c>
      <c r="F796" s="4" t="n">
        <f aca="false">IF(MONTH($A796)&lt;=3,1,0)</f>
        <v>1</v>
      </c>
      <c r="G796" s="4" t="str">
        <f aca="false" t="array" ref="G796:G796">_xlfn.TEXTJOIN(" | ",TRUE(),IF('FEMA Disasters'!$F$2:$F$1000=$A796,'FEMA Disasters'!$D$2:$D$1000&amp;" begin: ["&amp;'FEMA Disasters'!$B$2:$B$1000&amp;"] "&amp;'FEMA Disasters'!$C$2:$C$1000&amp;"-"&amp;'FEMA Disasters'!$A$2:$A$1000,""),IF('FEMA Disasters'!$G$2:$G$1000=$A796,'FEMA Disasters'!$D$2:$D$1000&amp;" ended: ["&amp;'FEMA Disasters'!$B$2:$B$1000&amp;"] "&amp;'FEMA Disasters'!$C$2:$C$1000&amp;"-"&amp;'FEMA Disasters'!$A$2:$A$1000,""),IF('FEMA Disasters'!$K$2:$K$1000=$A796,"Disaster SEP opens: "&amp;'FEMA Disasters'!$D$2:$D$1000&amp;" ["&amp;'FEMA Disasters'!$B$2:$B$1000&amp;"] "&amp;'FEMA Disasters'!$C$2:$C$1000&amp;"-"&amp;'FEMA Disasters'!$A$2:$A$1000,""),IF('FEMA Disasters'!$L$2:$L$1000=$A796,"Disaster SEP ended: "&amp;'FEMA Disasters'!$D$2:$D$1000&amp;" ["&amp;'FEMA Disasters'!$B$2:$B$1000&amp;"] "&amp;'FEMA Disasters'!$C$2:$C$1000&amp;"-"&amp;'FEMA Disasters'!$A$2:$A$1000,""))</f>
        <v/>
      </c>
      <c r="H796" s="4" t="n">
        <f aca="false">COUNTIF(Events!$A$2:$A$397,$A796)</f>
        <v>0</v>
      </c>
      <c r="I796" s="6" t="str">
        <f aca="false" t="array" ref="I796:I796">_xlfn.TEXTJOIN(" | ",TRUE(),IF(Events!$A$2:$A$397=$A796,Events!$E$2:$E$397&amp;IF(Events!$G$2:$G$397="National",""," ["&amp;Events!$G$2:$G$397&amp;"]"),""))</f>
        <v/>
      </c>
    </row>
    <row r="797" customFormat="false" ht="15" hidden="false" customHeight="true" outlineLevel="0" collapsed="false">
      <c r="A797" s="3" t="n">
        <v>46087</v>
      </c>
      <c r="B797" s="4" t="n">
        <f aca="false">YEAR($A797)</f>
        <v>2026</v>
      </c>
      <c r="C797" s="4" t="n">
        <f aca="false">MONTH($A797)</f>
        <v>3</v>
      </c>
      <c r="D797" s="4" t="str">
        <f aca="false">TEXT($A797,"ddd")</f>
        <v>Fri</v>
      </c>
      <c r="E797" s="4" t="n">
        <f aca="false">IF(OR(AND(MONTH($A797)=10,DAY($A797)&gt;=15),MONTH($A797)=11,AND(MONTH($A797)=12,DAY($A797)&lt;=7)),1,0)</f>
        <v>0</v>
      </c>
      <c r="F797" s="4" t="n">
        <f aca="false">IF(MONTH($A797)&lt;=3,1,0)</f>
        <v>1</v>
      </c>
      <c r="G797" s="4" t="str">
        <f aca="false" t="array" ref="G797:G797">_xlfn.TEXTJOIN(" | ",TRUE(),IF('FEMA Disasters'!$F$2:$F$1000=$A797,'FEMA Disasters'!$D$2:$D$1000&amp;" begin: ["&amp;'FEMA Disasters'!$B$2:$B$1000&amp;"] "&amp;'FEMA Disasters'!$C$2:$C$1000&amp;"-"&amp;'FEMA Disasters'!$A$2:$A$1000,""),IF('FEMA Disasters'!$G$2:$G$1000=$A797,'FEMA Disasters'!$D$2:$D$1000&amp;" ended: ["&amp;'FEMA Disasters'!$B$2:$B$1000&amp;"] "&amp;'FEMA Disasters'!$C$2:$C$1000&amp;"-"&amp;'FEMA Disasters'!$A$2:$A$1000,""),IF('FEMA Disasters'!$K$2:$K$1000=$A797,"Disaster SEP opens: "&amp;'FEMA Disasters'!$D$2:$D$1000&amp;" ["&amp;'FEMA Disasters'!$B$2:$B$1000&amp;"] "&amp;'FEMA Disasters'!$C$2:$C$1000&amp;"-"&amp;'FEMA Disasters'!$A$2:$A$1000,""),IF('FEMA Disasters'!$L$2:$L$1000=$A797,"Disaster SEP ended: "&amp;'FEMA Disasters'!$D$2:$D$1000&amp;" ["&amp;'FEMA Disasters'!$B$2:$B$1000&amp;"] "&amp;'FEMA Disasters'!$C$2:$C$1000&amp;"-"&amp;'FEMA Disasters'!$A$2:$A$1000,""))</f>
        <v/>
      </c>
      <c r="H797" s="4" t="n">
        <f aca="false">COUNTIF(Events!$A$2:$A$397,$A797)</f>
        <v>0</v>
      </c>
      <c r="I797" s="6" t="str">
        <f aca="false" t="array" ref="I797:I797">_xlfn.TEXTJOIN(" | ",TRUE(),IF(Events!$A$2:$A$397=$A797,Events!$E$2:$E$397&amp;IF(Events!$G$2:$G$397="National",""," ["&amp;Events!$G$2:$G$397&amp;"]"),""))</f>
        <v/>
      </c>
    </row>
    <row r="798" customFormat="false" ht="15" hidden="false" customHeight="true" outlineLevel="0" collapsed="false">
      <c r="A798" s="3" t="n">
        <v>46088</v>
      </c>
      <c r="B798" s="4" t="n">
        <f aca="false">YEAR($A798)</f>
        <v>2026</v>
      </c>
      <c r="C798" s="4" t="n">
        <f aca="false">MONTH($A798)</f>
        <v>3</v>
      </c>
      <c r="D798" s="4" t="str">
        <f aca="false">TEXT($A798,"ddd")</f>
        <v>Sat</v>
      </c>
      <c r="E798" s="4" t="n">
        <f aca="false">IF(OR(AND(MONTH($A798)=10,DAY($A798)&gt;=15),MONTH($A798)=11,AND(MONTH($A798)=12,DAY($A798)&lt;=7)),1,0)</f>
        <v>0</v>
      </c>
      <c r="F798" s="4" t="n">
        <f aca="false">IF(MONTH($A798)&lt;=3,1,0)</f>
        <v>1</v>
      </c>
      <c r="G798" s="4" t="str">
        <f aca="false" t="array" ref="G798:G798">_xlfn.TEXTJOIN(" | ",TRUE(),IF('FEMA Disasters'!$F$2:$F$1000=$A798,'FEMA Disasters'!$D$2:$D$1000&amp;" begin: ["&amp;'FEMA Disasters'!$B$2:$B$1000&amp;"] "&amp;'FEMA Disasters'!$C$2:$C$1000&amp;"-"&amp;'FEMA Disasters'!$A$2:$A$1000,""),IF('FEMA Disasters'!$G$2:$G$1000=$A798,'FEMA Disasters'!$D$2:$D$1000&amp;" ended: ["&amp;'FEMA Disasters'!$B$2:$B$1000&amp;"] "&amp;'FEMA Disasters'!$C$2:$C$1000&amp;"-"&amp;'FEMA Disasters'!$A$2:$A$1000,""),IF('FEMA Disasters'!$K$2:$K$1000=$A798,"Disaster SEP opens: "&amp;'FEMA Disasters'!$D$2:$D$1000&amp;" ["&amp;'FEMA Disasters'!$B$2:$B$1000&amp;"] "&amp;'FEMA Disasters'!$C$2:$C$1000&amp;"-"&amp;'FEMA Disasters'!$A$2:$A$1000,""),IF('FEMA Disasters'!$L$2:$L$1000=$A798,"Disaster SEP ended: "&amp;'FEMA Disasters'!$D$2:$D$1000&amp;" ["&amp;'FEMA Disasters'!$B$2:$B$1000&amp;"] "&amp;'FEMA Disasters'!$C$2:$C$1000&amp;"-"&amp;'FEMA Disasters'!$A$2:$A$1000,""))</f>
        <v/>
      </c>
      <c r="H798" s="4" t="n">
        <f aca="false">COUNTIF(Events!$A$2:$A$397,$A798)</f>
        <v>0</v>
      </c>
      <c r="I798" s="6" t="str">
        <f aca="false" t="array" ref="I798:I798">_xlfn.TEXTJOIN(" | ",TRUE(),IF(Events!$A$2:$A$397=$A798,Events!$E$2:$E$397&amp;IF(Events!$G$2:$G$397="National",""," ["&amp;Events!$G$2:$G$397&amp;"]"),""))</f>
        <v/>
      </c>
    </row>
    <row r="799" customFormat="false" ht="15" hidden="false" customHeight="true" outlineLevel="0" collapsed="false">
      <c r="A799" s="3" t="n">
        <v>46089</v>
      </c>
      <c r="B799" s="4" t="n">
        <f aca="false">YEAR($A799)</f>
        <v>2026</v>
      </c>
      <c r="C799" s="4" t="n">
        <f aca="false">MONTH($A799)</f>
        <v>3</v>
      </c>
      <c r="D799" s="4" t="str">
        <f aca="false">TEXT($A799,"ddd")</f>
        <v>Sun</v>
      </c>
      <c r="E799" s="4" t="n">
        <f aca="false">IF(OR(AND(MONTH($A799)=10,DAY($A799)&gt;=15),MONTH($A799)=11,AND(MONTH($A799)=12,DAY($A799)&lt;=7)),1,0)</f>
        <v>0</v>
      </c>
      <c r="F799" s="4" t="n">
        <f aca="false">IF(MONTH($A799)&lt;=3,1,0)</f>
        <v>1</v>
      </c>
      <c r="G799" s="4" t="str">
        <f aca="false" t="array" ref="G799:G799">_xlfn.TEXTJOIN(" | ",TRUE(),IF('FEMA Disasters'!$F$2:$F$1000=$A799,'FEMA Disasters'!$D$2:$D$1000&amp;" begin: ["&amp;'FEMA Disasters'!$B$2:$B$1000&amp;"] "&amp;'FEMA Disasters'!$C$2:$C$1000&amp;"-"&amp;'FEMA Disasters'!$A$2:$A$1000,""),IF('FEMA Disasters'!$G$2:$G$1000=$A799,'FEMA Disasters'!$D$2:$D$1000&amp;" ended: ["&amp;'FEMA Disasters'!$B$2:$B$1000&amp;"] "&amp;'FEMA Disasters'!$C$2:$C$1000&amp;"-"&amp;'FEMA Disasters'!$A$2:$A$1000,""),IF('FEMA Disasters'!$K$2:$K$1000=$A799,"Disaster SEP opens: "&amp;'FEMA Disasters'!$D$2:$D$1000&amp;" ["&amp;'FEMA Disasters'!$B$2:$B$1000&amp;"] "&amp;'FEMA Disasters'!$C$2:$C$1000&amp;"-"&amp;'FEMA Disasters'!$A$2:$A$1000,""),IF('FEMA Disasters'!$L$2:$L$1000=$A799,"Disaster SEP ended: "&amp;'FEMA Disasters'!$D$2:$D$1000&amp;" ["&amp;'FEMA Disasters'!$B$2:$B$1000&amp;"] "&amp;'FEMA Disasters'!$C$2:$C$1000&amp;"-"&amp;'FEMA Disasters'!$A$2:$A$1000,""))</f>
        <v/>
      </c>
      <c r="H799" s="4" t="n">
        <f aca="false">COUNTIF(Events!$A$2:$A$397,$A799)</f>
        <v>0</v>
      </c>
      <c r="I799" s="6" t="str">
        <f aca="false" t="array" ref="I799:I799">_xlfn.TEXTJOIN(" | ",TRUE(),IF(Events!$A$2:$A$397=$A799,Events!$E$2:$E$397&amp;IF(Events!$G$2:$G$397="National",""," ["&amp;Events!$G$2:$G$397&amp;"]"),""))</f>
        <v/>
      </c>
    </row>
    <row r="800" customFormat="false" ht="15" hidden="false" customHeight="true" outlineLevel="0" collapsed="false">
      <c r="A800" s="3" t="n">
        <v>46090</v>
      </c>
      <c r="B800" s="4" t="n">
        <f aca="false">YEAR($A800)</f>
        <v>2026</v>
      </c>
      <c r="C800" s="4" t="n">
        <f aca="false">MONTH($A800)</f>
        <v>3</v>
      </c>
      <c r="D800" s="4" t="str">
        <f aca="false">TEXT($A800,"ddd")</f>
        <v>Mon</v>
      </c>
      <c r="E800" s="4" t="n">
        <f aca="false">IF(OR(AND(MONTH($A800)=10,DAY($A800)&gt;=15),MONTH($A800)=11,AND(MONTH($A800)=12,DAY($A800)&lt;=7)),1,0)</f>
        <v>0</v>
      </c>
      <c r="F800" s="4" t="n">
        <f aca="false">IF(MONTH($A800)&lt;=3,1,0)</f>
        <v>1</v>
      </c>
      <c r="G800" s="4" t="str">
        <f aca="false" t="array" ref="G800:G800">_xlfn.TEXTJOIN(" | ",TRUE(),IF('FEMA Disasters'!$F$2:$F$1000=$A800,'FEMA Disasters'!$D$2:$D$1000&amp;" begin: ["&amp;'FEMA Disasters'!$B$2:$B$1000&amp;"] "&amp;'FEMA Disasters'!$C$2:$C$1000&amp;"-"&amp;'FEMA Disasters'!$A$2:$A$1000,""),IF('FEMA Disasters'!$G$2:$G$1000=$A800,'FEMA Disasters'!$D$2:$D$1000&amp;" ended: ["&amp;'FEMA Disasters'!$B$2:$B$1000&amp;"] "&amp;'FEMA Disasters'!$C$2:$C$1000&amp;"-"&amp;'FEMA Disasters'!$A$2:$A$1000,""),IF('FEMA Disasters'!$K$2:$K$1000=$A800,"Disaster SEP opens: "&amp;'FEMA Disasters'!$D$2:$D$1000&amp;" ["&amp;'FEMA Disasters'!$B$2:$B$1000&amp;"] "&amp;'FEMA Disasters'!$C$2:$C$1000&amp;"-"&amp;'FEMA Disasters'!$A$2:$A$1000,""),IF('FEMA Disasters'!$L$2:$L$1000=$A800,"Disaster SEP ended: "&amp;'FEMA Disasters'!$D$2:$D$1000&amp;" ["&amp;'FEMA Disasters'!$B$2:$B$1000&amp;"] "&amp;'FEMA Disasters'!$C$2:$C$1000&amp;"-"&amp;'FEMA Disasters'!$A$2:$A$1000,""))</f>
        <v/>
      </c>
      <c r="H800" s="4" t="n">
        <f aca="false">COUNTIF(Events!$A$2:$A$397,$A800)</f>
        <v>0</v>
      </c>
      <c r="I800" s="6" t="str">
        <f aca="false" t="array" ref="I800:I800">_xlfn.TEXTJOIN(" | ",TRUE(),IF(Events!$A$2:$A$397=$A800,Events!$E$2:$E$397&amp;IF(Events!$G$2:$G$397="National",""," ["&amp;Events!$G$2:$G$397&amp;"]"),""))</f>
        <v/>
      </c>
    </row>
    <row r="801" customFormat="false" ht="15" hidden="false" customHeight="true" outlineLevel="0" collapsed="false">
      <c r="A801" s="3" t="n">
        <v>46091</v>
      </c>
      <c r="B801" s="4" t="n">
        <f aca="false">YEAR($A801)</f>
        <v>2026</v>
      </c>
      <c r="C801" s="4" t="n">
        <f aca="false">MONTH($A801)</f>
        <v>3</v>
      </c>
      <c r="D801" s="4" t="str">
        <f aca="false">TEXT($A801,"ddd")</f>
        <v>Tue</v>
      </c>
      <c r="E801" s="4" t="n">
        <f aca="false">IF(OR(AND(MONTH($A801)=10,DAY($A801)&gt;=15),MONTH($A801)=11,AND(MONTH($A801)=12,DAY($A801)&lt;=7)),1,0)</f>
        <v>0</v>
      </c>
      <c r="F801" s="4" t="n">
        <f aca="false">IF(MONTH($A801)&lt;=3,1,0)</f>
        <v>1</v>
      </c>
      <c r="G801" s="4" t="str">
        <f aca="false" t="array" ref="G801:G801">_xlfn.TEXTJOIN(" | ",TRUE(),IF('FEMA Disasters'!$F$2:$F$1000=$A801,'FEMA Disasters'!$D$2:$D$1000&amp;" begin: ["&amp;'FEMA Disasters'!$B$2:$B$1000&amp;"] "&amp;'FEMA Disasters'!$C$2:$C$1000&amp;"-"&amp;'FEMA Disasters'!$A$2:$A$1000,""),IF('FEMA Disasters'!$G$2:$G$1000=$A801,'FEMA Disasters'!$D$2:$D$1000&amp;" ended: ["&amp;'FEMA Disasters'!$B$2:$B$1000&amp;"] "&amp;'FEMA Disasters'!$C$2:$C$1000&amp;"-"&amp;'FEMA Disasters'!$A$2:$A$1000,""),IF('FEMA Disasters'!$K$2:$K$1000=$A801,"Disaster SEP opens: "&amp;'FEMA Disasters'!$D$2:$D$1000&amp;" ["&amp;'FEMA Disasters'!$B$2:$B$1000&amp;"] "&amp;'FEMA Disasters'!$C$2:$C$1000&amp;"-"&amp;'FEMA Disasters'!$A$2:$A$1000,""),IF('FEMA Disasters'!$L$2:$L$1000=$A801,"Disaster SEP ended: "&amp;'FEMA Disasters'!$D$2:$D$1000&amp;" ["&amp;'FEMA Disasters'!$B$2:$B$1000&amp;"] "&amp;'FEMA Disasters'!$C$2:$C$1000&amp;"-"&amp;'FEMA Disasters'!$A$2:$A$1000,""))</f>
        <v>Flood begin: [HI] DR-4909</v>
      </c>
      <c r="H801" s="4" t="n">
        <f aca="false">COUNTIF(Events!$A$2:$A$397,$A801)</f>
        <v>0</v>
      </c>
      <c r="I801" s="6" t="str">
        <f aca="false" t="array" ref="I801:I801">_xlfn.TEXTJOIN(" | ",TRUE(),IF(Events!$A$2:$A$397=$A801,Events!$E$2:$E$397&amp;IF(Events!$G$2:$G$397="National",""," ["&amp;Events!$G$2:$G$397&amp;"]"),""))</f>
        <v/>
      </c>
    </row>
    <row r="802" customFormat="false" ht="15" hidden="false" customHeight="true" outlineLevel="0" collapsed="false">
      <c r="A802" s="3" t="n">
        <v>46092</v>
      </c>
      <c r="B802" s="4" t="n">
        <f aca="false">YEAR($A802)</f>
        <v>2026</v>
      </c>
      <c r="C802" s="4" t="n">
        <f aca="false">MONTH($A802)</f>
        <v>3</v>
      </c>
      <c r="D802" s="4" t="str">
        <f aca="false">TEXT($A802,"ddd")</f>
        <v>Wed</v>
      </c>
      <c r="E802" s="4" t="n">
        <f aca="false">IF(OR(AND(MONTH($A802)=10,DAY($A802)&gt;=15),MONTH($A802)=11,AND(MONTH($A802)=12,DAY($A802)&lt;=7)),1,0)</f>
        <v>0</v>
      </c>
      <c r="F802" s="4" t="n">
        <f aca="false">IF(MONTH($A802)&lt;=3,1,0)</f>
        <v>1</v>
      </c>
      <c r="G802" s="4" t="str">
        <f aca="false" t="array" ref="G802:G802">_xlfn.TEXTJOIN(" | ",TRUE(),IF('FEMA Disasters'!$F$2:$F$1000=$A802,'FEMA Disasters'!$D$2:$D$1000&amp;" begin: ["&amp;'FEMA Disasters'!$B$2:$B$1000&amp;"] "&amp;'FEMA Disasters'!$C$2:$C$1000&amp;"-"&amp;'FEMA Disasters'!$A$2:$A$1000,""),IF('FEMA Disasters'!$G$2:$G$1000=$A802,'FEMA Disasters'!$D$2:$D$1000&amp;" ended: ["&amp;'FEMA Disasters'!$B$2:$B$1000&amp;"] "&amp;'FEMA Disasters'!$C$2:$C$1000&amp;"-"&amp;'FEMA Disasters'!$A$2:$A$1000,""),IF('FEMA Disasters'!$K$2:$K$1000=$A802,"Disaster SEP opens: "&amp;'FEMA Disasters'!$D$2:$D$1000&amp;" ["&amp;'FEMA Disasters'!$B$2:$B$1000&amp;"] "&amp;'FEMA Disasters'!$C$2:$C$1000&amp;"-"&amp;'FEMA Disasters'!$A$2:$A$1000,""),IF('FEMA Disasters'!$L$2:$L$1000=$A802,"Disaster SEP ended: "&amp;'FEMA Disasters'!$D$2:$D$1000&amp;" ["&amp;'FEMA Disasters'!$B$2:$B$1000&amp;"] "&amp;'FEMA Disasters'!$C$2:$C$1000&amp;"-"&amp;'FEMA Disasters'!$A$2:$A$1000,""))</f>
        <v>Severe Storm begin: [ID] DR-4917</v>
      </c>
      <c r="H802" s="4" t="n">
        <f aca="false">COUNTIF(Events!$A$2:$A$397,$A802)</f>
        <v>0</v>
      </c>
      <c r="I802" s="6" t="str">
        <f aca="false" t="array" ref="I802:I802">_xlfn.TEXTJOIN(" | ",TRUE(),IF(Events!$A$2:$A$397=$A802,Events!$E$2:$E$397&amp;IF(Events!$G$2:$G$397="National",""," ["&amp;Events!$G$2:$G$397&amp;"]"),""))</f>
        <v/>
      </c>
    </row>
    <row r="803" customFormat="false" ht="15" hidden="false" customHeight="true" outlineLevel="0" collapsed="false">
      <c r="A803" s="3" t="n">
        <v>46093</v>
      </c>
      <c r="B803" s="4" t="n">
        <f aca="false">YEAR($A803)</f>
        <v>2026</v>
      </c>
      <c r="C803" s="4" t="n">
        <f aca="false">MONTH($A803)</f>
        <v>3</v>
      </c>
      <c r="D803" s="4" t="str">
        <f aca="false">TEXT($A803,"ddd")</f>
        <v>Thu</v>
      </c>
      <c r="E803" s="4" t="n">
        <f aca="false">IF(OR(AND(MONTH($A803)=10,DAY($A803)&gt;=15),MONTH($A803)=11,AND(MONTH($A803)=12,DAY($A803)&lt;=7)),1,0)</f>
        <v>0</v>
      </c>
      <c r="F803" s="4" t="n">
        <f aca="false">IF(MONTH($A803)&lt;=3,1,0)</f>
        <v>1</v>
      </c>
      <c r="G803" s="4" t="str">
        <f aca="false" t="array" ref="G803:G803">_xlfn.TEXTJOIN(" | ",TRUE(),IF('FEMA Disasters'!$F$2:$F$1000=$A803,'FEMA Disasters'!$D$2:$D$1000&amp;" begin: ["&amp;'FEMA Disasters'!$B$2:$B$1000&amp;"] "&amp;'FEMA Disasters'!$C$2:$C$1000&amp;"-"&amp;'FEMA Disasters'!$A$2:$A$1000,""),IF('FEMA Disasters'!$G$2:$G$1000=$A803,'FEMA Disasters'!$D$2:$D$1000&amp;" ended: ["&amp;'FEMA Disasters'!$B$2:$B$1000&amp;"] "&amp;'FEMA Disasters'!$C$2:$C$1000&amp;"-"&amp;'FEMA Disasters'!$A$2:$A$1000,""),IF('FEMA Disasters'!$K$2:$K$1000=$A803,"Disaster SEP opens: "&amp;'FEMA Disasters'!$D$2:$D$1000&amp;" ["&amp;'FEMA Disasters'!$B$2:$B$1000&amp;"] "&amp;'FEMA Disasters'!$C$2:$C$1000&amp;"-"&amp;'FEMA Disasters'!$A$2:$A$1000,""),IF('FEMA Disasters'!$L$2:$L$1000=$A803,"Disaster SEP ended: "&amp;'FEMA Disasters'!$D$2:$D$1000&amp;" ["&amp;'FEMA Disasters'!$B$2:$B$1000&amp;"] "&amp;'FEMA Disasters'!$C$2:$C$1000&amp;"-"&amp;'FEMA Disasters'!$A$2:$A$1000,""))</f>
        <v>Fire begin: [NE] DR-4920 | Fire begin: [SD] FM-5622 | Fire begin: [NE] FM-5623</v>
      </c>
      <c r="H803" s="4" t="n">
        <f aca="false">COUNTIF(Events!$A$2:$A$397,$A803)</f>
        <v>0</v>
      </c>
      <c r="I803" s="6" t="str">
        <f aca="false" t="array" ref="I803:I803">_xlfn.TEXTJOIN(" | ",TRUE(),IF(Events!$A$2:$A$397=$A803,Events!$E$2:$E$397&amp;IF(Events!$G$2:$G$397="National",""," ["&amp;Events!$G$2:$G$397&amp;"]"),""))</f>
        <v/>
      </c>
    </row>
    <row r="804" customFormat="false" ht="15" hidden="false" customHeight="true" outlineLevel="0" collapsed="false">
      <c r="A804" s="3" t="n">
        <v>46094</v>
      </c>
      <c r="B804" s="4" t="n">
        <f aca="false">YEAR($A804)</f>
        <v>2026</v>
      </c>
      <c r="C804" s="4" t="n">
        <f aca="false">MONTH($A804)</f>
        <v>3</v>
      </c>
      <c r="D804" s="4" t="str">
        <f aca="false">TEXT($A804,"ddd")</f>
        <v>Fri</v>
      </c>
      <c r="E804" s="4" t="n">
        <f aca="false">IF(OR(AND(MONTH($A804)=10,DAY($A804)&gt;=15),MONTH($A804)=11,AND(MONTH($A804)=12,DAY($A804)&lt;=7)),1,0)</f>
        <v>0</v>
      </c>
      <c r="F804" s="4" t="n">
        <f aca="false">IF(MONTH($A804)&lt;=3,1,0)</f>
        <v>1</v>
      </c>
      <c r="G804" s="4" t="str">
        <f aca="false" t="array" ref="G804:G804">_xlfn.TEXTJOIN(" | ",TRUE(),IF('FEMA Disasters'!$F$2:$F$1000=$A804,'FEMA Disasters'!$D$2:$D$1000&amp;" begin: ["&amp;'FEMA Disasters'!$B$2:$B$1000&amp;"] "&amp;'FEMA Disasters'!$C$2:$C$1000&amp;"-"&amp;'FEMA Disasters'!$A$2:$A$1000,""),IF('FEMA Disasters'!$G$2:$G$1000=$A804,'FEMA Disasters'!$D$2:$D$1000&amp;" ended: ["&amp;'FEMA Disasters'!$B$2:$B$1000&amp;"] "&amp;'FEMA Disasters'!$C$2:$C$1000&amp;"-"&amp;'FEMA Disasters'!$A$2:$A$1000,""),IF('FEMA Disasters'!$K$2:$K$1000=$A804,"Disaster SEP opens: "&amp;'FEMA Disasters'!$D$2:$D$1000&amp;" ["&amp;'FEMA Disasters'!$B$2:$B$1000&amp;"] "&amp;'FEMA Disasters'!$C$2:$C$1000&amp;"-"&amp;'FEMA Disasters'!$A$2:$A$1000,""),IF('FEMA Disasters'!$L$2:$L$1000=$A804,"Disaster SEP ended: "&amp;'FEMA Disasters'!$D$2:$D$1000&amp;" ["&amp;'FEMA Disasters'!$B$2:$B$1000&amp;"] "&amp;'FEMA Disasters'!$C$2:$C$1000&amp;"-"&amp;'FEMA Disasters'!$A$2:$A$1000,""))</f>
        <v/>
      </c>
      <c r="H804" s="4" t="n">
        <f aca="false">COUNTIF(Events!$A$2:$A$397,$A804)</f>
        <v>0</v>
      </c>
      <c r="I804" s="6" t="str">
        <f aca="false" t="array" ref="I804:I804">_xlfn.TEXTJOIN(" | ",TRUE(),IF(Events!$A$2:$A$397=$A804,Events!$E$2:$E$397&amp;IF(Events!$G$2:$G$397="National",""," ["&amp;Events!$G$2:$G$397&amp;"]"),""))</f>
        <v/>
      </c>
    </row>
    <row r="805" customFormat="false" ht="15" hidden="false" customHeight="true" outlineLevel="0" collapsed="false">
      <c r="A805" s="3" t="n">
        <v>46095</v>
      </c>
      <c r="B805" s="4" t="n">
        <f aca="false">YEAR($A805)</f>
        <v>2026</v>
      </c>
      <c r="C805" s="4" t="n">
        <f aca="false">MONTH($A805)</f>
        <v>3</v>
      </c>
      <c r="D805" s="4" t="str">
        <f aca="false">TEXT($A805,"ddd")</f>
        <v>Sat</v>
      </c>
      <c r="E805" s="4" t="n">
        <f aca="false">IF(OR(AND(MONTH($A805)=10,DAY($A805)&gt;=15),MONTH($A805)=11,AND(MONTH($A805)=12,DAY($A805)&lt;=7)),1,0)</f>
        <v>0</v>
      </c>
      <c r="F805" s="4" t="n">
        <f aca="false">IF(MONTH($A805)&lt;=3,1,0)</f>
        <v>1</v>
      </c>
      <c r="G805" s="4" t="str">
        <f aca="false" t="array" ref="G805:G805">_xlfn.TEXTJOIN(" | ",TRUE(),IF('FEMA Disasters'!$F$2:$F$1000=$A805,'FEMA Disasters'!$D$2:$D$1000&amp;" begin: ["&amp;'FEMA Disasters'!$B$2:$B$1000&amp;"] "&amp;'FEMA Disasters'!$C$2:$C$1000&amp;"-"&amp;'FEMA Disasters'!$A$2:$A$1000,""),IF('FEMA Disasters'!$G$2:$G$1000=$A805,'FEMA Disasters'!$D$2:$D$1000&amp;" ended: ["&amp;'FEMA Disasters'!$B$2:$B$1000&amp;"] "&amp;'FEMA Disasters'!$C$2:$C$1000&amp;"-"&amp;'FEMA Disasters'!$A$2:$A$1000,""),IF('FEMA Disasters'!$K$2:$K$1000=$A805,"Disaster SEP opens: "&amp;'FEMA Disasters'!$D$2:$D$1000&amp;" ["&amp;'FEMA Disasters'!$B$2:$B$1000&amp;"] "&amp;'FEMA Disasters'!$C$2:$C$1000&amp;"-"&amp;'FEMA Disasters'!$A$2:$A$1000,""),IF('FEMA Disasters'!$L$2:$L$1000=$A805,"Disaster SEP ended: "&amp;'FEMA Disasters'!$D$2:$D$1000&amp;" ["&amp;'FEMA Disasters'!$B$2:$B$1000&amp;"] "&amp;'FEMA Disasters'!$C$2:$C$1000&amp;"-"&amp;'FEMA Disasters'!$A$2:$A$1000,""))</f>
        <v>Other ended: [DC] EM-3643</v>
      </c>
      <c r="H805" s="4" t="n">
        <f aca="false">COUNTIF(Events!$A$2:$A$397,$A805)</f>
        <v>0</v>
      </c>
      <c r="I805" s="6" t="str">
        <f aca="false" t="array" ref="I805:I805">_xlfn.TEXTJOIN(" | ",TRUE(),IF(Events!$A$2:$A$397=$A805,Events!$E$2:$E$397&amp;IF(Events!$G$2:$G$397="National",""," ["&amp;Events!$G$2:$G$397&amp;"]"),""))</f>
        <v/>
      </c>
    </row>
    <row r="806" customFormat="false" ht="15" hidden="false" customHeight="true" outlineLevel="0" collapsed="false">
      <c r="A806" s="3" t="n">
        <v>46096</v>
      </c>
      <c r="B806" s="4" t="n">
        <f aca="false">YEAR($A806)</f>
        <v>2026</v>
      </c>
      <c r="C806" s="4" t="n">
        <f aca="false">MONTH($A806)</f>
        <v>3</v>
      </c>
      <c r="D806" s="4" t="str">
        <f aca="false">TEXT($A806,"ddd")</f>
        <v>Sun</v>
      </c>
      <c r="E806" s="4" t="n">
        <f aca="false">IF(OR(AND(MONTH($A806)=10,DAY($A806)&gt;=15),MONTH($A806)=11,AND(MONTH($A806)=12,DAY($A806)&lt;=7)),1,0)</f>
        <v>0</v>
      </c>
      <c r="F806" s="4" t="n">
        <f aca="false">IF(MONTH($A806)&lt;=3,1,0)</f>
        <v>1</v>
      </c>
      <c r="G806" s="4" t="str">
        <f aca="false" t="array" ref="G806:G806">_xlfn.TEXTJOIN(" | ",TRUE(),IF('FEMA Disasters'!$F$2:$F$1000=$A806,'FEMA Disasters'!$D$2:$D$1000&amp;" begin: ["&amp;'FEMA Disasters'!$B$2:$B$1000&amp;"] "&amp;'FEMA Disasters'!$C$2:$C$1000&amp;"-"&amp;'FEMA Disasters'!$A$2:$A$1000,""),IF('FEMA Disasters'!$G$2:$G$1000=$A806,'FEMA Disasters'!$D$2:$D$1000&amp;" ended: ["&amp;'FEMA Disasters'!$B$2:$B$1000&amp;"] "&amp;'FEMA Disasters'!$C$2:$C$1000&amp;"-"&amp;'FEMA Disasters'!$A$2:$A$1000,""),IF('FEMA Disasters'!$K$2:$K$1000=$A806,"Disaster SEP opens: "&amp;'FEMA Disasters'!$D$2:$D$1000&amp;" ["&amp;'FEMA Disasters'!$B$2:$B$1000&amp;"] "&amp;'FEMA Disasters'!$C$2:$C$1000&amp;"-"&amp;'FEMA Disasters'!$A$2:$A$1000,""),IF('FEMA Disasters'!$L$2:$L$1000=$A806,"Disaster SEP ended: "&amp;'FEMA Disasters'!$D$2:$D$1000&amp;" ["&amp;'FEMA Disasters'!$B$2:$B$1000&amp;"] "&amp;'FEMA Disasters'!$C$2:$C$1000&amp;"-"&amp;'FEMA Disasters'!$A$2:$A$1000,""))</f>
        <v>Fire begin: [OK] FM-5624 | Fire begin: [TX] FM-5625 | Severe Storm ended: [ID] DR-4917</v>
      </c>
      <c r="H806" s="4" t="n">
        <f aca="false">COUNTIF(Events!$A$2:$A$397,$A806)</f>
        <v>0</v>
      </c>
      <c r="I806" s="6" t="str">
        <f aca="false" t="array" ref="I806:I806">_xlfn.TEXTJOIN(" | ",TRUE(),IF(Events!$A$2:$A$397=$A806,Events!$E$2:$E$397&amp;IF(Events!$G$2:$G$397="National",""," ["&amp;Events!$G$2:$G$397&amp;"]"),""))</f>
        <v/>
      </c>
    </row>
    <row r="807" customFormat="false" ht="15" hidden="false" customHeight="true" outlineLevel="0" collapsed="false">
      <c r="A807" s="3" t="n">
        <v>46097</v>
      </c>
      <c r="B807" s="4" t="n">
        <f aca="false">YEAR($A807)</f>
        <v>2026</v>
      </c>
      <c r="C807" s="4" t="n">
        <f aca="false">MONTH($A807)</f>
        <v>3</v>
      </c>
      <c r="D807" s="4" t="str">
        <f aca="false">TEXT($A807,"ddd")</f>
        <v>Mon</v>
      </c>
      <c r="E807" s="4" t="n">
        <f aca="false">IF(OR(AND(MONTH($A807)=10,DAY($A807)&gt;=15),MONTH($A807)=11,AND(MONTH($A807)=12,DAY($A807)&lt;=7)),1,0)</f>
        <v>0</v>
      </c>
      <c r="F807" s="4" t="n">
        <f aca="false">IF(MONTH($A807)&lt;=3,1,0)</f>
        <v>1</v>
      </c>
      <c r="G807" s="4" t="str">
        <f aca="false" t="array" ref="G807:G807">_xlfn.TEXTJOIN(" | ",TRUE(),IF('FEMA Disasters'!$F$2:$F$1000=$A807,'FEMA Disasters'!$D$2:$D$1000&amp;" begin: ["&amp;'FEMA Disasters'!$B$2:$B$1000&amp;"] "&amp;'FEMA Disasters'!$C$2:$C$1000&amp;"-"&amp;'FEMA Disasters'!$A$2:$A$1000,""),IF('FEMA Disasters'!$G$2:$G$1000=$A807,'FEMA Disasters'!$D$2:$D$1000&amp;" ended: ["&amp;'FEMA Disasters'!$B$2:$B$1000&amp;"] "&amp;'FEMA Disasters'!$C$2:$C$1000&amp;"-"&amp;'FEMA Disasters'!$A$2:$A$1000,""),IF('FEMA Disasters'!$K$2:$K$1000=$A807,"Disaster SEP opens: "&amp;'FEMA Disasters'!$D$2:$D$1000&amp;" ["&amp;'FEMA Disasters'!$B$2:$B$1000&amp;"] "&amp;'FEMA Disasters'!$C$2:$C$1000&amp;"-"&amp;'FEMA Disasters'!$A$2:$A$1000,""),IF('FEMA Disasters'!$L$2:$L$1000=$A807,"Disaster SEP ended: "&amp;'FEMA Disasters'!$D$2:$D$1000&amp;" ["&amp;'FEMA Disasters'!$B$2:$B$1000&amp;"] "&amp;'FEMA Disasters'!$C$2:$C$1000&amp;"-"&amp;'FEMA Disasters'!$A$2:$A$1000,""))</f>
        <v>Fire ended: [OK] FM-5624</v>
      </c>
      <c r="H807" s="4" t="n">
        <f aca="false">COUNTIF(Events!$A$2:$A$397,$A807)</f>
        <v>0</v>
      </c>
      <c r="I807" s="6" t="str">
        <f aca="false" t="array" ref="I807:I807">_xlfn.TEXTJOIN(" | ",TRUE(),IF(Events!$A$2:$A$397=$A807,Events!$E$2:$E$397&amp;IF(Events!$G$2:$G$397="National",""," ["&amp;Events!$G$2:$G$397&amp;"]"),""))</f>
        <v/>
      </c>
    </row>
    <row r="808" customFormat="false" ht="15" hidden="false" customHeight="true" outlineLevel="0" collapsed="false">
      <c r="A808" s="3" t="n">
        <v>46098</v>
      </c>
      <c r="B808" s="4" t="n">
        <f aca="false">YEAR($A808)</f>
        <v>2026</v>
      </c>
      <c r="C808" s="4" t="n">
        <f aca="false">MONTH($A808)</f>
        <v>3</v>
      </c>
      <c r="D808" s="4" t="str">
        <f aca="false">TEXT($A808,"ddd")</f>
        <v>Tue</v>
      </c>
      <c r="E808" s="4" t="n">
        <f aca="false">IF(OR(AND(MONTH($A808)=10,DAY($A808)&gt;=15),MONTH($A808)=11,AND(MONTH($A808)=12,DAY($A808)&lt;=7)),1,0)</f>
        <v>0</v>
      </c>
      <c r="F808" s="4" t="n">
        <f aca="false">IF(MONTH($A808)&lt;=3,1,0)</f>
        <v>1</v>
      </c>
      <c r="G808" s="4" t="str">
        <f aca="false" t="array" ref="G808:G808">_xlfn.TEXTJOIN(" | ",TRUE(),IF('FEMA Disasters'!$F$2:$F$1000=$A808,'FEMA Disasters'!$D$2:$D$1000&amp;" begin: ["&amp;'FEMA Disasters'!$B$2:$B$1000&amp;"] "&amp;'FEMA Disasters'!$C$2:$C$1000&amp;"-"&amp;'FEMA Disasters'!$A$2:$A$1000,""),IF('FEMA Disasters'!$G$2:$G$1000=$A808,'FEMA Disasters'!$D$2:$D$1000&amp;" ended: ["&amp;'FEMA Disasters'!$B$2:$B$1000&amp;"] "&amp;'FEMA Disasters'!$C$2:$C$1000&amp;"-"&amp;'FEMA Disasters'!$A$2:$A$1000,""),IF('FEMA Disasters'!$K$2:$K$1000=$A808,"Disaster SEP opens: "&amp;'FEMA Disasters'!$D$2:$D$1000&amp;" ["&amp;'FEMA Disasters'!$B$2:$B$1000&amp;"] "&amp;'FEMA Disasters'!$C$2:$C$1000&amp;"-"&amp;'FEMA Disasters'!$A$2:$A$1000,""),IF('FEMA Disasters'!$L$2:$L$1000=$A808,"Disaster SEP ended: "&amp;'FEMA Disasters'!$D$2:$D$1000&amp;" ["&amp;'FEMA Disasters'!$B$2:$B$1000&amp;"] "&amp;'FEMA Disasters'!$C$2:$C$1000&amp;"-"&amp;'FEMA Disasters'!$A$2:$A$1000,""))</f>
        <v/>
      </c>
      <c r="H808" s="4" t="n">
        <f aca="false">COUNTIF(Events!$A$2:$A$397,$A808)</f>
        <v>0</v>
      </c>
      <c r="I808" s="6" t="str">
        <f aca="false" t="array" ref="I808:I808">_xlfn.TEXTJOIN(" | ",TRUE(),IF(Events!$A$2:$A$397=$A808,Events!$E$2:$E$397&amp;IF(Events!$G$2:$G$397="National",""," ["&amp;Events!$G$2:$G$397&amp;"]"),""))</f>
        <v/>
      </c>
    </row>
    <row r="809" customFormat="false" ht="15" hidden="false" customHeight="true" outlineLevel="0" collapsed="false">
      <c r="A809" s="3" t="n">
        <v>46099</v>
      </c>
      <c r="B809" s="4" t="n">
        <f aca="false">YEAR($A809)</f>
        <v>2026</v>
      </c>
      <c r="C809" s="4" t="n">
        <f aca="false">MONTH($A809)</f>
        <v>3</v>
      </c>
      <c r="D809" s="4" t="str">
        <f aca="false">TEXT($A809,"ddd")</f>
        <v>Wed</v>
      </c>
      <c r="E809" s="4" t="n">
        <f aca="false">IF(OR(AND(MONTH($A809)=10,DAY($A809)&gt;=15),MONTH($A809)=11,AND(MONTH($A809)=12,DAY($A809)&lt;=7)),1,0)</f>
        <v>0</v>
      </c>
      <c r="F809" s="4" t="n">
        <f aca="false">IF(MONTH($A809)&lt;=3,1,0)</f>
        <v>1</v>
      </c>
      <c r="G809" s="4" t="str">
        <f aca="false" t="array" ref="G809:G809">_xlfn.TEXTJOIN(" | ",TRUE(),IF('FEMA Disasters'!$F$2:$F$1000=$A809,'FEMA Disasters'!$D$2:$D$1000&amp;" begin: ["&amp;'FEMA Disasters'!$B$2:$B$1000&amp;"] "&amp;'FEMA Disasters'!$C$2:$C$1000&amp;"-"&amp;'FEMA Disasters'!$A$2:$A$1000,""),IF('FEMA Disasters'!$G$2:$G$1000=$A809,'FEMA Disasters'!$D$2:$D$1000&amp;" ended: ["&amp;'FEMA Disasters'!$B$2:$B$1000&amp;"] "&amp;'FEMA Disasters'!$C$2:$C$1000&amp;"-"&amp;'FEMA Disasters'!$A$2:$A$1000,""),IF('FEMA Disasters'!$K$2:$K$1000=$A809,"Disaster SEP opens: "&amp;'FEMA Disasters'!$D$2:$D$1000&amp;" ["&amp;'FEMA Disasters'!$B$2:$B$1000&amp;"] "&amp;'FEMA Disasters'!$C$2:$C$1000&amp;"-"&amp;'FEMA Disasters'!$A$2:$A$1000,""),IF('FEMA Disasters'!$L$2:$L$1000=$A809,"Disaster SEP ended: "&amp;'FEMA Disasters'!$D$2:$D$1000&amp;" ["&amp;'FEMA Disasters'!$B$2:$B$1000&amp;"] "&amp;'FEMA Disasters'!$C$2:$C$1000&amp;"-"&amp;'FEMA Disasters'!$A$2:$A$1000,""))</f>
        <v/>
      </c>
      <c r="H809" s="4" t="n">
        <f aca="false">COUNTIF(Events!$A$2:$A$397,$A809)</f>
        <v>0</v>
      </c>
      <c r="I809" s="6" t="str">
        <f aca="false" t="array" ref="I809:I809">_xlfn.TEXTJOIN(" | ",TRUE(),IF(Events!$A$2:$A$397=$A809,Events!$E$2:$E$397&amp;IF(Events!$G$2:$G$397="National",""," ["&amp;Events!$G$2:$G$397&amp;"]"),""))</f>
        <v/>
      </c>
    </row>
    <row r="810" customFormat="false" ht="15" hidden="false" customHeight="true" outlineLevel="0" collapsed="false">
      <c r="A810" s="3" t="n">
        <v>46100</v>
      </c>
      <c r="B810" s="4" t="n">
        <f aca="false">YEAR($A810)</f>
        <v>2026</v>
      </c>
      <c r="C810" s="4" t="n">
        <f aca="false">MONTH($A810)</f>
        <v>3</v>
      </c>
      <c r="D810" s="4" t="str">
        <f aca="false">TEXT($A810,"ddd")</f>
        <v>Thu</v>
      </c>
      <c r="E810" s="4" t="n">
        <f aca="false">IF(OR(AND(MONTH($A810)=10,DAY($A810)&gt;=15),MONTH($A810)=11,AND(MONTH($A810)=12,DAY($A810)&lt;=7)),1,0)</f>
        <v>0</v>
      </c>
      <c r="F810" s="4" t="n">
        <f aca="false">IF(MONTH($A810)&lt;=3,1,0)</f>
        <v>1</v>
      </c>
      <c r="G810" s="4" t="str">
        <f aca="false" t="array" ref="G810:G810">_xlfn.TEXTJOIN(" | ",TRUE(),IF('FEMA Disasters'!$F$2:$F$1000=$A810,'FEMA Disasters'!$D$2:$D$1000&amp;" begin: ["&amp;'FEMA Disasters'!$B$2:$B$1000&amp;"] "&amp;'FEMA Disasters'!$C$2:$C$1000&amp;"-"&amp;'FEMA Disasters'!$A$2:$A$1000,""),IF('FEMA Disasters'!$G$2:$G$1000=$A810,'FEMA Disasters'!$D$2:$D$1000&amp;" ended: ["&amp;'FEMA Disasters'!$B$2:$B$1000&amp;"] "&amp;'FEMA Disasters'!$C$2:$C$1000&amp;"-"&amp;'FEMA Disasters'!$A$2:$A$1000,""),IF('FEMA Disasters'!$K$2:$K$1000=$A810,"Disaster SEP opens: "&amp;'FEMA Disasters'!$D$2:$D$1000&amp;" ["&amp;'FEMA Disasters'!$B$2:$B$1000&amp;"] "&amp;'FEMA Disasters'!$C$2:$C$1000&amp;"-"&amp;'FEMA Disasters'!$A$2:$A$1000,""),IF('FEMA Disasters'!$L$2:$L$1000=$A810,"Disaster SEP ended: "&amp;'FEMA Disasters'!$D$2:$D$1000&amp;" ["&amp;'FEMA Disasters'!$B$2:$B$1000&amp;"] "&amp;'FEMA Disasters'!$C$2:$C$1000&amp;"-"&amp;'FEMA Disasters'!$A$2:$A$1000,""))</f>
        <v>Fire begin: [OK] FM-5626</v>
      </c>
      <c r="H810" s="4" t="n">
        <f aca="false">COUNTIF(Events!$A$2:$A$397,$A810)</f>
        <v>0</v>
      </c>
      <c r="I810" s="6" t="str">
        <f aca="false" t="array" ref="I810:I810">_xlfn.TEXTJOIN(" | ",TRUE(),IF(Events!$A$2:$A$397=$A810,Events!$E$2:$E$397&amp;IF(Events!$G$2:$G$397="National",""," ["&amp;Events!$G$2:$G$397&amp;"]"),""))</f>
        <v/>
      </c>
    </row>
    <row r="811" customFormat="false" ht="15" hidden="false" customHeight="true" outlineLevel="0" collapsed="false">
      <c r="A811" s="3" t="n">
        <v>46101</v>
      </c>
      <c r="B811" s="4" t="n">
        <f aca="false">YEAR($A811)</f>
        <v>2026</v>
      </c>
      <c r="C811" s="4" t="n">
        <f aca="false">MONTH($A811)</f>
        <v>3</v>
      </c>
      <c r="D811" s="4" t="str">
        <f aca="false">TEXT($A811,"ddd")</f>
        <v>Fri</v>
      </c>
      <c r="E811" s="4" t="n">
        <f aca="false">IF(OR(AND(MONTH($A811)=10,DAY($A811)&gt;=15),MONTH($A811)=11,AND(MONTH($A811)=12,DAY($A811)&lt;=7)),1,0)</f>
        <v>0</v>
      </c>
      <c r="F811" s="4" t="n">
        <f aca="false">IF(MONTH($A811)&lt;=3,1,0)</f>
        <v>1</v>
      </c>
      <c r="G811" s="4" t="str">
        <f aca="false" t="array" ref="G811:G811">_xlfn.TEXTJOIN(" | ",TRUE(),IF('FEMA Disasters'!$F$2:$F$1000=$A811,'FEMA Disasters'!$D$2:$D$1000&amp;" begin: ["&amp;'FEMA Disasters'!$B$2:$B$1000&amp;"] "&amp;'FEMA Disasters'!$C$2:$C$1000&amp;"-"&amp;'FEMA Disasters'!$A$2:$A$1000,""),IF('FEMA Disasters'!$G$2:$G$1000=$A811,'FEMA Disasters'!$D$2:$D$1000&amp;" ended: ["&amp;'FEMA Disasters'!$B$2:$B$1000&amp;"] "&amp;'FEMA Disasters'!$C$2:$C$1000&amp;"-"&amp;'FEMA Disasters'!$A$2:$A$1000,""),IF('FEMA Disasters'!$K$2:$K$1000=$A811,"Disaster SEP opens: "&amp;'FEMA Disasters'!$D$2:$D$1000&amp;" ["&amp;'FEMA Disasters'!$B$2:$B$1000&amp;"] "&amp;'FEMA Disasters'!$C$2:$C$1000&amp;"-"&amp;'FEMA Disasters'!$A$2:$A$1000,""),IF('FEMA Disasters'!$L$2:$L$1000=$A811,"Disaster SEP ended: "&amp;'FEMA Disasters'!$D$2:$D$1000&amp;" ["&amp;'FEMA Disasters'!$B$2:$B$1000&amp;"] "&amp;'FEMA Disasters'!$C$2:$C$1000&amp;"-"&amp;'FEMA Disasters'!$A$2:$A$1000,""))</f>
        <v/>
      </c>
      <c r="H811" s="4" t="n">
        <f aca="false">COUNTIF(Events!$A$2:$A$397,$A811)</f>
        <v>0</v>
      </c>
      <c r="I811" s="6" t="str">
        <f aca="false" t="array" ref="I811:I811">_xlfn.TEXTJOIN(" | ",TRUE(),IF(Events!$A$2:$A$397=$A811,Events!$E$2:$E$397&amp;IF(Events!$G$2:$G$397="National",""," ["&amp;Events!$G$2:$G$397&amp;"]"),""))</f>
        <v/>
      </c>
    </row>
    <row r="812" customFormat="false" ht="15" hidden="false" customHeight="true" outlineLevel="0" collapsed="false">
      <c r="A812" s="3" t="n">
        <v>46102</v>
      </c>
      <c r="B812" s="4" t="n">
        <f aca="false">YEAR($A812)</f>
        <v>2026</v>
      </c>
      <c r="C812" s="4" t="n">
        <f aca="false">MONTH($A812)</f>
        <v>3</v>
      </c>
      <c r="D812" s="4" t="str">
        <f aca="false">TEXT($A812,"ddd")</f>
        <v>Sat</v>
      </c>
      <c r="E812" s="4" t="n">
        <f aca="false">IF(OR(AND(MONTH($A812)=10,DAY($A812)&gt;=15),MONTH($A812)=11,AND(MONTH($A812)=12,DAY($A812)&lt;=7)),1,0)</f>
        <v>0</v>
      </c>
      <c r="F812" s="4" t="n">
        <f aca="false">IF(MONTH($A812)&lt;=3,1,0)</f>
        <v>1</v>
      </c>
      <c r="G812" s="4" t="str">
        <f aca="false" t="array" ref="G812:G812">_xlfn.TEXTJOIN(" | ",TRUE(),IF('FEMA Disasters'!$F$2:$F$1000=$A812,'FEMA Disasters'!$D$2:$D$1000&amp;" begin: ["&amp;'FEMA Disasters'!$B$2:$B$1000&amp;"] "&amp;'FEMA Disasters'!$C$2:$C$1000&amp;"-"&amp;'FEMA Disasters'!$A$2:$A$1000,""),IF('FEMA Disasters'!$G$2:$G$1000=$A812,'FEMA Disasters'!$D$2:$D$1000&amp;" ended: ["&amp;'FEMA Disasters'!$B$2:$B$1000&amp;"] "&amp;'FEMA Disasters'!$C$2:$C$1000&amp;"-"&amp;'FEMA Disasters'!$A$2:$A$1000,""),IF('FEMA Disasters'!$K$2:$K$1000=$A812,"Disaster SEP opens: "&amp;'FEMA Disasters'!$D$2:$D$1000&amp;" ["&amp;'FEMA Disasters'!$B$2:$B$1000&amp;"] "&amp;'FEMA Disasters'!$C$2:$C$1000&amp;"-"&amp;'FEMA Disasters'!$A$2:$A$1000,""),IF('FEMA Disasters'!$L$2:$L$1000=$A812,"Disaster SEP ended: "&amp;'FEMA Disasters'!$D$2:$D$1000&amp;" ["&amp;'FEMA Disasters'!$B$2:$B$1000&amp;"] "&amp;'FEMA Disasters'!$C$2:$C$1000&amp;"-"&amp;'FEMA Disasters'!$A$2:$A$1000,""))</f>
        <v/>
      </c>
      <c r="H812" s="4" t="n">
        <f aca="false">COUNTIF(Events!$A$2:$A$397,$A812)</f>
        <v>0</v>
      </c>
      <c r="I812" s="6" t="str">
        <f aca="false" t="array" ref="I812:I812">_xlfn.TEXTJOIN(" | ",TRUE(),IF(Events!$A$2:$A$397=$A812,Events!$E$2:$E$397&amp;IF(Events!$G$2:$G$397="National",""," ["&amp;Events!$G$2:$G$397&amp;"]"),""))</f>
        <v/>
      </c>
    </row>
    <row r="813" customFormat="false" ht="15" hidden="false" customHeight="true" outlineLevel="0" collapsed="false">
      <c r="A813" s="3" t="n">
        <v>46103</v>
      </c>
      <c r="B813" s="4" t="n">
        <f aca="false">YEAR($A813)</f>
        <v>2026</v>
      </c>
      <c r="C813" s="4" t="n">
        <f aca="false">MONTH($A813)</f>
        <v>3</v>
      </c>
      <c r="D813" s="4" t="str">
        <f aca="false">TEXT($A813,"ddd")</f>
        <v>Sun</v>
      </c>
      <c r="E813" s="4" t="n">
        <f aca="false">IF(OR(AND(MONTH($A813)=10,DAY($A813)&gt;=15),MONTH($A813)=11,AND(MONTH($A813)=12,DAY($A813)&lt;=7)),1,0)</f>
        <v>0</v>
      </c>
      <c r="F813" s="4" t="n">
        <f aca="false">IF(MONTH($A813)&lt;=3,1,0)</f>
        <v>1</v>
      </c>
      <c r="G813" s="4" t="str">
        <f aca="false" t="array" ref="G813:G813">_xlfn.TEXTJOIN(" | ",TRUE(),IF('FEMA Disasters'!$F$2:$F$1000=$A813,'FEMA Disasters'!$D$2:$D$1000&amp;" begin: ["&amp;'FEMA Disasters'!$B$2:$B$1000&amp;"] "&amp;'FEMA Disasters'!$C$2:$C$1000&amp;"-"&amp;'FEMA Disasters'!$A$2:$A$1000,""),IF('FEMA Disasters'!$G$2:$G$1000=$A813,'FEMA Disasters'!$D$2:$D$1000&amp;" ended: ["&amp;'FEMA Disasters'!$B$2:$B$1000&amp;"] "&amp;'FEMA Disasters'!$C$2:$C$1000&amp;"-"&amp;'FEMA Disasters'!$A$2:$A$1000,""),IF('FEMA Disasters'!$K$2:$K$1000=$A813,"Disaster SEP opens: "&amp;'FEMA Disasters'!$D$2:$D$1000&amp;" ["&amp;'FEMA Disasters'!$B$2:$B$1000&amp;"] "&amp;'FEMA Disasters'!$C$2:$C$1000&amp;"-"&amp;'FEMA Disasters'!$A$2:$A$1000,""),IF('FEMA Disasters'!$L$2:$L$1000=$A813,"Disaster SEP ended: "&amp;'FEMA Disasters'!$D$2:$D$1000&amp;" ["&amp;'FEMA Disasters'!$B$2:$B$1000&amp;"] "&amp;'FEMA Disasters'!$C$2:$C$1000&amp;"-"&amp;'FEMA Disasters'!$A$2:$A$1000,""))</f>
        <v>Fire begin: [OK] FM-5627 | Fire begin: [OK] FM-5628</v>
      </c>
      <c r="H813" s="4" t="n">
        <f aca="false">COUNTIF(Events!$A$2:$A$397,$A813)</f>
        <v>0</v>
      </c>
      <c r="I813" s="6" t="str">
        <f aca="false" t="array" ref="I813:I813">_xlfn.TEXTJOIN(" | ",TRUE(),IF(Events!$A$2:$A$397=$A813,Events!$E$2:$E$397&amp;IF(Events!$G$2:$G$397="National",""," ["&amp;Events!$G$2:$G$397&amp;"]"),""))</f>
        <v/>
      </c>
    </row>
    <row r="814" customFormat="false" ht="15" hidden="false" customHeight="true" outlineLevel="0" collapsed="false">
      <c r="A814" s="3" t="n">
        <v>46104</v>
      </c>
      <c r="B814" s="4" t="n">
        <f aca="false">YEAR($A814)</f>
        <v>2026</v>
      </c>
      <c r="C814" s="4" t="n">
        <f aca="false">MONTH($A814)</f>
        <v>3</v>
      </c>
      <c r="D814" s="4" t="str">
        <f aca="false">TEXT($A814,"ddd")</f>
        <v>Mon</v>
      </c>
      <c r="E814" s="4" t="n">
        <f aca="false">IF(OR(AND(MONTH($A814)=10,DAY($A814)&gt;=15),MONTH($A814)=11,AND(MONTH($A814)=12,DAY($A814)&lt;=7)),1,0)</f>
        <v>0</v>
      </c>
      <c r="F814" s="4" t="n">
        <f aca="false">IF(MONTH($A814)&lt;=3,1,0)</f>
        <v>1</v>
      </c>
      <c r="G814" s="4" t="str">
        <f aca="false" t="array" ref="G814:G814">_xlfn.TEXTJOIN(" | ",TRUE(),IF('FEMA Disasters'!$F$2:$F$1000=$A814,'FEMA Disasters'!$D$2:$D$1000&amp;" begin: ["&amp;'FEMA Disasters'!$B$2:$B$1000&amp;"] "&amp;'FEMA Disasters'!$C$2:$C$1000&amp;"-"&amp;'FEMA Disasters'!$A$2:$A$1000,""),IF('FEMA Disasters'!$G$2:$G$1000=$A814,'FEMA Disasters'!$D$2:$D$1000&amp;" ended: ["&amp;'FEMA Disasters'!$B$2:$B$1000&amp;"] "&amp;'FEMA Disasters'!$C$2:$C$1000&amp;"-"&amp;'FEMA Disasters'!$A$2:$A$1000,""),IF('FEMA Disasters'!$K$2:$K$1000=$A814,"Disaster SEP opens: "&amp;'FEMA Disasters'!$D$2:$D$1000&amp;" ["&amp;'FEMA Disasters'!$B$2:$B$1000&amp;"] "&amp;'FEMA Disasters'!$C$2:$C$1000&amp;"-"&amp;'FEMA Disasters'!$A$2:$A$1000,""),IF('FEMA Disasters'!$L$2:$L$1000=$A814,"Disaster SEP ended: "&amp;'FEMA Disasters'!$D$2:$D$1000&amp;" ["&amp;'FEMA Disasters'!$B$2:$B$1000&amp;"] "&amp;'FEMA Disasters'!$C$2:$C$1000&amp;"-"&amp;'FEMA Disasters'!$A$2:$A$1000,""))</f>
        <v/>
      </c>
      <c r="H814" s="4" t="n">
        <f aca="false">COUNTIF(Events!$A$2:$A$397,$A814)</f>
        <v>0</v>
      </c>
      <c r="I814" s="6" t="str">
        <f aca="false" t="array" ref="I814:I814">_xlfn.TEXTJOIN(" | ",TRUE(),IF(Events!$A$2:$A$397=$A814,Events!$E$2:$E$397&amp;IF(Events!$G$2:$G$397="National",""," ["&amp;Events!$G$2:$G$397&amp;"]"),""))</f>
        <v/>
      </c>
    </row>
    <row r="815" customFormat="false" ht="15" hidden="false" customHeight="true" outlineLevel="0" collapsed="false">
      <c r="A815" s="3" t="n">
        <v>46105</v>
      </c>
      <c r="B815" s="4" t="n">
        <f aca="false">YEAR($A815)</f>
        <v>2026</v>
      </c>
      <c r="C815" s="4" t="n">
        <f aca="false">MONTH($A815)</f>
        <v>3</v>
      </c>
      <c r="D815" s="4" t="str">
        <f aca="false">TEXT($A815,"ddd")</f>
        <v>Tue</v>
      </c>
      <c r="E815" s="4" t="n">
        <f aca="false">IF(OR(AND(MONTH($A815)=10,DAY($A815)&gt;=15),MONTH($A815)=11,AND(MONTH($A815)=12,DAY($A815)&lt;=7)),1,0)</f>
        <v>0</v>
      </c>
      <c r="F815" s="4" t="n">
        <f aca="false">IF(MONTH($A815)&lt;=3,1,0)</f>
        <v>1</v>
      </c>
      <c r="G815" s="4" t="str">
        <f aca="false" t="array" ref="G815:G815">_xlfn.TEXTJOIN(" | ",TRUE(),IF('FEMA Disasters'!$F$2:$F$1000=$A815,'FEMA Disasters'!$D$2:$D$1000&amp;" begin: ["&amp;'FEMA Disasters'!$B$2:$B$1000&amp;"] "&amp;'FEMA Disasters'!$C$2:$C$1000&amp;"-"&amp;'FEMA Disasters'!$A$2:$A$1000,""),IF('FEMA Disasters'!$G$2:$G$1000=$A815,'FEMA Disasters'!$D$2:$D$1000&amp;" ended: ["&amp;'FEMA Disasters'!$B$2:$B$1000&amp;"] "&amp;'FEMA Disasters'!$C$2:$C$1000&amp;"-"&amp;'FEMA Disasters'!$A$2:$A$1000,""),IF('FEMA Disasters'!$K$2:$K$1000=$A815,"Disaster SEP opens: "&amp;'FEMA Disasters'!$D$2:$D$1000&amp;" ["&amp;'FEMA Disasters'!$B$2:$B$1000&amp;"] "&amp;'FEMA Disasters'!$C$2:$C$1000&amp;"-"&amp;'FEMA Disasters'!$A$2:$A$1000,""),IF('FEMA Disasters'!$L$2:$L$1000=$A815,"Disaster SEP ended: "&amp;'FEMA Disasters'!$D$2:$D$1000&amp;" ["&amp;'FEMA Disasters'!$B$2:$B$1000&amp;"] "&amp;'FEMA Disasters'!$C$2:$C$1000&amp;"-"&amp;'FEMA Disasters'!$A$2:$A$1000,""))</f>
        <v>Flood ended: [HI] DR-4909</v>
      </c>
      <c r="H815" s="4" t="n">
        <f aca="false">COUNTIF(Events!$A$2:$A$397,$A815)</f>
        <v>0</v>
      </c>
      <c r="I815" s="6" t="str">
        <f aca="false" t="array" ref="I815:I815">_xlfn.TEXTJOIN(" | ",TRUE(),IF(Events!$A$2:$A$397=$A815,Events!$E$2:$E$397&amp;IF(Events!$G$2:$G$397="National",""," ["&amp;Events!$G$2:$G$397&amp;"]"),""))</f>
        <v/>
      </c>
    </row>
    <row r="816" customFormat="false" ht="15" hidden="false" customHeight="true" outlineLevel="0" collapsed="false">
      <c r="A816" s="3" t="n">
        <v>46106</v>
      </c>
      <c r="B816" s="4" t="n">
        <f aca="false">YEAR($A816)</f>
        <v>2026</v>
      </c>
      <c r="C816" s="4" t="n">
        <f aca="false">MONTH($A816)</f>
        <v>3</v>
      </c>
      <c r="D816" s="4" t="str">
        <f aca="false">TEXT($A816,"ddd")</f>
        <v>Wed</v>
      </c>
      <c r="E816" s="4" t="n">
        <f aca="false">IF(OR(AND(MONTH($A816)=10,DAY($A816)&gt;=15),MONTH($A816)=11,AND(MONTH($A816)=12,DAY($A816)&lt;=7)),1,0)</f>
        <v>0</v>
      </c>
      <c r="F816" s="4" t="n">
        <f aca="false">IF(MONTH($A816)&lt;=3,1,0)</f>
        <v>1</v>
      </c>
      <c r="G816" s="4" t="str">
        <f aca="false" t="array" ref="G816:G816">_xlfn.TEXTJOIN(" | ",TRUE(),IF('FEMA Disasters'!$F$2:$F$1000=$A816,'FEMA Disasters'!$D$2:$D$1000&amp;" begin: ["&amp;'FEMA Disasters'!$B$2:$B$1000&amp;"] "&amp;'FEMA Disasters'!$C$2:$C$1000&amp;"-"&amp;'FEMA Disasters'!$A$2:$A$1000,""),IF('FEMA Disasters'!$G$2:$G$1000=$A816,'FEMA Disasters'!$D$2:$D$1000&amp;" ended: ["&amp;'FEMA Disasters'!$B$2:$B$1000&amp;"] "&amp;'FEMA Disasters'!$C$2:$C$1000&amp;"-"&amp;'FEMA Disasters'!$A$2:$A$1000,""),IF('FEMA Disasters'!$K$2:$K$1000=$A816,"Disaster SEP opens: "&amp;'FEMA Disasters'!$D$2:$D$1000&amp;" ["&amp;'FEMA Disasters'!$B$2:$B$1000&amp;"] "&amp;'FEMA Disasters'!$C$2:$C$1000&amp;"-"&amp;'FEMA Disasters'!$A$2:$A$1000,""),IF('FEMA Disasters'!$L$2:$L$1000=$A816,"Disaster SEP ended: "&amp;'FEMA Disasters'!$D$2:$D$1000&amp;" ["&amp;'FEMA Disasters'!$B$2:$B$1000&amp;"] "&amp;'FEMA Disasters'!$C$2:$C$1000&amp;"-"&amp;'FEMA Disasters'!$A$2:$A$1000,""))</f>
        <v/>
      </c>
      <c r="H816" s="4" t="n">
        <f aca="false">COUNTIF(Events!$A$2:$A$397,$A816)</f>
        <v>0</v>
      </c>
      <c r="I816" s="6" t="str">
        <f aca="false" t="array" ref="I816:I816">_xlfn.TEXTJOIN(" | ",TRUE(),IF(Events!$A$2:$A$397=$A816,Events!$E$2:$E$397&amp;IF(Events!$G$2:$G$397="National",""," ["&amp;Events!$G$2:$G$397&amp;"]"),""))</f>
        <v/>
      </c>
    </row>
    <row r="817" customFormat="false" ht="15" hidden="false" customHeight="true" outlineLevel="0" collapsed="false">
      <c r="A817" s="3" t="n">
        <v>46107</v>
      </c>
      <c r="B817" s="4" t="n">
        <f aca="false">YEAR($A817)</f>
        <v>2026</v>
      </c>
      <c r="C817" s="4" t="n">
        <f aca="false">MONTH($A817)</f>
        <v>3</v>
      </c>
      <c r="D817" s="4" t="str">
        <f aca="false">TEXT($A817,"ddd")</f>
        <v>Thu</v>
      </c>
      <c r="E817" s="4" t="n">
        <f aca="false">IF(OR(AND(MONTH($A817)=10,DAY($A817)&gt;=15),MONTH($A817)=11,AND(MONTH($A817)=12,DAY($A817)&lt;=7)),1,0)</f>
        <v>0</v>
      </c>
      <c r="F817" s="4" t="n">
        <f aca="false">IF(MONTH($A817)&lt;=3,1,0)</f>
        <v>1</v>
      </c>
      <c r="G817" s="4" t="str">
        <f aca="false" t="array" ref="G817:G817">_xlfn.TEXTJOIN(" | ",TRUE(),IF('FEMA Disasters'!$F$2:$F$1000=$A817,'FEMA Disasters'!$D$2:$D$1000&amp;" begin: ["&amp;'FEMA Disasters'!$B$2:$B$1000&amp;"] "&amp;'FEMA Disasters'!$C$2:$C$1000&amp;"-"&amp;'FEMA Disasters'!$A$2:$A$1000,""),IF('FEMA Disasters'!$G$2:$G$1000=$A817,'FEMA Disasters'!$D$2:$D$1000&amp;" ended: ["&amp;'FEMA Disasters'!$B$2:$B$1000&amp;"] "&amp;'FEMA Disasters'!$C$2:$C$1000&amp;"-"&amp;'FEMA Disasters'!$A$2:$A$1000,""),IF('FEMA Disasters'!$K$2:$K$1000=$A817,"Disaster SEP opens: "&amp;'FEMA Disasters'!$D$2:$D$1000&amp;" ["&amp;'FEMA Disasters'!$B$2:$B$1000&amp;"] "&amp;'FEMA Disasters'!$C$2:$C$1000&amp;"-"&amp;'FEMA Disasters'!$A$2:$A$1000,""),IF('FEMA Disasters'!$L$2:$L$1000=$A817,"Disaster SEP ended: "&amp;'FEMA Disasters'!$D$2:$D$1000&amp;" ["&amp;'FEMA Disasters'!$B$2:$B$1000&amp;"] "&amp;'FEMA Disasters'!$C$2:$C$1000&amp;"-"&amp;'FEMA Disasters'!$A$2:$A$1000,""))</f>
        <v/>
      </c>
      <c r="H817" s="4" t="n">
        <f aca="false">COUNTIF(Events!$A$2:$A$397,$A817)</f>
        <v>0</v>
      </c>
      <c r="I817" s="6" t="str">
        <f aca="false" t="array" ref="I817:I817">_xlfn.TEXTJOIN(" | ",TRUE(),IF(Events!$A$2:$A$397=$A817,Events!$E$2:$E$397&amp;IF(Events!$G$2:$G$397="National",""," ["&amp;Events!$G$2:$G$397&amp;"]"),""))</f>
        <v/>
      </c>
    </row>
    <row r="818" customFormat="false" ht="15" hidden="false" customHeight="true" outlineLevel="0" collapsed="false">
      <c r="A818" s="3" t="n">
        <v>46108</v>
      </c>
      <c r="B818" s="4" t="n">
        <f aca="false">YEAR($A818)</f>
        <v>2026</v>
      </c>
      <c r="C818" s="4" t="n">
        <f aca="false">MONTH($A818)</f>
        <v>3</v>
      </c>
      <c r="D818" s="4" t="str">
        <f aca="false">TEXT($A818,"ddd")</f>
        <v>Fri</v>
      </c>
      <c r="E818" s="4" t="n">
        <f aca="false">IF(OR(AND(MONTH($A818)=10,DAY($A818)&gt;=15),MONTH($A818)=11,AND(MONTH($A818)=12,DAY($A818)&lt;=7)),1,0)</f>
        <v>0</v>
      </c>
      <c r="F818" s="4" t="n">
        <f aca="false">IF(MONTH($A818)&lt;=3,1,0)</f>
        <v>1</v>
      </c>
      <c r="G818" s="4" t="str">
        <f aca="false" t="array" ref="G818:G818">_xlfn.TEXTJOIN(" | ",TRUE(),IF('FEMA Disasters'!$F$2:$F$1000=$A818,'FEMA Disasters'!$D$2:$D$1000&amp;" begin: ["&amp;'FEMA Disasters'!$B$2:$B$1000&amp;"] "&amp;'FEMA Disasters'!$C$2:$C$1000&amp;"-"&amp;'FEMA Disasters'!$A$2:$A$1000,""),IF('FEMA Disasters'!$G$2:$G$1000=$A818,'FEMA Disasters'!$D$2:$D$1000&amp;" ended: ["&amp;'FEMA Disasters'!$B$2:$B$1000&amp;"] "&amp;'FEMA Disasters'!$C$2:$C$1000&amp;"-"&amp;'FEMA Disasters'!$A$2:$A$1000,""),IF('FEMA Disasters'!$K$2:$K$1000=$A818,"Disaster SEP opens: "&amp;'FEMA Disasters'!$D$2:$D$1000&amp;" ["&amp;'FEMA Disasters'!$B$2:$B$1000&amp;"] "&amp;'FEMA Disasters'!$C$2:$C$1000&amp;"-"&amp;'FEMA Disasters'!$A$2:$A$1000,""),IF('FEMA Disasters'!$L$2:$L$1000=$A818,"Disaster SEP ended: "&amp;'FEMA Disasters'!$D$2:$D$1000&amp;" ["&amp;'FEMA Disasters'!$B$2:$B$1000&amp;"] "&amp;'FEMA Disasters'!$C$2:$C$1000&amp;"-"&amp;'FEMA Disasters'!$A$2:$A$1000,""))</f>
        <v>Fire ended: [NE] FM-5623</v>
      </c>
      <c r="H818" s="4" t="n">
        <f aca="false">COUNTIF(Events!$A$2:$A$397,$A818)</f>
        <v>0</v>
      </c>
      <c r="I818" s="6" t="str">
        <f aca="false" t="array" ref="I818:I818">_xlfn.TEXTJOIN(" | ",TRUE(),IF(Events!$A$2:$A$397=$A818,Events!$E$2:$E$397&amp;IF(Events!$G$2:$G$397="National",""," ["&amp;Events!$G$2:$G$397&amp;"]"),""))</f>
        <v/>
      </c>
    </row>
    <row r="819" customFormat="false" ht="15" hidden="false" customHeight="true" outlineLevel="0" collapsed="false">
      <c r="A819" s="3" t="n">
        <v>46109</v>
      </c>
      <c r="B819" s="4" t="n">
        <f aca="false">YEAR($A819)</f>
        <v>2026</v>
      </c>
      <c r="C819" s="4" t="n">
        <f aca="false">MONTH($A819)</f>
        <v>3</v>
      </c>
      <c r="D819" s="4" t="str">
        <f aca="false">TEXT($A819,"ddd")</f>
        <v>Sat</v>
      </c>
      <c r="E819" s="4" t="n">
        <f aca="false">IF(OR(AND(MONTH($A819)=10,DAY($A819)&gt;=15),MONTH($A819)=11,AND(MONTH($A819)=12,DAY($A819)&lt;=7)),1,0)</f>
        <v>0</v>
      </c>
      <c r="F819" s="4" t="n">
        <f aca="false">IF(MONTH($A819)&lt;=3,1,0)</f>
        <v>1</v>
      </c>
      <c r="G819" s="4" t="str">
        <f aca="false" t="array" ref="G819:G819">_xlfn.TEXTJOIN(" | ",TRUE(),IF('FEMA Disasters'!$F$2:$F$1000=$A819,'FEMA Disasters'!$D$2:$D$1000&amp;" begin: ["&amp;'FEMA Disasters'!$B$2:$B$1000&amp;"] "&amp;'FEMA Disasters'!$C$2:$C$1000&amp;"-"&amp;'FEMA Disasters'!$A$2:$A$1000,""),IF('FEMA Disasters'!$G$2:$G$1000=$A819,'FEMA Disasters'!$D$2:$D$1000&amp;" ended: ["&amp;'FEMA Disasters'!$B$2:$B$1000&amp;"] "&amp;'FEMA Disasters'!$C$2:$C$1000&amp;"-"&amp;'FEMA Disasters'!$A$2:$A$1000,""),IF('FEMA Disasters'!$K$2:$K$1000=$A819,"Disaster SEP opens: "&amp;'FEMA Disasters'!$D$2:$D$1000&amp;" ["&amp;'FEMA Disasters'!$B$2:$B$1000&amp;"] "&amp;'FEMA Disasters'!$C$2:$C$1000&amp;"-"&amp;'FEMA Disasters'!$A$2:$A$1000,""),IF('FEMA Disasters'!$L$2:$L$1000=$A819,"Disaster SEP ended: "&amp;'FEMA Disasters'!$D$2:$D$1000&amp;" ["&amp;'FEMA Disasters'!$B$2:$B$1000&amp;"] "&amp;'FEMA Disasters'!$C$2:$C$1000&amp;"-"&amp;'FEMA Disasters'!$A$2:$A$1000,""))</f>
        <v/>
      </c>
      <c r="H819" s="4" t="n">
        <f aca="false">COUNTIF(Events!$A$2:$A$397,$A819)</f>
        <v>0</v>
      </c>
      <c r="I819" s="6" t="str">
        <f aca="false" t="array" ref="I819:I819">_xlfn.TEXTJOIN(" | ",TRUE(),IF(Events!$A$2:$A$397=$A819,Events!$E$2:$E$397&amp;IF(Events!$G$2:$G$397="National",""," ["&amp;Events!$G$2:$G$397&amp;"]"),""))</f>
        <v/>
      </c>
    </row>
    <row r="820" customFormat="false" ht="15" hidden="false" customHeight="true" outlineLevel="0" collapsed="false">
      <c r="A820" s="3" t="n">
        <v>46110</v>
      </c>
      <c r="B820" s="4" t="n">
        <f aca="false">YEAR($A820)</f>
        <v>2026</v>
      </c>
      <c r="C820" s="4" t="n">
        <f aca="false">MONTH($A820)</f>
        <v>3</v>
      </c>
      <c r="D820" s="4" t="str">
        <f aca="false">TEXT($A820,"ddd")</f>
        <v>Sun</v>
      </c>
      <c r="E820" s="4" t="n">
        <f aca="false">IF(OR(AND(MONTH($A820)=10,DAY($A820)&gt;=15),MONTH($A820)=11,AND(MONTH($A820)=12,DAY($A820)&lt;=7)),1,0)</f>
        <v>0</v>
      </c>
      <c r="F820" s="4" t="n">
        <f aca="false">IF(MONTH($A820)&lt;=3,1,0)</f>
        <v>1</v>
      </c>
      <c r="G820" s="4" t="str">
        <f aca="false" t="array" ref="G820:G820">_xlfn.TEXTJOIN(" | ",TRUE(),IF('FEMA Disasters'!$F$2:$F$1000=$A820,'FEMA Disasters'!$D$2:$D$1000&amp;" begin: ["&amp;'FEMA Disasters'!$B$2:$B$1000&amp;"] "&amp;'FEMA Disasters'!$C$2:$C$1000&amp;"-"&amp;'FEMA Disasters'!$A$2:$A$1000,""),IF('FEMA Disasters'!$G$2:$G$1000=$A820,'FEMA Disasters'!$D$2:$D$1000&amp;" ended: ["&amp;'FEMA Disasters'!$B$2:$B$1000&amp;"] "&amp;'FEMA Disasters'!$C$2:$C$1000&amp;"-"&amp;'FEMA Disasters'!$A$2:$A$1000,""),IF('FEMA Disasters'!$K$2:$K$1000=$A820,"Disaster SEP opens: "&amp;'FEMA Disasters'!$D$2:$D$1000&amp;" ["&amp;'FEMA Disasters'!$B$2:$B$1000&amp;"] "&amp;'FEMA Disasters'!$C$2:$C$1000&amp;"-"&amp;'FEMA Disasters'!$A$2:$A$1000,""),IF('FEMA Disasters'!$L$2:$L$1000=$A820,"Disaster SEP ended: "&amp;'FEMA Disasters'!$D$2:$D$1000&amp;" ["&amp;'FEMA Disasters'!$B$2:$B$1000&amp;"] "&amp;'FEMA Disasters'!$C$2:$C$1000&amp;"-"&amp;'FEMA Disasters'!$A$2:$A$1000,""))</f>
        <v/>
      </c>
      <c r="H820" s="4" t="n">
        <f aca="false">COUNTIF(Events!$A$2:$A$397,$A820)</f>
        <v>0</v>
      </c>
      <c r="I820" s="6" t="str">
        <f aca="false" t="array" ref="I820:I820">_xlfn.TEXTJOIN(" | ",TRUE(),IF(Events!$A$2:$A$397=$A820,Events!$E$2:$E$397&amp;IF(Events!$G$2:$G$397="National",""," ["&amp;Events!$G$2:$G$397&amp;"]"),""))</f>
        <v/>
      </c>
    </row>
    <row r="821" customFormat="false" ht="15" hidden="false" customHeight="true" outlineLevel="0" collapsed="false">
      <c r="A821" s="3" t="n">
        <v>46111</v>
      </c>
      <c r="B821" s="4" t="n">
        <f aca="false">YEAR($A821)</f>
        <v>2026</v>
      </c>
      <c r="C821" s="4" t="n">
        <f aca="false">MONTH($A821)</f>
        <v>3</v>
      </c>
      <c r="D821" s="4" t="str">
        <f aca="false">TEXT($A821,"ddd")</f>
        <v>Mon</v>
      </c>
      <c r="E821" s="4" t="n">
        <f aca="false">IF(OR(AND(MONTH($A821)=10,DAY($A821)&gt;=15),MONTH($A821)=11,AND(MONTH($A821)=12,DAY($A821)&lt;=7)),1,0)</f>
        <v>0</v>
      </c>
      <c r="F821" s="4" t="n">
        <f aca="false">IF(MONTH($A821)&lt;=3,1,0)</f>
        <v>1</v>
      </c>
      <c r="G821" s="4" t="str">
        <f aca="false" t="array" ref="G821:G821">_xlfn.TEXTJOIN(" | ",TRUE(),IF('FEMA Disasters'!$F$2:$F$1000=$A821,'FEMA Disasters'!$D$2:$D$1000&amp;" begin: ["&amp;'FEMA Disasters'!$B$2:$B$1000&amp;"] "&amp;'FEMA Disasters'!$C$2:$C$1000&amp;"-"&amp;'FEMA Disasters'!$A$2:$A$1000,""),IF('FEMA Disasters'!$G$2:$G$1000=$A821,'FEMA Disasters'!$D$2:$D$1000&amp;" ended: ["&amp;'FEMA Disasters'!$B$2:$B$1000&amp;"] "&amp;'FEMA Disasters'!$C$2:$C$1000&amp;"-"&amp;'FEMA Disasters'!$A$2:$A$1000,""),IF('FEMA Disasters'!$K$2:$K$1000=$A821,"Disaster SEP opens: "&amp;'FEMA Disasters'!$D$2:$D$1000&amp;" ["&amp;'FEMA Disasters'!$B$2:$B$1000&amp;"] "&amp;'FEMA Disasters'!$C$2:$C$1000&amp;"-"&amp;'FEMA Disasters'!$A$2:$A$1000,""),IF('FEMA Disasters'!$L$2:$L$1000=$A821,"Disaster SEP ended: "&amp;'FEMA Disasters'!$D$2:$D$1000&amp;" ["&amp;'FEMA Disasters'!$B$2:$B$1000&amp;"] "&amp;'FEMA Disasters'!$C$2:$C$1000&amp;"-"&amp;'FEMA Disasters'!$A$2:$A$1000,""))</f>
        <v/>
      </c>
      <c r="H821" s="4" t="n">
        <f aca="false">COUNTIF(Events!$A$2:$A$397,$A821)</f>
        <v>0</v>
      </c>
      <c r="I821" s="6" t="str">
        <f aca="false" t="array" ref="I821:I821">_xlfn.TEXTJOIN(" | ",TRUE(),IF(Events!$A$2:$A$397=$A821,Events!$E$2:$E$397&amp;IF(Events!$G$2:$G$397="National",""," ["&amp;Events!$G$2:$G$397&amp;"]"),""))</f>
        <v/>
      </c>
    </row>
    <row r="822" customFormat="false" ht="15" hidden="false" customHeight="true" outlineLevel="0" collapsed="false">
      <c r="A822" s="3" t="n">
        <v>46112</v>
      </c>
      <c r="B822" s="4" t="n">
        <f aca="false">YEAR($A822)</f>
        <v>2026</v>
      </c>
      <c r="C822" s="4" t="n">
        <f aca="false">MONTH($A822)</f>
        <v>3</v>
      </c>
      <c r="D822" s="4" t="str">
        <f aca="false">TEXT($A822,"ddd")</f>
        <v>Tue</v>
      </c>
      <c r="E822" s="4" t="n">
        <f aca="false">IF(OR(AND(MONTH($A822)=10,DAY($A822)&gt;=15),MONTH($A822)=11,AND(MONTH($A822)=12,DAY($A822)&lt;=7)),1,0)</f>
        <v>0</v>
      </c>
      <c r="F822" s="4" t="n">
        <f aca="false">IF(MONTH($A822)&lt;=3,1,0)</f>
        <v>1</v>
      </c>
      <c r="G822" s="4" t="str">
        <f aca="false" t="array" ref="G822:G822">_xlfn.TEXTJOIN(" | ",TRUE(),IF('FEMA Disasters'!$F$2:$F$1000=$A822,'FEMA Disasters'!$D$2:$D$1000&amp;" begin: ["&amp;'FEMA Disasters'!$B$2:$B$1000&amp;"] "&amp;'FEMA Disasters'!$C$2:$C$1000&amp;"-"&amp;'FEMA Disasters'!$A$2:$A$1000,""),IF('FEMA Disasters'!$G$2:$G$1000=$A822,'FEMA Disasters'!$D$2:$D$1000&amp;" ended: ["&amp;'FEMA Disasters'!$B$2:$B$1000&amp;"] "&amp;'FEMA Disasters'!$C$2:$C$1000&amp;"-"&amp;'FEMA Disasters'!$A$2:$A$1000,""),IF('FEMA Disasters'!$K$2:$K$1000=$A822,"Disaster SEP opens: "&amp;'FEMA Disasters'!$D$2:$D$1000&amp;" ["&amp;'FEMA Disasters'!$B$2:$B$1000&amp;"] "&amp;'FEMA Disasters'!$C$2:$C$1000&amp;"-"&amp;'FEMA Disasters'!$A$2:$A$1000,""),IF('FEMA Disasters'!$L$2:$L$1000=$A822,"Disaster SEP ended: "&amp;'FEMA Disasters'!$D$2:$D$1000&amp;" ["&amp;'FEMA Disasters'!$B$2:$B$1000&amp;"] "&amp;'FEMA Disasters'!$C$2:$C$1000&amp;"-"&amp;'FEMA Disasters'!$A$2:$A$1000,""))</f>
        <v>Disaster SEP opens: Winter Storm [SC] EM-3632 | Disaster SEP opens: Winter Storm [NC] EM-3637 | Disaster SEP opens: Winter Storm [SC] DR-4908 | Disaster SEP opens: Winter Storm [VA] EM-3631 | Disaster SEP opens: Winter Storm [TN] EM-3635 | Disaster SEP opens: Winter Storm [GA] EM-3642 | Disaster SEP opens: Winter Storm [TN] DR-4898 | Disaster SEP opens: Winter Storm [KY] EM-3633 | Disaster SEP opens: Winter Storm [MD] EM-3634 | Disaster SEP opens: Winter Storm [AR] EM-3636 | Disaster SEP opens: Winter Storm [LA] EM-3638 | Disaster SEP opens: Winter Storm [WV] EM-3639 | Disaster SEP opens: Winter Storm [MS] EM-3640 | Disaster SEP opens: Winter Storm [IN] EM-3641 | Disaster SEP opens: Winter Storm [MS] DR-4899 | Disaster SEP opens: Winter Storm [LA] DR-4900 | Disaster SEP opens: Winter Storm [KY] DR-4913</v>
      </c>
      <c r="H822" s="4" t="n">
        <f aca="false">COUNTIF(Events!$A$2:$A$397,$A822)</f>
        <v>0</v>
      </c>
      <c r="I822" s="6" t="str">
        <f aca="false" t="array" ref="I822:I822">_xlfn.TEXTJOIN(" | ",TRUE(),IF(Events!$A$2:$A$397=$A822,Events!$E$2:$E$397&amp;IF(Events!$G$2:$G$397="National",""," ["&amp;Events!$G$2:$G$397&amp;"]"),""))</f>
        <v/>
      </c>
    </row>
    <row r="823" customFormat="false" ht="15" hidden="false" customHeight="true" outlineLevel="0" collapsed="false">
      <c r="A823" s="3" t="n">
        <v>46113</v>
      </c>
      <c r="B823" s="4" t="n">
        <f aca="false">YEAR($A823)</f>
        <v>2026</v>
      </c>
      <c r="C823" s="4" t="n">
        <f aca="false">MONTH($A823)</f>
        <v>4</v>
      </c>
      <c r="D823" s="4" t="str">
        <f aca="false">TEXT($A823,"ddd")</f>
        <v>Wed</v>
      </c>
      <c r="E823" s="4" t="n">
        <f aca="false">IF(OR(AND(MONTH($A823)=10,DAY($A823)&gt;=15),MONTH($A823)=11,AND(MONTH($A823)=12,DAY($A823)&lt;=7)),1,0)</f>
        <v>0</v>
      </c>
      <c r="F823" s="4" t="n">
        <f aca="false">IF(MONTH($A823)&lt;=3,1,0)</f>
        <v>0</v>
      </c>
      <c r="G823" s="4" t="str">
        <f aca="false" t="array" ref="G823:G823">_xlfn.TEXTJOIN(" | ",TRUE(),IF('FEMA Disasters'!$F$2:$F$1000=$A823,'FEMA Disasters'!$D$2:$D$1000&amp;" begin: ["&amp;'FEMA Disasters'!$B$2:$B$1000&amp;"] "&amp;'FEMA Disasters'!$C$2:$C$1000&amp;"-"&amp;'FEMA Disasters'!$A$2:$A$1000,""),IF('FEMA Disasters'!$G$2:$G$1000=$A823,'FEMA Disasters'!$D$2:$D$1000&amp;" ended: ["&amp;'FEMA Disasters'!$B$2:$B$1000&amp;"] "&amp;'FEMA Disasters'!$C$2:$C$1000&amp;"-"&amp;'FEMA Disasters'!$A$2:$A$1000,""),IF('FEMA Disasters'!$K$2:$K$1000=$A823,"Disaster SEP opens: "&amp;'FEMA Disasters'!$D$2:$D$1000&amp;" ["&amp;'FEMA Disasters'!$B$2:$B$1000&amp;"] "&amp;'FEMA Disasters'!$C$2:$C$1000&amp;"-"&amp;'FEMA Disasters'!$A$2:$A$1000,""),IF('FEMA Disasters'!$L$2:$L$1000=$A823,"Disaster SEP ended: "&amp;'FEMA Disasters'!$D$2:$D$1000&amp;" ["&amp;'FEMA Disasters'!$B$2:$B$1000&amp;"] "&amp;'FEMA Disasters'!$C$2:$C$1000&amp;"-"&amp;'FEMA Disasters'!$A$2:$A$1000,""))</f>
        <v/>
      </c>
      <c r="H823" s="4" t="n">
        <f aca="false">COUNTIF(Events!$A$2:$A$397,$A823)</f>
        <v>0</v>
      </c>
      <c r="I823" s="6" t="str">
        <f aca="false" t="array" ref="I823:I823">_xlfn.TEXTJOIN(" | ",TRUE(),IF(Events!$A$2:$A$397=$A823,Events!$E$2:$E$397&amp;IF(Events!$G$2:$G$397="National",""," ["&amp;Events!$G$2:$G$397&amp;"]"),""))</f>
        <v/>
      </c>
    </row>
    <row r="824" customFormat="false" ht="15" hidden="false" customHeight="true" outlineLevel="0" collapsed="false">
      <c r="A824" s="3" t="n">
        <v>46114</v>
      </c>
      <c r="B824" s="4" t="n">
        <f aca="false">YEAR($A824)</f>
        <v>2026</v>
      </c>
      <c r="C824" s="4" t="n">
        <f aca="false">MONTH($A824)</f>
        <v>4</v>
      </c>
      <c r="D824" s="4" t="str">
        <f aca="false">TEXT($A824,"ddd")</f>
        <v>Thu</v>
      </c>
      <c r="E824" s="4" t="n">
        <f aca="false">IF(OR(AND(MONTH($A824)=10,DAY($A824)&gt;=15),MONTH($A824)=11,AND(MONTH($A824)=12,DAY($A824)&lt;=7)),1,0)</f>
        <v>0</v>
      </c>
      <c r="F824" s="4" t="n">
        <f aca="false">IF(MONTH($A824)&lt;=3,1,0)</f>
        <v>0</v>
      </c>
      <c r="G824" s="4" t="str">
        <f aca="false" t="array" ref="G824:G824">_xlfn.TEXTJOIN(" | ",TRUE(),IF('FEMA Disasters'!$F$2:$F$1000=$A824,'FEMA Disasters'!$D$2:$D$1000&amp;" begin: ["&amp;'FEMA Disasters'!$B$2:$B$1000&amp;"] "&amp;'FEMA Disasters'!$C$2:$C$1000&amp;"-"&amp;'FEMA Disasters'!$A$2:$A$1000,""),IF('FEMA Disasters'!$G$2:$G$1000=$A824,'FEMA Disasters'!$D$2:$D$1000&amp;" ended: ["&amp;'FEMA Disasters'!$B$2:$B$1000&amp;"] "&amp;'FEMA Disasters'!$C$2:$C$1000&amp;"-"&amp;'FEMA Disasters'!$A$2:$A$1000,""),IF('FEMA Disasters'!$K$2:$K$1000=$A824,"Disaster SEP opens: "&amp;'FEMA Disasters'!$D$2:$D$1000&amp;" ["&amp;'FEMA Disasters'!$B$2:$B$1000&amp;"] "&amp;'FEMA Disasters'!$C$2:$C$1000&amp;"-"&amp;'FEMA Disasters'!$A$2:$A$1000,""),IF('FEMA Disasters'!$L$2:$L$1000=$A824,"Disaster SEP ended: "&amp;'FEMA Disasters'!$D$2:$D$1000&amp;" ["&amp;'FEMA Disasters'!$B$2:$B$1000&amp;"] "&amp;'FEMA Disasters'!$C$2:$C$1000&amp;"-"&amp;'FEMA Disasters'!$A$2:$A$1000,""))</f>
        <v>Fire ended: [NE] DR-4920</v>
      </c>
      <c r="H824" s="4" t="n">
        <f aca="false">COUNTIF(Events!$A$2:$A$397,$A824)</f>
        <v>1</v>
      </c>
      <c r="I824" s="6" t="str">
        <f aca="false" t="array" ref="I824:I824">_xlfn.TEXTJOIN(" | ",TRUE(),IF(Events!$A$2:$A$397=$A824,Events!$E$2:$E$397&amp;IF(Events!$G$2:$G$397="National",""," ["&amp;Events!$G$2:$G$397&amp;"]"),""))</f>
        <v>CY2027 Final Rule released (FR pub 4/6/2026; effective 6/1/2026; applicable to coverage 1/1/2027): Star Ratings overhaul (11 measures removed, Excellent Health Outcomes/Health Equity reward dropped), IRA Part D redesign codified for 2027+, SSBCI chronically-ill definition tightened, D-SNP one-plan-per-MCO rule from 2027 || C-SNP: RFI on C-SNP/I-SNP growth summarized but NO C-SNP policy finalized - guardrails deferred to future rulemaking, so the C-SNP regulatory window stays open through at least CY2027.</v>
      </c>
    </row>
    <row r="825" customFormat="false" ht="15" hidden="false" customHeight="true" outlineLevel="0" collapsed="false">
      <c r="A825" s="3" t="n">
        <v>46115</v>
      </c>
      <c r="B825" s="4" t="n">
        <f aca="false">YEAR($A825)</f>
        <v>2026</v>
      </c>
      <c r="C825" s="4" t="n">
        <f aca="false">MONTH($A825)</f>
        <v>4</v>
      </c>
      <c r="D825" s="4" t="str">
        <f aca="false">TEXT($A825,"ddd")</f>
        <v>Fri</v>
      </c>
      <c r="E825" s="4" t="n">
        <f aca="false">IF(OR(AND(MONTH($A825)=10,DAY($A825)&gt;=15),MONTH($A825)=11,AND(MONTH($A825)=12,DAY($A825)&lt;=7)),1,0)</f>
        <v>0</v>
      </c>
      <c r="F825" s="4" t="n">
        <f aca="false">IF(MONTH($A825)&lt;=3,1,0)</f>
        <v>0</v>
      </c>
      <c r="G825" s="4" t="str">
        <f aca="false" t="array" ref="G825:G825">_xlfn.TEXTJOIN(" | ",TRUE(),IF('FEMA Disasters'!$F$2:$F$1000=$A825,'FEMA Disasters'!$D$2:$D$1000&amp;" begin: ["&amp;'FEMA Disasters'!$B$2:$B$1000&amp;"] "&amp;'FEMA Disasters'!$C$2:$C$1000&amp;"-"&amp;'FEMA Disasters'!$A$2:$A$1000,""),IF('FEMA Disasters'!$G$2:$G$1000=$A825,'FEMA Disasters'!$D$2:$D$1000&amp;" ended: ["&amp;'FEMA Disasters'!$B$2:$B$1000&amp;"] "&amp;'FEMA Disasters'!$C$2:$C$1000&amp;"-"&amp;'FEMA Disasters'!$A$2:$A$1000,""),IF('FEMA Disasters'!$K$2:$K$1000=$A825,"Disaster SEP opens: "&amp;'FEMA Disasters'!$D$2:$D$1000&amp;" ["&amp;'FEMA Disasters'!$B$2:$B$1000&amp;"] "&amp;'FEMA Disasters'!$C$2:$C$1000&amp;"-"&amp;'FEMA Disasters'!$A$2:$A$1000,""),IF('FEMA Disasters'!$L$2:$L$1000=$A825,"Disaster SEP ended: "&amp;'FEMA Disasters'!$D$2:$D$1000&amp;" ["&amp;'FEMA Disasters'!$B$2:$B$1000&amp;"] "&amp;'FEMA Disasters'!$C$2:$C$1000&amp;"-"&amp;'FEMA Disasters'!$A$2:$A$1000,""))</f>
        <v/>
      </c>
      <c r="H825" s="4" t="n">
        <f aca="false">COUNTIF(Events!$A$2:$A$397,$A825)</f>
        <v>0</v>
      </c>
      <c r="I825" s="6" t="str">
        <f aca="false" t="array" ref="I825:I825">_xlfn.TEXTJOIN(" | ",TRUE(),IF(Events!$A$2:$A$397=$A825,Events!$E$2:$E$397&amp;IF(Events!$G$2:$G$397="National",""," ["&amp;Events!$G$2:$G$397&amp;"]"),""))</f>
        <v/>
      </c>
    </row>
    <row r="826" customFormat="false" ht="15" hidden="false" customHeight="true" outlineLevel="0" collapsed="false">
      <c r="A826" s="3" t="n">
        <v>46116</v>
      </c>
      <c r="B826" s="4" t="n">
        <f aca="false">YEAR($A826)</f>
        <v>2026</v>
      </c>
      <c r="C826" s="4" t="n">
        <f aca="false">MONTH($A826)</f>
        <v>4</v>
      </c>
      <c r="D826" s="4" t="str">
        <f aca="false">TEXT($A826,"ddd")</f>
        <v>Sat</v>
      </c>
      <c r="E826" s="4" t="n">
        <f aca="false">IF(OR(AND(MONTH($A826)=10,DAY($A826)&gt;=15),MONTH($A826)=11,AND(MONTH($A826)=12,DAY($A826)&lt;=7)),1,0)</f>
        <v>0</v>
      </c>
      <c r="F826" s="4" t="n">
        <f aca="false">IF(MONTH($A826)&lt;=3,1,0)</f>
        <v>0</v>
      </c>
      <c r="G826" s="4" t="str">
        <f aca="false" t="array" ref="G826:G826">_xlfn.TEXTJOIN(" | ",TRUE(),IF('FEMA Disasters'!$F$2:$F$1000=$A826,'FEMA Disasters'!$D$2:$D$1000&amp;" begin: ["&amp;'FEMA Disasters'!$B$2:$B$1000&amp;"] "&amp;'FEMA Disasters'!$C$2:$C$1000&amp;"-"&amp;'FEMA Disasters'!$A$2:$A$1000,""),IF('FEMA Disasters'!$G$2:$G$1000=$A826,'FEMA Disasters'!$D$2:$D$1000&amp;" ended: ["&amp;'FEMA Disasters'!$B$2:$B$1000&amp;"] "&amp;'FEMA Disasters'!$C$2:$C$1000&amp;"-"&amp;'FEMA Disasters'!$A$2:$A$1000,""),IF('FEMA Disasters'!$K$2:$K$1000=$A826,"Disaster SEP opens: "&amp;'FEMA Disasters'!$D$2:$D$1000&amp;" ["&amp;'FEMA Disasters'!$B$2:$B$1000&amp;"] "&amp;'FEMA Disasters'!$C$2:$C$1000&amp;"-"&amp;'FEMA Disasters'!$A$2:$A$1000,""),IF('FEMA Disasters'!$L$2:$L$1000=$A826,"Disaster SEP ended: "&amp;'FEMA Disasters'!$D$2:$D$1000&amp;" ["&amp;'FEMA Disasters'!$B$2:$B$1000&amp;"] "&amp;'FEMA Disasters'!$C$2:$C$1000&amp;"-"&amp;'FEMA Disasters'!$A$2:$A$1000,""))</f>
        <v/>
      </c>
      <c r="H826" s="4" t="n">
        <f aca="false">COUNTIF(Events!$A$2:$A$397,$A826)</f>
        <v>0</v>
      </c>
      <c r="I826" s="6" t="str">
        <f aca="false" t="array" ref="I826:I826">_xlfn.TEXTJOIN(" | ",TRUE(),IF(Events!$A$2:$A$397=$A826,Events!$E$2:$E$397&amp;IF(Events!$G$2:$G$397="National",""," ["&amp;Events!$G$2:$G$397&amp;"]"),""))</f>
        <v/>
      </c>
    </row>
    <row r="827" customFormat="false" ht="15" hidden="false" customHeight="true" outlineLevel="0" collapsed="false">
      <c r="A827" s="3" t="n">
        <v>46117</v>
      </c>
      <c r="B827" s="4" t="n">
        <f aca="false">YEAR($A827)</f>
        <v>2026</v>
      </c>
      <c r="C827" s="4" t="n">
        <f aca="false">MONTH($A827)</f>
        <v>4</v>
      </c>
      <c r="D827" s="4" t="str">
        <f aca="false">TEXT($A827,"ddd")</f>
        <v>Sun</v>
      </c>
      <c r="E827" s="4" t="n">
        <f aca="false">IF(OR(AND(MONTH($A827)=10,DAY($A827)&gt;=15),MONTH($A827)=11,AND(MONTH($A827)=12,DAY($A827)&lt;=7)),1,0)</f>
        <v>0</v>
      </c>
      <c r="F827" s="4" t="n">
        <f aca="false">IF(MONTH($A827)&lt;=3,1,0)</f>
        <v>0</v>
      </c>
      <c r="G827" s="4" t="str">
        <f aca="false" t="array" ref="G827:G827">_xlfn.TEXTJOIN(" | ",TRUE(),IF('FEMA Disasters'!$F$2:$F$1000=$A827,'FEMA Disasters'!$D$2:$D$1000&amp;" begin: ["&amp;'FEMA Disasters'!$B$2:$B$1000&amp;"] "&amp;'FEMA Disasters'!$C$2:$C$1000&amp;"-"&amp;'FEMA Disasters'!$A$2:$A$1000,""),IF('FEMA Disasters'!$G$2:$G$1000=$A827,'FEMA Disasters'!$D$2:$D$1000&amp;" ended: ["&amp;'FEMA Disasters'!$B$2:$B$1000&amp;"] "&amp;'FEMA Disasters'!$C$2:$C$1000&amp;"-"&amp;'FEMA Disasters'!$A$2:$A$1000,""),IF('FEMA Disasters'!$K$2:$K$1000=$A827,"Disaster SEP opens: "&amp;'FEMA Disasters'!$D$2:$D$1000&amp;" ["&amp;'FEMA Disasters'!$B$2:$B$1000&amp;"] "&amp;'FEMA Disasters'!$C$2:$C$1000&amp;"-"&amp;'FEMA Disasters'!$A$2:$A$1000,""),IF('FEMA Disasters'!$L$2:$L$1000=$A827,"Disaster SEP ended: "&amp;'FEMA Disasters'!$D$2:$D$1000&amp;" ["&amp;'FEMA Disasters'!$B$2:$B$1000&amp;"] "&amp;'FEMA Disasters'!$C$2:$C$1000&amp;"-"&amp;'FEMA Disasters'!$A$2:$A$1000,""))</f>
        <v/>
      </c>
      <c r="H827" s="4" t="n">
        <f aca="false">COUNTIF(Events!$A$2:$A$397,$A827)</f>
        <v>0</v>
      </c>
      <c r="I827" s="6" t="str">
        <f aca="false" t="array" ref="I827:I827">_xlfn.TEXTJOIN(" | ",TRUE(),IF(Events!$A$2:$A$397=$A827,Events!$E$2:$E$397&amp;IF(Events!$G$2:$G$397="National",""," ["&amp;Events!$G$2:$G$397&amp;"]"),""))</f>
        <v/>
      </c>
    </row>
    <row r="828" customFormat="false" ht="15" hidden="false" customHeight="true" outlineLevel="0" collapsed="false">
      <c r="A828" s="3" t="n">
        <v>46118</v>
      </c>
      <c r="B828" s="4" t="n">
        <f aca="false">YEAR($A828)</f>
        <v>2026</v>
      </c>
      <c r="C828" s="4" t="n">
        <f aca="false">MONTH($A828)</f>
        <v>4</v>
      </c>
      <c r="D828" s="4" t="str">
        <f aca="false">TEXT($A828,"ddd")</f>
        <v>Mon</v>
      </c>
      <c r="E828" s="4" t="n">
        <f aca="false">IF(OR(AND(MONTH($A828)=10,DAY($A828)&gt;=15),MONTH($A828)=11,AND(MONTH($A828)=12,DAY($A828)&lt;=7)),1,0)</f>
        <v>0</v>
      </c>
      <c r="F828" s="4" t="n">
        <f aca="false">IF(MONTH($A828)&lt;=3,1,0)</f>
        <v>0</v>
      </c>
      <c r="G828" s="4" t="str">
        <f aca="false" t="array" ref="G828:G828">_xlfn.TEXTJOIN(" | ",TRUE(),IF('FEMA Disasters'!$F$2:$F$1000=$A828,'FEMA Disasters'!$D$2:$D$1000&amp;" begin: ["&amp;'FEMA Disasters'!$B$2:$B$1000&amp;"] "&amp;'FEMA Disasters'!$C$2:$C$1000&amp;"-"&amp;'FEMA Disasters'!$A$2:$A$1000,""),IF('FEMA Disasters'!$G$2:$G$1000=$A828,'FEMA Disasters'!$D$2:$D$1000&amp;" ended: ["&amp;'FEMA Disasters'!$B$2:$B$1000&amp;"] "&amp;'FEMA Disasters'!$C$2:$C$1000&amp;"-"&amp;'FEMA Disasters'!$A$2:$A$1000,""),IF('FEMA Disasters'!$K$2:$K$1000=$A828,"Disaster SEP opens: "&amp;'FEMA Disasters'!$D$2:$D$1000&amp;" ["&amp;'FEMA Disasters'!$B$2:$B$1000&amp;"] "&amp;'FEMA Disasters'!$C$2:$C$1000&amp;"-"&amp;'FEMA Disasters'!$A$2:$A$1000,""),IF('FEMA Disasters'!$L$2:$L$1000=$A828,"Disaster SEP ended: "&amp;'FEMA Disasters'!$D$2:$D$1000&amp;" ["&amp;'FEMA Disasters'!$B$2:$B$1000&amp;"] "&amp;'FEMA Disasters'!$C$2:$C$1000&amp;"-"&amp;'FEMA Disasters'!$A$2:$A$1000,""))</f>
        <v/>
      </c>
      <c r="H828" s="4" t="n">
        <f aca="false">COUNTIF(Events!$A$2:$A$397,$A828)</f>
        <v>1</v>
      </c>
      <c r="I828" s="6" t="str">
        <f aca="false" t="array" ref="I828:I828">_xlfn.TEXTJOIN(" | ",TRUE(),IF(Events!$A$2:$A$397=$A828,Events!$E$2:$E$397&amp;IF(Events!$G$2:$G$397="National",""," ["&amp;Events!$G$2:$G$397&amp;"]"),""))</f>
        <v>CY2027 Rate Announcement: finalized +2.48% avg payment (~$13B, sharply up from proposed 0.09% after industry lobbying); kept 2024 (V28) risk model instead of proposed update; finalized exclusion of unlinked chart-review diagnoses from risk scores</v>
      </c>
    </row>
    <row r="829" customFormat="false" ht="15" hidden="false" customHeight="true" outlineLevel="0" collapsed="false">
      <c r="A829" s="3" t="n">
        <v>46119</v>
      </c>
      <c r="B829" s="4" t="n">
        <f aca="false">YEAR($A829)</f>
        <v>2026</v>
      </c>
      <c r="C829" s="4" t="n">
        <f aca="false">MONTH($A829)</f>
        <v>4</v>
      </c>
      <c r="D829" s="4" t="str">
        <f aca="false">TEXT($A829,"ddd")</f>
        <v>Tue</v>
      </c>
      <c r="E829" s="4" t="n">
        <f aca="false">IF(OR(AND(MONTH($A829)=10,DAY($A829)&gt;=15),MONTH($A829)=11,AND(MONTH($A829)=12,DAY($A829)&lt;=7)),1,0)</f>
        <v>0</v>
      </c>
      <c r="F829" s="4" t="n">
        <f aca="false">IF(MONTH($A829)&lt;=3,1,0)</f>
        <v>0</v>
      </c>
      <c r="G829" s="4" t="str">
        <f aca="false" t="array" ref="G829:G829">_xlfn.TEXTJOIN(" | ",TRUE(),IF('FEMA Disasters'!$F$2:$F$1000=$A829,'FEMA Disasters'!$D$2:$D$1000&amp;" begin: ["&amp;'FEMA Disasters'!$B$2:$B$1000&amp;"] "&amp;'FEMA Disasters'!$C$2:$C$1000&amp;"-"&amp;'FEMA Disasters'!$A$2:$A$1000,""),IF('FEMA Disasters'!$G$2:$G$1000=$A829,'FEMA Disasters'!$D$2:$D$1000&amp;" ended: ["&amp;'FEMA Disasters'!$B$2:$B$1000&amp;"] "&amp;'FEMA Disasters'!$C$2:$C$1000&amp;"-"&amp;'FEMA Disasters'!$A$2:$A$1000,""),IF('FEMA Disasters'!$K$2:$K$1000=$A829,"Disaster SEP opens: "&amp;'FEMA Disasters'!$D$2:$D$1000&amp;" ["&amp;'FEMA Disasters'!$B$2:$B$1000&amp;"] "&amp;'FEMA Disasters'!$C$2:$C$1000&amp;"-"&amp;'FEMA Disasters'!$A$2:$A$1000,""),IF('FEMA Disasters'!$L$2:$L$1000=$A829,"Disaster SEP ended: "&amp;'FEMA Disasters'!$D$2:$D$1000&amp;" ["&amp;'FEMA Disasters'!$B$2:$B$1000&amp;"] "&amp;'FEMA Disasters'!$C$2:$C$1000&amp;"-"&amp;'FEMA Disasters'!$A$2:$A$1000,""))</f>
        <v/>
      </c>
      <c r="H829" s="4" t="n">
        <f aca="false">COUNTIF(Events!$A$2:$A$397,$A829)</f>
        <v>0</v>
      </c>
      <c r="I829" s="6" t="str">
        <f aca="false" t="array" ref="I829:I829">_xlfn.TEXTJOIN(" | ",TRUE(),IF(Events!$A$2:$A$397=$A829,Events!$E$2:$E$397&amp;IF(Events!$G$2:$G$397="National",""," ["&amp;Events!$G$2:$G$397&amp;"]"),""))</f>
        <v/>
      </c>
    </row>
    <row r="830" customFormat="false" ht="15" hidden="false" customHeight="true" outlineLevel="0" collapsed="false">
      <c r="A830" s="3" t="n">
        <v>46120</v>
      </c>
      <c r="B830" s="4" t="n">
        <f aca="false">YEAR($A830)</f>
        <v>2026</v>
      </c>
      <c r="C830" s="4" t="n">
        <f aca="false">MONTH($A830)</f>
        <v>4</v>
      </c>
      <c r="D830" s="4" t="str">
        <f aca="false">TEXT($A830,"ddd")</f>
        <v>Wed</v>
      </c>
      <c r="E830" s="4" t="n">
        <f aca="false">IF(OR(AND(MONTH($A830)=10,DAY($A830)&gt;=15),MONTH($A830)=11,AND(MONTH($A830)=12,DAY($A830)&lt;=7)),1,0)</f>
        <v>0</v>
      </c>
      <c r="F830" s="4" t="n">
        <f aca="false">IF(MONTH($A830)&lt;=3,1,0)</f>
        <v>0</v>
      </c>
      <c r="G830" s="4" t="str">
        <f aca="false" t="array" ref="G830:G830">_xlfn.TEXTJOIN(" | ",TRUE(),IF('FEMA Disasters'!$F$2:$F$1000=$A830,'FEMA Disasters'!$D$2:$D$1000&amp;" begin: ["&amp;'FEMA Disasters'!$B$2:$B$1000&amp;"] "&amp;'FEMA Disasters'!$C$2:$C$1000&amp;"-"&amp;'FEMA Disasters'!$A$2:$A$1000,""),IF('FEMA Disasters'!$G$2:$G$1000=$A830,'FEMA Disasters'!$D$2:$D$1000&amp;" ended: ["&amp;'FEMA Disasters'!$B$2:$B$1000&amp;"] "&amp;'FEMA Disasters'!$C$2:$C$1000&amp;"-"&amp;'FEMA Disasters'!$A$2:$A$1000,""),IF('FEMA Disasters'!$K$2:$K$1000=$A830,"Disaster SEP opens: "&amp;'FEMA Disasters'!$D$2:$D$1000&amp;" ["&amp;'FEMA Disasters'!$B$2:$B$1000&amp;"] "&amp;'FEMA Disasters'!$C$2:$C$1000&amp;"-"&amp;'FEMA Disasters'!$A$2:$A$1000,""),IF('FEMA Disasters'!$L$2:$L$1000=$A830,"Disaster SEP ended: "&amp;'FEMA Disasters'!$D$2:$D$1000&amp;" ["&amp;'FEMA Disasters'!$B$2:$B$1000&amp;"] "&amp;'FEMA Disasters'!$C$2:$C$1000&amp;"-"&amp;'FEMA Disasters'!$A$2:$A$1000,""))</f>
        <v/>
      </c>
      <c r="H830" s="4" t="n">
        <f aca="false">COUNTIF(Events!$A$2:$A$397,$A830)</f>
        <v>0</v>
      </c>
      <c r="I830" s="6" t="str">
        <f aca="false" t="array" ref="I830:I830">_xlfn.TEXTJOIN(" | ",TRUE(),IF(Events!$A$2:$A$397=$A830,Events!$E$2:$E$397&amp;IF(Events!$G$2:$G$397="National",""," ["&amp;Events!$G$2:$G$397&amp;"]"),""))</f>
        <v/>
      </c>
    </row>
    <row r="831" customFormat="false" ht="15" hidden="false" customHeight="true" outlineLevel="0" collapsed="false">
      <c r="A831" s="3" t="n">
        <v>46121</v>
      </c>
      <c r="B831" s="4" t="n">
        <f aca="false">YEAR($A831)</f>
        <v>2026</v>
      </c>
      <c r="C831" s="4" t="n">
        <f aca="false">MONTH($A831)</f>
        <v>4</v>
      </c>
      <c r="D831" s="4" t="str">
        <f aca="false">TEXT($A831,"ddd")</f>
        <v>Thu</v>
      </c>
      <c r="E831" s="4" t="n">
        <f aca="false">IF(OR(AND(MONTH($A831)=10,DAY($A831)&gt;=15),MONTH($A831)=11,AND(MONTH($A831)=12,DAY($A831)&lt;=7)),1,0)</f>
        <v>0</v>
      </c>
      <c r="F831" s="4" t="n">
        <f aca="false">IF(MONTH($A831)&lt;=3,1,0)</f>
        <v>0</v>
      </c>
      <c r="G831" s="4" t="str">
        <f aca="false" t="array" ref="G831:G831">_xlfn.TEXTJOIN(" | ",TRUE(),IF('FEMA Disasters'!$F$2:$F$1000=$A831,'FEMA Disasters'!$D$2:$D$1000&amp;" begin: ["&amp;'FEMA Disasters'!$B$2:$B$1000&amp;"] "&amp;'FEMA Disasters'!$C$2:$C$1000&amp;"-"&amp;'FEMA Disasters'!$A$2:$A$1000,""),IF('FEMA Disasters'!$G$2:$G$1000=$A831,'FEMA Disasters'!$D$2:$D$1000&amp;" ended: ["&amp;'FEMA Disasters'!$B$2:$B$1000&amp;"] "&amp;'FEMA Disasters'!$C$2:$C$1000&amp;"-"&amp;'FEMA Disasters'!$A$2:$A$1000,""),IF('FEMA Disasters'!$K$2:$K$1000=$A831,"Disaster SEP opens: "&amp;'FEMA Disasters'!$D$2:$D$1000&amp;" ["&amp;'FEMA Disasters'!$B$2:$B$1000&amp;"] "&amp;'FEMA Disasters'!$C$2:$C$1000&amp;"-"&amp;'FEMA Disasters'!$A$2:$A$1000,""),IF('FEMA Disasters'!$L$2:$L$1000=$A831,"Disaster SEP ended: "&amp;'FEMA Disasters'!$D$2:$D$1000&amp;" ["&amp;'FEMA Disasters'!$B$2:$B$1000&amp;"] "&amp;'FEMA Disasters'!$C$2:$C$1000&amp;"-"&amp;'FEMA Disasters'!$A$2:$A$1000,""))</f>
        <v/>
      </c>
      <c r="H831" s="4" t="n">
        <f aca="false">COUNTIF(Events!$A$2:$A$397,$A831)</f>
        <v>0</v>
      </c>
      <c r="I831" s="6" t="str">
        <f aca="false" t="array" ref="I831:I831">_xlfn.TEXTJOIN(" | ",TRUE(),IF(Events!$A$2:$A$397=$A831,Events!$E$2:$E$397&amp;IF(Events!$G$2:$G$397="National",""," ["&amp;Events!$G$2:$G$397&amp;"]"),""))</f>
        <v/>
      </c>
    </row>
    <row r="832" customFormat="false" ht="15" hidden="false" customHeight="true" outlineLevel="0" collapsed="false">
      <c r="A832" s="3" t="n">
        <v>46122</v>
      </c>
      <c r="B832" s="4" t="n">
        <f aca="false">YEAR($A832)</f>
        <v>2026</v>
      </c>
      <c r="C832" s="4" t="n">
        <f aca="false">MONTH($A832)</f>
        <v>4</v>
      </c>
      <c r="D832" s="4" t="str">
        <f aca="false">TEXT($A832,"ddd")</f>
        <v>Fri</v>
      </c>
      <c r="E832" s="4" t="n">
        <f aca="false">IF(OR(AND(MONTH($A832)=10,DAY($A832)&gt;=15),MONTH($A832)=11,AND(MONTH($A832)=12,DAY($A832)&lt;=7)),1,0)</f>
        <v>0</v>
      </c>
      <c r="F832" s="4" t="n">
        <f aca="false">IF(MONTH($A832)&lt;=3,1,0)</f>
        <v>0</v>
      </c>
      <c r="G832" s="4" t="str">
        <f aca="false" t="array" ref="G832:G832">_xlfn.TEXTJOIN(" | ",TRUE(),IF('FEMA Disasters'!$F$2:$F$1000=$A832,'FEMA Disasters'!$D$2:$D$1000&amp;" begin: ["&amp;'FEMA Disasters'!$B$2:$B$1000&amp;"] "&amp;'FEMA Disasters'!$C$2:$C$1000&amp;"-"&amp;'FEMA Disasters'!$A$2:$A$1000,""),IF('FEMA Disasters'!$G$2:$G$1000=$A832,'FEMA Disasters'!$D$2:$D$1000&amp;" ended: ["&amp;'FEMA Disasters'!$B$2:$B$1000&amp;"] "&amp;'FEMA Disasters'!$C$2:$C$1000&amp;"-"&amp;'FEMA Disasters'!$A$2:$A$1000,""),IF('FEMA Disasters'!$K$2:$K$1000=$A832,"Disaster SEP opens: "&amp;'FEMA Disasters'!$D$2:$D$1000&amp;" ["&amp;'FEMA Disasters'!$B$2:$B$1000&amp;"] "&amp;'FEMA Disasters'!$C$2:$C$1000&amp;"-"&amp;'FEMA Disasters'!$A$2:$A$1000,""),IF('FEMA Disasters'!$L$2:$L$1000=$A832,"Disaster SEP ended: "&amp;'FEMA Disasters'!$D$2:$D$1000&amp;" ["&amp;'FEMA Disasters'!$B$2:$B$1000&amp;"] "&amp;'FEMA Disasters'!$C$2:$C$1000&amp;"-"&amp;'FEMA Disasters'!$A$2:$A$1000,""))</f>
        <v>Flood begin: [MI] DR-4925</v>
      </c>
      <c r="H832" s="4" t="n">
        <f aca="false">COUNTIF(Events!$A$2:$A$397,$A832)</f>
        <v>0</v>
      </c>
      <c r="I832" s="6" t="str">
        <f aca="false" t="array" ref="I832:I832">_xlfn.TEXTJOIN(" | ",TRUE(),IF(Events!$A$2:$A$397=$A832,Events!$E$2:$E$397&amp;IF(Events!$G$2:$G$397="National",""," ["&amp;Events!$G$2:$G$397&amp;"]"),""))</f>
        <v/>
      </c>
    </row>
    <row r="833" customFormat="false" ht="15" hidden="false" customHeight="true" outlineLevel="0" collapsed="false">
      <c r="A833" s="3" t="n">
        <v>46123</v>
      </c>
      <c r="B833" s="4" t="n">
        <f aca="false">YEAR($A833)</f>
        <v>2026</v>
      </c>
      <c r="C833" s="4" t="n">
        <f aca="false">MONTH($A833)</f>
        <v>4</v>
      </c>
      <c r="D833" s="4" t="str">
        <f aca="false">TEXT($A833,"ddd")</f>
        <v>Sat</v>
      </c>
      <c r="E833" s="4" t="n">
        <f aca="false">IF(OR(AND(MONTH($A833)=10,DAY($A833)&gt;=15),MONTH($A833)=11,AND(MONTH($A833)=12,DAY($A833)&lt;=7)),1,0)</f>
        <v>0</v>
      </c>
      <c r="F833" s="4" t="n">
        <f aca="false">IF(MONTH($A833)&lt;=3,1,0)</f>
        <v>0</v>
      </c>
      <c r="G833" s="4" t="str">
        <f aca="false" t="array" ref="G833:G833">_xlfn.TEXTJOIN(" | ",TRUE(),IF('FEMA Disasters'!$F$2:$F$1000=$A833,'FEMA Disasters'!$D$2:$D$1000&amp;" begin: ["&amp;'FEMA Disasters'!$B$2:$B$1000&amp;"] "&amp;'FEMA Disasters'!$C$2:$C$1000&amp;"-"&amp;'FEMA Disasters'!$A$2:$A$1000,""),IF('FEMA Disasters'!$G$2:$G$1000=$A833,'FEMA Disasters'!$D$2:$D$1000&amp;" ended: ["&amp;'FEMA Disasters'!$B$2:$B$1000&amp;"] "&amp;'FEMA Disasters'!$C$2:$C$1000&amp;"-"&amp;'FEMA Disasters'!$A$2:$A$1000,""),IF('FEMA Disasters'!$K$2:$K$1000=$A833,"Disaster SEP opens: "&amp;'FEMA Disasters'!$D$2:$D$1000&amp;" ["&amp;'FEMA Disasters'!$B$2:$B$1000&amp;"] "&amp;'FEMA Disasters'!$C$2:$C$1000&amp;"-"&amp;'FEMA Disasters'!$A$2:$A$1000,""),IF('FEMA Disasters'!$L$2:$L$1000=$A833,"Disaster SEP ended: "&amp;'FEMA Disasters'!$D$2:$D$1000&amp;" ["&amp;'FEMA Disasters'!$B$2:$B$1000&amp;"] "&amp;'FEMA Disasters'!$C$2:$C$1000&amp;"-"&amp;'FEMA Disasters'!$A$2:$A$1000,""))</f>
        <v>Tropical Storm begin: [GU] EM-3644 | Tropical Storm begin: [MP] EM-3645 | Hurricane begin: [MP] DR-4910 | Typhoon begin: [GU] DR-4921</v>
      </c>
      <c r="H833" s="4" t="n">
        <f aca="false">COUNTIF(Events!$A$2:$A$397,$A833)</f>
        <v>0</v>
      </c>
      <c r="I833" s="6" t="str">
        <f aca="false" t="array" ref="I833:I833">_xlfn.TEXTJOIN(" | ",TRUE(),IF(Events!$A$2:$A$397=$A833,Events!$E$2:$E$397&amp;IF(Events!$G$2:$G$397="National",""," ["&amp;Events!$G$2:$G$397&amp;"]"),""))</f>
        <v/>
      </c>
    </row>
    <row r="834" customFormat="false" ht="15" hidden="false" customHeight="true" outlineLevel="0" collapsed="false">
      <c r="A834" s="3" t="n">
        <v>46124</v>
      </c>
      <c r="B834" s="4" t="n">
        <f aca="false">YEAR($A834)</f>
        <v>2026</v>
      </c>
      <c r="C834" s="4" t="n">
        <f aca="false">MONTH($A834)</f>
        <v>4</v>
      </c>
      <c r="D834" s="4" t="str">
        <f aca="false">TEXT($A834,"ddd")</f>
        <v>Sun</v>
      </c>
      <c r="E834" s="4" t="n">
        <f aca="false">IF(OR(AND(MONTH($A834)=10,DAY($A834)&gt;=15),MONTH($A834)=11,AND(MONTH($A834)=12,DAY($A834)&lt;=7)),1,0)</f>
        <v>0</v>
      </c>
      <c r="F834" s="4" t="n">
        <f aca="false">IF(MONTH($A834)&lt;=3,1,0)</f>
        <v>0</v>
      </c>
      <c r="G834" s="4" t="str">
        <f aca="false" t="array" ref="G834:G834">_xlfn.TEXTJOIN(" | ",TRUE(),IF('FEMA Disasters'!$F$2:$F$1000=$A834,'FEMA Disasters'!$D$2:$D$1000&amp;" begin: ["&amp;'FEMA Disasters'!$B$2:$B$1000&amp;"] "&amp;'FEMA Disasters'!$C$2:$C$1000&amp;"-"&amp;'FEMA Disasters'!$A$2:$A$1000,""),IF('FEMA Disasters'!$G$2:$G$1000=$A834,'FEMA Disasters'!$D$2:$D$1000&amp;" ended: ["&amp;'FEMA Disasters'!$B$2:$B$1000&amp;"] "&amp;'FEMA Disasters'!$C$2:$C$1000&amp;"-"&amp;'FEMA Disasters'!$A$2:$A$1000,""),IF('FEMA Disasters'!$K$2:$K$1000=$A834,"Disaster SEP opens: "&amp;'FEMA Disasters'!$D$2:$D$1000&amp;" ["&amp;'FEMA Disasters'!$B$2:$B$1000&amp;"] "&amp;'FEMA Disasters'!$C$2:$C$1000&amp;"-"&amp;'FEMA Disasters'!$A$2:$A$1000,""),IF('FEMA Disasters'!$L$2:$L$1000=$A834,"Disaster SEP ended: "&amp;'FEMA Disasters'!$D$2:$D$1000&amp;" ["&amp;'FEMA Disasters'!$B$2:$B$1000&amp;"] "&amp;'FEMA Disasters'!$C$2:$C$1000&amp;"-"&amp;'FEMA Disasters'!$A$2:$A$1000,""))</f>
        <v/>
      </c>
      <c r="H834" s="4" t="n">
        <f aca="false">COUNTIF(Events!$A$2:$A$397,$A834)</f>
        <v>0</v>
      </c>
      <c r="I834" s="6" t="str">
        <f aca="false" t="array" ref="I834:I834">_xlfn.TEXTJOIN(" | ",TRUE(),IF(Events!$A$2:$A$397=$A834,Events!$E$2:$E$397&amp;IF(Events!$G$2:$G$397="National",""," ["&amp;Events!$G$2:$G$397&amp;"]"),""))</f>
        <v/>
      </c>
    </row>
    <row r="835" customFormat="false" ht="15" hidden="false" customHeight="true" outlineLevel="0" collapsed="false">
      <c r="A835" s="3" t="n">
        <v>46125</v>
      </c>
      <c r="B835" s="4" t="n">
        <f aca="false">YEAR($A835)</f>
        <v>2026</v>
      </c>
      <c r="C835" s="4" t="n">
        <f aca="false">MONTH($A835)</f>
        <v>4</v>
      </c>
      <c r="D835" s="4" t="str">
        <f aca="false">TEXT($A835,"ddd")</f>
        <v>Mon</v>
      </c>
      <c r="E835" s="4" t="n">
        <f aca="false">IF(OR(AND(MONTH($A835)=10,DAY($A835)&gt;=15),MONTH($A835)=11,AND(MONTH($A835)=12,DAY($A835)&lt;=7)),1,0)</f>
        <v>0</v>
      </c>
      <c r="F835" s="4" t="n">
        <f aca="false">IF(MONTH($A835)&lt;=3,1,0)</f>
        <v>0</v>
      </c>
      <c r="G835" s="4" t="str">
        <f aca="false" t="array" ref="G835:G835">_xlfn.TEXTJOIN(" | ",TRUE(),IF('FEMA Disasters'!$F$2:$F$1000=$A835,'FEMA Disasters'!$D$2:$D$1000&amp;" begin: ["&amp;'FEMA Disasters'!$B$2:$B$1000&amp;"] "&amp;'FEMA Disasters'!$C$2:$C$1000&amp;"-"&amp;'FEMA Disasters'!$A$2:$A$1000,""),IF('FEMA Disasters'!$G$2:$G$1000=$A835,'FEMA Disasters'!$D$2:$D$1000&amp;" ended: ["&amp;'FEMA Disasters'!$B$2:$B$1000&amp;"] "&amp;'FEMA Disasters'!$C$2:$C$1000&amp;"-"&amp;'FEMA Disasters'!$A$2:$A$1000,""),IF('FEMA Disasters'!$K$2:$K$1000=$A835,"Disaster SEP opens: "&amp;'FEMA Disasters'!$D$2:$D$1000&amp;" ["&amp;'FEMA Disasters'!$B$2:$B$1000&amp;"] "&amp;'FEMA Disasters'!$C$2:$C$1000&amp;"-"&amp;'FEMA Disasters'!$A$2:$A$1000,""),IF('FEMA Disasters'!$L$2:$L$1000=$A835,"Disaster SEP ended: "&amp;'FEMA Disasters'!$D$2:$D$1000&amp;" ["&amp;'FEMA Disasters'!$B$2:$B$1000&amp;"] "&amp;'FEMA Disasters'!$C$2:$C$1000&amp;"-"&amp;'FEMA Disasters'!$A$2:$A$1000,""))</f>
        <v>Flood begin: [WI] DR-4923</v>
      </c>
      <c r="H835" s="4" t="n">
        <f aca="false">COUNTIF(Events!$A$2:$A$397,$A835)</f>
        <v>0</v>
      </c>
      <c r="I835" s="6" t="str">
        <f aca="false" t="array" ref="I835:I835">_xlfn.TEXTJOIN(" | ",TRUE(),IF(Events!$A$2:$A$397=$A835,Events!$E$2:$E$397&amp;IF(Events!$G$2:$G$397="National",""," ["&amp;Events!$G$2:$G$397&amp;"]"),""))</f>
        <v/>
      </c>
    </row>
    <row r="836" customFormat="false" ht="15" hidden="false" customHeight="true" outlineLevel="0" collapsed="false">
      <c r="A836" s="3" t="n">
        <v>46126</v>
      </c>
      <c r="B836" s="4" t="n">
        <f aca="false">YEAR($A836)</f>
        <v>2026</v>
      </c>
      <c r="C836" s="4" t="n">
        <f aca="false">MONTH($A836)</f>
        <v>4</v>
      </c>
      <c r="D836" s="4" t="str">
        <f aca="false">TEXT($A836,"ddd")</f>
        <v>Tue</v>
      </c>
      <c r="E836" s="4" t="n">
        <f aca="false">IF(OR(AND(MONTH($A836)=10,DAY($A836)&gt;=15),MONTH($A836)=11,AND(MONTH($A836)=12,DAY($A836)&lt;=7)),1,0)</f>
        <v>0</v>
      </c>
      <c r="F836" s="4" t="n">
        <f aca="false">IF(MONTH($A836)&lt;=3,1,0)</f>
        <v>0</v>
      </c>
      <c r="G836" s="4" t="str">
        <f aca="false" t="array" ref="G836:G836">_xlfn.TEXTJOIN(" | ",TRUE(),IF('FEMA Disasters'!$F$2:$F$1000=$A836,'FEMA Disasters'!$D$2:$D$1000&amp;" begin: ["&amp;'FEMA Disasters'!$B$2:$B$1000&amp;"] "&amp;'FEMA Disasters'!$C$2:$C$1000&amp;"-"&amp;'FEMA Disasters'!$A$2:$A$1000,""),IF('FEMA Disasters'!$G$2:$G$1000=$A836,'FEMA Disasters'!$D$2:$D$1000&amp;" ended: ["&amp;'FEMA Disasters'!$B$2:$B$1000&amp;"] "&amp;'FEMA Disasters'!$C$2:$C$1000&amp;"-"&amp;'FEMA Disasters'!$A$2:$A$1000,""),IF('FEMA Disasters'!$K$2:$K$1000=$A836,"Disaster SEP opens: "&amp;'FEMA Disasters'!$D$2:$D$1000&amp;" ["&amp;'FEMA Disasters'!$B$2:$B$1000&amp;"] "&amp;'FEMA Disasters'!$C$2:$C$1000&amp;"-"&amp;'FEMA Disasters'!$A$2:$A$1000,""),IF('FEMA Disasters'!$L$2:$L$1000=$A836,"Disaster SEP ended: "&amp;'FEMA Disasters'!$D$2:$D$1000&amp;" ["&amp;'FEMA Disasters'!$B$2:$B$1000&amp;"] "&amp;'FEMA Disasters'!$C$2:$C$1000&amp;"-"&amp;'FEMA Disasters'!$A$2:$A$1000,""))</f>
        <v/>
      </c>
      <c r="H836" s="4" t="n">
        <f aca="false">COUNTIF(Events!$A$2:$A$397,$A836)</f>
        <v>0</v>
      </c>
      <c r="I836" s="6" t="str">
        <f aca="false" t="array" ref="I836:I836">_xlfn.TEXTJOIN(" | ",TRUE(),IF(Events!$A$2:$A$397=$A836,Events!$E$2:$E$397&amp;IF(Events!$G$2:$G$397="National",""," ["&amp;Events!$G$2:$G$397&amp;"]"),""))</f>
        <v/>
      </c>
    </row>
    <row r="837" customFormat="false" ht="15" hidden="false" customHeight="true" outlineLevel="0" collapsed="false">
      <c r="A837" s="3" t="n">
        <v>46127</v>
      </c>
      <c r="B837" s="4" t="n">
        <f aca="false">YEAR($A837)</f>
        <v>2026</v>
      </c>
      <c r="C837" s="4" t="n">
        <f aca="false">MONTH($A837)</f>
        <v>4</v>
      </c>
      <c r="D837" s="4" t="str">
        <f aca="false">TEXT($A837,"ddd")</f>
        <v>Wed</v>
      </c>
      <c r="E837" s="4" t="n">
        <f aca="false">IF(OR(AND(MONTH($A837)=10,DAY($A837)&gt;=15),MONTH($A837)=11,AND(MONTH($A837)=12,DAY($A837)&lt;=7)),1,0)</f>
        <v>0</v>
      </c>
      <c r="F837" s="4" t="n">
        <f aca="false">IF(MONTH($A837)&lt;=3,1,0)</f>
        <v>0</v>
      </c>
      <c r="G837" s="4" t="str">
        <f aca="false" t="array" ref="G837:G837">_xlfn.TEXTJOIN(" | ",TRUE(),IF('FEMA Disasters'!$F$2:$F$1000=$A837,'FEMA Disasters'!$D$2:$D$1000&amp;" begin: ["&amp;'FEMA Disasters'!$B$2:$B$1000&amp;"] "&amp;'FEMA Disasters'!$C$2:$C$1000&amp;"-"&amp;'FEMA Disasters'!$A$2:$A$1000,""),IF('FEMA Disasters'!$G$2:$G$1000=$A837,'FEMA Disasters'!$D$2:$D$1000&amp;" ended: ["&amp;'FEMA Disasters'!$B$2:$B$1000&amp;"] "&amp;'FEMA Disasters'!$C$2:$C$1000&amp;"-"&amp;'FEMA Disasters'!$A$2:$A$1000,""),IF('FEMA Disasters'!$K$2:$K$1000=$A837,"Disaster SEP opens: "&amp;'FEMA Disasters'!$D$2:$D$1000&amp;" ["&amp;'FEMA Disasters'!$B$2:$B$1000&amp;"] "&amp;'FEMA Disasters'!$C$2:$C$1000&amp;"-"&amp;'FEMA Disasters'!$A$2:$A$1000,""),IF('FEMA Disasters'!$L$2:$L$1000=$A837,"Disaster SEP ended: "&amp;'FEMA Disasters'!$D$2:$D$1000&amp;" ["&amp;'FEMA Disasters'!$B$2:$B$1000&amp;"] "&amp;'FEMA Disasters'!$C$2:$C$1000&amp;"-"&amp;'FEMA Disasters'!$A$2:$A$1000,""))</f>
        <v/>
      </c>
      <c r="H837" s="4" t="n">
        <f aca="false">COUNTIF(Events!$A$2:$A$397,$A837)</f>
        <v>0</v>
      </c>
      <c r="I837" s="6" t="str">
        <f aca="false" t="array" ref="I837:I837">_xlfn.TEXTJOIN(" | ",TRUE(),IF(Events!$A$2:$A$397=$A837,Events!$E$2:$E$397&amp;IF(Events!$G$2:$G$397="National",""," ["&amp;Events!$G$2:$G$397&amp;"]"),""))</f>
        <v/>
      </c>
    </row>
    <row r="838" customFormat="false" ht="15" hidden="false" customHeight="true" outlineLevel="0" collapsed="false">
      <c r="A838" s="3" t="n">
        <v>46128</v>
      </c>
      <c r="B838" s="4" t="n">
        <f aca="false">YEAR($A838)</f>
        <v>2026</v>
      </c>
      <c r="C838" s="4" t="n">
        <f aca="false">MONTH($A838)</f>
        <v>4</v>
      </c>
      <c r="D838" s="4" t="str">
        <f aca="false">TEXT($A838,"ddd")</f>
        <v>Thu</v>
      </c>
      <c r="E838" s="4" t="n">
        <f aca="false">IF(OR(AND(MONTH($A838)=10,DAY($A838)&gt;=15),MONTH($A838)=11,AND(MONTH($A838)=12,DAY($A838)&lt;=7)),1,0)</f>
        <v>0</v>
      </c>
      <c r="F838" s="4" t="n">
        <f aca="false">IF(MONTH($A838)&lt;=3,1,0)</f>
        <v>0</v>
      </c>
      <c r="G838" s="4" t="str">
        <f aca="false" t="array" ref="G838:G838">_xlfn.TEXTJOIN(" | ",TRUE(),IF('FEMA Disasters'!$F$2:$F$1000=$A838,'FEMA Disasters'!$D$2:$D$1000&amp;" begin: ["&amp;'FEMA Disasters'!$B$2:$B$1000&amp;"] "&amp;'FEMA Disasters'!$C$2:$C$1000&amp;"-"&amp;'FEMA Disasters'!$A$2:$A$1000,""),IF('FEMA Disasters'!$G$2:$G$1000=$A838,'FEMA Disasters'!$D$2:$D$1000&amp;" ended: ["&amp;'FEMA Disasters'!$B$2:$B$1000&amp;"] "&amp;'FEMA Disasters'!$C$2:$C$1000&amp;"-"&amp;'FEMA Disasters'!$A$2:$A$1000,""),IF('FEMA Disasters'!$K$2:$K$1000=$A838,"Disaster SEP opens: "&amp;'FEMA Disasters'!$D$2:$D$1000&amp;" ["&amp;'FEMA Disasters'!$B$2:$B$1000&amp;"] "&amp;'FEMA Disasters'!$C$2:$C$1000&amp;"-"&amp;'FEMA Disasters'!$A$2:$A$1000,""),IF('FEMA Disasters'!$L$2:$L$1000=$A838,"Disaster SEP ended: "&amp;'FEMA Disasters'!$D$2:$D$1000&amp;" ["&amp;'FEMA Disasters'!$B$2:$B$1000&amp;"] "&amp;'FEMA Disasters'!$C$2:$C$1000&amp;"-"&amp;'FEMA Disasters'!$A$2:$A$1000,""))</f>
        <v/>
      </c>
      <c r="H838" s="4" t="n">
        <f aca="false">COUNTIF(Events!$A$2:$A$397,$A838)</f>
        <v>0</v>
      </c>
      <c r="I838" s="6" t="str">
        <f aca="false" t="array" ref="I838:I838">_xlfn.TEXTJOIN(" | ",TRUE(),IF(Events!$A$2:$A$397=$A838,Events!$E$2:$E$397&amp;IF(Events!$G$2:$G$397="National",""," ["&amp;Events!$G$2:$G$397&amp;"]"),""))</f>
        <v/>
      </c>
    </row>
    <row r="839" customFormat="false" ht="15" hidden="false" customHeight="true" outlineLevel="0" collapsed="false">
      <c r="A839" s="3" t="n">
        <v>46129</v>
      </c>
      <c r="B839" s="4" t="n">
        <f aca="false">YEAR($A839)</f>
        <v>2026</v>
      </c>
      <c r="C839" s="4" t="n">
        <f aca="false">MONTH($A839)</f>
        <v>4</v>
      </c>
      <c r="D839" s="4" t="str">
        <f aca="false">TEXT($A839,"ddd")</f>
        <v>Fri</v>
      </c>
      <c r="E839" s="4" t="n">
        <f aca="false">IF(OR(AND(MONTH($A839)=10,DAY($A839)&gt;=15),MONTH($A839)=11,AND(MONTH($A839)=12,DAY($A839)&lt;=7)),1,0)</f>
        <v>0</v>
      </c>
      <c r="F839" s="4" t="n">
        <f aca="false">IF(MONTH($A839)&lt;=3,1,0)</f>
        <v>0</v>
      </c>
      <c r="G839" s="4" t="str">
        <f aca="false" t="array" ref="G839:G839">_xlfn.TEXTJOIN(" | ",TRUE(),IF('FEMA Disasters'!$F$2:$F$1000=$A839,'FEMA Disasters'!$D$2:$D$1000&amp;" begin: ["&amp;'FEMA Disasters'!$B$2:$B$1000&amp;"] "&amp;'FEMA Disasters'!$C$2:$C$1000&amp;"-"&amp;'FEMA Disasters'!$A$2:$A$1000,""),IF('FEMA Disasters'!$G$2:$G$1000=$A839,'FEMA Disasters'!$D$2:$D$1000&amp;" ended: ["&amp;'FEMA Disasters'!$B$2:$B$1000&amp;"] "&amp;'FEMA Disasters'!$C$2:$C$1000&amp;"-"&amp;'FEMA Disasters'!$A$2:$A$1000,""),IF('FEMA Disasters'!$K$2:$K$1000=$A839,"Disaster SEP opens: "&amp;'FEMA Disasters'!$D$2:$D$1000&amp;" ["&amp;'FEMA Disasters'!$B$2:$B$1000&amp;"] "&amp;'FEMA Disasters'!$C$2:$C$1000&amp;"-"&amp;'FEMA Disasters'!$A$2:$A$1000,""),IF('FEMA Disasters'!$L$2:$L$1000=$A839,"Disaster SEP ended: "&amp;'FEMA Disasters'!$D$2:$D$1000&amp;" ["&amp;'FEMA Disasters'!$B$2:$B$1000&amp;"] "&amp;'FEMA Disasters'!$C$2:$C$1000&amp;"-"&amp;'FEMA Disasters'!$A$2:$A$1000,""))</f>
        <v/>
      </c>
      <c r="H839" s="4" t="n">
        <f aca="false">COUNTIF(Events!$A$2:$A$397,$A839)</f>
        <v>0</v>
      </c>
      <c r="I839" s="6" t="str">
        <f aca="false" t="array" ref="I839:I839">_xlfn.TEXTJOIN(" | ",TRUE(),IF(Events!$A$2:$A$397=$A839,Events!$E$2:$E$397&amp;IF(Events!$G$2:$G$397="National",""," ["&amp;Events!$G$2:$G$397&amp;"]"),""))</f>
        <v/>
      </c>
    </row>
    <row r="840" customFormat="false" ht="15" hidden="false" customHeight="true" outlineLevel="0" collapsed="false">
      <c r="A840" s="3" t="n">
        <v>46130</v>
      </c>
      <c r="B840" s="4" t="n">
        <f aca="false">YEAR($A840)</f>
        <v>2026</v>
      </c>
      <c r="C840" s="4" t="n">
        <f aca="false">MONTH($A840)</f>
        <v>4</v>
      </c>
      <c r="D840" s="4" t="str">
        <f aca="false">TEXT($A840,"ddd")</f>
        <v>Sat</v>
      </c>
      <c r="E840" s="4" t="n">
        <f aca="false">IF(OR(AND(MONTH($A840)=10,DAY($A840)&gt;=15),MONTH($A840)=11,AND(MONTH($A840)=12,DAY($A840)&lt;=7)),1,0)</f>
        <v>0</v>
      </c>
      <c r="F840" s="4" t="n">
        <f aca="false">IF(MONTH($A840)&lt;=3,1,0)</f>
        <v>0</v>
      </c>
      <c r="G840" s="4" t="str">
        <f aca="false" t="array" ref="G840:G840">_xlfn.TEXTJOIN(" | ",TRUE(),IF('FEMA Disasters'!$F$2:$F$1000=$A840,'FEMA Disasters'!$D$2:$D$1000&amp;" begin: ["&amp;'FEMA Disasters'!$B$2:$B$1000&amp;"] "&amp;'FEMA Disasters'!$C$2:$C$1000&amp;"-"&amp;'FEMA Disasters'!$A$2:$A$1000,""),IF('FEMA Disasters'!$G$2:$G$1000=$A840,'FEMA Disasters'!$D$2:$D$1000&amp;" ended: ["&amp;'FEMA Disasters'!$B$2:$B$1000&amp;"] "&amp;'FEMA Disasters'!$C$2:$C$1000&amp;"-"&amp;'FEMA Disasters'!$A$2:$A$1000,""),IF('FEMA Disasters'!$K$2:$K$1000=$A840,"Disaster SEP opens: "&amp;'FEMA Disasters'!$D$2:$D$1000&amp;" ["&amp;'FEMA Disasters'!$B$2:$B$1000&amp;"] "&amp;'FEMA Disasters'!$C$2:$C$1000&amp;"-"&amp;'FEMA Disasters'!$A$2:$A$1000,""),IF('FEMA Disasters'!$L$2:$L$1000=$A840,"Disaster SEP ended: "&amp;'FEMA Disasters'!$D$2:$D$1000&amp;" ["&amp;'FEMA Disasters'!$B$2:$B$1000&amp;"] "&amp;'FEMA Disasters'!$C$2:$C$1000&amp;"-"&amp;'FEMA Disasters'!$A$2:$A$1000,""))</f>
        <v>Fire begin: [GA] FM-5629 | Tropical Storm ended: [GU] EM-3644 | Tropical Storm ended: [MP] EM-3645 | Hurricane ended: [MP] DR-4910 | Typhoon ended: [GU] DR-4921</v>
      </c>
      <c r="H840" s="4" t="n">
        <f aca="false">COUNTIF(Events!$A$2:$A$397,$A840)</f>
        <v>0</v>
      </c>
      <c r="I840" s="6" t="str">
        <f aca="false" t="array" ref="I840:I840">_xlfn.TEXTJOIN(" | ",TRUE(),IF(Events!$A$2:$A$397=$A840,Events!$E$2:$E$397&amp;IF(Events!$G$2:$G$397="National",""," ["&amp;Events!$G$2:$G$397&amp;"]"),""))</f>
        <v/>
      </c>
    </row>
    <row r="841" customFormat="false" ht="15" hidden="false" customHeight="true" outlineLevel="0" collapsed="false">
      <c r="A841" s="3" t="n">
        <v>46131</v>
      </c>
      <c r="B841" s="4" t="n">
        <f aca="false">YEAR($A841)</f>
        <v>2026</v>
      </c>
      <c r="C841" s="4" t="n">
        <f aca="false">MONTH($A841)</f>
        <v>4</v>
      </c>
      <c r="D841" s="4" t="str">
        <f aca="false">TEXT($A841,"ddd")</f>
        <v>Sun</v>
      </c>
      <c r="E841" s="4" t="n">
        <f aca="false">IF(OR(AND(MONTH($A841)=10,DAY($A841)&gt;=15),MONTH($A841)=11,AND(MONTH($A841)=12,DAY($A841)&lt;=7)),1,0)</f>
        <v>0</v>
      </c>
      <c r="F841" s="4" t="n">
        <f aca="false">IF(MONTH($A841)&lt;=3,1,0)</f>
        <v>0</v>
      </c>
      <c r="G841" s="4" t="str">
        <f aca="false" t="array" ref="G841:G841">_xlfn.TEXTJOIN(" | ",TRUE(),IF('FEMA Disasters'!$F$2:$F$1000=$A841,'FEMA Disasters'!$D$2:$D$1000&amp;" begin: ["&amp;'FEMA Disasters'!$B$2:$B$1000&amp;"] "&amp;'FEMA Disasters'!$C$2:$C$1000&amp;"-"&amp;'FEMA Disasters'!$A$2:$A$1000,""),IF('FEMA Disasters'!$G$2:$G$1000=$A841,'FEMA Disasters'!$D$2:$D$1000&amp;" ended: ["&amp;'FEMA Disasters'!$B$2:$B$1000&amp;"] "&amp;'FEMA Disasters'!$C$2:$C$1000&amp;"-"&amp;'FEMA Disasters'!$A$2:$A$1000,""),IF('FEMA Disasters'!$K$2:$K$1000=$A841,"Disaster SEP opens: "&amp;'FEMA Disasters'!$D$2:$D$1000&amp;" ["&amp;'FEMA Disasters'!$B$2:$B$1000&amp;"] "&amp;'FEMA Disasters'!$C$2:$C$1000&amp;"-"&amp;'FEMA Disasters'!$A$2:$A$1000,""),IF('FEMA Disasters'!$L$2:$L$1000=$A841,"Disaster SEP ended: "&amp;'FEMA Disasters'!$D$2:$D$1000&amp;" ["&amp;'FEMA Disasters'!$B$2:$B$1000&amp;"] "&amp;'FEMA Disasters'!$C$2:$C$1000&amp;"-"&amp;'FEMA Disasters'!$A$2:$A$1000,""))</f>
        <v>Fire begin: [FL] FM-5631</v>
      </c>
      <c r="H841" s="4" t="n">
        <f aca="false">COUNTIF(Events!$A$2:$A$397,$A841)</f>
        <v>0</v>
      </c>
      <c r="I841" s="6" t="str">
        <f aca="false" t="array" ref="I841:I841">_xlfn.TEXTJOIN(" | ",TRUE(),IF(Events!$A$2:$A$397=$A841,Events!$E$2:$E$397&amp;IF(Events!$G$2:$G$397="National",""," ["&amp;Events!$G$2:$G$397&amp;"]"),""))</f>
        <v/>
      </c>
    </row>
    <row r="842" customFormat="false" ht="15" hidden="false" customHeight="true" outlineLevel="0" collapsed="false">
      <c r="A842" s="3" t="n">
        <v>46132</v>
      </c>
      <c r="B842" s="4" t="n">
        <f aca="false">YEAR($A842)</f>
        <v>2026</v>
      </c>
      <c r="C842" s="4" t="n">
        <f aca="false">MONTH($A842)</f>
        <v>4</v>
      </c>
      <c r="D842" s="4" t="str">
        <f aca="false">TEXT($A842,"ddd")</f>
        <v>Mon</v>
      </c>
      <c r="E842" s="4" t="n">
        <f aca="false">IF(OR(AND(MONTH($A842)=10,DAY($A842)&gt;=15),MONTH($A842)=11,AND(MONTH($A842)=12,DAY($A842)&lt;=7)),1,0)</f>
        <v>0</v>
      </c>
      <c r="F842" s="4" t="n">
        <f aca="false">IF(MONTH($A842)&lt;=3,1,0)</f>
        <v>0</v>
      </c>
      <c r="G842" s="4" t="str">
        <f aca="false" t="array" ref="G842:G842">_xlfn.TEXTJOIN(" | ",TRUE(),IF('FEMA Disasters'!$F$2:$F$1000=$A842,'FEMA Disasters'!$D$2:$D$1000&amp;" begin: ["&amp;'FEMA Disasters'!$B$2:$B$1000&amp;"] "&amp;'FEMA Disasters'!$C$2:$C$1000&amp;"-"&amp;'FEMA Disasters'!$A$2:$A$1000,""),IF('FEMA Disasters'!$G$2:$G$1000=$A842,'FEMA Disasters'!$D$2:$D$1000&amp;" ended: ["&amp;'FEMA Disasters'!$B$2:$B$1000&amp;"] "&amp;'FEMA Disasters'!$C$2:$C$1000&amp;"-"&amp;'FEMA Disasters'!$A$2:$A$1000,""),IF('FEMA Disasters'!$K$2:$K$1000=$A842,"Disaster SEP opens: "&amp;'FEMA Disasters'!$D$2:$D$1000&amp;" ["&amp;'FEMA Disasters'!$B$2:$B$1000&amp;"] "&amp;'FEMA Disasters'!$C$2:$C$1000&amp;"-"&amp;'FEMA Disasters'!$A$2:$A$1000,""),IF('FEMA Disasters'!$L$2:$L$1000=$A842,"Disaster SEP ended: "&amp;'FEMA Disasters'!$D$2:$D$1000&amp;" ["&amp;'FEMA Disasters'!$B$2:$B$1000&amp;"] "&amp;'FEMA Disasters'!$C$2:$C$1000&amp;"-"&amp;'FEMA Disasters'!$A$2:$A$1000,""))</f>
        <v>Fire begin: [GA] FM-5630</v>
      </c>
      <c r="H842" s="4" t="n">
        <f aca="false">COUNTIF(Events!$A$2:$A$397,$A842)</f>
        <v>0</v>
      </c>
      <c r="I842" s="6" t="str">
        <f aca="false" t="array" ref="I842:I842">_xlfn.TEXTJOIN(" | ",TRUE(),IF(Events!$A$2:$A$397=$A842,Events!$E$2:$E$397&amp;IF(Events!$G$2:$G$397="National",""," ["&amp;Events!$G$2:$G$397&amp;"]"),""))</f>
        <v/>
      </c>
    </row>
    <row r="843" customFormat="false" ht="15" hidden="false" customHeight="true" outlineLevel="0" collapsed="false">
      <c r="A843" s="3" t="n">
        <v>46133</v>
      </c>
      <c r="B843" s="4" t="n">
        <f aca="false">YEAR($A843)</f>
        <v>2026</v>
      </c>
      <c r="C843" s="4" t="n">
        <f aca="false">MONTH($A843)</f>
        <v>4</v>
      </c>
      <c r="D843" s="4" t="str">
        <f aca="false">TEXT($A843,"ddd")</f>
        <v>Tue</v>
      </c>
      <c r="E843" s="4" t="n">
        <f aca="false">IF(OR(AND(MONTH($A843)=10,DAY($A843)&gt;=15),MONTH($A843)=11,AND(MONTH($A843)=12,DAY($A843)&lt;=7)),1,0)</f>
        <v>0</v>
      </c>
      <c r="F843" s="4" t="n">
        <f aca="false">IF(MONTH($A843)&lt;=3,1,0)</f>
        <v>0</v>
      </c>
      <c r="G843" s="4" t="str">
        <f aca="false" t="array" ref="G843:G843">_xlfn.TEXTJOIN(" | ",TRUE(),IF('FEMA Disasters'!$F$2:$F$1000=$A843,'FEMA Disasters'!$D$2:$D$1000&amp;" begin: ["&amp;'FEMA Disasters'!$B$2:$B$1000&amp;"] "&amp;'FEMA Disasters'!$C$2:$C$1000&amp;"-"&amp;'FEMA Disasters'!$A$2:$A$1000,""),IF('FEMA Disasters'!$G$2:$G$1000=$A843,'FEMA Disasters'!$D$2:$D$1000&amp;" ended: ["&amp;'FEMA Disasters'!$B$2:$B$1000&amp;"] "&amp;'FEMA Disasters'!$C$2:$C$1000&amp;"-"&amp;'FEMA Disasters'!$A$2:$A$1000,""),IF('FEMA Disasters'!$K$2:$K$1000=$A843,"Disaster SEP opens: "&amp;'FEMA Disasters'!$D$2:$D$1000&amp;" ["&amp;'FEMA Disasters'!$B$2:$B$1000&amp;"] "&amp;'FEMA Disasters'!$C$2:$C$1000&amp;"-"&amp;'FEMA Disasters'!$A$2:$A$1000,""),IF('FEMA Disasters'!$L$2:$L$1000=$A843,"Disaster SEP ended: "&amp;'FEMA Disasters'!$D$2:$D$1000&amp;" ["&amp;'FEMA Disasters'!$B$2:$B$1000&amp;"] "&amp;'FEMA Disasters'!$C$2:$C$1000&amp;"-"&amp;'FEMA Disasters'!$A$2:$A$1000,""))</f>
        <v>Fire begin: [FL] FM-5632 | Flood ended: [MI] DR-4925</v>
      </c>
      <c r="H843" s="4" t="n">
        <f aca="false">COUNTIF(Events!$A$2:$A$397,$A843)</f>
        <v>0</v>
      </c>
      <c r="I843" s="6" t="str">
        <f aca="false" t="array" ref="I843:I843">_xlfn.TEXTJOIN(" | ",TRUE(),IF(Events!$A$2:$A$397=$A843,Events!$E$2:$E$397&amp;IF(Events!$G$2:$G$397="National",""," ["&amp;Events!$G$2:$G$397&amp;"]"),""))</f>
        <v/>
      </c>
    </row>
    <row r="844" customFormat="false" ht="15" hidden="false" customHeight="true" outlineLevel="0" collapsed="false">
      <c r="A844" s="3" t="n">
        <v>46134</v>
      </c>
      <c r="B844" s="4" t="n">
        <f aca="false">YEAR($A844)</f>
        <v>2026</v>
      </c>
      <c r="C844" s="4" t="n">
        <f aca="false">MONTH($A844)</f>
        <v>4</v>
      </c>
      <c r="D844" s="4" t="str">
        <f aca="false">TEXT($A844,"ddd")</f>
        <v>Wed</v>
      </c>
      <c r="E844" s="4" t="n">
        <f aca="false">IF(OR(AND(MONTH($A844)=10,DAY($A844)&gt;=15),MONTH($A844)=11,AND(MONTH($A844)=12,DAY($A844)&lt;=7)),1,0)</f>
        <v>0</v>
      </c>
      <c r="F844" s="4" t="n">
        <f aca="false">IF(MONTH($A844)&lt;=3,1,0)</f>
        <v>0</v>
      </c>
      <c r="G844" s="4" t="str">
        <f aca="false" t="array" ref="G844:G844">_xlfn.TEXTJOIN(" | ",TRUE(),IF('FEMA Disasters'!$F$2:$F$1000=$A844,'FEMA Disasters'!$D$2:$D$1000&amp;" begin: ["&amp;'FEMA Disasters'!$B$2:$B$1000&amp;"] "&amp;'FEMA Disasters'!$C$2:$C$1000&amp;"-"&amp;'FEMA Disasters'!$A$2:$A$1000,""),IF('FEMA Disasters'!$G$2:$G$1000=$A844,'FEMA Disasters'!$D$2:$D$1000&amp;" ended: ["&amp;'FEMA Disasters'!$B$2:$B$1000&amp;"] "&amp;'FEMA Disasters'!$C$2:$C$1000&amp;"-"&amp;'FEMA Disasters'!$A$2:$A$1000,""),IF('FEMA Disasters'!$K$2:$K$1000=$A844,"Disaster SEP opens: "&amp;'FEMA Disasters'!$D$2:$D$1000&amp;" ["&amp;'FEMA Disasters'!$B$2:$B$1000&amp;"] "&amp;'FEMA Disasters'!$C$2:$C$1000&amp;"-"&amp;'FEMA Disasters'!$A$2:$A$1000,""),IF('FEMA Disasters'!$L$2:$L$1000=$A844,"Disaster SEP ended: "&amp;'FEMA Disasters'!$D$2:$D$1000&amp;" ["&amp;'FEMA Disasters'!$B$2:$B$1000&amp;"] "&amp;'FEMA Disasters'!$C$2:$C$1000&amp;"-"&amp;'FEMA Disasters'!$A$2:$A$1000,""))</f>
        <v/>
      </c>
      <c r="H844" s="4" t="n">
        <f aca="false">COUNTIF(Events!$A$2:$A$397,$A844)</f>
        <v>0</v>
      </c>
      <c r="I844" s="6" t="str">
        <f aca="false" t="array" ref="I844:I844">_xlfn.TEXTJOIN(" | ",TRUE(),IF(Events!$A$2:$A$397=$A844,Events!$E$2:$E$397&amp;IF(Events!$G$2:$G$397="National",""," ["&amp;Events!$G$2:$G$397&amp;"]"),""))</f>
        <v/>
      </c>
    </row>
    <row r="845" customFormat="false" ht="15" hidden="false" customHeight="true" outlineLevel="0" collapsed="false">
      <c r="A845" s="3" t="n">
        <v>46135</v>
      </c>
      <c r="B845" s="4" t="n">
        <f aca="false">YEAR($A845)</f>
        <v>2026</v>
      </c>
      <c r="C845" s="4" t="n">
        <f aca="false">MONTH($A845)</f>
        <v>4</v>
      </c>
      <c r="D845" s="4" t="str">
        <f aca="false">TEXT($A845,"ddd")</f>
        <v>Thu</v>
      </c>
      <c r="E845" s="4" t="n">
        <f aca="false">IF(OR(AND(MONTH($A845)=10,DAY($A845)&gt;=15),MONTH($A845)=11,AND(MONTH($A845)=12,DAY($A845)&lt;=7)),1,0)</f>
        <v>0</v>
      </c>
      <c r="F845" s="4" t="n">
        <f aca="false">IF(MONTH($A845)&lt;=3,1,0)</f>
        <v>0</v>
      </c>
      <c r="G845" s="4" t="str">
        <f aca="false" t="array" ref="G845:G845">_xlfn.TEXTJOIN(" | ",TRUE(),IF('FEMA Disasters'!$F$2:$F$1000=$A845,'FEMA Disasters'!$D$2:$D$1000&amp;" begin: ["&amp;'FEMA Disasters'!$B$2:$B$1000&amp;"] "&amp;'FEMA Disasters'!$C$2:$C$1000&amp;"-"&amp;'FEMA Disasters'!$A$2:$A$1000,""),IF('FEMA Disasters'!$G$2:$G$1000=$A845,'FEMA Disasters'!$D$2:$D$1000&amp;" ended: ["&amp;'FEMA Disasters'!$B$2:$B$1000&amp;"] "&amp;'FEMA Disasters'!$C$2:$C$1000&amp;"-"&amp;'FEMA Disasters'!$A$2:$A$1000,""),IF('FEMA Disasters'!$K$2:$K$1000=$A845,"Disaster SEP opens: "&amp;'FEMA Disasters'!$D$2:$D$1000&amp;" ["&amp;'FEMA Disasters'!$B$2:$B$1000&amp;"] "&amp;'FEMA Disasters'!$C$2:$C$1000&amp;"-"&amp;'FEMA Disasters'!$A$2:$A$1000,""),IF('FEMA Disasters'!$L$2:$L$1000=$A845,"Disaster SEP ended: "&amp;'FEMA Disasters'!$D$2:$D$1000&amp;" ["&amp;'FEMA Disasters'!$B$2:$B$1000&amp;"] "&amp;'FEMA Disasters'!$C$2:$C$1000&amp;"-"&amp;'FEMA Disasters'!$A$2:$A$1000,""))</f>
        <v>Severe Storm begin: [MO] DR-4924 | Flood ended: [WI] DR-4923</v>
      </c>
      <c r="H845" s="4" t="n">
        <f aca="false">COUNTIF(Events!$A$2:$A$397,$A845)</f>
        <v>0</v>
      </c>
      <c r="I845" s="6" t="str">
        <f aca="false" t="array" ref="I845:I845">_xlfn.TEXTJOIN(" | ",TRUE(),IF(Events!$A$2:$A$397=$A845,Events!$E$2:$E$397&amp;IF(Events!$G$2:$G$397="National",""," ["&amp;Events!$G$2:$G$397&amp;"]"),""))</f>
        <v/>
      </c>
    </row>
    <row r="846" customFormat="false" ht="15" hidden="false" customHeight="true" outlineLevel="0" collapsed="false">
      <c r="A846" s="3" t="n">
        <v>46136</v>
      </c>
      <c r="B846" s="4" t="n">
        <f aca="false">YEAR($A846)</f>
        <v>2026</v>
      </c>
      <c r="C846" s="4" t="n">
        <f aca="false">MONTH($A846)</f>
        <v>4</v>
      </c>
      <c r="D846" s="4" t="str">
        <f aca="false">TEXT($A846,"ddd")</f>
        <v>Fri</v>
      </c>
      <c r="E846" s="4" t="n">
        <f aca="false">IF(OR(AND(MONTH($A846)=10,DAY($A846)&gt;=15),MONTH($A846)=11,AND(MONTH($A846)=12,DAY($A846)&lt;=7)),1,0)</f>
        <v>0</v>
      </c>
      <c r="F846" s="4" t="n">
        <f aca="false">IF(MONTH($A846)&lt;=3,1,0)</f>
        <v>0</v>
      </c>
      <c r="G846" s="4" t="str">
        <f aca="false" t="array" ref="G846:G846">_xlfn.TEXTJOIN(" | ",TRUE(),IF('FEMA Disasters'!$F$2:$F$1000=$A846,'FEMA Disasters'!$D$2:$D$1000&amp;" begin: ["&amp;'FEMA Disasters'!$B$2:$B$1000&amp;"] "&amp;'FEMA Disasters'!$C$2:$C$1000&amp;"-"&amp;'FEMA Disasters'!$A$2:$A$1000,""),IF('FEMA Disasters'!$G$2:$G$1000=$A846,'FEMA Disasters'!$D$2:$D$1000&amp;" ended: ["&amp;'FEMA Disasters'!$B$2:$B$1000&amp;"] "&amp;'FEMA Disasters'!$C$2:$C$1000&amp;"-"&amp;'FEMA Disasters'!$A$2:$A$1000,""),IF('FEMA Disasters'!$K$2:$K$1000=$A846,"Disaster SEP opens: "&amp;'FEMA Disasters'!$D$2:$D$1000&amp;" ["&amp;'FEMA Disasters'!$B$2:$B$1000&amp;"] "&amp;'FEMA Disasters'!$C$2:$C$1000&amp;"-"&amp;'FEMA Disasters'!$A$2:$A$1000,""),IF('FEMA Disasters'!$L$2:$L$1000=$A846,"Disaster SEP ended: "&amp;'FEMA Disasters'!$D$2:$D$1000&amp;" ["&amp;'FEMA Disasters'!$B$2:$B$1000&amp;"] "&amp;'FEMA Disasters'!$C$2:$C$1000&amp;"-"&amp;'FEMA Disasters'!$A$2:$A$1000,""))</f>
        <v/>
      </c>
      <c r="H846" s="4" t="n">
        <f aca="false">COUNTIF(Events!$A$2:$A$397,$A846)</f>
        <v>0</v>
      </c>
      <c r="I846" s="6" t="str">
        <f aca="false" t="array" ref="I846:I846">_xlfn.TEXTJOIN(" | ",TRUE(),IF(Events!$A$2:$A$397=$A846,Events!$E$2:$E$397&amp;IF(Events!$G$2:$G$397="National",""," ["&amp;Events!$G$2:$G$397&amp;"]"),""))</f>
        <v/>
      </c>
    </row>
    <row r="847" customFormat="false" ht="15" hidden="false" customHeight="true" outlineLevel="0" collapsed="false">
      <c r="A847" s="3" t="n">
        <v>46137</v>
      </c>
      <c r="B847" s="4" t="n">
        <f aca="false">YEAR($A847)</f>
        <v>2026</v>
      </c>
      <c r="C847" s="4" t="n">
        <f aca="false">MONTH($A847)</f>
        <v>4</v>
      </c>
      <c r="D847" s="4" t="str">
        <f aca="false">TEXT($A847,"ddd")</f>
        <v>Sat</v>
      </c>
      <c r="E847" s="4" t="n">
        <f aca="false">IF(OR(AND(MONTH($A847)=10,DAY($A847)&gt;=15),MONTH($A847)=11,AND(MONTH($A847)=12,DAY($A847)&lt;=7)),1,0)</f>
        <v>0</v>
      </c>
      <c r="F847" s="4" t="n">
        <f aca="false">IF(MONTH($A847)&lt;=3,1,0)</f>
        <v>0</v>
      </c>
      <c r="G847" s="4" t="str">
        <f aca="false" t="array" ref="G847:G847">_xlfn.TEXTJOIN(" | ",TRUE(),IF('FEMA Disasters'!$F$2:$F$1000=$A847,'FEMA Disasters'!$D$2:$D$1000&amp;" begin: ["&amp;'FEMA Disasters'!$B$2:$B$1000&amp;"] "&amp;'FEMA Disasters'!$C$2:$C$1000&amp;"-"&amp;'FEMA Disasters'!$A$2:$A$1000,""),IF('FEMA Disasters'!$G$2:$G$1000=$A847,'FEMA Disasters'!$D$2:$D$1000&amp;" ended: ["&amp;'FEMA Disasters'!$B$2:$B$1000&amp;"] "&amp;'FEMA Disasters'!$C$2:$C$1000&amp;"-"&amp;'FEMA Disasters'!$A$2:$A$1000,""),IF('FEMA Disasters'!$K$2:$K$1000=$A847,"Disaster SEP opens: "&amp;'FEMA Disasters'!$D$2:$D$1000&amp;" ["&amp;'FEMA Disasters'!$B$2:$B$1000&amp;"] "&amp;'FEMA Disasters'!$C$2:$C$1000&amp;"-"&amp;'FEMA Disasters'!$A$2:$A$1000,""),IF('FEMA Disasters'!$L$2:$L$1000=$A847,"Disaster SEP ended: "&amp;'FEMA Disasters'!$D$2:$D$1000&amp;" ["&amp;'FEMA Disasters'!$B$2:$B$1000&amp;"] "&amp;'FEMA Disasters'!$C$2:$C$1000&amp;"-"&amp;'FEMA Disasters'!$A$2:$A$1000,""))</f>
        <v/>
      </c>
      <c r="H847" s="4" t="n">
        <f aca="false">COUNTIF(Events!$A$2:$A$397,$A847)</f>
        <v>0</v>
      </c>
      <c r="I847" s="6" t="str">
        <f aca="false" t="array" ref="I847:I847">_xlfn.TEXTJOIN(" | ",TRUE(),IF(Events!$A$2:$A$397=$A847,Events!$E$2:$E$397&amp;IF(Events!$G$2:$G$397="National",""," ["&amp;Events!$G$2:$G$397&amp;"]"),""))</f>
        <v/>
      </c>
    </row>
    <row r="848" customFormat="false" ht="15" hidden="false" customHeight="true" outlineLevel="0" collapsed="false">
      <c r="A848" s="3" t="n">
        <v>46138</v>
      </c>
      <c r="B848" s="4" t="n">
        <f aca="false">YEAR($A848)</f>
        <v>2026</v>
      </c>
      <c r="C848" s="4" t="n">
        <f aca="false">MONTH($A848)</f>
        <v>4</v>
      </c>
      <c r="D848" s="4" t="str">
        <f aca="false">TEXT($A848,"ddd")</f>
        <v>Sun</v>
      </c>
      <c r="E848" s="4" t="n">
        <f aca="false">IF(OR(AND(MONTH($A848)=10,DAY($A848)&gt;=15),MONTH($A848)=11,AND(MONTH($A848)=12,DAY($A848)&lt;=7)),1,0)</f>
        <v>0</v>
      </c>
      <c r="F848" s="4" t="n">
        <f aca="false">IF(MONTH($A848)&lt;=3,1,0)</f>
        <v>0</v>
      </c>
      <c r="G848" s="4" t="str">
        <f aca="false" t="array" ref="G848:G848">_xlfn.TEXTJOIN(" | ",TRUE(),IF('FEMA Disasters'!$F$2:$F$1000=$A848,'FEMA Disasters'!$D$2:$D$1000&amp;" begin: ["&amp;'FEMA Disasters'!$B$2:$B$1000&amp;"] "&amp;'FEMA Disasters'!$C$2:$C$1000&amp;"-"&amp;'FEMA Disasters'!$A$2:$A$1000,""),IF('FEMA Disasters'!$G$2:$G$1000=$A848,'FEMA Disasters'!$D$2:$D$1000&amp;" ended: ["&amp;'FEMA Disasters'!$B$2:$B$1000&amp;"] "&amp;'FEMA Disasters'!$C$2:$C$1000&amp;"-"&amp;'FEMA Disasters'!$A$2:$A$1000,""),IF('FEMA Disasters'!$K$2:$K$1000=$A848,"Disaster SEP opens: "&amp;'FEMA Disasters'!$D$2:$D$1000&amp;" ["&amp;'FEMA Disasters'!$B$2:$B$1000&amp;"] "&amp;'FEMA Disasters'!$C$2:$C$1000&amp;"-"&amp;'FEMA Disasters'!$A$2:$A$1000,""),IF('FEMA Disasters'!$L$2:$L$1000=$A848,"Disaster SEP ended: "&amp;'FEMA Disasters'!$D$2:$D$1000&amp;" ["&amp;'FEMA Disasters'!$B$2:$B$1000&amp;"] "&amp;'FEMA Disasters'!$C$2:$C$1000&amp;"-"&amp;'FEMA Disasters'!$A$2:$A$1000,""))</f>
        <v>Severe Storm begin: [KS] DR-4926</v>
      </c>
      <c r="H848" s="4" t="n">
        <f aca="false">COUNTIF(Events!$A$2:$A$397,$A848)</f>
        <v>0</v>
      </c>
      <c r="I848" s="6" t="str">
        <f aca="false" t="array" ref="I848:I848">_xlfn.TEXTJOIN(" | ",TRUE(),IF(Events!$A$2:$A$397=$A848,Events!$E$2:$E$397&amp;IF(Events!$G$2:$G$397="National",""," ["&amp;Events!$G$2:$G$397&amp;"]"),""))</f>
        <v/>
      </c>
    </row>
    <row r="849" customFormat="false" ht="15" hidden="false" customHeight="true" outlineLevel="0" collapsed="false">
      <c r="A849" s="3" t="n">
        <v>46139</v>
      </c>
      <c r="B849" s="4" t="n">
        <f aca="false">YEAR($A849)</f>
        <v>2026</v>
      </c>
      <c r="C849" s="4" t="n">
        <f aca="false">MONTH($A849)</f>
        <v>4</v>
      </c>
      <c r="D849" s="4" t="str">
        <f aca="false">TEXT($A849,"ddd")</f>
        <v>Mon</v>
      </c>
      <c r="E849" s="4" t="n">
        <f aca="false">IF(OR(AND(MONTH($A849)=10,DAY($A849)&gt;=15),MONTH($A849)=11,AND(MONTH($A849)=12,DAY($A849)&lt;=7)),1,0)</f>
        <v>0</v>
      </c>
      <c r="F849" s="4" t="n">
        <f aca="false">IF(MONTH($A849)&lt;=3,1,0)</f>
        <v>0</v>
      </c>
      <c r="G849" s="4" t="str">
        <f aca="false" t="array" ref="G849:G849">_xlfn.TEXTJOIN(" | ",TRUE(),IF('FEMA Disasters'!$F$2:$F$1000=$A849,'FEMA Disasters'!$D$2:$D$1000&amp;" begin: ["&amp;'FEMA Disasters'!$B$2:$B$1000&amp;"] "&amp;'FEMA Disasters'!$C$2:$C$1000&amp;"-"&amp;'FEMA Disasters'!$A$2:$A$1000,""),IF('FEMA Disasters'!$G$2:$G$1000=$A849,'FEMA Disasters'!$D$2:$D$1000&amp;" ended: ["&amp;'FEMA Disasters'!$B$2:$B$1000&amp;"] "&amp;'FEMA Disasters'!$C$2:$C$1000&amp;"-"&amp;'FEMA Disasters'!$A$2:$A$1000,""),IF('FEMA Disasters'!$K$2:$K$1000=$A849,"Disaster SEP opens: "&amp;'FEMA Disasters'!$D$2:$D$1000&amp;" ["&amp;'FEMA Disasters'!$B$2:$B$1000&amp;"] "&amp;'FEMA Disasters'!$C$2:$C$1000&amp;"-"&amp;'FEMA Disasters'!$A$2:$A$1000,""),IF('FEMA Disasters'!$L$2:$L$1000=$A849,"Disaster SEP ended: "&amp;'FEMA Disasters'!$D$2:$D$1000&amp;" ["&amp;'FEMA Disasters'!$B$2:$B$1000&amp;"] "&amp;'FEMA Disasters'!$C$2:$C$1000&amp;"-"&amp;'FEMA Disasters'!$A$2:$A$1000,""))</f>
        <v>Severe Storm ended: [KS] DR-4926</v>
      </c>
      <c r="H849" s="4" t="n">
        <f aca="false">COUNTIF(Events!$A$2:$A$397,$A849)</f>
        <v>0</v>
      </c>
      <c r="I849" s="6" t="str">
        <f aca="false" t="array" ref="I849:I849">_xlfn.TEXTJOIN(" | ",TRUE(),IF(Events!$A$2:$A$397=$A849,Events!$E$2:$E$397&amp;IF(Events!$G$2:$G$397="National",""," ["&amp;Events!$G$2:$G$397&amp;"]"),""))</f>
        <v/>
      </c>
    </row>
    <row r="850" customFormat="false" ht="15" hidden="false" customHeight="true" outlineLevel="0" collapsed="false">
      <c r="A850" s="3" t="n">
        <v>46140</v>
      </c>
      <c r="B850" s="4" t="n">
        <f aca="false">YEAR($A850)</f>
        <v>2026</v>
      </c>
      <c r="C850" s="4" t="n">
        <f aca="false">MONTH($A850)</f>
        <v>4</v>
      </c>
      <c r="D850" s="4" t="str">
        <f aca="false">TEXT($A850,"ddd")</f>
        <v>Tue</v>
      </c>
      <c r="E850" s="4" t="n">
        <f aca="false">IF(OR(AND(MONTH($A850)=10,DAY($A850)&gt;=15),MONTH($A850)=11,AND(MONTH($A850)=12,DAY($A850)&lt;=7)),1,0)</f>
        <v>0</v>
      </c>
      <c r="F850" s="4" t="n">
        <f aca="false">IF(MONTH($A850)&lt;=3,1,0)</f>
        <v>0</v>
      </c>
      <c r="G850" s="4" t="str">
        <f aca="false" t="array" ref="G850:G850">_xlfn.TEXTJOIN(" | ",TRUE(),IF('FEMA Disasters'!$F$2:$F$1000=$A850,'FEMA Disasters'!$D$2:$D$1000&amp;" begin: ["&amp;'FEMA Disasters'!$B$2:$B$1000&amp;"] "&amp;'FEMA Disasters'!$C$2:$C$1000&amp;"-"&amp;'FEMA Disasters'!$A$2:$A$1000,""),IF('FEMA Disasters'!$G$2:$G$1000=$A850,'FEMA Disasters'!$D$2:$D$1000&amp;" ended: ["&amp;'FEMA Disasters'!$B$2:$B$1000&amp;"] "&amp;'FEMA Disasters'!$C$2:$C$1000&amp;"-"&amp;'FEMA Disasters'!$A$2:$A$1000,""),IF('FEMA Disasters'!$K$2:$K$1000=$A850,"Disaster SEP opens: "&amp;'FEMA Disasters'!$D$2:$D$1000&amp;" ["&amp;'FEMA Disasters'!$B$2:$B$1000&amp;"] "&amp;'FEMA Disasters'!$C$2:$C$1000&amp;"-"&amp;'FEMA Disasters'!$A$2:$A$1000,""),IF('FEMA Disasters'!$L$2:$L$1000=$A850,"Disaster SEP ended: "&amp;'FEMA Disasters'!$D$2:$D$1000&amp;" ["&amp;'FEMA Disasters'!$B$2:$B$1000&amp;"] "&amp;'FEMA Disasters'!$C$2:$C$1000&amp;"-"&amp;'FEMA Disasters'!$A$2:$A$1000,""))</f>
        <v>Severe Storm ended: [MO] DR-4924</v>
      </c>
      <c r="H850" s="4" t="n">
        <f aca="false">COUNTIF(Events!$A$2:$A$397,$A850)</f>
        <v>0</v>
      </c>
      <c r="I850" s="6" t="str">
        <f aca="false" t="array" ref="I850:I850">_xlfn.TEXTJOIN(" | ",TRUE(),IF(Events!$A$2:$A$397=$A850,Events!$E$2:$E$397&amp;IF(Events!$G$2:$G$397="National",""," ["&amp;Events!$G$2:$G$397&amp;"]"),""))</f>
        <v/>
      </c>
    </row>
    <row r="851" customFormat="false" ht="15" hidden="false" customHeight="true" outlineLevel="0" collapsed="false">
      <c r="A851" s="3" t="n">
        <v>46141</v>
      </c>
      <c r="B851" s="4" t="n">
        <f aca="false">YEAR($A851)</f>
        <v>2026</v>
      </c>
      <c r="C851" s="4" t="n">
        <f aca="false">MONTH($A851)</f>
        <v>4</v>
      </c>
      <c r="D851" s="4" t="str">
        <f aca="false">TEXT($A851,"ddd")</f>
        <v>Wed</v>
      </c>
      <c r="E851" s="4" t="n">
        <f aca="false">IF(OR(AND(MONTH($A851)=10,DAY($A851)&gt;=15),MONTH($A851)=11,AND(MONTH($A851)=12,DAY($A851)&lt;=7)),1,0)</f>
        <v>0</v>
      </c>
      <c r="F851" s="4" t="n">
        <f aca="false">IF(MONTH($A851)&lt;=3,1,0)</f>
        <v>0</v>
      </c>
      <c r="G851" s="4" t="str">
        <f aca="false" t="array" ref="G851:G851">_xlfn.TEXTJOIN(" | ",TRUE(),IF('FEMA Disasters'!$F$2:$F$1000=$A851,'FEMA Disasters'!$D$2:$D$1000&amp;" begin: ["&amp;'FEMA Disasters'!$B$2:$B$1000&amp;"] "&amp;'FEMA Disasters'!$C$2:$C$1000&amp;"-"&amp;'FEMA Disasters'!$A$2:$A$1000,""),IF('FEMA Disasters'!$G$2:$G$1000=$A851,'FEMA Disasters'!$D$2:$D$1000&amp;" ended: ["&amp;'FEMA Disasters'!$B$2:$B$1000&amp;"] "&amp;'FEMA Disasters'!$C$2:$C$1000&amp;"-"&amp;'FEMA Disasters'!$A$2:$A$1000,""),IF('FEMA Disasters'!$K$2:$K$1000=$A851,"Disaster SEP opens: "&amp;'FEMA Disasters'!$D$2:$D$1000&amp;" ["&amp;'FEMA Disasters'!$B$2:$B$1000&amp;"] "&amp;'FEMA Disasters'!$C$2:$C$1000&amp;"-"&amp;'FEMA Disasters'!$A$2:$A$1000,""),IF('FEMA Disasters'!$L$2:$L$1000=$A851,"Disaster SEP ended: "&amp;'FEMA Disasters'!$D$2:$D$1000&amp;" ["&amp;'FEMA Disasters'!$B$2:$B$1000&amp;"] "&amp;'FEMA Disasters'!$C$2:$C$1000&amp;"-"&amp;'FEMA Disasters'!$A$2:$A$1000,""))</f>
        <v/>
      </c>
      <c r="H851" s="4" t="n">
        <f aca="false">COUNTIF(Events!$A$2:$A$397,$A851)</f>
        <v>0</v>
      </c>
      <c r="I851" s="6" t="str">
        <f aca="false" t="array" ref="I851:I851">_xlfn.TEXTJOIN(" | ",TRUE(),IF(Events!$A$2:$A$397=$A851,Events!$E$2:$E$397&amp;IF(Events!$G$2:$G$397="National",""," ["&amp;Events!$G$2:$G$397&amp;"]"),""))</f>
        <v/>
      </c>
    </row>
    <row r="852" customFormat="false" ht="15" hidden="false" customHeight="true" outlineLevel="0" collapsed="false">
      <c r="A852" s="3" t="n">
        <v>46142</v>
      </c>
      <c r="B852" s="4" t="n">
        <f aca="false">YEAR($A852)</f>
        <v>2026</v>
      </c>
      <c r="C852" s="4" t="n">
        <f aca="false">MONTH($A852)</f>
        <v>4</v>
      </c>
      <c r="D852" s="4" t="str">
        <f aca="false">TEXT($A852,"ddd")</f>
        <v>Thu</v>
      </c>
      <c r="E852" s="4" t="n">
        <f aca="false">IF(OR(AND(MONTH($A852)=10,DAY($A852)&gt;=15),MONTH($A852)=11,AND(MONTH($A852)=12,DAY($A852)&lt;=7)),1,0)</f>
        <v>0</v>
      </c>
      <c r="F852" s="4" t="n">
        <f aca="false">IF(MONTH($A852)&lt;=3,1,0)</f>
        <v>0</v>
      </c>
      <c r="G852" s="4" t="str">
        <f aca="false" t="array" ref="G852:G852">_xlfn.TEXTJOIN(" | ",TRUE(),IF('FEMA Disasters'!$F$2:$F$1000=$A852,'FEMA Disasters'!$D$2:$D$1000&amp;" begin: ["&amp;'FEMA Disasters'!$B$2:$B$1000&amp;"] "&amp;'FEMA Disasters'!$C$2:$C$1000&amp;"-"&amp;'FEMA Disasters'!$A$2:$A$1000,""),IF('FEMA Disasters'!$G$2:$G$1000=$A852,'FEMA Disasters'!$D$2:$D$1000&amp;" ended: ["&amp;'FEMA Disasters'!$B$2:$B$1000&amp;"] "&amp;'FEMA Disasters'!$C$2:$C$1000&amp;"-"&amp;'FEMA Disasters'!$A$2:$A$1000,""),IF('FEMA Disasters'!$K$2:$K$1000=$A852,"Disaster SEP opens: "&amp;'FEMA Disasters'!$D$2:$D$1000&amp;" ["&amp;'FEMA Disasters'!$B$2:$B$1000&amp;"] "&amp;'FEMA Disasters'!$C$2:$C$1000&amp;"-"&amp;'FEMA Disasters'!$A$2:$A$1000,""),IF('FEMA Disasters'!$L$2:$L$1000=$A852,"Disaster SEP ended: "&amp;'FEMA Disasters'!$D$2:$D$1000&amp;" ["&amp;'FEMA Disasters'!$B$2:$B$1000&amp;"] "&amp;'FEMA Disasters'!$C$2:$C$1000&amp;"-"&amp;'FEMA Disasters'!$A$2:$A$1000,""))</f>
        <v>Disaster SEP opens: Fire [OK] FM-5616 | Disaster SEP opens: Fire [OK] FM-5617 | Disaster SEP opens: Fire [OK] FM-5618 | Disaster SEP opens: Fire [OK] FM-5620 | Disaster SEP opens: Fire [OK] FM-5621 | Disaster SEP opens: Winter Storm [DE] DR-4916 | Disaster SEP opens: Winter Storm [MA] DR-4919 | Disaster SEP ended: Flood [WA] DR-4906 | Disaster SEP ended: Winter Storm [AK] DR-4904 | Disaster SEP ended: Flood [WA] EM-3629 | Disaster SEP ended: Flood [MT] DR-4901 | Disaster SEP ended: Flood [MT] EM-3630 | Disaster SEP ended: Severe Storm [OR] DR-4907 | Disaster SEP ended: Straight-Line Winds [ID] DR-4905 | Disaster SEP ended: Straight-Line Winds [MT] DR-4902 | Disaster SEP ended: Straight-Line Winds [SD] DR-4903 | Disaster SEP ended: Winter Storm [MT] DR-4914 | Disaster SEP ended: Straight-Line Winds [MT] DR-4915 | Disaster SEP ended: Fire [OK] FM-5615</v>
      </c>
      <c r="H852" s="4" t="n">
        <f aca="false">COUNTIF(Events!$A$2:$A$397,$A852)</f>
        <v>0</v>
      </c>
      <c r="I852" s="6" t="str">
        <f aca="false" t="array" ref="I852:I852">_xlfn.TEXTJOIN(" | ",TRUE(),IF(Events!$A$2:$A$397=$A852,Events!$E$2:$E$397&amp;IF(Events!$G$2:$G$397="National",""," ["&amp;Events!$G$2:$G$397&amp;"]"),""))</f>
        <v/>
      </c>
    </row>
    <row r="853" customFormat="false" ht="15" hidden="false" customHeight="true" outlineLevel="0" collapsed="false">
      <c r="A853" s="3" t="n">
        <v>46143</v>
      </c>
      <c r="B853" s="4" t="n">
        <f aca="false">YEAR($A853)</f>
        <v>2026</v>
      </c>
      <c r="C853" s="4" t="n">
        <f aca="false">MONTH($A853)</f>
        <v>5</v>
      </c>
      <c r="D853" s="4" t="str">
        <f aca="false">TEXT($A853,"ddd")</f>
        <v>Fri</v>
      </c>
      <c r="E853" s="4" t="n">
        <f aca="false">IF(OR(AND(MONTH($A853)=10,DAY($A853)&gt;=15),MONTH($A853)=11,AND(MONTH($A853)=12,DAY($A853)&lt;=7)),1,0)</f>
        <v>0</v>
      </c>
      <c r="F853" s="4" t="n">
        <f aca="false">IF(MONTH($A853)&lt;=3,1,0)</f>
        <v>0</v>
      </c>
      <c r="G853" s="4" t="str">
        <f aca="false" t="array" ref="G853:G853">_xlfn.TEXTJOIN(" | ",TRUE(),IF('FEMA Disasters'!$F$2:$F$1000=$A853,'FEMA Disasters'!$D$2:$D$1000&amp;" begin: ["&amp;'FEMA Disasters'!$B$2:$B$1000&amp;"] "&amp;'FEMA Disasters'!$C$2:$C$1000&amp;"-"&amp;'FEMA Disasters'!$A$2:$A$1000,""),IF('FEMA Disasters'!$G$2:$G$1000=$A853,'FEMA Disasters'!$D$2:$D$1000&amp;" ended: ["&amp;'FEMA Disasters'!$B$2:$B$1000&amp;"] "&amp;'FEMA Disasters'!$C$2:$C$1000&amp;"-"&amp;'FEMA Disasters'!$A$2:$A$1000,""),IF('FEMA Disasters'!$K$2:$K$1000=$A853,"Disaster SEP opens: "&amp;'FEMA Disasters'!$D$2:$D$1000&amp;" ["&amp;'FEMA Disasters'!$B$2:$B$1000&amp;"] "&amp;'FEMA Disasters'!$C$2:$C$1000&amp;"-"&amp;'FEMA Disasters'!$A$2:$A$1000,""),IF('FEMA Disasters'!$L$2:$L$1000=$A853,"Disaster SEP ended: "&amp;'FEMA Disasters'!$D$2:$D$1000&amp;" ["&amp;'FEMA Disasters'!$B$2:$B$1000&amp;"] "&amp;'FEMA Disasters'!$C$2:$C$1000&amp;"-"&amp;'FEMA Disasters'!$A$2:$A$1000,""))</f>
        <v/>
      </c>
      <c r="H853" s="4" t="n">
        <f aca="false">COUNTIF(Events!$A$2:$A$397,$A853)</f>
        <v>0</v>
      </c>
      <c r="I853" s="6" t="str">
        <f aca="false" t="array" ref="I853:I853">_xlfn.TEXTJOIN(" | ",TRUE(),IF(Events!$A$2:$A$397=$A853,Events!$E$2:$E$397&amp;IF(Events!$G$2:$G$397="National",""," ["&amp;Events!$G$2:$G$397&amp;"]"),""))</f>
        <v/>
      </c>
    </row>
    <row r="854" customFormat="false" ht="15" hidden="false" customHeight="true" outlineLevel="0" collapsed="false">
      <c r="A854" s="3" t="n">
        <v>46144</v>
      </c>
      <c r="B854" s="4" t="n">
        <f aca="false">YEAR($A854)</f>
        <v>2026</v>
      </c>
      <c r="C854" s="4" t="n">
        <f aca="false">MONTH($A854)</f>
        <v>5</v>
      </c>
      <c r="D854" s="4" t="str">
        <f aca="false">TEXT($A854,"ddd")</f>
        <v>Sat</v>
      </c>
      <c r="E854" s="4" t="n">
        <f aca="false">IF(OR(AND(MONTH($A854)=10,DAY($A854)&gt;=15),MONTH($A854)=11,AND(MONTH($A854)=12,DAY($A854)&lt;=7)),1,0)</f>
        <v>0</v>
      </c>
      <c r="F854" s="4" t="n">
        <f aca="false">IF(MONTH($A854)&lt;=3,1,0)</f>
        <v>0</v>
      </c>
      <c r="G854" s="4" t="str">
        <f aca="false" t="array" ref="G854:G854">_xlfn.TEXTJOIN(" | ",TRUE(),IF('FEMA Disasters'!$F$2:$F$1000=$A854,'FEMA Disasters'!$D$2:$D$1000&amp;" begin: ["&amp;'FEMA Disasters'!$B$2:$B$1000&amp;"] "&amp;'FEMA Disasters'!$C$2:$C$1000&amp;"-"&amp;'FEMA Disasters'!$A$2:$A$1000,""),IF('FEMA Disasters'!$G$2:$G$1000=$A854,'FEMA Disasters'!$D$2:$D$1000&amp;" ended: ["&amp;'FEMA Disasters'!$B$2:$B$1000&amp;"] "&amp;'FEMA Disasters'!$C$2:$C$1000&amp;"-"&amp;'FEMA Disasters'!$A$2:$A$1000,""),IF('FEMA Disasters'!$K$2:$K$1000=$A854,"Disaster SEP opens: "&amp;'FEMA Disasters'!$D$2:$D$1000&amp;" ["&amp;'FEMA Disasters'!$B$2:$B$1000&amp;"] "&amp;'FEMA Disasters'!$C$2:$C$1000&amp;"-"&amp;'FEMA Disasters'!$A$2:$A$1000,""),IF('FEMA Disasters'!$L$2:$L$1000=$A854,"Disaster SEP ended: "&amp;'FEMA Disasters'!$D$2:$D$1000&amp;" ["&amp;'FEMA Disasters'!$B$2:$B$1000&amp;"] "&amp;'FEMA Disasters'!$C$2:$C$1000&amp;"-"&amp;'FEMA Disasters'!$A$2:$A$1000,""))</f>
        <v/>
      </c>
      <c r="H854" s="4" t="n">
        <f aca="false">COUNTIF(Events!$A$2:$A$397,$A854)</f>
        <v>0</v>
      </c>
      <c r="I854" s="6" t="str">
        <f aca="false" t="array" ref="I854:I854">_xlfn.TEXTJOIN(" | ",TRUE(),IF(Events!$A$2:$A$397=$A854,Events!$E$2:$E$397&amp;IF(Events!$G$2:$G$397="National",""," ["&amp;Events!$G$2:$G$397&amp;"]"),""))</f>
        <v/>
      </c>
    </row>
    <row r="855" customFormat="false" ht="15" hidden="false" customHeight="true" outlineLevel="0" collapsed="false">
      <c r="A855" s="3" t="n">
        <v>46145</v>
      </c>
      <c r="B855" s="4" t="n">
        <f aca="false">YEAR($A855)</f>
        <v>2026</v>
      </c>
      <c r="C855" s="4" t="n">
        <f aca="false">MONTH($A855)</f>
        <v>5</v>
      </c>
      <c r="D855" s="4" t="str">
        <f aca="false">TEXT($A855,"ddd")</f>
        <v>Sun</v>
      </c>
      <c r="E855" s="4" t="n">
        <f aca="false">IF(OR(AND(MONTH($A855)=10,DAY($A855)&gt;=15),MONTH($A855)=11,AND(MONTH($A855)=12,DAY($A855)&lt;=7)),1,0)</f>
        <v>0</v>
      </c>
      <c r="F855" s="4" t="n">
        <f aca="false">IF(MONTH($A855)&lt;=3,1,0)</f>
        <v>0</v>
      </c>
      <c r="G855" s="4" t="str">
        <f aca="false" t="array" ref="G855:G855">_xlfn.TEXTJOIN(" | ",TRUE(),IF('FEMA Disasters'!$F$2:$F$1000=$A855,'FEMA Disasters'!$D$2:$D$1000&amp;" begin: ["&amp;'FEMA Disasters'!$B$2:$B$1000&amp;"] "&amp;'FEMA Disasters'!$C$2:$C$1000&amp;"-"&amp;'FEMA Disasters'!$A$2:$A$1000,""),IF('FEMA Disasters'!$G$2:$G$1000=$A855,'FEMA Disasters'!$D$2:$D$1000&amp;" ended: ["&amp;'FEMA Disasters'!$B$2:$B$1000&amp;"] "&amp;'FEMA Disasters'!$C$2:$C$1000&amp;"-"&amp;'FEMA Disasters'!$A$2:$A$1000,""),IF('FEMA Disasters'!$K$2:$K$1000=$A855,"Disaster SEP opens: "&amp;'FEMA Disasters'!$D$2:$D$1000&amp;" ["&amp;'FEMA Disasters'!$B$2:$B$1000&amp;"] "&amp;'FEMA Disasters'!$C$2:$C$1000&amp;"-"&amp;'FEMA Disasters'!$A$2:$A$1000,""),IF('FEMA Disasters'!$L$2:$L$1000=$A855,"Disaster SEP ended: "&amp;'FEMA Disasters'!$D$2:$D$1000&amp;" ["&amp;'FEMA Disasters'!$B$2:$B$1000&amp;"] "&amp;'FEMA Disasters'!$C$2:$C$1000&amp;"-"&amp;'FEMA Disasters'!$A$2:$A$1000,""))</f>
        <v/>
      </c>
      <c r="H855" s="4" t="n">
        <f aca="false">COUNTIF(Events!$A$2:$A$397,$A855)</f>
        <v>0</v>
      </c>
      <c r="I855" s="6" t="str">
        <f aca="false" t="array" ref="I855:I855">_xlfn.TEXTJOIN(" | ",TRUE(),IF(Events!$A$2:$A$397=$A855,Events!$E$2:$E$397&amp;IF(Events!$G$2:$G$397="National",""," ["&amp;Events!$G$2:$G$397&amp;"]"),""))</f>
        <v/>
      </c>
    </row>
    <row r="856" customFormat="false" ht="15" hidden="false" customHeight="true" outlineLevel="0" collapsed="false">
      <c r="A856" s="3" t="n">
        <v>46146</v>
      </c>
      <c r="B856" s="4" t="n">
        <f aca="false">YEAR($A856)</f>
        <v>2026</v>
      </c>
      <c r="C856" s="4" t="n">
        <f aca="false">MONTH($A856)</f>
        <v>5</v>
      </c>
      <c r="D856" s="4" t="str">
        <f aca="false">TEXT($A856,"ddd")</f>
        <v>Mon</v>
      </c>
      <c r="E856" s="4" t="n">
        <f aca="false">IF(OR(AND(MONTH($A856)=10,DAY($A856)&gt;=15),MONTH($A856)=11,AND(MONTH($A856)=12,DAY($A856)&lt;=7)),1,0)</f>
        <v>0</v>
      </c>
      <c r="F856" s="4" t="n">
        <f aca="false">IF(MONTH($A856)&lt;=3,1,0)</f>
        <v>0</v>
      </c>
      <c r="G856" s="4" t="str">
        <f aca="false" t="array" ref="G856:G856">_xlfn.TEXTJOIN(" | ",TRUE(),IF('FEMA Disasters'!$F$2:$F$1000=$A856,'FEMA Disasters'!$D$2:$D$1000&amp;" begin: ["&amp;'FEMA Disasters'!$B$2:$B$1000&amp;"] "&amp;'FEMA Disasters'!$C$2:$C$1000&amp;"-"&amp;'FEMA Disasters'!$A$2:$A$1000,""),IF('FEMA Disasters'!$G$2:$G$1000=$A856,'FEMA Disasters'!$D$2:$D$1000&amp;" ended: ["&amp;'FEMA Disasters'!$B$2:$B$1000&amp;"] "&amp;'FEMA Disasters'!$C$2:$C$1000&amp;"-"&amp;'FEMA Disasters'!$A$2:$A$1000,""),IF('FEMA Disasters'!$K$2:$K$1000=$A856,"Disaster SEP opens: "&amp;'FEMA Disasters'!$D$2:$D$1000&amp;" ["&amp;'FEMA Disasters'!$B$2:$B$1000&amp;"] "&amp;'FEMA Disasters'!$C$2:$C$1000&amp;"-"&amp;'FEMA Disasters'!$A$2:$A$1000,""),IF('FEMA Disasters'!$L$2:$L$1000=$A856,"Disaster SEP ended: "&amp;'FEMA Disasters'!$D$2:$D$1000&amp;" ["&amp;'FEMA Disasters'!$B$2:$B$1000&amp;"] "&amp;'FEMA Disasters'!$C$2:$C$1000&amp;"-"&amp;'FEMA Disasters'!$A$2:$A$1000,""))</f>
        <v/>
      </c>
      <c r="H856" s="4" t="n">
        <f aca="false">COUNTIF(Events!$A$2:$A$397,$A856)</f>
        <v>0</v>
      </c>
      <c r="I856" s="6" t="str">
        <f aca="false" t="array" ref="I856:I856">_xlfn.TEXTJOIN(" | ",TRUE(),IF(Events!$A$2:$A$397=$A856,Events!$E$2:$E$397&amp;IF(Events!$G$2:$G$397="National",""," ["&amp;Events!$G$2:$G$397&amp;"]"),""))</f>
        <v/>
      </c>
    </row>
    <row r="857" customFormat="false" ht="15" hidden="false" customHeight="true" outlineLevel="0" collapsed="false">
      <c r="A857" s="3" t="n">
        <v>46147</v>
      </c>
      <c r="B857" s="4" t="n">
        <f aca="false">YEAR($A857)</f>
        <v>2026</v>
      </c>
      <c r="C857" s="4" t="n">
        <f aca="false">MONTH($A857)</f>
        <v>5</v>
      </c>
      <c r="D857" s="4" t="str">
        <f aca="false">TEXT($A857,"ddd")</f>
        <v>Tue</v>
      </c>
      <c r="E857" s="4" t="n">
        <f aca="false">IF(OR(AND(MONTH($A857)=10,DAY($A857)&gt;=15),MONTH($A857)=11,AND(MONTH($A857)=12,DAY($A857)&lt;=7)),1,0)</f>
        <v>0</v>
      </c>
      <c r="F857" s="4" t="n">
        <f aca="false">IF(MONTH($A857)&lt;=3,1,0)</f>
        <v>0</v>
      </c>
      <c r="G857" s="4" t="str">
        <f aca="false" t="array" ref="G857:G857">_xlfn.TEXTJOIN(" | ",TRUE(),IF('FEMA Disasters'!$F$2:$F$1000=$A857,'FEMA Disasters'!$D$2:$D$1000&amp;" begin: ["&amp;'FEMA Disasters'!$B$2:$B$1000&amp;"] "&amp;'FEMA Disasters'!$C$2:$C$1000&amp;"-"&amp;'FEMA Disasters'!$A$2:$A$1000,""),IF('FEMA Disasters'!$G$2:$G$1000=$A857,'FEMA Disasters'!$D$2:$D$1000&amp;" ended: ["&amp;'FEMA Disasters'!$B$2:$B$1000&amp;"] "&amp;'FEMA Disasters'!$C$2:$C$1000&amp;"-"&amp;'FEMA Disasters'!$A$2:$A$1000,""),IF('FEMA Disasters'!$K$2:$K$1000=$A857,"Disaster SEP opens: "&amp;'FEMA Disasters'!$D$2:$D$1000&amp;" ["&amp;'FEMA Disasters'!$B$2:$B$1000&amp;"] "&amp;'FEMA Disasters'!$C$2:$C$1000&amp;"-"&amp;'FEMA Disasters'!$A$2:$A$1000,""),IF('FEMA Disasters'!$L$2:$L$1000=$A857,"Disaster SEP ended: "&amp;'FEMA Disasters'!$D$2:$D$1000&amp;" ["&amp;'FEMA Disasters'!$B$2:$B$1000&amp;"] "&amp;'FEMA Disasters'!$C$2:$C$1000&amp;"-"&amp;'FEMA Disasters'!$A$2:$A$1000,""))</f>
        <v/>
      </c>
      <c r="H857" s="4" t="n">
        <f aca="false">COUNTIF(Events!$A$2:$A$397,$A857)</f>
        <v>0</v>
      </c>
      <c r="I857" s="6" t="str">
        <f aca="false" t="array" ref="I857:I857">_xlfn.TEXTJOIN(" | ",TRUE(),IF(Events!$A$2:$A$397=$A857,Events!$E$2:$E$397&amp;IF(Events!$G$2:$G$397="National",""," ["&amp;Events!$G$2:$G$397&amp;"]"),""))</f>
        <v/>
      </c>
    </row>
    <row r="858" customFormat="false" ht="15" hidden="false" customHeight="true" outlineLevel="0" collapsed="false">
      <c r="A858" s="3" t="n">
        <v>46148</v>
      </c>
      <c r="B858" s="4" t="n">
        <f aca="false">YEAR($A858)</f>
        <v>2026</v>
      </c>
      <c r="C858" s="4" t="n">
        <f aca="false">MONTH($A858)</f>
        <v>5</v>
      </c>
      <c r="D858" s="4" t="str">
        <f aca="false">TEXT($A858,"ddd")</f>
        <v>Wed</v>
      </c>
      <c r="E858" s="4" t="n">
        <f aca="false">IF(OR(AND(MONTH($A858)=10,DAY($A858)&gt;=15),MONTH($A858)=11,AND(MONTH($A858)=12,DAY($A858)&lt;=7)),1,0)</f>
        <v>0</v>
      </c>
      <c r="F858" s="4" t="n">
        <f aca="false">IF(MONTH($A858)&lt;=3,1,0)</f>
        <v>0</v>
      </c>
      <c r="G858" s="4" t="str">
        <f aca="false" t="array" ref="G858:G858">_xlfn.TEXTJOIN(" | ",TRUE(),IF('FEMA Disasters'!$F$2:$F$1000=$A858,'FEMA Disasters'!$D$2:$D$1000&amp;" begin: ["&amp;'FEMA Disasters'!$B$2:$B$1000&amp;"] "&amp;'FEMA Disasters'!$C$2:$C$1000&amp;"-"&amp;'FEMA Disasters'!$A$2:$A$1000,""),IF('FEMA Disasters'!$G$2:$G$1000=$A858,'FEMA Disasters'!$D$2:$D$1000&amp;" ended: ["&amp;'FEMA Disasters'!$B$2:$B$1000&amp;"] "&amp;'FEMA Disasters'!$C$2:$C$1000&amp;"-"&amp;'FEMA Disasters'!$A$2:$A$1000,""),IF('FEMA Disasters'!$K$2:$K$1000=$A858,"Disaster SEP opens: "&amp;'FEMA Disasters'!$D$2:$D$1000&amp;" ["&amp;'FEMA Disasters'!$B$2:$B$1000&amp;"] "&amp;'FEMA Disasters'!$C$2:$C$1000&amp;"-"&amp;'FEMA Disasters'!$A$2:$A$1000,""),IF('FEMA Disasters'!$L$2:$L$1000=$A858,"Disaster SEP ended: "&amp;'FEMA Disasters'!$D$2:$D$1000&amp;" ["&amp;'FEMA Disasters'!$B$2:$B$1000&amp;"] "&amp;'FEMA Disasters'!$C$2:$C$1000&amp;"-"&amp;'FEMA Disasters'!$A$2:$A$1000,""))</f>
        <v>Severe Storm begin: [MS] DR-4922</v>
      </c>
      <c r="H858" s="4" t="n">
        <f aca="false">COUNTIF(Events!$A$2:$A$397,$A858)</f>
        <v>0</v>
      </c>
      <c r="I858" s="6" t="str">
        <f aca="false" t="array" ref="I858:I858">_xlfn.TEXTJOIN(" | ",TRUE(),IF(Events!$A$2:$A$397=$A858,Events!$E$2:$E$397&amp;IF(Events!$G$2:$G$397="National",""," ["&amp;Events!$G$2:$G$397&amp;"]"),""))</f>
        <v/>
      </c>
    </row>
    <row r="859" customFormat="false" ht="15" hidden="false" customHeight="true" outlineLevel="0" collapsed="false">
      <c r="A859" s="3" t="n">
        <v>46149</v>
      </c>
      <c r="B859" s="4" t="n">
        <f aca="false">YEAR($A859)</f>
        <v>2026</v>
      </c>
      <c r="C859" s="4" t="n">
        <f aca="false">MONTH($A859)</f>
        <v>5</v>
      </c>
      <c r="D859" s="4" t="str">
        <f aca="false">TEXT($A859,"ddd")</f>
        <v>Thu</v>
      </c>
      <c r="E859" s="4" t="n">
        <f aca="false">IF(OR(AND(MONTH($A859)=10,DAY($A859)&gt;=15),MONTH($A859)=11,AND(MONTH($A859)=12,DAY($A859)&lt;=7)),1,0)</f>
        <v>0</v>
      </c>
      <c r="F859" s="4" t="n">
        <f aca="false">IF(MONTH($A859)&lt;=3,1,0)</f>
        <v>0</v>
      </c>
      <c r="G859" s="4" t="str">
        <f aca="false" t="array" ref="G859:G859">_xlfn.TEXTJOIN(" | ",TRUE(),IF('FEMA Disasters'!$F$2:$F$1000=$A859,'FEMA Disasters'!$D$2:$D$1000&amp;" begin: ["&amp;'FEMA Disasters'!$B$2:$B$1000&amp;"] "&amp;'FEMA Disasters'!$C$2:$C$1000&amp;"-"&amp;'FEMA Disasters'!$A$2:$A$1000,""),IF('FEMA Disasters'!$G$2:$G$1000=$A859,'FEMA Disasters'!$D$2:$D$1000&amp;" ended: ["&amp;'FEMA Disasters'!$B$2:$B$1000&amp;"] "&amp;'FEMA Disasters'!$C$2:$C$1000&amp;"-"&amp;'FEMA Disasters'!$A$2:$A$1000,""),IF('FEMA Disasters'!$K$2:$K$1000=$A859,"Disaster SEP opens: "&amp;'FEMA Disasters'!$D$2:$D$1000&amp;" ["&amp;'FEMA Disasters'!$B$2:$B$1000&amp;"] "&amp;'FEMA Disasters'!$C$2:$C$1000&amp;"-"&amp;'FEMA Disasters'!$A$2:$A$1000,""),IF('FEMA Disasters'!$L$2:$L$1000=$A859,"Disaster SEP ended: "&amp;'FEMA Disasters'!$D$2:$D$1000&amp;" ["&amp;'FEMA Disasters'!$B$2:$B$1000&amp;"] "&amp;'FEMA Disasters'!$C$2:$C$1000&amp;"-"&amp;'FEMA Disasters'!$A$2:$A$1000,""))</f>
        <v>Severe Storm ended: [MS] DR-4922</v>
      </c>
      <c r="H859" s="4" t="n">
        <f aca="false">COUNTIF(Events!$A$2:$A$397,$A859)</f>
        <v>0</v>
      </c>
      <c r="I859" s="6" t="str">
        <f aca="false" t="array" ref="I859:I859">_xlfn.TEXTJOIN(" | ",TRUE(),IF(Events!$A$2:$A$397=$A859,Events!$E$2:$E$397&amp;IF(Events!$G$2:$G$397="National",""," ["&amp;Events!$G$2:$G$397&amp;"]"),""))</f>
        <v/>
      </c>
    </row>
    <row r="860" customFormat="false" ht="15" hidden="false" customHeight="true" outlineLevel="0" collapsed="false">
      <c r="A860" s="3" t="n">
        <v>46150</v>
      </c>
      <c r="B860" s="4" t="n">
        <f aca="false">YEAR($A860)</f>
        <v>2026</v>
      </c>
      <c r="C860" s="4" t="n">
        <f aca="false">MONTH($A860)</f>
        <v>5</v>
      </c>
      <c r="D860" s="4" t="str">
        <f aca="false">TEXT($A860,"ddd")</f>
        <v>Fri</v>
      </c>
      <c r="E860" s="4" t="n">
        <f aca="false">IF(OR(AND(MONTH($A860)=10,DAY($A860)&gt;=15),MONTH($A860)=11,AND(MONTH($A860)=12,DAY($A860)&lt;=7)),1,0)</f>
        <v>0</v>
      </c>
      <c r="F860" s="4" t="n">
        <f aca="false">IF(MONTH($A860)&lt;=3,1,0)</f>
        <v>0</v>
      </c>
      <c r="G860" s="4" t="str">
        <f aca="false" t="array" ref="G860:G860">_xlfn.TEXTJOIN(" | ",TRUE(),IF('FEMA Disasters'!$F$2:$F$1000=$A860,'FEMA Disasters'!$D$2:$D$1000&amp;" begin: ["&amp;'FEMA Disasters'!$B$2:$B$1000&amp;"] "&amp;'FEMA Disasters'!$C$2:$C$1000&amp;"-"&amp;'FEMA Disasters'!$A$2:$A$1000,""),IF('FEMA Disasters'!$G$2:$G$1000=$A860,'FEMA Disasters'!$D$2:$D$1000&amp;" ended: ["&amp;'FEMA Disasters'!$B$2:$B$1000&amp;"] "&amp;'FEMA Disasters'!$C$2:$C$1000&amp;"-"&amp;'FEMA Disasters'!$A$2:$A$1000,""),IF('FEMA Disasters'!$K$2:$K$1000=$A860,"Disaster SEP opens: "&amp;'FEMA Disasters'!$D$2:$D$1000&amp;" ["&amp;'FEMA Disasters'!$B$2:$B$1000&amp;"] "&amp;'FEMA Disasters'!$C$2:$C$1000&amp;"-"&amp;'FEMA Disasters'!$A$2:$A$1000,""),IF('FEMA Disasters'!$L$2:$L$1000=$A860,"Disaster SEP ended: "&amp;'FEMA Disasters'!$D$2:$D$1000&amp;" ["&amp;'FEMA Disasters'!$B$2:$B$1000&amp;"] "&amp;'FEMA Disasters'!$C$2:$C$1000&amp;"-"&amp;'FEMA Disasters'!$A$2:$A$1000,""))</f>
        <v/>
      </c>
      <c r="H860" s="4" t="n">
        <f aca="false">COUNTIF(Events!$A$2:$A$397,$A860)</f>
        <v>0</v>
      </c>
      <c r="I860" s="6" t="str">
        <f aca="false" t="array" ref="I860:I860">_xlfn.TEXTJOIN(" | ",TRUE(),IF(Events!$A$2:$A$397=$A860,Events!$E$2:$E$397&amp;IF(Events!$G$2:$G$397="National",""," ["&amp;Events!$G$2:$G$397&amp;"]"),""))</f>
        <v/>
      </c>
    </row>
    <row r="861" customFormat="false" ht="15" hidden="false" customHeight="true" outlineLevel="0" collapsed="false">
      <c r="A861" s="3" t="n">
        <v>46151</v>
      </c>
      <c r="B861" s="4" t="n">
        <f aca="false">YEAR($A861)</f>
        <v>2026</v>
      </c>
      <c r="C861" s="4" t="n">
        <f aca="false">MONTH($A861)</f>
        <v>5</v>
      </c>
      <c r="D861" s="4" t="str">
        <f aca="false">TEXT($A861,"ddd")</f>
        <v>Sat</v>
      </c>
      <c r="E861" s="4" t="n">
        <f aca="false">IF(OR(AND(MONTH($A861)=10,DAY($A861)&gt;=15),MONTH($A861)=11,AND(MONTH($A861)=12,DAY($A861)&lt;=7)),1,0)</f>
        <v>0</v>
      </c>
      <c r="F861" s="4" t="n">
        <f aca="false">IF(MONTH($A861)&lt;=3,1,0)</f>
        <v>0</v>
      </c>
      <c r="G861" s="4" t="str">
        <f aca="false" t="array" ref="G861:G861">_xlfn.TEXTJOIN(" | ",TRUE(),IF('FEMA Disasters'!$F$2:$F$1000=$A861,'FEMA Disasters'!$D$2:$D$1000&amp;" begin: ["&amp;'FEMA Disasters'!$B$2:$B$1000&amp;"] "&amp;'FEMA Disasters'!$C$2:$C$1000&amp;"-"&amp;'FEMA Disasters'!$A$2:$A$1000,""),IF('FEMA Disasters'!$G$2:$G$1000=$A861,'FEMA Disasters'!$D$2:$D$1000&amp;" ended: ["&amp;'FEMA Disasters'!$B$2:$B$1000&amp;"] "&amp;'FEMA Disasters'!$C$2:$C$1000&amp;"-"&amp;'FEMA Disasters'!$A$2:$A$1000,""),IF('FEMA Disasters'!$K$2:$K$1000=$A861,"Disaster SEP opens: "&amp;'FEMA Disasters'!$D$2:$D$1000&amp;" ["&amp;'FEMA Disasters'!$B$2:$B$1000&amp;"] "&amp;'FEMA Disasters'!$C$2:$C$1000&amp;"-"&amp;'FEMA Disasters'!$A$2:$A$1000,""),IF('FEMA Disasters'!$L$2:$L$1000=$A861,"Disaster SEP ended: "&amp;'FEMA Disasters'!$D$2:$D$1000&amp;" ["&amp;'FEMA Disasters'!$B$2:$B$1000&amp;"] "&amp;'FEMA Disasters'!$C$2:$C$1000&amp;"-"&amp;'FEMA Disasters'!$A$2:$A$1000,""))</f>
        <v/>
      </c>
      <c r="H861" s="4" t="n">
        <f aca="false">COUNTIF(Events!$A$2:$A$397,$A861)</f>
        <v>0</v>
      </c>
      <c r="I861" s="6" t="str">
        <f aca="false" t="array" ref="I861:I861">_xlfn.TEXTJOIN(" | ",TRUE(),IF(Events!$A$2:$A$397=$A861,Events!$E$2:$E$397&amp;IF(Events!$G$2:$G$397="National",""," ["&amp;Events!$G$2:$G$397&amp;"]"),""))</f>
        <v/>
      </c>
    </row>
    <row r="862" customFormat="false" ht="15" hidden="false" customHeight="true" outlineLevel="0" collapsed="false">
      <c r="A862" s="3" t="n">
        <v>46152</v>
      </c>
      <c r="B862" s="4" t="n">
        <f aca="false">YEAR($A862)</f>
        <v>2026</v>
      </c>
      <c r="C862" s="4" t="n">
        <f aca="false">MONTH($A862)</f>
        <v>5</v>
      </c>
      <c r="D862" s="4" t="str">
        <f aca="false">TEXT($A862,"ddd")</f>
        <v>Sun</v>
      </c>
      <c r="E862" s="4" t="n">
        <f aca="false">IF(OR(AND(MONTH($A862)=10,DAY($A862)&gt;=15),MONTH($A862)=11,AND(MONTH($A862)=12,DAY($A862)&lt;=7)),1,0)</f>
        <v>0</v>
      </c>
      <c r="F862" s="4" t="n">
        <f aca="false">IF(MONTH($A862)&lt;=3,1,0)</f>
        <v>0</v>
      </c>
      <c r="G862" s="4" t="str">
        <f aca="false" t="array" ref="G862:G862">_xlfn.TEXTJOIN(" | ",TRUE(),IF('FEMA Disasters'!$F$2:$F$1000=$A862,'FEMA Disasters'!$D$2:$D$1000&amp;" begin: ["&amp;'FEMA Disasters'!$B$2:$B$1000&amp;"] "&amp;'FEMA Disasters'!$C$2:$C$1000&amp;"-"&amp;'FEMA Disasters'!$A$2:$A$1000,""),IF('FEMA Disasters'!$G$2:$G$1000=$A862,'FEMA Disasters'!$D$2:$D$1000&amp;" ended: ["&amp;'FEMA Disasters'!$B$2:$B$1000&amp;"] "&amp;'FEMA Disasters'!$C$2:$C$1000&amp;"-"&amp;'FEMA Disasters'!$A$2:$A$1000,""),IF('FEMA Disasters'!$K$2:$K$1000=$A862,"Disaster SEP opens: "&amp;'FEMA Disasters'!$D$2:$D$1000&amp;" ["&amp;'FEMA Disasters'!$B$2:$B$1000&amp;"] "&amp;'FEMA Disasters'!$C$2:$C$1000&amp;"-"&amp;'FEMA Disasters'!$A$2:$A$1000,""),IF('FEMA Disasters'!$L$2:$L$1000=$A862,"Disaster SEP ended: "&amp;'FEMA Disasters'!$D$2:$D$1000&amp;" ["&amp;'FEMA Disasters'!$B$2:$B$1000&amp;"] "&amp;'FEMA Disasters'!$C$2:$C$1000&amp;"-"&amp;'FEMA Disasters'!$A$2:$A$1000,""))</f>
        <v/>
      </c>
      <c r="H862" s="4" t="n">
        <f aca="false">COUNTIF(Events!$A$2:$A$397,$A862)</f>
        <v>0</v>
      </c>
      <c r="I862" s="6" t="str">
        <f aca="false" t="array" ref="I862:I862">_xlfn.TEXTJOIN(" | ",TRUE(),IF(Events!$A$2:$A$397=$A862,Events!$E$2:$E$397&amp;IF(Events!$G$2:$G$397="National",""," ["&amp;Events!$G$2:$G$397&amp;"]"),""))</f>
        <v/>
      </c>
    </row>
    <row r="863" customFormat="false" ht="15" hidden="false" customHeight="true" outlineLevel="0" collapsed="false">
      <c r="A863" s="3" t="n">
        <v>46153</v>
      </c>
      <c r="B863" s="4" t="n">
        <f aca="false">YEAR($A863)</f>
        <v>2026</v>
      </c>
      <c r="C863" s="4" t="n">
        <f aca="false">MONTH($A863)</f>
        <v>5</v>
      </c>
      <c r="D863" s="4" t="str">
        <f aca="false">TEXT($A863,"ddd")</f>
        <v>Mon</v>
      </c>
      <c r="E863" s="4" t="n">
        <f aca="false">IF(OR(AND(MONTH($A863)=10,DAY($A863)&gt;=15),MONTH($A863)=11,AND(MONTH($A863)=12,DAY($A863)&lt;=7)),1,0)</f>
        <v>0</v>
      </c>
      <c r="F863" s="4" t="n">
        <f aca="false">IF(MONTH($A863)&lt;=3,1,0)</f>
        <v>0</v>
      </c>
      <c r="G863" s="4" t="str">
        <f aca="false" t="array" ref="G863:G863">_xlfn.TEXTJOIN(" | ",TRUE(),IF('FEMA Disasters'!$F$2:$F$1000=$A863,'FEMA Disasters'!$D$2:$D$1000&amp;" begin: ["&amp;'FEMA Disasters'!$B$2:$B$1000&amp;"] "&amp;'FEMA Disasters'!$C$2:$C$1000&amp;"-"&amp;'FEMA Disasters'!$A$2:$A$1000,""),IF('FEMA Disasters'!$G$2:$G$1000=$A863,'FEMA Disasters'!$D$2:$D$1000&amp;" ended: ["&amp;'FEMA Disasters'!$B$2:$B$1000&amp;"] "&amp;'FEMA Disasters'!$C$2:$C$1000&amp;"-"&amp;'FEMA Disasters'!$A$2:$A$1000,""),IF('FEMA Disasters'!$K$2:$K$1000=$A863,"Disaster SEP opens: "&amp;'FEMA Disasters'!$D$2:$D$1000&amp;" ["&amp;'FEMA Disasters'!$B$2:$B$1000&amp;"] "&amp;'FEMA Disasters'!$C$2:$C$1000&amp;"-"&amp;'FEMA Disasters'!$A$2:$A$1000,""),IF('FEMA Disasters'!$L$2:$L$1000=$A863,"Disaster SEP ended: "&amp;'FEMA Disasters'!$D$2:$D$1000&amp;" ["&amp;'FEMA Disasters'!$B$2:$B$1000&amp;"] "&amp;'FEMA Disasters'!$C$2:$C$1000&amp;"-"&amp;'FEMA Disasters'!$A$2:$A$1000,""))</f>
        <v/>
      </c>
      <c r="H863" s="4" t="n">
        <f aca="false">COUNTIF(Events!$A$2:$A$397,$A863)</f>
        <v>0</v>
      </c>
      <c r="I863" s="6" t="str">
        <f aca="false" t="array" ref="I863:I863">_xlfn.TEXTJOIN(" | ",TRUE(),IF(Events!$A$2:$A$397=$A863,Events!$E$2:$E$397&amp;IF(Events!$G$2:$G$397="National",""," ["&amp;Events!$G$2:$G$397&amp;"]"),""))</f>
        <v/>
      </c>
    </row>
    <row r="864" customFormat="false" ht="15" hidden="false" customHeight="true" outlineLevel="0" collapsed="false">
      <c r="A864" s="3" t="n">
        <v>46154</v>
      </c>
      <c r="B864" s="4" t="n">
        <f aca="false">YEAR($A864)</f>
        <v>2026</v>
      </c>
      <c r="C864" s="4" t="n">
        <f aca="false">MONTH($A864)</f>
        <v>5</v>
      </c>
      <c r="D864" s="4" t="str">
        <f aca="false">TEXT($A864,"ddd")</f>
        <v>Tue</v>
      </c>
      <c r="E864" s="4" t="n">
        <f aca="false">IF(OR(AND(MONTH($A864)=10,DAY($A864)&gt;=15),MONTH($A864)=11,AND(MONTH($A864)=12,DAY($A864)&lt;=7)),1,0)</f>
        <v>0</v>
      </c>
      <c r="F864" s="4" t="n">
        <f aca="false">IF(MONTH($A864)&lt;=3,1,0)</f>
        <v>0</v>
      </c>
      <c r="G864" s="4" t="str">
        <f aca="false" t="array" ref="G864:G864">_xlfn.TEXTJOIN(" | ",TRUE(),IF('FEMA Disasters'!$F$2:$F$1000=$A864,'FEMA Disasters'!$D$2:$D$1000&amp;" begin: ["&amp;'FEMA Disasters'!$B$2:$B$1000&amp;"] "&amp;'FEMA Disasters'!$C$2:$C$1000&amp;"-"&amp;'FEMA Disasters'!$A$2:$A$1000,""),IF('FEMA Disasters'!$G$2:$G$1000=$A864,'FEMA Disasters'!$D$2:$D$1000&amp;" ended: ["&amp;'FEMA Disasters'!$B$2:$B$1000&amp;"] "&amp;'FEMA Disasters'!$C$2:$C$1000&amp;"-"&amp;'FEMA Disasters'!$A$2:$A$1000,""),IF('FEMA Disasters'!$K$2:$K$1000=$A864,"Disaster SEP opens: "&amp;'FEMA Disasters'!$D$2:$D$1000&amp;" ["&amp;'FEMA Disasters'!$B$2:$B$1000&amp;"] "&amp;'FEMA Disasters'!$C$2:$C$1000&amp;"-"&amp;'FEMA Disasters'!$A$2:$A$1000,""),IF('FEMA Disasters'!$L$2:$L$1000=$A864,"Disaster SEP ended: "&amp;'FEMA Disasters'!$D$2:$D$1000&amp;" ["&amp;'FEMA Disasters'!$B$2:$B$1000&amp;"] "&amp;'FEMA Disasters'!$C$2:$C$1000&amp;"-"&amp;'FEMA Disasters'!$A$2:$A$1000,""))</f>
        <v/>
      </c>
      <c r="H864" s="4" t="n">
        <f aca="false">COUNTIF(Events!$A$2:$A$397,$A864)</f>
        <v>0</v>
      </c>
      <c r="I864" s="6" t="str">
        <f aca="false" t="array" ref="I864:I864">_xlfn.TEXTJOIN(" | ",TRUE(),IF(Events!$A$2:$A$397=$A864,Events!$E$2:$E$397&amp;IF(Events!$G$2:$G$397="National",""," ["&amp;Events!$G$2:$G$397&amp;"]"),""))</f>
        <v/>
      </c>
    </row>
    <row r="865" customFormat="false" ht="15" hidden="false" customHeight="true" outlineLevel="0" collapsed="false">
      <c r="A865" s="3" t="n">
        <v>46155</v>
      </c>
      <c r="B865" s="4" t="n">
        <f aca="false">YEAR($A865)</f>
        <v>2026</v>
      </c>
      <c r="C865" s="4" t="n">
        <f aca="false">MONTH($A865)</f>
        <v>5</v>
      </c>
      <c r="D865" s="4" t="str">
        <f aca="false">TEXT($A865,"ddd")</f>
        <v>Wed</v>
      </c>
      <c r="E865" s="4" t="n">
        <f aca="false">IF(OR(AND(MONTH($A865)=10,DAY($A865)&gt;=15),MONTH($A865)=11,AND(MONTH($A865)=12,DAY($A865)&lt;=7)),1,0)</f>
        <v>0</v>
      </c>
      <c r="F865" s="4" t="n">
        <f aca="false">IF(MONTH($A865)&lt;=3,1,0)</f>
        <v>0</v>
      </c>
      <c r="G865" s="4" t="str">
        <f aca="false" t="array" ref="G865:G865">_xlfn.TEXTJOIN(" | ",TRUE(),IF('FEMA Disasters'!$F$2:$F$1000=$A865,'FEMA Disasters'!$D$2:$D$1000&amp;" begin: ["&amp;'FEMA Disasters'!$B$2:$B$1000&amp;"] "&amp;'FEMA Disasters'!$C$2:$C$1000&amp;"-"&amp;'FEMA Disasters'!$A$2:$A$1000,""),IF('FEMA Disasters'!$G$2:$G$1000=$A865,'FEMA Disasters'!$D$2:$D$1000&amp;" ended: ["&amp;'FEMA Disasters'!$B$2:$B$1000&amp;"] "&amp;'FEMA Disasters'!$C$2:$C$1000&amp;"-"&amp;'FEMA Disasters'!$A$2:$A$1000,""),IF('FEMA Disasters'!$K$2:$K$1000=$A865,"Disaster SEP opens: "&amp;'FEMA Disasters'!$D$2:$D$1000&amp;" ["&amp;'FEMA Disasters'!$B$2:$B$1000&amp;"] "&amp;'FEMA Disasters'!$C$2:$C$1000&amp;"-"&amp;'FEMA Disasters'!$A$2:$A$1000,""),IF('FEMA Disasters'!$L$2:$L$1000=$A865,"Disaster SEP ended: "&amp;'FEMA Disasters'!$D$2:$D$1000&amp;" ["&amp;'FEMA Disasters'!$B$2:$B$1000&amp;"] "&amp;'FEMA Disasters'!$C$2:$C$1000&amp;"-"&amp;'FEMA Disasters'!$A$2:$A$1000,""))</f>
        <v/>
      </c>
      <c r="H865" s="4" t="n">
        <f aca="false">COUNTIF(Events!$A$2:$A$397,$A865)</f>
        <v>0</v>
      </c>
      <c r="I865" s="6" t="str">
        <f aca="false" t="array" ref="I865:I865">_xlfn.TEXTJOIN(" | ",TRUE(),IF(Events!$A$2:$A$397=$A865,Events!$E$2:$E$397&amp;IF(Events!$G$2:$G$397="National",""," ["&amp;Events!$G$2:$G$397&amp;"]"),""))</f>
        <v/>
      </c>
    </row>
    <row r="866" customFormat="false" ht="15" hidden="false" customHeight="true" outlineLevel="0" collapsed="false">
      <c r="A866" s="3" t="n">
        <v>46156</v>
      </c>
      <c r="B866" s="4" t="n">
        <f aca="false">YEAR($A866)</f>
        <v>2026</v>
      </c>
      <c r="C866" s="4" t="n">
        <f aca="false">MONTH($A866)</f>
        <v>5</v>
      </c>
      <c r="D866" s="4" t="str">
        <f aca="false">TEXT($A866,"ddd")</f>
        <v>Thu</v>
      </c>
      <c r="E866" s="4" t="n">
        <f aca="false">IF(OR(AND(MONTH($A866)=10,DAY($A866)&gt;=15),MONTH($A866)=11,AND(MONTH($A866)=12,DAY($A866)&lt;=7)),1,0)</f>
        <v>0</v>
      </c>
      <c r="F866" s="4" t="n">
        <f aca="false">IF(MONTH($A866)&lt;=3,1,0)</f>
        <v>0</v>
      </c>
      <c r="G866" s="4" t="str">
        <f aca="false" t="array" ref="G866:G866">_xlfn.TEXTJOIN(" | ",TRUE(),IF('FEMA Disasters'!$F$2:$F$1000=$A866,'FEMA Disasters'!$D$2:$D$1000&amp;" begin: ["&amp;'FEMA Disasters'!$B$2:$B$1000&amp;"] "&amp;'FEMA Disasters'!$C$2:$C$1000&amp;"-"&amp;'FEMA Disasters'!$A$2:$A$1000,""),IF('FEMA Disasters'!$G$2:$G$1000=$A866,'FEMA Disasters'!$D$2:$D$1000&amp;" ended: ["&amp;'FEMA Disasters'!$B$2:$B$1000&amp;"] "&amp;'FEMA Disasters'!$C$2:$C$1000&amp;"-"&amp;'FEMA Disasters'!$A$2:$A$1000,""),IF('FEMA Disasters'!$K$2:$K$1000=$A866,"Disaster SEP opens: "&amp;'FEMA Disasters'!$D$2:$D$1000&amp;" ["&amp;'FEMA Disasters'!$B$2:$B$1000&amp;"] "&amp;'FEMA Disasters'!$C$2:$C$1000&amp;"-"&amp;'FEMA Disasters'!$A$2:$A$1000,""),IF('FEMA Disasters'!$L$2:$L$1000=$A866,"Disaster SEP ended: "&amp;'FEMA Disasters'!$D$2:$D$1000&amp;" ["&amp;'FEMA Disasters'!$B$2:$B$1000&amp;"] "&amp;'FEMA Disasters'!$C$2:$C$1000&amp;"-"&amp;'FEMA Disasters'!$A$2:$A$1000,""))</f>
        <v>Fire begin: [TX] FM-5633</v>
      </c>
      <c r="H866" s="4" t="n">
        <f aca="false">COUNTIF(Events!$A$2:$A$397,$A866)</f>
        <v>0</v>
      </c>
      <c r="I866" s="6" t="str">
        <f aca="false" t="array" ref="I866:I866">_xlfn.TEXTJOIN(" | ",TRUE(),IF(Events!$A$2:$A$397=$A866,Events!$E$2:$E$397&amp;IF(Events!$G$2:$G$397="National",""," ["&amp;Events!$G$2:$G$397&amp;"]"),""))</f>
        <v/>
      </c>
    </row>
    <row r="867" customFormat="false" ht="15" hidden="false" customHeight="true" outlineLevel="0" collapsed="false">
      <c r="A867" s="3" t="n">
        <v>46157</v>
      </c>
      <c r="B867" s="4" t="n">
        <f aca="false">YEAR($A867)</f>
        <v>2026</v>
      </c>
      <c r="C867" s="4" t="n">
        <f aca="false">MONTH($A867)</f>
        <v>5</v>
      </c>
      <c r="D867" s="4" t="str">
        <f aca="false">TEXT($A867,"ddd")</f>
        <v>Fri</v>
      </c>
      <c r="E867" s="4" t="n">
        <f aca="false">IF(OR(AND(MONTH($A867)=10,DAY($A867)&gt;=15),MONTH($A867)=11,AND(MONTH($A867)=12,DAY($A867)&lt;=7)),1,0)</f>
        <v>0</v>
      </c>
      <c r="F867" s="4" t="n">
        <f aca="false">IF(MONTH($A867)&lt;=3,1,0)</f>
        <v>0</v>
      </c>
      <c r="G867" s="4" t="str">
        <f aca="false" t="array" ref="G867:G867">_xlfn.TEXTJOIN(" | ",TRUE(),IF('FEMA Disasters'!$F$2:$F$1000=$A867,'FEMA Disasters'!$D$2:$D$1000&amp;" begin: ["&amp;'FEMA Disasters'!$B$2:$B$1000&amp;"] "&amp;'FEMA Disasters'!$C$2:$C$1000&amp;"-"&amp;'FEMA Disasters'!$A$2:$A$1000,""),IF('FEMA Disasters'!$G$2:$G$1000=$A867,'FEMA Disasters'!$D$2:$D$1000&amp;" ended: ["&amp;'FEMA Disasters'!$B$2:$B$1000&amp;"] "&amp;'FEMA Disasters'!$C$2:$C$1000&amp;"-"&amp;'FEMA Disasters'!$A$2:$A$1000,""),IF('FEMA Disasters'!$K$2:$K$1000=$A867,"Disaster SEP opens: "&amp;'FEMA Disasters'!$D$2:$D$1000&amp;" ["&amp;'FEMA Disasters'!$B$2:$B$1000&amp;"] "&amp;'FEMA Disasters'!$C$2:$C$1000&amp;"-"&amp;'FEMA Disasters'!$A$2:$A$1000,""),IF('FEMA Disasters'!$L$2:$L$1000=$A867,"Disaster SEP ended: "&amp;'FEMA Disasters'!$D$2:$D$1000&amp;" ["&amp;'FEMA Disasters'!$B$2:$B$1000&amp;"] "&amp;'FEMA Disasters'!$C$2:$C$1000&amp;"-"&amp;'FEMA Disasters'!$A$2:$A$1000,""))</f>
        <v/>
      </c>
      <c r="H867" s="4" t="n">
        <f aca="false">COUNTIF(Events!$A$2:$A$397,$A867)</f>
        <v>0</v>
      </c>
      <c r="I867" s="6" t="str">
        <f aca="false" t="array" ref="I867:I867">_xlfn.TEXTJOIN(" | ",TRUE(),IF(Events!$A$2:$A$397=$A867,Events!$E$2:$E$397&amp;IF(Events!$G$2:$G$397="National",""," ["&amp;Events!$G$2:$G$397&amp;"]"),""))</f>
        <v/>
      </c>
    </row>
    <row r="868" customFormat="false" ht="15" hidden="false" customHeight="true" outlineLevel="0" collapsed="false">
      <c r="A868" s="3" t="n">
        <v>46158</v>
      </c>
      <c r="B868" s="4" t="n">
        <f aca="false">YEAR($A868)</f>
        <v>2026</v>
      </c>
      <c r="C868" s="4" t="n">
        <f aca="false">MONTH($A868)</f>
        <v>5</v>
      </c>
      <c r="D868" s="4" t="str">
        <f aca="false">TEXT($A868,"ddd")</f>
        <v>Sat</v>
      </c>
      <c r="E868" s="4" t="n">
        <f aca="false">IF(OR(AND(MONTH($A868)=10,DAY($A868)&gt;=15),MONTH($A868)=11,AND(MONTH($A868)=12,DAY($A868)&lt;=7)),1,0)</f>
        <v>0</v>
      </c>
      <c r="F868" s="4" t="n">
        <f aca="false">IF(MONTH($A868)&lt;=3,1,0)</f>
        <v>0</v>
      </c>
      <c r="G868" s="4" t="str">
        <f aca="false" t="array" ref="G868:G868">_xlfn.TEXTJOIN(" | ",TRUE(),IF('FEMA Disasters'!$F$2:$F$1000=$A868,'FEMA Disasters'!$D$2:$D$1000&amp;" begin: ["&amp;'FEMA Disasters'!$B$2:$B$1000&amp;"] "&amp;'FEMA Disasters'!$C$2:$C$1000&amp;"-"&amp;'FEMA Disasters'!$A$2:$A$1000,""),IF('FEMA Disasters'!$G$2:$G$1000=$A868,'FEMA Disasters'!$D$2:$D$1000&amp;" ended: ["&amp;'FEMA Disasters'!$B$2:$B$1000&amp;"] "&amp;'FEMA Disasters'!$C$2:$C$1000&amp;"-"&amp;'FEMA Disasters'!$A$2:$A$1000,""),IF('FEMA Disasters'!$K$2:$K$1000=$A868,"Disaster SEP opens: "&amp;'FEMA Disasters'!$D$2:$D$1000&amp;" ["&amp;'FEMA Disasters'!$B$2:$B$1000&amp;"] "&amp;'FEMA Disasters'!$C$2:$C$1000&amp;"-"&amp;'FEMA Disasters'!$A$2:$A$1000,""),IF('FEMA Disasters'!$L$2:$L$1000=$A868,"Disaster SEP ended: "&amp;'FEMA Disasters'!$D$2:$D$1000&amp;" ["&amp;'FEMA Disasters'!$B$2:$B$1000&amp;"] "&amp;'FEMA Disasters'!$C$2:$C$1000&amp;"-"&amp;'FEMA Disasters'!$A$2:$A$1000,""))</f>
        <v/>
      </c>
      <c r="H868" s="4" t="n">
        <f aca="false">COUNTIF(Events!$A$2:$A$397,$A868)</f>
        <v>0</v>
      </c>
      <c r="I868" s="6" t="str">
        <f aca="false" t="array" ref="I868:I868">_xlfn.TEXTJOIN(" | ",TRUE(),IF(Events!$A$2:$A$397=$A868,Events!$E$2:$E$397&amp;IF(Events!$G$2:$G$397="National",""," ["&amp;Events!$G$2:$G$397&amp;"]"),""))</f>
        <v/>
      </c>
    </row>
    <row r="869" customFormat="false" ht="15" hidden="false" customHeight="true" outlineLevel="0" collapsed="false">
      <c r="A869" s="3" t="n">
        <v>46159</v>
      </c>
      <c r="B869" s="4" t="n">
        <f aca="false">YEAR($A869)</f>
        <v>2026</v>
      </c>
      <c r="C869" s="4" t="n">
        <f aca="false">MONTH($A869)</f>
        <v>5</v>
      </c>
      <c r="D869" s="4" t="str">
        <f aca="false">TEXT($A869,"ddd")</f>
        <v>Sun</v>
      </c>
      <c r="E869" s="4" t="n">
        <f aca="false">IF(OR(AND(MONTH($A869)=10,DAY($A869)&gt;=15),MONTH($A869)=11,AND(MONTH($A869)=12,DAY($A869)&lt;=7)),1,0)</f>
        <v>0</v>
      </c>
      <c r="F869" s="4" t="n">
        <f aca="false">IF(MONTH($A869)&lt;=3,1,0)</f>
        <v>0</v>
      </c>
      <c r="G869" s="4" t="str">
        <f aca="false" t="array" ref="G869:G869">_xlfn.TEXTJOIN(" | ",TRUE(),IF('FEMA Disasters'!$F$2:$F$1000=$A869,'FEMA Disasters'!$D$2:$D$1000&amp;" begin: ["&amp;'FEMA Disasters'!$B$2:$B$1000&amp;"] "&amp;'FEMA Disasters'!$C$2:$C$1000&amp;"-"&amp;'FEMA Disasters'!$A$2:$A$1000,""),IF('FEMA Disasters'!$G$2:$G$1000=$A869,'FEMA Disasters'!$D$2:$D$1000&amp;" ended: ["&amp;'FEMA Disasters'!$B$2:$B$1000&amp;"] "&amp;'FEMA Disasters'!$C$2:$C$1000&amp;"-"&amp;'FEMA Disasters'!$A$2:$A$1000,""),IF('FEMA Disasters'!$K$2:$K$1000=$A869,"Disaster SEP opens: "&amp;'FEMA Disasters'!$D$2:$D$1000&amp;" ["&amp;'FEMA Disasters'!$B$2:$B$1000&amp;"] "&amp;'FEMA Disasters'!$C$2:$C$1000&amp;"-"&amp;'FEMA Disasters'!$A$2:$A$1000,""),IF('FEMA Disasters'!$L$2:$L$1000=$A869,"Disaster SEP ended: "&amp;'FEMA Disasters'!$D$2:$D$1000&amp;" ["&amp;'FEMA Disasters'!$B$2:$B$1000&amp;"] "&amp;'FEMA Disasters'!$C$2:$C$1000&amp;"-"&amp;'FEMA Disasters'!$A$2:$A$1000,""))</f>
        <v/>
      </c>
      <c r="H869" s="4" t="n">
        <f aca="false">COUNTIF(Events!$A$2:$A$397,$A869)</f>
        <v>0</v>
      </c>
      <c r="I869" s="6" t="str">
        <f aca="false" t="array" ref="I869:I869">_xlfn.TEXTJOIN(" | ",TRUE(),IF(Events!$A$2:$A$397=$A869,Events!$E$2:$E$397&amp;IF(Events!$G$2:$G$397="National",""," ["&amp;Events!$G$2:$G$397&amp;"]"),""))</f>
        <v/>
      </c>
    </row>
    <row r="870" customFormat="false" ht="15" hidden="false" customHeight="true" outlineLevel="0" collapsed="false">
      <c r="A870" s="3" t="n">
        <v>46160</v>
      </c>
      <c r="B870" s="4" t="n">
        <f aca="false">YEAR($A870)</f>
        <v>2026</v>
      </c>
      <c r="C870" s="4" t="n">
        <f aca="false">MONTH($A870)</f>
        <v>5</v>
      </c>
      <c r="D870" s="4" t="str">
        <f aca="false">TEXT($A870,"ddd")</f>
        <v>Mon</v>
      </c>
      <c r="E870" s="4" t="n">
        <f aca="false">IF(OR(AND(MONTH($A870)=10,DAY($A870)&gt;=15),MONTH($A870)=11,AND(MONTH($A870)=12,DAY($A870)&lt;=7)),1,0)</f>
        <v>0</v>
      </c>
      <c r="F870" s="4" t="n">
        <f aca="false">IF(MONTH($A870)&lt;=3,1,0)</f>
        <v>0</v>
      </c>
      <c r="G870" s="4" t="str">
        <f aca="false" t="array" ref="G870:G870">_xlfn.TEXTJOIN(" | ",TRUE(),IF('FEMA Disasters'!$F$2:$F$1000=$A870,'FEMA Disasters'!$D$2:$D$1000&amp;" begin: ["&amp;'FEMA Disasters'!$B$2:$B$1000&amp;"] "&amp;'FEMA Disasters'!$C$2:$C$1000&amp;"-"&amp;'FEMA Disasters'!$A$2:$A$1000,""),IF('FEMA Disasters'!$G$2:$G$1000=$A870,'FEMA Disasters'!$D$2:$D$1000&amp;" ended: ["&amp;'FEMA Disasters'!$B$2:$B$1000&amp;"] "&amp;'FEMA Disasters'!$C$2:$C$1000&amp;"-"&amp;'FEMA Disasters'!$A$2:$A$1000,""),IF('FEMA Disasters'!$K$2:$K$1000=$A870,"Disaster SEP opens: "&amp;'FEMA Disasters'!$D$2:$D$1000&amp;" ["&amp;'FEMA Disasters'!$B$2:$B$1000&amp;"] "&amp;'FEMA Disasters'!$C$2:$C$1000&amp;"-"&amp;'FEMA Disasters'!$A$2:$A$1000,""),IF('FEMA Disasters'!$L$2:$L$1000=$A870,"Disaster SEP ended: "&amp;'FEMA Disasters'!$D$2:$D$1000&amp;" ["&amp;'FEMA Disasters'!$B$2:$B$1000&amp;"] "&amp;'FEMA Disasters'!$C$2:$C$1000&amp;"-"&amp;'FEMA Disasters'!$A$2:$A$1000,""))</f>
        <v>Fire begin: [TX] FM-5634 | Fire begin: [CA] FM-5635</v>
      </c>
      <c r="H870" s="4" t="n">
        <f aca="false">COUNTIF(Events!$A$2:$A$397,$A870)</f>
        <v>0</v>
      </c>
      <c r="I870" s="6" t="str">
        <f aca="false" t="array" ref="I870:I870">_xlfn.TEXTJOIN(" | ",TRUE(),IF(Events!$A$2:$A$397=$A870,Events!$E$2:$E$397&amp;IF(Events!$G$2:$G$397="National",""," ["&amp;Events!$G$2:$G$397&amp;"]"),""))</f>
        <v/>
      </c>
    </row>
    <row r="871" customFormat="false" ht="15" hidden="false" customHeight="true" outlineLevel="0" collapsed="false">
      <c r="A871" s="3" t="n">
        <v>46161</v>
      </c>
      <c r="B871" s="4" t="n">
        <f aca="false">YEAR($A871)</f>
        <v>2026</v>
      </c>
      <c r="C871" s="4" t="n">
        <f aca="false">MONTH($A871)</f>
        <v>5</v>
      </c>
      <c r="D871" s="4" t="str">
        <f aca="false">TEXT($A871,"ddd")</f>
        <v>Tue</v>
      </c>
      <c r="E871" s="4" t="n">
        <f aca="false">IF(OR(AND(MONTH($A871)=10,DAY($A871)&gt;=15),MONTH($A871)=11,AND(MONTH($A871)=12,DAY($A871)&lt;=7)),1,0)</f>
        <v>0</v>
      </c>
      <c r="F871" s="4" t="n">
        <f aca="false">IF(MONTH($A871)&lt;=3,1,0)</f>
        <v>0</v>
      </c>
      <c r="G871" s="4" t="str">
        <f aca="false" t="array" ref="G871:G871">_xlfn.TEXTJOIN(" | ",TRUE(),IF('FEMA Disasters'!$F$2:$F$1000=$A871,'FEMA Disasters'!$D$2:$D$1000&amp;" begin: ["&amp;'FEMA Disasters'!$B$2:$B$1000&amp;"] "&amp;'FEMA Disasters'!$C$2:$C$1000&amp;"-"&amp;'FEMA Disasters'!$A$2:$A$1000,""),IF('FEMA Disasters'!$G$2:$G$1000=$A871,'FEMA Disasters'!$D$2:$D$1000&amp;" ended: ["&amp;'FEMA Disasters'!$B$2:$B$1000&amp;"] "&amp;'FEMA Disasters'!$C$2:$C$1000&amp;"-"&amp;'FEMA Disasters'!$A$2:$A$1000,""),IF('FEMA Disasters'!$K$2:$K$1000=$A871,"Disaster SEP opens: "&amp;'FEMA Disasters'!$D$2:$D$1000&amp;" ["&amp;'FEMA Disasters'!$B$2:$B$1000&amp;"] "&amp;'FEMA Disasters'!$C$2:$C$1000&amp;"-"&amp;'FEMA Disasters'!$A$2:$A$1000,""),IF('FEMA Disasters'!$L$2:$L$1000=$A871,"Disaster SEP ended: "&amp;'FEMA Disasters'!$D$2:$D$1000&amp;" ["&amp;'FEMA Disasters'!$B$2:$B$1000&amp;"] "&amp;'FEMA Disasters'!$C$2:$C$1000&amp;"-"&amp;'FEMA Disasters'!$A$2:$A$1000,""))</f>
        <v>Fire begin: [CA] FM-5636 | Fire ended: [TX] FM-5633</v>
      </c>
      <c r="H871" s="4" t="n">
        <f aca="false">COUNTIF(Events!$A$2:$A$397,$A871)</f>
        <v>0</v>
      </c>
      <c r="I871" s="6" t="str">
        <f aca="false" t="array" ref="I871:I871">_xlfn.TEXTJOIN(" | ",TRUE(),IF(Events!$A$2:$A$397=$A871,Events!$E$2:$E$397&amp;IF(Events!$G$2:$G$397="National",""," ["&amp;Events!$G$2:$G$397&amp;"]"),""))</f>
        <v/>
      </c>
    </row>
    <row r="872" customFormat="false" ht="15" hidden="false" customHeight="true" outlineLevel="0" collapsed="false">
      <c r="A872" s="3" t="n">
        <v>46162</v>
      </c>
      <c r="B872" s="4" t="n">
        <f aca="false">YEAR($A872)</f>
        <v>2026</v>
      </c>
      <c r="C872" s="4" t="n">
        <f aca="false">MONTH($A872)</f>
        <v>5</v>
      </c>
      <c r="D872" s="4" t="str">
        <f aca="false">TEXT($A872,"ddd")</f>
        <v>Wed</v>
      </c>
      <c r="E872" s="4" t="n">
        <f aca="false">IF(OR(AND(MONTH($A872)=10,DAY($A872)&gt;=15),MONTH($A872)=11,AND(MONTH($A872)=12,DAY($A872)&lt;=7)),1,0)</f>
        <v>0</v>
      </c>
      <c r="F872" s="4" t="n">
        <f aca="false">IF(MONTH($A872)&lt;=3,1,0)</f>
        <v>0</v>
      </c>
      <c r="G872" s="4" t="str">
        <f aca="false" t="array" ref="G872:G872">_xlfn.TEXTJOIN(" | ",TRUE(),IF('FEMA Disasters'!$F$2:$F$1000=$A872,'FEMA Disasters'!$D$2:$D$1000&amp;" begin: ["&amp;'FEMA Disasters'!$B$2:$B$1000&amp;"] "&amp;'FEMA Disasters'!$C$2:$C$1000&amp;"-"&amp;'FEMA Disasters'!$A$2:$A$1000,""),IF('FEMA Disasters'!$G$2:$G$1000=$A872,'FEMA Disasters'!$D$2:$D$1000&amp;" ended: ["&amp;'FEMA Disasters'!$B$2:$B$1000&amp;"] "&amp;'FEMA Disasters'!$C$2:$C$1000&amp;"-"&amp;'FEMA Disasters'!$A$2:$A$1000,""),IF('FEMA Disasters'!$K$2:$K$1000=$A872,"Disaster SEP opens: "&amp;'FEMA Disasters'!$D$2:$D$1000&amp;" ["&amp;'FEMA Disasters'!$B$2:$B$1000&amp;"] "&amp;'FEMA Disasters'!$C$2:$C$1000&amp;"-"&amp;'FEMA Disasters'!$A$2:$A$1000,""),IF('FEMA Disasters'!$L$2:$L$1000=$A872,"Disaster SEP ended: "&amp;'FEMA Disasters'!$D$2:$D$1000&amp;" ["&amp;'FEMA Disasters'!$B$2:$B$1000&amp;"] "&amp;'FEMA Disasters'!$C$2:$C$1000&amp;"-"&amp;'FEMA Disasters'!$A$2:$A$1000,""))</f>
        <v/>
      </c>
      <c r="H872" s="4" t="n">
        <f aca="false">COUNTIF(Events!$A$2:$A$397,$A872)</f>
        <v>0</v>
      </c>
      <c r="I872" s="6" t="str">
        <f aca="false" t="array" ref="I872:I872">_xlfn.TEXTJOIN(" | ",TRUE(),IF(Events!$A$2:$A$397=$A872,Events!$E$2:$E$397&amp;IF(Events!$G$2:$G$397="National",""," ["&amp;Events!$G$2:$G$397&amp;"]"),""))</f>
        <v/>
      </c>
    </row>
    <row r="873" customFormat="false" ht="15" hidden="false" customHeight="true" outlineLevel="0" collapsed="false">
      <c r="A873" s="3" t="n">
        <v>46163</v>
      </c>
      <c r="B873" s="4" t="n">
        <f aca="false">YEAR($A873)</f>
        <v>2026</v>
      </c>
      <c r="C873" s="4" t="n">
        <f aca="false">MONTH($A873)</f>
        <v>5</v>
      </c>
      <c r="D873" s="4" t="str">
        <f aca="false">TEXT($A873,"ddd")</f>
        <v>Thu</v>
      </c>
      <c r="E873" s="4" t="n">
        <f aca="false">IF(OR(AND(MONTH($A873)=10,DAY($A873)&gt;=15),MONTH($A873)=11,AND(MONTH($A873)=12,DAY($A873)&lt;=7)),1,0)</f>
        <v>0</v>
      </c>
      <c r="F873" s="4" t="n">
        <f aca="false">IF(MONTH($A873)&lt;=3,1,0)</f>
        <v>0</v>
      </c>
      <c r="G873" s="4" t="str">
        <f aca="false" t="array" ref="G873:G873">_xlfn.TEXTJOIN(" | ",TRUE(),IF('FEMA Disasters'!$F$2:$F$1000=$A873,'FEMA Disasters'!$D$2:$D$1000&amp;" begin: ["&amp;'FEMA Disasters'!$B$2:$B$1000&amp;"] "&amp;'FEMA Disasters'!$C$2:$C$1000&amp;"-"&amp;'FEMA Disasters'!$A$2:$A$1000,""),IF('FEMA Disasters'!$G$2:$G$1000=$A873,'FEMA Disasters'!$D$2:$D$1000&amp;" ended: ["&amp;'FEMA Disasters'!$B$2:$B$1000&amp;"] "&amp;'FEMA Disasters'!$C$2:$C$1000&amp;"-"&amp;'FEMA Disasters'!$A$2:$A$1000,""),IF('FEMA Disasters'!$K$2:$K$1000=$A873,"Disaster SEP opens: "&amp;'FEMA Disasters'!$D$2:$D$1000&amp;" ["&amp;'FEMA Disasters'!$B$2:$B$1000&amp;"] "&amp;'FEMA Disasters'!$C$2:$C$1000&amp;"-"&amp;'FEMA Disasters'!$A$2:$A$1000,""),IF('FEMA Disasters'!$L$2:$L$1000=$A873,"Disaster SEP ended: "&amp;'FEMA Disasters'!$D$2:$D$1000&amp;" ["&amp;'FEMA Disasters'!$B$2:$B$1000&amp;"] "&amp;'FEMA Disasters'!$C$2:$C$1000&amp;"-"&amp;'FEMA Disasters'!$A$2:$A$1000,""))</f>
        <v>Chemical begin: [CA] EM-3646 | Fire ended: [TX] FM-5634</v>
      </c>
      <c r="H873" s="4" t="n">
        <f aca="false">COUNTIF(Events!$A$2:$A$397,$A873)</f>
        <v>0</v>
      </c>
      <c r="I873" s="6" t="str">
        <f aca="false" t="array" ref="I873:I873">_xlfn.TEXTJOIN(" | ",TRUE(),IF(Events!$A$2:$A$397=$A873,Events!$E$2:$E$397&amp;IF(Events!$G$2:$G$397="National",""," ["&amp;Events!$G$2:$G$397&amp;"]"),""))</f>
        <v/>
      </c>
    </row>
    <row r="874" customFormat="false" ht="15" hidden="false" customHeight="true" outlineLevel="0" collapsed="false">
      <c r="A874" s="3" t="n">
        <v>46164</v>
      </c>
      <c r="B874" s="4" t="n">
        <f aca="false">YEAR($A874)</f>
        <v>2026</v>
      </c>
      <c r="C874" s="4" t="n">
        <f aca="false">MONTH($A874)</f>
        <v>5</v>
      </c>
      <c r="D874" s="4" t="str">
        <f aca="false">TEXT($A874,"ddd")</f>
        <v>Fri</v>
      </c>
      <c r="E874" s="4" t="n">
        <f aca="false">IF(OR(AND(MONTH($A874)=10,DAY($A874)&gt;=15),MONTH($A874)=11,AND(MONTH($A874)=12,DAY($A874)&lt;=7)),1,0)</f>
        <v>0</v>
      </c>
      <c r="F874" s="4" t="n">
        <f aca="false">IF(MONTH($A874)&lt;=3,1,0)</f>
        <v>0</v>
      </c>
      <c r="G874" s="4" t="str">
        <f aca="false" t="array" ref="G874:G874">_xlfn.TEXTJOIN(" | ",TRUE(),IF('FEMA Disasters'!$F$2:$F$1000=$A874,'FEMA Disasters'!$D$2:$D$1000&amp;" begin: ["&amp;'FEMA Disasters'!$B$2:$B$1000&amp;"] "&amp;'FEMA Disasters'!$C$2:$C$1000&amp;"-"&amp;'FEMA Disasters'!$A$2:$A$1000,""),IF('FEMA Disasters'!$G$2:$G$1000=$A874,'FEMA Disasters'!$D$2:$D$1000&amp;" ended: ["&amp;'FEMA Disasters'!$B$2:$B$1000&amp;"] "&amp;'FEMA Disasters'!$C$2:$C$1000&amp;"-"&amp;'FEMA Disasters'!$A$2:$A$1000,""),IF('FEMA Disasters'!$K$2:$K$1000=$A874,"Disaster SEP opens: "&amp;'FEMA Disasters'!$D$2:$D$1000&amp;" ["&amp;'FEMA Disasters'!$B$2:$B$1000&amp;"] "&amp;'FEMA Disasters'!$C$2:$C$1000&amp;"-"&amp;'FEMA Disasters'!$A$2:$A$1000,""),IF('FEMA Disasters'!$L$2:$L$1000=$A874,"Disaster SEP ended: "&amp;'FEMA Disasters'!$D$2:$D$1000&amp;" ["&amp;'FEMA Disasters'!$B$2:$B$1000&amp;"] "&amp;'FEMA Disasters'!$C$2:$C$1000&amp;"-"&amp;'FEMA Disasters'!$A$2:$A$1000,""))</f>
        <v/>
      </c>
      <c r="H874" s="4" t="n">
        <f aca="false">COUNTIF(Events!$A$2:$A$397,$A874)</f>
        <v>0</v>
      </c>
      <c r="I874" s="6" t="str">
        <f aca="false" t="array" ref="I874:I874">_xlfn.TEXTJOIN(" | ",TRUE(),IF(Events!$A$2:$A$397=$A874,Events!$E$2:$E$397&amp;IF(Events!$G$2:$G$397="National",""," ["&amp;Events!$G$2:$G$397&amp;"]"),""))</f>
        <v/>
      </c>
    </row>
    <row r="875" customFormat="false" ht="15" hidden="false" customHeight="true" outlineLevel="0" collapsed="false">
      <c r="A875" s="3" t="n">
        <v>46165</v>
      </c>
      <c r="B875" s="4" t="n">
        <f aca="false">YEAR($A875)</f>
        <v>2026</v>
      </c>
      <c r="C875" s="4" t="n">
        <f aca="false">MONTH($A875)</f>
        <v>5</v>
      </c>
      <c r="D875" s="4" t="str">
        <f aca="false">TEXT($A875,"ddd")</f>
        <v>Sat</v>
      </c>
      <c r="E875" s="4" t="n">
        <f aca="false">IF(OR(AND(MONTH($A875)=10,DAY($A875)&gt;=15),MONTH($A875)=11,AND(MONTH($A875)=12,DAY($A875)&lt;=7)),1,0)</f>
        <v>0</v>
      </c>
      <c r="F875" s="4" t="n">
        <f aca="false">IF(MONTH($A875)&lt;=3,1,0)</f>
        <v>0</v>
      </c>
      <c r="G875" s="4" t="str">
        <f aca="false" t="array" ref="G875:G875">_xlfn.TEXTJOIN(" | ",TRUE(),IF('FEMA Disasters'!$F$2:$F$1000=$A875,'FEMA Disasters'!$D$2:$D$1000&amp;" begin: ["&amp;'FEMA Disasters'!$B$2:$B$1000&amp;"] "&amp;'FEMA Disasters'!$C$2:$C$1000&amp;"-"&amp;'FEMA Disasters'!$A$2:$A$1000,""),IF('FEMA Disasters'!$G$2:$G$1000=$A875,'FEMA Disasters'!$D$2:$D$1000&amp;" ended: ["&amp;'FEMA Disasters'!$B$2:$B$1000&amp;"] "&amp;'FEMA Disasters'!$C$2:$C$1000&amp;"-"&amp;'FEMA Disasters'!$A$2:$A$1000,""),IF('FEMA Disasters'!$K$2:$K$1000=$A875,"Disaster SEP opens: "&amp;'FEMA Disasters'!$D$2:$D$1000&amp;" ["&amp;'FEMA Disasters'!$B$2:$B$1000&amp;"] "&amp;'FEMA Disasters'!$C$2:$C$1000&amp;"-"&amp;'FEMA Disasters'!$A$2:$A$1000,""),IF('FEMA Disasters'!$L$2:$L$1000=$A875,"Disaster SEP ended: "&amp;'FEMA Disasters'!$D$2:$D$1000&amp;" ["&amp;'FEMA Disasters'!$B$2:$B$1000&amp;"] "&amp;'FEMA Disasters'!$C$2:$C$1000&amp;"-"&amp;'FEMA Disasters'!$A$2:$A$1000,""))</f>
        <v/>
      </c>
      <c r="H875" s="4" t="n">
        <f aca="false">COUNTIF(Events!$A$2:$A$397,$A875)</f>
        <v>0</v>
      </c>
      <c r="I875" s="6" t="str">
        <f aca="false" t="array" ref="I875:I875">_xlfn.TEXTJOIN(" | ",TRUE(),IF(Events!$A$2:$A$397=$A875,Events!$E$2:$E$397&amp;IF(Events!$G$2:$G$397="National",""," ["&amp;Events!$G$2:$G$397&amp;"]"),""))</f>
        <v/>
      </c>
    </row>
    <row r="876" customFormat="false" ht="15" hidden="false" customHeight="true" outlineLevel="0" collapsed="false">
      <c r="A876" s="3" t="n">
        <v>46166</v>
      </c>
      <c r="B876" s="4" t="n">
        <f aca="false">YEAR($A876)</f>
        <v>2026</v>
      </c>
      <c r="C876" s="4" t="n">
        <f aca="false">MONTH($A876)</f>
        <v>5</v>
      </c>
      <c r="D876" s="4" t="str">
        <f aca="false">TEXT($A876,"ddd")</f>
        <v>Sun</v>
      </c>
      <c r="E876" s="4" t="n">
        <f aca="false">IF(OR(AND(MONTH($A876)=10,DAY($A876)&gt;=15),MONTH($A876)=11,AND(MONTH($A876)=12,DAY($A876)&lt;=7)),1,0)</f>
        <v>0</v>
      </c>
      <c r="F876" s="4" t="n">
        <f aca="false">IF(MONTH($A876)&lt;=3,1,0)</f>
        <v>0</v>
      </c>
      <c r="G876" s="4" t="str">
        <f aca="false" t="array" ref="G876:G876">_xlfn.TEXTJOIN(" | ",TRUE(),IF('FEMA Disasters'!$F$2:$F$1000=$A876,'FEMA Disasters'!$D$2:$D$1000&amp;" begin: ["&amp;'FEMA Disasters'!$B$2:$B$1000&amp;"] "&amp;'FEMA Disasters'!$C$2:$C$1000&amp;"-"&amp;'FEMA Disasters'!$A$2:$A$1000,""),IF('FEMA Disasters'!$G$2:$G$1000=$A876,'FEMA Disasters'!$D$2:$D$1000&amp;" ended: ["&amp;'FEMA Disasters'!$B$2:$B$1000&amp;"] "&amp;'FEMA Disasters'!$C$2:$C$1000&amp;"-"&amp;'FEMA Disasters'!$A$2:$A$1000,""),IF('FEMA Disasters'!$K$2:$K$1000=$A876,"Disaster SEP opens: "&amp;'FEMA Disasters'!$D$2:$D$1000&amp;" ["&amp;'FEMA Disasters'!$B$2:$B$1000&amp;"] "&amp;'FEMA Disasters'!$C$2:$C$1000&amp;"-"&amp;'FEMA Disasters'!$A$2:$A$1000,""),IF('FEMA Disasters'!$L$2:$L$1000=$A876,"Disaster SEP ended: "&amp;'FEMA Disasters'!$D$2:$D$1000&amp;" ["&amp;'FEMA Disasters'!$B$2:$B$1000&amp;"] "&amp;'FEMA Disasters'!$C$2:$C$1000&amp;"-"&amp;'FEMA Disasters'!$A$2:$A$1000,""))</f>
        <v/>
      </c>
      <c r="H876" s="4" t="n">
        <f aca="false">COUNTIF(Events!$A$2:$A$397,$A876)</f>
        <v>0</v>
      </c>
      <c r="I876" s="6" t="str">
        <f aca="false" t="array" ref="I876:I876">_xlfn.TEXTJOIN(" | ",TRUE(),IF(Events!$A$2:$A$397=$A876,Events!$E$2:$E$397&amp;IF(Events!$G$2:$G$397="National",""," ["&amp;Events!$G$2:$G$397&amp;"]"),""))</f>
        <v/>
      </c>
    </row>
    <row r="877" customFormat="false" ht="15" hidden="false" customHeight="true" outlineLevel="0" collapsed="false">
      <c r="A877" s="3" t="n">
        <v>46167</v>
      </c>
      <c r="B877" s="4" t="n">
        <f aca="false">YEAR($A877)</f>
        <v>2026</v>
      </c>
      <c r="C877" s="4" t="n">
        <f aca="false">MONTH($A877)</f>
        <v>5</v>
      </c>
      <c r="D877" s="4" t="str">
        <f aca="false">TEXT($A877,"ddd")</f>
        <v>Mon</v>
      </c>
      <c r="E877" s="4" t="n">
        <f aca="false">IF(OR(AND(MONTH($A877)=10,DAY($A877)&gt;=15),MONTH($A877)=11,AND(MONTH($A877)=12,DAY($A877)&lt;=7)),1,0)</f>
        <v>0</v>
      </c>
      <c r="F877" s="4" t="n">
        <f aca="false">IF(MONTH($A877)&lt;=3,1,0)</f>
        <v>0</v>
      </c>
      <c r="G877" s="4" t="str">
        <f aca="false" t="array" ref="G877:G877">_xlfn.TEXTJOIN(" | ",TRUE(),IF('FEMA Disasters'!$F$2:$F$1000=$A877,'FEMA Disasters'!$D$2:$D$1000&amp;" begin: ["&amp;'FEMA Disasters'!$B$2:$B$1000&amp;"] "&amp;'FEMA Disasters'!$C$2:$C$1000&amp;"-"&amp;'FEMA Disasters'!$A$2:$A$1000,""),IF('FEMA Disasters'!$G$2:$G$1000=$A877,'FEMA Disasters'!$D$2:$D$1000&amp;" ended: ["&amp;'FEMA Disasters'!$B$2:$B$1000&amp;"] "&amp;'FEMA Disasters'!$C$2:$C$1000&amp;"-"&amp;'FEMA Disasters'!$A$2:$A$1000,""),IF('FEMA Disasters'!$K$2:$K$1000=$A877,"Disaster SEP opens: "&amp;'FEMA Disasters'!$D$2:$D$1000&amp;" ["&amp;'FEMA Disasters'!$B$2:$B$1000&amp;"] "&amp;'FEMA Disasters'!$C$2:$C$1000&amp;"-"&amp;'FEMA Disasters'!$A$2:$A$1000,""),IF('FEMA Disasters'!$L$2:$L$1000=$A877,"Disaster SEP ended: "&amp;'FEMA Disasters'!$D$2:$D$1000&amp;" ["&amp;'FEMA Disasters'!$B$2:$B$1000&amp;"] "&amp;'FEMA Disasters'!$C$2:$C$1000&amp;"-"&amp;'FEMA Disasters'!$A$2:$A$1000,""))</f>
        <v/>
      </c>
      <c r="H877" s="4" t="n">
        <f aca="false">COUNTIF(Events!$A$2:$A$397,$A877)</f>
        <v>0</v>
      </c>
      <c r="I877" s="6" t="str">
        <f aca="false" t="array" ref="I877:I877">_xlfn.TEXTJOIN(" | ",TRUE(),IF(Events!$A$2:$A$397=$A877,Events!$E$2:$E$397&amp;IF(Events!$G$2:$G$397="National",""," ["&amp;Events!$G$2:$G$397&amp;"]"),""))</f>
        <v/>
      </c>
    </row>
    <row r="878" customFormat="false" ht="15" hidden="false" customHeight="true" outlineLevel="0" collapsed="false">
      <c r="A878" s="3" t="n">
        <v>46168</v>
      </c>
      <c r="B878" s="4" t="n">
        <f aca="false">YEAR($A878)</f>
        <v>2026</v>
      </c>
      <c r="C878" s="4" t="n">
        <f aca="false">MONTH($A878)</f>
        <v>5</v>
      </c>
      <c r="D878" s="4" t="str">
        <f aca="false">TEXT($A878,"ddd")</f>
        <v>Tue</v>
      </c>
      <c r="E878" s="4" t="n">
        <f aca="false">IF(OR(AND(MONTH($A878)=10,DAY($A878)&gt;=15),MONTH($A878)=11,AND(MONTH($A878)=12,DAY($A878)&lt;=7)),1,0)</f>
        <v>0</v>
      </c>
      <c r="F878" s="4" t="n">
        <f aca="false">IF(MONTH($A878)&lt;=3,1,0)</f>
        <v>0</v>
      </c>
      <c r="G878" s="4" t="str">
        <f aca="false" t="array" ref="G878:G878">_xlfn.TEXTJOIN(" | ",TRUE(),IF('FEMA Disasters'!$F$2:$F$1000=$A878,'FEMA Disasters'!$D$2:$D$1000&amp;" begin: ["&amp;'FEMA Disasters'!$B$2:$B$1000&amp;"] "&amp;'FEMA Disasters'!$C$2:$C$1000&amp;"-"&amp;'FEMA Disasters'!$A$2:$A$1000,""),IF('FEMA Disasters'!$G$2:$G$1000=$A878,'FEMA Disasters'!$D$2:$D$1000&amp;" ended: ["&amp;'FEMA Disasters'!$B$2:$B$1000&amp;"] "&amp;'FEMA Disasters'!$C$2:$C$1000&amp;"-"&amp;'FEMA Disasters'!$A$2:$A$1000,""),IF('FEMA Disasters'!$K$2:$K$1000=$A878,"Disaster SEP opens: "&amp;'FEMA Disasters'!$D$2:$D$1000&amp;" ["&amp;'FEMA Disasters'!$B$2:$B$1000&amp;"] "&amp;'FEMA Disasters'!$C$2:$C$1000&amp;"-"&amp;'FEMA Disasters'!$A$2:$A$1000,""),IF('FEMA Disasters'!$L$2:$L$1000=$A878,"Disaster SEP ended: "&amp;'FEMA Disasters'!$D$2:$D$1000&amp;" ["&amp;'FEMA Disasters'!$B$2:$B$1000&amp;"] "&amp;'FEMA Disasters'!$C$2:$C$1000&amp;"-"&amp;'FEMA Disasters'!$A$2:$A$1000,""))</f>
        <v/>
      </c>
      <c r="H878" s="4" t="n">
        <f aca="false">COUNTIF(Events!$A$2:$A$397,$A878)</f>
        <v>0</v>
      </c>
      <c r="I878" s="6" t="str">
        <f aca="false" t="array" ref="I878:I878">_xlfn.TEXTJOIN(" | ",TRUE(),IF(Events!$A$2:$A$397=$A878,Events!$E$2:$E$397&amp;IF(Events!$G$2:$G$397="National",""," ["&amp;Events!$G$2:$G$397&amp;"]"),""))</f>
        <v/>
      </c>
    </row>
    <row r="879" customFormat="false" ht="15" hidden="false" customHeight="true" outlineLevel="0" collapsed="false">
      <c r="A879" s="3" t="n">
        <v>46169</v>
      </c>
      <c r="B879" s="4" t="n">
        <f aca="false">YEAR($A879)</f>
        <v>2026</v>
      </c>
      <c r="C879" s="4" t="n">
        <f aca="false">MONTH($A879)</f>
        <v>5</v>
      </c>
      <c r="D879" s="4" t="str">
        <f aca="false">TEXT($A879,"ddd")</f>
        <v>Wed</v>
      </c>
      <c r="E879" s="4" t="n">
        <f aca="false">IF(OR(AND(MONTH($A879)=10,DAY($A879)&gt;=15),MONTH($A879)=11,AND(MONTH($A879)=12,DAY($A879)&lt;=7)),1,0)</f>
        <v>0</v>
      </c>
      <c r="F879" s="4" t="n">
        <f aca="false">IF(MONTH($A879)&lt;=3,1,0)</f>
        <v>0</v>
      </c>
      <c r="G879" s="4" t="str">
        <f aca="false" t="array" ref="G879:G879">_xlfn.TEXTJOIN(" | ",TRUE(),IF('FEMA Disasters'!$F$2:$F$1000=$A879,'FEMA Disasters'!$D$2:$D$1000&amp;" begin: ["&amp;'FEMA Disasters'!$B$2:$B$1000&amp;"] "&amp;'FEMA Disasters'!$C$2:$C$1000&amp;"-"&amp;'FEMA Disasters'!$A$2:$A$1000,""),IF('FEMA Disasters'!$G$2:$G$1000=$A879,'FEMA Disasters'!$D$2:$D$1000&amp;" ended: ["&amp;'FEMA Disasters'!$B$2:$B$1000&amp;"] "&amp;'FEMA Disasters'!$C$2:$C$1000&amp;"-"&amp;'FEMA Disasters'!$A$2:$A$1000,""),IF('FEMA Disasters'!$K$2:$K$1000=$A879,"Disaster SEP opens: "&amp;'FEMA Disasters'!$D$2:$D$1000&amp;" ["&amp;'FEMA Disasters'!$B$2:$B$1000&amp;"] "&amp;'FEMA Disasters'!$C$2:$C$1000&amp;"-"&amp;'FEMA Disasters'!$A$2:$A$1000,""),IF('FEMA Disasters'!$L$2:$L$1000=$A879,"Disaster SEP ended: "&amp;'FEMA Disasters'!$D$2:$D$1000&amp;" ["&amp;'FEMA Disasters'!$B$2:$B$1000&amp;"] "&amp;'FEMA Disasters'!$C$2:$C$1000&amp;"-"&amp;'FEMA Disasters'!$A$2:$A$1000,""))</f>
        <v/>
      </c>
      <c r="H879" s="4" t="n">
        <f aca="false">COUNTIF(Events!$A$2:$A$397,$A879)</f>
        <v>1</v>
      </c>
      <c r="I879" s="6" t="str">
        <f aca="false" t="array" ref="I879:I879">_xlfn.TEXTJOIN(" | ",TRUE(),IF(Events!$A$2:$A$397=$A879,Events!$E$2:$E$397&amp;IF(Events!$G$2:$G$397="National",""," ["&amp;Events!$G$2:$G$397&amp;"]"),""))</f>
        <v>Clover v. HHS: federal court in Georgia finds CMS improperly used two groups of 10 measures in calculating Clover's 2026 Star Rating - the ruling that triggered CMS's June 2026 industry-wide recalculation (recalc itself is post-window)</v>
      </c>
    </row>
    <row r="880" customFormat="false" ht="15" hidden="false" customHeight="true" outlineLevel="0" collapsed="false">
      <c r="A880" s="3" t="n">
        <v>46170</v>
      </c>
      <c r="B880" s="4" t="n">
        <f aca="false">YEAR($A880)</f>
        <v>2026</v>
      </c>
      <c r="C880" s="4" t="n">
        <f aca="false">MONTH($A880)</f>
        <v>5</v>
      </c>
      <c r="D880" s="4" t="str">
        <f aca="false">TEXT($A880,"ddd")</f>
        <v>Thu</v>
      </c>
      <c r="E880" s="4" t="n">
        <f aca="false">IF(OR(AND(MONTH($A880)=10,DAY($A880)&gt;=15),MONTH($A880)=11,AND(MONTH($A880)=12,DAY($A880)&lt;=7)),1,0)</f>
        <v>0</v>
      </c>
      <c r="F880" s="4" t="n">
        <f aca="false">IF(MONTH($A880)&lt;=3,1,0)</f>
        <v>0</v>
      </c>
      <c r="G880" s="4" t="str">
        <f aca="false" t="array" ref="G880:G880">_xlfn.TEXTJOIN(" | ",TRUE(),IF('FEMA Disasters'!$F$2:$F$1000=$A880,'FEMA Disasters'!$D$2:$D$1000&amp;" begin: ["&amp;'FEMA Disasters'!$B$2:$B$1000&amp;"] "&amp;'FEMA Disasters'!$C$2:$C$1000&amp;"-"&amp;'FEMA Disasters'!$A$2:$A$1000,""),IF('FEMA Disasters'!$G$2:$G$1000=$A880,'FEMA Disasters'!$D$2:$D$1000&amp;" ended: ["&amp;'FEMA Disasters'!$B$2:$B$1000&amp;"] "&amp;'FEMA Disasters'!$C$2:$C$1000&amp;"-"&amp;'FEMA Disasters'!$A$2:$A$1000,""),IF('FEMA Disasters'!$K$2:$K$1000=$A880,"Disaster SEP opens: "&amp;'FEMA Disasters'!$D$2:$D$1000&amp;" ["&amp;'FEMA Disasters'!$B$2:$B$1000&amp;"] "&amp;'FEMA Disasters'!$C$2:$C$1000&amp;"-"&amp;'FEMA Disasters'!$A$2:$A$1000,""),IF('FEMA Disasters'!$L$2:$L$1000=$A880,"Disaster SEP ended: "&amp;'FEMA Disasters'!$D$2:$D$1000&amp;" ["&amp;'FEMA Disasters'!$B$2:$B$1000&amp;"] "&amp;'FEMA Disasters'!$C$2:$C$1000&amp;"-"&amp;'FEMA Disasters'!$A$2:$A$1000,""))</f>
        <v/>
      </c>
      <c r="H880" s="4" t="n">
        <f aca="false">COUNTIF(Events!$A$2:$A$397,$A880)</f>
        <v>0</v>
      </c>
      <c r="I880" s="6" t="str">
        <f aca="false" t="array" ref="I880:I880">_xlfn.TEXTJOIN(" | ",TRUE(),IF(Events!$A$2:$A$397=$A880,Events!$E$2:$E$397&amp;IF(Events!$G$2:$G$397="National",""," ["&amp;Events!$G$2:$G$397&amp;"]"),""))</f>
        <v/>
      </c>
    </row>
    <row r="881" customFormat="false" ht="15" hidden="false" customHeight="true" outlineLevel="0" collapsed="false">
      <c r="A881" s="3" t="n">
        <v>46171</v>
      </c>
      <c r="B881" s="4" t="n">
        <f aca="false">YEAR($A881)</f>
        <v>2026</v>
      </c>
      <c r="C881" s="4" t="n">
        <f aca="false">MONTH($A881)</f>
        <v>5</v>
      </c>
      <c r="D881" s="4" t="str">
        <f aca="false">TEXT($A881,"ddd")</f>
        <v>Fri</v>
      </c>
      <c r="E881" s="4" t="n">
        <f aca="false">IF(OR(AND(MONTH($A881)=10,DAY($A881)&gt;=15),MONTH($A881)=11,AND(MONTH($A881)=12,DAY($A881)&lt;=7)),1,0)</f>
        <v>0</v>
      </c>
      <c r="F881" s="4" t="n">
        <f aca="false">IF(MONTH($A881)&lt;=3,1,0)</f>
        <v>0</v>
      </c>
      <c r="G881" s="4" t="str">
        <f aca="false" t="array" ref="G881:G881">_xlfn.TEXTJOIN(" | ",TRUE(),IF('FEMA Disasters'!$F$2:$F$1000=$A881,'FEMA Disasters'!$D$2:$D$1000&amp;" begin: ["&amp;'FEMA Disasters'!$B$2:$B$1000&amp;"] "&amp;'FEMA Disasters'!$C$2:$C$1000&amp;"-"&amp;'FEMA Disasters'!$A$2:$A$1000,""),IF('FEMA Disasters'!$G$2:$G$1000=$A881,'FEMA Disasters'!$D$2:$D$1000&amp;" ended: ["&amp;'FEMA Disasters'!$B$2:$B$1000&amp;"] "&amp;'FEMA Disasters'!$C$2:$C$1000&amp;"-"&amp;'FEMA Disasters'!$A$2:$A$1000,""),IF('FEMA Disasters'!$K$2:$K$1000=$A881,"Disaster SEP opens: "&amp;'FEMA Disasters'!$D$2:$D$1000&amp;" ["&amp;'FEMA Disasters'!$B$2:$B$1000&amp;"] "&amp;'FEMA Disasters'!$C$2:$C$1000&amp;"-"&amp;'FEMA Disasters'!$A$2:$A$1000,""),IF('FEMA Disasters'!$L$2:$L$1000=$A881,"Disaster SEP ended: "&amp;'FEMA Disasters'!$D$2:$D$1000&amp;" ["&amp;'FEMA Disasters'!$B$2:$B$1000&amp;"] "&amp;'FEMA Disasters'!$C$2:$C$1000&amp;"-"&amp;'FEMA Disasters'!$A$2:$A$1000,""))</f>
        <v>Chemical ended: [CA] EM-3646</v>
      </c>
      <c r="H881" s="4" t="n">
        <f aca="false">COUNTIF(Events!$A$2:$A$397,$A881)</f>
        <v>0</v>
      </c>
      <c r="I881" s="6" t="str">
        <f aca="false" t="array" ref="I881:I881">_xlfn.TEXTJOIN(" | ",TRUE(),IF(Events!$A$2:$A$397=$A881,Events!$E$2:$E$397&amp;IF(Events!$G$2:$G$397="National",""," ["&amp;Events!$G$2:$G$397&amp;"]"),""))</f>
        <v/>
      </c>
    </row>
    <row r="882" customFormat="false" ht="15" hidden="false" customHeight="true" outlineLevel="0" collapsed="false">
      <c r="A882" s="3" t="n">
        <v>46172</v>
      </c>
      <c r="B882" s="4" t="n">
        <f aca="false">YEAR($A882)</f>
        <v>2026</v>
      </c>
      <c r="C882" s="4" t="n">
        <f aca="false">MONTH($A882)</f>
        <v>5</v>
      </c>
      <c r="D882" s="4" t="str">
        <f aca="false">TEXT($A882,"ddd")</f>
        <v>Sat</v>
      </c>
      <c r="E882" s="4" t="n">
        <f aca="false">IF(OR(AND(MONTH($A882)=10,DAY($A882)&gt;=15),MONTH($A882)=11,AND(MONTH($A882)=12,DAY($A882)&lt;=7)),1,0)</f>
        <v>0</v>
      </c>
      <c r="F882" s="4" t="n">
        <f aca="false">IF(MONTH($A882)&lt;=3,1,0)</f>
        <v>0</v>
      </c>
      <c r="G882" s="4" t="str">
        <f aca="false" t="array" ref="G882:G882">_xlfn.TEXTJOIN(" | ",TRUE(),IF('FEMA Disasters'!$F$2:$F$1000=$A882,'FEMA Disasters'!$D$2:$D$1000&amp;" begin: ["&amp;'FEMA Disasters'!$B$2:$B$1000&amp;"] "&amp;'FEMA Disasters'!$C$2:$C$1000&amp;"-"&amp;'FEMA Disasters'!$A$2:$A$1000,""),IF('FEMA Disasters'!$G$2:$G$1000=$A882,'FEMA Disasters'!$D$2:$D$1000&amp;" ended: ["&amp;'FEMA Disasters'!$B$2:$B$1000&amp;"] "&amp;'FEMA Disasters'!$C$2:$C$1000&amp;"-"&amp;'FEMA Disasters'!$A$2:$A$1000,""),IF('FEMA Disasters'!$K$2:$K$1000=$A882,"Disaster SEP opens: "&amp;'FEMA Disasters'!$D$2:$D$1000&amp;" ["&amp;'FEMA Disasters'!$B$2:$B$1000&amp;"] "&amp;'FEMA Disasters'!$C$2:$C$1000&amp;"-"&amp;'FEMA Disasters'!$A$2:$A$1000,""),IF('FEMA Disasters'!$L$2:$L$1000=$A882,"Disaster SEP ended: "&amp;'FEMA Disasters'!$D$2:$D$1000&amp;" ["&amp;'FEMA Disasters'!$B$2:$B$1000&amp;"] "&amp;'FEMA Disasters'!$C$2:$C$1000&amp;"-"&amp;'FEMA Disasters'!$A$2:$A$1000,""))</f>
        <v/>
      </c>
      <c r="H882" s="4" t="n">
        <f aca="false">COUNTIF(Events!$A$2:$A$397,$A882)</f>
        <v>0</v>
      </c>
      <c r="I882" s="6" t="str">
        <f aca="false" t="array" ref="I882:I882">_xlfn.TEXTJOIN(" | ",TRUE(),IF(Events!$A$2:$A$397=$A882,Events!$E$2:$E$397&amp;IF(Events!$G$2:$G$397="National",""," ["&amp;Events!$G$2:$G$397&amp;"]"),""))</f>
        <v/>
      </c>
    </row>
    <row r="883" customFormat="false" ht="39" hidden="false" customHeight="true" outlineLevel="0" collapsed="false">
      <c r="A883" s="3" t="n">
        <v>46173</v>
      </c>
      <c r="B883" s="4" t="n">
        <f aca="false">YEAR($A883)</f>
        <v>2026</v>
      </c>
      <c r="C883" s="4" t="n">
        <f aca="false">MONTH($A883)</f>
        <v>5</v>
      </c>
      <c r="D883" s="4" t="str">
        <f aca="false">TEXT($A883,"ddd")</f>
        <v>Sun</v>
      </c>
      <c r="E883" s="4" t="n">
        <f aca="false">IF(OR(AND(MONTH($A883)=10,DAY($A883)&gt;=15),MONTH($A883)=11,AND(MONTH($A883)=12,DAY($A883)&lt;=7)),1,0)</f>
        <v>0</v>
      </c>
      <c r="F883" s="4" t="n">
        <f aca="false">IF(MONTH($A883)&lt;=3,1,0)</f>
        <v>0</v>
      </c>
      <c r="G883" s="7" t="str">
        <f aca="false" t="array" ref="G883:G883">_xlfn.TEXTJOIN(" | ",TRUE(),IF('FEMA Disasters'!$F$2:$F$1000=$A883,'FEMA Disasters'!$D$2:$D$1000&amp;" begin: ["&amp;'FEMA Disasters'!$B$2:$B$1000&amp;"] "&amp;'FEMA Disasters'!$C$2:$C$1000&amp;"-"&amp;'FEMA Disasters'!$A$2:$A$1000,""),IF('FEMA Disasters'!$G$2:$G$1000=$A883,'FEMA Disasters'!$D$2:$D$1000&amp;" ended: ["&amp;'FEMA Disasters'!$B$2:$B$1000&amp;"] "&amp;'FEMA Disasters'!$C$2:$C$1000&amp;"-"&amp;'FEMA Disasters'!$A$2:$A$1000,""),IF('FEMA Disasters'!$K$2:$K$1000=$A883,"Disaster SEP opens: "&amp;'FEMA Disasters'!$D$2:$D$1000&amp;" ["&amp;'FEMA Disasters'!$B$2:$B$1000&amp;"] "&amp;'FEMA Disasters'!$C$2:$C$1000&amp;"-"&amp;'FEMA Disasters'!$A$2:$A$1000,""),IF('FEMA Disasters'!$L$2:$L$1000=$A883,"Disaster SEP ended: "&amp;'FEMA Disasters'!$D$2:$D$1000&amp;" ["&amp;'FEMA Disasters'!$B$2:$B$1000&amp;"] "&amp;'FEMA Disasters'!$C$2:$C$1000&amp;"-"&amp;'FEMA Disasters'!$A$2:$A$1000,""))</f>
        <v>Disaster SEP opens: Other [DC] EM-3643 | Disaster SEP opens: Flood [HI] DR-4909 | Disaster SEP opens: Severe Storm [ID] DR-4917 | Disaster SEP opens: Fire [NE] FM-5623 | Disaster SEP opens: Fire [OK] FM-5624 | Disaster SEP ended: Winter Storm [SC] EM-3632 | Disaster SEP ended: Winter Storm [NC] EM-3637 | Disaster SEP ended: Winter Storm [SC] DR-4908 | Disaster SEP ended: Winter Storm [VA] EM-3631 | Disaster SEP ended: Winter Storm [TN] EM-3635 | Disaster SEP ended: Winter Storm [GA] EM-3642 | Disaster SEP ended: Winter Storm [TN] DR-4898 | Disaster SEP ended: Winter Storm [KY] EM-3633 | Disaster SEP ended: Winter Storm [MD] EM-3634 | Disaster SEP ended: Winter Storm [AR] EM-3636 | Disaster SEP ended: Winter Storm [LA] EM-3638 | Disaster SEP ended: Winter Storm [WV] EM-3639 | Disaster SEP ended: Winter Storm [MS] EM-3640 | Disaster SEP ended: Winter Storm [IN] EM-3641 | Disaster SEP ended: Winter Storm [MS] DR-4899 | Disaster SEP ended: Winter Storm [LA] DR-4900 | Disaster SEP ended: Winter Storm [KY] DR-4913</v>
      </c>
      <c r="H883" s="4" t="n">
        <f aca="false">COUNTIF(Events!$A$2:$A$397,$A883)</f>
        <v>0</v>
      </c>
      <c r="I883" s="6" t="str">
        <f aca="false" t="array" ref="I883:I883">_xlfn.TEXTJOIN(" | ",TRUE(),IF(Events!$A$2:$A$397=$A883,Events!$E$2:$E$397&amp;IF(Events!$G$2:$G$397="National",""," ["&amp;Events!$G$2:$G$397&amp;"]"),""))</f>
        <v/>
      </c>
    </row>
  </sheetData>
  <autoFilter ref="A1:I883"/>
  <conditionalFormatting sqref="A2:I883">
    <cfRule type="expression" priority="2" aboveAverage="0" equalAverage="0" bottom="0" percent="0" rank="0" text="" dxfId="6">
      <formula>$H2&gt;0</formula>
    </cfRule>
    <cfRule type="expression" priority="3" aboveAverage="0" equalAverage="0" bottom="0" percent="0" rank="0" text="" dxfId="7">
      <formula>$E2=1</formula>
    </cfRule>
    <cfRule type="expression" priority="4" aboveAverage="0" equalAverage="0" bottom="0" percent="0" rank="0" text="" dxfId="8">
      <formula>$F2=1</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39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28" activeCellId="0" sqref="A28"/>
    </sheetView>
  </sheetViews>
  <sheetFormatPr defaultColWidth="8.6328125" defaultRowHeight="14.25" zeroHeight="false" outlineLevelRow="0" outlineLevelCol="0"/>
  <cols>
    <col collapsed="false" customWidth="true" hidden="false" outlineLevel="0" max="1" min="1" style="1" width="9.91"/>
    <col collapsed="false" customWidth="true" hidden="false" outlineLevel="0" max="2" min="2" style="1" width="18.91"/>
    <col collapsed="false" customWidth="true" hidden="false" outlineLevel="0" max="3" min="3" style="1" width="20.18"/>
    <col collapsed="false" customWidth="true" hidden="false" outlineLevel="0" max="4" min="4" style="1" width="13.54"/>
    <col collapsed="false" customWidth="true" hidden="false" outlineLevel="0" max="5" min="5" style="8" width="55.54"/>
    <col collapsed="false" customWidth="true" hidden="false" outlineLevel="0" max="6" min="6" style="9" width="35.82"/>
    <col collapsed="false" customWidth="true" hidden="false" outlineLevel="0" max="7" min="7" style="1" width="10"/>
  </cols>
  <sheetData>
    <row r="1" customFormat="false" ht="15" hidden="false" customHeight="true" outlineLevel="0" collapsed="false">
      <c r="A1" s="2" t="s">
        <v>0</v>
      </c>
      <c r="B1" s="2" t="s">
        <v>9</v>
      </c>
      <c r="C1" s="2" t="s">
        <v>10</v>
      </c>
      <c r="D1" s="2" t="s">
        <v>11</v>
      </c>
      <c r="E1" s="10" t="s">
        <v>12</v>
      </c>
      <c r="F1" s="10" t="s">
        <v>13</v>
      </c>
      <c r="G1" s="10" t="s">
        <v>14</v>
      </c>
      <c r="H1" s="2" t="s">
        <v>15</v>
      </c>
    </row>
    <row r="2" customFormat="false" ht="34.5" hidden="false" customHeight="true" outlineLevel="0" collapsed="false">
      <c r="A2" s="11" t="n">
        <v>45292</v>
      </c>
      <c r="B2" s="12" t="s">
        <v>16</v>
      </c>
      <c r="C2" s="12" t="s">
        <v>17</v>
      </c>
      <c r="D2" s="12" t="s">
        <v>18</v>
      </c>
      <c r="E2" s="13" t="s">
        <v>19</v>
      </c>
      <c r="F2" s="14" t="s">
        <v>20</v>
      </c>
      <c r="G2" s="15" t="s">
        <v>21</v>
      </c>
      <c r="H2" s="12" t="s">
        <v>22</v>
      </c>
    </row>
    <row r="3" customFormat="false" ht="43.5" hidden="false" customHeight="true" outlineLevel="0" collapsed="false">
      <c r="A3" s="11" t="n">
        <v>45292</v>
      </c>
      <c r="B3" s="12" t="s">
        <v>23</v>
      </c>
      <c r="C3" s="12" t="s">
        <v>24</v>
      </c>
      <c r="D3" s="12" t="s">
        <v>18</v>
      </c>
      <c r="E3" s="13" t="s">
        <v>25</v>
      </c>
      <c r="F3" s="14" t="s">
        <v>26</v>
      </c>
      <c r="G3" s="15" t="s">
        <v>27</v>
      </c>
      <c r="H3" s="12" t="s">
        <v>28</v>
      </c>
    </row>
    <row r="4" customFormat="false" ht="39" hidden="false" customHeight="true" outlineLevel="0" collapsed="false">
      <c r="A4" s="11" t="n">
        <v>45322</v>
      </c>
      <c r="B4" s="12" t="s">
        <v>29</v>
      </c>
      <c r="C4" s="12" t="s">
        <v>30</v>
      </c>
      <c r="D4" s="12" t="s">
        <v>31</v>
      </c>
      <c r="E4" s="13" t="s">
        <v>32</v>
      </c>
      <c r="F4" s="14" t="s">
        <v>33</v>
      </c>
      <c r="G4" s="15" t="s">
        <v>21</v>
      </c>
      <c r="H4" s="12" t="s">
        <v>34</v>
      </c>
    </row>
    <row r="5" customFormat="false" ht="28.5" hidden="false" customHeight="true" outlineLevel="0" collapsed="false">
      <c r="A5" s="11" t="n">
        <v>45383</v>
      </c>
      <c r="B5" s="12" t="s">
        <v>35</v>
      </c>
      <c r="C5" s="12" t="s">
        <v>30</v>
      </c>
      <c r="D5" s="12" t="s">
        <v>31</v>
      </c>
      <c r="E5" s="13" t="s">
        <v>36</v>
      </c>
      <c r="F5" s="14" t="s">
        <v>37</v>
      </c>
      <c r="G5" s="15" t="s">
        <v>21</v>
      </c>
      <c r="H5" s="12" t="s">
        <v>22</v>
      </c>
    </row>
    <row r="6" customFormat="false" ht="91.5" hidden="false" customHeight="true" outlineLevel="0" collapsed="false">
      <c r="A6" s="11" t="n">
        <v>45386</v>
      </c>
      <c r="B6" s="12" t="s">
        <v>29</v>
      </c>
      <c r="C6" s="12" t="s">
        <v>38</v>
      </c>
      <c r="D6" s="12" t="s">
        <v>31</v>
      </c>
      <c r="E6" s="13" t="s">
        <v>39</v>
      </c>
      <c r="F6" s="14" t="s">
        <v>40</v>
      </c>
      <c r="G6" s="15" t="s">
        <v>21</v>
      </c>
      <c r="H6" s="12" t="s">
        <v>41</v>
      </c>
    </row>
    <row r="7" customFormat="false" ht="57.75" hidden="false" customHeight="true" outlineLevel="0" collapsed="false">
      <c r="A7" s="11" t="n">
        <v>45446</v>
      </c>
      <c r="B7" s="12" t="s">
        <v>42</v>
      </c>
      <c r="C7" s="12" t="s">
        <v>43</v>
      </c>
      <c r="D7" s="12" t="s">
        <v>31</v>
      </c>
      <c r="E7" s="13" t="s">
        <v>44</v>
      </c>
      <c r="F7" s="14" t="s">
        <v>45</v>
      </c>
      <c r="G7" s="15" t="s">
        <v>21</v>
      </c>
      <c r="H7" s="12" t="s">
        <v>46</v>
      </c>
    </row>
    <row r="8" customFormat="false" ht="28.5" hidden="false" customHeight="true" outlineLevel="0" collapsed="false">
      <c r="A8" s="11" t="n">
        <v>45476</v>
      </c>
      <c r="B8" s="12" t="s">
        <v>42</v>
      </c>
      <c r="C8" s="12" t="s">
        <v>47</v>
      </c>
      <c r="D8" s="12" t="s">
        <v>18</v>
      </c>
      <c r="E8" s="13" t="s">
        <v>48</v>
      </c>
      <c r="F8" s="14" t="s">
        <v>49</v>
      </c>
      <c r="G8" s="15" t="s">
        <v>21</v>
      </c>
      <c r="H8" s="12" t="s">
        <v>50</v>
      </c>
    </row>
    <row r="9" customFormat="false" ht="43.5" hidden="false" customHeight="true" outlineLevel="0" collapsed="false">
      <c r="A9" s="11" t="n">
        <v>45482</v>
      </c>
      <c r="B9" s="12" t="s">
        <v>42</v>
      </c>
      <c r="C9" s="12" t="s">
        <v>43</v>
      </c>
      <c r="D9" s="12" t="s">
        <v>18</v>
      </c>
      <c r="E9" s="13" t="s">
        <v>51</v>
      </c>
      <c r="F9" s="14" t="s">
        <v>52</v>
      </c>
      <c r="G9" s="15" t="s">
        <v>21</v>
      </c>
      <c r="H9" s="12" t="s">
        <v>46</v>
      </c>
    </row>
    <row r="10" customFormat="false" ht="28.5" hidden="false" customHeight="true" outlineLevel="0" collapsed="false">
      <c r="A10" s="11" t="n">
        <v>45519</v>
      </c>
      <c r="B10" s="12" t="s">
        <v>35</v>
      </c>
      <c r="C10" s="12" t="s">
        <v>17</v>
      </c>
      <c r="D10" s="12" t="s">
        <v>31</v>
      </c>
      <c r="E10" s="13" t="s">
        <v>53</v>
      </c>
      <c r="F10" s="14" t="s">
        <v>54</v>
      </c>
      <c r="G10" s="15" t="s">
        <v>21</v>
      </c>
      <c r="H10" s="12" t="s">
        <v>34</v>
      </c>
    </row>
    <row r="11" customFormat="false" ht="28.5" hidden="false" customHeight="true" outlineLevel="0" collapsed="false">
      <c r="A11" s="11" t="n">
        <v>45565</v>
      </c>
      <c r="B11" s="12" t="s">
        <v>55</v>
      </c>
      <c r="C11" s="12" t="s">
        <v>30</v>
      </c>
      <c r="D11" s="12" t="s">
        <v>56</v>
      </c>
      <c r="E11" s="13" t="s">
        <v>57</v>
      </c>
      <c r="F11" s="14" t="s">
        <v>58</v>
      </c>
      <c r="G11" s="15" t="s">
        <v>21</v>
      </c>
      <c r="H11" s="12" t="s">
        <v>59</v>
      </c>
    </row>
    <row r="12" customFormat="false" ht="15" hidden="false" customHeight="true" outlineLevel="0" collapsed="false">
      <c r="A12" s="11" t="n">
        <v>45566</v>
      </c>
      <c r="B12" s="12" t="s">
        <v>55</v>
      </c>
      <c r="C12" s="12" t="s">
        <v>30</v>
      </c>
      <c r="D12" s="12" t="s">
        <v>18</v>
      </c>
      <c r="E12" s="13" t="s">
        <v>60</v>
      </c>
      <c r="F12" s="14" t="s">
        <v>61</v>
      </c>
      <c r="G12" s="15" t="s">
        <v>21</v>
      </c>
      <c r="H12" s="12" t="s">
        <v>59</v>
      </c>
    </row>
    <row r="13" customFormat="false" ht="15" hidden="false" customHeight="true" outlineLevel="0" collapsed="false">
      <c r="A13" s="11" t="n">
        <v>45575</v>
      </c>
      <c r="B13" s="12" t="s">
        <v>62</v>
      </c>
      <c r="C13" s="12" t="s">
        <v>63</v>
      </c>
      <c r="D13" s="12" t="s">
        <v>31</v>
      </c>
      <c r="E13" s="13" t="s">
        <v>64</v>
      </c>
      <c r="F13" s="14" t="s">
        <v>65</v>
      </c>
      <c r="G13" s="15" t="s">
        <v>21</v>
      </c>
      <c r="H13" s="12" t="s">
        <v>46</v>
      </c>
    </row>
    <row r="14" customFormat="false" ht="15" hidden="false" customHeight="true" outlineLevel="0" collapsed="false">
      <c r="A14" s="11" t="n">
        <v>45610</v>
      </c>
      <c r="B14" s="12" t="s">
        <v>35</v>
      </c>
      <c r="C14" s="12" t="s">
        <v>66</v>
      </c>
      <c r="D14" s="12" t="s">
        <v>31</v>
      </c>
      <c r="E14" s="13" t="s">
        <v>67</v>
      </c>
      <c r="F14" s="14" t="s">
        <v>68</v>
      </c>
      <c r="G14" s="15" t="s">
        <v>21</v>
      </c>
      <c r="H14" s="12" t="s">
        <v>22</v>
      </c>
    </row>
    <row r="15" customFormat="false" ht="15" hidden="false" customHeight="true" outlineLevel="0" collapsed="false">
      <c r="A15" s="11" t="n">
        <v>45618</v>
      </c>
      <c r="B15" s="12" t="s">
        <v>42</v>
      </c>
      <c r="C15" s="12" t="s">
        <v>43</v>
      </c>
      <c r="D15" s="12" t="s">
        <v>18</v>
      </c>
      <c r="E15" s="13" t="s">
        <v>69</v>
      </c>
      <c r="F15" s="14" t="s">
        <v>70</v>
      </c>
      <c r="G15" s="15" t="s">
        <v>21</v>
      </c>
      <c r="H15" s="12" t="s">
        <v>46</v>
      </c>
    </row>
    <row r="16" customFormat="false" ht="15" hidden="false" customHeight="true" outlineLevel="0" collapsed="false">
      <c r="A16" s="11" t="n">
        <v>45622</v>
      </c>
      <c r="B16" s="12" t="s">
        <v>29</v>
      </c>
      <c r="C16" s="12" t="s">
        <v>71</v>
      </c>
      <c r="D16" s="12" t="s">
        <v>31</v>
      </c>
      <c r="E16" s="13" t="s">
        <v>72</v>
      </c>
      <c r="F16" s="14" t="s">
        <v>73</v>
      </c>
      <c r="G16" s="15" t="s">
        <v>21</v>
      </c>
      <c r="H16" s="12" t="s">
        <v>34</v>
      </c>
    </row>
    <row r="17" customFormat="false" ht="15" hidden="false" customHeight="true" outlineLevel="0" collapsed="false">
      <c r="A17" s="11" t="n">
        <v>45658</v>
      </c>
      <c r="B17" s="12" t="s">
        <v>29</v>
      </c>
      <c r="C17" s="12" t="s">
        <v>74</v>
      </c>
      <c r="D17" s="12" t="s">
        <v>18</v>
      </c>
      <c r="E17" s="13" t="s">
        <v>75</v>
      </c>
      <c r="F17" s="14" t="s">
        <v>76</v>
      </c>
      <c r="G17" s="15" t="s">
        <v>21</v>
      </c>
      <c r="H17" s="12" t="s">
        <v>41</v>
      </c>
    </row>
    <row r="18" customFormat="false" ht="15" hidden="false" customHeight="true" outlineLevel="0" collapsed="false">
      <c r="A18" s="11" t="n">
        <v>45658</v>
      </c>
      <c r="B18" s="12" t="s">
        <v>29</v>
      </c>
      <c r="C18" s="12" t="s">
        <v>77</v>
      </c>
      <c r="D18" s="12" t="s">
        <v>18</v>
      </c>
      <c r="E18" s="13" t="s">
        <v>78</v>
      </c>
      <c r="F18" s="14" t="s">
        <v>76</v>
      </c>
      <c r="G18" s="15" t="s">
        <v>21</v>
      </c>
      <c r="H18" s="12" t="s">
        <v>41</v>
      </c>
    </row>
    <row r="19" customFormat="false" ht="43.5" hidden="false" customHeight="true" outlineLevel="0" collapsed="false">
      <c r="A19" s="11" t="n">
        <v>45658</v>
      </c>
      <c r="B19" s="12" t="s">
        <v>16</v>
      </c>
      <c r="C19" s="12" t="s">
        <v>79</v>
      </c>
      <c r="D19" s="12" t="s">
        <v>18</v>
      </c>
      <c r="E19" s="13" t="s">
        <v>80</v>
      </c>
      <c r="F19" s="14" t="s">
        <v>81</v>
      </c>
      <c r="G19" s="15" t="s">
        <v>21</v>
      </c>
      <c r="H19" s="12" t="s">
        <v>22</v>
      </c>
    </row>
    <row r="20" customFormat="false" ht="43.5" hidden="false" customHeight="true" outlineLevel="0" collapsed="false">
      <c r="A20" s="11" t="n">
        <v>45667</v>
      </c>
      <c r="B20" s="12" t="s">
        <v>35</v>
      </c>
      <c r="C20" s="12" t="s">
        <v>30</v>
      </c>
      <c r="D20" s="12" t="s">
        <v>31</v>
      </c>
      <c r="E20" s="13" t="s">
        <v>82</v>
      </c>
      <c r="F20" s="14" t="s">
        <v>83</v>
      </c>
      <c r="G20" s="15" t="s">
        <v>21</v>
      </c>
      <c r="H20" s="12" t="s">
        <v>34</v>
      </c>
    </row>
    <row r="21" customFormat="false" ht="15" hidden="false" customHeight="true" outlineLevel="0" collapsed="false">
      <c r="A21" s="11" t="n">
        <v>45674</v>
      </c>
      <c r="B21" s="12" t="s">
        <v>29</v>
      </c>
      <c r="C21" s="12" t="s">
        <v>17</v>
      </c>
      <c r="D21" s="12" t="s">
        <v>31</v>
      </c>
      <c r="E21" s="13" t="s">
        <v>84</v>
      </c>
      <c r="F21" s="14" t="s">
        <v>54</v>
      </c>
      <c r="G21" s="15" t="s">
        <v>21</v>
      </c>
      <c r="H21" s="12" t="s">
        <v>34</v>
      </c>
    </row>
    <row r="22" customFormat="false" ht="15" hidden="false" customHeight="true" outlineLevel="0" collapsed="false">
      <c r="A22" s="11" t="n">
        <v>45751</v>
      </c>
      <c r="B22" s="12" t="s">
        <v>29</v>
      </c>
      <c r="C22" s="12" t="s">
        <v>85</v>
      </c>
      <c r="D22" s="12" t="s">
        <v>31</v>
      </c>
      <c r="E22" s="13" t="s">
        <v>86</v>
      </c>
      <c r="F22" s="14" t="s">
        <v>87</v>
      </c>
      <c r="G22" s="15" t="s">
        <v>21</v>
      </c>
      <c r="H22" s="12" t="s">
        <v>41</v>
      </c>
    </row>
    <row r="23" customFormat="false" ht="15" hidden="false" customHeight="true" outlineLevel="0" collapsed="false">
      <c r="A23" s="11" t="n">
        <v>45754</v>
      </c>
      <c r="B23" s="12" t="s">
        <v>35</v>
      </c>
      <c r="C23" s="12" t="s">
        <v>88</v>
      </c>
      <c r="D23" s="12" t="s">
        <v>31</v>
      </c>
      <c r="E23" s="13" t="s">
        <v>89</v>
      </c>
      <c r="F23" s="14" t="s">
        <v>90</v>
      </c>
      <c r="G23" s="15" t="s">
        <v>21</v>
      </c>
      <c r="H23" s="12" t="s">
        <v>22</v>
      </c>
    </row>
    <row r="24" customFormat="false" ht="15" hidden="false" customHeight="true" outlineLevel="0" collapsed="false">
      <c r="A24" s="11" t="n">
        <v>45784</v>
      </c>
      <c r="B24" s="12" t="s">
        <v>23</v>
      </c>
      <c r="C24" s="12" t="s">
        <v>24</v>
      </c>
      <c r="D24" s="12" t="s">
        <v>18</v>
      </c>
      <c r="E24" s="13" t="s">
        <v>91</v>
      </c>
      <c r="F24" s="14" t="s">
        <v>92</v>
      </c>
      <c r="G24" s="15" t="s">
        <v>93</v>
      </c>
      <c r="H24" s="12" t="s">
        <v>28</v>
      </c>
    </row>
    <row r="25" customFormat="false" ht="15" hidden="false" customHeight="true" outlineLevel="0" collapsed="false">
      <c r="A25" s="11" t="n">
        <v>45812</v>
      </c>
      <c r="B25" s="12" t="s">
        <v>23</v>
      </c>
      <c r="C25" s="12" t="s">
        <v>24</v>
      </c>
      <c r="D25" s="12" t="s">
        <v>18</v>
      </c>
      <c r="E25" s="13" t="s">
        <v>94</v>
      </c>
      <c r="F25" s="14" t="s">
        <v>95</v>
      </c>
      <c r="G25" s="15" t="s">
        <v>96</v>
      </c>
      <c r="H25" s="12" t="s">
        <v>28</v>
      </c>
    </row>
    <row r="26" customFormat="false" ht="15" hidden="false" customHeight="true" outlineLevel="0" collapsed="false">
      <c r="A26" s="11" t="n">
        <v>45839</v>
      </c>
      <c r="B26" s="12" t="s">
        <v>23</v>
      </c>
      <c r="C26" s="12" t="s">
        <v>24</v>
      </c>
      <c r="D26" s="12" t="s">
        <v>18</v>
      </c>
      <c r="E26" s="13" t="s">
        <v>97</v>
      </c>
      <c r="F26" s="14" t="s">
        <v>98</v>
      </c>
      <c r="G26" s="15" t="s">
        <v>99</v>
      </c>
      <c r="H26" s="12" t="s">
        <v>28</v>
      </c>
    </row>
    <row r="27" customFormat="false" ht="15" hidden="false" customHeight="true" outlineLevel="0" collapsed="false">
      <c r="A27" s="11" t="n">
        <v>45840</v>
      </c>
      <c r="B27" s="12" t="s">
        <v>23</v>
      </c>
      <c r="C27" s="12" t="s">
        <v>24</v>
      </c>
      <c r="D27" s="12" t="s">
        <v>31</v>
      </c>
      <c r="E27" s="13" t="s">
        <v>100</v>
      </c>
      <c r="F27" s="14" t="s">
        <v>101</v>
      </c>
      <c r="G27" s="15" t="s">
        <v>102</v>
      </c>
      <c r="H27" s="12" t="s">
        <v>34</v>
      </c>
    </row>
    <row r="28" customFormat="false" ht="15" hidden="false" customHeight="true" outlineLevel="0" collapsed="false">
      <c r="A28" s="11" t="n">
        <v>45842</v>
      </c>
      <c r="B28" s="12" t="s">
        <v>16</v>
      </c>
      <c r="C28" s="12" t="s">
        <v>103</v>
      </c>
      <c r="D28" s="12" t="s">
        <v>31</v>
      </c>
      <c r="E28" s="13" t="s">
        <v>104</v>
      </c>
      <c r="F28" s="14" t="s">
        <v>105</v>
      </c>
      <c r="G28" s="15" t="s">
        <v>21</v>
      </c>
      <c r="H28" s="12" t="s">
        <v>41</v>
      </c>
    </row>
    <row r="29" customFormat="false" ht="15" hidden="false" customHeight="true" outlineLevel="0" collapsed="false">
      <c r="A29" s="11" t="n">
        <v>45887</v>
      </c>
      <c r="B29" s="12" t="s">
        <v>42</v>
      </c>
      <c r="C29" s="12" t="s">
        <v>47</v>
      </c>
      <c r="D29" s="12" t="s">
        <v>18</v>
      </c>
      <c r="E29" s="13" t="s">
        <v>106</v>
      </c>
      <c r="F29" s="14" t="s">
        <v>107</v>
      </c>
      <c r="G29" s="15" t="s">
        <v>21</v>
      </c>
      <c r="H29" s="12" t="s">
        <v>50</v>
      </c>
    </row>
    <row r="30" customFormat="false" ht="15" hidden="false" customHeight="true" outlineLevel="0" collapsed="false">
      <c r="A30" s="11" t="n">
        <v>45919</v>
      </c>
      <c r="B30" s="12" t="s">
        <v>29</v>
      </c>
      <c r="C30" s="12" t="s">
        <v>43</v>
      </c>
      <c r="D30" s="12" t="s">
        <v>31</v>
      </c>
      <c r="E30" s="13" t="s">
        <v>108</v>
      </c>
      <c r="F30" s="14" t="s">
        <v>109</v>
      </c>
      <c r="G30" s="15" t="s">
        <v>21</v>
      </c>
      <c r="H30" s="12" t="s">
        <v>59</v>
      </c>
    </row>
    <row r="31" customFormat="false" ht="15" hidden="false" customHeight="true" outlineLevel="0" collapsed="false">
      <c r="A31" s="11" t="n">
        <v>45930</v>
      </c>
      <c r="B31" s="12" t="s">
        <v>55</v>
      </c>
      <c r="C31" s="12" t="s">
        <v>30</v>
      </c>
      <c r="D31" s="12" t="s">
        <v>56</v>
      </c>
      <c r="E31" s="13" t="s">
        <v>110</v>
      </c>
      <c r="F31" s="14" t="s">
        <v>58</v>
      </c>
      <c r="G31" s="15" t="s">
        <v>21</v>
      </c>
      <c r="H31" s="12" t="s">
        <v>59</v>
      </c>
    </row>
    <row r="32" customFormat="false" ht="15" hidden="false" customHeight="true" outlineLevel="0" collapsed="false">
      <c r="A32" s="11" t="n">
        <v>45931</v>
      </c>
      <c r="B32" s="12" t="s">
        <v>55</v>
      </c>
      <c r="C32" s="12" t="s">
        <v>30</v>
      </c>
      <c r="D32" s="12" t="s">
        <v>18</v>
      </c>
      <c r="E32" s="13" t="s">
        <v>111</v>
      </c>
      <c r="F32" s="14" t="s">
        <v>112</v>
      </c>
      <c r="G32" s="15" t="s">
        <v>21</v>
      </c>
      <c r="H32" s="12" t="s">
        <v>59</v>
      </c>
    </row>
    <row r="33" customFormat="false" ht="15" hidden="false" customHeight="true" outlineLevel="0" collapsed="false">
      <c r="A33" s="11" t="n">
        <v>45939</v>
      </c>
      <c r="B33" s="12" t="s">
        <v>62</v>
      </c>
      <c r="C33" s="12" t="s">
        <v>63</v>
      </c>
      <c r="D33" s="12" t="s">
        <v>31</v>
      </c>
      <c r="E33" s="13" t="s">
        <v>113</v>
      </c>
      <c r="F33" s="14" t="s">
        <v>114</v>
      </c>
      <c r="G33" s="15" t="s">
        <v>21</v>
      </c>
      <c r="H33" s="12" t="s">
        <v>46</v>
      </c>
    </row>
    <row r="34" customFormat="false" ht="15" hidden="false" customHeight="true" outlineLevel="0" collapsed="false">
      <c r="A34" s="11" t="n">
        <v>45945</v>
      </c>
      <c r="B34" s="12" t="s">
        <v>55</v>
      </c>
      <c r="C34" s="12" t="s">
        <v>77</v>
      </c>
      <c r="D34" s="12" t="s">
        <v>18</v>
      </c>
      <c r="E34" s="13" t="s">
        <v>115</v>
      </c>
      <c r="F34" s="14" t="s">
        <v>116</v>
      </c>
      <c r="G34" s="15" t="s">
        <v>117</v>
      </c>
      <c r="H34" s="12" t="s">
        <v>41</v>
      </c>
    </row>
    <row r="35" customFormat="false" ht="15" hidden="false" customHeight="true" outlineLevel="0" collapsed="false">
      <c r="A35" s="11" t="n">
        <v>45945</v>
      </c>
      <c r="B35" s="12" t="s">
        <v>23</v>
      </c>
      <c r="C35" s="12" t="s">
        <v>24</v>
      </c>
      <c r="D35" s="12" t="s">
        <v>18</v>
      </c>
      <c r="E35" s="13" t="s">
        <v>118</v>
      </c>
      <c r="F35" s="14" t="s">
        <v>101</v>
      </c>
      <c r="G35" s="15" t="s">
        <v>102</v>
      </c>
      <c r="H35" s="12" t="s">
        <v>28</v>
      </c>
    </row>
    <row r="36" customFormat="false" ht="15" hidden="false" customHeight="true" outlineLevel="0" collapsed="false">
      <c r="A36" s="11" t="n">
        <v>45980</v>
      </c>
      <c r="B36" s="12" t="s">
        <v>35</v>
      </c>
      <c r="C36" s="12" t="s">
        <v>66</v>
      </c>
      <c r="D36" s="12" t="s">
        <v>31</v>
      </c>
      <c r="E36" s="13" t="s">
        <v>119</v>
      </c>
      <c r="F36" s="14" t="s">
        <v>120</v>
      </c>
      <c r="G36" s="15" t="s">
        <v>21</v>
      </c>
      <c r="H36" s="12" t="s">
        <v>22</v>
      </c>
    </row>
    <row r="37" customFormat="false" ht="15" hidden="false" customHeight="true" outlineLevel="0" collapsed="false">
      <c r="A37" s="11" t="n">
        <v>45989</v>
      </c>
      <c r="B37" s="12" t="s">
        <v>29</v>
      </c>
      <c r="C37" s="12" t="s">
        <v>85</v>
      </c>
      <c r="D37" s="12" t="s">
        <v>31</v>
      </c>
      <c r="E37" s="13" t="s">
        <v>121</v>
      </c>
      <c r="F37" s="14" t="s">
        <v>122</v>
      </c>
      <c r="G37" s="15" t="s">
        <v>21</v>
      </c>
      <c r="H37" s="12" t="s">
        <v>34</v>
      </c>
    </row>
    <row r="38" customFormat="false" ht="15" hidden="false" customHeight="true" outlineLevel="0" collapsed="false">
      <c r="A38" s="11" t="n">
        <v>45991</v>
      </c>
      <c r="B38" s="12" t="s">
        <v>35</v>
      </c>
      <c r="C38" s="12" t="s">
        <v>17</v>
      </c>
      <c r="D38" s="12" t="s">
        <v>31</v>
      </c>
      <c r="E38" s="13" t="s">
        <v>123</v>
      </c>
      <c r="F38" s="14" t="s">
        <v>54</v>
      </c>
      <c r="G38" s="15" t="s">
        <v>21</v>
      </c>
      <c r="H38" s="12" t="s">
        <v>34</v>
      </c>
    </row>
    <row r="39" customFormat="false" ht="15" hidden="false" customHeight="true" outlineLevel="0" collapsed="false">
      <c r="A39" s="11" t="n">
        <v>46023</v>
      </c>
      <c r="B39" s="12" t="s">
        <v>16</v>
      </c>
      <c r="C39" s="12" t="s">
        <v>124</v>
      </c>
      <c r="D39" s="12" t="s">
        <v>18</v>
      </c>
      <c r="E39" s="13" t="s">
        <v>125</v>
      </c>
      <c r="F39" s="14" t="s">
        <v>126</v>
      </c>
      <c r="G39" s="15" t="s">
        <v>21</v>
      </c>
      <c r="H39" s="12" t="s">
        <v>22</v>
      </c>
    </row>
    <row r="40" customFormat="false" ht="15" hidden="false" customHeight="true" outlineLevel="0" collapsed="false">
      <c r="A40" s="11" t="n">
        <v>46023</v>
      </c>
      <c r="B40" s="12" t="s">
        <v>23</v>
      </c>
      <c r="C40" s="12" t="s">
        <v>77</v>
      </c>
      <c r="D40" s="12" t="s">
        <v>18</v>
      </c>
      <c r="E40" s="13" t="s">
        <v>127</v>
      </c>
      <c r="F40" s="14" t="s">
        <v>116</v>
      </c>
      <c r="G40" s="15" t="s">
        <v>117</v>
      </c>
      <c r="H40" s="12" t="s">
        <v>41</v>
      </c>
    </row>
    <row r="41" customFormat="false" ht="15" hidden="false" customHeight="true" outlineLevel="0" collapsed="false">
      <c r="A41" s="11" t="n">
        <v>46023</v>
      </c>
      <c r="B41" s="12" t="s">
        <v>23</v>
      </c>
      <c r="C41" s="12" t="s">
        <v>24</v>
      </c>
      <c r="D41" s="12" t="s">
        <v>18</v>
      </c>
      <c r="E41" s="13" t="s">
        <v>128</v>
      </c>
      <c r="F41" s="14" t="s">
        <v>129</v>
      </c>
      <c r="G41" s="15" t="s">
        <v>130</v>
      </c>
      <c r="H41" s="12" t="s">
        <v>28</v>
      </c>
    </row>
    <row r="42" customFormat="false" ht="15" hidden="false" customHeight="true" outlineLevel="0" collapsed="false">
      <c r="A42" s="11" t="n">
        <v>46023</v>
      </c>
      <c r="B42" s="12" t="s">
        <v>23</v>
      </c>
      <c r="C42" s="12" t="s">
        <v>24</v>
      </c>
      <c r="D42" s="12" t="s">
        <v>18</v>
      </c>
      <c r="E42" s="13" t="s">
        <v>131</v>
      </c>
      <c r="F42" s="14" t="s">
        <v>132</v>
      </c>
      <c r="G42" s="15" t="s">
        <v>133</v>
      </c>
      <c r="H42" s="12" t="s">
        <v>28</v>
      </c>
    </row>
    <row r="43" customFormat="false" ht="15" hidden="false" customHeight="true" outlineLevel="0" collapsed="false">
      <c r="A43" s="11" t="n">
        <v>46023</v>
      </c>
      <c r="B43" s="12" t="s">
        <v>23</v>
      </c>
      <c r="C43" s="12" t="s">
        <v>24</v>
      </c>
      <c r="D43" s="12" t="s">
        <v>18</v>
      </c>
      <c r="E43" s="13" t="s">
        <v>134</v>
      </c>
      <c r="F43" s="14" t="s">
        <v>135</v>
      </c>
      <c r="G43" s="15" t="s">
        <v>136</v>
      </c>
      <c r="H43" s="12" t="s">
        <v>28</v>
      </c>
    </row>
    <row r="44" customFormat="false" ht="15" hidden="false" customHeight="true" outlineLevel="0" collapsed="false">
      <c r="A44" s="11" t="n">
        <v>46023</v>
      </c>
      <c r="B44" s="12" t="s">
        <v>23</v>
      </c>
      <c r="C44" s="12" t="s">
        <v>24</v>
      </c>
      <c r="D44" s="12" t="s">
        <v>18</v>
      </c>
      <c r="E44" s="13" t="s">
        <v>137</v>
      </c>
      <c r="F44" s="14" t="s">
        <v>138</v>
      </c>
      <c r="G44" s="15" t="s">
        <v>102</v>
      </c>
      <c r="H44" s="12" t="s">
        <v>22</v>
      </c>
    </row>
    <row r="45" customFormat="false" ht="15" hidden="false" customHeight="true" outlineLevel="0" collapsed="false">
      <c r="A45" s="11" t="n">
        <v>46048</v>
      </c>
      <c r="B45" s="12" t="s">
        <v>35</v>
      </c>
      <c r="C45" s="12" t="s">
        <v>30</v>
      </c>
      <c r="D45" s="12" t="s">
        <v>31</v>
      </c>
      <c r="E45" s="13" t="s">
        <v>139</v>
      </c>
      <c r="F45" s="14" t="s">
        <v>140</v>
      </c>
      <c r="G45" s="15" t="s">
        <v>21</v>
      </c>
      <c r="H45" s="12" t="s">
        <v>34</v>
      </c>
    </row>
    <row r="46" customFormat="false" ht="15" hidden="false" customHeight="true" outlineLevel="0" collapsed="false">
      <c r="A46" s="11" t="n">
        <v>46049</v>
      </c>
      <c r="B46" s="12" t="s">
        <v>29</v>
      </c>
      <c r="C46" s="12" t="s">
        <v>30</v>
      </c>
      <c r="D46" s="12" t="s">
        <v>31</v>
      </c>
      <c r="E46" s="13" t="s">
        <v>141</v>
      </c>
      <c r="F46" s="14" t="s">
        <v>54</v>
      </c>
      <c r="G46" s="15" t="s">
        <v>21</v>
      </c>
      <c r="H46" s="12" t="s">
        <v>34</v>
      </c>
    </row>
    <row r="47" customFormat="false" ht="15" hidden="false" customHeight="true" outlineLevel="0" collapsed="false">
      <c r="A47" s="11" t="n">
        <v>46084</v>
      </c>
      <c r="B47" s="12" t="s">
        <v>23</v>
      </c>
      <c r="C47" s="12" t="s">
        <v>24</v>
      </c>
      <c r="D47" s="12" t="s">
        <v>31</v>
      </c>
      <c r="E47" s="13" t="s">
        <v>142</v>
      </c>
      <c r="F47" s="14" t="s">
        <v>143</v>
      </c>
      <c r="G47" s="15" t="s">
        <v>144</v>
      </c>
      <c r="H47" s="12" t="s">
        <v>34</v>
      </c>
    </row>
    <row r="48" customFormat="false" ht="15" hidden="false" customHeight="true" outlineLevel="0" collapsed="false">
      <c r="A48" s="11" t="n">
        <v>46114</v>
      </c>
      <c r="B48" s="12" t="s">
        <v>29</v>
      </c>
      <c r="C48" s="12" t="s">
        <v>85</v>
      </c>
      <c r="D48" s="12" t="s">
        <v>31</v>
      </c>
      <c r="E48" s="13" t="s">
        <v>145</v>
      </c>
      <c r="F48" s="14" t="s">
        <v>146</v>
      </c>
      <c r="G48" s="15" t="s">
        <v>21</v>
      </c>
      <c r="H48" s="12" t="s">
        <v>34</v>
      </c>
    </row>
    <row r="49" customFormat="false" ht="15" hidden="false" customHeight="true" outlineLevel="0" collapsed="false">
      <c r="A49" s="11" t="n">
        <v>46118</v>
      </c>
      <c r="B49" s="12" t="s">
        <v>35</v>
      </c>
      <c r="C49" s="12" t="s">
        <v>30</v>
      </c>
      <c r="D49" s="12" t="s">
        <v>31</v>
      </c>
      <c r="E49" s="13" t="s">
        <v>147</v>
      </c>
      <c r="F49" s="14" t="s">
        <v>148</v>
      </c>
      <c r="G49" s="15" t="s">
        <v>21</v>
      </c>
      <c r="H49" s="12" t="s">
        <v>34</v>
      </c>
    </row>
    <row r="50" customFormat="false" ht="15" hidden="false" customHeight="true" outlineLevel="0" collapsed="false">
      <c r="A50" s="11" t="n">
        <v>46169</v>
      </c>
      <c r="B50" s="12" t="s">
        <v>42</v>
      </c>
      <c r="C50" s="12" t="s">
        <v>43</v>
      </c>
      <c r="D50" s="12" t="s">
        <v>31</v>
      </c>
      <c r="E50" s="13" t="s">
        <v>149</v>
      </c>
      <c r="F50" s="14" t="s">
        <v>150</v>
      </c>
      <c r="G50" s="15" t="s">
        <v>21</v>
      </c>
      <c r="H50" s="12" t="s">
        <v>46</v>
      </c>
    </row>
    <row r="51" customFormat="false" ht="15" hidden="false" customHeight="true" outlineLevel="0" collapsed="false">
      <c r="A51" s="11"/>
      <c r="B51" s="12"/>
      <c r="C51" s="12"/>
      <c r="D51" s="12"/>
      <c r="E51" s="13"/>
      <c r="F51" s="14"/>
      <c r="G51" s="15"/>
    </row>
    <row r="52" customFormat="false" ht="15" hidden="false" customHeight="true" outlineLevel="0" collapsed="false">
      <c r="A52" s="11"/>
      <c r="B52" s="12"/>
      <c r="C52" s="12"/>
      <c r="D52" s="12"/>
      <c r="E52" s="13"/>
      <c r="F52" s="14"/>
      <c r="G52" s="15"/>
    </row>
    <row r="53" customFormat="false" ht="15" hidden="false" customHeight="true" outlineLevel="0" collapsed="false">
      <c r="A53" s="11"/>
      <c r="B53" s="12"/>
      <c r="C53" s="12"/>
      <c r="D53" s="12"/>
      <c r="E53" s="13"/>
      <c r="F53" s="14"/>
      <c r="G53" s="15"/>
    </row>
    <row r="54" customFormat="false" ht="15" hidden="false" customHeight="true" outlineLevel="0" collapsed="false">
      <c r="A54" s="16"/>
      <c r="B54" s="16"/>
      <c r="C54" s="16"/>
      <c r="D54" s="16"/>
      <c r="E54" s="17"/>
      <c r="F54" s="18"/>
    </row>
    <row r="55" customFormat="false" ht="15" hidden="false" customHeight="true" outlineLevel="0" collapsed="false">
      <c r="A55" s="16"/>
      <c r="B55" s="16"/>
      <c r="C55" s="16"/>
      <c r="D55" s="16"/>
      <c r="E55" s="17"/>
      <c r="F55" s="18"/>
    </row>
    <row r="56" customFormat="false" ht="15" hidden="false" customHeight="true" outlineLevel="0" collapsed="false">
      <c r="A56" s="16"/>
      <c r="B56" s="16"/>
      <c r="C56" s="16"/>
      <c r="D56" s="16"/>
      <c r="E56" s="17"/>
      <c r="F56" s="18"/>
    </row>
    <row r="57" customFormat="false" ht="15" hidden="false" customHeight="true" outlineLevel="0" collapsed="false">
      <c r="A57" s="16"/>
      <c r="B57" s="16"/>
      <c r="C57" s="16"/>
      <c r="D57" s="16"/>
      <c r="E57" s="17"/>
      <c r="F57" s="18"/>
    </row>
    <row r="58" customFormat="false" ht="15" hidden="false" customHeight="true" outlineLevel="0" collapsed="false">
      <c r="A58" s="16"/>
      <c r="B58" s="16"/>
      <c r="C58" s="16"/>
      <c r="D58" s="16"/>
      <c r="E58" s="17"/>
      <c r="F58" s="18"/>
    </row>
    <row r="59" customFormat="false" ht="15" hidden="false" customHeight="true" outlineLevel="0" collapsed="false">
      <c r="A59" s="16"/>
      <c r="B59" s="16"/>
      <c r="C59" s="16"/>
      <c r="D59" s="16"/>
      <c r="E59" s="17"/>
      <c r="F59" s="18"/>
    </row>
    <row r="60" customFormat="false" ht="15" hidden="false" customHeight="true" outlineLevel="0" collapsed="false">
      <c r="A60" s="16"/>
      <c r="B60" s="16"/>
      <c r="C60" s="16"/>
      <c r="D60" s="16"/>
      <c r="E60" s="17"/>
      <c r="F60" s="18"/>
    </row>
    <row r="61" customFormat="false" ht="15" hidden="false" customHeight="true" outlineLevel="0" collapsed="false">
      <c r="A61" s="16"/>
      <c r="B61" s="16"/>
      <c r="C61" s="16"/>
      <c r="D61" s="16"/>
      <c r="E61" s="17"/>
      <c r="F61" s="18"/>
    </row>
    <row r="62" customFormat="false" ht="15" hidden="false" customHeight="true" outlineLevel="0" collapsed="false">
      <c r="A62" s="16"/>
      <c r="B62" s="16"/>
      <c r="C62" s="16"/>
      <c r="D62" s="16"/>
      <c r="E62" s="17"/>
      <c r="F62" s="18"/>
    </row>
    <row r="63" customFormat="false" ht="15" hidden="false" customHeight="true" outlineLevel="0" collapsed="false">
      <c r="A63" s="16"/>
      <c r="B63" s="16"/>
      <c r="C63" s="16"/>
      <c r="D63" s="16"/>
      <c r="E63" s="17"/>
      <c r="F63" s="18"/>
    </row>
    <row r="64" customFormat="false" ht="15" hidden="false" customHeight="true" outlineLevel="0" collapsed="false">
      <c r="A64" s="16"/>
      <c r="B64" s="16"/>
      <c r="C64" s="16"/>
      <c r="D64" s="16"/>
      <c r="E64" s="17"/>
      <c r="F64" s="18"/>
    </row>
    <row r="65" customFormat="false" ht="15" hidden="false" customHeight="true" outlineLevel="0" collapsed="false">
      <c r="A65" s="16"/>
      <c r="B65" s="16"/>
      <c r="C65" s="16"/>
      <c r="D65" s="16"/>
      <c r="E65" s="17"/>
      <c r="F65" s="18"/>
    </row>
    <row r="66" customFormat="false" ht="15" hidden="false" customHeight="true" outlineLevel="0" collapsed="false">
      <c r="A66" s="16"/>
      <c r="B66" s="16"/>
      <c r="C66" s="16"/>
      <c r="D66" s="16"/>
      <c r="E66" s="17"/>
      <c r="F66" s="18"/>
    </row>
    <row r="67" customFormat="false" ht="15" hidden="false" customHeight="true" outlineLevel="0" collapsed="false">
      <c r="A67" s="16"/>
      <c r="B67" s="16"/>
      <c r="C67" s="16"/>
      <c r="D67" s="16"/>
      <c r="E67" s="17"/>
      <c r="F67" s="18"/>
    </row>
    <row r="68" customFormat="false" ht="15" hidden="false" customHeight="true" outlineLevel="0" collapsed="false">
      <c r="A68" s="16"/>
      <c r="B68" s="16"/>
      <c r="C68" s="16"/>
      <c r="D68" s="16"/>
      <c r="E68" s="17"/>
      <c r="F68" s="18"/>
    </row>
    <row r="69" customFormat="false" ht="15" hidden="false" customHeight="true" outlineLevel="0" collapsed="false">
      <c r="A69" s="16"/>
      <c r="B69" s="16"/>
      <c r="C69" s="16"/>
      <c r="D69" s="16"/>
      <c r="E69" s="17"/>
      <c r="F69" s="18"/>
    </row>
    <row r="70" customFormat="false" ht="15" hidden="false" customHeight="true" outlineLevel="0" collapsed="false">
      <c r="A70" s="16"/>
      <c r="B70" s="16"/>
      <c r="C70" s="16"/>
      <c r="D70" s="16"/>
      <c r="E70" s="17"/>
      <c r="F70" s="18"/>
    </row>
    <row r="71" customFormat="false" ht="15" hidden="false" customHeight="true" outlineLevel="0" collapsed="false">
      <c r="A71" s="16"/>
      <c r="B71" s="16"/>
      <c r="C71" s="16"/>
      <c r="D71" s="16"/>
      <c r="E71" s="17"/>
      <c r="F71" s="18"/>
    </row>
    <row r="72" customFormat="false" ht="15" hidden="false" customHeight="true" outlineLevel="0" collapsed="false">
      <c r="A72" s="16"/>
      <c r="B72" s="16"/>
      <c r="C72" s="16"/>
      <c r="D72" s="16"/>
      <c r="E72" s="17"/>
      <c r="F72" s="18"/>
    </row>
    <row r="73" customFormat="false" ht="15" hidden="false" customHeight="true" outlineLevel="0" collapsed="false">
      <c r="A73" s="16"/>
      <c r="B73" s="16"/>
      <c r="C73" s="16"/>
      <c r="D73" s="16"/>
      <c r="E73" s="17"/>
      <c r="F73" s="18"/>
    </row>
    <row r="74" customFormat="false" ht="15" hidden="false" customHeight="true" outlineLevel="0" collapsed="false">
      <c r="A74" s="16"/>
      <c r="B74" s="16"/>
      <c r="C74" s="16"/>
      <c r="D74" s="16"/>
      <c r="E74" s="17"/>
      <c r="F74" s="18"/>
    </row>
    <row r="75" customFormat="false" ht="15" hidden="false" customHeight="true" outlineLevel="0" collapsed="false">
      <c r="A75" s="16"/>
      <c r="B75" s="16"/>
      <c r="C75" s="16"/>
      <c r="D75" s="16"/>
      <c r="E75" s="17"/>
      <c r="F75" s="18"/>
    </row>
    <row r="76" customFormat="false" ht="15" hidden="false" customHeight="true" outlineLevel="0" collapsed="false">
      <c r="A76" s="16"/>
      <c r="B76" s="16"/>
      <c r="C76" s="16"/>
      <c r="D76" s="16"/>
      <c r="E76" s="17"/>
      <c r="F76" s="18"/>
    </row>
    <row r="77" customFormat="false" ht="15" hidden="false" customHeight="true" outlineLevel="0" collapsed="false">
      <c r="A77" s="16"/>
      <c r="B77" s="16"/>
      <c r="C77" s="16"/>
      <c r="D77" s="16"/>
      <c r="E77" s="17"/>
      <c r="F77" s="18"/>
    </row>
    <row r="78" customFormat="false" ht="15" hidden="false" customHeight="true" outlineLevel="0" collapsed="false">
      <c r="A78" s="16"/>
      <c r="B78" s="16"/>
      <c r="C78" s="16"/>
      <c r="D78" s="16"/>
      <c r="E78" s="17"/>
      <c r="F78" s="18"/>
    </row>
    <row r="79" customFormat="false" ht="15" hidden="false" customHeight="true" outlineLevel="0" collapsed="false">
      <c r="A79" s="16"/>
      <c r="B79" s="16"/>
      <c r="C79" s="16"/>
      <c r="D79" s="16"/>
      <c r="E79" s="17"/>
      <c r="F79" s="18"/>
    </row>
    <row r="80" customFormat="false" ht="15" hidden="false" customHeight="true" outlineLevel="0" collapsed="false">
      <c r="A80" s="16"/>
      <c r="B80" s="16"/>
      <c r="C80" s="16"/>
      <c r="D80" s="16"/>
      <c r="E80" s="17"/>
      <c r="F80" s="18"/>
    </row>
    <row r="81" customFormat="false" ht="15" hidden="false" customHeight="true" outlineLevel="0" collapsed="false">
      <c r="A81" s="16"/>
      <c r="B81" s="16"/>
      <c r="C81" s="16"/>
      <c r="D81" s="16"/>
      <c r="E81" s="17"/>
      <c r="F81" s="18"/>
    </row>
    <row r="82" customFormat="false" ht="15" hidden="false" customHeight="true" outlineLevel="0" collapsed="false">
      <c r="A82" s="16"/>
      <c r="B82" s="16"/>
      <c r="C82" s="16"/>
      <c r="D82" s="16"/>
      <c r="E82" s="17"/>
      <c r="F82" s="18"/>
    </row>
    <row r="83" customFormat="false" ht="15" hidden="false" customHeight="true" outlineLevel="0" collapsed="false">
      <c r="A83" s="16"/>
      <c r="B83" s="16"/>
      <c r="C83" s="16"/>
      <c r="D83" s="16"/>
      <c r="E83" s="17"/>
      <c r="F83" s="18"/>
    </row>
    <row r="84" customFormat="false" ht="15" hidden="false" customHeight="true" outlineLevel="0" collapsed="false">
      <c r="A84" s="16"/>
      <c r="B84" s="16"/>
      <c r="C84" s="16"/>
      <c r="D84" s="16"/>
      <c r="E84" s="17"/>
      <c r="F84" s="18"/>
    </row>
    <row r="85" customFormat="false" ht="15" hidden="false" customHeight="true" outlineLevel="0" collapsed="false">
      <c r="A85" s="16"/>
      <c r="B85" s="16"/>
      <c r="C85" s="16"/>
      <c r="D85" s="16"/>
      <c r="E85" s="17"/>
      <c r="F85" s="18"/>
    </row>
    <row r="86" customFormat="false" ht="15" hidden="false" customHeight="true" outlineLevel="0" collapsed="false">
      <c r="A86" s="16"/>
      <c r="B86" s="16"/>
      <c r="C86" s="16"/>
      <c r="D86" s="16"/>
      <c r="E86" s="17"/>
      <c r="F86" s="18"/>
    </row>
    <row r="87" customFormat="false" ht="15" hidden="false" customHeight="true" outlineLevel="0" collapsed="false">
      <c r="A87" s="16"/>
      <c r="B87" s="16"/>
      <c r="C87" s="16"/>
      <c r="D87" s="16"/>
      <c r="E87" s="17"/>
      <c r="F87" s="18"/>
    </row>
    <row r="88" customFormat="false" ht="15" hidden="false" customHeight="true" outlineLevel="0" collapsed="false">
      <c r="A88" s="16"/>
      <c r="B88" s="16"/>
      <c r="C88" s="16"/>
      <c r="D88" s="16"/>
      <c r="E88" s="17"/>
      <c r="F88" s="18"/>
    </row>
    <row r="89" customFormat="false" ht="15" hidden="false" customHeight="true" outlineLevel="0" collapsed="false">
      <c r="A89" s="16"/>
      <c r="B89" s="16"/>
      <c r="C89" s="16"/>
      <c r="D89" s="16"/>
      <c r="E89" s="17"/>
      <c r="F89" s="18"/>
    </row>
    <row r="90" customFormat="false" ht="15" hidden="false" customHeight="true" outlineLevel="0" collapsed="false">
      <c r="A90" s="16"/>
      <c r="B90" s="16"/>
      <c r="C90" s="16"/>
      <c r="D90" s="16"/>
      <c r="E90" s="17"/>
      <c r="F90" s="18"/>
    </row>
    <row r="91" customFormat="false" ht="15" hidden="false" customHeight="true" outlineLevel="0" collapsed="false">
      <c r="A91" s="16"/>
      <c r="B91" s="16"/>
      <c r="C91" s="16"/>
      <c r="D91" s="16"/>
      <c r="E91" s="17"/>
      <c r="F91" s="18"/>
    </row>
    <row r="92" customFormat="false" ht="15" hidden="false" customHeight="true" outlineLevel="0" collapsed="false">
      <c r="A92" s="16"/>
      <c r="B92" s="16"/>
      <c r="C92" s="16"/>
      <c r="D92" s="16"/>
      <c r="E92" s="17"/>
      <c r="F92" s="18"/>
    </row>
    <row r="93" customFormat="false" ht="15" hidden="false" customHeight="true" outlineLevel="0" collapsed="false">
      <c r="A93" s="16"/>
      <c r="B93" s="16"/>
      <c r="C93" s="16"/>
      <c r="D93" s="16"/>
      <c r="E93" s="17"/>
      <c r="F93" s="18"/>
    </row>
    <row r="94" customFormat="false" ht="15" hidden="false" customHeight="true" outlineLevel="0" collapsed="false">
      <c r="A94" s="16"/>
      <c r="B94" s="16"/>
      <c r="C94" s="16"/>
      <c r="D94" s="16"/>
      <c r="E94" s="17"/>
      <c r="F94" s="18"/>
    </row>
    <row r="95" customFormat="false" ht="15" hidden="false" customHeight="true" outlineLevel="0" collapsed="false">
      <c r="A95" s="16"/>
      <c r="B95" s="16"/>
      <c r="C95" s="16"/>
      <c r="D95" s="16"/>
      <c r="E95" s="17"/>
      <c r="F95" s="18"/>
    </row>
    <row r="96" customFormat="false" ht="15" hidden="false" customHeight="true" outlineLevel="0" collapsed="false">
      <c r="A96" s="16"/>
      <c r="B96" s="16"/>
      <c r="C96" s="16"/>
      <c r="D96" s="16"/>
      <c r="E96" s="17"/>
      <c r="F96" s="18"/>
    </row>
    <row r="97" customFormat="false" ht="15" hidden="false" customHeight="true" outlineLevel="0" collapsed="false">
      <c r="A97" s="16"/>
      <c r="B97" s="16"/>
      <c r="C97" s="16"/>
      <c r="D97" s="16"/>
      <c r="E97" s="17"/>
      <c r="F97" s="18"/>
    </row>
    <row r="98" customFormat="false" ht="15" hidden="false" customHeight="true" outlineLevel="0" collapsed="false">
      <c r="A98" s="16"/>
      <c r="B98" s="16"/>
      <c r="C98" s="16"/>
      <c r="D98" s="16"/>
      <c r="E98" s="17"/>
      <c r="F98" s="18"/>
    </row>
    <row r="99" customFormat="false" ht="15" hidden="false" customHeight="true" outlineLevel="0" collapsed="false">
      <c r="A99" s="16"/>
      <c r="B99" s="16"/>
      <c r="C99" s="16"/>
      <c r="D99" s="16"/>
      <c r="E99" s="17"/>
      <c r="F99" s="18"/>
    </row>
    <row r="100" customFormat="false" ht="15" hidden="false" customHeight="true" outlineLevel="0" collapsed="false">
      <c r="A100" s="16"/>
      <c r="B100" s="16"/>
      <c r="C100" s="16"/>
      <c r="D100" s="16"/>
      <c r="E100" s="17"/>
      <c r="F100" s="18"/>
    </row>
    <row r="101" customFormat="false" ht="15" hidden="false" customHeight="true" outlineLevel="0" collapsed="false">
      <c r="A101" s="16"/>
      <c r="B101" s="16"/>
      <c r="C101" s="16"/>
      <c r="D101" s="16"/>
      <c r="E101" s="17"/>
      <c r="F101" s="18"/>
    </row>
    <row r="102" customFormat="false" ht="15" hidden="false" customHeight="true" outlineLevel="0" collapsed="false">
      <c r="A102" s="16"/>
      <c r="B102" s="16"/>
      <c r="C102" s="16"/>
      <c r="D102" s="16"/>
      <c r="E102" s="17"/>
      <c r="F102" s="18"/>
    </row>
    <row r="103" customFormat="false" ht="15" hidden="false" customHeight="true" outlineLevel="0" collapsed="false">
      <c r="A103" s="16"/>
      <c r="B103" s="16"/>
      <c r="C103" s="16"/>
      <c r="D103" s="16"/>
      <c r="E103" s="17"/>
      <c r="F103" s="18"/>
    </row>
    <row r="104" customFormat="false" ht="15" hidden="false" customHeight="true" outlineLevel="0" collapsed="false">
      <c r="A104" s="16"/>
      <c r="B104" s="16"/>
      <c r="C104" s="16"/>
      <c r="D104" s="16"/>
      <c r="E104" s="17"/>
      <c r="F104" s="18"/>
    </row>
    <row r="105" customFormat="false" ht="15" hidden="false" customHeight="true" outlineLevel="0" collapsed="false">
      <c r="A105" s="16"/>
      <c r="B105" s="16"/>
      <c r="C105" s="16"/>
      <c r="D105" s="16"/>
      <c r="E105" s="17"/>
      <c r="F105" s="18"/>
    </row>
    <row r="106" customFormat="false" ht="15" hidden="false" customHeight="true" outlineLevel="0" collapsed="false">
      <c r="A106" s="16"/>
      <c r="B106" s="16"/>
      <c r="C106" s="16"/>
      <c r="D106" s="16"/>
      <c r="E106" s="17"/>
      <c r="F106" s="18"/>
    </row>
    <row r="107" customFormat="false" ht="15" hidden="false" customHeight="true" outlineLevel="0" collapsed="false">
      <c r="A107" s="16"/>
      <c r="B107" s="16"/>
      <c r="C107" s="16"/>
      <c r="D107" s="16"/>
      <c r="E107" s="17"/>
      <c r="F107" s="18"/>
    </row>
    <row r="108" customFormat="false" ht="15" hidden="false" customHeight="true" outlineLevel="0" collapsed="false">
      <c r="A108" s="16"/>
      <c r="B108" s="16"/>
      <c r="C108" s="16"/>
      <c r="D108" s="16"/>
      <c r="E108" s="17"/>
      <c r="F108" s="18"/>
    </row>
    <row r="109" customFormat="false" ht="15" hidden="false" customHeight="true" outlineLevel="0" collapsed="false">
      <c r="A109" s="16"/>
      <c r="B109" s="16"/>
      <c r="C109" s="16"/>
      <c r="D109" s="16"/>
      <c r="E109" s="17"/>
      <c r="F109" s="18"/>
    </row>
    <row r="110" customFormat="false" ht="15" hidden="false" customHeight="true" outlineLevel="0" collapsed="false">
      <c r="A110" s="16"/>
      <c r="B110" s="16"/>
      <c r="C110" s="16"/>
      <c r="D110" s="16"/>
      <c r="E110" s="17"/>
      <c r="F110" s="18"/>
    </row>
    <row r="111" customFormat="false" ht="15" hidden="false" customHeight="true" outlineLevel="0" collapsed="false">
      <c r="A111" s="16"/>
      <c r="B111" s="16"/>
      <c r="C111" s="16"/>
      <c r="D111" s="16"/>
      <c r="E111" s="17"/>
      <c r="F111" s="18"/>
    </row>
    <row r="112" customFormat="false" ht="15" hidden="false" customHeight="true" outlineLevel="0" collapsed="false">
      <c r="A112" s="16"/>
      <c r="B112" s="16"/>
      <c r="C112" s="16"/>
      <c r="D112" s="16"/>
      <c r="E112" s="17"/>
      <c r="F112" s="18"/>
    </row>
    <row r="113" customFormat="false" ht="15" hidden="false" customHeight="true" outlineLevel="0" collapsed="false">
      <c r="A113" s="16"/>
      <c r="B113" s="16"/>
      <c r="C113" s="16"/>
      <c r="D113" s="16"/>
      <c r="E113" s="17"/>
      <c r="F113" s="18"/>
    </row>
    <row r="114" customFormat="false" ht="15" hidden="false" customHeight="true" outlineLevel="0" collapsed="false">
      <c r="A114" s="16"/>
      <c r="B114" s="16"/>
      <c r="C114" s="16"/>
      <c r="D114" s="16"/>
      <c r="E114" s="17"/>
      <c r="F114" s="18"/>
    </row>
    <row r="115" customFormat="false" ht="15" hidden="false" customHeight="true" outlineLevel="0" collapsed="false">
      <c r="A115" s="16"/>
      <c r="B115" s="16"/>
      <c r="C115" s="16"/>
      <c r="D115" s="16"/>
      <c r="E115" s="17"/>
      <c r="F115" s="18"/>
    </row>
    <row r="116" customFormat="false" ht="15" hidden="false" customHeight="true" outlineLevel="0" collapsed="false">
      <c r="A116" s="16"/>
      <c r="B116" s="16"/>
      <c r="C116" s="16"/>
      <c r="D116" s="16"/>
      <c r="E116" s="17"/>
      <c r="F116" s="18"/>
    </row>
    <row r="117" customFormat="false" ht="15" hidden="false" customHeight="true" outlineLevel="0" collapsed="false">
      <c r="A117" s="16"/>
      <c r="B117" s="16"/>
      <c r="C117" s="16"/>
      <c r="D117" s="16"/>
      <c r="E117" s="17"/>
      <c r="F117" s="18"/>
    </row>
    <row r="118" customFormat="false" ht="15" hidden="false" customHeight="true" outlineLevel="0" collapsed="false">
      <c r="A118" s="16"/>
      <c r="B118" s="16"/>
      <c r="C118" s="16"/>
      <c r="D118" s="16"/>
      <c r="E118" s="17"/>
      <c r="F118" s="18"/>
    </row>
    <row r="119" customFormat="false" ht="15" hidden="false" customHeight="true" outlineLevel="0" collapsed="false">
      <c r="A119" s="16"/>
      <c r="B119" s="16"/>
      <c r="C119" s="16"/>
      <c r="D119" s="16"/>
      <c r="E119" s="17"/>
      <c r="F119" s="18"/>
    </row>
    <row r="120" customFormat="false" ht="15" hidden="false" customHeight="true" outlineLevel="0" collapsed="false">
      <c r="A120" s="16"/>
      <c r="B120" s="16"/>
      <c r="C120" s="16"/>
      <c r="D120" s="16"/>
      <c r="E120" s="17"/>
      <c r="F120" s="18"/>
    </row>
    <row r="121" customFormat="false" ht="15" hidden="false" customHeight="true" outlineLevel="0" collapsed="false">
      <c r="A121" s="16"/>
      <c r="B121" s="16"/>
      <c r="C121" s="16"/>
      <c r="D121" s="16"/>
      <c r="E121" s="17"/>
      <c r="F121" s="18"/>
    </row>
    <row r="122" customFormat="false" ht="15" hidden="false" customHeight="true" outlineLevel="0" collapsed="false">
      <c r="A122" s="16"/>
      <c r="B122" s="16"/>
      <c r="C122" s="16"/>
      <c r="D122" s="16"/>
      <c r="E122" s="17"/>
      <c r="F122" s="18"/>
    </row>
    <row r="123" customFormat="false" ht="15" hidden="false" customHeight="true" outlineLevel="0" collapsed="false">
      <c r="A123" s="16"/>
      <c r="B123" s="16"/>
      <c r="C123" s="16"/>
      <c r="D123" s="16"/>
      <c r="E123" s="17"/>
      <c r="F123" s="18"/>
    </row>
    <row r="124" customFormat="false" ht="15" hidden="false" customHeight="true" outlineLevel="0" collapsed="false">
      <c r="A124" s="16"/>
      <c r="B124" s="16"/>
      <c r="C124" s="16"/>
      <c r="D124" s="16"/>
      <c r="E124" s="17"/>
      <c r="F124" s="18"/>
    </row>
    <row r="125" customFormat="false" ht="15" hidden="false" customHeight="true" outlineLevel="0" collapsed="false">
      <c r="A125" s="16"/>
      <c r="B125" s="16"/>
      <c r="C125" s="16"/>
      <c r="D125" s="16"/>
      <c r="E125" s="17"/>
      <c r="F125" s="18"/>
    </row>
    <row r="126" customFormat="false" ht="15" hidden="false" customHeight="true" outlineLevel="0" collapsed="false">
      <c r="A126" s="16"/>
      <c r="B126" s="16"/>
      <c r="C126" s="16"/>
      <c r="D126" s="16"/>
      <c r="E126" s="17"/>
      <c r="F126" s="18"/>
    </row>
    <row r="127" customFormat="false" ht="15" hidden="false" customHeight="true" outlineLevel="0" collapsed="false">
      <c r="A127" s="16"/>
      <c r="B127" s="16"/>
      <c r="C127" s="16"/>
      <c r="D127" s="16"/>
      <c r="E127" s="17"/>
      <c r="F127" s="18"/>
    </row>
    <row r="128" customFormat="false" ht="15" hidden="false" customHeight="true" outlineLevel="0" collapsed="false">
      <c r="A128" s="16"/>
      <c r="B128" s="16"/>
      <c r="C128" s="16"/>
      <c r="D128" s="16"/>
      <c r="E128" s="17"/>
      <c r="F128" s="18"/>
    </row>
    <row r="129" customFormat="false" ht="15" hidden="false" customHeight="true" outlineLevel="0" collapsed="false">
      <c r="A129" s="16"/>
      <c r="B129" s="16"/>
      <c r="C129" s="16"/>
      <c r="D129" s="16"/>
      <c r="E129" s="17"/>
      <c r="F129" s="18"/>
    </row>
    <row r="130" customFormat="false" ht="15" hidden="false" customHeight="true" outlineLevel="0" collapsed="false">
      <c r="A130" s="16"/>
      <c r="B130" s="16"/>
      <c r="C130" s="16"/>
      <c r="D130" s="16"/>
      <c r="E130" s="17"/>
      <c r="F130" s="18"/>
    </row>
    <row r="131" customFormat="false" ht="15" hidden="false" customHeight="true" outlineLevel="0" collapsed="false">
      <c r="A131" s="16"/>
      <c r="B131" s="16"/>
      <c r="C131" s="16"/>
      <c r="D131" s="16"/>
      <c r="E131" s="17"/>
      <c r="F131" s="18"/>
    </row>
    <row r="132" customFormat="false" ht="15" hidden="false" customHeight="true" outlineLevel="0" collapsed="false">
      <c r="A132" s="16"/>
      <c r="B132" s="16"/>
      <c r="C132" s="16"/>
      <c r="D132" s="16"/>
      <c r="E132" s="17"/>
      <c r="F132" s="18"/>
    </row>
    <row r="133" customFormat="false" ht="15" hidden="false" customHeight="true" outlineLevel="0" collapsed="false">
      <c r="A133" s="16"/>
      <c r="B133" s="16"/>
      <c r="C133" s="16"/>
      <c r="D133" s="16"/>
      <c r="E133" s="17"/>
      <c r="F133" s="18"/>
    </row>
    <row r="134" customFormat="false" ht="15" hidden="false" customHeight="true" outlineLevel="0" collapsed="false">
      <c r="A134" s="16"/>
      <c r="B134" s="16"/>
      <c r="C134" s="16"/>
      <c r="D134" s="16"/>
      <c r="E134" s="17"/>
      <c r="F134" s="18"/>
    </row>
    <row r="135" customFormat="false" ht="15" hidden="false" customHeight="true" outlineLevel="0" collapsed="false">
      <c r="A135" s="16"/>
      <c r="B135" s="16"/>
      <c r="C135" s="16"/>
      <c r="D135" s="16"/>
      <c r="E135" s="17"/>
      <c r="F135" s="18"/>
    </row>
    <row r="136" customFormat="false" ht="15" hidden="false" customHeight="true" outlineLevel="0" collapsed="false">
      <c r="A136" s="16"/>
      <c r="B136" s="16"/>
      <c r="C136" s="16"/>
      <c r="D136" s="16"/>
      <c r="E136" s="17"/>
      <c r="F136" s="18"/>
    </row>
    <row r="137" customFormat="false" ht="15" hidden="false" customHeight="true" outlineLevel="0" collapsed="false">
      <c r="A137" s="16"/>
      <c r="B137" s="16"/>
      <c r="C137" s="16"/>
      <c r="D137" s="16"/>
      <c r="E137" s="17"/>
      <c r="F137" s="18"/>
    </row>
    <row r="138" customFormat="false" ht="15" hidden="false" customHeight="true" outlineLevel="0" collapsed="false">
      <c r="A138" s="16"/>
      <c r="B138" s="16"/>
      <c r="C138" s="16"/>
      <c r="D138" s="16"/>
      <c r="E138" s="17"/>
      <c r="F138" s="18"/>
    </row>
    <row r="139" customFormat="false" ht="15" hidden="false" customHeight="true" outlineLevel="0" collapsed="false">
      <c r="A139" s="16"/>
      <c r="B139" s="16"/>
      <c r="C139" s="16"/>
      <c r="D139" s="16"/>
      <c r="E139" s="17"/>
      <c r="F139" s="18"/>
    </row>
    <row r="140" customFormat="false" ht="15" hidden="false" customHeight="true" outlineLevel="0" collapsed="false">
      <c r="A140" s="16"/>
      <c r="B140" s="16"/>
      <c r="C140" s="16"/>
      <c r="D140" s="16"/>
      <c r="E140" s="17"/>
      <c r="F140" s="18"/>
    </row>
    <row r="141" customFormat="false" ht="15" hidden="false" customHeight="true" outlineLevel="0" collapsed="false">
      <c r="A141" s="16"/>
      <c r="B141" s="16"/>
      <c r="C141" s="16"/>
      <c r="D141" s="16"/>
      <c r="E141" s="17"/>
      <c r="F141" s="18"/>
    </row>
    <row r="142" customFormat="false" ht="15" hidden="false" customHeight="true" outlineLevel="0" collapsed="false">
      <c r="A142" s="16"/>
      <c r="B142" s="16"/>
      <c r="C142" s="16"/>
      <c r="D142" s="16"/>
      <c r="E142" s="17"/>
      <c r="F142" s="18"/>
    </row>
    <row r="143" customFormat="false" ht="15" hidden="false" customHeight="true" outlineLevel="0" collapsed="false">
      <c r="A143" s="16"/>
      <c r="B143" s="16"/>
      <c r="C143" s="16"/>
      <c r="D143" s="16"/>
      <c r="E143" s="17"/>
      <c r="F143" s="18"/>
    </row>
    <row r="144" customFormat="false" ht="15" hidden="false" customHeight="true" outlineLevel="0" collapsed="false">
      <c r="A144" s="16"/>
      <c r="B144" s="16"/>
      <c r="C144" s="16"/>
      <c r="D144" s="16"/>
      <c r="E144" s="17"/>
      <c r="F144" s="18"/>
    </row>
    <row r="145" customFormat="false" ht="15" hidden="false" customHeight="true" outlineLevel="0" collapsed="false">
      <c r="A145" s="16"/>
      <c r="B145" s="16"/>
      <c r="C145" s="16"/>
      <c r="D145" s="16"/>
      <c r="E145" s="17"/>
      <c r="F145" s="18"/>
    </row>
    <row r="146" customFormat="false" ht="15" hidden="false" customHeight="true" outlineLevel="0" collapsed="false">
      <c r="A146" s="16"/>
      <c r="B146" s="16"/>
      <c r="C146" s="16"/>
      <c r="D146" s="16"/>
      <c r="E146" s="17"/>
      <c r="F146" s="18"/>
    </row>
    <row r="147" customFormat="false" ht="15" hidden="false" customHeight="true" outlineLevel="0" collapsed="false">
      <c r="A147" s="16"/>
      <c r="B147" s="16"/>
      <c r="C147" s="16"/>
      <c r="D147" s="16"/>
      <c r="E147" s="17"/>
      <c r="F147" s="18"/>
    </row>
    <row r="148" customFormat="false" ht="15" hidden="false" customHeight="true" outlineLevel="0" collapsed="false">
      <c r="A148" s="16"/>
      <c r="B148" s="16"/>
      <c r="C148" s="16"/>
      <c r="D148" s="16"/>
      <c r="E148" s="17"/>
      <c r="F148" s="18"/>
    </row>
    <row r="149" customFormat="false" ht="15" hidden="false" customHeight="true" outlineLevel="0" collapsed="false">
      <c r="A149" s="16"/>
      <c r="B149" s="16"/>
      <c r="C149" s="16"/>
      <c r="D149" s="16"/>
      <c r="E149" s="17"/>
      <c r="F149" s="18"/>
    </row>
    <row r="150" customFormat="false" ht="15" hidden="false" customHeight="true" outlineLevel="0" collapsed="false">
      <c r="A150" s="16"/>
      <c r="B150" s="16"/>
      <c r="C150" s="16"/>
      <c r="D150" s="16"/>
      <c r="E150" s="17"/>
      <c r="F150" s="18"/>
    </row>
    <row r="151" customFormat="false" ht="15" hidden="false" customHeight="true" outlineLevel="0" collapsed="false">
      <c r="A151" s="16"/>
      <c r="B151" s="16"/>
      <c r="C151" s="16"/>
      <c r="D151" s="16"/>
      <c r="E151" s="17"/>
      <c r="F151" s="18"/>
    </row>
    <row r="152" customFormat="false" ht="15" hidden="false" customHeight="true" outlineLevel="0" collapsed="false">
      <c r="A152" s="16"/>
      <c r="B152" s="16"/>
      <c r="C152" s="16"/>
      <c r="D152" s="16"/>
      <c r="E152" s="17"/>
      <c r="F152" s="18"/>
    </row>
    <row r="153" customFormat="false" ht="15" hidden="false" customHeight="true" outlineLevel="0" collapsed="false">
      <c r="A153" s="16"/>
      <c r="B153" s="16"/>
      <c r="C153" s="16"/>
      <c r="D153" s="16"/>
      <c r="E153" s="17"/>
      <c r="F153" s="18"/>
    </row>
    <row r="154" customFormat="false" ht="15" hidden="false" customHeight="true" outlineLevel="0" collapsed="false">
      <c r="A154" s="16"/>
      <c r="B154" s="16"/>
      <c r="C154" s="16"/>
      <c r="D154" s="16"/>
      <c r="E154" s="17"/>
      <c r="F154" s="18"/>
    </row>
    <row r="155" customFormat="false" ht="15" hidden="false" customHeight="true" outlineLevel="0" collapsed="false">
      <c r="A155" s="16"/>
      <c r="B155" s="16"/>
      <c r="C155" s="16"/>
      <c r="D155" s="16"/>
      <c r="E155" s="17"/>
      <c r="F155" s="18"/>
    </row>
    <row r="156" customFormat="false" ht="15" hidden="false" customHeight="true" outlineLevel="0" collapsed="false">
      <c r="A156" s="16"/>
      <c r="B156" s="16"/>
      <c r="C156" s="16"/>
      <c r="D156" s="16"/>
      <c r="E156" s="17"/>
      <c r="F156" s="18"/>
    </row>
    <row r="157" customFormat="false" ht="15" hidden="false" customHeight="true" outlineLevel="0" collapsed="false">
      <c r="A157" s="16"/>
      <c r="B157" s="16"/>
      <c r="C157" s="16"/>
      <c r="D157" s="16"/>
      <c r="E157" s="17"/>
      <c r="F157" s="18"/>
    </row>
    <row r="158" customFormat="false" ht="15" hidden="false" customHeight="true" outlineLevel="0" collapsed="false">
      <c r="A158" s="16"/>
      <c r="B158" s="16"/>
      <c r="C158" s="16"/>
      <c r="D158" s="16"/>
      <c r="E158" s="17"/>
      <c r="F158" s="18"/>
    </row>
    <row r="159" customFormat="false" ht="15" hidden="false" customHeight="true" outlineLevel="0" collapsed="false">
      <c r="A159" s="16"/>
      <c r="B159" s="16"/>
      <c r="C159" s="16"/>
      <c r="D159" s="16"/>
      <c r="E159" s="17"/>
      <c r="F159" s="18"/>
    </row>
    <row r="160" customFormat="false" ht="15" hidden="false" customHeight="true" outlineLevel="0" collapsed="false">
      <c r="A160" s="16"/>
      <c r="B160" s="16"/>
      <c r="C160" s="16"/>
      <c r="D160" s="16"/>
      <c r="E160" s="17"/>
      <c r="F160" s="18"/>
    </row>
    <row r="161" customFormat="false" ht="15" hidden="false" customHeight="true" outlineLevel="0" collapsed="false">
      <c r="A161" s="16"/>
      <c r="B161" s="16"/>
      <c r="C161" s="16"/>
      <c r="D161" s="16"/>
      <c r="E161" s="17"/>
      <c r="F161" s="18"/>
    </row>
    <row r="162" customFormat="false" ht="15" hidden="false" customHeight="true" outlineLevel="0" collapsed="false">
      <c r="A162" s="16"/>
      <c r="B162" s="16"/>
      <c r="C162" s="16"/>
      <c r="D162" s="16"/>
      <c r="E162" s="17"/>
      <c r="F162" s="18"/>
    </row>
    <row r="163" customFormat="false" ht="15" hidden="false" customHeight="true" outlineLevel="0" collapsed="false">
      <c r="A163" s="16"/>
      <c r="B163" s="16"/>
      <c r="C163" s="16"/>
      <c r="D163" s="16"/>
      <c r="E163" s="17"/>
      <c r="F163" s="18"/>
    </row>
    <row r="164" customFormat="false" ht="15" hidden="false" customHeight="true" outlineLevel="0" collapsed="false">
      <c r="A164" s="16"/>
      <c r="B164" s="16"/>
      <c r="C164" s="16"/>
      <c r="D164" s="16"/>
      <c r="E164" s="17"/>
      <c r="F164" s="18"/>
    </row>
    <row r="165" customFormat="false" ht="15" hidden="false" customHeight="true" outlineLevel="0" collapsed="false">
      <c r="A165" s="16"/>
      <c r="B165" s="16"/>
      <c r="C165" s="16"/>
      <c r="D165" s="16"/>
      <c r="E165" s="17"/>
      <c r="F165" s="18"/>
    </row>
    <row r="166" customFormat="false" ht="15" hidden="false" customHeight="true" outlineLevel="0" collapsed="false">
      <c r="A166" s="16"/>
      <c r="B166" s="16"/>
      <c r="C166" s="16"/>
      <c r="D166" s="16"/>
      <c r="E166" s="17"/>
      <c r="F166" s="18"/>
    </row>
    <row r="167" customFormat="false" ht="15" hidden="false" customHeight="true" outlineLevel="0" collapsed="false">
      <c r="A167" s="16"/>
      <c r="B167" s="16"/>
      <c r="C167" s="16"/>
      <c r="D167" s="16"/>
      <c r="E167" s="17"/>
      <c r="F167" s="18"/>
    </row>
    <row r="168" customFormat="false" ht="15" hidden="false" customHeight="true" outlineLevel="0" collapsed="false">
      <c r="A168" s="16"/>
      <c r="B168" s="16"/>
      <c r="C168" s="16"/>
      <c r="D168" s="16"/>
      <c r="E168" s="17"/>
      <c r="F168" s="18"/>
    </row>
    <row r="169" customFormat="false" ht="15" hidden="false" customHeight="true" outlineLevel="0" collapsed="false">
      <c r="A169" s="16"/>
      <c r="B169" s="16"/>
      <c r="C169" s="16"/>
      <c r="D169" s="16"/>
      <c r="E169" s="17"/>
      <c r="F169" s="18"/>
    </row>
    <row r="170" customFormat="false" ht="15" hidden="false" customHeight="true" outlineLevel="0" collapsed="false">
      <c r="A170" s="16"/>
      <c r="B170" s="16"/>
      <c r="C170" s="16"/>
      <c r="D170" s="16"/>
      <c r="E170" s="17"/>
      <c r="F170" s="18"/>
    </row>
    <row r="171" customFormat="false" ht="15" hidden="false" customHeight="true" outlineLevel="0" collapsed="false">
      <c r="A171" s="16"/>
      <c r="B171" s="16"/>
      <c r="C171" s="16"/>
      <c r="D171" s="16"/>
      <c r="E171" s="17"/>
      <c r="F171" s="18"/>
    </row>
    <row r="172" customFormat="false" ht="15" hidden="false" customHeight="true" outlineLevel="0" collapsed="false">
      <c r="A172" s="16"/>
      <c r="B172" s="16"/>
      <c r="C172" s="16"/>
      <c r="D172" s="16"/>
      <c r="E172" s="17"/>
      <c r="F172" s="18"/>
    </row>
    <row r="173" customFormat="false" ht="15" hidden="false" customHeight="true" outlineLevel="0" collapsed="false">
      <c r="A173" s="16"/>
      <c r="B173" s="16"/>
      <c r="C173" s="16"/>
      <c r="D173" s="16"/>
      <c r="E173" s="17"/>
      <c r="F173" s="18"/>
    </row>
    <row r="174" customFormat="false" ht="15" hidden="false" customHeight="true" outlineLevel="0" collapsed="false">
      <c r="A174" s="16"/>
      <c r="B174" s="16"/>
      <c r="C174" s="16"/>
      <c r="D174" s="16"/>
      <c r="E174" s="17"/>
      <c r="F174" s="18"/>
    </row>
    <row r="175" customFormat="false" ht="15" hidden="false" customHeight="true" outlineLevel="0" collapsed="false">
      <c r="A175" s="16"/>
      <c r="B175" s="16"/>
      <c r="C175" s="16"/>
      <c r="D175" s="16"/>
      <c r="E175" s="17"/>
      <c r="F175" s="18"/>
    </row>
    <row r="176" customFormat="false" ht="15" hidden="false" customHeight="true" outlineLevel="0" collapsed="false">
      <c r="A176" s="16"/>
      <c r="B176" s="16"/>
      <c r="C176" s="16"/>
      <c r="D176" s="16"/>
      <c r="E176" s="17"/>
      <c r="F176" s="18"/>
    </row>
    <row r="177" customFormat="false" ht="15" hidden="false" customHeight="true" outlineLevel="0" collapsed="false">
      <c r="A177" s="16"/>
      <c r="B177" s="16"/>
      <c r="C177" s="16"/>
      <c r="D177" s="16"/>
      <c r="E177" s="17"/>
      <c r="F177" s="18"/>
    </row>
    <row r="178" customFormat="false" ht="15" hidden="false" customHeight="true" outlineLevel="0" collapsed="false">
      <c r="A178" s="16"/>
      <c r="B178" s="16"/>
      <c r="C178" s="16"/>
      <c r="D178" s="16"/>
      <c r="E178" s="17"/>
      <c r="F178" s="18"/>
    </row>
    <row r="179" customFormat="false" ht="15" hidden="false" customHeight="true" outlineLevel="0" collapsed="false">
      <c r="A179" s="16"/>
      <c r="B179" s="16"/>
      <c r="C179" s="16"/>
      <c r="D179" s="16"/>
      <c r="E179" s="17"/>
      <c r="F179" s="18"/>
    </row>
    <row r="180" customFormat="false" ht="15" hidden="false" customHeight="true" outlineLevel="0" collapsed="false">
      <c r="A180" s="16"/>
      <c r="B180" s="16"/>
      <c r="C180" s="16"/>
      <c r="D180" s="16"/>
      <c r="E180" s="17"/>
      <c r="F180" s="18"/>
    </row>
    <row r="181" customFormat="false" ht="15" hidden="false" customHeight="true" outlineLevel="0" collapsed="false">
      <c r="A181" s="16"/>
      <c r="B181" s="16"/>
      <c r="C181" s="16"/>
      <c r="D181" s="16"/>
      <c r="E181" s="17"/>
      <c r="F181" s="18"/>
    </row>
    <row r="182" customFormat="false" ht="15" hidden="false" customHeight="true" outlineLevel="0" collapsed="false">
      <c r="A182" s="16"/>
      <c r="B182" s="16"/>
      <c r="C182" s="16"/>
      <c r="D182" s="16"/>
      <c r="E182" s="17"/>
      <c r="F182" s="18"/>
    </row>
    <row r="183" customFormat="false" ht="15" hidden="false" customHeight="true" outlineLevel="0" collapsed="false">
      <c r="A183" s="16"/>
      <c r="B183" s="16"/>
      <c r="C183" s="16"/>
      <c r="D183" s="16"/>
      <c r="E183" s="17"/>
      <c r="F183" s="18"/>
    </row>
    <row r="184" customFormat="false" ht="15" hidden="false" customHeight="true" outlineLevel="0" collapsed="false">
      <c r="A184" s="16"/>
      <c r="B184" s="16"/>
      <c r="C184" s="16"/>
      <c r="D184" s="16"/>
      <c r="E184" s="17"/>
      <c r="F184" s="18"/>
    </row>
    <row r="185" customFormat="false" ht="15" hidden="false" customHeight="true" outlineLevel="0" collapsed="false">
      <c r="A185" s="16"/>
      <c r="B185" s="16"/>
      <c r="C185" s="16"/>
      <c r="D185" s="16"/>
      <c r="E185" s="17"/>
      <c r="F185" s="18"/>
    </row>
    <row r="186" customFormat="false" ht="15" hidden="false" customHeight="true" outlineLevel="0" collapsed="false">
      <c r="A186" s="16"/>
      <c r="B186" s="16"/>
      <c r="C186" s="16"/>
      <c r="D186" s="16"/>
      <c r="E186" s="17"/>
      <c r="F186" s="18"/>
    </row>
    <row r="187" customFormat="false" ht="15" hidden="false" customHeight="true" outlineLevel="0" collapsed="false">
      <c r="A187" s="16"/>
      <c r="B187" s="16"/>
      <c r="C187" s="16"/>
      <c r="D187" s="16"/>
      <c r="E187" s="17"/>
      <c r="F187" s="18"/>
    </row>
    <row r="188" customFormat="false" ht="15" hidden="false" customHeight="true" outlineLevel="0" collapsed="false">
      <c r="A188" s="16"/>
      <c r="B188" s="16"/>
      <c r="C188" s="16"/>
      <c r="D188" s="16"/>
      <c r="E188" s="17"/>
      <c r="F188" s="18"/>
    </row>
    <row r="189" customFormat="false" ht="15" hidden="false" customHeight="true" outlineLevel="0" collapsed="false">
      <c r="A189" s="16"/>
      <c r="B189" s="16"/>
      <c r="C189" s="16"/>
      <c r="D189" s="16"/>
      <c r="E189" s="17"/>
      <c r="F189" s="18"/>
    </row>
    <row r="190" customFormat="false" ht="15" hidden="false" customHeight="true" outlineLevel="0" collapsed="false">
      <c r="A190" s="16"/>
      <c r="B190" s="16"/>
      <c r="C190" s="16"/>
      <c r="D190" s="16"/>
      <c r="E190" s="17"/>
      <c r="F190" s="18"/>
    </row>
    <row r="191" customFormat="false" ht="15" hidden="false" customHeight="true" outlineLevel="0" collapsed="false">
      <c r="A191" s="16"/>
      <c r="B191" s="16"/>
      <c r="C191" s="16"/>
      <c r="D191" s="16"/>
      <c r="E191" s="17"/>
      <c r="F191" s="18"/>
    </row>
    <row r="192" customFormat="false" ht="15" hidden="false" customHeight="true" outlineLevel="0" collapsed="false">
      <c r="A192" s="16"/>
      <c r="B192" s="16"/>
      <c r="C192" s="16"/>
      <c r="D192" s="16"/>
      <c r="E192" s="17"/>
      <c r="F192" s="18"/>
    </row>
    <row r="193" customFormat="false" ht="15" hidden="false" customHeight="true" outlineLevel="0" collapsed="false">
      <c r="A193" s="16"/>
      <c r="B193" s="16"/>
      <c r="C193" s="16"/>
      <c r="D193" s="16"/>
      <c r="E193" s="17"/>
      <c r="F193" s="18"/>
    </row>
    <row r="194" customFormat="false" ht="15" hidden="false" customHeight="true" outlineLevel="0" collapsed="false">
      <c r="A194" s="16"/>
      <c r="B194" s="16"/>
      <c r="C194" s="16"/>
      <c r="D194" s="16"/>
      <c r="E194" s="17"/>
      <c r="F194" s="18"/>
    </row>
    <row r="195" customFormat="false" ht="15" hidden="false" customHeight="true" outlineLevel="0" collapsed="false">
      <c r="A195" s="16"/>
      <c r="B195" s="16"/>
      <c r="C195" s="16"/>
      <c r="D195" s="16"/>
      <c r="E195" s="17"/>
      <c r="F195" s="18"/>
    </row>
    <row r="196" customFormat="false" ht="15" hidden="false" customHeight="true" outlineLevel="0" collapsed="false">
      <c r="A196" s="16"/>
      <c r="B196" s="16"/>
      <c r="C196" s="16"/>
      <c r="D196" s="16"/>
      <c r="E196" s="17"/>
      <c r="F196" s="18"/>
    </row>
    <row r="197" customFormat="false" ht="15" hidden="false" customHeight="true" outlineLevel="0" collapsed="false">
      <c r="A197" s="16"/>
      <c r="B197" s="16"/>
      <c r="C197" s="16"/>
      <c r="D197" s="16"/>
      <c r="E197" s="17"/>
      <c r="F197" s="18"/>
    </row>
    <row r="198" customFormat="false" ht="15" hidden="false" customHeight="true" outlineLevel="0" collapsed="false">
      <c r="A198" s="16"/>
      <c r="B198" s="16"/>
      <c r="C198" s="16"/>
      <c r="D198" s="16"/>
      <c r="E198" s="17"/>
      <c r="F198" s="18"/>
    </row>
    <row r="199" customFormat="false" ht="15" hidden="false" customHeight="true" outlineLevel="0" collapsed="false">
      <c r="A199" s="16"/>
      <c r="B199" s="16"/>
      <c r="C199" s="16"/>
      <c r="D199" s="16"/>
      <c r="E199" s="17"/>
      <c r="F199" s="18"/>
    </row>
    <row r="200" customFormat="false" ht="15" hidden="false" customHeight="true" outlineLevel="0" collapsed="false">
      <c r="A200" s="16"/>
      <c r="B200" s="16"/>
      <c r="C200" s="16"/>
      <c r="D200" s="16"/>
      <c r="E200" s="17"/>
      <c r="F200" s="18"/>
    </row>
    <row r="201" customFormat="false" ht="15" hidden="false" customHeight="true" outlineLevel="0" collapsed="false">
      <c r="A201" s="16"/>
      <c r="B201" s="16"/>
      <c r="C201" s="16"/>
      <c r="D201" s="16"/>
      <c r="E201" s="17"/>
      <c r="F201" s="18"/>
    </row>
    <row r="202" customFormat="false" ht="15" hidden="false" customHeight="true" outlineLevel="0" collapsed="false">
      <c r="A202" s="16"/>
      <c r="B202" s="16"/>
      <c r="C202" s="16"/>
      <c r="D202" s="16"/>
      <c r="E202" s="17"/>
      <c r="F202" s="18"/>
    </row>
    <row r="203" customFormat="false" ht="15" hidden="false" customHeight="true" outlineLevel="0" collapsed="false">
      <c r="A203" s="16"/>
      <c r="B203" s="16"/>
      <c r="C203" s="16"/>
      <c r="D203" s="16"/>
      <c r="E203" s="17"/>
      <c r="F203" s="18"/>
    </row>
    <row r="204" customFormat="false" ht="15" hidden="false" customHeight="true" outlineLevel="0" collapsed="false">
      <c r="A204" s="16"/>
      <c r="B204" s="16"/>
      <c r="C204" s="16"/>
      <c r="D204" s="16"/>
      <c r="E204" s="17"/>
      <c r="F204" s="18"/>
    </row>
    <row r="205" customFormat="false" ht="15" hidden="false" customHeight="true" outlineLevel="0" collapsed="false">
      <c r="A205" s="16"/>
      <c r="B205" s="16"/>
      <c r="C205" s="16"/>
      <c r="D205" s="16"/>
      <c r="E205" s="17"/>
      <c r="F205" s="18"/>
    </row>
    <row r="206" customFormat="false" ht="15" hidden="false" customHeight="true" outlineLevel="0" collapsed="false">
      <c r="A206" s="16"/>
      <c r="B206" s="16"/>
      <c r="C206" s="16"/>
      <c r="D206" s="16"/>
      <c r="E206" s="17"/>
      <c r="F206" s="18"/>
    </row>
    <row r="207" customFormat="false" ht="15" hidden="false" customHeight="true" outlineLevel="0" collapsed="false">
      <c r="A207" s="16"/>
      <c r="B207" s="16"/>
      <c r="C207" s="16"/>
      <c r="D207" s="16"/>
      <c r="E207" s="17"/>
      <c r="F207" s="18"/>
    </row>
    <row r="208" customFormat="false" ht="15" hidden="false" customHeight="true" outlineLevel="0" collapsed="false">
      <c r="A208" s="16"/>
      <c r="B208" s="16"/>
      <c r="C208" s="16"/>
      <c r="D208" s="16"/>
      <c r="E208" s="17"/>
      <c r="F208" s="18"/>
    </row>
    <row r="209" customFormat="false" ht="15" hidden="false" customHeight="true" outlineLevel="0" collapsed="false">
      <c r="A209" s="16"/>
      <c r="B209" s="16"/>
      <c r="C209" s="16"/>
      <c r="D209" s="16"/>
      <c r="E209" s="17"/>
      <c r="F209" s="18"/>
    </row>
    <row r="210" customFormat="false" ht="15" hidden="false" customHeight="true" outlineLevel="0" collapsed="false">
      <c r="A210" s="16"/>
      <c r="B210" s="16"/>
      <c r="C210" s="16"/>
      <c r="D210" s="16"/>
      <c r="E210" s="17"/>
      <c r="F210" s="18"/>
    </row>
    <row r="211" customFormat="false" ht="15" hidden="false" customHeight="true" outlineLevel="0" collapsed="false">
      <c r="A211" s="16"/>
      <c r="B211" s="16"/>
      <c r="C211" s="16"/>
      <c r="D211" s="16"/>
      <c r="E211" s="17"/>
      <c r="F211" s="18"/>
    </row>
    <row r="212" customFormat="false" ht="15" hidden="false" customHeight="true" outlineLevel="0" collapsed="false">
      <c r="A212" s="16"/>
      <c r="B212" s="16"/>
      <c r="C212" s="16"/>
      <c r="D212" s="16"/>
      <c r="E212" s="17"/>
      <c r="F212" s="18"/>
    </row>
    <row r="213" customFormat="false" ht="15" hidden="false" customHeight="true" outlineLevel="0" collapsed="false">
      <c r="A213" s="16"/>
      <c r="B213" s="16"/>
      <c r="C213" s="16"/>
      <c r="D213" s="16"/>
      <c r="E213" s="17"/>
      <c r="F213" s="18"/>
    </row>
    <row r="214" customFormat="false" ht="15" hidden="false" customHeight="true" outlineLevel="0" collapsed="false">
      <c r="A214" s="16"/>
      <c r="B214" s="16"/>
      <c r="C214" s="16"/>
      <c r="D214" s="16"/>
      <c r="E214" s="17"/>
      <c r="F214" s="18"/>
    </row>
    <row r="215" customFormat="false" ht="15" hidden="false" customHeight="true" outlineLevel="0" collapsed="false">
      <c r="A215" s="16"/>
      <c r="B215" s="16"/>
      <c r="C215" s="16"/>
      <c r="D215" s="16"/>
      <c r="E215" s="17"/>
      <c r="F215" s="18"/>
    </row>
    <row r="216" customFormat="false" ht="15" hidden="false" customHeight="true" outlineLevel="0" collapsed="false">
      <c r="A216" s="16"/>
      <c r="B216" s="16"/>
      <c r="C216" s="16"/>
      <c r="D216" s="16"/>
      <c r="E216" s="17"/>
      <c r="F216" s="18"/>
    </row>
    <row r="217" customFormat="false" ht="15" hidden="false" customHeight="true" outlineLevel="0" collapsed="false">
      <c r="A217" s="16"/>
      <c r="B217" s="16"/>
      <c r="C217" s="16"/>
      <c r="D217" s="16"/>
      <c r="E217" s="17"/>
      <c r="F217" s="18"/>
    </row>
    <row r="218" customFormat="false" ht="15" hidden="false" customHeight="true" outlineLevel="0" collapsed="false">
      <c r="A218" s="16"/>
      <c r="B218" s="16"/>
      <c r="C218" s="16"/>
      <c r="D218" s="16"/>
      <c r="E218" s="17"/>
      <c r="F218" s="18"/>
    </row>
    <row r="219" customFormat="false" ht="15" hidden="false" customHeight="true" outlineLevel="0" collapsed="false">
      <c r="A219" s="16"/>
      <c r="B219" s="16"/>
      <c r="C219" s="16"/>
      <c r="D219" s="16"/>
      <c r="E219" s="17"/>
      <c r="F219" s="18"/>
    </row>
    <row r="220" customFormat="false" ht="15" hidden="false" customHeight="true" outlineLevel="0" collapsed="false">
      <c r="A220" s="16"/>
      <c r="B220" s="16"/>
      <c r="C220" s="16"/>
      <c r="D220" s="16"/>
      <c r="E220" s="17"/>
      <c r="F220" s="18"/>
    </row>
    <row r="221" customFormat="false" ht="15" hidden="false" customHeight="true" outlineLevel="0" collapsed="false">
      <c r="A221" s="16"/>
      <c r="B221" s="16"/>
      <c r="C221" s="16"/>
      <c r="D221" s="16"/>
      <c r="E221" s="17"/>
      <c r="F221" s="18"/>
    </row>
    <row r="222" customFormat="false" ht="15" hidden="false" customHeight="true" outlineLevel="0" collapsed="false">
      <c r="A222" s="16"/>
      <c r="B222" s="16"/>
      <c r="C222" s="16"/>
      <c r="D222" s="16"/>
      <c r="E222" s="17"/>
      <c r="F222" s="18"/>
    </row>
    <row r="223" customFormat="false" ht="15" hidden="false" customHeight="true" outlineLevel="0" collapsed="false">
      <c r="A223" s="16"/>
      <c r="B223" s="16"/>
      <c r="C223" s="16"/>
      <c r="D223" s="16"/>
      <c r="E223" s="17"/>
      <c r="F223" s="18"/>
    </row>
    <row r="224" customFormat="false" ht="15" hidden="false" customHeight="true" outlineLevel="0" collapsed="false">
      <c r="A224" s="16"/>
      <c r="B224" s="16"/>
      <c r="C224" s="16"/>
      <c r="D224" s="16"/>
      <c r="E224" s="17"/>
      <c r="F224" s="18"/>
    </row>
    <row r="225" customFormat="false" ht="15" hidden="false" customHeight="true" outlineLevel="0" collapsed="false">
      <c r="A225" s="16"/>
      <c r="B225" s="16"/>
      <c r="C225" s="16"/>
      <c r="D225" s="16"/>
      <c r="E225" s="17"/>
      <c r="F225" s="18"/>
    </row>
    <row r="226" customFormat="false" ht="15" hidden="false" customHeight="true" outlineLevel="0" collapsed="false">
      <c r="A226" s="16"/>
      <c r="B226" s="16"/>
      <c r="C226" s="16"/>
      <c r="D226" s="16"/>
      <c r="E226" s="17"/>
      <c r="F226" s="18"/>
    </row>
    <row r="227" customFormat="false" ht="15" hidden="false" customHeight="true" outlineLevel="0" collapsed="false">
      <c r="A227" s="16"/>
      <c r="B227" s="16"/>
      <c r="C227" s="16"/>
      <c r="D227" s="16"/>
      <c r="E227" s="17"/>
      <c r="F227" s="18"/>
    </row>
    <row r="228" customFormat="false" ht="15" hidden="false" customHeight="true" outlineLevel="0" collapsed="false">
      <c r="A228" s="16"/>
      <c r="B228" s="16"/>
      <c r="C228" s="16"/>
      <c r="D228" s="16"/>
      <c r="E228" s="17"/>
      <c r="F228" s="18"/>
    </row>
    <row r="229" customFormat="false" ht="15" hidden="false" customHeight="true" outlineLevel="0" collapsed="false">
      <c r="A229" s="16"/>
      <c r="B229" s="16"/>
      <c r="C229" s="16"/>
      <c r="D229" s="16"/>
      <c r="E229" s="17"/>
      <c r="F229" s="18"/>
    </row>
    <row r="230" customFormat="false" ht="15" hidden="false" customHeight="true" outlineLevel="0" collapsed="false">
      <c r="A230" s="16"/>
      <c r="B230" s="16"/>
      <c r="C230" s="16"/>
      <c r="D230" s="16"/>
      <c r="E230" s="17"/>
      <c r="F230" s="18"/>
    </row>
    <row r="231" customFormat="false" ht="15" hidden="false" customHeight="true" outlineLevel="0" collapsed="false">
      <c r="A231" s="16"/>
      <c r="B231" s="16"/>
      <c r="C231" s="16"/>
      <c r="D231" s="16"/>
      <c r="E231" s="17"/>
      <c r="F231" s="18"/>
    </row>
    <row r="232" customFormat="false" ht="15" hidden="false" customHeight="true" outlineLevel="0" collapsed="false">
      <c r="A232" s="16"/>
      <c r="B232" s="16"/>
      <c r="C232" s="16"/>
      <c r="D232" s="16"/>
      <c r="E232" s="17"/>
      <c r="F232" s="18"/>
    </row>
    <row r="233" customFormat="false" ht="15" hidden="false" customHeight="true" outlineLevel="0" collapsed="false">
      <c r="A233" s="16"/>
      <c r="B233" s="16"/>
      <c r="C233" s="16"/>
      <c r="D233" s="16"/>
      <c r="E233" s="17"/>
      <c r="F233" s="18"/>
    </row>
    <row r="234" customFormat="false" ht="15" hidden="false" customHeight="true" outlineLevel="0" collapsed="false">
      <c r="A234" s="16"/>
      <c r="B234" s="16"/>
      <c r="C234" s="16"/>
      <c r="D234" s="16"/>
      <c r="E234" s="17"/>
      <c r="F234" s="18"/>
    </row>
    <row r="235" customFormat="false" ht="15" hidden="false" customHeight="true" outlineLevel="0" collapsed="false">
      <c r="A235" s="16"/>
      <c r="B235" s="16"/>
      <c r="C235" s="16"/>
      <c r="D235" s="16"/>
      <c r="E235" s="17"/>
      <c r="F235" s="18"/>
    </row>
    <row r="236" customFormat="false" ht="15" hidden="false" customHeight="true" outlineLevel="0" collapsed="false">
      <c r="A236" s="16"/>
      <c r="B236" s="16"/>
      <c r="C236" s="16"/>
      <c r="D236" s="16"/>
      <c r="E236" s="17"/>
      <c r="F236" s="18"/>
    </row>
    <row r="237" customFormat="false" ht="15" hidden="false" customHeight="true" outlineLevel="0" collapsed="false">
      <c r="A237" s="16"/>
      <c r="B237" s="16"/>
      <c r="C237" s="16"/>
      <c r="D237" s="16"/>
      <c r="E237" s="17"/>
      <c r="F237" s="18"/>
    </row>
    <row r="238" customFormat="false" ht="15" hidden="false" customHeight="true" outlineLevel="0" collapsed="false">
      <c r="A238" s="16"/>
      <c r="B238" s="16"/>
      <c r="C238" s="16"/>
      <c r="D238" s="16"/>
      <c r="E238" s="17"/>
      <c r="F238" s="18"/>
    </row>
    <row r="239" customFormat="false" ht="15" hidden="false" customHeight="true" outlineLevel="0" collapsed="false">
      <c r="A239" s="16"/>
      <c r="B239" s="16"/>
      <c r="C239" s="16"/>
      <c r="D239" s="16"/>
      <c r="E239" s="17"/>
      <c r="F239" s="18"/>
    </row>
    <row r="240" customFormat="false" ht="15" hidden="false" customHeight="true" outlineLevel="0" collapsed="false">
      <c r="A240" s="16"/>
      <c r="B240" s="16"/>
      <c r="C240" s="16"/>
      <c r="D240" s="16"/>
      <c r="E240" s="17"/>
      <c r="F240" s="18"/>
    </row>
    <row r="241" customFormat="false" ht="15" hidden="false" customHeight="true" outlineLevel="0" collapsed="false">
      <c r="A241" s="16"/>
      <c r="B241" s="16"/>
      <c r="C241" s="16"/>
      <c r="D241" s="16"/>
      <c r="E241" s="17"/>
      <c r="F241" s="18"/>
    </row>
    <row r="242" customFormat="false" ht="15" hidden="false" customHeight="true" outlineLevel="0" collapsed="false">
      <c r="A242" s="16"/>
      <c r="B242" s="16"/>
      <c r="C242" s="16"/>
      <c r="D242" s="16"/>
      <c r="E242" s="17"/>
      <c r="F242" s="18"/>
    </row>
    <row r="243" customFormat="false" ht="15" hidden="false" customHeight="true" outlineLevel="0" collapsed="false">
      <c r="A243" s="16"/>
      <c r="B243" s="16"/>
      <c r="C243" s="16"/>
      <c r="D243" s="16"/>
      <c r="E243" s="17"/>
      <c r="F243" s="18"/>
    </row>
    <row r="244" customFormat="false" ht="15" hidden="false" customHeight="true" outlineLevel="0" collapsed="false">
      <c r="A244" s="16"/>
      <c r="B244" s="16"/>
      <c r="C244" s="16"/>
      <c r="D244" s="16"/>
      <c r="E244" s="17"/>
      <c r="F244" s="18"/>
    </row>
    <row r="245" customFormat="false" ht="15" hidden="false" customHeight="true" outlineLevel="0" collapsed="false">
      <c r="A245" s="16"/>
      <c r="B245" s="16"/>
      <c r="C245" s="16"/>
      <c r="D245" s="16"/>
      <c r="E245" s="17"/>
      <c r="F245" s="18"/>
    </row>
    <row r="246" customFormat="false" ht="15" hidden="false" customHeight="true" outlineLevel="0" collapsed="false">
      <c r="A246" s="16"/>
      <c r="B246" s="16"/>
      <c r="C246" s="16"/>
      <c r="D246" s="16"/>
      <c r="E246" s="17"/>
      <c r="F246" s="18"/>
    </row>
    <row r="247" customFormat="false" ht="15" hidden="false" customHeight="true" outlineLevel="0" collapsed="false">
      <c r="A247" s="16"/>
      <c r="B247" s="16"/>
      <c r="C247" s="16"/>
      <c r="D247" s="16"/>
      <c r="E247" s="17"/>
      <c r="F247" s="18"/>
    </row>
    <row r="248" customFormat="false" ht="15" hidden="false" customHeight="true" outlineLevel="0" collapsed="false">
      <c r="A248" s="16"/>
      <c r="B248" s="16"/>
      <c r="C248" s="16"/>
      <c r="D248" s="16"/>
      <c r="E248" s="17"/>
      <c r="F248" s="18"/>
    </row>
    <row r="249" customFormat="false" ht="15" hidden="false" customHeight="true" outlineLevel="0" collapsed="false">
      <c r="A249" s="16"/>
      <c r="B249" s="16"/>
      <c r="C249" s="16"/>
      <c r="D249" s="16"/>
      <c r="E249" s="17"/>
      <c r="F249" s="18"/>
    </row>
    <row r="250" customFormat="false" ht="15" hidden="false" customHeight="true" outlineLevel="0" collapsed="false">
      <c r="A250" s="16"/>
      <c r="B250" s="16"/>
      <c r="C250" s="16"/>
      <c r="D250" s="16"/>
      <c r="E250" s="17"/>
      <c r="F250" s="18"/>
    </row>
    <row r="251" customFormat="false" ht="15" hidden="false" customHeight="true" outlineLevel="0" collapsed="false">
      <c r="A251" s="16"/>
      <c r="B251" s="16"/>
      <c r="C251" s="16"/>
      <c r="D251" s="16"/>
      <c r="E251" s="17"/>
      <c r="F251" s="18"/>
    </row>
    <row r="252" customFormat="false" ht="15" hidden="false" customHeight="true" outlineLevel="0" collapsed="false">
      <c r="A252" s="16"/>
      <c r="B252" s="16"/>
      <c r="C252" s="16"/>
      <c r="D252" s="16"/>
      <c r="E252" s="17"/>
      <c r="F252" s="18"/>
    </row>
    <row r="253" customFormat="false" ht="15" hidden="false" customHeight="true" outlineLevel="0" collapsed="false">
      <c r="A253" s="16"/>
      <c r="B253" s="16"/>
      <c r="C253" s="16"/>
      <c r="D253" s="16"/>
      <c r="E253" s="17"/>
      <c r="F253" s="18"/>
    </row>
    <row r="254" customFormat="false" ht="15" hidden="false" customHeight="true" outlineLevel="0" collapsed="false">
      <c r="A254" s="16"/>
      <c r="B254" s="16"/>
      <c r="C254" s="16"/>
      <c r="D254" s="16"/>
      <c r="E254" s="17"/>
      <c r="F254" s="18"/>
    </row>
    <row r="255" customFormat="false" ht="15" hidden="false" customHeight="true" outlineLevel="0" collapsed="false">
      <c r="A255" s="16"/>
      <c r="B255" s="16"/>
      <c r="C255" s="16"/>
      <c r="D255" s="16"/>
      <c r="E255" s="17"/>
      <c r="F255" s="18"/>
    </row>
    <row r="256" customFormat="false" ht="15" hidden="false" customHeight="true" outlineLevel="0" collapsed="false">
      <c r="A256" s="16"/>
      <c r="B256" s="16"/>
      <c r="C256" s="16"/>
      <c r="D256" s="16"/>
      <c r="E256" s="17"/>
      <c r="F256" s="18"/>
    </row>
    <row r="257" customFormat="false" ht="15" hidden="false" customHeight="true" outlineLevel="0" collapsed="false">
      <c r="A257" s="16"/>
      <c r="B257" s="16"/>
      <c r="C257" s="16"/>
      <c r="D257" s="16"/>
      <c r="E257" s="17"/>
      <c r="F257" s="18"/>
    </row>
    <row r="258" customFormat="false" ht="15" hidden="false" customHeight="true" outlineLevel="0" collapsed="false">
      <c r="A258" s="16"/>
      <c r="B258" s="16"/>
      <c r="C258" s="16"/>
      <c r="D258" s="16"/>
      <c r="E258" s="17"/>
      <c r="F258" s="18"/>
    </row>
    <row r="259" customFormat="false" ht="15" hidden="false" customHeight="true" outlineLevel="0" collapsed="false">
      <c r="A259" s="16"/>
      <c r="B259" s="16"/>
      <c r="C259" s="16"/>
      <c r="D259" s="16"/>
      <c r="E259" s="17"/>
      <c r="F259" s="18"/>
    </row>
    <row r="260" customFormat="false" ht="15" hidden="false" customHeight="true" outlineLevel="0" collapsed="false">
      <c r="A260" s="16"/>
      <c r="B260" s="16"/>
      <c r="C260" s="16"/>
      <c r="D260" s="16"/>
      <c r="E260" s="17"/>
      <c r="F260" s="18"/>
    </row>
    <row r="261" customFormat="false" ht="15" hidden="false" customHeight="true" outlineLevel="0" collapsed="false">
      <c r="A261" s="16"/>
      <c r="B261" s="16"/>
      <c r="C261" s="16"/>
      <c r="D261" s="16"/>
      <c r="E261" s="17"/>
      <c r="F261" s="18"/>
    </row>
    <row r="262" customFormat="false" ht="15" hidden="false" customHeight="true" outlineLevel="0" collapsed="false">
      <c r="A262" s="16"/>
      <c r="B262" s="16"/>
      <c r="C262" s="16"/>
      <c r="D262" s="16"/>
      <c r="E262" s="17"/>
      <c r="F262" s="18"/>
    </row>
    <row r="263" customFormat="false" ht="15" hidden="false" customHeight="true" outlineLevel="0" collapsed="false">
      <c r="A263" s="16"/>
      <c r="B263" s="16"/>
      <c r="C263" s="16"/>
      <c r="D263" s="16"/>
      <c r="E263" s="17"/>
      <c r="F263" s="18"/>
    </row>
    <row r="264" customFormat="false" ht="15" hidden="false" customHeight="true" outlineLevel="0" collapsed="false">
      <c r="A264" s="16"/>
      <c r="B264" s="16"/>
      <c r="C264" s="16"/>
      <c r="D264" s="16"/>
      <c r="E264" s="17"/>
      <c r="F264" s="18"/>
    </row>
    <row r="265" customFormat="false" ht="15" hidden="false" customHeight="true" outlineLevel="0" collapsed="false">
      <c r="A265" s="16"/>
      <c r="B265" s="16"/>
      <c r="C265" s="16"/>
      <c r="D265" s="16"/>
      <c r="E265" s="17"/>
      <c r="F265" s="18"/>
    </row>
    <row r="266" customFormat="false" ht="15" hidden="false" customHeight="true" outlineLevel="0" collapsed="false">
      <c r="A266" s="16"/>
      <c r="B266" s="16"/>
      <c r="C266" s="16"/>
      <c r="D266" s="16"/>
      <c r="E266" s="17"/>
      <c r="F266" s="18"/>
    </row>
    <row r="267" customFormat="false" ht="15" hidden="false" customHeight="true" outlineLevel="0" collapsed="false">
      <c r="A267" s="16"/>
      <c r="B267" s="16"/>
      <c r="C267" s="16"/>
      <c r="D267" s="16"/>
      <c r="E267" s="17"/>
      <c r="F267" s="18"/>
    </row>
    <row r="268" customFormat="false" ht="15" hidden="false" customHeight="true" outlineLevel="0" collapsed="false">
      <c r="A268" s="16"/>
      <c r="B268" s="16"/>
      <c r="C268" s="16"/>
      <c r="D268" s="16"/>
      <c r="E268" s="17"/>
      <c r="F268" s="18"/>
    </row>
    <row r="269" customFormat="false" ht="15" hidden="false" customHeight="true" outlineLevel="0" collapsed="false">
      <c r="A269" s="16"/>
      <c r="B269" s="16"/>
      <c r="C269" s="16"/>
      <c r="D269" s="16"/>
      <c r="E269" s="17"/>
      <c r="F269" s="18"/>
    </row>
    <row r="270" customFormat="false" ht="15" hidden="false" customHeight="true" outlineLevel="0" collapsed="false">
      <c r="A270" s="16"/>
      <c r="B270" s="16"/>
      <c r="C270" s="16"/>
      <c r="D270" s="16"/>
      <c r="E270" s="17"/>
      <c r="F270" s="18"/>
    </row>
    <row r="271" customFormat="false" ht="15" hidden="false" customHeight="true" outlineLevel="0" collapsed="false">
      <c r="A271" s="16"/>
      <c r="B271" s="16"/>
      <c r="C271" s="16"/>
      <c r="D271" s="16"/>
      <c r="E271" s="17"/>
      <c r="F271" s="18"/>
    </row>
    <row r="272" customFormat="false" ht="15" hidden="false" customHeight="true" outlineLevel="0" collapsed="false">
      <c r="A272" s="16"/>
      <c r="B272" s="16"/>
      <c r="C272" s="16"/>
      <c r="D272" s="16"/>
      <c r="E272" s="17"/>
      <c r="F272" s="18"/>
    </row>
    <row r="273" customFormat="false" ht="15" hidden="false" customHeight="true" outlineLevel="0" collapsed="false">
      <c r="A273" s="16"/>
      <c r="B273" s="16"/>
      <c r="C273" s="16"/>
      <c r="D273" s="16"/>
      <c r="E273" s="17"/>
      <c r="F273" s="18"/>
    </row>
    <row r="274" customFormat="false" ht="15" hidden="false" customHeight="true" outlineLevel="0" collapsed="false">
      <c r="A274" s="16"/>
      <c r="B274" s="16"/>
      <c r="C274" s="16"/>
      <c r="D274" s="16"/>
      <c r="E274" s="17"/>
      <c r="F274" s="18"/>
    </row>
    <row r="275" customFormat="false" ht="15" hidden="false" customHeight="true" outlineLevel="0" collapsed="false">
      <c r="A275" s="16"/>
      <c r="B275" s="16"/>
      <c r="C275" s="16"/>
      <c r="D275" s="16"/>
      <c r="E275" s="17"/>
      <c r="F275" s="18"/>
    </row>
    <row r="276" customFormat="false" ht="15" hidden="false" customHeight="true" outlineLevel="0" collapsed="false">
      <c r="A276" s="16"/>
      <c r="B276" s="16"/>
      <c r="C276" s="16"/>
      <c r="D276" s="16"/>
      <c r="E276" s="17"/>
      <c r="F276" s="18"/>
    </row>
    <row r="277" customFormat="false" ht="15" hidden="false" customHeight="true" outlineLevel="0" collapsed="false">
      <c r="A277" s="16"/>
      <c r="B277" s="16"/>
      <c r="C277" s="16"/>
      <c r="D277" s="16"/>
      <c r="E277" s="17"/>
      <c r="F277" s="18"/>
    </row>
    <row r="278" customFormat="false" ht="15" hidden="false" customHeight="true" outlineLevel="0" collapsed="false">
      <c r="A278" s="16"/>
      <c r="B278" s="16"/>
      <c r="C278" s="16"/>
      <c r="D278" s="16"/>
      <c r="E278" s="17"/>
      <c r="F278" s="18"/>
    </row>
    <row r="279" customFormat="false" ht="15" hidden="false" customHeight="true" outlineLevel="0" collapsed="false">
      <c r="A279" s="16"/>
      <c r="B279" s="16"/>
      <c r="C279" s="16"/>
      <c r="D279" s="16"/>
      <c r="E279" s="17"/>
      <c r="F279" s="18"/>
    </row>
    <row r="280" customFormat="false" ht="15" hidden="false" customHeight="true" outlineLevel="0" collapsed="false">
      <c r="A280" s="16"/>
      <c r="B280" s="16"/>
      <c r="C280" s="16"/>
      <c r="D280" s="16"/>
      <c r="E280" s="17"/>
      <c r="F280" s="18"/>
    </row>
    <row r="281" customFormat="false" ht="15" hidden="false" customHeight="true" outlineLevel="0" collapsed="false">
      <c r="A281" s="16"/>
      <c r="B281" s="16"/>
      <c r="C281" s="16"/>
      <c r="D281" s="16"/>
      <c r="E281" s="17"/>
      <c r="F281" s="18"/>
    </row>
    <row r="282" customFormat="false" ht="15" hidden="false" customHeight="true" outlineLevel="0" collapsed="false">
      <c r="A282" s="16"/>
      <c r="B282" s="16"/>
      <c r="C282" s="16"/>
      <c r="D282" s="16"/>
      <c r="E282" s="17"/>
      <c r="F282" s="18"/>
    </row>
    <row r="283" customFormat="false" ht="15" hidden="false" customHeight="true" outlineLevel="0" collapsed="false">
      <c r="A283" s="16"/>
      <c r="B283" s="16"/>
      <c r="C283" s="16"/>
      <c r="D283" s="16"/>
      <c r="E283" s="17"/>
      <c r="F283" s="18"/>
    </row>
    <row r="284" customFormat="false" ht="15" hidden="false" customHeight="true" outlineLevel="0" collapsed="false">
      <c r="A284" s="16"/>
      <c r="B284" s="16"/>
      <c r="C284" s="16"/>
      <c r="D284" s="16"/>
      <c r="E284" s="17"/>
      <c r="F284" s="18"/>
    </row>
    <row r="285" customFormat="false" ht="15" hidden="false" customHeight="true" outlineLevel="0" collapsed="false">
      <c r="A285" s="16"/>
      <c r="B285" s="16"/>
      <c r="C285" s="16"/>
      <c r="D285" s="16"/>
      <c r="E285" s="17"/>
      <c r="F285" s="18"/>
    </row>
    <row r="286" customFormat="false" ht="15" hidden="false" customHeight="true" outlineLevel="0" collapsed="false">
      <c r="A286" s="16"/>
      <c r="B286" s="16"/>
      <c r="C286" s="16"/>
      <c r="D286" s="16"/>
      <c r="E286" s="17"/>
      <c r="F286" s="18"/>
    </row>
    <row r="287" customFormat="false" ht="15" hidden="false" customHeight="true" outlineLevel="0" collapsed="false">
      <c r="A287" s="16"/>
      <c r="B287" s="16"/>
      <c r="C287" s="16"/>
      <c r="D287" s="16"/>
      <c r="E287" s="17"/>
      <c r="F287" s="18"/>
    </row>
    <row r="288" customFormat="false" ht="15" hidden="false" customHeight="true" outlineLevel="0" collapsed="false">
      <c r="A288" s="16"/>
      <c r="B288" s="16"/>
      <c r="C288" s="16"/>
      <c r="D288" s="16"/>
      <c r="E288" s="17"/>
      <c r="F288" s="18"/>
    </row>
    <row r="289" customFormat="false" ht="15" hidden="false" customHeight="true" outlineLevel="0" collapsed="false">
      <c r="A289" s="16"/>
      <c r="B289" s="16"/>
      <c r="C289" s="16"/>
      <c r="D289" s="16"/>
      <c r="E289" s="17"/>
      <c r="F289" s="18"/>
    </row>
    <row r="290" customFormat="false" ht="15" hidden="false" customHeight="true" outlineLevel="0" collapsed="false">
      <c r="A290" s="16"/>
      <c r="B290" s="16"/>
      <c r="C290" s="16"/>
      <c r="D290" s="16"/>
      <c r="E290" s="17"/>
      <c r="F290" s="18"/>
    </row>
    <row r="291" customFormat="false" ht="15" hidden="false" customHeight="true" outlineLevel="0" collapsed="false">
      <c r="A291" s="16"/>
      <c r="B291" s="16"/>
      <c r="C291" s="16"/>
      <c r="D291" s="16"/>
      <c r="E291" s="17"/>
      <c r="F291" s="18"/>
    </row>
    <row r="292" customFormat="false" ht="15" hidden="false" customHeight="true" outlineLevel="0" collapsed="false">
      <c r="A292" s="16"/>
      <c r="B292" s="16"/>
      <c r="C292" s="16"/>
      <c r="D292" s="16"/>
      <c r="E292" s="17"/>
      <c r="F292" s="18"/>
    </row>
    <row r="293" customFormat="false" ht="15" hidden="false" customHeight="true" outlineLevel="0" collapsed="false">
      <c r="A293" s="16"/>
      <c r="B293" s="16"/>
      <c r="C293" s="16"/>
      <c r="D293" s="16"/>
      <c r="E293" s="17"/>
      <c r="F293" s="18"/>
    </row>
    <row r="294" customFormat="false" ht="15" hidden="false" customHeight="true" outlineLevel="0" collapsed="false">
      <c r="A294" s="16"/>
      <c r="B294" s="16"/>
      <c r="C294" s="16"/>
      <c r="D294" s="16"/>
      <c r="E294" s="17"/>
      <c r="F294" s="18"/>
    </row>
    <row r="295" customFormat="false" ht="15" hidden="false" customHeight="true" outlineLevel="0" collapsed="false">
      <c r="A295" s="16"/>
      <c r="B295" s="16"/>
      <c r="C295" s="16"/>
      <c r="D295" s="16"/>
      <c r="E295" s="17"/>
      <c r="F295" s="18"/>
    </row>
    <row r="296" customFormat="false" ht="15" hidden="false" customHeight="true" outlineLevel="0" collapsed="false">
      <c r="A296" s="16"/>
      <c r="B296" s="16"/>
      <c r="C296" s="16"/>
      <c r="D296" s="16"/>
      <c r="E296" s="17"/>
      <c r="F296" s="18"/>
    </row>
    <row r="297" customFormat="false" ht="15" hidden="false" customHeight="true" outlineLevel="0" collapsed="false">
      <c r="A297" s="16"/>
      <c r="B297" s="16"/>
      <c r="C297" s="16"/>
      <c r="D297" s="16"/>
      <c r="E297" s="17"/>
      <c r="F297" s="18"/>
    </row>
    <row r="298" customFormat="false" ht="15" hidden="false" customHeight="true" outlineLevel="0" collapsed="false">
      <c r="A298" s="16"/>
      <c r="B298" s="16"/>
      <c r="C298" s="16"/>
      <c r="D298" s="16"/>
      <c r="E298" s="17"/>
      <c r="F298" s="18"/>
    </row>
    <row r="299" customFormat="false" ht="15" hidden="false" customHeight="true" outlineLevel="0" collapsed="false">
      <c r="A299" s="16"/>
      <c r="B299" s="16"/>
      <c r="C299" s="16"/>
      <c r="D299" s="16"/>
      <c r="E299" s="17"/>
      <c r="F299" s="18"/>
    </row>
    <row r="300" customFormat="false" ht="15" hidden="false" customHeight="true" outlineLevel="0" collapsed="false">
      <c r="A300" s="16"/>
      <c r="B300" s="16"/>
      <c r="C300" s="16"/>
      <c r="D300" s="16"/>
      <c r="E300" s="17"/>
      <c r="F300" s="18"/>
    </row>
    <row r="301" customFormat="false" ht="15" hidden="false" customHeight="true" outlineLevel="0" collapsed="false">
      <c r="A301" s="16"/>
      <c r="B301" s="16"/>
      <c r="C301" s="16"/>
      <c r="D301" s="16"/>
      <c r="E301" s="17"/>
      <c r="F301" s="18"/>
    </row>
    <row r="302" customFormat="false" ht="15" hidden="false" customHeight="true" outlineLevel="0" collapsed="false">
      <c r="A302" s="16"/>
      <c r="B302" s="16"/>
      <c r="C302" s="16"/>
      <c r="D302" s="16"/>
      <c r="E302" s="17"/>
      <c r="F302" s="18"/>
    </row>
    <row r="303" customFormat="false" ht="15" hidden="false" customHeight="true" outlineLevel="0" collapsed="false">
      <c r="A303" s="16"/>
      <c r="B303" s="16"/>
      <c r="C303" s="16"/>
      <c r="D303" s="16"/>
      <c r="E303" s="17"/>
      <c r="F303" s="18"/>
    </row>
    <row r="304" customFormat="false" ht="15" hidden="false" customHeight="true" outlineLevel="0" collapsed="false">
      <c r="A304" s="16"/>
      <c r="B304" s="16"/>
      <c r="C304" s="16"/>
      <c r="D304" s="16"/>
      <c r="E304" s="17"/>
      <c r="F304" s="18"/>
    </row>
    <row r="305" customFormat="false" ht="15" hidden="false" customHeight="true" outlineLevel="0" collapsed="false">
      <c r="A305" s="16"/>
      <c r="B305" s="16"/>
      <c r="C305" s="16"/>
      <c r="D305" s="16"/>
      <c r="E305" s="17"/>
      <c r="F305" s="18"/>
    </row>
    <row r="306" customFormat="false" ht="15" hidden="false" customHeight="true" outlineLevel="0" collapsed="false">
      <c r="A306" s="16"/>
      <c r="B306" s="16"/>
      <c r="C306" s="16"/>
      <c r="D306" s="16"/>
      <c r="E306" s="17"/>
      <c r="F306" s="18"/>
    </row>
    <row r="307" customFormat="false" ht="15" hidden="false" customHeight="true" outlineLevel="0" collapsed="false">
      <c r="A307" s="16"/>
      <c r="B307" s="16"/>
      <c r="C307" s="16"/>
      <c r="D307" s="16"/>
      <c r="E307" s="17"/>
      <c r="F307" s="18"/>
    </row>
    <row r="308" customFormat="false" ht="15" hidden="false" customHeight="true" outlineLevel="0" collapsed="false">
      <c r="A308" s="16"/>
      <c r="B308" s="16"/>
      <c r="C308" s="16"/>
      <c r="D308" s="16"/>
      <c r="E308" s="17"/>
      <c r="F308" s="18"/>
    </row>
    <row r="309" customFormat="false" ht="15" hidden="false" customHeight="true" outlineLevel="0" collapsed="false">
      <c r="A309" s="16"/>
      <c r="B309" s="16"/>
      <c r="C309" s="16"/>
      <c r="D309" s="16"/>
      <c r="E309" s="17"/>
      <c r="F309" s="18"/>
    </row>
    <row r="310" customFormat="false" ht="15" hidden="false" customHeight="true" outlineLevel="0" collapsed="false">
      <c r="A310" s="16"/>
      <c r="B310" s="16"/>
      <c r="C310" s="16"/>
      <c r="D310" s="16"/>
      <c r="E310" s="17"/>
      <c r="F310" s="18"/>
    </row>
    <row r="311" customFormat="false" ht="15" hidden="false" customHeight="true" outlineLevel="0" collapsed="false">
      <c r="A311" s="16"/>
      <c r="B311" s="16"/>
      <c r="C311" s="16"/>
      <c r="D311" s="16"/>
      <c r="E311" s="17"/>
      <c r="F311" s="18"/>
    </row>
    <row r="312" customFormat="false" ht="15" hidden="false" customHeight="true" outlineLevel="0" collapsed="false">
      <c r="A312" s="16"/>
      <c r="B312" s="16"/>
      <c r="C312" s="16"/>
      <c r="D312" s="16"/>
      <c r="E312" s="17"/>
      <c r="F312" s="18"/>
    </row>
    <row r="313" customFormat="false" ht="15" hidden="false" customHeight="true" outlineLevel="0" collapsed="false">
      <c r="A313" s="16"/>
      <c r="B313" s="16"/>
      <c r="C313" s="16"/>
      <c r="D313" s="16"/>
      <c r="E313" s="17"/>
      <c r="F313" s="18"/>
    </row>
    <row r="314" customFormat="false" ht="15" hidden="false" customHeight="true" outlineLevel="0" collapsed="false">
      <c r="A314" s="16"/>
      <c r="B314" s="16"/>
      <c r="C314" s="16"/>
      <c r="D314" s="16"/>
      <c r="E314" s="17"/>
      <c r="F314" s="18"/>
    </row>
    <row r="315" customFormat="false" ht="15" hidden="false" customHeight="true" outlineLevel="0" collapsed="false">
      <c r="A315" s="16"/>
      <c r="B315" s="16"/>
      <c r="C315" s="16"/>
      <c r="D315" s="16"/>
      <c r="E315" s="17"/>
      <c r="F315" s="18"/>
    </row>
    <row r="316" customFormat="false" ht="15" hidden="false" customHeight="true" outlineLevel="0" collapsed="false">
      <c r="A316" s="16"/>
      <c r="B316" s="16"/>
      <c r="C316" s="16"/>
      <c r="D316" s="16"/>
      <c r="E316" s="17"/>
      <c r="F316" s="18"/>
    </row>
    <row r="317" customFormat="false" ht="15" hidden="false" customHeight="true" outlineLevel="0" collapsed="false">
      <c r="A317" s="16"/>
      <c r="B317" s="16"/>
      <c r="C317" s="16"/>
      <c r="D317" s="16"/>
      <c r="E317" s="17"/>
      <c r="F317" s="18"/>
    </row>
    <row r="318" customFormat="false" ht="15" hidden="false" customHeight="true" outlineLevel="0" collapsed="false">
      <c r="A318" s="16"/>
      <c r="B318" s="16"/>
      <c r="C318" s="16"/>
      <c r="D318" s="16"/>
      <c r="E318" s="17"/>
      <c r="F318" s="18"/>
    </row>
    <row r="319" customFormat="false" ht="15" hidden="false" customHeight="true" outlineLevel="0" collapsed="false">
      <c r="A319" s="16"/>
      <c r="B319" s="16"/>
      <c r="C319" s="16"/>
      <c r="D319" s="16"/>
      <c r="E319" s="17"/>
      <c r="F319" s="18"/>
    </row>
    <row r="320" customFormat="false" ht="15" hidden="false" customHeight="true" outlineLevel="0" collapsed="false">
      <c r="A320" s="16"/>
      <c r="B320" s="16"/>
      <c r="C320" s="16"/>
      <c r="D320" s="16"/>
      <c r="E320" s="17"/>
      <c r="F320" s="18"/>
    </row>
    <row r="321" customFormat="false" ht="15" hidden="false" customHeight="true" outlineLevel="0" collapsed="false">
      <c r="A321" s="16"/>
      <c r="B321" s="16"/>
      <c r="C321" s="16"/>
      <c r="D321" s="16"/>
      <c r="E321" s="17"/>
      <c r="F321" s="18"/>
    </row>
    <row r="322" customFormat="false" ht="15" hidden="false" customHeight="true" outlineLevel="0" collapsed="false">
      <c r="A322" s="16"/>
      <c r="B322" s="16"/>
      <c r="C322" s="16"/>
      <c r="D322" s="16"/>
      <c r="E322" s="17"/>
      <c r="F322" s="18"/>
    </row>
    <row r="323" customFormat="false" ht="15" hidden="false" customHeight="true" outlineLevel="0" collapsed="false">
      <c r="A323" s="16"/>
      <c r="B323" s="16"/>
      <c r="C323" s="16"/>
      <c r="D323" s="16"/>
      <c r="E323" s="17"/>
      <c r="F323" s="18"/>
    </row>
    <row r="324" customFormat="false" ht="15" hidden="false" customHeight="true" outlineLevel="0" collapsed="false">
      <c r="A324" s="16"/>
      <c r="B324" s="16"/>
      <c r="C324" s="16"/>
      <c r="D324" s="16"/>
      <c r="E324" s="17"/>
      <c r="F324" s="18"/>
    </row>
    <row r="325" customFormat="false" ht="15" hidden="false" customHeight="true" outlineLevel="0" collapsed="false">
      <c r="A325" s="16"/>
      <c r="B325" s="16"/>
      <c r="C325" s="16"/>
      <c r="D325" s="16"/>
      <c r="E325" s="17"/>
      <c r="F325" s="18"/>
    </row>
    <row r="326" customFormat="false" ht="15" hidden="false" customHeight="true" outlineLevel="0" collapsed="false">
      <c r="A326" s="16"/>
      <c r="B326" s="16"/>
      <c r="C326" s="16"/>
      <c r="D326" s="16"/>
      <c r="E326" s="17"/>
      <c r="F326" s="18"/>
    </row>
    <row r="327" customFormat="false" ht="15" hidden="false" customHeight="true" outlineLevel="0" collapsed="false">
      <c r="A327" s="16"/>
      <c r="B327" s="16"/>
      <c r="C327" s="16"/>
      <c r="D327" s="16"/>
      <c r="E327" s="17"/>
      <c r="F327" s="18"/>
    </row>
    <row r="328" customFormat="false" ht="15" hidden="false" customHeight="true" outlineLevel="0" collapsed="false">
      <c r="A328" s="16"/>
      <c r="B328" s="16"/>
      <c r="C328" s="16"/>
      <c r="D328" s="16"/>
      <c r="E328" s="17"/>
      <c r="F328" s="18"/>
    </row>
    <row r="329" customFormat="false" ht="15" hidden="false" customHeight="true" outlineLevel="0" collapsed="false">
      <c r="A329" s="16"/>
      <c r="B329" s="16"/>
      <c r="C329" s="16"/>
      <c r="D329" s="16"/>
      <c r="E329" s="17"/>
      <c r="F329" s="18"/>
    </row>
    <row r="330" customFormat="false" ht="15" hidden="false" customHeight="true" outlineLevel="0" collapsed="false">
      <c r="A330" s="16"/>
      <c r="B330" s="16"/>
      <c r="C330" s="16"/>
      <c r="D330" s="16"/>
      <c r="E330" s="17"/>
      <c r="F330" s="18"/>
    </row>
    <row r="331" customFormat="false" ht="15" hidden="false" customHeight="true" outlineLevel="0" collapsed="false">
      <c r="A331" s="16"/>
      <c r="B331" s="16"/>
      <c r="C331" s="16"/>
      <c r="D331" s="16"/>
      <c r="E331" s="17"/>
      <c r="F331" s="18"/>
    </row>
    <row r="332" customFormat="false" ht="15" hidden="false" customHeight="true" outlineLevel="0" collapsed="false">
      <c r="A332" s="16"/>
      <c r="B332" s="16"/>
      <c r="C332" s="16"/>
      <c r="D332" s="16"/>
      <c r="E332" s="17"/>
      <c r="F332" s="18"/>
    </row>
    <row r="333" customFormat="false" ht="15" hidden="false" customHeight="true" outlineLevel="0" collapsed="false">
      <c r="A333" s="16"/>
      <c r="B333" s="16"/>
      <c r="C333" s="16"/>
      <c r="D333" s="16"/>
      <c r="E333" s="17"/>
      <c r="F333" s="18"/>
    </row>
    <row r="334" customFormat="false" ht="15" hidden="false" customHeight="true" outlineLevel="0" collapsed="false">
      <c r="A334" s="16"/>
      <c r="B334" s="16"/>
      <c r="C334" s="16"/>
      <c r="D334" s="16"/>
      <c r="E334" s="17"/>
      <c r="F334" s="18"/>
    </row>
    <row r="335" customFormat="false" ht="15" hidden="false" customHeight="true" outlineLevel="0" collapsed="false">
      <c r="A335" s="16"/>
      <c r="B335" s="16"/>
      <c r="C335" s="16"/>
      <c r="D335" s="16"/>
      <c r="E335" s="17"/>
      <c r="F335" s="18"/>
    </row>
    <row r="336" customFormat="false" ht="15" hidden="false" customHeight="true" outlineLevel="0" collapsed="false">
      <c r="A336" s="16"/>
      <c r="B336" s="16"/>
      <c r="C336" s="16"/>
      <c r="D336" s="16"/>
      <c r="E336" s="17"/>
      <c r="F336" s="18"/>
    </row>
    <row r="337" customFormat="false" ht="15" hidden="false" customHeight="true" outlineLevel="0" collapsed="false">
      <c r="A337" s="16"/>
      <c r="B337" s="16"/>
      <c r="C337" s="16"/>
      <c r="D337" s="16"/>
      <c r="E337" s="17"/>
      <c r="F337" s="18"/>
    </row>
    <row r="338" customFormat="false" ht="15" hidden="false" customHeight="true" outlineLevel="0" collapsed="false">
      <c r="A338" s="16"/>
      <c r="B338" s="16"/>
      <c r="C338" s="16"/>
      <c r="D338" s="16"/>
      <c r="E338" s="17"/>
      <c r="F338" s="18"/>
    </row>
    <row r="339" customFormat="false" ht="15" hidden="false" customHeight="true" outlineLevel="0" collapsed="false">
      <c r="A339" s="16"/>
      <c r="B339" s="16"/>
      <c r="C339" s="16"/>
      <c r="D339" s="16"/>
      <c r="E339" s="17"/>
      <c r="F339" s="18"/>
    </row>
    <row r="340" customFormat="false" ht="15" hidden="false" customHeight="true" outlineLevel="0" collapsed="false">
      <c r="A340" s="16"/>
      <c r="B340" s="16"/>
      <c r="C340" s="16"/>
      <c r="D340" s="16"/>
      <c r="E340" s="17"/>
      <c r="F340" s="18"/>
    </row>
    <row r="341" customFormat="false" ht="15" hidden="false" customHeight="true" outlineLevel="0" collapsed="false">
      <c r="A341" s="16"/>
      <c r="B341" s="16"/>
      <c r="C341" s="16"/>
      <c r="D341" s="16"/>
      <c r="E341" s="17"/>
      <c r="F341" s="18"/>
    </row>
    <row r="342" customFormat="false" ht="15" hidden="false" customHeight="true" outlineLevel="0" collapsed="false">
      <c r="A342" s="16"/>
      <c r="B342" s="16"/>
      <c r="C342" s="16"/>
      <c r="D342" s="16"/>
      <c r="E342" s="17"/>
      <c r="F342" s="18"/>
    </row>
    <row r="343" customFormat="false" ht="15" hidden="false" customHeight="true" outlineLevel="0" collapsed="false">
      <c r="A343" s="16"/>
      <c r="B343" s="16"/>
      <c r="C343" s="16"/>
      <c r="D343" s="16"/>
      <c r="E343" s="17"/>
      <c r="F343" s="18"/>
    </row>
    <row r="344" customFormat="false" ht="15" hidden="false" customHeight="true" outlineLevel="0" collapsed="false">
      <c r="A344" s="16"/>
      <c r="B344" s="16"/>
      <c r="C344" s="16"/>
      <c r="D344" s="16"/>
      <c r="E344" s="17"/>
      <c r="F344" s="18"/>
    </row>
    <row r="345" customFormat="false" ht="15" hidden="false" customHeight="true" outlineLevel="0" collapsed="false">
      <c r="A345" s="16"/>
      <c r="B345" s="16"/>
      <c r="C345" s="16"/>
      <c r="D345" s="16"/>
      <c r="E345" s="17"/>
      <c r="F345" s="18"/>
    </row>
    <row r="346" customFormat="false" ht="15" hidden="false" customHeight="true" outlineLevel="0" collapsed="false">
      <c r="A346" s="16"/>
      <c r="B346" s="16"/>
      <c r="C346" s="16"/>
      <c r="D346" s="16"/>
      <c r="E346" s="17"/>
      <c r="F346" s="18"/>
    </row>
    <row r="347" customFormat="false" ht="15" hidden="false" customHeight="true" outlineLevel="0" collapsed="false">
      <c r="A347" s="16"/>
      <c r="B347" s="16"/>
      <c r="C347" s="16"/>
      <c r="D347" s="16"/>
      <c r="E347" s="17"/>
      <c r="F347" s="18"/>
    </row>
    <row r="348" customFormat="false" ht="15" hidden="false" customHeight="true" outlineLevel="0" collapsed="false">
      <c r="A348" s="16"/>
      <c r="B348" s="16"/>
      <c r="C348" s="16"/>
      <c r="D348" s="16"/>
      <c r="E348" s="17"/>
      <c r="F348" s="18"/>
    </row>
    <row r="349" customFormat="false" ht="15" hidden="false" customHeight="true" outlineLevel="0" collapsed="false">
      <c r="A349" s="16"/>
      <c r="B349" s="16"/>
      <c r="C349" s="16"/>
      <c r="D349" s="16"/>
      <c r="E349" s="17"/>
      <c r="F349" s="18"/>
    </row>
    <row r="350" customFormat="false" ht="15" hidden="false" customHeight="true" outlineLevel="0" collapsed="false">
      <c r="A350" s="16"/>
      <c r="B350" s="16"/>
      <c r="C350" s="16"/>
      <c r="D350" s="16"/>
      <c r="E350" s="17"/>
      <c r="F350" s="18"/>
    </row>
    <row r="351" customFormat="false" ht="15" hidden="false" customHeight="true" outlineLevel="0" collapsed="false">
      <c r="A351" s="16"/>
      <c r="B351" s="16"/>
      <c r="C351" s="16"/>
      <c r="D351" s="16"/>
      <c r="E351" s="17"/>
      <c r="F351" s="18"/>
    </row>
    <row r="352" customFormat="false" ht="15" hidden="false" customHeight="true" outlineLevel="0" collapsed="false">
      <c r="A352" s="16"/>
      <c r="B352" s="16"/>
      <c r="C352" s="16"/>
      <c r="D352" s="16"/>
      <c r="E352" s="17"/>
      <c r="F352" s="18"/>
    </row>
    <row r="353" customFormat="false" ht="15" hidden="false" customHeight="true" outlineLevel="0" collapsed="false">
      <c r="A353" s="16"/>
      <c r="B353" s="16"/>
      <c r="C353" s="16"/>
      <c r="D353" s="16"/>
      <c r="E353" s="17"/>
      <c r="F353" s="18"/>
    </row>
    <row r="354" customFormat="false" ht="15" hidden="false" customHeight="true" outlineLevel="0" collapsed="false">
      <c r="A354" s="16"/>
      <c r="B354" s="16"/>
      <c r="C354" s="16"/>
      <c r="D354" s="16"/>
      <c r="E354" s="17"/>
      <c r="F354" s="18"/>
    </row>
    <row r="355" customFormat="false" ht="15" hidden="false" customHeight="true" outlineLevel="0" collapsed="false">
      <c r="A355" s="16"/>
      <c r="B355" s="16"/>
      <c r="C355" s="16"/>
      <c r="D355" s="16"/>
      <c r="E355" s="17"/>
      <c r="F355" s="18"/>
    </row>
    <row r="356" customFormat="false" ht="15" hidden="false" customHeight="true" outlineLevel="0" collapsed="false">
      <c r="A356" s="16"/>
      <c r="B356" s="16"/>
      <c r="C356" s="16"/>
      <c r="D356" s="16"/>
      <c r="E356" s="17"/>
      <c r="F356" s="18"/>
    </row>
    <row r="357" customFormat="false" ht="15" hidden="false" customHeight="true" outlineLevel="0" collapsed="false">
      <c r="A357" s="16"/>
      <c r="B357" s="16"/>
      <c r="C357" s="16"/>
      <c r="D357" s="16"/>
      <c r="E357" s="17"/>
      <c r="F357" s="18"/>
    </row>
    <row r="358" customFormat="false" ht="15" hidden="false" customHeight="true" outlineLevel="0" collapsed="false">
      <c r="A358" s="16"/>
      <c r="B358" s="16"/>
      <c r="C358" s="16"/>
      <c r="D358" s="16"/>
      <c r="E358" s="17"/>
      <c r="F358" s="18"/>
    </row>
    <row r="359" customFormat="false" ht="15" hidden="false" customHeight="true" outlineLevel="0" collapsed="false">
      <c r="A359" s="16"/>
      <c r="B359" s="16"/>
      <c r="C359" s="16"/>
      <c r="D359" s="16"/>
      <c r="E359" s="17"/>
      <c r="F359" s="18"/>
    </row>
    <row r="360" customFormat="false" ht="15" hidden="false" customHeight="true" outlineLevel="0" collapsed="false">
      <c r="A360" s="16"/>
      <c r="B360" s="16"/>
      <c r="C360" s="16"/>
      <c r="D360" s="16"/>
      <c r="E360" s="17"/>
      <c r="F360" s="18"/>
    </row>
    <row r="361" customFormat="false" ht="15" hidden="false" customHeight="true" outlineLevel="0" collapsed="false">
      <c r="A361" s="16"/>
      <c r="B361" s="16"/>
      <c r="C361" s="16"/>
      <c r="D361" s="16"/>
      <c r="E361" s="17"/>
      <c r="F361" s="18"/>
    </row>
    <row r="362" customFormat="false" ht="15" hidden="false" customHeight="true" outlineLevel="0" collapsed="false">
      <c r="A362" s="16"/>
      <c r="B362" s="16"/>
      <c r="C362" s="16"/>
      <c r="D362" s="16"/>
      <c r="E362" s="17"/>
      <c r="F362" s="18"/>
    </row>
    <row r="363" customFormat="false" ht="15" hidden="false" customHeight="true" outlineLevel="0" collapsed="false">
      <c r="A363" s="16"/>
      <c r="B363" s="16"/>
      <c r="C363" s="16"/>
      <c r="D363" s="16"/>
      <c r="E363" s="17"/>
      <c r="F363" s="18"/>
    </row>
    <row r="364" customFormat="false" ht="15" hidden="false" customHeight="true" outlineLevel="0" collapsed="false">
      <c r="A364" s="16"/>
      <c r="B364" s="16"/>
      <c r="C364" s="16"/>
      <c r="D364" s="16"/>
      <c r="E364" s="17"/>
      <c r="F364" s="18"/>
    </row>
    <row r="365" customFormat="false" ht="15" hidden="false" customHeight="true" outlineLevel="0" collapsed="false">
      <c r="A365" s="16"/>
      <c r="B365" s="16"/>
      <c r="C365" s="16"/>
      <c r="D365" s="16"/>
      <c r="E365" s="17"/>
      <c r="F365" s="18"/>
    </row>
    <row r="366" customFormat="false" ht="15" hidden="false" customHeight="true" outlineLevel="0" collapsed="false">
      <c r="A366" s="16"/>
      <c r="B366" s="16"/>
      <c r="C366" s="16"/>
      <c r="D366" s="16"/>
      <c r="E366" s="17"/>
      <c r="F366" s="18"/>
    </row>
    <row r="367" customFormat="false" ht="15" hidden="false" customHeight="true" outlineLevel="0" collapsed="false">
      <c r="A367" s="16"/>
      <c r="B367" s="16"/>
      <c r="C367" s="16"/>
      <c r="D367" s="16"/>
      <c r="E367" s="17"/>
      <c r="F367" s="18"/>
    </row>
    <row r="368" customFormat="false" ht="15" hidden="false" customHeight="true" outlineLevel="0" collapsed="false">
      <c r="A368" s="16"/>
      <c r="B368" s="16"/>
      <c r="C368" s="16"/>
      <c r="D368" s="16"/>
      <c r="E368" s="17"/>
      <c r="F368" s="18"/>
    </row>
    <row r="369" customFormat="false" ht="15" hidden="false" customHeight="true" outlineLevel="0" collapsed="false">
      <c r="A369" s="16"/>
      <c r="B369" s="16"/>
      <c r="C369" s="16"/>
      <c r="D369" s="16"/>
      <c r="E369" s="17"/>
      <c r="F369" s="18"/>
    </row>
    <row r="370" customFormat="false" ht="15" hidden="false" customHeight="true" outlineLevel="0" collapsed="false">
      <c r="A370" s="16"/>
      <c r="B370" s="16"/>
      <c r="C370" s="16"/>
      <c r="D370" s="16"/>
      <c r="E370" s="17"/>
      <c r="F370" s="18"/>
    </row>
    <row r="371" customFormat="false" ht="15" hidden="false" customHeight="true" outlineLevel="0" collapsed="false">
      <c r="A371" s="16"/>
      <c r="B371" s="16"/>
      <c r="C371" s="16"/>
      <c r="D371" s="16"/>
      <c r="E371" s="17"/>
      <c r="F371" s="18"/>
    </row>
    <row r="372" customFormat="false" ht="15" hidden="false" customHeight="true" outlineLevel="0" collapsed="false">
      <c r="A372" s="16"/>
      <c r="B372" s="16"/>
      <c r="C372" s="16"/>
      <c r="D372" s="16"/>
      <c r="E372" s="17"/>
      <c r="F372" s="18"/>
    </row>
    <row r="373" customFormat="false" ht="15" hidden="false" customHeight="true" outlineLevel="0" collapsed="false">
      <c r="A373" s="16"/>
      <c r="B373" s="16"/>
      <c r="C373" s="16"/>
      <c r="D373" s="16"/>
      <c r="E373" s="17"/>
      <c r="F373" s="18"/>
    </row>
    <row r="374" customFormat="false" ht="15" hidden="false" customHeight="true" outlineLevel="0" collapsed="false">
      <c r="A374" s="16"/>
      <c r="B374" s="16"/>
      <c r="C374" s="16"/>
      <c r="D374" s="16"/>
      <c r="E374" s="17"/>
      <c r="F374" s="18"/>
    </row>
    <row r="375" customFormat="false" ht="15" hidden="false" customHeight="true" outlineLevel="0" collapsed="false">
      <c r="A375" s="16"/>
      <c r="B375" s="16"/>
      <c r="C375" s="16"/>
      <c r="D375" s="16"/>
      <c r="E375" s="17"/>
      <c r="F375" s="18"/>
    </row>
    <row r="376" customFormat="false" ht="15" hidden="false" customHeight="true" outlineLevel="0" collapsed="false">
      <c r="A376" s="16"/>
      <c r="B376" s="16"/>
      <c r="C376" s="16"/>
      <c r="D376" s="16"/>
      <c r="E376" s="17"/>
      <c r="F376" s="18"/>
    </row>
    <row r="377" customFormat="false" ht="15" hidden="false" customHeight="true" outlineLevel="0" collapsed="false">
      <c r="A377" s="16"/>
      <c r="B377" s="16"/>
      <c r="C377" s="16"/>
      <c r="D377" s="16"/>
      <c r="E377" s="17"/>
      <c r="F377" s="18"/>
    </row>
    <row r="378" customFormat="false" ht="15" hidden="false" customHeight="true" outlineLevel="0" collapsed="false">
      <c r="A378" s="16"/>
      <c r="B378" s="16"/>
      <c r="C378" s="16"/>
      <c r="D378" s="16"/>
      <c r="E378" s="17"/>
      <c r="F378" s="18"/>
    </row>
    <row r="379" customFormat="false" ht="15" hidden="false" customHeight="true" outlineLevel="0" collapsed="false">
      <c r="A379" s="16"/>
      <c r="B379" s="16"/>
      <c r="C379" s="16"/>
      <c r="D379" s="16"/>
      <c r="E379" s="17"/>
      <c r="F379" s="18"/>
    </row>
    <row r="380" customFormat="false" ht="15" hidden="false" customHeight="true" outlineLevel="0" collapsed="false">
      <c r="A380" s="16"/>
      <c r="B380" s="16"/>
      <c r="C380" s="16"/>
      <c r="D380" s="16"/>
      <c r="E380" s="17"/>
      <c r="F380" s="18"/>
    </row>
    <row r="381" customFormat="false" ht="15" hidden="false" customHeight="true" outlineLevel="0" collapsed="false">
      <c r="A381" s="16"/>
      <c r="B381" s="16"/>
      <c r="C381" s="16"/>
      <c r="D381" s="16"/>
      <c r="E381" s="17"/>
      <c r="F381" s="18"/>
    </row>
    <row r="382" customFormat="false" ht="15" hidden="false" customHeight="true" outlineLevel="0" collapsed="false">
      <c r="A382" s="16"/>
      <c r="B382" s="16"/>
      <c r="C382" s="16"/>
      <c r="D382" s="16"/>
      <c r="E382" s="17"/>
      <c r="F382" s="18"/>
    </row>
    <row r="383" customFormat="false" ht="15" hidden="false" customHeight="true" outlineLevel="0" collapsed="false">
      <c r="A383" s="16"/>
      <c r="B383" s="16"/>
      <c r="C383" s="16"/>
      <c r="D383" s="16"/>
      <c r="E383" s="17"/>
      <c r="F383" s="18"/>
    </row>
    <row r="384" customFormat="false" ht="15" hidden="false" customHeight="true" outlineLevel="0" collapsed="false">
      <c r="A384" s="16"/>
      <c r="B384" s="16"/>
      <c r="C384" s="16"/>
      <c r="D384" s="16"/>
      <c r="E384" s="17"/>
      <c r="F384" s="18"/>
    </row>
    <row r="385" customFormat="false" ht="15" hidden="false" customHeight="true" outlineLevel="0" collapsed="false">
      <c r="A385" s="16"/>
      <c r="B385" s="16"/>
      <c r="C385" s="16"/>
      <c r="D385" s="16"/>
      <c r="E385" s="17"/>
      <c r="F385" s="18"/>
    </row>
    <row r="386" customFormat="false" ht="15" hidden="false" customHeight="true" outlineLevel="0" collapsed="false">
      <c r="A386" s="16"/>
      <c r="B386" s="16"/>
      <c r="C386" s="16"/>
      <c r="D386" s="16"/>
      <c r="E386" s="17"/>
      <c r="F386" s="18"/>
    </row>
    <row r="387" customFormat="false" ht="15" hidden="false" customHeight="true" outlineLevel="0" collapsed="false">
      <c r="A387" s="16"/>
      <c r="B387" s="16"/>
      <c r="C387" s="16"/>
      <c r="D387" s="16"/>
      <c r="E387" s="17"/>
      <c r="F387" s="18"/>
    </row>
    <row r="388" customFormat="false" ht="15" hidden="false" customHeight="true" outlineLevel="0" collapsed="false">
      <c r="A388" s="16"/>
      <c r="B388" s="16"/>
      <c r="C388" s="16"/>
      <c r="D388" s="16"/>
      <c r="E388" s="17"/>
      <c r="F388" s="18"/>
    </row>
    <row r="389" customFormat="false" ht="15" hidden="false" customHeight="true" outlineLevel="0" collapsed="false">
      <c r="A389" s="16"/>
      <c r="B389" s="16"/>
      <c r="C389" s="16"/>
      <c r="D389" s="16"/>
      <c r="E389" s="17"/>
      <c r="F389" s="18"/>
    </row>
    <row r="390" customFormat="false" ht="15" hidden="false" customHeight="true" outlineLevel="0" collapsed="false">
      <c r="A390" s="16"/>
      <c r="B390" s="16"/>
      <c r="C390" s="16"/>
      <c r="D390" s="16"/>
      <c r="E390" s="17"/>
      <c r="F390" s="18"/>
    </row>
    <row r="391" customFormat="false" ht="15" hidden="false" customHeight="true" outlineLevel="0" collapsed="false">
      <c r="A391" s="16"/>
      <c r="B391" s="16"/>
      <c r="C391" s="16"/>
      <c r="D391" s="16"/>
      <c r="E391" s="17"/>
      <c r="F391" s="18"/>
    </row>
    <row r="392" customFormat="false" ht="15" hidden="false" customHeight="true" outlineLevel="0" collapsed="false">
      <c r="A392" s="16"/>
      <c r="B392" s="16"/>
      <c r="C392" s="16"/>
      <c r="D392" s="16"/>
      <c r="E392" s="17"/>
      <c r="F392" s="18"/>
    </row>
    <row r="393" customFormat="false" ht="15" hidden="false" customHeight="true" outlineLevel="0" collapsed="false">
      <c r="A393" s="16"/>
      <c r="B393" s="16"/>
      <c r="C393" s="16"/>
      <c r="D393" s="16"/>
      <c r="E393" s="17"/>
      <c r="F393" s="18"/>
    </row>
    <row r="394" customFormat="false" ht="15" hidden="false" customHeight="true" outlineLevel="0" collapsed="false">
      <c r="A394" s="16"/>
      <c r="B394" s="16"/>
      <c r="C394" s="16"/>
      <c r="D394" s="16"/>
      <c r="E394" s="17"/>
      <c r="F394" s="18"/>
    </row>
    <row r="395" customFormat="false" ht="15" hidden="false" customHeight="true" outlineLevel="0" collapsed="false">
      <c r="A395" s="16"/>
      <c r="B395" s="16"/>
      <c r="C395" s="16"/>
      <c r="D395" s="16"/>
      <c r="E395" s="17"/>
      <c r="F395" s="18"/>
    </row>
    <row r="396" customFormat="false" ht="15" hidden="false" customHeight="true" outlineLevel="0" collapsed="false">
      <c r="A396" s="16"/>
      <c r="B396" s="16"/>
      <c r="C396" s="16"/>
      <c r="D396" s="16"/>
      <c r="E396" s="17"/>
      <c r="F396" s="18"/>
    </row>
    <row r="397" customFormat="false" ht="15" hidden="false" customHeight="true" outlineLevel="0" collapsed="false">
      <c r="A397" s="16"/>
      <c r="B397" s="16"/>
      <c r="C397" s="16"/>
      <c r="D397" s="16"/>
      <c r="E397" s="17"/>
      <c r="F397" s="18"/>
    </row>
  </sheetData>
  <autoFilter ref="A1:F397"/>
  <dataValidations count="3">
    <dataValidation allowBlank="true" errorStyle="stop" operator="between" showDropDown="false" showErrorMessage="false" showInputMessage="false" sqref="B2:B397" type="list">
      <formula1>"Legislation,CMS Rule,Rate Announcement,Enrollment Milestone,Plan Landscape Release,Disaster SEP,State Regulation,Litigation,Other"</formula1>
      <formula2>0</formula2>
    </dataValidation>
    <dataValidation allowBlank="true" errorStyle="stop" operator="between" showDropDown="false" showErrorMessage="false" showInputMessage="false" sqref="C2:C397" type="list">
      <formula1>"MA,MS,Part D,D-SNP,C-SNP,MA / Part D,MA / MS,MA / Part D / MS,MA / Part D / D-SNP,Part D / MA / D-SNP,D-SNP / MA / Part D,All,Multiple"</formula1>
      <formula2>0</formula2>
    </dataValidation>
    <dataValidation allowBlank="true" errorStyle="stop" operator="between" showDropDown="false" showErrorMessage="false" showInputMessage="false" sqref="D2:D397" type="list">
      <formula1>"Announced,Effective,Deadline"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35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K3" activeCellId="0" sqref="K3"/>
    </sheetView>
  </sheetViews>
  <sheetFormatPr defaultColWidth="8.6328125" defaultRowHeight="14.25" zeroHeight="false" outlineLevelRow="0" outlineLevelCol="0"/>
  <cols>
    <col collapsed="false" customWidth="true" hidden="false" outlineLevel="0" max="1" min="1" style="1" width="12"/>
    <col collapsed="false" customWidth="true" hidden="false" outlineLevel="0" max="2" min="2" style="1" width="7"/>
    <col collapsed="false" customWidth="true" hidden="false" outlineLevel="0" max="3" min="3" style="1" width="10"/>
    <col collapsed="false" customWidth="true" hidden="false" outlineLevel="0" max="4" min="4" style="1" width="16"/>
    <col collapsed="false" customWidth="true" hidden="false" outlineLevel="0" max="5" min="5" style="1" width="55"/>
    <col collapsed="false" customWidth="true" hidden="false" outlineLevel="0" max="7" min="6" style="1" width="14"/>
    <col collapsed="false" customWidth="true" hidden="false" outlineLevel="0" max="8" min="8" style="1" width="15"/>
    <col collapsed="false" customWidth="true" hidden="false" outlineLevel="0" max="9" min="9" style="1" width="11"/>
    <col collapsed="false" customWidth="true" hidden="false" outlineLevel="0" max="10" min="10" style="1" width="16"/>
    <col collapsed="false" customWidth="true" hidden="false" outlineLevel="0" max="11" min="11" style="1" width="12"/>
    <col collapsed="false" customWidth="true" hidden="false" outlineLevel="0" max="12" min="12" style="19" width="10.45"/>
  </cols>
  <sheetData>
    <row r="1" customFormat="false" ht="14.25" hidden="false" customHeight="true" outlineLevel="0" collapsed="false">
      <c r="A1" s="2" t="s">
        <v>151</v>
      </c>
      <c r="B1" s="2" t="s">
        <v>152</v>
      </c>
      <c r="C1" s="2" t="s">
        <v>153</v>
      </c>
      <c r="D1" s="2" t="s">
        <v>154</v>
      </c>
      <c r="E1" s="2" t="s">
        <v>155</v>
      </c>
      <c r="F1" s="2" t="s">
        <v>156</v>
      </c>
      <c r="G1" s="2" t="s">
        <v>157</v>
      </c>
      <c r="H1" s="2" t="s">
        <v>158</v>
      </c>
      <c r="I1" s="2" t="s">
        <v>159</v>
      </c>
      <c r="J1" s="2" t="s">
        <v>160</v>
      </c>
      <c r="K1" s="2" t="s">
        <v>161</v>
      </c>
      <c r="L1" s="2" t="s">
        <v>162</v>
      </c>
    </row>
    <row r="2" customFormat="false" ht="25.5" hidden="false" customHeight="true" outlineLevel="0" collapsed="false">
      <c r="A2" s="15" t="n">
        <v>4775</v>
      </c>
      <c r="B2" s="15" t="s">
        <v>163</v>
      </c>
      <c r="C2" s="15" t="s">
        <v>164</v>
      </c>
      <c r="D2" s="15" t="s">
        <v>165</v>
      </c>
      <c r="E2" s="13" t="s">
        <v>166</v>
      </c>
      <c r="F2" s="3" t="n">
        <v>45296</v>
      </c>
      <c r="G2" s="3" t="n">
        <v>45320</v>
      </c>
      <c r="H2" s="3" t="n">
        <v>45410</v>
      </c>
      <c r="I2" s="15" t="s">
        <v>167</v>
      </c>
      <c r="J2" s="15" t="n">
        <v>17</v>
      </c>
      <c r="K2" s="3" t="n">
        <f aca="false">IF(OR(C2="DR",C2="EM"),MIN(F2,H2),"")</f>
        <v>45296</v>
      </c>
      <c r="L2" s="20" t="n">
        <f aca="false">IF(K2="","",EOMONTH(K2,2))</f>
        <v>45382</v>
      </c>
    </row>
    <row r="3" customFormat="false" ht="14.25" hidden="false" customHeight="true" outlineLevel="0" collapsed="false">
      <c r="A3" s="15" t="n">
        <v>4774</v>
      </c>
      <c r="B3" s="15" t="s">
        <v>168</v>
      </c>
      <c r="C3" s="15" t="s">
        <v>164</v>
      </c>
      <c r="D3" s="15" t="s">
        <v>169</v>
      </c>
      <c r="E3" s="13" t="s">
        <v>170</v>
      </c>
      <c r="F3" s="3" t="n">
        <v>45299</v>
      </c>
      <c r="G3" s="3" t="n">
        <v>45307</v>
      </c>
      <c r="H3" s="3" t="n">
        <v>45410</v>
      </c>
      <c r="I3" s="15" t="s">
        <v>167</v>
      </c>
      <c r="J3" s="15" t="n">
        <v>17</v>
      </c>
      <c r="K3" s="3" t="n">
        <f aca="false">IF(OR(C3="DR",C3="EM"),MIN(F3,H3),"")</f>
        <v>45299</v>
      </c>
      <c r="L3" s="20" t="n">
        <f aca="false">IF(K3="","",EOMONTH(K3,2))</f>
        <v>45382</v>
      </c>
    </row>
    <row r="4" customFormat="false" ht="14.25" hidden="false" customHeight="true" outlineLevel="0" collapsed="false">
      <c r="A4" s="15" t="n">
        <v>4764</v>
      </c>
      <c r="B4" s="15" t="s">
        <v>171</v>
      </c>
      <c r="C4" s="15" t="s">
        <v>164</v>
      </c>
      <c r="D4" s="15" t="s">
        <v>165</v>
      </c>
      <c r="E4" s="13" t="s">
        <v>172</v>
      </c>
      <c r="F4" s="3" t="n">
        <v>45300</v>
      </c>
      <c r="G4" s="3" t="n">
        <v>45304</v>
      </c>
      <c r="H4" s="3" t="n">
        <v>45371</v>
      </c>
      <c r="I4" s="15" t="s">
        <v>167</v>
      </c>
      <c r="J4" s="15" t="n">
        <v>8</v>
      </c>
      <c r="K4" s="3" t="n">
        <f aca="false">IF(OR(C4="DR",C4="EM"),MIN(F4,H4),"")</f>
        <v>45300</v>
      </c>
      <c r="L4" s="20" t="n">
        <f aca="false">IF(K4="","",EOMONTH(K4,2))</f>
        <v>45382</v>
      </c>
    </row>
    <row r="5" customFormat="false" ht="14.25" hidden="false" customHeight="true" outlineLevel="0" collapsed="false">
      <c r="A5" s="15" t="n">
        <v>4766</v>
      </c>
      <c r="B5" s="15" t="s">
        <v>102</v>
      </c>
      <c r="C5" s="15" t="s">
        <v>164</v>
      </c>
      <c r="D5" s="15" t="s">
        <v>165</v>
      </c>
      <c r="E5" s="13" t="s">
        <v>172</v>
      </c>
      <c r="F5" s="3" t="n">
        <v>45300</v>
      </c>
      <c r="G5" s="3" t="n">
        <v>45304</v>
      </c>
      <c r="H5" s="3" t="n">
        <v>45371</v>
      </c>
      <c r="I5" s="15" t="s">
        <v>167</v>
      </c>
      <c r="J5" s="15" t="n">
        <v>4</v>
      </c>
      <c r="K5" s="3" t="n">
        <f aca="false">IF(OR(C5="DR",C5="EM"),MIN(F5,H5),"")</f>
        <v>45300</v>
      </c>
      <c r="L5" s="20" t="n">
        <f aca="false">IF(K5="","",EOMONTH(K5,2))</f>
        <v>45382</v>
      </c>
    </row>
    <row r="6" customFormat="false" ht="14.25" hidden="false" customHeight="true" outlineLevel="0" collapsed="false">
      <c r="A6" s="15" t="n">
        <v>4770</v>
      </c>
      <c r="B6" s="15" t="s">
        <v>173</v>
      </c>
      <c r="C6" s="15" t="s">
        <v>164</v>
      </c>
      <c r="D6" s="15" t="s">
        <v>165</v>
      </c>
      <c r="E6" s="13" t="s">
        <v>170</v>
      </c>
      <c r="F6" s="3" t="n">
        <v>45300</v>
      </c>
      <c r="G6" s="3" t="n">
        <v>45304</v>
      </c>
      <c r="H6" s="3" t="n">
        <v>45401</v>
      </c>
      <c r="I6" s="15" t="s">
        <v>167</v>
      </c>
      <c r="J6" s="15" t="n">
        <v>5</v>
      </c>
      <c r="K6" s="3" t="n">
        <f aca="false">IF(OR(C6="DR",C6="EM"),MIN(F6,H6),"")</f>
        <v>45300</v>
      </c>
      <c r="L6" s="20" t="n">
        <f aca="false">IF(K6="","",EOMONTH(K6,2))</f>
        <v>45382</v>
      </c>
    </row>
    <row r="7" customFormat="false" ht="14.25" hidden="false" customHeight="true" outlineLevel="0" collapsed="false">
      <c r="A7" s="15" t="n">
        <v>4771</v>
      </c>
      <c r="B7" s="15" t="s">
        <v>174</v>
      </c>
      <c r="C7" s="15" t="s">
        <v>164</v>
      </c>
      <c r="D7" s="15" t="s">
        <v>165</v>
      </c>
      <c r="E7" s="13" t="s">
        <v>172</v>
      </c>
      <c r="F7" s="3" t="n">
        <v>45300</v>
      </c>
      <c r="G7" s="3" t="n">
        <v>45305</v>
      </c>
      <c r="H7" s="3" t="n">
        <v>45401</v>
      </c>
      <c r="I7" s="15" t="s">
        <v>167</v>
      </c>
      <c r="J7" s="15" t="n">
        <v>2</v>
      </c>
      <c r="K7" s="3" t="n">
        <f aca="false">IF(OR(C7="DR",C7="EM"),MIN(F7,H7),"")</f>
        <v>45300</v>
      </c>
      <c r="L7" s="20" t="n">
        <f aca="false">IF(K7="","",EOMONTH(K7,2))</f>
        <v>45382</v>
      </c>
    </row>
    <row r="8" customFormat="false" ht="14.25" hidden="false" customHeight="true" outlineLevel="0" collapsed="false">
      <c r="A8" s="15" t="n">
        <v>3604</v>
      </c>
      <c r="B8" s="15" t="s">
        <v>175</v>
      </c>
      <c r="C8" s="15" t="s">
        <v>176</v>
      </c>
      <c r="D8" s="15" t="s">
        <v>165</v>
      </c>
      <c r="E8" s="13" t="s">
        <v>177</v>
      </c>
      <c r="F8" s="3" t="n">
        <v>45301</v>
      </c>
      <c r="G8" s="3" t="n">
        <v>45304</v>
      </c>
      <c r="H8" s="3" t="n">
        <v>45304</v>
      </c>
      <c r="I8" s="15" t="s">
        <v>167</v>
      </c>
      <c r="J8" s="15" t="n">
        <v>3</v>
      </c>
      <c r="K8" s="3" t="n">
        <f aca="false">IF(OR(C8="DR",C8="EM"),MIN(F8,H8),"")</f>
        <v>45301</v>
      </c>
      <c r="L8" s="20" t="n">
        <f aca="false">IF(K8="","",EOMONTH(K8,2))</f>
        <v>45382</v>
      </c>
    </row>
    <row r="9" customFormat="false" ht="25.5" hidden="false" customHeight="true" outlineLevel="0" collapsed="false">
      <c r="A9" s="15" t="n">
        <v>4768</v>
      </c>
      <c r="B9" s="15" t="s">
        <v>178</v>
      </c>
      <c r="C9" s="15" t="s">
        <v>164</v>
      </c>
      <c r="D9" s="15" t="s">
        <v>165</v>
      </c>
      <c r="E9" s="13" t="s">
        <v>179</v>
      </c>
      <c r="F9" s="3" t="n">
        <v>45301</v>
      </c>
      <c r="G9" s="3" t="n">
        <v>45313</v>
      </c>
      <c r="H9" s="3" t="n">
        <v>45395</v>
      </c>
      <c r="I9" s="15" t="s">
        <v>167</v>
      </c>
      <c r="J9" s="15" t="n">
        <v>13</v>
      </c>
      <c r="K9" s="3" t="n">
        <f aca="false">IF(OR(C9="DR",C9="EM"),MIN(F9,H9),"")</f>
        <v>45301</v>
      </c>
      <c r="L9" s="20" t="n">
        <f aca="false">IF(K9="","",EOMONTH(K9,2))</f>
        <v>45382</v>
      </c>
    </row>
    <row r="10" customFormat="false" ht="14.25" hidden="false" customHeight="true" outlineLevel="0" collapsed="false">
      <c r="A10" s="15" t="n">
        <v>4758</v>
      </c>
      <c r="B10" s="15" t="s">
        <v>117</v>
      </c>
      <c r="C10" s="15" t="s">
        <v>164</v>
      </c>
      <c r="D10" s="15" t="s">
        <v>180</v>
      </c>
      <c r="E10" s="13" t="s">
        <v>181</v>
      </c>
      <c r="F10" s="3" t="n">
        <v>45312</v>
      </c>
      <c r="G10" s="3" t="n">
        <v>45314</v>
      </c>
      <c r="H10" s="3" t="n">
        <v>45341</v>
      </c>
      <c r="I10" s="15" t="s">
        <v>167</v>
      </c>
      <c r="J10" s="15" t="n">
        <v>1</v>
      </c>
      <c r="K10" s="3" t="n">
        <f aca="false">IF(OR(C10="DR",C10="EM"),MIN(F10,H10),"")</f>
        <v>45312</v>
      </c>
      <c r="L10" s="20" t="n">
        <f aca="false">IF(K10="","",EOMONTH(K10,2))</f>
        <v>45382</v>
      </c>
    </row>
    <row r="11" customFormat="false" ht="14.25" hidden="false" customHeight="true" outlineLevel="0" collapsed="false">
      <c r="A11" s="15" t="n">
        <v>4773</v>
      </c>
      <c r="B11" s="15" t="s">
        <v>117</v>
      </c>
      <c r="C11" s="15" t="s">
        <v>164</v>
      </c>
      <c r="D11" s="15" t="s">
        <v>165</v>
      </c>
      <c r="E11" s="13" t="s">
        <v>170</v>
      </c>
      <c r="F11" s="3" t="n">
        <v>45321</v>
      </c>
      <c r="G11" s="3" t="n">
        <v>45322</v>
      </c>
      <c r="H11" s="3" t="n">
        <v>45401</v>
      </c>
      <c r="I11" s="15" t="s">
        <v>167</v>
      </c>
      <c r="J11" s="15" t="n">
        <v>1</v>
      </c>
      <c r="K11" s="3" t="n">
        <f aca="false">IF(OR(C11="DR",C11="EM"),MIN(F11,H11),"")</f>
        <v>45321</v>
      </c>
      <c r="L11" s="20" t="n">
        <f aca="false">IF(K11="","",EOMONTH(K11,2))</f>
        <v>45382</v>
      </c>
    </row>
    <row r="12" customFormat="false" ht="25.5" hidden="false" customHeight="true" outlineLevel="0" collapsed="false">
      <c r="A12" s="15" t="n">
        <v>4769</v>
      </c>
      <c r="B12" s="15" t="s">
        <v>117</v>
      </c>
      <c r="C12" s="15" t="s">
        <v>164</v>
      </c>
      <c r="D12" s="15" t="s">
        <v>165</v>
      </c>
      <c r="E12" s="13" t="s">
        <v>182</v>
      </c>
      <c r="F12" s="3" t="n">
        <v>45322</v>
      </c>
      <c r="G12" s="3" t="n">
        <v>45331</v>
      </c>
      <c r="H12" s="3" t="n">
        <v>45395</v>
      </c>
      <c r="I12" s="15" t="s">
        <v>167</v>
      </c>
      <c r="J12" s="15" t="n">
        <v>9</v>
      </c>
      <c r="K12" s="3" t="n">
        <f aca="false">IF(OR(C12="DR",C12="EM"),MIN(F12,H12),"")</f>
        <v>45322</v>
      </c>
      <c r="L12" s="20" t="n">
        <f aca="false">IF(K12="","",EOMONTH(K12,2))</f>
        <v>45382</v>
      </c>
    </row>
    <row r="13" customFormat="false" ht="14.25" hidden="false" customHeight="true" outlineLevel="0" collapsed="false">
      <c r="A13" s="15" t="n">
        <v>4772</v>
      </c>
      <c r="B13" s="15" t="s">
        <v>117</v>
      </c>
      <c r="C13" s="15" t="s">
        <v>164</v>
      </c>
      <c r="D13" s="15" t="s">
        <v>165</v>
      </c>
      <c r="E13" s="13" t="s">
        <v>172</v>
      </c>
      <c r="F13" s="3" t="n">
        <v>45322</v>
      </c>
      <c r="G13" s="3" t="n">
        <v>45331</v>
      </c>
      <c r="H13" s="3" t="n">
        <v>45401</v>
      </c>
      <c r="I13" s="15" t="s">
        <v>167</v>
      </c>
      <c r="J13" s="15" t="n">
        <v>1</v>
      </c>
      <c r="K13" s="3" t="n">
        <f aca="false">IF(OR(C13="DR",C13="EM"),MIN(F13,H13),"")</f>
        <v>45322</v>
      </c>
      <c r="L13" s="20" t="n">
        <f aca="false">IF(K13="","",EOMONTH(K13,2))</f>
        <v>45382</v>
      </c>
    </row>
    <row r="14" customFormat="false" ht="14.25" hidden="false" customHeight="true" outlineLevel="0" collapsed="false">
      <c r="A14" s="15" t="n">
        <v>5487</v>
      </c>
      <c r="B14" s="15" t="s">
        <v>183</v>
      </c>
      <c r="C14" s="15" t="s">
        <v>184</v>
      </c>
      <c r="D14" s="15" t="s">
        <v>185</v>
      </c>
      <c r="E14" s="13" t="s">
        <v>186</v>
      </c>
      <c r="F14" s="3" t="n">
        <v>45349</v>
      </c>
      <c r="G14" s="3" t="n">
        <v>45367</v>
      </c>
      <c r="H14" s="3" t="n">
        <v>45349</v>
      </c>
      <c r="I14" s="15" t="s">
        <v>167</v>
      </c>
      <c r="J14" s="15" t="n">
        <v>1</v>
      </c>
      <c r="K14" s="3" t="str">
        <f aca="false">IF(OR(C14="DR",C14="EM"),MIN(F14,H14),"")</f>
        <v/>
      </c>
      <c r="L14" s="20" t="str">
        <f aca="false">IF(K14="","",EOMONTH(K14,2))</f>
        <v/>
      </c>
    </row>
    <row r="15" customFormat="false" ht="14.25" hidden="false" customHeight="true" outlineLevel="0" collapsed="false">
      <c r="A15" s="15" t="n">
        <v>5488</v>
      </c>
      <c r="B15" s="15" t="s">
        <v>183</v>
      </c>
      <c r="C15" s="15" t="s">
        <v>184</v>
      </c>
      <c r="D15" s="15" t="s">
        <v>185</v>
      </c>
      <c r="E15" s="13" t="s">
        <v>187</v>
      </c>
      <c r="F15" s="3" t="n">
        <v>45349</v>
      </c>
      <c r="G15" s="3" t="n">
        <v>45367</v>
      </c>
      <c r="H15" s="3" t="n">
        <v>45349</v>
      </c>
      <c r="I15" s="15" t="s">
        <v>167</v>
      </c>
      <c r="J15" s="15" t="n">
        <v>3</v>
      </c>
      <c r="K15" s="3" t="str">
        <f aca="false">IF(OR(C15="DR",C15="EM"),MIN(F15,H15),"")</f>
        <v/>
      </c>
      <c r="L15" s="20" t="str">
        <f aca="false">IF(K15="","",EOMONTH(K15,2))</f>
        <v/>
      </c>
    </row>
    <row r="16" customFormat="false" ht="14.25" hidden="false" customHeight="true" outlineLevel="0" collapsed="false">
      <c r="A16" s="15" t="n">
        <v>5489</v>
      </c>
      <c r="B16" s="15" t="s">
        <v>188</v>
      </c>
      <c r="C16" s="15" t="s">
        <v>184</v>
      </c>
      <c r="D16" s="15" t="s">
        <v>185</v>
      </c>
      <c r="E16" s="13" t="s">
        <v>189</v>
      </c>
      <c r="F16" s="3" t="n">
        <v>45349</v>
      </c>
      <c r="G16" s="3" t="n">
        <v>45371</v>
      </c>
      <c r="H16" s="3" t="n">
        <v>45349</v>
      </c>
      <c r="I16" s="15" t="s">
        <v>167</v>
      </c>
      <c r="J16" s="15" t="n">
        <v>1</v>
      </c>
      <c r="K16" s="3" t="str">
        <f aca="false">IF(OR(C16="DR",C16="EM"),MIN(F16,H16),"")</f>
        <v/>
      </c>
      <c r="L16" s="20" t="str">
        <f aca="false">IF(K16="","",EOMONTH(K16,2))</f>
        <v/>
      </c>
    </row>
    <row r="17" customFormat="false" ht="14.25" hidden="false" customHeight="true" outlineLevel="0" collapsed="false">
      <c r="A17" s="15" t="n">
        <v>5490</v>
      </c>
      <c r="B17" s="15" t="s">
        <v>96</v>
      </c>
      <c r="C17" s="15" t="s">
        <v>184</v>
      </c>
      <c r="D17" s="15" t="s">
        <v>185</v>
      </c>
      <c r="E17" s="13" t="s">
        <v>190</v>
      </c>
      <c r="F17" s="3" t="n">
        <v>45352</v>
      </c>
      <c r="G17" s="3" t="n">
        <v>45355</v>
      </c>
      <c r="H17" s="3" t="n">
        <v>45352</v>
      </c>
      <c r="I17" s="15" t="s">
        <v>167</v>
      </c>
      <c r="J17" s="15" t="n">
        <v>1</v>
      </c>
      <c r="K17" s="3" t="str">
        <f aca="false">IF(OR(C17="DR",C17="EM"),MIN(F17,H17),"")</f>
        <v/>
      </c>
      <c r="L17" s="20" t="str">
        <f aca="false">IF(K17="","",EOMONTH(K17,2))</f>
        <v/>
      </c>
    </row>
    <row r="18" customFormat="false" ht="14.25" hidden="false" customHeight="true" outlineLevel="0" collapsed="false">
      <c r="A18" s="15" t="n">
        <v>4777</v>
      </c>
      <c r="B18" s="15" t="s">
        <v>191</v>
      </c>
      <c r="C18" s="15" t="s">
        <v>164</v>
      </c>
      <c r="D18" s="15" t="s">
        <v>192</v>
      </c>
      <c r="E18" s="13" t="s">
        <v>193</v>
      </c>
      <c r="F18" s="3" t="n">
        <v>45365</v>
      </c>
      <c r="G18" s="3" t="n">
        <v>45365</v>
      </c>
      <c r="H18" s="3" t="n">
        <v>45414</v>
      </c>
      <c r="I18" s="15" t="s">
        <v>167</v>
      </c>
      <c r="J18" s="15" t="n">
        <v>11</v>
      </c>
      <c r="K18" s="3" t="n">
        <f aca="false">IF(OR(C18="DR",C18="EM"),MIN(F18,H18),"")</f>
        <v>45365</v>
      </c>
      <c r="L18" s="20" t="n">
        <f aca="false">IF(K18="","",EOMONTH(K18,2))</f>
        <v>45443</v>
      </c>
    </row>
    <row r="19" customFormat="false" ht="14.25" hidden="false" customHeight="true" outlineLevel="0" collapsed="false">
      <c r="A19" s="15" t="n">
        <v>4802</v>
      </c>
      <c r="B19" s="15" t="s">
        <v>188</v>
      </c>
      <c r="C19" s="15" t="s">
        <v>164</v>
      </c>
      <c r="D19" s="15" t="s">
        <v>165</v>
      </c>
      <c r="E19" s="13" t="s">
        <v>194</v>
      </c>
      <c r="F19" s="3" t="n">
        <v>45365</v>
      </c>
      <c r="G19" s="3" t="n">
        <v>45366</v>
      </c>
      <c r="H19" s="3" t="n">
        <v>45496</v>
      </c>
      <c r="I19" s="15" t="s">
        <v>167</v>
      </c>
      <c r="J19" s="15" t="n">
        <v>1</v>
      </c>
      <c r="K19" s="3" t="n">
        <f aca="false">IF(OR(C19="DR",C19="EM"),MIN(F19,H19),"")</f>
        <v>45365</v>
      </c>
      <c r="L19" s="20" t="n">
        <f aca="false">IF(K19="","",EOMONTH(K19,2))</f>
        <v>45443</v>
      </c>
    </row>
    <row r="20" customFormat="false" ht="25.5" hidden="false" customHeight="true" outlineLevel="0" collapsed="false">
      <c r="A20" s="15" t="n">
        <v>4782</v>
      </c>
      <c r="B20" s="15" t="s">
        <v>27</v>
      </c>
      <c r="C20" s="15" t="s">
        <v>164</v>
      </c>
      <c r="D20" s="15" t="s">
        <v>165</v>
      </c>
      <c r="E20" s="13" t="s">
        <v>195</v>
      </c>
      <c r="F20" s="3" t="n">
        <v>45384</v>
      </c>
      <c r="G20" s="3" t="n">
        <v>45384</v>
      </c>
      <c r="H20" s="3" t="n">
        <v>45434</v>
      </c>
      <c r="I20" s="15" t="s">
        <v>167</v>
      </c>
      <c r="J20" s="15" t="n">
        <v>11</v>
      </c>
      <c r="K20" s="3" t="n">
        <f aca="false">IF(OR(C20="DR",C20="EM"),MIN(F20,H20),"")</f>
        <v>45384</v>
      </c>
      <c r="L20" s="20" t="n">
        <f aca="false">IF(K20="","",EOMONTH(K20,2))</f>
        <v>45473</v>
      </c>
    </row>
    <row r="21" customFormat="false" ht="25.5" hidden="false" customHeight="true" outlineLevel="0" collapsed="false">
      <c r="A21" s="15" t="n">
        <v>4783</v>
      </c>
      <c r="B21" s="15" t="s">
        <v>196</v>
      </c>
      <c r="C21" s="15" t="s">
        <v>164</v>
      </c>
      <c r="D21" s="15" t="s">
        <v>165</v>
      </c>
      <c r="E21" s="13" t="s">
        <v>197</v>
      </c>
      <c r="F21" s="3" t="n">
        <v>45384</v>
      </c>
      <c r="G21" s="3" t="n">
        <v>45388</v>
      </c>
      <c r="H21" s="3" t="n">
        <v>45434</v>
      </c>
      <c r="I21" s="15" t="s">
        <v>167</v>
      </c>
      <c r="J21" s="15" t="n">
        <v>15</v>
      </c>
      <c r="K21" s="3" t="n">
        <f aca="false">IF(OR(C21="DR",C21="EM"),MIN(F21,H21),"")</f>
        <v>45384</v>
      </c>
      <c r="L21" s="20" t="n">
        <f aca="false">IF(K21="","",EOMONTH(K21,2))</f>
        <v>45473</v>
      </c>
    </row>
    <row r="22" customFormat="false" ht="14.25" hidden="false" customHeight="true" outlineLevel="0" collapsed="false">
      <c r="A22" s="15" t="n">
        <v>4785</v>
      </c>
      <c r="B22" s="15" t="s">
        <v>171</v>
      </c>
      <c r="C22" s="15" t="s">
        <v>164</v>
      </c>
      <c r="D22" s="15" t="s">
        <v>169</v>
      </c>
      <c r="E22" s="13" t="s">
        <v>170</v>
      </c>
      <c r="F22" s="3" t="n">
        <v>45385</v>
      </c>
      <c r="G22" s="3" t="n">
        <v>45387</v>
      </c>
      <c r="H22" s="3" t="n">
        <v>45436</v>
      </c>
      <c r="I22" s="15" t="s">
        <v>167</v>
      </c>
      <c r="J22" s="15" t="n">
        <v>2</v>
      </c>
      <c r="K22" s="3" t="n">
        <f aca="false">IF(OR(C22="DR",C22="EM"),MIN(F22,H22),"")</f>
        <v>45385</v>
      </c>
      <c r="L22" s="20" t="n">
        <f aca="false">IF(K22="","",EOMONTH(K22,2))</f>
        <v>45473</v>
      </c>
    </row>
    <row r="23" customFormat="false" ht="14.25" hidden="false" customHeight="true" outlineLevel="0" collapsed="false">
      <c r="A23" s="15" t="n">
        <v>4799</v>
      </c>
      <c r="B23" s="15" t="s">
        <v>174</v>
      </c>
      <c r="C23" s="15" t="s">
        <v>164</v>
      </c>
      <c r="D23" s="15" t="s">
        <v>169</v>
      </c>
      <c r="E23" s="13" t="s">
        <v>198</v>
      </c>
      <c r="F23" s="3" t="n">
        <v>45385</v>
      </c>
      <c r="G23" s="3" t="n">
        <v>45387</v>
      </c>
      <c r="H23" s="3" t="n">
        <v>45483</v>
      </c>
      <c r="I23" s="15" t="s">
        <v>167</v>
      </c>
      <c r="J23" s="15" t="n">
        <v>5</v>
      </c>
      <c r="K23" s="3" t="n">
        <f aca="false">IF(OR(C23="DR",C23="EM"),MIN(F23,H23),"")</f>
        <v>45385</v>
      </c>
      <c r="L23" s="20" t="n">
        <f aca="false">IF(K23="","",EOMONTH(K23,2))</f>
        <v>45473</v>
      </c>
    </row>
    <row r="24" customFormat="false" ht="14.25" hidden="false" customHeight="true" outlineLevel="0" collapsed="false">
      <c r="A24" s="15" t="n">
        <v>4786</v>
      </c>
      <c r="B24" s="15" t="s">
        <v>199</v>
      </c>
      <c r="C24" s="15" t="s">
        <v>164</v>
      </c>
      <c r="D24" s="15" t="s">
        <v>165</v>
      </c>
      <c r="E24" s="13" t="s">
        <v>200</v>
      </c>
      <c r="F24" s="3" t="n">
        <v>45388</v>
      </c>
      <c r="G24" s="3" t="n">
        <v>45389</v>
      </c>
      <c r="H24" s="3" t="n">
        <v>45436</v>
      </c>
      <c r="I24" s="15" t="s">
        <v>167</v>
      </c>
      <c r="J24" s="15" t="n">
        <v>8</v>
      </c>
      <c r="K24" s="3" t="n">
        <f aca="false">IF(OR(C24="DR",C24="EM"),MIN(F24,H24),"")</f>
        <v>45388</v>
      </c>
      <c r="L24" s="20" t="n">
        <f aca="false">IF(K24="","",EOMONTH(K24,2))</f>
        <v>45473</v>
      </c>
    </row>
    <row r="25" customFormat="false" ht="14.25" hidden="false" customHeight="true" outlineLevel="0" collapsed="false">
      <c r="A25" s="15" t="n">
        <v>5491</v>
      </c>
      <c r="B25" s="15" t="s">
        <v>188</v>
      </c>
      <c r="C25" s="15" t="s">
        <v>184</v>
      </c>
      <c r="D25" s="15" t="s">
        <v>185</v>
      </c>
      <c r="E25" s="13" t="s">
        <v>201</v>
      </c>
      <c r="F25" s="3" t="n">
        <v>45388</v>
      </c>
      <c r="G25" s="3" t="n">
        <v>45394</v>
      </c>
      <c r="H25" s="3" t="n">
        <v>45388</v>
      </c>
      <c r="I25" s="15" t="s">
        <v>167</v>
      </c>
      <c r="J25" s="15" t="n">
        <v>1</v>
      </c>
      <c r="K25" s="3" t="str">
        <f aca="false">IF(OR(C25="DR",C25="EM"),MIN(F25,H25),"")</f>
        <v/>
      </c>
      <c r="L25" s="20" t="str">
        <f aca="false">IF(K25="","",EOMONTH(K25,2))</f>
        <v/>
      </c>
    </row>
    <row r="26" customFormat="false" ht="14.25" hidden="false" customHeight="true" outlineLevel="0" collapsed="false">
      <c r="A26" s="15" t="n">
        <v>4790</v>
      </c>
      <c r="B26" s="15" t="s">
        <v>24</v>
      </c>
      <c r="C26" s="15" t="s">
        <v>164</v>
      </c>
      <c r="D26" s="15" t="s">
        <v>165</v>
      </c>
      <c r="E26" s="13" t="s">
        <v>202</v>
      </c>
      <c r="F26" s="3" t="n">
        <v>45390</v>
      </c>
      <c r="G26" s="3" t="n">
        <v>45393</v>
      </c>
      <c r="H26" s="3" t="n">
        <v>45453</v>
      </c>
      <c r="I26" s="15" t="s">
        <v>167</v>
      </c>
      <c r="J26" s="15" t="n">
        <v>6</v>
      </c>
      <c r="K26" s="3" t="n">
        <f aca="false">IF(OR(C26="DR",C26="EM"),MIN(F26,H26),"")</f>
        <v>45390</v>
      </c>
      <c r="L26" s="20" t="n">
        <f aca="false">IF(K26="","",EOMONTH(K26,2))</f>
        <v>45473</v>
      </c>
    </row>
    <row r="27" customFormat="false" ht="14.25" hidden="false" customHeight="true" outlineLevel="0" collapsed="false">
      <c r="A27" s="15" t="n">
        <v>4787</v>
      </c>
      <c r="B27" s="15" t="s">
        <v>196</v>
      </c>
      <c r="C27" s="15" t="s">
        <v>164</v>
      </c>
      <c r="D27" s="15" t="s">
        <v>180</v>
      </c>
      <c r="E27" s="13" t="s">
        <v>203</v>
      </c>
      <c r="F27" s="3" t="n">
        <v>45393</v>
      </c>
      <c r="G27" s="3" t="n">
        <v>45394</v>
      </c>
      <c r="H27" s="3" t="n">
        <v>45436</v>
      </c>
      <c r="I27" s="15" t="s">
        <v>167</v>
      </c>
      <c r="J27" s="15" t="n">
        <v>13</v>
      </c>
      <c r="K27" s="3" t="n">
        <f aca="false">IF(OR(C27="DR",C27="EM"),MIN(F27,H27),"")</f>
        <v>45393</v>
      </c>
      <c r="L27" s="20" t="n">
        <f aca="false">IF(K27="","",EOMONTH(K27,2))</f>
        <v>45473</v>
      </c>
    </row>
    <row r="28" customFormat="false" ht="14.25" hidden="false" customHeight="true" outlineLevel="0" collapsed="false">
      <c r="A28" s="15" t="n">
        <v>4793</v>
      </c>
      <c r="B28" s="15" t="s">
        <v>204</v>
      </c>
      <c r="C28" s="15" t="s">
        <v>164</v>
      </c>
      <c r="D28" s="15" t="s">
        <v>180</v>
      </c>
      <c r="E28" s="13" t="s">
        <v>205</v>
      </c>
      <c r="F28" s="3" t="n">
        <v>45393</v>
      </c>
      <c r="G28" s="3" t="n">
        <v>45396</v>
      </c>
      <c r="H28" s="3" t="n">
        <v>45460</v>
      </c>
      <c r="I28" s="15" t="s">
        <v>167</v>
      </c>
      <c r="J28" s="15" t="n">
        <v>1</v>
      </c>
      <c r="K28" s="3" t="n">
        <f aca="false">IF(OR(C28="DR",C28="EM"),MIN(F28,H28),"")</f>
        <v>45393</v>
      </c>
      <c r="L28" s="20" t="n">
        <f aca="false">IF(K28="","",EOMONTH(K28,2))</f>
        <v>45473</v>
      </c>
    </row>
    <row r="29" customFormat="false" ht="14.25" hidden="false" customHeight="true" outlineLevel="0" collapsed="false">
      <c r="A29" s="15" t="n">
        <v>4789</v>
      </c>
      <c r="B29" s="15" t="s">
        <v>206</v>
      </c>
      <c r="C29" s="15" t="s">
        <v>164</v>
      </c>
      <c r="D29" s="15" t="s">
        <v>180</v>
      </c>
      <c r="E29" s="13" t="s">
        <v>207</v>
      </c>
      <c r="F29" s="3" t="n">
        <v>45396</v>
      </c>
      <c r="G29" s="3" t="n">
        <v>45397</v>
      </c>
      <c r="H29" s="3" t="n">
        <v>45453</v>
      </c>
      <c r="I29" s="15" t="s">
        <v>167</v>
      </c>
      <c r="J29" s="15" t="n">
        <v>3</v>
      </c>
      <c r="K29" s="3" t="n">
        <f aca="false">IF(OR(C29="DR",C29="EM"),MIN(F29,H29),"")</f>
        <v>45396</v>
      </c>
      <c r="L29" s="20" t="n">
        <f aca="false">IF(K29="","",EOMONTH(K29,2))</f>
        <v>45473</v>
      </c>
    </row>
    <row r="30" customFormat="false" ht="14.25" hidden="false" customHeight="true" outlineLevel="0" collapsed="false">
      <c r="A30" s="15" t="n">
        <v>4776</v>
      </c>
      <c r="B30" s="15" t="s">
        <v>188</v>
      </c>
      <c r="C30" s="15" t="s">
        <v>164</v>
      </c>
      <c r="D30" s="15" t="s">
        <v>192</v>
      </c>
      <c r="E30" s="13" t="s">
        <v>202</v>
      </c>
      <c r="F30" s="3" t="n">
        <v>45407</v>
      </c>
      <c r="G30" s="3" t="n">
        <v>45421</v>
      </c>
      <c r="H30" s="3" t="n">
        <v>45412</v>
      </c>
      <c r="I30" s="15" t="s">
        <v>167</v>
      </c>
      <c r="J30" s="15" t="n">
        <v>25</v>
      </c>
      <c r="K30" s="3" t="n">
        <f aca="false">IF(OR(C30="DR",C30="EM"),MIN(F30,H30),"")</f>
        <v>45407</v>
      </c>
      <c r="L30" s="20" t="n">
        <f aca="false">IF(K30="","",EOMONTH(K30,2))</f>
        <v>45473</v>
      </c>
    </row>
    <row r="31" customFormat="false" ht="14.25" hidden="false" customHeight="true" outlineLevel="0" collapsed="false">
      <c r="A31" s="15" t="n">
        <v>4778</v>
      </c>
      <c r="B31" s="15" t="s">
        <v>199</v>
      </c>
      <c r="C31" s="15" t="s">
        <v>164</v>
      </c>
      <c r="D31" s="15" t="s">
        <v>192</v>
      </c>
      <c r="E31" s="13" t="s">
        <v>208</v>
      </c>
      <c r="F31" s="3" t="n">
        <v>45407</v>
      </c>
      <c r="G31" s="3" t="n">
        <v>45409</v>
      </c>
      <c r="H31" s="3" t="n">
        <v>45415</v>
      </c>
      <c r="I31" s="15" t="s">
        <v>167</v>
      </c>
      <c r="J31" s="15" t="n">
        <v>6</v>
      </c>
      <c r="K31" s="3" t="n">
        <f aca="false">IF(OR(C31="DR",C31="EM"),MIN(F31,H31),"")</f>
        <v>45407</v>
      </c>
      <c r="L31" s="20" t="n">
        <f aca="false">IF(K31="","",EOMONTH(K31,2))</f>
        <v>45473</v>
      </c>
    </row>
    <row r="32" customFormat="false" ht="14.25" hidden="false" customHeight="true" outlineLevel="0" collapsed="false">
      <c r="A32" s="15" t="n">
        <v>4800</v>
      </c>
      <c r="B32" s="15" t="s">
        <v>168</v>
      </c>
      <c r="C32" s="15" t="s">
        <v>164</v>
      </c>
      <c r="D32" s="15" t="s">
        <v>165</v>
      </c>
      <c r="E32" s="13" t="s">
        <v>202</v>
      </c>
      <c r="F32" s="3" t="n">
        <v>45407</v>
      </c>
      <c r="G32" s="3" t="n">
        <v>45412</v>
      </c>
      <c r="H32" s="3" t="n">
        <v>45488</v>
      </c>
      <c r="I32" s="15" t="s">
        <v>167</v>
      </c>
      <c r="J32" s="15" t="n">
        <v>13</v>
      </c>
      <c r="K32" s="3" t="n">
        <f aca="false">IF(OR(C32="DR",C32="EM"),MIN(F32,H32),"")</f>
        <v>45407</v>
      </c>
      <c r="L32" s="20" t="n">
        <f aca="false">IF(K32="","",EOMONTH(K32,2))</f>
        <v>45473</v>
      </c>
    </row>
    <row r="33" customFormat="false" ht="14.25" hidden="false" customHeight="true" outlineLevel="0" collapsed="false">
      <c r="A33" s="15" t="n">
        <v>4779</v>
      </c>
      <c r="B33" s="15" t="s">
        <v>209</v>
      </c>
      <c r="C33" s="15" t="s">
        <v>164</v>
      </c>
      <c r="D33" s="15" t="s">
        <v>192</v>
      </c>
      <c r="E33" s="13" t="s">
        <v>210</v>
      </c>
      <c r="F33" s="3" t="n">
        <v>45408</v>
      </c>
      <c r="G33" s="3" t="n">
        <v>45409</v>
      </c>
      <c r="H33" s="3" t="n">
        <v>45426</v>
      </c>
      <c r="I33" s="15" t="s">
        <v>167</v>
      </c>
      <c r="J33" s="15" t="n">
        <v>9</v>
      </c>
      <c r="K33" s="3" t="n">
        <f aca="false">IF(OR(C33="DR",C33="EM"),MIN(F33,H33),"")</f>
        <v>45408</v>
      </c>
      <c r="L33" s="20" t="n">
        <f aca="false">IF(K33="","",EOMONTH(K33,2))</f>
        <v>45473</v>
      </c>
    </row>
    <row r="34" customFormat="false" ht="14.25" hidden="false" customHeight="true" outlineLevel="0" collapsed="false">
      <c r="A34" s="15" t="n">
        <v>4781</v>
      </c>
      <c r="B34" s="15" t="s">
        <v>183</v>
      </c>
      <c r="C34" s="15" t="s">
        <v>164</v>
      </c>
      <c r="D34" s="15" t="s">
        <v>180</v>
      </c>
      <c r="E34" s="13" t="s">
        <v>202</v>
      </c>
      <c r="F34" s="3" t="n">
        <v>45408</v>
      </c>
      <c r="G34" s="3" t="n">
        <v>45448</v>
      </c>
      <c r="H34" s="3" t="n">
        <v>45429</v>
      </c>
      <c r="I34" s="15" t="s">
        <v>167</v>
      </c>
      <c r="J34" s="15" t="n">
        <v>83</v>
      </c>
      <c r="K34" s="3" t="n">
        <f aca="false">IF(OR(C34="DR",C34="EM"),MIN(F34,H34),"")</f>
        <v>45408</v>
      </c>
      <c r="L34" s="20" t="n">
        <f aca="false">IF(K34="","",EOMONTH(K34,2))</f>
        <v>45473</v>
      </c>
    </row>
    <row r="35" customFormat="false" ht="14.25" hidden="false" customHeight="true" outlineLevel="0" collapsed="false">
      <c r="A35" s="15" t="n">
        <v>4805</v>
      </c>
      <c r="B35" s="15" t="s">
        <v>211</v>
      </c>
      <c r="C35" s="15" t="s">
        <v>164</v>
      </c>
      <c r="D35" s="15" t="s">
        <v>180</v>
      </c>
      <c r="E35" s="13" t="s">
        <v>203</v>
      </c>
      <c r="F35" s="3" t="n">
        <v>45411</v>
      </c>
      <c r="G35" s="3" t="n">
        <v>45422</v>
      </c>
      <c r="H35" s="3" t="n">
        <v>45496</v>
      </c>
      <c r="I35" s="15" t="s">
        <v>167</v>
      </c>
      <c r="J35" s="15" t="n">
        <v>13</v>
      </c>
      <c r="K35" s="3" t="n">
        <f aca="false">IF(OR(C35="DR",C35="EM"),MIN(F35,H35),"")</f>
        <v>45411</v>
      </c>
      <c r="L35" s="20" t="n">
        <f aca="false">IF(K35="","",EOMONTH(K35,2))</f>
        <v>45473</v>
      </c>
    </row>
    <row r="36" customFormat="false" ht="14.25" hidden="false" customHeight="true" outlineLevel="0" collapsed="false">
      <c r="A36" s="15" t="n">
        <v>4801</v>
      </c>
      <c r="B36" s="15" t="s">
        <v>212</v>
      </c>
      <c r="C36" s="15" t="s">
        <v>164</v>
      </c>
      <c r="D36" s="15" t="s">
        <v>165</v>
      </c>
      <c r="E36" s="13" t="s">
        <v>198</v>
      </c>
      <c r="F36" s="3" t="n">
        <v>45418</v>
      </c>
      <c r="G36" s="3" t="n">
        <v>45421</v>
      </c>
      <c r="H36" s="3" t="n">
        <v>45491</v>
      </c>
      <c r="I36" s="15" t="s">
        <v>167</v>
      </c>
      <c r="J36" s="15" t="n">
        <v>12</v>
      </c>
      <c r="K36" s="3" t="n">
        <f aca="false">IF(OR(C36="DR",C36="EM"),MIN(F36,H36),"")</f>
        <v>45418</v>
      </c>
      <c r="L36" s="20" t="n">
        <f aca="false">IF(K36="","",EOMONTH(K36,2))</f>
        <v>45504</v>
      </c>
    </row>
    <row r="37" customFormat="false" ht="14.25" hidden="false" customHeight="true" outlineLevel="0" collapsed="false">
      <c r="A37" s="15" t="n">
        <v>4792</v>
      </c>
      <c r="B37" s="15" t="s">
        <v>213</v>
      </c>
      <c r="C37" s="15" t="s">
        <v>164</v>
      </c>
      <c r="D37" s="15" t="s">
        <v>165</v>
      </c>
      <c r="E37" s="13" t="s">
        <v>214</v>
      </c>
      <c r="F37" s="3" t="n">
        <v>45420</v>
      </c>
      <c r="G37" s="3" t="n">
        <v>45421</v>
      </c>
      <c r="H37" s="3" t="n">
        <v>45460</v>
      </c>
      <c r="I37" s="15" t="s">
        <v>167</v>
      </c>
      <c r="J37" s="15" t="n">
        <v>12</v>
      </c>
      <c r="K37" s="3" t="n">
        <f aca="false">IF(OR(C37="DR",C37="EM"),MIN(F37,H37),"")</f>
        <v>45420</v>
      </c>
      <c r="L37" s="20" t="n">
        <f aca="false">IF(K37="","",EOMONTH(K37,2))</f>
        <v>45504</v>
      </c>
    </row>
    <row r="38" customFormat="false" ht="14.25" hidden="false" customHeight="true" outlineLevel="0" collapsed="false">
      <c r="A38" s="15" t="n">
        <v>4794</v>
      </c>
      <c r="B38" s="15" t="s">
        <v>215</v>
      </c>
      <c r="C38" s="15" t="s">
        <v>164</v>
      </c>
      <c r="D38" s="15" t="s">
        <v>165</v>
      </c>
      <c r="E38" s="13" t="s">
        <v>208</v>
      </c>
      <c r="F38" s="3" t="n">
        <v>45422</v>
      </c>
      <c r="G38" s="3" t="n">
        <v>45422</v>
      </c>
      <c r="H38" s="3" t="n">
        <v>45460</v>
      </c>
      <c r="I38" s="15" t="s">
        <v>167</v>
      </c>
      <c r="J38" s="15" t="n">
        <v>13</v>
      </c>
      <c r="K38" s="3" t="n">
        <f aca="false">IF(OR(C38="DR",C38="EM"),MIN(F38,H38),"")</f>
        <v>45422</v>
      </c>
      <c r="L38" s="20" t="n">
        <f aca="false">IF(K38="","",EOMONTH(K38,2))</f>
        <v>45504</v>
      </c>
    </row>
    <row r="39" customFormat="false" ht="14.25" hidden="false" customHeight="true" outlineLevel="0" collapsed="false">
      <c r="A39" s="15" t="n">
        <v>5492</v>
      </c>
      <c r="B39" s="15" t="s">
        <v>144</v>
      </c>
      <c r="C39" s="15" t="s">
        <v>184</v>
      </c>
      <c r="D39" s="15" t="s">
        <v>185</v>
      </c>
      <c r="E39" s="13" t="s">
        <v>216</v>
      </c>
      <c r="F39" s="3" t="n">
        <v>45428</v>
      </c>
      <c r="G39" s="15"/>
      <c r="H39" s="3" t="n">
        <v>45438</v>
      </c>
      <c r="I39" s="15" t="s">
        <v>167</v>
      </c>
      <c r="J39" s="15" t="n">
        <v>1</v>
      </c>
      <c r="K39" s="15"/>
      <c r="L39" s="20" t="str">
        <f aca="false">IF(K39="","",EOMONTH(K39,2))</f>
        <v/>
      </c>
    </row>
    <row r="40" customFormat="false" ht="14.25" hidden="false" customHeight="true" outlineLevel="0" collapsed="false">
      <c r="A40" s="15" t="n">
        <v>4791</v>
      </c>
      <c r="B40" s="15" t="s">
        <v>188</v>
      </c>
      <c r="C40" s="15" t="s">
        <v>164</v>
      </c>
      <c r="D40" s="15" t="s">
        <v>165</v>
      </c>
      <c r="E40" s="13" t="s">
        <v>202</v>
      </c>
      <c r="F40" s="3" t="n">
        <v>45431</v>
      </c>
      <c r="G40" s="3" t="n">
        <v>45440</v>
      </c>
      <c r="H40" s="3" t="n">
        <v>45457</v>
      </c>
      <c r="I40" s="15" t="s">
        <v>167</v>
      </c>
      <c r="J40" s="15" t="n">
        <v>10</v>
      </c>
      <c r="K40" s="3" t="n">
        <v>45504</v>
      </c>
      <c r="L40" s="20" t="n">
        <f aca="false">IF(K40="","",EOMONTH(K40,2))</f>
        <v>45565</v>
      </c>
    </row>
    <row r="41" customFormat="false" ht="14.25" hidden="false" customHeight="true" outlineLevel="0" collapsed="false">
      <c r="A41" s="15" t="n">
        <v>4803</v>
      </c>
      <c r="B41" s="15" t="s">
        <v>217</v>
      </c>
      <c r="C41" s="15" t="s">
        <v>164</v>
      </c>
      <c r="D41" s="15" t="s">
        <v>165</v>
      </c>
      <c r="E41" s="13" t="s">
        <v>202</v>
      </c>
      <c r="F41" s="3" t="n">
        <v>45431</v>
      </c>
      <c r="G41" s="3" t="n">
        <v>45439</v>
      </c>
      <c r="H41" s="3" t="n">
        <v>45496</v>
      </c>
      <c r="I41" s="15" t="s">
        <v>167</v>
      </c>
      <c r="J41" s="15" t="n">
        <v>15</v>
      </c>
      <c r="K41" s="3" t="n">
        <v>45504</v>
      </c>
      <c r="L41" s="20" t="n">
        <f aca="false">IF(K41="","",EOMONTH(K41,2))</f>
        <v>45565</v>
      </c>
    </row>
    <row r="42" customFormat="false" ht="14.25" hidden="false" customHeight="true" outlineLevel="0" collapsed="false">
      <c r="A42" s="15" t="n">
        <v>4811</v>
      </c>
      <c r="B42" s="15" t="s">
        <v>168</v>
      </c>
      <c r="C42" s="15" t="s">
        <v>164</v>
      </c>
      <c r="D42" s="15" t="s">
        <v>165</v>
      </c>
      <c r="E42" s="13" t="s">
        <v>218</v>
      </c>
      <c r="F42" s="3" t="n">
        <v>45431</v>
      </c>
      <c r="G42" s="3" t="n">
        <v>45431</v>
      </c>
      <c r="H42" s="3" t="n">
        <v>45524</v>
      </c>
      <c r="I42" s="15" t="s">
        <v>167</v>
      </c>
      <c r="J42" s="15" t="n">
        <v>14</v>
      </c>
      <c r="K42" s="3" t="n">
        <v>45504</v>
      </c>
      <c r="L42" s="20" t="n">
        <f aca="false">IF(K42="","",EOMONTH(K42,2))</f>
        <v>45565</v>
      </c>
    </row>
    <row r="43" customFormat="false" ht="14.25" hidden="false" customHeight="true" outlineLevel="0" collapsed="false">
      <c r="A43" s="15" t="n">
        <v>4784</v>
      </c>
      <c r="B43" s="15" t="s">
        <v>209</v>
      </c>
      <c r="C43" s="15" t="s">
        <v>164</v>
      </c>
      <c r="D43" s="15" t="s">
        <v>165</v>
      </c>
      <c r="E43" s="13" t="s">
        <v>214</v>
      </c>
      <c r="F43" s="3" t="n">
        <v>45432</v>
      </c>
      <c r="G43" s="3" t="n">
        <v>45443</v>
      </c>
      <c r="H43" s="3" t="n">
        <v>45436</v>
      </c>
      <c r="I43" s="15" t="s">
        <v>167</v>
      </c>
      <c r="J43" s="15" t="n">
        <v>29</v>
      </c>
      <c r="K43" s="3" t="n">
        <v>45504</v>
      </c>
      <c r="L43" s="20" t="n">
        <f aca="false">IF(K43="","",EOMONTH(K43,2))</f>
        <v>45565</v>
      </c>
    </row>
    <row r="44" customFormat="false" ht="14.25" hidden="false" customHeight="true" outlineLevel="0" collapsed="false">
      <c r="A44" s="15" t="n">
        <v>4808</v>
      </c>
      <c r="B44" s="15" t="s">
        <v>199</v>
      </c>
      <c r="C44" s="15" t="s">
        <v>164</v>
      </c>
      <c r="D44" s="15" t="s">
        <v>165</v>
      </c>
      <c r="E44" s="13" t="s">
        <v>202</v>
      </c>
      <c r="F44" s="3" t="n">
        <v>45432</v>
      </c>
      <c r="G44" s="3" t="n">
        <v>45446</v>
      </c>
      <c r="H44" s="3" t="n">
        <v>45524</v>
      </c>
      <c r="I44" s="15" t="s">
        <v>167</v>
      </c>
      <c r="J44" s="15" t="n">
        <v>19</v>
      </c>
      <c r="K44" s="3" t="n">
        <v>45535</v>
      </c>
      <c r="L44" s="20" t="n">
        <f aca="false">IF(K44="","",EOMONTH(K44,2))</f>
        <v>45596</v>
      </c>
    </row>
    <row r="45" customFormat="false" ht="25.5" hidden="false" customHeight="true" outlineLevel="0" collapsed="false">
      <c r="A45" s="15" t="n">
        <v>4804</v>
      </c>
      <c r="B45" s="15" t="s">
        <v>27</v>
      </c>
      <c r="C45" s="15" t="s">
        <v>164</v>
      </c>
      <c r="D45" s="15" t="s">
        <v>165</v>
      </c>
      <c r="E45" s="13" t="s">
        <v>195</v>
      </c>
      <c r="F45" s="3" t="n">
        <v>45433</v>
      </c>
      <c r="G45" s="3" t="n">
        <v>45439</v>
      </c>
      <c r="H45" s="3" t="n">
        <v>45496</v>
      </c>
      <c r="I45" s="15" t="s">
        <v>167</v>
      </c>
      <c r="J45" s="15" t="n">
        <v>58</v>
      </c>
      <c r="K45" s="3" t="n">
        <v>45504</v>
      </c>
      <c r="L45" s="20" t="n">
        <f aca="false">IF(K45="","",EOMONTH(K45,2))</f>
        <v>45565</v>
      </c>
    </row>
    <row r="46" customFormat="false" ht="14.25" hidden="false" customHeight="true" outlineLevel="0" collapsed="false">
      <c r="A46" s="15" t="n">
        <v>4788</v>
      </c>
      <c r="B46" s="15" t="s">
        <v>219</v>
      </c>
      <c r="C46" s="15" t="s">
        <v>164</v>
      </c>
      <c r="D46" s="15" t="s">
        <v>165</v>
      </c>
      <c r="E46" s="13" t="s">
        <v>202</v>
      </c>
      <c r="F46" s="3" t="n">
        <v>45436</v>
      </c>
      <c r="G46" s="3" t="n">
        <v>45439</v>
      </c>
      <c r="H46" s="3" t="n">
        <v>45442</v>
      </c>
      <c r="I46" s="15" t="s">
        <v>167</v>
      </c>
      <c r="J46" s="15" t="n">
        <v>11</v>
      </c>
      <c r="K46" s="3" t="n">
        <v>45504</v>
      </c>
      <c r="L46" s="20" t="n">
        <f aca="false">IF(K46="","",EOMONTH(K46,2))</f>
        <v>45565</v>
      </c>
    </row>
    <row r="47" customFormat="false" ht="14.25" hidden="false" customHeight="true" outlineLevel="0" collapsed="false">
      <c r="A47" s="15" t="n">
        <v>5493</v>
      </c>
      <c r="B47" s="15" t="s">
        <v>220</v>
      </c>
      <c r="C47" s="15" t="s">
        <v>184</v>
      </c>
      <c r="D47" s="15" t="s">
        <v>185</v>
      </c>
      <c r="E47" s="13" t="s">
        <v>221</v>
      </c>
      <c r="F47" s="3" t="n">
        <v>45440</v>
      </c>
      <c r="G47" s="3" t="n">
        <v>45443</v>
      </c>
      <c r="H47" s="3" t="n">
        <v>45441</v>
      </c>
      <c r="I47" s="15" t="s">
        <v>167</v>
      </c>
      <c r="J47" s="15" t="n">
        <v>1</v>
      </c>
      <c r="K47" s="3" t="n">
        <v>45504</v>
      </c>
      <c r="L47" s="20" t="n">
        <f aca="false">IF(K47="","",EOMONTH(K47,2))</f>
        <v>45565</v>
      </c>
    </row>
    <row r="48" customFormat="false" ht="14.25" hidden="false" customHeight="true" outlineLevel="0" collapsed="false">
      <c r="A48" s="15" t="n">
        <v>5494</v>
      </c>
      <c r="B48" s="15" t="s">
        <v>222</v>
      </c>
      <c r="C48" s="15" t="s">
        <v>184</v>
      </c>
      <c r="D48" s="15" t="s">
        <v>185</v>
      </c>
      <c r="E48" s="13" t="s">
        <v>223</v>
      </c>
      <c r="F48" s="3" t="n">
        <v>45454</v>
      </c>
      <c r="G48" s="3" t="n">
        <v>45456</v>
      </c>
      <c r="H48" s="3" t="n">
        <v>45454</v>
      </c>
      <c r="I48" s="15" t="s">
        <v>167</v>
      </c>
      <c r="J48" s="15" t="n">
        <v>1</v>
      </c>
      <c r="K48" s="3" t="n">
        <v>45535</v>
      </c>
      <c r="L48" s="20" t="n">
        <f aca="false">IF(K48="","",EOMONTH(K48,2))</f>
        <v>45596</v>
      </c>
    </row>
    <row r="49" customFormat="false" ht="14.25" hidden="false" customHeight="true" outlineLevel="0" collapsed="false">
      <c r="A49" s="15" t="n">
        <v>5495</v>
      </c>
      <c r="B49" s="15" t="s">
        <v>222</v>
      </c>
      <c r="C49" s="15" t="s">
        <v>184</v>
      </c>
      <c r="D49" s="15" t="s">
        <v>185</v>
      </c>
      <c r="E49" s="13" t="s">
        <v>224</v>
      </c>
      <c r="F49" s="3" t="n">
        <v>45454</v>
      </c>
      <c r="G49" s="3" t="n">
        <v>45455</v>
      </c>
      <c r="H49" s="3" t="n">
        <v>45455</v>
      </c>
      <c r="I49" s="15" t="s">
        <v>167</v>
      </c>
      <c r="J49" s="15" t="n">
        <v>1</v>
      </c>
      <c r="K49" s="3" t="n">
        <v>45535</v>
      </c>
      <c r="L49" s="20" t="n">
        <f aca="false">IF(K49="","",EOMONTH(K49,2))</f>
        <v>45596</v>
      </c>
    </row>
    <row r="50" customFormat="false" ht="14.25" hidden="false" customHeight="true" outlineLevel="0" collapsed="false">
      <c r="A50" s="15" t="n">
        <v>5496</v>
      </c>
      <c r="B50" s="15" t="s">
        <v>220</v>
      </c>
      <c r="C50" s="15" t="s">
        <v>184</v>
      </c>
      <c r="D50" s="15" t="s">
        <v>185</v>
      </c>
      <c r="E50" s="13" t="s">
        <v>225</v>
      </c>
      <c r="F50" s="3" t="n">
        <v>45455</v>
      </c>
      <c r="G50" s="3" t="n">
        <v>45457</v>
      </c>
      <c r="H50" s="3" t="n">
        <v>45455</v>
      </c>
      <c r="I50" s="15" t="s">
        <v>167</v>
      </c>
      <c r="J50" s="15" t="n">
        <v>1</v>
      </c>
      <c r="K50" s="3" t="n">
        <v>45535</v>
      </c>
      <c r="L50" s="20" t="n">
        <f aca="false">IF(K50="","",EOMONTH(K50,2))</f>
        <v>45596</v>
      </c>
    </row>
    <row r="51" customFormat="false" ht="14.25" hidden="false" customHeight="true" outlineLevel="0" collapsed="false">
      <c r="A51" s="15" t="n">
        <v>4796</v>
      </c>
      <c r="B51" s="15" t="s">
        <v>209</v>
      </c>
      <c r="C51" s="15" t="s">
        <v>164</v>
      </c>
      <c r="D51" s="15" t="s">
        <v>165</v>
      </c>
      <c r="E51" s="13" t="s">
        <v>226</v>
      </c>
      <c r="F51" s="3" t="n">
        <v>45459</v>
      </c>
      <c r="G51" s="3" t="n">
        <v>45496</v>
      </c>
      <c r="H51" s="3" t="n">
        <v>45467</v>
      </c>
      <c r="I51" s="15" t="s">
        <v>167</v>
      </c>
      <c r="J51" s="15" t="n">
        <v>29</v>
      </c>
      <c r="K51" s="3" t="n">
        <v>45565</v>
      </c>
      <c r="L51" s="20" t="n">
        <f aca="false">IF(K51="","",EOMONTH(K51,2))</f>
        <v>45626</v>
      </c>
    </row>
    <row r="52" customFormat="false" ht="14.25" hidden="false" customHeight="true" outlineLevel="0" collapsed="false">
      <c r="A52" s="15" t="n">
        <v>4797</v>
      </c>
      <c r="B52" s="15" t="s">
        <v>227</v>
      </c>
      <c r="C52" s="15" t="s">
        <v>164</v>
      </c>
      <c r="D52" s="15" t="s">
        <v>180</v>
      </c>
      <c r="E52" s="13" t="s">
        <v>172</v>
      </c>
      <c r="F52" s="3" t="n">
        <v>45459</v>
      </c>
      <c r="G52" s="3" t="n">
        <v>45477</v>
      </c>
      <c r="H52" s="3" t="n">
        <v>45471</v>
      </c>
      <c r="I52" s="15" t="s">
        <v>167</v>
      </c>
      <c r="J52" s="15" t="n">
        <v>32</v>
      </c>
      <c r="K52" s="3" t="n">
        <v>45565</v>
      </c>
      <c r="L52" s="20" t="n">
        <f aca="false">IF(K52="","",EOMONTH(K52,2))</f>
        <v>45626</v>
      </c>
    </row>
    <row r="53" customFormat="false" ht="14.25" hidden="false" customHeight="true" outlineLevel="0" collapsed="false">
      <c r="A53" s="15" t="n">
        <v>4807</v>
      </c>
      <c r="B53" s="15" t="s">
        <v>228</v>
      </c>
      <c r="C53" s="15" t="s">
        <v>164</v>
      </c>
      <c r="D53" s="15" t="s">
        <v>180</v>
      </c>
      <c r="E53" s="13" t="s">
        <v>229</v>
      </c>
      <c r="F53" s="3" t="n">
        <v>45459</v>
      </c>
      <c r="G53" s="3" t="n">
        <v>45481</v>
      </c>
      <c r="H53" s="3" t="n">
        <v>45519</v>
      </c>
      <c r="I53" s="15" t="s">
        <v>167</v>
      </c>
      <c r="J53" s="15" t="n">
        <v>25</v>
      </c>
      <c r="K53" s="3" t="n">
        <v>45565</v>
      </c>
      <c r="L53" s="20" t="n">
        <f aca="false">IF(K53="","",EOMONTH(K53,2))</f>
        <v>45626</v>
      </c>
    </row>
    <row r="54" customFormat="false" ht="14.25" hidden="false" customHeight="true" outlineLevel="0" collapsed="false">
      <c r="A54" s="15" t="n">
        <v>4795</v>
      </c>
      <c r="B54" s="15" t="s">
        <v>144</v>
      </c>
      <c r="C54" s="15" t="s">
        <v>164</v>
      </c>
      <c r="D54" s="15" t="s">
        <v>185</v>
      </c>
      <c r="E54" s="13" t="s">
        <v>230</v>
      </c>
      <c r="F54" s="3" t="n">
        <v>45460</v>
      </c>
      <c r="G54" s="3" t="n">
        <v>45524</v>
      </c>
      <c r="H54" s="3" t="n">
        <v>45463</v>
      </c>
      <c r="I54" s="15" t="s">
        <v>167</v>
      </c>
      <c r="J54" s="15" t="n">
        <v>5</v>
      </c>
      <c r="K54" s="3" t="n">
        <v>45596</v>
      </c>
      <c r="L54" s="20" t="n">
        <f aca="false">IF(K54="","",EOMONTH(K54,2))</f>
        <v>45657</v>
      </c>
    </row>
    <row r="55" customFormat="false" ht="14.25" hidden="false" customHeight="true" outlineLevel="0" collapsed="false">
      <c r="A55" s="15" t="n">
        <v>5497</v>
      </c>
      <c r="B55" s="15" t="s">
        <v>144</v>
      </c>
      <c r="C55" s="15" t="s">
        <v>184</v>
      </c>
      <c r="D55" s="15" t="s">
        <v>185</v>
      </c>
      <c r="E55" s="13" t="s">
        <v>231</v>
      </c>
      <c r="F55" s="3" t="n">
        <v>45460</v>
      </c>
      <c r="G55" s="15"/>
      <c r="H55" s="3" t="n">
        <v>45460</v>
      </c>
      <c r="I55" s="15" t="s">
        <v>167</v>
      </c>
      <c r="J55" s="15" t="n">
        <v>3</v>
      </c>
      <c r="K55" s="15"/>
      <c r="L55" s="20" t="str">
        <f aca="false">IF(K55="","",EOMONTH(K55,2))</f>
        <v/>
      </c>
    </row>
    <row r="56" customFormat="false" ht="14.25" hidden="false" customHeight="true" outlineLevel="0" collapsed="false">
      <c r="A56" s="15" t="n">
        <v>5498</v>
      </c>
      <c r="B56" s="15" t="s">
        <v>144</v>
      </c>
      <c r="C56" s="15" t="s">
        <v>184</v>
      </c>
      <c r="D56" s="15" t="s">
        <v>185</v>
      </c>
      <c r="E56" s="13" t="s">
        <v>232</v>
      </c>
      <c r="F56" s="3" t="n">
        <v>45460</v>
      </c>
      <c r="G56" s="15"/>
      <c r="H56" s="3" t="n">
        <v>45461</v>
      </c>
      <c r="I56" s="15" t="s">
        <v>167</v>
      </c>
      <c r="J56" s="15" t="n">
        <v>3</v>
      </c>
      <c r="K56" s="15"/>
      <c r="L56" s="20" t="str">
        <f aca="false">IF(K56="","",EOMONTH(K56,2))</f>
        <v/>
      </c>
    </row>
    <row r="57" customFormat="false" ht="14.25" hidden="false" customHeight="true" outlineLevel="0" collapsed="false">
      <c r="A57" s="15" t="n">
        <v>4822</v>
      </c>
      <c r="B57" s="15" t="s">
        <v>199</v>
      </c>
      <c r="C57" s="15" t="s">
        <v>164</v>
      </c>
      <c r="D57" s="15" t="s">
        <v>165</v>
      </c>
      <c r="E57" s="13" t="s">
        <v>202</v>
      </c>
      <c r="F57" s="3" t="n">
        <v>45462</v>
      </c>
      <c r="G57" s="3" t="n">
        <v>45481</v>
      </c>
      <c r="H57" s="3" t="n">
        <v>45559</v>
      </c>
      <c r="I57" s="15" t="s">
        <v>167</v>
      </c>
      <c r="J57" s="15" t="n">
        <v>17</v>
      </c>
      <c r="K57" s="3" t="n">
        <v>45565</v>
      </c>
      <c r="L57" s="20" t="n">
        <f aca="false">IF(K57="","",EOMONTH(K57,2))</f>
        <v>45626</v>
      </c>
    </row>
    <row r="58" customFormat="false" ht="14.25" hidden="false" customHeight="true" outlineLevel="0" collapsed="false">
      <c r="A58" s="15" t="n">
        <v>4809</v>
      </c>
      <c r="B58" s="15" t="s">
        <v>144</v>
      </c>
      <c r="C58" s="15" t="s">
        <v>164</v>
      </c>
      <c r="D58" s="15" t="s">
        <v>180</v>
      </c>
      <c r="E58" s="13" t="s">
        <v>172</v>
      </c>
      <c r="F58" s="3" t="n">
        <v>45463</v>
      </c>
      <c r="G58" s="3" t="n">
        <v>45464</v>
      </c>
      <c r="H58" s="3" t="n">
        <v>45524</v>
      </c>
      <c r="I58" s="15" t="s">
        <v>167</v>
      </c>
      <c r="J58" s="15" t="n">
        <v>1</v>
      </c>
      <c r="K58" s="3" t="n">
        <v>45535</v>
      </c>
      <c r="L58" s="20" t="n">
        <f aca="false">IF(K58="","",EOMONTH(K58,2))</f>
        <v>45596</v>
      </c>
    </row>
    <row r="59" customFormat="false" ht="14.25" hidden="false" customHeight="true" outlineLevel="0" collapsed="false">
      <c r="A59" s="15" t="n">
        <v>4823</v>
      </c>
      <c r="B59" s="15" t="s">
        <v>163</v>
      </c>
      <c r="C59" s="15" t="s">
        <v>164</v>
      </c>
      <c r="D59" s="15" t="s">
        <v>185</v>
      </c>
      <c r="E59" s="13" t="s">
        <v>233</v>
      </c>
      <c r="F59" s="3" t="n">
        <v>45465</v>
      </c>
      <c r="G59" s="3" t="n">
        <v>45481</v>
      </c>
      <c r="H59" s="3" t="n">
        <v>45559</v>
      </c>
      <c r="I59" s="15" t="s">
        <v>167</v>
      </c>
      <c r="J59" s="15" t="n">
        <v>1</v>
      </c>
      <c r="K59" s="3" t="n">
        <v>45565</v>
      </c>
      <c r="L59" s="20" t="n">
        <f aca="false">IF(K59="","",EOMONTH(K59,2))</f>
        <v>45626</v>
      </c>
    </row>
    <row r="60" customFormat="false" ht="14.25" hidden="false" customHeight="true" outlineLevel="0" collapsed="false">
      <c r="A60" s="15" t="n">
        <v>5499</v>
      </c>
      <c r="B60" s="15" t="s">
        <v>163</v>
      </c>
      <c r="C60" s="15" t="s">
        <v>184</v>
      </c>
      <c r="D60" s="15" t="s">
        <v>185</v>
      </c>
      <c r="E60" s="13" t="s">
        <v>234</v>
      </c>
      <c r="F60" s="3" t="n">
        <v>45465</v>
      </c>
      <c r="G60" s="3" t="n">
        <v>45484</v>
      </c>
      <c r="H60" s="3" t="n">
        <v>45466</v>
      </c>
      <c r="I60" s="15" t="s">
        <v>167</v>
      </c>
      <c r="J60" s="15" t="n">
        <v>2</v>
      </c>
      <c r="K60" s="3" t="n">
        <v>45565</v>
      </c>
      <c r="L60" s="20" t="n">
        <f aca="false">IF(K60="","",EOMONTH(K60,2))</f>
        <v>45626</v>
      </c>
    </row>
    <row r="61" customFormat="false" ht="14.25" hidden="false" customHeight="true" outlineLevel="0" collapsed="false">
      <c r="A61" s="15" t="n">
        <v>5500</v>
      </c>
      <c r="B61" s="15" t="s">
        <v>178</v>
      </c>
      <c r="C61" s="15" t="s">
        <v>184</v>
      </c>
      <c r="D61" s="15" t="s">
        <v>185</v>
      </c>
      <c r="E61" s="13" t="s">
        <v>235</v>
      </c>
      <c r="F61" s="3" t="n">
        <v>45468</v>
      </c>
      <c r="G61" s="15"/>
      <c r="H61" s="3" t="n">
        <v>45468</v>
      </c>
      <c r="I61" s="15" t="s">
        <v>167</v>
      </c>
      <c r="J61" s="15" t="n">
        <v>1</v>
      </c>
      <c r="K61" s="15"/>
      <c r="L61" s="20" t="str">
        <f aca="false">IF(K61="","",EOMONTH(K61,2))</f>
        <v/>
      </c>
    </row>
    <row r="62" customFormat="false" ht="14.25" hidden="false" customHeight="true" outlineLevel="0" collapsed="false">
      <c r="A62" s="15" t="n">
        <v>4824</v>
      </c>
      <c r="B62" s="15" t="s">
        <v>168</v>
      </c>
      <c r="C62" s="15" t="s">
        <v>164</v>
      </c>
      <c r="D62" s="15" t="s">
        <v>165</v>
      </c>
      <c r="E62" s="13" t="s">
        <v>202</v>
      </c>
      <c r="F62" s="3" t="n">
        <v>45469</v>
      </c>
      <c r="G62" s="3" t="n">
        <v>45480</v>
      </c>
      <c r="H62" s="3" t="n">
        <v>45559</v>
      </c>
      <c r="I62" s="15" t="s">
        <v>167</v>
      </c>
      <c r="J62" s="15" t="n">
        <v>17</v>
      </c>
      <c r="K62" s="3" t="n">
        <v>45565</v>
      </c>
      <c r="L62" s="20" t="n">
        <f aca="false">IF(K62="","",EOMONTH(K62,2))</f>
        <v>45626</v>
      </c>
    </row>
    <row r="63" customFormat="false" ht="14.25" hidden="false" customHeight="true" outlineLevel="0" collapsed="false">
      <c r="A63" s="15" t="n">
        <v>5501</v>
      </c>
      <c r="B63" s="15" t="s">
        <v>220</v>
      </c>
      <c r="C63" s="15" t="s">
        <v>184</v>
      </c>
      <c r="D63" s="15" t="s">
        <v>185</v>
      </c>
      <c r="E63" s="13" t="s">
        <v>236</v>
      </c>
      <c r="F63" s="3" t="n">
        <v>45471</v>
      </c>
      <c r="G63" s="3" t="n">
        <v>45473</v>
      </c>
      <c r="H63" s="3" t="n">
        <v>45471</v>
      </c>
      <c r="I63" s="15" t="s">
        <v>167</v>
      </c>
      <c r="J63" s="15" t="n">
        <v>1</v>
      </c>
      <c r="K63" s="3" t="n">
        <v>45535</v>
      </c>
      <c r="L63" s="20" t="n">
        <f aca="false">IF(K63="","",EOMONTH(K63,2))</f>
        <v>45596</v>
      </c>
    </row>
    <row r="64" customFormat="false" ht="14.25" hidden="false" customHeight="true" outlineLevel="0" collapsed="false">
      <c r="A64" s="15" t="n">
        <v>5502</v>
      </c>
      <c r="B64" s="15" t="s">
        <v>117</v>
      </c>
      <c r="C64" s="15" t="s">
        <v>184</v>
      </c>
      <c r="D64" s="15" t="s">
        <v>185</v>
      </c>
      <c r="E64" s="13" t="s">
        <v>237</v>
      </c>
      <c r="F64" s="3" t="n">
        <v>45475</v>
      </c>
      <c r="G64" s="3" t="n">
        <v>45479</v>
      </c>
      <c r="H64" s="3" t="n">
        <v>45475</v>
      </c>
      <c r="I64" s="15" t="s">
        <v>167</v>
      </c>
      <c r="J64" s="15" t="n">
        <v>1</v>
      </c>
      <c r="K64" s="3" t="n">
        <v>45565</v>
      </c>
      <c r="L64" s="20" t="n">
        <f aca="false">IF(K64="","",EOMONTH(K64,2))</f>
        <v>45626</v>
      </c>
    </row>
    <row r="65" customFormat="false" ht="14.25" hidden="false" customHeight="true" outlineLevel="0" collapsed="false">
      <c r="A65" s="15" t="n">
        <v>5503</v>
      </c>
      <c r="B65" s="15" t="s">
        <v>117</v>
      </c>
      <c r="C65" s="15" t="s">
        <v>184</v>
      </c>
      <c r="D65" s="15" t="s">
        <v>185</v>
      </c>
      <c r="E65" s="13" t="s">
        <v>238</v>
      </c>
      <c r="F65" s="3" t="n">
        <v>45477</v>
      </c>
      <c r="G65" s="3" t="n">
        <v>45480</v>
      </c>
      <c r="H65" s="3" t="n">
        <v>45478</v>
      </c>
      <c r="I65" s="15" t="s">
        <v>167</v>
      </c>
      <c r="J65" s="15" t="n">
        <v>1</v>
      </c>
      <c r="K65" s="3" t="n">
        <v>45565</v>
      </c>
      <c r="L65" s="20" t="n">
        <f aca="false">IF(K65="","",EOMONTH(K65,2))</f>
        <v>45626</v>
      </c>
    </row>
    <row r="66" customFormat="false" ht="14.25" hidden="false" customHeight="true" outlineLevel="0" collapsed="false">
      <c r="A66" s="15" t="n">
        <v>4798</v>
      </c>
      <c r="B66" s="15" t="s">
        <v>183</v>
      </c>
      <c r="C66" s="15" t="s">
        <v>164</v>
      </c>
      <c r="D66" s="15" t="s">
        <v>239</v>
      </c>
      <c r="E66" s="13" t="s">
        <v>240</v>
      </c>
      <c r="F66" s="3" t="n">
        <v>45478</v>
      </c>
      <c r="G66" s="3" t="n">
        <v>45482</v>
      </c>
      <c r="H66" s="3" t="n">
        <v>45482</v>
      </c>
      <c r="I66" s="15" t="s">
        <v>167</v>
      </c>
      <c r="J66" s="15" t="n">
        <v>67</v>
      </c>
      <c r="K66" s="3" t="n">
        <v>45565</v>
      </c>
      <c r="L66" s="20" t="n">
        <f aca="false">IF(K66="","",EOMONTH(K66,2))</f>
        <v>45626</v>
      </c>
    </row>
    <row r="67" customFormat="false" ht="14.25" hidden="false" customHeight="true" outlineLevel="0" collapsed="false">
      <c r="A67" s="15" t="n">
        <v>5504</v>
      </c>
      <c r="B67" s="15" t="s">
        <v>93</v>
      </c>
      <c r="C67" s="15" t="s">
        <v>184</v>
      </c>
      <c r="D67" s="15" t="s">
        <v>185</v>
      </c>
      <c r="E67" s="13" t="s">
        <v>241</v>
      </c>
      <c r="F67" s="3" t="n">
        <v>45480</v>
      </c>
      <c r="G67" s="3" t="n">
        <v>45506</v>
      </c>
      <c r="H67" s="3" t="n">
        <v>45480</v>
      </c>
      <c r="I67" s="15" t="s">
        <v>167</v>
      </c>
      <c r="J67" s="15" t="n">
        <v>1</v>
      </c>
      <c r="K67" s="3" t="n">
        <v>45596</v>
      </c>
      <c r="L67" s="20" t="n">
        <f aca="false">IF(K67="","",EOMONTH(K67,2))</f>
        <v>45657</v>
      </c>
    </row>
    <row r="68" customFormat="false" ht="14.25" hidden="false" customHeight="true" outlineLevel="0" collapsed="false">
      <c r="A68" s="15" t="n">
        <v>4810</v>
      </c>
      <c r="B68" s="15" t="s">
        <v>173</v>
      </c>
      <c r="C68" s="15" t="s">
        <v>164</v>
      </c>
      <c r="D68" s="15" t="s">
        <v>165</v>
      </c>
      <c r="E68" s="13" t="s">
        <v>207</v>
      </c>
      <c r="F68" s="3" t="n">
        <v>45482</v>
      </c>
      <c r="G68" s="3" t="n">
        <v>45484</v>
      </c>
      <c r="H68" s="3" t="n">
        <v>45524</v>
      </c>
      <c r="I68" s="15" t="s">
        <v>167</v>
      </c>
      <c r="J68" s="15" t="n">
        <v>8</v>
      </c>
      <c r="K68" s="3" t="n">
        <v>45565</v>
      </c>
      <c r="L68" s="20" t="n">
        <f aca="false">IF(K68="","",EOMONTH(K68,2))</f>
        <v>45626</v>
      </c>
    </row>
    <row r="69" customFormat="false" ht="14.25" hidden="false" customHeight="true" outlineLevel="0" collapsed="false">
      <c r="A69" s="15" t="n">
        <v>5505</v>
      </c>
      <c r="B69" s="15" t="s">
        <v>220</v>
      </c>
      <c r="C69" s="15" t="s">
        <v>184</v>
      </c>
      <c r="D69" s="15" t="s">
        <v>185</v>
      </c>
      <c r="E69" s="13" t="s">
        <v>242</v>
      </c>
      <c r="F69" s="3" t="n">
        <v>45482</v>
      </c>
      <c r="G69" s="3" t="n">
        <v>45483</v>
      </c>
      <c r="H69" s="3" t="n">
        <v>45482</v>
      </c>
      <c r="I69" s="15" t="s">
        <v>167</v>
      </c>
      <c r="J69" s="15" t="n">
        <v>1</v>
      </c>
      <c r="K69" s="3" t="n">
        <v>45565</v>
      </c>
      <c r="L69" s="20" t="n">
        <f aca="false">IF(K69="","",EOMONTH(K69,2))</f>
        <v>45626</v>
      </c>
    </row>
    <row r="70" customFormat="false" ht="14.25" hidden="false" customHeight="true" outlineLevel="0" collapsed="false">
      <c r="A70" s="15" t="n">
        <v>5507</v>
      </c>
      <c r="B70" s="15" t="s">
        <v>212</v>
      </c>
      <c r="C70" s="15" t="s">
        <v>184</v>
      </c>
      <c r="D70" s="15" t="s">
        <v>185</v>
      </c>
      <c r="E70" s="13" t="s">
        <v>243</v>
      </c>
      <c r="F70" s="3" t="n">
        <v>45482</v>
      </c>
      <c r="G70" s="15"/>
      <c r="H70" s="3" t="n">
        <v>45485</v>
      </c>
      <c r="I70" s="15" t="s">
        <v>167</v>
      </c>
      <c r="J70" s="15" t="n">
        <v>2</v>
      </c>
      <c r="K70" s="15"/>
      <c r="L70" s="20" t="str">
        <f aca="false">IF(K70="","",EOMONTH(K70,2))</f>
        <v/>
      </c>
    </row>
    <row r="71" customFormat="false" ht="14.25" hidden="false" customHeight="true" outlineLevel="0" collapsed="false">
      <c r="A71" s="15" t="n">
        <v>4812</v>
      </c>
      <c r="B71" s="15" t="s">
        <v>174</v>
      </c>
      <c r="C71" s="15" t="s">
        <v>164</v>
      </c>
      <c r="D71" s="15" t="s">
        <v>165</v>
      </c>
      <c r="E71" s="13" t="s">
        <v>181</v>
      </c>
      <c r="F71" s="3" t="n">
        <v>45483</v>
      </c>
      <c r="G71" s="3" t="n">
        <v>45486</v>
      </c>
      <c r="H71" s="3" t="n">
        <v>45524</v>
      </c>
      <c r="I71" s="15" t="s">
        <v>167</v>
      </c>
      <c r="J71" s="15" t="n">
        <v>2</v>
      </c>
      <c r="K71" s="3" t="n">
        <v>45565</v>
      </c>
      <c r="L71" s="20" t="n">
        <f aca="false">IF(K71="","",EOMONTH(K71,2))</f>
        <v>45626</v>
      </c>
    </row>
    <row r="72" customFormat="false" ht="14.25" hidden="false" customHeight="true" outlineLevel="0" collapsed="false">
      <c r="A72" s="15" t="n">
        <v>4814</v>
      </c>
      <c r="B72" s="15" t="s">
        <v>244</v>
      </c>
      <c r="C72" s="15" t="s">
        <v>164</v>
      </c>
      <c r="D72" s="15" t="s">
        <v>180</v>
      </c>
      <c r="E72" s="13" t="s">
        <v>245</v>
      </c>
      <c r="F72" s="3" t="n">
        <v>45483</v>
      </c>
      <c r="G72" s="3" t="n">
        <v>45484</v>
      </c>
      <c r="H72" s="3" t="n">
        <v>45533</v>
      </c>
      <c r="I72" s="15" t="s">
        <v>167</v>
      </c>
      <c r="J72" s="15" t="n">
        <v>5</v>
      </c>
      <c r="K72" s="3" t="n">
        <v>45565</v>
      </c>
      <c r="L72" s="20" t="n">
        <f aca="false">IF(K72="","",EOMONTH(K72,2))</f>
        <v>45626</v>
      </c>
    </row>
    <row r="73" customFormat="false" ht="14.25" hidden="false" customHeight="true" outlineLevel="0" collapsed="false">
      <c r="A73" s="15" t="n">
        <v>4833</v>
      </c>
      <c r="B73" s="15" t="s">
        <v>220</v>
      </c>
      <c r="C73" s="15" t="s">
        <v>164</v>
      </c>
      <c r="D73" s="15" t="s">
        <v>185</v>
      </c>
      <c r="E73" s="13" t="s">
        <v>246</v>
      </c>
      <c r="F73" s="3" t="n">
        <v>45483</v>
      </c>
      <c r="G73" s="3" t="n">
        <v>45490</v>
      </c>
      <c r="H73" s="3" t="n">
        <v>45569</v>
      </c>
      <c r="I73" s="15" t="s">
        <v>167</v>
      </c>
      <c r="J73" s="15" t="n">
        <v>1</v>
      </c>
      <c r="K73" s="3" t="n">
        <v>45565</v>
      </c>
      <c r="L73" s="20" t="n">
        <f aca="false">IF(K73="","",EOMONTH(K73,2))</f>
        <v>45626</v>
      </c>
    </row>
    <row r="74" customFormat="false" ht="14.25" hidden="false" customHeight="true" outlineLevel="0" collapsed="false">
      <c r="A74" s="15" t="n">
        <v>4854</v>
      </c>
      <c r="B74" s="15" t="s">
        <v>178</v>
      </c>
      <c r="C74" s="15" t="s">
        <v>164</v>
      </c>
      <c r="D74" s="15" t="s">
        <v>185</v>
      </c>
      <c r="E74" s="13" t="s">
        <v>233</v>
      </c>
      <c r="F74" s="3" t="n">
        <v>45483</v>
      </c>
      <c r="G74" s="3" t="n">
        <v>45527</v>
      </c>
      <c r="H74" s="3" t="n">
        <v>45658</v>
      </c>
      <c r="I74" s="15" t="s">
        <v>167</v>
      </c>
      <c r="J74" s="15" t="n">
        <v>5</v>
      </c>
      <c r="K74" s="3" t="n">
        <v>45596</v>
      </c>
      <c r="L74" s="20" t="n">
        <f aca="false">IF(K74="","",EOMONTH(K74,2))</f>
        <v>45657</v>
      </c>
    </row>
    <row r="75" customFormat="false" ht="14.25" hidden="false" customHeight="true" outlineLevel="0" collapsed="false">
      <c r="A75" s="15" t="n">
        <v>5506</v>
      </c>
      <c r="B75" s="15" t="s">
        <v>178</v>
      </c>
      <c r="C75" s="15" t="s">
        <v>184</v>
      </c>
      <c r="D75" s="15" t="s">
        <v>185</v>
      </c>
      <c r="E75" s="13" t="s">
        <v>247</v>
      </c>
      <c r="F75" s="3" t="n">
        <v>45483</v>
      </c>
      <c r="G75" s="15"/>
      <c r="H75" s="3" t="n">
        <v>45484</v>
      </c>
      <c r="I75" s="15" t="s">
        <v>167</v>
      </c>
      <c r="J75" s="15" t="n">
        <v>1</v>
      </c>
      <c r="K75" s="15"/>
      <c r="L75" s="20" t="str">
        <f aca="false">IF(K75="","",EOMONTH(K75,2))</f>
        <v/>
      </c>
    </row>
    <row r="76" customFormat="false" ht="14.25" hidden="false" customHeight="true" outlineLevel="0" collapsed="false">
      <c r="A76" s="15" t="n">
        <v>5508</v>
      </c>
      <c r="B76" s="15" t="s">
        <v>220</v>
      </c>
      <c r="C76" s="15" t="s">
        <v>184</v>
      </c>
      <c r="D76" s="15" t="s">
        <v>185</v>
      </c>
      <c r="E76" s="13" t="s">
        <v>246</v>
      </c>
      <c r="F76" s="3" t="n">
        <v>45483</v>
      </c>
      <c r="G76" s="3" t="n">
        <v>45488</v>
      </c>
      <c r="H76" s="3" t="n">
        <v>45486</v>
      </c>
      <c r="I76" s="15" t="s">
        <v>167</v>
      </c>
      <c r="J76" s="15" t="n">
        <v>1</v>
      </c>
      <c r="K76" s="3" t="n">
        <v>45565</v>
      </c>
      <c r="L76" s="20" t="n">
        <f aca="false">IF(K76="","",EOMONTH(K76,2))</f>
        <v>45626</v>
      </c>
    </row>
    <row r="77" customFormat="false" ht="14.25" hidden="false" customHeight="true" outlineLevel="0" collapsed="false">
      <c r="A77" s="15" t="n">
        <v>4819</v>
      </c>
      <c r="B77" s="15" t="s">
        <v>136</v>
      </c>
      <c r="C77" s="15" t="s">
        <v>164</v>
      </c>
      <c r="D77" s="15" t="s">
        <v>180</v>
      </c>
      <c r="E77" s="13" t="s">
        <v>248</v>
      </c>
      <c r="F77" s="3" t="n">
        <v>45486</v>
      </c>
      <c r="G77" s="3" t="n">
        <v>45489</v>
      </c>
      <c r="H77" s="3" t="n">
        <v>45555</v>
      </c>
      <c r="I77" s="15" t="s">
        <v>167</v>
      </c>
      <c r="J77" s="15" t="n">
        <v>7</v>
      </c>
      <c r="K77" s="3" t="n">
        <v>45565</v>
      </c>
      <c r="L77" s="20" t="n">
        <f aca="false">IF(K77="","",EOMONTH(K77,2))</f>
        <v>45626</v>
      </c>
    </row>
    <row r="78" customFormat="false" ht="14.25" hidden="false" customHeight="true" outlineLevel="0" collapsed="false">
      <c r="A78" s="15" t="n">
        <v>4842</v>
      </c>
      <c r="B78" s="15" t="s">
        <v>228</v>
      </c>
      <c r="C78" s="15" t="s">
        <v>164</v>
      </c>
      <c r="D78" s="15" t="s">
        <v>165</v>
      </c>
      <c r="E78" s="13" t="s">
        <v>249</v>
      </c>
      <c r="F78" s="3" t="n">
        <v>45486</v>
      </c>
      <c r="G78" s="3" t="n">
        <v>45487</v>
      </c>
      <c r="H78" s="3" t="n">
        <v>45597</v>
      </c>
      <c r="I78" s="15" t="s">
        <v>167</v>
      </c>
      <c r="J78" s="15" t="n">
        <v>1</v>
      </c>
      <c r="K78" s="3" t="n">
        <v>45565</v>
      </c>
      <c r="L78" s="20" t="n">
        <f aca="false">IF(K78="","",EOMONTH(K78,2))</f>
        <v>45626</v>
      </c>
    </row>
    <row r="79" customFormat="false" ht="14.25" hidden="false" customHeight="true" outlineLevel="0" collapsed="false">
      <c r="A79" s="15" t="n">
        <v>5510</v>
      </c>
      <c r="B79" s="15" t="s">
        <v>206</v>
      </c>
      <c r="C79" s="15" t="s">
        <v>184</v>
      </c>
      <c r="D79" s="15" t="s">
        <v>185</v>
      </c>
      <c r="E79" s="13" t="s">
        <v>250</v>
      </c>
      <c r="F79" s="3" t="n">
        <v>45488</v>
      </c>
      <c r="G79" s="3" t="n">
        <v>45494</v>
      </c>
      <c r="H79" s="3" t="n">
        <v>45489</v>
      </c>
      <c r="I79" s="15" t="s">
        <v>167</v>
      </c>
      <c r="J79" s="15" t="n">
        <v>2</v>
      </c>
      <c r="K79" s="3" t="n">
        <v>45565</v>
      </c>
      <c r="L79" s="20" t="n">
        <f aca="false">IF(K79="","",EOMONTH(K79,2))</f>
        <v>45626</v>
      </c>
    </row>
    <row r="80" customFormat="false" ht="14.25" hidden="false" customHeight="true" outlineLevel="0" collapsed="false">
      <c r="A80" s="15" t="n">
        <v>5509</v>
      </c>
      <c r="B80" s="15" t="s">
        <v>222</v>
      </c>
      <c r="C80" s="15" t="s">
        <v>184</v>
      </c>
      <c r="D80" s="15" t="s">
        <v>185</v>
      </c>
      <c r="E80" s="13" t="s">
        <v>251</v>
      </c>
      <c r="F80" s="3" t="n">
        <v>45489</v>
      </c>
      <c r="G80" s="3" t="n">
        <v>45490</v>
      </c>
      <c r="H80" s="3" t="n">
        <v>45489</v>
      </c>
      <c r="I80" s="15" t="s">
        <v>167</v>
      </c>
      <c r="J80" s="15" t="n">
        <v>1</v>
      </c>
      <c r="K80" s="3" t="n">
        <v>45565</v>
      </c>
      <c r="L80" s="20" t="n">
        <f aca="false">IF(K80="","",EOMONTH(K80,2))</f>
        <v>45626</v>
      </c>
    </row>
    <row r="81" customFormat="false" ht="14.25" hidden="false" customHeight="true" outlineLevel="0" collapsed="false">
      <c r="A81" s="15" t="n">
        <v>4849</v>
      </c>
      <c r="B81" s="15" t="s">
        <v>163</v>
      </c>
      <c r="C81" s="15" t="s">
        <v>164</v>
      </c>
      <c r="D81" s="15" t="s">
        <v>185</v>
      </c>
      <c r="E81" s="13" t="s">
        <v>233</v>
      </c>
      <c r="F81" s="3" t="n">
        <v>45490</v>
      </c>
      <c r="G81" s="3" t="n">
        <v>45525</v>
      </c>
      <c r="H81" s="3" t="n">
        <v>45622</v>
      </c>
      <c r="I81" s="15" t="s">
        <v>167</v>
      </c>
      <c r="J81" s="15" t="n">
        <v>1</v>
      </c>
      <c r="K81" s="3" t="n">
        <v>45596</v>
      </c>
      <c r="L81" s="20" t="n">
        <f aca="false">IF(K81="","",EOMONTH(K81,2))</f>
        <v>45657</v>
      </c>
    </row>
    <row r="82" customFormat="false" ht="14.25" hidden="false" customHeight="true" outlineLevel="0" collapsed="false">
      <c r="A82" s="15" t="n">
        <v>5511</v>
      </c>
      <c r="B82" s="15" t="s">
        <v>178</v>
      </c>
      <c r="C82" s="15" t="s">
        <v>184</v>
      </c>
      <c r="D82" s="15" t="s">
        <v>185</v>
      </c>
      <c r="E82" s="13" t="s">
        <v>252</v>
      </c>
      <c r="F82" s="3" t="n">
        <v>45490</v>
      </c>
      <c r="G82" s="15"/>
      <c r="H82" s="3" t="n">
        <v>45491</v>
      </c>
      <c r="I82" s="15" t="s">
        <v>167</v>
      </c>
      <c r="J82" s="15" t="n">
        <v>3</v>
      </c>
      <c r="K82" s="15"/>
      <c r="L82" s="20" t="str">
        <f aca="false">IF(K82="","",EOMONTH(K82,2))</f>
        <v/>
      </c>
    </row>
    <row r="83" customFormat="false" ht="14.25" hidden="false" customHeight="true" outlineLevel="0" collapsed="false">
      <c r="A83" s="15" t="n">
        <v>5518</v>
      </c>
      <c r="B83" s="15" t="s">
        <v>163</v>
      </c>
      <c r="C83" s="15" t="s">
        <v>184</v>
      </c>
      <c r="D83" s="15" t="s">
        <v>185</v>
      </c>
      <c r="E83" s="13" t="s">
        <v>253</v>
      </c>
      <c r="F83" s="3" t="n">
        <v>45490</v>
      </c>
      <c r="G83" s="3" t="n">
        <v>45494</v>
      </c>
      <c r="H83" s="3" t="n">
        <v>45497</v>
      </c>
      <c r="I83" s="15" t="s">
        <v>167</v>
      </c>
      <c r="J83" s="15" t="n">
        <v>3</v>
      </c>
      <c r="K83" s="3" t="n">
        <v>45565</v>
      </c>
      <c r="L83" s="20" t="n">
        <f aca="false">IF(K83="","",EOMONTH(K83,2))</f>
        <v>45626</v>
      </c>
    </row>
    <row r="84" customFormat="false" ht="14.25" hidden="false" customHeight="true" outlineLevel="0" collapsed="false">
      <c r="A84" s="15" t="n">
        <v>5512</v>
      </c>
      <c r="B84" s="15" t="s">
        <v>178</v>
      </c>
      <c r="C84" s="15" t="s">
        <v>184</v>
      </c>
      <c r="D84" s="15" t="s">
        <v>185</v>
      </c>
      <c r="E84" s="13" t="s">
        <v>254</v>
      </c>
      <c r="F84" s="3" t="n">
        <v>45491</v>
      </c>
      <c r="G84" s="15"/>
      <c r="H84" s="3" t="n">
        <v>45491</v>
      </c>
      <c r="I84" s="15" t="s">
        <v>167</v>
      </c>
      <c r="J84" s="15" t="n">
        <v>2</v>
      </c>
      <c r="K84" s="15"/>
      <c r="L84" s="20" t="str">
        <f aca="false">IF(K84="","",EOMONTH(K84,2))</f>
        <v/>
      </c>
    </row>
    <row r="85" customFormat="false" ht="14.25" hidden="false" customHeight="true" outlineLevel="0" collapsed="false">
      <c r="A85" s="15" t="n">
        <v>5513</v>
      </c>
      <c r="B85" s="15" t="s">
        <v>178</v>
      </c>
      <c r="C85" s="15" t="s">
        <v>184</v>
      </c>
      <c r="D85" s="15" t="s">
        <v>185</v>
      </c>
      <c r="E85" s="13" t="s">
        <v>255</v>
      </c>
      <c r="F85" s="3" t="n">
        <v>45493</v>
      </c>
      <c r="G85" s="15"/>
      <c r="H85" s="3" t="n">
        <v>45494</v>
      </c>
      <c r="I85" s="15" t="s">
        <v>167</v>
      </c>
      <c r="J85" s="15" t="n">
        <v>1</v>
      </c>
      <c r="K85" s="15"/>
      <c r="L85" s="20" t="str">
        <f aca="false">IF(K85="","",EOMONTH(K85,2))</f>
        <v/>
      </c>
    </row>
    <row r="86" customFormat="false" ht="14.25" hidden="false" customHeight="true" outlineLevel="0" collapsed="false">
      <c r="A86" s="15" t="n">
        <v>5514</v>
      </c>
      <c r="B86" s="15" t="s">
        <v>178</v>
      </c>
      <c r="C86" s="15" t="s">
        <v>184</v>
      </c>
      <c r="D86" s="15" t="s">
        <v>185</v>
      </c>
      <c r="E86" s="13" t="s">
        <v>256</v>
      </c>
      <c r="F86" s="3" t="n">
        <v>45494</v>
      </c>
      <c r="G86" s="15"/>
      <c r="H86" s="3" t="n">
        <v>45494</v>
      </c>
      <c r="I86" s="15" t="s">
        <v>167</v>
      </c>
      <c r="J86" s="15" t="n">
        <v>3</v>
      </c>
      <c r="K86" s="15"/>
      <c r="L86" s="20" t="str">
        <f aca="false">IF(K86="","",EOMONTH(K86,2))</f>
        <v/>
      </c>
    </row>
    <row r="87" customFormat="false" ht="14.25" hidden="false" customHeight="true" outlineLevel="0" collapsed="false">
      <c r="A87" s="15" t="n">
        <v>5515</v>
      </c>
      <c r="B87" s="15" t="s">
        <v>117</v>
      </c>
      <c r="C87" s="15" t="s">
        <v>184</v>
      </c>
      <c r="D87" s="15" t="s">
        <v>185</v>
      </c>
      <c r="E87" s="13" t="s">
        <v>257</v>
      </c>
      <c r="F87" s="3" t="n">
        <v>45494</v>
      </c>
      <c r="G87" s="3" t="n">
        <v>45495</v>
      </c>
      <c r="H87" s="3" t="n">
        <v>45494</v>
      </c>
      <c r="I87" s="15" t="s">
        <v>167</v>
      </c>
      <c r="J87" s="15" t="n">
        <v>1</v>
      </c>
      <c r="K87" s="3" t="n">
        <v>45565</v>
      </c>
      <c r="L87" s="20" t="n">
        <f aca="false">IF(K87="","",EOMONTH(K87,2))</f>
        <v>45626</v>
      </c>
    </row>
    <row r="88" customFormat="false" ht="14.25" hidden="false" customHeight="true" outlineLevel="0" collapsed="false">
      <c r="A88" s="15" t="n">
        <v>5516</v>
      </c>
      <c r="B88" s="15" t="s">
        <v>178</v>
      </c>
      <c r="C88" s="15" t="s">
        <v>184</v>
      </c>
      <c r="D88" s="15" t="s">
        <v>185</v>
      </c>
      <c r="E88" s="13" t="s">
        <v>258</v>
      </c>
      <c r="F88" s="3" t="n">
        <v>45494</v>
      </c>
      <c r="G88" s="15"/>
      <c r="H88" s="3" t="n">
        <v>45495</v>
      </c>
      <c r="I88" s="15" t="s">
        <v>167</v>
      </c>
      <c r="J88" s="15" t="n">
        <v>2</v>
      </c>
      <c r="K88" s="15"/>
      <c r="L88" s="20" t="str">
        <f aca="false">IF(K88="","",EOMONTH(K88,2))</f>
        <v/>
      </c>
    </row>
    <row r="89" customFormat="false" ht="14.25" hidden="false" customHeight="true" outlineLevel="0" collapsed="false">
      <c r="A89" s="15" t="n">
        <v>5517</v>
      </c>
      <c r="B89" s="15" t="s">
        <v>163</v>
      </c>
      <c r="C89" s="15" t="s">
        <v>184</v>
      </c>
      <c r="D89" s="15" t="s">
        <v>185</v>
      </c>
      <c r="E89" s="13" t="s">
        <v>259</v>
      </c>
      <c r="F89" s="3" t="n">
        <v>45495</v>
      </c>
      <c r="G89" s="3" t="n">
        <v>45501</v>
      </c>
      <c r="H89" s="3" t="n">
        <v>45496</v>
      </c>
      <c r="I89" s="15" t="s">
        <v>167</v>
      </c>
      <c r="J89" s="15" t="n">
        <v>2</v>
      </c>
      <c r="K89" s="3" t="n">
        <v>45565</v>
      </c>
      <c r="L89" s="20" t="n">
        <f aca="false">IF(K89="","",EOMONTH(K89,2))</f>
        <v>45626</v>
      </c>
    </row>
    <row r="90" customFormat="false" ht="14.25" hidden="false" customHeight="true" outlineLevel="0" collapsed="false">
      <c r="A90" s="15" t="n">
        <v>4813</v>
      </c>
      <c r="B90" s="15" t="s">
        <v>212</v>
      </c>
      <c r="C90" s="15" t="s">
        <v>164</v>
      </c>
      <c r="D90" s="15" t="s">
        <v>260</v>
      </c>
      <c r="E90" s="13" t="s">
        <v>261</v>
      </c>
      <c r="F90" s="3" t="n">
        <v>45497</v>
      </c>
      <c r="G90" s="3" t="n">
        <v>45497</v>
      </c>
      <c r="H90" s="3" t="n">
        <v>45527</v>
      </c>
      <c r="I90" s="15" t="s">
        <v>167</v>
      </c>
      <c r="J90" s="15" t="n">
        <v>2</v>
      </c>
      <c r="K90" s="3" t="n">
        <v>45565</v>
      </c>
      <c r="L90" s="20" t="n">
        <f aca="false">IF(K90="","",EOMONTH(K90,2))</f>
        <v>45626</v>
      </c>
    </row>
    <row r="91" customFormat="false" ht="14.25" hidden="false" customHeight="true" outlineLevel="0" collapsed="false">
      <c r="A91" s="15" t="n">
        <v>5519</v>
      </c>
      <c r="B91" s="15" t="s">
        <v>117</v>
      </c>
      <c r="C91" s="15" t="s">
        <v>184</v>
      </c>
      <c r="D91" s="15" t="s">
        <v>185</v>
      </c>
      <c r="E91" s="13" t="s">
        <v>262</v>
      </c>
      <c r="F91" s="3" t="n">
        <v>45497</v>
      </c>
      <c r="G91" s="3" t="n">
        <v>45524</v>
      </c>
      <c r="H91" s="3" t="n">
        <v>45498</v>
      </c>
      <c r="I91" s="15" t="s">
        <v>167</v>
      </c>
      <c r="J91" s="15" t="n">
        <v>2</v>
      </c>
      <c r="K91" s="3" t="n">
        <v>45596</v>
      </c>
      <c r="L91" s="20" t="n">
        <f aca="false">IF(K91="","",EOMONTH(K91,2))</f>
        <v>45657</v>
      </c>
    </row>
    <row r="92" customFormat="false" ht="14.25" hidden="false" customHeight="true" outlineLevel="0" collapsed="false">
      <c r="A92" s="15" t="n">
        <v>5520</v>
      </c>
      <c r="B92" s="15" t="s">
        <v>206</v>
      </c>
      <c r="C92" s="15" t="s">
        <v>184</v>
      </c>
      <c r="D92" s="15" t="s">
        <v>185</v>
      </c>
      <c r="E92" s="13" t="s">
        <v>263</v>
      </c>
      <c r="F92" s="3" t="n">
        <v>45498</v>
      </c>
      <c r="G92" s="3" t="n">
        <v>45513</v>
      </c>
      <c r="H92" s="3" t="n">
        <v>45499</v>
      </c>
      <c r="I92" s="15" t="s">
        <v>167</v>
      </c>
      <c r="J92" s="15" t="n">
        <v>3</v>
      </c>
      <c r="K92" s="3" t="n">
        <v>45596</v>
      </c>
      <c r="L92" s="20" t="n">
        <f aca="false">IF(K92="","",EOMONTH(K92,2))</f>
        <v>45657</v>
      </c>
    </row>
    <row r="93" customFormat="false" ht="14.25" hidden="false" customHeight="true" outlineLevel="0" collapsed="false">
      <c r="A93" s="15" t="n">
        <v>5521</v>
      </c>
      <c r="B93" s="15" t="s">
        <v>163</v>
      </c>
      <c r="C93" s="15" t="s">
        <v>184</v>
      </c>
      <c r="D93" s="15" t="s">
        <v>185</v>
      </c>
      <c r="E93" s="13" t="s">
        <v>264</v>
      </c>
      <c r="F93" s="3" t="n">
        <v>45498</v>
      </c>
      <c r="G93" s="3" t="n">
        <v>45527</v>
      </c>
      <c r="H93" s="3" t="n">
        <v>45499</v>
      </c>
      <c r="I93" s="15" t="s">
        <v>167</v>
      </c>
      <c r="J93" s="15" t="n">
        <v>1</v>
      </c>
      <c r="K93" s="3" t="n">
        <v>45596</v>
      </c>
      <c r="L93" s="20" t="n">
        <f aca="false">IF(K93="","",EOMONTH(K93,2))</f>
        <v>45657</v>
      </c>
    </row>
    <row r="94" customFormat="false" ht="14.25" hidden="false" customHeight="true" outlineLevel="0" collapsed="false">
      <c r="A94" s="15" t="n">
        <v>5522</v>
      </c>
      <c r="B94" s="15" t="s">
        <v>117</v>
      </c>
      <c r="C94" s="15" t="s">
        <v>184</v>
      </c>
      <c r="D94" s="15" t="s">
        <v>185</v>
      </c>
      <c r="E94" s="13" t="s">
        <v>265</v>
      </c>
      <c r="F94" s="3" t="n">
        <v>45498</v>
      </c>
      <c r="G94" s="3" t="n">
        <v>45514</v>
      </c>
      <c r="H94" s="3" t="n">
        <v>45500</v>
      </c>
      <c r="I94" s="15" t="s">
        <v>167</v>
      </c>
      <c r="J94" s="15" t="n">
        <v>1</v>
      </c>
      <c r="K94" s="3" t="n">
        <v>45596</v>
      </c>
      <c r="L94" s="20" t="n">
        <f aca="false">IF(K94="","",EOMONTH(K94,2))</f>
        <v>45657</v>
      </c>
    </row>
    <row r="95" customFormat="false" ht="14.25" hidden="false" customHeight="true" outlineLevel="0" collapsed="false">
      <c r="A95" s="15" t="n">
        <v>4826</v>
      </c>
      <c r="B95" s="15" t="s">
        <v>173</v>
      </c>
      <c r="C95" s="15" t="s">
        <v>164</v>
      </c>
      <c r="D95" s="15" t="s">
        <v>180</v>
      </c>
      <c r="E95" s="13" t="s">
        <v>203</v>
      </c>
      <c r="F95" s="3" t="n">
        <v>45502</v>
      </c>
      <c r="G95" s="3" t="n">
        <v>45504</v>
      </c>
      <c r="H95" s="3" t="n">
        <v>45561</v>
      </c>
      <c r="I95" s="15" t="s">
        <v>167</v>
      </c>
      <c r="J95" s="15" t="n">
        <v>3</v>
      </c>
      <c r="K95" s="3" t="n">
        <v>45565</v>
      </c>
      <c r="L95" s="20" t="n">
        <f aca="false">IF(K95="","",EOMONTH(K95,2))</f>
        <v>45626</v>
      </c>
    </row>
    <row r="96" customFormat="false" ht="14.25" hidden="false" customHeight="true" outlineLevel="0" collapsed="false">
      <c r="A96" s="15" t="n">
        <v>5523</v>
      </c>
      <c r="B96" s="15" t="s">
        <v>96</v>
      </c>
      <c r="C96" s="15" t="s">
        <v>184</v>
      </c>
      <c r="D96" s="15" t="s">
        <v>185</v>
      </c>
      <c r="E96" s="13" t="s">
        <v>266</v>
      </c>
      <c r="F96" s="3" t="n">
        <v>45503</v>
      </c>
      <c r="G96" s="3" t="n">
        <v>45508</v>
      </c>
      <c r="H96" s="3" t="n">
        <v>45503</v>
      </c>
      <c r="I96" s="15" t="s">
        <v>167</v>
      </c>
      <c r="J96" s="15" t="n">
        <v>1</v>
      </c>
      <c r="K96" s="3" t="n">
        <v>45596</v>
      </c>
      <c r="L96" s="20" t="n">
        <f aca="false">IF(K96="","",EOMONTH(K96,2))</f>
        <v>45657</v>
      </c>
    </row>
    <row r="97" customFormat="false" ht="14.25" hidden="false" customHeight="true" outlineLevel="0" collapsed="false">
      <c r="A97" s="15" t="n">
        <v>5525</v>
      </c>
      <c r="B97" s="15" t="s">
        <v>267</v>
      </c>
      <c r="C97" s="15" t="s">
        <v>184</v>
      </c>
      <c r="D97" s="15" t="s">
        <v>185</v>
      </c>
      <c r="E97" s="13" t="s">
        <v>268</v>
      </c>
      <c r="F97" s="3" t="n">
        <v>45503</v>
      </c>
      <c r="G97" s="3" t="n">
        <v>45534</v>
      </c>
      <c r="H97" s="3" t="n">
        <v>45504</v>
      </c>
      <c r="I97" s="15" t="s">
        <v>167</v>
      </c>
      <c r="J97" s="15" t="n">
        <v>2</v>
      </c>
      <c r="K97" s="3" t="n">
        <v>45596</v>
      </c>
      <c r="L97" s="20" t="n">
        <f aca="false">IF(K97="","",EOMONTH(K97,2))</f>
        <v>45657</v>
      </c>
    </row>
    <row r="98" customFormat="false" ht="14.25" hidden="false" customHeight="true" outlineLevel="0" collapsed="false">
      <c r="A98" s="15" t="n">
        <v>4838</v>
      </c>
      <c r="B98" s="15" t="s">
        <v>199</v>
      </c>
      <c r="C98" s="15" t="s">
        <v>164</v>
      </c>
      <c r="D98" s="15" t="s">
        <v>165</v>
      </c>
      <c r="E98" s="13" t="s">
        <v>202</v>
      </c>
      <c r="F98" s="3" t="n">
        <v>45504</v>
      </c>
      <c r="G98" s="3" t="n">
        <v>45504</v>
      </c>
      <c r="H98" s="3" t="n">
        <v>45586</v>
      </c>
      <c r="I98" s="15" t="s">
        <v>167</v>
      </c>
      <c r="J98" s="15" t="n">
        <v>5</v>
      </c>
      <c r="K98" s="3" t="n">
        <v>45565</v>
      </c>
      <c r="L98" s="20" t="n">
        <f aca="false">IF(K98="","",EOMONTH(K98,2))</f>
        <v>45626</v>
      </c>
    </row>
    <row r="99" customFormat="false" ht="14.25" hidden="false" customHeight="true" outlineLevel="0" collapsed="false">
      <c r="A99" s="15" t="n">
        <v>5524</v>
      </c>
      <c r="B99" s="15" t="s">
        <v>267</v>
      </c>
      <c r="C99" s="15" t="s">
        <v>184</v>
      </c>
      <c r="D99" s="15" t="s">
        <v>185</v>
      </c>
      <c r="E99" s="13" t="s">
        <v>269</v>
      </c>
      <c r="F99" s="3" t="n">
        <v>45504</v>
      </c>
      <c r="G99" s="3" t="n">
        <v>45513</v>
      </c>
      <c r="H99" s="3" t="n">
        <v>45504</v>
      </c>
      <c r="I99" s="15" t="s">
        <v>167</v>
      </c>
      <c r="J99" s="15" t="n">
        <v>1</v>
      </c>
      <c r="K99" s="3" t="n">
        <v>45596</v>
      </c>
      <c r="L99" s="20" t="n">
        <f aca="false">IF(K99="","",EOMONTH(K99,2))</f>
        <v>45657</v>
      </c>
    </row>
    <row r="100" customFormat="false" ht="14.25" hidden="false" customHeight="true" outlineLevel="0" collapsed="false">
      <c r="A100" s="15" t="n">
        <v>3605</v>
      </c>
      <c r="B100" s="15" t="s">
        <v>215</v>
      </c>
      <c r="C100" s="15" t="s">
        <v>176</v>
      </c>
      <c r="D100" s="15" t="s">
        <v>270</v>
      </c>
      <c r="E100" s="13" t="s">
        <v>271</v>
      </c>
      <c r="F100" s="3" t="n">
        <v>45505</v>
      </c>
      <c r="G100" s="3" t="n">
        <v>45531</v>
      </c>
      <c r="H100" s="3" t="n">
        <v>45507</v>
      </c>
      <c r="I100" s="15" t="s">
        <v>167</v>
      </c>
      <c r="J100" s="15" t="n">
        <v>61</v>
      </c>
      <c r="K100" s="3" t="n">
        <v>45596</v>
      </c>
      <c r="L100" s="20" t="n">
        <f aca="false">IF(K100="","",EOMONTH(K100,2))</f>
        <v>45657</v>
      </c>
    </row>
    <row r="101" customFormat="false" ht="14.25" hidden="false" customHeight="true" outlineLevel="0" collapsed="false">
      <c r="A101" s="15" t="n">
        <v>4806</v>
      </c>
      <c r="B101" s="15" t="s">
        <v>215</v>
      </c>
      <c r="C101" s="15" t="s">
        <v>164</v>
      </c>
      <c r="D101" s="15" t="s">
        <v>270</v>
      </c>
      <c r="E101" s="13" t="s">
        <v>272</v>
      </c>
      <c r="F101" s="3" t="n">
        <v>45505</v>
      </c>
      <c r="G101" s="3" t="n">
        <v>45531</v>
      </c>
      <c r="H101" s="3" t="n">
        <v>45514</v>
      </c>
      <c r="I101" s="15" t="s">
        <v>167</v>
      </c>
      <c r="J101" s="15" t="n">
        <v>61</v>
      </c>
      <c r="K101" s="3" t="n">
        <v>45596</v>
      </c>
      <c r="L101" s="20" t="n">
        <f aca="false">IF(K101="","",EOMONTH(K101,2))</f>
        <v>45657</v>
      </c>
    </row>
    <row r="102" customFormat="false" ht="14.25" hidden="false" customHeight="true" outlineLevel="0" collapsed="false">
      <c r="A102" s="15" t="n">
        <v>5526</v>
      </c>
      <c r="B102" s="15" t="s">
        <v>267</v>
      </c>
      <c r="C102" s="15" t="s">
        <v>184</v>
      </c>
      <c r="D102" s="15" t="s">
        <v>185</v>
      </c>
      <c r="E102" s="13" t="s">
        <v>273</v>
      </c>
      <c r="F102" s="3" t="n">
        <v>45505</v>
      </c>
      <c r="G102" s="3" t="n">
        <v>45511</v>
      </c>
      <c r="H102" s="3" t="n">
        <v>45505</v>
      </c>
      <c r="I102" s="15" t="s">
        <v>167</v>
      </c>
      <c r="J102" s="15" t="n">
        <v>1</v>
      </c>
      <c r="K102" s="3" t="n">
        <v>45596</v>
      </c>
      <c r="L102" s="20" t="n">
        <f aca="false">IF(K102="","",EOMONTH(K102,2))</f>
        <v>45657</v>
      </c>
    </row>
    <row r="103" customFormat="false" ht="14.25" hidden="false" customHeight="true" outlineLevel="0" collapsed="false">
      <c r="A103" s="15" t="n">
        <v>5527</v>
      </c>
      <c r="B103" s="15" t="s">
        <v>178</v>
      </c>
      <c r="C103" s="15" t="s">
        <v>184</v>
      </c>
      <c r="D103" s="15" t="s">
        <v>185</v>
      </c>
      <c r="E103" s="13" t="s">
        <v>274</v>
      </c>
      <c r="F103" s="3" t="n">
        <v>45506</v>
      </c>
      <c r="G103" s="15"/>
      <c r="H103" s="3" t="n">
        <v>45506</v>
      </c>
      <c r="I103" s="15" t="s">
        <v>167</v>
      </c>
      <c r="J103" s="15" t="n">
        <v>1</v>
      </c>
      <c r="K103" s="15"/>
      <c r="L103" s="20" t="str">
        <f aca="false">IF(K103="","",EOMONTH(K103,2))</f>
        <v/>
      </c>
    </row>
    <row r="104" customFormat="false" ht="14.25" hidden="false" customHeight="true" outlineLevel="0" collapsed="false">
      <c r="A104" s="15" t="n">
        <v>3606</v>
      </c>
      <c r="B104" s="15" t="s">
        <v>275</v>
      </c>
      <c r="C104" s="15" t="s">
        <v>176</v>
      </c>
      <c r="D104" s="15" t="s">
        <v>270</v>
      </c>
      <c r="E104" s="13" t="s">
        <v>272</v>
      </c>
      <c r="F104" s="3" t="n">
        <v>45508</v>
      </c>
      <c r="G104" s="3" t="n">
        <v>45526</v>
      </c>
      <c r="H104" s="3" t="n">
        <v>45509</v>
      </c>
      <c r="I104" s="15" t="s">
        <v>167</v>
      </c>
      <c r="J104" s="15" t="n">
        <v>46</v>
      </c>
      <c r="K104" s="3" t="n">
        <v>45596</v>
      </c>
      <c r="L104" s="20" t="n">
        <f aca="false">IF(K104="","",EOMONTH(K104,2))</f>
        <v>45657</v>
      </c>
    </row>
    <row r="105" customFormat="false" ht="14.25" hidden="false" customHeight="true" outlineLevel="0" collapsed="false">
      <c r="A105" s="15" t="n">
        <v>3607</v>
      </c>
      <c r="B105" s="15" t="s">
        <v>276</v>
      </c>
      <c r="C105" s="15" t="s">
        <v>176</v>
      </c>
      <c r="D105" s="15" t="s">
        <v>270</v>
      </c>
      <c r="E105" s="13" t="s">
        <v>272</v>
      </c>
      <c r="F105" s="3" t="n">
        <v>45508</v>
      </c>
      <c r="G105" s="3" t="n">
        <v>45524</v>
      </c>
      <c r="H105" s="3" t="n">
        <v>45509</v>
      </c>
      <c r="I105" s="15" t="s">
        <v>167</v>
      </c>
      <c r="J105" s="15" t="n">
        <v>55</v>
      </c>
      <c r="K105" s="3" t="n">
        <v>45596</v>
      </c>
      <c r="L105" s="20" t="n">
        <f aca="false">IF(K105="","",EOMONTH(K105,2))</f>
        <v>45657</v>
      </c>
    </row>
    <row r="106" customFormat="false" ht="14.25" hidden="false" customHeight="true" outlineLevel="0" collapsed="false">
      <c r="A106" s="15" t="n">
        <v>4821</v>
      </c>
      <c r="B106" s="15" t="s">
        <v>276</v>
      </c>
      <c r="C106" s="15" t="s">
        <v>164</v>
      </c>
      <c r="D106" s="15" t="s">
        <v>270</v>
      </c>
      <c r="E106" s="13" t="s">
        <v>271</v>
      </c>
      <c r="F106" s="3" t="n">
        <v>45508</v>
      </c>
      <c r="G106" s="3" t="n">
        <v>45524</v>
      </c>
      <c r="H106" s="3" t="n">
        <v>45559</v>
      </c>
      <c r="I106" s="15" t="s">
        <v>167</v>
      </c>
      <c r="J106" s="15" t="n">
        <v>35</v>
      </c>
      <c r="K106" s="3" t="n">
        <v>45596</v>
      </c>
      <c r="L106" s="20" t="n">
        <f aca="false">IF(K106="","",EOMONTH(K106,2))</f>
        <v>45657</v>
      </c>
    </row>
    <row r="107" customFormat="false" ht="14.25" hidden="false" customHeight="true" outlineLevel="0" collapsed="false">
      <c r="A107" s="15" t="n">
        <v>4835</v>
      </c>
      <c r="B107" s="15" t="s">
        <v>275</v>
      </c>
      <c r="C107" s="15" t="s">
        <v>164</v>
      </c>
      <c r="D107" s="15" t="s">
        <v>270</v>
      </c>
      <c r="E107" s="13" t="s">
        <v>271</v>
      </c>
      <c r="F107" s="3" t="n">
        <v>45508</v>
      </c>
      <c r="G107" s="3" t="n">
        <v>45526</v>
      </c>
      <c r="H107" s="3" t="n">
        <v>45564</v>
      </c>
      <c r="I107" s="15" t="s">
        <v>167</v>
      </c>
      <c r="J107" s="15" t="n">
        <v>14</v>
      </c>
      <c r="K107" s="3" t="n">
        <v>45596</v>
      </c>
      <c r="L107" s="20" t="n">
        <f aca="false">IF(K107="","",EOMONTH(K107,2))</f>
        <v>45657</v>
      </c>
    </row>
    <row r="108" customFormat="false" ht="14.25" hidden="false" customHeight="true" outlineLevel="0" collapsed="false">
      <c r="A108" s="15" t="n">
        <v>5528</v>
      </c>
      <c r="B108" s="15" t="s">
        <v>178</v>
      </c>
      <c r="C108" s="15" t="s">
        <v>184</v>
      </c>
      <c r="D108" s="15" t="s">
        <v>185</v>
      </c>
      <c r="E108" s="13" t="s">
        <v>277</v>
      </c>
      <c r="F108" s="3" t="n">
        <v>45508</v>
      </c>
      <c r="G108" s="15"/>
      <c r="H108" s="3" t="n">
        <v>45510</v>
      </c>
      <c r="I108" s="15" t="s">
        <v>167</v>
      </c>
      <c r="J108" s="15" t="n">
        <v>1</v>
      </c>
      <c r="K108" s="15"/>
      <c r="L108" s="20" t="str">
        <f aca="false">IF(K108="","",EOMONTH(K108,2))</f>
        <v/>
      </c>
    </row>
    <row r="109" customFormat="false" ht="14.25" hidden="false" customHeight="true" outlineLevel="0" collapsed="false">
      <c r="A109" s="15" t="n">
        <v>3608</v>
      </c>
      <c r="B109" s="15" t="s">
        <v>278</v>
      </c>
      <c r="C109" s="15" t="s">
        <v>176</v>
      </c>
      <c r="D109" s="15" t="s">
        <v>270</v>
      </c>
      <c r="E109" s="13" t="s">
        <v>271</v>
      </c>
      <c r="F109" s="3" t="n">
        <v>45509</v>
      </c>
      <c r="G109" s="3" t="n">
        <v>45523</v>
      </c>
      <c r="H109" s="3" t="n">
        <v>45510</v>
      </c>
      <c r="I109" s="15" t="s">
        <v>167</v>
      </c>
      <c r="J109" s="15" t="n">
        <v>74</v>
      </c>
      <c r="K109" s="3" t="n">
        <v>45596</v>
      </c>
      <c r="L109" s="20" t="n">
        <f aca="false">IF(K109="","",EOMONTH(K109,2))</f>
        <v>45657</v>
      </c>
    </row>
    <row r="110" customFormat="false" ht="14.25" hidden="false" customHeight="true" outlineLevel="0" collapsed="false">
      <c r="A110" s="15" t="n">
        <v>4836</v>
      </c>
      <c r="B110" s="15" t="s">
        <v>279</v>
      </c>
      <c r="C110" s="15" t="s">
        <v>164</v>
      </c>
      <c r="D110" s="15" t="s">
        <v>180</v>
      </c>
      <c r="E110" s="13" t="s">
        <v>280</v>
      </c>
      <c r="F110" s="3" t="n">
        <v>45509</v>
      </c>
      <c r="G110" s="3" t="n">
        <v>45510</v>
      </c>
      <c r="H110" s="3" t="n">
        <v>45581</v>
      </c>
      <c r="I110" s="15" t="s">
        <v>167</v>
      </c>
      <c r="J110" s="15" t="n">
        <v>1</v>
      </c>
      <c r="K110" s="3" t="n">
        <v>45596</v>
      </c>
      <c r="L110" s="20" t="n">
        <f aca="false">IF(K110="","",EOMONTH(K110,2))</f>
        <v>45657</v>
      </c>
    </row>
    <row r="111" customFormat="false" ht="14.25" hidden="false" customHeight="true" outlineLevel="0" collapsed="false">
      <c r="A111" s="15" t="n">
        <v>4847</v>
      </c>
      <c r="B111" s="15" t="s">
        <v>212</v>
      </c>
      <c r="C111" s="15" t="s">
        <v>164</v>
      </c>
      <c r="D111" s="15" t="s">
        <v>165</v>
      </c>
      <c r="E111" s="13" t="s">
        <v>281</v>
      </c>
      <c r="F111" s="3" t="n">
        <v>45510</v>
      </c>
      <c r="G111" s="3" t="n">
        <v>45510</v>
      </c>
      <c r="H111" s="3" t="n">
        <v>45610</v>
      </c>
      <c r="I111" s="15" t="s">
        <v>167</v>
      </c>
      <c r="J111" s="15" t="n">
        <v>1</v>
      </c>
      <c r="K111" s="3" t="n">
        <v>45596</v>
      </c>
      <c r="L111" s="20" t="n">
        <f aca="false">IF(K111="","",EOMONTH(K111,2))</f>
        <v>45657</v>
      </c>
    </row>
    <row r="112" customFormat="false" ht="14.25" hidden="false" customHeight="true" outlineLevel="0" collapsed="false">
      <c r="A112" s="15" t="n">
        <v>3609</v>
      </c>
      <c r="B112" s="15" t="s">
        <v>173</v>
      </c>
      <c r="C112" s="15" t="s">
        <v>176</v>
      </c>
      <c r="D112" s="15" t="s">
        <v>270</v>
      </c>
      <c r="E112" s="13" t="s">
        <v>282</v>
      </c>
      <c r="F112" s="3" t="n">
        <v>45512</v>
      </c>
      <c r="G112" s="3" t="n">
        <v>45514</v>
      </c>
      <c r="H112" s="3" t="n">
        <v>45512</v>
      </c>
      <c r="I112" s="15" t="s">
        <v>167</v>
      </c>
      <c r="J112" s="15" t="n">
        <v>14</v>
      </c>
      <c r="K112" s="3" t="n">
        <v>45596</v>
      </c>
      <c r="L112" s="20" t="n">
        <f aca="false">IF(K112="","",EOMONTH(K112,2))</f>
        <v>45657</v>
      </c>
    </row>
    <row r="113" customFormat="false" ht="14.25" hidden="false" customHeight="true" outlineLevel="0" collapsed="false">
      <c r="A113" s="15" t="n">
        <v>4818</v>
      </c>
      <c r="B113" s="15" t="s">
        <v>244</v>
      </c>
      <c r="C113" s="15" t="s">
        <v>164</v>
      </c>
      <c r="D113" s="15" t="s">
        <v>270</v>
      </c>
      <c r="E113" s="13" t="s">
        <v>181</v>
      </c>
      <c r="F113" s="3" t="n">
        <v>45512</v>
      </c>
      <c r="G113" s="3" t="n">
        <v>45514</v>
      </c>
      <c r="H113" s="3" t="n">
        <v>45555</v>
      </c>
      <c r="I113" s="15" t="s">
        <v>167</v>
      </c>
      <c r="J113" s="15" t="n">
        <v>1</v>
      </c>
      <c r="K113" s="3" t="n">
        <v>45596</v>
      </c>
      <c r="L113" s="20" t="n">
        <f aca="false">IF(K113="","",EOMONTH(K113,2))</f>
        <v>45657</v>
      </c>
    </row>
    <row r="114" customFormat="false" ht="14.25" hidden="false" customHeight="true" outlineLevel="0" collapsed="false">
      <c r="A114" s="15" t="n">
        <v>4825</v>
      </c>
      <c r="B114" s="15" t="s">
        <v>244</v>
      </c>
      <c r="C114" s="15" t="s">
        <v>164</v>
      </c>
      <c r="D114" s="15" t="s">
        <v>270</v>
      </c>
      <c r="E114" s="13" t="s">
        <v>283</v>
      </c>
      <c r="F114" s="3" t="n">
        <v>45512</v>
      </c>
      <c r="G114" s="3" t="n">
        <v>45514</v>
      </c>
      <c r="H114" s="3" t="n">
        <v>45559</v>
      </c>
      <c r="I114" s="15" t="s">
        <v>167</v>
      </c>
      <c r="J114" s="15" t="n">
        <v>11</v>
      </c>
      <c r="K114" s="3" t="n">
        <v>45596</v>
      </c>
      <c r="L114" s="20" t="n">
        <f aca="false">IF(K114="","",EOMONTH(K114,2))</f>
        <v>45657</v>
      </c>
    </row>
    <row r="115" customFormat="false" ht="14.25" hidden="false" customHeight="true" outlineLevel="0" collapsed="false">
      <c r="A115" s="15" t="n">
        <v>5529</v>
      </c>
      <c r="B115" s="15" t="s">
        <v>178</v>
      </c>
      <c r="C115" s="15" t="s">
        <v>184</v>
      </c>
      <c r="D115" s="15" t="s">
        <v>185</v>
      </c>
      <c r="E115" s="13" t="s">
        <v>284</v>
      </c>
      <c r="F115" s="3" t="n">
        <v>45512</v>
      </c>
      <c r="G115" s="15"/>
      <c r="H115" s="3" t="n">
        <v>45513</v>
      </c>
      <c r="I115" s="15" t="s">
        <v>167</v>
      </c>
      <c r="J115" s="15" t="n">
        <v>1</v>
      </c>
      <c r="K115" s="15"/>
      <c r="L115" s="20" t="str">
        <f aca="false">IF(K115="","",EOMONTH(K115,2))</f>
        <v/>
      </c>
    </row>
    <row r="116" customFormat="false" ht="14.25" hidden="false" customHeight="true" outlineLevel="0" collapsed="false">
      <c r="A116" s="15" t="n">
        <v>4815</v>
      </c>
      <c r="B116" s="15" t="s">
        <v>285</v>
      </c>
      <c r="C116" s="15" t="s">
        <v>164</v>
      </c>
      <c r="D116" s="15" t="s">
        <v>270</v>
      </c>
      <c r="E116" s="13" t="s">
        <v>271</v>
      </c>
      <c r="F116" s="3" t="n">
        <v>45513</v>
      </c>
      <c r="G116" s="3" t="n">
        <v>45514</v>
      </c>
      <c r="H116" s="3" t="n">
        <v>45546</v>
      </c>
      <c r="I116" s="15" t="s">
        <v>167</v>
      </c>
      <c r="J116" s="15" t="n">
        <v>13</v>
      </c>
      <c r="K116" s="3" t="n">
        <v>45596</v>
      </c>
      <c r="L116" s="20" t="n">
        <f aca="false">IF(K116="","",EOMONTH(K116,2))</f>
        <v>45657</v>
      </c>
    </row>
    <row r="117" customFormat="false" ht="14.25" hidden="false" customHeight="true" outlineLevel="0" collapsed="false">
      <c r="A117" s="15" t="n">
        <v>5530</v>
      </c>
      <c r="B117" s="15" t="s">
        <v>222</v>
      </c>
      <c r="C117" s="15" t="s">
        <v>184</v>
      </c>
      <c r="D117" s="15" t="s">
        <v>185</v>
      </c>
      <c r="E117" s="13" t="s">
        <v>286</v>
      </c>
      <c r="F117" s="3" t="n">
        <v>45515</v>
      </c>
      <c r="G117" s="3" t="n">
        <v>45517</v>
      </c>
      <c r="H117" s="3" t="n">
        <v>45516</v>
      </c>
      <c r="I117" s="15" t="s">
        <v>167</v>
      </c>
      <c r="J117" s="15" t="n">
        <v>1</v>
      </c>
      <c r="K117" s="3" t="n">
        <v>45596</v>
      </c>
      <c r="L117" s="20" t="n">
        <f aca="false">IF(K117="","",EOMONTH(K117,2))</f>
        <v>45657</v>
      </c>
    </row>
    <row r="118" customFormat="false" ht="14.25" hidden="false" customHeight="true" outlineLevel="0" collapsed="false">
      <c r="A118" s="15" t="n">
        <v>3610</v>
      </c>
      <c r="B118" s="15" t="s">
        <v>211</v>
      </c>
      <c r="C118" s="15" t="s">
        <v>176</v>
      </c>
      <c r="D118" s="15" t="s">
        <v>165</v>
      </c>
      <c r="E118" s="13" t="s">
        <v>287</v>
      </c>
      <c r="F118" s="3" t="n">
        <v>45517</v>
      </c>
      <c r="G118" s="3" t="n">
        <v>45520</v>
      </c>
      <c r="H118" s="3" t="n">
        <v>45517</v>
      </c>
      <c r="I118" s="15" t="s">
        <v>167</v>
      </c>
      <c r="J118" s="15" t="n">
        <v>78</v>
      </c>
      <c r="K118" s="3" t="n">
        <v>45596</v>
      </c>
      <c r="L118" s="20" t="n">
        <f aca="false">IF(K118="","",EOMONTH(K118,2))</f>
        <v>45657</v>
      </c>
    </row>
    <row r="119" customFormat="false" ht="14.25" hidden="false" customHeight="true" outlineLevel="0" collapsed="false">
      <c r="A119" s="15" t="n">
        <v>3611</v>
      </c>
      <c r="B119" s="15" t="s">
        <v>288</v>
      </c>
      <c r="C119" s="15" t="s">
        <v>176</v>
      </c>
      <c r="D119" s="15" t="s">
        <v>270</v>
      </c>
      <c r="E119" s="13" t="s">
        <v>287</v>
      </c>
      <c r="F119" s="3" t="n">
        <v>45517</v>
      </c>
      <c r="G119" s="3" t="n">
        <v>45520</v>
      </c>
      <c r="H119" s="3" t="n">
        <v>45522</v>
      </c>
      <c r="I119" s="15" t="s">
        <v>167</v>
      </c>
      <c r="J119" s="15" t="n">
        <v>3</v>
      </c>
      <c r="K119" s="3" t="n">
        <v>45596</v>
      </c>
      <c r="L119" s="20" t="n">
        <f aca="false">IF(K119="","",EOMONTH(K119,2))</f>
        <v>45657</v>
      </c>
    </row>
    <row r="120" customFormat="false" ht="14.25" hidden="false" customHeight="true" outlineLevel="0" collapsed="false">
      <c r="A120" s="15" t="n">
        <v>4841</v>
      </c>
      <c r="B120" s="15" t="s">
        <v>288</v>
      </c>
      <c r="C120" s="15" t="s">
        <v>164</v>
      </c>
      <c r="D120" s="15" t="s">
        <v>270</v>
      </c>
      <c r="E120" s="13" t="s">
        <v>287</v>
      </c>
      <c r="F120" s="3" t="n">
        <v>45517</v>
      </c>
      <c r="G120" s="3" t="n">
        <v>45520</v>
      </c>
      <c r="H120" s="3" t="n">
        <v>45590</v>
      </c>
      <c r="I120" s="15" t="s">
        <v>167</v>
      </c>
      <c r="J120" s="15" t="n">
        <v>3</v>
      </c>
      <c r="K120" s="3" t="n">
        <v>45596</v>
      </c>
      <c r="L120" s="20" t="n">
        <f aca="false">IF(K120="","",EOMONTH(K120,2))</f>
        <v>45657</v>
      </c>
    </row>
    <row r="121" customFormat="false" ht="14.25" hidden="false" customHeight="true" outlineLevel="0" collapsed="false">
      <c r="A121" s="15" t="n">
        <v>4850</v>
      </c>
      <c r="B121" s="15" t="s">
        <v>211</v>
      </c>
      <c r="C121" s="15" t="s">
        <v>164</v>
      </c>
      <c r="D121" s="15" t="s">
        <v>270</v>
      </c>
      <c r="E121" s="13" t="s">
        <v>289</v>
      </c>
      <c r="F121" s="3" t="n">
        <v>45517</v>
      </c>
      <c r="G121" s="3" t="n">
        <v>45520</v>
      </c>
      <c r="H121" s="3" t="n">
        <v>45623</v>
      </c>
      <c r="I121" s="15" t="s">
        <v>167</v>
      </c>
      <c r="J121" s="15" t="n">
        <v>38</v>
      </c>
      <c r="K121" s="3" t="n">
        <v>45596</v>
      </c>
      <c r="L121" s="20" t="n">
        <f aca="false">IF(K121="","",EOMONTH(K121,2))</f>
        <v>45657</v>
      </c>
    </row>
    <row r="122" customFormat="false" ht="14.25" hidden="false" customHeight="true" outlineLevel="0" collapsed="false">
      <c r="A122" s="15" t="n">
        <v>4857</v>
      </c>
      <c r="B122" s="15" t="s">
        <v>279</v>
      </c>
      <c r="C122" s="15" t="s">
        <v>164</v>
      </c>
      <c r="D122" s="15" t="s">
        <v>165</v>
      </c>
      <c r="E122" s="13" t="s">
        <v>181</v>
      </c>
      <c r="F122" s="3" t="n">
        <v>45519</v>
      </c>
      <c r="G122" s="3" t="n">
        <v>45522</v>
      </c>
      <c r="H122" s="3" t="n">
        <v>45667</v>
      </c>
      <c r="I122" s="15" t="s">
        <v>167</v>
      </c>
      <c r="J122" s="15" t="n">
        <v>1</v>
      </c>
      <c r="K122" s="3" t="n">
        <v>45596</v>
      </c>
      <c r="L122" s="20" t="n">
        <f aca="false">IF(K122="","",EOMONTH(K122,2))</f>
        <v>45657</v>
      </c>
    </row>
    <row r="123" customFormat="false" ht="14.25" hidden="false" customHeight="true" outlineLevel="0" collapsed="false">
      <c r="A123" s="15" t="n">
        <v>4853</v>
      </c>
      <c r="B123" s="15" t="s">
        <v>279</v>
      </c>
      <c r="C123" s="15" t="s">
        <v>164</v>
      </c>
      <c r="D123" s="15" t="s">
        <v>165</v>
      </c>
      <c r="E123" s="13" t="s">
        <v>181</v>
      </c>
      <c r="F123" s="3" t="n">
        <v>45520</v>
      </c>
      <c r="G123" s="3" t="n">
        <v>45522</v>
      </c>
      <c r="H123" s="3" t="n">
        <v>45658</v>
      </c>
      <c r="I123" s="15" t="s">
        <v>167</v>
      </c>
      <c r="J123" s="15" t="n">
        <v>1</v>
      </c>
      <c r="K123" s="3" t="n">
        <v>45596</v>
      </c>
      <c r="L123" s="20" t="n">
        <f aca="false">IF(K123="","",EOMONTH(K123,2))</f>
        <v>45657</v>
      </c>
    </row>
    <row r="124" customFormat="false" ht="14.25" hidden="false" customHeight="true" outlineLevel="0" collapsed="false">
      <c r="A124" s="15" t="n">
        <v>3612</v>
      </c>
      <c r="B124" s="15" t="s">
        <v>175</v>
      </c>
      <c r="C124" s="15" t="s">
        <v>176</v>
      </c>
      <c r="D124" s="15" t="s">
        <v>165</v>
      </c>
      <c r="E124" s="13" t="s">
        <v>203</v>
      </c>
      <c r="F124" s="3" t="n">
        <v>45522</v>
      </c>
      <c r="G124" s="3" t="n">
        <v>45523</v>
      </c>
      <c r="H124" s="3" t="n">
        <v>45525</v>
      </c>
      <c r="I124" s="15" t="s">
        <v>167</v>
      </c>
      <c r="J124" s="15" t="n">
        <v>3</v>
      </c>
      <c r="K124" s="3" t="n">
        <v>45596</v>
      </c>
      <c r="L124" s="20" t="n">
        <f aca="false">IF(K124="","",EOMONTH(K124,2))</f>
        <v>45657</v>
      </c>
    </row>
    <row r="125" customFormat="false" ht="14.25" hidden="false" customHeight="true" outlineLevel="0" collapsed="false">
      <c r="A125" s="15" t="n">
        <v>3613</v>
      </c>
      <c r="B125" s="15" t="s">
        <v>244</v>
      </c>
      <c r="C125" s="15" t="s">
        <v>176</v>
      </c>
      <c r="D125" s="15" t="s">
        <v>165</v>
      </c>
      <c r="E125" s="13" t="s">
        <v>181</v>
      </c>
      <c r="F125" s="3" t="n">
        <v>45522</v>
      </c>
      <c r="G125" s="3" t="n">
        <v>45523</v>
      </c>
      <c r="H125" s="3" t="n">
        <v>45529</v>
      </c>
      <c r="I125" s="15" t="s">
        <v>167</v>
      </c>
      <c r="J125" s="15" t="n">
        <v>1</v>
      </c>
      <c r="K125" s="3" t="n">
        <v>45596</v>
      </c>
      <c r="L125" s="20" t="n">
        <f aca="false">IF(K125="","",EOMONTH(K125,2))</f>
        <v>45657</v>
      </c>
    </row>
    <row r="126" customFormat="false" ht="14.25" hidden="false" customHeight="true" outlineLevel="0" collapsed="false">
      <c r="A126" s="15" t="n">
        <v>4820</v>
      </c>
      <c r="B126" s="15" t="s">
        <v>175</v>
      </c>
      <c r="C126" s="15" t="s">
        <v>164</v>
      </c>
      <c r="D126" s="15" t="s">
        <v>165</v>
      </c>
      <c r="E126" s="13" t="s">
        <v>207</v>
      </c>
      <c r="F126" s="3" t="n">
        <v>45522</v>
      </c>
      <c r="G126" s="3" t="n">
        <v>45523</v>
      </c>
      <c r="H126" s="3" t="n">
        <v>45555</v>
      </c>
      <c r="I126" s="15" t="s">
        <v>167</v>
      </c>
      <c r="J126" s="15" t="n">
        <v>3</v>
      </c>
      <c r="K126" s="3" t="n">
        <v>45596</v>
      </c>
      <c r="L126" s="20" t="n">
        <f aca="false">IF(K126="","",EOMONTH(K126,2))</f>
        <v>45657</v>
      </c>
    </row>
    <row r="127" customFormat="false" ht="14.25" hidden="false" customHeight="true" outlineLevel="0" collapsed="false">
      <c r="A127" s="15" t="n">
        <v>4839</v>
      </c>
      <c r="B127" s="15" t="s">
        <v>244</v>
      </c>
      <c r="C127" s="15" t="s">
        <v>164</v>
      </c>
      <c r="D127" s="15" t="s">
        <v>165</v>
      </c>
      <c r="E127" s="13" t="s">
        <v>181</v>
      </c>
      <c r="F127" s="3" t="n">
        <v>45522</v>
      </c>
      <c r="G127" s="3" t="n">
        <v>45523</v>
      </c>
      <c r="H127" s="3" t="n">
        <v>45586</v>
      </c>
      <c r="I127" s="15" t="s">
        <v>167</v>
      </c>
      <c r="J127" s="15" t="n">
        <v>3</v>
      </c>
      <c r="K127" s="3" t="n">
        <v>45596</v>
      </c>
      <c r="L127" s="20" t="n">
        <f aca="false">IF(K127="","",EOMONTH(K127,2))</f>
        <v>45657</v>
      </c>
    </row>
    <row r="128" customFormat="false" ht="14.25" hidden="false" customHeight="true" outlineLevel="0" collapsed="false">
      <c r="A128" s="15" t="n">
        <v>4845</v>
      </c>
      <c r="B128" s="15" t="s">
        <v>96</v>
      </c>
      <c r="C128" s="15" t="s">
        <v>164</v>
      </c>
      <c r="D128" s="15" t="s">
        <v>185</v>
      </c>
      <c r="E128" s="13" t="s">
        <v>233</v>
      </c>
      <c r="F128" s="3" t="n">
        <v>45525</v>
      </c>
      <c r="G128" s="3" t="n">
        <v>45535</v>
      </c>
      <c r="H128" s="3" t="n">
        <v>45609</v>
      </c>
      <c r="I128" s="15" t="s">
        <v>167</v>
      </c>
      <c r="J128" s="15" t="n">
        <v>2</v>
      </c>
      <c r="K128" s="3" t="n">
        <v>45596</v>
      </c>
      <c r="L128" s="20" t="n">
        <f aca="false">IF(K128="","",EOMONTH(K128,2))</f>
        <v>45657</v>
      </c>
    </row>
    <row r="129" customFormat="false" ht="14.25" hidden="false" customHeight="true" outlineLevel="0" collapsed="false">
      <c r="A129" s="15" t="n">
        <v>4816</v>
      </c>
      <c r="B129" s="15" t="s">
        <v>173</v>
      </c>
      <c r="C129" s="15" t="s">
        <v>164</v>
      </c>
      <c r="D129" s="15" t="s">
        <v>180</v>
      </c>
      <c r="E129" s="13" t="s">
        <v>172</v>
      </c>
      <c r="F129" s="3" t="n">
        <v>45526</v>
      </c>
      <c r="G129" s="3" t="n">
        <v>45528</v>
      </c>
      <c r="H129" s="3" t="n">
        <v>45546</v>
      </c>
      <c r="I129" s="15" t="s">
        <v>167</v>
      </c>
      <c r="J129" s="15" t="n">
        <v>1</v>
      </c>
      <c r="K129" s="3" t="n">
        <v>45596</v>
      </c>
      <c r="L129" s="20" t="n">
        <f aca="false">IF(K129="","",EOMONTH(K129,2))</f>
        <v>45657</v>
      </c>
    </row>
    <row r="130" customFormat="false" ht="14.25" hidden="false" customHeight="true" outlineLevel="0" collapsed="false">
      <c r="A130" s="15" t="n">
        <v>4840</v>
      </c>
      <c r="B130" s="15" t="s">
        <v>220</v>
      </c>
      <c r="C130" s="15" t="s">
        <v>164</v>
      </c>
      <c r="D130" s="15" t="s">
        <v>180</v>
      </c>
      <c r="E130" s="13" t="s">
        <v>280</v>
      </c>
      <c r="F130" s="3" t="n">
        <v>45526</v>
      </c>
      <c r="G130" s="3" t="n">
        <v>45527</v>
      </c>
      <c r="H130" s="3" t="n">
        <v>45590</v>
      </c>
      <c r="I130" s="15" t="s">
        <v>167</v>
      </c>
      <c r="J130" s="15" t="n">
        <v>1</v>
      </c>
      <c r="K130" s="3" t="n">
        <v>45596</v>
      </c>
      <c r="L130" s="20" t="n">
        <f aca="false">IF(K130="","",EOMONTH(K130,2))</f>
        <v>45657</v>
      </c>
    </row>
    <row r="131" customFormat="false" ht="14.25" hidden="false" customHeight="true" outlineLevel="0" collapsed="false">
      <c r="A131" s="15" t="n">
        <v>5531</v>
      </c>
      <c r="B131" s="15" t="s">
        <v>96</v>
      </c>
      <c r="C131" s="15" t="s">
        <v>184</v>
      </c>
      <c r="D131" s="15" t="s">
        <v>185</v>
      </c>
      <c r="E131" s="13" t="s">
        <v>290</v>
      </c>
      <c r="F131" s="3" t="n">
        <v>45526</v>
      </c>
      <c r="G131" s="3" t="n">
        <v>45535</v>
      </c>
      <c r="H131" s="3" t="n">
        <v>45526</v>
      </c>
      <c r="I131" s="15" t="s">
        <v>167</v>
      </c>
      <c r="J131" s="15" t="n">
        <v>1</v>
      </c>
      <c r="K131" s="3" t="n">
        <v>45596</v>
      </c>
      <c r="L131" s="20" t="n">
        <f aca="false">IF(K131="","",EOMONTH(K131,2))</f>
        <v>45657</v>
      </c>
    </row>
    <row r="132" customFormat="false" ht="14.25" hidden="false" customHeight="true" outlineLevel="0" collapsed="false">
      <c r="A132" s="15" t="n">
        <v>4846</v>
      </c>
      <c r="B132" s="15" t="s">
        <v>279</v>
      </c>
      <c r="C132" s="15" t="s">
        <v>164</v>
      </c>
      <c r="D132" s="15" t="s">
        <v>291</v>
      </c>
      <c r="E132" s="13" t="s">
        <v>292</v>
      </c>
      <c r="F132" s="3" t="n">
        <v>45529</v>
      </c>
      <c r="G132" s="3" t="n">
        <v>45529</v>
      </c>
      <c r="H132" s="3" t="n">
        <v>45609</v>
      </c>
      <c r="I132" s="15" t="s">
        <v>167</v>
      </c>
      <c r="J132" s="15" t="n">
        <v>1</v>
      </c>
      <c r="K132" s="3" t="n">
        <v>45596</v>
      </c>
      <c r="L132" s="20" t="n">
        <f aca="false">IF(K132="","",EOMONTH(K132,2))</f>
        <v>45657</v>
      </c>
    </row>
    <row r="133" customFormat="false" ht="14.25" hidden="false" customHeight="true" outlineLevel="0" collapsed="false">
      <c r="A133" s="15" t="n">
        <v>5532</v>
      </c>
      <c r="B133" s="15" t="s">
        <v>178</v>
      </c>
      <c r="C133" s="15" t="s">
        <v>184</v>
      </c>
      <c r="D133" s="15" t="s">
        <v>185</v>
      </c>
      <c r="E133" s="13" t="s">
        <v>293</v>
      </c>
      <c r="F133" s="3" t="n">
        <v>45536</v>
      </c>
      <c r="G133" s="15"/>
      <c r="H133" s="3" t="n">
        <v>45537</v>
      </c>
      <c r="I133" s="15" t="s">
        <v>167</v>
      </c>
      <c r="J133" s="15" t="n">
        <v>1</v>
      </c>
      <c r="K133" s="15"/>
      <c r="L133" s="20" t="str">
        <f aca="false">IF(K133="","",EOMONTH(K133,2))</f>
        <v/>
      </c>
    </row>
    <row r="134" customFormat="false" ht="14.25" hidden="false" customHeight="true" outlineLevel="0" collapsed="false">
      <c r="A134" s="15" t="n">
        <v>5534</v>
      </c>
      <c r="B134" s="15" t="s">
        <v>178</v>
      </c>
      <c r="C134" s="15" t="s">
        <v>184</v>
      </c>
      <c r="D134" s="15" t="s">
        <v>185</v>
      </c>
      <c r="E134" s="13" t="s">
        <v>294</v>
      </c>
      <c r="F134" s="3" t="n">
        <v>45537</v>
      </c>
      <c r="G134" s="15"/>
      <c r="H134" s="3" t="n">
        <v>45542</v>
      </c>
      <c r="I134" s="15" t="s">
        <v>167</v>
      </c>
      <c r="J134" s="15" t="n">
        <v>3</v>
      </c>
      <c r="K134" s="15"/>
      <c r="L134" s="20" t="str">
        <f aca="false">IF(K134="","",EOMONTH(K134,2))</f>
        <v/>
      </c>
    </row>
    <row r="135" customFormat="false" ht="14.25" hidden="false" customHeight="true" outlineLevel="0" collapsed="false">
      <c r="A135" s="15" t="n">
        <v>5533</v>
      </c>
      <c r="B135" s="15" t="s">
        <v>222</v>
      </c>
      <c r="C135" s="15" t="s">
        <v>184</v>
      </c>
      <c r="D135" s="15" t="s">
        <v>185</v>
      </c>
      <c r="E135" s="13" t="s">
        <v>295</v>
      </c>
      <c r="F135" s="3" t="n">
        <v>45542</v>
      </c>
      <c r="G135" s="3" t="n">
        <v>45550</v>
      </c>
      <c r="H135" s="3" t="n">
        <v>45542</v>
      </c>
      <c r="I135" s="15" t="s">
        <v>167</v>
      </c>
      <c r="J135" s="15" t="n">
        <v>1</v>
      </c>
      <c r="K135" s="3" t="n">
        <v>45626</v>
      </c>
      <c r="L135" s="20" t="n">
        <f aca="false">IF(K135="","",EOMONTH(K135,2))</f>
        <v>45688</v>
      </c>
    </row>
    <row r="136" customFormat="false" ht="14.25" hidden="false" customHeight="true" outlineLevel="0" collapsed="false">
      <c r="A136" s="15" t="n">
        <v>5535</v>
      </c>
      <c r="B136" s="15" t="s">
        <v>117</v>
      </c>
      <c r="C136" s="15" t="s">
        <v>184</v>
      </c>
      <c r="D136" s="15" t="s">
        <v>185</v>
      </c>
      <c r="E136" s="13" t="s">
        <v>296</v>
      </c>
      <c r="F136" s="3" t="n">
        <v>45542</v>
      </c>
      <c r="G136" s="3" t="n">
        <v>45577</v>
      </c>
      <c r="H136" s="3" t="n">
        <v>45542</v>
      </c>
      <c r="I136" s="15" t="s">
        <v>167</v>
      </c>
      <c r="J136" s="15" t="n">
        <v>1</v>
      </c>
      <c r="K136" s="3" t="n">
        <v>45657</v>
      </c>
      <c r="L136" s="20" t="n">
        <f aca="false">IF(K136="","",EOMONTH(K136,2))</f>
        <v>45716</v>
      </c>
    </row>
    <row r="137" customFormat="false" ht="14.25" hidden="false" customHeight="true" outlineLevel="0" collapsed="false">
      <c r="A137" s="15" t="n">
        <v>5536</v>
      </c>
      <c r="B137" s="15" t="s">
        <v>117</v>
      </c>
      <c r="C137" s="15" t="s">
        <v>184</v>
      </c>
      <c r="D137" s="15" t="s">
        <v>185</v>
      </c>
      <c r="E137" s="13" t="s">
        <v>297</v>
      </c>
      <c r="F137" s="3" t="n">
        <v>45543</v>
      </c>
      <c r="G137" s="3" t="n">
        <v>45546</v>
      </c>
      <c r="H137" s="3" t="n">
        <v>45543</v>
      </c>
      <c r="I137" s="15" t="s">
        <v>167</v>
      </c>
      <c r="J137" s="15" t="n">
        <v>1</v>
      </c>
      <c r="K137" s="3" t="n">
        <v>45626</v>
      </c>
      <c r="L137" s="20" t="n">
        <f aca="false">IF(K137="","",EOMONTH(K137,2))</f>
        <v>45688</v>
      </c>
    </row>
    <row r="138" customFormat="false" ht="14.25" hidden="false" customHeight="true" outlineLevel="0" collapsed="false">
      <c r="A138" s="15" t="n">
        <v>4817</v>
      </c>
      <c r="B138" s="15" t="s">
        <v>298</v>
      </c>
      <c r="C138" s="15" t="s">
        <v>164</v>
      </c>
      <c r="D138" s="15" t="s">
        <v>239</v>
      </c>
      <c r="E138" s="13" t="s">
        <v>299</v>
      </c>
      <c r="F138" s="3" t="n">
        <v>45544</v>
      </c>
      <c r="G138" s="3" t="n">
        <v>45547</v>
      </c>
      <c r="H138" s="3" t="n">
        <v>45551</v>
      </c>
      <c r="I138" s="15" t="s">
        <v>167</v>
      </c>
      <c r="J138" s="15" t="n">
        <v>22</v>
      </c>
      <c r="K138" s="3" t="n">
        <v>45626</v>
      </c>
      <c r="L138" s="20" t="n">
        <f aca="false">IF(K138="","",EOMONTH(K138,2))</f>
        <v>45688</v>
      </c>
    </row>
    <row r="139" customFormat="false" ht="14.25" hidden="false" customHeight="true" outlineLevel="0" collapsed="false">
      <c r="A139" s="15" t="n">
        <v>3614</v>
      </c>
      <c r="B139" s="15" t="s">
        <v>298</v>
      </c>
      <c r="C139" s="15" t="s">
        <v>176</v>
      </c>
      <c r="D139" s="15" t="s">
        <v>239</v>
      </c>
      <c r="E139" s="13" t="s">
        <v>300</v>
      </c>
      <c r="F139" s="3" t="n">
        <v>45545</v>
      </c>
      <c r="G139" s="3" t="n">
        <v>45547</v>
      </c>
      <c r="H139" s="3" t="n">
        <v>45545</v>
      </c>
      <c r="I139" s="15" t="s">
        <v>167</v>
      </c>
      <c r="J139" s="15" t="n">
        <v>64</v>
      </c>
      <c r="K139" s="3" t="n">
        <v>45626</v>
      </c>
      <c r="L139" s="20" t="n">
        <f aca="false">IF(K139="","",EOMONTH(K139,2))</f>
        <v>45688</v>
      </c>
    </row>
    <row r="140" customFormat="false" ht="14.25" hidden="false" customHeight="true" outlineLevel="0" collapsed="false">
      <c r="A140" s="15" t="n">
        <v>5537</v>
      </c>
      <c r="B140" s="15" t="s">
        <v>117</v>
      </c>
      <c r="C140" s="15" t="s">
        <v>184</v>
      </c>
      <c r="D140" s="15" t="s">
        <v>185</v>
      </c>
      <c r="E140" s="13" t="s">
        <v>301</v>
      </c>
      <c r="F140" s="3" t="n">
        <v>45545</v>
      </c>
      <c r="G140" s="3" t="n">
        <v>45559</v>
      </c>
      <c r="H140" s="3" t="n">
        <v>45546</v>
      </c>
      <c r="I140" s="15" t="s">
        <v>167</v>
      </c>
      <c r="J140" s="15" t="n">
        <v>2</v>
      </c>
      <c r="K140" s="3" t="n">
        <v>45626</v>
      </c>
      <c r="L140" s="20" t="n">
        <f aca="false">IF(K140="","",EOMONTH(K140,2))</f>
        <v>45688</v>
      </c>
    </row>
    <row r="141" customFormat="false" ht="14.25" hidden="false" customHeight="true" outlineLevel="0" collapsed="false">
      <c r="A141" s="15" t="n">
        <v>5538</v>
      </c>
      <c r="B141" s="15" t="s">
        <v>117</v>
      </c>
      <c r="C141" s="15" t="s">
        <v>184</v>
      </c>
      <c r="D141" s="15" t="s">
        <v>185</v>
      </c>
      <c r="E141" s="13" t="s">
        <v>302</v>
      </c>
      <c r="F141" s="3" t="n">
        <v>45546</v>
      </c>
      <c r="G141" s="3" t="n">
        <v>45556</v>
      </c>
      <c r="H141" s="3" t="n">
        <v>45546</v>
      </c>
      <c r="I141" s="15" t="s">
        <v>167</v>
      </c>
      <c r="J141" s="15" t="n">
        <v>1</v>
      </c>
      <c r="K141" s="3" t="n">
        <v>45626</v>
      </c>
      <c r="L141" s="20" t="n">
        <f aca="false">IF(K141="","",EOMONTH(K141,2))</f>
        <v>45688</v>
      </c>
    </row>
    <row r="142" customFormat="false" ht="14.25" hidden="false" customHeight="true" outlineLevel="0" collapsed="false">
      <c r="A142" s="15" t="n">
        <v>4837</v>
      </c>
      <c r="B142" s="15" t="s">
        <v>278</v>
      </c>
      <c r="C142" s="15" t="s">
        <v>164</v>
      </c>
      <c r="D142" s="15" t="s">
        <v>270</v>
      </c>
      <c r="E142" s="13" t="s">
        <v>303</v>
      </c>
      <c r="F142" s="3" t="n">
        <v>45551</v>
      </c>
      <c r="G142" s="3" t="n">
        <v>45555</v>
      </c>
      <c r="H142" s="3" t="n">
        <v>45584</v>
      </c>
      <c r="I142" s="15" t="s">
        <v>167</v>
      </c>
      <c r="J142" s="15" t="n">
        <v>6</v>
      </c>
      <c r="K142" s="3" t="n">
        <v>45626</v>
      </c>
      <c r="L142" s="20" t="n">
        <f aca="false">IF(K142="","",EOMONTH(K142,2))</f>
        <v>45688</v>
      </c>
    </row>
    <row r="143" customFormat="false" ht="14.25" hidden="false" customHeight="true" outlineLevel="0" collapsed="false">
      <c r="A143" s="15" t="n">
        <v>3618</v>
      </c>
      <c r="B143" s="15" t="s">
        <v>304</v>
      </c>
      <c r="C143" s="15" t="s">
        <v>176</v>
      </c>
      <c r="D143" s="15" t="s">
        <v>239</v>
      </c>
      <c r="E143" s="13" t="s">
        <v>305</v>
      </c>
      <c r="F143" s="3" t="n">
        <v>45557</v>
      </c>
      <c r="G143" s="3" t="n">
        <v>45564</v>
      </c>
      <c r="H143" s="3" t="n">
        <v>45561</v>
      </c>
      <c r="I143" s="15" t="s">
        <v>167</v>
      </c>
      <c r="J143" s="15" t="n">
        <v>67</v>
      </c>
      <c r="K143" s="3" t="n">
        <v>45626</v>
      </c>
      <c r="L143" s="20" t="n">
        <f aca="false">IF(K143="","",EOMONTH(K143,2))</f>
        <v>45688</v>
      </c>
    </row>
    <row r="144" customFormat="false" ht="14.25" hidden="false" customHeight="true" outlineLevel="0" collapsed="false">
      <c r="A144" s="15" t="n">
        <v>3615</v>
      </c>
      <c r="B144" s="15" t="s">
        <v>215</v>
      </c>
      <c r="C144" s="15" t="s">
        <v>176</v>
      </c>
      <c r="D144" s="15" t="s">
        <v>270</v>
      </c>
      <c r="E144" s="13" t="s">
        <v>306</v>
      </c>
      <c r="F144" s="3" t="n">
        <v>45558</v>
      </c>
      <c r="G144" s="3" t="n">
        <v>45572</v>
      </c>
      <c r="H144" s="3" t="n">
        <v>45559</v>
      </c>
      <c r="I144" s="15" t="s">
        <v>167</v>
      </c>
      <c r="J144" s="15" t="n">
        <v>41</v>
      </c>
      <c r="K144" s="3" t="n">
        <v>45657</v>
      </c>
      <c r="L144" s="20" t="n">
        <f aca="false">IF(K144="","",EOMONTH(K144,2))</f>
        <v>45716</v>
      </c>
    </row>
    <row r="145" customFormat="false" ht="14.25" hidden="false" customHeight="true" outlineLevel="0" collapsed="false">
      <c r="A145" s="15" t="n">
        <v>4828</v>
      </c>
      <c r="B145" s="15" t="s">
        <v>215</v>
      </c>
      <c r="C145" s="15" t="s">
        <v>164</v>
      </c>
      <c r="D145" s="15" t="s">
        <v>239</v>
      </c>
      <c r="E145" s="13" t="s">
        <v>305</v>
      </c>
      <c r="F145" s="3" t="n">
        <v>45558</v>
      </c>
      <c r="G145" s="3" t="n">
        <v>45572</v>
      </c>
      <c r="H145" s="3" t="n">
        <v>45563</v>
      </c>
      <c r="I145" s="15" t="s">
        <v>167</v>
      </c>
      <c r="J145" s="15" t="n">
        <v>47</v>
      </c>
      <c r="K145" s="3" t="n">
        <v>45657</v>
      </c>
      <c r="L145" s="20" t="n">
        <f aca="false">IF(K145="","",EOMONTH(K145,2))</f>
        <v>45716</v>
      </c>
    </row>
    <row r="146" customFormat="false" ht="14.25" hidden="false" customHeight="true" outlineLevel="0" collapsed="false">
      <c r="A146" s="15" t="n">
        <v>3616</v>
      </c>
      <c r="B146" s="15" t="s">
        <v>276</v>
      </c>
      <c r="C146" s="15" t="s">
        <v>176</v>
      </c>
      <c r="D146" s="15" t="s">
        <v>270</v>
      </c>
      <c r="E146" s="13" t="s">
        <v>305</v>
      </c>
      <c r="F146" s="3" t="n">
        <v>45559</v>
      </c>
      <c r="G146" s="3" t="n">
        <v>45595</v>
      </c>
      <c r="H146" s="3" t="n">
        <v>45561</v>
      </c>
      <c r="I146" s="15" t="s">
        <v>167</v>
      </c>
      <c r="J146" s="15" t="n">
        <v>159</v>
      </c>
      <c r="K146" s="3" t="n">
        <v>45657</v>
      </c>
      <c r="L146" s="20" t="n">
        <f aca="false">IF(K146="","",EOMONTH(K146,2))</f>
        <v>45716</v>
      </c>
    </row>
    <row r="147" customFormat="false" ht="14.25" hidden="false" customHeight="true" outlineLevel="0" collapsed="false">
      <c r="A147" s="15" t="n">
        <v>4830</v>
      </c>
      <c r="B147" s="15" t="s">
        <v>276</v>
      </c>
      <c r="C147" s="15" t="s">
        <v>164</v>
      </c>
      <c r="D147" s="15" t="s">
        <v>239</v>
      </c>
      <c r="E147" s="13" t="s">
        <v>305</v>
      </c>
      <c r="F147" s="3" t="n">
        <v>45559</v>
      </c>
      <c r="G147" s="3" t="n">
        <v>45595</v>
      </c>
      <c r="H147" s="3" t="n">
        <v>45565</v>
      </c>
      <c r="I147" s="15" t="s">
        <v>167</v>
      </c>
      <c r="J147" s="15" t="n">
        <v>94</v>
      </c>
      <c r="K147" s="3" t="n">
        <v>45657</v>
      </c>
      <c r="L147" s="20" t="n">
        <f aca="false">IF(K147="","",EOMONTH(K147,2))</f>
        <v>45716</v>
      </c>
    </row>
    <row r="148" customFormat="false" ht="14.25" hidden="false" customHeight="true" outlineLevel="0" collapsed="false">
      <c r="A148" s="15" t="n">
        <v>3617</v>
      </c>
      <c r="B148" s="15" t="s">
        <v>278</v>
      </c>
      <c r="C148" s="15" t="s">
        <v>176</v>
      </c>
      <c r="D148" s="15" t="s">
        <v>270</v>
      </c>
      <c r="E148" s="13" t="s">
        <v>305</v>
      </c>
      <c r="F148" s="3" t="n">
        <v>45560</v>
      </c>
      <c r="G148" s="3" t="n">
        <v>45644</v>
      </c>
      <c r="H148" s="3" t="n">
        <v>45561</v>
      </c>
      <c r="I148" s="15" t="s">
        <v>167</v>
      </c>
      <c r="J148" s="15" t="n">
        <v>101</v>
      </c>
      <c r="K148" s="3" t="n">
        <v>45716</v>
      </c>
      <c r="L148" s="20" t="n">
        <f aca="false">IF(K148="","",EOMONTH(K148,2))</f>
        <v>45777</v>
      </c>
    </row>
    <row r="149" customFormat="false" ht="14.25" hidden="false" customHeight="true" outlineLevel="0" collapsed="false">
      <c r="A149" s="15" t="n">
        <v>3619</v>
      </c>
      <c r="B149" s="15" t="s">
        <v>275</v>
      </c>
      <c r="C149" s="15" t="s">
        <v>176</v>
      </c>
      <c r="D149" s="15" t="s">
        <v>270</v>
      </c>
      <c r="E149" s="13" t="s">
        <v>305</v>
      </c>
      <c r="F149" s="3" t="n">
        <v>45560</v>
      </c>
      <c r="G149" s="3" t="n">
        <v>45572</v>
      </c>
      <c r="H149" s="3" t="n">
        <v>45561</v>
      </c>
      <c r="I149" s="15" t="s">
        <v>167</v>
      </c>
      <c r="J149" s="15" t="n">
        <v>46</v>
      </c>
      <c r="K149" s="3" t="n">
        <v>45657</v>
      </c>
      <c r="L149" s="20" t="n">
        <f aca="false">IF(K149="","",EOMONTH(K149,2))</f>
        <v>45716</v>
      </c>
    </row>
    <row r="150" customFormat="false" ht="14.25" hidden="false" customHeight="true" outlineLevel="0" collapsed="false">
      <c r="A150" s="15" t="n">
        <v>3621</v>
      </c>
      <c r="B150" s="15" t="s">
        <v>99</v>
      </c>
      <c r="C150" s="15" t="s">
        <v>176</v>
      </c>
      <c r="D150" s="15" t="s">
        <v>270</v>
      </c>
      <c r="E150" s="13" t="s">
        <v>307</v>
      </c>
      <c r="F150" s="3" t="n">
        <v>45560</v>
      </c>
      <c r="G150" s="3" t="n">
        <v>45568</v>
      </c>
      <c r="H150" s="3" t="n">
        <v>45564</v>
      </c>
      <c r="I150" s="15" t="s">
        <v>167</v>
      </c>
      <c r="J150" s="15" t="n">
        <v>24</v>
      </c>
      <c r="K150" s="3" t="n">
        <v>45657</v>
      </c>
      <c r="L150" s="20" t="n">
        <f aca="false">IF(K150="","",EOMONTH(K150,2))</f>
        <v>45716</v>
      </c>
    </row>
    <row r="151" customFormat="false" ht="14.25" hidden="false" customHeight="true" outlineLevel="0" collapsed="false">
      <c r="A151" s="15" t="n">
        <v>4827</v>
      </c>
      <c r="B151" s="15" t="s">
        <v>278</v>
      </c>
      <c r="C151" s="15" t="s">
        <v>164</v>
      </c>
      <c r="D151" s="15" t="s">
        <v>270</v>
      </c>
      <c r="E151" s="13" t="s">
        <v>306</v>
      </c>
      <c r="F151" s="3" t="n">
        <v>45560</v>
      </c>
      <c r="G151" s="3" t="n">
        <v>45644</v>
      </c>
      <c r="H151" s="3" t="n">
        <v>45563</v>
      </c>
      <c r="I151" s="15" t="s">
        <v>167</v>
      </c>
      <c r="J151" s="15" t="n">
        <v>40</v>
      </c>
      <c r="K151" s="3" t="n">
        <v>45716</v>
      </c>
      <c r="L151" s="20" t="n">
        <f aca="false">IF(K151="","",EOMONTH(K151,2))</f>
        <v>45777</v>
      </c>
    </row>
    <row r="152" customFormat="false" ht="14.25" hidden="false" customHeight="true" outlineLevel="0" collapsed="false">
      <c r="A152" s="15" t="n">
        <v>4829</v>
      </c>
      <c r="B152" s="15" t="s">
        <v>275</v>
      </c>
      <c r="C152" s="15" t="s">
        <v>164</v>
      </c>
      <c r="D152" s="15" t="s">
        <v>239</v>
      </c>
      <c r="E152" s="13" t="s">
        <v>305</v>
      </c>
      <c r="F152" s="3" t="n">
        <v>45560</v>
      </c>
      <c r="G152" s="3" t="n">
        <v>45572</v>
      </c>
      <c r="H152" s="3" t="n">
        <v>45564</v>
      </c>
      <c r="I152" s="15" t="s">
        <v>167</v>
      </c>
      <c r="J152" s="15" t="n">
        <v>34</v>
      </c>
      <c r="K152" s="3" t="n">
        <v>45657</v>
      </c>
      <c r="L152" s="20" t="n">
        <f aca="false">IF(K152="","",EOMONTH(K152,2))</f>
        <v>45716</v>
      </c>
    </row>
    <row r="153" customFormat="false" ht="14.25" hidden="false" customHeight="true" outlineLevel="0" collapsed="false">
      <c r="A153" s="15" t="n">
        <v>4831</v>
      </c>
      <c r="B153" s="15" t="s">
        <v>99</v>
      </c>
      <c r="C153" s="15" t="s">
        <v>164</v>
      </c>
      <c r="D153" s="15" t="s">
        <v>270</v>
      </c>
      <c r="E153" s="13" t="s">
        <v>306</v>
      </c>
      <c r="F153" s="3" t="n">
        <v>45560</v>
      </c>
      <c r="G153" s="3" t="n">
        <v>45568</v>
      </c>
      <c r="H153" s="3" t="n">
        <v>45566</v>
      </c>
      <c r="I153" s="15" t="s">
        <v>167</v>
      </c>
      <c r="J153" s="15" t="n">
        <v>37</v>
      </c>
      <c r="K153" s="3" t="n">
        <v>45657</v>
      </c>
      <c r="L153" s="20" t="n">
        <f aca="false">IF(K153="","",EOMONTH(K153,2))</f>
        <v>45716</v>
      </c>
    </row>
    <row r="154" customFormat="false" ht="14.25" hidden="false" customHeight="true" outlineLevel="0" collapsed="false">
      <c r="A154" s="15" t="n">
        <v>4851</v>
      </c>
      <c r="B154" s="15" t="s">
        <v>196</v>
      </c>
      <c r="C154" s="15" t="s">
        <v>164</v>
      </c>
      <c r="D154" s="15" t="s">
        <v>270</v>
      </c>
      <c r="E154" s="13" t="s">
        <v>308</v>
      </c>
      <c r="F154" s="3" t="n">
        <v>45560</v>
      </c>
      <c r="G154" s="3" t="n">
        <v>45563</v>
      </c>
      <c r="H154" s="3" t="n">
        <v>45635</v>
      </c>
      <c r="I154" s="15" t="s">
        <v>167</v>
      </c>
      <c r="J154" s="15" t="n">
        <v>1</v>
      </c>
      <c r="K154" s="3" t="n">
        <v>45626</v>
      </c>
      <c r="L154" s="20" t="n">
        <f aca="false">IF(K154="","",EOMONTH(K154,2))</f>
        <v>45688</v>
      </c>
    </row>
    <row r="155" customFormat="false" ht="14.25" hidden="false" customHeight="true" outlineLevel="0" collapsed="false">
      <c r="A155" s="15" t="n">
        <v>3620</v>
      </c>
      <c r="B155" s="15" t="s">
        <v>213</v>
      </c>
      <c r="C155" s="15" t="s">
        <v>176</v>
      </c>
      <c r="D155" s="15" t="s">
        <v>270</v>
      </c>
      <c r="E155" s="13" t="s">
        <v>306</v>
      </c>
      <c r="F155" s="3" t="n">
        <v>45561</v>
      </c>
      <c r="G155" s="3" t="n">
        <v>45565</v>
      </c>
      <c r="H155" s="3" t="n">
        <v>45562</v>
      </c>
      <c r="I155" s="15" t="s">
        <v>167</v>
      </c>
      <c r="J155" s="15" t="n">
        <v>8</v>
      </c>
      <c r="K155" s="3" t="n">
        <v>45626</v>
      </c>
      <c r="L155" s="20" t="n">
        <f aca="false">IF(K155="","",EOMONTH(K155,2))</f>
        <v>45688</v>
      </c>
    </row>
    <row r="156" customFormat="false" ht="14.25" hidden="false" customHeight="true" outlineLevel="0" collapsed="false">
      <c r="A156" s="15" t="n">
        <v>4832</v>
      </c>
      <c r="B156" s="15" t="s">
        <v>213</v>
      </c>
      <c r="C156" s="15" t="s">
        <v>164</v>
      </c>
      <c r="D156" s="15" t="s">
        <v>270</v>
      </c>
      <c r="E156" s="13" t="s">
        <v>306</v>
      </c>
      <c r="F156" s="3" t="n">
        <v>45561</v>
      </c>
      <c r="G156" s="3" t="n">
        <v>45565</v>
      </c>
      <c r="H156" s="3" t="n">
        <v>45567</v>
      </c>
      <c r="I156" s="15" t="s">
        <v>167</v>
      </c>
      <c r="J156" s="15" t="n">
        <v>14</v>
      </c>
      <c r="K156" s="3" t="n">
        <v>45626</v>
      </c>
      <c r="L156" s="20" t="n">
        <f aca="false">IF(K156="","",EOMONTH(K156,2))</f>
        <v>45688</v>
      </c>
    </row>
    <row r="157" customFormat="false" ht="14.25" hidden="false" customHeight="true" outlineLevel="0" collapsed="false">
      <c r="A157" s="15" t="n">
        <v>4848</v>
      </c>
      <c r="B157" s="15" t="s">
        <v>27</v>
      </c>
      <c r="C157" s="15" t="s">
        <v>164</v>
      </c>
      <c r="D157" s="15" t="s">
        <v>270</v>
      </c>
      <c r="E157" s="13" t="s">
        <v>309</v>
      </c>
      <c r="F157" s="3" t="n">
        <v>45562</v>
      </c>
      <c r="G157" s="3" t="n">
        <v>45565</v>
      </c>
      <c r="H157" s="3" t="n">
        <v>45622</v>
      </c>
      <c r="I157" s="15" t="s">
        <v>167</v>
      </c>
      <c r="J157" s="15" t="n">
        <v>34</v>
      </c>
      <c r="K157" s="3" t="n">
        <v>45626</v>
      </c>
      <c r="L157" s="20" t="n">
        <f aca="false">IF(K157="","",EOMONTH(K157,2))</f>
        <v>45688</v>
      </c>
    </row>
    <row r="158" customFormat="false" ht="14.25" hidden="false" customHeight="true" outlineLevel="0" collapsed="false">
      <c r="A158" s="15" t="n">
        <v>5539</v>
      </c>
      <c r="B158" s="15" t="s">
        <v>96</v>
      </c>
      <c r="C158" s="15" t="s">
        <v>184</v>
      </c>
      <c r="D158" s="15" t="s">
        <v>185</v>
      </c>
      <c r="E158" s="13" t="s">
        <v>310</v>
      </c>
      <c r="F158" s="3" t="n">
        <v>45563</v>
      </c>
      <c r="G158" s="3" t="n">
        <v>45587</v>
      </c>
      <c r="H158" s="3" t="n">
        <v>45565</v>
      </c>
      <c r="I158" s="15" t="s">
        <v>167</v>
      </c>
      <c r="J158" s="15" t="n">
        <v>1</v>
      </c>
      <c r="K158" s="3" t="n">
        <v>45657</v>
      </c>
      <c r="L158" s="20" t="n">
        <f aca="false">IF(K158="","",EOMONTH(K158,2))</f>
        <v>45716</v>
      </c>
    </row>
    <row r="159" customFormat="false" ht="14.25" hidden="false" customHeight="true" outlineLevel="0" collapsed="false">
      <c r="A159" s="15" t="n">
        <v>3622</v>
      </c>
      <c r="B159" s="15" t="s">
        <v>215</v>
      </c>
      <c r="C159" s="15" t="s">
        <v>176</v>
      </c>
      <c r="D159" s="15" t="s">
        <v>239</v>
      </c>
      <c r="E159" s="13" t="s">
        <v>311</v>
      </c>
      <c r="F159" s="3" t="n">
        <v>45570</v>
      </c>
      <c r="G159" s="3" t="n">
        <v>45598</v>
      </c>
      <c r="H159" s="3" t="n">
        <v>45572</v>
      </c>
      <c r="I159" s="15" t="s">
        <v>167</v>
      </c>
      <c r="J159" s="15" t="n">
        <v>51</v>
      </c>
      <c r="K159" s="3" t="n">
        <v>45688</v>
      </c>
      <c r="L159" s="20" t="n">
        <f aca="false">IF(K159="","",EOMONTH(K159,2))</f>
        <v>45747</v>
      </c>
    </row>
    <row r="160" customFormat="false" ht="14.25" hidden="false" customHeight="true" outlineLevel="0" collapsed="false">
      <c r="A160" s="15" t="n">
        <v>3623</v>
      </c>
      <c r="B160" s="15" t="s">
        <v>215</v>
      </c>
      <c r="C160" s="15" t="s">
        <v>176</v>
      </c>
      <c r="D160" s="15" t="s">
        <v>239</v>
      </c>
      <c r="E160" s="13" t="s">
        <v>311</v>
      </c>
      <c r="F160" s="3" t="n">
        <v>45570</v>
      </c>
      <c r="G160" s="3" t="n">
        <v>45598</v>
      </c>
      <c r="H160" s="3" t="n">
        <v>45573</v>
      </c>
      <c r="I160" s="15" t="s">
        <v>167</v>
      </c>
      <c r="J160" s="15" t="n">
        <v>7</v>
      </c>
      <c r="K160" s="3" t="n">
        <v>45688</v>
      </c>
      <c r="L160" s="20" t="n">
        <f aca="false">IF(K160="","",EOMONTH(K160,2))</f>
        <v>45747</v>
      </c>
    </row>
    <row r="161" customFormat="false" ht="14.25" hidden="false" customHeight="true" outlineLevel="0" collapsed="false">
      <c r="A161" s="15" t="n">
        <v>4834</v>
      </c>
      <c r="B161" s="15" t="s">
        <v>215</v>
      </c>
      <c r="C161" s="15" t="s">
        <v>164</v>
      </c>
      <c r="D161" s="15" t="s">
        <v>239</v>
      </c>
      <c r="E161" s="13" t="s">
        <v>312</v>
      </c>
      <c r="F161" s="3" t="n">
        <v>45570</v>
      </c>
      <c r="G161" s="3" t="n">
        <v>45598</v>
      </c>
      <c r="H161" s="3" t="n">
        <v>45576</v>
      </c>
      <c r="I161" s="15" t="s">
        <v>167</v>
      </c>
      <c r="J161" s="15" t="n">
        <v>52</v>
      </c>
      <c r="K161" s="3" t="n">
        <v>45688</v>
      </c>
      <c r="L161" s="20" t="n">
        <f aca="false">IF(K161="","",EOMONTH(K161,2))</f>
        <v>45747</v>
      </c>
    </row>
    <row r="162" customFormat="false" ht="14.25" hidden="false" customHeight="true" outlineLevel="0" collapsed="false">
      <c r="A162" s="15" t="n">
        <v>4844</v>
      </c>
      <c r="B162" s="15" t="s">
        <v>215</v>
      </c>
      <c r="C162" s="15" t="s">
        <v>164</v>
      </c>
      <c r="D162" s="15" t="s">
        <v>239</v>
      </c>
      <c r="E162" s="13" t="s">
        <v>311</v>
      </c>
      <c r="F162" s="3" t="n">
        <v>45570</v>
      </c>
      <c r="G162" s="3" t="n">
        <v>45598</v>
      </c>
      <c r="H162" s="3" t="n">
        <v>45601</v>
      </c>
      <c r="I162" s="15" t="s">
        <v>167</v>
      </c>
      <c r="J162" s="15" t="n">
        <v>7</v>
      </c>
      <c r="K162" s="3" t="n">
        <v>45688</v>
      </c>
      <c r="L162" s="20" t="n">
        <f aca="false">IF(K162="","",EOMONTH(K162,2))</f>
        <v>45747</v>
      </c>
    </row>
    <row r="163" customFormat="false" ht="14.25" hidden="false" customHeight="true" outlineLevel="0" collapsed="false">
      <c r="A163" s="15" t="n">
        <v>4852</v>
      </c>
      <c r="B163" s="15" t="s">
        <v>313</v>
      </c>
      <c r="C163" s="15" t="s">
        <v>164</v>
      </c>
      <c r="D163" s="15" t="s">
        <v>185</v>
      </c>
      <c r="E163" s="13" t="s">
        <v>314</v>
      </c>
      <c r="F163" s="3" t="n">
        <v>45570</v>
      </c>
      <c r="G163" s="3" t="n">
        <v>45571</v>
      </c>
      <c r="H163" s="3" t="n">
        <v>45650</v>
      </c>
      <c r="I163" s="15" t="s">
        <v>167</v>
      </c>
      <c r="J163" s="15" t="n">
        <v>2</v>
      </c>
      <c r="K163" s="3" t="n">
        <v>45657</v>
      </c>
      <c r="L163" s="20" t="n">
        <f aca="false">IF(K163="","",EOMONTH(K163,2))</f>
        <v>45716</v>
      </c>
    </row>
    <row r="164" customFormat="false" ht="14.25" hidden="false" customHeight="true" outlineLevel="0" collapsed="false">
      <c r="A164" s="15" t="n">
        <v>5540</v>
      </c>
      <c r="B164" s="15" t="s">
        <v>313</v>
      </c>
      <c r="C164" s="15" t="s">
        <v>184</v>
      </c>
      <c r="D164" s="15" t="s">
        <v>185</v>
      </c>
      <c r="E164" s="13" t="s">
        <v>315</v>
      </c>
      <c r="F164" s="3" t="n">
        <v>45570</v>
      </c>
      <c r="G164" s="3" t="n">
        <v>45586</v>
      </c>
      <c r="H164" s="3" t="n">
        <v>45571</v>
      </c>
      <c r="I164" s="15" t="s">
        <v>167</v>
      </c>
      <c r="J164" s="15" t="n">
        <v>1</v>
      </c>
      <c r="K164" s="3" t="n">
        <v>45657</v>
      </c>
      <c r="L164" s="20" t="n">
        <f aca="false">IF(K164="","",EOMONTH(K164,2))</f>
        <v>45716</v>
      </c>
    </row>
    <row r="165" customFormat="false" ht="14.25" hidden="false" customHeight="true" outlineLevel="0" collapsed="false">
      <c r="A165" s="15" t="n">
        <v>5541</v>
      </c>
      <c r="B165" s="15" t="s">
        <v>313</v>
      </c>
      <c r="C165" s="15" t="s">
        <v>184</v>
      </c>
      <c r="D165" s="15" t="s">
        <v>185</v>
      </c>
      <c r="E165" s="13" t="s">
        <v>316</v>
      </c>
      <c r="F165" s="3" t="n">
        <v>45570</v>
      </c>
      <c r="G165" s="3" t="n">
        <v>45582</v>
      </c>
      <c r="H165" s="3" t="n">
        <v>45571</v>
      </c>
      <c r="I165" s="15" t="s">
        <v>167</v>
      </c>
      <c r="J165" s="15" t="n">
        <v>1</v>
      </c>
      <c r="K165" s="3" t="n">
        <v>45657</v>
      </c>
      <c r="L165" s="20" t="n">
        <f aca="false">IF(K165="","",EOMONTH(K165,2))</f>
        <v>45716</v>
      </c>
    </row>
    <row r="166" customFormat="false" ht="14.25" hidden="false" customHeight="true" outlineLevel="0" collapsed="false">
      <c r="A166" s="15" t="n">
        <v>4843</v>
      </c>
      <c r="B166" s="15" t="s">
        <v>144</v>
      </c>
      <c r="C166" s="15" t="s">
        <v>164</v>
      </c>
      <c r="D166" s="15" t="s">
        <v>180</v>
      </c>
      <c r="E166" s="13" t="s">
        <v>317</v>
      </c>
      <c r="F166" s="3" t="n">
        <v>45584</v>
      </c>
      <c r="G166" s="3" t="n">
        <v>45585</v>
      </c>
      <c r="H166" s="3" t="n">
        <v>45597</v>
      </c>
      <c r="I166" s="15" t="s">
        <v>167</v>
      </c>
      <c r="J166" s="15" t="n">
        <v>1</v>
      </c>
      <c r="K166" s="3" t="n">
        <v>45657</v>
      </c>
      <c r="L166" s="20" t="n">
        <f aca="false">IF(K166="","",EOMONTH(K166,2))</f>
        <v>45716</v>
      </c>
    </row>
    <row r="167" customFormat="false" ht="14.25" hidden="false" customHeight="true" outlineLevel="0" collapsed="false">
      <c r="A167" s="15" t="n">
        <v>4859</v>
      </c>
      <c r="B167" s="15" t="s">
        <v>279</v>
      </c>
      <c r="C167" s="15" t="s">
        <v>164</v>
      </c>
      <c r="D167" s="15" t="s">
        <v>165</v>
      </c>
      <c r="E167" s="13" t="s">
        <v>181</v>
      </c>
      <c r="F167" s="3" t="n">
        <v>45585</v>
      </c>
      <c r="G167" s="3" t="n">
        <v>45588</v>
      </c>
      <c r="H167" s="3" t="n">
        <v>45672</v>
      </c>
      <c r="I167" s="15" t="s">
        <v>167</v>
      </c>
      <c r="J167" s="15" t="n">
        <v>2</v>
      </c>
      <c r="K167" s="3" t="n">
        <v>45657</v>
      </c>
      <c r="L167" s="20" t="n">
        <f aca="false">IF(K167="","",EOMONTH(K167,2))</f>
        <v>45716</v>
      </c>
    </row>
    <row r="168" customFormat="false" ht="14.25" hidden="false" customHeight="true" outlineLevel="0" collapsed="false">
      <c r="A168" s="15" t="n">
        <v>5542</v>
      </c>
      <c r="B168" s="15" t="s">
        <v>175</v>
      </c>
      <c r="C168" s="15" t="s">
        <v>184</v>
      </c>
      <c r="D168" s="15" t="s">
        <v>185</v>
      </c>
      <c r="E168" s="13" t="s">
        <v>318</v>
      </c>
      <c r="F168" s="3" t="n">
        <v>45586</v>
      </c>
      <c r="G168" s="15"/>
      <c r="H168" s="3" t="n">
        <v>45589</v>
      </c>
      <c r="I168" s="15" t="s">
        <v>167</v>
      </c>
      <c r="J168" s="15" t="n">
        <v>2</v>
      </c>
      <c r="K168" s="15"/>
      <c r="L168" s="20" t="str">
        <f aca="false">IF(K168="","",EOMONTH(K168,2))</f>
        <v/>
      </c>
    </row>
    <row r="169" customFormat="false" ht="14.25" hidden="false" customHeight="true" outlineLevel="0" collapsed="false">
      <c r="A169" s="15" t="n">
        <v>5543</v>
      </c>
      <c r="B169" s="15" t="s">
        <v>188</v>
      </c>
      <c r="C169" s="15" t="s">
        <v>184</v>
      </c>
      <c r="D169" s="15" t="s">
        <v>185</v>
      </c>
      <c r="E169" s="13" t="s">
        <v>319</v>
      </c>
      <c r="F169" s="3" t="n">
        <v>45594</v>
      </c>
      <c r="G169" s="15"/>
      <c r="H169" s="3" t="n">
        <v>45595</v>
      </c>
      <c r="I169" s="15" t="s">
        <v>167</v>
      </c>
      <c r="J169" s="15" t="n">
        <v>2</v>
      </c>
      <c r="K169" s="15"/>
      <c r="L169" s="20" t="str">
        <f aca="false">IF(K169="","",EOMONTH(K169,2))</f>
        <v/>
      </c>
    </row>
    <row r="170" customFormat="false" ht="14.25" hidden="false" customHeight="true" outlineLevel="0" collapsed="false">
      <c r="A170" s="15" t="n">
        <v>5544</v>
      </c>
      <c r="B170" s="15" t="s">
        <v>188</v>
      </c>
      <c r="C170" s="15" t="s">
        <v>184</v>
      </c>
      <c r="D170" s="15" t="s">
        <v>185</v>
      </c>
      <c r="E170" s="13" t="s">
        <v>320</v>
      </c>
      <c r="F170" s="3" t="n">
        <v>45594</v>
      </c>
      <c r="G170" s="15"/>
      <c r="H170" s="3" t="n">
        <v>45595</v>
      </c>
      <c r="I170" s="15" t="s">
        <v>167</v>
      </c>
      <c r="J170" s="15" t="n">
        <v>1</v>
      </c>
      <c r="K170" s="15"/>
      <c r="L170" s="20" t="str">
        <f aca="false">IF(K170="","",EOMONTH(K170,2))</f>
        <v/>
      </c>
    </row>
    <row r="171" customFormat="false" ht="14.25" hidden="false" customHeight="true" outlineLevel="0" collapsed="false">
      <c r="A171" s="15" t="n">
        <v>4862</v>
      </c>
      <c r="B171" s="15" t="s">
        <v>188</v>
      </c>
      <c r="C171" s="15" t="s">
        <v>164</v>
      </c>
      <c r="D171" s="15" t="s">
        <v>165</v>
      </c>
      <c r="E171" s="13" t="s">
        <v>202</v>
      </c>
      <c r="F171" s="3" t="n">
        <v>45598</v>
      </c>
      <c r="G171" s="3" t="n">
        <v>45601</v>
      </c>
      <c r="H171" s="3" t="n">
        <v>45734</v>
      </c>
      <c r="I171" s="15" t="s">
        <v>167</v>
      </c>
      <c r="J171" s="15" t="n">
        <v>8</v>
      </c>
      <c r="K171" s="3" t="n">
        <v>45688</v>
      </c>
      <c r="L171" s="20" t="n">
        <f aca="false">IF(K171="","",EOMONTH(K171,2))</f>
        <v>45747</v>
      </c>
    </row>
    <row r="172" customFormat="false" ht="14.25" hidden="false" customHeight="true" outlineLevel="0" collapsed="false">
      <c r="A172" s="15" t="n">
        <v>4855</v>
      </c>
      <c r="B172" s="15" t="s">
        <v>217</v>
      </c>
      <c r="C172" s="15" t="s">
        <v>164</v>
      </c>
      <c r="D172" s="15" t="s">
        <v>165</v>
      </c>
      <c r="E172" s="13" t="s">
        <v>321</v>
      </c>
      <c r="F172" s="3" t="n">
        <v>45599</v>
      </c>
      <c r="G172" s="3" t="n">
        <v>45605</v>
      </c>
      <c r="H172" s="3" t="n">
        <v>45658</v>
      </c>
      <c r="I172" s="15" t="s">
        <v>167</v>
      </c>
      <c r="J172" s="15" t="n">
        <v>14</v>
      </c>
      <c r="K172" s="3" t="n">
        <v>45688</v>
      </c>
      <c r="L172" s="20" t="n">
        <f aca="false">IF(K172="","",EOMONTH(K172,2))</f>
        <v>45747</v>
      </c>
    </row>
    <row r="173" customFormat="false" ht="14.25" hidden="false" customHeight="true" outlineLevel="0" collapsed="false">
      <c r="A173" s="15" t="n">
        <v>4858</v>
      </c>
      <c r="B173" s="15" t="s">
        <v>275</v>
      </c>
      <c r="C173" s="15" t="s">
        <v>164</v>
      </c>
      <c r="D173" s="15" t="s">
        <v>180</v>
      </c>
      <c r="E173" s="13" t="s">
        <v>172</v>
      </c>
      <c r="F173" s="3" t="n">
        <v>45602</v>
      </c>
      <c r="G173" s="3" t="n">
        <v>45610</v>
      </c>
      <c r="H173" s="3" t="n">
        <v>45667</v>
      </c>
      <c r="I173" s="15" t="s">
        <v>167</v>
      </c>
      <c r="J173" s="15" t="n">
        <v>3</v>
      </c>
      <c r="K173" s="3" t="n">
        <v>45688</v>
      </c>
      <c r="L173" s="20" t="n">
        <f aca="false">IF(K173="","",EOMONTH(K173,2))</f>
        <v>45747</v>
      </c>
    </row>
    <row r="174" customFormat="false" ht="14.25" hidden="false" customHeight="true" outlineLevel="0" collapsed="false">
      <c r="A174" s="15" t="n">
        <v>5545</v>
      </c>
      <c r="B174" s="15" t="s">
        <v>117</v>
      </c>
      <c r="C174" s="15" t="s">
        <v>184</v>
      </c>
      <c r="D174" s="15" t="s">
        <v>185</v>
      </c>
      <c r="E174" s="13" t="s">
        <v>322</v>
      </c>
      <c r="F174" s="3" t="n">
        <v>45602</v>
      </c>
      <c r="G174" s="3" t="n">
        <v>45611</v>
      </c>
      <c r="H174" s="3" t="n">
        <v>45602</v>
      </c>
      <c r="I174" s="15" t="s">
        <v>167</v>
      </c>
      <c r="J174" s="15" t="n">
        <v>1</v>
      </c>
      <c r="K174" s="3" t="n">
        <v>45688</v>
      </c>
      <c r="L174" s="20" t="n">
        <f aca="false">IF(K174="","",EOMONTH(K174,2))</f>
        <v>45747</v>
      </c>
    </row>
    <row r="175" customFormat="false" ht="14.25" hidden="false" customHeight="true" outlineLevel="0" collapsed="false">
      <c r="A175" s="15" t="n">
        <v>5547</v>
      </c>
      <c r="B175" s="15" t="s">
        <v>244</v>
      </c>
      <c r="C175" s="15" t="s">
        <v>184</v>
      </c>
      <c r="D175" s="15" t="s">
        <v>185</v>
      </c>
      <c r="E175" s="13" t="s">
        <v>323</v>
      </c>
      <c r="F175" s="3" t="n">
        <v>45604</v>
      </c>
      <c r="G175" s="3" t="n">
        <v>45618</v>
      </c>
      <c r="H175" s="3" t="n">
        <v>45611</v>
      </c>
      <c r="I175" s="15" t="s">
        <v>167</v>
      </c>
      <c r="J175" s="15" t="n">
        <v>1</v>
      </c>
      <c r="K175" s="3" t="n">
        <v>45688</v>
      </c>
      <c r="L175" s="20" t="n">
        <f aca="false">IF(K175="","",EOMONTH(K175,2))</f>
        <v>45747</v>
      </c>
    </row>
    <row r="176" customFormat="false" ht="14.25" hidden="false" customHeight="true" outlineLevel="0" collapsed="false">
      <c r="A176" s="15" t="n">
        <v>5546</v>
      </c>
      <c r="B176" s="15" t="s">
        <v>222</v>
      </c>
      <c r="C176" s="15" t="s">
        <v>184</v>
      </c>
      <c r="D176" s="15" t="s">
        <v>185</v>
      </c>
      <c r="E176" s="13" t="s">
        <v>324</v>
      </c>
      <c r="F176" s="3" t="n">
        <v>45607</v>
      </c>
      <c r="G176" s="3" t="n">
        <v>45609</v>
      </c>
      <c r="H176" s="3" t="n">
        <v>45607</v>
      </c>
      <c r="I176" s="15" t="s">
        <v>167</v>
      </c>
      <c r="J176" s="15" t="n">
        <v>1</v>
      </c>
      <c r="K176" s="3" t="n">
        <v>45688</v>
      </c>
      <c r="L176" s="20" t="n">
        <f aca="false">IF(K176="","",EOMONTH(K176,2))</f>
        <v>45747</v>
      </c>
    </row>
    <row r="177" customFormat="false" ht="14.25" hidden="false" customHeight="true" outlineLevel="0" collapsed="false">
      <c r="A177" s="15" t="n">
        <v>5548</v>
      </c>
      <c r="B177" s="15" t="s">
        <v>117</v>
      </c>
      <c r="C177" s="15" t="s">
        <v>184</v>
      </c>
      <c r="D177" s="15" t="s">
        <v>185</v>
      </c>
      <c r="E177" s="13" t="s">
        <v>325</v>
      </c>
      <c r="F177" s="3" t="n">
        <v>45636</v>
      </c>
      <c r="G177" s="3" t="n">
        <v>45644</v>
      </c>
      <c r="H177" s="3" t="n">
        <v>45636</v>
      </c>
      <c r="I177" s="15" t="s">
        <v>167</v>
      </c>
      <c r="J177" s="15" t="n">
        <v>1</v>
      </c>
      <c r="K177" s="3" t="n">
        <v>45716</v>
      </c>
      <c r="L177" s="20" t="n">
        <f aca="false">IF(K177="","",EOMONTH(K177,2))</f>
        <v>45777</v>
      </c>
    </row>
    <row r="178" customFormat="false" ht="14.25" hidden="false" customHeight="true" outlineLevel="0" collapsed="false">
      <c r="A178" s="15" t="n">
        <v>4856</v>
      </c>
      <c r="B178" s="15" t="s">
        <v>117</v>
      </c>
      <c r="C178" s="15" t="s">
        <v>164</v>
      </c>
      <c r="D178" s="15" t="s">
        <v>185</v>
      </c>
      <c r="E178" s="13" t="s">
        <v>314</v>
      </c>
      <c r="F178" s="3" t="n">
        <v>45664</v>
      </c>
      <c r="G178" s="3" t="n">
        <v>45688</v>
      </c>
      <c r="H178" s="3" t="n">
        <v>45665</v>
      </c>
      <c r="I178" s="15" t="s">
        <v>167</v>
      </c>
      <c r="J178" s="15" t="n">
        <v>1</v>
      </c>
      <c r="K178" s="3" t="n">
        <v>45747</v>
      </c>
      <c r="L178" s="20" t="n">
        <f aca="false">IF(K178="","",EOMONTH(K178,2))</f>
        <v>45808</v>
      </c>
    </row>
    <row r="179" customFormat="false" ht="14.25" hidden="false" customHeight="true" outlineLevel="0" collapsed="false">
      <c r="A179" s="15" t="n">
        <v>5549</v>
      </c>
      <c r="B179" s="15" t="s">
        <v>117</v>
      </c>
      <c r="C179" s="15" t="s">
        <v>184</v>
      </c>
      <c r="D179" s="15" t="s">
        <v>185</v>
      </c>
      <c r="E179" s="13" t="s">
        <v>326</v>
      </c>
      <c r="F179" s="3" t="n">
        <v>45664</v>
      </c>
      <c r="G179" s="15"/>
      <c r="H179" s="3" t="n">
        <v>45664</v>
      </c>
      <c r="I179" s="15" t="s">
        <v>167</v>
      </c>
      <c r="J179" s="15" t="n">
        <v>1</v>
      </c>
      <c r="K179" s="15"/>
      <c r="L179" s="20" t="str">
        <f aca="false">IF(K179="","",EOMONTH(K179,2))</f>
        <v/>
      </c>
    </row>
    <row r="180" customFormat="false" ht="14.25" hidden="false" customHeight="true" outlineLevel="0" collapsed="false">
      <c r="A180" s="15" t="n">
        <v>5550</v>
      </c>
      <c r="B180" s="15" t="s">
        <v>117</v>
      </c>
      <c r="C180" s="15" t="s">
        <v>184</v>
      </c>
      <c r="D180" s="15" t="s">
        <v>185</v>
      </c>
      <c r="E180" s="13" t="s">
        <v>327</v>
      </c>
      <c r="F180" s="3" t="n">
        <v>45664</v>
      </c>
      <c r="G180" s="15"/>
      <c r="H180" s="3" t="n">
        <v>45665</v>
      </c>
      <c r="I180" s="15" t="s">
        <v>167</v>
      </c>
      <c r="J180" s="15" t="n">
        <v>1</v>
      </c>
      <c r="K180" s="15"/>
      <c r="L180" s="20" t="str">
        <f aca="false">IF(K180="","",EOMONTH(K180,2))</f>
        <v/>
      </c>
    </row>
    <row r="181" customFormat="false" ht="14.25" hidden="false" customHeight="true" outlineLevel="0" collapsed="false">
      <c r="A181" s="15" t="n">
        <v>5551</v>
      </c>
      <c r="B181" s="15" t="s">
        <v>117</v>
      </c>
      <c r="C181" s="15" t="s">
        <v>184</v>
      </c>
      <c r="D181" s="15" t="s">
        <v>185</v>
      </c>
      <c r="E181" s="13" t="s">
        <v>328</v>
      </c>
      <c r="F181" s="3" t="n">
        <v>45664</v>
      </c>
      <c r="G181" s="15"/>
      <c r="H181" s="3" t="n">
        <v>45665</v>
      </c>
      <c r="I181" s="15" t="s">
        <v>167</v>
      </c>
      <c r="J181" s="15" t="n">
        <v>1</v>
      </c>
      <c r="K181" s="15"/>
      <c r="L181" s="20" t="str">
        <f aca="false">IF(K181="","",EOMONTH(K181,2))</f>
        <v/>
      </c>
    </row>
    <row r="182" customFormat="false" ht="14.25" hidden="false" customHeight="true" outlineLevel="0" collapsed="false">
      <c r="A182" s="15" t="n">
        <v>4863</v>
      </c>
      <c r="B182" s="15" t="s">
        <v>99</v>
      </c>
      <c r="C182" s="15" t="s">
        <v>164</v>
      </c>
      <c r="D182" s="15" t="s">
        <v>165</v>
      </c>
      <c r="E182" s="13" t="s">
        <v>329</v>
      </c>
      <c r="F182" s="3" t="n">
        <v>45698</v>
      </c>
      <c r="G182" s="3" t="n">
        <v>45706</v>
      </c>
      <c r="H182" s="3" t="n">
        <v>45751</v>
      </c>
      <c r="I182" s="15" t="s">
        <v>167</v>
      </c>
      <c r="J182" s="15" t="n">
        <v>36</v>
      </c>
      <c r="K182" s="3" t="n">
        <v>45777</v>
      </c>
      <c r="L182" s="20" t="n">
        <f aca="false">IF(K182="","",EOMONTH(K182,2))</f>
        <v>45838</v>
      </c>
    </row>
    <row r="183" customFormat="false" ht="14.25" hidden="false" customHeight="true" outlineLevel="0" collapsed="false">
      <c r="A183" s="15" t="n">
        <v>3624</v>
      </c>
      <c r="B183" s="15" t="s">
        <v>27</v>
      </c>
      <c r="C183" s="15" t="s">
        <v>176</v>
      </c>
      <c r="D183" s="15" t="s">
        <v>165</v>
      </c>
      <c r="E183" s="13" t="s">
        <v>330</v>
      </c>
      <c r="F183" s="3" t="n">
        <v>45702</v>
      </c>
      <c r="G183" s="3" t="n">
        <v>45723</v>
      </c>
      <c r="H183" s="3" t="n">
        <v>45704</v>
      </c>
      <c r="I183" s="15" t="s">
        <v>167</v>
      </c>
      <c r="J183" s="15" t="n">
        <v>120</v>
      </c>
      <c r="K183" s="3" t="n">
        <v>45808</v>
      </c>
      <c r="L183" s="20" t="n">
        <f aca="false">IF(K183="","",EOMONTH(K183,2))</f>
        <v>45869</v>
      </c>
    </row>
    <row r="184" customFormat="false" ht="25.5" hidden="false" customHeight="true" outlineLevel="0" collapsed="false">
      <c r="A184" s="15" t="n">
        <v>4860</v>
      </c>
      <c r="B184" s="15" t="s">
        <v>27</v>
      </c>
      <c r="C184" s="15" t="s">
        <v>164</v>
      </c>
      <c r="D184" s="15" t="s">
        <v>165</v>
      </c>
      <c r="E184" s="13" t="s">
        <v>331</v>
      </c>
      <c r="F184" s="3" t="n">
        <v>45702</v>
      </c>
      <c r="G184" s="3" t="n">
        <v>45723</v>
      </c>
      <c r="H184" s="3" t="n">
        <v>45712</v>
      </c>
      <c r="I184" s="15" t="s">
        <v>167</v>
      </c>
      <c r="J184" s="15" t="n">
        <v>69</v>
      </c>
      <c r="K184" s="3" t="n">
        <v>45808</v>
      </c>
      <c r="L184" s="20" t="n">
        <f aca="false">IF(K184="","",EOMONTH(K184,2))</f>
        <v>45869</v>
      </c>
    </row>
    <row r="185" customFormat="false" ht="25.5" hidden="false" customHeight="true" outlineLevel="0" collapsed="false">
      <c r="A185" s="15" t="n">
        <v>4861</v>
      </c>
      <c r="B185" s="15" t="s">
        <v>196</v>
      </c>
      <c r="C185" s="15" t="s">
        <v>164</v>
      </c>
      <c r="D185" s="15" t="s">
        <v>165</v>
      </c>
      <c r="E185" s="13" t="s">
        <v>332</v>
      </c>
      <c r="F185" s="3" t="n">
        <v>45703</v>
      </c>
      <c r="G185" s="3" t="n">
        <v>45706</v>
      </c>
      <c r="H185" s="3" t="n">
        <v>45714</v>
      </c>
      <c r="I185" s="15" t="s">
        <v>167</v>
      </c>
      <c r="J185" s="15" t="n">
        <v>12</v>
      </c>
      <c r="K185" s="3" t="n">
        <v>45777</v>
      </c>
      <c r="L185" s="20" t="n">
        <f aca="false">IF(K185="","",EOMONTH(K185,2))</f>
        <v>45838</v>
      </c>
    </row>
    <row r="186" customFormat="false" ht="14.25" hidden="false" customHeight="true" outlineLevel="0" collapsed="false">
      <c r="A186" s="15" t="n">
        <v>5554</v>
      </c>
      <c r="B186" s="15" t="s">
        <v>275</v>
      </c>
      <c r="C186" s="15" t="s">
        <v>184</v>
      </c>
      <c r="D186" s="15" t="s">
        <v>185</v>
      </c>
      <c r="E186" s="13" t="s">
        <v>333</v>
      </c>
      <c r="F186" s="3" t="n">
        <v>45717</v>
      </c>
      <c r="G186" s="15"/>
      <c r="H186" s="3" t="n">
        <v>45723</v>
      </c>
      <c r="I186" s="15" t="s">
        <v>167</v>
      </c>
      <c r="J186" s="15" t="n">
        <v>1</v>
      </c>
      <c r="K186" s="15"/>
      <c r="L186" s="20" t="str">
        <f aca="false">IF(K186="","",EOMONTH(K186,2))</f>
        <v/>
      </c>
    </row>
    <row r="187" customFormat="false" ht="14.25" hidden="false" customHeight="true" outlineLevel="0" collapsed="false">
      <c r="A187" s="15" t="n">
        <v>5552</v>
      </c>
      <c r="B187" s="15" t="s">
        <v>183</v>
      </c>
      <c r="C187" s="15" t="s">
        <v>184</v>
      </c>
      <c r="D187" s="15" t="s">
        <v>185</v>
      </c>
      <c r="E187" s="13" t="s">
        <v>334</v>
      </c>
      <c r="F187" s="3" t="n">
        <v>45720</v>
      </c>
      <c r="G187" s="3" t="n">
        <v>45725</v>
      </c>
      <c r="H187" s="3" t="n">
        <v>45720</v>
      </c>
      <c r="I187" s="15" t="s">
        <v>167</v>
      </c>
      <c r="J187" s="15" t="n">
        <v>1</v>
      </c>
      <c r="K187" s="3" t="n">
        <v>45808</v>
      </c>
      <c r="L187" s="20" t="n">
        <f aca="false">IF(K187="","",EOMONTH(K187,2))</f>
        <v>45869</v>
      </c>
    </row>
    <row r="188" customFormat="false" ht="14.25" hidden="false" customHeight="true" outlineLevel="0" collapsed="false">
      <c r="A188" s="15" t="n">
        <v>5553</v>
      </c>
      <c r="B188" s="15" t="s">
        <v>183</v>
      </c>
      <c r="C188" s="15" t="s">
        <v>184</v>
      </c>
      <c r="D188" s="15" t="s">
        <v>185</v>
      </c>
      <c r="E188" s="13" t="s">
        <v>335</v>
      </c>
      <c r="F188" s="3" t="n">
        <v>45720</v>
      </c>
      <c r="G188" s="3" t="n">
        <v>45721</v>
      </c>
      <c r="H188" s="3" t="n">
        <v>45721</v>
      </c>
      <c r="I188" s="15" t="s">
        <v>167</v>
      </c>
      <c r="J188" s="15" t="n">
        <v>2</v>
      </c>
      <c r="K188" s="3" t="n">
        <v>45808</v>
      </c>
      <c r="L188" s="20" t="n">
        <f aca="false">IF(K188="","",EOMONTH(K188,2))</f>
        <v>45869</v>
      </c>
    </row>
    <row r="189" customFormat="false" ht="14.25" hidden="false" customHeight="true" outlineLevel="0" collapsed="false">
      <c r="A189" s="15" t="n">
        <v>4881</v>
      </c>
      <c r="B189" s="15" t="s">
        <v>178</v>
      </c>
      <c r="C189" s="15" t="s">
        <v>164</v>
      </c>
      <c r="D189" s="15" t="s">
        <v>165</v>
      </c>
      <c r="E189" s="13" t="s">
        <v>203</v>
      </c>
      <c r="F189" s="3" t="n">
        <v>45729</v>
      </c>
      <c r="G189" s="3" t="n">
        <v>45736</v>
      </c>
      <c r="H189" s="3" t="n">
        <v>45860</v>
      </c>
      <c r="I189" s="15" t="s">
        <v>167</v>
      </c>
      <c r="J189" s="15" t="n">
        <v>4</v>
      </c>
      <c r="K189" s="3" t="n">
        <v>45808</v>
      </c>
      <c r="L189" s="20" t="n">
        <f aca="false">IF(K189="","",EOMONTH(K189,2))</f>
        <v>45869</v>
      </c>
    </row>
    <row r="190" customFormat="false" ht="14.25" hidden="false" customHeight="true" outlineLevel="0" collapsed="false">
      <c r="A190" s="15" t="n">
        <v>4865</v>
      </c>
      <c r="B190" s="15" t="s">
        <v>219</v>
      </c>
      <c r="C190" s="15" t="s">
        <v>164</v>
      </c>
      <c r="D190" s="15" t="s">
        <v>165</v>
      </c>
      <c r="E190" s="13" t="s">
        <v>210</v>
      </c>
      <c r="F190" s="3" t="n">
        <v>45730</v>
      </c>
      <c r="G190" s="3" t="n">
        <v>45731</v>
      </c>
      <c r="H190" s="3" t="n">
        <v>45785</v>
      </c>
      <c r="I190" s="15" t="s">
        <v>167</v>
      </c>
      <c r="J190" s="15" t="n">
        <v>9</v>
      </c>
      <c r="K190" s="3" t="n">
        <v>45808</v>
      </c>
      <c r="L190" s="20" t="n">
        <f aca="false">IF(K190="","",EOMONTH(K190,2))</f>
        <v>45869</v>
      </c>
    </row>
    <row r="191" customFormat="false" ht="14.25" hidden="false" customHeight="true" outlineLevel="0" collapsed="false">
      <c r="A191" s="15" t="n">
        <v>4866</v>
      </c>
      <c r="B191" s="15" t="s">
        <v>188</v>
      </c>
      <c r="C191" s="15" t="s">
        <v>164</v>
      </c>
      <c r="D191" s="15" t="s">
        <v>185</v>
      </c>
      <c r="E191" s="13" t="s">
        <v>314</v>
      </c>
      <c r="F191" s="3" t="n">
        <v>45730</v>
      </c>
      <c r="G191" s="3" t="n">
        <v>45737</v>
      </c>
      <c r="H191" s="3" t="n">
        <v>45798</v>
      </c>
      <c r="I191" s="15" t="s">
        <v>167</v>
      </c>
      <c r="J191" s="15" t="n">
        <v>7</v>
      </c>
      <c r="K191" s="3" t="n">
        <v>45808</v>
      </c>
      <c r="L191" s="20" t="n">
        <f aca="false">IF(K191="","",EOMONTH(K191,2))</f>
        <v>45869</v>
      </c>
    </row>
    <row r="192" customFormat="false" ht="14.25" hidden="false" customHeight="true" outlineLevel="0" collapsed="false">
      <c r="A192" s="15" t="n">
        <v>4867</v>
      </c>
      <c r="B192" s="15" t="s">
        <v>217</v>
      </c>
      <c r="C192" s="15" t="s">
        <v>164</v>
      </c>
      <c r="D192" s="15" t="s">
        <v>165</v>
      </c>
      <c r="E192" s="13" t="s">
        <v>336</v>
      </c>
      <c r="F192" s="3" t="n">
        <v>45730</v>
      </c>
      <c r="G192" s="3" t="n">
        <v>45731</v>
      </c>
      <c r="H192" s="3" t="n">
        <v>45798</v>
      </c>
      <c r="I192" s="15" t="s">
        <v>167</v>
      </c>
      <c r="J192" s="15" t="n">
        <v>25</v>
      </c>
      <c r="K192" s="3" t="n">
        <v>45808</v>
      </c>
      <c r="L192" s="20" t="n">
        <f aca="false">IF(K192="","",EOMONTH(K192,2))</f>
        <v>45869</v>
      </c>
    </row>
    <row r="193" customFormat="false" ht="25.5" hidden="false" customHeight="true" outlineLevel="0" collapsed="false">
      <c r="A193" s="15" t="n">
        <v>4869</v>
      </c>
      <c r="B193" s="15" t="s">
        <v>168</v>
      </c>
      <c r="C193" s="15" t="s">
        <v>164</v>
      </c>
      <c r="D193" s="15" t="s">
        <v>165</v>
      </c>
      <c r="E193" s="13" t="s">
        <v>337</v>
      </c>
      <c r="F193" s="3" t="n">
        <v>45730</v>
      </c>
      <c r="G193" s="3" t="n">
        <v>45735</v>
      </c>
      <c r="H193" s="3" t="n">
        <v>45798</v>
      </c>
      <c r="I193" s="15" t="s">
        <v>167</v>
      </c>
      <c r="J193" s="15" t="n">
        <v>28</v>
      </c>
      <c r="K193" s="3" t="n">
        <v>45808</v>
      </c>
      <c r="L193" s="20" t="n">
        <f aca="false">IF(K193="","",EOMONTH(K193,2))</f>
        <v>45869</v>
      </c>
    </row>
    <row r="194" customFormat="false" ht="14.25" hidden="false" customHeight="true" outlineLevel="0" collapsed="false">
      <c r="A194" s="15" t="n">
        <v>4874</v>
      </c>
      <c r="B194" s="15" t="s">
        <v>24</v>
      </c>
      <c r="C194" s="15" t="s">
        <v>164</v>
      </c>
      <c r="D194" s="15" t="s">
        <v>165</v>
      </c>
      <c r="E194" s="13" t="s">
        <v>202</v>
      </c>
      <c r="F194" s="3" t="n">
        <v>45730</v>
      </c>
      <c r="G194" s="3" t="n">
        <v>45731</v>
      </c>
      <c r="H194" s="3" t="n">
        <v>45798</v>
      </c>
      <c r="I194" s="15" t="s">
        <v>167</v>
      </c>
      <c r="J194" s="15" t="n">
        <v>18</v>
      </c>
      <c r="K194" s="3" t="n">
        <v>45808</v>
      </c>
      <c r="L194" s="20" t="n">
        <f aca="false">IF(K194="","",EOMONTH(K194,2))</f>
        <v>45869</v>
      </c>
    </row>
    <row r="195" customFormat="false" ht="14.25" hidden="false" customHeight="true" outlineLevel="0" collapsed="false">
      <c r="A195" s="15" t="n">
        <v>5555</v>
      </c>
      <c r="B195" s="15" t="s">
        <v>183</v>
      </c>
      <c r="C195" s="15" t="s">
        <v>184</v>
      </c>
      <c r="D195" s="15" t="s">
        <v>185</v>
      </c>
      <c r="E195" s="13" t="s">
        <v>338</v>
      </c>
      <c r="F195" s="3" t="n">
        <v>45730</v>
      </c>
      <c r="G195" s="3" t="n">
        <v>45732</v>
      </c>
      <c r="H195" s="3" t="n">
        <v>45730</v>
      </c>
      <c r="I195" s="15" t="s">
        <v>167</v>
      </c>
      <c r="J195" s="15" t="n">
        <v>2</v>
      </c>
      <c r="K195" s="3" t="n">
        <v>45808</v>
      </c>
      <c r="L195" s="20" t="n">
        <f aca="false">IF(K195="","",EOMONTH(K195,2))</f>
        <v>45869</v>
      </c>
    </row>
    <row r="196" customFormat="false" ht="14.25" hidden="false" customHeight="true" outlineLevel="0" collapsed="false">
      <c r="A196" s="15" t="n">
        <v>5556</v>
      </c>
      <c r="B196" s="15" t="s">
        <v>168</v>
      </c>
      <c r="C196" s="15" t="s">
        <v>184</v>
      </c>
      <c r="D196" s="15" t="s">
        <v>185</v>
      </c>
      <c r="E196" s="13" t="s">
        <v>339</v>
      </c>
      <c r="F196" s="3" t="n">
        <v>45730</v>
      </c>
      <c r="G196" s="3" t="n">
        <v>45732</v>
      </c>
      <c r="H196" s="3" t="n">
        <v>45730</v>
      </c>
      <c r="I196" s="15" t="s">
        <v>167</v>
      </c>
      <c r="J196" s="15" t="n">
        <v>1</v>
      </c>
      <c r="K196" s="3" t="n">
        <v>45808</v>
      </c>
      <c r="L196" s="20" t="n">
        <f aca="false">IF(K196="","",EOMONTH(K196,2))</f>
        <v>45869</v>
      </c>
    </row>
    <row r="197" customFormat="false" ht="14.25" hidden="false" customHeight="true" outlineLevel="0" collapsed="false">
      <c r="A197" s="15" t="n">
        <v>5557</v>
      </c>
      <c r="B197" s="15" t="s">
        <v>188</v>
      </c>
      <c r="C197" s="15" t="s">
        <v>184</v>
      </c>
      <c r="D197" s="15" t="s">
        <v>185</v>
      </c>
      <c r="E197" s="13" t="s">
        <v>340</v>
      </c>
      <c r="F197" s="3" t="n">
        <v>45730</v>
      </c>
      <c r="G197" s="3" t="n">
        <v>45741</v>
      </c>
      <c r="H197" s="3" t="n">
        <v>45730</v>
      </c>
      <c r="I197" s="15" t="s">
        <v>167</v>
      </c>
      <c r="J197" s="15" t="n">
        <v>3</v>
      </c>
      <c r="K197" s="3" t="n">
        <v>45808</v>
      </c>
      <c r="L197" s="20" t="n">
        <f aca="false">IF(K197="","",EOMONTH(K197,2))</f>
        <v>45869</v>
      </c>
    </row>
    <row r="198" customFormat="false" ht="14.25" hidden="false" customHeight="true" outlineLevel="0" collapsed="false">
      <c r="A198" s="15" t="n">
        <v>5558</v>
      </c>
      <c r="B198" s="15" t="s">
        <v>188</v>
      </c>
      <c r="C198" s="15" t="s">
        <v>184</v>
      </c>
      <c r="D198" s="15" t="s">
        <v>185</v>
      </c>
      <c r="E198" s="13" t="s">
        <v>341</v>
      </c>
      <c r="F198" s="3" t="n">
        <v>45730</v>
      </c>
      <c r="G198" s="3" t="n">
        <v>45742</v>
      </c>
      <c r="H198" s="3" t="n">
        <v>45730</v>
      </c>
      <c r="I198" s="15" t="s">
        <v>167</v>
      </c>
      <c r="J198" s="15" t="n">
        <v>1</v>
      </c>
      <c r="K198" s="3" t="n">
        <v>45808</v>
      </c>
      <c r="L198" s="20" t="n">
        <f aca="false">IF(K198="","",EOMONTH(K198,2))</f>
        <v>45869</v>
      </c>
    </row>
    <row r="199" customFormat="false" ht="14.25" hidden="false" customHeight="true" outlineLevel="0" collapsed="false">
      <c r="A199" s="15" t="n">
        <v>5559</v>
      </c>
      <c r="B199" s="15" t="s">
        <v>188</v>
      </c>
      <c r="C199" s="15" t="s">
        <v>184</v>
      </c>
      <c r="D199" s="15" t="s">
        <v>185</v>
      </c>
      <c r="E199" s="13" t="s">
        <v>342</v>
      </c>
      <c r="F199" s="3" t="n">
        <v>45730</v>
      </c>
      <c r="G199" s="3" t="n">
        <v>45735</v>
      </c>
      <c r="H199" s="3" t="n">
        <v>45730</v>
      </c>
      <c r="I199" s="15" t="s">
        <v>167</v>
      </c>
      <c r="J199" s="15" t="n">
        <v>1</v>
      </c>
      <c r="K199" s="3" t="n">
        <v>45808</v>
      </c>
      <c r="L199" s="20" t="n">
        <f aca="false">IF(K199="","",EOMONTH(K199,2))</f>
        <v>45869</v>
      </c>
    </row>
    <row r="200" customFormat="false" ht="14.25" hidden="false" customHeight="true" outlineLevel="0" collapsed="false">
      <c r="A200" s="15" t="n">
        <v>5560</v>
      </c>
      <c r="B200" s="15" t="s">
        <v>188</v>
      </c>
      <c r="C200" s="15" t="s">
        <v>184</v>
      </c>
      <c r="D200" s="15" t="s">
        <v>185</v>
      </c>
      <c r="E200" s="13" t="s">
        <v>343</v>
      </c>
      <c r="F200" s="3" t="n">
        <v>45730</v>
      </c>
      <c r="G200" s="3" t="n">
        <v>45742</v>
      </c>
      <c r="H200" s="3" t="n">
        <v>45730</v>
      </c>
      <c r="I200" s="15" t="s">
        <v>167</v>
      </c>
      <c r="J200" s="15" t="n">
        <v>1</v>
      </c>
      <c r="K200" s="3" t="n">
        <v>45808</v>
      </c>
      <c r="L200" s="20" t="n">
        <f aca="false">IF(K200="","",EOMONTH(K200,2))</f>
        <v>45869</v>
      </c>
    </row>
    <row r="201" customFormat="false" ht="14.25" hidden="false" customHeight="true" outlineLevel="0" collapsed="false">
      <c r="A201" s="15" t="n">
        <v>5561</v>
      </c>
      <c r="B201" s="15" t="s">
        <v>188</v>
      </c>
      <c r="C201" s="15" t="s">
        <v>184</v>
      </c>
      <c r="D201" s="15" t="s">
        <v>185</v>
      </c>
      <c r="E201" s="13" t="s">
        <v>344</v>
      </c>
      <c r="F201" s="3" t="n">
        <v>45730</v>
      </c>
      <c r="G201" s="3" t="n">
        <v>45746</v>
      </c>
      <c r="H201" s="3" t="n">
        <v>45730</v>
      </c>
      <c r="I201" s="15" t="s">
        <v>167</v>
      </c>
      <c r="J201" s="15" t="n">
        <v>2</v>
      </c>
      <c r="K201" s="3" t="n">
        <v>45808</v>
      </c>
      <c r="L201" s="20" t="n">
        <f aca="false">IF(K201="","",EOMONTH(K201,2))</f>
        <v>45869</v>
      </c>
    </row>
    <row r="202" customFormat="false" ht="14.25" hidden="false" customHeight="true" outlineLevel="0" collapsed="false">
      <c r="A202" s="15" t="n">
        <v>5562</v>
      </c>
      <c r="B202" s="15" t="s">
        <v>188</v>
      </c>
      <c r="C202" s="15" t="s">
        <v>184</v>
      </c>
      <c r="D202" s="15" t="s">
        <v>185</v>
      </c>
      <c r="E202" s="13" t="s">
        <v>345</v>
      </c>
      <c r="F202" s="3" t="n">
        <v>45730</v>
      </c>
      <c r="G202" s="3" t="n">
        <v>45740</v>
      </c>
      <c r="H202" s="3" t="n">
        <v>45730</v>
      </c>
      <c r="I202" s="15" t="s">
        <v>167</v>
      </c>
      <c r="J202" s="15" t="n">
        <v>2</v>
      </c>
      <c r="K202" s="3" t="n">
        <v>45808</v>
      </c>
      <c r="L202" s="20" t="n">
        <f aca="false">IF(K202="","",EOMONTH(K202,2))</f>
        <v>45869</v>
      </c>
    </row>
    <row r="203" customFormat="false" ht="14.25" hidden="false" customHeight="true" outlineLevel="0" collapsed="false">
      <c r="A203" s="15" t="n">
        <v>5563</v>
      </c>
      <c r="B203" s="15" t="s">
        <v>188</v>
      </c>
      <c r="C203" s="15" t="s">
        <v>184</v>
      </c>
      <c r="D203" s="15" t="s">
        <v>185</v>
      </c>
      <c r="E203" s="13" t="s">
        <v>346</v>
      </c>
      <c r="F203" s="3" t="n">
        <v>45730</v>
      </c>
      <c r="G203" s="3" t="n">
        <v>45743</v>
      </c>
      <c r="H203" s="3" t="n">
        <v>45731</v>
      </c>
      <c r="I203" s="15" t="s">
        <v>167</v>
      </c>
      <c r="J203" s="15" t="n">
        <v>2</v>
      </c>
      <c r="K203" s="3" t="n">
        <v>45808</v>
      </c>
      <c r="L203" s="20" t="n">
        <f aca="false">IF(K203="","",EOMONTH(K203,2))</f>
        <v>45869</v>
      </c>
    </row>
    <row r="204" customFormat="false" ht="14.25" hidden="false" customHeight="true" outlineLevel="0" collapsed="false">
      <c r="A204" s="15" t="n">
        <v>5564</v>
      </c>
      <c r="B204" s="15" t="s">
        <v>188</v>
      </c>
      <c r="C204" s="15" t="s">
        <v>184</v>
      </c>
      <c r="D204" s="15" t="s">
        <v>185</v>
      </c>
      <c r="E204" s="13" t="s">
        <v>347</v>
      </c>
      <c r="F204" s="3" t="n">
        <v>45730</v>
      </c>
      <c r="G204" s="3" t="n">
        <v>45735</v>
      </c>
      <c r="H204" s="3" t="n">
        <v>45731</v>
      </c>
      <c r="I204" s="15" t="s">
        <v>167</v>
      </c>
      <c r="J204" s="15" t="n">
        <v>1</v>
      </c>
      <c r="K204" s="3" t="n">
        <v>45808</v>
      </c>
      <c r="L204" s="20" t="n">
        <f aca="false">IF(K204="","",EOMONTH(K204,2))</f>
        <v>45869</v>
      </c>
    </row>
    <row r="205" customFormat="false" ht="14.25" hidden="false" customHeight="true" outlineLevel="0" collapsed="false">
      <c r="A205" s="15" t="n">
        <v>5565</v>
      </c>
      <c r="B205" s="15" t="s">
        <v>188</v>
      </c>
      <c r="C205" s="15" t="s">
        <v>184</v>
      </c>
      <c r="D205" s="15" t="s">
        <v>185</v>
      </c>
      <c r="E205" s="13" t="s">
        <v>348</v>
      </c>
      <c r="F205" s="3" t="n">
        <v>45730</v>
      </c>
      <c r="G205" s="3" t="n">
        <v>45731</v>
      </c>
      <c r="H205" s="3" t="n">
        <v>45731</v>
      </c>
      <c r="I205" s="15" t="s">
        <v>167</v>
      </c>
      <c r="J205" s="15" t="n">
        <v>1</v>
      </c>
      <c r="K205" s="3" t="n">
        <v>45808</v>
      </c>
      <c r="L205" s="20" t="n">
        <f aca="false">IF(K205="","",EOMONTH(K205,2))</f>
        <v>45869</v>
      </c>
    </row>
    <row r="206" customFormat="false" ht="14.25" hidden="false" customHeight="true" outlineLevel="0" collapsed="false">
      <c r="A206" s="15" t="n">
        <v>5566</v>
      </c>
      <c r="B206" s="15" t="s">
        <v>188</v>
      </c>
      <c r="C206" s="15" t="s">
        <v>184</v>
      </c>
      <c r="D206" s="15" t="s">
        <v>185</v>
      </c>
      <c r="E206" s="13" t="s">
        <v>349</v>
      </c>
      <c r="F206" s="3" t="n">
        <v>45730</v>
      </c>
      <c r="G206" s="3" t="n">
        <v>45742</v>
      </c>
      <c r="H206" s="3" t="n">
        <v>45731</v>
      </c>
      <c r="I206" s="15" t="s">
        <v>167</v>
      </c>
      <c r="J206" s="15" t="n">
        <v>2</v>
      </c>
      <c r="K206" s="3" t="n">
        <v>45808</v>
      </c>
      <c r="L206" s="20" t="n">
        <f aca="false">IF(K206="","",EOMONTH(K206,2))</f>
        <v>45869</v>
      </c>
    </row>
    <row r="207" customFormat="false" ht="14.25" hidden="false" customHeight="true" outlineLevel="0" collapsed="false">
      <c r="A207" s="15" t="n">
        <v>5567</v>
      </c>
      <c r="B207" s="15" t="s">
        <v>188</v>
      </c>
      <c r="C207" s="15" t="s">
        <v>184</v>
      </c>
      <c r="D207" s="15" t="s">
        <v>185</v>
      </c>
      <c r="E207" s="13" t="s">
        <v>350</v>
      </c>
      <c r="F207" s="3" t="n">
        <v>45730</v>
      </c>
      <c r="G207" s="3" t="n">
        <v>45744</v>
      </c>
      <c r="H207" s="3" t="n">
        <v>45731</v>
      </c>
      <c r="I207" s="15" t="s">
        <v>167</v>
      </c>
      <c r="J207" s="15" t="n">
        <v>1</v>
      </c>
      <c r="K207" s="3" t="n">
        <v>45808</v>
      </c>
      <c r="L207" s="20" t="n">
        <f aca="false">IF(K207="","",EOMONTH(K207,2))</f>
        <v>45869</v>
      </c>
    </row>
    <row r="208" customFormat="false" ht="14.25" hidden="false" customHeight="true" outlineLevel="0" collapsed="false">
      <c r="A208" s="15" t="n">
        <v>5568</v>
      </c>
      <c r="B208" s="15" t="s">
        <v>188</v>
      </c>
      <c r="C208" s="15" t="s">
        <v>184</v>
      </c>
      <c r="D208" s="15" t="s">
        <v>185</v>
      </c>
      <c r="E208" s="13" t="s">
        <v>351</v>
      </c>
      <c r="F208" s="3" t="n">
        <v>45730</v>
      </c>
      <c r="G208" s="3" t="n">
        <v>45733</v>
      </c>
      <c r="H208" s="3" t="n">
        <v>45731</v>
      </c>
      <c r="I208" s="15" t="s">
        <v>167</v>
      </c>
      <c r="J208" s="15" t="n">
        <v>1</v>
      </c>
      <c r="K208" s="3" t="n">
        <v>45808</v>
      </c>
      <c r="L208" s="20" t="n">
        <f aca="false">IF(K208="","",EOMONTH(K208,2))</f>
        <v>45869</v>
      </c>
    </row>
    <row r="209" customFormat="false" ht="14.25" hidden="false" customHeight="true" outlineLevel="0" collapsed="false">
      <c r="A209" s="15" t="n">
        <v>5569</v>
      </c>
      <c r="B209" s="15" t="s">
        <v>188</v>
      </c>
      <c r="C209" s="15" t="s">
        <v>184</v>
      </c>
      <c r="D209" s="15" t="s">
        <v>185</v>
      </c>
      <c r="E209" s="13" t="s">
        <v>352</v>
      </c>
      <c r="F209" s="3" t="n">
        <v>45730</v>
      </c>
      <c r="G209" s="3" t="n">
        <v>45733</v>
      </c>
      <c r="H209" s="3" t="n">
        <v>45731</v>
      </c>
      <c r="I209" s="15" t="s">
        <v>167</v>
      </c>
      <c r="J209" s="15" t="n">
        <v>1</v>
      </c>
      <c r="K209" s="3" t="n">
        <v>45808</v>
      </c>
      <c r="L209" s="20" t="n">
        <f aca="false">IF(K209="","",EOMONTH(K209,2))</f>
        <v>45869</v>
      </c>
    </row>
    <row r="210" customFormat="false" ht="14.25" hidden="false" customHeight="true" outlineLevel="0" collapsed="false">
      <c r="A210" s="15" t="n">
        <v>5570</v>
      </c>
      <c r="B210" s="15" t="s">
        <v>183</v>
      </c>
      <c r="C210" s="15" t="s">
        <v>184</v>
      </c>
      <c r="D210" s="15" t="s">
        <v>185</v>
      </c>
      <c r="E210" s="13" t="s">
        <v>353</v>
      </c>
      <c r="F210" s="3" t="n">
        <v>45731</v>
      </c>
      <c r="G210" s="3" t="n">
        <v>45737</v>
      </c>
      <c r="H210" s="3" t="n">
        <v>45731</v>
      </c>
      <c r="I210" s="15" t="s">
        <v>167</v>
      </c>
      <c r="J210" s="15" t="n">
        <v>1</v>
      </c>
      <c r="K210" s="3" t="n">
        <v>45808</v>
      </c>
      <c r="L210" s="20" t="n">
        <f aca="false">IF(K210="","",EOMONTH(K210,2))</f>
        <v>45869</v>
      </c>
    </row>
    <row r="211" customFormat="false" ht="14.25" hidden="false" customHeight="true" outlineLevel="0" collapsed="false">
      <c r="A211" s="15" t="n">
        <v>4868</v>
      </c>
      <c r="B211" s="15" t="s">
        <v>199</v>
      </c>
      <c r="C211" s="15" t="s">
        <v>164</v>
      </c>
      <c r="D211" s="15" t="s">
        <v>169</v>
      </c>
      <c r="E211" s="13" t="s">
        <v>200</v>
      </c>
      <c r="F211" s="3" t="n">
        <v>45734</v>
      </c>
      <c r="G211" s="3" t="n">
        <v>45735</v>
      </c>
      <c r="H211" s="3" t="n">
        <v>45798</v>
      </c>
      <c r="I211" s="15" t="s">
        <v>167</v>
      </c>
      <c r="J211" s="15" t="n">
        <v>28</v>
      </c>
      <c r="K211" s="3" t="n">
        <v>45808</v>
      </c>
      <c r="L211" s="20" t="n">
        <f aca="false">IF(K211="","",EOMONTH(K211,2))</f>
        <v>45869</v>
      </c>
    </row>
    <row r="212" customFormat="false" ht="14.25" hidden="false" customHeight="true" outlineLevel="0" collapsed="false">
      <c r="A212" s="15" t="n">
        <v>5571</v>
      </c>
      <c r="B212" s="15" t="s">
        <v>183</v>
      </c>
      <c r="C212" s="15" t="s">
        <v>184</v>
      </c>
      <c r="D212" s="15" t="s">
        <v>185</v>
      </c>
      <c r="E212" s="13" t="s">
        <v>354</v>
      </c>
      <c r="F212" s="3" t="n">
        <v>45734</v>
      </c>
      <c r="G212" s="3" t="n">
        <v>45737</v>
      </c>
      <c r="H212" s="3" t="n">
        <v>45734</v>
      </c>
      <c r="I212" s="15" t="s">
        <v>167</v>
      </c>
      <c r="J212" s="15" t="n">
        <v>1</v>
      </c>
      <c r="K212" s="3" t="n">
        <v>45808</v>
      </c>
      <c r="L212" s="20" t="n">
        <f aca="false">IF(K212="","",EOMONTH(K212,2))</f>
        <v>45869</v>
      </c>
    </row>
    <row r="213" customFormat="false" ht="14.25" hidden="false" customHeight="true" outlineLevel="0" collapsed="false">
      <c r="A213" s="15" t="n">
        <v>4870</v>
      </c>
      <c r="B213" s="15" t="s">
        <v>209</v>
      </c>
      <c r="C213" s="15" t="s">
        <v>164</v>
      </c>
      <c r="D213" s="15" t="s">
        <v>169</v>
      </c>
      <c r="E213" s="13" t="s">
        <v>170</v>
      </c>
      <c r="F213" s="3" t="n">
        <v>45735</v>
      </c>
      <c r="G213" s="3" t="n">
        <v>45735</v>
      </c>
      <c r="H213" s="3" t="n">
        <v>45798</v>
      </c>
      <c r="I213" s="15" t="s">
        <v>167</v>
      </c>
      <c r="J213" s="15" t="n">
        <v>4</v>
      </c>
      <c r="K213" s="3" t="n">
        <v>45808</v>
      </c>
      <c r="L213" s="20" t="n">
        <f aca="false">IF(K213="","",EOMONTH(K213,2))</f>
        <v>45869</v>
      </c>
    </row>
    <row r="214" customFormat="false" ht="14.25" hidden="false" customHeight="true" outlineLevel="0" collapsed="false">
      <c r="A214" s="15" t="n">
        <v>5572</v>
      </c>
      <c r="B214" s="15" t="s">
        <v>188</v>
      </c>
      <c r="C214" s="15" t="s">
        <v>184</v>
      </c>
      <c r="D214" s="15" t="s">
        <v>185</v>
      </c>
      <c r="E214" s="13" t="s">
        <v>355</v>
      </c>
      <c r="F214" s="3" t="n">
        <v>45735</v>
      </c>
      <c r="G214" s="3" t="n">
        <v>45744</v>
      </c>
      <c r="H214" s="3" t="n">
        <v>45735</v>
      </c>
      <c r="I214" s="15" t="s">
        <v>167</v>
      </c>
      <c r="J214" s="15" t="n">
        <v>1</v>
      </c>
      <c r="K214" s="3" t="n">
        <v>45808</v>
      </c>
      <c r="L214" s="20" t="n">
        <f aca="false">IF(K214="","",EOMONTH(K214,2))</f>
        <v>45869</v>
      </c>
    </row>
    <row r="215" customFormat="false" ht="14.25" hidden="false" customHeight="true" outlineLevel="0" collapsed="false">
      <c r="A215" s="15" t="n">
        <v>5573</v>
      </c>
      <c r="B215" s="15" t="s">
        <v>183</v>
      </c>
      <c r="C215" s="15" t="s">
        <v>184</v>
      </c>
      <c r="D215" s="15" t="s">
        <v>185</v>
      </c>
      <c r="E215" s="13" t="s">
        <v>356</v>
      </c>
      <c r="F215" s="3" t="n">
        <v>45735</v>
      </c>
      <c r="G215" s="3" t="n">
        <v>45742</v>
      </c>
      <c r="H215" s="3" t="n">
        <v>45736</v>
      </c>
      <c r="I215" s="15" t="s">
        <v>167</v>
      </c>
      <c r="J215" s="15" t="n">
        <v>2</v>
      </c>
      <c r="K215" s="3" t="n">
        <v>45808</v>
      </c>
      <c r="L215" s="20" t="n">
        <f aca="false">IF(K215="","",EOMONTH(K215,2))</f>
        <v>45869</v>
      </c>
    </row>
    <row r="216" customFormat="false" ht="14.25" hidden="false" customHeight="true" outlineLevel="0" collapsed="false">
      <c r="A216" s="15" t="n">
        <v>5574</v>
      </c>
      <c r="B216" s="15" t="s">
        <v>278</v>
      </c>
      <c r="C216" s="15" t="s">
        <v>184</v>
      </c>
      <c r="D216" s="15" t="s">
        <v>185</v>
      </c>
      <c r="E216" s="13" t="s">
        <v>357</v>
      </c>
      <c r="F216" s="3" t="n">
        <v>45735</v>
      </c>
      <c r="G216" s="15"/>
      <c r="H216" s="3" t="n">
        <v>45738</v>
      </c>
      <c r="I216" s="15" t="s">
        <v>167</v>
      </c>
      <c r="J216" s="15" t="n">
        <v>1</v>
      </c>
      <c r="K216" s="15"/>
      <c r="L216" s="20" t="str">
        <f aca="false">IF(K216="","",EOMONTH(K216,2))</f>
        <v/>
      </c>
    </row>
    <row r="217" customFormat="false" ht="14.25" hidden="false" customHeight="true" outlineLevel="0" collapsed="false">
      <c r="A217" s="15" t="n">
        <v>5575</v>
      </c>
      <c r="B217" s="15" t="s">
        <v>275</v>
      </c>
      <c r="C217" s="15" t="s">
        <v>184</v>
      </c>
      <c r="D217" s="15" t="s">
        <v>185</v>
      </c>
      <c r="E217" s="13" t="s">
        <v>358</v>
      </c>
      <c r="F217" s="3" t="n">
        <v>45737</v>
      </c>
      <c r="G217" s="15"/>
      <c r="H217" s="3" t="n">
        <v>45739</v>
      </c>
      <c r="I217" s="15" t="s">
        <v>167</v>
      </c>
      <c r="J217" s="15" t="n">
        <v>1</v>
      </c>
      <c r="K217" s="15"/>
      <c r="L217" s="20" t="str">
        <f aca="false">IF(K217="","",EOMONTH(K217,2))</f>
        <v/>
      </c>
    </row>
    <row r="218" customFormat="false" ht="14.25" hidden="false" customHeight="true" outlineLevel="0" collapsed="false">
      <c r="A218" s="15" t="n">
        <v>5576</v>
      </c>
      <c r="B218" s="15" t="s">
        <v>275</v>
      </c>
      <c r="C218" s="15" t="s">
        <v>184</v>
      </c>
      <c r="D218" s="15" t="s">
        <v>185</v>
      </c>
      <c r="E218" s="13" t="s">
        <v>359</v>
      </c>
      <c r="F218" s="3" t="n">
        <v>45739</v>
      </c>
      <c r="G218" s="15"/>
      <c r="H218" s="3" t="n">
        <v>45739</v>
      </c>
      <c r="I218" s="15" t="s">
        <v>167</v>
      </c>
      <c r="J218" s="15" t="n">
        <v>2</v>
      </c>
      <c r="K218" s="15"/>
      <c r="L218" s="20" t="str">
        <f aca="false">IF(K218="","",EOMONTH(K218,2))</f>
        <v/>
      </c>
    </row>
    <row r="219" customFormat="false" ht="14.25" hidden="false" customHeight="true" outlineLevel="0" collapsed="false">
      <c r="A219" s="15" t="n">
        <v>5577</v>
      </c>
      <c r="B219" s="15" t="s">
        <v>278</v>
      </c>
      <c r="C219" s="15" t="s">
        <v>184</v>
      </c>
      <c r="D219" s="15" t="s">
        <v>185</v>
      </c>
      <c r="E219" s="13" t="s">
        <v>360</v>
      </c>
      <c r="F219" s="3" t="n">
        <v>45741</v>
      </c>
      <c r="G219" s="15"/>
      <c r="H219" s="3" t="n">
        <v>45742</v>
      </c>
      <c r="I219" s="15" t="s">
        <v>167</v>
      </c>
      <c r="J219" s="15" t="n">
        <v>1</v>
      </c>
      <c r="K219" s="15"/>
      <c r="L219" s="20" t="str">
        <f aca="false">IF(K219="","",EOMONTH(K219,2))</f>
        <v/>
      </c>
    </row>
    <row r="220" customFormat="false" ht="14.25" hidden="false" customHeight="true" outlineLevel="0" collapsed="false">
      <c r="A220" s="15" t="n">
        <v>4871</v>
      </c>
      <c r="B220" s="15" t="s">
        <v>183</v>
      </c>
      <c r="C220" s="15" t="s">
        <v>164</v>
      </c>
      <c r="D220" s="15" t="s">
        <v>180</v>
      </c>
      <c r="E220" s="13" t="s">
        <v>172</v>
      </c>
      <c r="F220" s="3" t="n">
        <v>45742</v>
      </c>
      <c r="G220" s="3" t="n">
        <v>45744</v>
      </c>
      <c r="H220" s="3" t="n">
        <v>45798</v>
      </c>
      <c r="I220" s="15" t="s">
        <v>167</v>
      </c>
      <c r="J220" s="15" t="n">
        <v>4</v>
      </c>
      <c r="K220" s="3" t="n">
        <v>45808</v>
      </c>
      <c r="L220" s="20" t="n">
        <f aca="false">IF(K220="","",EOMONTH(K220,2))</f>
        <v>45869</v>
      </c>
    </row>
    <row r="221" customFormat="false" ht="14.25" hidden="false" customHeight="true" outlineLevel="0" collapsed="false">
      <c r="A221" s="15" t="n">
        <v>5578</v>
      </c>
      <c r="B221" s="15" t="s">
        <v>278</v>
      </c>
      <c r="C221" s="15" t="s">
        <v>184</v>
      </c>
      <c r="D221" s="15" t="s">
        <v>185</v>
      </c>
      <c r="E221" s="13" t="s">
        <v>361</v>
      </c>
      <c r="F221" s="3" t="n">
        <v>45742</v>
      </c>
      <c r="G221" s="15"/>
      <c r="H221" s="3" t="n">
        <v>45743</v>
      </c>
      <c r="I221" s="15" t="s">
        <v>167</v>
      </c>
      <c r="J221" s="15" t="n">
        <v>1</v>
      </c>
      <c r="K221" s="15"/>
      <c r="L221" s="20" t="str">
        <f aca="false">IF(K221="","",EOMONTH(K221,2))</f>
        <v/>
      </c>
    </row>
    <row r="222" customFormat="false" ht="14.25" hidden="false" customHeight="true" outlineLevel="0" collapsed="false">
      <c r="A222" s="15" t="n">
        <v>4880</v>
      </c>
      <c r="B222" s="15" t="s">
        <v>362</v>
      </c>
      <c r="C222" s="15" t="s">
        <v>164</v>
      </c>
      <c r="D222" s="15" t="s">
        <v>363</v>
      </c>
      <c r="E222" s="13" t="s">
        <v>170</v>
      </c>
      <c r="F222" s="3" t="n">
        <v>45744</v>
      </c>
      <c r="G222" s="3" t="n">
        <v>45746</v>
      </c>
      <c r="H222" s="3" t="n">
        <v>45860</v>
      </c>
      <c r="I222" s="15" t="s">
        <v>167</v>
      </c>
      <c r="J222" s="15" t="n">
        <v>14</v>
      </c>
      <c r="K222" s="3" t="n">
        <v>45808</v>
      </c>
      <c r="L222" s="20" t="n">
        <f aca="false">IF(K222="","",EOMONTH(K222,2))</f>
        <v>45869</v>
      </c>
    </row>
    <row r="223" customFormat="false" ht="14.25" hidden="false" customHeight="true" outlineLevel="0" collapsed="false">
      <c r="A223" s="15" t="n">
        <v>4872</v>
      </c>
      <c r="B223" s="15" t="s">
        <v>217</v>
      </c>
      <c r="C223" s="15" t="s">
        <v>164</v>
      </c>
      <c r="D223" s="15" t="s">
        <v>165</v>
      </c>
      <c r="E223" s="13" t="s">
        <v>202</v>
      </c>
      <c r="F223" s="3" t="n">
        <v>45746</v>
      </c>
      <c r="G223" s="3" t="n">
        <v>45755</v>
      </c>
      <c r="H223" s="3" t="n">
        <v>45798</v>
      </c>
      <c r="I223" s="15" t="s">
        <v>167</v>
      </c>
      <c r="J223" s="15" t="n">
        <v>27</v>
      </c>
      <c r="K223" s="3" t="n">
        <v>45838</v>
      </c>
      <c r="L223" s="20" t="n">
        <f aca="false">IF(K223="","",EOMONTH(K223,2))</f>
        <v>45900</v>
      </c>
    </row>
    <row r="224" customFormat="false" ht="14.25" hidden="false" customHeight="true" outlineLevel="0" collapsed="false">
      <c r="A224" s="15" t="n">
        <v>4882</v>
      </c>
      <c r="B224" s="15" t="s">
        <v>130</v>
      </c>
      <c r="C224" s="15" t="s">
        <v>164</v>
      </c>
      <c r="D224" s="15" t="s">
        <v>180</v>
      </c>
      <c r="E224" s="13" t="s">
        <v>202</v>
      </c>
      <c r="F224" s="3" t="n">
        <v>45746</v>
      </c>
      <c r="G224" s="3" t="n">
        <v>45756</v>
      </c>
      <c r="H224" s="3" t="n">
        <v>45860</v>
      </c>
      <c r="I224" s="15" t="s">
        <v>167</v>
      </c>
      <c r="J224" s="15" t="n">
        <v>25</v>
      </c>
      <c r="K224" s="3" t="n">
        <v>45838</v>
      </c>
      <c r="L224" s="20" t="n">
        <f aca="false">IF(K224="","",EOMONTH(K224,2))</f>
        <v>45900</v>
      </c>
    </row>
    <row r="225" customFormat="false" ht="14.25" hidden="false" customHeight="true" outlineLevel="0" collapsed="false">
      <c r="A225" s="15" t="n">
        <v>3625</v>
      </c>
      <c r="B225" s="15" t="s">
        <v>213</v>
      </c>
      <c r="C225" s="15" t="s">
        <v>176</v>
      </c>
      <c r="D225" s="15" t="s">
        <v>165</v>
      </c>
      <c r="E225" s="13" t="s">
        <v>202</v>
      </c>
      <c r="F225" s="3" t="n">
        <v>45749</v>
      </c>
      <c r="G225" s="3" t="n">
        <v>45771</v>
      </c>
      <c r="H225" s="3" t="n">
        <v>45749</v>
      </c>
      <c r="I225" s="15" t="s">
        <v>167</v>
      </c>
      <c r="J225" s="15" t="n">
        <v>95</v>
      </c>
      <c r="K225" s="3" t="n">
        <v>45838</v>
      </c>
      <c r="L225" s="20" t="n">
        <f aca="false">IF(K225="","",EOMONTH(K225,2))</f>
        <v>45900</v>
      </c>
    </row>
    <row r="226" customFormat="false" ht="14.25" hidden="false" customHeight="true" outlineLevel="0" collapsed="false">
      <c r="A226" s="15" t="n">
        <v>3626</v>
      </c>
      <c r="B226" s="15" t="s">
        <v>27</v>
      </c>
      <c r="C226" s="15" t="s">
        <v>176</v>
      </c>
      <c r="D226" s="15" t="s">
        <v>165</v>
      </c>
      <c r="E226" s="13" t="s">
        <v>202</v>
      </c>
      <c r="F226" s="3" t="n">
        <v>45749</v>
      </c>
      <c r="G226" s="3" t="n">
        <v>45793</v>
      </c>
      <c r="H226" s="3" t="n">
        <v>45750</v>
      </c>
      <c r="I226" s="15" t="s">
        <v>167</v>
      </c>
      <c r="J226" s="15" t="n">
        <v>120</v>
      </c>
      <c r="K226" s="3" t="n">
        <v>45869</v>
      </c>
      <c r="L226" s="20" t="n">
        <f aca="false">IF(K226="","",EOMONTH(K226,2))</f>
        <v>45930</v>
      </c>
    </row>
    <row r="227" customFormat="false" ht="14.25" hidden="false" customHeight="true" outlineLevel="0" collapsed="false">
      <c r="A227" s="15" t="n">
        <v>3627</v>
      </c>
      <c r="B227" s="15" t="s">
        <v>219</v>
      </c>
      <c r="C227" s="15" t="s">
        <v>176</v>
      </c>
      <c r="D227" s="15" t="s">
        <v>165</v>
      </c>
      <c r="E227" s="13" t="s">
        <v>214</v>
      </c>
      <c r="F227" s="3" t="n">
        <v>45749</v>
      </c>
      <c r="G227" s="3" t="n">
        <v>45769</v>
      </c>
      <c r="H227" s="3" t="n">
        <v>45752</v>
      </c>
      <c r="I227" s="15" t="s">
        <v>167</v>
      </c>
      <c r="J227" s="15" t="n">
        <v>75</v>
      </c>
      <c r="K227" s="3" t="n">
        <v>45838</v>
      </c>
      <c r="L227" s="20" t="n">
        <f aca="false">IF(K227="","",EOMONTH(K227,2))</f>
        <v>45900</v>
      </c>
    </row>
    <row r="228" customFormat="false" ht="25.5" hidden="false" customHeight="true" outlineLevel="0" collapsed="false">
      <c r="A228" s="15" t="n">
        <v>4864</v>
      </c>
      <c r="B228" s="15" t="s">
        <v>27</v>
      </c>
      <c r="C228" s="15" t="s">
        <v>164</v>
      </c>
      <c r="D228" s="15" t="s">
        <v>165</v>
      </c>
      <c r="E228" s="13" t="s">
        <v>197</v>
      </c>
      <c r="F228" s="3" t="n">
        <v>45749</v>
      </c>
      <c r="G228" s="3" t="n">
        <v>45793</v>
      </c>
      <c r="H228" s="3" t="n">
        <v>45771</v>
      </c>
      <c r="I228" s="15" t="s">
        <v>167</v>
      </c>
      <c r="J228" s="15" t="n">
        <v>91</v>
      </c>
      <c r="K228" s="3" t="n">
        <v>45869</v>
      </c>
      <c r="L228" s="20" t="n">
        <f aca="false">IF(K228="","",EOMONTH(K228,2))</f>
        <v>45930</v>
      </c>
    </row>
    <row r="229" customFormat="false" ht="14.25" hidden="false" customHeight="true" outlineLevel="0" collapsed="false">
      <c r="A229" s="15" t="n">
        <v>4873</v>
      </c>
      <c r="B229" s="15" t="s">
        <v>219</v>
      </c>
      <c r="C229" s="15" t="s">
        <v>164</v>
      </c>
      <c r="D229" s="15" t="s">
        <v>180</v>
      </c>
      <c r="E229" s="13" t="s">
        <v>214</v>
      </c>
      <c r="F229" s="3" t="n">
        <v>45749</v>
      </c>
      <c r="G229" s="3" t="n">
        <v>45769</v>
      </c>
      <c r="H229" s="3" t="n">
        <v>45798</v>
      </c>
      <c r="I229" s="15" t="s">
        <v>167</v>
      </c>
      <c r="J229" s="15" t="n">
        <v>41</v>
      </c>
      <c r="K229" s="3" t="n">
        <v>45838</v>
      </c>
      <c r="L229" s="20" t="n">
        <f aca="false">IF(K229="","",EOMONTH(K229,2))</f>
        <v>45900</v>
      </c>
    </row>
    <row r="230" customFormat="false" ht="14.25" hidden="false" customHeight="true" outlineLevel="0" collapsed="false">
      <c r="A230" s="15" t="n">
        <v>4878</v>
      </c>
      <c r="B230" s="15" t="s">
        <v>213</v>
      </c>
      <c r="C230" s="15" t="s">
        <v>164</v>
      </c>
      <c r="D230" s="15" t="s">
        <v>165</v>
      </c>
      <c r="E230" s="13" t="s">
        <v>202</v>
      </c>
      <c r="F230" s="3" t="n">
        <v>45749</v>
      </c>
      <c r="G230" s="3" t="n">
        <v>45771</v>
      </c>
      <c r="H230" s="3" t="n">
        <v>45827</v>
      </c>
      <c r="I230" s="15" t="s">
        <v>167</v>
      </c>
      <c r="J230" s="15" t="n">
        <v>30</v>
      </c>
      <c r="K230" s="3" t="n">
        <v>45838</v>
      </c>
      <c r="L230" s="20" t="n">
        <f aca="false">IF(K230="","",EOMONTH(K230,2))</f>
        <v>45900</v>
      </c>
    </row>
    <row r="231" customFormat="false" ht="14.25" hidden="false" customHeight="true" outlineLevel="0" collapsed="false">
      <c r="A231" s="15" t="n">
        <v>5579</v>
      </c>
      <c r="B231" s="15" t="s">
        <v>144</v>
      </c>
      <c r="C231" s="15" t="s">
        <v>184</v>
      </c>
      <c r="D231" s="15" t="s">
        <v>185</v>
      </c>
      <c r="E231" s="13" t="s">
        <v>364</v>
      </c>
      <c r="F231" s="3" t="n">
        <v>45764</v>
      </c>
      <c r="G231" s="15"/>
      <c r="H231" s="3" t="n">
        <v>45765</v>
      </c>
      <c r="I231" s="15" t="s">
        <v>167</v>
      </c>
      <c r="J231" s="15" t="n">
        <v>1</v>
      </c>
      <c r="K231" s="15"/>
      <c r="L231" s="20" t="str">
        <f aca="false">IF(K231="","",EOMONTH(K231,2))</f>
        <v/>
      </c>
    </row>
    <row r="232" customFormat="false" ht="14.25" hidden="false" customHeight="true" outlineLevel="0" collapsed="false">
      <c r="A232" s="15" t="n">
        <v>5580</v>
      </c>
      <c r="B232" s="15" t="s">
        <v>278</v>
      </c>
      <c r="C232" s="15" t="s">
        <v>184</v>
      </c>
      <c r="D232" s="15" t="s">
        <v>185</v>
      </c>
      <c r="E232" s="13" t="s">
        <v>365</v>
      </c>
      <c r="F232" s="3" t="n">
        <v>45765</v>
      </c>
      <c r="G232" s="15"/>
      <c r="H232" s="3" t="n">
        <v>45767</v>
      </c>
      <c r="I232" s="15" t="s">
        <v>167</v>
      </c>
      <c r="J232" s="15" t="n">
        <v>1</v>
      </c>
      <c r="K232" s="15"/>
      <c r="L232" s="20" t="str">
        <f aca="false">IF(K232="","",EOMONTH(K232,2))</f>
        <v/>
      </c>
    </row>
    <row r="233" customFormat="false" ht="14.25" hidden="false" customHeight="true" outlineLevel="0" collapsed="false">
      <c r="A233" s="15" t="n">
        <v>5581</v>
      </c>
      <c r="B233" s="15" t="s">
        <v>366</v>
      </c>
      <c r="C233" s="15" t="s">
        <v>184</v>
      </c>
      <c r="D233" s="15" t="s">
        <v>185</v>
      </c>
      <c r="E233" s="13" t="s">
        <v>367</v>
      </c>
      <c r="F233" s="3" t="n">
        <v>45769</v>
      </c>
      <c r="G233" s="15"/>
      <c r="H233" s="3" t="n">
        <v>45771</v>
      </c>
      <c r="I233" s="15" t="s">
        <v>167</v>
      </c>
      <c r="J233" s="15" t="n">
        <v>1</v>
      </c>
      <c r="K233" s="15"/>
      <c r="L233" s="20" t="str">
        <f aca="false">IF(K233="","",EOMONTH(K233,2))</f>
        <v/>
      </c>
    </row>
    <row r="234" customFormat="false" ht="14.25" hidden="false" customHeight="true" outlineLevel="0" collapsed="false">
      <c r="A234" s="15" t="n">
        <v>4876</v>
      </c>
      <c r="B234" s="15" t="s">
        <v>217</v>
      </c>
      <c r="C234" s="15" t="s">
        <v>164</v>
      </c>
      <c r="D234" s="15" t="s">
        <v>165</v>
      </c>
      <c r="E234" s="13" t="s">
        <v>202</v>
      </c>
      <c r="F234" s="3" t="n">
        <v>45776</v>
      </c>
      <c r="G234" s="3" t="n">
        <v>45776</v>
      </c>
      <c r="H234" s="3" t="n">
        <v>45817</v>
      </c>
      <c r="I234" s="15" t="s">
        <v>167</v>
      </c>
      <c r="J234" s="15" t="n">
        <v>6</v>
      </c>
      <c r="K234" s="3" t="n">
        <v>45838</v>
      </c>
      <c r="L234" s="20" t="n">
        <f aca="false">IF(K234="","",EOMONTH(K234,2))</f>
        <v>45900</v>
      </c>
    </row>
    <row r="235" customFormat="false" ht="14.25" hidden="false" customHeight="true" outlineLevel="0" collapsed="false">
      <c r="A235" s="15" t="n">
        <v>5582</v>
      </c>
      <c r="B235" s="15" t="s">
        <v>278</v>
      </c>
      <c r="C235" s="15" t="s">
        <v>184</v>
      </c>
      <c r="D235" s="15" t="s">
        <v>185</v>
      </c>
      <c r="E235" s="13" t="s">
        <v>368</v>
      </c>
      <c r="F235" s="3" t="n">
        <v>45779</v>
      </c>
      <c r="G235" s="15"/>
      <c r="H235" s="3" t="n">
        <v>45780</v>
      </c>
      <c r="I235" s="15" t="s">
        <v>167</v>
      </c>
      <c r="J235" s="15" t="n">
        <v>1</v>
      </c>
      <c r="K235" s="15"/>
      <c r="L235" s="20" t="str">
        <f aca="false">IF(K235="","",EOMONTH(K235,2))</f>
        <v/>
      </c>
    </row>
    <row r="236" customFormat="false" ht="14.25" hidden="false" customHeight="true" outlineLevel="0" collapsed="false">
      <c r="A236" s="15" t="n">
        <v>5583</v>
      </c>
      <c r="B236" s="15" t="s">
        <v>227</v>
      </c>
      <c r="C236" s="15" t="s">
        <v>184</v>
      </c>
      <c r="D236" s="15" t="s">
        <v>185</v>
      </c>
      <c r="E236" s="13" t="s">
        <v>369</v>
      </c>
      <c r="F236" s="3" t="n">
        <v>45789</v>
      </c>
      <c r="G236" s="3" t="n">
        <v>45797</v>
      </c>
      <c r="H236" s="3" t="n">
        <v>45791</v>
      </c>
      <c r="I236" s="15" t="s">
        <v>167</v>
      </c>
      <c r="J236" s="15" t="n">
        <v>1</v>
      </c>
      <c r="K236" s="3" t="n">
        <v>45869</v>
      </c>
      <c r="L236" s="20" t="n">
        <f aca="false">IF(K236="","",EOMONTH(K236,2))</f>
        <v>45930</v>
      </c>
    </row>
    <row r="237" customFormat="false" ht="14.25" hidden="false" customHeight="true" outlineLevel="0" collapsed="false">
      <c r="A237" s="15" t="n">
        <v>5584</v>
      </c>
      <c r="B237" s="15" t="s">
        <v>220</v>
      </c>
      <c r="C237" s="15" t="s">
        <v>184</v>
      </c>
      <c r="D237" s="15" t="s">
        <v>185</v>
      </c>
      <c r="E237" s="13" t="s">
        <v>370</v>
      </c>
      <c r="F237" s="3" t="n">
        <v>45791</v>
      </c>
      <c r="G237" s="3" t="n">
        <v>45797</v>
      </c>
      <c r="H237" s="3" t="n">
        <v>45791</v>
      </c>
      <c r="I237" s="15" t="s">
        <v>167</v>
      </c>
      <c r="J237" s="15" t="n">
        <v>1</v>
      </c>
      <c r="K237" s="3" t="n">
        <v>45869</v>
      </c>
      <c r="L237" s="20" t="n">
        <f aca="false">IF(K237="","",EOMONTH(K237,2))</f>
        <v>45930</v>
      </c>
    </row>
    <row r="238" customFormat="false" ht="14.25" hidden="false" customHeight="true" outlineLevel="0" collapsed="false">
      <c r="A238" s="15" t="n">
        <v>4875</v>
      </c>
      <c r="B238" s="15" t="s">
        <v>27</v>
      </c>
      <c r="C238" s="15" t="s">
        <v>164</v>
      </c>
      <c r="D238" s="15" t="s">
        <v>165</v>
      </c>
      <c r="E238" s="13" t="s">
        <v>208</v>
      </c>
      <c r="F238" s="3" t="n">
        <v>45793</v>
      </c>
      <c r="G238" s="3" t="n">
        <v>45794</v>
      </c>
      <c r="H238" s="3" t="n">
        <v>45800</v>
      </c>
      <c r="I238" s="15" t="s">
        <v>167</v>
      </c>
      <c r="J238" s="15" t="n">
        <v>39</v>
      </c>
      <c r="K238" s="3" t="n">
        <v>45869</v>
      </c>
      <c r="L238" s="20" t="n">
        <f aca="false">IF(K238="","",EOMONTH(K238,2))</f>
        <v>45930</v>
      </c>
    </row>
    <row r="239" customFormat="false" ht="14.25" hidden="false" customHeight="true" outlineLevel="0" collapsed="false">
      <c r="A239" s="15" t="n">
        <v>4877</v>
      </c>
      <c r="B239" s="15" t="s">
        <v>217</v>
      </c>
      <c r="C239" s="15" t="s">
        <v>164</v>
      </c>
      <c r="D239" s="15" t="s">
        <v>165</v>
      </c>
      <c r="E239" s="13" t="s">
        <v>202</v>
      </c>
      <c r="F239" s="3" t="n">
        <v>45793</v>
      </c>
      <c r="G239" s="3" t="n">
        <v>45793</v>
      </c>
      <c r="H239" s="3" t="n">
        <v>45817</v>
      </c>
      <c r="I239" s="15" t="s">
        <v>167</v>
      </c>
      <c r="J239" s="15" t="n">
        <v>3</v>
      </c>
      <c r="K239" s="3" t="n">
        <v>45869</v>
      </c>
      <c r="L239" s="20" t="n">
        <f aca="false">IF(K239="","",EOMONTH(K239,2))</f>
        <v>45930</v>
      </c>
    </row>
    <row r="240" customFormat="false" ht="14.25" hidden="false" customHeight="true" outlineLevel="0" collapsed="false">
      <c r="A240" s="15" t="n">
        <v>4883</v>
      </c>
      <c r="B240" s="15" t="s">
        <v>168</v>
      </c>
      <c r="C240" s="15" t="s">
        <v>164</v>
      </c>
      <c r="D240" s="15" t="s">
        <v>165</v>
      </c>
      <c r="E240" s="13" t="s">
        <v>202</v>
      </c>
      <c r="F240" s="3" t="n">
        <v>45795</v>
      </c>
      <c r="G240" s="3" t="n">
        <v>45796</v>
      </c>
      <c r="H240" s="3" t="n">
        <v>45860</v>
      </c>
      <c r="I240" s="15" t="s">
        <v>167</v>
      </c>
      <c r="J240" s="15" t="n">
        <v>11</v>
      </c>
      <c r="K240" s="3" t="n">
        <v>45869</v>
      </c>
      <c r="L240" s="20" t="n">
        <f aca="false">IF(K240="","",EOMONTH(K240,2))</f>
        <v>45930</v>
      </c>
    </row>
    <row r="241" customFormat="false" ht="14.25" hidden="false" customHeight="true" outlineLevel="0" collapsed="false">
      <c r="A241" s="15" t="n">
        <v>4887</v>
      </c>
      <c r="B241" s="15" t="s">
        <v>212</v>
      </c>
      <c r="C241" s="15" t="s">
        <v>164</v>
      </c>
      <c r="D241" s="15" t="s">
        <v>180</v>
      </c>
      <c r="E241" s="13" t="s">
        <v>229</v>
      </c>
      <c r="F241" s="3" t="n">
        <v>45795</v>
      </c>
      <c r="G241" s="3" t="n">
        <v>45799</v>
      </c>
      <c r="H241" s="3" t="n">
        <v>45911</v>
      </c>
      <c r="I241" s="15" t="s">
        <v>167</v>
      </c>
      <c r="J241" s="15" t="n">
        <v>1</v>
      </c>
      <c r="K241" s="3" t="n">
        <v>45869</v>
      </c>
      <c r="L241" s="20" t="n">
        <f aca="false">IF(K241="","",EOMONTH(K241,2))</f>
        <v>45930</v>
      </c>
    </row>
    <row r="242" customFormat="false" ht="14.25" hidden="false" customHeight="true" outlineLevel="0" collapsed="false">
      <c r="A242" s="15" t="n">
        <v>5585</v>
      </c>
      <c r="B242" s="15" t="s">
        <v>220</v>
      </c>
      <c r="C242" s="15" t="s">
        <v>184</v>
      </c>
      <c r="D242" s="15" t="s">
        <v>185</v>
      </c>
      <c r="E242" s="13" t="s">
        <v>371</v>
      </c>
      <c r="F242" s="3" t="n">
        <v>45798</v>
      </c>
      <c r="G242" s="3" t="n">
        <v>45804</v>
      </c>
      <c r="H242" s="3" t="n">
        <v>45799</v>
      </c>
      <c r="I242" s="15" t="s">
        <v>167</v>
      </c>
      <c r="J242" s="15" t="n">
        <v>1</v>
      </c>
      <c r="K242" s="3" t="n">
        <v>45869</v>
      </c>
      <c r="L242" s="20" t="n">
        <f aca="false">IF(K242="","",EOMONTH(K242,2))</f>
        <v>45930</v>
      </c>
    </row>
    <row r="243" customFormat="false" ht="14.25" hidden="false" customHeight="true" outlineLevel="0" collapsed="false">
      <c r="A243" s="15" t="n">
        <v>4885</v>
      </c>
      <c r="B243" s="15" t="s">
        <v>217</v>
      </c>
      <c r="C243" s="15" t="s">
        <v>164</v>
      </c>
      <c r="D243" s="15" t="s">
        <v>165</v>
      </c>
      <c r="E243" s="13" t="s">
        <v>172</v>
      </c>
      <c r="F243" s="3" t="n">
        <v>45800</v>
      </c>
      <c r="G243" s="3" t="n">
        <v>45803</v>
      </c>
      <c r="H243" s="3" t="n">
        <v>45860</v>
      </c>
      <c r="I243" s="15" t="s">
        <v>167</v>
      </c>
      <c r="J243" s="15" t="n">
        <v>5</v>
      </c>
      <c r="K243" s="3" t="n">
        <v>45869</v>
      </c>
      <c r="L243" s="20" t="n">
        <f aca="false">IF(K243="","",EOMONTH(K243,2))</f>
        <v>45930</v>
      </c>
    </row>
    <row r="244" customFormat="false" ht="14.25" hidden="false" customHeight="true" outlineLevel="0" collapsed="false">
      <c r="A244" s="15" t="n">
        <v>4891</v>
      </c>
      <c r="B244" s="15" t="s">
        <v>168</v>
      </c>
      <c r="C244" s="15" t="s">
        <v>164</v>
      </c>
      <c r="D244" s="15" t="s">
        <v>165</v>
      </c>
      <c r="E244" s="13" t="s">
        <v>202</v>
      </c>
      <c r="F244" s="3" t="n">
        <v>45811</v>
      </c>
      <c r="G244" s="3" t="n">
        <v>45815</v>
      </c>
      <c r="H244" s="3" t="n">
        <v>45911</v>
      </c>
      <c r="I244" s="15" t="s">
        <v>167</v>
      </c>
      <c r="J244" s="15" t="n">
        <v>16</v>
      </c>
      <c r="K244" s="3" t="n">
        <v>45900</v>
      </c>
      <c r="L244" s="20" t="n">
        <f aca="false">IF(K244="","",EOMONTH(K244,2))</f>
        <v>45961</v>
      </c>
    </row>
    <row r="245" customFormat="false" ht="14.25" hidden="false" customHeight="true" outlineLevel="0" collapsed="false">
      <c r="A245" s="15" t="n">
        <v>5586</v>
      </c>
      <c r="B245" s="15" t="s">
        <v>222</v>
      </c>
      <c r="C245" s="15" t="s">
        <v>184</v>
      </c>
      <c r="D245" s="15" t="s">
        <v>185</v>
      </c>
      <c r="E245" s="13" t="s">
        <v>372</v>
      </c>
      <c r="F245" s="3" t="n">
        <v>45818</v>
      </c>
      <c r="G245" s="3" t="n">
        <v>45820</v>
      </c>
      <c r="H245" s="3" t="n">
        <v>45818</v>
      </c>
      <c r="I245" s="15" t="s">
        <v>167</v>
      </c>
      <c r="J245" s="15" t="n">
        <v>1</v>
      </c>
      <c r="K245" s="3" t="n">
        <v>45900</v>
      </c>
      <c r="L245" s="20" t="n">
        <f aca="false">IF(K245="","",EOMONTH(K245,2))</f>
        <v>45961</v>
      </c>
    </row>
    <row r="246" customFormat="false" ht="14.25" hidden="false" customHeight="true" outlineLevel="0" collapsed="false">
      <c r="A246" s="15" t="n">
        <v>5587</v>
      </c>
      <c r="B246" s="15" t="s">
        <v>178</v>
      </c>
      <c r="C246" s="15" t="s">
        <v>184</v>
      </c>
      <c r="D246" s="15" t="s">
        <v>185</v>
      </c>
      <c r="E246" s="13" t="s">
        <v>373</v>
      </c>
      <c r="F246" s="3" t="n">
        <v>45819</v>
      </c>
      <c r="G246" s="3" t="n">
        <v>45827</v>
      </c>
      <c r="H246" s="3" t="n">
        <v>45819</v>
      </c>
      <c r="I246" s="15" t="s">
        <v>167</v>
      </c>
      <c r="J246" s="15" t="n">
        <v>1</v>
      </c>
      <c r="K246" s="3" t="n">
        <v>45900</v>
      </c>
      <c r="L246" s="20" t="n">
        <f aca="false">IF(K246="","",EOMONTH(K246,2))</f>
        <v>45961</v>
      </c>
    </row>
    <row r="247" customFormat="false" ht="14.25" hidden="false" customHeight="true" outlineLevel="0" collapsed="false">
      <c r="A247" s="15" t="n">
        <v>4890</v>
      </c>
      <c r="B247" s="15" t="s">
        <v>228</v>
      </c>
      <c r="C247" s="15" t="s">
        <v>164</v>
      </c>
      <c r="D247" s="15" t="s">
        <v>180</v>
      </c>
      <c r="E247" s="13" t="s">
        <v>181</v>
      </c>
      <c r="F247" s="3" t="n">
        <v>45820</v>
      </c>
      <c r="G247" s="3" t="n">
        <v>45824</v>
      </c>
      <c r="H247" s="3" t="n">
        <v>45911</v>
      </c>
      <c r="I247" s="15" t="s">
        <v>167</v>
      </c>
      <c r="J247" s="15" t="n">
        <v>1</v>
      </c>
      <c r="K247" s="3" t="n">
        <v>45900</v>
      </c>
      <c r="L247" s="20" t="n">
        <f aca="false">IF(K247="","",EOMONTH(K247,2))</f>
        <v>45961</v>
      </c>
    </row>
    <row r="248" customFormat="false" ht="25.5" hidden="false" customHeight="true" outlineLevel="0" collapsed="false">
      <c r="A248" s="15" t="n">
        <v>4884</v>
      </c>
      <c r="B248" s="15" t="s">
        <v>196</v>
      </c>
      <c r="C248" s="15" t="s">
        <v>164</v>
      </c>
      <c r="D248" s="15" t="s">
        <v>180</v>
      </c>
      <c r="E248" s="13" t="s">
        <v>331</v>
      </c>
      <c r="F248" s="3" t="n">
        <v>45822</v>
      </c>
      <c r="G248" s="3" t="n">
        <v>45823</v>
      </c>
      <c r="H248" s="3" t="n">
        <v>45860</v>
      </c>
      <c r="I248" s="15" t="s">
        <v>167</v>
      </c>
      <c r="J248" s="15" t="n">
        <v>2</v>
      </c>
      <c r="K248" s="3" t="n">
        <v>45900</v>
      </c>
      <c r="L248" s="20" t="n">
        <f aca="false">IF(K248="","",EOMONTH(K248,2))</f>
        <v>45961</v>
      </c>
    </row>
    <row r="249" customFormat="false" ht="14.25" hidden="false" customHeight="true" outlineLevel="0" collapsed="false">
      <c r="A249" s="15" t="n">
        <v>5588</v>
      </c>
      <c r="B249" s="15" t="s">
        <v>144</v>
      </c>
      <c r="C249" s="15" t="s">
        <v>184</v>
      </c>
      <c r="D249" s="15" t="s">
        <v>185</v>
      </c>
      <c r="E249" s="13" t="s">
        <v>374</v>
      </c>
      <c r="F249" s="3" t="n">
        <v>45824</v>
      </c>
      <c r="G249" s="3" t="n">
        <v>45851</v>
      </c>
      <c r="H249" s="3" t="n">
        <v>45824</v>
      </c>
      <c r="I249" s="15" t="s">
        <v>167</v>
      </c>
      <c r="J249" s="15" t="n">
        <v>1</v>
      </c>
      <c r="K249" s="3" t="n">
        <v>45930</v>
      </c>
      <c r="L249" s="20" t="n">
        <f aca="false">IF(K249="","",EOMONTH(K249,2))</f>
        <v>45991</v>
      </c>
    </row>
    <row r="250" customFormat="false" ht="14.25" hidden="false" customHeight="true" outlineLevel="0" collapsed="false">
      <c r="A250" s="15" t="n">
        <v>5589</v>
      </c>
      <c r="B250" s="15" t="s">
        <v>178</v>
      </c>
      <c r="C250" s="15" t="s">
        <v>184</v>
      </c>
      <c r="D250" s="15" t="s">
        <v>185</v>
      </c>
      <c r="E250" s="13" t="s">
        <v>375</v>
      </c>
      <c r="F250" s="3" t="n">
        <v>45824</v>
      </c>
      <c r="G250" s="3" t="n">
        <v>45830</v>
      </c>
      <c r="H250" s="3" t="n">
        <v>45825</v>
      </c>
      <c r="I250" s="15" t="s">
        <v>167</v>
      </c>
      <c r="J250" s="15" t="n">
        <v>1</v>
      </c>
      <c r="K250" s="3" t="n">
        <v>45900</v>
      </c>
      <c r="L250" s="20" t="n">
        <f aca="false">IF(K250="","",EOMONTH(K250,2))</f>
        <v>45961</v>
      </c>
    </row>
    <row r="251" customFormat="false" ht="14.25" hidden="false" customHeight="true" outlineLevel="0" collapsed="false">
      <c r="A251" s="15" t="n">
        <v>5590</v>
      </c>
      <c r="B251" s="15" t="s">
        <v>178</v>
      </c>
      <c r="C251" s="15" t="s">
        <v>184</v>
      </c>
      <c r="D251" s="15" t="s">
        <v>185</v>
      </c>
      <c r="E251" s="13" t="s">
        <v>376</v>
      </c>
      <c r="F251" s="3" t="n">
        <v>45826</v>
      </c>
      <c r="G251" s="3" t="n">
        <v>45829</v>
      </c>
      <c r="H251" s="3" t="n">
        <v>45826</v>
      </c>
      <c r="I251" s="15" t="s">
        <v>167</v>
      </c>
      <c r="J251" s="15" t="n">
        <v>1</v>
      </c>
      <c r="K251" s="3" t="n">
        <v>45900</v>
      </c>
      <c r="L251" s="20" t="n">
        <f aca="false">IF(K251="","",EOMONTH(K251,2))</f>
        <v>45961</v>
      </c>
    </row>
    <row r="252" customFormat="false" ht="14.25" hidden="false" customHeight="true" outlineLevel="0" collapsed="false">
      <c r="A252" s="15" t="n">
        <v>5591</v>
      </c>
      <c r="B252" s="15" t="s">
        <v>93</v>
      </c>
      <c r="C252" s="15" t="s">
        <v>184</v>
      </c>
      <c r="D252" s="15" t="s">
        <v>185</v>
      </c>
      <c r="E252" s="13" t="s">
        <v>377</v>
      </c>
      <c r="F252" s="3" t="n">
        <v>45827</v>
      </c>
      <c r="G252" s="3" t="n">
        <v>45856</v>
      </c>
      <c r="H252" s="3" t="n">
        <v>45828</v>
      </c>
      <c r="I252" s="15" t="s">
        <v>167</v>
      </c>
      <c r="J252" s="15" t="n">
        <v>1</v>
      </c>
      <c r="K252" s="3" t="n">
        <v>45930</v>
      </c>
      <c r="L252" s="20" t="n">
        <f aca="false">IF(K252="","",EOMONTH(K252,2))</f>
        <v>45991</v>
      </c>
    </row>
    <row r="253" customFormat="false" ht="14.25" hidden="false" customHeight="true" outlineLevel="0" collapsed="false">
      <c r="A253" s="15" t="n">
        <v>4888</v>
      </c>
      <c r="B253" s="15" t="s">
        <v>313</v>
      </c>
      <c r="C253" s="15" t="s">
        <v>164</v>
      </c>
      <c r="D253" s="15" t="s">
        <v>165</v>
      </c>
      <c r="E253" s="13" t="s">
        <v>378</v>
      </c>
      <c r="F253" s="3" t="n">
        <v>45828</v>
      </c>
      <c r="G253" s="3" t="n">
        <v>45829</v>
      </c>
      <c r="H253" s="3" t="n">
        <v>45911</v>
      </c>
      <c r="I253" s="15" t="s">
        <v>167</v>
      </c>
      <c r="J253" s="15" t="n">
        <v>19</v>
      </c>
      <c r="K253" s="3" t="n">
        <v>45900</v>
      </c>
      <c r="L253" s="20" t="n">
        <f aca="false">IF(K253="","",EOMONTH(K253,2))</f>
        <v>45961</v>
      </c>
    </row>
    <row r="254" customFormat="false" ht="14.25" hidden="false" customHeight="true" outlineLevel="0" collapsed="false">
      <c r="A254" s="15" t="n">
        <v>5592</v>
      </c>
      <c r="B254" s="15" t="s">
        <v>222</v>
      </c>
      <c r="C254" s="15" t="s">
        <v>184</v>
      </c>
      <c r="D254" s="15" t="s">
        <v>185</v>
      </c>
      <c r="E254" s="13" t="s">
        <v>379</v>
      </c>
      <c r="F254" s="3" t="n">
        <v>45828</v>
      </c>
      <c r="G254" s="3" t="n">
        <v>45832</v>
      </c>
      <c r="H254" s="3" t="n">
        <v>45828</v>
      </c>
      <c r="I254" s="15" t="s">
        <v>167</v>
      </c>
      <c r="J254" s="15" t="n">
        <v>1</v>
      </c>
      <c r="K254" s="3" t="n">
        <v>45900</v>
      </c>
      <c r="L254" s="20" t="n">
        <f aca="false">IF(K254="","",EOMONTH(K254,2))</f>
        <v>45961</v>
      </c>
    </row>
    <row r="255" customFormat="false" ht="14.25" hidden="false" customHeight="true" outlineLevel="0" collapsed="false">
      <c r="A255" s="15" t="n">
        <v>4894</v>
      </c>
      <c r="B255" s="15" t="s">
        <v>227</v>
      </c>
      <c r="C255" s="15" t="s">
        <v>164</v>
      </c>
      <c r="D255" s="15" t="s">
        <v>260</v>
      </c>
      <c r="E255" s="13" t="s">
        <v>380</v>
      </c>
      <c r="F255" s="3" t="n">
        <v>45829</v>
      </c>
      <c r="G255" s="3" t="n">
        <v>45829</v>
      </c>
      <c r="H255" s="3" t="n">
        <v>45952</v>
      </c>
      <c r="I255" s="15" t="s">
        <v>167</v>
      </c>
      <c r="J255" s="15" t="n">
        <v>1</v>
      </c>
      <c r="K255" s="3" t="n">
        <v>45900</v>
      </c>
      <c r="L255" s="20" t="n">
        <f aca="false">IF(K255="","",EOMONTH(K255,2))</f>
        <v>45961</v>
      </c>
    </row>
    <row r="256" customFormat="false" ht="14.25" hidden="false" customHeight="true" outlineLevel="0" collapsed="false">
      <c r="A256" s="15" t="n">
        <v>5593</v>
      </c>
      <c r="B256" s="15" t="s">
        <v>144</v>
      </c>
      <c r="C256" s="15" t="s">
        <v>184</v>
      </c>
      <c r="D256" s="15" t="s">
        <v>185</v>
      </c>
      <c r="E256" s="13" t="s">
        <v>381</v>
      </c>
      <c r="F256" s="3" t="n">
        <v>45829</v>
      </c>
      <c r="G256" s="3" t="n">
        <v>45866</v>
      </c>
      <c r="H256" s="3" t="n">
        <v>45829</v>
      </c>
      <c r="I256" s="15" t="s">
        <v>167</v>
      </c>
      <c r="J256" s="15" t="n">
        <v>1</v>
      </c>
      <c r="K256" s="3" t="n">
        <v>45930</v>
      </c>
      <c r="L256" s="20" t="n">
        <f aca="false">IF(K256="","",EOMONTH(K256,2))</f>
        <v>45991</v>
      </c>
    </row>
    <row r="257" customFormat="false" ht="14.25" hidden="false" customHeight="true" outlineLevel="0" collapsed="false">
      <c r="A257" s="15" t="n">
        <v>5596</v>
      </c>
      <c r="B257" s="15" t="s">
        <v>279</v>
      </c>
      <c r="C257" s="15" t="s">
        <v>184</v>
      </c>
      <c r="D257" s="15" t="s">
        <v>185</v>
      </c>
      <c r="E257" s="13" t="s">
        <v>382</v>
      </c>
      <c r="F257" s="3" t="n">
        <v>45829</v>
      </c>
      <c r="G257" s="3" t="n">
        <v>45834</v>
      </c>
      <c r="H257" s="3" t="n">
        <v>45831</v>
      </c>
      <c r="I257" s="15" t="s">
        <v>167</v>
      </c>
      <c r="J257" s="15" t="n">
        <v>1</v>
      </c>
      <c r="K257" s="3" t="n">
        <v>45900</v>
      </c>
      <c r="L257" s="20" t="n">
        <f aca="false">IF(K257="","",EOMONTH(K257,2))</f>
        <v>45961</v>
      </c>
    </row>
    <row r="258" customFormat="false" ht="14.25" hidden="false" customHeight="true" outlineLevel="0" collapsed="false">
      <c r="A258" s="15" t="n">
        <v>5594</v>
      </c>
      <c r="B258" s="15" t="s">
        <v>144</v>
      </c>
      <c r="C258" s="15" t="s">
        <v>184</v>
      </c>
      <c r="D258" s="15" t="s">
        <v>185</v>
      </c>
      <c r="E258" s="13" t="s">
        <v>383</v>
      </c>
      <c r="F258" s="3" t="n">
        <v>45830</v>
      </c>
      <c r="G258" s="3" t="n">
        <v>45866</v>
      </c>
      <c r="H258" s="3" t="n">
        <v>45830</v>
      </c>
      <c r="I258" s="15" t="s">
        <v>167</v>
      </c>
      <c r="J258" s="15" t="n">
        <v>1</v>
      </c>
      <c r="K258" s="3" t="n">
        <v>45930</v>
      </c>
      <c r="L258" s="20" t="n">
        <f aca="false">IF(K258="","",EOMONTH(K258,2))</f>
        <v>45991</v>
      </c>
    </row>
    <row r="259" customFormat="false" ht="14.25" hidden="false" customHeight="true" outlineLevel="0" collapsed="false">
      <c r="A259" s="15" t="n">
        <v>5595</v>
      </c>
      <c r="B259" s="15" t="s">
        <v>279</v>
      </c>
      <c r="C259" s="15" t="s">
        <v>184</v>
      </c>
      <c r="D259" s="15" t="s">
        <v>185</v>
      </c>
      <c r="E259" s="13" t="s">
        <v>384</v>
      </c>
      <c r="F259" s="3" t="n">
        <v>45830</v>
      </c>
      <c r="G259" s="3" t="n">
        <v>45852</v>
      </c>
      <c r="H259" s="3" t="n">
        <v>45831</v>
      </c>
      <c r="I259" s="15" t="s">
        <v>167</v>
      </c>
      <c r="J259" s="15" t="n">
        <v>1</v>
      </c>
      <c r="K259" s="3" t="n">
        <v>45930</v>
      </c>
      <c r="L259" s="20" t="n">
        <f aca="false">IF(K259="","",EOMONTH(K259,2))</f>
        <v>45991</v>
      </c>
    </row>
    <row r="260" customFormat="false" ht="14.25" hidden="false" customHeight="true" outlineLevel="0" collapsed="false">
      <c r="A260" s="15" t="n">
        <v>3628</v>
      </c>
      <c r="B260" s="15" t="s">
        <v>144</v>
      </c>
      <c r="C260" s="15" t="s">
        <v>176</v>
      </c>
      <c r="D260" s="15" t="s">
        <v>180</v>
      </c>
      <c r="E260" s="13" t="s">
        <v>205</v>
      </c>
      <c r="F260" s="3" t="n">
        <v>45831</v>
      </c>
      <c r="G260" s="3" t="n">
        <v>45874</v>
      </c>
      <c r="H260" s="3" t="n">
        <v>45848</v>
      </c>
      <c r="I260" s="15" t="s">
        <v>167</v>
      </c>
      <c r="J260" s="15" t="n">
        <v>4</v>
      </c>
      <c r="K260" s="3" t="n">
        <v>45961</v>
      </c>
      <c r="L260" s="20" t="n">
        <f aca="false">IF(K260="","",EOMONTH(K260,2))</f>
        <v>46022</v>
      </c>
    </row>
    <row r="261" customFormat="false" ht="14.25" hidden="false" customHeight="true" outlineLevel="0" collapsed="false">
      <c r="A261" s="15" t="n">
        <v>4886</v>
      </c>
      <c r="B261" s="15" t="s">
        <v>144</v>
      </c>
      <c r="C261" s="15" t="s">
        <v>164</v>
      </c>
      <c r="D261" s="15" t="s">
        <v>180</v>
      </c>
      <c r="E261" s="13" t="s">
        <v>205</v>
      </c>
      <c r="F261" s="3" t="n">
        <v>45831</v>
      </c>
      <c r="G261" s="3" t="n">
        <v>45874</v>
      </c>
      <c r="H261" s="3" t="n">
        <v>45860</v>
      </c>
      <c r="I261" s="15" t="s">
        <v>167</v>
      </c>
      <c r="J261" s="15" t="n">
        <v>4</v>
      </c>
      <c r="K261" s="3" t="n">
        <v>45961</v>
      </c>
      <c r="L261" s="20" t="n">
        <f aca="false">IF(K261="","",EOMONTH(K261,2))</f>
        <v>46022</v>
      </c>
    </row>
    <row r="262" customFormat="false" ht="14.25" hidden="false" customHeight="true" outlineLevel="0" collapsed="false">
      <c r="A262" s="15" t="n">
        <v>4879</v>
      </c>
      <c r="B262" s="15" t="s">
        <v>183</v>
      </c>
      <c r="C262" s="15" t="s">
        <v>164</v>
      </c>
      <c r="D262" s="15" t="s">
        <v>180</v>
      </c>
      <c r="E262" s="13" t="s">
        <v>229</v>
      </c>
      <c r="F262" s="3" t="n">
        <v>45840</v>
      </c>
      <c r="G262" s="3" t="n">
        <v>45856</v>
      </c>
      <c r="H262" s="3" t="n">
        <v>45844</v>
      </c>
      <c r="I262" s="15" t="s">
        <v>167</v>
      </c>
      <c r="J262" s="15" t="n">
        <v>23</v>
      </c>
      <c r="K262" s="3" t="n">
        <v>45930</v>
      </c>
      <c r="L262" s="20" t="n">
        <f aca="false">IF(K262="","",EOMONTH(K262,2))</f>
        <v>45991</v>
      </c>
    </row>
    <row r="263" customFormat="false" ht="14.25" hidden="false" customHeight="true" outlineLevel="0" collapsed="false">
      <c r="A263" s="15" t="n">
        <v>5597</v>
      </c>
      <c r="B263" s="15" t="s">
        <v>279</v>
      </c>
      <c r="C263" s="15" t="s">
        <v>184</v>
      </c>
      <c r="D263" s="15" t="s">
        <v>185</v>
      </c>
      <c r="E263" s="13" t="s">
        <v>385</v>
      </c>
      <c r="F263" s="3" t="n">
        <v>45842</v>
      </c>
      <c r="G263" s="3" t="n">
        <v>45861</v>
      </c>
      <c r="H263" s="3" t="n">
        <v>45844</v>
      </c>
      <c r="I263" s="15" t="s">
        <v>167</v>
      </c>
      <c r="J263" s="15" t="n">
        <v>2</v>
      </c>
      <c r="K263" s="3" t="n">
        <v>45930</v>
      </c>
      <c r="L263" s="20" t="n">
        <f aca="false">IF(K263="","",EOMONTH(K263,2))</f>
        <v>45991</v>
      </c>
    </row>
    <row r="264" customFormat="false" ht="14.25" hidden="false" customHeight="true" outlineLevel="0" collapsed="false">
      <c r="A264" s="15" t="n">
        <v>4889</v>
      </c>
      <c r="B264" s="15" t="s">
        <v>278</v>
      </c>
      <c r="C264" s="15" t="s">
        <v>164</v>
      </c>
      <c r="D264" s="15" t="s">
        <v>386</v>
      </c>
      <c r="E264" s="13" t="s">
        <v>387</v>
      </c>
      <c r="F264" s="3" t="n">
        <v>45844</v>
      </c>
      <c r="G264" s="3" t="n">
        <v>45845</v>
      </c>
      <c r="H264" s="3" t="n">
        <v>45911</v>
      </c>
      <c r="I264" s="15" t="s">
        <v>167</v>
      </c>
      <c r="J264" s="15" t="n">
        <v>7</v>
      </c>
      <c r="K264" s="3" t="n">
        <v>45930</v>
      </c>
      <c r="L264" s="20" t="n">
        <f aca="false">IF(K264="","",EOMONTH(K264,2))</f>
        <v>45991</v>
      </c>
    </row>
    <row r="265" customFormat="false" ht="14.25" hidden="false" customHeight="true" outlineLevel="0" collapsed="false">
      <c r="A265" s="15" t="n">
        <v>5598</v>
      </c>
      <c r="B265" s="15" t="s">
        <v>93</v>
      </c>
      <c r="C265" s="15" t="s">
        <v>184</v>
      </c>
      <c r="D265" s="15" t="s">
        <v>185</v>
      </c>
      <c r="E265" s="13" t="s">
        <v>388</v>
      </c>
      <c r="F265" s="3" t="n">
        <v>45848</v>
      </c>
      <c r="G265" s="3" t="n">
        <v>45880</v>
      </c>
      <c r="H265" s="3" t="n">
        <v>45850</v>
      </c>
      <c r="I265" s="15" t="s">
        <v>167</v>
      </c>
      <c r="J265" s="15" t="n">
        <v>1</v>
      </c>
      <c r="K265" s="3" t="n">
        <v>45961</v>
      </c>
      <c r="L265" s="20" t="n">
        <f aca="false">IF(K265="","",EOMONTH(K265,2))</f>
        <v>46022</v>
      </c>
    </row>
    <row r="266" customFormat="false" ht="14.25" hidden="false" customHeight="true" outlineLevel="0" collapsed="false">
      <c r="A266" s="15" t="n">
        <v>5599</v>
      </c>
      <c r="B266" s="15" t="s">
        <v>178</v>
      </c>
      <c r="C266" s="15" t="s">
        <v>184</v>
      </c>
      <c r="D266" s="15" t="s">
        <v>185</v>
      </c>
      <c r="E266" s="13" t="s">
        <v>389</v>
      </c>
      <c r="F266" s="3" t="n">
        <v>45850</v>
      </c>
      <c r="G266" s="3" t="n">
        <v>45858</v>
      </c>
      <c r="H266" s="3" t="n">
        <v>45851</v>
      </c>
      <c r="I266" s="15" t="s">
        <v>167</v>
      </c>
      <c r="J266" s="15" t="n">
        <v>1</v>
      </c>
      <c r="K266" s="3" t="n">
        <v>45930</v>
      </c>
      <c r="L266" s="20" t="n">
        <f aca="false">IF(K266="","",EOMONTH(K266,2))</f>
        <v>45991</v>
      </c>
    </row>
    <row r="267" customFormat="false" ht="14.25" hidden="false" customHeight="true" outlineLevel="0" collapsed="false">
      <c r="A267" s="15" t="n">
        <v>5600</v>
      </c>
      <c r="B267" s="15" t="s">
        <v>93</v>
      </c>
      <c r="C267" s="15" t="s">
        <v>184</v>
      </c>
      <c r="D267" s="15" t="s">
        <v>185</v>
      </c>
      <c r="E267" s="13" t="s">
        <v>390</v>
      </c>
      <c r="F267" s="3" t="n">
        <v>45851</v>
      </c>
      <c r="G267" s="3" t="n">
        <v>45892</v>
      </c>
      <c r="H267" s="3" t="n">
        <v>45854</v>
      </c>
      <c r="I267" s="15" t="s">
        <v>167</v>
      </c>
      <c r="J267" s="15" t="n">
        <v>2</v>
      </c>
      <c r="K267" s="3" t="n">
        <v>45961</v>
      </c>
      <c r="L267" s="20" t="n">
        <f aca="false">IF(K267="","",EOMONTH(K267,2))</f>
        <v>46022</v>
      </c>
    </row>
    <row r="268" customFormat="false" ht="14.25" hidden="false" customHeight="true" outlineLevel="0" collapsed="false">
      <c r="A268" s="15" t="n">
        <v>4897</v>
      </c>
      <c r="B268" s="15" t="s">
        <v>168</v>
      </c>
      <c r="C268" s="15" t="s">
        <v>164</v>
      </c>
      <c r="D268" s="15" t="s">
        <v>165</v>
      </c>
      <c r="E268" s="13" t="s">
        <v>229</v>
      </c>
      <c r="F268" s="3" t="n">
        <v>45855</v>
      </c>
      <c r="G268" s="3" t="n">
        <v>45860</v>
      </c>
      <c r="H268" s="3" t="n">
        <v>46010</v>
      </c>
      <c r="I268" s="15" t="s">
        <v>167</v>
      </c>
      <c r="J268" s="15" t="n">
        <v>12</v>
      </c>
      <c r="K268" s="3" t="n">
        <v>45930</v>
      </c>
      <c r="L268" s="20" t="n">
        <f aca="false">IF(K268="","",EOMONTH(K268,2))</f>
        <v>45991</v>
      </c>
    </row>
    <row r="269" customFormat="false" ht="14.25" hidden="false" customHeight="true" outlineLevel="0" collapsed="false">
      <c r="A269" s="15" t="n">
        <v>5601</v>
      </c>
      <c r="B269" s="15" t="s">
        <v>163</v>
      </c>
      <c r="C269" s="15" t="s">
        <v>184</v>
      </c>
      <c r="D269" s="15" t="s">
        <v>185</v>
      </c>
      <c r="E269" s="13" t="s">
        <v>391</v>
      </c>
      <c r="F269" s="3" t="n">
        <v>45856</v>
      </c>
      <c r="G269" s="3" t="n">
        <v>45872</v>
      </c>
      <c r="H269" s="3" t="n">
        <v>45857</v>
      </c>
      <c r="I269" s="15" t="s">
        <v>167</v>
      </c>
      <c r="J269" s="15" t="n">
        <v>1</v>
      </c>
      <c r="K269" s="3" t="n">
        <v>45961</v>
      </c>
      <c r="L269" s="20" t="n">
        <f aca="false">IF(K269="","",EOMONTH(K269,2))</f>
        <v>46022</v>
      </c>
    </row>
    <row r="270" customFormat="false" ht="14.25" hidden="false" customHeight="true" outlineLevel="0" collapsed="false">
      <c r="A270" s="15" t="n">
        <v>5602</v>
      </c>
      <c r="B270" s="15" t="s">
        <v>222</v>
      </c>
      <c r="C270" s="15" t="s">
        <v>184</v>
      </c>
      <c r="D270" s="15" t="s">
        <v>185</v>
      </c>
      <c r="E270" s="13" t="s">
        <v>392</v>
      </c>
      <c r="F270" s="3" t="n">
        <v>45871</v>
      </c>
      <c r="G270" s="3" t="n">
        <v>45873</v>
      </c>
      <c r="H270" s="3" t="n">
        <v>45871</v>
      </c>
      <c r="I270" s="15" t="s">
        <v>167</v>
      </c>
      <c r="J270" s="15" t="n">
        <v>1</v>
      </c>
      <c r="K270" s="3" t="n">
        <v>45961</v>
      </c>
      <c r="L270" s="20" t="n">
        <f aca="false">IF(K270="","",EOMONTH(K270,2))</f>
        <v>46022</v>
      </c>
    </row>
    <row r="271" customFormat="false" ht="14.25" hidden="false" customHeight="true" outlineLevel="0" collapsed="false">
      <c r="A271" s="15" t="n">
        <v>5603</v>
      </c>
      <c r="B271" s="15" t="s">
        <v>267</v>
      </c>
      <c r="C271" s="15" t="s">
        <v>184</v>
      </c>
      <c r="D271" s="15" t="s">
        <v>185</v>
      </c>
      <c r="E271" s="13" t="s">
        <v>393</v>
      </c>
      <c r="F271" s="3" t="n">
        <v>45871</v>
      </c>
      <c r="G271" s="15"/>
      <c r="H271" s="3" t="n">
        <v>45875</v>
      </c>
      <c r="I271" s="15" t="s">
        <v>167</v>
      </c>
      <c r="J271" s="15" t="n">
        <v>1</v>
      </c>
      <c r="K271" s="15"/>
      <c r="L271" s="20" t="str">
        <f aca="false">IF(K271="","",EOMONTH(K271,2))</f>
        <v/>
      </c>
    </row>
    <row r="272" customFormat="false" ht="14.25" hidden="false" customHeight="true" outlineLevel="0" collapsed="false">
      <c r="A272" s="15" t="n">
        <v>5604</v>
      </c>
      <c r="B272" s="15" t="s">
        <v>267</v>
      </c>
      <c r="C272" s="15" t="s">
        <v>184</v>
      </c>
      <c r="D272" s="15" t="s">
        <v>185</v>
      </c>
      <c r="E272" s="13" t="s">
        <v>310</v>
      </c>
      <c r="F272" s="3" t="n">
        <v>45871</v>
      </c>
      <c r="G272" s="15"/>
      <c r="H272" s="3" t="n">
        <v>45875</v>
      </c>
      <c r="I272" s="15" t="s">
        <v>167</v>
      </c>
      <c r="J272" s="15" t="n">
        <v>1</v>
      </c>
      <c r="K272" s="15"/>
      <c r="L272" s="20" t="str">
        <f aca="false">IF(K272="","",EOMONTH(K272,2))</f>
        <v/>
      </c>
    </row>
    <row r="273" customFormat="false" ht="14.25" hidden="false" customHeight="true" outlineLevel="0" collapsed="false">
      <c r="A273" s="15" t="n">
        <v>4895</v>
      </c>
      <c r="B273" s="15" t="s">
        <v>313</v>
      </c>
      <c r="C273" s="15" t="s">
        <v>164</v>
      </c>
      <c r="D273" s="15" t="s">
        <v>165</v>
      </c>
      <c r="E273" s="13" t="s">
        <v>208</v>
      </c>
      <c r="F273" s="3" t="n">
        <v>45876</v>
      </c>
      <c r="G273" s="3" t="n">
        <v>45877</v>
      </c>
      <c r="H273" s="3" t="n">
        <v>45952</v>
      </c>
      <c r="I273" s="15" t="s">
        <v>167</v>
      </c>
      <c r="J273" s="15" t="n">
        <v>7</v>
      </c>
      <c r="K273" s="3" t="n">
        <v>45961</v>
      </c>
      <c r="L273" s="20" t="n">
        <f aca="false">IF(K273="","",EOMONTH(K273,2))</f>
        <v>46022</v>
      </c>
    </row>
    <row r="274" customFormat="false" ht="14.25" hidden="false" customHeight="true" outlineLevel="0" collapsed="false">
      <c r="A274" s="15" t="n">
        <v>5605</v>
      </c>
      <c r="B274" s="15" t="s">
        <v>117</v>
      </c>
      <c r="C274" s="15" t="s">
        <v>184</v>
      </c>
      <c r="D274" s="15" t="s">
        <v>185</v>
      </c>
      <c r="E274" s="13" t="s">
        <v>394</v>
      </c>
      <c r="F274" s="3" t="n">
        <v>45876</v>
      </c>
      <c r="G274" s="15"/>
      <c r="H274" s="3" t="n">
        <v>45877</v>
      </c>
      <c r="I274" s="15" t="s">
        <v>167</v>
      </c>
      <c r="J274" s="15" t="n">
        <v>1</v>
      </c>
      <c r="K274" s="15"/>
      <c r="L274" s="20" t="str">
        <f aca="false">IF(K274="","",EOMONTH(K274,2))</f>
        <v/>
      </c>
    </row>
    <row r="275" customFormat="false" ht="14.25" hidden="false" customHeight="true" outlineLevel="0" collapsed="false">
      <c r="A275" s="15" t="n">
        <v>4896</v>
      </c>
      <c r="B275" s="15" t="s">
        <v>199</v>
      </c>
      <c r="C275" s="15" t="s">
        <v>164</v>
      </c>
      <c r="D275" s="15" t="s">
        <v>165</v>
      </c>
      <c r="E275" s="13" t="s">
        <v>229</v>
      </c>
      <c r="F275" s="3" t="n">
        <v>45877</v>
      </c>
      <c r="G275" s="3" t="n">
        <v>45879</v>
      </c>
      <c r="H275" s="3" t="n">
        <v>45952</v>
      </c>
      <c r="I275" s="15" t="s">
        <v>167</v>
      </c>
      <c r="J275" s="15" t="n">
        <v>12</v>
      </c>
      <c r="K275" s="3" t="n">
        <v>45961</v>
      </c>
      <c r="L275" s="20" t="n">
        <f aca="false">IF(K275="","",EOMONTH(K275,2))</f>
        <v>46022</v>
      </c>
    </row>
    <row r="276" customFormat="false" ht="14.25" hidden="false" customHeight="true" outlineLevel="0" collapsed="false">
      <c r="A276" s="15" t="n">
        <v>4892</v>
      </c>
      <c r="B276" s="15" t="s">
        <v>395</v>
      </c>
      <c r="C276" s="15" t="s">
        <v>164</v>
      </c>
      <c r="D276" s="15" t="s">
        <v>180</v>
      </c>
      <c r="E276" s="13" t="s">
        <v>396</v>
      </c>
      <c r="F276" s="3" t="n">
        <v>45878</v>
      </c>
      <c r="G276" s="3" t="n">
        <v>45881</v>
      </c>
      <c r="H276" s="3" t="n">
        <v>45911</v>
      </c>
      <c r="I276" s="15" t="s">
        <v>167</v>
      </c>
      <c r="J276" s="15" t="n">
        <v>3</v>
      </c>
      <c r="K276" s="3" t="n">
        <v>45961</v>
      </c>
      <c r="L276" s="20" t="n">
        <f aca="false">IF(K276="","",EOMONTH(K276,2))</f>
        <v>46022</v>
      </c>
    </row>
    <row r="277" customFormat="false" ht="14.25" hidden="false" customHeight="true" outlineLevel="0" collapsed="false">
      <c r="A277" s="15" t="n">
        <v>5606</v>
      </c>
      <c r="B277" s="15" t="s">
        <v>267</v>
      </c>
      <c r="C277" s="15" t="s">
        <v>184</v>
      </c>
      <c r="D277" s="15" t="s">
        <v>185</v>
      </c>
      <c r="E277" s="13" t="s">
        <v>397</v>
      </c>
      <c r="F277" s="3" t="n">
        <v>45879</v>
      </c>
      <c r="G277" s="15"/>
      <c r="H277" s="3" t="n">
        <v>45880</v>
      </c>
      <c r="I277" s="15" t="s">
        <v>167</v>
      </c>
      <c r="J277" s="15" t="n">
        <v>1</v>
      </c>
      <c r="K277" s="15"/>
      <c r="L277" s="20" t="str">
        <f aca="false">IF(K277="","",EOMONTH(K277,2))</f>
        <v/>
      </c>
    </row>
    <row r="278" customFormat="false" ht="14.25" hidden="false" customHeight="true" outlineLevel="0" collapsed="false">
      <c r="A278" s="15" t="n">
        <v>5607</v>
      </c>
      <c r="B278" s="15" t="s">
        <v>206</v>
      </c>
      <c r="C278" s="15" t="s">
        <v>184</v>
      </c>
      <c r="D278" s="15" t="s">
        <v>185</v>
      </c>
      <c r="E278" s="13" t="s">
        <v>398</v>
      </c>
      <c r="F278" s="3" t="n">
        <v>45883</v>
      </c>
      <c r="G278" s="3" t="n">
        <v>45901</v>
      </c>
      <c r="H278" s="3" t="n">
        <v>45884</v>
      </c>
      <c r="I278" s="15" t="s">
        <v>167</v>
      </c>
      <c r="J278" s="15" t="n">
        <v>1</v>
      </c>
      <c r="K278" s="3" t="n">
        <v>45991</v>
      </c>
      <c r="L278" s="20" t="n">
        <f aca="false">IF(K278="","",EOMONTH(K278,2))</f>
        <v>46053</v>
      </c>
    </row>
    <row r="279" customFormat="false" ht="14.25" hidden="false" customHeight="true" outlineLevel="0" collapsed="false">
      <c r="A279" s="15" t="n">
        <v>5608</v>
      </c>
      <c r="B279" s="15" t="s">
        <v>96</v>
      </c>
      <c r="C279" s="15" t="s">
        <v>184</v>
      </c>
      <c r="D279" s="15" t="s">
        <v>185</v>
      </c>
      <c r="E279" s="13" t="s">
        <v>399</v>
      </c>
      <c r="F279" s="3" t="n">
        <v>45884</v>
      </c>
      <c r="G279" s="15"/>
      <c r="H279" s="3" t="n">
        <v>45884</v>
      </c>
      <c r="I279" s="15" t="s">
        <v>167</v>
      </c>
      <c r="J279" s="15" t="n">
        <v>1</v>
      </c>
      <c r="K279" s="15"/>
      <c r="L279" s="20" t="str">
        <f aca="false">IF(K279="","",EOMONTH(K279,2))</f>
        <v/>
      </c>
    </row>
    <row r="280" customFormat="false" ht="14.25" hidden="false" customHeight="true" outlineLevel="0" collapsed="false">
      <c r="A280" s="15" t="n">
        <v>5609</v>
      </c>
      <c r="B280" s="15" t="s">
        <v>204</v>
      </c>
      <c r="C280" s="15" t="s">
        <v>184</v>
      </c>
      <c r="D280" s="15" t="s">
        <v>185</v>
      </c>
      <c r="E280" s="13" t="s">
        <v>400</v>
      </c>
      <c r="F280" s="3" t="n">
        <v>45888</v>
      </c>
      <c r="G280" s="3" t="n">
        <v>45892</v>
      </c>
      <c r="H280" s="3" t="n">
        <v>45888</v>
      </c>
      <c r="I280" s="15" t="s">
        <v>167</v>
      </c>
      <c r="J280" s="15" t="n">
        <v>1</v>
      </c>
      <c r="K280" s="3" t="n">
        <v>45961</v>
      </c>
      <c r="L280" s="20" t="n">
        <f aca="false">IF(K280="","",EOMONTH(K280,2))</f>
        <v>46022</v>
      </c>
    </row>
    <row r="281" customFormat="false" ht="14.25" hidden="false" customHeight="true" outlineLevel="0" collapsed="false">
      <c r="A281" s="15" t="n">
        <v>5610</v>
      </c>
      <c r="B281" s="15" t="s">
        <v>178</v>
      </c>
      <c r="C281" s="15" t="s">
        <v>184</v>
      </c>
      <c r="D281" s="15" t="s">
        <v>185</v>
      </c>
      <c r="E281" s="13" t="s">
        <v>401</v>
      </c>
      <c r="F281" s="3" t="n">
        <v>45891</v>
      </c>
      <c r="G281" s="3" t="n">
        <v>45905</v>
      </c>
      <c r="H281" s="3" t="n">
        <v>45892</v>
      </c>
      <c r="I281" s="15" t="s">
        <v>167</v>
      </c>
      <c r="J281" s="15" t="n">
        <v>2</v>
      </c>
      <c r="K281" s="3" t="n">
        <v>45991</v>
      </c>
      <c r="L281" s="20" t="n">
        <f aca="false">IF(K281="","",EOMONTH(K281,2))</f>
        <v>46053</v>
      </c>
    </row>
    <row r="282" customFormat="false" ht="14.25" hidden="false" customHeight="true" outlineLevel="0" collapsed="false">
      <c r="A282" s="15" t="n">
        <v>5611</v>
      </c>
      <c r="B282" s="15" t="s">
        <v>212</v>
      </c>
      <c r="C282" s="15" t="s">
        <v>184</v>
      </c>
      <c r="D282" s="15" t="s">
        <v>185</v>
      </c>
      <c r="E282" s="13" t="s">
        <v>402</v>
      </c>
      <c r="F282" s="3" t="n">
        <v>45895</v>
      </c>
      <c r="G282" s="3" t="n">
        <v>45919</v>
      </c>
      <c r="H282" s="3" t="n">
        <v>45895</v>
      </c>
      <c r="I282" s="15" t="s">
        <v>167</v>
      </c>
      <c r="J282" s="15" t="n">
        <v>1</v>
      </c>
      <c r="K282" s="3" t="n">
        <v>45991</v>
      </c>
      <c r="L282" s="20" t="n">
        <f aca="false">IF(K282="","",EOMONTH(K282,2))</f>
        <v>46053</v>
      </c>
    </row>
    <row r="283" customFormat="false" ht="14.25" hidden="false" customHeight="true" outlineLevel="0" collapsed="false">
      <c r="A283" s="15" t="n">
        <v>5612</v>
      </c>
      <c r="B283" s="15" t="s">
        <v>117</v>
      </c>
      <c r="C283" s="15" t="s">
        <v>184</v>
      </c>
      <c r="D283" s="15" t="s">
        <v>185</v>
      </c>
      <c r="E283" s="13" t="s">
        <v>403</v>
      </c>
      <c r="F283" s="3" t="n">
        <v>45902</v>
      </c>
      <c r="G283" s="15"/>
      <c r="H283" s="3" t="n">
        <v>45903</v>
      </c>
      <c r="I283" s="15" t="s">
        <v>167</v>
      </c>
      <c r="J283" s="15" t="n">
        <v>1</v>
      </c>
      <c r="K283" s="15"/>
      <c r="L283" s="20" t="str">
        <f aca="false">IF(K283="","",EOMONTH(K283,2))</f>
        <v/>
      </c>
    </row>
    <row r="284" customFormat="false" ht="14.25" hidden="false" customHeight="true" outlineLevel="0" collapsed="false">
      <c r="A284" s="15" t="n">
        <v>5613</v>
      </c>
      <c r="B284" s="15" t="s">
        <v>204</v>
      </c>
      <c r="C284" s="15" t="s">
        <v>184</v>
      </c>
      <c r="D284" s="15" t="s">
        <v>185</v>
      </c>
      <c r="E284" s="13" t="s">
        <v>404</v>
      </c>
      <c r="F284" s="3" t="n">
        <v>45923</v>
      </c>
      <c r="G284" s="3" t="n">
        <v>45923</v>
      </c>
      <c r="H284" s="3" t="n">
        <v>45923</v>
      </c>
      <c r="I284" s="15" t="s">
        <v>167</v>
      </c>
      <c r="J284" s="15" t="n">
        <v>1</v>
      </c>
      <c r="K284" s="3" t="n">
        <v>45991</v>
      </c>
      <c r="L284" s="20" t="n">
        <f aca="false">IF(K284="","",EOMONTH(K284,2))</f>
        <v>46053</v>
      </c>
    </row>
    <row r="285" customFormat="false" ht="14.25" hidden="false" customHeight="true" outlineLevel="0" collapsed="false">
      <c r="A285" s="15" t="n">
        <v>5614</v>
      </c>
      <c r="B285" s="15" t="s">
        <v>163</v>
      </c>
      <c r="C285" s="15" t="s">
        <v>184</v>
      </c>
      <c r="D285" s="15" t="s">
        <v>185</v>
      </c>
      <c r="E285" s="13" t="s">
        <v>405</v>
      </c>
      <c r="F285" s="3" t="n">
        <v>45925</v>
      </c>
      <c r="G285" s="3" t="n">
        <v>45940</v>
      </c>
      <c r="H285" s="3" t="n">
        <v>45926</v>
      </c>
      <c r="I285" s="15" t="s">
        <v>167</v>
      </c>
      <c r="J285" s="15" t="n">
        <v>1</v>
      </c>
      <c r="K285" s="3" t="n">
        <v>46022</v>
      </c>
      <c r="L285" s="20" t="n">
        <f aca="false">IF(K285="","",EOMONTH(K285,2))</f>
        <v>46081</v>
      </c>
    </row>
    <row r="286" customFormat="false" ht="14.25" hidden="false" customHeight="true" outlineLevel="0" collapsed="false">
      <c r="A286" s="15" t="n">
        <v>4918</v>
      </c>
      <c r="B286" s="15" t="s">
        <v>144</v>
      </c>
      <c r="C286" s="15" t="s">
        <v>164</v>
      </c>
      <c r="D286" s="15" t="s">
        <v>165</v>
      </c>
      <c r="E286" s="13" t="s">
        <v>172</v>
      </c>
      <c r="F286" s="3" t="n">
        <v>45928</v>
      </c>
      <c r="G286" s="3" t="n">
        <v>45929</v>
      </c>
      <c r="H286" s="3" t="n">
        <v>46203</v>
      </c>
      <c r="I286" s="15" t="s">
        <v>167</v>
      </c>
      <c r="J286" s="15" t="n">
        <v>1</v>
      </c>
      <c r="K286" s="3" t="n">
        <v>45991</v>
      </c>
      <c r="L286" s="20" t="n">
        <f aca="false">IF(K286="","",EOMONTH(K286,2))</f>
        <v>46053</v>
      </c>
    </row>
    <row r="287" customFormat="false" ht="14.25" hidden="false" customHeight="true" outlineLevel="0" collapsed="false">
      <c r="A287" s="15" t="n">
        <v>4893</v>
      </c>
      <c r="B287" s="15" t="s">
        <v>279</v>
      </c>
      <c r="C287" s="15" t="s">
        <v>164</v>
      </c>
      <c r="D287" s="15" t="s">
        <v>180</v>
      </c>
      <c r="E287" s="13" t="s">
        <v>406</v>
      </c>
      <c r="F287" s="3" t="n">
        <v>45938</v>
      </c>
      <c r="G287" s="3" t="n">
        <v>45943</v>
      </c>
      <c r="H287" s="3" t="n">
        <v>45952</v>
      </c>
      <c r="I287" s="15" t="s">
        <v>167</v>
      </c>
      <c r="J287" s="15" t="n">
        <v>10</v>
      </c>
      <c r="K287" s="3" t="n">
        <v>46022</v>
      </c>
      <c r="L287" s="20" t="n">
        <f aca="false">IF(K287="","",EOMONTH(K287,2))</f>
        <v>46081</v>
      </c>
    </row>
    <row r="288" customFormat="false" ht="14.25" hidden="false" customHeight="true" outlineLevel="0" collapsed="false">
      <c r="A288" s="15" t="n">
        <v>4912</v>
      </c>
      <c r="B288" s="15" t="s">
        <v>279</v>
      </c>
      <c r="C288" s="15" t="s">
        <v>164</v>
      </c>
      <c r="D288" s="15" t="s">
        <v>180</v>
      </c>
      <c r="E288" s="13" t="s">
        <v>406</v>
      </c>
      <c r="F288" s="3" t="n">
        <v>45938</v>
      </c>
      <c r="G288" s="3" t="n">
        <v>45943</v>
      </c>
      <c r="H288" s="3" t="n">
        <v>46171</v>
      </c>
      <c r="I288" s="15" t="s">
        <v>167</v>
      </c>
      <c r="J288" s="15" t="n">
        <v>1</v>
      </c>
      <c r="K288" s="3" t="n">
        <v>46022</v>
      </c>
      <c r="L288" s="20" t="n">
        <f aca="false">IF(K288="","",EOMONTH(K288,2))</f>
        <v>46081</v>
      </c>
    </row>
    <row r="289" customFormat="false" ht="14.25" hidden="false" customHeight="true" outlineLevel="0" collapsed="false">
      <c r="A289" s="15" t="n">
        <v>4911</v>
      </c>
      <c r="B289" s="15" t="s">
        <v>220</v>
      </c>
      <c r="C289" s="15" t="s">
        <v>164</v>
      </c>
      <c r="D289" s="15" t="s">
        <v>165</v>
      </c>
      <c r="E289" s="13" t="s">
        <v>172</v>
      </c>
      <c r="F289" s="3" t="n">
        <v>45940</v>
      </c>
      <c r="G289" s="3" t="n">
        <v>45943</v>
      </c>
      <c r="H289" s="3" t="n">
        <v>46171</v>
      </c>
      <c r="I289" s="15" t="s">
        <v>167</v>
      </c>
      <c r="J289" s="15" t="n">
        <v>1</v>
      </c>
      <c r="K289" s="3" t="n">
        <v>46022</v>
      </c>
      <c r="L289" s="20" t="n">
        <f aca="false">IF(K289="","",EOMONTH(K289,2))</f>
        <v>46081</v>
      </c>
    </row>
    <row r="290" customFormat="false" ht="25.5" hidden="false" customHeight="true" outlineLevel="0" collapsed="false">
      <c r="A290" s="15" t="n">
        <v>4906</v>
      </c>
      <c r="B290" s="15" t="s">
        <v>163</v>
      </c>
      <c r="C290" s="15" t="s">
        <v>164</v>
      </c>
      <c r="D290" s="15" t="s">
        <v>180</v>
      </c>
      <c r="E290" s="13" t="s">
        <v>331</v>
      </c>
      <c r="F290" s="3" t="n">
        <v>45996</v>
      </c>
      <c r="G290" s="3" t="n">
        <v>46010</v>
      </c>
      <c r="H290" s="3" t="n">
        <v>46119</v>
      </c>
      <c r="I290" s="15" t="s">
        <v>167</v>
      </c>
      <c r="J290" s="15" t="n">
        <v>49</v>
      </c>
      <c r="K290" s="3" t="n">
        <v>46081</v>
      </c>
      <c r="L290" s="20" t="n">
        <f aca="false">IF(K290="","",EOMONTH(K290,2))</f>
        <v>46142</v>
      </c>
    </row>
    <row r="291" customFormat="false" ht="14.25" hidden="false" customHeight="true" outlineLevel="0" collapsed="false">
      <c r="A291" s="15" t="n">
        <v>4904</v>
      </c>
      <c r="B291" s="15" t="s">
        <v>279</v>
      </c>
      <c r="C291" s="15" t="s">
        <v>164</v>
      </c>
      <c r="D291" s="15" t="s">
        <v>169</v>
      </c>
      <c r="E291" s="13" t="s">
        <v>407</v>
      </c>
      <c r="F291" s="3" t="n">
        <v>45997</v>
      </c>
      <c r="G291" s="3" t="n">
        <v>46000</v>
      </c>
      <c r="H291" s="3" t="n">
        <v>46119</v>
      </c>
      <c r="I291" s="15" t="s">
        <v>167</v>
      </c>
      <c r="J291" s="15" t="n">
        <v>1</v>
      </c>
      <c r="K291" s="3" t="n">
        <v>46081</v>
      </c>
      <c r="L291" s="20" t="n">
        <f aca="false">IF(K291="","",EOMONTH(K291,2))</f>
        <v>46142</v>
      </c>
    </row>
    <row r="292" customFormat="false" ht="25.5" hidden="false" customHeight="true" outlineLevel="0" collapsed="false">
      <c r="A292" s="15" t="n">
        <v>3629</v>
      </c>
      <c r="B292" s="15" t="s">
        <v>163</v>
      </c>
      <c r="C292" s="15" t="s">
        <v>176</v>
      </c>
      <c r="D292" s="15" t="s">
        <v>180</v>
      </c>
      <c r="E292" s="13" t="s">
        <v>331</v>
      </c>
      <c r="F292" s="3" t="n">
        <v>46000</v>
      </c>
      <c r="G292" s="3" t="n">
        <v>46010</v>
      </c>
      <c r="H292" s="3" t="n">
        <v>46003</v>
      </c>
      <c r="I292" s="15" t="s">
        <v>167</v>
      </c>
      <c r="J292" s="15" t="n">
        <v>17</v>
      </c>
      <c r="K292" s="3" t="n">
        <v>46081</v>
      </c>
      <c r="L292" s="20" t="n">
        <f aca="false">IF(K292="","",EOMONTH(K292,2))</f>
        <v>46142</v>
      </c>
    </row>
    <row r="293" customFormat="false" ht="14.25" hidden="false" customHeight="true" outlineLevel="0" collapsed="false">
      <c r="A293" s="15" t="n">
        <v>4901</v>
      </c>
      <c r="B293" s="15" t="s">
        <v>212</v>
      </c>
      <c r="C293" s="15" t="s">
        <v>164</v>
      </c>
      <c r="D293" s="15" t="s">
        <v>180</v>
      </c>
      <c r="E293" s="13" t="s">
        <v>172</v>
      </c>
      <c r="F293" s="3" t="n">
        <v>46000</v>
      </c>
      <c r="G293" s="3" t="n">
        <v>46002</v>
      </c>
      <c r="H293" s="3" t="n">
        <v>46119</v>
      </c>
      <c r="I293" s="15" t="s">
        <v>167</v>
      </c>
      <c r="J293" s="15" t="n">
        <v>1</v>
      </c>
      <c r="K293" s="3" t="n">
        <v>46081</v>
      </c>
      <c r="L293" s="20" t="n">
        <f aca="false">IF(K293="","",EOMONTH(K293,2))</f>
        <v>46142</v>
      </c>
    </row>
    <row r="294" customFormat="false" ht="14.25" hidden="false" customHeight="true" outlineLevel="0" collapsed="false">
      <c r="A294" s="15" t="n">
        <v>3630</v>
      </c>
      <c r="B294" s="15" t="s">
        <v>212</v>
      </c>
      <c r="C294" s="15" t="s">
        <v>176</v>
      </c>
      <c r="D294" s="15" t="s">
        <v>180</v>
      </c>
      <c r="E294" s="13" t="s">
        <v>172</v>
      </c>
      <c r="F294" s="3" t="n">
        <v>46001</v>
      </c>
      <c r="G294" s="3" t="n">
        <v>46002</v>
      </c>
      <c r="H294" s="3" t="n">
        <v>46010</v>
      </c>
      <c r="I294" s="15" t="s">
        <v>167</v>
      </c>
      <c r="J294" s="15" t="n">
        <v>3</v>
      </c>
      <c r="K294" s="3" t="n">
        <v>46081</v>
      </c>
      <c r="L294" s="20" t="n">
        <f aca="false">IF(K294="","",EOMONTH(K294,2))</f>
        <v>46142</v>
      </c>
    </row>
    <row r="295" customFormat="false" ht="25.5" hidden="false" customHeight="true" outlineLevel="0" collapsed="false">
      <c r="A295" s="15" t="n">
        <v>4907</v>
      </c>
      <c r="B295" s="15" t="s">
        <v>178</v>
      </c>
      <c r="C295" s="15" t="s">
        <v>164</v>
      </c>
      <c r="D295" s="15" t="s">
        <v>165</v>
      </c>
      <c r="E295" s="13" t="s">
        <v>331</v>
      </c>
      <c r="F295" s="3" t="n">
        <v>46006</v>
      </c>
      <c r="G295" s="3" t="n">
        <v>46012</v>
      </c>
      <c r="H295" s="3" t="n">
        <v>46119</v>
      </c>
      <c r="I295" s="15" t="s">
        <v>167</v>
      </c>
      <c r="J295" s="15" t="n">
        <v>11</v>
      </c>
      <c r="K295" s="3" t="n">
        <v>46081</v>
      </c>
      <c r="L295" s="20" t="n">
        <f aca="false">IF(K295="","",EOMONTH(K295,2))</f>
        <v>46142</v>
      </c>
    </row>
    <row r="296" customFormat="false" ht="14.25" hidden="false" customHeight="true" outlineLevel="0" collapsed="false">
      <c r="A296" s="15" t="n">
        <v>4905</v>
      </c>
      <c r="B296" s="15" t="s">
        <v>206</v>
      </c>
      <c r="C296" s="15" t="s">
        <v>164</v>
      </c>
      <c r="D296" s="15" t="s">
        <v>260</v>
      </c>
      <c r="E296" s="13" t="s">
        <v>261</v>
      </c>
      <c r="F296" s="3" t="n">
        <v>46007</v>
      </c>
      <c r="G296" s="3" t="n">
        <v>46009</v>
      </c>
      <c r="H296" s="3" t="n">
        <v>46119</v>
      </c>
      <c r="I296" s="15" t="s">
        <v>167</v>
      </c>
      <c r="J296" s="15" t="n">
        <v>10</v>
      </c>
      <c r="K296" s="3" t="n">
        <v>46081</v>
      </c>
      <c r="L296" s="20" t="n">
        <f aca="false">IF(K296="","",EOMONTH(K296,2))</f>
        <v>46142</v>
      </c>
    </row>
    <row r="297" customFormat="false" ht="14.25" hidden="false" customHeight="true" outlineLevel="0" collapsed="false">
      <c r="A297" s="15" t="n">
        <v>4902</v>
      </c>
      <c r="B297" s="15" t="s">
        <v>212</v>
      </c>
      <c r="C297" s="15" t="s">
        <v>164</v>
      </c>
      <c r="D297" s="15" t="s">
        <v>260</v>
      </c>
      <c r="E297" s="13" t="s">
        <v>200</v>
      </c>
      <c r="F297" s="3" t="n">
        <v>46008</v>
      </c>
      <c r="G297" s="3" t="n">
        <v>46009</v>
      </c>
      <c r="H297" s="3" t="n">
        <v>46119</v>
      </c>
      <c r="I297" s="15" t="s">
        <v>167</v>
      </c>
      <c r="J297" s="15" t="n">
        <v>32</v>
      </c>
      <c r="K297" s="3" t="n">
        <v>46081</v>
      </c>
      <c r="L297" s="20" t="n">
        <f aca="false">IF(K297="","",EOMONTH(K297,2))</f>
        <v>46142</v>
      </c>
    </row>
    <row r="298" customFormat="false" ht="14.25" hidden="false" customHeight="true" outlineLevel="0" collapsed="false">
      <c r="A298" s="15" t="n">
        <v>4903</v>
      </c>
      <c r="B298" s="15" t="s">
        <v>228</v>
      </c>
      <c r="C298" s="15" t="s">
        <v>164</v>
      </c>
      <c r="D298" s="15" t="s">
        <v>260</v>
      </c>
      <c r="E298" s="13" t="s">
        <v>261</v>
      </c>
      <c r="F298" s="3" t="n">
        <v>46008</v>
      </c>
      <c r="G298" s="3" t="n">
        <v>46009</v>
      </c>
      <c r="H298" s="3" t="n">
        <v>46119</v>
      </c>
      <c r="I298" s="15" t="s">
        <v>167</v>
      </c>
      <c r="J298" s="15" t="n">
        <v>3</v>
      </c>
      <c r="K298" s="3" t="n">
        <v>46081</v>
      </c>
      <c r="L298" s="20" t="n">
        <f aca="false">IF(K298="","",EOMONTH(K298,2))</f>
        <v>46142</v>
      </c>
    </row>
    <row r="299" customFormat="false" ht="14.25" hidden="false" customHeight="true" outlineLevel="0" collapsed="false">
      <c r="A299" s="15" t="n">
        <v>4914</v>
      </c>
      <c r="B299" s="15" t="s">
        <v>212</v>
      </c>
      <c r="C299" s="15" t="s">
        <v>164</v>
      </c>
      <c r="D299" s="15" t="s">
        <v>169</v>
      </c>
      <c r="E299" s="13" t="s">
        <v>200</v>
      </c>
      <c r="F299" s="3" t="n">
        <v>46008</v>
      </c>
      <c r="G299" s="3" t="n">
        <v>46009</v>
      </c>
      <c r="H299" s="3" t="n">
        <v>46171</v>
      </c>
      <c r="I299" s="15" t="s">
        <v>167</v>
      </c>
      <c r="J299" s="15" t="n">
        <v>1</v>
      </c>
      <c r="K299" s="3" t="n">
        <v>46081</v>
      </c>
      <c r="L299" s="20" t="n">
        <f aca="false">IF(K299="","",EOMONTH(K299,2))</f>
        <v>46142</v>
      </c>
    </row>
    <row r="300" customFormat="false" ht="14.25" hidden="false" customHeight="true" outlineLevel="0" collapsed="false">
      <c r="A300" s="15" t="n">
        <v>4915</v>
      </c>
      <c r="B300" s="15" t="s">
        <v>212</v>
      </c>
      <c r="C300" s="15" t="s">
        <v>164</v>
      </c>
      <c r="D300" s="15" t="s">
        <v>260</v>
      </c>
      <c r="E300" s="13" t="s">
        <v>200</v>
      </c>
      <c r="F300" s="3" t="n">
        <v>46008</v>
      </c>
      <c r="G300" s="3" t="n">
        <v>46010</v>
      </c>
      <c r="H300" s="3" t="n">
        <v>46171</v>
      </c>
      <c r="I300" s="15" t="s">
        <v>167</v>
      </c>
      <c r="J300" s="15" t="n">
        <v>1</v>
      </c>
      <c r="K300" s="3" t="n">
        <v>46081</v>
      </c>
      <c r="L300" s="20" t="n">
        <f aca="false">IF(K300="","",EOMONTH(K300,2))</f>
        <v>46142</v>
      </c>
    </row>
    <row r="301" customFormat="false" ht="14.25" hidden="false" customHeight="true" outlineLevel="0" collapsed="false">
      <c r="A301" s="15" t="n">
        <v>5615</v>
      </c>
      <c r="B301" s="15" t="s">
        <v>188</v>
      </c>
      <c r="C301" s="15" t="s">
        <v>184</v>
      </c>
      <c r="D301" s="15" t="s">
        <v>185</v>
      </c>
      <c r="E301" s="13" t="s">
        <v>408</v>
      </c>
      <c r="F301" s="3" t="n">
        <v>46010</v>
      </c>
      <c r="G301" s="3" t="n">
        <v>46021</v>
      </c>
      <c r="H301" s="3" t="n">
        <v>46010</v>
      </c>
      <c r="I301" s="15" t="s">
        <v>167</v>
      </c>
      <c r="J301" s="15" t="n">
        <v>1</v>
      </c>
      <c r="K301" s="3" t="n">
        <v>46081</v>
      </c>
      <c r="L301" s="20" t="n">
        <f aca="false">IF(K301="","",EOMONTH(K301,2))</f>
        <v>46142</v>
      </c>
    </row>
    <row r="302" customFormat="false" ht="14.25" hidden="false" customHeight="true" outlineLevel="0" collapsed="false">
      <c r="A302" s="15" t="n">
        <v>3643</v>
      </c>
      <c r="B302" s="15" t="s">
        <v>409</v>
      </c>
      <c r="C302" s="15" t="s">
        <v>176</v>
      </c>
      <c r="D302" s="15" t="s">
        <v>410</v>
      </c>
      <c r="E302" s="13" t="s">
        <v>411</v>
      </c>
      <c r="F302" s="3" t="n">
        <v>46041</v>
      </c>
      <c r="G302" s="3" t="n">
        <v>46095</v>
      </c>
      <c r="H302" s="3" t="n">
        <v>46073</v>
      </c>
      <c r="I302" s="15" t="s">
        <v>167</v>
      </c>
      <c r="J302" s="15" t="n">
        <v>1</v>
      </c>
      <c r="K302" s="3" t="n">
        <v>46173</v>
      </c>
      <c r="L302" s="20" t="n">
        <f aca="false">IF(K302="","",EOMONTH(K302,2))</f>
        <v>46234</v>
      </c>
    </row>
    <row r="303" customFormat="false" ht="14.25" hidden="false" customHeight="true" outlineLevel="0" collapsed="false">
      <c r="A303" s="15" t="n">
        <v>3632</v>
      </c>
      <c r="B303" s="15" t="s">
        <v>275</v>
      </c>
      <c r="C303" s="15" t="s">
        <v>176</v>
      </c>
      <c r="D303" s="15" t="s">
        <v>169</v>
      </c>
      <c r="E303" s="13" t="s">
        <v>170</v>
      </c>
      <c r="F303" s="3" t="n">
        <v>46043</v>
      </c>
      <c r="G303" s="3" t="n">
        <v>46049</v>
      </c>
      <c r="H303" s="3" t="n">
        <v>46045</v>
      </c>
      <c r="I303" s="15" t="s">
        <v>167</v>
      </c>
      <c r="J303" s="15" t="n">
        <v>47</v>
      </c>
      <c r="K303" s="3" t="n">
        <v>46112</v>
      </c>
      <c r="L303" s="20" t="n">
        <f aca="false">IF(K303="","",EOMONTH(K303,2))</f>
        <v>46173</v>
      </c>
    </row>
    <row r="304" customFormat="false" ht="14.25" hidden="false" customHeight="true" outlineLevel="0" collapsed="false">
      <c r="A304" s="15" t="n">
        <v>3637</v>
      </c>
      <c r="B304" s="15" t="s">
        <v>278</v>
      </c>
      <c r="C304" s="15" t="s">
        <v>176</v>
      </c>
      <c r="D304" s="15" t="s">
        <v>169</v>
      </c>
      <c r="E304" s="13" t="s">
        <v>170</v>
      </c>
      <c r="F304" s="3" t="n">
        <v>46043</v>
      </c>
      <c r="G304" s="3" t="n">
        <v>46049</v>
      </c>
      <c r="H304" s="3" t="n">
        <v>46046</v>
      </c>
      <c r="I304" s="15" t="s">
        <v>167</v>
      </c>
      <c r="J304" s="15" t="n">
        <v>102</v>
      </c>
      <c r="K304" s="3" t="n">
        <v>46112</v>
      </c>
      <c r="L304" s="20" t="n">
        <f aca="false">IF(K304="","",EOMONTH(K304,2))</f>
        <v>46173</v>
      </c>
    </row>
    <row r="305" customFormat="false" ht="14.25" hidden="false" customHeight="true" outlineLevel="0" collapsed="false">
      <c r="A305" s="15" t="n">
        <v>4908</v>
      </c>
      <c r="B305" s="15" t="s">
        <v>275</v>
      </c>
      <c r="C305" s="15" t="s">
        <v>164</v>
      </c>
      <c r="D305" s="15" t="s">
        <v>169</v>
      </c>
      <c r="E305" s="13" t="s">
        <v>170</v>
      </c>
      <c r="F305" s="3" t="n">
        <v>46043</v>
      </c>
      <c r="G305" s="3" t="n">
        <v>46049</v>
      </c>
      <c r="H305" s="3" t="n">
        <v>46119</v>
      </c>
      <c r="I305" s="15" t="s">
        <v>167</v>
      </c>
      <c r="J305" s="15" t="n">
        <v>3</v>
      </c>
      <c r="K305" s="3" t="n">
        <v>46112</v>
      </c>
      <c r="L305" s="20" t="n">
        <f aca="false">IF(K305="","",EOMONTH(K305,2))</f>
        <v>46173</v>
      </c>
    </row>
    <row r="306" customFormat="false" ht="14.25" hidden="false" customHeight="true" outlineLevel="0" collapsed="false">
      <c r="A306" s="15" t="n">
        <v>3631</v>
      </c>
      <c r="B306" s="15" t="s">
        <v>99</v>
      </c>
      <c r="C306" s="15" t="s">
        <v>176</v>
      </c>
      <c r="D306" s="15" t="s">
        <v>169</v>
      </c>
      <c r="E306" s="13" t="s">
        <v>170</v>
      </c>
      <c r="F306" s="3" t="n">
        <v>46044</v>
      </c>
      <c r="G306" s="3" t="n">
        <v>46049</v>
      </c>
      <c r="H306" s="3" t="n">
        <v>46045</v>
      </c>
      <c r="I306" s="15" t="s">
        <v>167</v>
      </c>
      <c r="J306" s="15" t="n">
        <v>135</v>
      </c>
      <c r="K306" s="3" t="n">
        <v>46112</v>
      </c>
      <c r="L306" s="20" t="n">
        <f aca="false">IF(K306="","",EOMONTH(K306,2))</f>
        <v>46173</v>
      </c>
    </row>
    <row r="307" customFormat="false" ht="14.25" hidden="false" customHeight="true" outlineLevel="0" collapsed="false">
      <c r="A307" s="15" t="n">
        <v>3635</v>
      </c>
      <c r="B307" s="15" t="s">
        <v>213</v>
      </c>
      <c r="C307" s="15" t="s">
        <v>176</v>
      </c>
      <c r="D307" s="15" t="s">
        <v>169</v>
      </c>
      <c r="E307" s="13" t="s">
        <v>170</v>
      </c>
      <c r="F307" s="3" t="n">
        <v>46044</v>
      </c>
      <c r="G307" s="3" t="n">
        <v>46049</v>
      </c>
      <c r="H307" s="3" t="n">
        <v>46046</v>
      </c>
      <c r="I307" s="15" t="s">
        <v>167</v>
      </c>
      <c r="J307" s="15" t="n">
        <v>95</v>
      </c>
      <c r="K307" s="3" t="n">
        <v>46112</v>
      </c>
      <c r="L307" s="20" t="n">
        <f aca="false">IF(K307="","",EOMONTH(K307,2))</f>
        <v>46173</v>
      </c>
    </row>
    <row r="308" customFormat="false" ht="14.25" hidden="false" customHeight="true" outlineLevel="0" collapsed="false">
      <c r="A308" s="15" t="n">
        <v>3642</v>
      </c>
      <c r="B308" s="15" t="s">
        <v>276</v>
      </c>
      <c r="C308" s="15" t="s">
        <v>176</v>
      </c>
      <c r="D308" s="15" t="s">
        <v>169</v>
      </c>
      <c r="E308" s="13" t="s">
        <v>170</v>
      </c>
      <c r="F308" s="3" t="n">
        <v>46044</v>
      </c>
      <c r="G308" s="3" t="n">
        <v>46049</v>
      </c>
      <c r="H308" s="3" t="n">
        <v>46046</v>
      </c>
      <c r="I308" s="15" t="s">
        <v>167</v>
      </c>
      <c r="J308" s="15" t="n">
        <v>112</v>
      </c>
      <c r="K308" s="3" t="n">
        <v>46112</v>
      </c>
      <c r="L308" s="20" t="n">
        <f aca="false">IF(K308="","",EOMONTH(K308,2))</f>
        <v>46173</v>
      </c>
    </row>
    <row r="309" customFormat="false" ht="14.25" hidden="false" customHeight="true" outlineLevel="0" collapsed="false">
      <c r="A309" s="15" t="n">
        <v>4898</v>
      </c>
      <c r="B309" s="15" t="s">
        <v>213</v>
      </c>
      <c r="C309" s="15" t="s">
        <v>164</v>
      </c>
      <c r="D309" s="15" t="s">
        <v>169</v>
      </c>
      <c r="E309" s="13" t="s">
        <v>170</v>
      </c>
      <c r="F309" s="3" t="n">
        <v>46044</v>
      </c>
      <c r="G309" s="3" t="n">
        <v>46049</v>
      </c>
      <c r="H309" s="3" t="n">
        <v>46059</v>
      </c>
      <c r="I309" s="15" t="s">
        <v>167</v>
      </c>
      <c r="J309" s="15" t="n">
        <v>95</v>
      </c>
      <c r="K309" s="3" t="n">
        <v>46112</v>
      </c>
      <c r="L309" s="20" t="n">
        <f aca="false">IF(K309="","",EOMONTH(K309,2))</f>
        <v>46173</v>
      </c>
    </row>
    <row r="310" customFormat="false" ht="14.25" hidden="false" customHeight="true" outlineLevel="0" collapsed="false">
      <c r="A310" s="15" t="n">
        <v>3633</v>
      </c>
      <c r="B310" s="15" t="s">
        <v>27</v>
      </c>
      <c r="C310" s="15" t="s">
        <v>176</v>
      </c>
      <c r="D310" s="15" t="s">
        <v>169</v>
      </c>
      <c r="E310" s="13" t="s">
        <v>170</v>
      </c>
      <c r="F310" s="3" t="n">
        <v>46045</v>
      </c>
      <c r="G310" s="3" t="n">
        <v>46049</v>
      </c>
      <c r="H310" s="3" t="n">
        <v>46046</v>
      </c>
      <c r="I310" s="15" t="s">
        <v>167</v>
      </c>
      <c r="J310" s="15" t="n">
        <v>120</v>
      </c>
      <c r="K310" s="3" t="n">
        <v>46112</v>
      </c>
      <c r="L310" s="20" t="n">
        <f aca="false">IF(K310="","",EOMONTH(K310,2))</f>
        <v>46173</v>
      </c>
    </row>
    <row r="311" customFormat="false" ht="14.25" hidden="false" customHeight="true" outlineLevel="0" collapsed="false">
      <c r="A311" s="15" t="n">
        <v>3634</v>
      </c>
      <c r="B311" s="15" t="s">
        <v>412</v>
      </c>
      <c r="C311" s="15" t="s">
        <v>176</v>
      </c>
      <c r="D311" s="15" t="s">
        <v>169</v>
      </c>
      <c r="E311" s="13" t="s">
        <v>170</v>
      </c>
      <c r="F311" s="3" t="n">
        <v>46045</v>
      </c>
      <c r="G311" s="3" t="n">
        <v>46049</v>
      </c>
      <c r="H311" s="3" t="n">
        <v>46046</v>
      </c>
      <c r="I311" s="15" t="s">
        <v>167</v>
      </c>
      <c r="J311" s="15" t="n">
        <v>24</v>
      </c>
      <c r="K311" s="3" t="n">
        <v>46112</v>
      </c>
      <c r="L311" s="20" t="n">
        <f aca="false">IF(K311="","",EOMONTH(K311,2))</f>
        <v>46173</v>
      </c>
    </row>
    <row r="312" customFormat="false" ht="14.25" hidden="false" customHeight="true" outlineLevel="0" collapsed="false">
      <c r="A312" s="15" t="n">
        <v>3636</v>
      </c>
      <c r="B312" s="15" t="s">
        <v>219</v>
      </c>
      <c r="C312" s="15" t="s">
        <v>176</v>
      </c>
      <c r="D312" s="15" t="s">
        <v>169</v>
      </c>
      <c r="E312" s="13" t="s">
        <v>170</v>
      </c>
      <c r="F312" s="3" t="n">
        <v>46045</v>
      </c>
      <c r="G312" s="3" t="n">
        <v>46049</v>
      </c>
      <c r="H312" s="3" t="n">
        <v>46046</v>
      </c>
      <c r="I312" s="15" t="s">
        <v>167</v>
      </c>
      <c r="J312" s="15" t="n">
        <v>75</v>
      </c>
      <c r="K312" s="3" t="n">
        <v>46112</v>
      </c>
      <c r="L312" s="20" t="n">
        <f aca="false">IF(K312="","",EOMONTH(K312,2))</f>
        <v>46173</v>
      </c>
    </row>
    <row r="313" customFormat="false" ht="14.25" hidden="false" customHeight="true" outlineLevel="0" collapsed="false">
      <c r="A313" s="15" t="n">
        <v>3638</v>
      </c>
      <c r="B313" s="15" t="s">
        <v>298</v>
      </c>
      <c r="C313" s="15" t="s">
        <v>176</v>
      </c>
      <c r="D313" s="15" t="s">
        <v>169</v>
      </c>
      <c r="E313" s="13" t="s">
        <v>170</v>
      </c>
      <c r="F313" s="3" t="n">
        <v>46045</v>
      </c>
      <c r="G313" s="3" t="n">
        <v>46049</v>
      </c>
      <c r="H313" s="3" t="n">
        <v>46046</v>
      </c>
      <c r="I313" s="15" t="s">
        <v>167</v>
      </c>
      <c r="J313" s="15" t="n">
        <v>64</v>
      </c>
      <c r="K313" s="3" t="n">
        <v>46112</v>
      </c>
      <c r="L313" s="20" t="n">
        <f aca="false">IF(K313="","",EOMONTH(K313,2))</f>
        <v>46173</v>
      </c>
    </row>
    <row r="314" customFormat="false" ht="14.25" hidden="false" customHeight="true" outlineLevel="0" collapsed="false">
      <c r="A314" s="15" t="n">
        <v>3639</v>
      </c>
      <c r="B314" s="15" t="s">
        <v>196</v>
      </c>
      <c r="C314" s="15" t="s">
        <v>176</v>
      </c>
      <c r="D314" s="15" t="s">
        <v>169</v>
      </c>
      <c r="E314" s="13" t="s">
        <v>170</v>
      </c>
      <c r="F314" s="3" t="n">
        <v>46045</v>
      </c>
      <c r="G314" s="3" t="n">
        <v>46049</v>
      </c>
      <c r="H314" s="3" t="n">
        <v>46046</v>
      </c>
      <c r="I314" s="15" t="s">
        <v>167</v>
      </c>
      <c r="J314" s="15" t="n">
        <v>55</v>
      </c>
      <c r="K314" s="3" t="n">
        <v>46112</v>
      </c>
      <c r="L314" s="20" t="n">
        <f aca="false">IF(K314="","",EOMONTH(K314,2))</f>
        <v>46173</v>
      </c>
    </row>
    <row r="315" customFormat="false" ht="14.25" hidden="false" customHeight="true" outlineLevel="0" collapsed="false">
      <c r="A315" s="15" t="n">
        <v>3640</v>
      </c>
      <c r="B315" s="15" t="s">
        <v>24</v>
      </c>
      <c r="C315" s="15" t="s">
        <v>176</v>
      </c>
      <c r="D315" s="15" t="s">
        <v>169</v>
      </c>
      <c r="E315" s="13" t="s">
        <v>413</v>
      </c>
      <c r="F315" s="3" t="n">
        <v>46045</v>
      </c>
      <c r="G315" s="3" t="n">
        <v>46049</v>
      </c>
      <c r="H315" s="3" t="n">
        <v>46046</v>
      </c>
      <c r="I315" s="15" t="s">
        <v>167</v>
      </c>
      <c r="J315" s="15" t="n">
        <v>83</v>
      </c>
      <c r="K315" s="3" t="n">
        <v>46112</v>
      </c>
      <c r="L315" s="20" t="n">
        <f aca="false">IF(K315="","",EOMONTH(K315,2))</f>
        <v>46173</v>
      </c>
    </row>
    <row r="316" customFormat="false" ht="14.25" hidden="false" customHeight="true" outlineLevel="0" collapsed="false">
      <c r="A316" s="15" t="n">
        <v>3641</v>
      </c>
      <c r="B316" s="15" t="s">
        <v>130</v>
      </c>
      <c r="C316" s="15" t="s">
        <v>176</v>
      </c>
      <c r="D316" s="15" t="s">
        <v>169</v>
      </c>
      <c r="E316" s="13" t="s">
        <v>170</v>
      </c>
      <c r="F316" s="3" t="n">
        <v>46045</v>
      </c>
      <c r="G316" s="3" t="n">
        <v>46049</v>
      </c>
      <c r="H316" s="3" t="n">
        <v>46046</v>
      </c>
      <c r="I316" s="15" t="s">
        <v>167</v>
      </c>
      <c r="J316" s="15" t="n">
        <v>92</v>
      </c>
      <c r="K316" s="3" t="n">
        <v>46112</v>
      </c>
      <c r="L316" s="20" t="n">
        <f aca="false">IF(K316="","",EOMONTH(K316,2))</f>
        <v>46173</v>
      </c>
    </row>
    <row r="317" customFormat="false" ht="14.25" hidden="false" customHeight="true" outlineLevel="0" collapsed="false">
      <c r="A317" s="15" t="n">
        <v>4899</v>
      </c>
      <c r="B317" s="15" t="s">
        <v>24</v>
      </c>
      <c r="C317" s="15" t="s">
        <v>164</v>
      </c>
      <c r="D317" s="15" t="s">
        <v>169</v>
      </c>
      <c r="E317" s="13" t="s">
        <v>170</v>
      </c>
      <c r="F317" s="3" t="n">
        <v>46045</v>
      </c>
      <c r="G317" s="3" t="n">
        <v>46049</v>
      </c>
      <c r="H317" s="3" t="n">
        <v>46059</v>
      </c>
      <c r="I317" s="15" t="s">
        <v>167</v>
      </c>
      <c r="J317" s="15" t="n">
        <v>83</v>
      </c>
      <c r="K317" s="3" t="n">
        <v>46112</v>
      </c>
      <c r="L317" s="20" t="n">
        <f aca="false">IF(K317="","",EOMONTH(K317,2))</f>
        <v>46173</v>
      </c>
    </row>
    <row r="318" customFormat="false" ht="14.25" hidden="false" customHeight="true" outlineLevel="0" collapsed="false">
      <c r="A318" s="15" t="n">
        <v>4900</v>
      </c>
      <c r="B318" s="15" t="s">
        <v>298</v>
      </c>
      <c r="C318" s="15" t="s">
        <v>164</v>
      </c>
      <c r="D318" s="15" t="s">
        <v>169</v>
      </c>
      <c r="E318" s="13" t="s">
        <v>170</v>
      </c>
      <c r="F318" s="3" t="n">
        <v>46045</v>
      </c>
      <c r="G318" s="3" t="n">
        <v>46049</v>
      </c>
      <c r="H318" s="3" t="n">
        <v>46071</v>
      </c>
      <c r="I318" s="15" t="s">
        <v>167</v>
      </c>
      <c r="J318" s="15" t="n">
        <v>18</v>
      </c>
      <c r="K318" s="3" t="n">
        <v>46112</v>
      </c>
      <c r="L318" s="20" t="n">
        <f aca="false">IF(K318="","",EOMONTH(K318,2))</f>
        <v>46173</v>
      </c>
    </row>
    <row r="319" customFormat="false" ht="14.25" hidden="false" customHeight="true" outlineLevel="0" collapsed="false">
      <c r="A319" s="15" t="n">
        <v>4913</v>
      </c>
      <c r="B319" s="15" t="s">
        <v>27</v>
      </c>
      <c r="C319" s="15" t="s">
        <v>164</v>
      </c>
      <c r="D319" s="15" t="s">
        <v>169</v>
      </c>
      <c r="E319" s="13" t="s">
        <v>170</v>
      </c>
      <c r="F319" s="3" t="n">
        <v>46045</v>
      </c>
      <c r="G319" s="3" t="n">
        <v>46049</v>
      </c>
      <c r="H319" s="3" t="n">
        <v>46171</v>
      </c>
      <c r="I319" s="15" t="s">
        <v>167</v>
      </c>
      <c r="J319" s="15" t="n">
        <v>21</v>
      </c>
      <c r="K319" s="3" t="n">
        <v>46112</v>
      </c>
      <c r="L319" s="20" t="n">
        <f aca="false">IF(K319="","",EOMONTH(K319,2))</f>
        <v>46173</v>
      </c>
    </row>
    <row r="320" customFormat="false" ht="14.25" hidden="false" customHeight="true" outlineLevel="0" collapsed="false">
      <c r="A320" s="15" t="n">
        <v>5616</v>
      </c>
      <c r="B320" s="15" t="s">
        <v>188</v>
      </c>
      <c r="C320" s="15" t="s">
        <v>184</v>
      </c>
      <c r="D320" s="15" t="s">
        <v>185</v>
      </c>
      <c r="E320" s="13" t="s">
        <v>414</v>
      </c>
      <c r="F320" s="3" t="n">
        <v>46070</v>
      </c>
      <c r="G320" s="3" t="n">
        <v>46076</v>
      </c>
      <c r="H320" s="3" t="n">
        <v>46070</v>
      </c>
      <c r="I320" s="15" t="s">
        <v>167</v>
      </c>
      <c r="J320" s="15" t="n">
        <v>2</v>
      </c>
      <c r="K320" s="3" t="n">
        <v>46142</v>
      </c>
      <c r="L320" s="20" t="n">
        <f aca="false">IF(K320="","",EOMONTH(K320,2))</f>
        <v>46203</v>
      </c>
    </row>
    <row r="321" customFormat="false" ht="14.25" hidden="false" customHeight="true" outlineLevel="0" collapsed="false">
      <c r="A321" s="15" t="n">
        <v>5617</v>
      </c>
      <c r="B321" s="15" t="s">
        <v>188</v>
      </c>
      <c r="C321" s="15" t="s">
        <v>184</v>
      </c>
      <c r="D321" s="15" t="s">
        <v>185</v>
      </c>
      <c r="E321" s="13" t="s">
        <v>415</v>
      </c>
      <c r="F321" s="3" t="n">
        <v>46070</v>
      </c>
      <c r="G321" s="3" t="n">
        <v>46077</v>
      </c>
      <c r="H321" s="3" t="n">
        <v>46070</v>
      </c>
      <c r="I321" s="15" t="s">
        <v>167</v>
      </c>
      <c r="J321" s="15" t="n">
        <v>1</v>
      </c>
      <c r="K321" s="3" t="n">
        <v>46142</v>
      </c>
      <c r="L321" s="20" t="n">
        <f aca="false">IF(K321="","",EOMONTH(K321,2))</f>
        <v>46203</v>
      </c>
    </row>
    <row r="322" customFormat="false" ht="14.25" hidden="false" customHeight="true" outlineLevel="0" collapsed="false">
      <c r="A322" s="15" t="n">
        <v>5618</v>
      </c>
      <c r="B322" s="15" t="s">
        <v>188</v>
      </c>
      <c r="C322" s="15" t="s">
        <v>184</v>
      </c>
      <c r="D322" s="15" t="s">
        <v>185</v>
      </c>
      <c r="E322" s="13" t="s">
        <v>416</v>
      </c>
      <c r="F322" s="3" t="n">
        <v>46070</v>
      </c>
      <c r="G322" s="3" t="n">
        <v>46075</v>
      </c>
      <c r="H322" s="3" t="n">
        <v>46070</v>
      </c>
      <c r="I322" s="15" t="s">
        <v>167</v>
      </c>
      <c r="J322" s="15" t="n">
        <v>1</v>
      </c>
      <c r="K322" s="3" t="n">
        <v>46142</v>
      </c>
      <c r="L322" s="20" t="n">
        <f aca="false">IF(K322="","",EOMONTH(K322,2))</f>
        <v>46203</v>
      </c>
    </row>
    <row r="323" customFormat="false" ht="14.25" hidden="false" customHeight="true" outlineLevel="0" collapsed="false">
      <c r="A323" s="15" t="n">
        <v>5619</v>
      </c>
      <c r="B323" s="15" t="s">
        <v>183</v>
      </c>
      <c r="C323" s="15" t="s">
        <v>184</v>
      </c>
      <c r="D323" s="15" t="s">
        <v>185</v>
      </c>
      <c r="E323" s="13" t="s">
        <v>417</v>
      </c>
      <c r="F323" s="3" t="n">
        <v>46070</v>
      </c>
      <c r="G323" s="15"/>
      <c r="H323" s="3" t="n">
        <v>46071</v>
      </c>
      <c r="I323" s="15" t="s">
        <v>167</v>
      </c>
      <c r="J323" s="15" t="n">
        <v>2</v>
      </c>
      <c r="K323" s="15"/>
      <c r="L323" s="20" t="str">
        <f aca="false">IF(K323="","",EOMONTH(K323,2))</f>
        <v/>
      </c>
    </row>
    <row r="324" customFormat="false" ht="14.25" hidden="false" customHeight="true" outlineLevel="0" collapsed="false">
      <c r="A324" s="15" t="n">
        <v>5620</v>
      </c>
      <c r="B324" s="15" t="s">
        <v>188</v>
      </c>
      <c r="C324" s="15" t="s">
        <v>184</v>
      </c>
      <c r="D324" s="15" t="s">
        <v>185</v>
      </c>
      <c r="E324" s="13" t="s">
        <v>418</v>
      </c>
      <c r="F324" s="3" t="n">
        <v>46072</v>
      </c>
      <c r="G324" s="3" t="n">
        <v>46075</v>
      </c>
      <c r="H324" s="3" t="n">
        <v>46072</v>
      </c>
      <c r="I324" s="15" t="s">
        <v>167</v>
      </c>
      <c r="J324" s="15" t="n">
        <v>1</v>
      </c>
      <c r="K324" s="3" t="n">
        <v>46142</v>
      </c>
      <c r="L324" s="20" t="n">
        <f aca="false">IF(K324="","",EOMONTH(K324,2))</f>
        <v>46203</v>
      </c>
    </row>
    <row r="325" customFormat="false" ht="14.25" hidden="false" customHeight="true" outlineLevel="0" collapsed="false">
      <c r="A325" s="15" t="n">
        <v>5621</v>
      </c>
      <c r="B325" s="15" t="s">
        <v>188</v>
      </c>
      <c r="C325" s="15" t="s">
        <v>184</v>
      </c>
      <c r="D325" s="15" t="s">
        <v>185</v>
      </c>
      <c r="E325" s="13" t="s">
        <v>419</v>
      </c>
      <c r="F325" s="3" t="n">
        <v>46072</v>
      </c>
      <c r="G325" s="3" t="n">
        <v>46079</v>
      </c>
      <c r="H325" s="3" t="n">
        <v>46072</v>
      </c>
      <c r="I325" s="15" t="s">
        <v>167</v>
      </c>
      <c r="J325" s="15" t="n">
        <v>2</v>
      </c>
      <c r="K325" s="3" t="n">
        <v>46142</v>
      </c>
      <c r="L325" s="20" t="n">
        <f aca="false">IF(K325="","",EOMONTH(K325,2))</f>
        <v>46203</v>
      </c>
    </row>
    <row r="326" customFormat="false" ht="14.25" hidden="false" customHeight="true" outlineLevel="0" collapsed="false">
      <c r="A326" s="15" t="n">
        <v>4916</v>
      </c>
      <c r="B326" s="15" t="s">
        <v>133</v>
      </c>
      <c r="C326" s="15" t="s">
        <v>164</v>
      </c>
      <c r="D326" s="15" t="s">
        <v>169</v>
      </c>
      <c r="E326" s="13" t="s">
        <v>170</v>
      </c>
      <c r="F326" s="3" t="n">
        <v>46075</v>
      </c>
      <c r="G326" s="3" t="n">
        <v>46076</v>
      </c>
      <c r="H326" s="3" t="n">
        <v>46171</v>
      </c>
      <c r="I326" s="15" t="s">
        <v>167</v>
      </c>
      <c r="J326" s="15" t="n">
        <v>2</v>
      </c>
      <c r="K326" s="3" t="n">
        <v>46142</v>
      </c>
      <c r="L326" s="20" t="n">
        <f aca="false">IF(K326="","",EOMONTH(K326,2))</f>
        <v>46203</v>
      </c>
    </row>
    <row r="327" customFormat="false" ht="14.25" hidden="false" customHeight="true" outlineLevel="0" collapsed="false">
      <c r="A327" s="15" t="n">
        <v>4919</v>
      </c>
      <c r="B327" s="15" t="s">
        <v>43</v>
      </c>
      <c r="C327" s="15" t="s">
        <v>164</v>
      </c>
      <c r="D327" s="15" t="s">
        <v>169</v>
      </c>
      <c r="E327" s="13" t="s">
        <v>420</v>
      </c>
      <c r="F327" s="3" t="n">
        <v>46075</v>
      </c>
      <c r="G327" s="3" t="n">
        <v>46076</v>
      </c>
      <c r="H327" s="3" t="n">
        <v>46203</v>
      </c>
      <c r="I327" s="15" t="s">
        <v>167</v>
      </c>
      <c r="J327" s="15" t="n">
        <v>1</v>
      </c>
      <c r="K327" s="3" t="n">
        <v>46142</v>
      </c>
      <c r="L327" s="20" t="n">
        <f aca="false">IF(K327="","",EOMONTH(K327,2))</f>
        <v>46203</v>
      </c>
    </row>
    <row r="328" customFormat="false" ht="14.25" hidden="false" customHeight="true" outlineLevel="0" collapsed="false">
      <c r="A328" s="15" t="n">
        <v>4909</v>
      </c>
      <c r="B328" s="15" t="s">
        <v>204</v>
      </c>
      <c r="C328" s="15" t="s">
        <v>164</v>
      </c>
      <c r="D328" s="15" t="s">
        <v>180</v>
      </c>
      <c r="E328" s="13" t="s">
        <v>203</v>
      </c>
      <c r="F328" s="3" t="n">
        <v>46091</v>
      </c>
      <c r="G328" s="3" t="n">
        <v>46105</v>
      </c>
      <c r="H328" s="3" t="n">
        <v>46119</v>
      </c>
      <c r="I328" s="15" t="s">
        <v>167</v>
      </c>
      <c r="J328" s="15" t="n">
        <v>3</v>
      </c>
      <c r="K328" s="3" t="n">
        <v>46173</v>
      </c>
      <c r="L328" s="20" t="n">
        <f aca="false">IF(K328="","",EOMONTH(K328,2))</f>
        <v>46234</v>
      </c>
    </row>
    <row r="329" customFormat="false" ht="25.5" hidden="false" customHeight="true" outlineLevel="0" collapsed="false">
      <c r="A329" s="15" t="n">
        <v>4917</v>
      </c>
      <c r="B329" s="15" t="s">
        <v>206</v>
      </c>
      <c r="C329" s="15" t="s">
        <v>164</v>
      </c>
      <c r="D329" s="15" t="s">
        <v>165</v>
      </c>
      <c r="E329" s="13" t="s">
        <v>331</v>
      </c>
      <c r="F329" s="3" t="n">
        <v>46092</v>
      </c>
      <c r="G329" s="3" t="n">
        <v>46096</v>
      </c>
      <c r="H329" s="3" t="n">
        <v>46203</v>
      </c>
      <c r="I329" s="15" t="s">
        <v>167</v>
      </c>
      <c r="J329" s="15" t="n">
        <v>6</v>
      </c>
      <c r="K329" s="3" t="n">
        <v>46173</v>
      </c>
      <c r="L329" s="20" t="n">
        <f aca="false">IF(K329="","",EOMONTH(K329,2))</f>
        <v>46234</v>
      </c>
    </row>
    <row r="330" customFormat="false" ht="14.25" hidden="false" customHeight="true" outlineLevel="0" collapsed="false">
      <c r="A330" s="15" t="n">
        <v>4920</v>
      </c>
      <c r="B330" s="15" t="s">
        <v>199</v>
      </c>
      <c r="C330" s="15" t="s">
        <v>164</v>
      </c>
      <c r="D330" s="15" t="s">
        <v>185</v>
      </c>
      <c r="E330" s="13" t="s">
        <v>233</v>
      </c>
      <c r="F330" s="3" t="n">
        <v>46093</v>
      </c>
      <c r="G330" s="3" t="n">
        <v>46114</v>
      </c>
      <c r="H330" s="3" t="n">
        <v>46203</v>
      </c>
      <c r="I330" s="15" t="s">
        <v>167</v>
      </c>
      <c r="J330" s="15" t="n">
        <v>5</v>
      </c>
      <c r="K330" s="3" t="n">
        <v>46203</v>
      </c>
      <c r="L330" s="20" t="n">
        <f aca="false">IF(K330="","",EOMONTH(K330,2))</f>
        <v>46265</v>
      </c>
    </row>
    <row r="331" customFormat="false" ht="14.25" hidden="false" customHeight="true" outlineLevel="0" collapsed="false">
      <c r="A331" s="15" t="n">
        <v>5622</v>
      </c>
      <c r="B331" s="15" t="s">
        <v>228</v>
      </c>
      <c r="C331" s="15" t="s">
        <v>184</v>
      </c>
      <c r="D331" s="15" t="s">
        <v>185</v>
      </c>
      <c r="E331" s="13" t="s">
        <v>421</v>
      </c>
      <c r="F331" s="3" t="n">
        <v>46093</v>
      </c>
      <c r="G331" s="15"/>
      <c r="H331" s="3" t="n">
        <v>46094</v>
      </c>
      <c r="I331" s="15" t="s">
        <v>167</v>
      </c>
      <c r="J331" s="15" t="n">
        <v>1</v>
      </c>
      <c r="K331" s="15"/>
      <c r="L331" s="20" t="str">
        <f aca="false">IF(K331="","",EOMONTH(K331,2))</f>
        <v/>
      </c>
    </row>
    <row r="332" customFormat="false" ht="14.25" hidden="false" customHeight="true" outlineLevel="0" collapsed="false">
      <c r="A332" s="15" t="n">
        <v>5623</v>
      </c>
      <c r="B332" s="15" t="s">
        <v>199</v>
      </c>
      <c r="C332" s="15" t="s">
        <v>184</v>
      </c>
      <c r="D332" s="15" t="s">
        <v>185</v>
      </c>
      <c r="E332" s="13" t="s">
        <v>422</v>
      </c>
      <c r="F332" s="3" t="n">
        <v>46093</v>
      </c>
      <c r="G332" s="3" t="n">
        <v>46108</v>
      </c>
      <c r="H332" s="3" t="n">
        <v>46094</v>
      </c>
      <c r="I332" s="15" t="s">
        <v>167</v>
      </c>
      <c r="J332" s="15" t="n">
        <v>7</v>
      </c>
      <c r="K332" s="3" t="n">
        <v>46173</v>
      </c>
      <c r="L332" s="20" t="n">
        <f aca="false">IF(K332="","",EOMONTH(K332,2))</f>
        <v>46234</v>
      </c>
    </row>
    <row r="333" customFormat="false" ht="14.25" hidden="false" customHeight="true" outlineLevel="0" collapsed="false">
      <c r="A333" s="15" t="n">
        <v>5624</v>
      </c>
      <c r="B333" s="15" t="s">
        <v>188</v>
      </c>
      <c r="C333" s="15" t="s">
        <v>184</v>
      </c>
      <c r="D333" s="15" t="s">
        <v>185</v>
      </c>
      <c r="E333" s="13" t="s">
        <v>423</v>
      </c>
      <c r="F333" s="3" t="n">
        <v>46096</v>
      </c>
      <c r="G333" s="3" t="n">
        <v>46097</v>
      </c>
      <c r="H333" s="3" t="n">
        <v>46096</v>
      </c>
      <c r="I333" s="15" t="s">
        <v>167</v>
      </c>
      <c r="J333" s="15" t="n">
        <v>1</v>
      </c>
      <c r="K333" s="3" t="n">
        <v>46173</v>
      </c>
      <c r="L333" s="20" t="n">
        <f aca="false">IF(K333="","",EOMONTH(K333,2))</f>
        <v>46234</v>
      </c>
    </row>
    <row r="334" customFormat="false" ht="14.25" hidden="false" customHeight="true" outlineLevel="0" collapsed="false">
      <c r="A334" s="15" t="n">
        <v>5625</v>
      </c>
      <c r="B334" s="15" t="s">
        <v>183</v>
      </c>
      <c r="C334" s="15" t="s">
        <v>184</v>
      </c>
      <c r="D334" s="15" t="s">
        <v>185</v>
      </c>
      <c r="E334" s="13" t="s">
        <v>424</v>
      </c>
      <c r="F334" s="3" t="n">
        <v>46096</v>
      </c>
      <c r="G334" s="15"/>
      <c r="H334" s="3" t="n">
        <v>46096</v>
      </c>
      <c r="I334" s="15" t="s">
        <v>167</v>
      </c>
      <c r="J334" s="15" t="n">
        <v>1</v>
      </c>
      <c r="K334" s="15"/>
      <c r="L334" s="20" t="str">
        <f aca="false">IF(K334="","",EOMONTH(K334,2))</f>
        <v/>
      </c>
    </row>
    <row r="335" customFormat="false" ht="14.25" hidden="false" customHeight="true" outlineLevel="0" collapsed="false">
      <c r="A335" s="15" t="n">
        <v>5626</v>
      </c>
      <c r="B335" s="15" t="s">
        <v>188</v>
      </c>
      <c r="C335" s="15" t="s">
        <v>184</v>
      </c>
      <c r="D335" s="15" t="s">
        <v>185</v>
      </c>
      <c r="E335" s="13" t="s">
        <v>425</v>
      </c>
      <c r="F335" s="3" t="n">
        <v>46100</v>
      </c>
      <c r="G335" s="15"/>
      <c r="H335" s="3" t="n">
        <v>46100</v>
      </c>
      <c r="I335" s="15" t="s">
        <v>167</v>
      </c>
      <c r="J335" s="15" t="n">
        <v>1</v>
      </c>
      <c r="K335" s="15"/>
      <c r="L335" s="20" t="str">
        <f aca="false">IF(K335="","",EOMONTH(K335,2))</f>
        <v/>
      </c>
    </row>
    <row r="336" customFormat="false" ht="14.25" hidden="false" customHeight="true" outlineLevel="0" collapsed="false">
      <c r="A336" s="15" t="n">
        <v>5627</v>
      </c>
      <c r="B336" s="15" t="s">
        <v>188</v>
      </c>
      <c r="C336" s="15" t="s">
        <v>184</v>
      </c>
      <c r="D336" s="15" t="s">
        <v>185</v>
      </c>
      <c r="E336" s="13" t="s">
        <v>426</v>
      </c>
      <c r="F336" s="3" t="n">
        <v>46103</v>
      </c>
      <c r="G336" s="15"/>
      <c r="H336" s="3" t="n">
        <v>46103</v>
      </c>
      <c r="I336" s="15" t="s">
        <v>167</v>
      </c>
      <c r="J336" s="15" t="n">
        <v>1</v>
      </c>
      <c r="K336" s="15"/>
      <c r="L336" s="20" t="str">
        <f aca="false">IF(K336="","",EOMONTH(K336,2))</f>
        <v/>
      </c>
    </row>
    <row r="337" customFormat="false" ht="14.25" hidden="false" customHeight="true" outlineLevel="0" collapsed="false">
      <c r="A337" s="15" t="n">
        <v>5628</v>
      </c>
      <c r="B337" s="15" t="s">
        <v>188</v>
      </c>
      <c r="C337" s="15" t="s">
        <v>184</v>
      </c>
      <c r="D337" s="15" t="s">
        <v>185</v>
      </c>
      <c r="E337" s="13" t="s">
        <v>427</v>
      </c>
      <c r="F337" s="3" t="n">
        <v>46103</v>
      </c>
      <c r="G337" s="15"/>
      <c r="H337" s="3" t="n">
        <v>46103</v>
      </c>
      <c r="I337" s="15" t="s">
        <v>167</v>
      </c>
      <c r="J337" s="15" t="n">
        <v>1</v>
      </c>
      <c r="K337" s="15"/>
      <c r="L337" s="20" t="str">
        <f aca="false">IF(K337="","",EOMONTH(K337,2))</f>
        <v/>
      </c>
    </row>
    <row r="338" customFormat="false" ht="14.25" hidden="false" customHeight="true" outlineLevel="0" collapsed="false">
      <c r="A338" s="15" t="n">
        <v>4925</v>
      </c>
      <c r="B338" s="15" t="s">
        <v>362</v>
      </c>
      <c r="C338" s="15" t="s">
        <v>164</v>
      </c>
      <c r="D338" s="15" t="s">
        <v>180</v>
      </c>
      <c r="E338" s="13" t="s">
        <v>214</v>
      </c>
      <c r="F338" s="3" t="n">
        <v>46122</v>
      </c>
      <c r="G338" s="3" t="n">
        <v>46133</v>
      </c>
      <c r="H338" s="3" t="n">
        <v>46203</v>
      </c>
      <c r="I338" s="15" t="s">
        <v>167</v>
      </c>
      <c r="J338" s="15" t="n">
        <v>36</v>
      </c>
      <c r="K338" s="3" t="n">
        <v>46203</v>
      </c>
      <c r="L338" s="20" t="n">
        <f aca="false">IF(K338="","",EOMONTH(K338,2))</f>
        <v>46265</v>
      </c>
    </row>
    <row r="339" customFormat="false" ht="14.25" hidden="false" customHeight="true" outlineLevel="0" collapsed="false">
      <c r="A339" s="15" t="n">
        <v>3644</v>
      </c>
      <c r="B339" s="15" t="s">
        <v>428</v>
      </c>
      <c r="C339" s="15" t="s">
        <v>176</v>
      </c>
      <c r="D339" s="15" t="s">
        <v>270</v>
      </c>
      <c r="E339" s="13" t="s">
        <v>429</v>
      </c>
      <c r="F339" s="3" t="n">
        <v>46123</v>
      </c>
      <c r="G339" s="3" t="n">
        <v>46130</v>
      </c>
      <c r="H339" s="3" t="n">
        <v>46123</v>
      </c>
      <c r="I339" s="15" t="s">
        <v>167</v>
      </c>
      <c r="J339" s="15" t="n">
        <v>1</v>
      </c>
      <c r="K339" s="3" t="n">
        <v>46203</v>
      </c>
      <c r="L339" s="20" t="n">
        <f aca="false">IF(K339="","",EOMONTH(K339,2))</f>
        <v>46265</v>
      </c>
    </row>
    <row r="340" customFormat="false" ht="14.25" hidden="false" customHeight="true" outlineLevel="0" collapsed="false">
      <c r="A340" s="15" t="n">
        <v>3645</v>
      </c>
      <c r="B340" s="15" t="s">
        <v>430</v>
      </c>
      <c r="C340" s="15" t="s">
        <v>176</v>
      </c>
      <c r="D340" s="15" t="s">
        <v>270</v>
      </c>
      <c r="E340" s="13" t="s">
        <v>429</v>
      </c>
      <c r="F340" s="3" t="n">
        <v>46123</v>
      </c>
      <c r="G340" s="3" t="n">
        <v>46130</v>
      </c>
      <c r="H340" s="3" t="n">
        <v>46123</v>
      </c>
      <c r="I340" s="15" t="s">
        <v>167</v>
      </c>
      <c r="J340" s="15" t="n">
        <v>5</v>
      </c>
      <c r="K340" s="3" t="n">
        <v>46203</v>
      </c>
      <c r="L340" s="20" t="n">
        <f aca="false">IF(K340="","",EOMONTH(K340,2))</f>
        <v>46265</v>
      </c>
    </row>
    <row r="341" customFormat="false" ht="14.25" hidden="false" customHeight="true" outlineLevel="0" collapsed="false">
      <c r="A341" s="15" t="n">
        <v>4910</v>
      </c>
      <c r="B341" s="15" t="s">
        <v>430</v>
      </c>
      <c r="C341" s="15" t="s">
        <v>164</v>
      </c>
      <c r="D341" s="15" t="s">
        <v>239</v>
      </c>
      <c r="E341" s="13" t="s">
        <v>431</v>
      </c>
      <c r="F341" s="3" t="n">
        <v>46123</v>
      </c>
      <c r="G341" s="3" t="n">
        <v>46130</v>
      </c>
      <c r="H341" s="3" t="n">
        <v>46135</v>
      </c>
      <c r="I341" s="15" t="s">
        <v>167</v>
      </c>
      <c r="J341" s="15" t="n">
        <v>5</v>
      </c>
      <c r="K341" s="3" t="n">
        <v>46203</v>
      </c>
      <c r="L341" s="20" t="n">
        <f aca="false">IF(K341="","",EOMONTH(K341,2))</f>
        <v>46265</v>
      </c>
    </row>
    <row r="342" customFormat="false" ht="14.25" hidden="false" customHeight="true" outlineLevel="0" collapsed="false">
      <c r="A342" s="15" t="n">
        <v>4921</v>
      </c>
      <c r="B342" s="15" t="s">
        <v>428</v>
      </c>
      <c r="C342" s="15" t="s">
        <v>164</v>
      </c>
      <c r="D342" s="15" t="s">
        <v>432</v>
      </c>
      <c r="E342" s="13" t="s">
        <v>431</v>
      </c>
      <c r="F342" s="3" t="n">
        <v>46123</v>
      </c>
      <c r="G342" s="3" t="n">
        <v>46130</v>
      </c>
      <c r="H342" s="3" t="n">
        <v>46203</v>
      </c>
      <c r="I342" s="15" t="s">
        <v>167</v>
      </c>
      <c r="J342" s="15" t="n">
        <v>1</v>
      </c>
      <c r="K342" s="3" t="n">
        <v>46203</v>
      </c>
      <c r="L342" s="20" t="n">
        <f aca="false">IF(K342="","",EOMONTH(K342,2))</f>
        <v>46265</v>
      </c>
    </row>
    <row r="343" customFormat="false" ht="14.25" hidden="false" customHeight="true" outlineLevel="0" collapsed="false">
      <c r="A343" s="15" t="n">
        <v>4923</v>
      </c>
      <c r="B343" s="15" t="s">
        <v>395</v>
      </c>
      <c r="C343" s="15" t="s">
        <v>164</v>
      </c>
      <c r="D343" s="15" t="s">
        <v>180</v>
      </c>
      <c r="E343" s="13" t="s">
        <v>214</v>
      </c>
      <c r="F343" s="3" t="n">
        <v>46125</v>
      </c>
      <c r="G343" s="3" t="n">
        <v>46135</v>
      </c>
      <c r="H343" s="3" t="n">
        <v>46203</v>
      </c>
      <c r="I343" s="15" t="s">
        <v>167</v>
      </c>
      <c r="J343" s="15" t="n">
        <v>22</v>
      </c>
      <c r="K343" s="3" t="n">
        <v>46203</v>
      </c>
      <c r="L343" s="20" t="n">
        <f aca="false">IF(K343="","",EOMONTH(K343,2))</f>
        <v>46265</v>
      </c>
    </row>
    <row r="344" customFormat="false" ht="14.25" hidden="false" customHeight="true" outlineLevel="0" collapsed="false">
      <c r="A344" s="15" t="n">
        <v>5629</v>
      </c>
      <c r="B344" s="15" t="s">
        <v>276</v>
      </c>
      <c r="C344" s="15" t="s">
        <v>184</v>
      </c>
      <c r="D344" s="15" t="s">
        <v>185</v>
      </c>
      <c r="E344" s="13" t="s">
        <v>433</v>
      </c>
      <c r="F344" s="3" t="n">
        <v>46130</v>
      </c>
      <c r="G344" s="15"/>
      <c r="H344" s="3" t="n">
        <v>46133</v>
      </c>
      <c r="I344" s="15" t="s">
        <v>167</v>
      </c>
      <c r="J344" s="15" t="n">
        <v>2</v>
      </c>
      <c r="K344" s="15"/>
      <c r="L344" s="20" t="str">
        <f aca="false">IF(K344="","",EOMONTH(K344,2))</f>
        <v/>
      </c>
    </row>
    <row r="345" customFormat="false" ht="14.25" hidden="false" customHeight="true" outlineLevel="0" collapsed="false">
      <c r="A345" s="15" t="n">
        <v>5631</v>
      </c>
      <c r="B345" s="15" t="s">
        <v>215</v>
      </c>
      <c r="C345" s="15" t="s">
        <v>184</v>
      </c>
      <c r="D345" s="15" t="s">
        <v>185</v>
      </c>
      <c r="E345" s="13" t="s">
        <v>434</v>
      </c>
      <c r="F345" s="3" t="n">
        <v>46131</v>
      </c>
      <c r="G345" s="15"/>
      <c r="H345" s="3" t="n">
        <v>46134</v>
      </c>
      <c r="I345" s="15" t="s">
        <v>167</v>
      </c>
      <c r="J345" s="15" t="n">
        <v>2</v>
      </c>
      <c r="K345" s="15"/>
      <c r="L345" s="20" t="str">
        <f aca="false">IF(K345="","",EOMONTH(K345,2))</f>
        <v/>
      </c>
    </row>
    <row r="346" customFormat="false" ht="14.25" hidden="false" customHeight="true" outlineLevel="0" collapsed="false">
      <c r="A346" s="15" t="n">
        <v>5630</v>
      </c>
      <c r="B346" s="15" t="s">
        <v>276</v>
      </c>
      <c r="C346" s="15" t="s">
        <v>184</v>
      </c>
      <c r="D346" s="15" t="s">
        <v>185</v>
      </c>
      <c r="E346" s="13" t="s">
        <v>435</v>
      </c>
      <c r="F346" s="3" t="n">
        <v>46132</v>
      </c>
      <c r="G346" s="15"/>
      <c r="H346" s="3" t="n">
        <v>46134</v>
      </c>
      <c r="I346" s="15" t="s">
        <v>167</v>
      </c>
      <c r="J346" s="15" t="n">
        <v>1</v>
      </c>
      <c r="K346" s="15"/>
      <c r="L346" s="20" t="str">
        <f aca="false">IF(K346="","",EOMONTH(K346,2))</f>
        <v/>
      </c>
    </row>
    <row r="347" customFormat="false" ht="14.25" hidden="false" customHeight="true" outlineLevel="0" collapsed="false">
      <c r="A347" s="15" t="n">
        <v>5632</v>
      </c>
      <c r="B347" s="15" t="s">
        <v>215</v>
      </c>
      <c r="C347" s="15" t="s">
        <v>184</v>
      </c>
      <c r="D347" s="15" t="s">
        <v>185</v>
      </c>
      <c r="E347" s="13" t="s">
        <v>436</v>
      </c>
      <c r="F347" s="3" t="n">
        <v>46133</v>
      </c>
      <c r="G347" s="15"/>
      <c r="H347" s="3" t="n">
        <v>46135</v>
      </c>
      <c r="I347" s="15" t="s">
        <v>167</v>
      </c>
      <c r="J347" s="15" t="n">
        <v>1</v>
      </c>
      <c r="K347" s="15"/>
      <c r="L347" s="20" t="str">
        <f aca="false">IF(K347="","",EOMONTH(K347,2))</f>
        <v/>
      </c>
    </row>
    <row r="348" customFormat="false" ht="14.25" hidden="false" customHeight="true" outlineLevel="0" collapsed="false">
      <c r="A348" s="15" t="n">
        <v>4924</v>
      </c>
      <c r="B348" s="15" t="s">
        <v>217</v>
      </c>
      <c r="C348" s="15" t="s">
        <v>164</v>
      </c>
      <c r="D348" s="15" t="s">
        <v>165</v>
      </c>
      <c r="E348" s="13" t="s">
        <v>214</v>
      </c>
      <c r="F348" s="3" t="n">
        <v>46135</v>
      </c>
      <c r="G348" s="3" t="n">
        <v>46140</v>
      </c>
      <c r="H348" s="3" t="n">
        <v>46203</v>
      </c>
      <c r="I348" s="15" t="s">
        <v>167</v>
      </c>
      <c r="J348" s="15" t="n">
        <v>10</v>
      </c>
      <c r="K348" s="3" t="n">
        <v>46203</v>
      </c>
      <c r="L348" s="20" t="n">
        <f aca="false">IF(K348="","",EOMONTH(K348,2))</f>
        <v>46265</v>
      </c>
    </row>
    <row r="349" customFormat="false" ht="14.25" hidden="false" customHeight="true" outlineLevel="0" collapsed="false">
      <c r="A349" s="15" t="n">
        <v>4926</v>
      </c>
      <c r="B349" s="15" t="s">
        <v>168</v>
      </c>
      <c r="C349" s="15" t="s">
        <v>164</v>
      </c>
      <c r="D349" s="15" t="s">
        <v>165</v>
      </c>
      <c r="E349" s="13" t="s">
        <v>202</v>
      </c>
      <c r="F349" s="3" t="n">
        <v>46138</v>
      </c>
      <c r="G349" s="3" t="n">
        <v>46139</v>
      </c>
      <c r="H349" s="3" t="n">
        <v>46203</v>
      </c>
      <c r="I349" s="15" t="s">
        <v>167</v>
      </c>
      <c r="J349" s="15" t="n">
        <v>5</v>
      </c>
      <c r="K349" s="3" t="n">
        <v>46203</v>
      </c>
      <c r="L349" s="20" t="n">
        <f aca="false">IF(K349="","",EOMONTH(K349,2))</f>
        <v>46265</v>
      </c>
    </row>
    <row r="350" customFormat="false" ht="14.25" hidden="false" customHeight="true" outlineLevel="0" collapsed="false">
      <c r="A350" s="15" t="n">
        <v>4922</v>
      </c>
      <c r="B350" s="15" t="s">
        <v>24</v>
      </c>
      <c r="C350" s="15" t="s">
        <v>164</v>
      </c>
      <c r="D350" s="15" t="s">
        <v>165</v>
      </c>
      <c r="E350" s="13" t="s">
        <v>202</v>
      </c>
      <c r="F350" s="3" t="n">
        <v>46148</v>
      </c>
      <c r="G350" s="3" t="n">
        <v>46149</v>
      </c>
      <c r="H350" s="3" t="n">
        <v>46203</v>
      </c>
      <c r="I350" s="15" t="s">
        <v>167</v>
      </c>
      <c r="J350" s="15" t="n">
        <v>5</v>
      </c>
      <c r="K350" s="3" t="n">
        <v>46234</v>
      </c>
      <c r="L350" s="20" t="n">
        <f aca="false">IF(K350="","",EOMONTH(K350,2))</f>
        <v>46295</v>
      </c>
    </row>
    <row r="351" customFormat="false" ht="14.25" hidden="false" customHeight="true" outlineLevel="0" collapsed="false">
      <c r="A351" s="15" t="n">
        <v>5633</v>
      </c>
      <c r="B351" s="15" t="s">
        <v>183</v>
      </c>
      <c r="C351" s="15" t="s">
        <v>184</v>
      </c>
      <c r="D351" s="15" t="s">
        <v>185</v>
      </c>
      <c r="E351" s="13" t="s">
        <v>437</v>
      </c>
      <c r="F351" s="3" t="n">
        <v>46156</v>
      </c>
      <c r="G351" s="3" t="n">
        <v>46161</v>
      </c>
      <c r="H351" s="3" t="n">
        <v>46156</v>
      </c>
      <c r="I351" s="15" t="s">
        <v>167</v>
      </c>
      <c r="J351" s="15" t="n">
        <v>1</v>
      </c>
      <c r="K351" s="3" t="n">
        <v>46234</v>
      </c>
      <c r="L351" s="20" t="n">
        <f aca="false">IF(K351="","",EOMONTH(K351,2))</f>
        <v>46295</v>
      </c>
    </row>
    <row r="352" customFormat="false" ht="14.25" hidden="false" customHeight="true" outlineLevel="0" collapsed="false">
      <c r="A352" s="15" t="n">
        <v>5634</v>
      </c>
      <c r="B352" s="15" t="s">
        <v>183</v>
      </c>
      <c r="C352" s="15" t="s">
        <v>184</v>
      </c>
      <c r="D352" s="15" t="s">
        <v>185</v>
      </c>
      <c r="E352" s="13" t="s">
        <v>438</v>
      </c>
      <c r="F352" s="3" t="n">
        <v>46160</v>
      </c>
      <c r="G352" s="3" t="n">
        <v>46163</v>
      </c>
      <c r="H352" s="3" t="n">
        <v>46160</v>
      </c>
      <c r="I352" s="15" t="s">
        <v>167</v>
      </c>
      <c r="J352" s="15" t="n">
        <v>1</v>
      </c>
      <c r="K352" s="3" t="n">
        <v>46234</v>
      </c>
      <c r="L352" s="20" t="n">
        <f aca="false">IF(K352="","",EOMONTH(K352,2))</f>
        <v>46295</v>
      </c>
    </row>
    <row r="353" customFormat="false" ht="14.25" hidden="false" customHeight="true" outlineLevel="0" collapsed="false">
      <c r="A353" s="15" t="n">
        <v>5635</v>
      </c>
      <c r="B353" s="15" t="s">
        <v>117</v>
      </c>
      <c r="C353" s="15" t="s">
        <v>184</v>
      </c>
      <c r="D353" s="15" t="s">
        <v>185</v>
      </c>
      <c r="E353" s="13" t="s">
        <v>439</v>
      </c>
      <c r="F353" s="3" t="n">
        <v>46160</v>
      </c>
      <c r="G353" s="15"/>
      <c r="H353" s="3" t="n">
        <v>46160</v>
      </c>
      <c r="I353" s="15" t="s">
        <v>167</v>
      </c>
      <c r="J353" s="15" t="n">
        <v>1</v>
      </c>
      <c r="K353" s="15"/>
      <c r="L353" s="20" t="str">
        <f aca="false">IF(K353="","",EOMONTH(K353,2))</f>
        <v/>
      </c>
    </row>
    <row r="354" customFormat="false" ht="14.25" hidden="false" customHeight="true" outlineLevel="0" collapsed="false">
      <c r="A354" s="15" t="n">
        <v>5636</v>
      </c>
      <c r="B354" s="15" t="s">
        <v>117</v>
      </c>
      <c r="C354" s="15" t="s">
        <v>184</v>
      </c>
      <c r="D354" s="15" t="s">
        <v>185</v>
      </c>
      <c r="E354" s="13" t="s">
        <v>440</v>
      </c>
      <c r="F354" s="3" t="n">
        <v>46161</v>
      </c>
      <c r="G354" s="15"/>
      <c r="H354" s="3" t="n">
        <v>46162</v>
      </c>
      <c r="I354" s="15" t="s">
        <v>167</v>
      </c>
      <c r="J354" s="15" t="n">
        <v>1</v>
      </c>
      <c r="K354" s="15"/>
      <c r="L354" s="20" t="str">
        <f aca="false">IF(K354="","",EOMONTH(K354,2))</f>
        <v/>
      </c>
    </row>
    <row r="355" customFormat="false" ht="14.25" hidden="false" customHeight="true" outlineLevel="0" collapsed="false">
      <c r="A355" s="15" t="n">
        <v>3646</v>
      </c>
      <c r="B355" s="15" t="s">
        <v>117</v>
      </c>
      <c r="C355" s="15" t="s">
        <v>176</v>
      </c>
      <c r="D355" s="15" t="s">
        <v>441</v>
      </c>
      <c r="E355" s="13" t="s">
        <v>442</v>
      </c>
      <c r="F355" s="3" t="n">
        <v>46163</v>
      </c>
      <c r="G355" s="3" t="n">
        <v>46171</v>
      </c>
      <c r="H355" s="3" t="n">
        <v>46167</v>
      </c>
      <c r="I355" s="15" t="s">
        <v>167</v>
      </c>
      <c r="J355" s="15" t="n">
        <v>1</v>
      </c>
      <c r="K355" s="3" t="n">
        <v>46234</v>
      </c>
      <c r="L355" s="20" t="n">
        <f aca="false">IF(K355="","",EOMONTH(K355,2))</f>
        <v>46295</v>
      </c>
    </row>
  </sheetData>
  <autoFilter ref="A1:K355"/>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true">
    <pageSetUpPr fitToPage="false"/>
  </sheetPr>
  <dimension ref="A1:L64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13" activePane="bottomLeft" state="frozen"/>
      <selection pane="topLeft" activeCell="A1" activeCellId="0" sqref="A1"/>
      <selection pane="bottomLeft" activeCell="M141" activeCellId="0" sqref="M141"/>
    </sheetView>
  </sheetViews>
  <sheetFormatPr defaultColWidth="8.6328125" defaultRowHeight="14.25" zeroHeight="false" outlineLevelRow="0" outlineLevelCol="0"/>
  <cols>
    <col collapsed="false" customWidth="true" hidden="false" outlineLevel="0" max="1" min="1" style="1" width="16"/>
    <col collapsed="false" customWidth="true" hidden="false" outlineLevel="0" max="2" min="2" style="1" width="14"/>
    <col collapsed="false" customWidth="true" hidden="false" outlineLevel="0" max="3" min="3" style="1" width="11"/>
    <col collapsed="false" customWidth="true" hidden="false" outlineLevel="0" max="4" min="4" style="1" width="13"/>
    <col collapsed="false" customWidth="true" hidden="false" outlineLevel="0" max="5" min="5" style="1" width="7"/>
    <col collapsed="false" customWidth="true" hidden="false" outlineLevel="0" max="6" min="6" style="1" width="40"/>
    <col collapsed="false" customWidth="true" hidden="false" outlineLevel="0" max="8" min="7" style="1" width="60"/>
    <col collapsed="false" customWidth="true" hidden="false" outlineLevel="0" max="9" min="9" style="1" width="45"/>
    <col collapsed="false" customWidth="true" hidden="false" outlineLevel="0" max="10" min="10" style="1" width="18"/>
    <col collapsed="false" customWidth="true" hidden="false" outlineLevel="0" max="11" min="11" style="1" width="10"/>
    <col collapsed="false" customWidth="true" hidden="false" outlineLevel="0" max="12" min="12" style="1" width="48"/>
  </cols>
  <sheetData>
    <row r="1" customFormat="false" ht="14.25" hidden="false" customHeight="true" outlineLevel="0" collapsed="false">
      <c r="A1" s="21" t="s">
        <v>443</v>
      </c>
      <c r="B1" s="21" t="s">
        <v>444</v>
      </c>
      <c r="C1" s="21" t="s">
        <v>445</v>
      </c>
      <c r="D1" s="21" t="s">
        <v>446</v>
      </c>
      <c r="E1" s="21" t="s">
        <v>447</v>
      </c>
      <c r="F1" s="21" t="s">
        <v>448</v>
      </c>
      <c r="G1" s="21" t="s">
        <v>155</v>
      </c>
      <c r="H1" s="21" t="s">
        <v>449</v>
      </c>
      <c r="I1" s="21" t="s">
        <v>450</v>
      </c>
      <c r="J1" s="21" t="s">
        <v>451</v>
      </c>
      <c r="K1" s="21" t="s">
        <v>452</v>
      </c>
      <c r="L1" s="21" t="s">
        <v>453</v>
      </c>
    </row>
    <row r="2" customFormat="false" ht="14.25" hidden="true" customHeight="true" outlineLevel="0" collapsed="false">
      <c r="A2" s="22" t="s">
        <v>454</v>
      </c>
      <c r="B2" s="22" t="s">
        <v>455</v>
      </c>
      <c r="C2" s="23" t="n">
        <v>45293</v>
      </c>
      <c r="D2" s="22"/>
      <c r="E2" s="22" t="n">
        <v>0</v>
      </c>
      <c r="F2" s="22"/>
      <c r="G2" s="22" t="s">
        <v>456</v>
      </c>
      <c r="H2" s="22" t="s">
        <v>457</v>
      </c>
      <c r="I2" s="22" t="s">
        <v>458</v>
      </c>
      <c r="J2" s="22" t="s">
        <v>459</v>
      </c>
      <c r="K2" s="22"/>
      <c r="L2" s="22"/>
    </row>
    <row r="3" customFormat="false" ht="14.25" hidden="true" customHeight="true" outlineLevel="0" collapsed="false">
      <c r="A3" s="22" t="s">
        <v>460</v>
      </c>
      <c r="B3" s="22" t="s">
        <v>455</v>
      </c>
      <c r="C3" s="23" t="n">
        <v>45300</v>
      </c>
      <c r="D3" s="22"/>
      <c r="E3" s="22" t="n">
        <v>0</v>
      </c>
      <c r="F3" s="22"/>
      <c r="G3" s="22" t="s">
        <v>461</v>
      </c>
      <c r="H3" s="22" t="s">
        <v>462</v>
      </c>
      <c r="I3" s="22" t="s">
        <v>463</v>
      </c>
      <c r="J3" s="22" t="s">
        <v>459</v>
      </c>
      <c r="K3" s="22"/>
      <c r="L3" s="22"/>
    </row>
    <row r="4" customFormat="false" ht="14.25" hidden="true" customHeight="true" outlineLevel="0" collapsed="false">
      <c r="A4" s="22" t="s">
        <v>464</v>
      </c>
      <c r="B4" s="22" t="s">
        <v>455</v>
      </c>
      <c r="C4" s="23" t="n">
        <v>45301</v>
      </c>
      <c r="D4" s="22"/>
      <c r="E4" s="22" t="n">
        <v>0</v>
      </c>
      <c r="F4" s="22"/>
      <c r="G4" s="22" t="s">
        <v>465</v>
      </c>
      <c r="H4" s="22" t="s">
        <v>466</v>
      </c>
      <c r="I4" s="22" t="s">
        <v>467</v>
      </c>
      <c r="J4" s="22" t="s">
        <v>459</v>
      </c>
      <c r="K4" s="22"/>
      <c r="L4" s="22"/>
    </row>
    <row r="5" customFormat="false" ht="14.25" hidden="true" customHeight="true" outlineLevel="0" collapsed="false">
      <c r="A5" s="22" t="s">
        <v>468</v>
      </c>
      <c r="B5" s="22" t="s">
        <v>455</v>
      </c>
      <c r="C5" s="23" t="n">
        <v>45302</v>
      </c>
      <c r="D5" s="22"/>
      <c r="E5" s="22" t="n">
        <v>1</v>
      </c>
      <c r="F5" s="22" t="s">
        <v>469</v>
      </c>
      <c r="G5" s="22" t="s">
        <v>470</v>
      </c>
      <c r="H5" s="22" t="s">
        <v>471</v>
      </c>
      <c r="I5" s="22" t="s">
        <v>472</v>
      </c>
      <c r="J5" s="22" t="s">
        <v>459</v>
      </c>
      <c r="K5" s="22" t="s">
        <v>473</v>
      </c>
      <c r="L5" s="22" t="s">
        <v>474</v>
      </c>
    </row>
    <row r="6" customFormat="false" ht="14.25" hidden="true" customHeight="true" outlineLevel="0" collapsed="false">
      <c r="A6" s="22" t="s">
        <v>475</v>
      </c>
      <c r="B6" s="22" t="s">
        <v>455</v>
      </c>
      <c r="C6" s="23" t="n">
        <v>45307</v>
      </c>
      <c r="D6" s="22"/>
      <c r="E6" s="22" t="n">
        <v>1</v>
      </c>
      <c r="F6" s="22" t="s">
        <v>476</v>
      </c>
      <c r="G6" s="22" t="s">
        <v>470</v>
      </c>
      <c r="H6" s="22" t="s">
        <v>477</v>
      </c>
      <c r="I6" s="22" t="s">
        <v>478</v>
      </c>
      <c r="J6" s="22" t="s">
        <v>459</v>
      </c>
      <c r="K6" s="22" t="s">
        <v>473</v>
      </c>
      <c r="L6" s="22" t="s">
        <v>474</v>
      </c>
    </row>
    <row r="7" customFormat="false" ht="14.25" hidden="true" customHeight="true" outlineLevel="0" collapsed="false">
      <c r="A7" s="22" t="s">
        <v>479</v>
      </c>
      <c r="B7" s="22" t="s">
        <v>455</v>
      </c>
      <c r="C7" s="23" t="n">
        <v>45309</v>
      </c>
      <c r="D7" s="22"/>
      <c r="E7" s="22" t="n">
        <v>1</v>
      </c>
      <c r="F7" s="22" t="s">
        <v>480</v>
      </c>
      <c r="G7" s="22" t="s">
        <v>470</v>
      </c>
      <c r="H7" s="22" t="s">
        <v>477</v>
      </c>
      <c r="I7" s="22" t="s">
        <v>481</v>
      </c>
      <c r="J7" s="22" t="s">
        <v>459</v>
      </c>
      <c r="K7" s="22" t="s">
        <v>473</v>
      </c>
      <c r="L7" s="22" t="s">
        <v>474</v>
      </c>
    </row>
    <row r="8" customFormat="false" ht="14.25" hidden="true" customHeight="true" outlineLevel="0" collapsed="false">
      <c r="A8" s="22" t="s">
        <v>482</v>
      </c>
      <c r="B8" s="22" t="s">
        <v>483</v>
      </c>
      <c r="C8" s="23" t="n">
        <v>45313</v>
      </c>
      <c r="D8" s="23" t="n">
        <v>45233</v>
      </c>
      <c r="E8" s="22" t="n">
        <v>0</v>
      </c>
      <c r="F8" s="22"/>
      <c r="G8" s="22" t="s">
        <v>484</v>
      </c>
      <c r="H8" s="22" t="s">
        <v>485</v>
      </c>
      <c r="I8" s="22" t="s">
        <v>486</v>
      </c>
      <c r="J8" s="22" t="s">
        <v>459</v>
      </c>
      <c r="K8" s="22"/>
      <c r="L8" s="22"/>
    </row>
    <row r="9" customFormat="false" ht="14.25" hidden="true" customHeight="true" outlineLevel="0" collapsed="false">
      <c r="A9" s="22" t="s">
        <v>487</v>
      </c>
      <c r="B9" s="22" t="s">
        <v>455</v>
      </c>
      <c r="C9" s="23" t="n">
        <v>45316</v>
      </c>
      <c r="D9" s="22"/>
      <c r="E9" s="22" t="n">
        <v>1</v>
      </c>
      <c r="F9" s="22" t="s">
        <v>488</v>
      </c>
      <c r="G9" s="22" t="s">
        <v>470</v>
      </c>
      <c r="H9" s="22" t="s">
        <v>471</v>
      </c>
      <c r="I9" s="22" t="s">
        <v>489</v>
      </c>
      <c r="J9" s="22" t="s">
        <v>459</v>
      </c>
      <c r="K9" s="22" t="s">
        <v>473</v>
      </c>
      <c r="L9" s="22" t="s">
        <v>474</v>
      </c>
    </row>
    <row r="10" customFormat="false" ht="14.25" hidden="true" customHeight="true" outlineLevel="0" collapsed="false">
      <c r="A10" s="22" t="s">
        <v>490</v>
      </c>
      <c r="B10" s="22" t="s">
        <v>455</v>
      </c>
      <c r="C10" s="23" t="n">
        <v>45317</v>
      </c>
      <c r="D10" s="22"/>
      <c r="E10" s="22" t="n">
        <v>1</v>
      </c>
      <c r="F10" s="22" t="s">
        <v>491</v>
      </c>
      <c r="G10" s="22" t="s">
        <v>465</v>
      </c>
      <c r="H10" s="22" t="s">
        <v>492</v>
      </c>
      <c r="I10" s="22" t="s">
        <v>493</v>
      </c>
      <c r="J10" s="22" t="s">
        <v>459</v>
      </c>
      <c r="K10" s="22" t="s">
        <v>473</v>
      </c>
      <c r="L10" s="22" t="s">
        <v>474</v>
      </c>
    </row>
    <row r="11" customFormat="false" ht="14.25" hidden="true" customHeight="true" outlineLevel="0" collapsed="false">
      <c r="A11" s="22" t="s">
        <v>494</v>
      </c>
      <c r="B11" s="22" t="s">
        <v>455</v>
      </c>
      <c r="C11" s="23" t="n">
        <v>45320</v>
      </c>
      <c r="D11" s="22"/>
      <c r="E11" s="22" t="n">
        <v>1</v>
      </c>
      <c r="F11" s="22" t="s">
        <v>495</v>
      </c>
      <c r="G11" s="22" t="s">
        <v>465</v>
      </c>
      <c r="H11" s="22" t="s">
        <v>466</v>
      </c>
      <c r="I11" s="22" t="s">
        <v>496</v>
      </c>
      <c r="J11" s="22" t="s">
        <v>459</v>
      </c>
      <c r="K11" s="22" t="s">
        <v>473</v>
      </c>
      <c r="L11" s="22" t="s">
        <v>474</v>
      </c>
    </row>
    <row r="12" customFormat="false" ht="14.25" hidden="true" customHeight="true" outlineLevel="0" collapsed="false">
      <c r="A12" s="22" t="s">
        <v>497</v>
      </c>
      <c r="B12" s="22" t="s">
        <v>455</v>
      </c>
      <c r="C12" s="23" t="n">
        <v>45321</v>
      </c>
      <c r="D12" s="22"/>
      <c r="E12" s="22" t="n">
        <v>1</v>
      </c>
      <c r="F12" s="22" t="s">
        <v>498</v>
      </c>
      <c r="G12" s="22" t="s">
        <v>499</v>
      </c>
      <c r="H12" s="22" t="s">
        <v>500</v>
      </c>
      <c r="I12" s="22" t="s">
        <v>501</v>
      </c>
      <c r="J12" s="22" t="s">
        <v>459</v>
      </c>
      <c r="K12" s="22" t="s">
        <v>473</v>
      </c>
      <c r="L12" s="22" t="s">
        <v>502</v>
      </c>
    </row>
    <row r="13" customFormat="false" ht="14.25" hidden="false" customHeight="true" outlineLevel="0" collapsed="false">
      <c r="A13" s="15" t="s">
        <v>503</v>
      </c>
      <c r="B13" s="15" t="s">
        <v>504</v>
      </c>
      <c r="C13" s="24" t="n">
        <v>45330</v>
      </c>
      <c r="D13" s="24" t="n">
        <v>45390</v>
      </c>
      <c r="E13" s="15" t="n">
        <v>1</v>
      </c>
      <c r="F13" s="15" t="s">
        <v>505</v>
      </c>
      <c r="G13" s="15" t="s">
        <v>506</v>
      </c>
      <c r="H13" s="15" t="s">
        <v>507</v>
      </c>
      <c r="I13" s="15" t="s">
        <v>508</v>
      </c>
      <c r="J13" s="15" t="s">
        <v>459</v>
      </c>
      <c r="K13" s="15" t="s">
        <v>509</v>
      </c>
      <c r="L13" s="15" t="s">
        <v>510</v>
      </c>
    </row>
    <row r="14" customFormat="false" ht="14.25" hidden="true" customHeight="true" outlineLevel="0" collapsed="false">
      <c r="A14" s="22" t="s">
        <v>511</v>
      </c>
      <c r="B14" s="22" t="s">
        <v>504</v>
      </c>
      <c r="C14" s="23" t="n">
        <v>45322</v>
      </c>
      <c r="D14" s="23" t="n">
        <v>45322</v>
      </c>
      <c r="E14" s="22" t="n">
        <v>0</v>
      </c>
      <c r="F14" s="22"/>
      <c r="G14" s="22" t="s">
        <v>512</v>
      </c>
      <c r="H14" s="22" t="s">
        <v>513</v>
      </c>
      <c r="I14" s="22" t="s">
        <v>514</v>
      </c>
      <c r="J14" s="22" t="s">
        <v>459</v>
      </c>
      <c r="K14" s="22"/>
      <c r="L14" s="22"/>
    </row>
    <row r="15" customFormat="false" ht="14.25" hidden="true" customHeight="true" outlineLevel="0" collapsed="false">
      <c r="A15" s="22" t="s">
        <v>515</v>
      </c>
      <c r="B15" s="22" t="s">
        <v>455</v>
      </c>
      <c r="C15" s="23" t="n">
        <v>45322</v>
      </c>
      <c r="D15" s="22"/>
      <c r="E15" s="22" t="n">
        <v>0</v>
      </c>
      <c r="F15" s="22"/>
      <c r="G15" s="22" t="s">
        <v>465</v>
      </c>
      <c r="H15" s="22" t="s">
        <v>466</v>
      </c>
      <c r="I15" s="22" t="s">
        <v>516</v>
      </c>
      <c r="J15" s="22" t="s">
        <v>459</v>
      </c>
      <c r="K15" s="22"/>
      <c r="L15" s="22"/>
    </row>
    <row r="16" customFormat="false" ht="14.25" hidden="true" customHeight="true" outlineLevel="0" collapsed="false">
      <c r="A16" s="22" t="s">
        <v>517</v>
      </c>
      <c r="B16" s="22" t="s">
        <v>504</v>
      </c>
      <c r="C16" s="23" t="n">
        <v>45323</v>
      </c>
      <c r="D16" s="23" t="n">
        <v>45318</v>
      </c>
      <c r="E16" s="22" t="n">
        <v>0</v>
      </c>
      <c r="F16" s="22"/>
      <c r="G16" s="22" t="s">
        <v>518</v>
      </c>
      <c r="H16" s="22" t="s">
        <v>519</v>
      </c>
      <c r="I16" s="22" t="s">
        <v>520</v>
      </c>
      <c r="J16" s="22" t="s">
        <v>459</v>
      </c>
      <c r="K16" s="22"/>
      <c r="L16" s="22"/>
    </row>
    <row r="17" customFormat="false" ht="14.25" hidden="true" customHeight="true" outlineLevel="0" collapsed="false">
      <c r="A17" s="22" t="s">
        <v>521</v>
      </c>
      <c r="B17" s="22" t="s">
        <v>455</v>
      </c>
      <c r="C17" s="23" t="n">
        <v>45324</v>
      </c>
      <c r="D17" s="22"/>
      <c r="E17" s="22" t="n">
        <v>1</v>
      </c>
      <c r="F17" s="22" t="s">
        <v>522</v>
      </c>
      <c r="G17" s="22" t="s">
        <v>465</v>
      </c>
      <c r="H17" s="22" t="s">
        <v>466</v>
      </c>
      <c r="I17" s="22" t="s">
        <v>523</v>
      </c>
      <c r="J17" s="22" t="s">
        <v>459</v>
      </c>
      <c r="K17" s="22" t="s">
        <v>473</v>
      </c>
      <c r="L17" s="22" t="s">
        <v>474</v>
      </c>
    </row>
    <row r="18" customFormat="false" ht="14.25" hidden="true" customHeight="true" outlineLevel="0" collapsed="false">
      <c r="A18" s="22" t="s">
        <v>524</v>
      </c>
      <c r="B18" s="22" t="s">
        <v>455</v>
      </c>
      <c r="C18" s="23" t="n">
        <v>45327</v>
      </c>
      <c r="D18" s="22"/>
      <c r="E18" s="22" t="n">
        <v>0</v>
      </c>
      <c r="F18" s="22"/>
      <c r="G18" s="22" t="s">
        <v>465</v>
      </c>
      <c r="H18" s="22" t="s">
        <v>525</v>
      </c>
      <c r="I18" s="22" t="s">
        <v>526</v>
      </c>
      <c r="J18" s="22" t="s">
        <v>459</v>
      </c>
      <c r="K18" s="22"/>
      <c r="L18" s="22"/>
    </row>
    <row r="19" customFormat="false" ht="14.25" hidden="true" customHeight="true" outlineLevel="0" collapsed="false">
      <c r="A19" s="22" t="s">
        <v>527</v>
      </c>
      <c r="B19" s="22" t="s">
        <v>455</v>
      </c>
      <c r="C19" s="23" t="n">
        <v>45328</v>
      </c>
      <c r="D19" s="22"/>
      <c r="E19" s="22" t="n">
        <v>1</v>
      </c>
      <c r="F19" s="22" t="s">
        <v>528</v>
      </c>
      <c r="G19" s="22" t="s">
        <v>470</v>
      </c>
      <c r="H19" s="22" t="s">
        <v>471</v>
      </c>
      <c r="I19" s="22" t="s">
        <v>529</v>
      </c>
      <c r="J19" s="22" t="s">
        <v>459</v>
      </c>
      <c r="K19" s="22" t="s">
        <v>473</v>
      </c>
      <c r="L19" s="22" t="s">
        <v>474</v>
      </c>
    </row>
    <row r="20" customFormat="false" ht="14.25" hidden="true" customHeight="true" outlineLevel="0" collapsed="false">
      <c r="A20" s="22" t="s">
        <v>530</v>
      </c>
      <c r="B20" s="22" t="s">
        <v>455</v>
      </c>
      <c r="C20" s="23" t="n">
        <v>45328</v>
      </c>
      <c r="D20" s="22"/>
      <c r="E20" s="22" t="n">
        <v>0</v>
      </c>
      <c r="F20" s="22"/>
      <c r="G20" s="22" t="s">
        <v>531</v>
      </c>
      <c r="H20" s="22" t="s">
        <v>532</v>
      </c>
      <c r="I20" s="22" t="s">
        <v>533</v>
      </c>
      <c r="J20" s="22" t="s">
        <v>459</v>
      </c>
      <c r="K20" s="22"/>
      <c r="L20" s="22"/>
    </row>
    <row r="21" customFormat="false" ht="14.25" hidden="true" customHeight="true" outlineLevel="0" collapsed="false">
      <c r="A21" s="22" t="s">
        <v>534</v>
      </c>
      <c r="B21" s="22" t="s">
        <v>455</v>
      </c>
      <c r="C21" s="23" t="n">
        <v>45329</v>
      </c>
      <c r="D21" s="22"/>
      <c r="E21" s="22" t="n">
        <v>1</v>
      </c>
      <c r="F21" s="22" t="s">
        <v>535</v>
      </c>
      <c r="G21" s="22" t="s">
        <v>465</v>
      </c>
      <c r="H21" s="22" t="s">
        <v>492</v>
      </c>
      <c r="I21" s="22" t="s">
        <v>536</v>
      </c>
      <c r="J21" s="22" t="s">
        <v>459</v>
      </c>
      <c r="K21" s="22" t="s">
        <v>473</v>
      </c>
      <c r="L21" s="22" t="s">
        <v>474</v>
      </c>
    </row>
    <row r="22" customFormat="false" ht="14.25" hidden="true" customHeight="true" outlineLevel="0" collapsed="false">
      <c r="A22" s="22" t="s">
        <v>537</v>
      </c>
      <c r="B22" s="22" t="s">
        <v>455</v>
      </c>
      <c r="C22" s="23" t="n">
        <v>45329</v>
      </c>
      <c r="D22" s="22"/>
      <c r="E22" s="22" t="n">
        <v>0</v>
      </c>
      <c r="F22" s="22"/>
      <c r="G22" s="22" t="s">
        <v>470</v>
      </c>
      <c r="H22" s="22" t="s">
        <v>477</v>
      </c>
      <c r="I22" s="22" t="s">
        <v>538</v>
      </c>
      <c r="J22" s="22" t="s">
        <v>459</v>
      </c>
      <c r="K22" s="22"/>
      <c r="L22" s="22"/>
    </row>
    <row r="23" customFormat="false" ht="14.25" hidden="false" customHeight="true" outlineLevel="0" collapsed="false">
      <c r="A23" s="15" t="s">
        <v>539</v>
      </c>
      <c r="B23" s="15" t="s">
        <v>504</v>
      </c>
      <c r="C23" s="24" t="n">
        <v>45405</v>
      </c>
      <c r="D23" s="24" t="n">
        <v>45446</v>
      </c>
      <c r="E23" s="15" t="n">
        <v>1</v>
      </c>
      <c r="F23" s="15" t="s">
        <v>540</v>
      </c>
      <c r="G23" s="15" t="s">
        <v>541</v>
      </c>
      <c r="H23" s="15" t="s">
        <v>542</v>
      </c>
      <c r="I23" s="25" t="s">
        <v>76</v>
      </c>
      <c r="J23" s="15" t="s">
        <v>459</v>
      </c>
      <c r="K23" s="15" t="s">
        <v>509</v>
      </c>
      <c r="L23" s="15" t="s">
        <v>543</v>
      </c>
    </row>
    <row r="24" customFormat="false" ht="14.25" hidden="true" customHeight="true" outlineLevel="0" collapsed="false">
      <c r="A24" s="22" t="s">
        <v>544</v>
      </c>
      <c r="B24" s="22" t="s">
        <v>504</v>
      </c>
      <c r="C24" s="23" t="n">
        <v>45331</v>
      </c>
      <c r="D24" s="23" t="n">
        <v>45331</v>
      </c>
      <c r="E24" s="22" t="n">
        <v>0</v>
      </c>
      <c r="F24" s="22"/>
      <c r="G24" s="22" t="s">
        <v>545</v>
      </c>
      <c r="H24" s="22" t="s">
        <v>546</v>
      </c>
      <c r="I24" s="22" t="s">
        <v>547</v>
      </c>
      <c r="J24" s="22" t="s">
        <v>459</v>
      </c>
      <c r="K24" s="22"/>
      <c r="L24" s="22"/>
    </row>
    <row r="25" customFormat="false" ht="14.25" hidden="true" customHeight="true" outlineLevel="0" collapsed="false">
      <c r="A25" s="22" t="s">
        <v>548</v>
      </c>
      <c r="B25" s="22" t="s">
        <v>455</v>
      </c>
      <c r="C25" s="23" t="n">
        <v>45331</v>
      </c>
      <c r="D25" s="22"/>
      <c r="E25" s="22" t="n">
        <v>0</v>
      </c>
      <c r="F25" s="22"/>
      <c r="G25" s="22" t="s">
        <v>465</v>
      </c>
      <c r="H25" s="22" t="s">
        <v>466</v>
      </c>
      <c r="I25" s="22" t="s">
        <v>549</v>
      </c>
      <c r="J25" s="22" t="s">
        <v>459</v>
      </c>
      <c r="K25" s="22"/>
      <c r="L25" s="22"/>
    </row>
    <row r="26" customFormat="false" ht="14.25" hidden="true" customHeight="true" outlineLevel="0" collapsed="false">
      <c r="A26" s="22" t="s">
        <v>550</v>
      </c>
      <c r="B26" s="22" t="s">
        <v>504</v>
      </c>
      <c r="C26" s="23" t="n">
        <v>45334</v>
      </c>
      <c r="D26" s="23" t="n">
        <v>45334</v>
      </c>
      <c r="E26" s="22" t="n">
        <v>1</v>
      </c>
      <c r="F26" s="22" t="s">
        <v>488</v>
      </c>
      <c r="G26" s="22" t="s">
        <v>551</v>
      </c>
      <c r="H26" s="22" t="s">
        <v>552</v>
      </c>
      <c r="I26" s="22" t="s">
        <v>553</v>
      </c>
      <c r="J26" s="22" t="s">
        <v>459</v>
      </c>
      <c r="K26" s="22" t="s">
        <v>473</v>
      </c>
      <c r="L26" s="22" t="s">
        <v>554</v>
      </c>
    </row>
    <row r="27" customFormat="false" ht="14.25" hidden="true" customHeight="true" outlineLevel="0" collapsed="false">
      <c r="A27" s="22" t="s">
        <v>555</v>
      </c>
      <c r="B27" s="22" t="s">
        <v>483</v>
      </c>
      <c r="C27" s="23" t="n">
        <v>45337</v>
      </c>
      <c r="D27" s="22"/>
      <c r="E27" s="22" t="n">
        <v>0</v>
      </c>
      <c r="F27" s="22"/>
      <c r="G27" s="22" t="s">
        <v>556</v>
      </c>
      <c r="H27" s="22" t="s">
        <v>557</v>
      </c>
      <c r="I27" s="22" t="s">
        <v>558</v>
      </c>
      <c r="J27" s="22" t="s">
        <v>459</v>
      </c>
      <c r="K27" s="22"/>
      <c r="L27" s="22"/>
    </row>
    <row r="28" customFormat="false" ht="14.25" hidden="true" customHeight="true" outlineLevel="0" collapsed="false">
      <c r="A28" s="22" t="s">
        <v>559</v>
      </c>
      <c r="B28" s="22" t="s">
        <v>455</v>
      </c>
      <c r="C28" s="23" t="n">
        <v>45338</v>
      </c>
      <c r="D28" s="22"/>
      <c r="E28" s="22" t="n">
        <v>0</v>
      </c>
      <c r="F28" s="22"/>
      <c r="G28" s="22" t="s">
        <v>465</v>
      </c>
      <c r="H28" s="22" t="s">
        <v>466</v>
      </c>
      <c r="I28" s="22" t="s">
        <v>560</v>
      </c>
      <c r="J28" s="22" t="s">
        <v>459</v>
      </c>
      <c r="K28" s="22"/>
      <c r="L28" s="22"/>
    </row>
    <row r="29" customFormat="false" ht="14.25" hidden="true" customHeight="true" outlineLevel="0" collapsed="false">
      <c r="A29" s="22" t="s">
        <v>561</v>
      </c>
      <c r="B29" s="22" t="s">
        <v>455</v>
      </c>
      <c r="C29" s="23" t="n">
        <v>45342</v>
      </c>
      <c r="D29" s="22"/>
      <c r="E29" s="22" t="n">
        <v>1</v>
      </c>
      <c r="F29" s="22" t="s">
        <v>562</v>
      </c>
      <c r="G29" s="22" t="s">
        <v>470</v>
      </c>
      <c r="H29" s="22" t="s">
        <v>471</v>
      </c>
      <c r="I29" s="22" t="s">
        <v>563</v>
      </c>
      <c r="J29" s="22" t="s">
        <v>459</v>
      </c>
      <c r="K29" s="22" t="s">
        <v>473</v>
      </c>
      <c r="L29" s="22" t="s">
        <v>474</v>
      </c>
    </row>
    <row r="30" customFormat="false" ht="14.25" hidden="true" customHeight="true" outlineLevel="0" collapsed="false">
      <c r="A30" s="22" t="s">
        <v>564</v>
      </c>
      <c r="B30" s="22" t="s">
        <v>455</v>
      </c>
      <c r="C30" s="23" t="n">
        <v>45342</v>
      </c>
      <c r="D30" s="22"/>
      <c r="E30" s="22" t="n">
        <v>0</v>
      </c>
      <c r="F30" s="22"/>
      <c r="G30" s="22" t="s">
        <v>465</v>
      </c>
      <c r="H30" s="22" t="s">
        <v>466</v>
      </c>
      <c r="I30" s="22" t="s">
        <v>565</v>
      </c>
      <c r="J30" s="22" t="s">
        <v>459</v>
      </c>
      <c r="K30" s="22"/>
      <c r="L30" s="22"/>
    </row>
    <row r="31" customFormat="false" ht="14.25" hidden="true" customHeight="true" outlineLevel="0" collapsed="false">
      <c r="A31" s="22" t="s">
        <v>566</v>
      </c>
      <c r="B31" s="22" t="s">
        <v>455</v>
      </c>
      <c r="C31" s="23" t="n">
        <v>45342</v>
      </c>
      <c r="D31" s="22"/>
      <c r="E31" s="22" t="n">
        <v>0</v>
      </c>
      <c r="F31" s="22"/>
      <c r="G31" s="22" t="s">
        <v>470</v>
      </c>
      <c r="H31" s="22" t="s">
        <v>471</v>
      </c>
      <c r="I31" s="22" t="s">
        <v>567</v>
      </c>
      <c r="J31" s="22" t="s">
        <v>459</v>
      </c>
      <c r="K31" s="22"/>
      <c r="L31" s="22"/>
    </row>
    <row r="32" customFormat="false" ht="14.25" hidden="true" customHeight="true" outlineLevel="0" collapsed="false">
      <c r="A32" s="22" t="s">
        <v>568</v>
      </c>
      <c r="B32" s="22" t="s">
        <v>455</v>
      </c>
      <c r="C32" s="23" t="n">
        <v>45343</v>
      </c>
      <c r="D32" s="22"/>
      <c r="E32" s="22" t="n">
        <v>0</v>
      </c>
      <c r="F32" s="22"/>
      <c r="G32" s="22" t="s">
        <v>470</v>
      </c>
      <c r="H32" s="22" t="s">
        <v>477</v>
      </c>
      <c r="I32" s="22" t="s">
        <v>569</v>
      </c>
      <c r="J32" s="22" t="s">
        <v>459</v>
      </c>
      <c r="K32" s="22"/>
      <c r="L32" s="22"/>
    </row>
    <row r="33" customFormat="false" ht="14.25" hidden="true" customHeight="true" outlineLevel="0" collapsed="false">
      <c r="A33" s="22" t="s">
        <v>570</v>
      </c>
      <c r="B33" s="22" t="s">
        <v>504</v>
      </c>
      <c r="C33" s="23" t="n">
        <v>45345</v>
      </c>
      <c r="D33" s="23" t="n">
        <v>45405</v>
      </c>
      <c r="E33" s="22" t="n">
        <v>1</v>
      </c>
      <c r="F33" s="22" t="s">
        <v>571</v>
      </c>
      <c r="G33" s="22" t="s">
        <v>572</v>
      </c>
      <c r="H33" s="22" t="s">
        <v>573</v>
      </c>
      <c r="I33" s="22" t="s">
        <v>574</v>
      </c>
      <c r="J33" s="22" t="s">
        <v>459</v>
      </c>
      <c r="K33" s="22" t="s">
        <v>473</v>
      </c>
      <c r="L33" s="22" t="s">
        <v>554</v>
      </c>
    </row>
    <row r="34" customFormat="false" ht="14.25" hidden="true" customHeight="true" outlineLevel="0" collapsed="false">
      <c r="A34" s="22" t="s">
        <v>575</v>
      </c>
      <c r="B34" s="22" t="s">
        <v>455</v>
      </c>
      <c r="C34" s="23" t="n">
        <v>45345</v>
      </c>
      <c r="D34" s="22"/>
      <c r="E34" s="22" t="n">
        <v>0</v>
      </c>
      <c r="F34" s="22"/>
      <c r="G34" s="22" t="s">
        <v>470</v>
      </c>
      <c r="H34" s="22" t="s">
        <v>477</v>
      </c>
      <c r="I34" s="22" t="s">
        <v>576</v>
      </c>
      <c r="J34" s="22" t="s">
        <v>459</v>
      </c>
      <c r="K34" s="22"/>
      <c r="L34" s="22"/>
    </row>
    <row r="35" customFormat="false" ht="14.25" hidden="true" customHeight="true" outlineLevel="0" collapsed="false">
      <c r="A35" s="22" t="s">
        <v>577</v>
      </c>
      <c r="B35" s="22" t="s">
        <v>455</v>
      </c>
      <c r="C35" s="23" t="n">
        <v>45345</v>
      </c>
      <c r="D35" s="22"/>
      <c r="E35" s="22" t="n">
        <v>0</v>
      </c>
      <c r="F35" s="22"/>
      <c r="G35" s="22" t="s">
        <v>465</v>
      </c>
      <c r="H35" s="22" t="s">
        <v>466</v>
      </c>
      <c r="I35" s="22" t="s">
        <v>578</v>
      </c>
      <c r="J35" s="22" t="s">
        <v>459</v>
      </c>
      <c r="K35" s="22"/>
      <c r="L35" s="22"/>
    </row>
    <row r="36" customFormat="false" ht="14.25" hidden="true" customHeight="true" outlineLevel="0" collapsed="false">
      <c r="A36" s="22" t="s">
        <v>579</v>
      </c>
      <c r="B36" s="22" t="s">
        <v>455</v>
      </c>
      <c r="C36" s="23" t="n">
        <v>45348</v>
      </c>
      <c r="D36" s="22"/>
      <c r="E36" s="22" t="n">
        <v>0</v>
      </c>
      <c r="F36" s="22"/>
      <c r="G36" s="22" t="s">
        <v>580</v>
      </c>
      <c r="H36" s="22" t="s">
        <v>581</v>
      </c>
      <c r="I36" s="22" t="s">
        <v>582</v>
      </c>
      <c r="J36" s="22" t="s">
        <v>459</v>
      </c>
      <c r="K36" s="22"/>
      <c r="L36" s="22"/>
    </row>
    <row r="37" customFormat="false" ht="14.25" hidden="true" customHeight="true" outlineLevel="0" collapsed="false">
      <c r="A37" s="22" t="s">
        <v>583</v>
      </c>
      <c r="B37" s="22" t="s">
        <v>455</v>
      </c>
      <c r="C37" s="23" t="n">
        <v>45348</v>
      </c>
      <c r="D37" s="22"/>
      <c r="E37" s="22" t="n">
        <v>0</v>
      </c>
      <c r="F37" s="22"/>
      <c r="G37" s="22" t="s">
        <v>470</v>
      </c>
      <c r="H37" s="22" t="s">
        <v>471</v>
      </c>
      <c r="I37" s="22" t="s">
        <v>584</v>
      </c>
      <c r="J37" s="22" t="s">
        <v>459</v>
      </c>
      <c r="K37" s="22"/>
      <c r="L37" s="22"/>
    </row>
    <row r="38" customFormat="false" ht="14.25" hidden="true" customHeight="true" outlineLevel="0" collapsed="false">
      <c r="A38" s="22" t="s">
        <v>585</v>
      </c>
      <c r="B38" s="22" t="s">
        <v>455</v>
      </c>
      <c r="C38" s="23" t="n">
        <v>45351</v>
      </c>
      <c r="D38" s="22"/>
      <c r="E38" s="22" t="n">
        <v>0</v>
      </c>
      <c r="F38" s="22"/>
      <c r="G38" s="22" t="s">
        <v>465</v>
      </c>
      <c r="H38" s="22" t="s">
        <v>492</v>
      </c>
      <c r="I38" s="22" t="s">
        <v>586</v>
      </c>
      <c r="J38" s="22" t="s">
        <v>459</v>
      </c>
      <c r="K38" s="22"/>
      <c r="L38" s="22"/>
    </row>
    <row r="39" customFormat="false" ht="14.25" hidden="true" customHeight="true" outlineLevel="0" collapsed="false">
      <c r="A39" s="22" t="s">
        <v>587</v>
      </c>
      <c r="B39" s="22" t="s">
        <v>455</v>
      </c>
      <c r="C39" s="23" t="n">
        <v>45351</v>
      </c>
      <c r="D39" s="22"/>
      <c r="E39" s="22" t="n">
        <v>1</v>
      </c>
      <c r="F39" s="22" t="s">
        <v>588</v>
      </c>
      <c r="G39" s="22" t="s">
        <v>465</v>
      </c>
      <c r="H39" s="22" t="s">
        <v>466</v>
      </c>
      <c r="I39" s="22" t="s">
        <v>589</v>
      </c>
      <c r="J39" s="22" t="s">
        <v>459</v>
      </c>
      <c r="K39" s="22" t="s">
        <v>473</v>
      </c>
      <c r="L39" s="22" t="s">
        <v>474</v>
      </c>
    </row>
    <row r="40" customFormat="false" ht="14.25" hidden="true" customHeight="true" outlineLevel="0" collapsed="false">
      <c r="A40" s="22" t="s">
        <v>590</v>
      </c>
      <c r="B40" s="22" t="s">
        <v>455</v>
      </c>
      <c r="C40" s="23" t="n">
        <v>45352</v>
      </c>
      <c r="D40" s="22"/>
      <c r="E40" s="22" t="n">
        <v>1</v>
      </c>
      <c r="F40" s="22" t="s">
        <v>591</v>
      </c>
      <c r="G40" s="22" t="s">
        <v>470</v>
      </c>
      <c r="H40" s="22" t="s">
        <v>471</v>
      </c>
      <c r="I40" s="22" t="s">
        <v>592</v>
      </c>
      <c r="J40" s="22" t="s">
        <v>459</v>
      </c>
      <c r="K40" s="22" t="s">
        <v>473</v>
      </c>
      <c r="L40" s="22" t="s">
        <v>474</v>
      </c>
    </row>
    <row r="41" customFormat="false" ht="14.25" hidden="true" customHeight="true" outlineLevel="0" collapsed="false">
      <c r="A41" s="22" t="s">
        <v>593</v>
      </c>
      <c r="B41" s="22" t="s">
        <v>455</v>
      </c>
      <c r="C41" s="23" t="n">
        <v>45355</v>
      </c>
      <c r="D41" s="22"/>
      <c r="E41" s="22" t="n">
        <v>1</v>
      </c>
      <c r="F41" s="22" t="s">
        <v>594</v>
      </c>
      <c r="G41" s="22" t="s">
        <v>595</v>
      </c>
      <c r="H41" s="22" t="s">
        <v>596</v>
      </c>
      <c r="I41" s="22" t="s">
        <v>597</v>
      </c>
      <c r="J41" s="22" t="s">
        <v>459</v>
      </c>
      <c r="K41" s="22" t="s">
        <v>473</v>
      </c>
      <c r="L41" s="22" t="s">
        <v>598</v>
      </c>
    </row>
    <row r="42" customFormat="false" ht="14.25" hidden="true" customHeight="true" outlineLevel="0" collapsed="false">
      <c r="A42" s="22" t="s">
        <v>599</v>
      </c>
      <c r="B42" s="22" t="s">
        <v>504</v>
      </c>
      <c r="C42" s="23" t="n">
        <v>45356</v>
      </c>
      <c r="D42" s="23" t="n">
        <v>45356</v>
      </c>
      <c r="E42" s="22" t="n">
        <v>0</v>
      </c>
      <c r="F42" s="22"/>
      <c r="G42" s="22" t="s">
        <v>518</v>
      </c>
      <c r="H42" s="22" t="s">
        <v>519</v>
      </c>
      <c r="I42" s="22" t="s">
        <v>600</v>
      </c>
      <c r="J42" s="22" t="s">
        <v>459</v>
      </c>
      <c r="K42" s="22"/>
      <c r="L42" s="22"/>
    </row>
    <row r="43" customFormat="false" ht="14.25" hidden="true" customHeight="true" outlineLevel="0" collapsed="false">
      <c r="A43" s="22" t="s">
        <v>601</v>
      </c>
      <c r="B43" s="22" t="s">
        <v>455</v>
      </c>
      <c r="C43" s="23" t="n">
        <v>45356</v>
      </c>
      <c r="D43" s="22"/>
      <c r="E43" s="22" t="n">
        <v>0</v>
      </c>
      <c r="F43" s="22"/>
      <c r="G43" s="22" t="s">
        <v>470</v>
      </c>
      <c r="H43" s="22" t="s">
        <v>477</v>
      </c>
      <c r="I43" s="22" t="s">
        <v>602</v>
      </c>
      <c r="J43" s="22" t="s">
        <v>459</v>
      </c>
      <c r="K43" s="22"/>
      <c r="L43" s="22"/>
    </row>
    <row r="44" customFormat="false" ht="14.25" hidden="true" customHeight="true" outlineLevel="0" collapsed="false">
      <c r="A44" s="22" t="s">
        <v>603</v>
      </c>
      <c r="B44" s="22" t="s">
        <v>455</v>
      </c>
      <c r="C44" s="23" t="n">
        <v>45357</v>
      </c>
      <c r="D44" s="23" t="n">
        <v>45357</v>
      </c>
      <c r="E44" s="22" t="n">
        <v>0</v>
      </c>
      <c r="F44" s="22"/>
      <c r="G44" s="22" t="s">
        <v>604</v>
      </c>
      <c r="H44" s="22" t="s">
        <v>605</v>
      </c>
      <c r="I44" s="22" t="s">
        <v>606</v>
      </c>
      <c r="J44" s="22" t="s">
        <v>459</v>
      </c>
      <c r="K44" s="22"/>
      <c r="L44" s="22"/>
    </row>
    <row r="45" customFormat="false" ht="14.25" hidden="true" customHeight="true" outlineLevel="0" collapsed="false">
      <c r="A45" s="22" t="s">
        <v>607</v>
      </c>
      <c r="B45" s="22" t="s">
        <v>455</v>
      </c>
      <c r="C45" s="23" t="n">
        <v>45358</v>
      </c>
      <c r="D45" s="22"/>
      <c r="E45" s="22" t="n">
        <v>0</v>
      </c>
      <c r="F45" s="22"/>
      <c r="G45" s="22" t="s">
        <v>465</v>
      </c>
      <c r="H45" s="22" t="s">
        <v>466</v>
      </c>
      <c r="I45" s="22" t="s">
        <v>608</v>
      </c>
      <c r="J45" s="22" t="s">
        <v>459</v>
      </c>
      <c r="K45" s="22"/>
      <c r="L45" s="22"/>
    </row>
    <row r="46" customFormat="false" ht="14.25" hidden="true" customHeight="true" outlineLevel="0" collapsed="false">
      <c r="A46" s="22" t="s">
        <v>609</v>
      </c>
      <c r="B46" s="22" t="s">
        <v>504</v>
      </c>
      <c r="C46" s="23" t="n">
        <v>45362</v>
      </c>
      <c r="D46" s="22"/>
      <c r="E46" s="22" t="n">
        <v>0</v>
      </c>
      <c r="F46" s="22"/>
      <c r="G46" s="22" t="s">
        <v>610</v>
      </c>
      <c r="H46" s="22"/>
      <c r="I46" s="22" t="s">
        <v>611</v>
      </c>
      <c r="J46" s="22" t="s">
        <v>459</v>
      </c>
      <c r="K46" s="22"/>
      <c r="L46" s="22"/>
    </row>
    <row r="47" customFormat="false" ht="14.25" hidden="true" customHeight="true" outlineLevel="0" collapsed="false">
      <c r="A47" s="22" t="s">
        <v>612</v>
      </c>
      <c r="B47" s="22" t="s">
        <v>455</v>
      </c>
      <c r="C47" s="23" t="n">
        <v>45364</v>
      </c>
      <c r="D47" s="22"/>
      <c r="E47" s="22" t="n">
        <v>1</v>
      </c>
      <c r="F47" s="22" t="s">
        <v>613</v>
      </c>
      <c r="G47" s="22" t="s">
        <v>465</v>
      </c>
      <c r="H47" s="22" t="s">
        <v>492</v>
      </c>
      <c r="I47" s="22" t="s">
        <v>614</v>
      </c>
      <c r="J47" s="22" t="s">
        <v>459</v>
      </c>
      <c r="K47" s="22" t="s">
        <v>473</v>
      </c>
      <c r="L47" s="22" t="s">
        <v>474</v>
      </c>
    </row>
    <row r="48" customFormat="false" ht="14.25" hidden="true" customHeight="true" outlineLevel="0" collapsed="false">
      <c r="A48" s="22" t="s">
        <v>615</v>
      </c>
      <c r="B48" s="22" t="s">
        <v>455</v>
      </c>
      <c r="C48" s="23" t="n">
        <v>45364</v>
      </c>
      <c r="D48" s="22"/>
      <c r="E48" s="22" t="n">
        <v>0</v>
      </c>
      <c r="F48" s="22"/>
      <c r="G48" s="22" t="s">
        <v>465</v>
      </c>
      <c r="H48" s="22" t="s">
        <v>492</v>
      </c>
      <c r="I48" s="22" t="s">
        <v>616</v>
      </c>
      <c r="J48" s="22" t="s">
        <v>459</v>
      </c>
      <c r="K48" s="22"/>
      <c r="L48" s="22"/>
    </row>
    <row r="49" customFormat="false" ht="14.25" hidden="true" customHeight="true" outlineLevel="0" collapsed="false">
      <c r="A49" s="22" t="s">
        <v>617</v>
      </c>
      <c r="B49" s="22" t="s">
        <v>455</v>
      </c>
      <c r="C49" s="23" t="n">
        <v>45369</v>
      </c>
      <c r="D49" s="22"/>
      <c r="E49" s="22" t="n">
        <v>0</v>
      </c>
      <c r="F49" s="22"/>
      <c r="G49" s="22" t="s">
        <v>470</v>
      </c>
      <c r="H49" s="22" t="s">
        <v>477</v>
      </c>
      <c r="I49" s="22" t="s">
        <v>618</v>
      </c>
      <c r="J49" s="22" t="s">
        <v>459</v>
      </c>
      <c r="K49" s="22"/>
      <c r="L49" s="22"/>
    </row>
    <row r="50" customFormat="false" ht="14.25" hidden="true" customHeight="true" outlineLevel="0" collapsed="false">
      <c r="A50" s="22" t="s">
        <v>619</v>
      </c>
      <c r="B50" s="22" t="s">
        <v>455</v>
      </c>
      <c r="C50" s="23" t="n">
        <v>45369</v>
      </c>
      <c r="D50" s="22"/>
      <c r="E50" s="22" t="n">
        <v>0</v>
      </c>
      <c r="F50" s="22"/>
      <c r="G50" s="22" t="s">
        <v>465</v>
      </c>
      <c r="H50" s="22" t="s">
        <v>492</v>
      </c>
      <c r="I50" s="22" t="s">
        <v>620</v>
      </c>
      <c r="J50" s="22" t="s">
        <v>459</v>
      </c>
      <c r="K50" s="22"/>
      <c r="L50" s="22"/>
    </row>
    <row r="51" customFormat="false" ht="14.25" hidden="true" customHeight="true" outlineLevel="0" collapsed="false">
      <c r="A51" s="22" t="s">
        <v>621</v>
      </c>
      <c r="B51" s="22" t="s">
        <v>455</v>
      </c>
      <c r="C51" s="23" t="n">
        <v>45369</v>
      </c>
      <c r="D51" s="22"/>
      <c r="E51" s="22" t="n">
        <v>1</v>
      </c>
      <c r="F51" s="22" t="s">
        <v>622</v>
      </c>
      <c r="G51" s="22" t="s">
        <v>470</v>
      </c>
      <c r="H51" s="22" t="s">
        <v>477</v>
      </c>
      <c r="I51" s="22" t="s">
        <v>623</v>
      </c>
      <c r="J51" s="22" t="s">
        <v>459</v>
      </c>
      <c r="K51" s="22" t="s">
        <v>473</v>
      </c>
      <c r="L51" s="22" t="s">
        <v>474</v>
      </c>
    </row>
    <row r="52" customFormat="false" ht="14.25" hidden="true" customHeight="true" outlineLevel="0" collapsed="false">
      <c r="A52" s="22" t="s">
        <v>624</v>
      </c>
      <c r="B52" s="22" t="s">
        <v>455</v>
      </c>
      <c r="C52" s="23" t="n">
        <v>45369</v>
      </c>
      <c r="D52" s="22"/>
      <c r="E52" s="22" t="n">
        <v>0</v>
      </c>
      <c r="F52" s="22"/>
      <c r="G52" s="22" t="s">
        <v>461</v>
      </c>
      <c r="H52" s="22" t="s">
        <v>462</v>
      </c>
      <c r="I52" s="22" t="s">
        <v>625</v>
      </c>
      <c r="J52" s="22" t="s">
        <v>459</v>
      </c>
      <c r="K52" s="22"/>
      <c r="L52" s="22"/>
    </row>
    <row r="53" customFormat="false" ht="14.25" hidden="true" customHeight="true" outlineLevel="0" collapsed="false">
      <c r="A53" s="22" t="s">
        <v>626</v>
      </c>
      <c r="B53" s="22" t="s">
        <v>455</v>
      </c>
      <c r="C53" s="23" t="n">
        <v>45373</v>
      </c>
      <c r="D53" s="23" t="n">
        <v>45378</v>
      </c>
      <c r="E53" s="22" t="n">
        <v>0</v>
      </c>
      <c r="F53" s="22"/>
      <c r="G53" s="22" t="s">
        <v>627</v>
      </c>
      <c r="H53" s="22" t="s">
        <v>628</v>
      </c>
      <c r="I53" s="22" t="s">
        <v>629</v>
      </c>
      <c r="J53" s="22" t="s">
        <v>459</v>
      </c>
      <c r="K53" s="22"/>
      <c r="L53" s="22"/>
    </row>
    <row r="54" customFormat="false" ht="14.25" hidden="true" customHeight="true" outlineLevel="0" collapsed="false">
      <c r="A54" s="22" t="s">
        <v>630</v>
      </c>
      <c r="B54" s="22" t="s">
        <v>455</v>
      </c>
      <c r="C54" s="23" t="n">
        <v>45376</v>
      </c>
      <c r="D54" s="22"/>
      <c r="E54" s="22" t="n">
        <v>0</v>
      </c>
      <c r="F54" s="22"/>
      <c r="G54" s="22" t="s">
        <v>631</v>
      </c>
      <c r="H54" s="22" t="s">
        <v>632</v>
      </c>
      <c r="I54" s="22" t="s">
        <v>633</v>
      </c>
      <c r="J54" s="22" t="s">
        <v>459</v>
      </c>
      <c r="K54" s="22"/>
      <c r="L54" s="22"/>
    </row>
    <row r="55" customFormat="false" ht="14.25" hidden="true" customHeight="true" outlineLevel="0" collapsed="false">
      <c r="A55" s="22" t="s">
        <v>634</v>
      </c>
      <c r="B55" s="22" t="s">
        <v>455</v>
      </c>
      <c r="C55" s="23" t="n">
        <v>45376</v>
      </c>
      <c r="D55" s="22"/>
      <c r="E55" s="22" t="n">
        <v>1</v>
      </c>
      <c r="F55" s="22" t="s">
        <v>635</v>
      </c>
      <c r="G55" s="22" t="s">
        <v>465</v>
      </c>
      <c r="H55" s="22" t="s">
        <v>466</v>
      </c>
      <c r="I55" s="22" t="s">
        <v>636</v>
      </c>
      <c r="J55" s="22" t="s">
        <v>459</v>
      </c>
      <c r="K55" s="22" t="s">
        <v>473</v>
      </c>
      <c r="L55" s="22" t="s">
        <v>474</v>
      </c>
    </row>
    <row r="56" customFormat="false" ht="14.25" hidden="true" customHeight="true" outlineLevel="0" collapsed="false">
      <c r="A56" s="22" t="s">
        <v>637</v>
      </c>
      <c r="B56" s="22" t="s">
        <v>455</v>
      </c>
      <c r="C56" s="23" t="n">
        <v>45377</v>
      </c>
      <c r="D56" s="22"/>
      <c r="E56" s="22" t="n">
        <v>0</v>
      </c>
      <c r="F56" s="22"/>
      <c r="G56" s="22" t="s">
        <v>638</v>
      </c>
      <c r="H56" s="22" t="s">
        <v>639</v>
      </c>
      <c r="I56" s="22" t="s">
        <v>640</v>
      </c>
      <c r="J56" s="22" t="s">
        <v>459</v>
      </c>
      <c r="K56" s="22"/>
      <c r="L56" s="22"/>
    </row>
    <row r="57" customFormat="false" ht="14.25" hidden="true" customHeight="true" outlineLevel="0" collapsed="false">
      <c r="A57" s="22" t="s">
        <v>641</v>
      </c>
      <c r="B57" s="22" t="s">
        <v>455</v>
      </c>
      <c r="C57" s="23" t="n">
        <v>45378</v>
      </c>
      <c r="D57" s="22"/>
      <c r="E57" s="22" t="n">
        <v>0</v>
      </c>
      <c r="F57" s="22"/>
      <c r="G57" s="22" t="s">
        <v>470</v>
      </c>
      <c r="H57" s="22" t="s">
        <v>477</v>
      </c>
      <c r="I57" s="22" t="s">
        <v>642</v>
      </c>
      <c r="J57" s="22" t="s">
        <v>459</v>
      </c>
      <c r="K57" s="22"/>
      <c r="L57" s="22"/>
    </row>
    <row r="58" customFormat="false" ht="14.25" hidden="true" customHeight="true" outlineLevel="0" collapsed="false">
      <c r="A58" s="22" t="s">
        <v>643</v>
      </c>
      <c r="B58" s="22" t="s">
        <v>455</v>
      </c>
      <c r="C58" s="23" t="n">
        <v>45379</v>
      </c>
      <c r="D58" s="22"/>
      <c r="E58" s="22" t="n">
        <v>0</v>
      </c>
      <c r="F58" s="22"/>
      <c r="G58" s="22" t="s">
        <v>465</v>
      </c>
      <c r="H58" s="22" t="s">
        <v>492</v>
      </c>
      <c r="I58" s="22" t="s">
        <v>644</v>
      </c>
      <c r="J58" s="22" t="s">
        <v>459</v>
      </c>
      <c r="K58" s="22"/>
      <c r="L58" s="22"/>
    </row>
    <row r="59" customFormat="false" ht="14.25" hidden="true" customHeight="true" outlineLevel="0" collapsed="false">
      <c r="A59" s="22" t="s">
        <v>645</v>
      </c>
      <c r="B59" s="22" t="s">
        <v>455</v>
      </c>
      <c r="C59" s="23" t="n">
        <v>45379</v>
      </c>
      <c r="D59" s="22"/>
      <c r="E59" s="22" t="n">
        <v>0</v>
      </c>
      <c r="F59" s="22"/>
      <c r="G59" s="22" t="s">
        <v>470</v>
      </c>
      <c r="H59" s="22" t="s">
        <v>477</v>
      </c>
      <c r="I59" s="22" t="s">
        <v>646</v>
      </c>
      <c r="J59" s="22" t="s">
        <v>459</v>
      </c>
      <c r="K59" s="22"/>
      <c r="L59" s="22"/>
    </row>
    <row r="60" customFormat="false" ht="14.25" hidden="true" customHeight="true" outlineLevel="0" collapsed="false">
      <c r="A60" s="22" t="s">
        <v>647</v>
      </c>
      <c r="B60" s="22" t="s">
        <v>483</v>
      </c>
      <c r="C60" s="23" t="n">
        <v>45380</v>
      </c>
      <c r="D60" s="22"/>
      <c r="E60" s="22" t="n">
        <v>1</v>
      </c>
      <c r="F60" s="22" t="s">
        <v>648</v>
      </c>
      <c r="G60" s="22" t="s">
        <v>649</v>
      </c>
      <c r="H60" s="22" t="s">
        <v>650</v>
      </c>
      <c r="I60" s="22" t="s">
        <v>651</v>
      </c>
      <c r="J60" s="22" t="s">
        <v>459</v>
      </c>
      <c r="K60" s="22" t="s">
        <v>473</v>
      </c>
      <c r="L60" s="22" t="s">
        <v>554</v>
      </c>
    </row>
    <row r="61" customFormat="false" ht="14.25" hidden="true" customHeight="true" outlineLevel="0" collapsed="false">
      <c r="A61" s="22" t="s">
        <v>652</v>
      </c>
      <c r="B61" s="22" t="s">
        <v>455</v>
      </c>
      <c r="C61" s="23" t="n">
        <v>45383</v>
      </c>
      <c r="D61" s="23" t="n">
        <v>45383</v>
      </c>
      <c r="E61" s="22" t="n">
        <v>0</v>
      </c>
      <c r="F61" s="22"/>
      <c r="G61" s="22" t="s">
        <v>653</v>
      </c>
      <c r="H61" s="22" t="s">
        <v>654</v>
      </c>
      <c r="I61" s="22" t="s">
        <v>655</v>
      </c>
      <c r="J61" s="22" t="s">
        <v>459</v>
      </c>
      <c r="K61" s="22"/>
      <c r="L61" s="22"/>
    </row>
    <row r="62" customFormat="false" ht="14.25" hidden="false" customHeight="true" outlineLevel="0" collapsed="false">
      <c r="A62" s="15" t="s">
        <v>656</v>
      </c>
      <c r="B62" s="15" t="s">
        <v>483</v>
      </c>
      <c r="C62" s="24" t="n">
        <v>45636</v>
      </c>
      <c r="D62" s="15"/>
      <c r="E62" s="15" t="n">
        <v>1</v>
      </c>
      <c r="F62" s="15" t="s">
        <v>657</v>
      </c>
      <c r="G62" s="15" t="s">
        <v>658</v>
      </c>
      <c r="H62" s="15" t="s">
        <v>659</v>
      </c>
      <c r="I62" s="25" t="s">
        <v>660</v>
      </c>
      <c r="J62" s="15" t="s">
        <v>459</v>
      </c>
      <c r="K62" s="15" t="s">
        <v>509</v>
      </c>
      <c r="L62" s="15" t="s">
        <v>661</v>
      </c>
    </row>
    <row r="63" customFormat="false" ht="14.25" hidden="true" customHeight="true" outlineLevel="0" collapsed="false">
      <c r="A63" s="22" t="s">
        <v>662</v>
      </c>
      <c r="B63" s="22" t="s">
        <v>483</v>
      </c>
      <c r="C63" s="23" t="n">
        <v>45385</v>
      </c>
      <c r="D63" s="22"/>
      <c r="E63" s="22" t="n">
        <v>1</v>
      </c>
      <c r="F63" s="22" t="s">
        <v>663</v>
      </c>
      <c r="G63" s="22" t="s">
        <v>664</v>
      </c>
      <c r="H63" s="22" t="s">
        <v>665</v>
      </c>
      <c r="I63" s="22" t="s">
        <v>666</v>
      </c>
      <c r="J63" s="22" t="s">
        <v>459</v>
      </c>
      <c r="K63" s="22" t="s">
        <v>473</v>
      </c>
      <c r="L63" s="22" t="s">
        <v>554</v>
      </c>
    </row>
    <row r="64" customFormat="false" ht="14.25" hidden="true" customHeight="true" outlineLevel="0" collapsed="false">
      <c r="A64" s="22" t="s">
        <v>667</v>
      </c>
      <c r="B64" s="22" t="s">
        <v>483</v>
      </c>
      <c r="C64" s="23" t="n">
        <v>45385</v>
      </c>
      <c r="D64" s="22"/>
      <c r="E64" s="22" t="n">
        <v>1</v>
      </c>
      <c r="F64" s="22" t="s">
        <v>668</v>
      </c>
      <c r="G64" s="22" t="s">
        <v>669</v>
      </c>
      <c r="H64" s="22" t="s">
        <v>670</v>
      </c>
      <c r="I64" s="22" t="s">
        <v>671</v>
      </c>
      <c r="J64" s="22" t="s">
        <v>459</v>
      </c>
      <c r="K64" s="22" t="s">
        <v>473</v>
      </c>
      <c r="L64" s="22" t="s">
        <v>554</v>
      </c>
    </row>
    <row r="65" customFormat="false" ht="14.25" hidden="true" customHeight="true" outlineLevel="0" collapsed="false">
      <c r="A65" s="22" t="s">
        <v>672</v>
      </c>
      <c r="B65" s="22" t="s">
        <v>483</v>
      </c>
      <c r="C65" s="23" t="n">
        <v>45386</v>
      </c>
      <c r="D65" s="22"/>
      <c r="E65" s="22" t="n">
        <v>1</v>
      </c>
      <c r="F65" s="22" t="s">
        <v>673</v>
      </c>
      <c r="G65" s="22" t="s">
        <v>674</v>
      </c>
      <c r="H65" s="22" t="s">
        <v>675</v>
      </c>
      <c r="I65" s="22" t="s">
        <v>676</v>
      </c>
      <c r="J65" s="22" t="s">
        <v>459</v>
      </c>
      <c r="K65" s="22" t="s">
        <v>473</v>
      </c>
      <c r="L65" s="22" t="s">
        <v>554</v>
      </c>
    </row>
    <row r="66" customFormat="false" ht="14.25" hidden="true" customHeight="true" outlineLevel="0" collapsed="false">
      <c r="A66" s="22" t="s">
        <v>677</v>
      </c>
      <c r="B66" s="22" t="s">
        <v>455</v>
      </c>
      <c r="C66" s="23" t="n">
        <v>45386</v>
      </c>
      <c r="D66" s="22"/>
      <c r="E66" s="22" t="n">
        <v>0</v>
      </c>
      <c r="F66" s="22"/>
      <c r="G66" s="22" t="s">
        <v>465</v>
      </c>
      <c r="H66" s="22" t="s">
        <v>466</v>
      </c>
      <c r="I66" s="22" t="s">
        <v>678</v>
      </c>
      <c r="J66" s="22" t="s">
        <v>459</v>
      </c>
      <c r="K66" s="22"/>
      <c r="L66" s="22"/>
    </row>
    <row r="67" customFormat="false" ht="14.25" hidden="true" customHeight="true" outlineLevel="0" collapsed="false">
      <c r="A67" s="22" t="s">
        <v>679</v>
      </c>
      <c r="B67" s="22" t="s">
        <v>455</v>
      </c>
      <c r="C67" s="23" t="n">
        <v>45387</v>
      </c>
      <c r="D67" s="22"/>
      <c r="E67" s="22" t="n">
        <v>1</v>
      </c>
      <c r="F67" s="22" t="s">
        <v>680</v>
      </c>
      <c r="G67" s="22" t="s">
        <v>465</v>
      </c>
      <c r="H67" s="22" t="s">
        <v>466</v>
      </c>
      <c r="I67" s="22" t="s">
        <v>681</v>
      </c>
      <c r="J67" s="22" t="s">
        <v>459</v>
      </c>
      <c r="K67" s="22" t="s">
        <v>473</v>
      </c>
      <c r="L67" s="22" t="s">
        <v>474</v>
      </c>
    </row>
    <row r="68" customFormat="false" ht="14.25" hidden="true" customHeight="true" outlineLevel="0" collapsed="false">
      <c r="A68" s="22" t="s">
        <v>682</v>
      </c>
      <c r="B68" s="22" t="s">
        <v>455</v>
      </c>
      <c r="C68" s="23" t="n">
        <v>45390</v>
      </c>
      <c r="D68" s="22"/>
      <c r="E68" s="22" t="n">
        <v>0</v>
      </c>
      <c r="F68" s="22"/>
      <c r="G68" s="22" t="s">
        <v>470</v>
      </c>
      <c r="H68" s="22" t="s">
        <v>471</v>
      </c>
      <c r="I68" s="22" t="s">
        <v>683</v>
      </c>
      <c r="J68" s="22" t="s">
        <v>459</v>
      </c>
      <c r="K68" s="22"/>
      <c r="L68" s="22"/>
    </row>
    <row r="69" customFormat="false" ht="14.25" hidden="true" customHeight="true" outlineLevel="0" collapsed="false">
      <c r="A69" s="22" t="s">
        <v>684</v>
      </c>
      <c r="B69" s="22" t="s">
        <v>455</v>
      </c>
      <c r="C69" s="23" t="n">
        <v>45390</v>
      </c>
      <c r="D69" s="22"/>
      <c r="E69" s="22" t="n">
        <v>0</v>
      </c>
      <c r="F69" s="22"/>
      <c r="G69" s="22" t="s">
        <v>470</v>
      </c>
      <c r="H69" s="22" t="s">
        <v>477</v>
      </c>
      <c r="I69" s="22" t="s">
        <v>685</v>
      </c>
      <c r="J69" s="22" t="s">
        <v>459</v>
      </c>
      <c r="K69" s="22"/>
      <c r="L69" s="22"/>
    </row>
    <row r="70" customFormat="false" ht="14.25" hidden="true" customHeight="true" outlineLevel="0" collapsed="false">
      <c r="A70" s="22" t="s">
        <v>686</v>
      </c>
      <c r="B70" s="22" t="s">
        <v>455</v>
      </c>
      <c r="C70" s="23" t="n">
        <v>45390</v>
      </c>
      <c r="D70" s="22"/>
      <c r="E70" s="22" t="n">
        <v>1</v>
      </c>
      <c r="F70" s="22" t="s">
        <v>687</v>
      </c>
      <c r="G70" s="22" t="s">
        <v>470</v>
      </c>
      <c r="H70" s="22" t="s">
        <v>471</v>
      </c>
      <c r="I70" s="22" t="s">
        <v>688</v>
      </c>
      <c r="J70" s="22" t="s">
        <v>459</v>
      </c>
      <c r="K70" s="22" t="s">
        <v>473</v>
      </c>
      <c r="L70" s="22" t="s">
        <v>474</v>
      </c>
    </row>
    <row r="71" customFormat="false" ht="14.25" hidden="true" customHeight="true" outlineLevel="0" collapsed="false">
      <c r="A71" s="22" t="s">
        <v>689</v>
      </c>
      <c r="B71" s="22" t="s">
        <v>504</v>
      </c>
      <c r="C71" s="23" t="n">
        <v>45392</v>
      </c>
      <c r="D71" s="23" t="n">
        <v>45392</v>
      </c>
      <c r="E71" s="22" t="n">
        <v>0</v>
      </c>
      <c r="F71" s="22"/>
      <c r="G71" s="22" t="s">
        <v>690</v>
      </c>
      <c r="H71" s="22" t="s">
        <v>691</v>
      </c>
      <c r="I71" s="22" t="s">
        <v>692</v>
      </c>
      <c r="J71" s="22" t="s">
        <v>459</v>
      </c>
      <c r="K71" s="22"/>
      <c r="L71" s="22"/>
    </row>
    <row r="72" customFormat="false" ht="14.25" hidden="true" customHeight="true" outlineLevel="0" collapsed="false">
      <c r="A72" s="22" t="s">
        <v>693</v>
      </c>
      <c r="B72" s="22" t="s">
        <v>455</v>
      </c>
      <c r="C72" s="23" t="n">
        <v>45394</v>
      </c>
      <c r="D72" s="22"/>
      <c r="E72" s="22" t="n">
        <v>1</v>
      </c>
      <c r="F72" s="22" t="s">
        <v>694</v>
      </c>
      <c r="G72" s="22" t="s">
        <v>465</v>
      </c>
      <c r="H72" s="22" t="s">
        <v>492</v>
      </c>
      <c r="I72" s="22" t="s">
        <v>695</v>
      </c>
      <c r="J72" s="22" t="s">
        <v>459</v>
      </c>
      <c r="K72" s="22" t="s">
        <v>473</v>
      </c>
      <c r="L72" s="22" t="s">
        <v>474</v>
      </c>
    </row>
    <row r="73" customFormat="false" ht="14.25" hidden="false" customHeight="true" outlineLevel="0" collapsed="false">
      <c r="A73" s="15" t="s">
        <v>696</v>
      </c>
      <c r="B73" s="15" t="s">
        <v>504</v>
      </c>
      <c r="C73" s="24" t="n">
        <v>45762</v>
      </c>
      <c r="D73" s="24" t="n">
        <v>45811</v>
      </c>
      <c r="E73" s="15" t="n">
        <v>1</v>
      </c>
      <c r="F73" s="15" t="s">
        <v>697</v>
      </c>
      <c r="G73" s="15" t="s">
        <v>658</v>
      </c>
      <c r="H73" s="15" t="s">
        <v>698</v>
      </c>
      <c r="I73" s="25" t="s">
        <v>699</v>
      </c>
      <c r="J73" s="15" t="s">
        <v>459</v>
      </c>
      <c r="K73" s="15" t="s">
        <v>509</v>
      </c>
      <c r="L73" s="15" t="s">
        <v>700</v>
      </c>
    </row>
    <row r="74" customFormat="false" ht="14.25" hidden="true" customHeight="true" outlineLevel="0" collapsed="false">
      <c r="A74" s="22" t="s">
        <v>701</v>
      </c>
      <c r="B74" s="22" t="s">
        <v>455</v>
      </c>
      <c r="C74" s="23" t="n">
        <v>45397</v>
      </c>
      <c r="D74" s="23" t="n">
        <v>45405</v>
      </c>
      <c r="E74" s="22" t="n">
        <v>0</v>
      </c>
      <c r="F74" s="22"/>
      <c r="G74" s="22" t="s">
        <v>702</v>
      </c>
      <c r="H74" s="22" t="s">
        <v>703</v>
      </c>
      <c r="I74" s="22" t="s">
        <v>704</v>
      </c>
      <c r="J74" s="22" t="s">
        <v>459</v>
      </c>
      <c r="K74" s="22"/>
      <c r="L74" s="22"/>
    </row>
    <row r="75" customFormat="false" ht="14.25" hidden="true" customHeight="true" outlineLevel="0" collapsed="false">
      <c r="A75" s="22" t="s">
        <v>705</v>
      </c>
      <c r="B75" s="22" t="s">
        <v>455</v>
      </c>
      <c r="C75" s="23" t="n">
        <v>45398</v>
      </c>
      <c r="D75" s="22"/>
      <c r="E75" s="22" t="n">
        <v>0</v>
      </c>
      <c r="F75" s="22"/>
      <c r="G75" s="22" t="s">
        <v>706</v>
      </c>
      <c r="H75" s="22" t="s">
        <v>707</v>
      </c>
      <c r="I75" s="22" t="s">
        <v>708</v>
      </c>
      <c r="J75" s="22" t="s">
        <v>459</v>
      </c>
      <c r="K75" s="22"/>
      <c r="L75" s="22"/>
    </row>
    <row r="76" customFormat="false" ht="14.25" hidden="true" customHeight="true" outlineLevel="0" collapsed="false">
      <c r="A76" s="22" t="s">
        <v>709</v>
      </c>
      <c r="B76" s="22" t="s">
        <v>455</v>
      </c>
      <c r="C76" s="23" t="n">
        <v>45398</v>
      </c>
      <c r="D76" s="22"/>
      <c r="E76" s="22" t="n">
        <v>0</v>
      </c>
      <c r="F76" s="22"/>
      <c r="G76" s="22" t="s">
        <v>710</v>
      </c>
      <c r="H76" s="22" t="s">
        <v>711</v>
      </c>
      <c r="I76" s="22" t="s">
        <v>712</v>
      </c>
      <c r="J76" s="22" t="s">
        <v>459</v>
      </c>
      <c r="K76" s="22"/>
      <c r="L76" s="22"/>
    </row>
    <row r="77" customFormat="false" ht="14.25" hidden="true" customHeight="true" outlineLevel="0" collapsed="false">
      <c r="A77" s="22" t="s">
        <v>713</v>
      </c>
      <c r="B77" s="22" t="s">
        <v>455</v>
      </c>
      <c r="C77" s="23" t="n">
        <v>45398</v>
      </c>
      <c r="D77" s="22"/>
      <c r="E77" s="22" t="n">
        <v>0</v>
      </c>
      <c r="F77" s="22"/>
      <c r="G77" s="22" t="s">
        <v>465</v>
      </c>
      <c r="H77" s="22" t="s">
        <v>492</v>
      </c>
      <c r="I77" s="22" t="s">
        <v>714</v>
      </c>
      <c r="J77" s="22" t="s">
        <v>459</v>
      </c>
      <c r="K77" s="22"/>
      <c r="L77" s="22"/>
    </row>
    <row r="78" customFormat="false" ht="14.25" hidden="true" customHeight="true" outlineLevel="0" collapsed="false">
      <c r="A78" s="22" t="s">
        <v>715</v>
      </c>
      <c r="B78" s="22" t="s">
        <v>455</v>
      </c>
      <c r="C78" s="23" t="n">
        <v>45399</v>
      </c>
      <c r="D78" s="22"/>
      <c r="E78" s="22" t="n">
        <v>0</v>
      </c>
      <c r="F78" s="22"/>
      <c r="G78" s="22" t="s">
        <v>470</v>
      </c>
      <c r="H78" s="22" t="s">
        <v>471</v>
      </c>
      <c r="I78" s="22" t="s">
        <v>716</v>
      </c>
      <c r="J78" s="22" t="s">
        <v>459</v>
      </c>
      <c r="K78" s="22"/>
      <c r="L78" s="22"/>
    </row>
    <row r="79" customFormat="false" ht="14.25" hidden="true" customHeight="true" outlineLevel="0" collapsed="false">
      <c r="A79" s="22" t="s">
        <v>717</v>
      </c>
      <c r="B79" s="22" t="s">
        <v>455</v>
      </c>
      <c r="C79" s="23" t="n">
        <v>45400</v>
      </c>
      <c r="D79" s="22"/>
      <c r="E79" s="22" t="n">
        <v>1</v>
      </c>
      <c r="F79" s="22" t="s">
        <v>663</v>
      </c>
      <c r="G79" s="22" t="s">
        <v>465</v>
      </c>
      <c r="H79" s="22" t="s">
        <v>466</v>
      </c>
      <c r="I79" s="22" t="s">
        <v>718</v>
      </c>
      <c r="J79" s="22" t="s">
        <v>459</v>
      </c>
      <c r="K79" s="22" t="s">
        <v>473</v>
      </c>
      <c r="L79" s="22" t="s">
        <v>474</v>
      </c>
    </row>
    <row r="80" customFormat="false" ht="14.25" hidden="true" customHeight="true" outlineLevel="0" collapsed="false">
      <c r="A80" s="22" t="s">
        <v>719</v>
      </c>
      <c r="B80" s="22" t="s">
        <v>455</v>
      </c>
      <c r="C80" s="23" t="n">
        <v>45404</v>
      </c>
      <c r="D80" s="22"/>
      <c r="E80" s="22" t="n">
        <v>0</v>
      </c>
      <c r="F80" s="22"/>
      <c r="G80" s="22" t="s">
        <v>720</v>
      </c>
      <c r="H80" s="22" t="s">
        <v>721</v>
      </c>
      <c r="I80" s="22" t="s">
        <v>722</v>
      </c>
      <c r="J80" s="22" t="s">
        <v>459</v>
      </c>
      <c r="K80" s="22"/>
      <c r="L80" s="22"/>
    </row>
    <row r="81" customFormat="false" ht="14.25" hidden="false" customHeight="true" outlineLevel="0" collapsed="false">
      <c r="A81" s="15" t="s">
        <v>723</v>
      </c>
      <c r="B81" s="15" t="s">
        <v>504</v>
      </c>
      <c r="C81" s="24" t="n">
        <v>45919</v>
      </c>
      <c r="D81" s="24" t="n">
        <v>45978</v>
      </c>
      <c r="E81" s="15" t="n">
        <v>1</v>
      </c>
      <c r="F81" s="15" t="s">
        <v>724</v>
      </c>
      <c r="G81" s="15" t="s">
        <v>725</v>
      </c>
      <c r="H81" s="15" t="s">
        <v>726</v>
      </c>
      <c r="I81" s="15" t="s">
        <v>109</v>
      </c>
      <c r="J81" s="15" t="s">
        <v>459</v>
      </c>
      <c r="K81" s="15" t="s">
        <v>509</v>
      </c>
      <c r="L81" s="15" t="s">
        <v>727</v>
      </c>
    </row>
    <row r="82" customFormat="false" ht="14.25" hidden="true" customHeight="true" outlineLevel="0" collapsed="false">
      <c r="A82" s="22" t="s">
        <v>728</v>
      </c>
      <c r="B82" s="22" t="s">
        <v>455</v>
      </c>
      <c r="C82" s="23" t="n">
        <v>45405</v>
      </c>
      <c r="D82" s="22"/>
      <c r="E82" s="22" t="n">
        <v>0</v>
      </c>
      <c r="F82" s="22"/>
      <c r="G82" s="22" t="s">
        <v>470</v>
      </c>
      <c r="H82" s="22" t="s">
        <v>525</v>
      </c>
      <c r="I82" s="22" t="s">
        <v>729</v>
      </c>
      <c r="J82" s="22" t="s">
        <v>459</v>
      </c>
      <c r="K82" s="22"/>
      <c r="L82" s="22"/>
    </row>
    <row r="83" customFormat="false" ht="14.25" hidden="true" customHeight="true" outlineLevel="0" collapsed="false">
      <c r="A83" s="22" t="s">
        <v>730</v>
      </c>
      <c r="B83" s="22" t="s">
        <v>455</v>
      </c>
      <c r="C83" s="23" t="n">
        <v>45407</v>
      </c>
      <c r="D83" s="23" t="n">
        <v>45407</v>
      </c>
      <c r="E83" s="22" t="n">
        <v>0</v>
      </c>
      <c r="F83" s="22"/>
      <c r="G83" s="22" t="s">
        <v>731</v>
      </c>
      <c r="H83" s="22" t="s">
        <v>732</v>
      </c>
      <c r="I83" s="22" t="s">
        <v>733</v>
      </c>
      <c r="J83" s="22" t="s">
        <v>459</v>
      </c>
      <c r="K83" s="22"/>
      <c r="L83" s="22"/>
    </row>
    <row r="84" customFormat="false" ht="14.25" hidden="true" customHeight="true" outlineLevel="0" collapsed="false">
      <c r="A84" s="22" t="s">
        <v>734</v>
      </c>
      <c r="B84" s="22" t="s">
        <v>455</v>
      </c>
      <c r="C84" s="23" t="n">
        <v>45407</v>
      </c>
      <c r="D84" s="22"/>
      <c r="E84" s="22" t="n">
        <v>1</v>
      </c>
      <c r="F84" s="22" t="s">
        <v>535</v>
      </c>
      <c r="G84" s="22" t="s">
        <v>470</v>
      </c>
      <c r="H84" s="22" t="s">
        <v>477</v>
      </c>
      <c r="I84" s="22" t="s">
        <v>735</v>
      </c>
      <c r="J84" s="22" t="s">
        <v>459</v>
      </c>
      <c r="K84" s="22" t="s">
        <v>473</v>
      </c>
      <c r="L84" s="22" t="s">
        <v>474</v>
      </c>
    </row>
    <row r="85" customFormat="false" ht="14.25" hidden="true" customHeight="true" outlineLevel="0" collapsed="false">
      <c r="A85" s="22" t="s">
        <v>736</v>
      </c>
      <c r="B85" s="22" t="s">
        <v>455</v>
      </c>
      <c r="C85" s="23" t="n">
        <v>45408</v>
      </c>
      <c r="D85" s="22"/>
      <c r="E85" s="22" t="n">
        <v>0</v>
      </c>
      <c r="F85" s="22"/>
      <c r="G85" s="22" t="s">
        <v>465</v>
      </c>
      <c r="H85" s="22" t="s">
        <v>466</v>
      </c>
      <c r="I85" s="22" t="s">
        <v>737</v>
      </c>
      <c r="J85" s="22" t="s">
        <v>459</v>
      </c>
      <c r="K85" s="22"/>
      <c r="L85" s="22"/>
    </row>
    <row r="86" customFormat="false" ht="14.25" hidden="true" customHeight="true" outlineLevel="0" collapsed="false">
      <c r="A86" s="22" t="s">
        <v>738</v>
      </c>
      <c r="B86" s="22" t="s">
        <v>455</v>
      </c>
      <c r="C86" s="23" t="n">
        <v>45408</v>
      </c>
      <c r="D86" s="22"/>
      <c r="E86" s="22" t="n">
        <v>0</v>
      </c>
      <c r="F86" s="22"/>
      <c r="G86" s="22" t="s">
        <v>465</v>
      </c>
      <c r="H86" s="22" t="s">
        <v>492</v>
      </c>
      <c r="I86" s="22" t="s">
        <v>739</v>
      </c>
      <c r="J86" s="22" t="s">
        <v>459</v>
      </c>
      <c r="K86" s="22"/>
      <c r="L86" s="22"/>
    </row>
    <row r="87" customFormat="false" ht="14.25" hidden="true" customHeight="true" outlineLevel="0" collapsed="false">
      <c r="A87" s="22" t="s">
        <v>740</v>
      </c>
      <c r="B87" s="22" t="s">
        <v>455</v>
      </c>
      <c r="C87" s="23" t="n">
        <v>45408</v>
      </c>
      <c r="D87" s="22"/>
      <c r="E87" s="22" t="n">
        <v>0</v>
      </c>
      <c r="F87" s="22"/>
      <c r="G87" s="22" t="s">
        <v>465</v>
      </c>
      <c r="H87" s="22" t="s">
        <v>492</v>
      </c>
      <c r="I87" s="22" t="s">
        <v>741</v>
      </c>
      <c r="J87" s="22" t="s">
        <v>459</v>
      </c>
      <c r="K87" s="22"/>
      <c r="L87" s="22"/>
    </row>
    <row r="88" customFormat="false" ht="14.25" hidden="true" customHeight="true" outlineLevel="0" collapsed="false">
      <c r="A88" s="22" t="s">
        <v>742</v>
      </c>
      <c r="B88" s="22" t="s">
        <v>455</v>
      </c>
      <c r="C88" s="23" t="n">
        <v>45408</v>
      </c>
      <c r="D88" s="22"/>
      <c r="E88" s="22" t="n">
        <v>0</v>
      </c>
      <c r="F88" s="22"/>
      <c r="G88" s="22" t="s">
        <v>743</v>
      </c>
      <c r="H88" s="22" t="s">
        <v>744</v>
      </c>
      <c r="I88" s="22" t="s">
        <v>745</v>
      </c>
      <c r="J88" s="22" t="s">
        <v>459</v>
      </c>
      <c r="K88" s="22"/>
      <c r="L88" s="22"/>
    </row>
    <row r="89" customFormat="false" ht="14.25" hidden="true" customHeight="true" outlineLevel="0" collapsed="false">
      <c r="A89" s="22" t="s">
        <v>746</v>
      </c>
      <c r="B89" s="22" t="s">
        <v>455</v>
      </c>
      <c r="C89" s="23" t="n">
        <v>45411</v>
      </c>
      <c r="D89" s="22"/>
      <c r="E89" s="22" t="n">
        <v>0</v>
      </c>
      <c r="F89" s="22"/>
      <c r="G89" s="22" t="s">
        <v>747</v>
      </c>
      <c r="H89" s="22" t="s">
        <v>500</v>
      </c>
      <c r="I89" s="22" t="s">
        <v>748</v>
      </c>
      <c r="J89" s="22" t="s">
        <v>459</v>
      </c>
      <c r="K89" s="22"/>
      <c r="L89" s="22"/>
    </row>
    <row r="90" customFormat="false" ht="14.25" hidden="true" customHeight="true" outlineLevel="0" collapsed="false">
      <c r="A90" s="22" t="s">
        <v>749</v>
      </c>
      <c r="B90" s="22" t="s">
        <v>455</v>
      </c>
      <c r="C90" s="23" t="n">
        <v>45411</v>
      </c>
      <c r="D90" s="22"/>
      <c r="E90" s="22" t="n">
        <v>0</v>
      </c>
      <c r="F90" s="22"/>
      <c r="G90" s="22" t="s">
        <v>750</v>
      </c>
      <c r="H90" s="22" t="s">
        <v>751</v>
      </c>
      <c r="I90" s="22" t="s">
        <v>752</v>
      </c>
      <c r="J90" s="22" t="s">
        <v>459</v>
      </c>
      <c r="K90" s="22"/>
      <c r="L90" s="22"/>
    </row>
    <row r="91" customFormat="false" ht="14.25" hidden="true" customHeight="true" outlineLevel="0" collapsed="false">
      <c r="A91" s="22" t="s">
        <v>753</v>
      </c>
      <c r="B91" s="22" t="s">
        <v>455</v>
      </c>
      <c r="C91" s="23" t="n">
        <v>45412</v>
      </c>
      <c r="D91" s="22"/>
      <c r="E91" s="22" t="n">
        <v>0</v>
      </c>
      <c r="F91" s="22"/>
      <c r="G91" s="22" t="s">
        <v>754</v>
      </c>
      <c r="H91" s="22" t="s">
        <v>755</v>
      </c>
      <c r="I91" s="22" t="s">
        <v>756</v>
      </c>
      <c r="J91" s="22" t="s">
        <v>459</v>
      </c>
      <c r="K91" s="22"/>
      <c r="L91" s="22"/>
    </row>
    <row r="92" customFormat="false" ht="14.25" hidden="true" customHeight="true" outlineLevel="0" collapsed="false">
      <c r="A92" s="22" t="s">
        <v>757</v>
      </c>
      <c r="B92" s="22" t="s">
        <v>455</v>
      </c>
      <c r="C92" s="23" t="n">
        <v>45412</v>
      </c>
      <c r="D92" s="22"/>
      <c r="E92" s="22" t="n">
        <v>0</v>
      </c>
      <c r="F92" s="22"/>
      <c r="G92" s="22" t="s">
        <v>470</v>
      </c>
      <c r="H92" s="22" t="s">
        <v>477</v>
      </c>
      <c r="I92" s="22" t="s">
        <v>758</v>
      </c>
      <c r="J92" s="22" t="s">
        <v>459</v>
      </c>
      <c r="K92" s="22"/>
      <c r="L92" s="22"/>
    </row>
    <row r="93" customFormat="false" ht="14.25" hidden="true" customHeight="true" outlineLevel="0" collapsed="false">
      <c r="A93" s="22" t="s">
        <v>759</v>
      </c>
      <c r="B93" s="22" t="s">
        <v>455</v>
      </c>
      <c r="C93" s="23" t="n">
        <v>45413</v>
      </c>
      <c r="D93" s="22"/>
      <c r="E93" s="22" t="n">
        <v>0</v>
      </c>
      <c r="F93" s="22"/>
      <c r="G93" s="22" t="s">
        <v>760</v>
      </c>
      <c r="H93" s="22" t="s">
        <v>761</v>
      </c>
      <c r="I93" s="22" t="s">
        <v>762</v>
      </c>
      <c r="J93" s="22" t="s">
        <v>459</v>
      </c>
      <c r="K93" s="22"/>
      <c r="L93" s="22"/>
    </row>
    <row r="94" customFormat="false" ht="14.25" hidden="true" customHeight="true" outlineLevel="0" collapsed="false">
      <c r="A94" s="22" t="s">
        <v>763</v>
      </c>
      <c r="B94" s="22" t="s">
        <v>483</v>
      </c>
      <c r="C94" s="23" t="n">
        <v>45414</v>
      </c>
      <c r="D94" s="22"/>
      <c r="E94" s="22" t="n">
        <v>1</v>
      </c>
      <c r="F94" s="22" t="s">
        <v>764</v>
      </c>
      <c r="G94" s="22" t="s">
        <v>765</v>
      </c>
      <c r="H94" s="22" t="s">
        <v>766</v>
      </c>
      <c r="I94" s="22" t="s">
        <v>767</v>
      </c>
      <c r="J94" s="22" t="s">
        <v>459</v>
      </c>
      <c r="K94" s="22" t="s">
        <v>473</v>
      </c>
      <c r="L94" s="22" t="s">
        <v>554</v>
      </c>
    </row>
    <row r="95" customFormat="false" ht="14.25" hidden="true" customHeight="true" outlineLevel="0" collapsed="false">
      <c r="A95" s="22" t="s">
        <v>768</v>
      </c>
      <c r="B95" s="22" t="s">
        <v>455</v>
      </c>
      <c r="C95" s="23" t="n">
        <v>45415</v>
      </c>
      <c r="D95" s="22"/>
      <c r="E95" s="22" t="n">
        <v>1</v>
      </c>
      <c r="F95" s="22" t="s">
        <v>769</v>
      </c>
      <c r="G95" s="22" t="s">
        <v>465</v>
      </c>
      <c r="H95" s="22" t="s">
        <v>466</v>
      </c>
      <c r="I95" s="22" t="s">
        <v>770</v>
      </c>
      <c r="J95" s="22" t="s">
        <v>459</v>
      </c>
      <c r="K95" s="22" t="s">
        <v>473</v>
      </c>
      <c r="L95" s="22" t="s">
        <v>474</v>
      </c>
    </row>
    <row r="96" customFormat="false" ht="14.25" hidden="false" customHeight="true" outlineLevel="0" collapsed="false">
      <c r="A96" s="15" t="s">
        <v>771</v>
      </c>
      <c r="B96" s="15" t="s">
        <v>483</v>
      </c>
      <c r="C96" s="24" t="n">
        <v>45989</v>
      </c>
      <c r="D96" s="15"/>
      <c r="E96" s="15" t="n">
        <v>1</v>
      </c>
      <c r="F96" s="15" t="s">
        <v>772</v>
      </c>
      <c r="G96" s="15" t="s">
        <v>773</v>
      </c>
      <c r="H96" s="15" t="s">
        <v>774</v>
      </c>
      <c r="I96" s="25" t="s">
        <v>775</v>
      </c>
      <c r="J96" s="15" t="s">
        <v>459</v>
      </c>
      <c r="K96" s="15" t="s">
        <v>509</v>
      </c>
      <c r="L96" s="15" t="s">
        <v>776</v>
      </c>
    </row>
    <row r="97" customFormat="false" ht="14.25" hidden="true" customHeight="true" outlineLevel="0" collapsed="false">
      <c r="A97" s="22" t="s">
        <v>777</v>
      </c>
      <c r="B97" s="22" t="s">
        <v>455</v>
      </c>
      <c r="C97" s="23" t="n">
        <v>45418</v>
      </c>
      <c r="D97" s="22"/>
      <c r="E97" s="22" t="n">
        <v>0</v>
      </c>
      <c r="F97" s="22"/>
      <c r="G97" s="22" t="s">
        <v>465</v>
      </c>
      <c r="H97" s="22" t="s">
        <v>466</v>
      </c>
      <c r="I97" s="22" t="s">
        <v>778</v>
      </c>
      <c r="J97" s="22" t="s">
        <v>459</v>
      </c>
      <c r="K97" s="22"/>
      <c r="L97" s="22"/>
    </row>
    <row r="98" customFormat="false" ht="14.25" hidden="true" customHeight="true" outlineLevel="0" collapsed="false">
      <c r="A98" s="22" t="s">
        <v>779</v>
      </c>
      <c r="B98" s="22" t="s">
        <v>455</v>
      </c>
      <c r="C98" s="23" t="n">
        <v>45418</v>
      </c>
      <c r="D98" s="22"/>
      <c r="E98" s="22" t="n">
        <v>0</v>
      </c>
      <c r="F98" s="22"/>
      <c r="G98" s="22" t="s">
        <v>780</v>
      </c>
      <c r="H98" s="22" t="s">
        <v>781</v>
      </c>
      <c r="I98" s="22" t="s">
        <v>782</v>
      </c>
      <c r="J98" s="22" t="s">
        <v>459</v>
      </c>
      <c r="K98" s="22"/>
      <c r="L98" s="22"/>
    </row>
    <row r="99" customFormat="false" ht="14.25" hidden="true" customHeight="true" outlineLevel="0" collapsed="false">
      <c r="A99" s="22" t="s">
        <v>783</v>
      </c>
      <c r="B99" s="22" t="s">
        <v>455</v>
      </c>
      <c r="C99" s="23" t="n">
        <v>45418</v>
      </c>
      <c r="D99" s="22"/>
      <c r="E99" s="22" t="n">
        <v>1</v>
      </c>
      <c r="F99" s="22" t="s">
        <v>784</v>
      </c>
      <c r="G99" s="22" t="s">
        <v>465</v>
      </c>
      <c r="H99" s="22" t="s">
        <v>466</v>
      </c>
      <c r="I99" s="22" t="s">
        <v>785</v>
      </c>
      <c r="J99" s="22" t="s">
        <v>459</v>
      </c>
      <c r="K99" s="22" t="s">
        <v>473</v>
      </c>
      <c r="L99" s="22" t="s">
        <v>474</v>
      </c>
    </row>
    <row r="100" customFormat="false" ht="14.25" hidden="false" customHeight="true" outlineLevel="0" collapsed="false">
      <c r="A100" s="15" t="s">
        <v>786</v>
      </c>
      <c r="B100" s="15" t="s">
        <v>504</v>
      </c>
      <c r="C100" s="24" t="n">
        <v>46118</v>
      </c>
      <c r="D100" s="24" t="n">
        <v>46174</v>
      </c>
      <c r="E100" s="15" t="n">
        <v>1</v>
      </c>
      <c r="F100" s="15" t="s">
        <v>787</v>
      </c>
      <c r="G100" s="15" t="s">
        <v>788</v>
      </c>
      <c r="H100" s="15" t="s">
        <v>789</v>
      </c>
      <c r="I100" s="15" t="s">
        <v>790</v>
      </c>
      <c r="J100" s="15" t="s">
        <v>459</v>
      </c>
      <c r="K100" s="15" t="s">
        <v>509</v>
      </c>
      <c r="L100" s="15" t="s">
        <v>791</v>
      </c>
    </row>
    <row r="101" customFormat="false" ht="14.25" hidden="true" customHeight="true" outlineLevel="0" collapsed="false">
      <c r="A101" s="22" t="s">
        <v>792</v>
      </c>
      <c r="B101" s="22" t="s">
        <v>455</v>
      </c>
      <c r="C101" s="23" t="n">
        <v>45420</v>
      </c>
      <c r="D101" s="22"/>
      <c r="E101" s="22" t="n">
        <v>0</v>
      </c>
      <c r="F101" s="22"/>
      <c r="G101" s="22" t="s">
        <v>470</v>
      </c>
      <c r="H101" s="22" t="s">
        <v>477</v>
      </c>
      <c r="I101" s="22" t="s">
        <v>793</v>
      </c>
      <c r="J101" s="22" t="s">
        <v>459</v>
      </c>
      <c r="K101" s="22"/>
      <c r="L101" s="22"/>
    </row>
    <row r="102" customFormat="false" ht="14.25" hidden="false" customHeight="true" outlineLevel="0" collapsed="false">
      <c r="A102" s="15" t="s">
        <v>794</v>
      </c>
      <c r="B102" s="15" t="s">
        <v>483</v>
      </c>
      <c r="C102" s="24" t="n">
        <v>46126</v>
      </c>
      <c r="D102" s="15"/>
      <c r="E102" s="15" t="n">
        <v>1</v>
      </c>
      <c r="F102" s="15" t="s">
        <v>795</v>
      </c>
      <c r="G102" s="15" t="s">
        <v>796</v>
      </c>
      <c r="H102" s="15" t="s">
        <v>797</v>
      </c>
      <c r="I102" s="15" t="s">
        <v>798</v>
      </c>
      <c r="J102" s="15" t="s">
        <v>459</v>
      </c>
      <c r="K102" s="15" t="s">
        <v>509</v>
      </c>
      <c r="L102" s="15" t="s">
        <v>799</v>
      </c>
    </row>
    <row r="103" customFormat="false" ht="14.25" hidden="true" customHeight="true" outlineLevel="0" collapsed="false">
      <c r="A103" s="22" t="s">
        <v>800</v>
      </c>
      <c r="B103" s="22" t="s">
        <v>504</v>
      </c>
      <c r="C103" s="23" t="n">
        <v>45422</v>
      </c>
      <c r="D103" s="23" t="n">
        <v>45464</v>
      </c>
      <c r="E103" s="22" t="n">
        <v>0</v>
      </c>
      <c r="F103" s="22"/>
      <c r="G103" s="22" t="s">
        <v>801</v>
      </c>
      <c r="H103" s="22" t="s">
        <v>802</v>
      </c>
      <c r="I103" s="22" t="s">
        <v>803</v>
      </c>
      <c r="J103" s="22" t="s">
        <v>459</v>
      </c>
      <c r="K103" s="22"/>
      <c r="L103" s="22"/>
    </row>
    <row r="104" customFormat="false" ht="14.25" hidden="false" customHeight="true" outlineLevel="0" collapsed="false">
      <c r="A104" s="15" t="s">
        <v>804</v>
      </c>
      <c r="B104" s="15" t="s">
        <v>504</v>
      </c>
      <c r="C104" s="24" t="n">
        <v>45397</v>
      </c>
      <c r="D104" s="24" t="n">
        <v>45447</v>
      </c>
      <c r="E104" s="15" t="n">
        <v>1</v>
      </c>
      <c r="F104" s="15" t="s">
        <v>805</v>
      </c>
      <c r="G104" s="15" t="s">
        <v>806</v>
      </c>
      <c r="H104" s="15" t="s">
        <v>807</v>
      </c>
      <c r="I104" s="15" t="s">
        <v>808</v>
      </c>
      <c r="J104" s="15" t="s">
        <v>459</v>
      </c>
      <c r="K104" s="15" t="s">
        <v>809</v>
      </c>
      <c r="L104" s="15" t="s">
        <v>810</v>
      </c>
    </row>
    <row r="105" customFormat="false" ht="14.25" hidden="true" customHeight="true" outlineLevel="0" collapsed="false">
      <c r="A105" s="22" t="s">
        <v>811</v>
      </c>
      <c r="B105" s="22" t="s">
        <v>455</v>
      </c>
      <c r="C105" s="23" t="n">
        <v>45422</v>
      </c>
      <c r="D105" s="23" t="n">
        <v>45490</v>
      </c>
      <c r="E105" s="22" t="n">
        <v>0</v>
      </c>
      <c r="F105" s="22"/>
      <c r="G105" s="22" t="s">
        <v>812</v>
      </c>
      <c r="H105" s="22" t="s">
        <v>813</v>
      </c>
      <c r="I105" s="22" t="s">
        <v>814</v>
      </c>
      <c r="J105" s="22" t="s">
        <v>459</v>
      </c>
      <c r="K105" s="22"/>
      <c r="L105" s="22"/>
    </row>
    <row r="106" customFormat="false" ht="14.25" hidden="true" customHeight="true" outlineLevel="0" collapsed="false">
      <c r="A106" s="22" t="s">
        <v>815</v>
      </c>
      <c r="B106" s="22" t="s">
        <v>455</v>
      </c>
      <c r="C106" s="23" t="n">
        <v>45422</v>
      </c>
      <c r="D106" s="22"/>
      <c r="E106" s="22" t="n">
        <v>0</v>
      </c>
      <c r="F106" s="22"/>
      <c r="G106" s="22" t="s">
        <v>470</v>
      </c>
      <c r="H106" s="22" t="s">
        <v>477</v>
      </c>
      <c r="I106" s="22" t="s">
        <v>816</v>
      </c>
      <c r="J106" s="22" t="s">
        <v>459</v>
      </c>
      <c r="K106" s="22"/>
      <c r="L106" s="22"/>
    </row>
    <row r="107" customFormat="false" ht="14.25" hidden="true" customHeight="true" outlineLevel="0" collapsed="false">
      <c r="A107" s="22" t="s">
        <v>817</v>
      </c>
      <c r="B107" s="22" t="s">
        <v>455</v>
      </c>
      <c r="C107" s="23" t="n">
        <v>45422</v>
      </c>
      <c r="D107" s="22"/>
      <c r="E107" s="22" t="n">
        <v>1</v>
      </c>
      <c r="F107" s="22" t="s">
        <v>673</v>
      </c>
      <c r="G107" s="22" t="s">
        <v>465</v>
      </c>
      <c r="H107" s="22" t="s">
        <v>492</v>
      </c>
      <c r="I107" s="22" t="s">
        <v>818</v>
      </c>
      <c r="J107" s="22" t="s">
        <v>459</v>
      </c>
      <c r="K107" s="22" t="s">
        <v>473</v>
      </c>
      <c r="L107" s="22" t="s">
        <v>474</v>
      </c>
    </row>
    <row r="108" customFormat="false" ht="14.25" hidden="true" customHeight="true" outlineLevel="0" collapsed="false">
      <c r="A108" s="22" t="s">
        <v>819</v>
      </c>
      <c r="B108" s="22" t="s">
        <v>504</v>
      </c>
      <c r="C108" s="23" t="n">
        <v>45425</v>
      </c>
      <c r="D108" s="23" t="n">
        <v>45516</v>
      </c>
      <c r="E108" s="22" t="n">
        <v>0</v>
      </c>
      <c r="F108" s="22"/>
      <c r="G108" s="22" t="s">
        <v>820</v>
      </c>
      <c r="H108" s="22" t="s">
        <v>821</v>
      </c>
      <c r="I108" s="22" t="s">
        <v>822</v>
      </c>
      <c r="J108" s="22" t="s">
        <v>459</v>
      </c>
      <c r="K108" s="22"/>
      <c r="L108" s="22"/>
    </row>
    <row r="109" customFormat="false" ht="14.25" hidden="true" customHeight="true" outlineLevel="0" collapsed="false">
      <c r="A109" s="22" t="s">
        <v>823</v>
      </c>
      <c r="B109" s="22" t="s">
        <v>455</v>
      </c>
      <c r="C109" s="23" t="n">
        <v>45426</v>
      </c>
      <c r="D109" s="22"/>
      <c r="E109" s="22" t="n">
        <v>0</v>
      </c>
      <c r="F109" s="22"/>
      <c r="G109" s="22" t="s">
        <v>470</v>
      </c>
      <c r="H109" s="22" t="s">
        <v>477</v>
      </c>
      <c r="I109" s="22" t="s">
        <v>824</v>
      </c>
      <c r="J109" s="22" t="s">
        <v>459</v>
      </c>
      <c r="K109" s="22"/>
      <c r="L109" s="22"/>
    </row>
    <row r="110" customFormat="false" ht="14.25" hidden="true" customHeight="true" outlineLevel="0" collapsed="false">
      <c r="A110" s="22" t="s">
        <v>825</v>
      </c>
      <c r="B110" s="22" t="s">
        <v>455</v>
      </c>
      <c r="C110" s="23" t="n">
        <v>45426</v>
      </c>
      <c r="D110" s="22"/>
      <c r="E110" s="22" t="n">
        <v>0</v>
      </c>
      <c r="F110" s="22"/>
      <c r="G110" s="22" t="s">
        <v>465</v>
      </c>
      <c r="H110" s="22" t="s">
        <v>492</v>
      </c>
      <c r="I110" s="22" t="s">
        <v>826</v>
      </c>
      <c r="J110" s="22" t="s">
        <v>459</v>
      </c>
      <c r="K110" s="22"/>
      <c r="L110" s="22"/>
    </row>
    <row r="111" customFormat="false" ht="14.25" hidden="true" customHeight="true" outlineLevel="0" collapsed="false">
      <c r="A111" s="22" t="s">
        <v>827</v>
      </c>
      <c r="B111" s="22" t="s">
        <v>455</v>
      </c>
      <c r="C111" s="23" t="n">
        <v>45428</v>
      </c>
      <c r="D111" s="22"/>
      <c r="E111" s="22" t="n">
        <v>0</v>
      </c>
      <c r="F111" s="22"/>
      <c r="G111" s="22" t="s">
        <v>465</v>
      </c>
      <c r="H111" s="22" t="s">
        <v>466</v>
      </c>
      <c r="I111" s="22" t="s">
        <v>828</v>
      </c>
      <c r="J111" s="22" t="s">
        <v>459</v>
      </c>
      <c r="K111" s="22"/>
      <c r="L111" s="22"/>
    </row>
    <row r="112" customFormat="false" ht="14.25" hidden="true" customHeight="true" outlineLevel="0" collapsed="false">
      <c r="A112" s="22" t="s">
        <v>829</v>
      </c>
      <c r="B112" s="22" t="s">
        <v>455</v>
      </c>
      <c r="C112" s="23" t="n">
        <v>45428</v>
      </c>
      <c r="D112" s="22"/>
      <c r="E112" s="22" t="n">
        <v>0</v>
      </c>
      <c r="F112" s="22"/>
      <c r="G112" s="22" t="s">
        <v>470</v>
      </c>
      <c r="H112" s="22" t="s">
        <v>471</v>
      </c>
      <c r="I112" s="22" t="s">
        <v>830</v>
      </c>
      <c r="J112" s="22" t="s">
        <v>459</v>
      </c>
      <c r="K112" s="22"/>
      <c r="L112" s="22"/>
    </row>
    <row r="113" customFormat="false" ht="14.25" hidden="true" customHeight="true" outlineLevel="0" collapsed="false">
      <c r="A113" s="22" t="s">
        <v>831</v>
      </c>
      <c r="B113" s="22" t="s">
        <v>483</v>
      </c>
      <c r="C113" s="23" t="n">
        <v>45429</v>
      </c>
      <c r="D113" s="22"/>
      <c r="E113" s="22" t="n">
        <v>1</v>
      </c>
      <c r="F113" s="22" t="s">
        <v>832</v>
      </c>
      <c r="G113" s="22" t="s">
        <v>833</v>
      </c>
      <c r="H113" s="22" t="s">
        <v>834</v>
      </c>
      <c r="I113" s="22" t="s">
        <v>835</v>
      </c>
      <c r="J113" s="22" t="s">
        <v>459</v>
      </c>
      <c r="K113" s="22" t="s">
        <v>473</v>
      </c>
      <c r="L113" s="22" t="s">
        <v>554</v>
      </c>
    </row>
    <row r="114" customFormat="false" ht="14.25" hidden="true" customHeight="true" outlineLevel="0" collapsed="false">
      <c r="A114" s="22" t="s">
        <v>836</v>
      </c>
      <c r="B114" s="22" t="s">
        <v>455</v>
      </c>
      <c r="C114" s="23" t="n">
        <v>45429</v>
      </c>
      <c r="D114" s="22"/>
      <c r="E114" s="22" t="n">
        <v>0</v>
      </c>
      <c r="F114" s="22"/>
      <c r="G114" s="22" t="s">
        <v>465</v>
      </c>
      <c r="H114" s="22" t="s">
        <v>492</v>
      </c>
      <c r="I114" s="22" t="s">
        <v>837</v>
      </c>
      <c r="J114" s="22" t="s">
        <v>459</v>
      </c>
      <c r="K114" s="22"/>
      <c r="L114" s="22"/>
    </row>
    <row r="115" customFormat="false" ht="14.25" hidden="true" customHeight="true" outlineLevel="0" collapsed="false">
      <c r="A115" s="22" t="s">
        <v>838</v>
      </c>
      <c r="B115" s="22" t="s">
        <v>455</v>
      </c>
      <c r="C115" s="23" t="n">
        <v>45433</v>
      </c>
      <c r="D115" s="22"/>
      <c r="E115" s="22" t="n">
        <v>0</v>
      </c>
      <c r="F115" s="22"/>
      <c r="G115" s="22" t="s">
        <v>465</v>
      </c>
      <c r="H115" s="22" t="s">
        <v>492</v>
      </c>
      <c r="I115" s="22" t="s">
        <v>839</v>
      </c>
      <c r="J115" s="22" t="s">
        <v>459</v>
      </c>
      <c r="K115" s="22"/>
      <c r="L115" s="22"/>
    </row>
    <row r="116" customFormat="false" ht="14.25" hidden="true" customHeight="true" outlineLevel="0" collapsed="false">
      <c r="A116" s="22" t="s">
        <v>840</v>
      </c>
      <c r="B116" s="22" t="s">
        <v>455</v>
      </c>
      <c r="C116" s="23" t="n">
        <v>45433</v>
      </c>
      <c r="D116" s="22"/>
      <c r="E116" s="22" t="n">
        <v>0</v>
      </c>
      <c r="F116" s="22"/>
      <c r="G116" s="22" t="s">
        <v>465</v>
      </c>
      <c r="H116" s="22" t="s">
        <v>466</v>
      </c>
      <c r="I116" s="22" t="s">
        <v>841</v>
      </c>
      <c r="J116" s="22" t="s">
        <v>459</v>
      </c>
      <c r="K116" s="22"/>
      <c r="L116" s="22"/>
    </row>
    <row r="117" customFormat="false" ht="14.25" hidden="true" customHeight="true" outlineLevel="0" collapsed="false">
      <c r="A117" s="22" t="s">
        <v>842</v>
      </c>
      <c r="B117" s="22" t="s">
        <v>455</v>
      </c>
      <c r="C117" s="23" t="n">
        <v>45435</v>
      </c>
      <c r="D117" s="22"/>
      <c r="E117" s="22" t="n">
        <v>0</v>
      </c>
      <c r="F117" s="22"/>
      <c r="G117" s="22" t="s">
        <v>470</v>
      </c>
      <c r="H117" s="22" t="s">
        <v>477</v>
      </c>
      <c r="I117" s="22" t="s">
        <v>843</v>
      </c>
      <c r="J117" s="22" t="s">
        <v>459</v>
      </c>
      <c r="K117" s="22"/>
      <c r="L117" s="22"/>
    </row>
    <row r="118" customFormat="false" ht="14.25" hidden="true" customHeight="true" outlineLevel="0" collapsed="false">
      <c r="A118" s="22" t="s">
        <v>844</v>
      </c>
      <c r="B118" s="22" t="s">
        <v>455</v>
      </c>
      <c r="C118" s="23" t="n">
        <v>45435</v>
      </c>
      <c r="D118" s="22"/>
      <c r="E118" s="22" t="n">
        <v>0</v>
      </c>
      <c r="F118" s="22"/>
      <c r="G118" s="22" t="s">
        <v>845</v>
      </c>
      <c r="H118" s="22" t="s">
        <v>846</v>
      </c>
      <c r="I118" s="22" t="s">
        <v>847</v>
      </c>
      <c r="J118" s="22" t="s">
        <v>459</v>
      </c>
      <c r="K118" s="22"/>
      <c r="L118" s="22"/>
    </row>
    <row r="119" customFormat="false" ht="14.25" hidden="true" customHeight="true" outlineLevel="0" collapsed="false">
      <c r="A119" s="22" t="s">
        <v>848</v>
      </c>
      <c r="B119" s="22" t="s">
        <v>455</v>
      </c>
      <c r="C119" s="23" t="n">
        <v>45436</v>
      </c>
      <c r="D119" s="22"/>
      <c r="E119" s="22" t="n">
        <v>1</v>
      </c>
      <c r="F119" s="22" t="s">
        <v>849</v>
      </c>
      <c r="G119" s="22" t="s">
        <v>470</v>
      </c>
      <c r="H119" s="22" t="s">
        <v>471</v>
      </c>
      <c r="I119" s="22" t="s">
        <v>850</v>
      </c>
      <c r="J119" s="22" t="s">
        <v>459</v>
      </c>
      <c r="K119" s="22" t="s">
        <v>473</v>
      </c>
      <c r="L119" s="22" t="s">
        <v>474</v>
      </c>
    </row>
    <row r="120" customFormat="false" ht="14.25" hidden="true" customHeight="true" outlineLevel="0" collapsed="false">
      <c r="A120" s="22" t="s">
        <v>851</v>
      </c>
      <c r="B120" s="22" t="s">
        <v>455</v>
      </c>
      <c r="C120" s="23" t="n">
        <v>45436</v>
      </c>
      <c r="D120" s="22"/>
      <c r="E120" s="22" t="n">
        <v>0</v>
      </c>
      <c r="F120" s="22"/>
      <c r="G120" s="22" t="s">
        <v>852</v>
      </c>
      <c r="H120" s="22" t="s">
        <v>853</v>
      </c>
      <c r="I120" s="22" t="s">
        <v>854</v>
      </c>
      <c r="J120" s="22" t="s">
        <v>459</v>
      </c>
      <c r="K120" s="22"/>
      <c r="L120" s="22"/>
    </row>
    <row r="121" customFormat="false" ht="14.25" hidden="true" customHeight="true" outlineLevel="0" collapsed="false">
      <c r="A121" s="22" t="s">
        <v>855</v>
      </c>
      <c r="B121" s="22" t="s">
        <v>455</v>
      </c>
      <c r="C121" s="23" t="n">
        <v>45436</v>
      </c>
      <c r="D121" s="22"/>
      <c r="E121" s="22" t="n">
        <v>0</v>
      </c>
      <c r="F121" s="22"/>
      <c r="G121" s="22" t="s">
        <v>856</v>
      </c>
      <c r="H121" s="22" t="s">
        <v>639</v>
      </c>
      <c r="I121" s="22" t="s">
        <v>857</v>
      </c>
      <c r="J121" s="22" t="s">
        <v>459</v>
      </c>
      <c r="K121" s="22"/>
      <c r="L121" s="22"/>
    </row>
    <row r="122" customFormat="false" ht="14.25" hidden="true" customHeight="true" outlineLevel="0" collapsed="false">
      <c r="A122" s="22" t="s">
        <v>858</v>
      </c>
      <c r="B122" s="22" t="s">
        <v>455</v>
      </c>
      <c r="C122" s="23" t="n">
        <v>45440</v>
      </c>
      <c r="D122" s="22"/>
      <c r="E122" s="22" t="n">
        <v>1</v>
      </c>
      <c r="F122" s="22" t="s">
        <v>859</v>
      </c>
      <c r="G122" s="22" t="s">
        <v>470</v>
      </c>
      <c r="H122" s="22" t="s">
        <v>477</v>
      </c>
      <c r="I122" s="22" t="s">
        <v>860</v>
      </c>
      <c r="J122" s="22" t="s">
        <v>459</v>
      </c>
      <c r="K122" s="22" t="s">
        <v>473</v>
      </c>
      <c r="L122" s="22" t="s">
        <v>474</v>
      </c>
    </row>
    <row r="123" customFormat="false" ht="14.25" hidden="true" customHeight="true" outlineLevel="0" collapsed="false">
      <c r="A123" s="22" t="s">
        <v>861</v>
      </c>
      <c r="B123" s="22" t="s">
        <v>455</v>
      </c>
      <c r="C123" s="23" t="n">
        <v>45441</v>
      </c>
      <c r="D123" s="22"/>
      <c r="E123" s="22" t="n">
        <v>0</v>
      </c>
      <c r="F123" s="22"/>
      <c r="G123" s="22" t="s">
        <v>470</v>
      </c>
      <c r="H123" s="22" t="s">
        <v>477</v>
      </c>
      <c r="I123" s="22" t="s">
        <v>862</v>
      </c>
      <c r="J123" s="22" t="s">
        <v>459</v>
      </c>
      <c r="K123" s="22"/>
      <c r="L123" s="22"/>
    </row>
    <row r="124" customFormat="false" ht="14.25" hidden="true" customHeight="true" outlineLevel="0" collapsed="false">
      <c r="A124" s="22" t="s">
        <v>863</v>
      </c>
      <c r="B124" s="22" t="s">
        <v>455</v>
      </c>
      <c r="C124" s="23" t="n">
        <v>45443</v>
      </c>
      <c r="D124" s="22"/>
      <c r="E124" s="22" t="n">
        <v>0</v>
      </c>
      <c r="F124" s="22"/>
      <c r="G124" s="22" t="s">
        <v>470</v>
      </c>
      <c r="H124" s="22" t="s">
        <v>471</v>
      </c>
      <c r="I124" s="22" t="s">
        <v>864</v>
      </c>
      <c r="J124" s="22" t="s">
        <v>459</v>
      </c>
      <c r="K124" s="22"/>
      <c r="L124" s="22"/>
    </row>
    <row r="125" customFormat="false" ht="14.25" hidden="true" customHeight="true" outlineLevel="0" collapsed="false">
      <c r="A125" s="22" t="s">
        <v>865</v>
      </c>
      <c r="B125" s="22" t="s">
        <v>455</v>
      </c>
      <c r="C125" s="23" t="n">
        <v>45446</v>
      </c>
      <c r="D125" s="22"/>
      <c r="E125" s="22" t="n">
        <v>1</v>
      </c>
      <c r="F125" s="22" t="s">
        <v>495</v>
      </c>
      <c r="G125" s="22" t="s">
        <v>470</v>
      </c>
      <c r="H125" s="22" t="s">
        <v>471</v>
      </c>
      <c r="I125" s="22" t="s">
        <v>866</v>
      </c>
      <c r="J125" s="22" t="s">
        <v>459</v>
      </c>
      <c r="K125" s="22" t="s">
        <v>473</v>
      </c>
      <c r="L125" s="22" t="s">
        <v>474</v>
      </c>
    </row>
    <row r="126" customFormat="false" ht="14.25" hidden="true" customHeight="true" outlineLevel="0" collapsed="false">
      <c r="A126" s="22" t="s">
        <v>867</v>
      </c>
      <c r="B126" s="22" t="s">
        <v>455</v>
      </c>
      <c r="C126" s="23" t="n">
        <v>45447</v>
      </c>
      <c r="D126" s="22"/>
      <c r="E126" s="22" t="n">
        <v>0</v>
      </c>
      <c r="F126" s="22"/>
      <c r="G126" s="22" t="s">
        <v>465</v>
      </c>
      <c r="H126" s="22" t="s">
        <v>466</v>
      </c>
      <c r="I126" s="22" t="s">
        <v>868</v>
      </c>
      <c r="J126" s="22" t="s">
        <v>459</v>
      </c>
      <c r="K126" s="22"/>
      <c r="L126" s="22"/>
    </row>
    <row r="127" customFormat="false" ht="14.25" hidden="true" customHeight="true" outlineLevel="0" collapsed="false">
      <c r="A127" s="22" t="s">
        <v>869</v>
      </c>
      <c r="B127" s="22" t="s">
        <v>483</v>
      </c>
      <c r="C127" s="23" t="n">
        <v>45447</v>
      </c>
      <c r="D127" s="22"/>
      <c r="E127" s="22" t="n">
        <v>0</v>
      </c>
      <c r="F127" s="22"/>
      <c r="G127" s="22" t="s">
        <v>870</v>
      </c>
      <c r="H127" s="22" t="s">
        <v>871</v>
      </c>
      <c r="I127" s="22" t="s">
        <v>872</v>
      </c>
      <c r="J127" s="22" t="s">
        <v>459</v>
      </c>
      <c r="K127" s="22"/>
      <c r="L127" s="22"/>
    </row>
    <row r="128" customFormat="false" ht="14.25" hidden="true" customHeight="true" outlineLevel="0" collapsed="false">
      <c r="A128" s="22" t="s">
        <v>873</v>
      </c>
      <c r="B128" s="22" t="s">
        <v>455</v>
      </c>
      <c r="C128" s="23" t="n">
        <v>45450</v>
      </c>
      <c r="D128" s="22"/>
      <c r="E128" s="22" t="n">
        <v>0</v>
      </c>
      <c r="F128" s="22"/>
      <c r="G128" s="22" t="s">
        <v>874</v>
      </c>
      <c r="H128" s="22" t="s">
        <v>875</v>
      </c>
      <c r="I128" s="22" t="s">
        <v>876</v>
      </c>
      <c r="J128" s="22" t="s">
        <v>459</v>
      </c>
      <c r="K128" s="22"/>
      <c r="L128" s="22"/>
    </row>
    <row r="129" customFormat="false" ht="14.25" hidden="true" customHeight="true" outlineLevel="0" collapsed="false">
      <c r="A129" s="22" t="s">
        <v>877</v>
      </c>
      <c r="B129" s="22" t="s">
        <v>455</v>
      </c>
      <c r="C129" s="23" t="n">
        <v>45453</v>
      </c>
      <c r="D129" s="22"/>
      <c r="E129" s="22" t="n">
        <v>1</v>
      </c>
      <c r="F129" s="22" t="s">
        <v>535</v>
      </c>
      <c r="G129" s="22" t="s">
        <v>465</v>
      </c>
      <c r="H129" s="22" t="s">
        <v>492</v>
      </c>
      <c r="I129" s="22" t="s">
        <v>878</v>
      </c>
      <c r="J129" s="22" t="s">
        <v>459</v>
      </c>
      <c r="K129" s="22" t="s">
        <v>473</v>
      </c>
      <c r="L129" s="22" t="s">
        <v>474</v>
      </c>
    </row>
    <row r="130" customFormat="false" ht="14.25" hidden="true" customHeight="true" outlineLevel="0" collapsed="false">
      <c r="A130" s="22" t="s">
        <v>879</v>
      </c>
      <c r="B130" s="22" t="s">
        <v>455</v>
      </c>
      <c r="C130" s="23" t="n">
        <v>45453</v>
      </c>
      <c r="D130" s="22"/>
      <c r="E130" s="22" t="n">
        <v>1</v>
      </c>
      <c r="F130" s="22" t="s">
        <v>880</v>
      </c>
      <c r="G130" s="22" t="s">
        <v>470</v>
      </c>
      <c r="H130" s="22" t="s">
        <v>471</v>
      </c>
      <c r="I130" s="22" t="s">
        <v>881</v>
      </c>
      <c r="J130" s="22" t="s">
        <v>459</v>
      </c>
      <c r="K130" s="22" t="s">
        <v>473</v>
      </c>
      <c r="L130" s="22" t="s">
        <v>474</v>
      </c>
    </row>
    <row r="131" customFormat="false" ht="14.25" hidden="true" customHeight="true" outlineLevel="0" collapsed="false">
      <c r="A131" s="22" t="s">
        <v>882</v>
      </c>
      <c r="B131" s="22" t="s">
        <v>455</v>
      </c>
      <c r="C131" s="23" t="n">
        <v>45453</v>
      </c>
      <c r="D131" s="22"/>
      <c r="E131" s="22" t="n">
        <v>0</v>
      </c>
      <c r="F131" s="22"/>
      <c r="G131" s="22" t="s">
        <v>465</v>
      </c>
      <c r="H131" s="22" t="s">
        <v>466</v>
      </c>
      <c r="I131" s="22" t="s">
        <v>883</v>
      </c>
      <c r="J131" s="22" t="s">
        <v>459</v>
      </c>
      <c r="K131" s="22"/>
      <c r="L131" s="22"/>
    </row>
    <row r="132" customFormat="false" ht="14.25" hidden="true" customHeight="true" outlineLevel="0" collapsed="false">
      <c r="A132" s="22" t="s">
        <v>884</v>
      </c>
      <c r="B132" s="22" t="s">
        <v>455</v>
      </c>
      <c r="C132" s="23" t="n">
        <v>45454</v>
      </c>
      <c r="D132" s="22"/>
      <c r="E132" s="22" t="n">
        <v>0</v>
      </c>
      <c r="F132" s="22"/>
      <c r="G132" s="22" t="s">
        <v>470</v>
      </c>
      <c r="H132" s="22" t="s">
        <v>471</v>
      </c>
      <c r="I132" s="22" t="s">
        <v>885</v>
      </c>
      <c r="J132" s="22" t="s">
        <v>459</v>
      </c>
      <c r="K132" s="22"/>
      <c r="L132" s="22"/>
    </row>
    <row r="133" customFormat="false" ht="14.25" hidden="true" customHeight="true" outlineLevel="0" collapsed="false">
      <c r="A133" s="22" t="s">
        <v>886</v>
      </c>
      <c r="B133" s="22" t="s">
        <v>455</v>
      </c>
      <c r="C133" s="23" t="n">
        <v>45456</v>
      </c>
      <c r="D133" s="22"/>
      <c r="E133" s="22" t="n">
        <v>0</v>
      </c>
      <c r="F133" s="22"/>
      <c r="G133" s="22" t="s">
        <v>887</v>
      </c>
      <c r="H133" s="22" t="s">
        <v>888</v>
      </c>
      <c r="I133" s="22" t="s">
        <v>889</v>
      </c>
      <c r="J133" s="22" t="s">
        <v>459</v>
      </c>
      <c r="K133" s="22"/>
      <c r="L133" s="22"/>
    </row>
    <row r="134" customFormat="false" ht="14.25" hidden="true" customHeight="true" outlineLevel="0" collapsed="false">
      <c r="A134" s="22" t="s">
        <v>890</v>
      </c>
      <c r="B134" s="22" t="s">
        <v>455</v>
      </c>
      <c r="C134" s="23" t="n">
        <v>45456</v>
      </c>
      <c r="D134" s="22"/>
      <c r="E134" s="22" t="n">
        <v>0</v>
      </c>
      <c r="F134" s="22"/>
      <c r="G134" s="22" t="s">
        <v>891</v>
      </c>
      <c r="H134" s="22" t="s">
        <v>892</v>
      </c>
      <c r="I134" s="22" t="s">
        <v>893</v>
      </c>
      <c r="J134" s="22" t="s">
        <v>459</v>
      </c>
      <c r="K134" s="22"/>
      <c r="L134" s="22"/>
    </row>
    <row r="135" customFormat="false" ht="14.25" hidden="true" customHeight="true" outlineLevel="0" collapsed="false">
      <c r="A135" s="22" t="s">
        <v>894</v>
      </c>
      <c r="B135" s="22" t="s">
        <v>455</v>
      </c>
      <c r="C135" s="23" t="n">
        <v>45456</v>
      </c>
      <c r="D135" s="22"/>
      <c r="E135" s="22" t="n">
        <v>0</v>
      </c>
      <c r="F135" s="22"/>
      <c r="G135" s="22" t="s">
        <v>465</v>
      </c>
      <c r="H135" s="22" t="s">
        <v>492</v>
      </c>
      <c r="I135" s="22" t="s">
        <v>895</v>
      </c>
      <c r="J135" s="22" t="s">
        <v>459</v>
      </c>
      <c r="K135" s="22"/>
      <c r="L135" s="22"/>
    </row>
    <row r="136" customFormat="false" ht="14.25" hidden="true" customHeight="true" outlineLevel="0" collapsed="false">
      <c r="A136" s="22" t="s">
        <v>896</v>
      </c>
      <c r="B136" s="22" t="s">
        <v>455</v>
      </c>
      <c r="C136" s="23" t="n">
        <v>45456</v>
      </c>
      <c r="D136" s="22"/>
      <c r="E136" s="22" t="n">
        <v>0</v>
      </c>
      <c r="F136" s="22"/>
      <c r="G136" s="22" t="s">
        <v>465</v>
      </c>
      <c r="H136" s="22" t="s">
        <v>525</v>
      </c>
      <c r="I136" s="22" t="s">
        <v>897</v>
      </c>
      <c r="J136" s="22" t="s">
        <v>459</v>
      </c>
      <c r="K136" s="22"/>
      <c r="L136" s="22"/>
    </row>
    <row r="137" customFormat="false" ht="14.25" hidden="true" customHeight="true" outlineLevel="0" collapsed="false">
      <c r="A137" s="22" t="s">
        <v>898</v>
      </c>
      <c r="B137" s="22" t="s">
        <v>455</v>
      </c>
      <c r="C137" s="23" t="n">
        <v>45457</v>
      </c>
      <c r="D137" s="22"/>
      <c r="E137" s="22" t="n">
        <v>0</v>
      </c>
      <c r="F137" s="22"/>
      <c r="G137" s="22" t="s">
        <v>470</v>
      </c>
      <c r="H137" s="22" t="s">
        <v>477</v>
      </c>
      <c r="I137" s="22" t="s">
        <v>899</v>
      </c>
      <c r="J137" s="22" t="s">
        <v>459</v>
      </c>
      <c r="K137" s="22"/>
      <c r="L137" s="22"/>
    </row>
    <row r="138" customFormat="false" ht="14.25" hidden="true" customHeight="true" outlineLevel="0" collapsed="false">
      <c r="A138" s="22" t="s">
        <v>900</v>
      </c>
      <c r="B138" s="22" t="s">
        <v>455</v>
      </c>
      <c r="C138" s="23" t="n">
        <v>45457</v>
      </c>
      <c r="D138" s="22"/>
      <c r="E138" s="22" t="n">
        <v>0</v>
      </c>
      <c r="F138" s="22"/>
      <c r="G138" s="22" t="s">
        <v>465</v>
      </c>
      <c r="H138" s="22" t="s">
        <v>492</v>
      </c>
      <c r="I138" s="22" t="s">
        <v>901</v>
      </c>
      <c r="J138" s="22" t="s">
        <v>459</v>
      </c>
      <c r="K138" s="22"/>
      <c r="L138" s="22"/>
    </row>
    <row r="139" customFormat="false" ht="14.25" hidden="true" customHeight="true" outlineLevel="0" collapsed="false">
      <c r="A139" s="22" t="s">
        <v>902</v>
      </c>
      <c r="B139" s="22" t="s">
        <v>455</v>
      </c>
      <c r="C139" s="23" t="n">
        <v>45457</v>
      </c>
      <c r="D139" s="22"/>
      <c r="E139" s="22" t="n">
        <v>0</v>
      </c>
      <c r="F139" s="22"/>
      <c r="G139" s="22" t="s">
        <v>465</v>
      </c>
      <c r="H139" s="22" t="s">
        <v>466</v>
      </c>
      <c r="I139" s="22" t="s">
        <v>903</v>
      </c>
      <c r="J139" s="22" t="s">
        <v>459</v>
      </c>
      <c r="K139" s="22"/>
      <c r="L139" s="22"/>
    </row>
    <row r="140" customFormat="false" ht="14.25" hidden="true" customHeight="true" outlineLevel="0" collapsed="false">
      <c r="A140" s="22" t="s">
        <v>904</v>
      </c>
      <c r="B140" s="22" t="s">
        <v>455</v>
      </c>
      <c r="C140" s="23" t="n">
        <v>45457</v>
      </c>
      <c r="D140" s="22"/>
      <c r="E140" s="22" t="n">
        <v>0</v>
      </c>
      <c r="F140" s="22"/>
      <c r="G140" s="22" t="s">
        <v>470</v>
      </c>
      <c r="H140" s="22" t="s">
        <v>471</v>
      </c>
      <c r="I140" s="22" t="s">
        <v>905</v>
      </c>
      <c r="J140" s="22" t="s">
        <v>459</v>
      </c>
      <c r="K140" s="22"/>
      <c r="L140" s="22"/>
    </row>
    <row r="141" customFormat="false" ht="14.25" hidden="false" customHeight="true" outlineLevel="0" collapsed="false">
      <c r="A141" s="15" t="s">
        <v>906</v>
      </c>
      <c r="B141" s="15" t="s">
        <v>504</v>
      </c>
      <c r="C141" s="24" t="n">
        <v>45418</v>
      </c>
      <c r="D141" s="24" t="n">
        <v>45478</v>
      </c>
      <c r="E141" s="15" t="n">
        <v>1</v>
      </c>
      <c r="F141" s="15" t="s">
        <v>907</v>
      </c>
      <c r="G141" s="15" t="s">
        <v>908</v>
      </c>
      <c r="H141" s="15" t="s">
        <v>909</v>
      </c>
      <c r="I141" s="15" t="s">
        <v>910</v>
      </c>
      <c r="J141" s="15" t="s">
        <v>459</v>
      </c>
      <c r="K141" s="15" t="s">
        <v>809</v>
      </c>
      <c r="L141" s="15" t="s">
        <v>911</v>
      </c>
    </row>
    <row r="142" customFormat="false" ht="14.25" hidden="true" customHeight="true" outlineLevel="0" collapsed="false">
      <c r="A142" s="22" t="s">
        <v>912</v>
      </c>
      <c r="B142" s="22" t="s">
        <v>455</v>
      </c>
      <c r="C142" s="23" t="n">
        <v>45467</v>
      </c>
      <c r="D142" s="22"/>
      <c r="E142" s="22" t="n">
        <v>0</v>
      </c>
      <c r="F142" s="22"/>
      <c r="G142" s="22" t="s">
        <v>913</v>
      </c>
      <c r="H142" s="22" t="s">
        <v>914</v>
      </c>
      <c r="I142" s="22" t="s">
        <v>915</v>
      </c>
      <c r="J142" s="22" t="s">
        <v>459</v>
      </c>
      <c r="K142" s="22"/>
      <c r="L142" s="22"/>
    </row>
    <row r="143" customFormat="false" ht="14.25" hidden="true" customHeight="true" outlineLevel="0" collapsed="false">
      <c r="A143" s="22" t="s">
        <v>916</v>
      </c>
      <c r="B143" s="22" t="s">
        <v>504</v>
      </c>
      <c r="C143" s="23" t="n">
        <v>45467</v>
      </c>
      <c r="D143" s="23" t="n">
        <v>45482</v>
      </c>
      <c r="E143" s="22" t="n">
        <v>0</v>
      </c>
      <c r="F143" s="22"/>
      <c r="G143" s="22" t="s">
        <v>917</v>
      </c>
      <c r="H143" s="22" t="s">
        <v>918</v>
      </c>
      <c r="I143" s="22" t="s">
        <v>919</v>
      </c>
      <c r="J143" s="22" t="s">
        <v>459</v>
      </c>
      <c r="K143" s="22"/>
      <c r="L143" s="22"/>
    </row>
    <row r="144" customFormat="false" ht="14.25" hidden="true" customHeight="true" outlineLevel="0" collapsed="false">
      <c r="A144" s="22" t="s">
        <v>920</v>
      </c>
      <c r="B144" s="22" t="s">
        <v>504</v>
      </c>
      <c r="C144" s="23" t="n">
        <v>45467</v>
      </c>
      <c r="D144" s="23" t="n">
        <v>45464</v>
      </c>
      <c r="E144" s="22" t="n">
        <v>0</v>
      </c>
      <c r="F144" s="22"/>
      <c r="G144" s="22" t="s">
        <v>921</v>
      </c>
      <c r="H144" s="22" t="s">
        <v>922</v>
      </c>
      <c r="I144" s="22" t="s">
        <v>923</v>
      </c>
      <c r="J144" s="22" t="s">
        <v>459</v>
      </c>
      <c r="K144" s="22"/>
      <c r="L144" s="22"/>
    </row>
    <row r="145" customFormat="false" ht="14.25" hidden="true" customHeight="true" outlineLevel="0" collapsed="false">
      <c r="A145" s="22" t="s">
        <v>924</v>
      </c>
      <c r="B145" s="22" t="s">
        <v>455</v>
      </c>
      <c r="C145" s="23" t="n">
        <v>45468</v>
      </c>
      <c r="D145" s="22"/>
      <c r="E145" s="22" t="n">
        <v>1</v>
      </c>
      <c r="F145" s="22" t="s">
        <v>925</v>
      </c>
      <c r="G145" s="22" t="s">
        <v>470</v>
      </c>
      <c r="H145" s="22" t="s">
        <v>477</v>
      </c>
      <c r="I145" s="22" t="s">
        <v>926</v>
      </c>
      <c r="J145" s="22" t="s">
        <v>459</v>
      </c>
      <c r="K145" s="22" t="s">
        <v>473</v>
      </c>
      <c r="L145" s="22" t="s">
        <v>474</v>
      </c>
    </row>
    <row r="146" customFormat="false" ht="14.25" hidden="true" customHeight="true" outlineLevel="0" collapsed="false">
      <c r="A146" s="22" t="s">
        <v>927</v>
      </c>
      <c r="B146" s="22" t="s">
        <v>455</v>
      </c>
      <c r="C146" s="23" t="n">
        <v>45468</v>
      </c>
      <c r="D146" s="22"/>
      <c r="E146" s="22" t="n">
        <v>0</v>
      </c>
      <c r="F146" s="22"/>
      <c r="G146" s="22" t="s">
        <v>465</v>
      </c>
      <c r="H146" s="22" t="s">
        <v>492</v>
      </c>
      <c r="I146" s="22" t="s">
        <v>928</v>
      </c>
      <c r="J146" s="22" t="s">
        <v>459</v>
      </c>
      <c r="K146" s="22"/>
      <c r="L146" s="22"/>
    </row>
    <row r="147" customFormat="false" ht="14.25" hidden="true" customHeight="true" outlineLevel="0" collapsed="false">
      <c r="A147" s="22" t="s">
        <v>929</v>
      </c>
      <c r="B147" s="22" t="s">
        <v>504</v>
      </c>
      <c r="C147" s="23" t="n">
        <v>45470</v>
      </c>
      <c r="D147" s="23" t="n">
        <v>45482</v>
      </c>
      <c r="E147" s="22" t="n">
        <v>0</v>
      </c>
      <c r="F147" s="22"/>
      <c r="G147" s="22" t="s">
        <v>930</v>
      </c>
      <c r="H147" s="22" t="s">
        <v>931</v>
      </c>
      <c r="I147" s="22" t="s">
        <v>932</v>
      </c>
      <c r="J147" s="22" t="s">
        <v>459</v>
      </c>
      <c r="K147" s="22"/>
      <c r="L147" s="22"/>
    </row>
    <row r="148" customFormat="false" ht="14.25" hidden="true" customHeight="true" outlineLevel="0" collapsed="false">
      <c r="A148" s="22" t="s">
        <v>933</v>
      </c>
      <c r="B148" s="22" t="s">
        <v>455</v>
      </c>
      <c r="C148" s="23" t="n">
        <v>45470</v>
      </c>
      <c r="D148" s="22"/>
      <c r="E148" s="22" t="n">
        <v>0</v>
      </c>
      <c r="F148" s="22"/>
      <c r="G148" s="22" t="s">
        <v>465</v>
      </c>
      <c r="H148" s="22" t="s">
        <v>466</v>
      </c>
      <c r="I148" s="22" t="s">
        <v>934</v>
      </c>
      <c r="J148" s="22" t="s">
        <v>459</v>
      </c>
      <c r="K148" s="22"/>
      <c r="L148" s="22"/>
    </row>
    <row r="149" customFormat="false" ht="14.25" hidden="true" customHeight="true" outlineLevel="0" collapsed="false">
      <c r="A149" s="22" t="s">
        <v>935</v>
      </c>
      <c r="B149" s="22" t="s">
        <v>455</v>
      </c>
      <c r="C149" s="23" t="n">
        <v>45470</v>
      </c>
      <c r="D149" s="22"/>
      <c r="E149" s="22" t="n">
        <v>0</v>
      </c>
      <c r="F149" s="22"/>
      <c r="G149" s="22" t="s">
        <v>936</v>
      </c>
      <c r="H149" s="22" t="s">
        <v>937</v>
      </c>
      <c r="I149" s="22" t="s">
        <v>938</v>
      </c>
      <c r="J149" s="22" t="s">
        <v>459</v>
      </c>
      <c r="K149" s="22"/>
      <c r="L149" s="22"/>
    </row>
    <row r="150" customFormat="false" ht="14.25" hidden="true" customHeight="true" outlineLevel="0" collapsed="false">
      <c r="A150" s="22" t="s">
        <v>939</v>
      </c>
      <c r="B150" s="22" t="s">
        <v>455</v>
      </c>
      <c r="C150" s="23" t="n">
        <v>45471</v>
      </c>
      <c r="D150" s="22"/>
      <c r="E150" s="22" t="n">
        <v>0</v>
      </c>
      <c r="F150" s="22"/>
      <c r="G150" s="22" t="s">
        <v>465</v>
      </c>
      <c r="H150" s="22" t="s">
        <v>492</v>
      </c>
      <c r="I150" s="22" t="s">
        <v>940</v>
      </c>
      <c r="J150" s="22" t="s">
        <v>459</v>
      </c>
      <c r="K150" s="22"/>
      <c r="L150" s="22"/>
    </row>
    <row r="151" customFormat="false" ht="14.25" hidden="false" customHeight="true" outlineLevel="0" collapsed="false">
      <c r="A151" s="15" t="s">
        <v>941</v>
      </c>
      <c r="B151" s="15" t="s">
        <v>504</v>
      </c>
      <c r="C151" s="24" t="n">
        <v>45422</v>
      </c>
      <c r="D151" s="24" t="n">
        <v>45482</v>
      </c>
      <c r="E151" s="15" t="n">
        <v>1</v>
      </c>
      <c r="F151" s="15" t="s">
        <v>942</v>
      </c>
      <c r="G151" s="15" t="s">
        <v>943</v>
      </c>
      <c r="H151" s="15" t="s">
        <v>944</v>
      </c>
      <c r="I151" s="15" t="s">
        <v>945</v>
      </c>
      <c r="J151" s="15" t="s">
        <v>459</v>
      </c>
      <c r="K151" s="15" t="s">
        <v>809</v>
      </c>
      <c r="L151" s="15" t="s">
        <v>946</v>
      </c>
    </row>
    <row r="152" customFormat="false" ht="14.25" hidden="true" customHeight="true" outlineLevel="0" collapsed="false">
      <c r="A152" s="22" t="s">
        <v>947</v>
      </c>
      <c r="B152" s="22" t="s">
        <v>455</v>
      </c>
      <c r="C152" s="23" t="n">
        <v>45475</v>
      </c>
      <c r="D152" s="22"/>
      <c r="E152" s="22" t="n">
        <v>0</v>
      </c>
      <c r="F152" s="22"/>
      <c r="G152" s="22" t="s">
        <v>465</v>
      </c>
      <c r="H152" s="22" t="s">
        <v>492</v>
      </c>
      <c r="I152" s="22" t="s">
        <v>948</v>
      </c>
      <c r="J152" s="22" t="s">
        <v>459</v>
      </c>
      <c r="K152" s="22"/>
      <c r="L152" s="22"/>
    </row>
    <row r="153" customFormat="false" ht="14.25" hidden="true" customHeight="true" outlineLevel="0" collapsed="false">
      <c r="A153" s="22" t="s">
        <v>949</v>
      </c>
      <c r="B153" s="22" t="s">
        <v>455</v>
      </c>
      <c r="C153" s="23" t="n">
        <v>45475</v>
      </c>
      <c r="D153" s="22"/>
      <c r="E153" s="22" t="n">
        <v>1</v>
      </c>
      <c r="F153" s="22" t="s">
        <v>950</v>
      </c>
      <c r="G153" s="22" t="s">
        <v>465</v>
      </c>
      <c r="H153" s="22" t="s">
        <v>492</v>
      </c>
      <c r="I153" s="22" t="s">
        <v>951</v>
      </c>
      <c r="J153" s="22" t="s">
        <v>459</v>
      </c>
      <c r="K153" s="22" t="s">
        <v>473</v>
      </c>
      <c r="L153" s="22" t="s">
        <v>474</v>
      </c>
    </row>
    <row r="154" customFormat="false" ht="14.25" hidden="true" customHeight="true" outlineLevel="0" collapsed="false">
      <c r="A154" s="22" t="s">
        <v>952</v>
      </c>
      <c r="B154" s="22" t="s">
        <v>483</v>
      </c>
      <c r="C154" s="23" t="n">
        <v>45476</v>
      </c>
      <c r="D154" s="22"/>
      <c r="E154" s="22" t="n">
        <v>1</v>
      </c>
      <c r="F154" s="22" t="s">
        <v>953</v>
      </c>
      <c r="G154" s="22" t="s">
        <v>954</v>
      </c>
      <c r="H154" s="22" t="s">
        <v>955</v>
      </c>
      <c r="I154" s="22" t="s">
        <v>956</v>
      </c>
      <c r="J154" s="22" t="s">
        <v>459</v>
      </c>
      <c r="K154" s="22" t="s">
        <v>473</v>
      </c>
      <c r="L154" s="22" t="s">
        <v>554</v>
      </c>
    </row>
    <row r="155" customFormat="false" ht="14.25" hidden="false" customHeight="true" outlineLevel="0" collapsed="false">
      <c r="A155" s="15" t="s">
        <v>957</v>
      </c>
      <c r="B155" s="15" t="s">
        <v>504</v>
      </c>
      <c r="C155" s="24" t="n">
        <v>45422</v>
      </c>
      <c r="D155" s="24" t="n">
        <v>45482</v>
      </c>
      <c r="E155" s="15" t="n">
        <v>1</v>
      </c>
      <c r="F155" s="15" t="s">
        <v>958</v>
      </c>
      <c r="G155" s="15" t="s">
        <v>959</v>
      </c>
      <c r="H155" s="15" t="s">
        <v>960</v>
      </c>
      <c r="I155" s="15" t="s">
        <v>961</v>
      </c>
      <c r="J155" s="15" t="s">
        <v>459</v>
      </c>
      <c r="K155" s="15" t="s">
        <v>809</v>
      </c>
      <c r="L155" s="15" t="s">
        <v>962</v>
      </c>
    </row>
    <row r="156" customFormat="false" ht="14.25" hidden="true" customHeight="true" outlineLevel="0" collapsed="false">
      <c r="A156" s="22" t="s">
        <v>963</v>
      </c>
      <c r="B156" s="22" t="s">
        <v>455</v>
      </c>
      <c r="C156" s="23" t="n">
        <v>45476</v>
      </c>
      <c r="D156" s="22"/>
      <c r="E156" s="22" t="n">
        <v>0</v>
      </c>
      <c r="F156" s="22"/>
      <c r="G156" s="22" t="s">
        <v>470</v>
      </c>
      <c r="H156" s="22" t="s">
        <v>471</v>
      </c>
      <c r="I156" s="22" t="s">
        <v>964</v>
      </c>
      <c r="J156" s="22" t="s">
        <v>459</v>
      </c>
      <c r="K156" s="22"/>
      <c r="L156" s="22"/>
    </row>
    <row r="157" customFormat="false" ht="14.25" hidden="true" customHeight="true" outlineLevel="0" collapsed="false">
      <c r="A157" s="22" t="s">
        <v>965</v>
      </c>
      <c r="B157" s="22" t="s">
        <v>483</v>
      </c>
      <c r="C157" s="23" t="n">
        <v>45478</v>
      </c>
      <c r="D157" s="22"/>
      <c r="E157" s="22" t="n">
        <v>1</v>
      </c>
      <c r="F157" s="22" t="s">
        <v>966</v>
      </c>
      <c r="G157" s="22" t="s">
        <v>967</v>
      </c>
      <c r="H157" s="22" t="s">
        <v>968</v>
      </c>
      <c r="I157" s="22" t="s">
        <v>969</v>
      </c>
      <c r="J157" s="22" t="s">
        <v>459</v>
      </c>
      <c r="K157" s="22" t="s">
        <v>473</v>
      </c>
      <c r="L157" s="22" t="s">
        <v>554</v>
      </c>
    </row>
    <row r="158" customFormat="false" ht="14.25" hidden="true" customHeight="true" outlineLevel="0" collapsed="false">
      <c r="A158" s="22" t="s">
        <v>970</v>
      </c>
      <c r="B158" s="22" t="s">
        <v>455</v>
      </c>
      <c r="C158" s="23" t="n">
        <v>45481</v>
      </c>
      <c r="D158" s="22"/>
      <c r="E158" s="22" t="n">
        <v>0</v>
      </c>
      <c r="F158" s="22"/>
      <c r="G158" s="22" t="s">
        <v>971</v>
      </c>
      <c r="H158" s="22" t="s">
        <v>972</v>
      </c>
      <c r="I158" s="22" t="s">
        <v>973</v>
      </c>
      <c r="J158" s="22" t="s">
        <v>459</v>
      </c>
      <c r="K158" s="22"/>
      <c r="L158" s="22"/>
    </row>
    <row r="159" customFormat="false" ht="14.25" hidden="true" customHeight="true" outlineLevel="0" collapsed="false">
      <c r="A159" s="22" t="s">
        <v>974</v>
      </c>
      <c r="B159" s="22" t="s">
        <v>455</v>
      </c>
      <c r="C159" s="23" t="n">
        <v>45481</v>
      </c>
      <c r="D159" s="22"/>
      <c r="E159" s="22" t="n">
        <v>1</v>
      </c>
      <c r="F159" s="22" t="s">
        <v>975</v>
      </c>
      <c r="G159" s="22" t="s">
        <v>465</v>
      </c>
      <c r="H159" s="22" t="s">
        <v>492</v>
      </c>
      <c r="I159" s="22" t="s">
        <v>976</v>
      </c>
      <c r="J159" s="22" t="s">
        <v>459</v>
      </c>
      <c r="K159" s="22" t="s">
        <v>473</v>
      </c>
      <c r="L159" s="22" t="s">
        <v>474</v>
      </c>
    </row>
    <row r="160" customFormat="false" ht="14.25" hidden="true" customHeight="true" outlineLevel="0" collapsed="false">
      <c r="A160" s="22" t="s">
        <v>977</v>
      </c>
      <c r="B160" s="22" t="s">
        <v>455</v>
      </c>
      <c r="C160" s="23" t="n">
        <v>45482</v>
      </c>
      <c r="D160" s="22"/>
      <c r="E160" s="22" t="n">
        <v>0</v>
      </c>
      <c r="F160" s="22"/>
      <c r="G160" s="22" t="s">
        <v>465</v>
      </c>
      <c r="H160" s="22" t="s">
        <v>466</v>
      </c>
      <c r="I160" s="22" t="s">
        <v>978</v>
      </c>
      <c r="J160" s="22" t="s">
        <v>459</v>
      </c>
      <c r="K160" s="22"/>
      <c r="L160" s="22"/>
    </row>
    <row r="161" customFormat="false" ht="14.25" hidden="true" customHeight="true" outlineLevel="0" collapsed="false">
      <c r="A161" s="22" t="s">
        <v>979</v>
      </c>
      <c r="B161" s="22" t="s">
        <v>455</v>
      </c>
      <c r="C161" s="23" t="n">
        <v>45482</v>
      </c>
      <c r="D161" s="22"/>
      <c r="E161" s="22" t="n">
        <v>0</v>
      </c>
      <c r="F161" s="22"/>
      <c r="G161" s="22" t="s">
        <v>470</v>
      </c>
      <c r="H161" s="22" t="s">
        <v>471</v>
      </c>
      <c r="I161" s="22" t="s">
        <v>980</v>
      </c>
      <c r="J161" s="22" t="s">
        <v>459</v>
      </c>
      <c r="K161" s="22"/>
      <c r="L161" s="22"/>
    </row>
    <row r="162" customFormat="false" ht="14.25" hidden="true" customHeight="true" outlineLevel="0" collapsed="false">
      <c r="A162" s="22" t="s">
        <v>981</v>
      </c>
      <c r="B162" s="22" t="s">
        <v>455</v>
      </c>
      <c r="C162" s="23" t="n">
        <v>45483</v>
      </c>
      <c r="D162" s="22"/>
      <c r="E162" s="22" t="n">
        <v>0</v>
      </c>
      <c r="F162" s="22"/>
      <c r="G162" s="22" t="s">
        <v>982</v>
      </c>
      <c r="H162" s="22" t="s">
        <v>983</v>
      </c>
      <c r="I162" s="22" t="s">
        <v>984</v>
      </c>
      <c r="J162" s="22" t="s">
        <v>459</v>
      </c>
      <c r="K162" s="22"/>
      <c r="L162" s="22"/>
    </row>
    <row r="163" customFormat="false" ht="14.25" hidden="true" customHeight="true" outlineLevel="0" collapsed="false">
      <c r="A163" s="22" t="s">
        <v>985</v>
      </c>
      <c r="B163" s="22" t="s">
        <v>455</v>
      </c>
      <c r="C163" s="23" t="n">
        <v>45483</v>
      </c>
      <c r="D163" s="22"/>
      <c r="E163" s="22" t="n">
        <v>0</v>
      </c>
      <c r="F163" s="22"/>
      <c r="G163" s="22" t="s">
        <v>470</v>
      </c>
      <c r="H163" s="22" t="s">
        <v>477</v>
      </c>
      <c r="I163" s="22" t="s">
        <v>986</v>
      </c>
      <c r="J163" s="22" t="s">
        <v>459</v>
      </c>
      <c r="K163" s="22"/>
      <c r="L163" s="22"/>
    </row>
    <row r="164" customFormat="false" ht="14.25" hidden="true" customHeight="true" outlineLevel="0" collapsed="false">
      <c r="A164" s="22" t="s">
        <v>987</v>
      </c>
      <c r="B164" s="22" t="s">
        <v>455</v>
      </c>
      <c r="C164" s="23" t="n">
        <v>45483</v>
      </c>
      <c r="D164" s="22"/>
      <c r="E164" s="22" t="n">
        <v>1</v>
      </c>
      <c r="F164" s="22" t="s">
        <v>988</v>
      </c>
      <c r="G164" s="22" t="s">
        <v>465</v>
      </c>
      <c r="H164" s="22" t="s">
        <v>466</v>
      </c>
      <c r="I164" s="22" t="s">
        <v>989</v>
      </c>
      <c r="J164" s="22" t="s">
        <v>459</v>
      </c>
      <c r="K164" s="22" t="s">
        <v>473</v>
      </c>
      <c r="L164" s="22" t="s">
        <v>474</v>
      </c>
    </row>
    <row r="165" customFormat="false" ht="14.25" hidden="true" customHeight="true" outlineLevel="0" collapsed="false">
      <c r="A165" s="22" t="s">
        <v>990</v>
      </c>
      <c r="B165" s="22" t="s">
        <v>455</v>
      </c>
      <c r="C165" s="23" t="n">
        <v>45484</v>
      </c>
      <c r="D165" s="22"/>
      <c r="E165" s="22" t="n">
        <v>0</v>
      </c>
      <c r="F165" s="22"/>
      <c r="G165" s="22" t="s">
        <v>991</v>
      </c>
      <c r="H165" s="22" t="s">
        <v>992</v>
      </c>
      <c r="I165" s="22" t="s">
        <v>993</v>
      </c>
      <c r="J165" s="22" t="s">
        <v>459</v>
      </c>
      <c r="K165" s="22"/>
      <c r="L165" s="22"/>
    </row>
    <row r="166" customFormat="false" ht="14.25" hidden="true" customHeight="true" outlineLevel="0" collapsed="false">
      <c r="A166" s="22" t="s">
        <v>994</v>
      </c>
      <c r="B166" s="22" t="s">
        <v>455</v>
      </c>
      <c r="C166" s="23" t="n">
        <v>45488</v>
      </c>
      <c r="D166" s="22"/>
      <c r="E166" s="22" t="n">
        <v>0</v>
      </c>
      <c r="F166" s="22"/>
      <c r="G166" s="22" t="s">
        <v>995</v>
      </c>
      <c r="H166" s="22" t="s">
        <v>996</v>
      </c>
      <c r="I166" s="22" t="s">
        <v>997</v>
      </c>
      <c r="J166" s="22" t="s">
        <v>459</v>
      </c>
      <c r="K166" s="22"/>
      <c r="L166" s="22"/>
    </row>
    <row r="167" customFormat="false" ht="14.25" hidden="true" customHeight="true" outlineLevel="0" collapsed="false">
      <c r="A167" s="22" t="s">
        <v>998</v>
      </c>
      <c r="B167" s="22" t="s">
        <v>455</v>
      </c>
      <c r="C167" s="23" t="n">
        <v>45488</v>
      </c>
      <c r="D167" s="22"/>
      <c r="E167" s="22" t="n">
        <v>0</v>
      </c>
      <c r="F167" s="22"/>
      <c r="G167" s="22" t="s">
        <v>470</v>
      </c>
      <c r="H167" s="22" t="s">
        <v>477</v>
      </c>
      <c r="I167" s="22" t="s">
        <v>999</v>
      </c>
      <c r="J167" s="22" t="s">
        <v>459</v>
      </c>
      <c r="K167" s="22"/>
      <c r="L167" s="22"/>
    </row>
    <row r="168" customFormat="false" ht="14.25" hidden="true" customHeight="true" outlineLevel="0" collapsed="false">
      <c r="A168" s="22" t="s">
        <v>1000</v>
      </c>
      <c r="B168" s="22" t="s">
        <v>455</v>
      </c>
      <c r="C168" s="23" t="n">
        <v>45489</v>
      </c>
      <c r="D168" s="22"/>
      <c r="E168" s="22" t="n">
        <v>0</v>
      </c>
      <c r="F168" s="22"/>
      <c r="G168" s="22" t="s">
        <v>1001</v>
      </c>
      <c r="H168" s="22" t="s">
        <v>1002</v>
      </c>
      <c r="I168" s="22" t="s">
        <v>1003</v>
      </c>
      <c r="J168" s="22" t="s">
        <v>459</v>
      </c>
      <c r="K168" s="22"/>
      <c r="L168" s="22"/>
    </row>
    <row r="169" customFormat="false" ht="14.25" hidden="true" customHeight="true" outlineLevel="0" collapsed="false">
      <c r="A169" s="22" t="s">
        <v>1004</v>
      </c>
      <c r="B169" s="22" t="s">
        <v>455</v>
      </c>
      <c r="C169" s="23" t="n">
        <v>45489</v>
      </c>
      <c r="D169" s="22"/>
      <c r="E169" s="22" t="n">
        <v>1</v>
      </c>
      <c r="F169" s="22" t="s">
        <v>498</v>
      </c>
      <c r="G169" s="22" t="s">
        <v>470</v>
      </c>
      <c r="H169" s="22" t="s">
        <v>471</v>
      </c>
      <c r="I169" s="22" t="s">
        <v>1005</v>
      </c>
      <c r="J169" s="22" t="s">
        <v>459</v>
      </c>
      <c r="K169" s="22" t="s">
        <v>473</v>
      </c>
      <c r="L169" s="22" t="s">
        <v>474</v>
      </c>
    </row>
    <row r="170" customFormat="false" ht="14.25" hidden="true" customHeight="true" outlineLevel="0" collapsed="false">
      <c r="A170" s="22" t="s">
        <v>1006</v>
      </c>
      <c r="B170" s="22" t="s">
        <v>504</v>
      </c>
      <c r="C170" s="23" t="n">
        <v>45490</v>
      </c>
      <c r="D170" s="22"/>
      <c r="E170" s="22" t="n">
        <v>0</v>
      </c>
      <c r="F170" s="22"/>
      <c r="G170" s="22" t="s">
        <v>1007</v>
      </c>
      <c r="H170" s="22" t="s">
        <v>1008</v>
      </c>
      <c r="I170" s="22" t="s">
        <v>1009</v>
      </c>
      <c r="J170" s="22" t="s">
        <v>459</v>
      </c>
      <c r="K170" s="22"/>
      <c r="L170" s="22"/>
    </row>
    <row r="171" customFormat="false" ht="14.25" hidden="true" customHeight="true" outlineLevel="0" collapsed="false">
      <c r="A171" s="22" t="s">
        <v>1010</v>
      </c>
      <c r="B171" s="22" t="s">
        <v>455</v>
      </c>
      <c r="C171" s="23" t="n">
        <v>45491</v>
      </c>
      <c r="D171" s="22"/>
      <c r="E171" s="22" t="n">
        <v>0</v>
      </c>
      <c r="F171" s="22"/>
      <c r="G171" s="22" t="s">
        <v>1011</v>
      </c>
      <c r="H171" s="22" t="s">
        <v>1012</v>
      </c>
      <c r="I171" s="22" t="s">
        <v>1013</v>
      </c>
      <c r="J171" s="22" t="s">
        <v>459</v>
      </c>
      <c r="K171" s="22"/>
      <c r="L171" s="22"/>
    </row>
    <row r="172" customFormat="false" ht="14.25" hidden="true" customHeight="true" outlineLevel="0" collapsed="false">
      <c r="A172" s="22" t="s">
        <v>1014</v>
      </c>
      <c r="B172" s="22" t="s">
        <v>455</v>
      </c>
      <c r="C172" s="23" t="n">
        <v>45492</v>
      </c>
      <c r="D172" s="22"/>
      <c r="E172" s="22" t="n">
        <v>0</v>
      </c>
      <c r="F172" s="22"/>
      <c r="G172" s="22" t="s">
        <v>461</v>
      </c>
      <c r="H172" s="22" t="s">
        <v>462</v>
      </c>
      <c r="I172" s="22" t="s">
        <v>1015</v>
      </c>
      <c r="J172" s="22" t="s">
        <v>459</v>
      </c>
      <c r="K172" s="22"/>
      <c r="L172" s="22"/>
    </row>
    <row r="173" customFormat="false" ht="14.25" hidden="true" customHeight="true" outlineLevel="0" collapsed="false">
      <c r="A173" s="22" t="s">
        <v>1016</v>
      </c>
      <c r="B173" s="22" t="s">
        <v>483</v>
      </c>
      <c r="C173" s="23" t="n">
        <v>45495</v>
      </c>
      <c r="D173" s="22"/>
      <c r="E173" s="22" t="n">
        <v>1</v>
      </c>
      <c r="F173" s="22" t="s">
        <v>1017</v>
      </c>
      <c r="G173" s="22" t="s">
        <v>1018</v>
      </c>
      <c r="H173" s="22" t="s">
        <v>1019</v>
      </c>
      <c r="I173" s="22" t="s">
        <v>1020</v>
      </c>
      <c r="J173" s="22" t="s">
        <v>459</v>
      </c>
      <c r="K173" s="22" t="s">
        <v>473</v>
      </c>
      <c r="L173" s="22" t="s">
        <v>554</v>
      </c>
    </row>
    <row r="174" customFormat="false" ht="14.25" hidden="true" customHeight="true" outlineLevel="0" collapsed="false">
      <c r="A174" s="22" t="s">
        <v>1021</v>
      </c>
      <c r="B174" s="22" t="s">
        <v>455</v>
      </c>
      <c r="C174" s="23" t="n">
        <v>45495</v>
      </c>
      <c r="D174" s="22"/>
      <c r="E174" s="22" t="n">
        <v>0</v>
      </c>
      <c r="F174" s="22"/>
      <c r="G174" s="22" t="s">
        <v>1022</v>
      </c>
      <c r="H174" s="22" t="s">
        <v>500</v>
      </c>
      <c r="I174" s="22" t="s">
        <v>1023</v>
      </c>
      <c r="J174" s="22" t="s">
        <v>459</v>
      </c>
      <c r="K174" s="22"/>
      <c r="L174" s="22"/>
    </row>
    <row r="175" customFormat="false" ht="14.25" hidden="true" customHeight="true" outlineLevel="0" collapsed="false">
      <c r="A175" s="22" t="s">
        <v>1024</v>
      </c>
      <c r="B175" s="22" t="s">
        <v>455</v>
      </c>
      <c r="C175" s="23" t="n">
        <v>45497</v>
      </c>
      <c r="D175" s="22"/>
      <c r="E175" s="22" t="n">
        <v>0</v>
      </c>
      <c r="F175" s="22"/>
      <c r="G175" s="22" t="s">
        <v>461</v>
      </c>
      <c r="H175" s="22" t="s">
        <v>462</v>
      </c>
      <c r="I175" s="22" t="s">
        <v>1025</v>
      </c>
      <c r="J175" s="22" t="s">
        <v>459</v>
      </c>
      <c r="K175" s="22"/>
      <c r="L175" s="22"/>
    </row>
    <row r="176" customFormat="false" ht="14.25" hidden="true" customHeight="true" outlineLevel="0" collapsed="false">
      <c r="A176" s="22" t="s">
        <v>1026</v>
      </c>
      <c r="B176" s="22" t="s">
        <v>455</v>
      </c>
      <c r="C176" s="23" t="n">
        <v>45498</v>
      </c>
      <c r="D176" s="22"/>
      <c r="E176" s="22" t="n">
        <v>0</v>
      </c>
      <c r="F176" s="22"/>
      <c r="G176" s="22" t="s">
        <v>470</v>
      </c>
      <c r="H176" s="22" t="s">
        <v>477</v>
      </c>
      <c r="I176" s="22" t="s">
        <v>1027</v>
      </c>
      <c r="J176" s="22" t="s">
        <v>459</v>
      </c>
      <c r="K176" s="22"/>
      <c r="L176" s="22"/>
    </row>
    <row r="177" customFormat="false" ht="14.25" hidden="true" customHeight="true" outlineLevel="0" collapsed="false">
      <c r="A177" s="22" t="s">
        <v>1028</v>
      </c>
      <c r="B177" s="22" t="s">
        <v>455</v>
      </c>
      <c r="C177" s="23" t="n">
        <v>45499</v>
      </c>
      <c r="D177" s="22"/>
      <c r="E177" s="22" t="n">
        <v>0</v>
      </c>
      <c r="F177" s="22"/>
      <c r="G177" s="22" t="s">
        <v>465</v>
      </c>
      <c r="H177" s="22" t="s">
        <v>466</v>
      </c>
      <c r="I177" s="22" t="s">
        <v>1029</v>
      </c>
      <c r="J177" s="22" t="s">
        <v>459</v>
      </c>
      <c r="K177" s="22"/>
      <c r="L177" s="22"/>
    </row>
    <row r="178" customFormat="false" ht="14.25" hidden="true" customHeight="true" outlineLevel="0" collapsed="false">
      <c r="A178" s="22" t="s">
        <v>1030</v>
      </c>
      <c r="B178" s="22" t="s">
        <v>455</v>
      </c>
      <c r="C178" s="23" t="n">
        <v>45499</v>
      </c>
      <c r="D178" s="22"/>
      <c r="E178" s="22" t="n">
        <v>0</v>
      </c>
      <c r="F178" s="22"/>
      <c r="G178" s="22" t="s">
        <v>470</v>
      </c>
      <c r="H178" s="22" t="s">
        <v>471</v>
      </c>
      <c r="I178" s="22" t="s">
        <v>1031</v>
      </c>
      <c r="J178" s="22" t="s">
        <v>459</v>
      </c>
      <c r="K178" s="22"/>
      <c r="L178" s="22"/>
    </row>
    <row r="179" customFormat="false" ht="14.25" hidden="true" customHeight="true" outlineLevel="0" collapsed="false">
      <c r="A179" s="22" t="s">
        <v>1032</v>
      </c>
      <c r="B179" s="22" t="s">
        <v>455</v>
      </c>
      <c r="C179" s="23" t="n">
        <v>45499</v>
      </c>
      <c r="D179" s="22"/>
      <c r="E179" s="22" t="n">
        <v>0</v>
      </c>
      <c r="F179" s="22"/>
      <c r="G179" s="22" t="s">
        <v>465</v>
      </c>
      <c r="H179" s="22" t="s">
        <v>466</v>
      </c>
      <c r="I179" s="22" t="s">
        <v>1033</v>
      </c>
      <c r="J179" s="22" t="s">
        <v>459</v>
      </c>
      <c r="K179" s="22"/>
      <c r="L179" s="22"/>
    </row>
    <row r="180" customFormat="false" ht="14.25" hidden="true" customHeight="true" outlineLevel="0" collapsed="false">
      <c r="A180" s="22" t="s">
        <v>1034</v>
      </c>
      <c r="B180" s="22" t="s">
        <v>455</v>
      </c>
      <c r="C180" s="23" t="n">
        <v>45503</v>
      </c>
      <c r="D180" s="22"/>
      <c r="E180" s="22" t="n">
        <v>0</v>
      </c>
      <c r="F180" s="22"/>
      <c r="G180" s="22" t="s">
        <v>461</v>
      </c>
      <c r="H180" s="22" t="s">
        <v>462</v>
      </c>
      <c r="I180" s="22" t="s">
        <v>1035</v>
      </c>
      <c r="J180" s="22" t="s">
        <v>459</v>
      </c>
      <c r="K180" s="22"/>
      <c r="L180" s="22"/>
    </row>
    <row r="181" customFormat="false" ht="14.25" hidden="true" customHeight="true" outlineLevel="0" collapsed="false">
      <c r="A181" s="22" t="s">
        <v>1036</v>
      </c>
      <c r="B181" s="22" t="s">
        <v>455</v>
      </c>
      <c r="C181" s="23" t="n">
        <v>45503</v>
      </c>
      <c r="D181" s="22"/>
      <c r="E181" s="22" t="n">
        <v>0</v>
      </c>
      <c r="F181" s="22"/>
      <c r="G181" s="22" t="s">
        <v>465</v>
      </c>
      <c r="H181" s="22" t="s">
        <v>466</v>
      </c>
      <c r="I181" s="22" t="s">
        <v>1037</v>
      </c>
      <c r="J181" s="22" t="s">
        <v>459</v>
      </c>
      <c r="K181" s="22"/>
      <c r="L181" s="22"/>
    </row>
    <row r="182" customFormat="false" ht="14.25" hidden="true" customHeight="true" outlineLevel="0" collapsed="false">
      <c r="A182" s="22" t="s">
        <v>1038</v>
      </c>
      <c r="B182" s="22" t="s">
        <v>455</v>
      </c>
      <c r="C182" s="23" t="n">
        <v>45503</v>
      </c>
      <c r="D182" s="22"/>
      <c r="E182" s="22" t="n">
        <v>0</v>
      </c>
      <c r="F182" s="22"/>
      <c r="G182" s="22" t="s">
        <v>470</v>
      </c>
      <c r="H182" s="22" t="s">
        <v>471</v>
      </c>
      <c r="I182" s="22" t="s">
        <v>1039</v>
      </c>
      <c r="J182" s="22" t="s">
        <v>459</v>
      </c>
      <c r="K182" s="22"/>
      <c r="L182" s="22"/>
    </row>
    <row r="183" customFormat="false" ht="14.25" hidden="true" customHeight="true" outlineLevel="0" collapsed="false">
      <c r="A183" s="22" t="s">
        <v>1040</v>
      </c>
      <c r="B183" s="22" t="s">
        <v>483</v>
      </c>
      <c r="C183" s="23" t="n">
        <v>45504</v>
      </c>
      <c r="D183" s="22"/>
      <c r="E183" s="22" t="n">
        <v>1</v>
      </c>
      <c r="F183" s="22" t="s">
        <v>1041</v>
      </c>
      <c r="G183" s="22" t="s">
        <v>1042</v>
      </c>
      <c r="H183" s="22" t="s">
        <v>1043</v>
      </c>
      <c r="I183" s="22" t="s">
        <v>1044</v>
      </c>
      <c r="J183" s="22" t="s">
        <v>459</v>
      </c>
      <c r="K183" s="22" t="s">
        <v>473</v>
      </c>
      <c r="L183" s="22" t="s">
        <v>554</v>
      </c>
    </row>
    <row r="184" customFormat="false" ht="14.25" hidden="true" customHeight="true" outlineLevel="0" collapsed="false">
      <c r="A184" s="22" t="s">
        <v>1045</v>
      </c>
      <c r="B184" s="22" t="s">
        <v>504</v>
      </c>
      <c r="C184" s="23" t="n">
        <v>45510</v>
      </c>
      <c r="D184" s="23" t="n">
        <v>45566</v>
      </c>
      <c r="E184" s="22" t="n">
        <v>1</v>
      </c>
      <c r="F184" s="22" t="s">
        <v>1046</v>
      </c>
      <c r="G184" s="22" t="s">
        <v>669</v>
      </c>
      <c r="H184" s="22" t="s">
        <v>1047</v>
      </c>
      <c r="I184" s="22" t="s">
        <v>1048</v>
      </c>
      <c r="J184" s="22" t="s">
        <v>459</v>
      </c>
      <c r="K184" s="22" t="s">
        <v>473</v>
      </c>
      <c r="L184" s="22" t="s">
        <v>554</v>
      </c>
    </row>
    <row r="185" customFormat="false" ht="14.25" hidden="true" customHeight="true" outlineLevel="0" collapsed="false">
      <c r="A185" s="22" t="s">
        <v>1049</v>
      </c>
      <c r="B185" s="22" t="s">
        <v>504</v>
      </c>
      <c r="C185" s="23" t="n">
        <v>45510</v>
      </c>
      <c r="D185" s="23" t="n">
        <v>45566</v>
      </c>
      <c r="E185" s="22" t="n">
        <v>1</v>
      </c>
      <c r="F185" s="22" t="s">
        <v>498</v>
      </c>
      <c r="G185" s="22" t="s">
        <v>674</v>
      </c>
      <c r="H185" s="22" t="s">
        <v>1050</v>
      </c>
      <c r="I185" s="22" t="s">
        <v>1051</v>
      </c>
      <c r="J185" s="22" t="s">
        <v>459</v>
      </c>
      <c r="K185" s="22" t="s">
        <v>473</v>
      </c>
      <c r="L185" s="22" t="s">
        <v>554</v>
      </c>
    </row>
    <row r="186" customFormat="false" ht="14.25" hidden="true" customHeight="true" outlineLevel="0" collapsed="false">
      <c r="A186" s="22" t="s">
        <v>1052</v>
      </c>
      <c r="B186" s="22" t="s">
        <v>504</v>
      </c>
      <c r="C186" s="23" t="n">
        <v>45510</v>
      </c>
      <c r="D186" s="23" t="n">
        <v>45566</v>
      </c>
      <c r="E186" s="22" t="n">
        <v>1</v>
      </c>
      <c r="F186" s="22" t="s">
        <v>1053</v>
      </c>
      <c r="G186" s="22" t="s">
        <v>649</v>
      </c>
      <c r="H186" s="22" t="s">
        <v>1054</v>
      </c>
      <c r="I186" s="22" t="s">
        <v>1055</v>
      </c>
      <c r="J186" s="22" t="s">
        <v>459</v>
      </c>
      <c r="K186" s="22" t="s">
        <v>473</v>
      </c>
      <c r="L186" s="22" t="s">
        <v>554</v>
      </c>
    </row>
    <row r="187" customFormat="false" ht="14.25" hidden="false" customHeight="true" outlineLevel="0" collapsed="false">
      <c r="A187" s="15" t="s">
        <v>1056</v>
      </c>
      <c r="B187" s="15" t="s">
        <v>504</v>
      </c>
      <c r="C187" s="24" t="n">
        <v>45510</v>
      </c>
      <c r="D187" s="24" t="n">
        <v>45510</v>
      </c>
      <c r="E187" s="15" t="n">
        <v>1</v>
      </c>
      <c r="F187" s="15" t="s">
        <v>1057</v>
      </c>
      <c r="G187" s="15" t="s">
        <v>1058</v>
      </c>
      <c r="H187" s="15" t="s">
        <v>1059</v>
      </c>
      <c r="I187" s="15" t="s">
        <v>1060</v>
      </c>
      <c r="J187" s="15" t="s">
        <v>459</v>
      </c>
      <c r="K187" s="15" t="s">
        <v>809</v>
      </c>
      <c r="L187" s="15" t="s">
        <v>1061</v>
      </c>
    </row>
    <row r="188" customFormat="false" ht="14.25" hidden="true" customHeight="true" outlineLevel="0" collapsed="false">
      <c r="A188" s="22" t="s">
        <v>1062</v>
      </c>
      <c r="B188" s="22" t="s">
        <v>455</v>
      </c>
      <c r="C188" s="23" t="n">
        <v>45510</v>
      </c>
      <c r="D188" s="22"/>
      <c r="E188" s="22" t="n">
        <v>1</v>
      </c>
      <c r="F188" s="22" t="s">
        <v>1063</v>
      </c>
      <c r="G188" s="22" t="s">
        <v>470</v>
      </c>
      <c r="H188" s="22" t="s">
        <v>477</v>
      </c>
      <c r="I188" s="22" t="s">
        <v>1064</v>
      </c>
      <c r="J188" s="22" t="s">
        <v>459</v>
      </c>
      <c r="K188" s="22" t="s">
        <v>473</v>
      </c>
      <c r="L188" s="22" t="s">
        <v>474</v>
      </c>
    </row>
    <row r="189" customFormat="false" ht="14.25" hidden="true" customHeight="true" outlineLevel="0" collapsed="false">
      <c r="A189" s="22" t="s">
        <v>1065</v>
      </c>
      <c r="B189" s="22" t="s">
        <v>455</v>
      </c>
      <c r="C189" s="23" t="n">
        <v>45510</v>
      </c>
      <c r="D189" s="22"/>
      <c r="E189" s="22" t="n">
        <v>0</v>
      </c>
      <c r="F189" s="22"/>
      <c r="G189" s="22" t="s">
        <v>465</v>
      </c>
      <c r="H189" s="22" t="s">
        <v>492</v>
      </c>
      <c r="I189" s="22" t="s">
        <v>1066</v>
      </c>
      <c r="J189" s="22" t="s">
        <v>459</v>
      </c>
      <c r="K189" s="22"/>
      <c r="L189" s="22"/>
    </row>
    <row r="190" customFormat="false" ht="14.25" hidden="true" customHeight="true" outlineLevel="0" collapsed="false">
      <c r="A190" s="22" t="s">
        <v>1067</v>
      </c>
      <c r="B190" s="22" t="s">
        <v>504</v>
      </c>
      <c r="C190" s="23" t="n">
        <v>45511</v>
      </c>
      <c r="D190" s="23" t="n">
        <v>45566</v>
      </c>
      <c r="E190" s="22" t="n">
        <v>1</v>
      </c>
      <c r="F190" s="22" t="s">
        <v>673</v>
      </c>
      <c r="G190" s="22" t="s">
        <v>664</v>
      </c>
      <c r="H190" s="22" t="s">
        <v>1068</v>
      </c>
      <c r="I190" s="22" t="s">
        <v>1069</v>
      </c>
      <c r="J190" s="22" t="s">
        <v>459</v>
      </c>
      <c r="K190" s="22" t="s">
        <v>473</v>
      </c>
      <c r="L190" s="22" t="s">
        <v>554</v>
      </c>
    </row>
    <row r="191" customFormat="false" ht="14.25" hidden="true" customHeight="true" outlineLevel="0" collapsed="false">
      <c r="A191" s="22" t="s">
        <v>1070</v>
      </c>
      <c r="B191" s="22" t="s">
        <v>455</v>
      </c>
      <c r="C191" s="23" t="n">
        <v>45511</v>
      </c>
      <c r="D191" s="22"/>
      <c r="E191" s="22" t="n">
        <v>0</v>
      </c>
      <c r="F191" s="22"/>
      <c r="G191" s="22" t="s">
        <v>470</v>
      </c>
      <c r="H191" s="22" t="s">
        <v>471</v>
      </c>
      <c r="I191" s="22" t="s">
        <v>1071</v>
      </c>
      <c r="J191" s="22" t="s">
        <v>459</v>
      </c>
      <c r="K191" s="22"/>
      <c r="L191" s="22"/>
    </row>
    <row r="192" customFormat="false" ht="14.25" hidden="true" customHeight="true" outlineLevel="0" collapsed="false">
      <c r="A192" s="22" t="s">
        <v>1072</v>
      </c>
      <c r="B192" s="22" t="s">
        <v>455</v>
      </c>
      <c r="C192" s="23" t="n">
        <v>45511</v>
      </c>
      <c r="D192" s="22"/>
      <c r="E192" s="22" t="n">
        <v>1</v>
      </c>
      <c r="F192" s="22" t="s">
        <v>1073</v>
      </c>
      <c r="G192" s="22" t="s">
        <v>465</v>
      </c>
      <c r="H192" s="22" t="s">
        <v>466</v>
      </c>
      <c r="I192" s="22" t="s">
        <v>1074</v>
      </c>
      <c r="J192" s="22" t="s">
        <v>459</v>
      </c>
      <c r="K192" s="22" t="s">
        <v>473</v>
      </c>
      <c r="L192" s="22" t="s">
        <v>474</v>
      </c>
    </row>
    <row r="193" customFormat="false" ht="14.25" hidden="true" customHeight="true" outlineLevel="0" collapsed="false">
      <c r="A193" s="22" t="s">
        <v>1075</v>
      </c>
      <c r="B193" s="22" t="s">
        <v>455</v>
      </c>
      <c r="C193" s="23" t="n">
        <v>45511</v>
      </c>
      <c r="D193" s="22"/>
      <c r="E193" s="22" t="n">
        <v>1</v>
      </c>
      <c r="F193" s="22" t="s">
        <v>1076</v>
      </c>
      <c r="G193" s="22" t="s">
        <v>470</v>
      </c>
      <c r="H193" s="22" t="s">
        <v>471</v>
      </c>
      <c r="I193" s="22" t="s">
        <v>1077</v>
      </c>
      <c r="J193" s="22" t="s">
        <v>459</v>
      </c>
      <c r="K193" s="22" t="s">
        <v>473</v>
      </c>
      <c r="L193" s="22" t="s">
        <v>474</v>
      </c>
    </row>
    <row r="194" customFormat="false" ht="14.25" hidden="true" customHeight="true" outlineLevel="0" collapsed="false">
      <c r="A194" s="22" t="s">
        <v>1078</v>
      </c>
      <c r="B194" s="22" t="s">
        <v>455</v>
      </c>
      <c r="C194" s="23" t="n">
        <v>45511</v>
      </c>
      <c r="D194" s="22"/>
      <c r="E194" s="22" t="n">
        <v>0</v>
      </c>
      <c r="F194" s="22"/>
      <c r="G194" s="22" t="s">
        <v>465</v>
      </c>
      <c r="H194" s="22" t="s">
        <v>492</v>
      </c>
      <c r="I194" s="22" t="s">
        <v>1079</v>
      </c>
      <c r="J194" s="22" t="s">
        <v>459</v>
      </c>
      <c r="K194" s="22"/>
      <c r="L194" s="22"/>
    </row>
    <row r="195" customFormat="false" ht="14.25" hidden="true" customHeight="true" outlineLevel="0" collapsed="false">
      <c r="A195" s="22" t="s">
        <v>1080</v>
      </c>
      <c r="B195" s="22" t="s">
        <v>455</v>
      </c>
      <c r="C195" s="23" t="n">
        <v>45513</v>
      </c>
      <c r="D195" s="22"/>
      <c r="E195" s="22" t="n">
        <v>1</v>
      </c>
      <c r="F195" s="22" t="s">
        <v>1081</v>
      </c>
      <c r="G195" s="22" t="s">
        <v>465</v>
      </c>
      <c r="H195" s="22" t="s">
        <v>492</v>
      </c>
      <c r="I195" s="22" t="s">
        <v>1082</v>
      </c>
      <c r="J195" s="22" t="s">
        <v>459</v>
      </c>
      <c r="K195" s="22" t="s">
        <v>473</v>
      </c>
      <c r="L195" s="22" t="s">
        <v>474</v>
      </c>
    </row>
    <row r="196" customFormat="false" ht="14.25" hidden="false" customHeight="true" outlineLevel="0" collapsed="false">
      <c r="A196" s="15" t="s">
        <v>1083</v>
      </c>
      <c r="B196" s="15" t="s">
        <v>455</v>
      </c>
      <c r="C196" s="24" t="n">
        <v>45610</v>
      </c>
      <c r="D196" s="24" t="n">
        <v>45658</v>
      </c>
      <c r="E196" s="15" t="n">
        <v>1</v>
      </c>
      <c r="F196" s="15" t="s">
        <v>1084</v>
      </c>
      <c r="G196" s="15" t="s">
        <v>1085</v>
      </c>
      <c r="H196" s="15" t="s">
        <v>1086</v>
      </c>
      <c r="I196" s="15" t="s">
        <v>68</v>
      </c>
      <c r="J196" s="15" t="s">
        <v>459</v>
      </c>
      <c r="K196" s="15" t="s">
        <v>809</v>
      </c>
      <c r="L196" s="15" t="s">
        <v>1087</v>
      </c>
    </row>
    <row r="197" customFormat="false" ht="14.25" hidden="true" customHeight="true" outlineLevel="0" collapsed="false">
      <c r="A197" s="22" t="s">
        <v>1088</v>
      </c>
      <c r="B197" s="22" t="s">
        <v>455</v>
      </c>
      <c r="C197" s="23" t="n">
        <v>45517</v>
      </c>
      <c r="D197" s="22"/>
      <c r="E197" s="22" t="n">
        <v>0</v>
      </c>
      <c r="F197" s="22"/>
      <c r="G197" s="22" t="s">
        <v>470</v>
      </c>
      <c r="H197" s="22" t="s">
        <v>477</v>
      </c>
      <c r="I197" s="22" t="s">
        <v>1089</v>
      </c>
      <c r="J197" s="22" t="s">
        <v>459</v>
      </c>
      <c r="K197" s="22"/>
      <c r="L197" s="22"/>
    </row>
    <row r="198" customFormat="false" ht="14.25" hidden="true" customHeight="true" outlineLevel="0" collapsed="false">
      <c r="A198" s="22" t="s">
        <v>1090</v>
      </c>
      <c r="B198" s="22" t="s">
        <v>455</v>
      </c>
      <c r="C198" s="23" t="n">
        <v>45517</v>
      </c>
      <c r="D198" s="22"/>
      <c r="E198" s="22" t="n">
        <v>0</v>
      </c>
      <c r="F198" s="22"/>
      <c r="G198" s="22" t="s">
        <v>465</v>
      </c>
      <c r="H198" s="22" t="s">
        <v>466</v>
      </c>
      <c r="I198" s="22" t="s">
        <v>1091</v>
      </c>
      <c r="J198" s="22" t="s">
        <v>459</v>
      </c>
      <c r="K198" s="22"/>
      <c r="L198" s="22"/>
    </row>
    <row r="199" customFormat="false" ht="14.25" hidden="true" customHeight="true" outlineLevel="0" collapsed="false">
      <c r="A199" s="22" t="s">
        <v>1092</v>
      </c>
      <c r="B199" s="22" t="s">
        <v>455</v>
      </c>
      <c r="C199" s="23" t="n">
        <v>45524</v>
      </c>
      <c r="D199" s="22"/>
      <c r="E199" s="22" t="n">
        <v>0</v>
      </c>
      <c r="F199" s="22"/>
      <c r="G199" s="22" t="s">
        <v>470</v>
      </c>
      <c r="H199" s="22" t="s">
        <v>477</v>
      </c>
      <c r="I199" s="22" t="s">
        <v>1093</v>
      </c>
      <c r="J199" s="22" t="s">
        <v>459</v>
      </c>
      <c r="K199" s="22"/>
      <c r="L199" s="22"/>
    </row>
    <row r="200" customFormat="false" ht="14.25" hidden="true" customHeight="true" outlineLevel="0" collapsed="false">
      <c r="A200" s="22" t="s">
        <v>1094</v>
      </c>
      <c r="B200" s="22" t="s">
        <v>455</v>
      </c>
      <c r="C200" s="23" t="n">
        <v>45524</v>
      </c>
      <c r="D200" s="22"/>
      <c r="E200" s="22" t="n">
        <v>0</v>
      </c>
      <c r="F200" s="22"/>
      <c r="G200" s="22" t="s">
        <v>465</v>
      </c>
      <c r="H200" s="22" t="s">
        <v>492</v>
      </c>
      <c r="I200" s="22" t="s">
        <v>1095</v>
      </c>
      <c r="J200" s="22" t="s">
        <v>459</v>
      </c>
      <c r="K200" s="22"/>
      <c r="L200" s="22"/>
    </row>
    <row r="201" customFormat="false" ht="14.25" hidden="true" customHeight="true" outlineLevel="0" collapsed="false">
      <c r="A201" s="22" t="s">
        <v>1096</v>
      </c>
      <c r="B201" s="22" t="s">
        <v>455</v>
      </c>
      <c r="C201" s="23" t="n">
        <v>45525</v>
      </c>
      <c r="D201" s="22"/>
      <c r="E201" s="22" t="n">
        <v>0</v>
      </c>
      <c r="F201" s="22"/>
      <c r="G201" s="22" t="s">
        <v>638</v>
      </c>
      <c r="H201" s="22" t="s">
        <v>1097</v>
      </c>
      <c r="I201" s="22" t="s">
        <v>1098</v>
      </c>
      <c r="J201" s="22" t="s">
        <v>459</v>
      </c>
      <c r="K201" s="22"/>
      <c r="L201" s="22"/>
    </row>
    <row r="202" customFormat="false" ht="14.25" hidden="true" customHeight="true" outlineLevel="0" collapsed="false">
      <c r="A202" s="22" t="s">
        <v>1099</v>
      </c>
      <c r="B202" s="22" t="s">
        <v>455</v>
      </c>
      <c r="C202" s="23" t="n">
        <v>45525</v>
      </c>
      <c r="D202" s="22"/>
      <c r="E202" s="22" t="n">
        <v>0</v>
      </c>
      <c r="F202" s="22"/>
      <c r="G202" s="22" t="s">
        <v>470</v>
      </c>
      <c r="H202" s="22" t="s">
        <v>477</v>
      </c>
      <c r="I202" s="22" t="s">
        <v>1100</v>
      </c>
      <c r="J202" s="22" t="s">
        <v>459</v>
      </c>
      <c r="K202" s="22"/>
      <c r="L202" s="22"/>
    </row>
    <row r="203" customFormat="false" ht="14.25" hidden="true" customHeight="true" outlineLevel="0" collapsed="false">
      <c r="A203" s="22" t="s">
        <v>1101</v>
      </c>
      <c r="B203" s="22" t="s">
        <v>455</v>
      </c>
      <c r="C203" s="23" t="n">
        <v>45526</v>
      </c>
      <c r="D203" s="22"/>
      <c r="E203" s="22" t="n">
        <v>0</v>
      </c>
      <c r="F203" s="22"/>
      <c r="G203" s="22" t="s">
        <v>465</v>
      </c>
      <c r="H203" s="22" t="s">
        <v>492</v>
      </c>
      <c r="I203" s="22" t="s">
        <v>1102</v>
      </c>
      <c r="J203" s="22" t="s">
        <v>459</v>
      </c>
      <c r="K203" s="22"/>
      <c r="L203" s="22"/>
    </row>
    <row r="204" customFormat="false" ht="14.25" hidden="true" customHeight="true" outlineLevel="0" collapsed="false">
      <c r="A204" s="22" t="s">
        <v>1103</v>
      </c>
      <c r="B204" s="22" t="s">
        <v>455</v>
      </c>
      <c r="C204" s="23" t="n">
        <v>45526</v>
      </c>
      <c r="D204" s="22"/>
      <c r="E204" s="22" t="n">
        <v>1</v>
      </c>
      <c r="F204" s="22" t="s">
        <v>673</v>
      </c>
      <c r="G204" s="22" t="s">
        <v>470</v>
      </c>
      <c r="H204" s="22" t="s">
        <v>477</v>
      </c>
      <c r="I204" s="22" t="s">
        <v>1104</v>
      </c>
      <c r="J204" s="22" t="s">
        <v>459</v>
      </c>
      <c r="K204" s="22" t="s">
        <v>473</v>
      </c>
      <c r="L204" s="22" t="s">
        <v>474</v>
      </c>
    </row>
    <row r="205" customFormat="false" ht="14.25" hidden="true" customHeight="true" outlineLevel="0" collapsed="false">
      <c r="A205" s="22" t="s">
        <v>1105</v>
      </c>
      <c r="B205" s="22" t="s">
        <v>455</v>
      </c>
      <c r="C205" s="23" t="n">
        <v>45531</v>
      </c>
      <c r="D205" s="22"/>
      <c r="E205" s="22" t="n">
        <v>0</v>
      </c>
      <c r="F205" s="22"/>
      <c r="G205" s="22" t="s">
        <v>470</v>
      </c>
      <c r="H205" s="22" t="s">
        <v>477</v>
      </c>
      <c r="I205" s="22" t="s">
        <v>1106</v>
      </c>
      <c r="J205" s="22" t="s">
        <v>459</v>
      </c>
      <c r="K205" s="22"/>
      <c r="L205" s="22"/>
    </row>
    <row r="206" customFormat="false" ht="14.25" hidden="true" customHeight="true" outlineLevel="0" collapsed="false">
      <c r="A206" s="22" t="s">
        <v>1107</v>
      </c>
      <c r="B206" s="22" t="s">
        <v>455</v>
      </c>
      <c r="C206" s="23" t="n">
        <v>45531</v>
      </c>
      <c r="D206" s="22"/>
      <c r="E206" s="22" t="n">
        <v>0</v>
      </c>
      <c r="F206" s="22"/>
      <c r="G206" s="22" t="s">
        <v>470</v>
      </c>
      <c r="H206" s="22" t="s">
        <v>477</v>
      </c>
      <c r="I206" s="22" t="s">
        <v>1108</v>
      </c>
      <c r="J206" s="22" t="s">
        <v>459</v>
      </c>
      <c r="K206" s="22"/>
      <c r="L206" s="22"/>
    </row>
    <row r="207" customFormat="false" ht="14.25" hidden="true" customHeight="true" outlineLevel="0" collapsed="false">
      <c r="A207" s="22" t="s">
        <v>1109</v>
      </c>
      <c r="B207" s="22" t="s">
        <v>455</v>
      </c>
      <c r="C207" s="23" t="n">
        <v>45531</v>
      </c>
      <c r="D207" s="22"/>
      <c r="E207" s="22" t="n">
        <v>0</v>
      </c>
      <c r="F207" s="22"/>
      <c r="G207" s="22" t="s">
        <v>470</v>
      </c>
      <c r="H207" s="22" t="s">
        <v>525</v>
      </c>
      <c r="I207" s="22" t="s">
        <v>1110</v>
      </c>
      <c r="J207" s="22" t="s">
        <v>459</v>
      </c>
      <c r="K207" s="22"/>
      <c r="L207" s="22"/>
    </row>
    <row r="208" customFormat="false" ht="14.25" hidden="true" customHeight="true" outlineLevel="0" collapsed="false">
      <c r="A208" s="22" t="s">
        <v>1111</v>
      </c>
      <c r="B208" s="22" t="s">
        <v>504</v>
      </c>
      <c r="C208" s="23" t="n">
        <v>45532</v>
      </c>
      <c r="D208" s="23" t="n">
        <v>45566</v>
      </c>
      <c r="E208" s="22" t="n">
        <v>1</v>
      </c>
      <c r="F208" s="22" t="s">
        <v>1112</v>
      </c>
      <c r="G208" s="22" t="s">
        <v>765</v>
      </c>
      <c r="H208" s="22" t="s">
        <v>1113</v>
      </c>
      <c r="I208" s="22" t="s">
        <v>1114</v>
      </c>
      <c r="J208" s="22" t="s">
        <v>459</v>
      </c>
      <c r="K208" s="22" t="s">
        <v>473</v>
      </c>
      <c r="L208" s="22" t="s">
        <v>554</v>
      </c>
    </row>
    <row r="209" customFormat="false" ht="14.25" hidden="true" customHeight="true" outlineLevel="0" collapsed="false">
      <c r="A209" s="22" t="s">
        <v>1115</v>
      </c>
      <c r="B209" s="22" t="s">
        <v>455</v>
      </c>
      <c r="C209" s="23" t="n">
        <v>45533</v>
      </c>
      <c r="D209" s="22"/>
      <c r="E209" s="22" t="n">
        <v>0</v>
      </c>
      <c r="F209" s="22"/>
      <c r="G209" s="22" t="s">
        <v>470</v>
      </c>
      <c r="H209" s="22" t="s">
        <v>471</v>
      </c>
      <c r="I209" s="22" t="s">
        <v>1116</v>
      </c>
      <c r="J209" s="22" t="s">
        <v>459</v>
      </c>
      <c r="K209" s="22"/>
      <c r="L209" s="22"/>
    </row>
    <row r="210" customFormat="false" ht="14.25" hidden="true" customHeight="true" outlineLevel="0" collapsed="false">
      <c r="A210" s="22" t="s">
        <v>1117</v>
      </c>
      <c r="B210" s="22" t="s">
        <v>455</v>
      </c>
      <c r="C210" s="23" t="n">
        <v>45534</v>
      </c>
      <c r="D210" s="22"/>
      <c r="E210" s="22" t="n">
        <v>0</v>
      </c>
      <c r="F210" s="22"/>
      <c r="G210" s="22" t="s">
        <v>470</v>
      </c>
      <c r="H210" s="22" t="s">
        <v>471</v>
      </c>
      <c r="I210" s="22" t="s">
        <v>1118</v>
      </c>
      <c r="J210" s="22" t="s">
        <v>459</v>
      </c>
      <c r="K210" s="22"/>
      <c r="L210" s="22"/>
    </row>
    <row r="211" customFormat="false" ht="14.25" hidden="true" customHeight="true" outlineLevel="0" collapsed="false">
      <c r="A211" s="22" t="s">
        <v>1119</v>
      </c>
      <c r="B211" s="22" t="s">
        <v>455</v>
      </c>
      <c r="C211" s="23" t="n">
        <v>45538</v>
      </c>
      <c r="D211" s="22"/>
      <c r="E211" s="22" t="n">
        <v>0</v>
      </c>
      <c r="F211" s="22"/>
      <c r="G211" s="22" t="s">
        <v>1120</v>
      </c>
      <c r="H211" s="22" t="s">
        <v>1121</v>
      </c>
      <c r="I211" s="22" t="s">
        <v>1122</v>
      </c>
      <c r="J211" s="22" t="s">
        <v>459</v>
      </c>
      <c r="K211" s="22"/>
      <c r="L211" s="22"/>
    </row>
    <row r="212" customFormat="false" ht="14.25" hidden="true" customHeight="true" outlineLevel="0" collapsed="false">
      <c r="A212" s="22" t="s">
        <v>1123</v>
      </c>
      <c r="B212" s="22" t="s">
        <v>455</v>
      </c>
      <c r="C212" s="23" t="n">
        <v>45538</v>
      </c>
      <c r="D212" s="22"/>
      <c r="E212" s="22" t="n">
        <v>0</v>
      </c>
      <c r="F212" s="22"/>
      <c r="G212" s="22" t="s">
        <v>470</v>
      </c>
      <c r="H212" s="22" t="s">
        <v>477</v>
      </c>
      <c r="I212" s="22" t="s">
        <v>1124</v>
      </c>
      <c r="J212" s="22" t="s">
        <v>459</v>
      </c>
      <c r="K212" s="22"/>
      <c r="L212" s="22"/>
    </row>
    <row r="213" customFormat="false" ht="14.25" hidden="true" customHeight="true" outlineLevel="0" collapsed="false">
      <c r="A213" s="22" t="s">
        <v>1125</v>
      </c>
      <c r="B213" s="22" t="s">
        <v>455</v>
      </c>
      <c r="C213" s="23" t="n">
        <v>45540</v>
      </c>
      <c r="D213" s="22"/>
      <c r="E213" s="22" t="n">
        <v>0</v>
      </c>
      <c r="F213" s="22"/>
      <c r="G213" s="22" t="s">
        <v>470</v>
      </c>
      <c r="H213" s="22" t="s">
        <v>471</v>
      </c>
      <c r="I213" s="22" t="s">
        <v>1126</v>
      </c>
      <c r="J213" s="22" t="s">
        <v>459</v>
      </c>
      <c r="K213" s="22"/>
      <c r="L213" s="22"/>
    </row>
    <row r="214" customFormat="false" ht="14.25" hidden="true" customHeight="true" outlineLevel="0" collapsed="false">
      <c r="A214" s="22" t="s">
        <v>1127</v>
      </c>
      <c r="B214" s="22" t="s">
        <v>455</v>
      </c>
      <c r="C214" s="23" t="n">
        <v>45540</v>
      </c>
      <c r="D214" s="22"/>
      <c r="E214" s="22" t="n">
        <v>0</v>
      </c>
      <c r="F214" s="22"/>
      <c r="G214" s="22" t="s">
        <v>465</v>
      </c>
      <c r="H214" s="22" t="s">
        <v>466</v>
      </c>
      <c r="I214" s="22" t="s">
        <v>1128</v>
      </c>
      <c r="J214" s="22" t="s">
        <v>459</v>
      </c>
      <c r="K214" s="22"/>
      <c r="L214" s="22"/>
    </row>
    <row r="215" customFormat="false" ht="14.25" hidden="false" customHeight="true" outlineLevel="0" collapsed="false">
      <c r="A215" s="15" t="s">
        <v>1129</v>
      </c>
      <c r="B215" s="15" t="s">
        <v>455</v>
      </c>
      <c r="C215" s="24" t="n">
        <v>45980</v>
      </c>
      <c r="D215" s="15"/>
      <c r="E215" s="15" t="n">
        <v>1</v>
      </c>
      <c r="F215" s="15" t="s">
        <v>1084</v>
      </c>
      <c r="G215" s="15" t="s">
        <v>1130</v>
      </c>
      <c r="H215" s="15" t="s">
        <v>1131</v>
      </c>
      <c r="I215" s="15" t="s">
        <v>120</v>
      </c>
      <c r="J215" s="15" t="s">
        <v>459</v>
      </c>
      <c r="K215" s="15" t="s">
        <v>809</v>
      </c>
      <c r="L215" s="15" t="s">
        <v>1087</v>
      </c>
    </row>
    <row r="216" customFormat="false" ht="14.25" hidden="true" customHeight="true" outlineLevel="0" collapsed="false">
      <c r="A216" s="22" t="s">
        <v>1132</v>
      </c>
      <c r="B216" s="22" t="s">
        <v>455</v>
      </c>
      <c r="C216" s="23" t="n">
        <v>45544</v>
      </c>
      <c r="D216" s="22"/>
      <c r="E216" s="22" t="n">
        <v>0</v>
      </c>
      <c r="F216" s="22"/>
      <c r="G216" s="22" t="s">
        <v>470</v>
      </c>
      <c r="H216" s="22" t="s">
        <v>471</v>
      </c>
      <c r="I216" s="22" t="s">
        <v>1133</v>
      </c>
      <c r="J216" s="22" t="s">
        <v>459</v>
      </c>
      <c r="K216" s="22"/>
      <c r="L216" s="22"/>
    </row>
    <row r="217" customFormat="false" ht="14.25" hidden="true" customHeight="true" outlineLevel="0" collapsed="false">
      <c r="A217" s="22" t="s">
        <v>1134</v>
      </c>
      <c r="B217" s="22" t="s">
        <v>455</v>
      </c>
      <c r="C217" s="23" t="n">
        <v>45545</v>
      </c>
      <c r="D217" s="22"/>
      <c r="E217" s="22" t="n">
        <v>1</v>
      </c>
      <c r="F217" s="22" t="s">
        <v>1135</v>
      </c>
      <c r="G217" s="22" t="s">
        <v>465</v>
      </c>
      <c r="H217" s="22" t="s">
        <v>466</v>
      </c>
      <c r="I217" s="22" t="s">
        <v>1136</v>
      </c>
      <c r="J217" s="22" t="s">
        <v>459</v>
      </c>
      <c r="K217" s="22" t="s">
        <v>473</v>
      </c>
      <c r="L217" s="22" t="s">
        <v>474</v>
      </c>
    </row>
    <row r="218" customFormat="false" ht="14.25" hidden="true" customHeight="true" outlineLevel="0" collapsed="false">
      <c r="A218" s="22" t="s">
        <v>1137</v>
      </c>
      <c r="B218" s="22" t="s">
        <v>455</v>
      </c>
      <c r="C218" s="23" t="n">
        <v>45546</v>
      </c>
      <c r="D218" s="22"/>
      <c r="E218" s="22" t="n">
        <v>0</v>
      </c>
      <c r="F218" s="22"/>
      <c r="G218" s="22" t="s">
        <v>470</v>
      </c>
      <c r="H218" s="22" t="s">
        <v>477</v>
      </c>
      <c r="I218" s="22" t="s">
        <v>1138</v>
      </c>
      <c r="J218" s="22" t="s">
        <v>459</v>
      </c>
      <c r="K218" s="22"/>
      <c r="L218" s="22"/>
    </row>
    <row r="219" customFormat="false" ht="14.25" hidden="true" customHeight="true" outlineLevel="0" collapsed="false">
      <c r="A219" s="22" t="s">
        <v>1139</v>
      </c>
      <c r="B219" s="22" t="s">
        <v>455</v>
      </c>
      <c r="C219" s="23" t="n">
        <v>45548</v>
      </c>
      <c r="D219" s="22"/>
      <c r="E219" s="22" t="n">
        <v>0</v>
      </c>
      <c r="F219" s="22"/>
      <c r="G219" s="22" t="s">
        <v>1140</v>
      </c>
      <c r="H219" s="22" t="s">
        <v>1141</v>
      </c>
      <c r="I219" s="22" t="s">
        <v>1142</v>
      </c>
      <c r="J219" s="22" t="s">
        <v>459</v>
      </c>
      <c r="K219" s="22"/>
      <c r="L219" s="22"/>
    </row>
    <row r="220" customFormat="false" ht="14.25" hidden="true" customHeight="true" outlineLevel="0" collapsed="false">
      <c r="A220" s="22" t="s">
        <v>1143</v>
      </c>
      <c r="B220" s="22" t="s">
        <v>455</v>
      </c>
      <c r="C220" s="23" t="n">
        <v>45552</v>
      </c>
      <c r="D220" s="22"/>
      <c r="E220" s="22" t="n">
        <v>0</v>
      </c>
      <c r="F220" s="22"/>
      <c r="G220" s="22" t="s">
        <v>1144</v>
      </c>
      <c r="H220" s="22" t="s">
        <v>1145</v>
      </c>
      <c r="I220" s="22" t="s">
        <v>1146</v>
      </c>
      <c r="J220" s="22" t="s">
        <v>459</v>
      </c>
      <c r="K220" s="22"/>
      <c r="L220" s="22"/>
    </row>
    <row r="221" customFormat="false" ht="14.25" hidden="true" customHeight="true" outlineLevel="0" collapsed="false">
      <c r="A221" s="22" t="s">
        <v>1147</v>
      </c>
      <c r="B221" s="22" t="s">
        <v>455</v>
      </c>
      <c r="C221" s="23" t="n">
        <v>45552</v>
      </c>
      <c r="D221" s="22"/>
      <c r="E221" s="22" t="n">
        <v>0</v>
      </c>
      <c r="F221" s="22"/>
      <c r="G221" s="22" t="s">
        <v>465</v>
      </c>
      <c r="H221" s="22" t="s">
        <v>466</v>
      </c>
      <c r="I221" s="22" t="s">
        <v>1148</v>
      </c>
      <c r="J221" s="22" t="s">
        <v>459</v>
      </c>
      <c r="K221" s="22"/>
      <c r="L221" s="22"/>
    </row>
    <row r="222" customFormat="false" ht="14.25" hidden="true" customHeight="true" outlineLevel="0" collapsed="false">
      <c r="A222" s="22" t="s">
        <v>1149</v>
      </c>
      <c r="B222" s="22" t="s">
        <v>455</v>
      </c>
      <c r="C222" s="23" t="n">
        <v>45552</v>
      </c>
      <c r="D222" s="22"/>
      <c r="E222" s="22" t="n">
        <v>1</v>
      </c>
      <c r="F222" s="22" t="s">
        <v>535</v>
      </c>
      <c r="G222" s="22" t="s">
        <v>470</v>
      </c>
      <c r="H222" s="22" t="s">
        <v>471</v>
      </c>
      <c r="I222" s="22" t="s">
        <v>1150</v>
      </c>
      <c r="J222" s="22" t="s">
        <v>459</v>
      </c>
      <c r="K222" s="22" t="s">
        <v>473</v>
      </c>
      <c r="L222" s="22" t="s">
        <v>474</v>
      </c>
    </row>
    <row r="223" customFormat="false" ht="14.25" hidden="true" customHeight="true" outlineLevel="0" collapsed="false">
      <c r="A223" s="22" t="s">
        <v>1151</v>
      </c>
      <c r="B223" s="22" t="s">
        <v>455</v>
      </c>
      <c r="C223" s="23" t="n">
        <v>45553</v>
      </c>
      <c r="D223" s="23" t="n">
        <v>45560</v>
      </c>
      <c r="E223" s="22" t="n">
        <v>0</v>
      </c>
      <c r="F223" s="22"/>
      <c r="G223" s="22" t="s">
        <v>754</v>
      </c>
      <c r="H223" s="22" t="s">
        <v>1152</v>
      </c>
      <c r="I223" s="22" t="s">
        <v>1153</v>
      </c>
      <c r="J223" s="22" t="s">
        <v>459</v>
      </c>
      <c r="K223" s="22"/>
      <c r="L223" s="22"/>
    </row>
    <row r="224" customFormat="false" ht="14.25" hidden="true" customHeight="true" outlineLevel="0" collapsed="false">
      <c r="A224" s="22" t="s">
        <v>1154</v>
      </c>
      <c r="B224" s="22" t="s">
        <v>455</v>
      </c>
      <c r="C224" s="23" t="n">
        <v>45554</v>
      </c>
      <c r="D224" s="22"/>
      <c r="E224" s="22" t="n">
        <v>0</v>
      </c>
      <c r="F224" s="22"/>
      <c r="G224" s="22" t="s">
        <v>1155</v>
      </c>
      <c r="H224" s="22" t="s">
        <v>1156</v>
      </c>
      <c r="I224" s="22" t="s">
        <v>1157</v>
      </c>
      <c r="J224" s="22" t="s">
        <v>459</v>
      </c>
      <c r="K224" s="22"/>
      <c r="L224" s="22"/>
    </row>
    <row r="225" customFormat="false" ht="14.25" hidden="true" customHeight="true" outlineLevel="0" collapsed="false">
      <c r="A225" s="22" t="s">
        <v>1158</v>
      </c>
      <c r="B225" s="22" t="s">
        <v>455</v>
      </c>
      <c r="C225" s="23" t="n">
        <v>45554</v>
      </c>
      <c r="D225" s="23" t="n">
        <v>45561</v>
      </c>
      <c r="E225" s="22" t="n">
        <v>0</v>
      </c>
      <c r="F225" s="22"/>
      <c r="G225" s="22" t="s">
        <v>1159</v>
      </c>
      <c r="H225" s="22" t="s">
        <v>1160</v>
      </c>
      <c r="I225" s="22" t="s">
        <v>1161</v>
      </c>
      <c r="J225" s="22" t="s">
        <v>459</v>
      </c>
      <c r="K225" s="22"/>
      <c r="L225" s="22"/>
    </row>
    <row r="226" customFormat="false" ht="14.25" hidden="true" customHeight="true" outlineLevel="0" collapsed="false">
      <c r="A226" s="22" t="s">
        <v>1162</v>
      </c>
      <c r="B226" s="22" t="s">
        <v>455</v>
      </c>
      <c r="C226" s="23" t="n">
        <v>45554</v>
      </c>
      <c r="D226" s="23" t="n">
        <v>45563</v>
      </c>
      <c r="E226" s="22" t="n">
        <v>0</v>
      </c>
      <c r="F226" s="22"/>
      <c r="G226" s="22" t="s">
        <v>1163</v>
      </c>
      <c r="H226" s="22" t="s">
        <v>1164</v>
      </c>
      <c r="I226" s="22" t="s">
        <v>1165</v>
      </c>
      <c r="J226" s="22" t="s">
        <v>459</v>
      </c>
      <c r="K226" s="22"/>
      <c r="L226" s="22"/>
    </row>
    <row r="227" customFormat="false" ht="14.25" hidden="true" customHeight="true" outlineLevel="0" collapsed="false">
      <c r="A227" s="22" t="s">
        <v>1166</v>
      </c>
      <c r="B227" s="22" t="s">
        <v>455</v>
      </c>
      <c r="C227" s="23" t="n">
        <v>45554</v>
      </c>
      <c r="D227" s="22"/>
      <c r="E227" s="22" t="n">
        <v>0</v>
      </c>
      <c r="F227" s="22"/>
      <c r="G227" s="22" t="s">
        <v>470</v>
      </c>
      <c r="H227" s="22" t="s">
        <v>471</v>
      </c>
      <c r="I227" s="22" t="s">
        <v>1167</v>
      </c>
      <c r="J227" s="22" t="s">
        <v>459</v>
      </c>
      <c r="K227" s="22"/>
      <c r="L227" s="22"/>
    </row>
    <row r="228" customFormat="false" ht="14.25" hidden="true" customHeight="true" outlineLevel="0" collapsed="false">
      <c r="A228" s="22" t="s">
        <v>1168</v>
      </c>
      <c r="B228" s="22" t="s">
        <v>455</v>
      </c>
      <c r="C228" s="23" t="n">
        <v>45558</v>
      </c>
      <c r="D228" s="22"/>
      <c r="E228" s="22" t="n">
        <v>1</v>
      </c>
      <c r="F228" s="22" t="s">
        <v>663</v>
      </c>
      <c r="G228" s="22" t="s">
        <v>470</v>
      </c>
      <c r="H228" s="22" t="s">
        <v>477</v>
      </c>
      <c r="I228" s="22" t="s">
        <v>1169</v>
      </c>
      <c r="J228" s="22" t="s">
        <v>459</v>
      </c>
      <c r="K228" s="22" t="s">
        <v>473</v>
      </c>
      <c r="L228" s="22" t="s">
        <v>474</v>
      </c>
    </row>
    <row r="229" customFormat="false" ht="14.25" hidden="true" customHeight="true" outlineLevel="0" collapsed="false">
      <c r="A229" s="22" t="s">
        <v>1170</v>
      </c>
      <c r="B229" s="22" t="s">
        <v>455</v>
      </c>
      <c r="C229" s="23" t="n">
        <v>45559</v>
      </c>
      <c r="D229" s="22"/>
      <c r="E229" s="22" t="n">
        <v>0</v>
      </c>
      <c r="F229" s="22"/>
      <c r="G229" s="22" t="s">
        <v>470</v>
      </c>
      <c r="H229" s="22" t="s">
        <v>471</v>
      </c>
      <c r="I229" s="22" t="s">
        <v>1171</v>
      </c>
      <c r="J229" s="22" t="s">
        <v>459</v>
      </c>
      <c r="K229" s="22"/>
      <c r="L229" s="22"/>
    </row>
    <row r="230" customFormat="false" ht="14.25" hidden="false" customHeight="true" outlineLevel="0" collapsed="false">
      <c r="A230" s="15" t="s">
        <v>1172</v>
      </c>
      <c r="B230" s="15" t="s">
        <v>483</v>
      </c>
      <c r="C230" s="24" t="n">
        <v>46080</v>
      </c>
      <c r="D230" s="15"/>
      <c r="E230" s="15" t="n">
        <v>1</v>
      </c>
      <c r="F230" s="15" t="s">
        <v>1173</v>
      </c>
      <c r="G230" s="15" t="s">
        <v>1174</v>
      </c>
      <c r="H230" s="15" t="s">
        <v>1175</v>
      </c>
      <c r="I230" s="15" t="s">
        <v>1176</v>
      </c>
      <c r="J230" s="15" t="s">
        <v>459</v>
      </c>
      <c r="K230" s="15" t="s">
        <v>809</v>
      </c>
      <c r="L230" s="15" t="s">
        <v>1177</v>
      </c>
    </row>
    <row r="231" customFormat="false" ht="14.25" hidden="true" customHeight="true" outlineLevel="0" collapsed="false">
      <c r="A231" s="22" t="s">
        <v>1178</v>
      </c>
      <c r="B231" s="22" t="s">
        <v>455</v>
      </c>
      <c r="C231" s="23" t="n">
        <v>45561</v>
      </c>
      <c r="D231" s="22"/>
      <c r="E231" s="22" t="n">
        <v>0</v>
      </c>
      <c r="F231" s="22"/>
      <c r="G231" s="22" t="s">
        <v>465</v>
      </c>
      <c r="H231" s="22" t="s">
        <v>492</v>
      </c>
      <c r="I231" s="22" t="s">
        <v>1179</v>
      </c>
      <c r="J231" s="22" t="s">
        <v>459</v>
      </c>
      <c r="K231" s="22"/>
      <c r="L231" s="22"/>
    </row>
    <row r="232" customFormat="false" ht="14.25" hidden="true" customHeight="true" outlineLevel="0" collapsed="false">
      <c r="A232" s="22" t="s">
        <v>1180</v>
      </c>
      <c r="B232" s="22" t="s">
        <v>455</v>
      </c>
      <c r="C232" s="23" t="n">
        <v>45561</v>
      </c>
      <c r="D232" s="22"/>
      <c r="E232" s="22" t="n">
        <v>0</v>
      </c>
      <c r="F232" s="22"/>
      <c r="G232" s="22" t="s">
        <v>470</v>
      </c>
      <c r="H232" s="22" t="s">
        <v>477</v>
      </c>
      <c r="I232" s="22" t="s">
        <v>1181</v>
      </c>
      <c r="J232" s="22" t="s">
        <v>459</v>
      </c>
      <c r="K232" s="22"/>
      <c r="L232" s="22"/>
    </row>
    <row r="233" customFormat="false" ht="14.25" hidden="false" customHeight="true" outlineLevel="0" collapsed="false">
      <c r="A233" s="15" t="s">
        <v>1182</v>
      </c>
      <c r="B233" s="15" t="s">
        <v>504</v>
      </c>
      <c r="C233" s="24" t="n">
        <v>46162</v>
      </c>
      <c r="D233" s="24" t="n">
        <v>46223</v>
      </c>
      <c r="E233" s="15" t="n">
        <v>1</v>
      </c>
      <c r="F233" s="15" t="s">
        <v>1183</v>
      </c>
      <c r="G233" s="15" t="s">
        <v>1184</v>
      </c>
      <c r="H233" s="15" t="s">
        <v>1185</v>
      </c>
      <c r="I233" s="15" t="s">
        <v>1186</v>
      </c>
      <c r="J233" s="15" t="s">
        <v>459</v>
      </c>
      <c r="K233" s="15" t="s">
        <v>809</v>
      </c>
      <c r="L233" s="15" t="s">
        <v>1187</v>
      </c>
    </row>
    <row r="234" customFormat="false" ht="14.25" hidden="true" customHeight="true" outlineLevel="0" collapsed="false">
      <c r="A234" s="22" t="s">
        <v>1188</v>
      </c>
      <c r="B234" s="22" t="s">
        <v>455</v>
      </c>
      <c r="C234" s="23" t="n">
        <v>45562</v>
      </c>
      <c r="D234" s="23" t="n">
        <v>45658</v>
      </c>
      <c r="E234" s="22" t="n">
        <v>1</v>
      </c>
      <c r="F234" s="22" t="s">
        <v>1189</v>
      </c>
      <c r="G234" s="22" t="s">
        <v>1190</v>
      </c>
      <c r="H234" s="22" t="s">
        <v>1191</v>
      </c>
      <c r="I234" s="22" t="s">
        <v>1192</v>
      </c>
      <c r="J234" s="22" t="s">
        <v>459</v>
      </c>
      <c r="K234" s="22" t="s">
        <v>473</v>
      </c>
      <c r="L234" s="22" t="s">
        <v>1193</v>
      </c>
    </row>
    <row r="235" customFormat="false" ht="14.25" hidden="false" customHeight="true" outlineLevel="0" collapsed="false">
      <c r="A235" s="15" t="s">
        <v>1194</v>
      </c>
      <c r="B235" s="15" t="s">
        <v>455</v>
      </c>
      <c r="C235" s="24" t="n">
        <v>45321</v>
      </c>
      <c r="D235" s="15"/>
      <c r="E235" s="15" t="n">
        <v>1</v>
      </c>
      <c r="F235" s="15" t="s">
        <v>1195</v>
      </c>
      <c r="G235" s="15" t="s">
        <v>1196</v>
      </c>
      <c r="H235" s="15" t="s">
        <v>1197</v>
      </c>
      <c r="I235" s="15" t="s">
        <v>1198</v>
      </c>
      <c r="J235" s="15" t="s">
        <v>459</v>
      </c>
      <c r="K235" s="15" t="s">
        <v>1199</v>
      </c>
      <c r="L235" s="15" t="s">
        <v>1200</v>
      </c>
    </row>
    <row r="236" customFormat="false" ht="14.25" hidden="true" customHeight="true" outlineLevel="0" collapsed="false">
      <c r="A236" s="22" t="s">
        <v>1201</v>
      </c>
      <c r="B236" s="22" t="s">
        <v>455</v>
      </c>
      <c r="C236" s="23" t="n">
        <v>45565</v>
      </c>
      <c r="D236" s="22"/>
      <c r="E236" s="22" t="n">
        <v>0</v>
      </c>
      <c r="F236" s="22"/>
      <c r="G236" s="22" t="s">
        <v>470</v>
      </c>
      <c r="H236" s="22" t="s">
        <v>477</v>
      </c>
      <c r="I236" s="22" t="s">
        <v>1202</v>
      </c>
      <c r="J236" s="22" t="s">
        <v>459</v>
      </c>
      <c r="K236" s="22"/>
      <c r="L236" s="22"/>
    </row>
    <row r="237" customFormat="false" ht="14.25" hidden="true" customHeight="true" outlineLevel="0" collapsed="false">
      <c r="A237" s="22" t="s">
        <v>1203</v>
      </c>
      <c r="B237" s="22" t="s">
        <v>455</v>
      </c>
      <c r="C237" s="23" t="n">
        <v>45565</v>
      </c>
      <c r="D237" s="22"/>
      <c r="E237" s="22" t="n">
        <v>0</v>
      </c>
      <c r="F237" s="22"/>
      <c r="G237" s="22" t="s">
        <v>465</v>
      </c>
      <c r="H237" s="22" t="s">
        <v>492</v>
      </c>
      <c r="I237" s="22" t="s">
        <v>1204</v>
      </c>
      <c r="J237" s="22" t="s">
        <v>459</v>
      </c>
      <c r="K237" s="22"/>
      <c r="L237" s="22"/>
    </row>
    <row r="238" customFormat="false" ht="14.25" hidden="true" customHeight="true" outlineLevel="0" collapsed="false">
      <c r="A238" s="22" t="s">
        <v>1205</v>
      </c>
      <c r="B238" s="22" t="s">
        <v>504</v>
      </c>
      <c r="C238" s="23" t="n">
        <v>45566</v>
      </c>
      <c r="D238" s="23" t="n">
        <v>45566</v>
      </c>
      <c r="E238" s="22" t="n">
        <v>0</v>
      </c>
      <c r="F238" s="22"/>
      <c r="G238" s="22" t="s">
        <v>1206</v>
      </c>
      <c r="H238" s="22" t="s">
        <v>1207</v>
      </c>
      <c r="I238" s="22" t="s">
        <v>1208</v>
      </c>
      <c r="J238" s="22" t="s">
        <v>459</v>
      </c>
      <c r="K238" s="22"/>
      <c r="L238" s="22"/>
    </row>
    <row r="239" customFormat="false" ht="14.25" hidden="true" customHeight="true" outlineLevel="0" collapsed="false">
      <c r="A239" s="22" t="s">
        <v>1209</v>
      </c>
      <c r="B239" s="22" t="s">
        <v>455</v>
      </c>
      <c r="C239" s="23" t="n">
        <v>45566</v>
      </c>
      <c r="D239" s="22"/>
      <c r="E239" s="22" t="n">
        <v>0</v>
      </c>
      <c r="F239" s="22"/>
      <c r="G239" s="22" t="s">
        <v>465</v>
      </c>
      <c r="H239" s="22" t="s">
        <v>492</v>
      </c>
      <c r="I239" s="22" t="s">
        <v>1210</v>
      </c>
      <c r="J239" s="22" t="s">
        <v>459</v>
      </c>
      <c r="K239" s="22"/>
      <c r="L239" s="22"/>
    </row>
    <row r="240" customFormat="false" ht="14.25" hidden="true" customHeight="true" outlineLevel="0" collapsed="false">
      <c r="A240" s="22" t="s">
        <v>1211</v>
      </c>
      <c r="B240" s="22" t="s">
        <v>504</v>
      </c>
      <c r="C240" s="23" t="n">
        <v>45567</v>
      </c>
      <c r="D240" s="23" t="n">
        <v>45566</v>
      </c>
      <c r="E240" s="22" t="n">
        <v>0</v>
      </c>
      <c r="F240" s="22"/>
      <c r="G240" s="22" t="s">
        <v>1212</v>
      </c>
      <c r="H240" s="22" t="s">
        <v>1213</v>
      </c>
      <c r="I240" s="22" t="s">
        <v>1214</v>
      </c>
      <c r="J240" s="22" t="s">
        <v>459</v>
      </c>
      <c r="K240" s="22"/>
      <c r="L240" s="22"/>
    </row>
    <row r="241" customFormat="false" ht="14.25" hidden="true" customHeight="true" outlineLevel="0" collapsed="false">
      <c r="A241" s="22" t="s">
        <v>1215</v>
      </c>
      <c r="B241" s="22" t="s">
        <v>504</v>
      </c>
      <c r="C241" s="23" t="n">
        <v>45567</v>
      </c>
      <c r="D241" s="23" t="n">
        <v>45566</v>
      </c>
      <c r="E241" s="22" t="n">
        <v>0</v>
      </c>
      <c r="F241" s="22"/>
      <c r="G241" s="22" t="s">
        <v>1216</v>
      </c>
      <c r="H241" s="22" t="s">
        <v>1217</v>
      </c>
      <c r="I241" s="22" t="s">
        <v>1218</v>
      </c>
      <c r="J241" s="22" t="s">
        <v>459</v>
      </c>
      <c r="K241" s="22"/>
      <c r="L241" s="22"/>
    </row>
    <row r="242" customFormat="false" ht="14.25" hidden="true" customHeight="true" outlineLevel="0" collapsed="false">
      <c r="A242" s="22" t="s">
        <v>1219</v>
      </c>
      <c r="B242" s="22" t="s">
        <v>504</v>
      </c>
      <c r="C242" s="23" t="n">
        <v>45567</v>
      </c>
      <c r="D242" s="23" t="n">
        <v>45566</v>
      </c>
      <c r="E242" s="22" t="n">
        <v>0</v>
      </c>
      <c r="F242" s="22"/>
      <c r="G242" s="22" t="s">
        <v>870</v>
      </c>
      <c r="H242" s="22" t="s">
        <v>1220</v>
      </c>
      <c r="I242" s="22" t="s">
        <v>1221</v>
      </c>
      <c r="J242" s="22" t="s">
        <v>459</v>
      </c>
      <c r="K242" s="22"/>
      <c r="L242" s="22"/>
    </row>
    <row r="243" customFormat="false" ht="14.25" hidden="true" customHeight="true" outlineLevel="0" collapsed="false">
      <c r="A243" s="22" t="s">
        <v>1222</v>
      </c>
      <c r="B243" s="22" t="s">
        <v>504</v>
      </c>
      <c r="C243" s="23" t="n">
        <v>45567</v>
      </c>
      <c r="D243" s="23" t="n">
        <v>45566</v>
      </c>
      <c r="E243" s="22" t="n">
        <v>0</v>
      </c>
      <c r="F243" s="22"/>
      <c r="G243" s="22" t="s">
        <v>1223</v>
      </c>
      <c r="H243" s="22" t="s">
        <v>1224</v>
      </c>
      <c r="I243" s="22" t="s">
        <v>1225</v>
      </c>
      <c r="J243" s="22" t="s">
        <v>459</v>
      </c>
      <c r="K243" s="22"/>
      <c r="L243" s="22"/>
    </row>
    <row r="244" customFormat="false" ht="14.25" hidden="true" customHeight="true" outlineLevel="0" collapsed="false">
      <c r="A244" s="22" t="s">
        <v>1226</v>
      </c>
      <c r="B244" s="22" t="s">
        <v>455</v>
      </c>
      <c r="C244" s="23" t="n">
        <v>45567</v>
      </c>
      <c r="D244" s="22"/>
      <c r="E244" s="22" t="n">
        <v>1</v>
      </c>
      <c r="F244" s="22" t="s">
        <v>769</v>
      </c>
      <c r="G244" s="22" t="s">
        <v>470</v>
      </c>
      <c r="H244" s="22" t="s">
        <v>477</v>
      </c>
      <c r="I244" s="22" t="s">
        <v>1227</v>
      </c>
      <c r="J244" s="22" t="s">
        <v>459</v>
      </c>
      <c r="K244" s="22" t="s">
        <v>473</v>
      </c>
      <c r="L244" s="22" t="s">
        <v>474</v>
      </c>
    </row>
    <row r="245" customFormat="false" ht="14.25" hidden="true" customHeight="true" outlineLevel="0" collapsed="false">
      <c r="A245" s="22" t="s">
        <v>1228</v>
      </c>
      <c r="B245" s="22" t="s">
        <v>504</v>
      </c>
      <c r="C245" s="23" t="n">
        <v>45568</v>
      </c>
      <c r="D245" s="23" t="n">
        <v>45565</v>
      </c>
      <c r="E245" s="22" t="n">
        <v>0</v>
      </c>
      <c r="F245" s="22"/>
      <c r="G245" s="22" t="s">
        <v>1229</v>
      </c>
      <c r="H245" s="22" t="s">
        <v>1230</v>
      </c>
      <c r="I245" s="22" t="s">
        <v>1231</v>
      </c>
      <c r="J245" s="22" t="s">
        <v>459</v>
      </c>
      <c r="K245" s="22"/>
      <c r="L245" s="22"/>
    </row>
    <row r="246" customFormat="false" ht="14.25" hidden="true" customHeight="true" outlineLevel="0" collapsed="false">
      <c r="A246" s="22" t="s">
        <v>1232</v>
      </c>
      <c r="B246" s="22" t="s">
        <v>455</v>
      </c>
      <c r="C246" s="23" t="n">
        <v>45569</v>
      </c>
      <c r="D246" s="22"/>
      <c r="E246" s="22" t="n">
        <v>0</v>
      </c>
      <c r="F246" s="22"/>
      <c r="G246" s="22" t="s">
        <v>465</v>
      </c>
      <c r="H246" s="22" t="s">
        <v>492</v>
      </c>
      <c r="I246" s="22" t="s">
        <v>1233</v>
      </c>
      <c r="J246" s="22" t="s">
        <v>459</v>
      </c>
      <c r="K246" s="22"/>
      <c r="L246" s="22"/>
    </row>
    <row r="247" customFormat="false" ht="14.25" hidden="true" customHeight="true" outlineLevel="0" collapsed="false">
      <c r="A247" s="22" t="s">
        <v>1234</v>
      </c>
      <c r="B247" s="22" t="s">
        <v>455</v>
      </c>
      <c r="C247" s="23" t="n">
        <v>45573</v>
      </c>
      <c r="D247" s="22"/>
      <c r="E247" s="22" t="n">
        <v>0</v>
      </c>
      <c r="F247" s="22"/>
      <c r="G247" s="22" t="s">
        <v>470</v>
      </c>
      <c r="H247" s="22" t="s">
        <v>477</v>
      </c>
      <c r="I247" s="22" t="s">
        <v>1235</v>
      </c>
      <c r="J247" s="22" t="s">
        <v>459</v>
      </c>
      <c r="K247" s="22"/>
      <c r="L247" s="22"/>
    </row>
    <row r="248" customFormat="false" ht="14.25" hidden="true" customHeight="true" outlineLevel="0" collapsed="false">
      <c r="A248" s="22" t="s">
        <v>1236</v>
      </c>
      <c r="B248" s="22" t="s">
        <v>455</v>
      </c>
      <c r="C248" s="23" t="n">
        <v>45574</v>
      </c>
      <c r="D248" s="22"/>
      <c r="E248" s="22" t="n">
        <v>1</v>
      </c>
      <c r="F248" s="22" t="s">
        <v>1237</v>
      </c>
      <c r="G248" s="22" t="s">
        <v>465</v>
      </c>
      <c r="H248" s="22" t="s">
        <v>466</v>
      </c>
      <c r="I248" s="22" t="s">
        <v>1238</v>
      </c>
      <c r="J248" s="22" t="s">
        <v>459</v>
      </c>
      <c r="K248" s="22" t="s">
        <v>473</v>
      </c>
      <c r="L248" s="22" t="s">
        <v>474</v>
      </c>
    </row>
    <row r="249" customFormat="false" ht="14.25" hidden="false" customHeight="true" outlineLevel="0" collapsed="false">
      <c r="A249" s="15" t="s">
        <v>1239</v>
      </c>
      <c r="B249" s="15" t="s">
        <v>504</v>
      </c>
      <c r="C249" s="24" t="n">
        <v>45384</v>
      </c>
      <c r="D249" s="24" t="n">
        <v>45446</v>
      </c>
      <c r="E249" s="15" t="n">
        <v>1</v>
      </c>
      <c r="F249" s="15" t="s">
        <v>1240</v>
      </c>
      <c r="G249" s="15" t="s">
        <v>1241</v>
      </c>
      <c r="H249" s="15" t="s">
        <v>1242</v>
      </c>
      <c r="I249" s="15" t="s">
        <v>1243</v>
      </c>
      <c r="J249" s="15" t="s">
        <v>459</v>
      </c>
      <c r="K249" s="15" t="s">
        <v>1199</v>
      </c>
      <c r="L249" s="15" t="s">
        <v>1244</v>
      </c>
    </row>
    <row r="250" customFormat="false" ht="14.25" hidden="true" customHeight="true" outlineLevel="0" collapsed="false">
      <c r="A250" s="22" t="s">
        <v>1245</v>
      </c>
      <c r="B250" s="22" t="s">
        <v>455</v>
      </c>
      <c r="C250" s="23" t="n">
        <v>45575</v>
      </c>
      <c r="D250" s="22"/>
      <c r="E250" s="22" t="n">
        <v>0</v>
      </c>
      <c r="F250" s="22"/>
      <c r="G250" s="22" t="s">
        <v>1246</v>
      </c>
      <c r="H250" s="22" t="s">
        <v>1247</v>
      </c>
      <c r="I250" s="22" t="s">
        <v>1248</v>
      </c>
      <c r="J250" s="22" t="s">
        <v>459</v>
      </c>
      <c r="K250" s="22"/>
      <c r="L250" s="22"/>
    </row>
    <row r="251" customFormat="false" ht="14.25" hidden="false" customHeight="true" outlineLevel="0" collapsed="false">
      <c r="A251" s="15" t="s">
        <v>1249</v>
      </c>
      <c r="B251" s="15" t="s">
        <v>504</v>
      </c>
      <c r="C251" s="24" t="n">
        <v>45420</v>
      </c>
      <c r="D251" s="24" t="n">
        <v>45597</v>
      </c>
      <c r="E251" s="15" t="n">
        <v>1</v>
      </c>
      <c r="F251" s="15" t="s">
        <v>1250</v>
      </c>
      <c r="G251" s="15" t="s">
        <v>1251</v>
      </c>
      <c r="H251" s="15" t="s">
        <v>1252</v>
      </c>
      <c r="I251" s="15" t="s">
        <v>1253</v>
      </c>
      <c r="J251" s="15" t="s">
        <v>459</v>
      </c>
      <c r="K251" s="15" t="s">
        <v>1199</v>
      </c>
      <c r="L251" s="15" t="s">
        <v>1254</v>
      </c>
    </row>
    <row r="252" customFormat="false" ht="14.25" hidden="true" customHeight="true" outlineLevel="0" collapsed="false">
      <c r="A252" s="22" t="s">
        <v>1255</v>
      </c>
      <c r="B252" s="22" t="s">
        <v>455</v>
      </c>
      <c r="C252" s="23" t="n">
        <v>45580</v>
      </c>
      <c r="D252" s="22"/>
      <c r="E252" s="22" t="n">
        <v>0</v>
      </c>
      <c r="F252" s="22"/>
      <c r="G252" s="22" t="s">
        <v>470</v>
      </c>
      <c r="H252" s="22" t="s">
        <v>471</v>
      </c>
      <c r="I252" s="22" t="s">
        <v>1256</v>
      </c>
      <c r="J252" s="22" t="s">
        <v>459</v>
      </c>
      <c r="K252" s="22"/>
      <c r="L252" s="22"/>
    </row>
    <row r="253" customFormat="false" ht="14.25" hidden="true" customHeight="true" outlineLevel="0" collapsed="false">
      <c r="A253" s="22" t="s">
        <v>1257</v>
      </c>
      <c r="B253" s="22" t="s">
        <v>455</v>
      </c>
      <c r="C253" s="23" t="n">
        <v>45582</v>
      </c>
      <c r="D253" s="22"/>
      <c r="E253" s="22" t="n">
        <v>0</v>
      </c>
      <c r="F253" s="22"/>
      <c r="G253" s="22" t="s">
        <v>1258</v>
      </c>
      <c r="H253" s="22" t="s">
        <v>1259</v>
      </c>
      <c r="I253" s="22" t="s">
        <v>1260</v>
      </c>
      <c r="J253" s="22" t="s">
        <v>459</v>
      </c>
      <c r="K253" s="22"/>
      <c r="L253" s="22"/>
    </row>
    <row r="254" customFormat="false" ht="14.25" hidden="true" customHeight="true" outlineLevel="0" collapsed="false">
      <c r="A254" s="22" t="s">
        <v>1261</v>
      </c>
      <c r="B254" s="22" t="s">
        <v>455</v>
      </c>
      <c r="C254" s="23" t="n">
        <v>45586</v>
      </c>
      <c r="D254" s="22"/>
      <c r="E254" s="22" t="n">
        <v>1</v>
      </c>
      <c r="F254" s="22" t="s">
        <v>1063</v>
      </c>
      <c r="G254" s="22" t="s">
        <v>470</v>
      </c>
      <c r="H254" s="22" t="s">
        <v>477</v>
      </c>
      <c r="I254" s="22" t="s">
        <v>1262</v>
      </c>
      <c r="J254" s="22" t="s">
        <v>459</v>
      </c>
      <c r="K254" s="22" t="s">
        <v>473</v>
      </c>
      <c r="L254" s="22" t="s">
        <v>474</v>
      </c>
    </row>
    <row r="255" customFormat="false" ht="14.25" hidden="true" customHeight="true" outlineLevel="0" collapsed="false">
      <c r="A255" s="22" t="s">
        <v>1263</v>
      </c>
      <c r="B255" s="22" t="s">
        <v>455</v>
      </c>
      <c r="C255" s="23" t="n">
        <v>45586</v>
      </c>
      <c r="D255" s="22"/>
      <c r="E255" s="22" t="n">
        <v>1</v>
      </c>
      <c r="F255" s="22" t="s">
        <v>1264</v>
      </c>
      <c r="G255" s="22" t="s">
        <v>465</v>
      </c>
      <c r="H255" s="22" t="s">
        <v>492</v>
      </c>
      <c r="I255" s="22" t="s">
        <v>1265</v>
      </c>
      <c r="J255" s="22" t="s">
        <v>459</v>
      </c>
      <c r="K255" s="22" t="s">
        <v>473</v>
      </c>
      <c r="L255" s="22" t="s">
        <v>474</v>
      </c>
    </row>
    <row r="256" customFormat="false" ht="14.25" hidden="false" customHeight="true" outlineLevel="0" collapsed="false">
      <c r="A256" s="15" t="s">
        <v>1266</v>
      </c>
      <c r="B256" s="15" t="s">
        <v>504</v>
      </c>
      <c r="C256" s="24" t="n">
        <v>45460</v>
      </c>
      <c r="D256" s="24" t="n">
        <v>45490</v>
      </c>
      <c r="E256" s="15" t="n">
        <v>1</v>
      </c>
      <c r="F256" s="15" t="s">
        <v>1267</v>
      </c>
      <c r="G256" s="15" t="s">
        <v>1268</v>
      </c>
      <c r="H256" s="15" t="s">
        <v>1269</v>
      </c>
      <c r="I256" s="15" t="s">
        <v>1270</v>
      </c>
      <c r="J256" s="15" t="s">
        <v>459</v>
      </c>
      <c r="K256" s="15" t="s">
        <v>1199</v>
      </c>
      <c r="L256" s="15" t="s">
        <v>1271</v>
      </c>
    </row>
    <row r="257" customFormat="false" ht="14.25" hidden="true" customHeight="true" outlineLevel="0" collapsed="false">
      <c r="A257" s="22" t="s">
        <v>1272</v>
      </c>
      <c r="B257" s="22" t="s">
        <v>504</v>
      </c>
      <c r="C257" s="23" t="n">
        <v>45593</v>
      </c>
      <c r="D257" s="23" t="n">
        <v>45593</v>
      </c>
      <c r="E257" s="22" t="n">
        <v>0</v>
      </c>
      <c r="F257" s="22"/>
      <c r="G257" s="22" t="s">
        <v>1273</v>
      </c>
      <c r="H257" s="22" t="s">
        <v>1274</v>
      </c>
      <c r="I257" s="22" t="s">
        <v>1275</v>
      </c>
      <c r="J257" s="22" t="s">
        <v>459</v>
      </c>
      <c r="K257" s="22"/>
      <c r="L257" s="22"/>
    </row>
    <row r="258" customFormat="false" ht="14.25" hidden="true" customHeight="true" outlineLevel="0" collapsed="false">
      <c r="A258" s="22" t="s">
        <v>1276</v>
      </c>
      <c r="B258" s="22" t="s">
        <v>455</v>
      </c>
      <c r="C258" s="23" t="n">
        <v>45593</v>
      </c>
      <c r="D258" s="22"/>
      <c r="E258" s="22" t="n">
        <v>1</v>
      </c>
      <c r="F258" s="22" t="s">
        <v>769</v>
      </c>
      <c r="G258" s="22" t="s">
        <v>465</v>
      </c>
      <c r="H258" s="22" t="s">
        <v>492</v>
      </c>
      <c r="I258" s="22" t="s">
        <v>1277</v>
      </c>
      <c r="J258" s="22" t="s">
        <v>459</v>
      </c>
      <c r="K258" s="22" t="s">
        <v>473</v>
      </c>
      <c r="L258" s="22" t="s">
        <v>474</v>
      </c>
    </row>
    <row r="259" customFormat="false" ht="14.25" hidden="true" customHeight="true" outlineLevel="0" collapsed="false">
      <c r="A259" s="22" t="s">
        <v>1278</v>
      </c>
      <c r="B259" s="22" t="s">
        <v>455</v>
      </c>
      <c r="C259" s="23" t="n">
        <v>45593</v>
      </c>
      <c r="D259" s="22"/>
      <c r="E259" s="22" t="n">
        <v>1</v>
      </c>
      <c r="F259" s="22" t="s">
        <v>488</v>
      </c>
      <c r="G259" s="22" t="s">
        <v>470</v>
      </c>
      <c r="H259" s="22" t="s">
        <v>477</v>
      </c>
      <c r="I259" s="22" t="s">
        <v>1279</v>
      </c>
      <c r="J259" s="22" t="s">
        <v>459</v>
      </c>
      <c r="K259" s="22" t="s">
        <v>473</v>
      </c>
      <c r="L259" s="22" t="s">
        <v>474</v>
      </c>
    </row>
    <row r="260" customFormat="false" ht="14.25" hidden="true" customHeight="true" outlineLevel="0" collapsed="false">
      <c r="A260" s="22" t="s">
        <v>1280</v>
      </c>
      <c r="B260" s="22" t="s">
        <v>455</v>
      </c>
      <c r="C260" s="23" t="n">
        <v>45593</v>
      </c>
      <c r="D260" s="22"/>
      <c r="E260" s="22" t="n">
        <v>0</v>
      </c>
      <c r="F260" s="22"/>
      <c r="G260" s="22" t="s">
        <v>1281</v>
      </c>
      <c r="H260" s="22" t="s">
        <v>1282</v>
      </c>
      <c r="I260" s="22" t="s">
        <v>1283</v>
      </c>
      <c r="J260" s="22" t="s">
        <v>459</v>
      </c>
      <c r="K260" s="22"/>
      <c r="L260" s="22"/>
    </row>
    <row r="261" customFormat="false" ht="14.25" hidden="true" customHeight="true" outlineLevel="0" collapsed="false">
      <c r="A261" s="22" t="s">
        <v>1284</v>
      </c>
      <c r="B261" s="22" t="s">
        <v>455</v>
      </c>
      <c r="C261" s="23" t="n">
        <v>45595</v>
      </c>
      <c r="D261" s="22"/>
      <c r="E261" s="22" t="n">
        <v>0</v>
      </c>
      <c r="F261" s="22"/>
      <c r="G261" s="22" t="s">
        <v>465</v>
      </c>
      <c r="H261" s="22" t="s">
        <v>492</v>
      </c>
      <c r="I261" s="22" t="s">
        <v>1285</v>
      </c>
      <c r="J261" s="22" t="s">
        <v>459</v>
      </c>
      <c r="K261" s="22"/>
      <c r="L261" s="22"/>
    </row>
    <row r="262" customFormat="false" ht="14.25" hidden="true" customHeight="true" outlineLevel="0" collapsed="false">
      <c r="A262" s="22" t="s">
        <v>1286</v>
      </c>
      <c r="B262" s="22" t="s">
        <v>455</v>
      </c>
      <c r="C262" s="23" t="n">
        <v>45596</v>
      </c>
      <c r="D262" s="22"/>
      <c r="E262" s="22" t="n">
        <v>0</v>
      </c>
      <c r="F262" s="22"/>
      <c r="G262" s="22" t="s">
        <v>470</v>
      </c>
      <c r="H262" s="22" t="s">
        <v>477</v>
      </c>
      <c r="I262" s="22" t="s">
        <v>1287</v>
      </c>
      <c r="J262" s="22" t="s">
        <v>459</v>
      </c>
      <c r="K262" s="22"/>
      <c r="L262" s="22"/>
    </row>
    <row r="263" customFormat="false" ht="14.25" hidden="true" customHeight="true" outlineLevel="0" collapsed="false">
      <c r="A263" s="22" t="s">
        <v>1288</v>
      </c>
      <c r="B263" s="22" t="s">
        <v>455</v>
      </c>
      <c r="C263" s="23" t="n">
        <v>45596</v>
      </c>
      <c r="D263" s="22"/>
      <c r="E263" s="22" t="n">
        <v>1</v>
      </c>
      <c r="F263" s="22" t="s">
        <v>469</v>
      </c>
      <c r="G263" s="22" t="s">
        <v>470</v>
      </c>
      <c r="H263" s="22" t="s">
        <v>477</v>
      </c>
      <c r="I263" s="22" t="s">
        <v>1289</v>
      </c>
      <c r="J263" s="22" t="s">
        <v>459</v>
      </c>
      <c r="K263" s="22" t="s">
        <v>473</v>
      </c>
      <c r="L263" s="22" t="s">
        <v>474</v>
      </c>
    </row>
    <row r="264" customFormat="false" ht="14.25" hidden="true" customHeight="true" outlineLevel="0" collapsed="false">
      <c r="A264" s="22" t="s">
        <v>1290</v>
      </c>
      <c r="B264" s="22" t="s">
        <v>455</v>
      </c>
      <c r="C264" s="23" t="n">
        <v>45597</v>
      </c>
      <c r="D264" s="22"/>
      <c r="E264" s="22" t="n">
        <v>0</v>
      </c>
      <c r="F264" s="22"/>
      <c r="G264" s="22" t="s">
        <v>461</v>
      </c>
      <c r="H264" s="22" t="s">
        <v>462</v>
      </c>
      <c r="I264" s="22" t="s">
        <v>1291</v>
      </c>
      <c r="J264" s="22" t="s">
        <v>459</v>
      </c>
      <c r="K264" s="22"/>
      <c r="L264" s="22"/>
    </row>
    <row r="265" customFormat="false" ht="14.25" hidden="true" customHeight="true" outlineLevel="0" collapsed="false">
      <c r="A265" s="22" t="s">
        <v>1292</v>
      </c>
      <c r="B265" s="22" t="s">
        <v>455</v>
      </c>
      <c r="C265" s="23" t="n">
        <v>45597</v>
      </c>
      <c r="D265" s="22"/>
      <c r="E265" s="22" t="n">
        <v>0</v>
      </c>
      <c r="F265" s="22"/>
      <c r="G265" s="22" t="s">
        <v>465</v>
      </c>
      <c r="H265" s="22" t="s">
        <v>466</v>
      </c>
      <c r="I265" s="22" t="s">
        <v>1293</v>
      </c>
      <c r="J265" s="22" t="s">
        <v>459</v>
      </c>
      <c r="K265" s="22"/>
      <c r="L265" s="22"/>
    </row>
    <row r="266" customFormat="false" ht="14.25" hidden="true" customHeight="true" outlineLevel="0" collapsed="false">
      <c r="A266" s="22" t="s">
        <v>1294</v>
      </c>
      <c r="B266" s="22" t="s">
        <v>455</v>
      </c>
      <c r="C266" s="23" t="n">
        <v>45601</v>
      </c>
      <c r="D266" s="22"/>
      <c r="E266" s="22" t="n">
        <v>0</v>
      </c>
      <c r="F266" s="22"/>
      <c r="G266" s="22" t="s">
        <v>461</v>
      </c>
      <c r="H266" s="22" t="s">
        <v>462</v>
      </c>
      <c r="I266" s="22" t="s">
        <v>1295</v>
      </c>
      <c r="J266" s="22" t="s">
        <v>459</v>
      </c>
      <c r="K266" s="22"/>
      <c r="L266" s="22"/>
    </row>
    <row r="267" customFormat="false" ht="14.25" hidden="true" customHeight="true" outlineLevel="0" collapsed="false">
      <c r="A267" s="22" t="s">
        <v>1296</v>
      </c>
      <c r="B267" s="22" t="s">
        <v>455</v>
      </c>
      <c r="C267" s="23" t="n">
        <v>45602</v>
      </c>
      <c r="D267" s="22"/>
      <c r="E267" s="22" t="n">
        <v>0</v>
      </c>
      <c r="F267" s="22"/>
      <c r="G267" s="22" t="s">
        <v>470</v>
      </c>
      <c r="H267" s="22" t="s">
        <v>471</v>
      </c>
      <c r="I267" s="22" t="s">
        <v>1297</v>
      </c>
      <c r="J267" s="22" t="s">
        <v>459</v>
      </c>
      <c r="K267" s="22"/>
      <c r="L267" s="22"/>
    </row>
    <row r="268" customFormat="false" ht="14.25" hidden="true" customHeight="true" outlineLevel="0" collapsed="false">
      <c r="A268" s="22" t="s">
        <v>1298</v>
      </c>
      <c r="B268" s="22" t="s">
        <v>455</v>
      </c>
      <c r="C268" s="23" t="n">
        <v>45602</v>
      </c>
      <c r="D268" s="22"/>
      <c r="E268" s="22" t="n">
        <v>0</v>
      </c>
      <c r="F268" s="22"/>
      <c r="G268" s="22" t="s">
        <v>470</v>
      </c>
      <c r="H268" s="22" t="s">
        <v>477</v>
      </c>
      <c r="I268" s="22" t="s">
        <v>1299</v>
      </c>
      <c r="J268" s="22" t="s">
        <v>459</v>
      </c>
      <c r="K268" s="22"/>
      <c r="L268" s="22"/>
    </row>
    <row r="269" customFormat="false" ht="14.25" hidden="true" customHeight="true" outlineLevel="0" collapsed="false">
      <c r="A269" s="22" t="s">
        <v>1300</v>
      </c>
      <c r="B269" s="22" t="s">
        <v>455</v>
      </c>
      <c r="C269" s="23" t="n">
        <v>45602</v>
      </c>
      <c r="D269" s="22"/>
      <c r="E269" s="22" t="n">
        <v>1</v>
      </c>
      <c r="F269" s="22" t="s">
        <v>488</v>
      </c>
      <c r="G269" s="22" t="s">
        <v>465</v>
      </c>
      <c r="H269" s="22" t="s">
        <v>466</v>
      </c>
      <c r="I269" s="22" t="s">
        <v>1301</v>
      </c>
      <c r="J269" s="22" t="s">
        <v>459</v>
      </c>
      <c r="K269" s="22" t="s">
        <v>473</v>
      </c>
      <c r="L269" s="22" t="s">
        <v>474</v>
      </c>
    </row>
    <row r="270" customFormat="false" ht="14.25" hidden="true" customHeight="true" outlineLevel="0" collapsed="false">
      <c r="A270" s="22" t="s">
        <v>1302</v>
      </c>
      <c r="B270" s="22" t="s">
        <v>504</v>
      </c>
      <c r="C270" s="23" t="n">
        <v>45603</v>
      </c>
      <c r="D270" s="23" t="n">
        <v>45658</v>
      </c>
      <c r="E270" s="22" t="n">
        <v>1</v>
      </c>
      <c r="F270" s="22" t="s">
        <v>1303</v>
      </c>
      <c r="G270" s="22" t="s">
        <v>954</v>
      </c>
      <c r="H270" s="22" t="s">
        <v>1304</v>
      </c>
      <c r="I270" s="22" t="s">
        <v>1305</v>
      </c>
      <c r="J270" s="22" t="s">
        <v>459</v>
      </c>
      <c r="K270" s="22" t="s">
        <v>473</v>
      </c>
      <c r="L270" s="22" t="s">
        <v>554</v>
      </c>
    </row>
    <row r="271" customFormat="false" ht="14.25" hidden="true" customHeight="true" outlineLevel="0" collapsed="false">
      <c r="A271" s="22" t="s">
        <v>1306</v>
      </c>
      <c r="B271" s="22" t="s">
        <v>455</v>
      </c>
      <c r="C271" s="23" t="n">
        <v>45603</v>
      </c>
      <c r="D271" s="22"/>
      <c r="E271" s="22" t="n">
        <v>0</v>
      </c>
      <c r="F271" s="22"/>
      <c r="G271" s="22" t="s">
        <v>1307</v>
      </c>
      <c r="H271" s="22" t="s">
        <v>500</v>
      </c>
      <c r="I271" s="22" t="s">
        <v>1308</v>
      </c>
      <c r="J271" s="22" t="s">
        <v>459</v>
      </c>
      <c r="K271" s="22"/>
      <c r="L271" s="22"/>
    </row>
    <row r="272" customFormat="false" ht="14.25" hidden="true" customHeight="true" outlineLevel="0" collapsed="false">
      <c r="A272" s="22" t="s">
        <v>1309</v>
      </c>
      <c r="B272" s="22" t="s">
        <v>455</v>
      </c>
      <c r="C272" s="23" t="n">
        <v>45604</v>
      </c>
      <c r="D272" s="22"/>
      <c r="E272" s="22" t="n">
        <v>0</v>
      </c>
      <c r="F272" s="22"/>
      <c r="G272" s="22" t="s">
        <v>1310</v>
      </c>
      <c r="H272" s="22" t="s">
        <v>1311</v>
      </c>
      <c r="I272" s="22" t="s">
        <v>1312</v>
      </c>
      <c r="J272" s="22" t="s">
        <v>459</v>
      </c>
      <c r="K272" s="22"/>
      <c r="L272" s="22"/>
    </row>
    <row r="273" customFormat="false" ht="14.25" hidden="true" customHeight="true" outlineLevel="0" collapsed="false">
      <c r="A273" s="22" t="s">
        <v>1313</v>
      </c>
      <c r="B273" s="22" t="s">
        <v>455</v>
      </c>
      <c r="C273" s="23" t="n">
        <v>45604</v>
      </c>
      <c r="D273" s="22"/>
      <c r="E273" s="22" t="n">
        <v>1</v>
      </c>
      <c r="F273" s="22" t="s">
        <v>648</v>
      </c>
      <c r="G273" s="22" t="s">
        <v>470</v>
      </c>
      <c r="H273" s="22" t="s">
        <v>471</v>
      </c>
      <c r="I273" s="22" t="s">
        <v>1314</v>
      </c>
      <c r="J273" s="22" t="s">
        <v>459</v>
      </c>
      <c r="K273" s="22" t="s">
        <v>473</v>
      </c>
      <c r="L273" s="22" t="s">
        <v>474</v>
      </c>
    </row>
    <row r="274" customFormat="false" ht="14.25" hidden="true" customHeight="true" outlineLevel="0" collapsed="false">
      <c r="A274" s="22" t="s">
        <v>1315</v>
      </c>
      <c r="B274" s="22" t="s">
        <v>504</v>
      </c>
      <c r="C274" s="23" t="n">
        <v>45608</v>
      </c>
      <c r="D274" s="23" t="n">
        <v>45658</v>
      </c>
      <c r="E274" s="22" t="n">
        <v>1</v>
      </c>
      <c r="F274" s="22" t="s">
        <v>1316</v>
      </c>
      <c r="G274" s="22" t="s">
        <v>967</v>
      </c>
      <c r="H274" s="22" t="s">
        <v>1317</v>
      </c>
      <c r="I274" s="22" t="s">
        <v>1318</v>
      </c>
      <c r="J274" s="22" t="s">
        <v>459</v>
      </c>
      <c r="K274" s="22" t="s">
        <v>473</v>
      </c>
      <c r="L274" s="22" t="s">
        <v>554</v>
      </c>
    </row>
    <row r="275" customFormat="false" ht="14.25" hidden="true" customHeight="true" outlineLevel="0" collapsed="false">
      <c r="A275" s="22" t="s">
        <v>1319</v>
      </c>
      <c r="B275" s="22" t="s">
        <v>455</v>
      </c>
      <c r="C275" s="23" t="n">
        <v>45608</v>
      </c>
      <c r="D275" s="22"/>
      <c r="E275" s="22" t="n">
        <v>0</v>
      </c>
      <c r="F275" s="22"/>
      <c r="G275" s="22" t="s">
        <v>1320</v>
      </c>
      <c r="H275" s="22" t="s">
        <v>1321</v>
      </c>
      <c r="I275" s="22" t="s">
        <v>1322</v>
      </c>
      <c r="J275" s="22" t="s">
        <v>459</v>
      </c>
      <c r="K275" s="22"/>
      <c r="L275" s="22"/>
    </row>
    <row r="276" customFormat="false" ht="14.25" hidden="true" customHeight="true" outlineLevel="0" collapsed="false">
      <c r="A276" s="22" t="s">
        <v>1323</v>
      </c>
      <c r="B276" s="22" t="s">
        <v>455</v>
      </c>
      <c r="C276" s="23" t="n">
        <v>45608</v>
      </c>
      <c r="D276" s="22"/>
      <c r="E276" s="22" t="n">
        <v>0</v>
      </c>
      <c r="F276" s="22"/>
      <c r="G276" s="22" t="s">
        <v>1324</v>
      </c>
      <c r="H276" s="22" t="s">
        <v>1325</v>
      </c>
      <c r="I276" s="22" t="s">
        <v>1326</v>
      </c>
      <c r="J276" s="22" t="s">
        <v>459</v>
      </c>
      <c r="K276" s="22"/>
      <c r="L276" s="22"/>
    </row>
    <row r="277" customFormat="false" ht="14.25" hidden="true" customHeight="true" outlineLevel="0" collapsed="false">
      <c r="A277" s="22" t="s">
        <v>1327</v>
      </c>
      <c r="B277" s="22" t="s">
        <v>455</v>
      </c>
      <c r="C277" s="23" t="n">
        <v>45610</v>
      </c>
      <c r="D277" s="23" t="n">
        <v>45658</v>
      </c>
      <c r="E277" s="22" t="n">
        <v>0</v>
      </c>
      <c r="F277" s="22"/>
      <c r="G277" s="22" t="s">
        <v>1328</v>
      </c>
      <c r="H277" s="22" t="s">
        <v>1329</v>
      </c>
      <c r="I277" s="22" t="s">
        <v>1330</v>
      </c>
      <c r="J277" s="22" t="s">
        <v>459</v>
      </c>
      <c r="K277" s="22"/>
      <c r="L277" s="22"/>
    </row>
    <row r="278" customFormat="false" ht="14.25" hidden="true" customHeight="true" outlineLevel="0" collapsed="false">
      <c r="A278" s="22" t="s">
        <v>1331</v>
      </c>
      <c r="B278" s="22" t="s">
        <v>455</v>
      </c>
      <c r="C278" s="23" t="n">
        <v>45610</v>
      </c>
      <c r="D278" s="23" t="n">
        <v>45658</v>
      </c>
      <c r="E278" s="22" t="n">
        <v>0</v>
      </c>
      <c r="F278" s="22"/>
      <c r="G278" s="22" t="s">
        <v>1332</v>
      </c>
      <c r="H278" s="22" t="s">
        <v>1333</v>
      </c>
      <c r="I278" s="22" t="s">
        <v>1334</v>
      </c>
      <c r="J278" s="22" t="s">
        <v>459</v>
      </c>
      <c r="K278" s="22"/>
      <c r="L278" s="22"/>
    </row>
    <row r="279" customFormat="false" ht="14.25" hidden="false" customHeight="true" outlineLevel="0" collapsed="false">
      <c r="A279" s="15" t="s">
        <v>1335</v>
      </c>
      <c r="B279" s="15" t="s">
        <v>504</v>
      </c>
      <c r="C279" s="24" t="n">
        <v>45474</v>
      </c>
      <c r="D279" s="24" t="n">
        <v>45504</v>
      </c>
      <c r="E279" s="15" t="n">
        <v>1</v>
      </c>
      <c r="F279" s="15" t="s">
        <v>1336</v>
      </c>
      <c r="G279" s="15" t="s">
        <v>1337</v>
      </c>
      <c r="H279" s="15" t="s">
        <v>1338</v>
      </c>
      <c r="I279" s="15" t="s">
        <v>1339</v>
      </c>
      <c r="J279" s="15" t="s">
        <v>459</v>
      </c>
      <c r="K279" s="15" t="s">
        <v>1199</v>
      </c>
      <c r="L279" s="15" t="s">
        <v>1340</v>
      </c>
    </row>
    <row r="280" customFormat="false" ht="14.25" hidden="true" customHeight="true" outlineLevel="0" collapsed="false">
      <c r="A280" s="22" t="s">
        <v>1341</v>
      </c>
      <c r="B280" s="22" t="s">
        <v>455</v>
      </c>
      <c r="C280" s="23" t="n">
        <v>45614</v>
      </c>
      <c r="D280" s="22"/>
      <c r="E280" s="22" t="n">
        <v>0</v>
      </c>
      <c r="F280" s="22"/>
      <c r="G280" s="22" t="s">
        <v>461</v>
      </c>
      <c r="H280" s="22" t="s">
        <v>462</v>
      </c>
      <c r="I280" s="22" t="s">
        <v>1342</v>
      </c>
      <c r="J280" s="22" t="s">
        <v>459</v>
      </c>
      <c r="K280" s="22"/>
      <c r="L280" s="22"/>
    </row>
    <row r="281" customFormat="false" ht="14.25" hidden="true" customHeight="true" outlineLevel="0" collapsed="false">
      <c r="A281" s="22" t="s">
        <v>1343</v>
      </c>
      <c r="B281" s="22" t="s">
        <v>455</v>
      </c>
      <c r="C281" s="23" t="n">
        <v>45616</v>
      </c>
      <c r="D281" s="22"/>
      <c r="E281" s="22" t="n">
        <v>0</v>
      </c>
      <c r="F281" s="22"/>
      <c r="G281" s="22" t="s">
        <v>465</v>
      </c>
      <c r="H281" s="22" t="s">
        <v>466</v>
      </c>
      <c r="I281" s="22" t="s">
        <v>1344</v>
      </c>
      <c r="J281" s="22" t="s">
        <v>459</v>
      </c>
      <c r="K281" s="22"/>
      <c r="L281" s="22"/>
    </row>
    <row r="282" customFormat="false" ht="14.25" hidden="true" customHeight="true" outlineLevel="0" collapsed="false">
      <c r="A282" s="22" t="s">
        <v>1345</v>
      </c>
      <c r="B282" s="22" t="s">
        <v>455</v>
      </c>
      <c r="C282" s="23" t="n">
        <v>45618</v>
      </c>
      <c r="D282" s="22"/>
      <c r="E282" s="22" t="n">
        <v>1</v>
      </c>
      <c r="F282" s="22" t="s">
        <v>1346</v>
      </c>
      <c r="G282" s="22" t="s">
        <v>465</v>
      </c>
      <c r="H282" s="22" t="s">
        <v>466</v>
      </c>
      <c r="I282" s="22" t="s">
        <v>1347</v>
      </c>
      <c r="J282" s="22" t="s">
        <v>459</v>
      </c>
      <c r="K282" s="22" t="s">
        <v>473</v>
      </c>
      <c r="L282" s="22" t="s">
        <v>474</v>
      </c>
    </row>
    <row r="283" customFormat="false" ht="14.25" hidden="true" customHeight="true" outlineLevel="0" collapsed="false">
      <c r="A283" s="22" t="s">
        <v>1348</v>
      </c>
      <c r="B283" s="22" t="s">
        <v>455</v>
      </c>
      <c r="C283" s="23" t="n">
        <v>45618</v>
      </c>
      <c r="D283" s="22"/>
      <c r="E283" s="22" t="n">
        <v>0</v>
      </c>
      <c r="F283" s="22"/>
      <c r="G283" s="22" t="s">
        <v>470</v>
      </c>
      <c r="H283" s="22" t="s">
        <v>471</v>
      </c>
      <c r="I283" s="22" t="s">
        <v>1349</v>
      </c>
      <c r="J283" s="22" t="s">
        <v>459</v>
      </c>
      <c r="K283" s="22"/>
      <c r="L283" s="22"/>
    </row>
    <row r="284" customFormat="false" ht="14.25" hidden="true" customHeight="true" outlineLevel="0" collapsed="false">
      <c r="A284" s="22" t="s">
        <v>1350</v>
      </c>
      <c r="B284" s="22" t="s">
        <v>455</v>
      </c>
      <c r="C284" s="23" t="n">
        <v>45621</v>
      </c>
      <c r="D284" s="22"/>
      <c r="E284" s="22" t="n">
        <v>1</v>
      </c>
      <c r="F284" s="22" t="s">
        <v>950</v>
      </c>
      <c r="G284" s="22" t="s">
        <v>470</v>
      </c>
      <c r="H284" s="22" t="s">
        <v>471</v>
      </c>
      <c r="I284" s="22" t="s">
        <v>1351</v>
      </c>
      <c r="J284" s="22" t="s">
        <v>459</v>
      </c>
      <c r="K284" s="22" t="s">
        <v>473</v>
      </c>
      <c r="L284" s="22" t="s">
        <v>474</v>
      </c>
    </row>
    <row r="285" customFormat="false" ht="14.25" hidden="true" customHeight="true" outlineLevel="0" collapsed="false">
      <c r="A285" s="22" t="s">
        <v>1352</v>
      </c>
      <c r="B285" s="22" t="s">
        <v>455</v>
      </c>
      <c r="C285" s="23" t="n">
        <v>45621</v>
      </c>
      <c r="D285" s="22"/>
      <c r="E285" s="22" t="n">
        <v>0</v>
      </c>
      <c r="F285" s="22"/>
      <c r="G285" s="22" t="s">
        <v>465</v>
      </c>
      <c r="H285" s="22" t="s">
        <v>466</v>
      </c>
      <c r="I285" s="22" t="s">
        <v>1353</v>
      </c>
      <c r="J285" s="22" t="s">
        <v>459</v>
      </c>
      <c r="K285" s="22"/>
      <c r="L285" s="22"/>
    </row>
    <row r="286" customFormat="false" ht="14.25" hidden="true" customHeight="true" outlineLevel="0" collapsed="false">
      <c r="A286" s="22" t="s">
        <v>1354</v>
      </c>
      <c r="B286" s="22" t="s">
        <v>504</v>
      </c>
      <c r="C286" s="23" t="n">
        <v>45623</v>
      </c>
      <c r="D286" s="23" t="n">
        <v>45658</v>
      </c>
      <c r="E286" s="22" t="n">
        <v>1</v>
      </c>
      <c r="F286" s="22" t="s">
        <v>1355</v>
      </c>
      <c r="G286" s="22" t="s">
        <v>1018</v>
      </c>
      <c r="H286" s="22" t="s">
        <v>1356</v>
      </c>
      <c r="I286" s="22" t="s">
        <v>1357</v>
      </c>
      <c r="J286" s="22" t="s">
        <v>459</v>
      </c>
      <c r="K286" s="22" t="s">
        <v>473</v>
      </c>
      <c r="L286" s="22" t="s">
        <v>554</v>
      </c>
    </row>
    <row r="287" customFormat="false" ht="14.25" hidden="true" customHeight="true" outlineLevel="0" collapsed="false">
      <c r="A287" s="22" t="s">
        <v>1358</v>
      </c>
      <c r="B287" s="22" t="s">
        <v>455</v>
      </c>
      <c r="C287" s="23" t="n">
        <v>45623</v>
      </c>
      <c r="D287" s="22"/>
      <c r="E287" s="22" t="n">
        <v>0</v>
      </c>
      <c r="F287" s="22"/>
      <c r="G287" s="22" t="s">
        <v>1359</v>
      </c>
      <c r="H287" s="22" t="s">
        <v>1360</v>
      </c>
      <c r="I287" s="22" t="s">
        <v>1361</v>
      </c>
      <c r="J287" s="22" t="s">
        <v>459</v>
      </c>
      <c r="K287" s="22"/>
      <c r="L287" s="22"/>
    </row>
    <row r="288" customFormat="false" ht="14.25" hidden="true" customHeight="true" outlineLevel="0" collapsed="false">
      <c r="A288" s="22" t="s">
        <v>1362</v>
      </c>
      <c r="B288" s="22" t="s">
        <v>455</v>
      </c>
      <c r="C288" s="23" t="n">
        <v>45623</v>
      </c>
      <c r="D288" s="22"/>
      <c r="E288" s="22" t="n">
        <v>1</v>
      </c>
      <c r="F288" s="22" t="s">
        <v>663</v>
      </c>
      <c r="G288" s="22" t="s">
        <v>470</v>
      </c>
      <c r="H288" s="22" t="s">
        <v>477</v>
      </c>
      <c r="I288" s="22" t="s">
        <v>1363</v>
      </c>
      <c r="J288" s="22" t="s">
        <v>459</v>
      </c>
      <c r="K288" s="22" t="s">
        <v>473</v>
      </c>
      <c r="L288" s="22" t="s">
        <v>474</v>
      </c>
    </row>
    <row r="289" customFormat="false" ht="14.25" hidden="true" customHeight="true" outlineLevel="0" collapsed="false">
      <c r="A289" s="22" t="s">
        <v>1364</v>
      </c>
      <c r="B289" s="22" t="s">
        <v>455</v>
      </c>
      <c r="C289" s="23" t="n">
        <v>45625</v>
      </c>
      <c r="D289" s="22"/>
      <c r="E289" s="22" t="n">
        <v>0</v>
      </c>
      <c r="F289" s="22"/>
      <c r="G289" s="22" t="s">
        <v>470</v>
      </c>
      <c r="H289" s="22" t="s">
        <v>477</v>
      </c>
      <c r="I289" s="22" t="s">
        <v>1365</v>
      </c>
      <c r="J289" s="22" t="s">
        <v>459</v>
      </c>
      <c r="K289" s="22"/>
      <c r="L289" s="22"/>
    </row>
    <row r="290" customFormat="false" ht="14.25" hidden="true" customHeight="true" outlineLevel="0" collapsed="false">
      <c r="A290" s="22" t="s">
        <v>1366</v>
      </c>
      <c r="B290" s="22" t="s">
        <v>455</v>
      </c>
      <c r="C290" s="23" t="n">
        <v>45628</v>
      </c>
      <c r="D290" s="22"/>
      <c r="E290" s="22" t="n">
        <v>0</v>
      </c>
      <c r="F290" s="22"/>
      <c r="G290" s="22" t="s">
        <v>465</v>
      </c>
      <c r="H290" s="22" t="s">
        <v>466</v>
      </c>
      <c r="I290" s="22" t="s">
        <v>1367</v>
      </c>
      <c r="J290" s="22" t="s">
        <v>459</v>
      </c>
      <c r="K290" s="22"/>
      <c r="L290" s="22"/>
    </row>
    <row r="291" customFormat="false" ht="14.25" hidden="true" customHeight="true" outlineLevel="0" collapsed="false">
      <c r="A291" s="22" t="s">
        <v>1368</v>
      </c>
      <c r="B291" s="22" t="s">
        <v>455</v>
      </c>
      <c r="C291" s="23" t="n">
        <v>45628</v>
      </c>
      <c r="D291" s="23" t="n">
        <v>45658</v>
      </c>
      <c r="E291" s="22" t="n">
        <v>0</v>
      </c>
      <c r="F291" s="22"/>
      <c r="G291" s="22" t="s">
        <v>1369</v>
      </c>
      <c r="H291" s="22" t="s">
        <v>1370</v>
      </c>
      <c r="I291" s="22" t="s">
        <v>1371</v>
      </c>
      <c r="J291" s="22" t="s">
        <v>459</v>
      </c>
      <c r="K291" s="22"/>
      <c r="L291" s="22"/>
    </row>
    <row r="292" customFormat="false" ht="14.25" hidden="true" customHeight="true" outlineLevel="0" collapsed="false">
      <c r="A292" s="22" t="s">
        <v>1372</v>
      </c>
      <c r="B292" s="22" t="s">
        <v>455</v>
      </c>
      <c r="C292" s="23" t="n">
        <v>45629</v>
      </c>
      <c r="D292" s="22"/>
      <c r="E292" s="22" t="n">
        <v>0</v>
      </c>
      <c r="F292" s="22"/>
      <c r="G292" s="22" t="s">
        <v>470</v>
      </c>
      <c r="H292" s="22" t="s">
        <v>471</v>
      </c>
      <c r="I292" s="22" t="s">
        <v>1373</v>
      </c>
      <c r="J292" s="22" t="s">
        <v>459</v>
      </c>
      <c r="K292" s="22"/>
      <c r="L292" s="22"/>
    </row>
    <row r="293" customFormat="false" ht="14.25" hidden="true" customHeight="true" outlineLevel="0" collapsed="false">
      <c r="A293" s="22" t="s">
        <v>1374</v>
      </c>
      <c r="B293" s="22" t="s">
        <v>504</v>
      </c>
      <c r="C293" s="23" t="n">
        <v>45630</v>
      </c>
      <c r="D293" s="23" t="n">
        <v>45660</v>
      </c>
      <c r="E293" s="22" t="n">
        <v>1</v>
      </c>
      <c r="F293" s="22" t="s">
        <v>1375</v>
      </c>
      <c r="G293" s="22" t="s">
        <v>833</v>
      </c>
      <c r="H293" s="22" t="s">
        <v>1376</v>
      </c>
      <c r="I293" s="22" t="s">
        <v>1377</v>
      </c>
      <c r="J293" s="22" t="s">
        <v>459</v>
      </c>
      <c r="K293" s="22" t="s">
        <v>473</v>
      </c>
      <c r="L293" s="22" t="s">
        <v>554</v>
      </c>
    </row>
    <row r="294" customFormat="false" ht="14.25" hidden="true" customHeight="true" outlineLevel="0" collapsed="false">
      <c r="A294" s="22" t="s">
        <v>1378</v>
      </c>
      <c r="B294" s="22" t="s">
        <v>455</v>
      </c>
      <c r="C294" s="23" t="n">
        <v>45631</v>
      </c>
      <c r="D294" s="22"/>
      <c r="E294" s="22" t="n">
        <v>1</v>
      </c>
      <c r="F294" s="22" t="s">
        <v>498</v>
      </c>
      <c r="G294" s="22" t="s">
        <v>465</v>
      </c>
      <c r="H294" s="22" t="s">
        <v>466</v>
      </c>
      <c r="I294" s="22" t="s">
        <v>1379</v>
      </c>
      <c r="J294" s="22" t="s">
        <v>459</v>
      </c>
      <c r="K294" s="22" t="s">
        <v>473</v>
      </c>
      <c r="L294" s="22" t="s">
        <v>474</v>
      </c>
    </row>
    <row r="295" customFormat="false" ht="14.25" hidden="true" customHeight="true" outlineLevel="0" collapsed="false">
      <c r="A295" s="22" t="s">
        <v>1380</v>
      </c>
      <c r="B295" s="22" t="s">
        <v>455</v>
      </c>
      <c r="C295" s="23" t="n">
        <v>45632</v>
      </c>
      <c r="D295" s="22"/>
      <c r="E295" s="22" t="n">
        <v>1</v>
      </c>
      <c r="F295" s="22" t="s">
        <v>673</v>
      </c>
      <c r="G295" s="22" t="s">
        <v>470</v>
      </c>
      <c r="H295" s="22" t="s">
        <v>471</v>
      </c>
      <c r="I295" s="22" t="s">
        <v>1381</v>
      </c>
      <c r="J295" s="22" t="s">
        <v>459</v>
      </c>
      <c r="K295" s="22" t="s">
        <v>473</v>
      </c>
      <c r="L295" s="22" t="s">
        <v>474</v>
      </c>
    </row>
    <row r="296" customFormat="false" ht="14.25" hidden="true" customHeight="true" outlineLevel="0" collapsed="false">
      <c r="A296" s="22" t="s">
        <v>1382</v>
      </c>
      <c r="B296" s="22" t="s">
        <v>455</v>
      </c>
      <c r="C296" s="23" t="n">
        <v>45632</v>
      </c>
      <c r="D296" s="22"/>
      <c r="E296" s="22" t="n">
        <v>0</v>
      </c>
      <c r="F296" s="22"/>
      <c r="G296" s="22" t="s">
        <v>461</v>
      </c>
      <c r="H296" s="22" t="s">
        <v>462</v>
      </c>
      <c r="I296" s="22" t="s">
        <v>1383</v>
      </c>
      <c r="J296" s="22" t="s">
        <v>459</v>
      </c>
      <c r="K296" s="22"/>
      <c r="L296" s="22"/>
    </row>
    <row r="297" customFormat="false" ht="14.25" hidden="true" customHeight="true" outlineLevel="0" collapsed="false">
      <c r="A297" s="22" t="s">
        <v>1384</v>
      </c>
      <c r="B297" s="22" t="s">
        <v>504</v>
      </c>
      <c r="C297" s="23" t="n">
        <v>45635</v>
      </c>
      <c r="D297" s="23" t="n">
        <v>45658</v>
      </c>
      <c r="E297" s="22" t="n">
        <v>1</v>
      </c>
      <c r="F297" s="22" t="s">
        <v>1385</v>
      </c>
      <c r="G297" s="22" t="s">
        <v>1042</v>
      </c>
      <c r="H297" s="22" t="s">
        <v>1386</v>
      </c>
      <c r="I297" s="22" t="s">
        <v>1387</v>
      </c>
      <c r="J297" s="22" t="s">
        <v>459</v>
      </c>
      <c r="K297" s="22" t="s">
        <v>473</v>
      </c>
      <c r="L297" s="22" t="s">
        <v>554</v>
      </c>
    </row>
    <row r="298" customFormat="false" ht="14.25" hidden="true" customHeight="true" outlineLevel="0" collapsed="false">
      <c r="A298" s="22" t="s">
        <v>1388</v>
      </c>
      <c r="B298" s="22" t="s">
        <v>455</v>
      </c>
      <c r="C298" s="23" t="n">
        <v>45635</v>
      </c>
      <c r="D298" s="22"/>
      <c r="E298" s="22" t="n">
        <v>0</v>
      </c>
      <c r="F298" s="22"/>
      <c r="G298" s="22" t="s">
        <v>470</v>
      </c>
      <c r="H298" s="22" t="s">
        <v>471</v>
      </c>
      <c r="I298" s="22" t="s">
        <v>1389</v>
      </c>
      <c r="J298" s="22" t="s">
        <v>459</v>
      </c>
      <c r="K298" s="22"/>
      <c r="L298" s="22"/>
    </row>
    <row r="299" customFormat="false" ht="14.25" hidden="false" customHeight="true" outlineLevel="0" collapsed="false">
      <c r="A299" s="15" t="s">
        <v>1390</v>
      </c>
      <c r="B299" s="15" t="s">
        <v>483</v>
      </c>
      <c r="C299" s="24" t="n">
        <v>45476</v>
      </c>
      <c r="D299" s="15"/>
      <c r="E299" s="15" t="n">
        <v>1</v>
      </c>
      <c r="F299" s="15" t="s">
        <v>1391</v>
      </c>
      <c r="G299" s="15" t="s">
        <v>1392</v>
      </c>
      <c r="H299" s="15" t="s">
        <v>1393</v>
      </c>
      <c r="I299" s="15" t="s">
        <v>1394</v>
      </c>
      <c r="J299" s="15" t="s">
        <v>459</v>
      </c>
      <c r="K299" s="15" t="s">
        <v>1199</v>
      </c>
      <c r="L299" s="15" t="s">
        <v>1340</v>
      </c>
    </row>
    <row r="300" customFormat="false" ht="14.25" hidden="true" customHeight="true" outlineLevel="0" collapsed="false">
      <c r="A300" s="22" t="s">
        <v>1395</v>
      </c>
      <c r="B300" s="22" t="s">
        <v>455</v>
      </c>
      <c r="C300" s="23" t="n">
        <v>45637</v>
      </c>
      <c r="D300" s="22"/>
      <c r="E300" s="22" t="n">
        <v>0</v>
      </c>
      <c r="F300" s="22"/>
      <c r="G300" s="22" t="s">
        <v>465</v>
      </c>
      <c r="H300" s="22" t="s">
        <v>492</v>
      </c>
      <c r="I300" s="22" t="s">
        <v>1396</v>
      </c>
      <c r="J300" s="22" t="s">
        <v>459</v>
      </c>
      <c r="K300" s="22"/>
      <c r="L300" s="22"/>
    </row>
    <row r="301" customFormat="false" ht="14.25" hidden="true" customHeight="true" outlineLevel="0" collapsed="false">
      <c r="A301" s="22" t="s">
        <v>1397</v>
      </c>
      <c r="B301" s="22" t="s">
        <v>455</v>
      </c>
      <c r="C301" s="23" t="n">
        <v>45637</v>
      </c>
      <c r="D301" s="22"/>
      <c r="E301" s="22" t="n">
        <v>0</v>
      </c>
      <c r="F301" s="22"/>
      <c r="G301" s="22" t="s">
        <v>1398</v>
      </c>
      <c r="H301" s="22" t="s">
        <v>1399</v>
      </c>
      <c r="I301" s="22" t="s">
        <v>1400</v>
      </c>
      <c r="J301" s="22" t="s">
        <v>459</v>
      </c>
      <c r="K301" s="22"/>
      <c r="L301" s="22"/>
    </row>
    <row r="302" customFormat="false" ht="14.25" hidden="true" customHeight="true" outlineLevel="0" collapsed="false">
      <c r="A302" s="22" t="s">
        <v>1401</v>
      </c>
      <c r="B302" s="22" t="s">
        <v>455</v>
      </c>
      <c r="C302" s="23" t="n">
        <v>45638</v>
      </c>
      <c r="D302" s="22"/>
      <c r="E302" s="22" t="n">
        <v>0</v>
      </c>
      <c r="F302" s="22"/>
      <c r="G302" s="22" t="s">
        <v>1402</v>
      </c>
      <c r="H302" s="22" t="s">
        <v>1403</v>
      </c>
      <c r="I302" s="22" t="s">
        <v>1404</v>
      </c>
      <c r="J302" s="22" t="s">
        <v>459</v>
      </c>
      <c r="K302" s="22"/>
      <c r="L302" s="22"/>
    </row>
    <row r="303" customFormat="false" ht="14.25" hidden="true" customHeight="true" outlineLevel="0" collapsed="false">
      <c r="A303" s="22" t="s">
        <v>1405</v>
      </c>
      <c r="B303" s="22" t="s">
        <v>455</v>
      </c>
      <c r="C303" s="23" t="n">
        <v>45639</v>
      </c>
      <c r="D303" s="22"/>
      <c r="E303" s="22" t="n">
        <v>1</v>
      </c>
      <c r="F303" s="22" t="s">
        <v>673</v>
      </c>
      <c r="G303" s="22" t="s">
        <v>470</v>
      </c>
      <c r="H303" s="22" t="s">
        <v>477</v>
      </c>
      <c r="I303" s="22" t="s">
        <v>1406</v>
      </c>
      <c r="J303" s="22" t="s">
        <v>459</v>
      </c>
      <c r="K303" s="22" t="s">
        <v>473</v>
      </c>
      <c r="L303" s="22" t="s">
        <v>474</v>
      </c>
    </row>
    <row r="304" customFormat="false" ht="14.25" hidden="true" customHeight="true" outlineLevel="0" collapsed="false">
      <c r="A304" s="22" t="s">
        <v>1407</v>
      </c>
      <c r="B304" s="22" t="s">
        <v>455</v>
      </c>
      <c r="C304" s="23" t="n">
        <v>45639</v>
      </c>
      <c r="D304" s="22"/>
      <c r="E304" s="22" t="n">
        <v>0</v>
      </c>
      <c r="F304" s="22"/>
      <c r="G304" s="22" t="s">
        <v>461</v>
      </c>
      <c r="H304" s="22" t="s">
        <v>462</v>
      </c>
      <c r="I304" s="22" t="s">
        <v>1408</v>
      </c>
      <c r="J304" s="22" t="s">
        <v>459</v>
      </c>
      <c r="K304" s="22"/>
      <c r="L304" s="22"/>
    </row>
    <row r="305" customFormat="false" ht="14.25" hidden="true" customHeight="true" outlineLevel="0" collapsed="false">
      <c r="A305" s="22" t="s">
        <v>1409</v>
      </c>
      <c r="B305" s="22" t="s">
        <v>455</v>
      </c>
      <c r="C305" s="23" t="n">
        <v>45639</v>
      </c>
      <c r="D305" s="22"/>
      <c r="E305" s="22" t="n">
        <v>0</v>
      </c>
      <c r="F305" s="22"/>
      <c r="G305" s="22" t="s">
        <v>465</v>
      </c>
      <c r="H305" s="22" t="s">
        <v>466</v>
      </c>
      <c r="I305" s="22" t="s">
        <v>1410</v>
      </c>
      <c r="J305" s="22" t="s">
        <v>459</v>
      </c>
      <c r="K305" s="22"/>
      <c r="L305" s="22"/>
    </row>
    <row r="306" customFormat="false" ht="14.25" hidden="true" customHeight="true" outlineLevel="0" collapsed="false">
      <c r="A306" s="22" t="s">
        <v>1411</v>
      </c>
      <c r="B306" s="22" t="s">
        <v>455</v>
      </c>
      <c r="C306" s="23" t="n">
        <v>45642</v>
      </c>
      <c r="D306" s="22"/>
      <c r="E306" s="22" t="n">
        <v>1</v>
      </c>
      <c r="F306" s="22" t="s">
        <v>1076</v>
      </c>
      <c r="G306" s="22" t="s">
        <v>465</v>
      </c>
      <c r="H306" s="22" t="s">
        <v>466</v>
      </c>
      <c r="I306" s="22" t="s">
        <v>1412</v>
      </c>
      <c r="J306" s="22" t="s">
        <v>459</v>
      </c>
      <c r="K306" s="22" t="s">
        <v>473</v>
      </c>
      <c r="L306" s="22" t="s">
        <v>474</v>
      </c>
    </row>
    <row r="307" customFormat="false" ht="14.25" hidden="true" customHeight="true" outlineLevel="0" collapsed="false">
      <c r="A307" s="22" t="s">
        <v>1413</v>
      </c>
      <c r="B307" s="22" t="s">
        <v>455</v>
      </c>
      <c r="C307" s="23" t="n">
        <v>45643</v>
      </c>
      <c r="D307" s="22"/>
      <c r="E307" s="22" t="n">
        <v>0</v>
      </c>
      <c r="F307" s="22"/>
      <c r="G307" s="22" t="s">
        <v>465</v>
      </c>
      <c r="H307" s="22" t="s">
        <v>492</v>
      </c>
      <c r="I307" s="22" t="s">
        <v>1414</v>
      </c>
      <c r="J307" s="22" t="s">
        <v>459</v>
      </c>
      <c r="K307" s="22"/>
      <c r="L307" s="22"/>
    </row>
    <row r="308" customFormat="false" ht="14.25" hidden="true" customHeight="true" outlineLevel="0" collapsed="false">
      <c r="A308" s="22" t="s">
        <v>1415</v>
      </c>
      <c r="B308" s="22" t="s">
        <v>455</v>
      </c>
      <c r="C308" s="23" t="n">
        <v>45643</v>
      </c>
      <c r="D308" s="22"/>
      <c r="E308" s="22" t="n">
        <v>0</v>
      </c>
      <c r="F308" s="22"/>
      <c r="G308" s="22" t="s">
        <v>971</v>
      </c>
      <c r="H308" s="22" t="s">
        <v>1416</v>
      </c>
      <c r="I308" s="22" t="s">
        <v>1417</v>
      </c>
      <c r="J308" s="22" t="s">
        <v>459</v>
      </c>
      <c r="K308" s="22"/>
      <c r="L308" s="22"/>
    </row>
    <row r="309" customFormat="false" ht="14.25" hidden="true" customHeight="true" outlineLevel="0" collapsed="false">
      <c r="A309" s="22" t="s">
        <v>1418</v>
      </c>
      <c r="B309" s="22" t="s">
        <v>455</v>
      </c>
      <c r="C309" s="23" t="n">
        <v>45645</v>
      </c>
      <c r="D309" s="22"/>
      <c r="E309" s="22" t="n">
        <v>0</v>
      </c>
      <c r="F309" s="22"/>
      <c r="G309" s="22" t="s">
        <v>465</v>
      </c>
      <c r="H309" s="22" t="s">
        <v>466</v>
      </c>
      <c r="I309" s="22" t="s">
        <v>1419</v>
      </c>
      <c r="J309" s="22" t="s">
        <v>459</v>
      </c>
      <c r="K309" s="22"/>
      <c r="L309" s="22"/>
    </row>
    <row r="310" customFormat="false" ht="14.25" hidden="true" customHeight="true" outlineLevel="0" collapsed="false">
      <c r="A310" s="22" t="s">
        <v>1420</v>
      </c>
      <c r="B310" s="22" t="s">
        <v>504</v>
      </c>
      <c r="C310" s="23" t="n">
        <v>45646</v>
      </c>
      <c r="D310" s="23" t="n">
        <v>45658</v>
      </c>
      <c r="E310" s="22" t="n">
        <v>0</v>
      </c>
      <c r="F310" s="22"/>
      <c r="G310" s="22" t="s">
        <v>1421</v>
      </c>
      <c r="H310" s="22" t="s">
        <v>1422</v>
      </c>
      <c r="I310" s="22" t="s">
        <v>1423</v>
      </c>
      <c r="J310" s="22" t="s">
        <v>459</v>
      </c>
      <c r="K310" s="22"/>
      <c r="L310" s="22"/>
    </row>
    <row r="311" customFormat="false" ht="14.25" hidden="true" customHeight="true" outlineLevel="0" collapsed="false">
      <c r="A311" s="22" t="s">
        <v>1424</v>
      </c>
      <c r="B311" s="22" t="s">
        <v>455</v>
      </c>
      <c r="C311" s="23" t="n">
        <v>45646</v>
      </c>
      <c r="D311" s="22"/>
      <c r="E311" s="22" t="n">
        <v>1</v>
      </c>
      <c r="F311" s="22" t="s">
        <v>535</v>
      </c>
      <c r="G311" s="22" t="s">
        <v>470</v>
      </c>
      <c r="H311" s="22" t="s">
        <v>477</v>
      </c>
      <c r="I311" s="22" t="s">
        <v>1425</v>
      </c>
      <c r="J311" s="22" t="s">
        <v>459</v>
      </c>
      <c r="K311" s="22" t="s">
        <v>473</v>
      </c>
      <c r="L311" s="22" t="s">
        <v>474</v>
      </c>
    </row>
    <row r="312" customFormat="false" ht="14.25" hidden="true" customHeight="true" outlineLevel="0" collapsed="false">
      <c r="A312" s="22" t="s">
        <v>1426</v>
      </c>
      <c r="B312" s="22" t="s">
        <v>455</v>
      </c>
      <c r="C312" s="23" t="n">
        <v>45649</v>
      </c>
      <c r="D312" s="22"/>
      <c r="E312" s="22" t="n">
        <v>0</v>
      </c>
      <c r="F312" s="22"/>
      <c r="G312" s="22" t="s">
        <v>465</v>
      </c>
      <c r="H312" s="22" t="s">
        <v>466</v>
      </c>
      <c r="I312" s="22" t="s">
        <v>1427</v>
      </c>
      <c r="J312" s="22" t="s">
        <v>459</v>
      </c>
      <c r="K312" s="22"/>
      <c r="L312" s="22"/>
    </row>
    <row r="313" customFormat="false" ht="14.25" hidden="true" customHeight="true" outlineLevel="0" collapsed="false">
      <c r="A313" s="22" t="s">
        <v>1428</v>
      </c>
      <c r="B313" s="22" t="s">
        <v>455</v>
      </c>
      <c r="C313" s="23" t="n">
        <v>45649</v>
      </c>
      <c r="D313" s="22"/>
      <c r="E313" s="22" t="n">
        <v>0</v>
      </c>
      <c r="F313" s="22"/>
      <c r="G313" s="22" t="s">
        <v>845</v>
      </c>
      <c r="H313" s="22" t="s">
        <v>1429</v>
      </c>
      <c r="I313" s="22" t="s">
        <v>1430</v>
      </c>
      <c r="J313" s="22" t="s">
        <v>459</v>
      </c>
      <c r="K313" s="22"/>
      <c r="L313" s="22"/>
    </row>
    <row r="314" customFormat="false" ht="14.25" hidden="true" customHeight="true" outlineLevel="0" collapsed="false">
      <c r="A314" s="22" t="s">
        <v>1431</v>
      </c>
      <c r="B314" s="22" t="s">
        <v>455</v>
      </c>
      <c r="C314" s="23" t="n">
        <v>45649</v>
      </c>
      <c r="D314" s="22"/>
      <c r="E314" s="22" t="n">
        <v>1</v>
      </c>
      <c r="F314" s="22" t="s">
        <v>1432</v>
      </c>
      <c r="G314" s="22" t="s">
        <v>470</v>
      </c>
      <c r="H314" s="22" t="s">
        <v>471</v>
      </c>
      <c r="I314" s="22" t="s">
        <v>1433</v>
      </c>
      <c r="J314" s="22" t="s">
        <v>459</v>
      </c>
      <c r="K314" s="22" t="s">
        <v>473</v>
      </c>
      <c r="L314" s="22" t="s">
        <v>474</v>
      </c>
    </row>
    <row r="315" customFormat="false" ht="14.25" hidden="true" customHeight="true" outlineLevel="0" collapsed="false">
      <c r="A315" s="22" t="s">
        <v>1434</v>
      </c>
      <c r="B315" s="22" t="s">
        <v>455</v>
      </c>
      <c r="C315" s="23" t="n">
        <v>45649</v>
      </c>
      <c r="D315" s="22"/>
      <c r="E315" s="22" t="n">
        <v>0</v>
      </c>
      <c r="F315" s="22"/>
      <c r="G315" s="22" t="s">
        <v>465</v>
      </c>
      <c r="H315" s="22" t="s">
        <v>466</v>
      </c>
      <c r="I315" s="22" t="s">
        <v>1435</v>
      </c>
      <c r="J315" s="22" t="s">
        <v>459</v>
      </c>
      <c r="K315" s="22"/>
      <c r="L315" s="22"/>
    </row>
    <row r="316" customFormat="false" ht="14.25" hidden="true" customHeight="true" outlineLevel="0" collapsed="false">
      <c r="A316" s="22" t="s">
        <v>1436</v>
      </c>
      <c r="B316" s="22" t="s">
        <v>455</v>
      </c>
      <c r="C316" s="23" t="n">
        <v>45652</v>
      </c>
      <c r="D316" s="22"/>
      <c r="E316" s="22" t="n">
        <v>0</v>
      </c>
      <c r="F316" s="22"/>
      <c r="G316" s="22" t="s">
        <v>1437</v>
      </c>
      <c r="H316" s="22" t="s">
        <v>1438</v>
      </c>
      <c r="I316" s="22" t="s">
        <v>1439</v>
      </c>
      <c r="J316" s="22" t="s">
        <v>459</v>
      </c>
      <c r="K316" s="22"/>
      <c r="L316" s="22"/>
    </row>
    <row r="317" customFormat="false" ht="14.25" hidden="true" customHeight="true" outlineLevel="0" collapsed="false">
      <c r="A317" s="22" t="s">
        <v>1440</v>
      </c>
      <c r="B317" s="22" t="s">
        <v>455</v>
      </c>
      <c r="C317" s="23" t="n">
        <v>45653</v>
      </c>
      <c r="D317" s="22"/>
      <c r="E317" s="22" t="n">
        <v>0</v>
      </c>
      <c r="F317" s="22"/>
      <c r="G317" s="22" t="s">
        <v>465</v>
      </c>
      <c r="H317" s="22" t="s">
        <v>466</v>
      </c>
      <c r="I317" s="22" t="s">
        <v>1441</v>
      </c>
      <c r="J317" s="22" t="s">
        <v>459</v>
      </c>
      <c r="K317" s="22"/>
      <c r="L317" s="22"/>
    </row>
    <row r="318" customFormat="false" ht="14.25" hidden="true" customHeight="true" outlineLevel="0" collapsed="false">
      <c r="A318" s="22" t="s">
        <v>1442</v>
      </c>
      <c r="B318" s="22" t="s">
        <v>504</v>
      </c>
      <c r="C318" s="23" t="n">
        <v>45656</v>
      </c>
      <c r="D318" s="23" t="n">
        <v>45656</v>
      </c>
      <c r="E318" s="22" t="n">
        <v>0</v>
      </c>
      <c r="F318" s="22"/>
      <c r="G318" s="22" t="s">
        <v>1443</v>
      </c>
      <c r="H318" s="22" t="s">
        <v>1444</v>
      </c>
      <c r="I318" s="22" t="s">
        <v>1445</v>
      </c>
      <c r="J318" s="22" t="s">
        <v>459</v>
      </c>
      <c r="K318" s="22"/>
      <c r="L318" s="22"/>
    </row>
    <row r="319" customFormat="false" ht="14.25" hidden="true" customHeight="true" outlineLevel="0" collapsed="false">
      <c r="A319" s="22" t="s">
        <v>1446</v>
      </c>
      <c r="B319" s="22" t="s">
        <v>455</v>
      </c>
      <c r="C319" s="23" t="n">
        <v>45660</v>
      </c>
      <c r="D319" s="22"/>
      <c r="E319" s="22" t="n">
        <v>0</v>
      </c>
      <c r="F319" s="22"/>
      <c r="G319" s="22" t="s">
        <v>465</v>
      </c>
      <c r="H319" s="22" t="s">
        <v>466</v>
      </c>
      <c r="I319" s="22" t="s">
        <v>1447</v>
      </c>
      <c r="J319" s="22" t="s">
        <v>459</v>
      </c>
      <c r="K319" s="22"/>
      <c r="L319" s="22"/>
    </row>
    <row r="320" customFormat="false" ht="14.25" hidden="true" customHeight="true" outlineLevel="0" collapsed="false">
      <c r="A320" s="22" t="s">
        <v>1448</v>
      </c>
      <c r="B320" s="22" t="s">
        <v>455</v>
      </c>
      <c r="C320" s="23" t="n">
        <v>45660</v>
      </c>
      <c r="D320" s="22"/>
      <c r="E320" s="22" t="n">
        <v>1</v>
      </c>
      <c r="F320" s="22" t="s">
        <v>1449</v>
      </c>
      <c r="G320" s="22" t="s">
        <v>465</v>
      </c>
      <c r="H320" s="22" t="s">
        <v>466</v>
      </c>
      <c r="I320" s="22" t="s">
        <v>1450</v>
      </c>
      <c r="J320" s="22" t="s">
        <v>459</v>
      </c>
      <c r="K320" s="22" t="s">
        <v>473</v>
      </c>
      <c r="L320" s="22" t="s">
        <v>474</v>
      </c>
    </row>
    <row r="321" customFormat="false" ht="14.25" hidden="true" customHeight="true" outlineLevel="0" collapsed="false">
      <c r="A321" s="22" t="s">
        <v>1451</v>
      </c>
      <c r="B321" s="22" t="s">
        <v>455</v>
      </c>
      <c r="C321" s="23" t="n">
        <v>45664</v>
      </c>
      <c r="D321" s="22"/>
      <c r="E321" s="22" t="n">
        <v>0</v>
      </c>
      <c r="F321" s="22"/>
      <c r="G321" s="22" t="s">
        <v>470</v>
      </c>
      <c r="H321" s="22"/>
      <c r="I321" s="22" t="s">
        <v>1452</v>
      </c>
      <c r="J321" s="22" t="s">
        <v>459</v>
      </c>
      <c r="K321" s="22"/>
      <c r="L321" s="22"/>
    </row>
    <row r="322" customFormat="false" ht="14.25" hidden="true" customHeight="true" outlineLevel="0" collapsed="false">
      <c r="A322" s="22" t="s">
        <v>1453</v>
      </c>
      <c r="B322" s="22" t="s">
        <v>455</v>
      </c>
      <c r="C322" s="23" t="n">
        <v>45667</v>
      </c>
      <c r="D322" s="22"/>
      <c r="E322" s="22" t="n">
        <v>0</v>
      </c>
      <c r="F322" s="22"/>
      <c r="G322" s="22" t="s">
        <v>856</v>
      </c>
      <c r="H322" s="22" t="s">
        <v>1454</v>
      </c>
      <c r="I322" s="22" t="s">
        <v>1455</v>
      </c>
      <c r="J322" s="22" t="s">
        <v>459</v>
      </c>
      <c r="K322" s="22"/>
      <c r="L322" s="22"/>
    </row>
    <row r="323" customFormat="false" ht="14.25" hidden="true" customHeight="true" outlineLevel="0" collapsed="false">
      <c r="A323" s="22" t="s">
        <v>1456</v>
      </c>
      <c r="B323" s="22" t="s">
        <v>455</v>
      </c>
      <c r="C323" s="23" t="n">
        <v>45667</v>
      </c>
      <c r="D323" s="22"/>
      <c r="E323" s="22" t="n">
        <v>0</v>
      </c>
      <c r="F323" s="22"/>
      <c r="G323" s="22" t="s">
        <v>465</v>
      </c>
      <c r="H323" s="22" t="s">
        <v>466</v>
      </c>
      <c r="I323" s="22" t="s">
        <v>1457</v>
      </c>
      <c r="J323" s="22" t="s">
        <v>459</v>
      </c>
      <c r="K323" s="22"/>
      <c r="L323" s="22"/>
    </row>
    <row r="324" customFormat="false" ht="14.25" hidden="true" customHeight="true" outlineLevel="0" collapsed="false">
      <c r="A324" s="22" t="s">
        <v>1458</v>
      </c>
      <c r="B324" s="22" t="s">
        <v>504</v>
      </c>
      <c r="C324" s="23" t="n">
        <v>45670</v>
      </c>
      <c r="D324" s="23" t="n">
        <v>45665</v>
      </c>
      <c r="E324" s="22" t="n">
        <v>0</v>
      </c>
      <c r="F324" s="22"/>
      <c r="G324" s="22" t="s">
        <v>1459</v>
      </c>
      <c r="H324" s="22" t="s">
        <v>1460</v>
      </c>
      <c r="I324" s="22" t="s">
        <v>1461</v>
      </c>
      <c r="J324" s="22" t="s">
        <v>459</v>
      </c>
      <c r="K324" s="22"/>
      <c r="L324" s="22"/>
    </row>
    <row r="325" customFormat="false" ht="14.25" hidden="true" customHeight="true" outlineLevel="0" collapsed="false">
      <c r="A325" s="22" t="s">
        <v>1462</v>
      </c>
      <c r="B325" s="22" t="s">
        <v>455</v>
      </c>
      <c r="C325" s="23" t="n">
        <v>45670</v>
      </c>
      <c r="D325" s="22"/>
      <c r="E325" s="22" t="n">
        <v>0</v>
      </c>
      <c r="F325" s="22"/>
      <c r="G325" s="22" t="s">
        <v>1463</v>
      </c>
      <c r="H325" s="22" t="s">
        <v>1464</v>
      </c>
      <c r="I325" s="22" t="s">
        <v>1465</v>
      </c>
      <c r="J325" s="22" t="s">
        <v>459</v>
      </c>
      <c r="K325" s="22"/>
      <c r="L325" s="22"/>
    </row>
    <row r="326" customFormat="false" ht="14.25" hidden="true" customHeight="true" outlineLevel="0" collapsed="false">
      <c r="A326" s="22" t="s">
        <v>1466</v>
      </c>
      <c r="B326" s="22" t="s">
        <v>455</v>
      </c>
      <c r="C326" s="23" t="n">
        <v>45671</v>
      </c>
      <c r="D326" s="22"/>
      <c r="E326" s="22" t="n">
        <v>0</v>
      </c>
      <c r="F326" s="22"/>
      <c r="G326" s="22" t="s">
        <v>1467</v>
      </c>
      <c r="H326" s="22" t="s">
        <v>1468</v>
      </c>
      <c r="I326" s="22" t="s">
        <v>1469</v>
      </c>
      <c r="J326" s="22" t="s">
        <v>459</v>
      </c>
      <c r="K326" s="22"/>
      <c r="L326" s="22"/>
    </row>
    <row r="327" customFormat="false" ht="14.25" hidden="true" customHeight="true" outlineLevel="0" collapsed="false">
      <c r="A327" s="22" t="s">
        <v>1470</v>
      </c>
      <c r="B327" s="22" t="s">
        <v>455</v>
      </c>
      <c r="C327" s="23" t="n">
        <v>45671</v>
      </c>
      <c r="D327" s="22"/>
      <c r="E327" s="22" t="n">
        <v>1</v>
      </c>
      <c r="F327" s="22" t="s">
        <v>673</v>
      </c>
      <c r="G327" s="22" t="s">
        <v>470</v>
      </c>
      <c r="H327" s="22" t="s">
        <v>471</v>
      </c>
      <c r="I327" s="22" t="s">
        <v>1471</v>
      </c>
      <c r="J327" s="22" t="s">
        <v>459</v>
      </c>
      <c r="K327" s="22" t="s">
        <v>473</v>
      </c>
      <c r="L327" s="22" t="s">
        <v>474</v>
      </c>
    </row>
    <row r="328" customFormat="false" ht="14.25" hidden="true" customHeight="true" outlineLevel="0" collapsed="false">
      <c r="A328" s="22" t="s">
        <v>1472</v>
      </c>
      <c r="B328" s="22" t="s">
        <v>455</v>
      </c>
      <c r="C328" s="23" t="n">
        <v>45671</v>
      </c>
      <c r="D328" s="22"/>
      <c r="E328" s="22" t="n">
        <v>0</v>
      </c>
      <c r="F328" s="22"/>
      <c r="G328" s="22" t="s">
        <v>465</v>
      </c>
      <c r="H328" s="22" t="s">
        <v>466</v>
      </c>
      <c r="I328" s="22" t="s">
        <v>1473</v>
      </c>
      <c r="J328" s="22" t="s">
        <v>459</v>
      </c>
      <c r="K328" s="22"/>
      <c r="L328" s="22"/>
    </row>
    <row r="329" customFormat="false" ht="14.25" hidden="true" customHeight="true" outlineLevel="0" collapsed="false">
      <c r="A329" s="22" t="s">
        <v>1474</v>
      </c>
      <c r="B329" s="22" t="s">
        <v>455</v>
      </c>
      <c r="C329" s="23" t="n">
        <v>45672</v>
      </c>
      <c r="D329" s="22"/>
      <c r="E329" s="22" t="n">
        <v>0</v>
      </c>
      <c r="F329" s="22"/>
      <c r="G329" s="22" t="s">
        <v>465</v>
      </c>
      <c r="H329" s="22" t="s">
        <v>492</v>
      </c>
      <c r="I329" s="22" t="s">
        <v>1475</v>
      </c>
      <c r="J329" s="22" t="s">
        <v>459</v>
      </c>
      <c r="K329" s="22"/>
      <c r="L329" s="22"/>
    </row>
    <row r="330" customFormat="false" ht="14.25" hidden="true" customHeight="true" outlineLevel="0" collapsed="false">
      <c r="A330" s="22" t="s">
        <v>1476</v>
      </c>
      <c r="B330" s="22" t="s">
        <v>455</v>
      </c>
      <c r="C330" s="23" t="n">
        <v>45672</v>
      </c>
      <c r="D330" s="22"/>
      <c r="E330" s="22" t="n">
        <v>0</v>
      </c>
      <c r="F330" s="22"/>
      <c r="G330" s="22" t="s">
        <v>470</v>
      </c>
      <c r="H330" s="22" t="s">
        <v>477</v>
      </c>
      <c r="I330" s="22" t="s">
        <v>1477</v>
      </c>
      <c r="J330" s="22" t="s">
        <v>459</v>
      </c>
      <c r="K330" s="22"/>
      <c r="L330" s="22"/>
    </row>
    <row r="331" customFormat="false" ht="14.25" hidden="true" customHeight="true" outlineLevel="0" collapsed="false">
      <c r="A331" s="22" t="s">
        <v>1478</v>
      </c>
      <c r="B331" s="22" t="s">
        <v>455</v>
      </c>
      <c r="C331" s="23" t="n">
        <v>45673</v>
      </c>
      <c r="D331" s="22"/>
      <c r="E331" s="22" t="n">
        <v>0</v>
      </c>
      <c r="F331" s="22"/>
      <c r="G331" s="22" t="s">
        <v>461</v>
      </c>
      <c r="H331" s="22" t="s">
        <v>462</v>
      </c>
      <c r="I331" s="22" t="s">
        <v>1479</v>
      </c>
      <c r="J331" s="22" t="s">
        <v>459</v>
      </c>
      <c r="K331" s="22"/>
      <c r="L331" s="22"/>
    </row>
    <row r="332" customFormat="false" ht="14.25" hidden="true" customHeight="true" outlineLevel="0" collapsed="false">
      <c r="A332" s="22" t="s">
        <v>1480</v>
      </c>
      <c r="B332" s="22" t="s">
        <v>455</v>
      </c>
      <c r="C332" s="23" t="n">
        <v>45674</v>
      </c>
      <c r="D332" s="22"/>
      <c r="E332" s="22" t="n">
        <v>0</v>
      </c>
      <c r="F332" s="22"/>
      <c r="G332" s="22" t="s">
        <v>465</v>
      </c>
      <c r="H332" s="22" t="s">
        <v>466</v>
      </c>
      <c r="I332" s="22" t="s">
        <v>1481</v>
      </c>
      <c r="J332" s="22" t="s">
        <v>459</v>
      </c>
      <c r="K332" s="22"/>
      <c r="L332" s="22"/>
    </row>
    <row r="333" customFormat="false" ht="14.25" hidden="true" customHeight="true" outlineLevel="0" collapsed="false">
      <c r="A333" s="22" t="s">
        <v>1482</v>
      </c>
      <c r="B333" s="22" t="s">
        <v>455</v>
      </c>
      <c r="C333" s="23" t="n">
        <v>45691</v>
      </c>
      <c r="D333" s="22"/>
      <c r="E333" s="22" t="n">
        <v>0</v>
      </c>
      <c r="F333" s="22"/>
      <c r="G333" s="22" t="s">
        <v>470</v>
      </c>
      <c r="H333" s="22" t="s">
        <v>477</v>
      </c>
      <c r="I333" s="22" t="s">
        <v>1483</v>
      </c>
      <c r="J333" s="22" t="s">
        <v>459</v>
      </c>
      <c r="K333" s="22"/>
      <c r="L333" s="22"/>
    </row>
    <row r="334" customFormat="false" ht="14.25" hidden="true" customHeight="true" outlineLevel="0" collapsed="false">
      <c r="A334" s="22" t="s">
        <v>1484</v>
      </c>
      <c r="B334" s="22" t="s">
        <v>455</v>
      </c>
      <c r="C334" s="23" t="n">
        <v>45692</v>
      </c>
      <c r="D334" s="22"/>
      <c r="E334" s="22" t="n">
        <v>0</v>
      </c>
      <c r="F334" s="22"/>
      <c r="G334" s="22" t="s">
        <v>1485</v>
      </c>
      <c r="H334" s="22" t="s">
        <v>1486</v>
      </c>
      <c r="I334" s="22" t="s">
        <v>1487</v>
      </c>
      <c r="J334" s="22" t="s">
        <v>459</v>
      </c>
      <c r="K334" s="22"/>
      <c r="L334" s="22"/>
    </row>
    <row r="335" customFormat="false" ht="14.25" hidden="true" customHeight="true" outlineLevel="0" collapsed="false">
      <c r="A335" s="22" t="s">
        <v>1488</v>
      </c>
      <c r="B335" s="22" t="s">
        <v>455</v>
      </c>
      <c r="C335" s="23" t="n">
        <v>45699</v>
      </c>
      <c r="D335" s="22"/>
      <c r="E335" s="22" t="n">
        <v>0</v>
      </c>
      <c r="F335" s="22"/>
      <c r="G335" s="22" t="s">
        <v>1489</v>
      </c>
      <c r="H335" s="22" t="s">
        <v>1490</v>
      </c>
      <c r="I335" s="22" t="s">
        <v>1491</v>
      </c>
      <c r="J335" s="22" t="s">
        <v>459</v>
      </c>
      <c r="K335" s="22"/>
      <c r="L335" s="22"/>
    </row>
    <row r="336" customFormat="false" ht="14.25" hidden="true" customHeight="true" outlineLevel="0" collapsed="false">
      <c r="A336" s="22" t="s">
        <v>1492</v>
      </c>
      <c r="B336" s="22" t="s">
        <v>455</v>
      </c>
      <c r="C336" s="23" t="n">
        <v>45699</v>
      </c>
      <c r="D336" s="22"/>
      <c r="E336" s="22" t="n">
        <v>0</v>
      </c>
      <c r="F336" s="22"/>
      <c r="G336" s="22" t="s">
        <v>1493</v>
      </c>
      <c r="H336" s="22" t="s">
        <v>1494</v>
      </c>
      <c r="I336" s="22" t="s">
        <v>1495</v>
      </c>
      <c r="J336" s="22" t="s">
        <v>459</v>
      </c>
      <c r="K336" s="22"/>
      <c r="L336" s="22"/>
    </row>
    <row r="337" customFormat="false" ht="14.25" hidden="true" customHeight="true" outlineLevel="0" collapsed="false">
      <c r="A337" s="22" t="s">
        <v>1496</v>
      </c>
      <c r="B337" s="22" t="s">
        <v>455</v>
      </c>
      <c r="C337" s="23" t="n">
        <v>45707</v>
      </c>
      <c r="D337" s="22"/>
      <c r="E337" s="22" t="n">
        <v>1</v>
      </c>
      <c r="F337" s="22" t="s">
        <v>673</v>
      </c>
      <c r="G337" s="22" t="s">
        <v>1497</v>
      </c>
      <c r="H337" s="22" t="s">
        <v>500</v>
      </c>
      <c r="I337" s="22" t="s">
        <v>1498</v>
      </c>
      <c r="J337" s="22" t="s">
        <v>459</v>
      </c>
      <c r="K337" s="22" t="s">
        <v>473</v>
      </c>
      <c r="L337" s="22" t="s">
        <v>502</v>
      </c>
    </row>
    <row r="338" customFormat="false" ht="14.25" hidden="true" customHeight="true" outlineLevel="0" collapsed="false">
      <c r="A338" s="22" t="s">
        <v>1499</v>
      </c>
      <c r="B338" s="22" t="s">
        <v>455</v>
      </c>
      <c r="C338" s="23" t="n">
        <v>45709</v>
      </c>
      <c r="D338" s="22"/>
      <c r="E338" s="22" t="n">
        <v>0</v>
      </c>
      <c r="F338" s="22"/>
      <c r="G338" s="22" t="s">
        <v>1500</v>
      </c>
      <c r="H338" s="22" t="s">
        <v>1501</v>
      </c>
      <c r="I338" s="22" t="s">
        <v>1502</v>
      </c>
      <c r="J338" s="22" t="s">
        <v>459</v>
      </c>
      <c r="K338" s="22"/>
      <c r="L338" s="22"/>
    </row>
    <row r="339" customFormat="false" ht="14.25" hidden="true" customHeight="true" outlineLevel="0" collapsed="false">
      <c r="A339" s="22" t="s">
        <v>1503</v>
      </c>
      <c r="B339" s="22" t="s">
        <v>455</v>
      </c>
      <c r="C339" s="23" t="n">
        <v>45709</v>
      </c>
      <c r="D339" s="22"/>
      <c r="E339" s="22" t="n">
        <v>0</v>
      </c>
      <c r="F339" s="22"/>
      <c r="G339" s="22" t="s">
        <v>1504</v>
      </c>
      <c r="H339" s="22" t="s">
        <v>1505</v>
      </c>
      <c r="I339" s="22" t="s">
        <v>1506</v>
      </c>
      <c r="J339" s="22" t="s">
        <v>459</v>
      </c>
      <c r="K339" s="22"/>
      <c r="L339" s="22"/>
    </row>
    <row r="340" customFormat="false" ht="14.25" hidden="true" customHeight="true" outlineLevel="0" collapsed="false">
      <c r="A340" s="22" t="s">
        <v>1507</v>
      </c>
      <c r="B340" s="22" t="s">
        <v>455</v>
      </c>
      <c r="C340" s="23" t="n">
        <v>45712</v>
      </c>
      <c r="D340" s="22"/>
      <c r="E340" s="22" t="n">
        <v>0</v>
      </c>
      <c r="F340" s="22"/>
      <c r="G340" s="22" t="s">
        <v>1508</v>
      </c>
      <c r="H340" s="22" t="s">
        <v>1509</v>
      </c>
      <c r="I340" s="22" t="s">
        <v>1510</v>
      </c>
      <c r="J340" s="22" t="s">
        <v>459</v>
      </c>
      <c r="K340" s="22"/>
      <c r="L340" s="22"/>
    </row>
    <row r="341" customFormat="false" ht="14.25" hidden="true" customHeight="true" outlineLevel="0" collapsed="false">
      <c r="A341" s="22" t="s">
        <v>1511</v>
      </c>
      <c r="B341" s="22" t="s">
        <v>455</v>
      </c>
      <c r="C341" s="23" t="n">
        <v>45737</v>
      </c>
      <c r="D341" s="22"/>
      <c r="E341" s="22" t="n">
        <v>1</v>
      </c>
      <c r="F341" s="22" t="s">
        <v>1512</v>
      </c>
      <c r="G341" s="22" t="s">
        <v>470</v>
      </c>
      <c r="H341" s="22" t="s">
        <v>471</v>
      </c>
      <c r="I341" s="22" t="s">
        <v>1513</v>
      </c>
      <c r="J341" s="22" t="s">
        <v>459</v>
      </c>
      <c r="K341" s="22" t="s">
        <v>473</v>
      </c>
      <c r="L341" s="22" t="s">
        <v>474</v>
      </c>
    </row>
    <row r="342" customFormat="false" ht="14.25" hidden="true" customHeight="true" outlineLevel="0" collapsed="false">
      <c r="A342" s="22" t="s">
        <v>1514</v>
      </c>
      <c r="B342" s="22" t="s">
        <v>455</v>
      </c>
      <c r="C342" s="23" t="n">
        <v>45737</v>
      </c>
      <c r="D342" s="22"/>
      <c r="E342" s="22" t="n">
        <v>1</v>
      </c>
      <c r="F342" s="22" t="s">
        <v>1515</v>
      </c>
      <c r="G342" s="22" t="s">
        <v>465</v>
      </c>
      <c r="H342" s="22" t="s">
        <v>492</v>
      </c>
      <c r="I342" s="22" t="s">
        <v>1516</v>
      </c>
      <c r="J342" s="22" t="s">
        <v>459</v>
      </c>
      <c r="K342" s="22" t="s">
        <v>473</v>
      </c>
      <c r="L342" s="22" t="s">
        <v>474</v>
      </c>
    </row>
    <row r="343" customFormat="false" ht="14.25" hidden="true" customHeight="true" outlineLevel="0" collapsed="false">
      <c r="A343" s="22" t="s">
        <v>1517</v>
      </c>
      <c r="B343" s="22" t="s">
        <v>455</v>
      </c>
      <c r="C343" s="23" t="n">
        <v>45742</v>
      </c>
      <c r="D343" s="22"/>
      <c r="E343" s="22" t="n">
        <v>0</v>
      </c>
      <c r="F343" s="22"/>
      <c r="G343" s="22" t="s">
        <v>465</v>
      </c>
      <c r="H343" s="22" t="s">
        <v>466</v>
      </c>
      <c r="I343" s="22" t="s">
        <v>1518</v>
      </c>
      <c r="J343" s="22" t="s">
        <v>459</v>
      </c>
      <c r="K343" s="22"/>
      <c r="L343" s="22"/>
    </row>
    <row r="344" customFormat="false" ht="14.25" hidden="true" customHeight="true" outlineLevel="0" collapsed="false">
      <c r="A344" s="22" t="s">
        <v>1519</v>
      </c>
      <c r="B344" s="22" t="s">
        <v>455</v>
      </c>
      <c r="C344" s="23" t="n">
        <v>45748</v>
      </c>
      <c r="D344" s="22"/>
      <c r="E344" s="22" t="n">
        <v>1</v>
      </c>
      <c r="F344" s="22" t="s">
        <v>769</v>
      </c>
      <c r="G344" s="22" t="s">
        <v>470</v>
      </c>
      <c r="H344" s="22" t="s">
        <v>477</v>
      </c>
      <c r="I344" s="22" t="s">
        <v>1520</v>
      </c>
      <c r="J344" s="22" t="s">
        <v>459</v>
      </c>
      <c r="K344" s="22" t="s">
        <v>473</v>
      </c>
      <c r="L344" s="22" t="s">
        <v>474</v>
      </c>
    </row>
    <row r="345" customFormat="false" ht="14.25" hidden="false" customHeight="true" outlineLevel="0" collapsed="false">
      <c r="A345" s="15" t="s">
        <v>1521</v>
      </c>
      <c r="B345" s="15" t="s">
        <v>455</v>
      </c>
      <c r="C345" s="24" t="n">
        <v>45516</v>
      </c>
      <c r="D345" s="24" t="n">
        <v>45516</v>
      </c>
      <c r="E345" s="15" t="n">
        <v>1</v>
      </c>
      <c r="F345" s="15" t="s">
        <v>498</v>
      </c>
      <c r="G345" s="15" t="s">
        <v>1522</v>
      </c>
      <c r="H345" s="15" t="s">
        <v>1523</v>
      </c>
      <c r="I345" s="15" t="s">
        <v>1524</v>
      </c>
      <c r="J345" s="15" t="s">
        <v>459</v>
      </c>
      <c r="K345" s="15" t="s">
        <v>1199</v>
      </c>
      <c r="L345" s="15" t="s">
        <v>1340</v>
      </c>
    </row>
    <row r="346" customFormat="false" ht="14.25" hidden="true" customHeight="true" outlineLevel="0" collapsed="false">
      <c r="A346" s="22" t="s">
        <v>1525</v>
      </c>
      <c r="B346" s="22" t="s">
        <v>455</v>
      </c>
      <c r="C346" s="23" t="n">
        <v>45763</v>
      </c>
      <c r="D346" s="22"/>
      <c r="E346" s="22" t="n">
        <v>0</v>
      </c>
      <c r="F346" s="22"/>
      <c r="G346" s="22" t="s">
        <v>461</v>
      </c>
      <c r="H346" s="22" t="s">
        <v>462</v>
      </c>
      <c r="I346" s="22" t="s">
        <v>1526</v>
      </c>
      <c r="J346" s="22" t="s">
        <v>459</v>
      </c>
      <c r="K346" s="22"/>
      <c r="L346" s="22"/>
    </row>
    <row r="347" customFormat="false" ht="14.25" hidden="true" customHeight="true" outlineLevel="0" collapsed="false">
      <c r="A347" s="22" t="s">
        <v>1527</v>
      </c>
      <c r="B347" s="22" t="s">
        <v>455</v>
      </c>
      <c r="C347" s="23" t="n">
        <v>45768</v>
      </c>
      <c r="D347" s="22"/>
      <c r="E347" s="22" t="n">
        <v>0</v>
      </c>
      <c r="F347" s="22"/>
      <c r="G347" s="22" t="s">
        <v>1528</v>
      </c>
      <c r="H347" s="22" t="s">
        <v>1529</v>
      </c>
      <c r="I347" s="22" t="s">
        <v>1530</v>
      </c>
      <c r="J347" s="22" t="s">
        <v>459</v>
      </c>
      <c r="K347" s="22"/>
      <c r="L347" s="22"/>
    </row>
    <row r="348" customFormat="false" ht="14.25" hidden="true" customHeight="true" outlineLevel="0" collapsed="false">
      <c r="A348" s="22" t="s">
        <v>1531</v>
      </c>
      <c r="B348" s="22" t="s">
        <v>455</v>
      </c>
      <c r="C348" s="23" t="n">
        <v>45768</v>
      </c>
      <c r="D348" s="22"/>
      <c r="E348" s="22" t="n">
        <v>0</v>
      </c>
      <c r="F348" s="22"/>
      <c r="G348" s="22" t="s">
        <v>1532</v>
      </c>
      <c r="H348" s="22" t="s">
        <v>1533</v>
      </c>
      <c r="I348" s="22" t="s">
        <v>1534</v>
      </c>
      <c r="J348" s="22" t="s">
        <v>459</v>
      </c>
      <c r="K348" s="22"/>
      <c r="L348" s="22"/>
    </row>
    <row r="349" customFormat="false" ht="14.25" hidden="true" customHeight="true" outlineLevel="0" collapsed="false">
      <c r="A349" s="22" t="s">
        <v>1535</v>
      </c>
      <c r="B349" s="22" t="s">
        <v>455</v>
      </c>
      <c r="C349" s="23" t="n">
        <v>45768</v>
      </c>
      <c r="D349" s="22"/>
      <c r="E349" s="22" t="n">
        <v>1</v>
      </c>
      <c r="F349" s="22" t="s">
        <v>1536</v>
      </c>
      <c r="G349" s="22" t="s">
        <v>465</v>
      </c>
      <c r="H349" s="22" t="s">
        <v>492</v>
      </c>
      <c r="I349" s="22" t="s">
        <v>1537</v>
      </c>
      <c r="J349" s="22" t="s">
        <v>459</v>
      </c>
      <c r="K349" s="22" t="s">
        <v>473</v>
      </c>
      <c r="L349" s="22" t="s">
        <v>474</v>
      </c>
    </row>
    <row r="350" customFormat="false" ht="14.25" hidden="true" customHeight="true" outlineLevel="0" collapsed="false">
      <c r="A350" s="22" t="s">
        <v>1538</v>
      </c>
      <c r="B350" s="22" t="s">
        <v>455</v>
      </c>
      <c r="C350" s="23" t="n">
        <v>45768</v>
      </c>
      <c r="D350" s="22"/>
      <c r="E350" s="22" t="n">
        <v>0</v>
      </c>
      <c r="F350" s="22"/>
      <c r="G350" s="22" t="s">
        <v>1539</v>
      </c>
      <c r="H350" s="22" t="s">
        <v>1540</v>
      </c>
      <c r="I350" s="22" t="s">
        <v>1541</v>
      </c>
      <c r="J350" s="22" t="s">
        <v>459</v>
      </c>
      <c r="K350" s="22"/>
      <c r="L350" s="22"/>
    </row>
    <row r="351" customFormat="false" ht="14.25" hidden="true" customHeight="true" outlineLevel="0" collapsed="false">
      <c r="A351" s="22" t="s">
        <v>1542</v>
      </c>
      <c r="B351" s="22" t="s">
        <v>455</v>
      </c>
      <c r="C351" s="23" t="n">
        <v>45775</v>
      </c>
      <c r="D351" s="22"/>
      <c r="E351" s="22" t="n">
        <v>0</v>
      </c>
      <c r="F351" s="22"/>
      <c r="G351" s="22" t="s">
        <v>1543</v>
      </c>
      <c r="H351" s="22" t="s">
        <v>1544</v>
      </c>
      <c r="I351" s="22" t="s">
        <v>1545</v>
      </c>
      <c r="J351" s="22" t="s">
        <v>459</v>
      </c>
      <c r="K351" s="22"/>
      <c r="L351" s="22"/>
    </row>
    <row r="352" customFormat="false" ht="14.25" hidden="true" customHeight="true" outlineLevel="0" collapsed="false">
      <c r="A352" s="22" t="s">
        <v>1546</v>
      </c>
      <c r="B352" s="22" t="s">
        <v>455</v>
      </c>
      <c r="C352" s="23" t="n">
        <v>45775</v>
      </c>
      <c r="D352" s="22"/>
      <c r="E352" s="22" t="n">
        <v>0</v>
      </c>
      <c r="F352" s="22"/>
      <c r="G352" s="22" t="s">
        <v>1547</v>
      </c>
      <c r="H352" s="22" t="s">
        <v>1548</v>
      </c>
      <c r="I352" s="22" t="s">
        <v>1549</v>
      </c>
      <c r="J352" s="22" t="s">
        <v>459</v>
      </c>
      <c r="K352" s="22"/>
      <c r="L352" s="22"/>
    </row>
    <row r="353" customFormat="false" ht="14.25" hidden="true" customHeight="true" outlineLevel="0" collapsed="false">
      <c r="A353" s="22" t="s">
        <v>1550</v>
      </c>
      <c r="B353" s="22" t="s">
        <v>455</v>
      </c>
      <c r="C353" s="23" t="n">
        <v>45775</v>
      </c>
      <c r="D353" s="22"/>
      <c r="E353" s="22" t="n">
        <v>0</v>
      </c>
      <c r="F353" s="22"/>
      <c r="G353" s="22" t="s">
        <v>470</v>
      </c>
      <c r="H353" s="22" t="s">
        <v>477</v>
      </c>
      <c r="I353" s="22" t="s">
        <v>1551</v>
      </c>
      <c r="J353" s="22" t="s">
        <v>459</v>
      </c>
      <c r="K353" s="22"/>
      <c r="L353" s="22"/>
    </row>
    <row r="354" customFormat="false" ht="14.25" hidden="true" customHeight="true" outlineLevel="0" collapsed="false">
      <c r="A354" s="22" t="s">
        <v>1552</v>
      </c>
      <c r="B354" s="22" t="s">
        <v>483</v>
      </c>
      <c r="C354" s="23" t="n">
        <v>45777</v>
      </c>
      <c r="D354" s="22"/>
      <c r="E354" s="22" t="n">
        <v>1</v>
      </c>
      <c r="F354" s="22" t="s">
        <v>1553</v>
      </c>
      <c r="G354" s="22" t="s">
        <v>1554</v>
      </c>
      <c r="H354" s="22" t="s">
        <v>1555</v>
      </c>
      <c r="I354" s="22" t="s">
        <v>1556</v>
      </c>
      <c r="J354" s="22" t="s">
        <v>459</v>
      </c>
      <c r="K354" s="22" t="s">
        <v>473</v>
      </c>
      <c r="L354" s="22" t="s">
        <v>554</v>
      </c>
    </row>
    <row r="355" customFormat="false" ht="14.25" hidden="true" customHeight="true" outlineLevel="0" collapsed="false">
      <c r="A355" s="22" t="s">
        <v>1557</v>
      </c>
      <c r="B355" s="22" t="s">
        <v>483</v>
      </c>
      <c r="C355" s="23" t="n">
        <v>45777</v>
      </c>
      <c r="D355" s="22"/>
      <c r="E355" s="22" t="n">
        <v>0</v>
      </c>
      <c r="F355" s="22"/>
      <c r="G355" s="22" t="s">
        <v>1558</v>
      </c>
      <c r="H355" s="22" t="s">
        <v>1559</v>
      </c>
      <c r="I355" s="22" t="s">
        <v>1560</v>
      </c>
      <c r="J355" s="22" t="s">
        <v>459</v>
      </c>
      <c r="K355" s="22"/>
      <c r="L355" s="22"/>
    </row>
    <row r="356" customFormat="false" ht="14.25" hidden="true" customHeight="true" outlineLevel="0" collapsed="false">
      <c r="A356" s="22" t="s">
        <v>1561</v>
      </c>
      <c r="B356" s="22" t="s">
        <v>483</v>
      </c>
      <c r="C356" s="23" t="n">
        <v>45777</v>
      </c>
      <c r="D356" s="22"/>
      <c r="E356" s="22" t="n">
        <v>0</v>
      </c>
      <c r="F356" s="22"/>
      <c r="G356" s="22" t="s">
        <v>1562</v>
      </c>
      <c r="H356" s="22" t="s">
        <v>1563</v>
      </c>
      <c r="I356" s="22" t="s">
        <v>1564</v>
      </c>
      <c r="J356" s="22" t="s">
        <v>459</v>
      </c>
      <c r="K356" s="22"/>
      <c r="L356" s="22"/>
    </row>
    <row r="357" customFormat="false" ht="14.25" hidden="true" customHeight="true" outlineLevel="0" collapsed="false">
      <c r="A357" s="22" t="s">
        <v>1565</v>
      </c>
      <c r="B357" s="22" t="s">
        <v>483</v>
      </c>
      <c r="C357" s="23" t="n">
        <v>45777</v>
      </c>
      <c r="D357" s="22"/>
      <c r="E357" s="22" t="n">
        <v>1</v>
      </c>
      <c r="F357" s="22" t="s">
        <v>1566</v>
      </c>
      <c r="G357" s="22" t="s">
        <v>1567</v>
      </c>
      <c r="H357" s="22" t="s">
        <v>1568</v>
      </c>
      <c r="I357" s="22" t="s">
        <v>1569</v>
      </c>
      <c r="J357" s="22" t="s">
        <v>459</v>
      </c>
      <c r="K357" s="22" t="s">
        <v>473</v>
      </c>
      <c r="L357" s="22" t="s">
        <v>554</v>
      </c>
    </row>
    <row r="358" customFormat="false" ht="14.25" hidden="true" customHeight="true" outlineLevel="0" collapsed="false">
      <c r="A358" s="22" t="s">
        <v>1570</v>
      </c>
      <c r="B358" s="22" t="s">
        <v>483</v>
      </c>
      <c r="C358" s="23" t="n">
        <v>45777</v>
      </c>
      <c r="D358" s="22"/>
      <c r="E358" s="22" t="n">
        <v>0</v>
      </c>
      <c r="F358" s="22"/>
      <c r="G358" s="22" t="s">
        <v>1571</v>
      </c>
      <c r="H358" s="22" t="s">
        <v>1572</v>
      </c>
      <c r="I358" s="22" t="s">
        <v>1573</v>
      </c>
      <c r="J358" s="22" t="s">
        <v>459</v>
      </c>
      <c r="K358" s="22"/>
      <c r="L358" s="22"/>
    </row>
    <row r="359" customFormat="false" ht="14.25" hidden="true" customHeight="true" outlineLevel="0" collapsed="false">
      <c r="A359" s="22" t="s">
        <v>1574</v>
      </c>
      <c r="B359" s="22" t="s">
        <v>455</v>
      </c>
      <c r="C359" s="23" t="n">
        <v>45784</v>
      </c>
      <c r="D359" s="22"/>
      <c r="E359" s="22" t="n">
        <v>0</v>
      </c>
      <c r="F359" s="22"/>
      <c r="G359" s="22" t="s">
        <v>1575</v>
      </c>
      <c r="H359" s="22" t="s">
        <v>1576</v>
      </c>
      <c r="I359" s="22" t="s">
        <v>1577</v>
      </c>
      <c r="J359" s="22" t="s">
        <v>459</v>
      </c>
      <c r="K359" s="22"/>
      <c r="L359" s="22"/>
    </row>
    <row r="360" customFormat="false" ht="14.25" hidden="true" customHeight="true" outlineLevel="0" collapsed="false">
      <c r="A360" s="22" t="s">
        <v>1578</v>
      </c>
      <c r="B360" s="22" t="s">
        <v>455</v>
      </c>
      <c r="C360" s="23" t="n">
        <v>45789</v>
      </c>
      <c r="D360" s="22"/>
      <c r="E360" s="22" t="n">
        <v>1</v>
      </c>
      <c r="F360" s="22" t="s">
        <v>1579</v>
      </c>
      <c r="G360" s="22" t="s">
        <v>470</v>
      </c>
      <c r="H360" s="22" t="s">
        <v>477</v>
      </c>
      <c r="I360" s="22" t="s">
        <v>1580</v>
      </c>
      <c r="J360" s="22" t="s">
        <v>459</v>
      </c>
      <c r="K360" s="22" t="s">
        <v>473</v>
      </c>
      <c r="L360" s="22" t="s">
        <v>474</v>
      </c>
    </row>
    <row r="361" customFormat="false" ht="14.25" hidden="true" customHeight="true" outlineLevel="0" collapsed="false">
      <c r="A361" s="22" t="s">
        <v>1581</v>
      </c>
      <c r="B361" s="22" t="s">
        <v>455</v>
      </c>
      <c r="C361" s="23" t="n">
        <v>45790</v>
      </c>
      <c r="D361" s="22"/>
      <c r="E361" s="22" t="n">
        <v>1</v>
      </c>
      <c r="F361" s="22" t="s">
        <v>1582</v>
      </c>
      <c r="G361" s="22" t="s">
        <v>465</v>
      </c>
      <c r="H361" s="22" t="s">
        <v>492</v>
      </c>
      <c r="I361" s="22" t="s">
        <v>1583</v>
      </c>
      <c r="J361" s="22" t="s">
        <v>459</v>
      </c>
      <c r="K361" s="22" t="s">
        <v>473</v>
      </c>
      <c r="L361" s="22" t="s">
        <v>474</v>
      </c>
    </row>
    <row r="362" customFormat="false" ht="14.25" hidden="true" customHeight="true" outlineLevel="0" collapsed="false">
      <c r="A362" s="22" t="s">
        <v>1584</v>
      </c>
      <c r="B362" s="22" t="s">
        <v>455</v>
      </c>
      <c r="C362" s="23" t="n">
        <v>45790</v>
      </c>
      <c r="D362" s="22"/>
      <c r="E362" s="22" t="n">
        <v>1</v>
      </c>
      <c r="F362" s="22" t="s">
        <v>1264</v>
      </c>
      <c r="G362" s="22" t="s">
        <v>465</v>
      </c>
      <c r="H362" s="22" t="s">
        <v>466</v>
      </c>
      <c r="I362" s="22" t="s">
        <v>1585</v>
      </c>
      <c r="J362" s="22" t="s">
        <v>459</v>
      </c>
      <c r="K362" s="22" t="s">
        <v>473</v>
      </c>
      <c r="L362" s="22" t="s">
        <v>474</v>
      </c>
    </row>
    <row r="363" customFormat="false" ht="14.25" hidden="false" customHeight="true" outlineLevel="0" collapsed="false">
      <c r="A363" s="15" t="s">
        <v>1586</v>
      </c>
      <c r="B363" s="15" t="s">
        <v>504</v>
      </c>
      <c r="C363" s="24" t="n">
        <v>45544</v>
      </c>
      <c r="D363" s="24" t="n">
        <v>45544</v>
      </c>
      <c r="E363" s="15" t="n">
        <v>1</v>
      </c>
      <c r="F363" s="15" t="s">
        <v>663</v>
      </c>
      <c r="G363" s="15" t="s">
        <v>1587</v>
      </c>
      <c r="H363" s="15" t="s">
        <v>1588</v>
      </c>
      <c r="I363" s="15" t="s">
        <v>1589</v>
      </c>
      <c r="J363" s="15" t="s">
        <v>459</v>
      </c>
      <c r="K363" s="15" t="s">
        <v>1199</v>
      </c>
      <c r="L363" s="15" t="s">
        <v>1254</v>
      </c>
    </row>
    <row r="364" customFormat="false" ht="14.25" hidden="true" customHeight="true" outlineLevel="0" collapsed="false">
      <c r="A364" s="22" t="s">
        <v>1590</v>
      </c>
      <c r="B364" s="22" t="s">
        <v>455</v>
      </c>
      <c r="C364" s="23" t="n">
        <v>45792</v>
      </c>
      <c r="D364" s="22"/>
      <c r="E364" s="22" t="n">
        <v>0</v>
      </c>
      <c r="F364" s="22"/>
      <c r="G364" s="22" t="s">
        <v>1591</v>
      </c>
      <c r="H364" s="22" t="s">
        <v>1592</v>
      </c>
      <c r="I364" s="22" t="s">
        <v>1593</v>
      </c>
      <c r="J364" s="22" t="s">
        <v>459</v>
      </c>
      <c r="K364" s="22"/>
      <c r="L364" s="22"/>
    </row>
    <row r="365" customFormat="false" ht="14.25" hidden="true" customHeight="true" outlineLevel="0" collapsed="false">
      <c r="A365" s="22" t="s">
        <v>1594</v>
      </c>
      <c r="B365" s="22" t="s">
        <v>504</v>
      </c>
      <c r="C365" s="23" t="n">
        <v>45793</v>
      </c>
      <c r="D365" s="23" t="n">
        <v>45793</v>
      </c>
      <c r="E365" s="22" t="n">
        <v>1</v>
      </c>
      <c r="F365" s="22" t="s">
        <v>1595</v>
      </c>
      <c r="G365" s="22" t="s">
        <v>1596</v>
      </c>
      <c r="H365" s="22" t="s">
        <v>1597</v>
      </c>
      <c r="I365" s="22" t="s">
        <v>1598</v>
      </c>
      <c r="J365" s="22" t="s">
        <v>459</v>
      </c>
      <c r="K365" s="22" t="s">
        <v>473</v>
      </c>
      <c r="L365" s="22" t="s">
        <v>554</v>
      </c>
    </row>
    <row r="366" customFormat="false" ht="14.25" hidden="false" customHeight="true" outlineLevel="0" collapsed="false">
      <c r="A366" s="15" t="s">
        <v>1599</v>
      </c>
      <c r="B366" s="15" t="s">
        <v>504</v>
      </c>
      <c r="C366" s="24" t="n">
        <v>45561</v>
      </c>
      <c r="D366" s="24" t="n">
        <v>45615</v>
      </c>
      <c r="E366" s="15" t="n">
        <v>1</v>
      </c>
      <c r="F366" s="15" t="s">
        <v>1600</v>
      </c>
      <c r="G366" s="15" t="s">
        <v>1601</v>
      </c>
      <c r="H366" s="15" t="s">
        <v>1602</v>
      </c>
      <c r="I366" s="15" t="s">
        <v>1603</v>
      </c>
      <c r="J366" s="15" t="s">
        <v>459</v>
      </c>
      <c r="K366" s="15" t="s">
        <v>1199</v>
      </c>
      <c r="L366" s="15" t="s">
        <v>1340</v>
      </c>
    </row>
    <row r="367" customFormat="false" ht="14.25" hidden="true" customHeight="true" outlineLevel="0" collapsed="false">
      <c r="A367" s="22" t="s">
        <v>1604</v>
      </c>
      <c r="B367" s="22" t="s">
        <v>455</v>
      </c>
      <c r="C367" s="23" t="n">
        <v>45793</v>
      </c>
      <c r="D367" s="22"/>
      <c r="E367" s="22" t="n">
        <v>1</v>
      </c>
      <c r="F367" s="22" t="s">
        <v>1391</v>
      </c>
      <c r="G367" s="22" t="s">
        <v>1605</v>
      </c>
      <c r="H367" s="22" t="s">
        <v>1606</v>
      </c>
      <c r="I367" s="22" t="s">
        <v>1607</v>
      </c>
      <c r="J367" s="22" t="s">
        <v>459</v>
      </c>
      <c r="K367" s="22" t="s">
        <v>473</v>
      </c>
      <c r="L367" s="22" t="s">
        <v>1608</v>
      </c>
    </row>
    <row r="368" customFormat="false" ht="14.25" hidden="true" customHeight="true" outlineLevel="0" collapsed="false">
      <c r="A368" s="22" t="s">
        <v>1609</v>
      </c>
      <c r="B368" s="22" t="s">
        <v>455</v>
      </c>
      <c r="C368" s="23" t="n">
        <v>45793</v>
      </c>
      <c r="D368" s="22"/>
      <c r="E368" s="22" t="n">
        <v>1</v>
      </c>
      <c r="F368" s="22" t="s">
        <v>673</v>
      </c>
      <c r="G368" s="22" t="s">
        <v>1610</v>
      </c>
      <c r="H368" s="22" t="s">
        <v>1611</v>
      </c>
      <c r="I368" s="22" t="s">
        <v>1612</v>
      </c>
      <c r="J368" s="22" t="s">
        <v>459</v>
      </c>
      <c r="K368" s="22" t="s">
        <v>473</v>
      </c>
      <c r="L368" s="22" t="s">
        <v>502</v>
      </c>
    </row>
    <row r="369" customFormat="false" ht="14.25" hidden="true" customHeight="true" outlineLevel="0" collapsed="false">
      <c r="A369" s="22" t="s">
        <v>1613</v>
      </c>
      <c r="B369" s="22" t="s">
        <v>455</v>
      </c>
      <c r="C369" s="23" t="n">
        <v>45798</v>
      </c>
      <c r="D369" s="22"/>
      <c r="E369" s="22" t="n">
        <v>1</v>
      </c>
      <c r="F369" s="22" t="s">
        <v>1614</v>
      </c>
      <c r="G369" s="22" t="s">
        <v>465</v>
      </c>
      <c r="H369" s="22" t="s">
        <v>492</v>
      </c>
      <c r="I369" s="22" t="s">
        <v>1615</v>
      </c>
      <c r="J369" s="22" t="s">
        <v>459</v>
      </c>
      <c r="K369" s="22" t="s">
        <v>473</v>
      </c>
      <c r="L369" s="22" t="s">
        <v>474</v>
      </c>
    </row>
    <row r="370" customFormat="false" ht="14.25" hidden="true" customHeight="true" outlineLevel="0" collapsed="false">
      <c r="A370" s="22" t="s">
        <v>1616</v>
      </c>
      <c r="B370" s="22" t="s">
        <v>455</v>
      </c>
      <c r="C370" s="23" t="n">
        <v>45798</v>
      </c>
      <c r="D370" s="22"/>
      <c r="E370" s="22" t="n">
        <v>1</v>
      </c>
      <c r="F370" s="22" t="s">
        <v>498</v>
      </c>
      <c r="G370" s="22" t="s">
        <v>470</v>
      </c>
      <c r="H370" s="22" t="s">
        <v>477</v>
      </c>
      <c r="I370" s="22" t="s">
        <v>1617</v>
      </c>
      <c r="J370" s="22" t="s">
        <v>459</v>
      </c>
      <c r="K370" s="22" t="s">
        <v>473</v>
      </c>
      <c r="L370" s="22" t="s">
        <v>474</v>
      </c>
    </row>
    <row r="371" customFormat="false" ht="14.25" hidden="true" customHeight="true" outlineLevel="0" collapsed="false">
      <c r="A371" s="22" t="s">
        <v>1618</v>
      </c>
      <c r="B371" s="22" t="s">
        <v>483</v>
      </c>
      <c r="C371" s="23" t="n">
        <v>45798</v>
      </c>
      <c r="D371" s="22"/>
      <c r="E371" s="22" t="n">
        <v>0</v>
      </c>
      <c r="F371" s="22"/>
      <c r="G371" s="22" t="s">
        <v>1562</v>
      </c>
      <c r="H371" s="22"/>
      <c r="I371" s="22" t="s">
        <v>1619</v>
      </c>
      <c r="J371" s="22" t="s">
        <v>459</v>
      </c>
      <c r="K371" s="22"/>
      <c r="L371" s="22"/>
    </row>
    <row r="372" customFormat="false" ht="14.25" hidden="true" customHeight="true" outlineLevel="0" collapsed="false">
      <c r="A372" s="22" t="s">
        <v>1620</v>
      </c>
      <c r="B372" s="22" t="s">
        <v>483</v>
      </c>
      <c r="C372" s="23" t="n">
        <v>45798</v>
      </c>
      <c r="D372" s="22"/>
      <c r="E372" s="22" t="n">
        <v>0</v>
      </c>
      <c r="F372" s="22"/>
      <c r="G372" s="22" t="s">
        <v>1571</v>
      </c>
      <c r="H372" s="22"/>
      <c r="I372" s="22" t="s">
        <v>1621</v>
      </c>
      <c r="J372" s="22" t="s">
        <v>459</v>
      </c>
      <c r="K372" s="22"/>
      <c r="L372" s="22"/>
    </row>
    <row r="373" customFormat="false" ht="14.25" hidden="true" customHeight="true" outlineLevel="0" collapsed="false">
      <c r="A373" s="22" t="s">
        <v>1622</v>
      </c>
      <c r="B373" s="22" t="s">
        <v>455</v>
      </c>
      <c r="C373" s="23" t="n">
        <v>45805</v>
      </c>
      <c r="D373" s="22"/>
      <c r="E373" s="22" t="n">
        <v>1</v>
      </c>
      <c r="F373" s="22" t="s">
        <v>591</v>
      </c>
      <c r="G373" s="22" t="s">
        <v>465</v>
      </c>
      <c r="H373" s="22" t="s">
        <v>492</v>
      </c>
      <c r="I373" s="22" t="s">
        <v>1623</v>
      </c>
      <c r="J373" s="22" t="s">
        <v>459</v>
      </c>
      <c r="K373" s="22" t="s">
        <v>473</v>
      </c>
      <c r="L373" s="22" t="s">
        <v>474</v>
      </c>
    </row>
    <row r="374" customFormat="false" ht="14.25" hidden="true" customHeight="true" outlineLevel="0" collapsed="false">
      <c r="A374" s="22" t="s">
        <v>1624</v>
      </c>
      <c r="B374" s="22" t="s">
        <v>455</v>
      </c>
      <c r="C374" s="23" t="n">
        <v>45805</v>
      </c>
      <c r="D374" s="22"/>
      <c r="E374" s="22" t="n">
        <v>0</v>
      </c>
      <c r="F374" s="22"/>
      <c r="G374" s="22" t="s">
        <v>470</v>
      </c>
      <c r="H374" s="22" t="s">
        <v>471</v>
      </c>
      <c r="I374" s="22" t="s">
        <v>1625</v>
      </c>
      <c r="J374" s="22" t="s">
        <v>459</v>
      </c>
      <c r="K374" s="22"/>
      <c r="L374" s="22"/>
    </row>
    <row r="375" customFormat="false" ht="14.25" hidden="false" customHeight="true" outlineLevel="0" collapsed="false">
      <c r="A375" s="15" t="s">
        <v>1626</v>
      </c>
      <c r="B375" s="15" t="s">
        <v>504</v>
      </c>
      <c r="C375" s="24" t="n">
        <v>45562</v>
      </c>
      <c r="D375" s="24" t="n">
        <v>45580</v>
      </c>
      <c r="E375" s="15" t="n">
        <v>1</v>
      </c>
      <c r="F375" s="15" t="s">
        <v>1391</v>
      </c>
      <c r="G375" s="15" t="s">
        <v>1392</v>
      </c>
      <c r="H375" s="15" t="s">
        <v>1627</v>
      </c>
      <c r="I375" s="15" t="s">
        <v>1628</v>
      </c>
      <c r="J375" s="15" t="s">
        <v>459</v>
      </c>
      <c r="K375" s="15" t="s">
        <v>1199</v>
      </c>
      <c r="L375" s="15" t="s">
        <v>1340</v>
      </c>
    </row>
    <row r="376" customFormat="false" ht="14.25" hidden="true" customHeight="true" outlineLevel="0" collapsed="false">
      <c r="A376" s="22" t="s">
        <v>1629</v>
      </c>
      <c r="B376" s="22" t="s">
        <v>455</v>
      </c>
      <c r="C376" s="23" t="n">
        <v>45807</v>
      </c>
      <c r="D376" s="22"/>
      <c r="E376" s="22" t="n">
        <v>1</v>
      </c>
      <c r="F376" s="22" t="s">
        <v>1250</v>
      </c>
      <c r="G376" s="22" t="s">
        <v>470</v>
      </c>
      <c r="H376" s="22" t="s">
        <v>477</v>
      </c>
      <c r="I376" s="22" t="s">
        <v>1630</v>
      </c>
      <c r="J376" s="22" t="s">
        <v>459</v>
      </c>
      <c r="K376" s="22" t="s">
        <v>473</v>
      </c>
      <c r="L376" s="22" t="s">
        <v>474</v>
      </c>
    </row>
    <row r="377" customFormat="false" ht="14.25" hidden="true" customHeight="true" outlineLevel="0" collapsed="false">
      <c r="A377" s="22" t="s">
        <v>1631</v>
      </c>
      <c r="B377" s="22" t="s">
        <v>455</v>
      </c>
      <c r="C377" s="23" t="n">
        <v>45810</v>
      </c>
      <c r="D377" s="22"/>
      <c r="E377" s="22" t="n">
        <v>0</v>
      </c>
      <c r="F377" s="22"/>
      <c r="G377" s="22" t="s">
        <v>1632</v>
      </c>
      <c r="H377" s="22" t="s">
        <v>1633</v>
      </c>
      <c r="I377" s="22" t="s">
        <v>1634</v>
      </c>
      <c r="J377" s="22" t="s">
        <v>459</v>
      </c>
      <c r="K377" s="22"/>
      <c r="L377" s="22"/>
    </row>
    <row r="378" customFormat="false" ht="14.25" hidden="true" customHeight="true" outlineLevel="0" collapsed="false">
      <c r="A378" s="22" t="s">
        <v>1635</v>
      </c>
      <c r="B378" s="22" t="s">
        <v>455</v>
      </c>
      <c r="C378" s="23" t="n">
        <v>45812</v>
      </c>
      <c r="D378" s="22"/>
      <c r="E378" s="22" t="n">
        <v>0</v>
      </c>
      <c r="F378" s="22"/>
      <c r="G378" s="22" t="s">
        <v>465</v>
      </c>
      <c r="H378" s="22" t="s">
        <v>492</v>
      </c>
      <c r="I378" s="22" t="s">
        <v>1636</v>
      </c>
      <c r="J378" s="22" t="s">
        <v>459</v>
      </c>
      <c r="K378" s="22"/>
      <c r="L378" s="22"/>
    </row>
    <row r="379" customFormat="false" ht="14.25" hidden="true" customHeight="true" outlineLevel="0" collapsed="false">
      <c r="A379" s="22" t="s">
        <v>1637</v>
      </c>
      <c r="B379" s="22" t="s">
        <v>483</v>
      </c>
      <c r="C379" s="23" t="n">
        <v>45813</v>
      </c>
      <c r="D379" s="22"/>
      <c r="E379" s="22" t="n">
        <v>0</v>
      </c>
      <c r="F379" s="22"/>
      <c r="G379" s="22" t="s">
        <v>1638</v>
      </c>
      <c r="H379" s="22" t="s">
        <v>1639</v>
      </c>
      <c r="I379" s="22" t="s">
        <v>1640</v>
      </c>
      <c r="J379" s="22" t="s">
        <v>459</v>
      </c>
      <c r="K379" s="22"/>
      <c r="L379" s="22"/>
    </row>
    <row r="380" customFormat="false" ht="14.25" hidden="true" customHeight="true" outlineLevel="0" collapsed="false">
      <c r="A380" s="22" t="s">
        <v>1641</v>
      </c>
      <c r="B380" s="22" t="s">
        <v>455</v>
      </c>
      <c r="C380" s="23" t="n">
        <v>45817</v>
      </c>
      <c r="D380" s="22"/>
      <c r="E380" s="22" t="n">
        <v>0</v>
      </c>
      <c r="F380" s="22"/>
      <c r="G380" s="22" t="s">
        <v>1642</v>
      </c>
      <c r="H380" s="22" t="s">
        <v>1643</v>
      </c>
      <c r="I380" s="22" t="s">
        <v>1644</v>
      </c>
      <c r="J380" s="22" t="s">
        <v>459</v>
      </c>
      <c r="K380" s="22"/>
      <c r="L380" s="22"/>
    </row>
    <row r="381" customFormat="false" ht="14.25" hidden="true" customHeight="true" outlineLevel="0" collapsed="false">
      <c r="A381" s="22" t="s">
        <v>1645</v>
      </c>
      <c r="B381" s="22" t="s">
        <v>455</v>
      </c>
      <c r="C381" s="23" t="n">
        <v>45819</v>
      </c>
      <c r="D381" s="22"/>
      <c r="E381" s="22" t="n">
        <v>0</v>
      </c>
      <c r="F381" s="22"/>
      <c r="G381" s="22" t="s">
        <v>470</v>
      </c>
      <c r="H381" s="22" t="s">
        <v>1646</v>
      </c>
      <c r="I381" s="22" t="s">
        <v>1647</v>
      </c>
      <c r="J381" s="22" t="s">
        <v>459</v>
      </c>
      <c r="K381" s="22"/>
      <c r="L381" s="22"/>
    </row>
    <row r="382" customFormat="false" ht="14.25" hidden="true" customHeight="true" outlineLevel="0" collapsed="false">
      <c r="A382" s="22" t="s">
        <v>1648</v>
      </c>
      <c r="B382" s="22" t="s">
        <v>455</v>
      </c>
      <c r="C382" s="23" t="n">
        <v>45819</v>
      </c>
      <c r="D382" s="22"/>
      <c r="E382" s="22" t="n">
        <v>1</v>
      </c>
      <c r="F382" s="22" t="s">
        <v>1649</v>
      </c>
      <c r="G382" s="22" t="s">
        <v>470</v>
      </c>
      <c r="H382" s="22" t="s">
        <v>477</v>
      </c>
      <c r="I382" s="22" t="s">
        <v>1650</v>
      </c>
      <c r="J382" s="22" t="s">
        <v>459</v>
      </c>
      <c r="K382" s="22" t="s">
        <v>473</v>
      </c>
      <c r="L382" s="22" t="s">
        <v>474</v>
      </c>
    </row>
    <row r="383" customFormat="false" ht="14.25" hidden="true" customHeight="true" outlineLevel="0" collapsed="false">
      <c r="A383" s="22" t="s">
        <v>1651</v>
      </c>
      <c r="B383" s="22" t="s">
        <v>455</v>
      </c>
      <c r="C383" s="23" t="n">
        <v>45819</v>
      </c>
      <c r="D383" s="22"/>
      <c r="E383" s="22" t="n">
        <v>0</v>
      </c>
      <c r="F383" s="22"/>
      <c r="G383" s="22" t="s">
        <v>465</v>
      </c>
      <c r="H383" s="22" t="s">
        <v>492</v>
      </c>
      <c r="I383" s="22" t="s">
        <v>1652</v>
      </c>
      <c r="J383" s="22" t="s">
        <v>459</v>
      </c>
      <c r="K383" s="22"/>
      <c r="L383" s="22"/>
    </row>
    <row r="384" customFormat="false" ht="14.25" hidden="true" customHeight="true" outlineLevel="0" collapsed="false">
      <c r="A384" s="22" t="s">
        <v>1653</v>
      </c>
      <c r="B384" s="22" t="s">
        <v>455</v>
      </c>
      <c r="C384" s="23" t="n">
        <v>45820</v>
      </c>
      <c r="D384" s="22"/>
      <c r="E384" s="22" t="n">
        <v>0</v>
      </c>
      <c r="F384" s="22"/>
      <c r="G384" s="22" t="s">
        <v>465</v>
      </c>
      <c r="H384" s="22" t="s">
        <v>492</v>
      </c>
      <c r="I384" s="22" t="s">
        <v>1654</v>
      </c>
      <c r="J384" s="22" t="s">
        <v>459</v>
      </c>
      <c r="K384" s="22"/>
      <c r="L384" s="22"/>
    </row>
    <row r="385" customFormat="false" ht="14.25" hidden="true" customHeight="true" outlineLevel="0" collapsed="false">
      <c r="A385" s="22" t="s">
        <v>1655</v>
      </c>
      <c r="B385" s="22" t="s">
        <v>455</v>
      </c>
      <c r="C385" s="23" t="n">
        <v>45820</v>
      </c>
      <c r="D385" s="22"/>
      <c r="E385" s="22" t="n">
        <v>0</v>
      </c>
      <c r="F385" s="22"/>
      <c r="G385" s="22" t="s">
        <v>461</v>
      </c>
      <c r="H385" s="22" t="s">
        <v>462</v>
      </c>
      <c r="I385" s="22" t="s">
        <v>1656</v>
      </c>
      <c r="J385" s="22" t="s">
        <v>459</v>
      </c>
      <c r="K385" s="22"/>
      <c r="L385" s="22"/>
    </row>
    <row r="386" customFormat="false" ht="14.25" hidden="true" customHeight="true" outlineLevel="0" collapsed="false">
      <c r="A386" s="22" t="s">
        <v>1657</v>
      </c>
      <c r="B386" s="22" t="s">
        <v>455</v>
      </c>
      <c r="C386" s="23" t="n">
        <v>45821</v>
      </c>
      <c r="D386" s="22"/>
      <c r="E386" s="22" t="n">
        <v>0</v>
      </c>
      <c r="F386" s="22"/>
      <c r="G386" s="22" t="s">
        <v>470</v>
      </c>
      <c r="H386" s="22" t="s">
        <v>477</v>
      </c>
      <c r="I386" s="22" t="s">
        <v>1658</v>
      </c>
      <c r="J386" s="22" t="s">
        <v>459</v>
      </c>
      <c r="K386" s="22"/>
      <c r="L386" s="22"/>
    </row>
    <row r="387" customFormat="false" ht="14.25" hidden="true" customHeight="true" outlineLevel="0" collapsed="false">
      <c r="A387" s="22" t="s">
        <v>1659</v>
      </c>
      <c r="B387" s="22" t="s">
        <v>455</v>
      </c>
      <c r="C387" s="23" t="n">
        <v>45821</v>
      </c>
      <c r="D387" s="22"/>
      <c r="E387" s="22" t="n">
        <v>0</v>
      </c>
      <c r="F387" s="22"/>
      <c r="G387" s="22" t="s">
        <v>461</v>
      </c>
      <c r="H387" s="22" t="s">
        <v>462</v>
      </c>
      <c r="I387" s="22" t="s">
        <v>1660</v>
      </c>
      <c r="J387" s="22" t="s">
        <v>459</v>
      </c>
      <c r="K387" s="22"/>
      <c r="L387" s="22"/>
    </row>
    <row r="388" customFormat="false" ht="14.25" hidden="true" customHeight="true" outlineLevel="0" collapsed="false">
      <c r="A388" s="22" t="s">
        <v>1661</v>
      </c>
      <c r="B388" s="22" t="s">
        <v>455</v>
      </c>
      <c r="C388" s="23" t="n">
        <v>45825</v>
      </c>
      <c r="D388" s="22"/>
      <c r="E388" s="22" t="n">
        <v>0</v>
      </c>
      <c r="F388" s="22"/>
      <c r="G388" s="22" t="s">
        <v>470</v>
      </c>
      <c r="H388" s="22" t="s">
        <v>477</v>
      </c>
      <c r="I388" s="22" t="s">
        <v>1662</v>
      </c>
      <c r="J388" s="22" t="s">
        <v>459</v>
      </c>
      <c r="K388" s="22"/>
      <c r="L388" s="22"/>
    </row>
    <row r="389" customFormat="false" ht="14.25" hidden="true" customHeight="true" outlineLevel="0" collapsed="false">
      <c r="A389" s="22" t="s">
        <v>1663</v>
      </c>
      <c r="B389" s="22" t="s">
        <v>455</v>
      </c>
      <c r="C389" s="23" t="n">
        <v>45828</v>
      </c>
      <c r="D389" s="22"/>
      <c r="E389" s="22" t="n">
        <v>1</v>
      </c>
      <c r="F389" s="22" t="s">
        <v>1063</v>
      </c>
      <c r="G389" s="22" t="s">
        <v>465</v>
      </c>
      <c r="H389" s="22" t="s">
        <v>492</v>
      </c>
      <c r="I389" s="22" t="s">
        <v>1664</v>
      </c>
      <c r="J389" s="22" t="s">
        <v>459</v>
      </c>
      <c r="K389" s="22" t="s">
        <v>473</v>
      </c>
      <c r="L389" s="22" t="s">
        <v>474</v>
      </c>
    </row>
    <row r="390" customFormat="false" ht="14.25" hidden="true" customHeight="true" outlineLevel="0" collapsed="false">
      <c r="A390" s="22" t="s">
        <v>1665</v>
      </c>
      <c r="B390" s="22" t="s">
        <v>455</v>
      </c>
      <c r="C390" s="23" t="n">
        <v>45831</v>
      </c>
      <c r="D390" s="22"/>
      <c r="E390" s="22" t="n">
        <v>1</v>
      </c>
      <c r="F390" s="22" t="s">
        <v>1666</v>
      </c>
      <c r="G390" s="22" t="s">
        <v>470</v>
      </c>
      <c r="H390" s="22" t="s">
        <v>477</v>
      </c>
      <c r="I390" s="22" t="s">
        <v>1667</v>
      </c>
      <c r="J390" s="22" t="s">
        <v>459</v>
      </c>
      <c r="K390" s="22" t="s">
        <v>473</v>
      </c>
      <c r="L390" s="22" t="s">
        <v>474</v>
      </c>
    </row>
    <row r="391" customFormat="false" ht="14.25" hidden="true" customHeight="true" outlineLevel="0" collapsed="false">
      <c r="A391" s="22" t="s">
        <v>1668</v>
      </c>
      <c r="B391" s="22" t="s">
        <v>455</v>
      </c>
      <c r="C391" s="23" t="n">
        <v>45831</v>
      </c>
      <c r="D391" s="22"/>
      <c r="E391" s="22" t="n">
        <v>0</v>
      </c>
      <c r="F391" s="22"/>
      <c r="G391" s="22" t="s">
        <v>465</v>
      </c>
      <c r="H391" s="22" t="s">
        <v>492</v>
      </c>
      <c r="I391" s="22" t="s">
        <v>1669</v>
      </c>
      <c r="J391" s="22" t="s">
        <v>459</v>
      </c>
      <c r="K391" s="22"/>
      <c r="L391" s="22"/>
    </row>
    <row r="392" customFormat="false" ht="14.25" hidden="true" customHeight="true" outlineLevel="0" collapsed="false">
      <c r="A392" s="22" t="s">
        <v>1670</v>
      </c>
      <c r="B392" s="22" t="s">
        <v>455</v>
      </c>
      <c r="C392" s="23" t="n">
        <v>45831</v>
      </c>
      <c r="D392" s="23" t="n">
        <v>45853</v>
      </c>
      <c r="E392" s="22" t="n">
        <v>0</v>
      </c>
      <c r="F392" s="22"/>
      <c r="G392" s="22" t="s">
        <v>1671</v>
      </c>
      <c r="H392" s="22" t="s">
        <v>1672</v>
      </c>
      <c r="I392" s="22" t="s">
        <v>1673</v>
      </c>
      <c r="J392" s="22" t="s">
        <v>459</v>
      </c>
      <c r="K392" s="22"/>
      <c r="L392" s="22"/>
    </row>
    <row r="393" customFormat="false" ht="14.25" hidden="true" customHeight="true" outlineLevel="0" collapsed="false">
      <c r="A393" s="22" t="s">
        <v>1674</v>
      </c>
      <c r="B393" s="22" t="s">
        <v>455</v>
      </c>
      <c r="C393" s="23" t="n">
        <v>45832</v>
      </c>
      <c r="D393" s="22"/>
      <c r="E393" s="22" t="n">
        <v>0</v>
      </c>
      <c r="F393" s="22"/>
      <c r="G393" s="22" t="s">
        <v>1675</v>
      </c>
      <c r="H393" s="22" t="s">
        <v>1676</v>
      </c>
      <c r="I393" s="22" t="s">
        <v>1677</v>
      </c>
      <c r="J393" s="22" t="s">
        <v>459</v>
      </c>
      <c r="K393" s="22"/>
      <c r="L393" s="22"/>
    </row>
    <row r="394" customFormat="false" ht="14.25" hidden="true" customHeight="true" outlineLevel="0" collapsed="false">
      <c r="A394" s="22" t="s">
        <v>1678</v>
      </c>
      <c r="B394" s="22" t="s">
        <v>455</v>
      </c>
      <c r="C394" s="23" t="n">
        <v>45833</v>
      </c>
      <c r="D394" s="22"/>
      <c r="E394" s="22" t="n">
        <v>0</v>
      </c>
      <c r="F394" s="22"/>
      <c r="G394" s="22" t="s">
        <v>1679</v>
      </c>
      <c r="H394" s="22" t="s">
        <v>1680</v>
      </c>
      <c r="I394" s="22" t="s">
        <v>1681</v>
      </c>
      <c r="J394" s="22" t="s">
        <v>459</v>
      </c>
      <c r="K394" s="22"/>
      <c r="L394" s="22"/>
    </row>
    <row r="395" customFormat="false" ht="14.25" hidden="true" customHeight="true" outlineLevel="0" collapsed="false">
      <c r="A395" s="22" t="s">
        <v>1682</v>
      </c>
      <c r="B395" s="22" t="s">
        <v>455</v>
      </c>
      <c r="C395" s="23" t="n">
        <v>45835</v>
      </c>
      <c r="D395" s="22"/>
      <c r="E395" s="22" t="n">
        <v>0</v>
      </c>
      <c r="F395" s="22"/>
      <c r="G395" s="22" t="s">
        <v>1683</v>
      </c>
      <c r="H395" s="22" t="s">
        <v>1684</v>
      </c>
      <c r="I395" s="22" t="s">
        <v>1685</v>
      </c>
      <c r="J395" s="22" t="s">
        <v>459</v>
      </c>
      <c r="K395" s="22"/>
      <c r="L395" s="22"/>
    </row>
    <row r="396" customFormat="false" ht="14.25" hidden="true" customHeight="true" outlineLevel="0" collapsed="false">
      <c r="A396" s="22" t="s">
        <v>1686</v>
      </c>
      <c r="B396" s="22" t="s">
        <v>455</v>
      </c>
      <c r="C396" s="23" t="n">
        <v>45835</v>
      </c>
      <c r="D396" s="22"/>
      <c r="E396" s="22" t="n">
        <v>0</v>
      </c>
      <c r="F396" s="22"/>
      <c r="G396" s="22" t="s">
        <v>470</v>
      </c>
      <c r="H396" s="22" t="s">
        <v>477</v>
      </c>
      <c r="I396" s="22" t="s">
        <v>1687</v>
      </c>
      <c r="J396" s="22" t="s">
        <v>459</v>
      </c>
      <c r="K396" s="22"/>
      <c r="L396" s="22"/>
    </row>
    <row r="397" customFormat="false" ht="14.25" hidden="true" customHeight="true" outlineLevel="0" collapsed="false">
      <c r="A397" s="22" t="s">
        <v>1688</v>
      </c>
      <c r="B397" s="22" t="s">
        <v>455</v>
      </c>
      <c r="C397" s="23" t="n">
        <v>45835</v>
      </c>
      <c r="D397" s="22"/>
      <c r="E397" s="22" t="n">
        <v>1</v>
      </c>
      <c r="F397" s="22" t="s">
        <v>950</v>
      </c>
      <c r="G397" s="22" t="s">
        <v>465</v>
      </c>
      <c r="H397" s="22" t="s">
        <v>492</v>
      </c>
      <c r="I397" s="22" t="s">
        <v>1689</v>
      </c>
      <c r="J397" s="22" t="s">
        <v>459</v>
      </c>
      <c r="K397" s="22" t="s">
        <v>473</v>
      </c>
      <c r="L397" s="22" t="s">
        <v>474</v>
      </c>
    </row>
    <row r="398" customFormat="false" ht="14.25" hidden="true" customHeight="true" outlineLevel="0" collapsed="false">
      <c r="A398" s="22" t="s">
        <v>1690</v>
      </c>
      <c r="B398" s="22" t="s">
        <v>455</v>
      </c>
      <c r="C398" s="23" t="n">
        <v>45838</v>
      </c>
      <c r="D398" s="22"/>
      <c r="E398" s="22" t="n">
        <v>1</v>
      </c>
      <c r="F398" s="22" t="s">
        <v>950</v>
      </c>
      <c r="G398" s="22" t="s">
        <v>465</v>
      </c>
      <c r="H398" s="22" t="s">
        <v>492</v>
      </c>
      <c r="I398" s="22" t="s">
        <v>1691</v>
      </c>
      <c r="J398" s="22" t="s">
        <v>459</v>
      </c>
      <c r="K398" s="22" t="s">
        <v>473</v>
      </c>
      <c r="L398" s="22" t="s">
        <v>474</v>
      </c>
    </row>
    <row r="399" customFormat="false" ht="14.25" hidden="true" customHeight="true" outlineLevel="0" collapsed="false">
      <c r="A399" s="22" t="s">
        <v>1692</v>
      </c>
      <c r="B399" s="22" t="s">
        <v>455</v>
      </c>
      <c r="C399" s="23" t="n">
        <v>45838</v>
      </c>
      <c r="D399" s="22"/>
      <c r="E399" s="22" t="n">
        <v>0</v>
      </c>
      <c r="F399" s="22"/>
      <c r="G399" s="22" t="s">
        <v>465</v>
      </c>
      <c r="H399" s="22" t="s">
        <v>492</v>
      </c>
      <c r="I399" s="22" t="s">
        <v>1693</v>
      </c>
      <c r="J399" s="22" t="s">
        <v>459</v>
      </c>
      <c r="K399" s="22"/>
      <c r="L399" s="22"/>
    </row>
    <row r="400" customFormat="false" ht="14.25" hidden="false" customHeight="true" outlineLevel="0" collapsed="false">
      <c r="A400" s="15" t="s">
        <v>1694</v>
      </c>
      <c r="B400" s="15" t="s">
        <v>504</v>
      </c>
      <c r="C400" s="24" t="n">
        <v>45565</v>
      </c>
      <c r="D400" s="24" t="n">
        <v>45565</v>
      </c>
      <c r="E400" s="15" t="n">
        <v>1</v>
      </c>
      <c r="F400" s="15" t="s">
        <v>1695</v>
      </c>
      <c r="G400" s="15" t="s">
        <v>1058</v>
      </c>
      <c r="H400" s="15" t="s">
        <v>1059</v>
      </c>
      <c r="I400" s="15" t="s">
        <v>1696</v>
      </c>
      <c r="J400" s="15" t="s">
        <v>459</v>
      </c>
      <c r="K400" s="15" t="s">
        <v>1199</v>
      </c>
      <c r="L400" s="15" t="s">
        <v>1697</v>
      </c>
    </row>
    <row r="401" customFormat="false" ht="14.25" hidden="true" customHeight="true" outlineLevel="0" collapsed="false">
      <c r="A401" s="22" t="s">
        <v>1698</v>
      </c>
      <c r="B401" s="22" t="s">
        <v>455</v>
      </c>
      <c r="C401" s="23" t="n">
        <v>45839</v>
      </c>
      <c r="D401" s="22"/>
      <c r="E401" s="22" t="n">
        <v>0</v>
      </c>
      <c r="F401" s="22"/>
      <c r="G401" s="22" t="s">
        <v>465</v>
      </c>
      <c r="H401" s="22" t="s">
        <v>492</v>
      </c>
      <c r="I401" s="22" t="s">
        <v>1699</v>
      </c>
      <c r="J401" s="22" t="s">
        <v>459</v>
      </c>
      <c r="K401" s="22"/>
      <c r="L401" s="22"/>
    </row>
    <row r="402" customFormat="false" ht="14.25" hidden="true" customHeight="true" outlineLevel="0" collapsed="false">
      <c r="A402" s="22" t="s">
        <v>1700</v>
      </c>
      <c r="B402" s="22" t="s">
        <v>483</v>
      </c>
      <c r="C402" s="23" t="n">
        <v>45840</v>
      </c>
      <c r="D402" s="22"/>
      <c r="E402" s="22" t="n">
        <v>1</v>
      </c>
      <c r="F402" s="22" t="s">
        <v>953</v>
      </c>
      <c r="G402" s="22" t="s">
        <v>1701</v>
      </c>
      <c r="H402" s="22" t="s">
        <v>1702</v>
      </c>
      <c r="I402" s="22" t="s">
        <v>1703</v>
      </c>
      <c r="J402" s="22" t="s">
        <v>459</v>
      </c>
      <c r="K402" s="22" t="s">
        <v>473</v>
      </c>
      <c r="L402" s="22" t="s">
        <v>554</v>
      </c>
    </row>
    <row r="403" customFormat="false" ht="14.25" hidden="true" customHeight="true" outlineLevel="0" collapsed="false">
      <c r="A403" s="22" t="s">
        <v>1704</v>
      </c>
      <c r="B403" s="22" t="s">
        <v>483</v>
      </c>
      <c r="C403" s="23" t="n">
        <v>45840</v>
      </c>
      <c r="D403" s="22"/>
      <c r="E403" s="22" t="n">
        <v>1</v>
      </c>
      <c r="F403" s="22" t="s">
        <v>1705</v>
      </c>
      <c r="G403" s="22" t="s">
        <v>1706</v>
      </c>
      <c r="H403" s="22" t="s">
        <v>1707</v>
      </c>
      <c r="I403" s="22" t="s">
        <v>1708</v>
      </c>
      <c r="J403" s="22" t="s">
        <v>459</v>
      </c>
      <c r="K403" s="22" t="s">
        <v>473</v>
      </c>
      <c r="L403" s="22" t="s">
        <v>554</v>
      </c>
    </row>
    <row r="404" customFormat="false" ht="14.25" hidden="true" customHeight="true" outlineLevel="0" collapsed="false">
      <c r="A404" s="22" t="s">
        <v>1709</v>
      </c>
      <c r="B404" s="22" t="s">
        <v>455</v>
      </c>
      <c r="C404" s="23" t="n">
        <v>45841</v>
      </c>
      <c r="D404" s="22"/>
      <c r="E404" s="22" t="n">
        <v>0</v>
      </c>
      <c r="F404" s="22"/>
      <c r="G404" s="22" t="s">
        <v>470</v>
      </c>
      <c r="H404" s="22" t="s">
        <v>477</v>
      </c>
      <c r="I404" s="22" t="s">
        <v>1710</v>
      </c>
      <c r="J404" s="22" t="s">
        <v>459</v>
      </c>
      <c r="K404" s="22"/>
      <c r="L404" s="22"/>
    </row>
    <row r="405" customFormat="false" ht="14.25" hidden="true" customHeight="true" outlineLevel="0" collapsed="false">
      <c r="A405" s="22" t="s">
        <v>1711</v>
      </c>
      <c r="B405" s="22" t="s">
        <v>455</v>
      </c>
      <c r="C405" s="23" t="n">
        <v>45841</v>
      </c>
      <c r="D405" s="22"/>
      <c r="E405" s="22" t="n">
        <v>0</v>
      </c>
      <c r="F405" s="22"/>
      <c r="G405" s="22" t="s">
        <v>465</v>
      </c>
      <c r="H405" s="22" t="s">
        <v>492</v>
      </c>
      <c r="I405" s="22" t="s">
        <v>1712</v>
      </c>
      <c r="J405" s="22" t="s">
        <v>459</v>
      </c>
      <c r="K405" s="22"/>
      <c r="L405" s="22"/>
    </row>
    <row r="406" customFormat="false" ht="14.25" hidden="true" customHeight="true" outlineLevel="0" collapsed="false">
      <c r="A406" s="22" t="s">
        <v>1713</v>
      </c>
      <c r="B406" s="22" t="s">
        <v>455</v>
      </c>
      <c r="C406" s="23" t="n">
        <v>45845</v>
      </c>
      <c r="D406" s="22"/>
      <c r="E406" s="22" t="n">
        <v>0</v>
      </c>
      <c r="F406" s="22"/>
      <c r="G406" s="22" t="s">
        <v>971</v>
      </c>
      <c r="H406" s="22" t="s">
        <v>1714</v>
      </c>
      <c r="I406" s="22" t="s">
        <v>1715</v>
      </c>
      <c r="J406" s="22" t="s">
        <v>459</v>
      </c>
      <c r="K406" s="22"/>
      <c r="L406" s="22"/>
    </row>
    <row r="407" customFormat="false" ht="14.25" hidden="true" customHeight="true" outlineLevel="0" collapsed="false">
      <c r="A407" s="22" t="s">
        <v>1716</v>
      </c>
      <c r="B407" s="22" t="s">
        <v>455</v>
      </c>
      <c r="C407" s="23" t="n">
        <v>45845</v>
      </c>
      <c r="D407" s="22"/>
      <c r="E407" s="22" t="n">
        <v>0</v>
      </c>
      <c r="F407" s="22"/>
      <c r="G407" s="22" t="s">
        <v>1717</v>
      </c>
      <c r="H407" s="22" t="s">
        <v>1718</v>
      </c>
      <c r="I407" s="22" t="s">
        <v>1719</v>
      </c>
      <c r="J407" s="22" t="s">
        <v>459</v>
      </c>
      <c r="K407" s="22"/>
      <c r="L407" s="22"/>
    </row>
    <row r="408" customFormat="false" ht="14.25" hidden="true" customHeight="true" outlineLevel="0" collapsed="false">
      <c r="A408" s="22" t="s">
        <v>1720</v>
      </c>
      <c r="B408" s="22" t="s">
        <v>455</v>
      </c>
      <c r="C408" s="23" t="n">
        <v>45845</v>
      </c>
      <c r="D408" s="22"/>
      <c r="E408" s="22" t="n">
        <v>0</v>
      </c>
      <c r="F408" s="22"/>
      <c r="G408" s="22" t="s">
        <v>465</v>
      </c>
      <c r="H408" s="22" t="s">
        <v>492</v>
      </c>
      <c r="I408" s="22" t="s">
        <v>1721</v>
      </c>
      <c r="J408" s="22" t="s">
        <v>459</v>
      </c>
      <c r="K408" s="22"/>
      <c r="L408" s="22"/>
    </row>
    <row r="409" customFormat="false" ht="14.25" hidden="true" customHeight="true" outlineLevel="0" collapsed="false">
      <c r="A409" s="22" t="s">
        <v>1722</v>
      </c>
      <c r="B409" s="22" t="s">
        <v>483</v>
      </c>
      <c r="C409" s="23" t="n">
        <v>45847</v>
      </c>
      <c r="D409" s="22"/>
      <c r="E409" s="22" t="n">
        <v>0</v>
      </c>
      <c r="F409" s="22"/>
      <c r="G409" s="22" t="s">
        <v>1701</v>
      </c>
      <c r="H409" s="22"/>
      <c r="I409" s="22" t="s">
        <v>1723</v>
      </c>
      <c r="J409" s="22" t="s">
        <v>459</v>
      </c>
      <c r="K409" s="22"/>
      <c r="L409" s="22"/>
    </row>
    <row r="410" customFormat="false" ht="14.25" hidden="true" customHeight="true" outlineLevel="0" collapsed="false">
      <c r="A410" s="22" t="s">
        <v>1724</v>
      </c>
      <c r="B410" s="22" t="s">
        <v>455</v>
      </c>
      <c r="C410" s="23" t="n">
        <v>45849</v>
      </c>
      <c r="D410" s="22"/>
      <c r="E410" s="22" t="n">
        <v>0</v>
      </c>
      <c r="F410" s="22"/>
      <c r="G410" s="22" t="s">
        <v>465</v>
      </c>
      <c r="H410" s="22" t="s">
        <v>492</v>
      </c>
      <c r="I410" s="22" t="s">
        <v>1725</v>
      </c>
      <c r="J410" s="22" t="s">
        <v>459</v>
      </c>
      <c r="K410" s="22"/>
      <c r="L410" s="22"/>
    </row>
    <row r="411" customFormat="false" ht="14.25" hidden="true" customHeight="true" outlineLevel="0" collapsed="false">
      <c r="A411" s="22" t="s">
        <v>1726</v>
      </c>
      <c r="B411" s="22" t="s">
        <v>455</v>
      </c>
      <c r="C411" s="23" t="n">
        <v>45849</v>
      </c>
      <c r="D411" s="22"/>
      <c r="E411" s="22" t="n">
        <v>1</v>
      </c>
      <c r="F411" s="22" t="s">
        <v>1727</v>
      </c>
      <c r="G411" s="22" t="s">
        <v>470</v>
      </c>
      <c r="H411" s="22" t="s">
        <v>477</v>
      </c>
      <c r="I411" s="22" t="s">
        <v>1728</v>
      </c>
      <c r="J411" s="22" t="s">
        <v>459</v>
      </c>
      <c r="K411" s="22" t="s">
        <v>473</v>
      </c>
      <c r="L411" s="22" t="s">
        <v>474</v>
      </c>
    </row>
    <row r="412" customFormat="false" ht="14.25" hidden="true" customHeight="true" outlineLevel="0" collapsed="false">
      <c r="A412" s="22" t="s">
        <v>1729</v>
      </c>
      <c r="B412" s="22" t="s">
        <v>455</v>
      </c>
      <c r="C412" s="23" t="n">
        <v>45849</v>
      </c>
      <c r="D412" s="23" t="n">
        <v>45849</v>
      </c>
      <c r="E412" s="22" t="n">
        <v>0</v>
      </c>
      <c r="F412" s="22"/>
      <c r="G412" s="22" t="s">
        <v>1730</v>
      </c>
      <c r="H412" s="22" t="s">
        <v>1731</v>
      </c>
      <c r="I412" s="22" t="s">
        <v>1732</v>
      </c>
      <c r="J412" s="22" t="s">
        <v>459</v>
      </c>
      <c r="K412" s="22"/>
      <c r="L412" s="22"/>
    </row>
    <row r="413" customFormat="false" ht="14.25" hidden="true" customHeight="true" outlineLevel="0" collapsed="false">
      <c r="A413" s="22" t="s">
        <v>1733</v>
      </c>
      <c r="B413" s="22" t="s">
        <v>483</v>
      </c>
      <c r="C413" s="23" t="n">
        <v>45849</v>
      </c>
      <c r="D413" s="22"/>
      <c r="E413" s="22" t="n">
        <v>0</v>
      </c>
      <c r="F413" s="22"/>
      <c r="G413" s="22" t="s">
        <v>1701</v>
      </c>
      <c r="H413" s="22"/>
      <c r="I413" s="22" t="s">
        <v>1734</v>
      </c>
      <c r="J413" s="22" t="s">
        <v>459</v>
      </c>
      <c r="K413" s="22"/>
      <c r="L413" s="22"/>
    </row>
    <row r="414" customFormat="false" ht="14.25" hidden="true" customHeight="true" outlineLevel="0" collapsed="false">
      <c r="A414" s="22" t="s">
        <v>1735</v>
      </c>
      <c r="B414" s="22" t="s">
        <v>455</v>
      </c>
      <c r="C414" s="23" t="n">
        <v>45852</v>
      </c>
      <c r="D414" s="22"/>
      <c r="E414" s="22" t="n">
        <v>0</v>
      </c>
      <c r="F414" s="22"/>
      <c r="G414" s="22" t="s">
        <v>465</v>
      </c>
      <c r="H414" s="22" t="s">
        <v>492</v>
      </c>
      <c r="I414" s="22" t="s">
        <v>1736</v>
      </c>
      <c r="J414" s="22" t="s">
        <v>459</v>
      </c>
      <c r="K414" s="22"/>
      <c r="L414" s="22"/>
    </row>
    <row r="415" customFormat="false" ht="14.25" hidden="true" customHeight="true" outlineLevel="0" collapsed="false">
      <c r="A415" s="22" t="s">
        <v>1737</v>
      </c>
      <c r="B415" s="22" t="s">
        <v>455</v>
      </c>
      <c r="C415" s="23" t="n">
        <v>45852</v>
      </c>
      <c r="D415" s="22"/>
      <c r="E415" s="22" t="n">
        <v>1</v>
      </c>
      <c r="F415" s="22" t="s">
        <v>769</v>
      </c>
      <c r="G415" s="22" t="s">
        <v>470</v>
      </c>
      <c r="H415" s="22" t="s">
        <v>477</v>
      </c>
      <c r="I415" s="22" t="s">
        <v>1738</v>
      </c>
      <c r="J415" s="22" t="s">
        <v>459</v>
      </c>
      <c r="K415" s="22" t="s">
        <v>473</v>
      </c>
      <c r="L415" s="22" t="s">
        <v>474</v>
      </c>
    </row>
    <row r="416" customFormat="false" ht="14.25" hidden="true" customHeight="true" outlineLevel="0" collapsed="false">
      <c r="A416" s="22" t="s">
        <v>1739</v>
      </c>
      <c r="B416" s="22" t="s">
        <v>483</v>
      </c>
      <c r="C416" s="23" t="n">
        <v>45854</v>
      </c>
      <c r="D416" s="22"/>
      <c r="E416" s="22" t="n">
        <v>1</v>
      </c>
      <c r="F416" s="22" t="s">
        <v>1740</v>
      </c>
      <c r="G416" s="22" t="s">
        <v>1741</v>
      </c>
      <c r="H416" s="22" t="s">
        <v>1742</v>
      </c>
      <c r="I416" s="22" t="s">
        <v>1743</v>
      </c>
      <c r="J416" s="22" t="s">
        <v>459</v>
      </c>
      <c r="K416" s="22" t="s">
        <v>473</v>
      </c>
      <c r="L416" s="22" t="s">
        <v>554</v>
      </c>
    </row>
    <row r="417" customFormat="false" ht="14.25" hidden="true" customHeight="true" outlineLevel="0" collapsed="false">
      <c r="A417" s="22" t="s">
        <v>1744</v>
      </c>
      <c r="B417" s="22" t="s">
        <v>483</v>
      </c>
      <c r="C417" s="23" t="n">
        <v>45855</v>
      </c>
      <c r="D417" s="22"/>
      <c r="E417" s="22" t="n">
        <v>1</v>
      </c>
      <c r="F417" s="22" t="s">
        <v>1745</v>
      </c>
      <c r="G417" s="22" t="s">
        <v>1746</v>
      </c>
      <c r="H417" s="22" t="s">
        <v>1747</v>
      </c>
      <c r="I417" s="22" t="s">
        <v>1748</v>
      </c>
      <c r="J417" s="22" t="s">
        <v>459</v>
      </c>
      <c r="K417" s="22" t="s">
        <v>473</v>
      </c>
      <c r="L417" s="22" t="s">
        <v>554</v>
      </c>
    </row>
    <row r="418" customFormat="false" ht="14.25" hidden="true" customHeight="true" outlineLevel="0" collapsed="false">
      <c r="A418" s="22" t="s">
        <v>1749</v>
      </c>
      <c r="B418" s="22" t="s">
        <v>455</v>
      </c>
      <c r="C418" s="23" t="n">
        <v>45855</v>
      </c>
      <c r="D418" s="22"/>
      <c r="E418" s="22" t="n">
        <v>0</v>
      </c>
      <c r="F418" s="22"/>
      <c r="G418" s="22" t="s">
        <v>1750</v>
      </c>
      <c r="H418" s="22" t="s">
        <v>1751</v>
      </c>
      <c r="I418" s="22" t="s">
        <v>1752</v>
      </c>
      <c r="J418" s="22" t="s">
        <v>459</v>
      </c>
      <c r="K418" s="22"/>
      <c r="L418" s="22"/>
    </row>
    <row r="419" customFormat="false" ht="14.25" hidden="true" customHeight="true" outlineLevel="0" collapsed="false">
      <c r="A419" s="22" t="s">
        <v>1753</v>
      </c>
      <c r="B419" s="22" t="s">
        <v>455</v>
      </c>
      <c r="C419" s="23" t="n">
        <v>45859</v>
      </c>
      <c r="D419" s="22"/>
      <c r="E419" s="22" t="n">
        <v>0</v>
      </c>
      <c r="F419" s="22"/>
      <c r="G419" s="22" t="s">
        <v>470</v>
      </c>
      <c r="H419" s="22" t="s">
        <v>477</v>
      </c>
      <c r="I419" s="22" t="s">
        <v>1754</v>
      </c>
      <c r="J419" s="22" t="s">
        <v>459</v>
      </c>
      <c r="K419" s="22"/>
      <c r="L419" s="22"/>
    </row>
    <row r="420" customFormat="false" ht="14.25" hidden="true" customHeight="true" outlineLevel="0" collapsed="false">
      <c r="A420" s="22" t="s">
        <v>1755</v>
      </c>
      <c r="B420" s="22" t="s">
        <v>455</v>
      </c>
      <c r="C420" s="23" t="n">
        <v>45859</v>
      </c>
      <c r="D420" s="22"/>
      <c r="E420" s="22" t="n">
        <v>0</v>
      </c>
      <c r="F420" s="22"/>
      <c r="G420" s="22" t="s">
        <v>465</v>
      </c>
      <c r="H420" s="22" t="s">
        <v>492</v>
      </c>
      <c r="I420" s="22" t="s">
        <v>1756</v>
      </c>
      <c r="J420" s="22" t="s">
        <v>459</v>
      </c>
      <c r="K420" s="22"/>
      <c r="L420" s="22"/>
    </row>
    <row r="421" customFormat="false" ht="14.25" hidden="true" customHeight="true" outlineLevel="0" collapsed="false">
      <c r="A421" s="22" t="s">
        <v>1757</v>
      </c>
      <c r="B421" s="22" t="s">
        <v>455</v>
      </c>
      <c r="C421" s="23" t="n">
        <v>45861</v>
      </c>
      <c r="D421" s="22"/>
      <c r="E421" s="22" t="n">
        <v>0</v>
      </c>
      <c r="F421" s="22"/>
      <c r="G421" s="22" t="s">
        <v>1758</v>
      </c>
      <c r="H421" s="22" t="s">
        <v>1759</v>
      </c>
      <c r="I421" s="22" t="s">
        <v>1760</v>
      </c>
      <c r="J421" s="22" t="s">
        <v>459</v>
      </c>
      <c r="K421" s="22"/>
      <c r="L421" s="22"/>
    </row>
    <row r="422" customFormat="false" ht="14.25" hidden="true" customHeight="true" outlineLevel="0" collapsed="false">
      <c r="A422" s="22" t="s">
        <v>1761</v>
      </c>
      <c r="B422" s="22" t="s">
        <v>455</v>
      </c>
      <c r="C422" s="23" t="n">
        <v>45866</v>
      </c>
      <c r="D422" s="22"/>
      <c r="E422" s="22" t="n">
        <v>1</v>
      </c>
      <c r="F422" s="22" t="s">
        <v>1762</v>
      </c>
      <c r="G422" s="22" t="s">
        <v>470</v>
      </c>
      <c r="H422" s="22" t="s">
        <v>477</v>
      </c>
      <c r="I422" s="22" t="s">
        <v>1763</v>
      </c>
      <c r="J422" s="22" t="s">
        <v>459</v>
      </c>
      <c r="K422" s="22" t="s">
        <v>473</v>
      </c>
      <c r="L422" s="22" t="s">
        <v>474</v>
      </c>
    </row>
    <row r="423" customFormat="false" ht="14.25" hidden="true" customHeight="true" outlineLevel="0" collapsed="false">
      <c r="A423" s="22" t="s">
        <v>1764</v>
      </c>
      <c r="B423" s="22" t="s">
        <v>455</v>
      </c>
      <c r="C423" s="23" t="n">
        <v>45868</v>
      </c>
      <c r="D423" s="22"/>
      <c r="E423" s="22" t="n">
        <v>0</v>
      </c>
      <c r="F423" s="22"/>
      <c r="G423" s="22" t="s">
        <v>1007</v>
      </c>
      <c r="H423" s="22" t="s">
        <v>1765</v>
      </c>
      <c r="I423" s="22" t="s">
        <v>1766</v>
      </c>
      <c r="J423" s="22" t="s">
        <v>459</v>
      </c>
      <c r="K423" s="22"/>
      <c r="L423" s="22"/>
    </row>
    <row r="424" customFormat="false" ht="14.25" hidden="true" customHeight="true" outlineLevel="0" collapsed="false">
      <c r="A424" s="22" t="s">
        <v>1767</v>
      </c>
      <c r="B424" s="22" t="s">
        <v>455</v>
      </c>
      <c r="C424" s="23" t="n">
        <v>45869</v>
      </c>
      <c r="D424" s="22"/>
      <c r="E424" s="22" t="n">
        <v>1</v>
      </c>
      <c r="F424" s="22" t="s">
        <v>1768</v>
      </c>
      <c r="G424" s="22" t="s">
        <v>465</v>
      </c>
      <c r="H424" s="22" t="s">
        <v>492</v>
      </c>
      <c r="I424" s="22" t="s">
        <v>1769</v>
      </c>
      <c r="J424" s="22" t="s">
        <v>459</v>
      </c>
      <c r="K424" s="22" t="s">
        <v>473</v>
      </c>
      <c r="L424" s="22" t="s">
        <v>474</v>
      </c>
    </row>
    <row r="425" customFormat="false" ht="14.25" hidden="true" customHeight="true" outlineLevel="0" collapsed="false">
      <c r="A425" s="22" t="s">
        <v>1770</v>
      </c>
      <c r="B425" s="22" t="s">
        <v>455</v>
      </c>
      <c r="C425" s="23" t="n">
        <v>45870</v>
      </c>
      <c r="D425" s="22"/>
      <c r="E425" s="22" t="n">
        <v>0</v>
      </c>
      <c r="F425" s="22"/>
      <c r="G425" s="22" t="s">
        <v>465</v>
      </c>
      <c r="H425" s="22" t="s">
        <v>492</v>
      </c>
      <c r="I425" s="22" t="s">
        <v>1771</v>
      </c>
      <c r="J425" s="22" t="s">
        <v>459</v>
      </c>
      <c r="K425" s="22"/>
      <c r="L425" s="22"/>
    </row>
    <row r="426" customFormat="false" ht="14.25" hidden="true" customHeight="true" outlineLevel="0" collapsed="false">
      <c r="A426" s="22" t="s">
        <v>1772</v>
      </c>
      <c r="B426" s="22" t="s">
        <v>455</v>
      </c>
      <c r="C426" s="23" t="n">
        <v>45870</v>
      </c>
      <c r="D426" s="22"/>
      <c r="E426" s="22" t="n">
        <v>1</v>
      </c>
      <c r="F426" s="22" t="s">
        <v>950</v>
      </c>
      <c r="G426" s="22" t="s">
        <v>971</v>
      </c>
      <c r="H426" s="22" t="s">
        <v>1773</v>
      </c>
      <c r="I426" s="22" t="s">
        <v>1774</v>
      </c>
      <c r="J426" s="22" t="s">
        <v>459</v>
      </c>
      <c r="K426" s="22" t="s">
        <v>473</v>
      </c>
      <c r="L426" s="22" t="s">
        <v>474</v>
      </c>
    </row>
    <row r="427" customFormat="false" ht="14.25" hidden="true" customHeight="true" outlineLevel="0" collapsed="false">
      <c r="A427" s="22" t="s">
        <v>1775</v>
      </c>
      <c r="B427" s="22" t="s">
        <v>504</v>
      </c>
      <c r="C427" s="23" t="n">
        <v>45873</v>
      </c>
      <c r="D427" s="23" t="n">
        <v>45931</v>
      </c>
      <c r="E427" s="22" t="n">
        <v>1</v>
      </c>
      <c r="F427" s="22" t="s">
        <v>1776</v>
      </c>
      <c r="G427" s="22" t="s">
        <v>1571</v>
      </c>
      <c r="H427" s="22" t="s">
        <v>1777</v>
      </c>
      <c r="I427" s="22" t="s">
        <v>1778</v>
      </c>
      <c r="J427" s="22" t="s">
        <v>459</v>
      </c>
      <c r="K427" s="22" t="s">
        <v>473</v>
      </c>
      <c r="L427" s="22" t="s">
        <v>554</v>
      </c>
    </row>
    <row r="428" customFormat="false" ht="14.25" hidden="true" customHeight="true" outlineLevel="0" collapsed="false">
      <c r="A428" s="22" t="s">
        <v>1779</v>
      </c>
      <c r="B428" s="22" t="s">
        <v>504</v>
      </c>
      <c r="C428" s="23" t="n">
        <v>45873</v>
      </c>
      <c r="D428" s="23" t="n">
        <v>45931</v>
      </c>
      <c r="E428" s="22" t="n">
        <v>1</v>
      </c>
      <c r="F428" s="22" t="s">
        <v>1780</v>
      </c>
      <c r="G428" s="22" t="s">
        <v>1781</v>
      </c>
      <c r="H428" s="22" t="s">
        <v>1782</v>
      </c>
      <c r="I428" s="22" t="s">
        <v>1783</v>
      </c>
      <c r="J428" s="22" t="s">
        <v>459</v>
      </c>
      <c r="K428" s="22" t="s">
        <v>473</v>
      </c>
      <c r="L428" s="22" t="s">
        <v>554</v>
      </c>
    </row>
    <row r="429" customFormat="false" ht="14.25" hidden="true" customHeight="true" outlineLevel="0" collapsed="false">
      <c r="A429" s="22" t="s">
        <v>1784</v>
      </c>
      <c r="B429" s="22" t="s">
        <v>504</v>
      </c>
      <c r="C429" s="23" t="n">
        <v>45874</v>
      </c>
      <c r="D429" s="23" t="n">
        <v>45931</v>
      </c>
      <c r="E429" s="22" t="n">
        <v>1</v>
      </c>
      <c r="F429" s="22" t="s">
        <v>1785</v>
      </c>
      <c r="G429" s="22" t="s">
        <v>1567</v>
      </c>
      <c r="H429" s="22" t="s">
        <v>1786</v>
      </c>
      <c r="I429" s="22" t="s">
        <v>1787</v>
      </c>
      <c r="J429" s="22" t="s">
        <v>459</v>
      </c>
      <c r="K429" s="22" t="s">
        <v>473</v>
      </c>
      <c r="L429" s="22" t="s">
        <v>554</v>
      </c>
    </row>
    <row r="430" customFormat="false" ht="14.25" hidden="true" customHeight="true" outlineLevel="0" collapsed="false">
      <c r="A430" s="22" t="s">
        <v>1788</v>
      </c>
      <c r="B430" s="22" t="s">
        <v>504</v>
      </c>
      <c r="C430" s="23" t="n">
        <v>45874</v>
      </c>
      <c r="D430" s="23" t="n">
        <v>45931</v>
      </c>
      <c r="E430" s="22" t="n">
        <v>1</v>
      </c>
      <c r="F430" s="22" t="s">
        <v>1789</v>
      </c>
      <c r="G430" s="22" t="s">
        <v>1558</v>
      </c>
      <c r="H430" s="22" t="s">
        <v>1790</v>
      </c>
      <c r="I430" s="22" t="s">
        <v>1791</v>
      </c>
      <c r="J430" s="22" t="s">
        <v>459</v>
      </c>
      <c r="K430" s="22" t="s">
        <v>473</v>
      </c>
      <c r="L430" s="22" t="s">
        <v>554</v>
      </c>
    </row>
    <row r="431" customFormat="false" ht="14.25" hidden="true" customHeight="true" outlineLevel="0" collapsed="false">
      <c r="A431" s="22" t="s">
        <v>1792</v>
      </c>
      <c r="B431" s="22" t="s">
        <v>504</v>
      </c>
      <c r="C431" s="23" t="n">
        <v>45874</v>
      </c>
      <c r="D431" s="23" t="n">
        <v>45931</v>
      </c>
      <c r="E431" s="22" t="n">
        <v>1</v>
      </c>
      <c r="F431" s="22" t="s">
        <v>1793</v>
      </c>
      <c r="G431" s="22" t="s">
        <v>1562</v>
      </c>
      <c r="H431" s="22" t="s">
        <v>1794</v>
      </c>
      <c r="I431" s="22" t="s">
        <v>1795</v>
      </c>
      <c r="J431" s="22" t="s">
        <v>459</v>
      </c>
      <c r="K431" s="22" t="s">
        <v>473</v>
      </c>
      <c r="L431" s="22" t="s">
        <v>554</v>
      </c>
    </row>
    <row r="432" customFormat="false" ht="14.25" hidden="true" customHeight="true" outlineLevel="0" collapsed="false">
      <c r="A432" s="22" t="s">
        <v>1796</v>
      </c>
      <c r="B432" s="22" t="s">
        <v>455</v>
      </c>
      <c r="C432" s="23" t="n">
        <v>45874</v>
      </c>
      <c r="D432" s="22"/>
      <c r="E432" s="22" t="n">
        <v>0</v>
      </c>
      <c r="F432" s="22"/>
      <c r="G432" s="22" t="s">
        <v>1797</v>
      </c>
      <c r="H432" s="22" t="s">
        <v>1611</v>
      </c>
      <c r="I432" s="22" t="s">
        <v>1798</v>
      </c>
      <c r="J432" s="22" t="s">
        <v>459</v>
      </c>
      <c r="K432" s="22"/>
      <c r="L432" s="22"/>
    </row>
    <row r="433" customFormat="false" ht="14.25" hidden="true" customHeight="true" outlineLevel="0" collapsed="false">
      <c r="A433" s="22" t="s">
        <v>1799</v>
      </c>
      <c r="B433" s="22" t="s">
        <v>455</v>
      </c>
      <c r="C433" s="23" t="n">
        <v>45874</v>
      </c>
      <c r="D433" s="22"/>
      <c r="E433" s="22" t="n">
        <v>0</v>
      </c>
      <c r="F433" s="22"/>
      <c r="G433" s="22" t="s">
        <v>465</v>
      </c>
      <c r="H433" s="22" t="s">
        <v>492</v>
      </c>
      <c r="I433" s="22" t="s">
        <v>1800</v>
      </c>
      <c r="J433" s="22" t="s">
        <v>459</v>
      </c>
      <c r="K433" s="22"/>
      <c r="L433" s="22"/>
    </row>
    <row r="434" customFormat="false" ht="14.25" hidden="true" customHeight="true" outlineLevel="0" collapsed="false">
      <c r="A434" s="22" t="s">
        <v>1801</v>
      </c>
      <c r="B434" s="22" t="s">
        <v>455</v>
      </c>
      <c r="C434" s="23" t="n">
        <v>45874</v>
      </c>
      <c r="D434" s="22"/>
      <c r="E434" s="22" t="n">
        <v>0</v>
      </c>
      <c r="F434" s="22"/>
      <c r="G434" s="22" t="s">
        <v>470</v>
      </c>
      <c r="H434" s="22" t="s">
        <v>477</v>
      </c>
      <c r="I434" s="22" t="s">
        <v>1802</v>
      </c>
      <c r="J434" s="22" t="s">
        <v>459</v>
      </c>
      <c r="K434" s="22"/>
      <c r="L434" s="22"/>
    </row>
    <row r="435" customFormat="false" ht="14.25" hidden="true" customHeight="true" outlineLevel="0" collapsed="false">
      <c r="A435" s="22" t="s">
        <v>1803</v>
      </c>
      <c r="B435" s="22" t="s">
        <v>455</v>
      </c>
      <c r="C435" s="23" t="n">
        <v>45882</v>
      </c>
      <c r="D435" s="22"/>
      <c r="E435" s="22" t="n">
        <v>1</v>
      </c>
      <c r="F435" s="22" t="s">
        <v>1264</v>
      </c>
      <c r="G435" s="22" t="s">
        <v>470</v>
      </c>
      <c r="H435" s="22" t="s">
        <v>477</v>
      </c>
      <c r="I435" s="22" t="s">
        <v>1804</v>
      </c>
      <c r="J435" s="22" t="s">
        <v>459</v>
      </c>
      <c r="K435" s="22" t="s">
        <v>473</v>
      </c>
      <c r="L435" s="22" t="s">
        <v>474</v>
      </c>
    </row>
    <row r="436" customFormat="false" ht="14.25" hidden="true" customHeight="true" outlineLevel="0" collapsed="false">
      <c r="A436" s="22" t="s">
        <v>1805</v>
      </c>
      <c r="B436" s="22" t="s">
        <v>483</v>
      </c>
      <c r="C436" s="23" t="n">
        <v>45883</v>
      </c>
      <c r="D436" s="22"/>
      <c r="E436" s="22" t="n">
        <v>0</v>
      </c>
      <c r="F436" s="22"/>
      <c r="G436" s="22" t="s">
        <v>1806</v>
      </c>
      <c r="H436" s="22" t="s">
        <v>1807</v>
      </c>
      <c r="I436" s="22" t="s">
        <v>1808</v>
      </c>
      <c r="J436" s="22" t="s">
        <v>459</v>
      </c>
      <c r="K436" s="22"/>
      <c r="L436" s="22"/>
    </row>
    <row r="437" customFormat="false" ht="14.25" hidden="true" customHeight="true" outlineLevel="0" collapsed="false">
      <c r="A437" s="22" t="s">
        <v>1809</v>
      </c>
      <c r="B437" s="22" t="s">
        <v>455</v>
      </c>
      <c r="C437" s="23" t="n">
        <v>45887</v>
      </c>
      <c r="D437" s="22"/>
      <c r="E437" s="22" t="n">
        <v>0</v>
      </c>
      <c r="F437" s="22"/>
      <c r="G437" s="22" t="s">
        <v>465</v>
      </c>
      <c r="H437" s="22" t="s">
        <v>492</v>
      </c>
      <c r="I437" s="22" t="s">
        <v>1810</v>
      </c>
      <c r="J437" s="22" t="s">
        <v>459</v>
      </c>
      <c r="K437" s="22"/>
      <c r="L437" s="22"/>
    </row>
    <row r="438" customFormat="false" ht="14.25" hidden="true" customHeight="true" outlineLevel="0" collapsed="false">
      <c r="A438" s="22" t="s">
        <v>1811</v>
      </c>
      <c r="B438" s="22" t="s">
        <v>455</v>
      </c>
      <c r="C438" s="23" t="n">
        <v>45890</v>
      </c>
      <c r="D438" s="22"/>
      <c r="E438" s="22" t="n">
        <v>0</v>
      </c>
      <c r="F438" s="22"/>
      <c r="G438" s="22" t="s">
        <v>470</v>
      </c>
      <c r="H438" s="22" t="s">
        <v>477</v>
      </c>
      <c r="I438" s="22" t="s">
        <v>1812</v>
      </c>
      <c r="J438" s="22" t="s">
        <v>459</v>
      </c>
      <c r="K438" s="22"/>
      <c r="L438" s="22"/>
    </row>
    <row r="439" customFormat="false" ht="14.25" hidden="true" customHeight="true" outlineLevel="0" collapsed="false">
      <c r="A439" s="22" t="s">
        <v>1813</v>
      </c>
      <c r="B439" s="22" t="s">
        <v>455</v>
      </c>
      <c r="C439" s="23" t="n">
        <v>45890</v>
      </c>
      <c r="D439" s="22"/>
      <c r="E439" s="22" t="n">
        <v>0</v>
      </c>
      <c r="F439" s="22"/>
      <c r="G439" s="22" t="s">
        <v>465</v>
      </c>
      <c r="H439" s="22" t="s">
        <v>492</v>
      </c>
      <c r="I439" s="22" t="s">
        <v>1814</v>
      </c>
      <c r="J439" s="22" t="s">
        <v>459</v>
      </c>
      <c r="K439" s="22"/>
      <c r="L439" s="22"/>
    </row>
    <row r="440" customFormat="false" ht="14.25" hidden="true" customHeight="true" outlineLevel="0" collapsed="false">
      <c r="A440" s="22" t="s">
        <v>1815</v>
      </c>
      <c r="B440" s="22" t="s">
        <v>455</v>
      </c>
      <c r="C440" s="23" t="n">
        <v>45894</v>
      </c>
      <c r="D440" s="22"/>
      <c r="E440" s="22" t="n">
        <v>0</v>
      </c>
      <c r="F440" s="22"/>
      <c r="G440" s="22" t="s">
        <v>461</v>
      </c>
      <c r="H440" s="22" t="s">
        <v>462</v>
      </c>
      <c r="I440" s="22" t="s">
        <v>1816</v>
      </c>
      <c r="J440" s="22" t="s">
        <v>459</v>
      </c>
      <c r="K440" s="22"/>
      <c r="L440" s="22"/>
    </row>
    <row r="441" customFormat="false" ht="14.25" hidden="true" customHeight="true" outlineLevel="0" collapsed="false">
      <c r="A441" s="22" t="s">
        <v>1817</v>
      </c>
      <c r="B441" s="22" t="s">
        <v>455</v>
      </c>
      <c r="C441" s="23" t="n">
        <v>45895</v>
      </c>
      <c r="D441" s="22"/>
      <c r="E441" s="22" t="n">
        <v>0</v>
      </c>
      <c r="F441" s="22"/>
      <c r="G441" s="22" t="s">
        <v>461</v>
      </c>
      <c r="H441" s="22" t="s">
        <v>462</v>
      </c>
      <c r="I441" s="22" t="s">
        <v>1818</v>
      </c>
      <c r="J441" s="22" t="s">
        <v>459</v>
      </c>
      <c r="K441" s="22"/>
      <c r="L441" s="22"/>
    </row>
    <row r="442" customFormat="false" ht="14.25" hidden="true" customHeight="true" outlineLevel="0" collapsed="false">
      <c r="A442" s="22" t="s">
        <v>1819</v>
      </c>
      <c r="B442" s="22" t="s">
        <v>455</v>
      </c>
      <c r="C442" s="23" t="n">
        <v>45897</v>
      </c>
      <c r="D442" s="22"/>
      <c r="E442" s="22" t="n">
        <v>0</v>
      </c>
      <c r="F442" s="22"/>
      <c r="G442" s="22" t="s">
        <v>470</v>
      </c>
      <c r="H442" s="22" t="s">
        <v>477</v>
      </c>
      <c r="I442" s="22" t="s">
        <v>1820</v>
      </c>
      <c r="J442" s="22" t="s">
        <v>459</v>
      </c>
      <c r="K442" s="22"/>
      <c r="L442" s="22"/>
    </row>
    <row r="443" customFormat="false" ht="14.25" hidden="true" customHeight="true" outlineLevel="0" collapsed="false">
      <c r="A443" s="22" t="s">
        <v>1821</v>
      </c>
      <c r="B443" s="22" t="s">
        <v>483</v>
      </c>
      <c r="C443" s="23" t="n">
        <v>45897</v>
      </c>
      <c r="D443" s="22"/>
      <c r="E443" s="22" t="n">
        <v>0</v>
      </c>
      <c r="F443" s="22"/>
      <c r="G443" s="22" t="s">
        <v>1701</v>
      </c>
      <c r="H443" s="22"/>
      <c r="I443" s="22" t="s">
        <v>1822</v>
      </c>
      <c r="J443" s="22" t="s">
        <v>459</v>
      </c>
      <c r="K443" s="22"/>
      <c r="L443" s="22"/>
    </row>
    <row r="444" customFormat="false" ht="14.25" hidden="true" customHeight="true" outlineLevel="0" collapsed="false">
      <c r="A444" s="22" t="s">
        <v>1823</v>
      </c>
      <c r="B444" s="22" t="s">
        <v>455</v>
      </c>
      <c r="C444" s="23" t="n">
        <v>45898</v>
      </c>
      <c r="D444" s="22"/>
      <c r="E444" s="22" t="n">
        <v>0</v>
      </c>
      <c r="F444" s="22"/>
      <c r="G444" s="22" t="s">
        <v>465</v>
      </c>
      <c r="H444" s="22" t="s">
        <v>1824</v>
      </c>
      <c r="I444" s="22" t="s">
        <v>1825</v>
      </c>
      <c r="J444" s="22" t="s">
        <v>459</v>
      </c>
      <c r="K444" s="22"/>
      <c r="L444" s="22"/>
    </row>
    <row r="445" customFormat="false" ht="14.25" hidden="true" customHeight="true" outlineLevel="0" collapsed="false">
      <c r="A445" s="22" t="s">
        <v>1826</v>
      </c>
      <c r="B445" s="22" t="s">
        <v>455</v>
      </c>
      <c r="C445" s="23" t="n">
        <v>45898</v>
      </c>
      <c r="D445" s="22"/>
      <c r="E445" s="22" t="n">
        <v>0</v>
      </c>
      <c r="F445" s="22"/>
      <c r="G445" s="22" t="s">
        <v>465</v>
      </c>
      <c r="H445" s="22" t="s">
        <v>492</v>
      </c>
      <c r="I445" s="22" t="s">
        <v>1827</v>
      </c>
      <c r="J445" s="22" t="s">
        <v>459</v>
      </c>
      <c r="K445" s="22"/>
      <c r="L445" s="22"/>
    </row>
    <row r="446" customFormat="false" ht="14.25" hidden="true" customHeight="true" outlineLevel="0" collapsed="false">
      <c r="A446" s="22" t="s">
        <v>1828</v>
      </c>
      <c r="B446" s="22" t="s">
        <v>455</v>
      </c>
      <c r="C446" s="23" t="n">
        <v>45902</v>
      </c>
      <c r="D446" s="22"/>
      <c r="E446" s="22" t="n">
        <v>0</v>
      </c>
      <c r="F446" s="22"/>
      <c r="G446" s="22" t="s">
        <v>470</v>
      </c>
      <c r="H446" s="22" t="s">
        <v>477</v>
      </c>
      <c r="I446" s="22" t="s">
        <v>1829</v>
      </c>
      <c r="J446" s="22" t="s">
        <v>459</v>
      </c>
      <c r="K446" s="22"/>
      <c r="L446" s="22"/>
    </row>
    <row r="447" customFormat="false" ht="14.25" hidden="true" customHeight="true" outlineLevel="0" collapsed="false">
      <c r="A447" s="22" t="s">
        <v>1830</v>
      </c>
      <c r="B447" s="22" t="s">
        <v>455</v>
      </c>
      <c r="C447" s="23" t="n">
        <v>45903</v>
      </c>
      <c r="D447" s="22"/>
      <c r="E447" s="22" t="n">
        <v>0</v>
      </c>
      <c r="F447" s="22"/>
      <c r="G447" s="22" t="s">
        <v>465</v>
      </c>
      <c r="H447" s="22" t="s">
        <v>492</v>
      </c>
      <c r="I447" s="22" t="s">
        <v>1831</v>
      </c>
      <c r="J447" s="22" t="s">
        <v>459</v>
      </c>
      <c r="K447" s="22"/>
      <c r="L447" s="22"/>
    </row>
    <row r="448" customFormat="false" ht="14.25" hidden="true" customHeight="true" outlineLevel="0" collapsed="false">
      <c r="A448" s="22" t="s">
        <v>1832</v>
      </c>
      <c r="B448" s="22" t="s">
        <v>504</v>
      </c>
      <c r="C448" s="23" t="n">
        <v>45904</v>
      </c>
      <c r="D448" s="23" t="n">
        <v>45931</v>
      </c>
      <c r="E448" s="22" t="n">
        <v>0</v>
      </c>
      <c r="F448" s="22"/>
      <c r="G448" s="22" t="s">
        <v>1833</v>
      </c>
      <c r="H448" s="22" t="s">
        <v>1834</v>
      </c>
      <c r="I448" s="22" t="s">
        <v>1835</v>
      </c>
      <c r="J448" s="22" t="s">
        <v>459</v>
      </c>
      <c r="K448" s="22"/>
      <c r="L448" s="22"/>
    </row>
    <row r="449" customFormat="false" ht="14.25" hidden="true" customHeight="true" outlineLevel="0" collapsed="false">
      <c r="A449" s="22" t="s">
        <v>1836</v>
      </c>
      <c r="B449" s="22" t="s">
        <v>455</v>
      </c>
      <c r="C449" s="23" t="n">
        <v>45905</v>
      </c>
      <c r="D449" s="22"/>
      <c r="E449" s="22" t="n">
        <v>1</v>
      </c>
      <c r="F449" s="22" t="s">
        <v>1250</v>
      </c>
      <c r="G449" s="22" t="s">
        <v>465</v>
      </c>
      <c r="H449" s="22" t="s">
        <v>492</v>
      </c>
      <c r="I449" s="22" t="s">
        <v>1837</v>
      </c>
      <c r="J449" s="22" t="s">
        <v>459</v>
      </c>
      <c r="K449" s="22" t="s">
        <v>473</v>
      </c>
      <c r="L449" s="22" t="s">
        <v>474</v>
      </c>
    </row>
    <row r="450" customFormat="false" ht="14.25" hidden="true" customHeight="true" outlineLevel="0" collapsed="false">
      <c r="A450" s="22" t="s">
        <v>1838</v>
      </c>
      <c r="B450" s="22" t="s">
        <v>455</v>
      </c>
      <c r="C450" s="23" t="n">
        <v>45905</v>
      </c>
      <c r="D450" s="22"/>
      <c r="E450" s="22" t="n">
        <v>1</v>
      </c>
      <c r="F450" s="22" t="s">
        <v>1839</v>
      </c>
      <c r="G450" s="22" t="s">
        <v>470</v>
      </c>
      <c r="H450" s="22" t="s">
        <v>477</v>
      </c>
      <c r="I450" s="22" t="s">
        <v>1840</v>
      </c>
      <c r="J450" s="22" t="s">
        <v>459</v>
      </c>
      <c r="K450" s="22" t="s">
        <v>473</v>
      </c>
      <c r="L450" s="22" t="s">
        <v>474</v>
      </c>
    </row>
    <row r="451" customFormat="false" ht="14.25" hidden="true" customHeight="true" outlineLevel="0" collapsed="false">
      <c r="A451" s="22" t="s">
        <v>1841</v>
      </c>
      <c r="B451" s="22" t="s">
        <v>455</v>
      </c>
      <c r="C451" s="23" t="n">
        <v>45905</v>
      </c>
      <c r="D451" s="23" t="n">
        <v>45943</v>
      </c>
      <c r="E451" s="22" t="n">
        <v>1</v>
      </c>
      <c r="F451" s="22" t="s">
        <v>1842</v>
      </c>
      <c r="G451" s="22" t="s">
        <v>1843</v>
      </c>
      <c r="H451" s="22" t="s">
        <v>1844</v>
      </c>
      <c r="I451" s="22" t="s">
        <v>1845</v>
      </c>
      <c r="J451" s="22" t="s">
        <v>459</v>
      </c>
      <c r="K451" s="22" t="s">
        <v>473</v>
      </c>
      <c r="L451" s="22" t="s">
        <v>1608</v>
      </c>
    </row>
    <row r="452" customFormat="false" ht="14.25" hidden="true" customHeight="true" outlineLevel="0" collapsed="false">
      <c r="A452" s="22" t="s">
        <v>1846</v>
      </c>
      <c r="B452" s="22" t="s">
        <v>455</v>
      </c>
      <c r="C452" s="23" t="n">
        <v>45908</v>
      </c>
      <c r="D452" s="22"/>
      <c r="E452" s="22" t="n">
        <v>0</v>
      </c>
      <c r="F452" s="22"/>
      <c r="G452" s="22" t="s">
        <v>461</v>
      </c>
      <c r="H452" s="22" t="s">
        <v>462</v>
      </c>
      <c r="I452" s="22" t="s">
        <v>1847</v>
      </c>
      <c r="J452" s="22" t="s">
        <v>459</v>
      </c>
      <c r="K452" s="22"/>
      <c r="L452" s="22"/>
    </row>
    <row r="453" customFormat="false" ht="14.25" hidden="true" customHeight="true" outlineLevel="0" collapsed="false">
      <c r="A453" s="22" t="s">
        <v>1848</v>
      </c>
      <c r="B453" s="22" t="s">
        <v>455</v>
      </c>
      <c r="C453" s="23" t="n">
        <v>45908</v>
      </c>
      <c r="D453" s="22"/>
      <c r="E453" s="22" t="n">
        <v>0</v>
      </c>
      <c r="F453" s="22"/>
      <c r="G453" s="22" t="s">
        <v>1849</v>
      </c>
      <c r="H453" s="22" t="s">
        <v>1850</v>
      </c>
      <c r="I453" s="22" t="s">
        <v>1851</v>
      </c>
      <c r="J453" s="22" t="s">
        <v>459</v>
      </c>
      <c r="K453" s="22"/>
      <c r="L453" s="22"/>
    </row>
    <row r="454" customFormat="false" ht="14.25" hidden="true" customHeight="true" outlineLevel="0" collapsed="false">
      <c r="A454" s="22" t="s">
        <v>1852</v>
      </c>
      <c r="B454" s="22" t="s">
        <v>455</v>
      </c>
      <c r="C454" s="23" t="n">
        <v>45908</v>
      </c>
      <c r="D454" s="22"/>
      <c r="E454" s="22" t="n">
        <v>0</v>
      </c>
      <c r="F454" s="22"/>
      <c r="G454" s="22" t="s">
        <v>465</v>
      </c>
      <c r="H454" s="22" t="s">
        <v>492</v>
      </c>
      <c r="I454" s="22" t="s">
        <v>1853</v>
      </c>
      <c r="J454" s="22" t="s">
        <v>459</v>
      </c>
      <c r="K454" s="22"/>
      <c r="L454" s="22"/>
    </row>
    <row r="455" customFormat="false" ht="14.25" hidden="true" customHeight="true" outlineLevel="0" collapsed="false">
      <c r="A455" s="22" t="s">
        <v>1854</v>
      </c>
      <c r="B455" s="22" t="s">
        <v>455</v>
      </c>
      <c r="C455" s="23" t="n">
        <v>45910</v>
      </c>
      <c r="D455" s="22"/>
      <c r="E455" s="22" t="n">
        <v>0</v>
      </c>
      <c r="F455" s="22"/>
      <c r="G455" s="22" t="s">
        <v>1855</v>
      </c>
      <c r="H455" s="22" t="s">
        <v>1856</v>
      </c>
      <c r="I455" s="22" t="s">
        <v>1857</v>
      </c>
      <c r="J455" s="22" t="s">
        <v>459</v>
      </c>
      <c r="K455" s="22"/>
      <c r="L455" s="22"/>
    </row>
    <row r="456" customFormat="false" ht="14.25" hidden="true" customHeight="true" outlineLevel="0" collapsed="false">
      <c r="A456" s="22" t="s">
        <v>1858</v>
      </c>
      <c r="B456" s="22" t="s">
        <v>455</v>
      </c>
      <c r="C456" s="23" t="n">
        <v>45912</v>
      </c>
      <c r="D456" s="22"/>
      <c r="E456" s="22" t="n">
        <v>0</v>
      </c>
      <c r="F456" s="22"/>
      <c r="G456" s="22" t="s">
        <v>470</v>
      </c>
      <c r="H456" s="22" t="s">
        <v>477</v>
      </c>
      <c r="I456" s="22" t="s">
        <v>1859</v>
      </c>
      <c r="J456" s="22" t="s">
        <v>459</v>
      </c>
      <c r="K456" s="22"/>
      <c r="L456" s="22"/>
    </row>
    <row r="457" customFormat="false" ht="14.25" hidden="true" customHeight="true" outlineLevel="0" collapsed="false">
      <c r="A457" s="22" t="s">
        <v>1860</v>
      </c>
      <c r="B457" s="22" t="s">
        <v>455</v>
      </c>
      <c r="C457" s="23" t="n">
        <v>45912</v>
      </c>
      <c r="D457" s="22"/>
      <c r="E457" s="22" t="n">
        <v>0</v>
      </c>
      <c r="F457" s="22"/>
      <c r="G457" s="22" t="s">
        <v>465</v>
      </c>
      <c r="H457" s="22" t="s">
        <v>492</v>
      </c>
      <c r="I457" s="22" t="s">
        <v>1861</v>
      </c>
      <c r="J457" s="22" t="s">
        <v>459</v>
      </c>
      <c r="K457" s="22"/>
      <c r="L457" s="22"/>
    </row>
    <row r="458" customFormat="false" ht="14.25" hidden="true" customHeight="true" outlineLevel="0" collapsed="false">
      <c r="A458" s="22" t="s">
        <v>1862</v>
      </c>
      <c r="B458" s="22" t="s">
        <v>455</v>
      </c>
      <c r="C458" s="23" t="n">
        <v>45919</v>
      </c>
      <c r="D458" s="22"/>
      <c r="E458" s="22" t="n">
        <v>1</v>
      </c>
      <c r="F458" s="22" t="s">
        <v>769</v>
      </c>
      <c r="G458" s="22" t="s">
        <v>465</v>
      </c>
      <c r="H458" s="22" t="s">
        <v>492</v>
      </c>
      <c r="I458" s="22" t="s">
        <v>1863</v>
      </c>
      <c r="J458" s="22" t="s">
        <v>459</v>
      </c>
      <c r="K458" s="22" t="s">
        <v>473</v>
      </c>
      <c r="L458" s="22" t="s">
        <v>474</v>
      </c>
    </row>
    <row r="459" customFormat="false" ht="14.25" hidden="true" customHeight="true" outlineLevel="0" collapsed="false">
      <c r="A459" s="22" t="s">
        <v>1864</v>
      </c>
      <c r="B459" s="22" t="s">
        <v>455</v>
      </c>
      <c r="C459" s="23" t="n">
        <v>45919</v>
      </c>
      <c r="D459" s="22"/>
      <c r="E459" s="22" t="n">
        <v>0</v>
      </c>
      <c r="F459" s="22"/>
      <c r="G459" s="22" t="s">
        <v>470</v>
      </c>
      <c r="H459" s="22" t="s">
        <v>477</v>
      </c>
      <c r="I459" s="22" t="s">
        <v>1865</v>
      </c>
      <c r="J459" s="22" t="s">
        <v>459</v>
      </c>
      <c r="K459" s="22"/>
      <c r="L459" s="22"/>
    </row>
    <row r="460" customFormat="false" ht="14.25" hidden="false" customHeight="true" outlineLevel="0" collapsed="false">
      <c r="A460" s="15" t="s">
        <v>1866</v>
      </c>
      <c r="B460" s="15" t="s">
        <v>483</v>
      </c>
      <c r="C460" s="24" t="n">
        <v>45575</v>
      </c>
      <c r="D460" s="15"/>
      <c r="E460" s="15" t="n">
        <v>1</v>
      </c>
      <c r="F460" s="15" t="s">
        <v>1789</v>
      </c>
      <c r="G460" s="15" t="s">
        <v>1867</v>
      </c>
      <c r="H460" s="15" t="s">
        <v>1868</v>
      </c>
      <c r="I460" s="15" t="s">
        <v>1869</v>
      </c>
      <c r="J460" s="15" t="s">
        <v>459</v>
      </c>
      <c r="K460" s="15" t="s">
        <v>1199</v>
      </c>
      <c r="L460" s="15" t="s">
        <v>1870</v>
      </c>
    </row>
    <row r="461" customFormat="false" ht="14.25" hidden="true" customHeight="true" outlineLevel="0" collapsed="false">
      <c r="A461" s="22" t="s">
        <v>1871</v>
      </c>
      <c r="B461" s="22" t="s">
        <v>455</v>
      </c>
      <c r="C461" s="23" t="n">
        <v>45923</v>
      </c>
      <c r="D461" s="22"/>
      <c r="E461" s="22" t="n">
        <v>0</v>
      </c>
      <c r="F461" s="22"/>
      <c r="G461" s="22" t="s">
        <v>465</v>
      </c>
      <c r="H461" s="22" t="s">
        <v>492</v>
      </c>
      <c r="I461" s="22" t="s">
        <v>1872</v>
      </c>
      <c r="J461" s="22" t="s">
        <v>459</v>
      </c>
      <c r="K461" s="22"/>
      <c r="L461" s="22"/>
    </row>
    <row r="462" customFormat="false" ht="14.25" hidden="true" customHeight="true" outlineLevel="0" collapsed="false">
      <c r="A462" s="22" t="s">
        <v>1873</v>
      </c>
      <c r="B462" s="22" t="s">
        <v>455</v>
      </c>
      <c r="C462" s="23" t="n">
        <v>45924</v>
      </c>
      <c r="D462" s="22"/>
      <c r="E462" s="22" t="n">
        <v>1</v>
      </c>
      <c r="F462" s="22" t="s">
        <v>1874</v>
      </c>
      <c r="G462" s="22" t="s">
        <v>465</v>
      </c>
      <c r="H462" s="22" t="s">
        <v>492</v>
      </c>
      <c r="I462" s="22" t="s">
        <v>1875</v>
      </c>
      <c r="J462" s="22" t="s">
        <v>459</v>
      </c>
      <c r="K462" s="22" t="s">
        <v>473</v>
      </c>
      <c r="L462" s="22" t="s">
        <v>474</v>
      </c>
    </row>
    <row r="463" customFormat="false" ht="14.25" hidden="true" customHeight="true" outlineLevel="0" collapsed="false">
      <c r="A463" s="22" t="s">
        <v>1876</v>
      </c>
      <c r="B463" s="22" t="s">
        <v>455</v>
      </c>
      <c r="C463" s="23" t="n">
        <v>45924</v>
      </c>
      <c r="D463" s="22"/>
      <c r="E463" s="22" t="n">
        <v>0</v>
      </c>
      <c r="F463" s="22"/>
      <c r="G463" s="22" t="s">
        <v>470</v>
      </c>
      <c r="H463" s="22" t="s">
        <v>477</v>
      </c>
      <c r="I463" s="22" t="s">
        <v>1877</v>
      </c>
      <c r="J463" s="22" t="s">
        <v>459</v>
      </c>
      <c r="K463" s="22"/>
      <c r="L463" s="22"/>
    </row>
    <row r="464" customFormat="false" ht="14.25" hidden="true" customHeight="true" outlineLevel="0" collapsed="false">
      <c r="A464" s="22" t="s">
        <v>1878</v>
      </c>
      <c r="B464" s="22" t="s">
        <v>455</v>
      </c>
      <c r="C464" s="23" t="n">
        <v>45925</v>
      </c>
      <c r="D464" s="22"/>
      <c r="E464" s="22" t="n">
        <v>0</v>
      </c>
      <c r="F464" s="22"/>
      <c r="G464" s="22" t="s">
        <v>465</v>
      </c>
      <c r="H464" s="22" t="s">
        <v>492</v>
      </c>
      <c r="I464" s="22" t="s">
        <v>1879</v>
      </c>
      <c r="J464" s="22" t="s">
        <v>459</v>
      </c>
      <c r="K464" s="22"/>
      <c r="L464" s="22"/>
    </row>
    <row r="465" customFormat="false" ht="14.25" hidden="true" customHeight="true" outlineLevel="0" collapsed="false">
      <c r="A465" s="22" t="s">
        <v>1880</v>
      </c>
      <c r="B465" s="22" t="s">
        <v>455</v>
      </c>
      <c r="C465" s="23" t="n">
        <v>45925</v>
      </c>
      <c r="D465" s="22"/>
      <c r="E465" s="22" t="n">
        <v>0</v>
      </c>
      <c r="F465" s="22"/>
      <c r="G465" s="22" t="s">
        <v>465</v>
      </c>
      <c r="H465" s="22" t="s">
        <v>492</v>
      </c>
      <c r="I465" s="22" t="s">
        <v>1881</v>
      </c>
      <c r="J465" s="22" t="s">
        <v>459</v>
      </c>
      <c r="K465" s="22"/>
      <c r="L465" s="22"/>
    </row>
    <row r="466" customFormat="false" ht="14.25" hidden="true" customHeight="true" outlineLevel="0" collapsed="false">
      <c r="A466" s="22" t="s">
        <v>1882</v>
      </c>
      <c r="B466" s="22" t="s">
        <v>455</v>
      </c>
      <c r="C466" s="23" t="n">
        <v>45929</v>
      </c>
      <c r="D466" s="22"/>
      <c r="E466" s="22" t="n">
        <v>0</v>
      </c>
      <c r="F466" s="22"/>
      <c r="G466" s="22" t="s">
        <v>1883</v>
      </c>
      <c r="H466" s="22"/>
      <c r="I466" s="22" t="s">
        <v>1884</v>
      </c>
      <c r="J466" s="22" t="s">
        <v>459</v>
      </c>
      <c r="K466" s="22"/>
      <c r="L466" s="22"/>
    </row>
    <row r="467" customFormat="false" ht="14.25" hidden="true" customHeight="true" outlineLevel="0" collapsed="false">
      <c r="A467" s="22" t="s">
        <v>1885</v>
      </c>
      <c r="B467" s="22" t="s">
        <v>455</v>
      </c>
      <c r="C467" s="23" t="n">
        <v>45930</v>
      </c>
      <c r="D467" s="22"/>
      <c r="E467" s="22" t="n">
        <v>1</v>
      </c>
      <c r="F467" s="22" t="s">
        <v>1264</v>
      </c>
      <c r="G467" s="22" t="s">
        <v>470</v>
      </c>
      <c r="H467" s="22" t="s">
        <v>477</v>
      </c>
      <c r="I467" s="22" t="s">
        <v>1886</v>
      </c>
      <c r="J467" s="22" t="s">
        <v>459</v>
      </c>
      <c r="K467" s="22" t="s">
        <v>473</v>
      </c>
      <c r="L467" s="22" t="s">
        <v>474</v>
      </c>
    </row>
    <row r="468" customFormat="false" ht="14.25" hidden="true" customHeight="true" outlineLevel="0" collapsed="false">
      <c r="A468" s="22" t="s">
        <v>1887</v>
      </c>
      <c r="B468" s="22" t="s">
        <v>455</v>
      </c>
      <c r="C468" s="23" t="n">
        <v>45932</v>
      </c>
      <c r="D468" s="22"/>
      <c r="E468" s="22" t="n">
        <v>1</v>
      </c>
      <c r="F468" s="22" t="s">
        <v>591</v>
      </c>
      <c r="G468" s="22" t="s">
        <v>470</v>
      </c>
      <c r="H468" s="22" t="s">
        <v>477</v>
      </c>
      <c r="I468" s="22" t="s">
        <v>1888</v>
      </c>
      <c r="J468" s="22" t="s">
        <v>459</v>
      </c>
      <c r="K468" s="22" t="s">
        <v>473</v>
      </c>
      <c r="L468" s="22" t="s">
        <v>474</v>
      </c>
    </row>
    <row r="469" customFormat="false" ht="14.25" hidden="true" customHeight="true" outlineLevel="0" collapsed="false">
      <c r="A469" s="22" t="s">
        <v>1889</v>
      </c>
      <c r="B469" s="22" t="s">
        <v>504</v>
      </c>
      <c r="C469" s="23" t="n">
        <v>45966</v>
      </c>
      <c r="D469" s="23" t="n">
        <v>46023</v>
      </c>
      <c r="E469" s="22" t="n">
        <v>1</v>
      </c>
      <c r="F469" s="22" t="s">
        <v>1890</v>
      </c>
      <c r="G469" s="22" t="s">
        <v>1741</v>
      </c>
      <c r="H469" s="22" t="s">
        <v>1891</v>
      </c>
      <c r="I469" s="22" t="s">
        <v>1892</v>
      </c>
      <c r="J469" s="22" t="s">
        <v>459</v>
      </c>
      <c r="K469" s="22" t="s">
        <v>473</v>
      </c>
      <c r="L469" s="22" t="s">
        <v>554</v>
      </c>
    </row>
    <row r="470" customFormat="false" ht="14.25" hidden="true" customHeight="true" outlineLevel="0" collapsed="false">
      <c r="A470" s="22" t="s">
        <v>1893</v>
      </c>
      <c r="B470" s="22" t="s">
        <v>455</v>
      </c>
      <c r="C470" s="23" t="n">
        <v>45979</v>
      </c>
      <c r="D470" s="22"/>
      <c r="E470" s="22" t="n">
        <v>0</v>
      </c>
      <c r="F470" s="22"/>
      <c r="G470" s="22" t="s">
        <v>845</v>
      </c>
      <c r="H470" s="22" t="s">
        <v>1894</v>
      </c>
      <c r="I470" s="22" t="s">
        <v>1895</v>
      </c>
      <c r="J470" s="22" t="s">
        <v>459</v>
      </c>
      <c r="K470" s="22"/>
      <c r="L470" s="22"/>
    </row>
    <row r="471" customFormat="false" ht="14.25" hidden="true" customHeight="true" outlineLevel="0" collapsed="false">
      <c r="A471" s="22" t="s">
        <v>1896</v>
      </c>
      <c r="B471" s="22" t="s">
        <v>455</v>
      </c>
      <c r="C471" s="23" t="n">
        <v>45979</v>
      </c>
      <c r="D471" s="22"/>
      <c r="E471" s="22" t="n">
        <v>0</v>
      </c>
      <c r="F471" s="22"/>
      <c r="G471" s="22" t="s">
        <v>470</v>
      </c>
      <c r="H471" s="22" t="s">
        <v>477</v>
      </c>
      <c r="I471" s="22" t="s">
        <v>1897</v>
      </c>
      <c r="J471" s="22" t="s">
        <v>459</v>
      </c>
      <c r="K471" s="22"/>
      <c r="L471" s="22"/>
    </row>
    <row r="472" customFormat="false" ht="14.25" hidden="true" customHeight="true" outlineLevel="0" collapsed="false">
      <c r="A472" s="22" t="s">
        <v>1898</v>
      </c>
      <c r="B472" s="22" t="s">
        <v>455</v>
      </c>
      <c r="C472" s="23" t="n">
        <v>45980</v>
      </c>
      <c r="D472" s="23" t="n">
        <v>46023</v>
      </c>
      <c r="E472" s="22" t="n">
        <v>0</v>
      </c>
      <c r="F472" s="22"/>
      <c r="G472" s="22" t="s">
        <v>1899</v>
      </c>
      <c r="H472" s="22" t="s">
        <v>1900</v>
      </c>
      <c r="I472" s="22" t="s">
        <v>1901</v>
      </c>
      <c r="J472" s="22" t="s">
        <v>459</v>
      </c>
      <c r="K472" s="22"/>
      <c r="L472" s="22"/>
    </row>
    <row r="473" customFormat="false" ht="14.25" hidden="true" customHeight="true" outlineLevel="0" collapsed="false">
      <c r="A473" s="22" t="s">
        <v>1902</v>
      </c>
      <c r="B473" s="22" t="s">
        <v>455</v>
      </c>
      <c r="C473" s="23" t="n">
        <v>45980</v>
      </c>
      <c r="D473" s="23" t="n">
        <v>46023</v>
      </c>
      <c r="E473" s="22" t="n">
        <v>0</v>
      </c>
      <c r="F473" s="22"/>
      <c r="G473" s="22" t="s">
        <v>1903</v>
      </c>
      <c r="H473" s="22" t="s">
        <v>1904</v>
      </c>
      <c r="I473" s="22" t="s">
        <v>1905</v>
      </c>
      <c r="J473" s="22" t="s">
        <v>459</v>
      </c>
      <c r="K473" s="22"/>
      <c r="L473" s="22"/>
    </row>
    <row r="474" customFormat="false" ht="14.25" hidden="false" customHeight="true" outlineLevel="0" collapsed="false">
      <c r="A474" s="15" t="s">
        <v>1906</v>
      </c>
      <c r="B474" s="15" t="s">
        <v>504</v>
      </c>
      <c r="C474" s="24" t="n">
        <v>45580</v>
      </c>
      <c r="D474" s="24" t="n">
        <v>45576</v>
      </c>
      <c r="E474" s="15" t="n">
        <v>1</v>
      </c>
      <c r="F474" s="15" t="s">
        <v>1907</v>
      </c>
      <c r="G474" s="15" t="s">
        <v>1908</v>
      </c>
      <c r="H474" s="15" t="s">
        <v>1909</v>
      </c>
      <c r="I474" s="15" t="s">
        <v>1910</v>
      </c>
      <c r="J474" s="15" t="s">
        <v>459</v>
      </c>
      <c r="K474" s="15" t="s">
        <v>1199</v>
      </c>
      <c r="L474" s="15" t="s">
        <v>1911</v>
      </c>
    </row>
    <row r="475" customFormat="false" ht="14.25" hidden="true" customHeight="true" outlineLevel="0" collapsed="false">
      <c r="A475" s="22" t="s">
        <v>1912</v>
      </c>
      <c r="B475" s="22" t="s">
        <v>455</v>
      </c>
      <c r="C475" s="23" t="n">
        <v>45980</v>
      </c>
      <c r="D475" s="22"/>
      <c r="E475" s="22" t="n">
        <v>0</v>
      </c>
      <c r="F475" s="22"/>
      <c r="G475" s="22" t="s">
        <v>465</v>
      </c>
      <c r="H475" s="22" t="s">
        <v>492</v>
      </c>
      <c r="I475" s="22" t="s">
        <v>1913</v>
      </c>
      <c r="J475" s="22" t="s">
        <v>459</v>
      </c>
      <c r="K475" s="22"/>
      <c r="L475" s="22"/>
    </row>
    <row r="476" customFormat="false" ht="14.25" hidden="true" customHeight="true" outlineLevel="0" collapsed="false">
      <c r="A476" s="22" t="s">
        <v>1914</v>
      </c>
      <c r="B476" s="22" t="s">
        <v>455</v>
      </c>
      <c r="C476" s="23" t="n">
        <v>45980</v>
      </c>
      <c r="D476" s="23" t="n">
        <v>45980</v>
      </c>
      <c r="E476" s="22" t="n">
        <v>0</v>
      </c>
      <c r="F476" s="22"/>
      <c r="G476" s="22" t="s">
        <v>1915</v>
      </c>
      <c r="H476" s="22" t="s">
        <v>1916</v>
      </c>
      <c r="I476" s="22" t="s">
        <v>1917</v>
      </c>
      <c r="J476" s="22" t="s">
        <v>459</v>
      </c>
      <c r="K476" s="22"/>
      <c r="L476" s="22"/>
    </row>
    <row r="477" customFormat="false" ht="14.25" hidden="true" customHeight="true" outlineLevel="0" collapsed="false">
      <c r="A477" s="22" t="s">
        <v>1918</v>
      </c>
      <c r="B477" s="22" t="s">
        <v>455</v>
      </c>
      <c r="C477" s="23" t="n">
        <v>45980</v>
      </c>
      <c r="D477" s="23" t="n">
        <v>45980</v>
      </c>
      <c r="E477" s="22" t="n">
        <v>0</v>
      </c>
      <c r="F477" s="22"/>
      <c r="G477" s="22" t="s">
        <v>1919</v>
      </c>
      <c r="H477" s="22" t="s">
        <v>1920</v>
      </c>
      <c r="I477" s="22" t="s">
        <v>1921</v>
      </c>
      <c r="J477" s="22" t="s">
        <v>459</v>
      </c>
      <c r="K477" s="22"/>
      <c r="L477" s="22"/>
    </row>
    <row r="478" customFormat="false" ht="14.25" hidden="true" customHeight="true" outlineLevel="0" collapsed="false">
      <c r="A478" s="22" t="s">
        <v>1922</v>
      </c>
      <c r="B478" s="22" t="s">
        <v>455</v>
      </c>
      <c r="C478" s="23" t="n">
        <v>45980</v>
      </c>
      <c r="D478" s="22"/>
      <c r="E478" s="22" t="n">
        <v>0</v>
      </c>
      <c r="F478" s="22"/>
      <c r="G478" s="22" t="s">
        <v>1923</v>
      </c>
      <c r="H478" s="22" t="s">
        <v>1924</v>
      </c>
      <c r="I478" s="22" t="s">
        <v>1925</v>
      </c>
      <c r="J478" s="22" t="s">
        <v>459</v>
      </c>
      <c r="K478" s="22"/>
      <c r="L478" s="22"/>
    </row>
    <row r="479" customFormat="false" ht="14.25" hidden="true" customHeight="true" outlineLevel="0" collapsed="false">
      <c r="A479" s="22" t="s">
        <v>1926</v>
      </c>
      <c r="B479" s="22" t="s">
        <v>455</v>
      </c>
      <c r="C479" s="23" t="n">
        <v>45981</v>
      </c>
      <c r="D479" s="22"/>
      <c r="E479" s="22" t="n">
        <v>1</v>
      </c>
      <c r="F479" s="22" t="s">
        <v>1927</v>
      </c>
      <c r="G479" s="22" t="s">
        <v>465</v>
      </c>
      <c r="H479" s="22" t="s">
        <v>492</v>
      </c>
      <c r="I479" s="22" t="s">
        <v>1928</v>
      </c>
      <c r="J479" s="22" t="s">
        <v>459</v>
      </c>
      <c r="K479" s="22" t="s">
        <v>473</v>
      </c>
      <c r="L479" s="22" t="s">
        <v>474</v>
      </c>
    </row>
    <row r="480" customFormat="false" ht="14.25" hidden="true" customHeight="true" outlineLevel="0" collapsed="false">
      <c r="A480" s="22" t="s">
        <v>1929</v>
      </c>
      <c r="B480" s="22" t="s">
        <v>455</v>
      </c>
      <c r="C480" s="23" t="n">
        <v>45981</v>
      </c>
      <c r="D480" s="22"/>
      <c r="E480" s="22" t="n">
        <v>0</v>
      </c>
      <c r="F480" s="22"/>
      <c r="G480" s="22" t="s">
        <v>470</v>
      </c>
      <c r="H480" s="22" t="s">
        <v>477</v>
      </c>
      <c r="I480" s="22" t="s">
        <v>1930</v>
      </c>
      <c r="J480" s="22" t="s">
        <v>459</v>
      </c>
      <c r="K480" s="22"/>
      <c r="L480" s="22"/>
    </row>
    <row r="481" customFormat="false" ht="14.25" hidden="true" customHeight="true" outlineLevel="0" collapsed="false">
      <c r="A481" s="22" t="s">
        <v>1931</v>
      </c>
      <c r="B481" s="22" t="s">
        <v>455</v>
      </c>
      <c r="C481" s="23" t="n">
        <v>45981</v>
      </c>
      <c r="D481" s="22"/>
      <c r="E481" s="22" t="n">
        <v>0</v>
      </c>
      <c r="F481" s="22"/>
      <c r="G481" s="22" t="s">
        <v>470</v>
      </c>
      <c r="H481" s="22" t="s">
        <v>477</v>
      </c>
      <c r="I481" s="22" t="s">
        <v>1932</v>
      </c>
      <c r="J481" s="22" t="s">
        <v>459</v>
      </c>
      <c r="K481" s="22"/>
      <c r="L481" s="22"/>
    </row>
    <row r="482" customFormat="false" ht="14.25" hidden="true" customHeight="true" outlineLevel="0" collapsed="false">
      <c r="A482" s="22" t="s">
        <v>1933</v>
      </c>
      <c r="B482" s="22" t="s">
        <v>455</v>
      </c>
      <c r="C482" s="23" t="n">
        <v>45982</v>
      </c>
      <c r="D482" s="22"/>
      <c r="E482" s="22" t="n">
        <v>0</v>
      </c>
      <c r="F482" s="22"/>
      <c r="G482" s="22" t="s">
        <v>470</v>
      </c>
      <c r="H482" s="22" t="s">
        <v>477</v>
      </c>
      <c r="I482" s="22" t="s">
        <v>1934</v>
      </c>
      <c r="J482" s="22" t="s">
        <v>459</v>
      </c>
      <c r="K482" s="22"/>
      <c r="L482" s="22"/>
    </row>
    <row r="483" customFormat="false" ht="14.25" hidden="true" customHeight="true" outlineLevel="0" collapsed="false">
      <c r="A483" s="22" t="s">
        <v>1935</v>
      </c>
      <c r="B483" s="22" t="s">
        <v>504</v>
      </c>
      <c r="C483" s="23" t="n">
        <v>45985</v>
      </c>
      <c r="D483" s="23" t="n">
        <v>46023</v>
      </c>
      <c r="E483" s="22" t="n">
        <v>1</v>
      </c>
      <c r="F483" s="22" t="s">
        <v>1936</v>
      </c>
      <c r="G483" s="22" t="s">
        <v>1706</v>
      </c>
      <c r="H483" s="22" t="s">
        <v>1937</v>
      </c>
      <c r="I483" s="22" t="s">
        <v>1938</v>
      </c>
      <c r="J483" s="22" t="s">
        <v>459</v>
      </c>
      <c r="K483" s="22" t="s">
        <v>473</v>
      </c>
      <c r="L483" s="22" t="s">
        <v>554</v>
      </c>
    </row>
    <row r="484" customFormat="false" ht="14.25" hidden="true" customHeight="true" outlineLevel="0" collapsed="false">
      <c r="A484" s="22" t="s">
        <v>1939</v>
      </c>
      <c r="B484" s="22" t="s">
        <v>455</v>
      </c>
      <c r="C484" s="23" t="n">
        <v>45985</v>
      </c>
      <c r="D484" s="22"/>
      <c r="E484" s="22" t="n">
        <v>0</v>
      </c>
      <c r="F484" s="22"/>
      <c r="G484" s="22" t="s">
        <v>470</v>
      </c>
      <c r="H484" s="22" t="s">
        <v>477</v>
      </c>
      <c r="I484" s="22" t="s">
        <v>1940</v>
      </c>
      <c r="J484" s="22" t="s">
        <v>459</v>
      </c>
      <c r="K484" s="22"/>
      <c r="L484" s="22"/>
    </row>
    <row r="485" customFormat="false" ht="14.25" hidden="true" customHeight="true" outlineLevel="0" collapsed="false">
      <c r="A485" s="22" t="s">
        <v>1941</v>
      </c>
      <c r="B485" s="22" t="s">
        <v>455</v>
      </c>
      <c r="C485" s="23" t="n">
        <v>45985</v>
      </c>
      <c r="D485" s="22"/>
      <c r="E485" s="22" t="n">
        <v>1</v>
      </c>
      <c r="F485" s="22" t="s">
        <v>950</v>
      </c>
      <c r="G485" s="22" t="s">
        <v>470</v>
      </c>
      <c r="H485" s="22" t="s">
        <v>477</v>
      </c>
      <c r="I485" s="22" t="s">
        <v>1942</v>
      </c>
      <c r="J485" s="22" t="s">
        <v>459</v>
      </c>
      <c r="K485" s="22" t="s">
        <v>473</v>
      </c>
      <c r="L485" s="22" t="s">
        <v>474</v>
      </c>
    </row>
    <row r="486" customFormat="false" ht="14.25" hidden="true" customHeight="true" outlineLevel="0" collapsed="false">
      <c r="A486" s="22" t="s">
        <v>1943</v>
      </c>
      <c r="B486" s="22" t="s">
        <v>455</v>
      </c>
      <c r="C486" s="23" t="n">
        <v>45985</v>
      </c>
      <c r="D486" s="22"/>
      <c r="E486" s="22" t="n">
        <v>1</v>
      </c>
      <c r="F486" s="22" t="s">
        <v>1944</v>
      </c>
      <c r="G486" s="22" t="s">
        <v>465</v>
      </c>
      <c r="H486" s="22" t="s">
        <v>492</v>
      </c>
      <c r="I486" s="22" t="s">
        <v>1945</v>
      </c>
      <c r="J486" s="22" t="s">
        <v>459</v>
      </c>
      <c r="K486" s="22" t="s">
        <v>473</v>
      </c>
      <c r="L486" s="22" t="s">
        <v>474</v>
      </c>
    </row>
    <row r="487" customFormat="false" ht="14.25" hidden="true" customHeight="true" outlineLevel="0" collapsed="false">
      <c r="A487" s="22" t="s">
        <v>1946</v>
      </c>
      <c r="B487" s="22" t="s">
        <v>504</v>
      </c>
      <c r="C487" s="23" t="n">
        <v>45986</v>
      </c>
      <c r="D487" s="23" t="n">
        <v>46023</v>
      </c>
      <c r="E487" s="22" t="n">
        <v>1</v>
      </c>
      <c r="F487" s="22" t="s">
        <v>1947</v>
      </c>
      <c r="G487" s="22" t="s">
        <v>1948</v>
      </c>
      <c r="H487" s="22" t="s">
        <v>1949</v>
      </c>
      <c r="I487" s="22" t="s">
        <v>1950</v>
      </c>
      <c r="J487" s="22" t="s">
        <v>459</v>
      </c>
      <c r="K487" s="22" t="s">
        <v>473</v>
      </c>
      <c r="L487" s="22" t="s">
        <v>554</v>
      </c>
    </row>
    <row r="488" customFormat="false" ht="14.25" hidden="true" customHeight="true" outlineLevel="0" collapsed="false">
      <c r="A488" s="22" t="s">
        <v>1951</v>
      </c>
      <c r="B488" s="22" t="s">
        <v>455</v>
      </c>
      <c r="C488" s="23" t="n">
        <v>45986</v>
      </c>
      <c r="D488" s="22"/>
      <c r="E488" s="22" t="n">
        <v>0</v>
      </c>
      <c r="F488" s="22"/>
      <c r="G488" s="22" t="s">
        <v>1952</v>
      </c>
      <c r="H488" s="22" t="s">
        <v>1953</v>
      </c>
      <c r="I488" s="22" t="s">
        <v>1954</v>
      </c>
      <c r="J488" s="22" t="s">
        <v>459</v>
      </c>
      <c r="K488" s="22"/>
      <c r="L488" s="22"/>
    </row>
    <row r="489" customFormat="false" ht="14.25" hidden="true" customHeight="true" outlineLevel="0" collapsed="false">
      <c r="A489" s="22" t="s">
        <v>1955</v>
      </c>
      <c r="B489" s="22" t="s">
        <v>455</v>
      </c>
      <c r="C489" s="23" t="n">
        <v>45987</v>
      </c>
      <c r="D489" s="22"/>
      <c r="E489" s="22" t="n">
        <v>0</v>
      </c>
      <c r="F489" s="22"/>
      <c r="G489" s="22" t="s">
        <v>465</v>
      </c>
      <c r="H489" s="22" t="s">
        <v>492</v>
      </c>
      <c r="I489" s="22" t="s">
        <v>1956</v>
      </c>
      <c r="J489" s="22" t="s">
        <v>459</v>
      </c>
      <c r="K489" s="22"/>
      <c r="L489" s="22"/>
    </row>
    <row r="490" customFormat="false" ht="14.25" hidden="true" customHeight="true" outlineLevel="0" collapsed="false">
      <c r="A490" s="22" t="s">
        <v>1957</v>
      </c>
      <c r="B490" s="22" t="s">
        <v>455</v>
      </c>
      <c r="C490" s="23" t="n">
        <v>45987</v>
      </c>
      <c r="D490" s="22"/>
      <c r="E490" s="22" t="n">
        <v>0</v>
      </c>
      <c r="F490" s="22"/>
      <c r="G490" s="22" t="s">
        <v>461</v>
      </c>
      <c r="H490" s="22" t="s">
        <v>462</v>
      </c>
      <c r="I490" s="22" t="s">
        <v>1958</v>
      </c>
      <c r="J490" s="22" t="s">
        <v>459</v>
      </c>
      <c r="K490" s="22"/>
      <c r="L490" s="22"/>
    </row>
    <row r="491" customFormat="false" ht="14.25" hidden="true" customHeight="true" outlineLevel="0" collapsed="false">
      <c r="A491" s="22" t="s">
        <v>1959</v>
      </c>
      <c r="B491" s="22" t="s">
        <v>455</v>
      </c>
      <c r="C491" s="23" t="n">
        <v>45987</v>
      </c>
      <c r="D491" s="22"/>
      <c r="E491" s="22" t="n">
        <v>0</v>
      </c>
      <c r="F491" s="22"/>
      <c r="G491" s="22" t="s">
        <v>470</v>
      </c>
      <c r="H491" s="22" t="s">
        <v>477</v>
      </c>
      <c r="I491" s="22" t="s">
        <v>1960</v>
      </c>
      <c r="J491" s="22" t="s">
        <v>459</v>
      </c>
      <c r="K491" s="22"/>
      <c r="L491" s="22"/>
    </row>
    <row r="492" customFormat="false" ht="14.25" hidden="true" customHeight="true" outlineLevel="0" collapsed="false">
      <c r="A492" s="22" t="s">
        <v>1961</v>
      </c>
      <c r="B492" s="22" t="s">
        <v>455</v>
      </c>
      <c r="C492" s="23" t="n">
        <v>45989</v>
      </c>
      <c r="D492" s="22"/>
      <c r="E492" s="22" t="n">
        <v>0</v>
      </c>
      <c r="F492" s="22"/>
      <c r="G492" s="22" t="s">
        <v>1962</v>
      </c>
      <c r="H492" s="22" t="s">
        <v>1963</v>
      </c>
      <c r="I492" s="22" t="s">
        <v>1964</v>
      </c>
      <c r="J492" s="22" t="s">
        <v>459</v>
      </c>
      <c r="K492" s="22"/>
      <c r="L492" s="22"/>
    </row>
    <row r="493" customFormat="false" ht="14.25" hidden="true" customHeight="true" outlineLevel="0" collapsed="false">
      <c r="A493" s="22" t="s">
        <v>1965</v>
      </c>
      <c r="B493" s="22" t="s">
        <v>455</v>
      </c>
      <c r="C493" s="23" t="n">
        <v>45989</v>
      </c>
      <c r="D493" s="22"/>
      <c r="E493" s="22" t="n">
        <v>1</v>
      </c>
      <c r="F493" s="22" t="s">
        <v>469</v>
      </c>
      <c r="G493" s="22" t="s">
        <v>470</v>
      </c>
      <c r="H493" s="22" t="s">
        <v>477</v>
      </c>
      <c r="I493" s="22" t="s">
        <v>1966</v>
      </c>
      <c r="J493" s="22" t="s">
        <v>459</v>
      </c>
      <c r="K493" s="22" t="s">
        <v>473</v>
      </c>
      <c r="L493" s="22" t="s">
        <v>474</v>
      </c>
    </row>
    <row r="494" customFormat="false" ht="14.25" hidden="true" customHeight="true" outlineLevel="0" collapsed="false">
      <c r="A494" s="22" t="s">
        <v>1967</v>
      </c>
      <c r="B494" s="22" t="s">
        <v>455</v>
      </c>
      <c r="C494" s="23" t="n">
        <v>45989</v>
      </c>
      <c r="D494" s="22"/>
      <c r="E494" s="22" t="n">
        <v>1</v>
      </c>
      <c r="F494" s="22" t="s">
        <v>1968</v>
      </c>
      <c r="G494" s="22" t="s">
        <v>465</v>
      </c>
      <c r="H494" s="22" t="s">
        <v>492</v>
      </c>
      <c r="I494" s="22" t="s">
        <v>1969</v>
      </c>
      <c r="J494" s="22" t="s">
        <v>459</v>
      </c>
      <c r="K494" s="22" t="s">
        <v>473</v>
      </c>
      <c r="L494" s="22" t="s">
        <v>474</v>
      </c>
    </row>
    <row r="495" customFormat="false" ht="14.25" hidden="false" customHeight="true" outlineLevel="0" collapsed="false">
      <c r="A495" s="15" t="s">
        <v>1970</v>
      </c>
      <c r="B495" s="15" t="s">
        <v>504</v>
      </c>
      <c r="C495" s="24" t="n">
        <v>45590</v>
      </c>
      <c r="D495" s="24" t="n">
        <v>45590</v>
      </c>
      <c r="E495" s="15" t="n">
        <v>1</v>
      </c>
      <c r="F495" s="15" t="s">
        <v>1789</v>
      </c>
      <c r="G495" s="15" t="s">
        <v>1971</v>
      </c>
      <c r="H495" s="15" t="s">
        <v>1972</v>
      </c>
      <c r="I495" s="15" t="s">
        <v>1973</v>
      </c>
      <c r="J495" s="15" t="s">
        <v>459</v>
      </c>
      <c r="K495" s="15" t="s">
        <v>1199</v>
      </c>
      <c r="L495" s="15" t="s">
        <v>1870</v>
      </c>
    </row>
    <row r="496" customFormat="false" ht="14.25" hidden="true" customHeight="true" outlineLevel="0" collapsed="false">
      <c r="A496" s="22" t="s">
        <v>1974</v>
      </c>
      <c r="B496" s="22" t="s">
        <v>504</v>
      </c>
      <c r="C496" s="23" t="n">
        <v>45989</v>
      </c>
      <c r="D496" s="23" t="n">
        <v>45989</v>
      </c>
      <c r="E496" s="22" t="n">
        <v>0</v>
      </c>
      <c r="F496" s="22"/>
      <c r="G496" s="22" t="s">
        <v>1806</v>
      </c>
      <c r="H496" s="22" t="s">
        <v>1975</v>
      </c>
      <c r="I496" s="22" t="s">
        <v>1976</v>
      </c>
      <c r="J496" s="22" t="s">
        <v>459</v>
      </c>
      <c r="K496" s="22"/>
      <c r="L496" s="22"/>
    </row>
    <row r="497" customFormat="false" ht="14.25" hidden="true" customHeight="true" outlineLevel="0" collapsed="false">
      <c r="A497" s="22" t="s">
        <v>1977</v>
      </c>
      <c r="B497" s="22" t="s">
        <v>455</v>
      </c>
      <c r="C497" s="23" t="n">
        <v>45989</v>
      </c>
      <c r="D497" s="22"/>
      <c r="E497" s="22" t="n">
        <v>0</v>
      </c>
      <c r="F497" s="22"/>
      <c r="G497" s="22" t="s">
        <v>1978</v>
      </c>
      <c r="H497" s="22" t="s">
        <v>1979</v>
      </c>
      <c r="I497" s="22" t="s">
        <v>1980</v>
      </c>
      <c r="J497" s="22" t="s">
        <v>459</v>
      </c>
      <c r="K497" s="22"/>
      <c r="L497" s="22"/>
    </row>
    <row r="498" customFormat="false" ht="14.25" hidden="true" customHeight="true" outlineLevel="0" collapsed="false">
      <c r="A498" s="22" t="s">
        <v>1981</v>
      </c>
      <c r="B498" s="22" t="s">
        <v>455</v>
      </c>
      <c r="C498" s="23" t="n">
        <v>45992</v>
      </c>
      <c r="D498" s="22"/>
      <c r="E498" s="22" t="n">
        <v>0</v>
      </c>
      <c r="F498" s="22"/>
      <c r="G498" s="22" t="s">
        <v>1982</v>
      </c>
      <c r="H498" s="22" t="s">
        <v>1611</v>
      </c>
      <c r="I498" s="22" t="s">
        <v>1983</v>
      </c>
      <c r="J498" s="22" t="s">
        <v>459</v>
      </c>
      <c r="K498" s="22"/>
      <c r="L498" s="22"/>
    </row>
    <row r="499" customFormat="false" ht="14.25" hidden="true" customHeight="true" outlineLevel="0" collapsed="false">
      <c r="A499" s="22" t="s">
        <v>1984</v>
      </c>
      <c r="B499" s="22" t="s">
        <v>455</v>
      </c>
      <c r="C499" s="23" t="n">
        <v>45992</v>
      </c>
      <c r="D499" s="22"/>
      <c r="E499" s="22" t="n">
        <v>0</v>
      </c>
      <c r="F499" s="22"/>
      <c r="G499" s="22" t="s">
        <v>470</v>
      </c>
      <c r="H499" s="22" t="s">
        <v>477</v>
      </c>
      <c r="I499" s="22" t="s">
        <v>1985</v>
      </c>
      <c r="J499" s="22" t="s">
        <v>459</v>
      </c>
      <c r="K499" s="22"/>
      <c r="L499" s="22"/>
    </row>
    <row r="500" customFormat="false" ht="14.25" hidden="true" customHeight="true" outlineLevel="0" collapsed="false">
      <c r="A500" s="22" t="s">
        <v>1986</v>
      </c>
      <c r="B500" s="22" t="s">
        <v>504</v>
      </c>
      <c r="C500" s="23" t="n">
        <v>45993</v>
      </c>
      <c r="D500" s="23" t="n">
        <v>46023</v>
      </c>
      <c r="E500" s="22" t="n">
        <v>1</v>
      </c>
      <c r="F500" s="22" t="s">
        <v>1987</v>
      </c>
      <c r="G500" s="22" t="s">
        <v>1701</v>
      </c>
      <c r="H500" s="22" t="s">
        <v>1988</v>
      </c>
      <c r="I500" s="22" t="s">
        <v>1989</v>
      </c>
      <c r="J500" s="22" t="s">
        <v>459</v>
      </c>
      <c r="K500" s="22" t="s">
        <v>473</v>
      </c>
      <c r="L500" s="22" t="s">
        <v>554</v>
      </c>
    </row>
    <row r="501" customFormat="false" ht="14.25" hidden="true" customHeight="true" outlineLevel="0" collapsed="false">
      <c r="A501" s="22" t="s">
        <v>1990</v>
      </c>
      <c r="B501" s="22" t="s">
        <v>504</v>
      </c>
      <c r="C501" s="23" t="n">
        <v>45994</v>
      </c>
      <c r="D501" s="23" t="n">
        <v>46055</v>
      </c>
      <c r="E501" s="22" t="n">
        <v>0</v>
      </c>
      <c r="F501" s="22"/>
      <c r="G501" s="22" t="s">
        <v>1991</v>
      </c>
      <c r="H501" s="22" t="s">
        <v>1992</v>
      </c>
      <c r="I501" s="22" t="s">
        <v>1993</v>
      </c>
      <c r="J501" s="22" t="s">
        <v>459</v>
      </c>
      <c r="K501" s="22"/>
      <c r="L501" s="22"/>
    </row>
    <row r="502" customFormat="false" ht="14.25" hidden="true" customHeight="true" outlineLevel="0" collapsed="false">
      <c r="A502" s="22" t="s">
        <v>1994</v>
      </c>
      <c r="B502" s="22" t="s">
        <v>455</v>
      </c>
      <c r="C502" s="23" t="n">
        <v>45994</v>
      </c>
      <c r="D502" s="23" t="n">
        <v>46023</v>
      </c>
      <c r="E502" s="22" t="n">
        <v>0</v>
      </c>
      <c r="F502" s="22"/>
      <c r="G502" s="22" t="s">
        <v>1995</v>
      </c>
      <c r="H502" s="22" t="s">
        <v>1996</v>
      </c>
      <c r="I502" s="22" t="s">
        <v>1997</v>
      </c>
      <c r="J502" s="22" t="s">
        <v>459</v>
      </c>
      <c r="K502" s="22"/>
      <c r="L502" s="22"/>
    </row>
    <row r="503" customFormat="false" ht="14.25" hidden="true" customHeight="true" outlineLevel="0" collapsed="false">
      <c r="A503" s="22" t="s">
        <v>1998</v>
      </c>
      <c r="B503" s="22" t="s">
        <v>455</v>
      </c>
      <c r="C503" s="23" t="n">
        <v>45995</v>
      </c>
      <c r="D503" s="23" t="n">
        <v>46023</v>
      </c>
      <c r="E503" s="22" t="n">
        <v>1</v>
      </c>
      <c r="F503" s="22" t="s">
        <v>1999</v>
      </c>
      <c r="G503" s="22" t="s">
        <v>2000</v>
      </c>
      <c r="H503" s="22" t="s">
        <v>2001</v>
      </c>
      <c r="I503" s="22" t="s">
        <v>2002</v>
      </c>
      <c r="J503" s="22" t="s">
        <v>459</v>
      </c>
      <c r="K503" s="22" t="s">
        <v>473</v>
      </c>
      <c r="L503" s="22" t="s">
        <v>1193</v>
      </c>
    </row>
    <row r="504" customFormat="false" ht="14.25" hidden="true" customHeight="true" outlineLevel="0" collapsed="false">
      <c r="A504" s="22" t="s">
        <v>2003</v>
      </c>
      <c r="B504" s="22" t="s">
        <v>455</v>
      </c>
      <c r="C504" s="23" t="n">
        <v>45996</v>
      </c>
      <c r="D504" s="22"/>
      <c r="E504" s="22" t="n">
        <v>0</v>
      </c>
      <c r="F504" s="22"/>
      <c r="G504" s="22" t="s">
        <v>465</v>
      </c>
      <c r="H504" s="22" t="s">
        <v>492</v>
      </c>
      <c r="I504" s="22" t="s">
        <v>2004</v>
      </c>
      <c r="J504" s="22" t="s">
        <v>459</v>
      </c>
      <c r="K504" s="22"/>
      <c r="L504" s="22"/>
    </row>
    <row r="505" customFormat="false" ht="14.25" hidden="true" customHeight="true" outlineLevel="0" collapsed="false">
      <c r="A505" s="22" t="s">
        <v>2005</v>
      </c>
      <c r="B505" s="22" t="s">
        <v>455</v>
      </c>
      <c r="C505" s="23" t="n">
        <v>45999</v>
      </c>
      <c r="D505" s="22"/>
      <c r="E505" s="22" t="n">
        <v>1</v>
      </c>
      <c r="F505" s="22" t="s">
        <v>1250</v>
      </c>
      <c r="G505" s="22" t="s">
        <v>470</v>
      </c>
      <c r="H505" s="22" t="s">
        <v>477</v>
      </c>
      <c r="I505" s="22" t="s">
        <v>2006</v>
      </c>
      <c r="J505" s="22" t="s">
        <v>459</v>
      </c>
      <c r="K505" s="22" t="s">
        <v>473</v>
      </c>
      <c r="L505" s="22" t="s">
        <v>474</v>
      </c>
    </row>
    <row r="506" customFormat="false" ht="14.25" hidden="true" customHeight="true" outlineLevel="0" collapsed="false">
      <c r="A506" s="22" t="s">
        <v>2007</v>
      </c>
      <c r="B506" s="22" t="s">
        <v>455</v>
      </c>
      <c r="C506" s="23" t="n">
        <v>45999</v>
      </c>
      <c r="D506" s="22"/>
      <c r="E506" s="22" t="n">
        <v>0</v>
      </c>
      <c r="F506" s="22"/>
      <c r="G506" s="22" t="s">
        <v>461</v>
      </c>
      <c r="H506" s="22" t="s">
        <v>462</v>
      </c>
      <c r="I506" s="22" t="s">
        <v>2008</v>
      </c>
      <c r="J506" s="22" t="s">
        <v>459</v>
      </c>
      <c r="K506" s="22"/>
      <c r="L506" s="22"/>
    </row>
    <row r="507" customFormat="false" ht="14.25" hidden="true" customHeight="true" outlineLevel="0" collapsed="false">
      <c r="A507" s="22" t="s">
        <v>2009</v>
      </c>
      <c r="B507" s="22" t="s">
        <v>455</v>
      </c>
      <c r="C507" s="23" t="n">
        <v>45999</v>
      </c>
      <c r="D507" s="22"/>
      <c r="E507" s="22" t="n">
        <v>0</v>
      </c>
      <c r="F507" s="22"/>
      <c r="G507" s="22" t="s">
        <v>2010</v>
      </c>
      <c r="H507" s="22" t="s">
        <v>2011</v>
      </c>
      <c r="I507" s="22" t="s">
        <v>2012</v>
      </c>
      <c r="J507" s="22" t="s">
        <v>459</v>
      </c>
      <c r="K507" s="22"/>
      <c r="L507" s="22"/>
    </row>
    <row r="508" customFormat="false" ht="14.25" hidden="true" customHeight="true" outlineLevel="0" collapsed="false">
      <c r="A508" s="22" t="s">
        <v>2013</v>
      </c>
      <c r="B508" s="22" t="s">
        <v>455</v>
      </c>
      <c r="C508" s="23" t="n">
        <v>45999</v>
      </c>
      <c r="D508" s="22"/>
      <c r="E508" s="22" t="n">
        <v>0</v>
      </c>
      <c r="F508" s="22"/>
      <c r="G508" s="22" t="s">
        <v>465</v>
      </c>
      <c r="H508" s="22" t="s">
        <v>492</v>
      </c>
      <c r="I508" s="22" t="s">
        <v>2014</v>
      </c>
      <c r="J508" s="22" t="s">
        <v>459</v>
      </c>
      <c r="K508" s="22"/>
      <c r="L508" s="22"/>
    </row>
    <row r="509" customFormat="false" ht="14.25" hidden="true" customHeight="true" outlineLevel="0" collapsed="false">
      <c r="A509" s="22" t="s">
        <v>2015</v>
      </c>
      <c r="B509" s="22" t="s">
        <v>455</v>
      </c>
      <c r="C509" s="23" t="n">
        <v>45999</v>
      </c>
      <c r="D509" s="22"/>
      <c r="E509" s="22" t="n">
        <v>0</v>
      </c>
      <c r="F509" s="22"/>
      <c r="G509" s="22" t="s">
        <v>2016</v>
      </c>
      <c r="H509" s="22" t="s">
        <v>2017</v>
      </c>
      <c r="I509" s="22" t="s">
        <v>2018</v>
      </c>
      <c r="J509" s="22" t="s">
        <v>459</v>
      </c>
      <c r="K509" s="22"/>
      <c r="L509" s="22"/>
    </row>
    <row r="510" customFormat="false" ht="14.25" hidden="true" customHeight="true" outlineLevel="0" collapsed="false">
      <c r="A510" s="22" t="s">
        <v>2019</v>
      </c>
      <c r="B510" s="22" t="s">
        <v>455</v>
      </c>
      <c r="C510" s="23" t="n">
        <v>45999</v>
      </c>
      <c r="D510" s="22"/>
      <c r="E510" s="22" t="n">
        <v>0</v>
      </c>
      <c r="F510" s="22"/>
      <c r="G510" s="22" t="s">
        <v>2020</v>
      </c>
      <c r="H510" s="22" t="s">
        <v>2021</v>
      </c>
      <c r="I510" s="22" t="s">
        <v>2022</v>
      </c>
      <c r="J510" s="22" t="s">
        <v>459</v>
      </c>
      <c r="K510" s="22"/>
      <c r="L510" s="22"/>
    </row>
    <row r="511" customFormat="false" ht="14.25" hidden="true" customHeight="true" outlineLevel="0" collapsed="false">
      <c r="A511" s="22" t="s">
        <v>2023</v>
      </c>
      <c r="B511" s="22" t="s">
        <v>455</v>
      </c>
      <c r="C511" s="23" t="n">
        <v>46001</v>
      </c>
      <c r="D511" s="22"/>
      <c r="E511" s="22" t="n">
        <v>0</v>
      </c>
      <c r="F511" s="22"/>
      <c r="G511" s="22" t="s">
        <v>465</v>
      </c>
      <c r="H511" s="22" t="s">
        <v>492</v>
      </c>
      <c r="I511" s="22" t="s">
        <v>2024</v>
      </c>
      <c r="J511" s="22" t="s">
        <v>459</v>
      </c>
      <c r="K511" s="22"/>
      <c r="L511" s="22"/>
    </row>
    <row r="512" customFormat="false" ht="14.25" hidden="true" customHeight="true" outlineLevel="0" collapsed="false">
      <c r="A512" s="22" t="s">
        <v>2025</v>
      </c>
      <c r="B512" s="22" t="s">
        <v>455</v>
      </c>
      <c r="C512" s="23" t="n">
        <v>46002</v>
      </c>
      <c r="D512" s="22"/>
      <c r="E512" s="22" t="n">
        <v>1</v>
      </c>
      <c r="F512" s="22" t="s">
        <v>635</v>
      </c>
      <c r="G512" s="22" t="s">
        <v>465</v>
      </c>
      <c r="H512" s="22" t="s">
        <v>492</v>
      </c>
      <c r="I512" s="22" t="s">
        <v>2026</v>
      </c>
      <c r="J512" s="22" t="s">
        <v>459</v>
      </c>
      <c r="K512" s="22" t="s">
        <v>473</v>
      </c>
      <c r="L512" s="22" t="s">
        <v>474</v>
      </c>
    </row>
    <row r="513" customFormat="false" ht="14.25" hidden="true" customHeight="true" outlineLevel="0" collapsed="false">
      <c r="A513" s="22" t="s">
        <v>2027</v>
      </c>
      <c r="B513" s="22" t="s">
        <v>455</v>
      </c>
      <c r="C513" s="23" t="n">
        <v>46002</v>
      </c>
      <c r="D513" s="22"/>
      <c r="E513" s="22" t="n">
        <v>0</v>
      </c>
      <c r="F513" s="22"/>
      <c r="G513" s="22" t="s">
        <v>470</v>
      </c>
      <c r="H513" s="22" t="s">
        <v>477</v>
      </c>
      <c r="I513" s="22" t="s">
        <v>2028</v>
      </c>
      <c r="J513" s="22" t="s">
        <v>459</v>
      </c>
      <c r="K513" s="22"/>
      <c r="L513" s="22"/>
    </row>
    <row r="514" customFormat="false" ht="14.25" hidden="true" customHeight="true" outlineLevel="0" collapsed="false">
      <c r="A514" s="22" t="s">
        <v>2029</v>
      </c>
      <c r="B514" s="22" t="s">
        <v>483</v>
      </c>
      <c r="C514" s="23" t="n">
        <v>46002</v>
      </c>
      <c r="D514" s="22"/>
      <c r="E514" s="22" t="n">
        <v>1</v>
      </c>
      <c r="F514" s="22" t="s">
        <v>2030</v>
      </c>
      <c r="G514" s="22" t="s">
        <v>833</v>
      </c>
      <c r="H514" s="22" t="s">
        <v>2031</v>
      </c>
      <c r="I514" s="22" t="s">
        <v>2032</v>
      </c>
      <c r="J514" s="22" t="s">
        <v>459</v>
      </c>
      <c r="K514" s="22" t="s">
        <v>473</v>
      </c>
      <c r="L514" s="22" t="s">
        <v>554</v>
      </c>
    </row>
    <row r="515" customFormat="false" ht="14.25" hidden="true" customHeight="true" outlineLevel="0" collapsed="false">
      <c r="A515" s="22" t="s">
        <v>2033</v>
      </c>
      <c r="B515" s="22" t="s">
        <v>455</v>
      </c>
      <c r="C515" s="23" t="n">
        <v>46007</v>
      </c>
      <c r="D515" s="22"/>
      <c r="E515" s="22" t="n">
        <v>1</v>
      </c>
      <c r="F515" s="22" t="s">
        <v>2034</v>
      </c>
      <c r="G515" s="22" t="s">
        <v>470</v>
      </c>
      <c r="H515" s="22" t="s">
        <v>477</v>
      </c>
      <c r="I515" s="22" t="s">
        <v>2035</v>
      </c>
      <c r="J515" s="22" t="s">
        <v>459</v>
      </c>
      <c r="K515" s="22" t="s">
        <v>473</v>
      </c>
      <c r="L515" s="22" t="s">
        <v>474</v>
      </c>
    </row>
    <row r="516" customFormat="false" ht="14.25" hidden="true" customHeight="true" outlineLevel="0" collapsed="false">
      <c r="A516" s="22" t="s">
        <v>2036</v>
      </c>
      <c r="B516" s="22" t="s">
        <v>455</v>
      </c>
      <c r="C516" s="23" t="n">
        <v>46007</v>
      </c>
      <c r="D516" s="22"/>
      <c r="E516" s="22" t="n">
        <v>0</v>
      </c>
      <c r="F516" s="22"/>
      <c r="G516" s="22" t="s">
        <v>465</v>
      </c>
      <c r="H516" s="22" t="s">
        <v>492</v>
      </c>
      <c r="I516" s="22" t="s">
        <v>2037</v>
      </c>
      <c r="J516" s="22" t="s">
        <v>459</v>
      </c>
      <c r="K516" s="22"/>
      <c r="L516" s="22"/>
    </row>
    <row r="517" customFormat="false" ht="14.25" hidden="true" customHeight="true" outlineLevel="0" collapsed="false">
      <c r="A517" s="22" t="s">
        <v>2038</v>
      </c>
      <c r="B517" s="22" t="s">
        <v>504</v>
      </c>
      <c r="C517" s="23" t="n">
        <v>46008</v>
      </c>
      <c r="D517" s="23" t="n">
        <v>46008</v>
      </c>
      <c r="E517" s="22" t="n">
        <v>0</v>
      </c>
      <c r="F517" s="22"/>
      <c r="G517" s="22" t="s">
        <v>2039</v>
      </c>
      <c r="H517" s="22" t="s">
        <v>2040</v>
      </c>
      <c r="I517" s="22" t="s">
        <v>2041</v>
      </c>
      <c r="J517" s="22" t="s">
        <v>459</v>
      </c>
      <c r="K517" s="22"/>
      <c r="L517" s="22"/>
    </row>
    <row r="518" customFormat="false" ht="14.25" hidden="true" customHeight="true" outlineLevel="0" collapsed="false">
      <c r="A518" s="22" t="s">
        <v>2042</v>
      </c>
      <c r="B518" s="22" t="s">
        <v>455</v>
      </c>
      <c r="C518" s="23" t="n">
        <v>46008</v>
      </c>
      <c r="D518" s="22"/>
      <c r="E518" s="22" t="n">
        <v>1</v>
      </c>
      <c r="F518" s="22" t="s">
        <v>950</v>
      </c>
      <c r="G518" s="22" t="s">
        <v>470</v>
      </c>
      <c r="H518" s="22" t="s">
        <v>477</v>
      </c>
      <c r="I518" s="22" t="s">
        <v>2043</v>
      </c>
      <c r="J518" s="22" t="s">
        <v>459</v>
      </c>
      <c r="K518" s="22" t="s">
        <v>473</v>
      </c>
      <c r="L518" s="22" t="s">
        <v>474</v>
      </c>
    </row>
    <row r="519" customFormat="false" ht="14.25" hidden="true" customHeight="true" outlineLevel="0" collapsed="false">
      <c r="A519" s="22" t="s">
        <v>2044</v>
      </c>
      <c r="B519" s="22" t="s">
        <v>455</v>
      </c>
      <c r="C519" s="23" t="n">
        <v>46010</v>
      </c>
      <c r="D519" s="22"/>
      <c r="E519" s="22" t="n">
        <v>0</v>
      </c>
      <c r="F519" s="22"/>
      <c r="G519" s="22" t="s">
        <v>2045</v>
      </c>
      <c r="H519" s="22" t="s">
        <v>2046</v>
      </c>
      <c r="I519" s="22" t="s">
        <v>2047</v>
      </c>
      <c r="J519" s="22" t="s">
        <v>459</v>
      </c>
      <c r="K519" s="22"/>
      <c r="L519" s="22"/>
    </row>
    <row r="520" customFormat="false" ht="14.25" hidden="true" customHeight="true" outlineLevel="0" collapsed="false">
      <c r="A520" s="22" t="s">
        <v>2048</v>
      </c>
      <c r="B520" s="22" t="s">
        <v>483</v>
      </c>
      <c r="C520" s="23" t="n">
        <v>46010</v>
      </c>
      <c r="D520" s="22"/>
      <c r="E520" s="22" t="n">
        <v>0</v>
      </c>
      <c r="F520" s="22"/>
      <c r="G520" s="22" t="s">
        <v>2049</v>
      </c>
      <c r="H520" s="22" t="s">
        <v>2050</v>
      </c>
      <c r="I520" s="22" t="s">
        <v>2051</v>
      </c>
      <c r="J520" s="22" t="s">
        <v>459</v>
      </c>
      <c r="K520" s="22"/>
      <c r="L520" s="22"/>
    </row>
    <row r="521" customFormat="false" ht="14.25" hidden="true" customHeight="true" outlineLevel="0" collapsed="false">
      <c r="A521" s="22" t="s">
        <v>2052</v>
      </c>
      <c r="B521" s="22" t="s">
        <v>483</v>
      </c>
      <c r="C521" s="23" t="n">
        <v>46010</v>
      </c>
      <c r="D521" s="22"/>
      <c r="E521" s="22" t="n">
        <v>0</v>
      </c>
      <c r="F521" s="22"/>
      <c r="G521" s="22" t="s">
        <v>2053</v>
      </c>
      <c r="H521" s="22" t="s">
        <v>2054</v>
      </c>
      <c r="I521" s="22" t="s">
        <v>2055</v>
      </c>
      <c r="J521" s="22" t="s">
        <v>459</v>
      </c>
      <c r="K521" s="22"/>
      <c r="L521" s="22"/>
    </row>
    <row r="522" customFormat="false" ht="14.25" hidden="true" customHeight="true" outlineLevel="0" collapsed="false">
      <c r="A522" s="22" t="s">
        <v>2056</v>
      </c>
      <c r="B522" s="22" t="s">
        <v>455</v>
      </c>
      <c r="C522" s="23" t="n">
        <v>46013</v>
      </c>
      <c r="D522" s="22"/>
      <c r="E522" s="22" t="n">
        <v>0</v>
      </c>
      <c r="F522" s="22"/>
      <c r="G522" s="22" t="s">
        <v>470</v>
      </c>
      <c r="H522" s="22" t="s">
        <v>477</v>
      </c>
      <c r="I522" s="22" t="s">
        <v>2057</v>
      </c>
      <c r="J522" s="22" t="s">
        <v>459</v>
      </c>
      <c r="K522" s="22"/>
      <c r="L522" s="22"/>
    </row>
    <row r="523" customFormat="false" ht="14.25" hidden="true" customHeight="true" outlineLevel="0" collapsed="false">
      <c r="A523" s="22" t="s">
        <v>2058</v>
      </c>
      <c r="B523" s="22" t="s">
        <v>455</v>
      </c>
      <c r="C523" s="23" t="n">
        <v>46013</v>
      </c>
      <c r="D523" s="22"/>
      <c r="E523" s="22" t="n">
        <v>0</v>
      </c>
      <c r="F523" s="22"/>
      <c r="G523" s="22" t="s">
        <v>465</v>
      </c>
      <c r="H523" s="22" t="s">
        <v>492</v>
      </c>
      <c r="I523" s="22" t="s">
        <v>2059</v>
      </c>
      <c r="J523" s="22" t="s">
        <v>459</v>
      </c>
      <c r="K523" s="22"/>
      <c r="L523" s="22"/>
    </row>
    <row r="524" customFormat="false" ht="14.25" hidden="true" customHeight="true" outlineLevel="0" collapsed="false">
      <c r="A524" s="22" t="s">
        <v>2060</v>
      </c>
      <c r="B524" s="22" t="s">
        <v>455</v>
      </c>
      <c r="C524" s="23" t="n">
        <v>46013</v>
      </c>
      <c r="D524" s="22"/>
      <c r="E524" s="22" t="n">
        <v>1</v>
      </c>
      <c r="F524" s="22" t="s">
        <v>2061</v>
      </c>
      <c r="G524" s="22" t="s">
        <v>465</v>
      </c>
      <c r="H524" s="22" t="s">
        <v>492</v>
      </c>
      <c r="I524" s="22" t="s">
        <v>2062</v>
      </c>
      <c r="J524" s="22" t="s">
        <v>459</v>
      </c>
      <c r="K524" s="22" t="s">
        <v>473</v>
      </c>
      <c r="L524" s="22" t="s">
        <v>474</v>
      </c>
    </row>
    <row r="525" customFormat="false" ht="14.25" hidden="true" customHeight="true" outlineLevel="0" collapsed="false">
      <c r="A525" s="22" t="s">
        <v>2063</v>
      </c>
      <c r="B525" s="22" t="s">
        <v>455</v>
      </c>
      <c r="C525" s="23" t="n">
        <v>46013</v>
      </c>
      <c r="D525" s="23" t="n">
        <v>46009</v>
      </c>
      <c r="E525" s="22" t="n">
        <v>0</v>
      </c>
      <c r="F525" s="22"/>
      <c r="G525" s="22" t="s">
        <v>2064</v>
      </c>
      <c r="H525" s="22" t="s">
        <v>2065</v>
      </c>
      <c r="I525" s="22" t="s">
        <v>2066</v>
      </c>
      <c r="J525" s="22" t="s">
        <v>459</v>
      </c>
      <c r="K525" s="22"/>
      <c r="L525" s="22"/>
    </row>
    <row r="526" customFormat="false" ht="14.25" hidden="false" customHeight="true" outlineLevel="0" collapsed="false">
      <c r="A526" s="15" t="s">
        <v>2067</v>
      </c>
      <c r="B526" s="15" t="s">
        <v>483</v>
      </c>
      <c r="C526" s="24" t="n">
        <v>45792</v>
      </c>
      <c r="D526" s="15"/>
      <c r="E526" s="15" t="n">
        <v>1</v>
      </c>
      <c r="F526" s="15" t="s">
        <v>488</v>
      </c>
      <c r="G526" s="15" t="s">
        <v>2068</v>
      </c>
      <c r="H526" s="15" t="s">
        <v>2069</v>
      </c>
      <c r="I526" s="15" t="s">
        <v>2070</v>
      </c>
      <c r="J526" s="15" t="s">
        <v>459</v>
      </c>
      <c r="K526" s="15" t="s">
        <v>1199</v>
      </c>
      <c r="L526" s="15" t="s">
        <v>1340</v>
      </c>
    </row>
    <row r="527" customFormat="false" ht="14.25" hidden="false" customHeight="true" outlineLevel="0" collapsed="false">
      <c r="A527" s="15" t="s">
        <v>2071</v>
      </c>
      <c r="B527" s="15" t="s">
        <v>455</v>
      </c>
      <c r="C527" s="24" t="n">
        <v>45793</v>
      </c>
      <c r="D527" s="15"/>
      <c r="E527" s="15" t="n">
        <v>1</v>
      </c>
      <c r="F527" s="15" t="s">
        <v>1944</v>
      </c>
      <c r="G527" s="15" t="s">
        <v>2072</v>
      </c>
      <c r="H527" s="15" t="s">
        <v>2073</v>
      </c>
      <c r="I527" s="15" t="s">
        <v>2074</v>
      </c>
      <c r="J527" s="15" t="s">
        <v>459</v>
      </c>
      <c r="K527" s="15" t="s">
        <v>1199</v>
      </c>
      <c r="L527" s="15" t="s">
        <v>1244</v>
      </c>
    </row>
    <row r="528" customFormat="false" ht="14.25" hidden="true" customHeight="true" outlineLevel="0" collapsed="false">
      <c r="A528" s="22" t="s">
        <v>2075</v>
      </c>
      <c r="B528" s="22" t="s">
        <v>455</v>
      </c>
      <c r="C528" s="23" t="n">
        <v>46021</v>
      </c>
      <c r="D528" s="22"/>
      <c r="E528" s="22" t="n">
        <v>0</v>
      </c>
      <c r="F528" s="22"/>
      <c r="G528" s="22" t="s">
        <v>470</v>
      </c>
      <c r="H528" s="22" t="s">
        <v>477</v>
      </c>
      <c r="I528" s="22" t="s">
        <v>2076</v>
      </c>
      <c r="J528" s="22" t="s">
        <v>459</v>
      </c>
      <c r="K528" s="22"/>
      <c r="L528" s="22"/>
    </row>
    <row r="529" customFormat="false" ht="14.25" hidden="true" customHeight="true" outlineLevel="0" collapsed="false">
      <c r="A529" s="22" t="s">
        <v>2077</v>
      </c>
      <c r="B529" s="22" t="s">
        <v>455</v>
      </c>
      <c r="C529" s="23" t="n">
        <v>46021</v>
      </c>
      <c r="D529" s="22"/>
      <c r="E529" s="22" t="n">
        <v>0</v>
      </c>
      <c r="F529" s="22"/>
      <c r="G529" s="22" t="s">
        <v>470</v>
      </c>
      <c r="H529" s="22" t="s">
        <v>2078</v>
      </c>
      <c r="I529" s="22" t="s">
        <v>2079</v>
      </c>
      <c r="J529" s="22" t="s">
        <v>459</v>
      </c>
      <c r="K529" s="22"/>
      <c r="L529" s="22"/>
    </row>
    <row r="530" customFormat="false" ht="14.25" hidden="true" customHeight="true" outlineLevel="0" collapsed="false">
      <c r="A530" s="22" t="s">
        <v>2080</v>
      </c>
      <c r="B530" s="22" t="s">
        <v>504</v>
      </c>
      <c r="C530" s="23" t="n">
        <v>46035</v>
      </c>
      <c r="D530" s="23" t="n">
        <v>46125</v>
      </c>
      <c r="E530" s="22" t="n">
        <v>0</v>
      </c>
      <c r="F530" s="22"/>
      <c r="G530" s="22" t="s">
        <v>2081</v>
      </c>
      <c r="H530" s="22" t="s">
        <v>821</v>
      </c>
      <c r="I530" s="22" t="s">
        <v>2082</v>
      </c>
      <c r="J530" s="22" t="s">
        <v>459</v>
      </c>
      <c r="K530" s="22"/>
      <c r="L530" s="22"/>
    </row>
    <row r="531" customFormat="false" ht="14.25" hidden="true" customHeight="true" outlineLevel="0" collapsed="false">
      <c r="A531" s="22" t="s">
        <v>2083</v>
      </c>
      <c r="B531" s="22" t="s">
        <v>455</v>
      </c>
      <c r="C531" s="23" t="n">
        <v>46036</v>
      </c>
      <c r="D531" s="22"/>
      <c r="E531" s="22" t="n">
        <v>0</v>
      </c>
      <c r="F531" s="22"/>
      <c r="G531" s="22" t="s">
        <v>2084</v>
      </c>
      <c r="H531" s="22"/>
      <c r="I531" s="22" t="s">
        <v>2085</v>
      </c>
      <c r="J531" s="22" t="s">
        <v>459</v>
      </c>
      <c r="K531" s="22"/>
      <c r="L531" s="22"/>
    </row>
    <row r="532" customFormat="false" ht="14.25" hidden="true" customHeight="true" outlineLevel="0" collapsed="false">
      <c r="A532" s="22" t="s">
        <v>2086</v>
      </c>
      <c r="B532" s="22" t="s">
        <v>455</v>
      </c>
      <c r="C532" s="23" t="n">
        <v>46042</v>
      </c>
      <c r="D532" s="22"/>
      <c r="E532" s="22" t="n">
        <v>0</v>
      </c>
      <c r="F532" s="22"/>
      <c r="G532" s="22" t="s">
        <v>465</v>
      </c>
      <c r="H532" s="22" t="s">
        <v>492</v>
      </c>
      <c r="I532" s="22" t="s">
        <v>2087</v>
      </c>
      <c r="J532" s="22" t="s">
        <v>459</v>
      </c>
      <c r="K532" s="22"/>
      <c r="L532" s="22"/>
    </row>
    <row r="533" customFormat="false" ht="14.25" hidden="true" customHeight="true" outlineLevel="0" collapsed="false">
      <c r="A533" s="22" t="s">
        <v>2088</v>
      </c>
      <c r="B533" s="22" t="s">
        <v>455</v>
      </c>
      <c r="C533" s="23" t="n">
        <v>46042</v>
      </c>
      <c r="D533" s="22"/>
      <c r="E533" s="22" t="n">
        <v>0</v>
      </c>
      <c r="F533" s="22"/>
      <c r="G533" s="22" t="s">
        <v>470</v>
      </c>
      <c r="H533" s="22" t="s">
        <v>477</v>
      </c>
      <c r="I533" s="22" t="s">
        <v>2089</v>
      </c>
      <c r="J533" s="22" t="s">
        <v>459</v>
      </c>
      <c r="K533" s="22"/>
      <c r="L533" s="22"/>
    </row>
    <row r="534" customFormat="false" ht="14.25" hidden="true" customHeight="true" outlineLevel="0" collapsed="false">
      <c r="A534" s="22" t="s">
        <v>2090</v>
      </c>
      <c r="B534" s="22" t="s">
        <v>455</v>
      </c>
      <c r="C534" s="23" t="n">
        <v>46043</v>
      </c>
      <c r="D534" s="22"/>
      <c r="E534" s="22" t="n">
        <v>0</v>
      </c>
      <c r="F534" s="22"/>
      <c r="G534" s="22" t="s">
        <v>470</v>
      </c>
      <c r="H534" s="22" t="s">
        <v>477</v>
      </c>
      <c r="I534" s="22" t="s">
        <v>2091</v>
      </c>
      <c r="J534" s="22" t="s">
        <v>459</v>
      </c>
      <c r="K534" s="22"/>
      <c r="L534" s="22"/>
    </row>
    <row r="535" customFormat="false" ht="14.25" hidden="true" customHeight="true" outlineLevel="0" collapsed="false">
      <c r="A535" s="22" t="s">
        <v>2092</v>
      </c>
      <c r="B535" s="22" t="s">
        <v>455</v>
      </c>
      <c r="C535" s="23" t="n">
        <v>46043</v>
      </c>
      <c r="D535" s="22"/>
      <c r="E535" s="22" t="n">
        <v>0</v>
      </c>
      <c r="F535" s="22"/>
      <c r="G535" s="22" t="s">
        <v>470</v>
      </c>
      <c r="H535" s="22" t="s">
        <v>2078</v>
      </c>
      <c r="I535" s="22" t="s">
        <v>2093</v>
      </c>
      <c r="J535" s="22" t="s">
        <v>459</v>
      </c>
      <c r="K535" s="22"/>
      <c r="L535" s="22"/>
    </row>
    <row r="536" customFormat="false" ht="14.25" hidden="true" customHeight="true" outlineLevel="0" collapsed="false">
      <c r="A536" s="22" t="s">
        <v>2094</v>
      </c>
      <c r="B536" s="22" t="s">
        <v>455</v>
      </c>
      <c r="C536" s="23" t="n">
        <v>46044</v>
      </c>
      <c r="D536" s="22"/>
      <c r="E536" s="22" t="n">
        <v>0</v>
      </c>
      <c r="F536" s="22"/>
      <c r="G536" s="22" t="s">
        <v>465</v>
      </c>
      <c r="H536" s="22" t="s">
        <v>492</v>
      </c>
      <c r="I536" s="22" t="s">
        <v>2095</v>
      </c>
      <c r="J536" s="22" t="s">
        <v>459</v>
      </c>
      <c r="K536" s="22"/>
      <c r="L536" s="22"/>
    </row>
    <row r="537" customFormat="false" ht="14.25" hidden="true" customHeight="true" outlineLevel="0" collapsed="false">
      <c r="A537" s="22" t="s">
        <v>2096</v>
      </c>
      <c r="B537" s="22" t="s">
        <v>455</v>
      </c>
      <c r="C537" s="23" t="n">
        <v>46045</v>
      </c>
      <c r="D537" s="22"/>
      <c r="E537" s="22" t="n">
        <v>0</v>
      </c>
      <c r="F537" s="22"/>
      <c r="G537" s="22" t="s">
        <v>465</v>
      </c>
      <c r="H537" s="22" t="s">
        <v>492</v>
      </c>
      <c r="I537" s="22" t="s">
        <v>2097</v>
      </c>
      <c r="J537" s="22" t="s">
        <v>459</v>
      </c>
      <c r="K537" s="22"/>
      <c r="L537" s="22"/>
    </row>
    <row r="538" customFormat="false" ht="14.25" hidden="true" customHeight="true" outlineLevel="0" collapsed="false">
      <c r="A538" s="22" t="s">
        <v>2098</v>
      </c>
      <c r="B538" s="22" t="s">
        <v>455</v>
      </c>
      <c r="C538" s="23" t="n">
        <v>46049</v>
      </c>
      <c r="D538" s="22"/>
      <c r="E538" s="22" t="n">
        <v>0</v>
      </c>
      <c r="F538" s="22"/>
      <c r="G538" s="22" t="s">
        <v>465</v>
      </c>
      <c r="H538" s="22" t="s">
        <v>492</v>
      </c>
      <c r="I538" s="22" t="s">
        <v>2099</v>
      </c>
      <c r="J538" s="22" t="s">
        <v>459</v>
      </c>
      <c r="K538" s="22"/>
      <c r="L538" s="22"/>
    </row>
    <row r="539" customFormat="false" ht="14.25" hidden="true" customHeight="true" outlineLevel="0" collapsed="false">
      <c r="A539" s="22" t="s">
        <v>2100</v>
      </c>
      <c r="B539" s="22" t="s">
        <v>483</v>
      </c>
      <c r="C539" s="23" t="n">
        <v>46051</v>
      </c>
      <c r="D539" s="22"/>
      <c r="E539" s="22" t="n">
        <v>0</v>
      </c>
      <c r="F539" s="22"/>
      <c r="G539" s="22" t="s">
        <v>2101</v>
      </c>
      <c r="H539" s="22" t="s">
        <v>2102</v>
      </c>
      <c r="I539" s="22" t="s">
        <v>2103</v>
      </c>
      <c r="J539" s="22" t="s">
        <v>459</v>
      </c>
      <c r="K539" s="22"/>
      <c r="L539" s="22"/>
    </row>
    <row r="540" customFormat="false" ht="14.25" hidden="true" customHeight="true" outlineLevel="0" collapsed="false">
      <c r="A540" s="22" t="s">
        <v>2104</v>
      </c>
      <c r="B540" s="22" t="s">
        <v>455</v>
      </c>
      <c r="C540" s="23" t="n">
        <v>46051</v>
      </c>
      <c r="D540" s="22"/>
      <c r="E540" s="22" t="n">
        <v>1</v>
      </c>
      <c r="F540" s="22" t="s">
        <v>1944</v>
      </c>
      <c r="G540" s="22" t="s">
        <v>470</v>
      </c>
      <c r="H540" s="22" t="s">
        <v>477</v>
      </c>
      <c r="I540" s="22" t="s">
        <v>2105</v>
      </c>
      <c r="J540" s="22" t="s">
        <v>459</v>
      </c>
      <c r="K540" s="22" t="s">
        <v>473</v>
      </c>
      <c r="L540" s="22" t="s">
        <v>474</v>
      </c>
    </row>
    <row r="541" customFormat="false" ht="14.25" hidden="true" customHeight="true" outlineLevel="0" collapsed="false">
      <c r="A541" s="22" t="s">
        <v>2106</v>
      </c>
      <c r="B541" s="22" t="s">
        <v>483</v>
      </c>
      <c r="C541" s="23" t="n">
        <v>46052</v>
      </c>
      <c r="D541" s="22"/>
      <c r="E541" s="22" t="n">
        <v>0</v>
      </c>
      <c r="F541" s="22"/>
      <c r="G541" s="22" t="s">
        <v>2107</v>
      </c>
      <c r="H541" s="22" t="s">
        <v>2108</v>
      </c>
      <c r="I541" s="22" t="s">
        <v>2109</v>
      </c>
      <c r="J541" s="22" t="s">
        <v>459</v>
      </c>
      <c r="K541" s="22"/>
      <c r="L541" s="22"/>
    </row>
    <row r="542" customFormat="false" ht="14.25" hidden="false" customHeight="true" outlineLevel="0" collapsed="false">
      <c r="A542" s="15" t="s">
        <v>2110</v>
      </c>
      <c r="B542" s="15" t="s">
        <v>504</v>
      </c>
      <c r="C542" s="24" t="n">
        <v>45806</v>
      </c>
      <c r="D542" s="24" t="n">
        <v>45806</v>
      </c>
      <c r="E542" s="15" t="n">
        <v>1</v>
      </c>
      <c r="F542" s="15" t="s">
        <v>488</v>
      </c>
      <c r="G542" s="15" t="s">
        <v>2111</v>
      </c>
      <c r="H542" s="15" t="s">
        <v>2112</v>
      </c>
      <c r="I542" s="15" t="s">
        <v>2113</v>
      </c>
      <c r="J542" s="15" t="s">
        <v>459</v>
      </c>
      <c r="K542" s="15" t="s">
        <v>1199</v>
      </c>
      <c r="L542" s="15" t="s">
        <v>1340</v>
      </c>
    </row>
    <row r="543" customFormat="false" ht="14.25" hidden="true" customHeight="true" outlineLevel="0" collapsed="false">
      <c r="A543" s="22" t="s">
        <v>2114</v>
      </c>
      <c r="B543" s="22" t="s">
        <v>455</v>
      </c>
      <c r="C543" s="23" t="n">
        <v>46056</v>
      </c>
      <c r="D543" s="22"/>
      <c r="E543" s="22" t="n">
        <v>0</v>
      </c>
      <c r="F543" s="22"/>
      <c r="G543" s="22" t="s">
        <v>461</v>
      </c>
      <c r="H543" s="22" t="s">
        <v>462</v>
      </c>
      <c r="I543" s="22" t="s">
        <v>2115</v>
      </c>
      <c r="J543" s="22" t="s">
        <v>459</v>
      </c>
      <c r="K543" s="22"/>
      <c r="L543" s="22"/>
    </row>
    <row r="544" customFormat="false" ht="14.25" hidden="true" customHeight="true" outlineLevel="0" collapsed="false">
      <c r="A544" s="22" t="s">
        <v>2116</v>
      </c>
      <c r="B544" s="22" t="s">
        <v>455</v>
      </c>
      <c r="C544" s="23" t="n">
        <v>46056</v>
      </c>
      <c r="D544" s="22"/>
      <c r="E544" s="22" t="n">
        <v>1</v>
      </c>
      <c r="F544" s="22" t="s">
        <v>535</v>
      </c>
      <c r="G544" s="22" t="s">
        <v>470</v>
      </c>
      <c r="H544" s="22" t="s">
        <v>477</v>
      </c>
      <c r="I544" s="22" t="s">
        <v>2117</v>
      </c>
      <c r="J544" s="22" t="s">
        <v>459</v>
      </c>
      <c r="K544" s="22" t="s">
        <v>473</v>
      </c>
      <c r="L544" s="22" t="s">
        <v>474</v>
      </c>
    </row>
    <row r="545" customFormat="false" ht="14.25" hidden="true" customHeight="true" outlineLevel="0" collapsed="false">
      <c r="A545" s="22" t="s">
        <v>2118</v>
      </c>
      <c r="B545" s="22" t="s">
        <v>455</v>
      </c>
      <c r="C545" s="23" t="n">
        <v>46056</v>
      </c>
      <c r="D545" s="22"/>
      <c r="E545" s="22" t="n">
        <v>0</v>
      </c>
      <c r="F545" s="22"/>
      <c r="G545" s="22" t="s">
        <v>465</v>
      </c>
      <c r="H545" s="22" t="s">
        <v>492</v>
      </c>
      <c r="I545" s="22" t="s">
        <v>2119</v>
      </c>
      <c r="J545" s="22" t="s">
        <v>459</v>
      </c>
      <c r="K545" s="22"/>
      <c r="L545" s="22"/>
    </row>
    <row r="546" customFormat="false" ht="14.25" hidden="true" customHeight="true" outlineLevel="0" collapsed="false">
      <c r="A546" s="22" t="s">
        <v>2120</v>
      </c>
      <c r="B546" s="22" t="s">
        <v>455</v>
      </c>
      <c r="C546" s="23" t="n">
        <v>46057</v>
      </c>
      <c r="D546" s="22"/>
      <c r="E546" s="22" t="n">
        <v>0</v>
      </c>
      <c r="F546" s="22"/>
      <c r="G546" s="22" t="s">
        <v>465</v>
      </c>
      <c r="H546" s="22" t="s">
        <v>492</v>
      </c>
      <c r="I546" s="22" t="s">
        <v>2121</v>
      </c>
      <c r="J546" s="22" t="s">
        <v>459</v>
      </c>
      <c r="K546" s="22"/>
      <c r="L546" s="22"/>
    </row>
    <row r="547" customFormat="false" ht="14.25" hidden="true" customHeight="true" outlineLevel="0" collapsed="false">
      <c r="A547" s="22" t="s">
        <v>2122</v>
      </c>
      <c r="B547" s="22" t="s">
        <v>455</v>
      </c>
      <c r="C547" s="23" t="n">
        <v>46059</v>
      </c>
      <c r="D547" s="22"/>
      <c r="E547" s="22" t="n">
        <v>0</v>
      </c>
      <c r="F547" s="22"/>
      <c r="G547" s="22" t="s">
        <v>470</v>
      </c>
      <c r="H547" s="22" t="s">
        <v>477</v>
      </c>
      <c r="I547" s="22" t="s">
        <v>2123</v>
      </c>
      <c r="J547" s="22" t="s">
        <v>459</v>
      </c>
      <c r="K547" s="22"/>
      <c r="L547" s="22"/>
    </row>
    <row r="548" customFormat="false" ht="14.25" hidden="true" customHeight="true" outlineLevel="0" collapsed="false">
      <c r="A548" s="22" t="s">
        <v>2124</v>
      </c>
      <c r="B548" s="22" t="s">
        <v>455</v>
      </c>
      <c r="C548" s="23" t="n">
        <v>46059</v>
      </c>
      <c r="D548" s="22"/>
      <c r="E548" s="22" t="n">
        <v>0</v>
      </c>
      <c r="F548" s="22"/>
      <c r="G548" s="22" t="s">
        <v>465</v>
      </c>
      <c r="H548" s="22" t="s">
        <v>492</v>
      </c>
      <c r="I548" s="22" t="s">
        <v>2125</v>
      </c>
      <c r="J548" s="22" t="s">
        <v>459</v>
      </c>
      <c r="K548" s="22"/>
      <c r="L548" s="22"/>
    </row>
    <row r="549" customFormat="false" ht="14.25" hidden="true" customHeight="true" outlineLevel="0" collapsed="false">
      <c r="A549" s="22" t="s">
        <v>2126</v>
      </c>
      <c r="B549" s="22" t="s">
        <v>455</v>
      </c>
      <c r="C549" s="23" t="n">
        <v>46062</v>
      </c>
      <c r="D549" s="22"/>
      <c r="E549" s="22" t="n">
        <v>0</v>
      </c>
      <c r="F549" s="22"/>
      <c r="G549" s="22" t="s">
        <v>845</v>
      </c>
      <c r="H549" s="22" t="s">
        <v>2127</v>
      </c>
      <c r="I549" s="22" t="s">
        <v>2128</v>
      </c>
      <c r="J549" s="22" t="s">
        <v>459</v>
      </c>
      <c r="K549" s="22"/>
      <c r="L549" s="22"/>
    </row>
    <row r="550" customFormat="false" ht="14.25" hidden="true" customHeight="true" outlineLevel="0" collapsed="false">
      <c r="A550" s="22" t="s">
        <v>2129</v>
      </c>
      <c r="B550" s="22" t="s">
        <v>455</v>
      </c>
      <c r="C550" s="23" t="n">
        <v>46063</v>
      </c>
      <c r="D550" s="22"/>
      <c r="E550" s="22" t="n">
        <v>1</v>
      </c>
      <c r="F550" s="22" t="s">
        <v>2130</v>
      </c>
      <c r="G550" s="22" t="s">
        <v>465</v>
      </c>
      <c r="H550" s="22" t="s">
        <v>492</v>
      </c>
      <c r="I550" s="22" t="s">
        <v>2131</v>
      </c>
      <c r="J550" s="22" t="s">
        <v>459</v>
      </c>
      <c r="K550" s="22" t="s">
        <v>473</v>
      </c>
      <c r="L550" s="22" t="s">
        <v>474</v>
      </c>
    </row>
    <row r="551" customFormat="false" ht="14.25" hidden="false" customHeight="true" outlineLevel="0" collapsed="false">
      <c r="A551" s="15" t="s">
        <v>2132</v>
      </c>
      <c r="B551" s="15" t="s">
        <v>455</v>
      </c>
      <c r="C551" s="24" t="n">
        <v>45839</v>
      </c>
      <c r="D551" s="24" t="n">
        <v>46023</v>
      </c>
      <c r="E551" s="15" t="n">
        <v>1</v>
      </c>
      <c r="F551" s="15" t="s">
        <v>673</v>
      </c>
      <c r="G551" s="15" t="s">
        <v>2133</v>
      </c>
      <c r="H551" s="15" t="s">
        <v>2134</v>
      </c>
      <c r="I551" s="15" t="s">
        <v>2135</v>
      </c>
      <c r="J551" s="15" t="s">
        <v>459</v>
      </c>
      <c r="K551" s="15" t="s">
        <v>1199</v>
      </c>
      <c r="L551" s="15" t="s">
        <v>1244</v>
      </c>
    </row>
    <row r="552" customFormat="false" ht="14.25" hidden="true" customHeight="true" outlineLevel="0" collapsed="false">
      <c r="A552" s="22" t="s">
        <v>2136</v>
      </c>
      <c r="B552" s="22" t="s">
        <v>455</v>
      </c>
      <c r="C552" s="23" t="n">
        <v>46066</v>
      </c>
      <c r="D552" s="22"/>
      <c r="E552" s="22" t="n">
        <v>0</v>
      </c>
      <c r="F552" s="22"/>
      <c r="G552" s="22" t="s">
        <v>470</v>
      </c>
      <c r="H552" s="22" t="s">
        <v>2078</v>
      </c>
      <c r="I552" s="22" t="s">
        <v>2137</v>
      </c>
      <c r="J552" s="22" t="s">
        <v>459</v>
      </c>
      <c r="K552" s="22"/>
      <c r="L552" s="22"/>
    </row>
    <row r="553" customFormat="false" ht="14.25" hidden="true" customHeight="true" outlineLevel="0" collapsed="false">
      <c r="A553" s="22" t="s">
        <v>2138</v>
      </c>
      <c r="B553" s="22" t="s">
        <v>455</v>
      </c>
      <c r="C553" s="23" t="n">
        <v>46066</v>
      </c>
      <c r="D553" s="22"/>
      <c r="E553" s="22" t="n">
        <v>0</v>
      </c>
      <c r="F553" s="22"/>
      <c r="G553" s="22" t="s">
        <v>470</v>
      </c>
      <c r="H553" s="22" t="s">
        <v>477</v>
      </c>
      <c r="I553" s="22" t="s">
        <v>2139</v>
      </c>
      <c r="J553" s="22" t="s">
        <v>459</v>
      </c>
      <c r="K553" s="22"/>
      <c r="L553" s="22"/>
    </row>
    <row r="554" customFormat="false" ht="14.25" hidden="true" customHeight="true" outlineLevel="0" collapsed="false">
      <c r="A554" s="22" t="s">
        <v>2140</v>
      </c>
      <c r="B554" s="22" t="s">
        <v>455</v>
      </c>
      <c r="C554" s="23" t="n">
        <v>46066</v>
      </c>
      <c r="D554" s="22"/>
      <c r="E554" s="22" t="n">
        <v>0</v>
      </c>
      <c r="F554" s="22"/>
      <c r="G554" s="22" t="s">
        <v>470</v>
      </c>
      <c r="H554" s="22" t="s">
        <v>2078</v>
      </c>
      <c r="I554" s="22" t="s">
        <v>2141</v>
      </c>
      <c r="J554" s="22" t="s">
        <v>459</v>
      </c>
      <c r="K554" s="22"/>
      <c r="L554" s="22"/>
    </row>
    <row r="555" customFormat="false" ht="14.25" hidden="true" customHeight="true" outlineLevel="0" collapsed="false">
      <c r="A555" s="22" t="s">
        <v>2142</v>
      </c>
      <c r="B555" s="22" t="s">
        <v>455</v>
      </c>
      <c r="C555" s="23" t="n">
        <v>46066</v>
      </c>
      <c r="D555" s="22"/>
      <c r="E555" s="22" t="n">
        <v>1</v>
      </c>
      <c r="F555" s="22" t="s">
        <v>2143</v>
      </c>
      <c r="G555" s="22" t="s">
        <v>470</v>
      </c>
      <c r="H555" s="22" t="s">
        <v>477</v>
      </c>
      <c r="I555" s="22" t="s">
        <v>2144</v>
      </c>
      <c r="J555" s="22" t="s">
        <v>459</v>
      </c>
      <c r="K555" s="22" t="s">
        <v>473</v>
      </c>
      <c r="L555" s="22" t="s">
        <v>474</v>
      </c>
    </row>
    <row r="556" customFormat="false" ht="14.25" hidden="true" customHeight="true" outlineLevel="0" collapsed="false">
      <c r="A556" s="22" t="s">
        <v>2145</v>
      </c>
      <c r="B556" s="22" t="s">
        <v>455</v>
      </c>
      <c r="C556" s="23" t="n">
        <v>46071</v>
      </c>
      <c r="D556" s="22"/>
      <c r="E556" s="22" t="n">
        <v>0</v>
      </c>
      <c r="F556" s="22"/>
      <c r="G556" s="22" t="s">
        <v>2146</v>
      </c>
      <c r="H556" s="22" t="s">
        <v>2011</v>
      </c>
      <c r="I556" s="22" t="s">
        <v>2147</v>
      </c>
      <c r="J556" s="22" t="s">
        <v>459</v>
      </c>
      <c r="K556" s="22"/>
      <c r="L556" s="22"/>
    </row>
    <row r="557" customFormat="false" ht="14.25" hidden="true" customHeight="true" outlineLevel="0" collapsed="false">
      <c r="A557" s="22" t="s">
        <v>2148</v>
      </c>
      <c r="B557" s="22" t="s">
        <v>455</v>
      </c>
      <c r="C557" s="23" t="n">
        <v>46071</v>
      </c>
      <c r="D557" s="22"/>
      <c r="E557" s="22" t="n">
        <v>0</v>
      </c>
      <c r="F557" s="22"/>
      <c r="G557" s="22" t="s">
        <v>2149</v>
      </c>
      <c r="H557" s="22" t="s">
        <v>2011</v>
      </c>
      <c r="I557" s="22" t="s">
        <v>2150</v>
      </c>
      <c r="J557" s="22" t="s">
        <v>459</v>
      </c>
      <c r="K557" s="22"/>
      <c r="L557" s="22"/>
    </row>
    <row r="558" customFormat="false" ht="14.25" hidden="true" customHeight="true" outlineLevel="0" collapsed="false">
      <c r="A558" s="22" t="s">
        <v>2151</v>
      </c>
      <c r="B558" s="22" t="s">
        <v>455</v>
      </c>
      <c r="C558" s="23" t="n">
        <v>46071</v>
      </c>
      <c r="D558" s="22"/>
      <c r="E558" s="22" t="n">
        <v>0</v>
      </c>
      <c r="F558" s="22"/>
      <c r="G558" s="22" t="s">
        <v>470</v>
      </c>
      <c r="H558" s="22" t="s">
        <v>477</v>
      </c>
      <c r="I558" s="22" t="s">
        <v>2152</v>
      </c>
      <c r="J558" s="22" t="s">
        <v>459</v>
      </c>
      <c r="K558" s="22"/>
      <c r="L558" s="22"/>
    </row>
    <row r="559" customFormat="false" ht="14.25" hidden="true" customHeight="true" outlineLevel="0" collapsed="false">
      <c r="A559" s="22" t="s">
        <v>2153</v>
      </c>
      <c r="B559" s="22" t="s">
        <v>455</v>
      </c>
      <c r="C559" s="23" t="n">
        <v>46071</v>
      </c>
      <c r="D559" s="22"/>
      <c r="E559" s="22" t="n">
        <v>0</v>
      </c>
      <c r="F559" s="22"/>
      <c r="G559" s="22" t="s">
        <v>2154</v>
      </c>
      <c r="H559" s="22" t="s">
        <v>2011</v>
      </c>
      <c r="I559" s="22" t="s">
        <v>2155</v>
      </c>
      <c r="J559" s="22" t="s">
        <v>459</v>
      </c>
      <c r="K559" s="22"/>
      <c r="L559" s="22"/>
    </row>
    <row r="560" customFormat="false" ht="14.25" hidden="true" customHeight="true" outlineLevel="0" collapsed="false">
      <c r="A560" s="22" t="s">
        <v>2156</v>
      </c>
      <c r="B560" s="22" t="s">
        <v>455</v>
      </c>
      <c r="C560" s="23" t="n">
        <v>46072</v>
      </c>
      <c r="D560" s="22"/>
      <c r="E560" s="22" t="n">
        <v>0</v>
      </c>
      <c r="F560" s="22"/>
      <c r="G560" s="22" t="s">
        <v>2157</v>
      </c>
      <c r="H560" s="22" t="s">
        <v>2011</v>
      </c>
      <c r="I560" s="22" t="s">
        <v>2158</v>
      </c>
      <c r="J560" s="22" t="s">
        <v>459</v>
      </c>
      <c r="K560" s="22"/>
      <c r="L560" s="22"/>
    </row>
    <row r="561" customFormat="false" ht="14.25" hidden="true" customHeight="true" outlineLevel="0" collapsed="false">
      <c r="A561" s="22" t="s">
        <v>2159</v>
      </c>
      <c r="B561" s="22" t="s">
        <v>455</v>
      </c>
      <c r="C561" s="23" t="n">
        <v>46072</v>
      </c>
      <c r="D561" s="22"/>
      <c r="E561" s="22" t="n">
        <v>0</v>
      </c>
      <c r="F561" s="22"/>
      <c r="G561" s="22" t="s">
        <v>2160</v>
      </c>
      <c r="H561" s="22" t="s">
        <v>2011</v>
      </c>
      <c r="I561" s="22" t="s">
        <v>2161</v>
      </c>
      <c r="J561" s="22" t="s">
        <v>459</v>
      </c>
      <c r="K561" s="22"/>
      <c r="L561" s="22"/>
    </row>
    <row r="562" customFormat="false" ht="14.25" hidden="true" customHeight="true" outlineLevel="0" collapsed="false">
      <c r="A562" s="22" t="s">
        <v>2162</v>
      </c>
      <c r="B562" s="22" t="s">
        <v>455</v>
      </c>
      <c r="C562" s="23" t="n">
        <v>46076</v>
      </c>
      <c r="D562" s="22"/>
      <c r="E562" s="22" t="n">
        <v>0</v>
      </c>
      <c r="F562" s="22"/>
      <c r="G562" s="22" t="s">
        <v>2163</v>
      </c>
      <c r="H562" s="22" t="s">
        <v>1611</v>
      </c>
      <c r="I562" s="22" t="s">
        <v>2164</v>
      </c>
      <c r="J562" s="22" t="s">
        <v>459</v>
      </c>
      <c r="K562" s="22"/>
      <c r="L562" s="22"/>
    </row>
    <row r="563" customFormat="false" ht="14.25" hidden="true" customHeight="true" outlineLevel="0" collapsed="false">
      <c r="A563" s="22" t="s">
        <v>2165</v>
      </c>
      <c r="B563" s="22" t="s">
        <v>455</v>
      </c>
      <c r="C563" s="23" t="n">
        <v>46076</v>
      </c>
      <c r="D563" s="22"/>
      <c r="E563" s="22" t="n">
        <v>1</v>
      </c>
      <c r="F563" s="22" t="s">
        <v>2166</v>
      </c>
      <c r="G563" s="22" t="s">
        <v>470</v>
      </c>
      <c r="H563" s="22" t="s">
        <v>2078</v>
      </c>
      <c r="I563" s="22" t="s">
        <v>2167</v>
      </c>
      <c r="J563" s="22" t="s">
        <v>459</v>
      </c>
      <c r="K563" s="22" t="s">
        <v>473</v>
      </c>
      <c r="L563" s="22" t="s">
        <v>474</v>
      </c>
    </row>
    <row r="564" customFormat="false" ht="14.25" hidden="true" customHeight="true" outlineLevel="0" collapsed="false">
      <c r="A564" s="22" t="s">
        <v>2168</v>
      </c>
      <c r="B564" s="22" t="s">
        <v>504</v>
      </c>
      <c r="C564" s="23" t="n">
        <v>46076</v>
      </c>
      <c r="D564" s="23" t="n">
        <v>46076</v>
      </c>
      <c r="E564" s="22" t="n">
        <v>0</v>
      </c>
      <c r="F564" s="22"/>
      <c r="G564" s="22" t="s">
        <v>2169</v>
      </c>
      <c r="H564" s="22" t="s">
        <v>2170</v>
      </c>
      <c r="I564" s="22" t="s">
        <v>2171</v>
      </c>
      <c r="J564" s="22" t="s">
        <v>459</v>
      </c>
      <c r="K564" s="22"/>
      <c r="L564" s="22"/>
    </row>
    <row r="565" customFormat="false" ht="14.25" hidden="true" customHeight="true" outlineLevel="0" collapsed="false">
      <c r="A565" s="22" t="s">
        <v>2172</v>
      </c>
      <c r="B565" s="22" t="s">
        <v>504</v>
      </c>
      <c r="C565" s="23" t="n">
        <v>46078</v>
      </c>
      <c r="D565" s="22"/>
      <c r="E565" s="22" t="n">
        <v>0</v>
      </c>
      <c r="F565" s="22"/>
      <c r="G565" s="22" t="s">
        <v>2173</v>
      </c>
      <c r="H565" s="22"/>
      <c r="I565" s="22" t="s">
        <v>2174</v>
      </c>
      <c r="J565" s="22" t="s">
        <v>459</v>
      </c>
      <c r="K565" s="22"/>
      <c r="L565" s="22"/>
    </row>
    <row r="566" customFormat="false" ht="14.25" hidden="true" customHeight="true" outlineLevel="0" collapsed="false">
      <c r="A566" s="22" t="s">
        <v>2175</v>
      </c>
      <c r="B566" s="22" t="s">
        <v>455</v>
      </c>
      <c r="C566" s="23" t="n">
        <v>46079</v>
      </c>
      <c r="D566" s="22"/>
      <c r="E566" s="22" t="n">
        <v>1</v>
      </c>
      <c r="F566" s="22" t="s">
        <v>2176</v>
      </c>
      <c r="G566" s="22" t="s">
        <v>470</v>
      </c>
      <c r="H566" s="22" t="s">
        <v>477</v>
      </c>
      <c r="I566" s="22" t="s">
        <v>2177</v>
      </c>
      <c r="J566" s="22" t="s">
        <v>459</v>
      </c>
      <c r="K566" s="22" t="s">
        <v>473</v>
      </c>
      <c r="L566" s="22" t="s">
        <v>474</v>
      </c>
    </row>
    <row r="567" customFormat="false" ht="14.25" hidden="false" customHeight="true" outlineLevel="0" collapsed="false">
      <c r="A567" s="15" t="s">
        <v>2178</v>
      </c>
      <c r="B567" s="15" t="s">
        <v>483</v>
      </c>
      <c r="C567" s="24" t="n">
        <v>46014</v>
      </c>
      <c r="D567" s="15"/>
      <c r="E567" s="15" t="n">
        <v>1</v>
      </c>
      <c r="F567" s="15" t="s">
        <v>2179</v>
      </c>
      <c r="G567" s="15" t="s">
        <v>2180</v>
      </c>
      <c r="H567" s="15" t="s">
        <v>2181</v>
      </c>
      <c r="I567" s="15" t="s">
        <v>2182</v>
      </c>
      <c r="J567" s="15" t="s">
        <v>459</v>
      </c>
      <c r="K567" s="15" t="s">
        <v>1199</v>
      </c>
      <c r="L567" s="15" t="s">
        <v>1200</v>
      </c>
    </row>
    <row r="568" customFormat="false" ht="14.25" hidden="true" customHeight="true" outlineLevel="0" collapsed="false">
      <c r="A568" s="22" t="s">
        <v>2183</v>
      </c>
      <c r="B568" s="22" t="s">
        <v>455</v>
      </c>
      <c r="C568" s="23" t="n">
        <v>46080</v>
      </c>
      <c r="D568" s="23" t="n">
        <v>46080</v>
      </c>
      <c r="E568" s="22" t="n">
        <v>0</v>
      </c>
      <c r="F568" s="22"/>
      <c r="G568" s="22" t="s">
        <v>2184</v>
      </c>
      <c r="H568" s="22" t="s">
        <v>2185</v>
      </c>
      <c r="I568" s="22" t="s">
        <v>2186</v>
      </c>
      <c r="J568" s="22" t="s">
        <v>459</v>
      </c>
      <c r="K568" s="22"/>
      <c r="L568" s="22"/>
    </row>
    <row r="569" customFormat="false" ht="14.25" hidden="true" customHeight="true" outlineLevel="0" collapsed="false">
      <c r="A569" s="22" t="s">
        <v>2187</v>
      </c>
      <c r="B569" s="22" t="s">
        <v>455</v>
      </c>
      <c r="C569" s="23" t="n">
        <v>46083</v>
      </c>
      <c r="D569" s="22"/>
      <c r="E569" s="22" t="n">
        <v>0</v>
      </c>
      <c r="F569" s="22"/>
      <c r="G569" s="22" t="s">
        <v>470</v>
      </c>
      <c r="H569" s="22" t="s">
        <v>477</v>
      </c>
      <c r="I569" s="22" t="s">
        <v>2188</v>
      </c>
      <c r="J569" s="22" t="s">
        <v>459</v>
      </c>
      <c r="K569" s="22"/>
      <c r="L569" s="22"/>
    </row>
    <row r="570" customFormat="false" ht="14.25" hidden="true" customHeight="true" outlineLevel="0" collapsed="false">
      <c r="A570" s="22" t="s">
        <v>2189</v>
      </c>
      <c r="B570" s="22" t="s">
        <v>455</v>
      </c>
      <c r="C570" s="23" t="n">
        <v>46083</v>
      </c>
      <c r="D570" s="22"/>
      <c r="E570" s="22" t="n">
        <v>0</v>
      </c>
      <c r="F570" s="22"/>
      <c r="G570" s="22" t="s">
        <v>470</v>
      </c>
      <c r="H570" s="22" t="s">
        <v>477</v>
      </c>
      <c r="I570" s="22" t="s">
        <v>2190</v>
      </c>
      <c r="J570" s="22" t="s">
        <v>459</v>
      </c>
      <c r="K570" s="22"/>
      <c r="L570" s="22"/>
    </row>
    <row r="571" customFormat="false" ht="14.25" hidden="true" customHeight="true" outlineLevel="0" collapsed="false">
      <c r="A571" s="22" t="s">
        <v>2191</v>
      </c>
      <c r="B571" s="22" t="s">
        <v>483</v>
      </c>
      <c r="C571" s="23" t="n">
        <v>46087</v>
      </c>
      <c r="D571" s="23" t="n">
        <v>46087</v>
      </c>
      <c r="E571" s="22" t="n">
        <v>0</v>
      </c>
      <c r="F571" s="22"/>
      <c r="G571" s="22" t="s">
        <v>2192</v>
      </c>
      <c r="H571" s="22" t="s">
        <v>2193</v>
      </c>
      <c r="I571" s="22" t="s">
        <v>2194</v>
      </c>
      <c r="J571" s="22" t="s">
        <v>459</v>
      </c>
      <c r="K571" s="22"/>
      <c r="L571" s="22"/>
    </row>
    <row r="572" customFormat="false" ht="14.25" hidden="true" customHeight="true" outlineLevel="0" collapsed="false">
      <c r="A572" s="22" t="s">
        <v>2195</v>
      </c>
      <c r="B572" s="22" t="s">
        <v>455</v>
      </c>
      <c r="C572" s="23" t="n">
        <v>46090</v>
      </c>
      <c r="D572" s="22"/>
      <c r="E572" s="22" t="n">
        <v>0</v>
      </c>
      <c r="F572" s="22"/>
      <c r="G572" s="22" t="s">
        <v>470</v>
      </c>
      <c r="H572" s="22" t="s">
        <v>477</v>
      </c>
      <c r="I572" s="22" t="s">
        <v>2196</v>
      </c>
      <c r="J572" s="22" t="s">
        <v>459</v>
      </c>
      <c r="K572" s="22"/>
      <c r="L572" s="22"/>
    </row>
    <row r="573" customFormat="false" ht="14.25" hidden="true" customHeight="true" outlineLevel="0" collapsed="false">
      <c r="A573" s="22" t="s">
        <v>2197</v>
      </c>
      <c r="B573" s="22" t="s">
        <v>455</v>
      </c>
      <c r="C573" s="23" t="n">
        <v>46090</v>
      </c>
      <c r="D573" s="22"/>
      <c r="E573" s="22" t="n">
        <v>0</v>
      </c>
      <c r="F573" s="22"/>
      <c r="G573" s="22" t="s">
        <v>2198</v>
      </c>
      <c r="H573" s="22" t="s">
        <v>2199</v>
      </c>
      <c r="I573" s="22" t="s">
        <v>2200</v>
      </c>
      <c r="J573" s="22" t="s">
        <v>459</v>
      </c>
      <c r="K573" s="22"/>
      <c r="L573" s="22"/>
    </row>
    <row r="574" customFormat="false" ht="14.25" hidden="true" customHeight="true" outlineLevel="0" collapsed="false">
      <c r="A574" s="22" t="s">
        <v>2201</v>
      </c>
      <c r="B574" s="22" t="s">
        <v>455</v>
      </c>
      <c r="C574" s="23" t="n">
        <v>46091</v>
      </c>
      <c r="D574" s="22"/>
      <c r="E574" s="22" t="n">
        <v>1</v>
      </c>
      <c r="F574" s="22" t="s">
        <v>2202</v>
      </c>
      <c r="G574" s="22" t="s">
        <v>2203</v>
      </c>
      <c r="H574" s="22" t="s">
        <v>2204</v>
      </c>
      <c r="I574" s="22" t="s">
        <v>2205</v>
      </c>
      <c r="J574" s="22" t="s">
        <v>459</v>
      </c>
      <c r="K574" s="22" t="s">
        <v>473</v>
      </c>
      <c r="L574" s="22" t="s">
        <v>1608</v>
      </c>
    </row>
    <row r="575" customFormat="false" ht="14.25" hidden="true" customHeight="true" outlineLevel="0" collapsed="false">
      <c r="A575" s="22" t="s">
        <v>2206</v>
      </c>
      <c r="B575" s="22" t="s">
        <v>455</v>
      </c>
      <c r="C575" s="23" t="n">
        <v>46091</v>
      </c>
      <c r="D575" s="22"/>
      <c r="E575" s="22" t="n">
        <v>0</v>
      </c>
      <c r="F575" s="22"/>
      <c r="G575" s="22" t="s">
        <v>2207</v>
      </c>
      <c r="H575" s="22" t="s">
        <v>2208</v>
      </c>
      <c r="I575" s="22" t="s">
        <v>2209</v>
      </c>
      <c r="J575" s="22" t="s">
        <v>459</v>
      </c>
      <c r="K575" s="22"/>
      <c r="L575" s="22"/>
    </row>
    <row r="576" customFormat="false" ht="14.25" hidden="true" customHeight="true" outlineLevel="0" collapsed="false">
      <c r="A576" s="22" t="s">
        <v>2210</v>
      </c>
      <c r="B576" s="22" t="s">
        <v>455</v>
      </c>
      <c r="C576" s="23" t="n">
        <v>46091</v>
      </c>
      <c r="D576" s="22"/>
      <c r="E576" s="22" t="n">
        <v>1</v>
      </c>
      <c r="F576" s="22" t="s">
        <v>2211</v>
      </c>
      <c r="G576" s="22" t="s">
        <v>465</v>
      </c>
      <c r="H576" s="22" t="s">
        <v>492</v>
      </c>
      <c r="I576" s="22" t="s">
        <v>2212</v>
      </c>
      <c r="J576" s="22" t="s">
        <v>459</v>
      </c>
      <c r="K576" s="22" t="s">
        <v>473</v>
      </c>
      <c r="L576" s="22" t="s">
        <v>474</v>
      </c>
    </row>
    <row r="577" customFormat="false" ht="14.25" hidden="true" customHeight="true" outlineLevel="0" collapsed="false">
      <c r="A577" s="22" t="s">
        <v>2213</v>
      </c>
      <c r="B577" s="22" t="s">
        <v>455</v>
      </c>
      <c r="C577" s="23" t="n">
        <v>46092</v>
      </c>
      <c r="D577" s="22"/>
      <c r="E577" s="22" t="n">
        <v>0</v>
      </c>
      <c r="F577" s="22"/>
      <c r="G577" s="22" t="s">
        <v>465</v>
      </c>
      <c r="H577" s="22" t="s">
        <v>492</v>
      </c>
      <c r="I577" s="22" t="s">
        <v>2214</v>
      </c>
      <c r="J577" s="22" t="s">
        <v>459</v>
      </c>
      <c r="K577" s="22"/>
      <c r="L577" s="22"/>
    </row>
    <row r="578" customFormat="false" ht="14.25" hidden="true" customHeight="true" outlineLevel="0" collapsed="false">
      <c r="A578" s="22" t="s">
        <v>2215</v>
      </c>
      <c r="B578" s="22" t="s">
        <v>504</v>
      </c>
      <c r="C578" s="23" t="n">
        <v>46093</v>
      </c>
      <c r="D578" s="23" t="n">
        <v>46093</v>
      </c>
      <c r="E578" s="22" t="n">
        <v>1</v>
      </c>
      <c r="F578" s="22" t="s">
        <v>2216</v>
      </c>
      <c r="G578" s="22" t="s">
        <v>1806</v>
      </c>
      <c r="H578" s="22" t="s">
        <v>2217</v>
      </c>
      <c r="I578" s="22" t="s">
        <v>2218</v>
      </c>
      <c r="J578" s="22" t="s">
        <v>459</v>
      </c>
      <c r="K578" s="22" t="s">
        <v>473</v>
      </c>
      <c r="L578" s="22" t="s">
        <v>554</v>
      </c>
    </row>
    <row r="579" customFormat="false" ht="14.25" hidden="true" customHeight="true" outlineLevel="0" collapsed="false">
      <c r="A579" s="22" t="s">
        <v>2219</v>
      </c>
      <c r="B579" s="22" t="s">
        <v>455</v>
      </c>
      <c r="C579" s="23" t="n">
        <v>46098</v>
      </c>
      <c r="D579" s="22"/>
      <c r="E579" s="22" t="n">
        <v>0</v>
      </c>
      <c r="F579" s="22"/>
      <c r="G579" s="22" t="s">
        <v>465</v>
      </c>
      <c r="H579" s="22" t="s">
        <v>492</v>
      </c>
      <c r="I579" s="22" t="s">
        <v>2220</v>
      </c>
      <c r="J579" s="22" t="s">
        <v>459</v>
      </c>
      <c r="K579" s="22"/>
      <c r="L579" s="22"/>
    </row>
    <row r="580" customFormat="false" ht="14.25" hidden="true" customHeight="true" outlineLevel="0" collapsed="false">
      <c r="A580" s="22" t="s">
        <v>2221</v>
      </c>
      <c r="B580" s="22" t="s">
        <v>455</v>
      </c>
      <c r="C580" s="23" t="n">
        <v>46098</v>
      </c>
      <c r="D580" s="22"/>
      <c r="E580" s="22" t="n">
        <v>0</v>
      </c>
      <c r="F580" s="22"/>
      <c r="G580" s="22" t="s">
        <v>470</v>
      </c>
      <c r="H580" s="22" t="s">
        <v>477</v>
      </c>
      <c r="I580" s="22" t="s">
        <v>2222</v>
      </c>
      <c r="J580" s="22" t="s">
        <v>459</v>
      </c>
      <c r="K580" s="22"/>
      <c r="L580" s="22"/>
    </row>
    <row r="581" customFormat="false" ht="14.25" hidden="true" customHeight="true" outlineLevel="0" collapsed="false">
      <c r="A581" s="22" t="s">
        <v>2223</v>
      </c>
      <c r="B581" s="22" t="s">
        <v>455</v>
      </c>
      <c r="C581" s="23" t="n">
        <v>46099</v>
      </c>
      <c r="D581" s="22"/>
      <c r="E581" s="22" t="n">
        <v>1</v>
      </c>
      <c r="F581" s="22" t="s">
        <v>2224</v>
      </c>
      <c r="G581" s="22" t="s">
        <v>465</v>
      </c>
      <c r="H581" s="22" t="s">
        <v>492</v>
      </c>
      <c r="I581" s="22" t="s">
        <v>2225</v>
      </c>
      <c r="J581" s="22" t="s">
        <v>459</v>
      </c>
      <c r="K581" s="22" t="s">
        <v>473</v>
      </c>
      <c r="L581" s="22" t="s">
        <v>474</v>
      </c>
    </row>
    <row r="582" customFormat="false" ht="14.25" hidden="true" customHeight="true" outlineLevel="0" collapsed="false">
      <c r="A582" s="22" t="s">
        <v>2226</v>
      </c>
      <c r="B582" s="22" t="s">
        <v>455</v>
      </c>
      <c r="C582" s="23" t="n">
        <v>46099</v>
      </c>
      <c r="D582" s="22"/>
      <c r="E582" s="22" t="n">
        <v>0</v>
      </c>
      <c r="F582" s="22"/>
      <c r="G582" s="22" t="s">
        <v>470</v>
      </c>
      <c r="H582" s="22" t="s">
        <v>477</v>
      </c>
      <c r="I582" s="22" t="s">
        <v>2227</v>
      </c>
      <c r="J582" s="22" t="s">
        <v>459</v>
      </c>
      <c r="K582" s="22"/>
      <c r="L582" s="22"/>
    </row>
    <row r="583" customFormat="false" ht="14.25" hidden="true" customHeight="true" outlineLevel="0" collapsed="false">
      <c r="A583" s="22" t="s">
        <v>2228</v>
      </c>
      <c r="B583" s="22" t="s">
        <v>455</v>
      </c>
      <c r="C583" s="23" t="n">
        <v>46106</v>
      </c>
      <c r="D583" s="22"/>
      <c r="E583" s="22" t="n">
        <v>1</v>
      </c>
      <c r="F583" s="22" t="s">
        <v>488</v>
      </c>
      <c r="G583" s="22" t="s">
        <v>470</v>
      </c>
      <c r="H583" s="22" t="s">
        <v>477</v>
      </c>
      <c r="I583" s="22" t="s">
        <v>2229</v>
      </c>
      <c r="J583" s="22" t="s">
        <v>459</v>
      </c>
      <c r="K583" s="22" t="s">
        <v>473</v>
      </c>
      <c r="L583" s="22" t="s">
        <v>474</v>
      </c>
    </row>
    <row r="584" customFormat="false" ht="14.25" hidden="true" customHeight="true" outlineLevel="0" collapsed="false">
      <c r="A584" s="22" t="s">
        <v>2230</v>
      </c>
      <c r="B584" s="22" t="s">
        <v>455</v>
      </c>
      <c r="C584" s="23" t="n">
        <v>46107</v>
      </c>
      <c r="D584" s="22"/>
      <c r="E584" s="22" t="n">
        <v>0</v>
      </c>
      <c r="F584" s="22"/>
      <c r="G584" s="22" t="s">
        <v>470</v>
      </c>
      <c r="H584" s="22" t="s">
        <v>477</v>
      </c>
      <c r="I584" s="22" t="s">
        <v>2231</v>
      </c>
      <c r="J584" s="22" t="s">
        <v>459</v>
      </c>
      <c r="K584" s="22"/>
      <c r="L584" s="22"/>
    </row>
    <row r="585" customFormat="false" ht="14.25" hidden="true" customHeight="true" outlineLevel="0" collapsed="false">
      <c r="A585" s="22" t="s">
        <v>2232</v>
      </c>
      <c r="B585" s="22" t="s">
        <v>455</v>
      </c>
      <c r="C585" s="23" t="n">
        <v>46108</v>
      </c>
      <c r="D585" s="22"/>
      <c r="E585" s="22" t="n">
        <v>0</v>
      </c>
      <c r="F585" s="22"/>
      <c r="G585" s="22" t="s">
        <v>465</v>
      </c>
      <c r="H585" s="22" t="s">
        <v>492</v>
      </c>
      <c r="I585" s="22" t="s">
        <v>2233</v>
      </c>
      <c r="J585" s="22" t="s">
        <v>459</v>
      </c>
      <c r="K585" s="22"/>
      <c r="L585" s="22"/>
    </row>
    <row r="586" customFormat="false" ht="14.25" hidden="true" customHeight="true" outlineLevel="0" collapsed="false">
      <c r="A586" s="22" t="s">
        <v>2234</v>
      </c>
      <c r="B586" s="22" t="s">
        <v>455</v>
      </c>
      <c r="C586" s="23" t="n">
        <v>46112</v>
      </c>
      <c r="D586" s="22"/>
      <c r="E586" s="22" t="n">
        <v>0</v>
      </c>
      <c r="F586" s="22"/>
      <c r="G586" s="22" t="s">
        <v>465</v>
      </c>
      <c r="H586" s="22" t="s">
        <v>492</v>
      </c>
      <c r="I586" s="22" t="s">
        <v>2235</v>
      </c>
      <c r="J586" s="22" t="s">
        <v>459</v>
      </c>
      <c r="K586" s="22"/>
      <c r="L586" s="22"/>
    </row>
    <row r="587" customFormat="false" ht="14.25" hidden="true" customHeight="true" outlineLevel="0" collapsed="false">
      <c r="A587" s="22" t="s">
        <v>2236</v>
      </c>
      <c r="B587" s="22" t="s">
        <v>455</v>
      </c>
      <c r="C587" s="23" t="n">
        <v>46115</v>
      </c>
      <c r="D587" s="22"/>
      <c r="E587" s="22" t="n">
        <v>0</v>
      </c>
      <c r="F587" s="22"/>
      <c r="G587" s="22" t="s">
        <v>2237</v>
      </c>
      <c r="H587" s="22" t="s">
        <v>2238</v>
      </c>
      <c r="I587" s="22" t="s">
        <v>2239</v>
      </c>
      <c r="J587" s="22" t="s">
        <v>459</v>
      </c>
      <c r="K587" s="22"/>
      <c r="L587" s="22"/>
    </row>
    <row r="588" customFormat="false" ht="14.25" hidden="true" customHeight="true" outlineLevel="0" collapsed="false">
      <c r="A588" s="22" t="s">
        <v>2240</v>
      </c>
      <c r="B588" s="22" t="s">
        <v>455</v>
      </c>
      <c r="C588" s="23" t="n">
        <v>46115</v>
      </c>
      <c r="D588" s="22"/>
      <c r="E588" s="22" t="n">
        <v>0</v>
      </c>
      <c r="F588" s="22"/>
      <c r="G588" s="22" t="s">
        <v>2241</v>
      </c>
      <c r="H588" s="22" t="s">
        <v>2242</v>
      </c>
      <c r="I588" s="22" t="s">
        <v>2243</v>
      </c>
      <c r="J588" s="22" t="s">
        <v>459</v>
      </c>
      <c r="K588" s="22"/>
      <c r="L588" s="22"/>
    </row>
    <row r="589" customFormat="false" ht="14.25" hidden="true" customHeight="true" outlineLevel="0" collapsed="false">
      <c r="A589" s="22" t="s">
        <v>2244</v>
      </c>
      <c r="B589" s="22" t="s">
        <v>455</v>
      </c>
      <c r="C589" s="23" t="n">
        <v>46115</v>
      </c>
      <c r="D589" s="22"/>
      <c r="E589" s="22" t="n">
        <v>0</v>
      </c>
      <c r="F589" s="22"/>
      <c r="G589" s="22" t="s">
        <v>2245</v>
      </c>
      <c r="H589" s="22" t="s">
        <v>2246</v>
      </c>
      <c r="I589" s="22" t="s">
        <v>2247</v>
      </c>
      <c r="J589" s="22" t="s">
        <v>459</v>
      </c>
      <c r="K589" s="22"/>
      <c r="L589" s="22"/>
    </row>
    <row r="590" customFormat="false" ht="14.25" hidden="true" customHeight="true" outlineLevel="0" collapsed="false">
      <c r="A590" s="22" t="s">
        <v>2248</v>
      </c>
      <c r="B590" s="22" t="s">
        <v>455</v>
      </c>
      <c r="C590" s="23" t="n">
        <v>46118</v>
      </c>
      <c r="D590" s="22"/>
      <c r="E590" s="22" t="n">
        <v>0</v>
      </c>
      <c r="F590" s="22"/>
      <c r="G590" s="22" t="s">
        <v>470</v>
      </c>
      <c r="H590" s="22" t="s">
        <v>477</v>
      </c>
      <c r="I590" s="22" t="s">
        <v>2249</v>
      </c>
      <c r="J590" s="22" t="s">
        <v>459</v>
      </c>
      <c r="K590" s="22"/>
      <c r="L590" s="22"/>
    </row>
    <row r="591" customFormat="false" ht="14.25" hidden="true" customHeight="true" outlineLevel="0" collapsed="false">
      <c r="A591" s="22" t="s">
        <v>2250</v>
      </c>
      <c r="B591" s="22" t="s">
        <v>455</v>
      </c>
      <c r="C591" s="23" t="n">
        <v>46118</v>
      </c>
      <c r="D591" s="22"/>
      <c r="E591" s="22" t="n">
        <v>0</v>
      </c>
      <c r="F591" s="22"/>
      <c r="G591" s="22" t="s">
        <v>465</v>
      </c>
      <c r="H591" s="22" t="s">
        <v>492</v>
      </c>
      <c r="I591" s="22" t="s">
        <v>2251</v>
      </c>
      <c r="J591" s="22" t="s">
        <v>459</v>
      </c>
      <c r="K591" s="22"/>
      <c r="L591" s="22"/>
    </row>
    <row r="592" customFormat="false" ht="14.25" hidden="false" customHeight="true" outlineLevel="0" collapsed="false">
      <c r="A592" s="15" t="s">
        <v>2252</v>
      </c>
      <c r="B592" s="15" t="s">
        <v>483</v>
      </c>
      <c r="C592" s="24" t="n">
        <v>46014</v>
      </c>
      <c r="D592" s="15"/>
      <c r="E592" s="15" t="n">
        <v>1</v>
      </c>
      <c r="F592" s="15" t="s">
        <v>2253</v>
      </c>
      <c r="G592" s="15" t="s">
        <v>2254</v>
      </c>
      <c r="H592" s="15" t="s">
        <v>2255</v>
      </c>
      <c r="I592" s="15" t="s">
        <v>2256</v>
      </c>
      <c r="J592" s="15" t="s">
        <v>459</v>
      </c>
      <c r="K592" s="15" t="s">
        <v>1199</v>
      </c>
      <c r="L592" s="15" t="s">
        <v>2257</v>
      </c>
    </row>
    <row r="593" customFormat="false" ht="14.25" hidden="true" customHeight="true" outlineLevel="0" collapsed="false">
      <c r="A593" s="22" t="s">
        <v>2258</v>
      </c>
      <c r="B593" s="22" t="s">
        <v>483</v>
      </c>
      <c r="C593" s="23" t="n">
        <v>46118</v>
      </c>
      <c r="D593" s="22"/>
      <c r="E593" s="22" t="n">
        <v>1</v>
      </c>
      <c r="F593" s="22" t="s">
        <v>2259</v>
      </c>
      <c r="G593" s="22" t="s">
        <v>2260</v>
      </c>
      <c r="H593" s="22" t="s">
        <v>2261</v>
      </c>
      <c r="I593" s="22" t="s">
        <v>2262</v>
      </c>
      <c r="J593" s="22" t="s">
        <v>459</v>
      </c>
      <c r="K593" s="22" t="s">
        <v>473</v>
      </c>
      <c r="L593" s="22" t="s">
        <v>554</v>
      </c>
    </row>
    <row r="594" customFormat="false" ht="14.25" hidden="true" customHeight="true" outlineLevel="0" collapsed="false">
      <c r="A594" s="22" t="s">
        <v>2263</v>
      </c>
      <c r="B594" s="22" t="s">
        <v>455</v>
      </c>
      <c r="C594" s="23" t="n">
        <v>46118</v>
      </c>
      <c r="D594" s="23" t="n">
        <v>46118</v>
      </c>
      <c r="E594" s="22" t="n">
        <v>0</v>
      </c>
      <c r="F594" s="22"/>
      <c r="G594" s="22" t="s">
        <v>2264</v>
      </c>
      <c r="H594" s="22" t="s">
        <v>2265</v>
      </c>
      <c r="I594" s="22" t="s">
        <v>2266</v>
      </c>
      <c r="J594" s="22" t="s">
        <v>459</v>
      </c>
      <c r="K594" s="22"/>
      <c r="L594" s="22"/>
    </row>
    <row r="595" customFormat="false" ht="14.25" hidden="true" customHeight="true" outlineLevel="0" collapsed="false">
      <c r="A595" s="22" t="s">
        <v>2267</v>
      </c>
      <c r="B595" s="22" t="s">
        <v>455</v>
      </c>
      <c r="C595" s="23" t="n">
        <v>46118</v>
      </c>
      <c r="D595" s="23" t="n">
        <v>46118</v>
      </c>
      <c r="E595" s="22" t="n">
        <v>0</v>
      </c>
      <c r="F595" s="22"/>
      <c r="G595" s="22" t="s">
        <v>2268</v>
      </c>
      <c r="H595" s="22" t="s">
        <v>2269</v>
      </c>
      <c r="I595" s="22" t="s">
        <v>2270</v>
      </c>
      <c r="J595" s="22" t="s">
        <v>459</v>
      </c>
      <c r="K595" s="22"/>
      <c r="L595" s="22"/>
    </row>
    <row r="596" customFormat="false" ht="14.25" hidden="true" customHeight="true" outlineLevel="0" collapsed="false">
      <c r="A596" s="22" t="s">
        <v>2271</v>
      </c>
      <c r="B596" s="22" t="s">
        <v>455</v>
      </c>
      <c r="C596" s="23" t="n">
        <v>46118</v>
      </c>
      <c r="D596" s="22"/>
      <c r="E596" s="22" t="n">
        <v>1</v>
      </c>
      <c r="F596" s="22" t="s">
        <v>663</v>
      </c>
      <c r="G596" s="22" t="s">
        <v>2272</v>
      </c>
      <c r="H596" s="22" t="s">
        <v>2273</v>
      </c>
      <c r="I596" s="22" t="s">
        <v>2274</v>
      </c>
      <c r="J596" s="22" t="s">
        <v>459</v>
      </c>
      <c r="K596" s="22" t="s">
        <v>473</v>
      </c>
      <c r="L596" s="22" t="s">
        <v>2275</v>
      </c>
    </row>
    <row r="597" customFormat="false" ht="14.25" hidden="true" customHeight="true" outlineLevel="0" collapsed="false">
      <c r="A597" s="22" t="s">
        <v>2276</v>
      </c>
      <c r="B597" s="22" t="s">
        <v>483</v>
      </c>
      <c r="C597" s="23" t="n">
        <v>46118</v>
      </c>
      <c r="D597" s="22"/>
      <c r="E597" s="22" t="n">
        <v>0</v>
      </c>
      <c r="F597" s="22"/>
      <c r="G597" s="22" t="s">
        <v>2277</v>
      </c>
      <c r="H597" s="22" t="s">
        <v>2278</v>
      </c>
      <c r="I597" s="22" t="s">
        <v>2279</v>
      </c>
      <c r="J597" s="22" t="s">
        <v>459</v>
      </c>
      <c r="K597" s="22"/>
      <c r="L597" s="22"/>
    </row>
    <row r="598" customFormat="false" ht="14.25" hidden="true" customHeight="true" outlineLevel="0" collapsed="false">
      <c r="A598" s="22" t="s">
        <v>2280</v>
      </c>
      <c r="B598" s="22" t="s">
        <v>483</v>
      </c>
      <c r="C598" s="23" t="n">
        <v>46119</v>
      </c>
      <c r="D598" s="22"/>
      <c r="E598" s="22" t="n">
        <v>1</v>
      </c>
      <c r="F598" s="22" t="s">
        <v>2281</v>
      </c>
      <c r="G598" s="22" t="s">
        <v>2282</v>
      </c>
      <c r="H598" s="22" t="s">
        <v>2283</v>
      </c>
      <c r="I598" s="22" t="s">
        <v>2284</v>
      </c>
      <c r="J598" s="22" t="s">
        <v>459</v>
      </c>
      <c r="K598" s="22" t="s">
        <v>473</v>
      </c>
      <c r="L598" s="22" t="s">
        <v>554</v>
      </c>
    </row>
    <row r="599" customFormat="false" ht="14.25" hidden="true" customHeight="true" outlineLevel="0" collapsed="false">
      <c r="A599" s="22" t="s">
        <v>2285</v>
      </c>
      <c r="B599" s="22" t="s">
        <v>483</v>
      </c>
      <c r="C599" s="23" t="n">
        <v>46119</v>
      </c>
      <c r="D599" s="22"/>
      <c r="E599" s="22" t="n">
        <v>1</v>
      </c>
      <c r="F599" s="22" t="s">
        <v>571</v>
      </c>
      <c r="G599" s="22" t="s">
        <v>2286</v>
      </c>
      <c r="H599" s="22" t="s">
        <v>2287</v>
      </c>
      <c r="I599" s="22" t="s">
        <v>2288</v>
      </c>
      <c r="J599" s="22" t="s">
        <v>459</v>
      </c>
      <c r="K599" s="22" t="s">
        <v>473</v>
      </c>
      <c r="L599" s="22" t="s">
        <v>554</v>
      </c>
    </row>
    <row r="600" customFormat="false" ht="14.25" hidden="true" customHeight="true" outlineLevel="0" collapsed="false">
      <c r="A600" s="22" t="s">
        <v>2289</v>
      </c>
      <c r="B600" s="22" t="s">
        <v>455</v>
      </c>
      <c r="C600" s="23" t="n">
        <v>46119</v>
      </c>
      <c r="D600" s="22"/>
      <c r="E600" s="22" t="n">
        <v>0</v>
      </c>
      <c r="F600" s="22"/>
      <c r="G600" s="22" t="s">
        <v>470</v>
      </c>
      <c r="H600" s="22" t="s">
        <v>477</v>
      </c>
      <c r="I600" s="22" t="s">
        <v>2290</v>
      </c>
      <c r="J600" s="22" t="s">
        <v>459</v>
      </c>
      <c r="K600" s="22"/>
      <c r="L600" s="22"/>
    </row>
    <row r="601" customFormat="false" ht="14.25" hidden="true" customHeight="true" outlineLevel="0" collapsed="false">
      <c r="A601" s="22" t="s">
        <v>2291</v>
      </c>
      <c r="B601" s="22" t="s">
        <v>455</v>
      </c>
      <c r="C601" s="23" t="n">
        <v>46121</v>
      </c>
      <c r="D601" s="22"/>
      <c r="E601" s="22" t="n">
        <v>0</v>
      </c>
      <c r="F601" s="22"/>
      <c r="G601" s="22" t="s">
        <v>2292</v>
      </c>
      <c r="H601" s="22" t="s">
        <v>2293</v>
      </c>
      <c r="I601" s="22" t="s">
        <v>2294</v>
      </c>
      <c r="J601" s="22" t="s">
        <v>459</v>
      </c>
      <c r="K601" s="22"/>
      <c r="L601" s="22"/>
    </row>
    <row r="602" customFormat="false" ht="14.25" hidden="true" customHeight="true" outlineLevel="0" collapsed="false">
      <c r="A602" s="22" t="s">
        <v>2295</v>
      </c>
      <c r="B602" s="22" t="s">
        <v>455</v>
      </c>
      <c r="C602" s="23" t="n">
        <v>46122</v>
      </c>
      <c r="D602" s="22"/>
      <c r="E602" s="22" t="n">
        <v>0</v>
      </c>
      <c r="F602" s="22"/>
      <c r="G602" s="22" t="s">
        <v>465</v>
      </c>
      <c r="H602" s="22" t="s">
        <v>492</v>
      </c>
      <c r="I602" s="22" t="s">
        <v>2296</v>
      </c>
      <c r="J602" s="22" t="s">
        <v>459</v>
      </c>
      <c r="K602" s="22"/>
      <c r="L602" s="22"/>
    </row>
    <row r="603" customFormat="false" ht="14.25" hidden="true" customHeight="true" outlineLevel="0" collapsed="false">
      <c r="A603" s="22" t="s">
        <v>2297</v>
      </c>
      <c r="B603" s="22" t="s">
        <v>455</v>
      </c>
      <c r="C603" s="23" t="n">
        <v>46122</v>
      </c>
      <c r="D603" s="22"/>
      <c r="E603" s="22" t="n">
        <v>0</v>
      </c>
      <c r="F603" s="22"/>
      <c r="G603" s="22" t="s">
        <v>465</v>
      </c>
      <c r="H603" s="22" t="s">
        <v>492</v>
      </c>
      <c r="I603" s="22" t="s">
        <v>2298</v>
      </c>
      <c r="J603" s="22" t="s">
        <v>459</v>
      </c>
      <c r="K603" s="22"/>
      <c r="L603" s="22"/>
    </row>
    <row r="604" customFormat="false" ht="14.25" hidden="true" customHeight="true" outlineLevel="0" collapsed="false">
      <c r="A604" s="22" t="s">
        <v>2299</v>
      </c>
      <c r="B604" s="22" t="s">
        <v>483</v>
      </c>
      <c r="C604" s="23" t="n">
        <v>46126</v>
      </c>
      <c r="D604" s="22"/>
      <c r="E604" s="22" t="n">
        <v>1</v>
      </c>
      <c r="F604" s="22" t="s">
        <v>2300</v>
      </c>
      <c r="G604" s="22" t="s">
        <v>2301</v>
      </c>
      <c r="H604" s="22" t="s">
        <v>1555</v>
      </c>
      <c r="I604" s="22" t="s">
        <v>2302</v>
      </c>
      <c r="J604" s="22" t="s">
        <v>459</v>
      </c>
      <c r="K604" s="22" t="s">
        <v>473</v>
      </c>
      <c r="L604" s="22" t="s">
        <v>554</v>
      </c>
    </row>
    <row r="605" customFormat="false" ht="14.25" hidden="false" customHeight="true" outlineLevel="0" collapsed="false">
      <c r="A605" s="15" t="s">
        <v>2303</v>
      </c>
      <c r="B605" s="15" t="s">
        <v>504</v>
      </c>
      <c r="C605" s="24" t="n">
        <v>46055</v>
      </c>
      <c r="D605" s="24" t="n">
        <v>46115</v>
      </c>
      <c r="E605" s="15" t="n">
        <v>1</v>
      </c>
      <c r="F605" s="15" t="s">
        <v>880</v>
      </c>
      <c r="G605" s="15" t="s">
        <v>2304</v>
      </c>
      <c r="H605" s="15" t="s">
        <v>2305</v>
      </c>
      <c r="I605" s="15" t="s">
        <v>2306</v>
      </c>
      <c r="J605" s="15" t="s">
        <v>459</v>
      </c>
      <c r="K605" s="15" t="s">
        <v>1199</v>
      </c>
      <c r="L605" s="15" t="s">
        <v>1340</v>
      </c>
    </row>
    <row r="606" customFormat="false" ht="14.25" hidden="true" customHeight="true" outlineLevel="0" collapsed="false">
      <c r="A606" s="22" t="s">
        <v>2307</v>
      </c>
      <c r="B606" s="22" t="s">
        <v>455</v>
      </c>
      <c r="C606" s="23" t="n">
        <v>46126</v>
      </c>
      <c r="D606" s="22"/>
      <c r="E606" s="22" t="n">
        <v>0</v>
      </c>
      <c r="F606" s="22"/>
      <c r="G606" s="22" t="s">
        <v>2308</v>
      </c>
      <c r="H606" s="22" t="s">
        <v>2309</v>
      </c>
      <c r="I606" s="22" t="s">
        <v>2310</v>
      </c>
      <c r="J606" s="22" t="s">
        <v>459</v>
      </c>
      <c r="K606" s="22"/>
      <c r="L606" s="22"/>
    </row>
    <row r="607" customFormat="false" ht="14.25" hidden="true" customHeight="true" outlineLevel="0" collapsed="false">
      <c r="A607" s="22" t="s">
        <v>2311</v>
      </c>
      <c r="B607" s="22" t="s">
        <v>455</v>
      </c>
      <c r="C607" s="23" t="n">
        <v>46128</v>
      </c>
      <c r="D607" s="22"/>
      <c r="E607" s="22" t="n">
        <v>0</v>
      </c>
      <c r="F607" s="22"/>
      <c r="G607" s="22" t="s">
        <v>470</v>
      </c>
      <c r="H607" s="22" t="s">
        <v>477</v>
      </c>
      <c r="I607" s="22" t="s">
        <v>2312</v>
      </c>
      <c r="J607" s="22" t="s">
        <v>459</v>
      </c>
      <c r="K607" s="22"/>
      <c r="L607" s="22"/>
    </row>
    <row r="608" customFormat="false" ht="14.25" hidden="true" customHeight="true" outlineLevel="0" collapsed="false">
      <c r="A608" s="22" t="s">
        <v>2313</v>
      </c>
      <c r="B608" s="22" t="s">
        <v>455</v>
      </c>
      <c r="C608" s="23" t="n">
        <v>46128</v>
      </c>
      <c r="D608" s="22"/>
      <c r="E608" s="22" t="n">
        <v>0</v>
      </c>
      <c r="F608" s="22"/>
      <c r="G608" s="22" t="s">
        <v>461</v>
      </c>
      <c r="H608" s="22" t="s">
        <v>462</v>
      </c>
      <c r="I608" s="22" t="s">
        <v>2314</v>
      </c>
      <c r="J608" s="22" t="s">
        <v>459</v>
      </c>
      <c r="K608" s="22"/>
      <c r="L608" s="22"/>
    </row>
    <row r="609" customFormat="false" ht="14.25" hidden="true" customHeight="true" outlineLevel="0" collapsed="false">
      <c r="A609" s="22" t="s">
        <v>2315</v>
      </c>
      <c r="B609" s="22" t="s">
        <v>483</v>
      </c>
      <c r="C609" s="23" t="n">
        <v>46128</v>
      </c>
      <c r="D609" s="22"/>
      <c r="E609" s="22" t="n">
        <v>0</v>
      </c>
      <c r="F609" s="22"/>
      <c r="G609" s="22" t="s">
        <v>2316</v>
      </c>
      <c r="H609" s="22" t="s">
        <v>2317</v>
      </c>
      <c r="I609" s="22" t="s">
        <v>2318</v>
      </c>
      <c r="J609" s="22" t="s">
        <v>459</v>
      </c>
      <c r="K609" s="22"/>
      <c r="L609" s="22"/>
    </row>
    <row r="610" customFormat="false" ht="14.25" hidden="true" customHeight="true" outlineLevel="0" collapsed="false">
      <c r="A610" s="22" t="s">
        <v>2319</v>
      </c>
      <c r="B610" s="22" t="s">
        <v>455</v>
      </c>
      <c r="C610" s="23" t="n">
        <v>46132</v>
      </c>
      <c r="D610" s="22"/>
      <c r="E610" s="22" t="n">
        <v>0</v>
      </c>
      <c r="F610" s="22"/>
      <c r="G610" s="22" t="s">
        <v>465</v>
      </c>
      <c r="H610" s="22" t="s">
        <v>492</v>
      </c>
      <c r="I610" s="22" t="s">
        <v>2320</v>
      </c>
      <c r="J610" s="22" t="s">
        <v>459</v>
      </c>
      <c r="K610" s="22"/>
      <c r="L610" s="22"/>
    </row>
    <row r="611" customFormat="false" ht="14.25" hidden="true" customHeight="true" outlineLevel="0" collapsed="false">
      <c r="A611" s="22" t="s">
        <v>2321</v>
      </c>
      <c r="B611" s="22" t="s">
        <v>455</v>
      </c>
      <c r="C611" s="23" t="n">
        <v>46132</v>
      </c>
      <c r="D611" s="22"/>
      <c r="E611" s="22" t="n">
        <v>0</v>
      </c>
      <c r="F611" s="22"/>
      <c r="G611" s="22" t="s">
        <v>470</v>
      </c>
      <c r="H611" s="22" t="s">
        <v>477</v>
      </c>
      <c r="I611" s="22" t="s">
        <v>2322</v>
      </c>
      <c r="J611" s="22" t="s">
        <v>459</v>
      </c>
      <c r="K611" s="22"/>
      <c r="L611" s="22"/>
    </row>
    <row r="612" customFormat="false" ht="14.25" hidden="true" customHeight="true" outlineLevel="0" collapsed="false">
      <c r="A612" s="22" t="s">
        <v>2323</v>
      </c>
      <c r="B612" s="22" t="s">
        <v>455</v>
      </c>
      <c r="C612" s="23" t="n">
        <v>46134</v>
      </c>
      <c r="D612" s="22"/>
      <c r="E612" s="22" t="n">
        <v>0</v>
      </c>
      <c r="F612" s="22"/>
      <c r="G612" s="22" t="s">
        <v>461</v>
      </c>
      <c r="H612" s="22" t="s">
        <v>462</v>
      </c>
      <c r="I612" s="22" t="s">
        <v>2324</v>
      </c>
      <c r="J612" s="22" t="s">
        <v>459</v>
      </c>
      <c r="K612" s="22"/>
      <c r="L612" s="22"/>
    </row>
    <row r="613" customFormat="false" ht="14.25" hidden="true" customHeight="true" outlineLevel="0" collapsed="false">
      <c r="A613" s="22" t="s">
        <v>2325</v>
      </c>
      <c r="B613" s="22" t="s">
        <v>455</v>
      </c>
      <c r="C613" s="23" t="n">
        <v>46134</v>
      </c>
      <c r="D613" s="22"/>
      <c r="E613" s="22" t="n">
        <v>0</v>
      </c>
      <c r="F613" s="22"/>
      <c r="G613" s="22" t="s">
        <v>461</v>
      </c>
      <c r="H613" s="22" t="s">
        <v>462</v>
      </c>
      <c r="I613" s="22" t="s">
        <v>2326</v>
      </c>
      <c r="J613" s="22" t="s">
        <v>459</v>
      </c>
      <c r="K613" s="22"/>
      <c r="L613" s="22"/>
    </row>
    <row r="614" customFormat="false" ht="14.25" hidden="true" customHeight="true" outlineLevel="0" collapsed="false">
      <c r="A614" s="22" t="s">
        <v>2327</v>
      </c>
      <c r="B614" s="22" t="s">
        <v>455</v>
      </c>
      <c r="C614" s="23" t="n">
        <v>46134</v>
      </c>
      <c r="D614" s="22"/>
      <c r="E614" s="22" t="n">
        <v>0</v>
      </c>
      <c r="F614" s="22"/>
      <c r="G614" s="22" t="s">
        <v>465</v>
      </c>
      <c r="H614" s="22" t="s">
        <v>492</v>
      </c>
      <c r="I614" s="22" t="s">
        <v>2328</v>
      </c>
      <c r="J614" s="22" t="s">
        <v>459</v>
      </c>
      <c r="K614" s="22"/>
      <c r="L614" s="22"/>
    </row>
    <row r="615" customFormat="false" ht="14.25" hidden="true" customHeight="true" outlineLevel="0" collapsed="false">
      <c r="A615" s="22" t="s">
        <v>2329</v>
      </c>
      <c r="B615" s="22" t="s">
        <v>455</v>
      </c>
      <c r="C615" s="23" t="n">
        <v>46134</v>
      </c>
      <c r="D615" s="22"/>
      <c r="E615" s="22" t="n">
        <v>0</v>
      </c>
      <c r="F615" s="22"/>
      <c r="G615" s="22" t="s">
        <v>470</v>
      </c>
      <c r="H615" s="22" t="s">
        <v>477</v>
      </c>
      <c r="I615" s="22" t="s">
        <v>2330</v>
      </c>
      <c r="J615" s="22" t="s">
        <v>459</v>
      </c>
      <c r="K615" s="22"/>
      <c r="L615" s="22"/>
    </row>
    <row r="616" customFormat="false" ht="14.25" hidden="true" customHeight="true" outlineLevel="0" collapsed="false">
      <c r="A616" s="22" t="s">
        <v>2331</v>
      </c>
      <c r="B616" s="22" t="s">
        <v>455</v>
      </c>
      <c r="C616" s="23" t="n">
        <v>46136</v>
      </c>
      <c r="D616" s="22"/>
      <c r="E616" s="22" t="n">
        <v>0</v>
      </c>
      <c r="F616" s="22"/>
      <c r="G616" s="22" t="s">
        <v>470</v>
      </c>
      <c r="H616" s="22" t="s">
        <v>477</v>
      </c>
      <c r="I616" s="22" t="s">
        <v>2332</v>
      </c>
      <c r="J616" s="22" t="s">
        <v>459</v>
      </c>
      <c r="K616" s="22"/>
      <c r="L616" s="22"/>
    </row>
    <row r="617" customFormat="false" ht="14.25" hidden="true" customHeight="true" outlineLevel="0" collapsed="false">
      <c r="A617" s="22" t="s">
        <v>2333</v>
      </c>
      <c r="B617" s="22" t="s">
        <v>455</v>
      </c>
      <c r="C617" s="23" t="n">
        <v>46139</v>
      </c>
      <c r="D617" s="22"/>
      <c r="E617" s="22" t="n">
        <v>0</v>
      </c>
      <c r="F617" s="22"/>
      <c r="G617" s="22" t="s">
        <v>470</v>
      </c>
      <c r="H617" s="22" t="s">
        <v>477</v>
      </c>
      <c r="I617" s="22" t="s">
        <v>2334</v>
      </c>
      <c r="J617" s="22" t="s">
        <v>459</v>
      </c>
      <c r="K617" s="22"/>
      <c r="L617" s="22"/>
    </row>
    <row r="618" customFormat="false" ht="14.25" hidden="true" customHeight="true" outlineLevel="0" collapsed="false">
      <c r="A618" s="22" t="s">
        <v>2335</v>
      </c>
      <c r="B618" s="22" t="s">
        <v>455</v>
      </c>
      <c r="C618" s="23" t="n">
        <v>46139</v>
      </c>
      <c r="D618" s="22"/>
      <c r="E618" s="22" t="n">
        <v>0</v>
      </c>
      <c r="F618" s="22"/>
      <c r="G618" s="22" t="s">
        <v>465</v>
      </c>
      <c r="H618" s="22" t="s">
        <v>492</v>
      </c>
      <c r="I618" s="22" t="s">
        <v>2336</v>
      </c>
      <c r="J618" s="22" t="s">
        <v>459</v>
      </c>
      <c r="K618" s="22"/>
      <c r="L618" s="22"/>
    </row>
    <row r="619" customFormat="false" ht="14.25" hidden="true" customHeight="true" outlineLevel="0" collapsed="false">
      <c r="A619" s="22" t="s">
        <v>2337</v>
      </c>
      <c r="B619" s="22" t="s">
        <v>455</v>
      </c>
      <c r="C619" s="23" t="n">
        <v>46140</v>
      </c>
      <c r="D619" s="22"/>
      <c r="E619" s="22" t="n">
        <v>0</v>
      </c>
      <c r="F619" s="22"/>
      <c r="G619" s="22" t="s">
        <v>2338</v>
      </c>
      <c r="H619" s="22" t="s">
        <v>2339</v>
      </c>
      <c r="I619" s="22" t="s">
        <v>2340</v>
      </c>
      <c r="J619" s="22" t="s">
        <v>459</v>
      </c>
      <c r="K619" s="22"/>
      <c r="L619" s="22"/>
    </row>
    <row r="620" customFormat="false" ht="14.25" hidden="true" customHeight="true" outlineLevel="0" collapsed="false">
      <c r="A620" s="22" t="s">
        <v>2341</v>
      </c>
      <c r="B620" s="22" t="s">
        <v>455</v>
      </c>
      <c r="C620" s="23" t="n">
        <v>46141</v>
      </c>
      <c r="D620" s="22"/>
      <c r="E620" s="22" t="n">
        <v>0</v>
      </c>
      <c r="F620" s="22"/>
      <c r="G620" s="22" t="s">
        <v>2342</v>
      </c>
      <c r="H620" s="22"/>
      <c r="I620" s="22" t="s">
        <v>2343</v>
      </c>
      <c r="J620" s="22" t="s">
        <v>459</v>
      </c>
      <c r="K620" s="22"/>
      <c r="L620" s="22"/>
    </row>
    <row r="621" customFormat="false" ht="14.25" hidden="true" customHeight="true" outlineLevel="0" collapsed="false">
      <c r="A621" s="22" t="s">
        <v>2344</v>
      </c>
      <c r="B621" s="22" t="s">
        <v>455</v>
      </c>
      <c r="C621" s="23" t="n">
        <v>46142</v>
      </c>
      <c r="D621" s="22"/>
      <c r="E621" s="22" t="n">
        <v>0</v>
      </c>
      <c r="F621" s="22"/>
      <c r="G621" s="22" t="s">
        <v>470</v>
      </c>
      <c r="H621" s="22" t="s">
        <v>477</v>
      </c>
      <c r="I621" s="22" t="s">
        <v>2345</v>
      </c>
      <c r="J621" s="22" t="s">
        <v>459</v>
      </c>
      <c r="K621" s="22"/>
      <c r="L621" s="22"/>
    </row>
    <row r="622" customFormat="false" ht="14.25" hidden="true" customHeight="true" outlineLevel="0" collapsed="false">
      <c r="A622" s="22" t="s">
        <v>2346</v>
      </c>
      <c r="B622" s="22" t="s">
        <v>455</v>
      </c>
      <c r="C622" s="23" t="n">
        <v>46142</v>
      </c>
      <c r="D622" s="22"/>
      <c r="E622" s="22" t="n">
        <v>0</v>
      </c>
      <c r="F622" s="22"/>
      <c r="G622" s="22" t="s">
        <v>465</v>
      </c>
      <c r="H622" s="22" t="s">
        <v>492</v>
      </c>
      <c r="I622" s="22" t="s">
        <v>2347</v>
      </c>
      <c r="J622" s="22" t="s">
        <v>459</v>
      </c>
      <c r="K622" s="22"/>
      <c r="L622" s="22"/>
    </row>
    <row r="623" customFormat="false" ht="14.25" hidden="true" customHeight="true" outlineLevel="0" collapsed="false">
      <c r="A623" s="22" t="s">
        <v>2348</v>
      </c>
      <c r="B623" s="22" t="s">
        <v>455</v>
      </c>
      <c r="C623" s="23" t="n">
        <v>46143</v>
      </c>
      <c r="D623" s="22"/>
      <c r="E623" s="22" t="n">
        <v>0</v>
      </c>
      <c r="F623" s="22"/>
      <c r="G623" s="22" t="s">
        <v>2349</v>
      </c>
      <c r="H623" s="22" t="s">
        <v>2350</v>
      </c>
      <c r="I623" s="22" t="s">
        <v>2351</v>
      </c>
      <c r="J623" s="22" t="s">
        <v>459</v>
      </c>
      <c r="K623" s="22"/>
      <c r="L623" s="22"/>
    </row>
    <row r="624" customFormat="false" ht="14.25" hidden="true" customHeight="true" outlineLevel="0" collapsed="false">
      <c r="A624" s="22" t="s">
        <v>2352</v>
      </c>
      <c r="B624" s="22" t="s">
        <v>455</v>
      </c>
      <c r="C624" s="23" t="n">
        <v>46143</v>
      </c>
      <c r="D624" s="22"/>
      <c r="E624" s="22" t="n">
        <v>0</v>
      </c>
      <c r="F624" s="22"/>
      <c r="G624" s="22" t="s">
        <v>2353</v>
      </c>
      <c r="H624" s="22" t="s">
        <v>2354</v>
      </c>
      <c r="I624" s="22" t="s">
        <v>2355</v>
      </c>
      <c r="J624" s="22" t="s">
        <v>459</v>
      </c>
      <c r="K624" s="22"/>
      <c r="L624" s="22"/>
    </row>
    <row r="625" customFormat="false" ht="14.25" hidden="true" customHeight="true" outlineLevel="0" collapsed="false">
      <c r="A625" s="22" t="s">
        <v>2356</v>
      </c>
      <c r="B625" s="22" t="s">
        <v>455</v>
      </c>
      <c r="C625" s="23" t="n">
        <v>46143</v>
      </c>
      <c r="D625" s="22"/>
      <c r="E625" s="22" t="n">
        <v>0</v>
      </c>
      <c r="F625" s="22"/>
      <c r="G625" s="22" t="s">
        <v>2357</v>
      </c>
      <c r="H625" s="22" t="s">
        <v>2358</v>
      </c>
      <c r="I625" s="22" t="s">
        <v>2359</v>
      </c>
      <c r="J625" s="22" t="s">
        <v>459</v>
      </c>
      <c r="K625" s="22"/>
      <c r="L625" s="22"/>
    </row>
    <row r="626" customFormat="false" ht="14.25" hidden="true" customHeight="true" outlineLevel="0" collapsed="false">
      <c r="A626" s="22" t="s">
        <v>2360</v>
      </c>
      <c r="B626" s="22" t="s">
        <v>455</v>
      </c>
      <c r="C626" s="23" t="n">
        <v>46143</v>
      </c>
      <c r="D626" s="22"/>
      <c r="E626" s="22" t="n">
        <v>0</v>
      </c>
      <c r="F626" s="22"/>
      <c r="G626" s="22" t="s">
        <v>470</v>
      </c>
      <c r="H626" s="22" t="s">
        <v>477</v>
      </c>
      <c r="I626" s="22" t="s">
        <v>2361</v>
      </c>
      <c r="J626" s="22" t="s">
        <v>459</v>
      </c>
      <c r="K626" s="22"/>
      <c r="L626" s="22"/>
    </row>
    <row r="627" customFormat="false" ht="14.25" hidden="true" customHeight="true" outlineLevel="0" collapsed="false">
      <c r="A627" s="22" t="s">
        <v>2362</v>
      </c>
      <c r="B627" s="22" t="s">
        <v>455</v>
      </c>
      <c r="C627" s="23" t="n">
        <v>46149</v>
      </c>
      <c r="D627" s="22"/>
      <c r="E627" s="22" t="n">
        <v>0</v>
      </c>
      <c r="F627" s="22"/>
      <c r="G627" s="22" t="s">
        <v>465</v>
      </c>
      <c r="H627" s="22" t="s">
        <v>492</v>
      </c>
      <c r="I627" s="22" t="s">
        <v>2363</v>
      </c>
      <c r="J627" s="22" t="s">
        <v>459</v>
      </c>
      <c r="K627" s="22"/>
      <c r="L627" s="22"/>
    </row>
    <row r="628" customFormat="false" ht="14.25" hidden="true" customHeight="true" outlineLevel="0" collapsed="false">
      <c r="A628" s="22" t="s">
        <v>2364</v>
      </c>
      <c r="B628" s="22" t="s">
        <v>455</v>
      </c>
      <c r="C628" s="23" t="n">
        <v>46150</v>
      </c>
      <c r="D628" s="22"/>
      <c r="E628" s="22" t="n">
        <v>0</v>
      </c>
      <c r="F628" s="22"/>
      <c r="G628" s="22" t="s">
        <v>470</v>
      </c>
      <c r="H628" s="22" t="s">
        <v>477</v>
      </c>
      <c r="I628" s="22" t="s">
        <v>2365</v>
      </c>
      <c r="J628" s="22" t="s">
        <v>459</v>
      </c>
      <c r="K628" s="22"/>
      <c r="L628" s="22"/>
    </row>
    <row r="629" customFormat="false" ht="14.25" hidden="true" customHeight="true" outlineLevel="0" collapsed="false">
      <c r="A629" s="22" t="s">
        <v>2366</v>
      </c>
      <c r="B629" s="22" t="s">
        <v>455</v>
      </c>
      <c r="C629" s="23" t="n">
        <v>46154</v>
      </c>
      <c r="D629" s="22"/>
      <c r="E629" s="22" t="n">
        <v>0</v>
      </c>
      <c r="F629" s="22"/>
      <c r="G629" s="22" t="s">
        <v>2367</v>
      </c>
      <c r="H629" s="22" t="s">
        <v>2368</v>
      </c>
      <c r="I629" s="22" t="s">
        <v>2369</v>
      </c>
      <c r="J629" s="22" t="s">
        <v>459</v>
      </c>
      <c r="K629" s="22"/>
      <c r="L629" s="22"/>
    </row>
    <row r="630" customFormat="false" ht="14.25" hidden="true" customHeight="true" outlineLevel="0" collapsed="false">
      <c r="A630" s="22" t="s">
        <v>2370</v>
      </c>
      <c r="B630" s="22" t="s">
        <v>455</v>
      </c>
      <c r="C630" s="23" t="n">
        <v>46154</v>
      </c>
      <c r="D630" s="22"/>
      <c r="E630" s="22" t="n">
        <v>1</v>
      </c>
      <c r="F630" s="22" t="s">
        <v>2371</v>
      </c>
      <c r="G630" s="22" t="s">
        <v>470</v>
      </c>
      <c r="H630" s="22" t="s">
        <v>477</v>
      </c>
      <c r="I630" s="22" t="s">
        <v>2372</v>
      </c>
      <c r="J630" s="22" t="s">
        <v>459</v>
      </c>
      <c r="K630" s="22" t="s">
        <v>473</v>
      </c>
      <c r="L630" s="22" t="s">
        <v>474</v>
      </c>
    </row>
    <row r="631" customFormat="false" ht="14.25" hidden="true" customHeight="true" outlineLevel="0" collapsed="false">
      <c r="A631" s="22" t="s">
        <v>2373</v>
      </c>
      <c r="B631" s="22" t="s">
        <v>455</v>
      </c>
      <c r="C631" s="23" t="n">
        <v>46155</v>
      </c>
      <c r="D631" s="22"/>
      <c r="E631" s="22" t="n">
        <v>0</v>
      </c>
      <c r="F631" s="22"/>
      <c r="G631" s="22" t="s">
        <v>2374</v>
      </c>
      <c r="H631" s="22" t="s">
        <v>2375</v>
      </c>
      <c r="I631" s="22" t="s">
        <v>2376</v>
      </c>
      <c r="J631" s="22" t="s">
        <v>459</v>
      </c>
      <c r="K631" s="22"/>
      <c r="L631" s="22"/>
    </row>
    <row r="632" customFormat="false" ht="14.25" hidden="true" customHeight="true" outlineLevel="0" collapsed="false">
      <c r="A632" s="22" t="s">
        <v>2377</v>
      </c>
      <c r="B632" s="22" t="s">
        <v>455</v>
      </c>
      <c r="C632" s="23" t="n">
        <v>46156</v>
      </c>
      <c r="D632" s="22"/>
      <c r="E632" s="22" t="n">
        <v>0</v>
      </c>
      <c r="F632" s="22"/>
      <c r="G632" s="22" t="s">
        <v>2378</v>
      </c>
      <c r="H632" s="22" t="s">
        <v>1611</v>
      </c>
      <c r="I632" s="22" t="s">
        <v>2379</v>
      </c>
      <c r="J632" s="22" t="s">
        <v>459</v>
      </c>
      <c r="K632" s="22"/>
      <c r="L632" s="22"/>
    </row>
    <row r="633" customFormat="false" ht="14.25" hidden="true" customHeight="true" outlineLevel="0" collapsed="false">
      <c r="A633" s="22" t="s">
        <v>2380</v>
      </c>
      <c r="B633" s="22" t="s">
        <v>455</v>
      </c>
      <c r="C633" s="23" t="n">
        <v>46157</v>
      </c>
      <c r="D633" s="23" t="n">
        <v>46155</v>
      </c>
      <c r="E633" s="22" t="n">
        <v>0</v>
      </c>
      <c r="F633" s="22"/>
      <c r="G633" s="22" t="s">
        <v>2381</v>
      </c>
      <c r="H633" s="22" t="s">
        <v>2382</v>
      </c>
      <c r="I633" s="22" t="s">
        <v>2383</v>
      </c>
      <c r="J633" s="22" t="s">
        <v>459</v>
      </c>
      <c r="K633" s="22"/>
      <c r="L633" s="22"/>
    </row>
    <row r="634" customFormat="false" ht="14.25" hidden="true" customHeight="true" outlineLevel="0" collapsed="false">
      <c r="A634" s="22" t="s">
        <v>2384</v>
      </c>
      <c r="B634" s="22" t="s">
        <v>455</v>
      </c>
      <c r="C634" s="23" t="n">
        <v>46157</v>
      </c>
      <c r="D634" s="23" t="n">
        <v>46155</v>
      </c>
      <c r="E634" s="22" t="n">
        <v>0</v>
      </c>
      <c r="F634" s="22"/>
      <c r="G634" s="22" t="s">
        <v>2385</v>
      </c>
      <c r="H634" s="22" t="s">
        <v>2386</v>
      </c>
      <c r="I634" s="22" t="s">
        <v>2387</v>
      </c>
      <c r="J634" s="22" t="s">
        <v>459</v>
      </c>
      <c r="K634" s="22"/>
      <c r="L634" s="22"/>
    </row>
    <row r="635" customFormat="false" ht="14.25" hidden="true" customHeight="true" outlineLevel="0" collapsed="false">
      <c r="A635" s="22" t="s">
        <v>2388</v>
      </c>
      <c r="B635" s="22" t="s">
        <v>455</v>
      </c>
      <c r="C635" s="23" t="n">
        <v>46157</v>
      </c>
      <c r="D635" s="22"/>
      <c r="E635" s="22" t="n">
        <v>0</v>
      </c>
      <c r="F635" s="22"/>
      <c r="G635" s="22" t="s">
        <v>465</v>
      </c>
      <c r="H635" s="22" t="s">
        <v>492</v>
      </c>
      <c r="I635" s="22" t="s">
        <v>2389</v>
      </c>
      <c r="J635" s="22" t="s">
        <v>459</v>
      </c>
      <c r="K635" s="22"/>
      <c r="L635" s="22"/>
    </row>
    <row r="636" customFormat="false" ht="14.25" hidden="true" customHeight="true" outlineLevel="0" collapsed="false">
      <c r="A636" s="22" t="s">
        <v>2390</v>
      </c>
      <c r="B636" s="22" t="s">
        <v>455</v>
      </c>
      <c r="C636" s="23" t="n">
        <v>46160</v>
      </c>
      <c r="D636" s="22"/>
      <c r="E636" s="22" t="n">
        <v>0</v>
      </c>
      <c r="F636" s="22"/>
      <c r="G636" s="22" t="s">
        <v>465</v>
      </c>
      <c r="H636" s="22" t="s">
        <v>492</v>
      </c>
      <c r="I636" s="22" t="s">
        <v>2391</v>
      </c>
      <c r="J636" s="22" t="s">
        <v>459</v>
      </c>
      <c r="K636" s="22"/>
      <c r="L636" s="22"/>
    </row>
    <row r="637" customFormat="false" ht="14.25" hidden="false" customHeight="true" outlineLevel="0" collapsed="false">
      <c r="A637" s="15" t="s">
        <v>2392</v>
      </c>
      <c r="B637" s="15" t="s">
        <v>483</v>
      </c>
      <c r="C637" s="24" t="n">
        <v>46064</v>
      </c>
      <c r="D637" s="15"/>
      <c r="E637" s="15" t="n">
        <v>1</v>
      </c>
      <c r="F637" s="15" t="s">
        <v>2393</v>
      </c>
      <c r="G637" s="15" t="s">
        <v>1184</v>
      </c>
      <c r="H637" s="15" t="s">
        <v>2394</v>
      </c>
      <c r="I637" s="15" t="s">
        <v>2395</v>
      </c>
      <c r="J637" s="15" t="s">
        <v>459</v>
      </c>
      <c r="K637" s="15" t="s">
        <v>1199</v>
      </c>
      <c r="L637" s="15" t="s">
        <v>1911</v>
      </c>
    </row>
    <row r="638" customFormat="false" ht="14.25" hidden="true" customHeight="true" outlineLevel="0" collapsed="false">
      <c r="A638" s="22" t="s">
        <v>2396</v>
      </c>
      <c r="B638" s="22" t="s">
        <v>455</v>
      </c>
      <c r="C638" s="23" t="n">
        <v>46162</v>
      </c>
      <c r="D638" s="22"/>
      <c r="E638" s="22" t="n">
        <v>0</v>
      </c>
      <c r="F638" s="22"/>
      <c r="G638" s="22" t="s">
        <v>461</v>
      </c>
      <c r="H638" s="22" t="s">
        <v>462</v>
      </c>
      <c r="I638" s="22" t="s">
        <v>2397</v>
      </c>
      <c r="J638" s="22" t="s">
        <v>459</v>
      </c>
      <c r="K638" s="22"/>
      <c r="L638" s="22"/>
    </row>
    <row r="639" customFormat="false" ht="14.25" hidden="true" customHeight="true" outlineLevel="0" collapsed="false">
      <c r="A639" s="22" t="s">
        <v>2398</v>
      </c>
      <c r="B639" s="22" t="s">
        <v>455</v>
      </c>
      <c r="C639" s="23" t="n">
        <v>46162</v>
      </c>
      <c r="D639" s="22"/>
      <c r="E639" s="22" t="n">
        <v>0</v>
      </c>
      <c r="F639" s="22"/>
      <c r="G639" s="22" t="s">
        <v>465</v>
      </c>
      <c r="H639" s="22" t="s">
        <v>492</v>
      </c>
      <c r="I639" s="22" t="s">
        <v>2399</v>
      </c>
      <c r="J639" s="22" t="s">
        <v>459</v>
      </c>
      <c r="K639" s="22"/>
      <c r="L639" s="22"/>
    </row>
    <row r="640" customFormat="false" ht="14.25" hidden="true" customHeight="true" outlineLevel="0" collapsed="false">
      <c r="A640" s="22" t="s">
        <v>2400</v>
      </c>
      <c r="B640" s="22" t="s">
        <v>483</v>
      </c>
      <c r="C640" s="23" t="n">
        <v>46164</v>
      </c>
      <c r="D640" s="22"/>
      <c r="E640" s="22" t="n">
        <v>0</v>
      </c>
      <c r="F640" s="22"/>
      <c r="G640" s="22" t="s">
        <v>2316</v>
      </c>
      <c r="H640" s="22" t="s">
        <v>2401</v>
      </c>
      <c r="I640" s="22" t="s">
        <v>2402</v>
      </c>
      <c r="J640" s="22" t="s">
        <v>459</v>
      </c>
      <c r="K640" s="22"/>
      <c r="L640" s="22"/>
    </row>
    <row r="641" customFormat="false" ht="14.25" hidden="false" customHeight="true" outlineLevel="0" collapsed="false">
      <c r="A641" s="15" t="s">
        <v>2403</v>
      </c>
      <c r="B641" s="15" t="s">
        <v>483</v>
      </c>
      <c r="C641" s="24" t="n">
        <v>46164</v>
      </c>
      <c r="D641" s="15"/>
      <c r="E641" s="15" t="n">
        <v>1</v>
      </c>
      <c r="F641" s="15" t="s">
        <v>673</v>
      </c>
      <c r="G641" s="15" t="s">
        <v>2404</v>
      </c>
      <c r="H641" s="15" t="s">
        <v>2405</v>
      </c>
      <c r="I641" s="15" t="s">
        <v>2406</v>
      </c>
      <c r="J641" s="15" t="s">
        <v>459</v>
      </c>
      <c r="K641" s="15" t="s">
        <v>1199</v>
      </c>
      <c r="L641" s="15" t="s">
        <v>1244</v>
      </c>
    </row>
    <row r="642" customFormat="false" ht="14.25" hidden="true" customHeight="true" outlineLevel="0" collapsed="false">
      <c r="A642" s="22" t="s">
        <v>2407</v>
      </c>
      <c r="B642" s="22" t="s">
        <v>455</v>
      </c>
      <c r="C642" s="23" t="n">
        <v>46171</v>
      </c>
      <c r="D642" s="22"/>
      <c r="E642" s="22" t="n">
        <v>0</v>
      </c>
      <c r="F642" s="22"/>
      <c r="G642" s="22" t="s">
        <v>470</v>
      </c>
      <c r="H642" s="22" t="s">
        <v>477</v>
      </c>
      <c r="I642" s="22" t="s">
        <v>2408</v>
      </c>
      <c r="J642" s="22" t="s">
        <v>459</v>
      </c>
      <c r="K642" s="22"/>
      <c r="L642" s="22"/>
    </row>
  </sheetData>
  <autoFilter ref="A1:L642">
    <filterColumn colId="4">
      <filters>
        <filter val="1"/>
      </filters>
    </filterColumn>
    <filterColumn colId="10">
      <filters>
        <filter val="HIGH"/>
        <filter val="LOW"/>
        <filter val="MEDIUM"/>
      </filters>
    </filterColumn>
    <sortState ref="A2:L642">
      <sortCondition ref="A2:A642" descending="1" customList="LOW,MEDIUM,HIGH"/>
    </sortState>
  </autoFilter>
  <hyperlinks>
    <hyperlink ref="I23" r:id="rId1" display="https://www.federalregister.gov/documents/2024/04/23/2024-07105/medicare-program-changes-to-the-medicare-advantage-and-the-medicare-prescription-drug-benefit"/>
    <hyperlink ref="I62" r:id="rId2" display="https://www.federalregister.gov/documents/2024/12/10/2024-27939/medicare-and-medicaid-programs-contract-year-2026-policy-and-technical-changes-to-the-medicare"/>
    <hyperlink ref="I73" r:id="rId3" display="https://www.federalregister.gov/documents/2025/04/15/2025-06008/medicare-and-medicaid-programs-contract-year-2026-policy-and-technical-changes-to-the-medicare"/>
    <hyperlink ref="I96" r:id="rId4" display="https://www.federalregister.gov/documents/2025/11/28/2025-21456/medicare-program-contract-year-2027-policy-and-technical-changes-to-the-medicare-advantage-program"/>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5"/>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5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B22" activeCellId="0" sqref="B22"/>
    </sheetView>
  </sheetViews>
  <sheetFormatPr defaultColWidth="8.6328125" defaultRowHeight="14.25" zeroHeight="false" outlineLevelRow="0" outlineLevelCol="0"/>
  <cols>
    <col collapsed="false" customWidth="true" hidden="false" outlineLevel="0" max="1" min="1" style="1" width="28"/>
    <col collapsed="false" customWidth="true" hidden="false" outlineLevel="0" max="2" min="2" style="1" width="110"/>
  </cols>
  <sheetData>
    <row r="1" customFormat="false" ht="15" hidden="false" customHeight="true" outlineLevel="0" collapsed="false">
      <c r="A1" s="26" t="s">
        <v>2409</v>
      </c>
      <c r="B1" s="27"/>
    </row>
    <row r="2" customFormat="false" ht="15" hidden="false" customHeight="true" outlineLevel="0" collapsed="false">
      <c r="A2" s="28" t="s">
        <v>2410</v>
      </c>
      <c r="B2" s="29" t="s">
        <v>2411</v>
      </c>
      <c r="C2" s="19"/>
    </row>
    <row r="3" customFormat="false" ht="15" hidden="false" customHeight="true" outlineLevel="0" collapsed="false">
      <c r="A3" s="28" t="s">
        <v>2412</v>
      </c>
      <c r="B3" s="29" t="s">
        <v>2413</v>
      </c>
      <c r="C3" s="19"/>
    </row>
    <row r="4" customFormat="false" ht="15" hidden="false" customHeight="true" outlineLevel="0" collapsed="false">
      <c r="A4" s="28" t="s">
        <v>2414</v>
      </c>
      <c r="B4" s="29" t="s">
        <v>2415</v>
      </c>
      <c r="C4" s="19"/>
    </row>
    <row r="5" customFormat="false" ht="25.5" hidden="false" customHeight="true" outlineLevel="0" collapsed="false">
      <c r="A5" s="28" t="s">
        <v>2416</v>
      </c>
      <c r="B5" s="29" t="s">
        <v>2417</v>
      </c>
      <c r="C5" s="19"/>
    </row>
    <row r="6" customFormat="false" ht="14.25" hidden="false" customHeight="true" outlineLevel="0" collapsed="false">
      <c r="A6" s="28" t="s">
        <v>2418</v>
      </c>
      <c r="B6" s="29" t="s">
        <v>2419</v>
      </c>
    </row>
    <row r="7" customFormat="false" ht="23.25" hidden="false" customHeight="true" outlineLevel="0" collapsed="false">
      <c r="A7" s="28"/>
      <c r="B7" s="29"/>
    </row>
    <row r="8" customFormat="false" ht="15" hidden="false" customHeight="true" outlineLevel="0" collapsed="false">
      <c r="A8" s="26" t="s">
        <v>2420</v>
      </c>
      <c r="B8" s="13"/>
    </row>
    <row r="9" customFormat="false" ht="25.5" hidden="false" customHeight="true" outlineLevel="0" collapsed="false">
      <c r="A9" s="28" t="s">
        <v>0</v>
      </c>
      <c r="B9" s="29" t="s">
        <v>2421</v>
      </c>
    </row>
    <row r="10" customFormat="false" ht="23.25" hidden="false" customHeight="true" outlineLevel="0" collapsed="false">
      <c r="A10" s="28" t="s">
        <v>2422</v>
      </c>
      <c r="B10" s="29" t="s">
        <v>2423</v>
      </c>
    </row>
    <row r="11" customFormat="false" ht="15" hidden="false" customHeight="true" outlineLevel="0" collapsed="false">
      <c r="A11" s="28" t="s">
        <v>4</v>
      </c>
      <c r="B11" s="29" t="s">
        <v>2424</v>
      </c>
    </row>
    <row r="12" customFormat="false" ht="15" hidden="false" customHeight="true" outlineLevel="0" collapsed="false">
      <c r="A12" s="28" t="s">
        <v>5</v>
      </c>
      <c r="B12" s="29" t="s">
        <v>2425</v>
      </c>
    </row>
    <row r="13" customFormat="false" ht="15" hidden="false" customHeight="true" outlineLevel="0" collapsed="false">
      <c r="A13" s="28" t="s">
        <v>6</v>
      </c>
      <c r="B13" s="29" t="s">
        <v>2426</v>
      </c>
    </row>
    <row r="14" customFormat="false" ht="15" hidden="false" customHeight="true" outlineLevel="0" collapsed="false">
      <c r="A14" s="28" t="s">
        <v>7</v>
      </c>
      <c r="B14" s="29" t="s">
        <v>2427</v>
      </c>
    </row>
    <row r="15" customFormat="false" ht="15" hidden="false" customHeight="true" outlineLevel="0" collapsed="false">
      <c r="A15" s="28" t="s">
        <v>8</v>
      </c>
      <c r="B15" s="29" t="s">
        <v>2428</v>
      </c>
    </row>
    <row r="16" customFormat="false" ht="52.5" hidden="false" customHeight="true" outlineLevel="0" collapsed="false">
      <c r="A16" s="28" t="s">
        <v>2429</v>
      </c>
      <c r="B16" s="29" t="s">
        <v>2430</v>
      </c>
    </row>
    <row r="17" customFormat="false" ht="14.25" hidden="false" customHeight="true" outlineLevel="0" collapsed="false">
      <c r="A17" s="28"/>
      <c r="B17" s="29"/>
    </row>
    <row r="18" customFormat="false" ht="14.25" hidden="false" customHeight="true" outlineLevel="0" collapsed="false">
      <c r="A18" s="26" t="s">
        <v>2431</v>
      </c>
      <c r="B18" s="9"/>
    </row>
    <row r="19" customFormat="false" ht="14.25" hidden="false" customHeight="true" outlineLevel="0" collapsed="false">
      <c r="A19" s="28" t="s">
        <v>0</v>
      </c>
      <c r="B19" s="29" t="s">
        <v>2432</v>
      </c>
    </row>
    <row r="20" customFormat="false" ht="35.05" hidden="false" customHeight="false" outlineLevel="0" collapsed="false">
      <c r="A20" s="28" t="s">
        <v>9</v>
      </c>
      <c r="B20" s="29" t="s">
        <v>2433</v>
      </c>
    </row>
    <row r="21" customFormat="false" ht="14.25" hidden="false" customHeight="true" outlineLevel="0" collapsed="false">
      <c r="A21" s="28" t="s">
        <v>10</v>
      </c>
      <c r="B21" s="29" t="s">
        <v>2434</v>
      </c>
    </row>
    <row r="22" customFormat="false" ht="14.25" hidden="false" customHeight="true" outlineLevel="0" collapsed="false">
      <c r="A22" s="28" t="s">
        <v>11</v>
      </c>
      <c r="B22" s="29" t="s">
        <v>2435</v>
      </c>
    </row>
    <row r="23" customFormat="false" ht="14.25" hidden="false" customHeight="true" outlineLevel="0" collapsed="false">
      <c r="A23" s="28" t="s">
        <v>12</v>
      </c>
      <c r="B23" s="29" t="s">
        <v>2436</v>
      </c>
    </row>
    <row r="24" customFormat="false" ht="14.25" hidden="false" customHeight="true" outlineLevel="0" collapsed="false">
      <c r="A24" s="28" t="s">
        <v>13</v>
      </c>
      <c r="B24" s="29" t="s">
        <v>2437</v>
      </c>
    </row>
    <row r="25" customFormat="false" ht="14.25" hidden="false" customHeight="false" outlineLevel="0" collapsed="false">
      <c r="A25" s="28" t="s">
        <v>14</v>
      </c>
      <c r="B25" s="29" t="s">
        <v>2438</v>
      </c>
    </row>
    <row r="26" customFormat="false" ht="14.25" hidden="false" customHeight="true" outlineLevel="0" collapsed="false">
      <c r="A26" s="28" t="s">
        <v>15</v>
      </c>
      <c r="B26" s="29" t="s">
        <v>2439</v>
      </c>
      <c r="C26" s="21"/>
    </row>
    <row r="27" customFormat="false" ht="23.25" hidden="false" customHeight="true" outlineLevel="0" collapsed="false">
      <c r="A27" s="28"/>
      <c r="B27" s="29"/>
      <c r="C27" s="21"/>
    </row>
    <row r="28" customFormat="false" ht="14.25" hidden="false" customHeight="true" outlineLevel="0" collapsed="false">
      <c r="A28" s="26" t="s">
        <v>2440</v>
      </c>
      <c r="B28" s="30"/>
      <c r="C28" s="21"/>
    </row>
    <row r="29" customFormat="false" ht="14.25" hidden="false" customHeight="true" outlineLevel="0" collapsed="false">
      <c r="A29" s="28" t="s">
        <v>22</v>
      </c>
      <c r="B29" s="29" t="s">
        <v>2441</v>
      </c>
      <c r="C29" s="21"/>
    </row>
    <row r="30" customFormat="false" ht="14.25" hidden="false" customHeight="true" outlineLevel="0" collapsed="false">
      <c r="A30" s="28" t="s">
        <v>41</v>
      </c>
      <c r="B30" s="29" t="s">
        <v>2442</v>
      </c>
      <c r="C30" s="21"/>
    </row>
    <row r="31" customFormat="false" ht="14.25" hidden="false" customHeight="true" outlineLevel="0" collapsed="false">
      <c r="A31" s="28" t="s">
        <v>28</v>
      </c>
      <c r="B31" s="29" t="s">
        <v>2443</v>
      </c>
      <c r="C31" s="21"/>
    </row>
    <row r="32" customFormat="false" ht="14.25" hidden="false" customHeight="true" outlineLevel="0" collapsed="false">
      <c r="A32" s="28" t="s">
        <v>46</v>
      </c>
      <c r="B32" s="29" t="s">
        <v>2444</v>
      </c>
      <c r="C32" s="21"/>
    </row>
    <row r="33" customFormat="false" ht="23.25" hidden="false" customHeight="true" outlineLevel="0" collapsed="false">
      <c r="A33" s="28" t="s">
        <v>50</v>
      </c>
      <c r="B33" s="29" t="s">
        <v>2445</v>
      </c>
      <c r="C33" s="21"/>
    </row>
    <row r="34" customFormat="false" ht="14.25" hidden="false" customHeight="false" outlineLevel="0" collapsed="false">
      <c r="A34" s="28" t="s">
        <v>59</v>
      </c>
      <c r="B34" s="29" t="s">
        <v>2446</v>
      </c>
    </row>
    <row r="35" customFormat="false" ht="23.85" hidden="false" customHeight="false" outlineLevel="0" collapsed="false">
      <c r="A35" s="28" t="s">
        <v>34</v>
      </c>
      <c r="B35" s="29" t="s">
        <v>2447</v>
      </c>
    </row>
    <row r="36" customFormat="false" ht="14.25" hidden="false" customHeight="false" outlineLevel="0" collapsed="false">
      <c r="A36" s="28"/>
      <c r="B36" s="29"/>
    </row>
    <row r="37" customFormat="false" ht="14.25" hidden="false" customHeight="false" outlineLevel="0" collapsed="false">
      <c r="A37" s="26" t="s">
        <v>2448</v>
      </c>
    </row>
    <row r="38" customFormat="false" ht="23.85" hidden="false" customHeight="false" outlineLevel="0" collapsed="false">
      <c r="A38" s="28" t="s">
        <v>13</v>
      </c>
      <c r="B38" s="29" t="s">
        <v>2449</v>
      </c>
    </row>
    <row r="39" customFormat="false" ht="14.25" hidden="false" customHeight="false" outlineLevel="0" collapsed="false">
      <c r="A39" s="28" t="s">
        <v>2450</v>
      </c>
      <c r="B39" s="29" t="s">
        <v>2451</v>
      </c>
    </row>
    <row r="40" customFormat="false" ht="14.25" hidden="false" customHeight="false" outlineLevel="0" collapsed="false">
      <c r="A40" s="28" t="s">
        <v>153</v>
      </c>
      <c r="B40" s="29" t="s">
        <v>2452</v>
      </c>
    </row>
    <row r="41" customFormat="false" ht="14.25" hidden="false" customHeight="false" outlineLevel="0" collapsed="false">
      <c r="A41" s="28" t="s">
        <v>154</v>
      </c>
      <c r="B41" s="29" t="s">
        <v>2453</v>
      </c>
    </row>
    <row r="42" customFormat="false" ht="14.25" hidden="false" customHeight="false" outlineLevel="0" collapsed="false">
      <c r="A42" s="28" t="s">
        <v>2454</v>
      </c>
      <c r="B42" s="29" t="s">
        <v>2455</v>
      </c>
    </row>
    <row r="43" customFormat="false" ht="14.25" hidden="false" customHeight="false" outlineLevel="0" collapsed="false">
      <c r="A43" s="28" t="s">
        <v>159</v>
      </c>
      <c r="B43" s="29" t="s">
        <v>2456</v>
      </c>
    </row>
    <row r="44" customFormat="false" ht="14.25" hidden="false" customHeight="false" outlineLevel="0" collapsed="false">
      <c r="A44" s="28" t="s">
        <v>160</v>
      </c>
      <c r="B44" s="29" t="s">
        <v>2457</v>
      </c>
    </row>
    <row r="45" customFormat="false" ht="35.05" hidden="false" customHeight="false" outlineLevel="0" collapsed="false">
      <c r="A45" s="28" t="s">
        <v>2458</v>
      </c>
      <c r="B45" s="29" t="s">
        <v>2459</v>
      </c>
    </row>
    <row r="46" customFormat="false" ht="14.25" hidden="false" customHeight="false" outlineLevel="0" collapsed="false">
      <c r="A46" s="28"/>
      <c r="B46" s="29"/>
    </row>
    <row r="47" customFormat="false" ht="14.25" hidden="false" customHeight="false" outlineLevel="0" collapsed="false">
      <c r="A47" s="26" t="s">
        <v>2460</v>
      </c>
    </row>
    <row r="48" customFormat="false" ht="23.85" hidden="false" customHeight="false" outlineLevel="0" collapsed="false">
      <c r="A48" s="28" t="s">
        <v>13</v>
      </c>
      <c r="B48" s="29" t="s">
        <v>2461</v>
      </c>
    </row>
    <row r="49" customFormat="false" ht="14.25" hidden="false" customHeight="false" outlineLevel="0" collapsed="false">
      <c r="A49" s="28" t="s">
        <v>2462</v>
      </c>
      <c r="B49" s="29" t="s">
        <v>2463</v>
      </c>
    </row>
    <row r="50" customFormat="false" ht="23.85" hidden="false" customHeight="false" outlineLevel="0" collapsed="false">
      <c r="A50" s="28" t="s">
        <v>2464</v>
      </c>
      <c r="B50" s="29" t="s">
        <v>2465</v>
      </c>
    </row>
    <row r="51" customFormat="false" ht="14.25" hidden="false" customHeight="false" outlineLevel="0" collapsed="false">
      <c r="A51" s="28" t="s">
        <v>2466</v>
      </c>
      <c r="B51" s="29" t="s">
        <v>2467</v>
      </c>
    </row>
    <row r="52" customFormat="false" ht="14.25" hidden="false" customHeight="false" outlineLevel="0" collapsed="false">
      <c r="A52" s="28" t="s">
        <v>2468</v>
      </c>
      <c r="B52" s="29" t="s">
        <v>2469</v>
      </c>
    </row>
    <row r="53" customFormat="false" ht="46.25" hidden="false" customHeight="false" outlineLevel="0" collapsed="false">
      <c r="A53" s="28" t="s">
        <v>452</v>
      </c>
      <c r="B53" s="29" t="s">
        <v>2470</v>
      </c>
    </row>
    <row r="54" customFormat="false" ht="14.25" hidden="false" customHeight="false" outlineLevel="0" collapsed="false">
      <c r="A54" s="28" t="s">
        <v>453</v>
      </c>
      <c r="B54" s="29" t="s">
        <v>2471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2026-07-14T19:03:06Z</dcterms:created>
  <dc:creator>openpyxl</dc:creator>
  <dc:description/>
  <dc:language>en-US</dc:language>
  <cp:lastModifiedBy>Alicia Jin</cp:lastModifiedBy>
  <cp:lastPrinted>2026-07-15T16:29:53Z</cp:lastPrinted>
  <dcterms:modified xsi:type="dcterms:W3CDTF">2026-07-15T19:44:28Z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