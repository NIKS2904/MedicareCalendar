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uhuiJin\Downloads\"/>
    </mc:Choice>
  </mc:AlternateContent>
  <xr:revisionPtr revIDLastSave="0" documentId="13_ncr:1_{CCD2C755-C8CB-4820-9AF6-816B7D8A76CB}" xr6:coauthVersionLast="47" xr6:coauthVersionMax="47" xr10:uidLastSave="{00000000-0000-0000-0000-000000000000}"/>
  <bookViews>
    <workbookView xWindow="-110" yWindow="-110" windowWidth="19420" windowHeight="10300" tabRatio="500" xr2:uid="{00000000-000D-0000-FFFF-FFFF00000000}"/>
  </bookViews>
  <sheets>
    <sheet name="Daily Grid" sheetId="1" r:id="rId1"/>
    <sheet name="Events" sheetId="2" r:id="rId2"/>
    <sheet name="FEMA Disasters" sheetId="3" r:id="rId3"/>
    <sheet name="Fed Register" sheetId="4" r:id="rId4"/>
    <sheet name="Legend" sheetId="6" r:id="rId5"/>
  </sheets>
  <definedNames>
    <definedName name="_xlnm._FilterDatabase" localSheetId="0" hidden="1">'Daily Grid'!$A$1:$I$883</definedName>
    <definedName name="_xlnm._FilterDatabase" localSheetId="1" hidden="1">Events!$A$1:$F$397</definedName>
    <definedName name="_xlnm._FilterDatabase" localSheetId="3" hidden="1">'Fed Register'!$A$1:$L$642</definedName>
    <definedName name="_xlnm._FilterDatabase" localSheetId="2" hidden="1">'FEMA Disasters'!$A$1:$K$355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355" i="3" l="1"/>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K38" i="3"/>
  <c r="L38" i="3" s="1"/>
  <c r="L37" i="3"/>
  <c r="K37" i="3"/>
  <c r="L36" i="3"/>
  <c r="K36" i="3"/>
  <c r="L35" i="3"/>
  <c r="K35" i="3"/>
  <c r="L34" i="3"/>
  <c r="K34" i="3"/>
  <c r="L33" i="3"/>
  <c r="K33" i="3"/>
  <c r="K32" i="3"/>
  <c r="L32" i="3" s="1"/>
  <c r="K31" i="3"/>
  <c r="L31" i="3" s="1"/>
  <c r="K30" i="3"/>
  <c r="L30" i="3" s="1"/>
  <c r="L29" i="3"/>
  <c r="K29" i="3"/>
  <c r="L28" i="3"/>
  <c r="K28" i="3"/>
  <c r="L27" i="3"/>
  <c r="K27" i="3"/>
  <c r="L26" i="3"/>
  <c r="K26" i="3"/>
  <c r="L25" i="3"/>
  <c r="K25" i="3"/>
  <c r="K24" i="3"/>
  <c r="L24" i="3" s="1"/>
  <c r="K23" i="3"/>
  <c r="L23" i="3" s="1"/>
  <c r="K22" i="3"/>
  <c r="L22" i="3" s="1"/>
  <c r="L21" i="3"/>
  <c r="K21" i="3"/>
  <c r="L20" i="3"/>
  <c r="K20" i="3"/>
  <c r="L19" i="3"/>
  <c r="K19" i="3"/>
  <c r="L18" i="3"/>
  <c r="K18" i="3"/>
  <c r="L17" i="3"/>
  <c r="K17" i="3"/>
  <c r="K16" i="3"/>
  <c r="L16" i="3" s="1"/>
  <c r="K15" i="3"/>
  <c r="L15" i="3" s="1"/>
  <c r="K14" i="3"/>
  <c r="L14" i="3" s="1"/>
  <c r="L13" i="3"/>
  <c r="K13" i="3"/>
  <c r="L12" i="3"/>
  <c r="K12" i="3"/>
  <c r="L11" i="3"/>
  <c r="K11" i="3"/>
  <c r="L10" i="3"/>
  <c r="K10" i="3"/>
  <c r="L9" i="3"/>
  <c r="K9" i="3"/>
  <c r="K8" i="3"/>
  <c r="L8" i="3" s="1"/>
  <c r="K7" i="3"/>
  <c r="L7" i="3" s="1"/>
  <c r="K6" i="3"/>
  <c r="L6" i="3" s="1"/>
  <c r="L5" i="3"/>
  <c r="K5" i="3"/>
  <c r="L4" i="3"/>
  <c r="K4" i="3"/>
  <c r="L3" i="3"/>
  <c r="K3" i="3"/>
  <c r="L2" i="3"/>
  <c r="K2" i="3"/>
  <c r="I883" i="1" a="1"/>
  <c r="I883" i="1" s="1"/>
  <c r="H883" i="1"/>
  <c r="F883" i="1"/>
  <c r="E883" i="1"/>
  <c r="D883" i="1"/>
  <c r="C883" i="1"/>
  <c r="B883" i="1"/>
  <c r="I882" i="1" a="1"/>
  <c r="I882" i="1" s="1"/>
  <c r="H882" i="1"/>
  <c r="F882" i="1"/>
  <c r="E882" i="1"/>
  <c r="D882" i="1"/>
  <c r="C882" i="1"/>
  <c r="B882" i="1"/>
  <c r="I881" i="1" a="1"/>
  <c r="I881" i="1" s="1"/>
  <c r="H881" i="1"/>
  <c r="F881" i="1"/>
  <c r="E881" i="1"/>
  <c r="D881" i="1"/>
  <c r="C881" i="1"/>
  <c r="B881" i="1"/>
  <c r="I880" i="1" a="1"/>
  <c r="I880" i="1" s="1"/>
  <c r="H880" i="1"/>
  <c r="F880" i="1"/>
  <c r="E880" i="1"/>
  <c r="D880" i="1"/>
  <c r="C880" i="1"/>
  <c r="B880" i="1"/>
  <c r="I879" i="1" a="1"/>
  <c r="I879" i="1" s="1"/>
  <c r="H879" i="1"/>
  <c r="F879" i="1"/>
  <c r="E879" i="1"/>
  <c r="D879" i="1"/>
  <c r="C879" i="1"/>
  <c r="B879" i="1"/>
  <c r="I878" i="1" a="1"/>
  <c r="I878" i="1" s="1"/>
  <c r="H878" i="1"/>
  <c r="F878" i="1"/>
  <c r="E878" i="1"/>
  <c r="D878" i="1"/>
  <c r="C878" i="1"/>
  <c r="B878" i="1"/>
  <c r="I877" i="1" a="1"/>
  <c r="I877" i="1" s="1"/>
  <c r="H877" i="1"/>
  <c r="F877" i="1"/>
  <c r="E877" i="1"/>
  <c r="D877" i="1"/>
  <c r="C877" i="1"/>
  <c r="B877" i="1"/>
  <c r="I876" i="1" a="1"/>
  <c r="I876" i="1" s="1"/>
  <c r="H876" i="1"/>
  <c r="F876" i="1"/>
  <c r="E876" i="1"/>
  <c r="D876" i="1"/>
  <c r="C876" i="1"/>
  <c r="B876" i="1"/>
  <c r="I875" i="1" a="1"/>
  <c r="I875" i="1" s="1"/>
  <c r="H875" i="1"/>
  <c r="F875" i="1"/>
  <c r="E875" i="1"/>
  <c r="D875" i="1"/>
  <c r="C875" i="1"/>
  <c r="B875" i="1"/>
  <c r="I874" i="1" a="1"/>
  <c r="I874" i="1" s="1"/>
  <c r="H874" i="1"/>
  <c r="F874" i="1"/>
  <c r="E874" i="1"/>
  <c r="D874" i="1"/>
  <c r="C874" i="1"/>
  <c r="B874" i="1"/>
  <c r="I873" i="1" a="1"/>
  <c r="I873" i="1" s="1"/>
  <c r="H873" i="1"/>
  <c r="G873" i="1" a="1"/>
  <c r="G873" i="1" s="1"/>
  <c r="F873" i="1"/>
  <c r="E873" i="1"/>
  <c r="D873" i="1"/>
  <c r="C873" i="1"/>
  <c r="B873" i="1"/>
  <c r="I872" i="1" a="1"/>
  <c r="I872" i="1" s="1"/>
  <c r="H872" i="1"/>
  <c r="F872" i="1"/>
  <c r="E872" i="1"/>
  <c r="D872" i="1"/>
  <c r="C872" i="1"/>
  <c r="B872" i="1"/>
  <c r="I871" i="1" a="1"/>
  <c r="I871" i="1" s="1"/>
  <c r="H871" i="1"/>
  <c r="G871" i="1" a="1"/>
  <c r="G871" i="1" s="1"/>
  <c r="F871" i="1"/>
  <c r="E871" i="1"/>
  <c r="D871" i="1"/>
  <c r="C871" i="1"/>
  <c r="B871" i="1"/>
  <c r="I870" i="1" a="1"/>
  <c r="I870" i="1" s="1"/>
  <c r="H870" i="1"/>
  <c r="F870" i="1"/>
  <c r="E870" i="1"/>
  <c r="D870" i="1"/>
  <c r="C870" i="1"/>
  <c r="B870" i="1"/>
  <c r="I869" i="1" a="1"/>
  <c r="I869" i="1" s="1"/>
  <c r="H869" i="1"/>
  <c r="F869" i="1"/>
  <c r="E869" i="1"/>
  <c r="D869" i="1"/>
  <c r="C869" i="1"/>
  <c r="B869" i="1"/>
  <c r="I868" i="1" a="1"/>
  <c r="I868" i="1" s="1"/>
  <c r="H868" i="1"/>
  <c r="F868" i="1"/>
  <c r="E868" i="1"/>
  <c r="D868" i="1"/>
  <c r="C868" i="1"/>
  <c r="B868" i="1"/>
  <c r="I867" i="1" a="1"/>
  <c r="I867" i="1" s="1"/>
  <c r="H867" i="1"/>
  <c r="G867" i="1" a="1"/>
  <c r="G867" i="1" s="1"/>
  <c r="F867" i="1"/>
  <c r="E867" i="1"/>
  <c r="D867" i="1"/>
  <c r="C867" i="1"/>
  <c r="B867" i="1"/>
  <c r="I866" i="1" a="1"/>
  <c r="I866" i="1" s="1"/>
  <c r="H866" i="1"/>
  <c r="G866" i="1" a="1"/>
  <c r="G866" i="1" s="1"/>
  <c r="F866" i="1"/>
  <c r="E866" i="1"/>
  <c r="D866" i="1"/>
  <c r="C866" i="1"/>
  <c r="B866" i="1"/>
  <c r="I865" i="1" a="1"/>
  <c r="I865" i="1" s="1"/>
  <c r="H865" i="1"/>
  <c r="G865" i="1" a="1"/>
  <c r="G865" i="1" s="1"/>
  <c r="F865" i="1"/>
  <c r="E865" i="1"/>
  <c r="D865" i="1"/>
  <c r="C865" i="1"/>
  <c r="B865" i="1"/>
  <c r="I864" i="1" a="1"/>
  <c r="I864" i="1" s="1"/>
  <c r="H864" i="1"/>
  <c r="G864" i="1" a="1"/>
  <c r="G864" i="1" s="1"/>
  <c r="F864" i="1"/>
  <c r="E864" i="1"/>
  <c r="D864" i="1"/>
  <c r="C864" i="1"/>
  <c r="B864" i="1"/>
  <c r="I863" i="1" a="1"/>
  <c r="I863" i="1" s="1"/>
  <c r="H863" i="1"/>
  <c r="G863" i="1" a="1"/>
  <c r="G863" i="1" s="1"/>
  <c r="F863" i="1"/>
  <c r="E863" i="1"/>
  <c r="D863" i="1"/>
  <c r="C863" i="1"/>
  <c r="B863" i="1"/>
  <c r="I862" i="1" a="1"/>
  <c r="I862" i="1" s="1"/>
  <c r="H862" i="1"/>
  <c r="F862" i="1"/>
  <c r="E862" i="1"/>
  <c r="D862" i="1"/>
  <c r="C862" i="1"/>
  <c r="B862" i="1"/>
  <c r="I861" i="1" a="1"/>
  <c r="I861" i="1" s="1"/>
  <c r="H861" i="1"/>
  <c r="F861" i="1"/>
  <c r="E861" i="1"/>
  <c r="D861" i="1"/>
  <c r="C861" i="1"/>
  <c r="B861" i="1"/>
  <c r="I860" i="1" a="1"/>
  <c r="I860" i="1" s="1"/>
  <c r="H860" i="1"/>
  <c r="F860" i="1"/>
  <c r="E860" i="1"/>
  <c r="D860" i="1"/>
  <c r="C860" i="1"/>
  <c r="B860" i="1"/>
  <c r="I859" i="1" a="1"/>
  <c r="I859" i="1" s="1"/>
  <c r="H859" i="1"/>
  <c r="G859" i="1" a="1"/>
  <c r="G859" i="1" s="1"/>
  <c r="F859" i="1"/>
  <c r="E859" i="1"/>
  <c r="D859" i="1"/>
  <c r="C859" i="1"/>
  <c r="B859" i="1"/>
  <c r="I858" i="1" a="1"/>
  <c r="I858" i="1" s="1"/>
  <c r="H858" i="1"/>
  <c r="G858" i="1" a="1"/>
  <c r="G858" i="1" s="1"/>
  <c r="F858" i="1"/>
  <c r="E858" i="1"/>
  <c r="D858" i="1"/>
  <c r="C858" i="1"/>
  <c r="B858" i="1"/>
  <c r="I857" i="1" a="1"/>
  <c r="I857" i="1" s="1"/>
  <c r="H857" i="1"/>
  <c r="G857" i="1" a="1"/>
  <c r="G857" i="1" s="1"/>
  <c r="F857" i="1"/>
  <c r="E857" i="1"/>
  <c r="D857" i="1"/>
  <c r="C857" i="1"/>
  <c r="B857" i="1"/>
  <c r="I856" i="1" a="1"/>
  <c r="I856" i="1" s="1"/>
  <c r="H856" i="1"/>
  <c r="G856" i="1" a="1"/>
  <c r="G856" i="1" s="1"/>
  <c r="F856" i="1"/>
  <c r="E856" i="1"/>
  <c r="D856" i="1"/>
  <c r="C856" i="1"/>
  <c r="B856" i="1"/>
  <c r="I855" i="1" a="1"/>
  <c r="I855" i="1" s="1"/>
  <c r="H855" i="1"/>
  <c r="G855" i="1" a="1"/>
  <c r="G855" i="1" s="1"/>
  <c r="F855" i="1"/>
  <c r="E855" i="1"/>
  <c r="D855" i="1"/>
  <c r="C855" i="1"/>
  <c r="B855" i="1"/>
  <c r="I854" i="1" a="1"/>
  <c r="I854" i="1" s="1"/>
  <c r="H854" i="1"/>
  <c r="G854" i="1" a="1"/>
  <c r="G854" i="1" s="1"/>
  <c r="F854" i="1"/>
  <c r="E854" i="1"/>
  <c r="D854" i="1"/>
  <c r="C854" i="1"/>
  <c r="B854" i="1"/>
  <c r="I853" i="1" a="1"/>
  <c r="I853" i="1" s="1"/>
  <c r="H853" i="1"/>
  <c r="F853" i="1"/>
  <c r="E853" i="1"/>
  <c r="D853" i="1"/>
  <c r="C853" i="1"/>
  <c r="B853" i="1"/>
  <c r="I852" i="1" a="1"/>
  <c r="I852" i="1" s="1"/>
  <c r="H852" i="1"/>
  <c r="G852" i="1" a="1"/>
  <c r="G852" i="1" s="1"/>
  <c r="F852" i="1"/>
  <c r="E852" i="1"/>
  <c r="D852" i="1"/>
  <c r="C852" i="1"/>
  <c r="B852" i="1"/>
  <c r="I851" i="1" a="1"/>
  <c r="I851" i="1" s="1"/>
  <c r="H851" i="1"/>
  <c r="G851" i="1" a="1"/>
  <c r="G851" i="1" s="1"/>
  <c r="F851" i="1"/>
  <c r="E851" i="1"/>
  <c r="D851" i="1"/>
  <c r="C851" i="1"/>
  <c r="B851" i="1"/>
  <c r="I850" i="1" a="1"/>
  <c r="I850" i="1" s="1"/>
  <c r="H850" i="1"/>
  <c r="G850" i="1" a="1"/>
  <c r="G850" i="1" s="1"/>
  <c r="F850" i="1"/>
  <c r="E850" i="1"/>
  <c r="D850" i="1"/>
  <c r="C850" i="1"/>
  <c r="B850" i="1"/>
  <c r="I849" i="1" a="1"/>
  <c r="I849" i="1" s="1"/>
  <c r="H849" i="1"/>
  <c r="G849" i="1" a="1"/>
  <c r="G849" i="1" s="1"/>
  <c r="F849" i="1"/>
  <c r="E849" i="1"/>
  <c r="D849" i="1"/>
  <c r="C849" i="1"/>
  <c r="B849" i="1"/>
  <c r="I848" i="1" a="1"/>
  <c r="I848" i="1" s="1"/>
  <c r="H848" i="1"/>
  <c r="G848" i="1" a="1"/>
  <c r="G848" i="1" s="1"/>
  <c r="F848" i="1"/>
  <c r="E848" i="1"/>
  <c r="D848" i="1"/>
  <c r="C848" i="1"/>
  <c r="B848" i="1"/>
  <c r="I847" i="1" a="1"/>
  <c r="I847" i="1" s="1"/>
  <c r="H847" i="1"/>
  <c r="G847" i="1" a="1"/>
  <c r="G847" i="1" s="1"/>
  <c r="F847" i="1"/>
  <c r="E847" i="1"/>
  <c r="D847" i="1"/>
  <c r="C847" i="1"/>
  <c r="B847" i="1"/>
  <c r="I846" i="1" a="1"/>
  <c r="I846" i="1" s="1"/>
  <c r="H846" i="1"/>
  <c r="G846" i="1" a="1"/>
  <c r="G846" i="1" s="1"/>
  <c r="F846" i="1"/>
  <c r="E846" i="1"/>
  <c r="D846" i="1"/>
  <c r="C846" i="1"/>
  <c r="B846" i="1"/>
  <c r="I845" i="1" a="1"/>
  <c r="I845" i="1" s="1"/>
  <c r="H845" i="1"/>
  <c r="G845" i="1" a="1"/>
  <c r="G845" i="1" s="1"/>
  <c r="F845" i="1"/>
  <c r="E845" i="1"/>
  <c r="D845" i="1"/>
  <c r="C845" i="1"/>
  <c r="B845" i="1"/>
  <c r="I844" i="1" a="1"/>
  <c r="I844" i="1" s="1"/>
  <c r="H844" i="1"/>
  <c r="G844" i="1" a="1"/>
  <c r="G844" i="1" s="1"/>
  <c r="F844" i="1"/>
  <c r="E844" i="1"/>
  <c r="D844" i="1"/>
  <c r="C844" i="1"/>
  <c r="B844" i="1"/>
  <c r="I843" i="1" a="1"/>
  <c r="I843" i="1" s="1"/>
  <c r="H843" i="1"/>
  <c r="G843" i="1" a="1"/>
  <c r="G843" i="1" s="1"/>
  <c r="F843" i="1"/>
  <c r="E843" i="1"/>
  <c r="D843" i="1"/>
  <c r="C843" i="1"/>
  <c r="B843" i="1"/>
  <c r="I842" i="1" a="1"/>
  <c r="I842" i="1" s="1"/>
  <c r="H842" i="1"/>
  <c r="G842" i="1" a="1"/>
  <c r="G842" i="1" s="1"/>
  <c r="F842" i="1"/>
  <c r="E842" i="1"/>
  <c r="D842" i="1"/>
  <c r="C842" i="1"/>
  <c r="B842" i="1"/>
  <c r="I841" i="1" a="1"/>
  <c r="I841" i="1" s="1"/>
  <c r="H841" i="1"/>
  <c r="G841" i="1" a="1"/>
  <c r="G841" i="1" s="1"/>
  <c r="F841" i="1"/>
  <c r="E841" i="1"/>
  <c r="D841" i="1"/>
  <c r="C841" i="1"/>
  <c r="B841" i="1"/>
  <c r="I840" i="1" a="1"/>
  <c r="I840" i="1" s="1"/>
  <c r="H840" i="1"/>
  <c r="G840" i="1" a="1"/>
  <c r="G840" i="1" s="1"/>
  <c r="F840" i="1"/>
  <c r="E840" i="1"/>
  <c r="D840" i="1"/>
  <c r="C840" i="1"/>
  <c r="B840" i="1"/>
  <c r="I839" i="1" a="1"/>
  <c r="I839" i="1" s="1"/>
  <c r="H839" i="1"/>
  <c r="G839" i="1" a="1"/>
  <c r="G839" i="1" s="1"/>
  <c r="F839" i="1"/>
  <c r="E839" i="1"/>
  <c r="D839" i="1"/>
  <c r="C839" i="1"/>
  <c r="B839" i="1"/>
  <c r="I838" i="1" a="1"/>
  <c r="I838" i="1" s="1"/>
  <c r="H838" i="1"/>
  <c r="G838" i="1" a="1"/>
  <c r="G838" i="1" s="1"/>
  <c r="F838" i="1"/>
  <c r="E838" i="1"/>
  <c r="D838" i="1"/>
  <c r="C838" i="1"/>
  <c r="B838" i="1"/>
  <c r="I837" i="1" a="1"/>
  <c r="I837" i="1" s="1"/>
  <c r="H837" i="1"/>
  <c r="G837" i="1" a="1"/>
  <c r="G837" i="1" s="1"/>
  <c r="F837" i="1"/>
  <c r="E837" i="1"/>
  <c r="D837" i="1"/>
  <c r="C837" i="1"/>
  <c r="B837" i="1"/>
  <c r="I836" i="1" a="1"/>
  <c r="I836" i="1" s="1"/>
  <c r="H836" i="1"/>
  <c r="G836" i="1" a="1"/>
  <c r="G836" i="1" s="1"/>
  <c r="F836" i="1"/>
  <c r="E836" i="1"/>
  <c r="D836" i="1"/>
  <c r="C836" i="1"/>
  <c r="B836" i="1"/>
  <c r="I835" i="1" a="1"/>
  <c r="I835" i="1" s="1"/>
  <c r="H835" i="1"/>
  <c r="G835" i="1" a="1"/>
  <c r="G835" i="1" s="1"/>
  <c r="F835" i="1"/>
  <c r="E835" i="1"/>
  <c r="D835" i="1"/>
  <c r="C835" i="1"/>
  <c r="B835" i="1"/>
  <c r="I834" i="1" a="1"/>
  <c r="I834" i="1" s="1"/>
  <c r="H834" i="1"/>
  <c r="G834" i="1" a="1"/>
  <c r="G834" i="1" s="1"/>
  <c r="F834" i="1"/>
  <c r="E834" i="1"/>
  <c r="D834" i="1"/>
  <c r="C834" i="1"/>
  <c r="B834" i="1"/>
  <c r="I833" i="1" a="1"/>
  <c r="I833" i="1" s="1"/>
  <c r="H833" i="1"/>
  <c r="G833" i="1" a="1"/>
  <c r="G833" i="1" s="1"/>
  <c r="F833" i="1"/>
  <c r="E833" i="1"/>
  <c r="D833" i="1"/>
  <c r="C833" i="1"/>
  <c r="B833" i="1"/>
  <c r="I832" i="1" a="1"/>
  <c r="I832" i="1" s="1"/>
  <c r="H832" i="1"/>
  <c r="G832" i="1" a="1"/>
  <c r="G832" i="1" s="1"/>
  <c r="F832" i="1"/>
  <c r="E832" i="1"/>
  <c r="D832" i="1"/>
  <c r="C832" i="1"/>
  <c r="B832" i="1"/>
  <c r="I831" i="1" a="1"/>
  <c r="I831" i="1" s="1"/>
  <c r="H831" i="1"/>
  <c r="G831" i="1" a="1"/>
  <c r="G831" i="1" s="1"/>
  <c r="F831" i="1"/>
  <c r="E831" i="1"/>
  <c r="D831" i="1"/>
  <c r="C831" i="1"/>
  <c r="B831" i="1"/>
  <c r="I830" i="1" a="1"/>
  <c r="I830" i="1" s="1"/>
  <c r="H830" i="1"/>
  <c r="G830" i="1" a="1"/>
  <c r="G830" i="1" s="1"/>
  <c r="F830" i="1"/>
  <c r="E830" i="1"/>
  <c r="D830" i="1"/>
  <c r="C830" i="1"/>
  <c r="B830" i="1"/>
  <c r="I829" i="1" a="1"/>
  <c r="I829" i="1" s="1"/>
  <c r="H829" i="1"/>
  <c r="G829" i="1" a="1"/>
  <c r="G829" i="1" s="1"/>
  <c r="F829" i="1"/>
  <c r="E829" i="1"/>
  <c r="D829" i="1"/>
  <c r="C829" i="1"/>
  <c r="B829" i="1"/>
  <c r="I828" i="1" a="1"/>
  <c r="I828" i="1" s="1"/>
  <c r="H828" i="1"/>
  <c r="G828" i="1" a="1"/>
  <c r="G828" i="1" s="1"/>
  <c r="F828" i="1"/>
  <c r="E828" i="1"/>
  <c r="D828" i="1"/>
  <c r="C828" i="1"/>
  <c r="B828" i="1"/>
  <c r="I827" i="1" a="1"/>
  <c r="I827" i="1" s="1"/>
  <c r="H827" i="1"/>
  <c r="G827" i="1" a="1"/>
  <c r="G827" i="1" s="1"/>
  <c r="F827" i="1"/>
  <c r="E827" i="1"/>
  <c r="D827" i="1"/>
  <c r="C827" i="1"/>
  <c r="B827" i="1"/>
  <c r="I826" i="1" a="1"/>
  <c r="I826" i="1" s="1"/>
  <c r="H826" i="1"/>
  <c r="G826" i="1" a="1"/>
  <c r="G826" i="1" s="1"/>
  <c r="F826" i="1"/>
  <c r="E826" i="1"/>
  <c r="D826" i="1"/>
  <c r="C826" i="1"/>
  <c r="B826" i="1"/>
  <c r="I825" i="1" a="1"/>
  <c r="I825" i="1" s="1"/>
  <c r="H825" i="1"/>
  <c r="G825" i="1" a="1"/>
  <c r="G825" i="1" s="1"/>
  <c r="F825" i="1"/>
  <c r="E825" i="1"/>
  <c r="D825" i="1"/>
  <c r="C825" i="1"/>
  <c r="B825" i="1"/>
  <c r="I824" i="1" a="1"/>
  <c r="I824" i="1" s="1"/>
  <c r="H824" i="1"/>
  <c r="G824" i="1" a="1"/>
  <c r="G824" i="1" s="1"/>
  <c r="F824" i="1"/>
  <c r="E824" i="1"/>
  <c r="D824" i="1"/>
  <c r="C824" i="1"/>
  <c r="B824" i="1"/>
  <c r="I823" i="1" a="1"/>
  <c r="I823" i="1" s="1"/>
  <c r="H823" i="1"/>
  <c r="G823" i="1" a="1"/>
  <c r="G823" i="1" s="1"/>
  <c r="F823" i="1"/>
  <c r="E823" i="1"/>
  <c r="D823" i="1"/>
  <c r="C823" i="1"/>
  <c r="B823" i="1"/>
  <c r="I822" i="1" a="1"/>
  <c r="I822" i="1" s="1"/>
  <c r="H822" i="1"/>
  <c r="G822" i="1" a="1"/>
  <c r="G822" i="1" s="1"/>
  <c r="F822" i="1"/>
  <c r="E822" i="1"/>
  <c r="D822" i="1"/>
  <c r="C822" i="1"/>
  <c r="B822" i="1"/>
  <c r="I821" i="1" a="1"/>
  <c r="I821" i="1" s="1"/>
  <c r="H821" i="1"/>
  <c r="G821" i="1" a="1"/>
  <c r="G821" i="1" s="1"/>
  <c r="F821" i="1"/>
  <c r="E821" i="1"/>
  <c r="D821" i="1"/>
  <c r="C821" i="1"/>
  <c r="B821" i="1"/>
  <c r="I820" i="1" a="1"/>
  <c r="I820" i="1" s="1"/>
  <c r="H820" i="1"/>
  <c r="G820" i="1" a="1"/>
  <c r="G820" i="1" s="1"/>
  <c r="F820" i="1"/>
  <c r="E820" i="1"/>
  <c r="D820" i="1"/>
  <c r="C820" i="1"/>
  <c r="B820" i="1"/>
  <c r="I819" i="1" a="1"/>
  <c r="I819" i="1" s="1"/>
  <c r="H819" i="1"/>
  <c r="G819" i="1" a="1"/>
  <c r="G819" i="1" s="1"/>
  <c r="F819" i="1"/>
  <c r="E819" i="1"/>
  <c r="D819" i="1"/>
  <c r="C819" i="1"/>
  <c r="B819" i="1"/>
  <c r="I818" i="1" a="1"/>
  <c r="I818" i="1" s="1"/>
  <c r="H818" i="1"/>
  <c r="G818" i="1" a="1"/>
  <c r="G818" i="1" s="1"/>
  <c r="F818" i="1"/>
  <c r="E818" i="1"/>
  <c r="D818" i="1"/>
  <c r="C818" i="1"/>
  <c r="B818" i="1"/>
  <c r="I817" i="1" a="1"/>
  <c r="I817" i="1" s="1"/>
  <c r="H817" i="1"/>
  <c r="G817" i="1" a="1"/>
  <c r="G817" i="1" s="1"/>
  <c r="F817" i="1"/>
  <c r="E817" i="1"/>
  <c r="D817" i="1"/>
  <c r="C817" i="1"/>
  <c r="B817" i="1"/>
  <c r="I816" i="1" a="1"/>
  <c r="I816" i="1" s="1"/>
  <c r="H816" i="1"/>
  <c r="G816" i="1" a="1"/>
  <c r="G816" i="1" s="1"/>
  <c r="F816" i="1"/>
  <c r="E816" i="1"/>
  <c r="D816" i="1"/>
  <c r="C816" i="1"/>
  <c r="B816" i="1"/>
  <c r="I815" i="1" a="1"/>
  <c r="I815" i="1" s="1"/>
  <c r="H815" i="1"/>
  <c r="G815" i="1" a="1"/>
  <c r="G815" i="1" s="1"/>
  <c r="F815" i="1"/>
  <c r="E815" i="1"/>
  <c r="D815" i="1"/>
  <c r="C815" i="1"/>
  <c r="B815" i="1"/>
  <c r="I814" i="1" a="1"/>
  <c r="I814" i="1" s="1"/>
  <c r="H814" i="1"/>
  <c r="G814" i="1" a="1"/>
  <c r="G814" i="1" s="1"/>
  <c r="F814" i="1"/>
  <c r="E814" i="1"/>
  <c r="D814" i="1"/>
  <c r="C814" i="1"/>
  <c r="B814" i="1"/>
  <c r="I813" i="1" a="1"/>
  <c r="I813" i="1" s="1"/>
  <c r="H813" i="1"/>
  <c r="G813" i="1" a="1"/>
  <c r="G813" i="1" s="1"/>
  <c r="F813" i="1"/>
  <c r="E813" i="1"/>
  <c r="D813" i="1"/>
  <c r="C813" i="1"/>
  <c r="B813" i="1"/>
  <c r="I812" i="1" a="1"/>
  <c r="I812" i="1" s="1"/>
  <c r="H812" i="1"/>
  <c r="G812" i="1" a="1"/>
  <c r="G812" i="1" s="1"/>
  <c r="F812" i="1"/>
  <c r="E812" i="1"/>
  <c r="D812" i="1"/>
  <c r="C812" i="1"/>
  <c r="B812" i="1"/>
  <c r="I811" i="1" a="1"/>
  <c r="I811" i="1" s="1"/>
  <c r="H811" i="1"/>
  <c r="G811" i="1" a="1"/>
  <c r="G811" i="1" s="1"/>
  <c r="F811" i="1"/>
  <c r="E811" i="1"/>
  <c r="D811" i="1"/>
  <c r="C811" i="1"/>
  <c r="B811" i="1"/>
  <c r="I810" i="1" a="1"/>
  <c r="I810" i="1" s="1"/>
  <c r="H810" i="1"/>
  <c r="G810" i="1" a="1"/>
  <c r="G810" i="1" s="1"/>
  <c r="F810" i="1"/>
  <c r="E810" i="1"/>
  <c r="D810" i="1"/>
  <c r="C810" i="1"/>
  <c r="B810" i="1"/>
  <c r="I809" i="1" a="1"/>
  <c r="I809" i="1" s="1"/>
  <c r="H809" i="1"/>
  <c r="G809" i="1" a="1"/>
  <c r="G809" i="1" s="1"/>
  <c r="F809" i="1"/>
  <c r="E809" i="1"/>
  <c r="D809" i="1"/>
  <c r="C809" i="1"/>
  <c r="B809" i="1"/>
  <c r="I808" i="1" a="1"/>
  <c r="I808" i="1" s="1"/>
  <c r="H808" i="1"/>
  <c r="G808" i="1" a="1"/>
  <c r="G808" i="1" s="1"/>
  <c r="F808" i="1"/>
  <c r="E808" i="1"/>
  <c r="D808" i="1"/>
  <c r="C808" i="1"/>
  <c r="B808" i="1"/>
  <c r="I807" i="1" a="1"/>
  <c r="I807" i="1" s="1"/>
  <c r="H807" i="1"/>
  <c r="G807" i="1" a="1"/>
  <c r="G807" i="1" s="1"/>
  <c r="F807" i="1"/>
  <c r="E807" i="1"/>
  <c r="D807" i="1"/>
  <c r="C807" i="1"/>
  <c r="B807" i="1"/>
  <c r="I806" i="1" a="1"/>
  <c r="I806" i="1" s="1"/>
  <c r="H806" i="1"/>
  <c r="G806" i="1" a="1"/>
  <c r="G806" i="1" s="1"/>
  <c r="F806" i="1"/>
  <c r="E806" i="1"/>
  <c r="D806" i="1"/>
  <c r="C806" i="1"/>
  <c r="B806" i="1"/>
  <c r="I805" i="1" a="1"/>
  <c r="I805" i="1" s="1"/>
  <c r="H805" i="1"/>
  <c r="G805" i="1" a="1"/>
  <c r="G805" i="1" s="1"/>
  <c r="F805" i="1"/>
  <c r="E805" i="1"/>
  <c r="D805" i="1"/>
  <c r="C805" i="1"/>
  <c r="B805" i="1"/>
  <c r="I804" i="1" a="1"/>
  <c r="I804" i="1" s="1"/>
  <c r="H804" i="1"/>
  <c r="G804" i="1" a="1"/>
  <c r="G804" i="1" s="1"/>
  <c r="F804" i="1"/>
  <c r="E804" i="1"/>
  <c r="D804" i="1"/>
  <c r="C804" i="1"/>
  <c r="B804" i="1"/>
  <c r="I803" i="1" a="1"/>
  <c r="I803" i="1" s="1"/>
  <c r="H803" i="1"/>
  <c r="G803" i="1" a="1"/>
  <c r="G803" i="1" s="1"/>
  <c r="F803" i="1"/>
  <c r="E803" i="1"/>
  <c r="D803" i="1"/>
  <c r="C803" i="1"/>
  <c r="B803" i="1"/>
  <c r="I802" i="1" a="1"/>
  <c r="I802" i="1" s="1"/>
  <c r="H802" i="1"/>
  <c r="G802" i="1" a="1"/>
  <c r="G802" i="1" s="1"/>
  <c r="F802" i="1"/>
  <c r="E802" i="1"/>
  <c r="D802" i="1"/>
  <c r="C802" i="1"/>
  <c r="B802" i="1"/>
  <c r="I801" i="1" a="1"/>
  <c r="I801" i="1" s="1"/>
  <c r="H801" i="1"/>
  <c r="G801" i="1" a="1"/>
  <c r="G801" i="1" s="1"/>
  <c r="F801" i="1"/>
  <c r="E801" i="1"/>
  <c r="D801" i="1"/>
  <c r="C801" i="1"/>
  <c r="B801" i="1"/>
  <c r="I800" i="1" a="1"/>
  <c r="I800" i="1" s="1"/>
  <c r="H800" i="1"/>
  <c r="G800" i="1" a="1"/>
  <c r="G800" i="1" s="1"/>
  <c r="F800" i="1"/>
  <c r="E800" i="1"/>
  <c r="D800" i="1"/>
  <c r="C800" i="1"/>
  <c r="B800" i="1"/>
  <c r="I799" i="1" a="1"/>
  <c r="I799" i="1" s="1"/>
  <c r="H799" i="1"/>
  <c r="G799" i="1" a="1"/>
  <c r="G799" i="1" s="1"/>
  <c r="F799" i="1"/>
  <c r="E799" i="1"/>
  <c r="D799" i="1"/>
  <c r="C799" i="1"/>
  <c r="B799" i="1"/>
  <c r="I798" i="1" a="1"/>
  <c r="I798" i="1" s="1"/>
  <c r="H798" i="1"/>
  <c r="G798" i="1" a="1"/>
  <c r="G798" i="1" s="1"/>
  <c r="F798" i="1"/>
  <c r="E798" i="1"/>
  <c r="D798" i="1"/>
  <c r="C798" i="1"/>
  <c r="B798" i="1"/>
  <c r="I797" i="1" a="1"/>
  <c r="I797" i="1" s="1"/>
  <c r="H797" i="1"/>
  <c r="G797" i="1" a="1"/>
  <c r="G797" i="1" s="1"/>
  <c r="F797" i="1"/>
  <c r="E797" i="1"/>
  <c r="D797" i="1"/>
  <c r="C797" i="1"/>
  <c r="B797" i="1"/>
  <c r="I796" i="1" a="1"/>
  <c r="I796" i="1" s="1"/>
  <c r="H796" i="1"/>
  <c r="G796" i="1" a="1"/>
  <c r="G796" i="1" s="1"/>
  <c r="F796" i="1"/>
  <c r="E796" i="1"/>
  <c r="D796" i="1"/>
  <c r="C796" i="1"/>
  <c r="B796" i="1"/>
  <c r="I795" i="1" a="1"/>
  <c r="I795" i="1" s="1"/>
  <c r="H795" i="1"/>
  <c r="G795" i="1" a="1"/>
  <c r="G795" i="1" s="1"/>
  <c r="F795" i="1"/>
  <c r="E795" i="1"/>
  <c r="D795" i="1"/>
  <c r="C795" i="1"/>
  <c r="B795" i="1"/>
  <c r="I794" i="1" a="1"/>
  <c r="I794" i="1" s="1"/>
  <c r="H794" i="1"/>
  <c r="G794" i="1" a="1"/>
  <c r="G794" i="1" s="1"/>
  <c r="F794" i="1"/>
  <c r="E794" i="1"/>
  <c r="D794" i="1"/>
  <c r="C794" i="1"/>
  <c r="B794" i="1"/>
  <c r="I793" i="1" a="1"/>
  <c r="I793" i="1" s="1"/>
  <c r="H793" i="1"/>
  <c r="G793" i="1" a="1"/>
  <c r="G793" i="1" s="1"/>
  <c r="F793" i="1"/>
  <c r="E793" i="1"/>
  <c r="D793" i="1"/>
  <c r="C793" i="1"/>
  <c r="B793" i="1"/>
  <c r="I792" i="1" a="1"/>
  <c r="I792" i="1" s="1"/>
  <c r="H792" i="1"/>
  <c r="G792" i="1" a="1"/>
  <c r="G792" i="1" s="1"/>
  <c r="F792" i="1"/>
  <c r="E792" i="1"/>
  <c r="D792" i="1"/>
  <c r="C792" i="1"/>
  <c r="B792" i="1"/>
  <c r="I791" i="1" a="1"/>
  <c r="I791" i="1" s="1"/>
  <c r="H791" i="1"/>
  <c r="G791" i="1" a="1"/>
  <c r="G791" i="1" s="1"/>
  <c r="F791" i="1"/>
  <c r="E791" i="1"/>
  <c r="D791" i="1"/>
  <c r="C791" i="1"/>
  <c r="B791" i="1"/>
  <c r="I790" i="1" a="1"/>
  <c r="I790" i="1" s="1"/>
  <c r="H790" i="1"/>
  <c r="G790" i="1" a="1"/>
  <c r="G790" i="1" s="1"/>
  <c r="F790" i="1"/>
  <c r="E790" i="1"/>
  <c r="D790" i="1"/>
  <c r="C790" i="1"/>
  <c r="B790" i="1"/>
  <c r="I789" i="1" a="1"/>
  <c r="I789" i="1" s="1"/>
  <c r="H789" i="1"/>
  <c r="G789" i="1" a="1"/>
  <c r="G789" i="1" s="1"/>
  <c r="F789" i="1"/>
  <c r="E789" i="1"/>
  <c r="D789" i="1"/>
  <c r="C789" i="1"/>
  <c r="B789" i="1"/>
  <c r="I788" i="1" a="1"/>
  <c r="I788" i="1" s="1"/>
  <c r="H788" i="1"/>
  <c r="G788" i="1" a="1"/>
  <c r="G788" i="1" s="1"/>
  <c r="F788" i="1"/>
  <c r="E788" i="1"/>
  <c r="D788" i="1"/>
  <c r="C788" i="1"/>
  <c r="B788" i="1"/>
  <c r="I787" i="1" a="1"/>
  <c r="I787" i="1" s="1"/>
  <c r="H787" i="1"/>
  <c r="G787" i="1" a="1"/>
  <c r="G787" i="1" s="1"/>
  <c r="F787" i="1"/>
  <c r="E787" i="1"/>
  <c r="D787" i="1"/>
  <c r="C787" i="1"/>
  <c r="B787" i="1"/>
  <c r="I786" i="1" a="1"/>
  <c r="I786" i="1" s="1"/>
  <c r="H786" i="1"/>
  <c r="G786" i="1" a="1"/>
  <c r="G786" i="1" s="1"/>
  <c r="F786" i="1"/>
  <c r="E786" i="1"/>
  <c r="D786" i="1"/>
  <c r="C786" i="1"/>
  <c r="B786" i="1"/>
  <c r="I785" i="1" a="1"/>
  <c r="I785" i="1" s="1"/>
  <c r="H785" i="1"/>
  <c r="G785" i="1" a="1"/>
  <c r="G785" i="1" s="1"/>
  <c r="F785" i="1"/>
  <c r="E785" i="1"/>
  <c r="D785" i="1"/>
  <c r="C785" i="1"/>
  <c r="B785" i="1"/>
  <c r="I784" i="1" a="1"/>
  <c r="I784" i="1" s="1"/>
  <c r="H784" i="1"/>
  <c r="G784" i="1" a="1"/>
  <c r="G784" i="1" s="1"/>
  <c r="F784" i="1"/>
  <c r="E784" i="1"/>
  <c r="D784" i="1"/>
  <c r="C784" i="1"/>
  <c r="B784" i="1"/>
  <c r="I783" i="1" a="1"/>
  <c r="I783" i="1" s="1"/>
  <c r="H783" i="1"/>
  <c r="G783" i="1" a="1"/>
  <c r="G783" i="1" s="1"/>
  <c r="F783" i="1"/>
  <c r="E783" i="1"/>
  <c r="D783" i="1"/>
  <c r="C783" i="1"/>
  <c r="B783" i="1"/>
  <c r="I782" i="1" a="1"/>
  <c r="I782" i="1" s="1"/>
  <c r="H782" i="1"/>
  <c r="G782" i="1" a="1"/>
  <c r="G782" i="1" s="1"/>
  <c r="F782" i="1"/>
  <c r="E782" i="1"/>
  <c r="D782" i="1"/>
  <c r="C782" i="1"/>
  <c r="B782" i="1"/>
  <c r="I781" i="1" a="1"/>
  <c r="I781" i="1" s="1"/>
  <c r="H781" i="1"/>
  <c r="G781" i="1" a="1"/>
  <c r="G781" i="1" s="1"/>
  <c r="F781" i="1"/>
  <c r="E781" i="1"/>
  <c r="D781" i="1"/>
  <c r="C781" i="1"/>
  <c r="B781" i="1"/>
  <c r="I780" i="1" a="1"/>
  <c r="I780" i="1" s="1"/>
  <c r="H780" i="1"/>
  <c r="G780" i="1" a="1"/>
  <c r="G780" i="1" s="1"/>
  <c r="F780" i="1"/>
  <c r="E780" i="1"/>
  <c r="D780" i="1"/>
  <c r="C780" i="1"/>
  <c r="B780" i="1"/>
  <c r="I779" i="1" a="1"/>
  <c r="I779" i="1" s="1"/>
  <c r="H779" i="1"/>
  <c r="G779" i="1" a="1"/>
  <c r="G779" i="1" s="1"/>
  <c r="F779" i="1"/>
  <c r="E779" i="1"/>
  <c r="D779" i="1"/>
  <c r="C779" i="1"/>
  <c r="B779" i="1"/>
  <c r="I778" i="1" a="1"/>
  <c r="I778" i="1" s="1"/>
  <c r="H778" i="1"/>
  <c r="G778" i="1" a="1"/>
  <c r="G778" i="1" s="1"/>
  <c r="F778" i="1"/>
  <c r="E778" i="1"/>
  <c r="D778" i="1"/>
  <c r="C778" i="1"/>
  <c r="B778" i="1"/>
  <c r="I777" i="1" a="1"/>
  <c r="I777" i="1" s="1"/>
  <c r="H777" i="1"/>
  <c r="G777" i="1" a="1"/>
  <c r="G777" i="1" s="1"/>
  <c r="F777" i="1"/>
  <c r="E777" i="1"/>
  <c r="D777" i="1"/>
  <c r="C777" i="1"/>
  <c r="B777" i="1"/>
  <c r="I776" i="1" a="1"/>
  <c r="I776" i="1" s="1"/>
  <c r="H776" i="1"/>
  <c r="G776" i="1" a="1"/>
  <c r="G776" i="1" s="1"/>
  <c r="F776" i="1"/>
  <c r="E776" i="1"/>
  <c r="D776" i="1"/>
  <c r="C776" i="1"/>
  <c r="B776" i="1"/>
  <c r="I775" i="1" a="1"/>
  <c r="I775" i="1" s="1"/>
  <c r="H775" i="1"/>
  <c r="G775" i="1" a="1"/>
  <c r="G775" i="1" s="1"/>
  <c r="F775" i="1"/>
  <c r="E775" i="1"/>
  <c r="D775" i="1"/>
  <c r="C775" i="1"/>
  <c r="B775" i="1"/>
  <c r="I774" i="1" a="1"/>
  <c r="I774" i="1" s="1"/>
  <c r="H774" i="1"/>
  <c r="G774" i="1" a="1"/>
  <c r="G774" i="1" s="1"/>
  <c r="F774" i="1"/>
  <c r="E774" i="1"/>
  <c r="D774" i="1"/>
  <c r="C774" i="1"/>
  <c r="B774" i="1"/>
  <c r="I773" i="1" a="1"/>
  <c r="I773" i="1" s="1"/>
  <c r="H773" i="1"/>
  <c r="G773" i="1" a="1"/>
  <c r="G773" i="1" s="1"/>
  <c r="F773" i="1"/>
  <c r="E773" i="1"/>
  <c r="D773" i="1"/>
  <c r="C773" i="1"/>
  <c r="B773" i="1"/>
  <c r="I772" i="1" a="1"/>
  <c r="I772" i="1" s="1"/>
  <c r="H772" i="1"/>
  <c r="G772" i="1" a="1"/>
  <c r="G772" i="1" s="1"/>
  <c r="F772" i="1"/>
  <c r="E772" i="1"/>
  <c r="D772" i="1"/>
  <c r="C772" i="1"/>
  <c r="B772" i="1"/>
  <c r="I771" i="1" a="1"/>
  <c r="I771" i="1" s="1"/>
  <c r="H771" i="1"/>
  <c r="G771" i="1" a="1"/>
  <c r="G771" i="1" s="1"/>
  <c r="F771" i="1"/>
  <c r="E771" i="1"/>
  <c r="D771" i="1"/>
  <c r="C771" i="1"/>
  <c r="B771" i="1"/>
  <c r="I770" i="1" a="1"/>
  <c r="I770" i="1" s="1"/>
  <c r="H770" i="1"/>
  <c r="G770" i="1" a="1"/>
  <c r="G770" i="1" s="1"/>
  <c r="F770" i="1"/>
  <c r="E770" i="1"/>
  <c r="D770" i="1"/>
  <c r="C770" i="1"/>
  <c r="B770" i="1"/>
  <c r="I769" i="1" a="1"/>
  <c r="I769" i="1" s="1"/>
  <c r="H769" i="1"/>
  <c r="G769" i="1" a="1"/>
  <c r="G769" i="1" s="1"/>
  <c r="F769" i="1"/>
  <c r="E769" i="1"/>
  <c r="D769" i="1"/>
  <c r="C769" i="1"/>
  <c r="B769" i="1"/>
  <c r="I768" i="1" a="1"/>
  <c r="I768" i="1" s="1"/>
  <c r="H768" i="1"/>
  <c r="G768" i="1" a="1"/>
  <c r="G768" i="1" s="1"/>
  <c r="F768" i="1"/>
  <c r="E768" i="1"/>
  <c r="D768" i="1"/>
  <c r="C768" i="1"/>
  <c r="B768" i="1"/>
  <c r="I767" i="1" a="1"/>
  <c r="I767" i="1" s="1"/>
  <c r="H767" i="1"/>
  <c r="G767" i="1" a="1"/>
  <c r="G767" i="1" s="1"/>
  <c r="F767" i="1"/>
  <c r="E767" i="1"/>
  <c r="D767" i="1"/>
  <c r="C767" i="1"/>
  <c r="B767" i="1"/>
  <c r="I766" i="1" a="1"/>
  <c r="I766" i="1" s="1"/>
  <c r="H766" i="1"/>
  <c r="G766" i="1" a="1"/>
  <c r="G766" i="1" s="1"/>
  <c r="F766" i="1"/>
  <c r="E766" i="1"/>
  <c r="D766" i="1"/>
  <c r="C766" i="1"/>
  <c r="B766" i="1"/>
  <c r="I765" i="1" a="1"/>
  <c r="I765" i="1" s="1"/>
  <c r="H765" i="1"/>
  <c r="G765" i="1" a="1"/>
  <c r="G765" i="1" s="1"/>
  <c r="F765" i="1"/>
  <c r="E765" i="1"/>
  <c r="D765" i="1"/>
  <c r="C765" i="1"/>
  <c r="B765" i="1"/>
  <c r="I764" i="1" a="1"/>
  <c r="I764" i="1" s="1"/>
  <c r="H764" i="1"/>
  <c r="G764" i="1" a="1"/>
  <c r="G764" i="1" s="1"/>
  <c r="F764" i="1"/>
  <c r="E764" i="1"/>
  <c r="D764" i="1"/>
  <c r="C764" i="1"/>
  <c r="B764" i="1"/>
  <c r="I763" i="1" a="1"/>
  <c r="I763" i="1" s="1"/>
  <c r="H763" i="1"/>
  <c r="G763" i="1" a="1"/>
  <c r="G763" i="1" s="1"/>
  <c r="F763" i="1"/>
  <c r="E763" i="1"/>
  <c r="D763" i="1"/>
  <c r="C763" i="1"/>
  <c r="B763" i="1"/>
  <c r="I762" i="1" a="1"/>
  <c r="I762" i="1" s="1"/>
  <c r="H762" i="1"/>
  <c r="G762" i="1" a="1"/>
  <c r="G762" i="1" s="1"/>
  <c r="F762" i="1"/>
  <c r="E762" i="1"/>
  <c r="D762" i="1"/>
  <c r="C762" i="1"/>
  <c r="B762" i="1"/>
  <c r="I761" i="1" a="1"/>
  <c r="I761" i="1" s="1"/>
  <c r="H761" i="1"/>
  <c r="G761" i="1" a="1"/>
  <c r="G761" i="1" s="1"/>
  <c r="F761" i="1"/>
  <c r="E761" i="1"/>
  <c r="D761" i="1"/>
  <c r="C761" i="1"/>
  <c r="B761" i="1"/>
  <c r="I760" i="1" a="1"/>
  <c r="I760" i="1" s="1"/>
  <c r="H760" i="1"/>
  <c r="G760" i="1" a="1"/>
  <c r="G760" i="1" s="1"/>
  <c r="F760" i="1"/>
  <c r="E760" i="1"/>
  <c r="D760" i="1"/>
  <c r="C760" i="1"/>
  <c r="B760" i="1"/>
  <c r="I759" i="1" a="1"/>
  <c r="I759" i="1" s="1"/>
  <c r="H759" i="1"/>
  <c r="G759" i="1" a="1"/>
  <c r="G759" i="1" s="1"/>
  <c r="F759" i="1"/>
  <c r="E759" i="1"/>
  <c r="D759" i="1"/>
  <c r="C759" i="1"/>
  <c r="B759" i="1"/>
  <c r="I758" i="1" a="1"/>
  <c r="I758" i="1" s="1"/>
  <c r="H758" i="1"/>
  <c r="G758" i="1" a="1"/>
  <c r="G758" i="1" s="1"/>
  <c r="F758" i="1"/>
  <c r="E758" i="1"/>
  <c r="D758" i="1"/>
  <c r="C758" i="1"/>
  <c r="B758" i="1"/>
  <c r="I757" i="1" a="1"/>
  <c r="I757" i="1" s="1"/>
  <c r="H757" i="1"/>
  <c r="G757" i="1" a="1"/>
  <c r="G757" i="1" s="1"/>
  <c r="F757" i="1"/>
  <c r="E757" i="1"/>
  <c r="D757" i="1"/>
  <c r="C757" i="1"/>
  <c r="B757" i="1"/>
  <c r="I756" i="1" a="1"/>
  <c r="I756" i="1" s="1"/>
  <c r="H756" i="1"/>
  <c r="G756" i="1" a="1"/>
  <c r="G756" i="1" s="1"/>
  <c r="F756" i="1"/>
  <c r="E756" i="1"/>
  <c r="D756" i="1"/>
  <c r="C756" i="1"/>
  <c r="B756" i="1"/>
  <c r="I755" i="1" a="1"/>
  <c r="I755" i="1" s="1"/>
  <c r="H755" i="1"/>
  <c r="G755" i="1" a="1"/>
  <c r="G755" i="1" s="1"/>
  <c r="F755" i="1"/>
  <c r="E755" i="1"/>
  <c r="D755" i="1"/>
  <c r="C755" i="1"/>
  <c r="B755" i="1"/>
  <c r="I754" i="1" a="1"/>
  <c r="I754" i="1" s="1"/>
  <c r="H754" i="1"/>
  <c r="G754" i="1" a="1"/>
  <c r="G754" i="1" s="1"/>
  <c r="F754" i="1"/>
  <c r="E754" i="1"/>
  <c r="D754" i="1"/>
  <c r="C754" i="1"/>
  <c r="B754" i="1"/>
  <c r="I753" i="1" a="1"/>
  <c r="I753" i="1" s="1"/>
  <c r="H753" i="1"/>
  <c r="G753" i="1" a="1"/>
  <c r="G753" i="1" s="1"/>
  <c r="F753" i="1"/>
  <c r="E753" i="1"/>
  <c r="D753" i="1"/>
  <c r="C753" i="1"/>
  <c r="B753" i="1"/>
  <c r="I752" i="1" a="1"/>
  <c r="I752" i="1" s="1"/>
  <c r="H752" i="1"/>
  <c r="G752" i="1" a="1"/>
  <c r="G752" i="1" s="1"/>
  <c r="F752" i="1"/>
  <c r="E752" i="1"/>
  <c r="D752" i="1"/>
  <c r="C752" i="1"/>
  <c r="B752" i="1"/>
  <c r="I751" i="1" a="1"/>
  <c r="I751" i="1" s="1"/>
  <c r="H751" i="1"/>
  <c r="G751" i="1" a="1"/>
  <c r="G751" i="1" s="1"/>
  <c r="F751" i="1"/>
  <c r="E751" i="1"/>
  <c r="D751" i="1"/>
  <c r="C751" i="1"/>
  <c r="B751" i="1"/>
  <c r="I750" i="1" a="1"/>
  <c r="I750" i="1" s="1"/>
  <c r="H750" i="1"/>
  <c r="G750" i="1" a="1"/>
  <c r="G750" i="1" s="1"/>
  <c r="F750" i="1"/>
  <c r="E750" i="1"/>
  <c r="D750" i="1"/>
  <c r="C750" i="1"/>
  <c r="B750" i="1"/>
  <c r="I749" i="1" a="1"/>
  <c r="I749" i="1" s="1"/>
  <c r="H749" i="1"/>
  <c r="G749" i="1" a="1"/>
  <c r="G749" i="1" s="1"/>
  <c r="F749" i="1"/>
  <c r="E749" i="1"/>
  <c r="D749" i="1"/>
  <c r="C749" i="1"/>
  <c r="B749" i="1"/>
  <c r="I748" i="1" a="1"/>
  <c r="I748" i="1" s="1"/>
  <c r="H748" i="1"/>
  <c r="G748" i="1" a="1"/>
  <c r="G748" i="1" s="1"/>
  <c r="F748" i="1"/>
  <c r="E748" i="1"/>
  <c r="D748" i="1"/>
  <c r="C748" i="1"/>
  <c r="B748" i="1"/>
  <c r="I747" i="1" a="1"/>
  <c r="I747" i="1" s="1"/>
  <c r="H747" i="1"/>
  <c r="G747" i="1" a="1"/>
  <c r="G747" i="1" s="1"/>
  <c r="F747" i="1"/>
  <c r="E747" i="1"/>
  <c r="D747" i="1"/>
  <c r="C747" i="1"/>
  <c r="B747" i="1"/>
  <c r="I746" i="1" a="1"/>
  <c r="I746" i="1" s="1"/>
  <c r="H746" i="1"/>
  <c r="G746" i="1" a="1"/>
  <c r="G746" i="1" s="1"/>
  <c r="F746" i="1"/>
  <c r="E746" i="1"/>
  <c r="D746" i="1"/>
  <c r="C746" i="1"/>
  <c r="B746" i="1"/>
  <c r="I745" i="1" a="1"/>
  <c r="I745" i="1" s="1"/>
  <c r="H745" i="1"/>
  <c r="G745" i="1" a="1"/>
  <c r="G745" i="1" s="1"/>
  <c r="F745" i="1"/>
  <c r="E745" i="1"/>
  <c r="D745" i="1"/>
  <c r="C745" i="1"/>
  <c r="B745" i="1"/>
  <c r="I744" i="1" a="1"/>
  <c r="I744" i="1" s="1"/>
  <c r="H744" i="1"/>
  <c r="G744" i="1" a="1"/>
  <c r="G744" i="1" s="1"/>
  <c r="F744" i="1"/>
  <c r="E744" i="1"/>
  <c r="D744" i="1"/>
  <c r="C744" i="1"/>
  <c r="B744" i="1"/>
  <c r="I743" i="1" a="1"/>
  <c r="I743" i="1" s="1"/>
  <c r="H743" i="1"/>
  <c r="G743" i="1" a="1"/>
  <c r="G743" i="1" s="1"/>
  <c r="F743" i="1"/>
  <c r="E743" i="1"/>
  <c r="D743" i="1"/>
  <c r="C743" i="1"/>
  <c r="B743" i="1"/>
  <c r="I742" i="1" a="1"/>
  <c r="I742" i="1" s="1"/>
  <c r="H742" i="1"/>
  <c r="G742" i="1" a="1"/>
  <c r="G742" i="1" s="1"/>
  <c r="F742" i="1"/>
  <c r="E742" i="1"/>
  <c r="D742" i="1"/>
  <c r="C742" i="1"/>
  <c r="B742" i="1"/>
  <c r="I741" i="1" a="1"/>
  <c r="I741" i="1" s="1"/>
  <c r="H741" i="1"/>
  <c r="G741" i="1" a="1"/>
  <c r="G741" i="1" s="1"/>
  <c r="F741" i="1"/>
  <c r="E741" i="1"/>
  <c r="D741" i="1"/>
  <c r="C741" i="1"/>
  <c r="B741" i="1"/>
  <c r="I740" i="1" a="1"/>
  <c r="I740" i="1" s="1"/>
  <c r="H740" i="1"/>
  <c r="G740" i="1" a="1"/>
  <c r="G740" i="1" s="1"/>
  <c r="F740" i="1"/>
  <c r="E740" i="1"/>
  <c r="D740" i="1"/>
  <c r="C740" i="1"/>
  <c r="B740" i="1"/>
  <c r="I739" i="1" a="1"/>
  <c r="I739" i="1"/>
  <c r="H739" i="1"/>
  <c r="G739" i="1" a="1"/>
  <c r="G739" i="1" s="1"/>
  <c r="F739" i="1"/>
  <c r="E739" i="1"/>
  <c r="D739" i="1"/>
  <c r="C739" i="1"/>
  <c r="B739" i="1"/>
  <c r="I738" i="1" a="1"/>
  <c r="I738" i="1" s="1"/>
  <c r="H738" i="1"/>
  <c r="G738" i="1" a="1"/>
  <c r="G738" i="1" s="1"/>
  <c r="F738" i="1"/>
  <c r="E738" i="1"/>
  <c r="D738" i="1"/>
  <c r="C738" i="1"/>
  <c r="B738" i="1"/>
  <c r="I737" i="1" a="1"/>
  <c r="I737" i="1" s="1"/>
  <c r="H737" i="1"/>
  <c r="G737" i="1" a="1"/>
  <c r="G737" i="1" s="1"/>
  <c r="F737" i="1"/>
  <c r="E737" i="1"/>
  <c r="D737" i="1"/>
  <c r="C737" i="1"/>
  <c r="B737" i="1"/>
  <c r="I736" i="1" a="1"/>
  <c r="I736" i="1"/>
  <c r="H736" i="1"/>
  <c r="G736" i="1" a="1"/>
  <c r="G736" i="1" s="1"/>
  <c r="F736" i="1"/>
  <c r="E736" i="1"/>
  <c r="D736" i="1"/>
  <c r="C736" i="1"/>
  <c r="B736" i="1"/>
  <c r="I735" i="1" a="1"/>
  <c r="I735" i="1" s="1"/>
  <c r="H735" i="1"/>
  <c r="G735" i="1" a="1"/>
  <c r="G735" i="1" s="1"/>
  <c r="F735" i="1"/>
  <c r="E735" i="1"/>
  <c r="D735" i="1"/>
  <c r="C735" i="1"/>
  <c r="B735" i="1"/>
  <c r="I734" i="1" a="1"/>
  <c r="I734" i="1" s="1"/>
  <c r="H734" i="1"/>
  <c r="G734" i="1" a="1"/>
  <c r="G734" i="1" s="1"/>
  <c r="F734" i="1"/>
  <c r="E734" i="1"/>
  <c r="D734" i="1"/>
  <c r="C734" i="1"/>
  <c r="B734" i="1"/>
  <c r="I733" i="1" a="1"/>
  <c r="I733" i="1" s="1"/>
  <c r="H733" i="1"/>
  <c r="G733" i="1" a="1"/>
  <c r="G733" i="1" s="1"/>
  <c r="F733" i="1"/>
  <c r="E733" i="1"/>
  <c r="D733" i="1"/>
  <c r="C733" i="1"/>
  <c r="B733" i="1"/>
  <c r="I732" i="1" a="1"/>
  <c r="I732" i="1" s="1"/>
  <c r="H732" i="1"/>
  <c r="G732" i="1" a="1"/>
  <c r="G732" i="1" s="1"/>
  <c r="F732" i="1"/>
  <c r="E732" i="1"/>
  <c r="D732" i="1"/>
  <c r="C732" i="1"/>
  <c r="B732" i="1"/>
  <c r="I731" i="1" a="1"/>
  <c r="I731" i="1" s="1"/>
  <c r="H731" i="1"/>
  <c r="G731" i="1" a="1"/>
  <c r="G731" i="1" s="1"/>
  <c r="F731" i="1"/>
  <c r="E731" i="1"/>
  <c r="D731" i="1"/>
  <c r="C731" i="1"/>
  <c r="B731" i="1"/>
  <c r="I730" i="1" a="1"/>
  <c r="I730" i="1" s="1"/>
  <c r="H730" i="1"/>
  <c r="G730" i="1" a="1"/>
  <c r="G730" i="1" s="1"/>
  <c r="F730" i="1"/>
  <c r="E730" i="1"/>
  <c r="D730" i="1"/>
  <c r="C730" i="1"/>
  <c r="B730" i="1"/>
  <c r="I729" i="1" a="1"/>
  <c r="I729" i="1" s="1"/>
  <c r="H729" i="1"/>
  <c r="G729" i="1" a="1"/>
  <c r="G729" i="1" s="1"/>
  <c r="F729" i="1"/>
  <c r="E729" i="1"/>
  <c r="D729" i="1"/>
  <c r="C729" i="1"/>
  <c r="B729" i="1"/>
  <c r="I728" i="1" a="1"/>
  <c r="I728" i="1" s="1"/>
  <c r="H728" i="1"/>
  <c r="G728" i="1" a="1"/>
  <c r="G728" i="1" s="1"/>
  <c r="F728" i="1"/>
  <c r="E728" i="1"/>
  <c r="D728" i="1"/>
  <c r="C728" i="1"/>
  <c r="B728" i="1"/>
  <c r="I727" i="1" a="1"/>
  <c r="I727" i="1" s="1"/>
  <c r="H727" i="1"/>
  <c r="G727" i="1" a="1"/>
  <c r="G727" i="1" s="1"/>
  <c r="F727" i="1"/>
  <c r="E727" i="1"/>
  <c r="D727" i="1"/>
  <c r="C727" i="1"/>
  <c r="B727" i="1"/>
  <c r="I726" i="1" a="1"/>
  <c r="I726" i="1" s="1"/>
  <c r="H726" i="1"/>
  <c r="G726" i="1" a="1"/>
  <c r="G726" i="1" s="1"/>
  <c r="F726" i="1"/>
  <c r="E726" i="1"/>
  <c r="D726" i="1"/>
  <c r="C726" i="1"/>
  <c r="B726" i="1"/>
  <c r="I725" i="1" a="1"/>
  <c r="I725" i="1" s="1"/>
  <c r="H725" i="1"/>
  <c r="G725" i="1" a="1"/>
  <c r="G725" i="1" s="1"/>
  <c r="F725" i="1"/>
  <c r="E725" i="1"/>
  <c r="D725" i="1"/>
  <c r="C725" i="1"/>
  <c r="B725" i="1"/>
  <c r="I724" i="1" a="1"/>
  <c r="I724" i="1" s="1"/>
  <c r="H724" i="1"/>
  <c r="G724" i="1" a="1"/>
  <c r="G724" i="1" s="1"/>
  <c r="F724" i="1"/>
  <c r="E724" i="1"/>
  <c r="D724" i="1"/>
  <c r="C724" i="1"/>
  <c r="B724" i="1"/>
  <c r="I723" i="1" a="1"/>
  <c r="I723" i="1" s="1"/>
  <c r="H723" i="1"/>
  <c r="G723" i="1" a="1"/>
  <c r="G723" i="1" s="1"/>
  <c r="F723" i="1"/>
  <c r="E723" i="1"/>
  <c r="D723" i="1"/>
  <c r="C723" i="1"/>
  <c r="B723" i="1"/>
  <c r="I722" i="1" a="1"/>
  <c r="I722" i="1" s="1"/>
  <c r="H722" i="1"/>
  <c r="G722" i="1" a="1"/>
  <c r="G722" i="1" s="1"/>
  <c r="F722" i="1"/>
  <c r="E722" i="1"/>
  <c r="D722" i="1"/>
  <c r="C722" i="1"/>
  <c r="B722" i="1"/>
  <c r="I721" i="1" a="1"/>
  <c r="I721" i="1" s="1"/>
  <c r="H721" i="1"/>
  <c r="G721" i="1" a="1"/>
  <c r="G721" i="1" s="1"/>
  <c r="F721" i="1"/>
  <c r="E721" i="1"/>
  <c r="D721" i="1"/>
  <c r="C721" i="1"/>
  <c r="B721" i="1"/>
  <c r="I720" i="1" a="1"/>
  <c r="I720" i="1"/>
  <c r="H720" i="1"/>
  <c r="G720" i="1" a="1"/>
  <c r="G720" i="1" s="1"/>
  <c r="F720" i="1"/>
  <c r="E720" i="1"/>
  <c r="D720" i="1"/>
  <c r="C720" i="1"/>
  <c r="B720" i="1"/>
  <c r="I719" i="1" a="1"/>
  <c r="I719" i="1" s="1"/>
  <c r="H719" i="1"/>
  <c r="G719" i="1" a="1"/>
  <c r="G719" i="1" s="1"/>
  <c r="F719" i="1"/>
  <c r="E719" i="1"/>
  <c r="D719" i="1"/>
  <c r="C719" i="1"/>
  <c r="B719" i="1"/>
  <c r="I718" i="1" a="1"/>
  <c r="I718" i="1" s="1"/>
  <c r="H718" i="1"/>
  <c r="G718" i="1" a="1"/>
  <c r="G718" i="1" s="1"/>
  <c r="F718" i="1"/>
  <c r="E718" i="1"/>
  <c r="D718" i="1"/>
  <c r="C718" i="1"/>
  <c r="B718" i="1"/>
  <c r="I717" i="1" a="1"/>
  <c r="I717" i="1" s="1"/>
  <c r="H717" i="1"/>
  <c r="G717" i="1" a="1"/>
  <c r="G717" i="1" s="1"/>
  <c r="F717" i="1"/>
  <c r="E717" i="1"/>
  <c r="D717" i="1"/>
  <c r="C717" i="1"/>
  <c r="B717" i="1"/>
  <c r="I716" i="1" a="1"/>
  <c r="I716" i="1" s="1"/>
  <c r="H716" i="1"/>
  <c r="G716" i="1" a="1"/>
  <c r="G716" i="1" s="1"/>
  <c r="F716" i="1"/>
  <c r="E716" i="1"/>
  <c r="D716" i="1"/>
  <c r="C716" i="1"/>
  <c r="B716" i="1"/>
  <c r="I715" i="1" a="1"/>
  <c r="I715" i="1" s="1"/>
  <c r="H715" i="1"/>
  <c r="G715" i="1" a="1"/>
  <c r="G715" i="1" s="1"/>
  <c r="F715" i="1"/>
  <c r="E715" i="1"/>
  <c r="D715" i="1"/>
  <c r="C715" i="1"/>
  <c r="B715" i="1"/>
  <c r="I714" i="1" a="1"/>
  <c r="I714" i="1" s="1"/>
  <c r="H714" i="1"/>
  <c r="G714" i="1" a="1"/>
  <c r="G714" i="1" s="1"/>
  <c r="F714" i="1"/>
  <c r="E714" i="1"/>
  <c r="D714" i="1"/>
  <c r="C714" i="1"/>
  <c r="B714" i="1"/>
  <c r="I713" i="1" a="1"/>
  <c r="I713" i="1" s="1"/>
  <c r="H713" i="1"/>
  <c r="G713" i="1" a="1"/>
  <c r="G713" i="1" s="1"/>
  <c r="F713" i="1"/>
  <c r="E713" i="1"/>
  <c r="D713" i="1"/>
  <c r="C713" i="1"/>
  <c r="B713" i="1"/>
  <c r="I712" i="1" a="1"/>
  <c r="I712" i="1" s="1"/>
  <c r="H712" i="1"/>
  <c r="G712" i="1" a="1"/>
  <c r="G712" i="1" s="1"/>
  <c r="F712" i="1"/>
  <c r="E712" i="1"/>
  <c r="D712" i="1"/>
  <c r="C712" i="1"/>
  <c r="B712" i="1"/>
  <c r="I711" i="1" a="1"/>
  <c r="I711" i="1" s="1"/>
  <c r="H711" i="1"/>
  <c r="G711" i="1" a="1"/>
  <c r="G711" i="1" s="1"/>
  <c r="F711" i="1"/>
  <c r="E711" i="1"/>
  <c r="D711" i="1"/>
  <c r="C711" i="1"/>
  <c r="B711" i="1"/>
  <c r="I710" i="1" a="1"/>
  <c r="I710" i="1" s="1"/>
  <c r="H710" i="1"/>
  <c r="G710" i="1" a="1"/>
  <c r="G710" i="1" s="1"/>
  <c r="F710" i="1"/>
  <c r="E710" i="1"/>
  <c r="D710" i="1"/>
  <c r="C710" i="1"/>
  <c r="B710" i="1"/>
  <c r="I709" i="1" a="1"/>
  <c r="I709" i="1" s="1"/>
  <c r="H709" i="1"/>
  <c r="G709" i="1" a="1"/>
  <c r="G709" i="1" s="1"/>
  <c r="F709" i="1"/>
  <c r="E709" i="1"/>
  <c r="D709" i="1"/>
  <c r="C709" i="1"/>
  <c r="B709" i="1"/>
  <c r="I708" i="1" a="1"/>
  <c r="I708" i="1" s="1"/>
  <c r="H708" i="1"/>
  <c r="G708" i="1" a="1"/>
  <c r="G708" i="1" s="1"/>
  <c r="F708" i="1"/>
  <c r="E708" i="1"/>
  <c r="D708" i="1"/>
  <c r="C708" i="1"/>
  <c r="B708" i="1"/>
  <c r="I707" i="1" a="1"/>
  <c r="I707" i="1" s="1"/>
  <c r="H707" i="1"/>
  <c r="G707" i="1" a="1"/>
  <c r="G707" i="1" s="1"/>
  <c r="F707" i="1"/>
  <c r="E707" i="1"/>
  <c r="D707" i="1"/>
  <c r="C707" i="1"/>
  <c r="B707" i="1"/>
  <c r="I706" i="1" a="1"/>
  <c r="I706" i="1" s="1"/>
  <c r="H706" i="1"/>
  <c r="G706" i="1" a="1"/>
  <c r="G706" i="1" s="1"/>
  <c r="F706" i="1"/>
  <c r="E706" i="1"/>
  <c r="D706" i="1"/>
  <c r="C706" i="1"/>
  <c r="B706" i="1"/>
  <c r="I705" i="1" a="1"/>
  <c r="I705" i="1" s="1"/>
  <c r="H705" i="1"/>
  <c r="G705" i="1" a="1"/>
  <c r="G705" i="1" s="1"/>
  <c r="F705" i="1"/>
  <c r="E705" i="1"/>
  <c r="D705" i="1"/>
  <c r="C705" i="1"/>
  <c r="B705" i="1"/>
  <c r="I704" i="1" a="1"/>
  <c r="I704" i="1" s="1"/>
  <c r="H704" i="1"/>
  <c r="G704" i="1" a="1"/>
  <c r="G704" i="1" s="1"/>
  <c r="F704" i="1"/>
  <c r="E704" i="1"/>
  <c r="D704" i="1"/>
  <c r="C704" i="1"/>
  <c r="B704" i="1"/>
  <c r="I703" i="1" a="1"/>
  <c r="I703" i="1" s="1"/>
  <c r="H703" i="1"/>
  <c r="G703" i="1" a="1"/>
  <c r="G703" i="1" s="1"/>
  <c r="F703" i="1"/>
  <c r="E703" i="1"/>
  <c r="D703" i="1"/>
  <c r="C703" i="1"/>
  <c r="B703" i="1"/>
  <c r="I702" i="1" a="1"/>
  <c r="I702" i="1" s="1"/>
  <c r="H702" i="1"/>
  <c r="G702" i="1" a="1"/>
  <c r="G702" i="1" s="1"/>
  <c r="F702" i="1"/>
  <c r="E702" i="1"/>
  <c r="D702" i="1"/>
  <c r="C702" i="1"/>
  <c r="B702" i="1"/>
  <c r="I701" i="1" a="1"/>
  <c r="I701" i="1" s="1"/>
  <c r="H701" i="1"/>
  <c r="G701" i="1" a="1"/>
  <c r="G701" i="1" s="1"/>
  <c r="F701" i="1"/>
  <c r="E701" i="1"/>
  <c r="D701" i="1"/>
  <c r="C701" i="1"/>
  <c r="B701" i="1"/>
  <c r="I700" i="1" a="1"/>
  <c r="I700" i="1" s="1"/>
  <c r="H700" i="1"/>
  <c r="G700" i="1" a="1"/>
  <c r="G700" i="1" s="1"/>
  <c r="F700" i="1"/>
  <c r="E700" i="1"/>
  <c r="D700" i="1"/>
  <c r="C700" i="1"/>
  <c r="B700" i="1"/>
  <c r="I699" i="1" a="1"/>
  <c r="I699" i="1" s="1"/>
  <c r="H699" i="1"/>
  <c r="G699" i="1" a="1"/>
  <c r="G699" i="1" s="1"/>
  <c r="F699" i="1"/>
  <c r="E699" i="1"/>
  <c r="D699" i="1"/>
  <c r="C699" i="1"/>
  <c r="B699" i="1"/>
  <c r="I698" i="1" a="1"/>
  <c r="I698" i="1" s="1"/>
  <c r="H698" i="1"/>
  <c r="G698" i="1" a="1"/>
  <c r="G698" i="1" s="1"/>
  <c r="F698" i="1"/>
  <c r="E698" i="1"/>
  <c r="D698" i="1"/>
  <c r="C698" i="1"/>
  <c r="B698" i="1"/>
  <c r="I697" i="1" a="1"/>
  <c r="I697" i="1" s="1"/>
  <c r="H697" i="1"/>
  <c r="G697" i="1" a="1"/>
  <c r="G697" i="1" s="1"/>
  <c r="F697" i="1"/>
  <c r="E697" i="1"/>
  <c r="D697" i="1"/>
  <c r="C697" i="1"/>
  <c r="B697" i="1"/>
  <c r="I696" i="1" a="1"/>
  <c r="I696" i="1" s="1"/>
  <c r="H696" i="1"/>
  <c r="G696" i="1" a="1"/>
  <c r="G696" i="1" s="1"/>
  <c r="F696" i="1"/>
  <c r="E696" i="1"/>
  <c r="D696" i="1"/>
  <c r="C696" i="1"/>
  <c r="B696" i="1"/>
  <c r="I695" i="1" a="1"/>
  <c r="I695" i="1" s="1"/>
  <c r="H695" i="1"/>
  <c r="G695" i="1" a="1"/>
  <c r="G695" i="1" s="1"/>
  <c r="F695" i="1"/>
  <c r="E695" i="1"/>
  <c r="D695" i="1"/>
  <c r="C695" i="1"/>
  <c r="B695" i="1"/>
  <c r="I694" i="1" a="1"/>
  <c r="I694" i="1" s="1"/>
  <c r="H694" i="1"/>
  <c r="G694" i="1" a="1"/>
  <c r="G694" i="1" s="1"/>
  <c r="F694" i="1"/>
  <c r="E694" i="1"/>
  <c r="D694" i="1"/>
  <c r="C694" i="1"/>
  <c r="B694" i="1"/>
  <c r="I693" i="1" a="1"/>
  <c r="I693" i="1" s="1"/>
  <c r="H693" i="1"/>
  <c r="G693" i="1" a="1"/>
  <c r="G693" i="1" s="1"/>
  <c r="F693" i="1"/>
  <c r="E693" i="1"/>
  <c r="D693" i="1"/>
  <c r="C693" i="1"/>
  <c r="B693" i="1"/>
  <c r="I692" i="1" a="1"/>
  <c r="I692" i="1" s="1"/>
  <c r="H692" i="1"/>
  <c r="G692" i="1" a="1"/>
  <c r="G692" i="1" s="1"/>
  <c r="F692" i="1"/>
  <c r="E692" i="1"/>
  <c r="D692" i="1"/>
  <c r="C692" i="1"/>
  <c r="B692" i="1"/>
  <c r="I691" i="1" a="1"/>
  <c r="I691" i="1" s="1"/>
  <c r="H691" i="1"/>
  <c r="G691" i="1" a="1"/>
  <c r="G691" i="1" s="1"/>
  <c r="F691" i="1"/>
  <c r="E691" i="1"/>
  <c r="D691" i="1"/>
  <c r="C691" i="1"/>
  <c r="B691" i="1"/>
  <c r="I690" i="1" a="1"/>
  <c r="I690" i="1" s="1"/>
  <c r="H690" i="1"/>
  <c r="G690" i="1" a="1"/>
  <c r="G690" i="1" s="1"/>
  <c r="F690" i="1"/>
  <c r="E690" i="1"/>
  <c r="D690" i="1"/>
  <c r="C690" i="1"/>
  <c r="B690" i="1"/>
  <c r="I689" i="1" a="1"/>
  <c r="I689" i="1" s="1"/>
  <c r="H689" i="1"/>
  <c r="G689" i="1" a="1"/>
  <c r="G689" i="1" s="1"/>
  <c r="F689" i="1"/>
  <c r="E689" i="1"/>
  <c r="D689" i="1"/>
  <c r="C689" i="1"/>
  <c r="B689" i="1"/>
  <c r="I688" i="1" a="1"/>
  <c r="I688" i="1" s="1"/>
  <c r="H688" i="1"/>
  <c r="G688" i="1" a="1"/>
  <c r="G688" i="1" s="1"/>
  <c r="F688" i="1"/>
  <c r="E688" i="1"/>
  <c r="D688" i="1"/>
  <c r="C688" i="1"/>
  <c r="B688" i="1"/>
  <c r="I687" i="1" a="1"/>
  <c r="I687" i="1" s="1"/>
  <c r="H687" i="1"/>
  <c r="G687" i="1" a="1"/>
  <c r="G687" i="1" s="1"/>
  <c r="F687" i="1"/>
  <c r="E687" i="1"/>
  <c r="D687" i="1"/>
  <c r="C687" i="1"/>
  <c r="B687" i="1"/>
  <c r="I686" i="1" a="1"/>
  <c r="I686" i="1" s="1"/>
  <c r="H686" i="1"/>
  <c r="G686" i="1" a="1"/>
  <c r="G686" i="1" s="1"/>
  <c r="F686" i="1"/>
  <c r="E686" i="1"/>
  <c r="D686" i="1"/>
  <c r="C686" i="1"/>
  <c r="B686" i="1"/>
  <c r="I685" i="1" a="1"/>
  <c r="I685" i="1" s="1"/>
  <c r="H685" i="1"/>
  <c r="G685" i="1" a="1"/>
  <c r="G685" i="1" s="1"/>
  <c r="F685" i="1"/>
  <c r="E685" i="1"/>
  <c r="D685" i="1"/>
  <c r="C685" i="1"/>
  <c r="B685" i="1"/>
  <c r="I684" i="1" a="1"/>
  <c r="I684" i="1" s="1"/>
  <c r="H684" i="1"/>
  <c r="G684" i="1" a="1"/>
  <c r="G684" i="1" s="1"/>
  <c r="F684" i="1"/>
  <c r="E684" i="1"/>
  <c r="D684" i="1"/>
  <c r="C684" i="1"/>
  <c r="B684" i="1"/>
  <c r="I683" i="1" a="1"/>
  <c r="I683" i="1" s="1"/>
  <c r="H683" i="1"/>
  <c r="G683" i="1" a="1"/>
  <c r="G683" i="1" s="1"/>
  <c r="F683" i="1"/>
  <c r="E683" i="1"/>
  <c r="D683" i="1"/>
  <c r="C683" i="1"/>
  <c r="B683" i="1"/>
  <c r="I682" i="1" a="1"/>
  <c r="I682" i="1" s="1"/>
  <c r="H682" i="1"/>
  <c r="G682" i="1" a="1"/>
  <c r="G682" i="1" s="1"/>
  <c r="F682" i="1"/>
  <c r="E682" i="1"/>
  <c r="D682" i="1"/>
  <c r="C682" i="1"/>
  <c r="B682" i="1"/>
  <c r="I681" i="1" a="1"/>
  <c r="I681" i="1" s="1"/>
  <c r="H681" i="1"/>
  <c r="G681" i="1" a="1"/>
  <c r="G681" i="1" s="1"/>
  <c r="F681" i="1"/>
  <c r="E681" i="1"/>
  <c r="D681" i="1"/>
  <c r="C681" i="1"/>
  <c r="B681" i="1"/>
  <c r="I680" i="1" a="1"/>
  <c r="I680" i="1" s="1"/>
  <c r="H680" i="1"/>
  <c r="G680" i="1" a="1"/>
  <c r="G680" i="1" s="1"/>
  <c r="F680" i="1"/>
  <c r="E680" i="1"/>
  <c r="D680" i="1"/>
  <c r="C680" i="1"/>
  <c r="B680" i="1"/>
  <c r="I679" i="1" a="1"/>
  <c r="I679" i="1" s="1"/>
  <c r="H679" i="1"/>
  <c r="G679" i="1" a="1"/>
  <c r="G679" i="1" s="1"/>
  <c r="F679" i="1"/>
  <c r="E679" i="1"/>
  <c r="D679" i="1"/>
  <c r="C679" i="1"/>
  <c r="B679" i="1"/>
  <c r="I678" i="1" a="1"/>
  <c r="I678" i="1" s="1"/>
  <c r="H678" i="1"/>
  <c r="G678" i="1" a="1"/>
  <c r="G678" i="1" s="1"/>
  <c r="F678" i="1"/>
  <c r="E678" i="1"/>
  <c r="D678" i="1"/>
  <c r="C678" i="1"/>
  <c r="B678" i="1"/>
  <c r="I677" i="1" a="1"/>
  <c r="I677" i="1" s="1"/>
  <c r="H677" i="1"/>
  <c r="G677" i="1" a="1"/>
  <c r="G677" i="1" s="1"/>
  <c r="F677" i="1"/>
  <c r="E677" i="1"/>
  <c r="D677" i="1"/>
  <c r="C677" i="1"/>
  <c r="B677" i="1"/>
  <c r="I676" i="1" a="1"/>
  <c r="I676" i="1" s="1"/>
  <c r="H676" i="1"/>
  <c r="G676" i="1" a="1"/>
  <c r="G676" i="1" s="1"/>
  <c r="F676" i="1"/>
  <c r="E676" i="1"/>
  <c r="D676" i="1"/>
  <c r="C676" i="1"/>
  <c r="B676" i="1"/>
  <c r="I675" i="1" a="1"/>
  <c r="I675" i="1" s="1"/>
  <c r="H675" i="1"/>
  <c r="G675" i="1" a="1"/>
  <c r="G675" i="1" s="1"/>
  <c r="F675" i="1"/>
  <c r="E675" i="1"/>
  <c r="D675" i="1"/>
  <c r="C675" i="1"/>
  <c r="B675" i="1"/>
  <c r="I674" i="1" a="1"/>
  <c r="I674" i="1" s="1"/>
  <c r="H674" i="1"/>
  <c r="G674" i="1" a="1"/>
  <c r="G674" i="1" s="1"/>
  <c r="F674" i="1"/>
  <c r="E674" i="1"/>
  <c r="D674" i="1"/>
  <c r="C674" i="1"/>
  <c r="B674" i="1"/>
  <c r="I673" i="1" a="1"/>
  <c r="I673" i="1" s="1"/>
  <c r="H673" i="1"/>
  <c r="G673" i="1" a="1"/>
  <c r="G673" i="1" s="1"/>
  <c r="F673" i="1"/>
  <c r="E673" i="1"/>
  <c r="D673" i="1"/>
  <c r="C673" i="1"/>
  <c r="B673" i="1"/>
  <c r="I672" i="1" a="1"/>
  <c r="I672" i="1" s="1"/>
  <c r="H672" i="1"/>
  <c r="G672" i="1" a="1"/>
  <c r="G672" i="1" s="1"/>
  <c r="F672" i="1"/>
  <c r="E672" i="1"/>
  <c r="D672" i="1"/>
  <c r="C672" i="1"/>
  <c r="B672" i="1"/>
  <c r="I671" i="1" a="1"/>
  <c r="I671" i="1" s="1"/>
  <c r="H671" i="1"/>
  <c r="G671" i="1" a="1"/>
  <c r="G671" i="1" s="1"/>
  <c r="F671" i="1"/>
  <c r="E671" i="1"/>
  <c r="D671" i="1"/>
  <c r="C671" i="1"/>
  <c r="B671" i="1"/>
  <c r="I670" i="1" a="1"/>
  <c r="I670" i="1" s="1"/>
  <c r="H670" i="1"/>
  <c r="G670" i="1" a="1"/>
  <c r="G670" i="1" s="1"/>
  <c r="F670" i="1"/>
  <c r="E670" i="1"/>
  <c r="D670" i="1"/>
  <c r="C670" i="1"/>
  <c r="B670" i="1"/>
  <c r="I669" i="1" a="1"/>
  <c r="I669" i="1" s="1"/>
  <c r="H669" i="1"/>
  <c r="G669" i="1" a="1"/>
  <c r="G669" i="1" s="1"/>
  <c r="F669" i="1"/>
  <c r="E669" i="1"/>
  <c r="D669" i="1"/>
  <c r="C669" i="1"/>
  <c r="B669" i="1"/>
  <c r="I668" i="1" a="1"/>
  <c r="I668" i="1" s="1"/>
  <c r="H668" i="1"/>
  <c r="G668" i="1" a="1"/>
  <c r="G668" i="1" s="1"/>
  <c r="F668" i="1"/>
  <c r="E668" i="1"/>
  <c r="D668" i="1"/>
  <c r="C668" i="1"/>
  <c r="B668" i="1"/>
  <c r="I667" i="1" a="1"/>
  <c r="I667" i="1" s="1"/>
  <c r="H667" i="1"/>
  <c r="G667" i="1" a="1"/>
  <c r="G667" i="1" s="1"/>
  <c r="F667" i="1"/>
  <c r="E667" i="1"/>
  <c r="D667" i="1"/>
  <c r="C667" i="1"/>
  <c r="B667" i="1"/>
  <c r="I666" i="1" a="1"/>
  <c r="I666" i="1" s="1"/>
  <c r="H666" i="1"/>
  <c r="G666" i="1" a="1"/>
  <c r="G666" i="1" s="1"/>
  <c r="F666" i="1"/>
  <c r="E666" i="1"/>
  <c r="D666" i="1"/>
  <c r="C666" i="1"/>
  <c r="B666" i="1"/>
  <c r="I665" i="1" a="1"/>
  <c r="I665" i="1" s="1"/>
  <c r="H665" i="1"/>
  <c r="G665" i="1" a="1"/>
  <c r="G665" i="1" s="1"/>
  <c r="F665" i="1"/>
  <c r="E665" i="1"/>
  <c r="D665" i="1"/>
  <c r="C665" i="1"/>
  <c r="B665" i="1"/>
  <c r="I664" i="1" a="1"/>
  <c r="I664" i="1" s="1"/>
  <c r="H664" i="1"/>
  <c r="G664" i="1" a="1"/>
  <c r="G664" i="1" s="1"/>
  <c r="F664" i="1"/>
  <c r="E664" i="1"/>
  <c r="D664" i="1"/>
  <c r="C664" i="1"/>
  <c r="B664" i="1"/>
  <c r="I663" i="1" a="1"/>
  <c r="I663" i="1" s="1"/>
  <c r="H663" i="1"/>
  <c r="G663" i="1" a="1"/>
  <c r="G663" i="1" s="1"/>
  <c r="F663" i="1"/>
  <c r="E663" i="1"/>
  <c r="D663" i="1"/>
  <c r="C663" i="1"/>
  <c r="B663" i="1"/>
  <c r="I662" i="1" a="1"/>
  <c r="I662" i="1" s="1"/>
  <c r="H662" i="1"/>
  <c r="G662" i="1" a="1"/>
  <c r="G662" i="1" s="1"/>
  <c r="F662" i="1"/>
  <c r="E662" i="1"/>
  <c r="D662" i="1"/>
  <c r="C662" i="1"/>
  <c r="B662" i="1"/>
  <c r="I661" i="1" a="1"/>
  <c r="I661" i="1" s="1"/>
  <c r="H661" i="1"/>
  <c r="G661" i="1" a="1"/>
  <c r="G661" i="1" s="1"/>
  <c r="F661" i="1"/>
  <c r="E661" i="1"/>
  <c r="D661" i="1"/>
  <c r="C661" i="1"/>
  <c r="B661" i="1"/>
  <c r="I660" i="1" a="1"/>
  <c r="I660" i="1" s="1"/>
  <c r="H660" i="1"/>
  <c r="G660" i="1" a="1"/>
  <c r="G660" i="1" s="1"/>
  <c r="F660" i="1"/>
  <c r="E660" i="1"/>
  <c r="D660" i="1"/>
  <c r="C660" i="1"/>
  <c r="B660" i="1"/>
  <c r="I659" i="1" a="1"/>
  <c r="I659" i="1" s="1"/>
  <c r="H659" i="1"/>
  <c r="G659" i="1" a="1"/>
  <c r="G659" i="1" s="1"/>
  <c r="F659" i="1"/>
  <c r="E659" i="1"/>
  <c r="D659" i="1"/>
  <c r="C659" i="1"/>
  <c r="B659" i="1"/>
  <c r="I658" i="1" a="1"/>
  <c r="I658" i="1" s="1"/>
  <c r="H658" i="1"/>
  <c r="G658" i="1" a="1"/>
  <c r="G658" i="1" s="1"/>
  <c r="F658" i="1"/>
  <c r="E658" i="1"/>
  <c r="D658" i="1"/>
  <c r="C658" i="1"/>
  <c r="B658" i="1"/>
  <c r="I657" i="1" a="1"/>
  <c r="I657" i="1" s="1"/>
  <c r="H657" i="1"/>
  <c r="G657" i="1" a="1"/>
  <c r="G657" i="1" s="1"/>
  <c r="F657" i="1"/>
  <c r="E657" i="1"/>
  <c r="D657" i="1"/>
  <c r="C657" i="1"/>
  <c r="B657" i="1"/>
  <c r="I656" i="1" a="1"/>
  <c r="I656" i="1" s="1"/>
  <c r="H656" i="1"/>
  <c r="G656" i="1" a="1"/>
  <c r="G656" i="1" s="1"/>
  <c r="F656" i="1"/>
  <c r="E656" i="1"/>
  <c r="D656" i="1"/>
  <c r="C656" i="1"/>
  <c r="B656" i="1"/>
  <c r="I655" i="1" a="1"/>
  <c r="I655" i="1" s="1"/>
  <c r="H655" i="1"/>
  <c r="G655" i="1" a="1"/>
  <c r="G655" i="1" s="1"/>
  <c r="F655" i="1"/>
  <c r="E655" i="1"/>
  <c r="D655" i="1"/>
  <c r="C655" i="1"/>
  <c r="B655" i="1"/>
  <c r="I654" i="1" a="1"/>
  <c r="I654" i="1" s="1"/>
  <c r="H654" i="1"/>
  <c r="G654" i="1" a="1"/>
  <c r="G654" i="1" s="1"/>
  <c r="F654" i="1"/>
  <c r="E654" i="1"/>
  <c r="D654" i="1"/>
  <c r="C654" i="1"/>
  <c r="B654" i="1"/>
  <c r="I653" i="1" a="1"/>
  <c r="I653" i="1" s="1"/>
  <c r="H653" i="1"/>
  <c r="G653" i="1" a="1"/>
  <c r="G653" i="1" s="1"/>
  <c r="F653" i="1"/>
  <c r="E653" i="1"/>
  <c r="D653" i="1"/>
  <c r="C653" i="1"/>
  <c r="B653" i="1"/>
  <c r="I652" i="1" a="1"/>
  <c r="I652" i="1" s="1"/>
  <c r="H652" i="1"/>
  <c r="G652" i="1" a="1"/>
  <c r="G652" i="1" s="1"/>
  <c r="F652" i="1"/>
  <c r="E652" i="1"/>
  <c r="D652" i="1"/>
  <c r="C652" i="1"/>
  <c r="B652" i="1"/>
  <c r="I651" i="1" a="1"/>
  <c r="I651" i="1" s="1"/>
  <c r="H651" i="1"/>
  <c r="G651" i="1" a="1"/>
  <c r="G651" i="1" s="1"/>
  <c r="F651" i="1"/>
  <c r="E651" i="1"/>
  <c r="D651" i="1"/>
  <c r="C651" i="1"/>
  <c r="B651" i="1"/>
  <c r="I650" i="1" a="1"/>
  <c r="I650" i="1" s="1"/>
  <c r="H650" i="1"/>
  <c r="G650" i="1" a="1"/>
  <c r="G650" i="1" s="1"/>
  <c r="F650" i="1"/>
  <c r="E650" i="1"/>
  <c r="D650" i="1"/>
  <c r="C650" i="1"/>
  <c r="B650" i="1"/>
  <c r="I649" i="1" a="1"/>
  <c r="I649" i="1" s="1"/>
  <c r="H649" i="1"/>
  <c r="G649" i="1" a="1"/>
  <c r="G649" i="1" s="1"/>
  <c r="F649" i="1"/>
  <c r="E649" i="1"/>
  <c r="D649" i="1"/>
  <c r="C649" i="1"/>
  <c r="B649" i="1"/>
  <c r="I648" i="1" a="1"/>
  <c r="I648" i="1" s="1"/>
  <c r="H648" i="1"/>
  <c r="G648" i="1" a="1"/>
  <c r="G648" i="1" s="1"/>
  <c r="F648" i="1"/>
  <c r="E648" i="1"/>
  <c r="D648" i="1"/>
  <c r="C648" i="1"/>
  <c r="B648" i="1"/>
  <c r="I647" i="1" a="1"/>
  <c r="I647" i="1" s="1"/>
  <c r="H647" i="1"/>
  <c r="G647" i="1" a="1"/>
  <c r="G647" i="1" s="1"/>
  <c r="F647" i="1"/>
  <c r="E647" i="1"/>
  <c r="D647" i="1"/>
  <c r="C647" i="1"/>
  <c r="B647" i="1"/>
  <c r="I646" i="1" a="1"/>
  <c r="I646" i="1"/>
  <c r="H646" i="1"/>
  <c r="G646" i="1" a="1"/>
  <c r="G646" i="1" s="1"/>
  <c r="F646" i="1"/>
  <c r="E646" i="1"/>
  <c r="D646" i="1"/>
  <c r="C646" i="1"/>
  <c r="B646" i="1"/>
  <c r="I645" i="1" a="1"/>
  <c r="I645" i="1" s="1"/>
  <c r="H645" i="1"/>
  <c r="G645" i="1" a="1"/>
  <c r="G645" i="1" s="1"/>
  <c r="F645" i="1"/>
  <c r="E645" i="1"/>
  <c r="D645" i="1"/>
  <c r="C645" i="1"/>
  <c r="B645" i="1"/>
  <c r="I644" i="1" a="1"/>
  <c r="I644" i="1" s="1"/>
  <c r="H644" i="1"/>
  <c r="G644" i="1" a="1"/>
  <c r="G644" i="1" s="1"/>
  <c r="F644" i="1"/>
  <c r="E644" i="1"/>
  <c r="D644" i="1"/>
  <c r="C644" i="1"/>
  <c r="B644" i="1"/>
  <c r="I643" i="1" a="1"/>
  <c r="I643" i="1" s="1"/>
  <c r="H643" i="1"/>
  <c r="G643" i="1" a="1"/>
  <c r="G643" i="1" s="1"/>
  <c r="F643" i="1"/>
  <c r="E643" i="1"/>
  <c r="D643" i="1"/>
  <c r="C643" i="1"/>
  <c r="B643" i="1"/>
  <c r="I642" i="1" a="1"/>
  <c r="I642" i="1" s="1"/>
  <c r="H642" i="1"/>
  <c r="G642" i="1" a="1"/>
  <c r="G642" i="1" s="1"/>
  <c r="F642" i="1"/>
  <c r="E642" i="1"/>
  <c r="D642" i="1"/>
  <c r="C642" i="1"/>
  <c r="B642" i="1"/>
  <c r="I641" i="1" a="1"/>
  <c r="I641" i="1" s="1"/>
  <c r="H641" i="1"/>
  <c r="G641" i="1" a="1"/>
  <c r="G641" i="1" s="1"/>
  <c r="F641" i="1"/>
  <c r="E641" i="1"/>
  <c r="D641" i="1"/>
  <c r="C641" i="1"/>
  <c r="B641" i="1"/>
  <c r="I640" i="1" a="1"/>
  <c r="I640" i="1" s="1"/>
  <c r="H640" i="1"/>
  <c r="G640" i="1" a="1"/>
  <c r="G640" i="1" s="1"/>
  <c r="F640" i="1"/>
  <c r="E640" i="1"/>
  <c r="D640" i="1"/>
  <c r="C640" i="1"/>
  <c r="B640" i="1"/>
  <c r="I639" i="1" a="1"/>
  <c r="I639" i="1" s="1"/>
  <c r="H639" i="1"/>
  <c r="G639" i="1" a="1"/>
  <c r="G639" i="1" s="1"/>
  <c r="F639" i="1"/>
  <c r="E639" i="1"/>
  <c r="D639" i="1"/>
  <c r="C639" i="1"/>
  <c r="B639" i="1"/>
  <c r="I638" i="1" a="1"/>
  <c r="I638" i="1" s="1"/>
  <c r="H638" i="1"/>
  <c r="G638" i="1" a="1"/>
  <c r="G638" i="1" s="1"/>
  <c r="F638" i="1"/>
  <c r="E638" i="1"/>
  <c r="D638" i="1"/>
  <c r="C638" i="1"/>
  <c r="B638" i="1"/>
  <c r="I637" i="1" a="1"/>
  <c r="I637" i="1" s="1"/>
  <c r="H637" i="1"/>
  <c r="G637" i="1" a="1"/>
  <c r="G637" i="1" s="1"/>
  <c r="F637" i="1"/>
  <c r="E637" i="1"/>
  <c r="D637" i="1"/>
  <c r="C637" i="1"/>
  <c r="B637" i="1"/>
  <c r="I636" i="1" a="1"/>
  <c r="I636" i="1" s="1"/>
  <c r="H636" i="1"/>
  <c r="G636" i="1" a="1"/>
  <c r="G636" i="1" s="1"/>
  <c r="F636" i="1"/>
  <c r="E636" i="1"/>
  <c r="D636" i="1"/>
  <c r="C636" i="1"/>
  <c r="B636" i="1"/>
  <c r="I635" i="1" a="1"/>
  <c r="I635" i="1" s="1"/>
  <c r="H635" i="1"/>
  <c r="G635" i="1" a="1"/>
  <c r="G635" i="1" s="1"/>
  <c r="F635" i="1"/>
  <c r="E635" i="1"/>
  <c r="D635" i="1"/>
  <c r="C635" i="1"/>
  <c r="B635" i="1"/>
  <c r="I634" i="1" a="1"/>
  <c r="I634" i="1" s="1"/>
  <c r="H634" i="1"/>
  <c r="G634" i="1" a="1"/>
  <c r="G634" i="1" s="1"/>
  <c r="F634" i="1"/>
  <c r="E634" i="1"/>
  <c r="D634" i="1"/>
  <c r="C634" i="1"/>
  <c r="B634" i="1"/>
  <c r="I633" i="1" a="1"/>
  <c r="I633" i="1" s="1"/>
  <c r="H633" i="1"/>
  <c r="G633" i="1" a="1"/>
  <c r="G633" i="1" s="1"/>
  <c r="F633" i="1"/>
  <c r="E633" i="1"/>
  <c r="D633" i="1"/>
  <c r="C633" i="1"/>
  <c r="B633" i="1"/>
  <c r="I632" i="1" a="1"/>
  <c r="I632" i="1" s="1"/>
  <c r="H632" i="1"/>
  <c r="G632" i="1" a="1"/>
  <c r="G632" i="1" s="1"/>
  <c r="F632" i="1"/>
  <c r="E632" i="1"/>
  <c r="D632" i="1"/>
  <c r="C632" i="1"/>
  <c r="B632" i="1"/>
  <c r="I631" i="1" a="1"/>
  <c r="I631" i="1" s="1"/>
  <c r="H631" i="1"/>
  <c r="G631" i="1" a="1"/>
  <c r="G631" i="1" s="1"/>
  <c r="F631" i="1"/>
  <c r="E631" i="1"/>
  <c r="D631" i="1"/>
  <c r="C631" i="1"/>
  <c r="B631" i="1"/>
  <c r="I630" i="1" a="1"/>
  <c r="I630" i="1" s="1"/>
  <c r="H630" i="1"/>
  <c r="G630" i="1" a="1"/>
  <c r="G630" i="1" s="1"/>
  <c r="F630" i="1"/>
  <c r="E630" i="1"/>
  <c r="D630" i="1"/>
  <c r="C630" i="1"/>
  <c r="B630" i="1"/>
  <c r="I629" i="1" a="1"/>
  <c r="I629" i="1" s="1"/>
  <c r="H629" i="1"/>
  <c r="G629" i="1" a="1"/>
  <c r="G629" i="1" s="1"/>
  <c r="F629" i="1"/>
  <c r="E629" i="1"/>
  <c r="D629" i="1"/>
  <c r="C629" i="1"/>
  <c r="B629" i="1"/>
  <c r="I628" i="1" a="1"/>
  <c r="I628" i="1" s="1"/>
  <c r="H628" i="1"/>
  <c r="G628" i="1" a="1"/>
  <c r="G628" i="1" s="1"/>
  <c r="F628" i="1"/>
  <c r="E628" i="1"/>
  <c r="D628" i="1"/>
  <c r="C628" i="1"/>
  <c r="B628" i="1"/>
  <c r="I627" i="1" a="1"/>
  <c r="I627" i="1" s="1"/>
  <c r="H627" i="1"/>
  <c r="G627" i="1" a="1"/>
  <c r="G627" i="1" s="1"/>
  <c r="F627" i="1"/>
  <c r="E627" i="1"/>
  <c r="D627" i="1"/>
  <c r="C627" i="1"/>
  <c r="B627" i="1"/>
  <c r="I626" i="1" a="1"/>
  <c r="I626" i="1" s="1"/>
  <c r="H626" i="1"/>
  <c r="G626" i="1" a="1"/>
  <c r="G626" i="1" s="1"/>
  <c r="F626" i="1"/>
  <c r="E626" i="1"/>
  <c r="D626" i="1"/>
  <c r="C626" i="1"/>
  <c r="B626" i="1"/>
  <c r="I625" i="1" a="1"/>
  <c r="I625" i="1" s="1"/>
  <c r="H625" i="1"/>
  <c r="G625" i="1" a="1"/>
  <c r="G625" i="1" s="1"/>
  <c r="F625" i="1"/>
  <c r="E625" i="1"/>
  <c r="D625" i="1"/>
  <c r="C625" i="1"/>
  <c r="B625" i="1"/>
  <c r="I624" i="1" a="1"/>
  <c r="I624" i="1"/>
  <c r="H624" i="1"/>
  <c r="G624" i="1" a="1"/>
  <c r="G624" i="1" s="1"/>
  <c r="F624" i="1"/>
  <c r="E624" i="1"/>
  <c r="D624" i="1"/>
  <c r="C624" i="1"/>
  <c r="B624" i="1"/>
  <c r="I623" i="1" a="1"/>
  <c r="I623" i="1" s="1"/>
  <c r="H623" i="1"/>
  <c r="G623" i="1" a="1"/>
  <c r="G623" i="1" s="1"/>
  <c r="F623" i="1"/>
  <c r="E623" i="1"/>
  <c r="D623" i="1"/>
  <c r="C623" i="1"/>
  <c r="B623" i="1"/>
  <c r="I622" i="1" a="1"/>
  <c r="I622" i="1" s="1"/>
  <c r="H622" i="1"/>
  <c r="G622" i="1" a="1"/>
  <c r="G622" i="1" s="1"/>
  <c r="F622" i="1"/>
  <c r="E622" i="1"/>
  <c r="D622" i="1"/>
  <c r="C622" i="1"/>
  <c r="B622" i="1"/>
  <c r="I621" i="1" a="1"/>
  <c r="I621" i="1" s="1"/>
  <c r="H621" i="1"/>
  <c r="G621" i="1" a="1"/>
  <c r="G621" i="1" s="1"/>
  <c r="F621" i="1"/>
  <c r="E621" i="1"/>
  <c r="D621" i="1"/>
  <c r="C621" i="1"/>
  <c r="B621" i="1"/>
  <c r="I620" i="1" a="1"/>
  <c r="I620" i="1" s="1"/>
  <c r="H620" i="1"/>
  <c r="G620" i="1" a="1"/>
  <c r="G620" i="1" s="1"/>
  <c r="F620" i="1"/>
  <c r="E620" i="1"/>
  <c r="D620" i="1"/>
  <c r="C620" i="1"/>
  <c r="B620" i="1"/>
  <c r="I619" i="1" a="1"/>
  <c r="I619" i="1" s="1"/>
  <c r="H619" i="1"/>
  <c r="G619" i="1" a="1"/>
  <c r="G619" i="1" s="1"/>
  <c r="F619" i="1"/>
  <c r="E619" i="1"/>
  <c r="D619" i="1"/>
  <c r="C619" i="1"/>
  <c r="B619" i="1"/>
  <c r="I618" i="1" a="1"/>
  <c r="I618" i="1" s="1"/>
  <c r="H618" i="1"/>
  <c r="G618" i="1" a="1"/>
  <c r="G618" i="1" s="1"/>
  <c r="F618" i="1"/>
  <c r="E618" i="1"/>
  <c r="D618" i="1"/>
  <c r="C618" i="1"/>
  <c r="B618" i="1"/>
  <c r="I617" i="1" a="1"/>
  <c r="I617" i="1" s="1"/>
  <c r="H617" i="1"/>
  <c r="G617" i="1" a="1"/>
  <c r="G617" i="1" s="1"/>
  <c r="F617" i="1"/>
  <c r="E617" i="1"/>
  <c r="D617" i="1"/>
  <c r="C617" i="1"/>
  <c r="B617" i="1"/>
  <c r="I616" i="1" a="1"/>
  <c r="I616" i="1" s="1"/>
  <c r="H616" i="1"/>
  <c r="G616" i="1" a="1"/>
  <c r="G616" i="1" s="1"/>
  <c r="F616" i="1"/>
  <c r="E616" i="1"/>
  <c r="D616" i="1"/>
  <c r="C616" i="1"/>
  <c r="B616" i="1"/>
  <c r="I615" i="1" a="1"/>
  <c r="I615" i="1" s="1"/>
  <c r="H615" i="1"/>
  <c r="G615" i="1" a="1"/>
  <c r="G615" i="1" s="1"/>
  <c r="F615" i="1"/>
  <c r="E615" i="1"/>
  <c r="D615" i="1"/>
  <c r="C615" i="1"/>
  <c r="B615" i="1"/>
  <c r="I614" i="1" a="1"/>
  <c r="I614" i="1" s="1"/>
  <c r="H614" i="1"/>
  <c r="G614" i="1" a="1"/>
  <c r="G614" i="1" s="1"/>
  <c r="F614" i="1"/>
  <c r="E614" i="1"/>
  <c r="D614" i="1"/>
  <c r="C614" i="1"/>
  <c r="B614" i="1"/>
  <c r="I613" i="1" a="1"/>
  <c r="I613" i="1" s="1"/>
  <c r="H613" i="1"/>
  <c r="G613" i="1" a="1"/>
  <c r="G613" i="1" s="1"/>
  <c r="F613" i="1"/>
  <c r="E613" i="1"/>
  <c r="D613" i="1"/>
  <c r="C613" i="1"/>
  <c r="B613" i="1"/>
  <c r="I612" i="1" a="1"/>
  <c r="I612" i="1" s="1"/>
  <c r="H612" i="1"/>
  <c r="G612" i="1" a="1"/>
  <c r="G612" i="1" s="1"/>
  <c r="F612" i="1"/>
  <c r="E612" i="1"/>
  <c r="D612" i="1"/>
  <c r="C612" i="1"/>
  <c r="B612" i="1"/>
  <c r="I611" i="1" a="1"/>
  <c r="I611" i="1" s="1"/>
  <c r="H611" i="1"/>
  <c r="G611" i="1" a="1"/>
  <c r="G611" i="1" s="1"/>
  <c r="F611" i="1"/>
  <c r="E611" i="1"/>
  <c r="D611" i="1"/>
  <c r="C611" i="1"/>
  <c r="B611" i="1"/>
  <c r="I610" i="1" a="1"/>
  <c r="I610" i="1" s="1"/>
  <c r="H610" i="1"/>
  <c r="G610" i="1" a="1"/>
  <c r="G610" i="1" s="1"/>
  <c r="F610" i="1"/>
  <c r="E610" i="1"/>
  <c r="D610" i="1"/>
  <c r="C610" i="1"/>
  <c r="B610" i="1"/>
  <c r="I609" i="1" a="1"/>
  <c r="I609" i="1" s="1"/>
  <c r="H609" i="1"/>
  <c r="G609" i="1" a="1"/>
  <c r="G609" i="1" s="1"/>
  <c r="F609" i="1"/>
  <c r="E609" i="1"/>
  <c r="D609" i="1"/>
  <c r="C609" i="1"/>
  <c r="B609" i="1"/>
  <c r="I608" i="1" a="1"/>
  <c r="I608" i="1" s="1"/>
  <c r="H608" i="1"/>
  <c r="G608" i="1" a="1"/>
  <c r="G608" i="1" s="1"/>
  <c r="F608" i="1"/>
  <c r="E608" i="1"/>
  <c r="D608" i="1"/>
  <c r="C608" i="1"/>
  <c r="B608" i="1"/>
  <c r="I607" i="1" a="1"/>
  <c r="I607" i="1" s="1"/>
  <c r="H607" i="1"/>
  <c r="G607" i="1" a="1"/>
  <c r="G607" i="1" s="1"/>
  <c r="F607" i="1"/>
  <c r="E607" i="1"/>
  <c r="D607" i="1"/>
  <c r="C607" i="1"/>
  <c r="B607" i="1"/>
  <c r="I606" i="1" a="1"/>
  <c r="I606" i="1" s="1"/>
  <c r="H606" i="1"/>
  <c r="G606" i="1" a="1"/>
  <c r="G606" i="1" s="1"/>
  <c r="F606" i="1"/>
  <c r="E606" i="1"/>
  <c r="D606" i="1"/>
  <c r="C606" i="1"/>
  <c r="B606" i="1"/>
  <c r="I605" i="1" a="1"/>
  <c r="I605" i="1" s="1"/>
  <c r="H605" i="1"/>
  <c r="G605" i="1" a="1"/>
  <c r="G605" i="1" s="1"/>
  <c r="F605" i="1"/>
  <c r="E605" i="1"/>
  <c r="D605" i="1"/>
  <c r="C605" i="1"/>
  <c r="B605" i="1"/>
  <c r="I604" i="1" a="1"/>
  <c r="I604" i="1" s="1"/>
  <c r="H604" i="1"/>
  <c r="G604" i="1" a="1"/>
  <c r="G604" i="1" s="1"/>
  <c r="F604" i="1"/>
  <c r="E604" i="1"/>
  <c r="D604" i="1"/>
  <c r="C604" i="1"/>
  <c r="B604" i="1"/>
  <c r="I603" i="1" a="1"/>
  <c r="I603" i="1" s="1"/>
  <c r="H603" i="1"/>
  <c r="G603" i="1" a="1"/>
  <c r="G603" i="1" s="1"/>
  <c r="F603" i="1"/>
  <c r="E603" i="1"/>
  <c r="D603" i="1"/>
  <c r="C603" i="1"/>
  <c r="B603" i="1"/>
  <c r="I602" i="1" a="1"/>
  <c r="I602" i="1" s="1"/>
  <c r="H602" i="1"/>
  <c r="G602" i="1" a="1"/>
  <c r="G602" i="1" s="1"/>
  <c r="F602" i="1"/>
  <c r="E602" i="1"/>
  <c r="D602" i="1"/>
  <c r="C602" i="1"/>
  <c r="B602" i="1"/>
  <c r="I601" i="1" a="1"/>
  <c r="I601" i="1" s="1"/>
  <c r="H601" i="1"/>
  <c r="G601" i="1" a="1"/>
  <c r="G601" i="1" s="1"/>
  <c r="F601" i="1"/>
  <c r="E601" i="1"/>
  <c r="D601" i="1"/>
  <c r="C601" i="1"/>
  <c r="B601" i="1"/>
  <c r="I600" i="1" a="1"/>
  <c r="I600" i="1" s="1"/>
  <c r="H600" i="1"/>
  <c r="G600" i="1" a="1"/>
  <c r="G600" i="1" s="1"/>
  <c r="F600" i="1"/>
  <c r="E600" i="1"/>
  <c r="D600" i="1"/>
  <c r="C600" i="1"/>
  <c r="B600" i="1"/>
  <c r="I599" i="1" a="1"/>
  <c r="I599" i="1" s="1"/>
  <c r="H599" i="1"/>
  <c r="G599" i="1" a="1"/>
  <c r="G599" i="1" s="1"/>
  <c r="F599" i="1"/>
  <c r="E599" i="1"/>
  <c r="D599" i="1"/>
  <c r="C599" i="1"/>
  <c r="B599" i="1"/>
  <c r="I598" i="1" a="1"/>
  <c r="I598" i="1" s="1"/>
  <c r="H598" i="1"/>
  <c r="G598" i="1" a="1"/>
  <c r="G598" i="1" s="1"/>
  <c r="F598" i="1"/>
  <c r="E598" i="1"/>
  <c r="D598" i="1"/>
  <c r="C598" i="1"/>
  <c r="B598" i="1"/>
  <c r="I597" i="1" a="1"/>
  <c r="I597" i="1" s="1"/>
  <c r="H597" i="1"/>
  <c r="G597" i="1" a="1"/>
  <c r="G597" i="1" s="1"/>
  <c r="F597" i="1"/>
  <c r="E597" i="1"/>
  <c r="D597" i="1"/>
  <c r="C597" i="1"/>
  <c r="B597" i="1"/>
  <c r="I596" i="1" a="1"/>
  <c r="I596" i="1" s="1"/>
  <c r="H596" i="1"/>
  <c r="G596" i="1" a="1"/>
  <c r="G596" i="1" s="1"/>
  <c r="F596" i="1"/>
  <c r="E596" i="1"/>
  <c r="D596" i="1"/>
  <c r="C596" i="1"/>
  <c r="B596" i="1"/>
  <c r="I595" i="1" a="1"/>
  <c r="I595" i="1" s="1"/>
  <c r="H595" i="1"/>
  <c r="G595" i="1" a="1"/>
  <c r="G595" i="1" s="1"/>
  <c r="F595" i="1"/>
  <c r="E595" i="1"/>
  <c r="D595" i="1"/>
  <c r="C595" i="1"/>
  <c r="B595" i="1"/>
  <c r="I594" i="1" a="1"/>
  <c r="I594" i="1" s="1"/>
  <c r="H594" i="1"/>
  <c r="G594" i="1" a="1"/>
  <c r="G594" i="1" s="1"/>
  <c r="F594" i="1"/>
  <c r="E594" i="1"/>
  <c r="D594" i="1"/>
  <c r="C594" i="1"/>
  <c r="B594" i="1"/>
  <c r="I593" i="1" a="1"/>
  <c r="I593" i="1" s="1"/>
  <c r="H593" i="1"/>
  <c r="G593" i="1" a="1"/>
  <c r="G593" i="1" s="1"/>
  <c r="F593" i="1"/>
  <c r="E593" i="1"/>
  <c r="D593" i="1"/>
  <c r="C593" i="1"/>
  <c r="B593" i="1"/>
  <c r="I592" i="1" a="1"/>
  <c r="I592" i="1" s="1"/>
  <c r="H592" i="1"/>
  <c r="G592" i="1" a="1"/>
  <c r="G592" i="1" s="1"/>
  <c r="F592" i="1"/>
  <c r="E592" i="1"/>
  <c r="D592" i="1"/>
  <c r="C592" i="1"/>
  <c r="B592" i="1"/>
  <c r="I591" i="1" a="1"/>
  <c r="I591" i="1" s="1"/>
  <c r="H591" i="1"/>
  <c r="G591" i="1" a="1"/>
  <c r="G591" i="1" s="1"/>
  <c r="F591" i="1"/>
  <c r="E591" i="1"/>
  <c r="D591" i="1"/>
  <c r="C591" i="1"/>
  <c r="B591" i="1"/>
  <c r="I590" i="1" a="1"/>
  <c r="I590" i="1"/>
  <c r="H590" i="1"/>
  <c r="G590" i="1" a="1"/>
  <c r="G590" i="1" s="1"/>
  <c r="F590" i="1"/>
  <c r="E590" i="1"/>
  <c r="D590" i="1"/>
  <c r="C590" i="1"/>
  <c r="B590" i="1"/>
  <c r="I589" i="1" a="1"/>
  <c r="I589" i="1" s="1"/>
  <c r="H589" i="1"/>
  <c r="G589" i="1" a="1"/>
  <c r="G589" i="1" s="1"/>
  <c r="F589" i="1"/>
  <c r="E589" i="1"/>
  <c r="D589" i="1"/>
  <c r="C589" i="1"/>
  <c r="B589" i="1"/>
  <c r="I588" i="1" a="1"/>
  <c r="I588" i="1" s="1"/>
  <c r="H588" i="1"/>
  <c r="G588" i="1" a="1"/>
  <c r="G588" i="1" s="1"/>
  <c r="F588" i="1"/>
  <c r="E588" i="1"/>
  <c r="D588" i="1"/>
  <c r="C588" i="1"/>
  <c r="B588" i="1"/>
  <c r="I587" i="1" a="1"/>
  <c r="I587" i="1" s="1"/>
  <c r="H587" i="1"/>
  <c r="G587" i="1" a="1"/>
  <c r="G587" i="1" s="1"/>
  <c r="F587" i="1"/>
  <c r="E587" i="1"/>
  <c r="D587" i="1"/>
  <c r="C587" i="1"/>
  <c r="B587" i="1"/>
  <c r="I586" i="1" a="1"/>
  <c r="I586" i="1" s="1"/>
  <c r="H586" i="1"/>
  <c r="G586" i="1" a="1"/>
  <c r="G586" i="1" s="1"/>
  <c r="F586" i="1"/>
  <c r="E586" i="1"/>
  <c r="D586" i="1"/>
  <c r="C586" i="1"/>
  <c r="B586" i="1"/>
  <c r="I585" i="1" a="1"/>
  <c r="I585" i="1" s="1"/>
  <c r="H585" i="1"/>
  <c r="G585" i="1" a="1"/>
  <c r="G585" i="1" s="1"/>
  <c r="F585" i="1"/>
  <c r="E585" i="1"/>
  <c r="D585" i="1"/>
  <c r="C585" i="1"/>
  <c r="B585" i="1"/>
  <c r="I584" i="1" a="1"/>
  <c r="I584" i="1" s="1"/>
  <c r="H584" i="1"/>
  <c r="G584" i="1" a="1"/>
  <c r="G584" i="1" s="1"/>
  <c r="F584" i="1"/>
  <c r="E584" i="1"/>
  <c r="D584" i="1"/>
  <c r="C584" i="1"/>
  <c r="B584" i="1"/>
  <c r="I583" i="1" a="1"/>
  <c r="I583" i="1" s="1"/>
  <c r="H583" i="1"/>
  <c r="G583" i="1" a="1"/>
  <c r="G583" i="1" s="1"/>
  <c r="F583" i="1"/>
  <c r="E583" i="1"/>
  <c r="D583" i="1"/>
  <c r="C583" i="1"/>
  <c r="B583" i="1"/>
  <c r="I582" i="1" a="1"/>
  <c r="I582" i="1" s="1"/>
  <c r="H582" i="1"/>
  <c r="G582" i="1" a="1"/>
  <c r="G582" i="1" s="1"/>
  <c r="F582" i="1"/>
  <c r="E582" i="1"/>
  <c r="D582" i="1"/>
  <c r="C582" i="1"/>
  <c r="B582" i="1"/>
  <c r="I581" i="1" a="1"/>
  <c r="I581" i="1" s="1"/>
  <c r="H581" i="1"/>
  <c r="G581" i="1" a="1"/>
  <c r="G581" i="1" s="1"/>
  <c r="F581" i="1"/>
  <c r="E581" i="1"/>
  <c r="D581" i="1"/>
  <c r="C581" i="1"/>
  <c r="B581" i="1"/>
  <c r="I580" i="1" a="1"/>
  <c r="I580" i="1" s="1"/>
  <c r="H580" i="1"/>
  <c r="G580" i="1" a="1"/>
  <c r="G580" i="1" s="1"/>
  <c r="F580" i="1"/>
  <c r="E580" i="1"/>
  <c r="D580" i="1"/>
  <c r="C580" i="1"/>
  <c r="B580" i="1"/>
  <c r="I579" i="1" a="1"/>
  <c r="I579" i="1" s="1"/>
  <c r="H579" i="1"/>
  <c r="G579" i="1" a="1"/>
  <c r="G579" i="1" s="1"/>
  <c r="F579" i="1"/>
  <c r="E579" i="1"/>
  <c r="D579" i="1"/>
  <c r="C579" i="1"/>
  <c r="B579" i="1"/>
  <c r="I578" i="1" a="1"/>
  <c r="I578" i="1" s="1"/>
  <c r="H578" i="1"/>
  <c r="G578" i="1" a="1"/>
  <c r="G578" i="1" s="1"/>
  <c r="F578" i="1"/>
  <c r="E578" i="1"/>
  <c r="D578" i="1"/>
  <c r="C578" i="1"/>
  <c r="B578" i="1"/>
  <c r="I577" i="1" a="1"/>
  <c r="I577" i="1" s="1"/>
  <c r="H577" i="1"/>
  <c r="G577" i="1" a="1"/>
  <c r="G577" i="1" s="1"/>
  <c r="F577" i="1"/>
  <c r="E577" i="1"/>
  <c r="D577" i="1"/>
  <c r="C577" i="1"/>
  <c r="B577" i="1"/>
  <c r="I576" i="1" a="1"/>
  <c r="I576" i="1" s="1"/>
  <c r="H576" i="1"/>
  <c r="G576" i="1" a="1"/>
  <c r="G576" i="1" s="1"/>
  <c r="F576" i="1"/>
  <c r="E576" i="1"/>
  <c r="D576" i="1"/>
  <c r="C576" i="1"/>
  <c r="B576" i="1"/>
  <c r="I575" i="1" a="1"/>
  <c r="I575" i="1" s="1"/>
  <c r="H575" i="1"/>
  <c r="G575" i="1" a="1"/>
  <c r="G575" i="1" s="1"/>
  <c r="F575" i="1"/>
  <c r="E575" i="1"/>
  <c r="D575" i="1"/>
  <c r="C575" i="1"/>
  <c r="B575" i="1"/>
  <c r="I574" i="1" a="1"/>
  <c r="I574" i="1" s="1"/>
  <c r="H574" i="1"/>
  <c r="G574" i="1" a="1"/>
  <c r="G574" i="1" s="1"/>
  <c r="F574" i="1"/>
  <c r="E574" i="1"/>
  <c r="D574" i="1"/>
  <c r="C574" i="1"/>
  <c r="B574" i="1"/>
  <c r="I573" i="1" a="1"/>
  <c r="I573" i="1" s="1"/>
  <c r="H573" i="1"/>
  <c r="G573" i="1" a="1"/>
  <c r="G573" i="1" s="1"/>
  <c r="F573" i="1"/>
  <c r="E573" i="1"/>
  <c r="D573" i="1"/>
  <c r="C573" i="1"/>
  <c r="B573" i="1"/>
  <c r="I572" i="1" a="1"/>
  <c r="I572" i="1" s="1"/>
  <c r="H572" i="1"/>
  <c r="G572" i="1" a="1"/>
  <c r="G572" i="1" s="1"/>
  <c r="F572" i="1"/>
  <c r="E572" i="1"/>
  <c r="D572" i="1"/>
  <c r="C572" i="1"/>
  <c r="B572" i="1"/>
  <c r="I571" i="1" a="1"/>
  <c r="I571" i="1" s="1"/>
  <c r="H571" i="1"/>
  <c r="G571" i="1" a="1"/>
  <c r="G571" i="1" s="1"/>
  <c r="F571" i="1"/>
  <c r="E571" i="1"/>
  <c r="D571" i="1"/>
  <c r="C571" i="1"/>
  <c r="B571" i="1"/>
  <c r="I570" i="1" a="1"/>
  <c r="I570" i="1" s="1"/>
  <c r="H570" i="1"/>
  <c r="G570" i="1" a="1"/>
  <c r="G570" i="1" s="1"/>
  <c r="F570" i="1"/>
  <c r="E570" i="1"/>
  <c r="D570" i="1"/>
  <c r="C570" i="1"/>
  <c r="B570" i="1"/>
  <c r="I569" i="1" a="1"/>
  <c r="I569" i="1" s="1"/>
  <c r="H569" i="1"/>
  <c r="G569" i="1" a="1"/>
  <c r="G569" i="1" s="1"/>
  <c r="F569" i="1"/>
  <c r="E569" i="1"/>
  <c r="D569" i="1"/>
  <c r="C569" i="1"/>
  <c r="B569" i="1"/>
  <c r="I568" i="1" a="1"/>
  <c r="I568" i="1" s="1"/>
  <c r="H568" i="1"/>
  <c r="G568" i="1" a="1"/>
  <c r="G568" i="1" s="1"/>
  <c r="F568" i="1"/>
  <c r="E568" i="1"/>
  <c r="D568" i="1"/>
  <c r="C568" i="1"/>
  <c r="B568" i="1"/>
  <c r="I567" i="1" a="1"/>
  <c r="I567" i="1" s="1"/>
  <c r="H567" i="1"/>
  <c r="G567" i="1" a="1"/>
  <c r="G567" i="1" s="1"/>
  <c r="F567" i="1"/>
  <c r="E567" i="1"/>
  <c r="D567" i="1"/>
  <c r="C567" i="1"/>
  <c r="B567" i="1"/>
  <c r="I566" i="1" a="1"/>
  <c r="I566" i="1" s="1"/>
  <c r="H566" i="1"/>
  <c r="G566" i="1" a="1"/>
  <c r="G566" i="1" s="1"/>
  <c r="F566" i="1"/>
  <c r="E566" i="1"/>
  <c r="D566" i="1"/>
  <c r="C566" i="1"/>
  <c r="B566" i="1"/>
  <c r="I565" i="1" a="1"/>
  <c r="I565" i="1" s="1"/>
  <c r="H565" i="1"/>
  <c r="G565" i="1" a="1"/>
  <c r="G565" i="1" s="1"/>
  <c r="F565" i="1"/>
  <c r="E565" i="1"/>
  <c r="D565" i="1"/>
  <c r="C565" i="1"/>
  <c r="B565" i="1"/>
  <c r="I564" i="1" a="1"/>
  <c r="I564" i="1" s="1"/>
  <c r="H564" i="1"/>
  <c r="G564" i="1" a="1"/>
  <c r="G564" i="1" s="1"/>
  <c r="F564" i="1"/>
  <c r="E564" i="1"/>
  <c r="D564" i="1"/>
  <c r="C564" i="1"/>
  <c r="B564" i="1"/>
  <c r="I563" i="1" a="1"/>
  <c r="I563" i="1" s="1"/>
  <c r="H563" i="1"/>
  <c r="G563" i="1" a="1"/>
  <c r="G563" i="1" s="1"/>
  <c r="F563" i="1"/>
  <c r="E563" i="1"/>
  <c r="D563" i="1"/>
  <c r="C563" i="1"/>
  <c r="B563" i="1"/>
  <c r="I562" i="1" a="1"/>
  <c r="I562" i="1" s="1"/>
  <c r="H562" i="1"/>
  <c r="G562" i="1" a="1"/>
  <c r="G562" i="1" s="1"/>
  <c r="F562" i="1"/>
  <c r="E562" i="1"/>
  <c r="D562" i="1"/>
  <c r="C562" i="1"/>
  <c r="B562" i="1"/>
  <c r="I561" i="1" a="1"/>
  <c r="I561" i="1" s="1"/>
  <c r="H561" i="1"/>
  <c r="G561" i="1" a="1"/>
  <c r="G561" i="1" s="1"/>
  <c r="F561" i="1"/>
  <c r="E561" i="1"/>
  <c r="D561" i="1"/>
  <c r="C561" i="1"/>
  <c r="B561" i="1"/>
  <c r="I560" i="1" a="1"/>
  <c r="I560" i="1" s="1"/>
  <c r="H560" i="1"/>
  <c r="G560" i="1" a="1"/>
  <c r="G560" i="1" s="1"/>
  <c r="F560" i="1"/>
  <c r="E560" i="1"/>
  <c r="D560" i="1"/>
  <c r="C560" i="1"/>
  <c r="B560" i="1"/>
  <c r="I559" i="1" a="1"/>
  <c r="I559" i="1" s="1"/>
  <c r="H559" i="1"/>
  <c r="G559" i="1" a="1"/>
  <c r="G559" i="1" s="1"/>
  <c r="F559" i="1"/>
  <c r="E559" i="1"/>
  <c r="D559" i="1"/>
  <c r="C559" i="1"/>
  <c r="B559" i="1"/>
  <c r="I558" i="1" a="1"/>
  <c r="I558" i="1"/>
  <c r="H558" i="1"/>
  <c r="G558" i="1" a="1"/>
  <c r="G558" i="1" s="1"/>
  <c r="F558" i="1"/>
  <c r="E558" i="1"/>
  <c r="D558" i="1"/>
  <c r="C558" i="1"/>
  <c r="B558" i="1"/>
  <c r="I557" i="1" a="1"/>
  <c r="I557" i="1" s="1"/>
  <c r="H557" i="1"/>
  <c r="G557" i="1" a="1"/>
  <c r="G557" i="1" s="1"/>
  <c r="F557" i="1"/>
  <c r="E557" i="1"/>
  <c r="D557" i="1"/>
  <c r="C557" i="1"/>
  <c r="B557" i="1"/>
  <c r="I556" i="1" a="1"/>
  <c r="I556" i="1" s="1"/>
  <c r="H556" i="1"/>
  <c r="G556" i="1" a="1"/>
  <c r="G556" i="1" s="1"/>
  <c r="F556" i="1"/>
  <c r="E556" i="1"/>
  <c r="D556" i="1"/>
  <c r="C556" i="1"/>
  <c r="B556" i="1"/>
  <c r="I555" i="1" a="1"/>
  <c r="I555" i="1" s="1"/>
  <c r="H555" i="1"/>
  <c r="G555" i="1" a="1"/>
  <c r="G555" i="1" s="1"/>
  <c r="F555" i="1"/>
  <c r="E555" i="1"/>
  <c r="D555" i="1"/>
  <c r="C555" i="1"/>
  <c r="B555" i="1"/>
  <c r="I554" i="1" a="1"/>
  <c r="I554" i="1" s="1"/>
  <c r="H554" i="1"/>
  <c r="G554" i="1" a="1"/>
  <c r="G554" i="1" s="1"/>
  <c r="F554" i="1"/>
  <c r="E554" i="1"/>
  <c r="D554" i="1"/>
  <c r="C554" i="1"/>
  <c r="B554" i="1"/>
  <c r="I553" i="1" a="1"/>
  <c r="I553" i="1" s="1"/>
  <c r="H553" i="1"/>
  <c r="G553" i="1" a="1"/>
  <c r="G553" i="1" s="1"/>
  <c r="F553" i="1"/>
  <c r="E553" i="1"/>
  <c r="D553" i="1"/>
  <c r="C553" i="1"/>
  <c r="B553" i="1"/>
  <c r="I552" i="1" a="1"/>
  <c r="I552" i="1" s="1"/>
  <c r="H552" i="1"/>
  <c r="G552" i="1" a="1"/>
  <c r="G552" i="1" s="1"/>
  <c r="F552" i="1"/>
  <c r="E552" i="1"/>
  <c r="D552" i="1"/>
  <c r="C552" i="1"/>
  <c r="B552" i="1"/>
  <c r="I551" i="1" a="1"/>
  <c r="I551" i="1" s="1"/>
  <c r="H551" i="1"/>
  <c r="G551" i="1" a="1"/>
  <c r="G551" i="1" s="1"/>
  <c r="F551" i="1"/>
  <c r="E551" i="1"/>
  <c r="D551" i="1"/>
  <c r="C551" i="1"/>
  <c r="B551" i="1"/>
  <c r="I550" i="1" a="1"/>
  <c r="I550" i="1" s="1"/>
  <c r="H550" i="1"/>
  <c r="G550" i="1" a="1"/>
  <c r="G550" i="1" s="1"/>
  <c r="F550" i="1"/>
  <c r="E550" i="1"/>
  <c r="D550" i="1"/>
  <c r="C550" i="1"/>
  <c r="B550" i="1"/>
  <c r="I549" i="1" a="1"/>
  <c r="I549" i="1" s="1"/>
  <c r="H549" i="1"/>
  <c r="G549" i="1" a="1"/>
  <c r="G549" i="1" s="1"/>
  <c r="F549" i="1"/>
  <c r="E549" i="1"/>
  <c r="D549" i="1"/>
  <c r="C549" i="1"/>
  <c r="B549" i="1"/>
  <c r="I548" i="1" a="1"/>
  <c r="I548" i="1" s="1"/>
  <c r="H548" i="1"/>
  <c r="G548" i="1" a="1"/>
  <c r="G548" i="1" s="1"/>
  <c r="F548" i="1"/>
  <c r="E548" i="1"/>
  <c r="D548" i="1"/>
  <c r="C548" i="1"/>
  <c r="B548" i="1"/>
  <c r="I547" i="1" a="1"/>
  <c r="I547" i="1" s="1"/>
  <c r="H547" i="1"/>
  <c r="G547" i="1" a="1"/>
  <c r="G547" i="1" s="1"/>
  <c r="F547" i="1"/>
  <c r="E547" i="1"/>
  <c r="D547" i="1"/>
  <c r="C547" i="1"/>
  <c r="B547" i="1"/>
  <c r="I546" i="1" a="1"/>
  <c r="I546" i="1" s="1"/>
  <c r="H546" i="1"/>
  <c r="G546" i="1" a="1"/>
  <c r="G546" i="1" s="1"/>
  <c r="F546" i="1"/>
  <c r="E546" i="1"/>
  <c r="D546" i="1"/>
  <c r="C546" i="1"/>
  <c r="B546" i="1"/>
  <c r="I545" i="1" a="1"/>
  <c r="I545" i="1" s="1"/>
  <c r="H545" i="1"/>
  <c r="G545" i="1" a="1"/>
  <c r="G545" i="1" s="1"/>
  <c r="F545" i="1"/>
  <c r="E545" i="1"/>
  <c r="D545" i="1"/>
  <c r="C545" i="1"/>
  <c r="B545" i="1"/>
  <c r="I544" i="1" a="1"/>
  <c r="I544" i="1" s="1"/>
  <c r="H544" i="1"/>
  <c r="G544" i="1" a="1"/>
  <c r="G544" i="1" s="1"/>
  <c r="F544" i="1"/>
  <c r="E544" i="1"/>
  <c r="D544" i="1"/>
  <c r="C544" i="1"/>
  <c r="B544" i="1"/>
  <c r="I543" i="1" a="1"/>
  <c r="I543" i="1" s="1"/>
  <c r="H543" i="1"/>
  <c r="G543" i="1" a="1"/>
  <c r="G543" i="1" s="1"/>
  <c r="F543" i="1"/>
  <c r="E543" i="1"/>
  <c r="D543" i="1"/>
  <c r="C543" i="1"/>
  <c r="B543" i="1"/>
  <c r="I542" i="1" a="1"/>
  <c r="I542" i="1" s="1"/>
  <c r="H542" i="1"/>
  <c r="G542" i="1" a="1"/>
  <c r="G542" i="1" s="1"/>
  <c r="F542" i="1"/>
  <c r="E542" i="1"/>
  <c r="D542" i="1"/>
  <c r="C542" i="1"/>
  <c r="B542" i="1"/>
  <c r="I541" i="1" a="1"/>
  <c r="I541" i="1" s="1"/>
  <c r="H541" i="1"/>
  <c r="G541" i="1" a="1"/>
  <c r="G541" i="1" s="1"/>
  <c r="F541" i="1"/>
  <c r="E541" i="1"/>
  <c r="D541" i="1"/>
  <c r="C541" i="1"/>
  <c r="B541" i="1"/>
  <c r="I540" i="1" a="1"/>
  <c r="I540" i="1" s="1"/>
  <c r="H540" i="1"/>
  <c r="G540" i="1" a="1"/>
  <c r="G540" i="1" s="1"/>
  <c r="F540" i="1"/>
  <c r="E540" i="1"/>
  <c r="D540" i="1"/>
  <c r="C540" i="1"/>
  <c r="B540" i="1"/>
  <c r="I539" i="1" a="1"/>
  <c r="I539" i="1" s="1"/>
  <c r="H539" i="1"/>
  <c r="G539" i="1" a="1"/>
  <c r="G539" i="1" s="1"/>
  <c r="F539" i="1"/>
  <c r="E539" i="1"/>
  <c r="D539" i="1"/>
  <c r="C539" i="1"/>
  <c r="B539" i="1"/>
  <c r="I538" i="1" a="1"/>
  <c r="I538" i="1" s="1"/>
  <c r="H538" i="1"/>
  <c r="G538" i="1" a="1"/>
  <c r="G538" i="1" s="1"/>
  <c r="F538" i="1"/>
  <c r="E538" i="1"/>
  <c r="D538" i="1"/>
  <c r="C538" i="1"/>
  <c r="B538" i="1"/>
  <c r="I537" i="1" a="1"/>
  <c r="I537" i="1" s="1"/>
  <c r="H537" i="1"/>
  <c r="G537" i="1" a="1"/>
  <c r="G537" i="1" s="1"/>
  <c r="F537" i="1"/>
  <c r="E537" i="1"/>
  <c r="D537" i="1"/>
  <c r="C537" i="1"/>
  <c r="B537" i="1"/>
  <c r="I536" i="1" a="1"/>
  <c r="I536" i="1" s="1"/>
  <c r="H536" i="1"/>
  <c r="G536" i="1" a="1"/>
  <c r="G536" i="1" s="1"/>
  <c r="F536" i="1"/>
  <c r="E536" i="1"/>
  <c r="D536" i="1"/>
  <c r="C536" i="1"/>
  <c r="B536" i="1"/>
  <c r="I535" i="1" a="1"/>
  <c r="I535" i="1" s="1"/>
  <c r="H535" i="1"/>
  <c r="G535" i="1" a="1"/>
  <c r="G535" i="1" s="1"/>
  <c r="F535" i="1"/>
  <c r="E535" i="1"/>
  <c r="D535" i="1"/>
  <c r="C535" i="1"/>
  <c r="B535" i="1"/>
  <c r="I534" i="1" a="1"/>
  <c r="I534" i="1" s="1"/>
  <c r="H534" i="1"/>
  <c r="G534" i="1" a="1"/>
  <c r="G534" i="1" s="1"/>
  <c r="F534" i="1"/>
  <c r="E534" i="1"/>
  <c r="D534" i="1"/>
  <c r="C534" i="1"/>
  <c r="B534" i="1"/>
  <c r="I533" i="1" a="1"/>
  <c r="I533" i="1" s="1"/>
  <c r="H533" i="1"/>
  <c r="G533" i="1" a="1"/>
  <c r="G533" i="1" s="1"/>
  <c r="F533" i="1"/>
  <c r="E533" i="1"/>
  <c r="D533" i="1"/>
  <c r="C533" i="1"/>
  <c r="B533" i="1"/>
  <c r="I532" i="1" a="1"/>
  <c r="I532" i="1" s="1"/>
  <c r="H532" i="1"/>
  <c r="G532" i="1" a="1"/>
  <c r="G532" i="1" s="1"/>
  <c r="F532" i="1"/>
  <c r="E532" i="1"/>
  <c r="D532" i="1"/>
  <c r="C532" i="1"/>
  <c r="B532" i="1"/>
  <c r="I531" i="1" a="1"/>
  <c r="I531" i="1" s="1"/>
  <c r="H531" i="1"/>
  <c r="G531" i="1" a="1"/>
  <c r="G531" i="1" s="1"/>
  <c r="F531" i="1"/>
  <c r="E531" i="1"/>
  <c r="D531" i="1"/>
  <c r="C531" i="1"/>
  <c r="B531" i="1"/>
  <c r="I530" i="1" a="1"/>
  <c r="I530" i="1" s="1"/>
  <c r="H530" i="1"/>
  <c r="G530" i="1" a="1"/>
  <c r="G530" i="1" s="1"/>
  <c r="F530" i="1"/>
  <c r="E530" i="1"/>
  <c r="D530" i="1"/>
  <c r="C530" i="1"/>
  <c r="B530" i="1"/>
  <c r="I529" i="1" a="1"/>
  <c r="I529" i="1" s="1"/>
  <c r="H529" i="1"/>
  <c r="G529" i="1" a="1"/>
  <c r="G529" i="1" s="1"/>
  <c r="F529" i="1"/>
  <c r="E529" i="1"/>
  <c r="D529" i="1"/>
  <c r="C529" i="1"/>
  <c r="B529" i="1"/>
  <c r="I528" i="1" a="1"/>
  <c r="I528" i="1" s="1"/>
  <c r="H528" i="1"/>
  <c r="G528" i="1" a="1"/>
  <c r="G528" i="1" s="1"/>
  <c r="F528" i="1"/>
  <c r="E528" i="1"/>
  <c r="D528" i="1"/>
  <c r="C528" i="1"/>
  <c r="B528" i="1"/>
  <c r="I527" i="1" a="1"/>
  <c r="I527" i="1" s="1"/>
  <c r="H527" i="1"/>
  <c r="G527" i="1" a="1"/>
  <c r="G527" i="1" s="1"/>
  <c r="F527" i="1"/>
  <c r="E527" i="1"/>
  <c r="D527" i="1"/>
  <c r="C527" i="1"/>
  <c r="B527" i="1"/>
  <c r="I526" i="1" a="1"/>
  <c r="I526" i="1"/>
  <c r="H526" i="1"/>
  <c r="G526" i="1" a="1"/>
  <c r="G526" i="1" s="1"/>
  <c r="F526" i="1"/>
  <c r="E526" i="1"/>
  <c r="D526" i="1"/>
  <c r="C526" i="1"/>
  <c r="B526" i="1"/>
  <c r="I525" i="1" a="1"/>
  <c r="I525" i="1" s="1"/>
  <c r="H525" i="1"/>
  <c r="G525" i="1" a="1"/>
  <c r="G525" i="1" s="1"/>
  <c r="F525" i="1"/>
  <c r="E525" i="1"/>
  <c r="D525" i="1"/>
  <c r="C525" i="1"/>
  <c r="B525" i="1"/>
  <c r="I524" i="1" a="1"/>
  <c r="I524" i="1" s="1"/>
  <c r="H524" i="1"/>
  <c r="G524" i="1" a="1"/>
  <c r="G524" i="1" s="1"/>
  <c r="F524" i="1"/>
  <c r="E524" i="1"/>
  <c r="D524" i="1"/>
  <c r="C524" i="1"/>
  <c r="B524" i="1"/>
  <c r="I523" i="1" a="1"/>
  <c r="I523" i="1" s="1"/>
  <c r="H523" i="1"/>
  <c r="G523" i="1" a="1"/>
  <c r="G523" i="1" s="1"/>
  <c r="F523" i="1"/>
  <c r="E523" i="1"/>
  <c r="D523" i="1"/>
  <c r="C523" i="1"/>
  <c r="B523" i="1"/>
  <c r="I522" i="1" a="1"/>
  <c r="I522" i="1" s="1"/>
  <c r="H522" i="1"/>
  <c r="G522" i="1" a="1"/>
  <c r="G522" i="1" s="1"/>
  <c r="F522" i="1"/>
  <c r="E522" i="1"/>
  <c r="D522" i="1"/>
  <c r="C522" i="1"/>
  <c r="B522" i="1"/>
  <c r="I521" i="1" a="1"/>
  <c r="I521" i="1" s="1"/>
  <c r="H521" i="1"/>
  <c r="G521" i="1" a="1"/>
  <c r="G521" i="1" s="1"/>
  <c r="F521" i="1"/>
  <c r="E521" i="1"/>
  <c r="D521" i="1"/>
  <c r="C521" i="1"/>
  <c r="B521" i="1"/>
  <c r="I520" i="1" a="1"/>
  <c r="I520" i="1" s="1"/>
  <c r="H520" i="1"/>
  <c r="G520" i="1" a="1"/>
  <c r="G520" i="1" s="1"/>
  <c r="F520" i="1"/>
  <c r="E520" i="1"/>
  <c r="D520" i="1"/>
  <c r="C520" i="1"/>
  <c r="B520" i="1"/>
  <c r="I519" i="1" a="1"/>
  <c r="I519" i="1" s="1"/>
  <c r="H519" i="1"/>
  <c r="G519" i="1" a="1"/>
  <c r="G519" i="1" s="1"/>
  <c r="F519" i="1"/>
  <c r="E519" i="1"/>
  <c r="D519" i="1"/>
  <c r="C519" i="1"/>
  <c r="B519" i="1"/>
  <c r="I518" i="1" a="1"/>
  <c r="I518" i="1" s="1"/>
  <c r="H518" i="1"/>
  <c r="G518" i="1" a="1"/>
  <c r="G518" i="1" s="1"/>
  <c r="F518" i="1"/>
  <c r="E518" i="1"/>
  <c r="D518" i="1"/>
  <c r="C518" i="1"/>
  <c r="B518" i="1"/>
  <c r="I517" i="1" a="1"/>
  <c r="I517" i="1" s="1"/>
  <c r="H517" i="1"/>
  <c r="G517" i="1" a="1"/>
  <c r="G517" i="1" s="1"/>
  <c r="F517" i="1"/>
  <c r="E517" i="1"/>
  <c r="D517" i="1"/>
  <c r="C517" i="1"/>
  <c r="B517" i="1"/>
  <c r="I516" i="1" a="1"/>
  <c r="I516" i="1" s="1"/>
  <c r="H516" i="1"/>
  <c r="G516" i="1" a="1"/>
  <c r="G516" i="1" s="1"/>
  <c r="F516" i="1"/>
  <c r="E516" i="1"/>
  <c r="D516" i="1"/>
  <c r="C516" i="1"/>
  <c r="B516" i="1"/>
  <c r="I515" i="1" a="1"/>
  <c r="I515" i="1" s="1"/>
  <c r="H515" i="1"/>
  <c r="G515" i="1" a="1"/>
  <c r="G515" i="1" s="1"/>
  <c r="F515" i="1"/>
  <c r="E515" i="1"/>
  <c r="D515" i="1"/>
  <c r="C515" i="1"/>
  <c r="B515" i="1"/>
  <c r="I514" i="1" a="1"/>
  <c r="I514" i="1" s="1"/>
  <c r="H514" i="1"/>
  <c r="G514" i="1" a="1"/>
  <c r="G514" i="1" s="1"/>
  <c r="F514" i="1"/>
  <c r="E514" i="1"/>
  <c r="D514" i="1"/>
  <c r="C514" i="1"/>
  <c r="B514" i="1"/>
  <c r="I513" i="1" a="1"/>
  <c r="I513" i="1" s="1"/>
  <c r="H513" i="1"/>
  <c r="G513" i="1" a="1"/>
  <c r="G513" i="1" s="1"/>
  <c r="F513" i="1"/>
  <c r="E513" i="1"/>
  <c r="D513" i="1"/>
  <c r="C513" i="1"/>
  <c r="B513" i="1"/>
  <c r="I512" i="1" a="1"/>
  <c r="I512" i="1" s="1"/>
  <c r="H512" i="1"/>
  <c r="G512" i="1" a="1"/>
  <c r="G512" i="1" s="1"/>
  <c r="F512" i="1"/>
  <c r="E512" i="1"/>
  <c r="D512" i="1"/>
  <c r="C512" i="1"/>
  <c r="B512" i="1"/>
  <c r="I511" i="1" a="1"/>
  <c r="I511" i="1" s="1"/>
  <c r="H511" i="1"/>
  <c r="G511" i="1" a="1"/>
  <c r="G511" i="1" s="1"/>
  <c r="F511" i="1"/>
  <c r="E511" i="1"/>
  <c r="D511" i="1"/>
  <c r="C511" i="1"/>
  <c r="B511" i="1"/>
  <c r="I510" i="1" a="1"/>
  <c r="I510" i="1" s="1"/>
  <c r="H510" i="1"/>
  <c r="G510" i="1" a="1"/>
  <c r="G510" i="1" s="1"/>
  <c r="F510" i="1"/>
  <c r="E510" i="1"/>
  <c r="D510" i="1"/>
  <c r="C510" i="1"/>
  <c r="B510" i="1"/>
  <c r="I509" i="1" a="1"/>
  <c r="I509" i="1" s="1"/>
  <c r="H509" i="1"/>
  <c r="G509" i="1" a="1"/>
  <c r="G509" i="1" s="1"/>
  <c r="F509" i="1"/>
  <c r="E509" i="1"/>
  <c r="D509" i="1"/>
  <c r="C509" i="1"/>
  <c r="B509" i="1"/>
  <c r="I508" i="1" a="1"/>
  <c r="I508" i="1" s="1"/>
  <c r="H508" i="1"/>
  <c r="G508" i="1" a="1"/>
  <c r="G508" i="1" s="1"/>
  <c r="F508" i="1"/>
  <c r="E508" i="1"/>
  <c r="D508" i="1"/>
  <c r="C508" i="1"/>
  <c r="B508" i="1"/>
  <c r="I507" i="1" a="1"/>
  <c r="I507" i="1" s="1"/>
  <c r="H507" i="1"/>
  <c r="G507" i="1" a="1"/>
  <c r="G507" i="1" s="1"/>
  <c r="F507" i="1"/>
  <c r="E507" i="1"/>
  <c r="D507" i="1"/>
  <c r="C507" i="1"/>
  <c r="B507" i="1"/>
  <c r="I506" i="1" a="1"/>
  <c r="I506" i="1" s="1"/>
  <c r="H506" i="1"/>
  <c r="G506" i="1" a="1"/>
  <c r="G506" i="1" s="1"/>
  <c r="F506" i="1"/>
  <c r="E506" i="1"/>
  <c r="D506" i="1"/>
  <c r="C506" i="1"/>
  <c r="B506" i="1"/>
  <c r="I505" i="1" a="1"/>
  <c r="I505" i="1" s="1"/>
  <c r="H505" i="1"/>
  <c r="G505" i="1" a="1"/>
  <c r="G505" i="1" s="1"/>
  <c r="F505" i="1"/>
  <c r="E505" i="1"/>
  <c r="D505" i="1"/>
  <c r="C505" i="1"/>
  <c r="B505" i="1"/>
  <c r="I504" i="1" a="1"/>
  <c r="I504" i="1" s="1"/>
  <c r="H504" i="1"/>
  <c r="G504" i="1" a="1"/>
  <c r="G504" i="1" s="1"/>
  <c r="F504" i="1"/>
  <c r="E504" i="1"/>
  <c r="D504" i="1"/>
  <c r="C504" i="1"/>
  <c r="B504" i="1"/>
  <c r="I503" i="1" a="1"/>
  <c r="I503" i="1" s="1"/>
  <c r="H503" i="1"/>
  <c r="G503" i="1" a="1"/>
  <c r="G503" i="1" s="1"/>
  <c r="F503" i="1"/>
  <c r="E503" i="1"/>
  <c r="D503" i="1"/>
  <c r="C503" i="1"/>
  <c r="B503" i="1"/>
  <c r="I502" i="1" a="1"/>
  <c r="I502" i="1" s="1"/>
  <c r="H502" i="1"/>
  <c r="G502" i="1" a="1"/>
  <c r="G502" i="1" s="1"/>
  <c r="F502" i="1"/>
  <c r="E502" i="1"/>
  <c r="D502" i="1"/>
  <c r="C502" i="1"/>
  <c r="B502" i="1"/>
  <c r="I501" i="1" a="1"/>
  <c r="I501" i="1" s="1"/>
  <c r="H501" i="1"/>
  <c r="G501" i="1" a="1"/>
  <c r="G501" i="1" s="1"/>
  <c r="F501" i="1"/>
  <c r="E501" i="1"/>
  <c r="D501" i="1"/>
  <c r="C501" i="1"/>
  <c r="B501" i="1"/>
  <c r="I500" i="1" a="1"/>
  <c r="I500" i="1" s="1"/>
  <c r="H500" i="1"/>
  <c r="G500" i="1" a="1"/>
  <c r="G500" i="1" s="1"/>
  <c r="F500" i="1"/>
  <c r="E500" i="1"/>
  <c r="D500" i="1"/>
  <c r="C500" i="1"/>
  <c r="B500" i="1"/>
  <c r="I499" i="1" a="1"/>
  <c r="I499" i="1" s="1"/>
  <c r="H499" i="1"/>
  <c r="G499" i="1" a="1"/>
  <c r="G499" i="1" s="1"/>
  <c r="F499" i="1"/>
  <c r="E499" i="1"/>
  <c r="D499" i="1"/>
  <c r="C499" i="1"/>
  <c r="B499" i="1"/>
  <c r="I498" i="1" a="1"/>
  <c r="I498" i="1"/>
  <c r="H498" i="1"/>
  <c r="G498" i="1" a="1"/>
  <c r="G498" i="1" s="1"/>
  <c r="F498" i="1"/>
  <c r="E498" i="1"/>
  <c r="D498" i="1"/>
  <c r="C498" i="1"/>
  <c r="B498" i="1"/>
  <c r="I497" i="1" a="1"/>
  <c r="I497" i="1" s="1"/>
  <c r="H497" i="1"/>
  <c r="G497" i="1" a="1"/>
  <c r="G497" i="1" s="1"/>
  <c r="F497" i="1"/>
  <c r="E497" i="1"/>
  <c r="D497" i="1"/>
  <c r="C497" i="1"/>
  <c r="B497" i="1"/>
  <c r="I496" i="1" a="1"/>
  <c r="I496" i="1" s="1"/>
  <c r="H496" i="1"/>
  <c r="G496" i="1" a="1"/>
  <c r="G496" i="1" s="1"/>
  <c r="F496" i="1"/>
  <c r="E496" i="1"/>
  <c r="D496" i="1"/>
  <c r="C496" i="1"/>
  <c r="B496" i="1"/>
  <c r="I495" i="1" a="1"/>
  <c r="I495" i="1" s="1"/>
  <c r="H495" i="1"/>
  <c r="G495" i="1" a="1"/>
  <c r="G495" i="1" s="1"/>
  <c r="F495" i="1"/>
  <c r="E495" i="1"/>
  <c r="D495" i="1"/>
  <c r="C495" i="1"/>
  <c r="B495" i="1"/>
  <c r="I494" i="1" a="1"/>
  <c r="I494" i="1" s="1"/>
  <c r="H494" i="1"/>
  <c r="G494" i="1" a="1"/>
  <c r="G494" i="1" s="1"/>
  <c r="F494" i="1"/>
  <c r="E494" i="1"/>
  <c r="D494" i="1"/>
  <c r="C494" i="1"/>
  <c r="B494" i="1"/>
  <c r="I493" i="1" a="1"/>
  <c r="I493" i="1" s="1"/>
  <c r="H493" i="1"/>
  <c r="G493" i="1" a="1"/>
  <c r="G493" i="1" s="1"/>
  <c r="F493" i="1"/>
  <c r="E493" i="1"/>
  <c r="D493" i="1"/>
  <c r="C493" i="1"/>
  <c r="B493" i="1"/>
  <c r="I492" i="1" a="1"/>
  <c r="I492" i="1" s="1"/>
  <c r="H492" i="1"/>
  <c r="G492" i="1" a="1"/>
  <c r="G492" i="1" s="1"/>
  <c r="F492" i="1"/>
  <c r="E492" i="1"/>
  <c r="D492" i="1"/>
  <c r="C492" i="1"/>
  <c r="B492" i="1"/>
  <c r="I491" i="1" a="1"/>
  <c r="I491" i="1" s="1"/>
  <c r="H491" i="1"/>
  <c r="G491" i="1" a="1"/>
  <c r="G491" i="1" s="1"/>
  <c r="F491" i="1"/>
  <c r="E491" i="1"/>
  <c r="D491" i="1"/>
  <c r="C491" i="1"/>
  <c r="B491" i="1"/>
  <c r="I490" i="1" a="1"/>
  <c r="I490" i="1" s="1"/>
  <c r="H490" i="1"/>
  <c r="G490" i="1" a="1"/>
  <c r="G490" i="1" s="1"/>
  <c r="F490" i="1"/>
  <c r="E490" i="1"/>
  <c r="D490" i="1"/>
  <c r="C490" i="1"/>
  <c r="B490" i="1"/>
  <c r="I489" i="1" a="1"/>
  <c r="I489" i="1" s="1"/>
  <c r="H489" i="1"/>
  <c r="G489" i="1" a="1"/>
  <c r="G489" i="1" s="1"/>
  <c r="F489" i="1"/>
  <c r="E489" i="1"/>
  <c r="D489" i="1"/>
  <c r="C489" i="1"/>
  <c r="B489" i="1"/>
  <c r="I488" i="1" a="1"/>
  <c r="I488" i="1" s="1"/>
  <c r="H488" i="1"/>
  <c r="G488" i="1" a="1"/>
  <c r="G488" i="1" s="1"/>
  <c r="F488" i="1"/>
  <c r="E488" i="1"/>
  <c r="D488" i="1"/>
  <c r="C488" i="1"/>
  <c r="B488" i="1"/>
  <c r="I487" i="1" a="1"/>
  <c r="I487" i="1" s="1"/>
  <c r="H487" i="1"/>
  <c r="G487" i="1" a="1"/>
  <c r="G487" i="1" s="1"/>
  <c r="F487" i="1"/>
  <c r="E487" i="1"/>
  <c r="D487" i="1"/>
  <c r="C487" i="1"/>
  <c r="B487" i="1"/>
  <c r="I486" i="1" a="1"/>
  <c r="I486" i="1" s="1"/>
  <c r="H486" i="1"/>
  <c r="G486" i="1" a="1"/>
  <c r="G486" i="1" s="1"/>
  <c r="F486" i="1"/>
  <c r="E486" i="1"/>
  <c r="D486" i="1"/>
  <c r="C486" i="1"/>
  <c r="B486" i="1"/>
  <c r="I485" i="1" a="1"/>
  <c r="I485" i="1" s="1"/>
  <c r="H485" i="1"/>
  <c r="G485" i="1" a="1"/>
  <c r="G485" i="1" s="1"/>
  <c r="F485" i="1"/>
  <c r="E485" i="1"/>
  <c r="D485" i="1"/>
  <c r="C485" i="1"/>
  <c r="B485" i="1"/>
  <c r="I484" i="1" a="1"/>
  <c r="I484" i="1" s="1"/>
  <c r="H484" i="1"/>
  <c r="G484" i="1" a="1"/>
  <c r="G484" i="1" s="1"/>
  <c r="F484" i="1"/>
  <c r="E484" i="1"/>
  <c r="D484" i="1"/>
  <c r="C484" i="1"/>
  <c r="B484" i="1"/>
  <c r="I483" i="1" a="1"/>
  <c r="I483" i="1" s="1"/>
  <c r="H483" i="1"/>
  <c r="G483" i="1" a="1"/>
  <c r="G483" i="1" s="1"/>
  <c r="F483" i="1"/>
  <c r="E483" i="1"/>
  <c r="D483" i="1"/>
  <c r="C483" i="1"/>
  <c r="B483" i="1"/>
  <c r="I482" i="1" a="1"/>
  <c r="I482" i="1" s="1"/>
  <c r="H482" i="1"/>
  <c r="G482" i="1" a="1"/>
  <c r="G482" i="1" s="1"/>
  <c r="F482" i="1"/>
  <c r="E482" i="1"/>
  <c r="D482" i="1"/>
  <c r="C482" i="1"/>
  <c r="B482" i="1"/>
  <c r="I481" i="1" a="1"/>
  <c r="I481" i="1" s="1"/>
  <c r="H481" i="1"/>
  <c r="G481" i="1" a="1"/>
  <c r="G481" i="1" s="1"/>
  <c r="F481" i="1"/>
  <c r="E481" i="1"/>
  <c r="D481" i="1"/>
  <c r="C481" i="1"/>
  <c r="B481" i="1"/>
  <c r="I480" i="1" a="1"/>
  <c r="I480" i="1" s="1"/>
  <c r="H480" i="1"/>
  <c r="G480" i="1" a="1"/>
  <c r="G480" i="1" s="1"/>
  <c r="F480" i="1"/>
  <c r="E480" i="1"/>
  <c r="D480" i="1"/>
  <c r="C480" i="1"/>
  <c r="B480" i="1"/>
  <c r="I479" i="1" a="1"/>
  <c r="I479" i="1" s="1"/>
  <c r="H479" i="1"/>
  <c r="G479" i="1" a="1"/>
  <c r="G479" i="1" s="1"/>
  <c r="F479" i="1"/>
  <c r="E479" i="1"/>
  <c r="D479" i="1"/>
  <c r="C479" i="1"/>
  <c r="B479" i="1"/>
  <c r="I478" i="1" a="1"/>
  <c r="I478" i="1" s="1"/>
  <c r="H478" i="1"/>
  <c r="G478" i="1" a="1"/>
  <c r="G478" i="1" s="1"/>
  <c r="F478" i="1"/>
  <c r="E478" i="1"/>
  <c r="D478" i="1"/>
  <c r="C478" i="1"/>
  <c r="B478" i="1"/>
  <c r="I477" i="1" a="1"/>
  <c r="I477" i="1" s="1"/>
  <c r="H477" i="1"/>
  <c r="G477" i="1" a="1"/>
  <c r="G477" i="1" s="1"/>
  <c r="F477" i="1"/>
  <c r="E477" i="1"/>
  <c r="D477" i="1"/>
  <c r="C477" i="1"/>
  <c r="B477" i="1"/>
  <c r="I476" i="1" a="1"/>
  <c r="I476" i="1" s="1"/>
  <c r="H476" i="1"/>
  <c r="G476" i="1" a="1"/>
  <c r="G476" i="1" s="1"/>
  <c r="F476" i="1"/>
  <c r="E476" i="1"/>
  <c r="D476" i="1"/>
  <c r="C476" i="1"/>
  <c r="B476" i="1"/>
  <c r="I475" i="1" a="1"/>
  <c r="I475" i="1" s="1"/>
  <c r="H475" i="1"/>
  <c r="G475" i="1" a="1"/>
  <c r="G475" i="1" s="1"/>
  <c r="F475" i="1"/>
  <c r="E475" i="1"/>
  <c r="D475" i="1"/>
  <c r="C475" i="1"/>
  <c r="B475" i="1"/>
  <c r="I474" i="1" a="1"/>
  <c r="I474" i="1" s="1"/>
  <c r="H474" i="1"/>
  <c r="G474" i="1" a="1"/>
  <c r="G474" i="1" s="1"/>
  <c r="F474" i="1"/>
  <c r="E474" i="1"/>
  <c r="D474" i="1"/>
  <c r="C474" i="1"/>
  <c r="B474" i="1"/>
  <c r="I473" i="1" a="1"/>
  <c r="I473" i="1" s="1"/>
  <c r="H473" i="1"/>
  <c r="G473" i="1" a="1"/>
  <c r="G473" i="1" s="1"/>
  <c r="F473" i="1"/>
  <c r="E473" i="1"/>
  <c r="D473" i="1"/>
  <c r="C473" i="1"/>
  <c r="B473" i="1"/>
  <c r="I472" i="1" a="1"/>
  <c r="I472" i="1" s="1"/>
  <c r="H472" i="1"/>
  <c r="G472" i="1" a="1"/>
  <c r="G472" i="1" s="1"/>
  <c r="F472" i="1"/>
  <c r="E472" i="1"/>
  <c r="D472" i="1"/>
  <c r="C472" i="1"/>
  <c r="B472" i="1"/>
  <c r="I471" i="1" a="1"/>
  <c r="I471" i="1" s="1"/>
  <c r="H471" i="1"/>
  <c r="G471" i="1" a="1"/>
  <c r="G471" i="1" s="1"/>
  <c r="F471" i="1"/>
  <c r="E471" i="1"/>
  <c r="D471" i="1"/>
  <c r="C471" i="1"/>
  <c r="B471" i="1"/>
  <c r="I470" i="1" a="1"/>
  <c r="I470" i="1" s="1"/>
  <c r="H470" i="1"/>
  <c r="G470" i="1" a="1"/>
  <c r="G470" i="1" s="1"/>
  <c r="F470" i="1"/>
  <c r="E470" i="1"/>
  <c r="D470" i="1"/>
  <c r="C470" i="1"/>
  <c r="B470" i="1"/>
  <c r="I469" i="1" a="1"/>
  <c r="I469" i="1" s="1"/>
  <c r="H469" i="1"/>
  <c r="G469" i="1" a="1"/>
  <c r="G469" i="1" s="1"/>
  <c r="F469" i="1"/>
  <c r="E469" i="1"/>
  <c r="D469" i="1"/>
  <c r="C469" i="1"/>
  <c r="B469" i="1"/>
  <c r="I468" i="1" a="1"/>
  <c r="I468" i="1" s="1"/>
  <c r="H468" i="1"/>
  <c r="G468" i="1" a="1"/>
  <c r="G468" i="1" s="1"/>
  <c r="F468" i="1"/>
  <c r="E468" i="1"/>
  <c r="D468" i="1"/>
  <c r="C468" i="1"/>
  <c r="B468" i="1"/>
  <c r="I467" i="1" a="1"/>
  <c r="I467" i="1" s="1"/>
  <c r="H467" i="1"/>
  <c r="G467" i="1" a="1"/>
  <c r="G467" i="1" s="1"/>
  <c r="F467" i="1"/>
  <c r="E467" i="1"/>
  <c r="D467" i="1"/>
  <c r="C467" i="1"/>
  <c r="B467" i="1"/>
  <c r="I466" i="1" a="1"/>
  <c r="I466" i="1"/>
  <c r="H466" i="1"/>
  <c r="G466" i="1" a="1"/>
  <c r="G466" i="1" s="1"/>
  <c r="F466" i="1"/>
  <c r="E466" i="1"/>
  <c r="D466" i="1"/>
  <c r="C466" i="1"/>
  <c r="B466" i="1"/>
  <c r="I465" i="1" a="1"/>
  <c r="I465" i="1" s="1"/>
  <c r="H465" i="1"/>
  <c r="G465" i="1" a="1"/>
  <c r="G465" i="1" s="1"/>
  <c r="F465" i="1"/>
  <c r="E465" i="1"/>
  <c r="D465" i="1"/>
  <c r="C465" i="1"/>
  <c r="B465" i="1"/>
  <c r="I464" i="1" a="1"/>
  <c r="I464" i="1" s="1"/>
  <c r="H464" i="1"/>
  <c r="G464" i="1" a="1"/>
  <c r="G464" i="1" s="1"/>
  <c r="F464" i="1"/>
  <c r="E464" i="1"/>
  <c r="D464" i="1"/>
  <c r="C464" i="1"/>
  <c r="B464" i="1"/>
  <c r="I463" i="1" a="1"/>
  <c r="I463" i="1" s="1"/>
  <c r="H463" i="1"/>
  <c r="G463" i="1" a="1"/>
  <c r="G463" i="1" s="1"/>
  <c r="F463" i="1"/>
  <c r="E463" i="1"/>
  <c r="D463" i="1"/>
  <c r="C463" i="1"/>
  <c r="B463" i="1"/>
  <c r="I462" i="1" a="1"/>
  <c r="I462" i="1" s="1"/>
  <c r="H462" i="1"/>
  <c r="G462" i="1" a="1"/>
  <c r="G462" i="1" s="1"/>
  <c r="F462" i="1"/>
  <c r="E462" i="1"/>
  <c r="D462" i="1"/>
  <c r="C462" i="1"/>
  <c r="B462" i="1"/>
  <c r="I461" i="1" a="1"/>
  <c r="I461" i="1" s="1"/>
  <c r="H461" i="1"/>
  <c r="G461" i="1" a="1"/>
  <c r="G461" i="1" s="1"/>
  <c r="F461" i="1"/>
  <c r="E461" i="1"/>
  <c r="D461" i="1"/>
  <c r="C461" i="1"/>
  <c r="B461" i="1"/>
  <c r="I460" i="1" a="1"/>
  <c r="I460" i="1" s="1"/>
  <c r="H460" i="1"/>
  <c r="G460" i="1" a="1"/>
  <c r="G460" i="1" s="1"/>
  <c r="F460" i="1"/>
  <c r="E460" i="1"/>
  <c r="D460" i="1"/>
  <c r="C460" i="1"/>
  <c r="B460" i="1"/>
  <c r="I459" i="1" a="1"/>
  <c r="I459" i="1" s="1"/>
  <c r="H459" i="1"/>
  <c r="G459" i="1" a="1"/>
  <c r="G459" i="1" s="1"/>
  <c r="F459" i="1"/>
  <c r="E459" i="1"/>
  <c r="D459" i="1"/>
  <c r="C459" i="1"/>
  <c r="B459" i="1"/>
  <c r="I458" i="1" a="1"/>
  <c r="I458" i="1" s="1"/>
  <c r="H458" i="1"/>
  <c r="G458" i="1" a="1"/>
  <c r="G458" i="1" s="1"/>
  <c r="F458" i="1"/>
  <c r="E458" i="1"/>
  <c r="D458" i="1"/>
  <c r="C458" i="1"/>
  <c r="B458" i="1"/>
  <c r="I457" i="1" a="1"/>
  <c r="I457" i="1" s="1"/>
  <c r="H457" i="1"/>
  <c r="G457" i="1" a="1"/>
  <c r="G457" i="1" s="1"/>
  <c r="F457" i="1"/>
  <c r="E457" i="1"/>
  <c r="D457" i="1"/>
  <c r="C457" i="1"/>
  <c r="B457" i="1"/>
  <c r="I456" i="1" a="1"/>
  <c r="I456" i="1" s="1"/>
  <c r="H456" i="1"/>
  <c r="G456" i="1" a="1"/>
  <c r="G456" i="1" s="1"/>
  <c r="F456" i="1"/>
  <c r="E456" i="1"/>
  <c r="D456" i="1"/>
  <c r="C456" i="1"/>
  <c r="B456" i="1"/>
  <c r="I455" i="1" a="1"/>
  <c r="I455" i="1" s="1"/>
  <c r="H455" i="1"/>
  <c r="G455" i="1" a="1"/>
  <c r="G455" i="1" s="1"/>
  <c r="F455" i="1"/>
  <c r="E455" i="1"/>
  <c r="D455" i="1"/>
  <c r="C455" i="1"/>
  <c r="B455" i="1"/>
  <c r="I454" i="1" a="1"/>
  <c r="I454" i="1"/>
  <c r="H454" i="1"/>
  <c r="G454" i="1" a="1"/>
  <c r="G454" i="1" s="1"/>
  <c r="F454" i="1"/>
  <c r="E454" i="1"/>
  <c r="D454" i="1"/>
  <c r="C454" i="1"/>
  <c r="B454" i="1"/>
  <c r="I453" i="1" a="1"/>
  <c r="I453" i="1" s="1"/>
  <c r="H453" i="1"/>
  <c r="G453" i="1" a="1"/>
  <c r="G453" i="1" s="1"/>
  <c r="F453" i="1"/>
  <c r="E453" i="1"/>
  <c r="D453" i="1"/>
  <c r="C453" i="1"/>
  <c r="B453" i="1"/>
  <c r="I452" i="1" a="1"/>
  <c r="I452" i="1" s="1"/>
  <c r="H452" i="1"/>
  <c r="G452" i="1" a="1"/>
  <c r="G452" i="1" s="1"/>
  <c r="F452" i="1"/>
  <c r="E452" i="1"/>
  <c r="D452" i="1"/>
  <c r="C452" i="1"/>
  <c r="B452" i="1"/>
  <c r="I451" i="1" a="1"/>
  <c r="I451" i="1" s="1"/>
  <c r="H451" i="1"/>
  <c r="G451" i="1" a="1"/>
  <c r="G451" i="1" s="1"/>
  <c r="F451" i="1"/>
  <c r="E451" i="1"/>
  <c r="D451" i="1"/>
  <c r="C451" i="1"/>
  <c r="B451" i="1"/>
  <c r="I450" i="1" a="1"/>
  <c r="I450" i="1" s="1"/>
  <c r="H450" i="1"/>
  <c r="G450" i="1" a="1"/>
  <c r="G450" i="1" s="1"/>
  <c r="F450" i="1"/>
  <c r="E450" i="1"/>
  <c r="D450" i="1"/>
  <c r="C450" i="1"/>
  <c r="B450" i="1"/>
  <c r="I449" i="1" a="1"/>
  <c r="I449" i="1" s="1"/>
  <c r="H449" i="1"/>
  <c r="G449" i="1" a="1"/>
  <c r="G449" i="1" s="1"/>
  <c r="F449" i="1"/>
  <c r="E449" i="1"/>
  <c r="D449" i="1"/>
  <c r="C449" i="1"/>
  <c r="B449" i="1"/>
  <c r="I448" i="1" a="1"/>
  <c r="I448" i="1" s="1"/>
  <c r="H448" i="1"/>
  <c r="G448" i="1" a="1"/>
  <c r="G448" i="1" s="1"/>
  <c r="F448" i="1"/>
  <c r="E448" i="1"/>
  <c r="D448" i="1"/>
  <c r="C448" i="1"/>
  <c r="B448" i="1"/>
  <c r="I447" i="1" a="1"/>
  <c r="I447" i="1" s="1"/>
  <c r="H447" i="1"/>
  <c r="G447" i="1" a="1"/>
  <c r="G447" i="1" s="1"/>
  <c r="F447" i="1"/>
  <c r="E447" i="1"/>
  <c r="D447" i="1"/>
  <c r="C447" i="1"/>
  <c r="B447" i="1"/>
  <c r="I446" i="1" a="1"/>
  <c r="I446" i="1" s="1"/>
  <c r="H446" i="1"/>
  <c r="G446" i="1" a="1"/>
  <c r="G446" i="1" s="1"/>
  <c r="F446" i="1"/>
  <c r="E446" i="1"/>
  <c r="D446" i="1"/>
  <c r="C446" i="1"/>
  <c r="B446" i="1"/>
  <c r="I445" i="1" a="1"/>
  <c r="I445" i="1" s="1"/>
  <c r="H445" i="1"/>
  <c r="G445" i="1" a="1"/>
  <c r="G445" i="1" s="1"/>
  <c r="F445" i="1"/>
  <c r="E445" i="1"/>
  <c r="D445" i="1"/>
  <c r="C445" i="1"/>
  <c r="B445" i="1"/>
  <c r="I444" i="1" a="1"/>
  <c r="I444" i="1" s="1"/>
  <c r="H444" i="1"/>
  <c r="G444" i="1" a="1"/>
  <c r="G444" i="1" s="1"/>
  <c r="F444" i="1"/>
  <c r="E444" i="1"/>
  <c r="D444" i="1"/>
  <c r="C444" i="1"/>
  <c r="B444" i="1"/>
  <c r="I443" i="1" a="1"/>
  <c r="I443" i="1" s="1"/>
  <c r="H443" i="1"/>
  <c r="G443" i="1" a="1"/>
  <c r="G443" i="1" s="1"/>
  <c r="F443" i="1"/>
  <c r="E443" i="1"/>
  <c r="D443" i="1"/>
  <c r="C443" i="1"/>
  <c r="B443" i="1"/>
  <c r="I442" i="1" a="1"/>
  <c r="I442" i="1" s="1"/>
  <c r="H442" i="1"/>
  <c r="G442" i="1" a="1"/>
  <c r="G442" i="1" s="1"/>
  <c r="F442" i="1"/>
  <c r="E442" i="1"/>
  <c r="D442" i="1"/>
  <c r="C442" i="1"/>
  <c r="B442" i="1"/>
  <c r="I441" i="1" a="1"/>
  <c r="I441" i="1" s="1"/>
  <c r="H441" i="1"/>
  <c r="G441" i="1" a="1"/>
  <c r="G441" i="1" s="1"/>
  <c r="F441" i="1"/>
  <c r="E441" i="1"/>
  <c r="D441" i="1"/>
  <c r="C441" i="1"/>
  <c r="B441" i="1"/>
  <c r="I440" i="1" a="1"/>
  <c r="I440" i="1" s="1"/>
  <c r="H440" i="1"/>
  <c r="G440" i="1" a="1"/>
  <c r="G440" i="1" s="1"/>
  <c r="F440" i="1"/>
  <c r="E440" i="1"/>
  <c r="D440" i="1"/>
  <c r="C440" i="1"/>
  <c r="B440" i="1"/>
  <c r="I439" i="1" a="1"/>
  <c r="I439" i="1" s="1"/>
  <c r="H439" i="1"/>
  <c r="G439" i="1" a="1"/>
  <c r="G439" i="1" s="1"/>
  <c r="F439" i="1"/>
  <c r="E439" i="1"/>
  <c r="D439" i="1"/>
  <c r="C439" i="1"/>
  <c r="B439" i="1"/>
  <c r="I438" i="1" a="1"/>
  <c r="I438" i="1" s="1"/>
  <c r="H438" i="1"/>
  <c r="G438" i="1" a="1"/>
  <c r="G438" i="1" s="1"/>
  <c r="F438" i="1"/>
  <c r="E438" i="1"/>
  <c r="D438" i="1"/>
  <c r="C438" i="1"/>
  <c r="B438" i="1"/>
  <c r="I437" i="1" a="1"/>
  <c r="I437" i="1" s="1"/>
  <c r="H437" i="1"/>
  <c r="G437" i="1" a="1"/>
  <c r="G437" i="1" s="1"/>
  <c r="F437" i="1"/>
  <c r="E437" i="1"/>
  <c r="D437" i="1"/>
  <c r="C437" i="1"/>
  <c r="B437" i="1"/>
  <c r="I436" i="1" a="1"/>
  <c r="I436" i="1" s="1"/>
  <c r="H436" i="1"/>
  <c r="G436" i="1" a="1"/>
  <c r="G436" i="1" s="1"/>
  <c r="F436" i="1"/>
  <c r="E436" i="1"/>
  <c r="D436" i="1"/>
  <c r="C436" i="1"/>
  <c r="B436" i="1"/>
  <c r="I435" i="1" a="1"/>
  <c r="I435" i="1" s="1"/>
  <c r="H435" i="1"/>
  <c r="G435" i="1" a="1"/>
  <c r="G435" i="1" s="1"/>
  <c r="F435" i="1"/>
  <c r="E435" i="1"/>
  <c r="D435" i="1"/>
  <c r="C435" i="1"/>
  <c r="B435" i="1"/>
  <c r="I434" i="1" a="1"/>
  <c r="I434" i="1" s="1"/>
  <c r="H434" i="1"/>
  <c r="G434" i="1" a="1"/>
  <c r="G434" i="1" s="1"/>
  <c r="F434" i="1"/>
  <c r="E434" i="1"/>
  <c r="D434" i="1"/>
  <c r="C434" i="1"/>
  <c r="B434" i="1"/>
  <c r="I433" i="1" a="1"/>
  <c r="I433" i="1" s="1"/>
  <c r="H433" i="1"/>
  <c r="G433" i="1" a="1"/>
  <c r="G433" i="1" s="1"/>
  <c r="F433" i="1"/>
  <c r="E433" i="1"/>
  <c r="D433" i="1"/>
  <c r="C433" i="1"/>
  <c r="B433" i="1"/>
  <c r="I432" i="1" a="1"/>
  <c r="I432" i="1" s="1"/>
  <c r="H432" i="1"/>
  <c r="G432" i="1" a="1"/>
  <c r="G432" i="1" s="1"/>
  <c r="F432" i="1"/>
  <c r="E432" i="1"/>
  <c r="D432" i="1"/>
  <c r="C432" i="1"/>
  <c r="B432" i="1"/>
  <c r="I431" i="1" a="1"/>
  <c r="I431" i="1" s="1"/>
  <c r="H431" i="1"/>
  <c r="G431" i="1" a="1"/>
  <c r="G431" i="1" s="1"/>
  <c r="F431" i="1"/>
  <c r="E431" i="1"/>
  <c r="D431" i="1"/>
  <c r="C431" i="1"/>
  <c r="B431" i="1"/>
  <c r="I430" i="1" a="1"/>
  <c r="I430" i="1" s="1"/>
  <c r="H430" i="1"/>
  <c r="G430" i="1" a="1"/>
  <c r="G430" i="1" s="1"/>
  <c r="F430" i="1"/>
  <c r="E430" i="1"/>
  <c r="D430" i="1"/>
  <c r="C430" i="1"/>
  <c r="B430" i="1"/>
  <c r="I429" i="1" a="1"/>
  <c r="I429" i="1" s="1"/>
  <c r="H429" i="1"/>
  <c r="G429" i="1" a="1"/>
  <c r="G429" i="1" s="1"/>
  <c r="F429" i="1"/>
  <c r="E429" i="1"/>
  <c r="D429" i="1"/>
  <c r="C429" i="1"/>
  <c r="B429" i="1"/>
  <c r="I428" i="1" a="1"/>
  <c r="I428" i="1" s="1"/>
  <c r="H428" i="1"/>
  <c r="G428" i="1" a="1"/>
  <c r="G428" i="1" s="1"/>
  <c r="F428" i="1"/>
  <c r="E428" i="1"/>
  <c r="D428" i="1"/>
  <c r="C428" i="1"/>
  <c r="B428" i="1"/>
  <c r="I427" i="1" a="1"/>
  <c r="I427" i="1" s="1"/>
  <c r="H427" i="1"/>
  <c r="G427" i="1" a="1"/>
  <c r="G427" i="1" s="1"/>
  <c r="F427" i="1"/>
  <c r="E427" i="1"/>
  <c r="D427" i="1"/>
  <c r="C427" i="1"/>
  <c r="B427" i="1"/>
  <c r="I426" i="1" a="1"/>
  <c r="I426" i="1" s="1"/>
  <c r="H426" i="1"/>
  <c r="G426" i="1" a="1"/>
  <c r="G426" i="1" s="1"/>
  <c r="F426" i="1"/>
  <c r="E426" i="1"/>
  <c r="D426" i="1"/>
  <c r="C426" i="1"/>
  <c r="B426" i="1"/>
  <c r="I425" i="1" a="1"/>
  <c r="I425" i="1" s="1"/>
  <c r="H425" i="1"/>
  <c r="G425" i="1" a="1"/>
  <c r="G425" i="1" s="1"/>
  <c r="F425" i="1"/>
  <c r="E425" i="1"/>
  <c r="D425" i="1"/>
  <c r="C425" i="1"/>
  <c r="B425" i="1"/>
  <c r="I424" i="1" a="1"/>
  <c r="I424" i="1" s="1"/>
  <c r="H424" i="1"/>
  <c r="G424" i="1" a="1"/>
  <c r="G424" i="1" s="1"/>
  <c r="F424" i="1"/>
  <c r="E424" i="1"/>
  <c r="D424" i="1"/>
  <c r="C424" i="1"/>
  <c r="B424" i="1"/>
  <c r="I423" i="1" a="1"/>
  <c r="I423" i="1" s="1"/>
  <c r="H423" i="1"/>
  <c r="G423" i="1" a="1"/>
  <c r="G423" i="1" s="1"/>
  <c r="F423" i="1"/>
  <c r="E423" i="1"/>
  <c r="D423" i="1"/>
  <c r="C423" i="1"/>
  <c r="B423" i="1"/>
  <c r="I422" i="1" a="1"/>
  <c r="I422" i="1" s="1"/>
  <c r="H422" i="1"/>
  <c r="G422" i="1" a="1"/>
  <c r="G422" i="1" s="1"/>
  <c r="F422" i="1"/>
  <c r="E422" i="1"/>
  <c r="D422" i="1"/>
  <c r="C422" i="1"/>
  <c r="B422" i="1"/>
  <c r="I421" i="1" a="1"/>
  <c r="I421" i="1" s="1"/>
  <c r="H421" i="1"/>
  <c r="G421" i="1" a="1"/>
  <c r="G421" i="1" s="1"/>
  <c r="F421" i="1"/>
  <c r="E421" i="1"/>
  <c r="D421" i="1"/>
  <c r="C421" i="1"/>
  <c r="B421" i="1"/>
  <c r="I420" i="1" a="1"/>
  <c r="I420" i="1" s="1"/>
  <c r="H420" i="1"/>
  <c r="G420" i="1" a="1"/>
  <c r="G420" i="1" s="1"/>
  <c r="F420" i="1"/>
  <c r="E420" i="1"/>
  <c r="D420" i="1"/>
  <c r="C420" i="1"/>
  <c r="B420" i="1"/>
  <c r="I419" i="1" a="1"/>
  <c r="I419" i="1" s="1"/>
  <c r="H419" i="1"/>
  <c r="G419" i="1" a="1"/>
  <c r="G419" i="1" s="1"/>
  <c r="F419" i="1"/>
  <c r="E419" i="1"/>
  <c r="D419" i="1"/>
  <c r="C419" i="1"/>
  <c r="B419" i="1"/>
  <c r="I418" i="1" a="1"/>
  <c r="I418" i="1" s="1"/>
  <c r="H418" i="1"/>
  <c r="G418" i="1" a="1"/>
  <c r="G418" i="1" s="1"/>
  <c r="F418" i="1"/>
  <c r="E418" i="1"/>
  <c r="D418" i="1"/>
  <c r="C418" i="1"/>
  <c r="B418" i="1"/>
  <c r="I417" i="1" a="1"/>
  <c r="I417" i="1" s="1"/>
  <c r="H417" i="1"/>
  <c r="G417" i="1" a="1"/>
  <c r="G417" i="1" s="1"/>
  <c r="F417" i="1"/>
  <c r="E417" i="1"/>
  <c r="D417" i="1"/>
  <c r="C417" i="1"/>
  <c r="B417" i="1"/>
  <c r="I416" i="1" a="1"/>
  <c r="I416" i="1" s="1"/>
  <c r="H416" i="1"/>
  <c r="G416" i="1" a="1"/>
  <c r="G416" i="1" s="1"/>
  <c r="F416" i="1"/>
  <c r="E416" i="1"/>
  <c r="D416" i="1"/>
  <c r="C416" i="1"/>
  <c r="B416" i="1"/>
  <c r="I415" i="1" a="1"/>
  <c r="I415" i="1" s="1"/>
  <c r="H415" i="1"/>
  <c r="G415" i="1" a="1"/>
  <c r="G415" i="1" s="1"/>
  <c r="F415" i="1"/>
  <c r="E415" i="1"/>
  <c r="D415" i="1"/>
  <c r="C415" i="1"/>
  <c r="B415" i="1"/>
  <c r="I414" i="1" a="1"/>
  <c r="I414" i="1" s="1"/>
  <c r="H414" i="1"/>
  <c r="G414" i="1" a="1"/>
  <c r="G414" i="1" s="1"/>
  <c r="F414" i="1"/>
  <c r="E414" i="1"/>
  <c r="D414" i="1"/>
  <c r="C414" i="1"/>
  <c r="B414" i="1"/>
  <c r="I413" i="1" a="1"/>
  <c r="I413" i="1" s="1"/>
  <c r="H413" i="1"/>
  <c r="G413" i="1" a="1"/>
  <c r="G413" i="1" s="1"/>
  <c r="F413" i="1"/>
  <c r="E413" i="1"/>
  <c r="D413" i="1"/>
  <c r="C413" i="1"/>
  <c r="B413" i="1"/>
  <c r="I412" i="1" a="1"/>
  <c r="I412" i="1" s="1"/>
  <c r="H412" i="1"/>
  <c r="G412" i="1" a="1"/>
  <c r="G412" i="1" s="1"/>
  <c r="F412" i="1"/>
  <c r="E412" i="1"/>
  <c r="D412" i="1"/>
  <c r="C412" i="1"/>
  <c r="B412" i="1"/>
  <c r="I411" i="1" a="1"/>
  <c r="I411" i="1" s="1"/>
  <c r="H411" i="1"/>
  <c r="G411" i="1" a="1"/>
  <c r="G411" i="1" s="1"/>
  <c r="F411" i="1"/>
  <c r="E411" i="1"/>
  <c r="D411" i="1"/>
  <c r="C411" i="1"/>
  <c r="B411" i="1"/>
  <c r="I410" i="1" a="1"/>
  <c r="I410" i="1" s="1"/>
  <c r="H410" i="1"/>
  <c r="G410" i="1" a="1"/>
  <c r="G410" i="1" s="1"/>
  <c r="F410" i="1"/>
  <c r="E410" i="1"/>
  <c r="D410" i="1"/>
  <c r="C410" i="1"/>
  <c r="B410" i="1"/>
  <c r="I409" i="1" a="1"/>
  <c r="I409" i="1" s="1"/>
  <c r="H409" i="1"/>
  <c r="G409" i="1" a="1"/>
  <c r="G409" i="1" s="1"/>
  <c r="F409" i="1"/>
  <c r="E409" i="1"/>
  <c r="D409" i="1"/>
  <c r="C409" i="1"/>
  <c r="B409" i="1"/>
  <c r="I408" i="1" a="1"/>
  <c r="I408" i="1" s="1"/>
  <c r="H408" i="1"/>
  <c r="G408" i="1" a="1"/>
  <c r="G408" i="1" s="1"/>
  <c r="F408" i="1"/>
  <c r="E408" i="1"/>
  <c r="D408" i="1"/>
  <c r="C408" i="1"/>
  <c r="B408" i="1"/>
  <c r="I407" i="1" a="1"/>
  <c r="I407" i="1" s="1"/>
  <c r="H407" i="1"/>
  <c r="G407" i="1" a="1"/>
  <c r="G407" i="1" s="1"/>
  <c r="F407" i="1"/>
  <c r="E407" i="1"/>
  <c r="D407" i="1"/>
  <c r="C407" i="1"/>
  <c r="B407" i="1"/>
  <c r="I406" i="1" a="1"/>
  <c r="I406" i="1" s="1"/>
  <c r="H406" i="1"/>
  <c r="G406" i="1" a="1"/>
  <c r="G406" i="1" s="1"/>
  <c r="F406" i="1"/>
  <c r="E406" i="1"/>
  <c r="D406" i="1"/>
  <c r="C406" i="1"/>
  <c r="B406" i="1"/>
  <c r="I405" i="1" a="1"/>
  <c r="I405" i="1" s="1"/>
  <c r="H405" i="1"/>
  <c r="G405" i="1" a="1"/>
  <c r="G405" i="1" s="1"/>
  <c r="F405" i="1"/>
  <c r="E405" i="1"/>
  <c r="D405" i="1"/>
  <c r="C405" i="1"/>
  <c r="B405" i="1"/>
  <c r="I404" i="1" a="1"/>
  <c r="I404" i="1" s="1"/>
  <c r="H404" i="1"/>
  <c r="G404" i="1" a="1"/>
  <c r="G404" i="1" s="1"/>
  <c r="F404" i="1"/>
  <c r="E404" i="1"/>
  <c r="D404" i="1"/>
  <c r="C404" i="1"/>
  <c r="B404" i="1"/>
  <c r="I403" i="1" a="1"/>
  <c r="I403" i="1" s="1"/>
  <c r="H403" i="1"/>
  <c r="G403" i="1" a="1"/>
  <c r="G403" i="1" s="1"/>
  <c r="F403" i="1"/>
  <c r="E403" i="1"/>
  <c r="D403" i="1"/>
  <c r="C403" i="1"/>
  <c r="B403" i="1"/>
  <c r="I402" i="1" a="1"/>
  <c r="I402" i="1" s="1"/>
  <c r="H402" i="1"/>
  <c r="G402" i="1" a="1"/>
  <c r="G402" i="1" s="1"/>
  <c r="F402" i="1"/>
  <c r="E402" i="1"/>
  <c r="D402" i="1"/>
  <c r="C402" i="1"/>
  <c r="B402" i="1"/>
  <c r="I401" i="1" a="1"/>
  <c r="I401" i="1" s="1"/>
  <c r="H401" i="1"/>
  <c r="G401" i="1" a="1"/>
  <c r="G401" i="1" s="1"/>
  <c r="F401" i="1"/>
  <c r="E401" i="1"/>
  <c r="D401" i="1"/>
  <c r="C401" i="1"/>
  <c r="B401" i="1"/>
  <c r="I400" i="1" a="1"/>
  <c r="I400" i="1" s="1"/>
  <c r="H400" i="1"/>
  <c r="G400" i="1" a="1"/>
  <c r="G400" i="1" s="1"/>
  <c r="F400" i="1"/>
  <c r="E400" i="1"/>
  <c r="D400" i="1"/>
  <c r="C400" i="1"/>
  <c r="B400" i="1"/>
  <c r="I399" i="1" a="1"/>
  <c r="I399" i="1" s="1"/>
  <c r="H399" i="1"/>
  <c r="G399" i="1" a="1"/>
  <c r="G399" i="1" s="1"/>
  <c r="F399" i="1"/>
  <c r="E399" i="1"/>
  <c r="D399" i="1"/>
  <c r="C399" i="1"/>
  <c r="B399" i="1"/>
  <c r="I398" i="1" a="1"/>
  <c r="I398" i="1" s="1"/>
  <c r="H398" i="1"/>
  <c r="G398" i="1" a="1"/>
  <c r="G398" i="1" s="1"/>
  <c r="F398" i="1"/>
  <c r="E398" i="1"/>
  <c r="D398" i="1"/>
  <c r="C398" i="1"/>
  <c r="B398" i="1"/>
  <c r="I397" i="1" a="1"/>
  <c r="I397" i="1" s="1"/>
  <c r="H397" i="1"/>
  <c r="G397" i="1" a="1"/>
  <c r="G397" i="1" s="1"/>
  <c r="F397" i="1"/>
  <c r="E397" i="1"/>
  <c r="D397" i="1"/>
  <c r="C397" i="1"/>
  <c r="B397" i="1"/>
  <c r="I396" i="1" a="1"/>
  <c r="I396" i="1" s="1"/>
  <c r="H396" i="1"/>
  <c r="G396" i="1" a="1"/>
  <c r="G396" i="1" s="1"/>
  <c r="F396" i="1"/>
  <c r="E396" i="1"/>
  <c r="D396" i="1"/>
  <c r="C396" i="1"/>
  <c r="B396" i="1"/>
  <c r="I395" i="1" a="1"/>
  <c r="I395" i="1" s="1"/>
  <c r="H395" i="1"/>
  <c r="G395" i="1" a="1"/>
  <c r="G395" i="1" s="1"/>
  <c r="F395" i="1"/>
  <c r="E395" i="1"/>
  <c r="D395" i="1"/>
  <c r="C395" i="1"/>
  <c r="B395" i="1"/>
  <c r="I394" i="1" a="1"/>
  <c r="I394" i="1" s="1"/>
  <c r="H394" i="1"/>
  <c r="G394" i="1" a="1"/>
  <c r="G394" i="1" s="1"/>
  <c r="F394" i="1"/>
  <c r="E394" i="1"/>
  <c r="D394" i="1"/>
  <c r="C394" i="1"/>
  <c r="B394" i="1"/>
  <c r="I393" i="1" a="1"/>
  <c r="I393" i="1" s="1"/>
  <c r="H393" i="1"/>
  <c r="G393" i="1" a="1"/>
  <c r="G393" i="1" s="1"/>
  <c r="F393" i="1"/>
  <c r="E393" i="1"/>
  <c r="D393" i="1"/>
  <c r="C393" i="1"/>
  <c r="B393" i="1"/>
  <c r="I392" i="1" a="1"/>
  <c r="I392" i="1" s="1"/>
  <c r="H392" i="1"/>
  <c r="G392" i="1" a="1"/>
  <c r="G392" i="1" s="1"/>
  <c r="F392" i="1"/>
  <c r="E392" i="1"/>
  <c r="D392" i="1"/>
  <c r="C392" i="1"/>
  <c r="B392" i="1"/>
  <c r="I391" i="1" a="1"/>
  <c r="I391" i="1" s="1"/>
  <c r="H391" i="1"/>
  <c r="G391" i="1" a="1"/>
  <c r="G391" i="1" s="1"/>
  <c r="F391" i="1"/>
  <c r="E391" i="1"/>
  <c r="D391" i="1"/>
  <c r="C391" i="1"/>
  <c r="B391" i="1"/>
  <c r="I390" i="1" a="1"/>
  <c r="I390" i="1" s="1"/>
  <c r="H390" i="1"/>
  <c r="G390" i="1" a="1"/>
  <c r="G390" i="1" s="1"/>
  <c r="F390" i="1"/>
  <c r="E390" i="1"/>
  <c r="D390" i="1"/>
  <c r="C390" i="1"/>
  <c r="B390" i="1"/>
  <c r="I389" i="1" a="1"/>
  <c r="I389" i="1" s="1"/>
  <c r="H389" i="1"/>
  <c r="G389" i="1" a="1"/>
  <c r="G389" i="1" s="1"/>
  <c r="F389" i="1"/>
  <c r="E389" i="1"/>
  <c r="D389" i="1"/>
  <c r="C389" i="1"/>
  <c r="B389" i="1"/>
  <c r="I388" i="1" a="1"/>
  <c r="I388" i="1" s="1"/>
  <c r="H388" i="1"/>
  <c r="G388" i="1" a="1"/>
  <c r="G388" i="1" s="1"/>
  <c r="F388" i="1"/>
  <c r="E388" i="1"/>
  <c r="D388" i="1"/>
  <c r="C388" i="1"/>
  <c r="B388" i="1"/>
  <c r="I387" i="1" a="1"/>
  <c r="I387" i="1" s="1"/>
  <c r="H387" i="1"/>
  <c r="G387" i="1" a="1"/>
  <c r="G387" i="1" s="1"/>
  <c r="F387" i="1"/>
  <c r="E387" i="1"/>
  <c r="D387" i="1"/>
  <c r="C387" i="1"/>
  <c r="B387" i="1"/>
  <c r="I386" i="1" a="1"/>
  <c r="I386" i="1" s="1"/>
  <c r="H386" i="1"/>
  <c r="G386" i="1" a="1"/>
  <c r="G386" i="1" s="1"/>
  <c r="F386" i="1"/>
  <c r="E386" i="1"/>
  <c r="D386" i="1"/>
  <c r="C386" i="1"/>
  <c r="B386" i="1"/>
  <c r="I385" i="1" a="1"/>
  <c r="I385" i="1" s="1"/>
  <c r="H385" i="1"/>
  <c r="G385" i="1" a="1"/>
  <c r="G385" i="1" s="1"/>
  <c r="F385" i="1"/>
  <c r="E385" i="1"/>
  <c r="D385" i="1"/>
  <c r="C385" i="1"/>
  <c r="B385" i="1"/>
  <c r="I384" i="1" a="1"/>
  <c r="I384" i="1" s="1"/>
  <c r="H384" i="1"/>
  <c r="G384" i="1" a="1"/>
  <c r="G384" i="1" s="1"/>
  <c r="F384" i="1"/>
  <c r="E384" i="1"/>
  <c r="D384" i="1"/>
  <c r="C384" i="1"/>
  <c r="B384" i="1"/>
  <c r="I383" i="1" a="1"/>
  <c r="I383" i="1" s="1"/>
  <c r="H383" i="1"/>
  <c r="G383" i="1" a="1"/>
  <c r="G383" i="1" s="1"/>
  <c r="F383" i="1"/>
  <c r="E383" i="1"/>
  <c r="D383" i="1"/>
  <c r="C383" i="1"/>
  <c r="B383" i="1"/>
  <c r="I382" i="1" a="1"/>
  <c r="I382" i="1" s="1"/>
  <c r="H382" i="1"/>
  <c r="G382" i="1" a="1"/>
  <c r="G382" i="1" s="1"/>
  <c r="F382" i="1"/>
  <c r="E382" i="1"/>
  <c r="D382" i="1"/>
  <c r="C382" i="1"/>
  <c r="B382" i="1"/>
  <c r="I381" i="1" a="1"/>
  <c r="I381" i="1" s="1"/>
  <c r="H381" i="1"/>
  <c r="G381" i="1" a="1"/>
  <c r="G381" i="1" s="1"/>
  <c r="F381" i="1"/>
  <c r="E381" i="1"/>
  <c r="D381" i="1"/>
  <c r="C381" i="1"/>
  <c r="B381" i="1"/>
  <c r="I380" i="1" a="1"/>
  <c r="I380" i="1" s="1"/>
  <c r="H380" i="1"/>
  <c r="G380" i="1" a="1"/>
  <c r="G380" i="1" s="1"/>
  <c r="F380" i="1"/>
  <c r="E380" i="1"/>
  <c r="D380" i="1"/>
  <c r="C380" i="1"/>
  <c r="B380" i="1"/>
  <c r="I379" i="1" a="1"/>
  <c r="I379" i="1" s="1"/>
  <c r="H379" i="1"/>
  <c r="G379" i="1" a="1"/>
  <c r="G379" i="1" s="1"/>
  <c r="F379" i="1"/>
  <c r="E379" i="1"/>
  <c r="D379" i="1"/>
  <c r="C379" i="1"/>
  <c r="B379" i="1"/>
  <c r="I378" i="1" a="1"/>
  <c r="I378" i="1" s="1"/>
  <c r="H378" i="1"/>
  <c r="G378" i="1" a="1"/>
  <c r="G378" i="1" s="1"/>
  <c r="F378" i="1"/>
  <c r="E378" i="1"/>
  <c r="D378" i="1"/>
  <c r="C378" i="1"/>
  <c r="B378" i="1"/>
  <c r="I377" i="1" a="1"/>
  <c r="I377" i="1" s="1"/>
  <c r="H377" i="1"/>
  <c r="G377" i="1" a="1"/>
  <c r="G377" i="1" s="1"/>
  <c r="F377" i="1"/>
  <c r="E377" i="1"/>
  <c r="D377" i="1"/>
  <c r="C377" i="1"/>
  <c r="B377" i="1"/>
  <c r="I376" i="1" a="1"/>
  <c r="I376" i="1" s="1"/>
  <c r="H376" i="1"/>
  <c r="G376" i="1" a="1"/>
  <c r="G376" i="1" s="1"/>
  <c r="F376" i="1"/>
  <c r="E376" i="1"/>
  <c r="D376" i="1"/>
  <c r="C376" i="1"/>
  <c r="B376" i="1"/>
  <c r="I375" i="1" a="1"/>
  <c r="I375" i="1" s="1"/>
  <c r="H375" i="1"/>
  <c r="G375" i="1" a="1"/>
  <c r="G375" i="1" s="1"/>
  <c r="F375" i="1"/>
  <c r="E375" i="1"/>
  <c r="D375" i="1"/>
  <c r="C375" i="1"/>
  <c r="B375" i="1"/>
  <c r="I374" i="1" a="1"/>
  <c r="I374" i="1"/>
  <c r="H374" i="1"/>
  <c r="G374" i="1" a="1"/>
  <c r="G374" i="1" s="1"/>
  <c r="F374" i="1"/>
  <c r="E374" i="1"/>
  <c r="D374" i="1"/>
  <c r="C374" i="1"/>
  <c r="B374" i="1"/>
  <c r="I373" i="1" a="1"/>
  <c r="I373" i="1" s="1"/>
  <c r="H373" i="1"/>
  <c r="G373" i="1" a="1"/>
  <c r="G373" i="1" s="1"/>
  <c r="F373" i="1"/>
  <c r="E373" i="1"/>
  <c r="D373" i="1"/>
  <c r="C373" i="1"/>
  <c r="B373" i="1"/>
  <c r="I372" i="1" a="1"/>
  <c r="I372" i="1" s="1"/>
  <c r="H372" i="1"/>
  <c r="G372" i="1" a="1"/>
  <c r="G372" i="1" s="1"/>
  <c r="F372" i="1"/>
  <c r="E372" i="1"/>
  <c r="D372" i="1"/>
  <c r="C372" i="1"/>
  <c r="B372" i="1"/>
  <c r="I371" i="1" a="1"/>
  <c r="I371" i="1" s="1"/>
  <c r="H371" i="1"/>
  <c r="G371" i="1" a="1"/>
  <c r="G371" i="1" s="1"/>
  <c r="F371" i="1"/>
  <c r="E371" i="1"/>
  <c r="D371" i="1"/>
  <c r="C371" i="1"/>
  <c r="B371" i="1"/>
  <c r="I370" i="1" a="1"/>
  <c r="I370" i="1" s="1"/>
  <c r="H370" i="1"/>
  <c r="G370" i="1" a="1"/>
  <c r="G370" i="1" s="1"/>
  <c r="F370" i="1"/>
  <c r="E370" i="1"/>
  <c r="D370" i="1"/>
  <c r="C370" i="1"/>
  <c r="B370" i="1"/>
  <c r="I369" i="1" a="1"/>
  <c r="I369" i="1" s="1"/>
  <c r="H369" i="1"/>
  <c r="G369" i="1" a="1"/>
  <c r="G369" i="1" s="1"/>
  <c r="F369" i="1"/>
  <c r="E369" i="1"/>
  <c r="D369" i="1"/>
  <c r="C369" i="1"/>
  <c r="B369" i="1"/>
  <c r="I368" i="1" a="1"/>
  <c r="I368" i="1" s="1"/>
  <c r="H368" i="1"/>
  <c r="G368" i="1" a="1"/>
  <c r="G368" i="1" s="1"/>
  <c r="F368" i="1"/>
  <c r="E368" i="1"/>
  <c r="D368" i="1"/>
  <c r="C368" i="1"/>
  <c r="B368" i="1"/>
  <c r="I367" i="1" a="1"/>
  <c r="I367" i="1" s="1"/>
  <c r="H367" i="1"/>
  <c r="G367" i="1" a="1"/>
  <c r="G367" i="1" s="1"/>
  <c r="F367" i="1"/>
  <c r="E367" i="1"/>
  <c r="D367" i="1"/>
  <c r="C367" i="1"/>
  <c r="B367" i="1"/>
  <c r="I366" i="1" a="1"/>
  <c r="I366" i="1"/>
  <c r="H366" i="1"/>
  <c r="G366" i="1" a="1"/>
  <c r="G366" i="1" s="1"/>
  <c r="F366" i="1"/>
  <c r="E366" i="1"/>
  <c r="D366" i="1"/>
  <c r="C366" i="1"/>
  <c r="B366" i="1"/>
  <c r="I365" i="1" a="1"/>
  <c r="I365" i="1" s="1"/>
  <c r="H365" i="1"/>
  <c r="G365" i="1" a="1"/>
  <c r="G365" i="1" s="1"/>
  <c r="F365" i="1"/>
  <c r="E365" i="1"/>
  <c r="D365" i="1"/>
  <c r="C365" i="1"/>
  <c r="B365" i="1"/>
  <c r="I364" i="1" a="1"/>
  <c r="I364" i="1" s="1"/>
  <c r="H364" i="1"/>
  <c r="G364" i="1" a="1"/>
  <c r="G364" i="1" s="1"/>
  <c r="F364" i="1"/>
  <c r="E364" i="1"/>
  <c r="D364" i="1"/>
  <c r="C364" i="1"/>
  <c r="B364" i="1"/>
  <c r="I363" i="1" a="1"/>
  <c r="I363" i="1" s="1"/>
  <c r="H363" i="1"/>
  <c r="G363" i="1" a="1"/>
  <c r="G363" i="1" s="1"/>
  <c r="F363" i="1"/>
  <c r="E363" i="1"/>
  <c r="D363" i="1"/>
  <c r="C363" i="1"/>
  <c r="B363" i="1"/>
  <c r="I362" i="1" a="1"/>
  <c r="I362" i="1" s="1"/>
  <c r="H362" i="1"/>
  <c r="G362" i="1" a="1"/>
  <c r="G362" i="1" s="1"/>
  <c r="F362" i="1"/>
  <c r="E362" i="1"/>
  <c r="D362" i="1"/>
  <c r="C362" i="1"/>
  <c r="B362" i="1"/>
  <c r="I361" i="1" a="1"/>
  <c r="I361" i="1" s="1"/>
  <c r="H361" i="1"/>
  <c r="G361" i="1" a="1"/>
  <c r="G361" i="1" s="1"/>
  <c r="F361" i="1"/>
  <c r="E361" i="1"/>
  <c r="D361" i="1"/>
  <c r="C361" i="1"/>
  <c r="B361" i="1"/>
  <c r="I360" i="1" a="1"/>
  <c r="I360" i="1" s="1"/>
  <c r="H360" i="1"/>
  <c r="G360" i="1" a="1"/>
  <c r="G360" i="1" s="1"/>
  <c r="F360" i="1"/>
  <c r="E360" i="1"/>
  <c r="D360" i="1"/>
  <c r="C360" i="1"/>
  <c r="B360" i="1"/>
  <c r="I359" i="1" a="1"/>
  <c r="I359" i="1" s="1"/>
  <c r="H359" i="1"/>
  <c r="G359" i="1" a="1"/>
  <c r="G359" i="1" s="1"/>
  <c r="F359" i="1"/>
  <c r="E359" i="1"/>
  <c r="D359" i="1"/>
  <c r="C359" i="1"/>
  <c r="B359" i="1"/>
  <c r="I358" i="1" a="1"/>
  <c r="I358" i="1" s="1"/>
  <c r="H358" i="1"/>
  <c r="G358" i="1" a="1"/>
  <c r="G358" i="1" s="1"/>
  <c r="F358" i="1"/>
  <c r="E358" i="1"/>
  <c r="D358" i="1"/>
  <c r="C358" i="1"/>
  <c r="B358" i="1"/>
  <c r="I357" i="1" a="1"/>
  <c r="I357" i="1" s="1"/>
  <c r="H357" i="1"/>
  <c r="G357" i="1" a="1"/>
  <c r="G357" i="1" s="1"/>
  <c r="F357" i="1"/>
  <c r="E357" i="1"/>
  <c r="D357" i="1"/>
  <c r="C357" i="1"/>
  <c r="B357" i="1"/>
  <c r="I356" i="1" a="1"/>
  <c r="I356" i="1" s="1"/>
  <c r="H356" i="1"/>
  <c r="G356" i="1" a="1"/>
  <c r="G356" i="1" s="1"/>
  <c r="F356" i="1"/>
  <c r="E356" i="1"/>
  <c r="D356" i="1"/>
  <c r="C356" i="1"/>
  <c r="B356" i="1"/>
  <c r="I355" i="1" a="1"/>
  <c r="I355" i="1" s="1"/>
  <c r="H355" i="1"/>
  <c r="G355" i="1" a="1"/>
  <c r="G355" i="1" s="1"/>
  <c r="F355" i="1"/>
  <c r="E355" i="1"/>
  <c r="D355" i="1"/>
  <c r="C355" i="1"/>
  <c r="B355" i="1"/>
  <c r="I354" i="1" a="1"/>
  <c r="I354" i="1" s="1"/>
  <c r="H354" i="1"/>
  <c r="G354" i="1" a="1"/>
  <c r="G354" i="1" s="1"/>
  <c r="F354" i="1"/>
  <c r="E354" i="1"/>
  <c r="D354" i="1"/>
  <c r="C354" i="1"/>
  <c r="B354" i="1"/>
  <c r="I353" i="1" a="1"/>
  <c r="I353" i="1" s="1"/>
  <c r="H353" i="1"/>
  <c r="G353" i="1" a="1"/>
  <c r="G353" i="1" s="1"/>
  <c r="F353" i="1"/>
  <c r="E353" i="1"/>
  <c r="D353" i="1"/>
  <c r="C353" i="1"/>
  <c r="B353" i="1"/>
  <c r="I352" i="1" a="1"/>
  <c r="I352" i="1" s="1"/>
  <c r="H352" i="1"/>
  <c r="G352" i="1" a="1"/>
  <c r="G352" i="1" s="1"/>
  <c r="F352" i="1"/>
  <c r="E352" i="1"/>
  <c r="D352" i="1"/>
  <c r="C352" i="1"/>
  <c r="B352" i="1"/>
  <c r="I351" i="1" a="1"/>
  <c r="I351" i="1" s="1"/>
  <c r="H351" i="1"/>
  <c r="G351" i="1" a="1"/>
  <c r="G351" i="1" s="1"/>
  <c r="F351" i="1"/>
  <c r="E351" i="1"/>
  <c r="D351" i="1"/>
  <c r="C351" i="1"/>
  <c r="B351" i="1"/>
  <c r="I350" i="1" a="1"/>
  <c r="I350" i="1" s="1"/>
  <c r="H350" i="1"/>
  <c r="G350" i="1" a="1"/>
  <c r="G350" i="1" s="1"/>
  <c r="F350" i="1"/>
  <c r="E350" i="1"/>
  <c r="D350" i="1"/>
  <c r="C350" i="1"/>
  <c r="B350" i="1"/>
  <c r="I349" i="1" a="1"/>
  <c r="I349" i="1" s="1"/>
  <c r="H349" i="1"/>
  <c r="G349" i="1" a="1"/>
  <c r="G349" i="1" s="1"/>
  <c r="F349" i="1"/>
  <c r="E349" i="1"/>
  <c r="D349" i="1"/>
  <c r="C349" i="1"/>
  <c r="B349" i="1"/>
  <c r="I348" i="1" a="1"/>
  <c r="I348" i="1" s="1"/>
  <c r="H348" i="1"/>
  <c r="G348" i="1" a="1"/>
  <c r="G348" i="1" s="1"/>
  <c r="F348" i="1"/>
  <c r="E348" i="1"/>
  <c r="D348" i="1"/>
  <c r="C348" i="1"/>
  <c r="B348" i="1"/>
  <c r="I347" i="1" a="1"/>
  <c r="I347" i="1" s="1"/>
  <c r="H347" i="1"/>
  <c r="G347" i="1" a="1"/>
  <c r="G347" i="1" s="1"/>
  <c r="F347" i="1"/>
  <c r="E347" i="1"/>
  <c r="D347" i="1"/>
  <c r="C347" i="1"/>
  <c r="B347" i="1"/>
  <c r="I346" i="1" a="1"/>
  <c r="I346" i="1" s="1"/>
  <c r="H346" i="1"/>
  <c r="G346" i="1" a="1"/>
  <c r="G346" i="1" s="1"/>
  <c r="F346" i="1"/>
  <c r="E346" i="1"/>
  <c r="D346" i="1"/>
  <c r="C346" i="1"/>
  <c r="B346" i="1"/>
  <c r="I345" i="1" a="1"/>
  <c r="I345" i="1" s="1"/>
  <c r="H345" i="1"/>
  <c r="G345" i="1" a="1"/>
  <c r="G345" i="1"/>
  <c r="F345" i="1"/>
  <c r="E345" i="1"/>
  <c r="D345" i="1"/>
  <c r="C345" i="1"/>
  <c r="B345" i="1"/>
  <c r="I344" i="1" a="1"/>
  <c r="I344" i="1" s="1"/>
  <c r="H344" i="1"/>
  <c r="G344" i="1" a="1"/>
  <c r="G344" i="1" s="1"/>
  <c r="F344" i="1"/>
  <c r="E344" i="1"/>
  <c r="D344" i="1"/>
  <c r="C344" i="1"/>
  <c r="B344" i="1"/>
  <c r="I343" i="1" a="1"/>
  <c r="I343" i="1" s="1"/>
  <c r="H343" i="1"/>
  <c r="G343" i="1" a="1"/>
  <c r="G343" i="1" s="1"/>
  <c r="F343" i="1"/>
  <c r="E343" i="1"/>
  <c r="D343" i="1"/>
  <c r="C343" i="1"/>
  <c r="B343" i="1"/>
  <c r="I342" i="1" a="1"/>
  <c r="I342" i="1" s="1"/>
  <c r="H342" i="1"/>
  <c r="G342" i="1" a="1"/>
  <c r="G342" i="1" s="1"/>
  <c r="F342" i="1"/>
  <c r="E342" i="1"/>
  <c r="D342" i="1"/>
  <c r="C342" i="1"/>
  <c r="B342" i="1"/>
  <c r="I341" i="1" a="1"/>
  <c r="I341" i="1" s="1"/>
  <c r="H341" i="1"/>
  <c r="G341" i="1" a="1"/>
  <c r="G341" i="1" s="1"/>
  <c r="F341" i="1"/>
  <c r="E341" i="1"/>
  <c r="D341" i="1"/>
  <c r="C341" i="1"/>
  <c r="B341" i="1"/>
  <c r="I340" i="1" a="1"/>
  <c r="I340" i="1" s="1"/>
  <c r="H340" i="1"/>
  <c r="G340" i="1" a="1"/>
  <c r="G340" i="1" s="1"/>
  <c r="F340" i="1"/>
  <c r="E340" i="1"/>
  <c r="D340" i="1"/>
  <c r="C340" i="1"/>
  <c r="B340" i="1"/>
  <c r="I339" i="1" a="1"/>
  <c r="I339" i="1" s="1"/>
  <c r="H339" i="1"/>
  <c r="G339" i="1" a="1"/>
  <c r="G339" i="1" s="1"/>
  <c r="F339" i="1"/>
  <c r="E339" i="1"/>
  <c r="D339" i="1"/>
  <c r="C339" i="1"/>
  <c r="B339" i="1"/>
  <c r="I338" i="1" a="1"/>
  <c r="I338" i="1" s="1"/>
  <c r="H338" i="1"/>
  <c r="G338" i="1" a="1"/>
  <c r="G338" i="1" s="1"/>
  <c r="F338" i="1"/>
  <c r="E338" i="1"/>
  <c r="D338" i="1"/>
  <c r="C338" i="1"/>
  <c r="B338" i="1"/>
  <c r="I337" i="1" a="1"/>
  <c r="I337" i="1" s="1"/>
  <c r="H337" i="1"/>
  <c r="G337" i="1" a="1"/>
  <c r="G337" i="1" s="1"/>
  <c r="F337" i="1"/>
  <c r="E337" i="1"/>
  <c r="D337" i="1"/>
  <c r="C337" i="1"/>
  <c r="B337" i="1"/>
  <c r="I336" i="1" a="1"/>
  <c r="I336" i="1" s="1"/>
  <c r="H336" i="1"/>
  <c r="G336" i="1" a="1"/>
  <c r="G336" i="1" s="1"/>
  <c r="F336" i="1"/>
  <c r="E336" i="1"/>
  <c r="D336" i="1"/>
  <c r="C336" i="1"/>
  <c r="B336" i="1"/>
  <c r="I335" i="1" a="1"/>
  <c r="I335" i="1" s="1"/>
  <c r="H335" i="1"/>
  <c r="G335" i="1" a="1"/>
  <c r="G335" i="1" s="1"/>
  <c r="F335" i="1"/>
  <c r="E335" i="1"/>
  <c r="D335" i="1"/>
  <c r="C335" i="1"/>
  <c r="B335" i="1"/>
  <c r="I334" i="1" a="1"/>
  <c r="I334" i="1" s="1"/>
  <c r="H334" i="1"/>
  <c r="G334" i="1" a="1"/>
  <c r="G334" i="1" s="1"/>
  <c r="F334" i="1"/>
  <c r="E334" i="1"/>
  <c r="D334" i="1"/>
  <c r="C334" i="1"/>
  <c r="B334" i="1"/>
  <c r="I333" i="1" a="1"/>
  <c r="I333" i="1" s="1"/>
  <c r="H333" i="1"/>
  <c r="G333" i="1" a="1"/>
  <c r="G333" i="1" s="1"/>
  <c r="F333" i="1"/>
  <c r="E333" i="1"/>
  <c r="D333" i="1"/>
  <c r="C333" i="1"/>
  <c r="B333" i="1"/>
  <c r="I332" i="1" a="1"/>
  <c r="I332" i="1" s="1"/>
  <c r="H332" i="1"/>
  <c r="G332" i="1" a="1"/>
  <c r="G332" i="1" s="1"/>
  <c r="F332" i="1"/>
  <c r="E332" i="1"/>
  <c r="D332" i="1"/>
  <c r="C332" i="1"/>
  <c r="B332" i="1"/>
  <c r="I331" i="1" a="1"/>
  <c r="I331" i="1" s="1"/>
  <c r="H331" i="1"/>
  <c r="G331" i="1" a="1"/>
  <c r="G331" i="1" s="1"/>
  <c r="F331" i="1"/>
  <c r="E331" i="1"/>
  <c r="D331" i="1"/>
  <c r="C331" i="1"/>
  <c r="B331" i="1"/>
  <c r="I330" i="1" a="1"/>
  <c r="I330" i="1" s="1"/>
  <c r="H330" i="1"/>
  <c r="G330" i="1" a="1"/>
  <c r="G330" i="1" s="1"/>
  <c r="F330" i="1"/>
  <c r="E330" i="1"/>
  <c r="D330" i="1"/>
  <c r="C330" i="1"/>
  <c r="B330" i="1"/>
  <c r="I329" i="1" a="1"/>
  <c r="I329" i="1" s="1"/>
  <c r="H329" i="1"/>
  <c r="G329" i="1" a="1"/>
  <c r="G329" i="1"/>
  <c r="F329" i="1"/>
  <c r="E329" i="1"/>
  <c r="D329" i="1"/>
  <c r="C329" i="1"/>
  <c r="B329" i="1"/>
  <c r="I328" i="1" a="1"/>
  <c r="I328" i="1" s="1"/>
  <c r="H328" i="1"/>
  <c r="G328" i="1" a="1"/>
  <c r="G328" i="1" s="1"/>
  <c r="F328" i="1"/>
  <c r="E328" i="1"/>
  <c r="D328" i="1"/>
  <c r="C328" i="1"/>
  <c r="B328" i="1"/>
  <c r="I327" i="1" a="1"/>
  <c r="I327" i="1" s="1"/>
  <c r="H327" i="1"/>
  <c r="G327" i="1" a="1"/>
  <c r="G327" i="1" s="1"/>
  <c r="F327" i="1"/>
  <c r="E327" i="1"/>
  <c r="D327" i="1"/>
  <c r="C327" i="1"/>
  <c r="B327" i="1"/>
  <c r="I326" i="1" a="1"/>
  <c r="I326" i="1" s="1"/>
  <c r="H326" i="1"/>
  <c r="G326" i="1" a="1"/>
  <c r="G326" i="1" s="1"/>
  <c r="F326" i="1"/>
  <c r="E326" i="1"/>
  <c r="D326" i="1"/>
  <c r="C326" i="1"/>
  <c r="B326" i="1"/>
  <c r="I325" i="1" a="1"/>
  <c r="I325" i="1" s="1"/>
  <c r="H325" i="1"/>
  <c r="G325" i="1" a="1"/>
  <c r="G325" i="1" s="1"/>
  <c r="F325" i="1"/>
  <c r="E325" i="1"/>
  <c r="D325" i="1"/>
  <c r="C325" i="1"/>
  <c r="B325" i="1"/>
  <c r="I324" i="1" a="1"/>
  <c r="I324" i="1" s="1"/>
  <c r="H324" i="1"/>
  <c r="G324" i="1" a="1"/>
  <c r="G324" i="1" s="1"/>
  <c r="F324" i="1"/>
  <c r="E324" i="1"/>
  <c r="D324" i="1"/>
  <c r="C324" i="1"/>
  <c r="B324" i="1"/>
  <c r="I323" i="1" a="1"/>
  <c r="I323" i="1" s="1"/>
  <c r="H323" i="1"/>
  <c r="G323" i="1" a="1"/>
  <c r="G323" i="1" s="1"/>
  <c r="F323" i="1"/>
  <c r="E323" i="1"/>
  <c r="D323" i="1"/>
  <c r="C323" i="1"/>
  <c r="B323" i="1"/>
  <c r="I322" i="1" a="1"/>
  <c r="I322" i="1" s="1"/>
  <c r="H322" i="1"/>
  <c r="G322" i="1" a="1"/>
  <c r="G322" i="1" s="1"/>
  <c r="F322" i="1"/>
  <c r="E322" i="1"/>
  <c r="D322" i="1"/>
  <c r="C322" i="1"/>
  <c r="B322" i="1"/>
  <c r="I321" i="1" a="1"/>
  <c r="I321" i="1" s="1"/>
  <c r="H321" i="1"/>
  <c r="G321" i="1" a="1"/>
  <c r="G321" i="1" s="1"/>
  <c r="F321" i="1"/>
  <c r="E321" i="1"/>
  <c r="D321" i="1"/>
  <c r="C321" i="1"/>
  <c r="B321" i="1"/>
  <c r="I320" i="1" a="1"/>
  <c r="I320" i="1" s="1"/>
  <c r="H320" i="1"/>
  <c r="G320" i="1" a="1"/>
  <c r="G320" i="1" s="1"/>
  <c r="F320" i="1"/>
  <c r="E320" i="1"/>
  <c r="D320" i="1"/>
  <c r="C320" i="1"/>
  <c r="B320" i="1"/>
  <c r="I319" i="1" a="1"/>
  <c r="I319" i="1" s="1"/>
  <c r="H319" i="1"/>
  <c r="G319" i="1" a="1"/>
  <c r="G319" i="1" s="1"/>
  <c r="F319" i="1"/>
  <c r="E319" i="1"/>
  <c r="D319" i="1"/>
  <c r="C319" i="1"/>
  <c r="B319" i="1"/>
  <c r="I318" i="1" a="1"/>
  <c r="I318" i="1" s="1"/>
  <c r="H318" i="1"/>
  <c r="G318" i="1" a="1"/>
  <c r="G318" i="1" s="1"/>
  <c r="F318" i="1"/>
  <c r="E318" i="1"/>
  <c r="D318" i="1"/>
  <c r="C318" i="1"/>
  <c r="B318" i="1"/>
  <c r="I317" i="1" a="1"/>
  <c r="I317" i="1" s="1"/>
  <c r="H317" i="1"/>
  <c r="G317" i="1" a="1"/>
  <c r="G317" i="1" s="1"/>
  <c r="F317" i="1"/>
  <c r="E317" i="1"/>
  <c r="D317" i="1"/>
  <c r="C317" i="1"/>
  <c r="B317" i="1"/>
  <c r="I316" i="1" a="1"/>
  <c r="I316" i="1" s="1"/>
  <c r="H316" i="1"/>
  <c r="G316" i="1" a="1"/>
  <c r="G316" i="1" s="1"/>
  <c r="F316" i="1"/>
  <c r="E316" i="1"/>
  <c r="D316" i="1"/>
  <c r="C316" i="1"/>
  <c r="B316" i="1"/>
  <c r="I315" i="1" a="1"/>
  <c r="I315" i="1" s="1"/>
  <c r="H315" i="1"/>
  <c r="G315" i="1" a="1"/>
  <c r="G315" i="1" s="1"/>
  <c r="F315" i="1"/>
  <c r="E315" i="1"/>
  <c r="D315" i="1"/>
  <c r="C315" i="1"/>
  <c r="B315" i="1"/>
  <c r="I314" i="1" a="1"/>
  <c r="I314" i="1" s="1"/>
  <c r="H314" i="1"/>
  <c r="G314" i="1" a="1"/>
  <c r="G314" i="1" s="1"/>
  <c r="F314" i="1"/>
  <c r="E314" i="1"/>
  <c r="D314" i="1"/>
  <c r="C314" i="1"/>
  <c r="B314" i="1"/>
  <c r="I313" i="1" a="1"/>
  <c r="I313" i="1" s="1"/>
  <c r="H313" i="1"/>
  <c r="G313" i="1" a="1"/>
  <c r="G313" i="1" s="1"/>
  <c r="F313" i="1"/>
  <c r="E313" i="1"/>
  <c r="D313" i="1"/>
  <c r="C313" i="1"/>
  <c r="B313" i="1"/>
  <c r="I312" i="1" a="1"/>
  <c r="I312" i="1" s="1"/>
  <c r="H312" i="1"/>
  <c r="G312" i="1" a="1"/>
  <c r="G312" i="1" s="1"/>
  <c r="F312" i="1"/>
  <c r="E312" i="1"/>
  <c r="D312" i="1"/>
  <c r="C312" i="1"/>
  <c r="B312" i="1"/>
  <c r="I311" i="1" a="1"/>
  <c r="I311" i="1" s="1"/>
  <c r="H311" i="1"/>
  <c r="G311" i="1" a="1"/>
  <c r="G311" i="1" s="1"/>
  <c r="F311" i="1"/>
  <c r="E311" i="1"/>
  <c r="D311" i="1"/>
  <c r="C311" i="1"/>
  <c r="B311" i="1"/>
  <c r="I310" i="1" a="1"/>
  <c r="I310" i="1" s="1"/>
  <c r="H310" i="1"/>
  <c r="G310" i="1" a="1"/>
  <c r="G310" i="1" s="1"/>
  <c r="F310" i="1"/>
  <c r="E310" i="1"/>
  <c r="D310" i="1"/>
  <c r="C310" i="1"/>
  <c r="B310" i="1"/>
  <c r="I309" i="1" a="1"/>
  <c r="I309" i="1" s="1"/>
  <c r="H309" i="1"/>
  <c r="G309" i="1" a="1"/>
  <c r="G309" i="1" s="1"/>
  <c r="F309" i="1"/>
  <c r="E309" i="1"/>
  <c r="D309" i="1"/>
  <c r="C309" i="1"/>
  <c r="B309" i="1"/>
  <c r="I308" i="1" a="1"/>
  <c r="I308" i="1" s="1"/>
  <c r="H308" i="1"/>
  <c r="G308" i="1" a="1"/>
  <c r="G308" i="1" s="1"/>
  <c r="F308" i="1"/>
  <c r="E308" i="1"/>
  <c r="D308" i="1"/>
  <c r="C308" i="1"/>
  <c r="B308" i="1"/>
  <c r="I307" i="1" a="1"/>
  <c r="I307" i="1" s="1"/>
  <c r="H307" i="1"/>
  <c r="G307" i="1" a="1"/>
  <c r="G307" i="1" s="1"/>
  <c r="F307" i="1"/>
  <c r="E307" i="1"/>
  <c r="D307" i="1"/>
  <c r="C307" i="1"/>
  <c r="B307" i="1"/>
  <c r="I306" i="1" a="1"/>
  <c r="I306" i="1" s="1"/>
  <c r="H306" i="1"/>
  <c r="G306" i="1" a="1"/>
  <c r="G306" i="1" s="1"/>
  <c r="F306" i="1"/>
  <c r="E306" i="1"/>
  <c r="D306" i="1"/>
  <c r="C306" i="1"/>
  <c r="B306" i="1"/>
  <c r="I305" i="1" a="1"/>
  <c r="I305" i="1" s="1"/>
  <c r="H305" i="1"/>
  <c r="G305" i="1" a="1"/>
  <c r="G305" i="1"/>
  <c r="F305" i="1"/>
  <c r="E305" i="1"/>
  <c r="D305" i="1"/>
  <c r="C305" i="1"/>
  <c r="B305" i="1"/>
  <c r="I304" i="1" a="1"/>
  <c r="I304" i="1" s="1"/>
  <c r="H304" i="1"/>
  <c r="G304" i="1" a="1"/>
  <c r="G304" i="1" s="1"/>
  <c r="F304" i="1"/>
  <c r="E304" i="1"/>
  <c r="D304" i="1"/>
  <c r="C304" i="1"/>
  <c r="B304" i="1"/>
  <c r="I303" i="1" a="1"/>
  <c r="I303" i="1" s="1"/>
  <c r="H303" i="1"/>
  <c r="G303" i="1" a="1"/>
  <c r="G303" i="1" s="1"/>
  <c r="F303" i="1"/>
  <c r="E303" i="1"/>
  <c r="D303" i="1"/>
  <c r="C303" i="1"/>
  <c r="B303" i="1"/>
  <c r="I302" i="1" a="1"/>
  <c r="I302" i="1" s="1"/>
  <c r="H302" i="1"/>
  <c r="G302" i="1" a="1"/>
  <c r="G302" i="1" s="1"/>
  <c r="F302" i="1"/>
  <c r="E302" i="1"/>
  <c r="D302" i="1"/>
  <c r="C302" i="1"/>
  <c r="B302" i="1"/>
  <c r="I301" i="1" a="1"/>
  <c r="I301" i="1" s="1"/>
  <c r="H301" i="1"/>
  <c r="G301" i="1" a="1"/>
  <c r="G301" i="1" s="1"/>
  <c r="F301" i="1"/>
  <c r="E301" i="1"/>
  <c r="D301" i="1"/>
  <c r="C301" i="1"/>
  <c r="B301" i="1"/>
  <c r="I300" i="1" a="1"/>
  <c r="I300" i="1" s="1"/>
  <c r="H300" i="1"/>
  <c r="G300" i="1" a="1"/>
  <c r="G300" i="1" s="1"/>
  <c r="F300" i="1"/>
  <c r="E300" i="1"/>
  <c r="D300" i="1"/>
  <c r="C300" i="1"/>
  <c r="B300" i="1"/>
  <c r="I299" i="1" a="1"/>
  <c r="I299" i="1" s="1"/>
  <c r="H299" i="1"/>
  <c r="G299" i="1" a="1"/>
  <c r="G299" i="1" s="1"/>
  <c r="F299" i="1"/>
  <c r="E299" i="1"/>
  <c r="D299" i="1"/>
  <c r="C299" i="1"/>
  <c r="B299" i="1"/>
  <c r="I298" i="1" a="1"/>
  <c r="I298" i="1" s="1"/>
  <c r="H298" i="1"/>
  <c r="G298" i="1" a="1"/>
  <c r="G298" i="1" s="1"/>
  <c r="F298" i="1"/>
  <c r="E298" i="1"/>
  <c r="D298" i="1"/>
  <c r="C298" i="1"/>
  <c r="B298" i="1"/>
  <c r="I297" i="1" a="1"/>
  <c r="I297" i="1" s="1"/>
  <c r="H297" i="1"/>
  <c r="G297" i="1" a="1"/>
  <c r="G297" i="1"/>
  <c r="F297" i="1"/>
  <c r="E297" i="1"/>
  <c r="D297" i="1"/>
  <c r="C297" i="1"/>
  <c r="B297" i="1"/>
  <c r="I296" i="1" a="1"/>
  <c r="I296" i="1" s="1"/>
  <c r="H296" i="1"/>
  <c r="G296" i="1" a="1"/>
  <c r="G296" i="1" s="1"/>
  <c r="F296" i="1"/>
  <c r="E296" i="1"/>
  <c r="D296" i="1"/>
  <c r="C296" i="1"/>
  <c r="B296" i="1"/>
  <c r="I295" i="1" a="1"/>
  <c r="I295" i="1" s="1"/>
  <c r="H295" i="1"/>
  <c r="G295" i="1" a="1"/>
  <c r="G295" i="1" s="1"/>
  <c r="F295" i="1"/>
  <c r="E295" i="1"/>
  <c r="D295" i="1"/>
  <c r="C295" i="1"/>
  <c r="B295" i="1"/>
  <c r="I294" i="1" a="1"/>
  <c r="I294" i="1" s="1"/>
  <c r="H294" i="1"/>
  <c r="G294" i="1" a="1"/>
  <c r="G294" i="1" s="1"/>
  <c r="F294" i="1"/>
  <c r="E294" i="1"/>
  <c r="D294" i="1"/>
  <c r="C294" i="1"/>
  <c r="B294" i="1"/>
  <c r="I293" i="1" a="1"/>
  <c r="I293" i="1" s="1"/>
  <c r="H293" i="1"/>
  <c r="G293" i="1" a="1"/>
  <c r="G293" i="1" s="1"/>
  <c r="F293" i="1"/>
  <c r="E293" i="1"/>
  <c r="D293" i="1"/>
  <c r="C293" i="1"/>
  <c r="B293" i="1"/>
  <c r="I292" i="1" a="1"/>
  <c r="I292" i="1" s="1"/>
  <c r="H292" i="1"/>
  <c r="G292" i="1" a="1"/>
  <c r="G292" i="1" s="1"/>
  <c r="F292" i="1"/>
  <c r="E292" i="1"/>
  <c r="D292" i="1"/>
  <c r="C292" i="1"/>
  <c r="B292" i="1"/>
  <c r="I291" i="1" a="1"/>
  <c r="I291" i="1" s="1"/>
  <c r="H291" i="1"/>
  <c r="G291" i="1" a="1"/>
  <c r="G291" i="1" s="1"/>
  <c r="F291" i="1"/>
  <c r="E291" i="1"/>
  <c r="D291" i="1"/>
  <c r="C291" i="1"/>
  <c r="B291" i="1"/>
  <c r="I290" i="1" a="1"/>
  <c r="I290" i="1" s="1"/>
  <c r="H290" i="1"/>
  <c r="G290" i="1" a="1"/>
  <c r="G290" i="1" s="1"/>
  <c r="F290" i="1"/>
  <c r="E290" i="1"/>
  <c r="D290" i="1"/>
  <c r="C290" i="1"/>
  <c r="B290" i="1"/>
  <c r="I289" i="1" a="1"/>
  <c r="I289" i="1" s="1"/>
  <c r="H289" i="1"/>
  <c r="G289" i="1" a="1"/>
  <c r="G289" i="1" s="1"/>
  <c r="F289" i="1"/>
  <c r="E289" i="1"/>
  <c r="D289" i="1"/>
  <c r="C289" i="1"/>
  <c r="B289" i="1"/>
  <c r="I288" i="1" a="1"/>
  <c r="I288" i="1" s="1"/>
  <c r="H288" i="1"/>
  <c r="G288" i="1" a="1"/>
  <c r="G288" i="1" s="1"/>
  <c r="F288" i="1"/>
  <c r="E288" i="1"/>
  <c r="D288" i="1"/>
  <c r="C288" i="1"/>
  <c r="B288" i="1"/>
  <c r="I287" i="1" a="1"/>
  <c r="I287" i="1" s="1"/>
  <c r="H287" i="1"/>
  <c r="G287" i="1" a="1"/>
  <c r="G287" i="1" s="1"/>
  <c r="F287" i="1"/>
  <c r="E287" i="1"/>
  <c r="D287" i="1"/>
  <c r="C287" i="1"/>
  <c r="B287" i="1"/>
  <c r="I286" i="1" a="1"/>
  <c r="I286" i="1" s="1"/>
  <c r="H286" i="1"/>
  <c r="G286" i="1" a="1"/>
  <c r="G286" i="1" s="1"/>
  <c r="F286" i="1"/>
  <c r="E286" i="1"/>
  <c r="D286" i="1"/>
  <c r="C286" i="1"/>
  <c r="B286" i="1"/>
  <c r="I285" i="1" a="1"/>
  <c r="I285" i="1" s="1"/>
  <c r="H285" i="1"/>
  <c r="G285" i="1" a="1"/>
  <c r="G285" i="1" s="1"/>
  <c r="F285" i="1"/>
  <c r="E285" i="1"/>
  <c r="D285" i="1"/>
  <c r="C285" i="1"/>
  <c r="B285" i="1"/>
  <c r="I284" i="1" a="1"/>
  <c r="I284" i="1" s="1"/>
  <c r="H284" i="1"/>
  <c r="G284" i="1" a="1"/>
  <c r="G284" i="1" s="1"/>
  <c r="F284" i="1"/>
  <c r="E284" i="1"/>
  <c r="D284" i="1"/>
  <c r="C284" i="1"/>
  <c r="B284" i="1"/>
  <c r="I283" i="1" a="1"/>
  <c r="I283" i="1" s="1"/>
  <c r="H283" i="1"/>
  <c r="G283" i="1" a="1"/>
  <c r="G283" i="1" s="1"/>
  <c r="F283" i="1"/>
  <c r="E283" i="1"/>
  <c r="D283" i="1"/>
  <c r="C283" i="1"/>
  <c r="B283" i="1"/>
  <c r="I282" i="1" a="1"/>
  <c r="I282" i="1" s="1"/>
  <c r="H282" i="1"/>
  <c r="G282" i="1" a="1"/>
  <c r="G282" i="1" s="1"/>
  <c r="F282" i="1"/>
  <c r="E282" i="1"/>
  <c r="D282" i="1"/>
  <c r="C282" i="1"/>
  <c r="B282" i="1"/>
  <c r="I281" i="1" a="1"/>
  <c r="I281" i="1" s="1"/>
  <c r="H281" i="1"/>
  <c r="G281" i="1" a="1"/>
  <c r="G281" i="1" s="1"/>
  <c r="F281" i="1"/>
  <c r="E281" i="1"/>
  <c r="D281" i="1"/>
  <c r="C281" i="1"/>
  <c r="B281" i="1"/>
  <c r="I280" i="1" a="1"/>
  <c r="I280" i="1" s="1"/>
  <c r="H280" i="1"/>
  <c r="G280" i="1" a="1"/>
  <c r="G280" i="1" s="1"/>
  <c r="F280" i="1"/>
  <c r="E280" i="1"/>
  <c r="D280" i="1"/>
  <c r="C280" i="1"/>
  <c r="B280" i="1"/>
  <c r="I279" i="1" a="1"/>
  <c r="I279" i="1" s="1"/>
  <c r="H279" i="1"/>
  <c r="G279" i="1" a="1"/>
  <c r="G279" i="1" s="1"/>
  <c r="F279" i="1"/>
  <c r="E279" i="1"/>
  <c r="D279" i="1"/>
  <c r="C279" i="1"/>
  <c r="B279" i="1"/>
  <c r="I278" i="1" a="1"/>
  <c r="I278" i="1" s="1"/>
  <c r="H278" i="1"/>
  <c r="G278" i="1" a="1"/>
  <c r="G278" i="1" s="1"/>
  <c r="F278" i="1"/>
  <c r="E278" i="1"/>
  <c r="D278" i="1"/>
  <c r="C278" i="1"/>
  <c r="B278" i="1"/>
  <c r="I277" i="1" a="1"/>
  <c r="I277" i="1" s="1"/>
  <c r="H277" i="1"/>
  <c r="G277" i="1" a="1"/>
  <c r="G277" i="1" s="1"/>
  <c r="F277" i="1"/>
  <c r="E277" i="1"/>
  <c r="D277" i="1"/>
  <c r="C277" i="1"/>
  <c r="B277" i="1"/>
  <c r="I276" i="1" a="1"/>
  <c r="I276" i="1" s="1"/>
  <c r="H276" i="1"/>
  <c r="G276" i="1" a="1"/>
  <c r="G276" i="1" s="1"/>
  <c r="F276" i="1"/>
  <c r="E276" i="1"/>
  <c r="D276" i="1"/>
  <c r="C276" i="1"/>
  <c r="B276" i="1"/>
  <c r="I275" i="1" a="1"/>
  <c r="I275" i="1" s="1"/>
  <c r="H275" i="1"/>
  <c r="G275" i="1" a="1"/>
  <c r="G275" i="1" s="1"/>
  <c r="F275" i="1"/>
  <c r="E275" i="1"/>
  <c r="D275" i="1"/>
  <c r="C275" i="1"/>
  <c r="B275" i="1"/>
  <c r="I274" i="1" a="1"/>
  <c r="I274" i="1" s="1"/>
  <c r="H274" i="1"/>
  <c r="G274" i="1" a="1"/>
  <c r="G274" i="1" s="1"/>
  <c r="F274" i="1"/>
  <c r="E274" i="1"/>
  <c r="D274" i="1"/>
  <c r="C274" i="1"/>
  <c r="B274" i="1"/>
  <c r="I273" i="1" a="1"/>
  <c r="I273" i="1" s="1"/>
  <c r="H273" i="1"/>
  <c r="G273" i="1" a="1"/>
  <c r="G273" i="1"/>
  <c r="F273" i="1"/>
  <c r="E273" i="1"/>
  <c r="D273" i="1"/>
  <c r="C273" i="1"/>
  <c r="B273" i="1"/>
  <c r="I272" i="1" a="1"/>
  <c r="I272" i="1" s="1"/>
  <c r="H272" i="1"/>
  <c r="G272" i="1" a="1"/>
  <c r="G272" i="1" s="1"/>
  <c r="F272" i="1"/>
  <c r="E272" i="1"/>
  <c r="D272" i="1"/>
  <c r="C272" i="1"/>
  <c r="B272" i="1"/>
  <c r="I271" i="1" a="1"/>
  <c r="I271" i="1" s="1"/>
  <c r="H271" i="1"/>
  <c r="G271" i="1" a="1"/>
  <c r="G271" i="1" s="1"/>
  <c r="F271" i="1"/>
  <c r="E271" i="1"/>
  <c r="D271" i="1"/>
  <c r="C271" i="1"/>
  <c r="B271" i="1"/>
  <c r="I270" i="1" a="1"/>
  <c r="I270" i="1" s="1"/>
  <c r="H270" i="1"/>
  <c r="G270" i="1" a="1"/>
  <c r="G270" i="1" s="1"/>
  <c r="F270" i="1"/>
  <c r="E270" i="1"/>
  <c r="D270" i="1"/>
  <c r="C270" i="1"/>
  <c r="B270" i="1"/>
  <c r="I269" i="1" a="1"/>
  <c r="I269" i="1"/>
  <c r="H269" i="1"/>
  <c r="G269" i="1" a="1"/>
  <c r="G269" i="1" s="1"/>
  <c r="F269" i="1"/>
  <c r="E269" i="1"/>
  <c r="D269" i="1"/>
  <c r="C269" i="1"/>
  <c r="B269" i="1"/>
  <c r="I268" i="1" a="1"/>
  <c r="I268" i="1" s="1"/>
  <c r="H268" i="1"/>
  <c r="G268" i="1" a="1"/>
  <c r="G268" i="1" s="1"/>
  <c r="F268" i="1"/>
  <c r="E268" i="1"/>
  <c r="D268" i="1"/>
  <c r="C268" i="1"/>
  <c r="B268" i="1"/>
  <c r="I267" i="1" a="1"/>
  <c r="I267" i="1" s="1"/>
  <c r="H267" i="1"/>
  <c r="G267" i="1" a="1"/>
  <c r="G267" i="1" s="1"/>
  <c r="F267" i="1"/>
  <c r="E267" i="1"/>
  <c r="D267" i="1"/>
  <c r="C267" i="1"/>
  <c r="B267" i="1"/>
  <c r="I266" i="1" a="1"/>
  <c r="I266" i="1" s="1"/>
  <c r="H266" i="1"/>
  <c r="G266" i="1" a="1"/>
  <c r="G266" i="1"/>
  <c r="F266" i="1"/>
  <c r="E266" i="1"/>
  <c r="D266" i="1"/>
  <c r="C266" i="1"/>
  <c r="B266" i="1"/>
  <c r="I265" i="1" a="1"/>
  <c r="I265" i="1" s="1"/>
  <c r="H265" i="1"/>
  <c r="G265" i="1" a="1"/>
  <c r="G265" i="1"/>
  <c r="F265" i="1"/>
  <c r="E265" i="1"/>
  <c r="D265" i="1"/>
  <c r="C265" i="1"/>
  <c r="B265" i="1"/>
  <c r="I264" i="1" a="1"/>
  <c r="I264" i="1" s="1"/>
  <c r="H264" i="1"/>
  <c r="G264" i="1" a="1"/>
  <c r="G264" i="1" s="1"/>
  <c r="F264" i="1"/>
  <c r="E264" i="1"/>
  <c r="D264" i="1"/>
  <c r="C264" i="1"/>
  <c r="B264" i="1"/>
  <c r="I263" i="1" a="1"/>
  <c r="I263" i="1" s="1"/>
  <c r="H263" i="1"/>
  <c r="G263" i="1" a="1"/>
  <c r="G263" i="1" s="1"/>
  <c r="F263" i="1"/>
  <c r="E263" i="1"/>
  <c r="D263" i="1"/>
  <c r="C263" i="1"/>
  <c r="B263" i="1"/>
  <c r="I262" i="1" a="1"/>
  <c r="I262" i="1" s="1"/>
  <c r="H262" i="1"/>
  <c r="G262" i="1" a="1"/>
  <c r="G262" i="1"/>
  <c r="F262" i="1"/>
  <c r="E262" i="1"/>
  <c r="D262" i="1"/>
  <c r="C262" i="1"/>
  <c r="B262" i="1"/>
  <c r="I261" i="1" a="1"/>
  <c r="I261" i="1" s="1"/>
  <c r="H261" i="1"/>
  <c r="G261" i="1" a="1"/>
  <c r="G261" i="1" s="1"/>
  <c r="F261" i="1"/>
  <c r="E261" i="1"/>
  <c r="D261" i="1"/>
  <c r="C261" i="1"/>
  <c r="B261" i="1"/>
  <c r="I260" i="1" a="1"/>
  <c r="I260" i="1" s="1"/>
  <c r="H260" i="1"/>
  <c r="G260" i="1" a="1"/>
  <c r="G260" i="1" s="1"/>
  <c r="F260" i="1"/>
  <c r="E260" i="1"/>
  <c r="D260" i="1"/>
  <c r="C260" i="1"/>
  <c r="B260" i="1"/>
  <c r="I259" i="1" a="1"/>
  <c r="I259" i="1" s="1"/>
  <c r="H259" i="1"/>
  <c r="G259" i="1" a="1"/>
  <c r="G259" i="1" s="1"/>
  <c r="F259" i="1"/>
  <c r="E259" i="1"/>
  <c r="D259" i="1"/>
  <c r="C259" i="1"/>
  <c r="B259" i="1"/>
  <c r="I258" i="1" a="1"/>
  <c r="I258" i="1" s="1"/>
  <c r="H258" i="1"/>
  <c r="G258" i="1" a="1"/>
  <c r="G258" i="1" s="1"/>
  <c r="F258" i="1"/>
  <c r="E258" i="1"/>
  <c r="D258" i="1"/>
  <c r="C258" i="1"/>
  <c r="B258" i="1"/>
  <c r="I257" i="1" a="1"/>
  <c r="I257" i="1" s="1"/>
  <c r="H257" i="1"/>
  <c r="G257" i="1" a="1"/>
  <c r="G257" i="1"/>
  <c r="F257" i="1"/>
  <c r="E257" i="1"/>
  <c r="D257" i="1"/>
  <c r="C257" i="1"/>
  <c r="B257" i="1"/>
  <c r="I256" i="1" a="1"/>
  <c r="I256" i="1" s="1"/>
  <c r="H256" i="1"/>
  <c r="G256" i="1" a="1"/>
  <c r="G256" i="1" s="1"/>
  <c r="F256" i="1"/>
  <c r="E256" i="1"/>
  <c r="D256" i="1"/>
  <c r="C256" i="1"/>
  <c r="B256" i="1"/>
  <c r="I255" i="1" a="1"/>
  <c r="I255" i="1" s="1"/>
  <c r="H255" i="1"/>
  <c r="G255" i="1" a="1"/>
  <c r="G255" i="1" s="1"/>
  <c r="F255" i="1"/>
  <c r="E255" i="1"/>
  <c r="D255" i="1"/>
  <c r="C255" i="1"/>
  <c r="B255" i="1"/>
  <c r="I254" i="1" a="1"/>
  <c r="I254" i="1" s="1"/>
  <c r="H254" i="1"/>
  <c r="G254" i="1" a="1"/>
  <c r="G254" i="1" s="1"/>
  <c r="F254" i="1"/>
  <c r="E254" i="1"/>
  <c r="D254" i="1"/>
  <c r="C254" i="1"/>
  <c r="B254" i="1"/>
  <c r="I253" i="1" a="1"/>
  <c r="I253" i="1" s="1"/>
  <c r="H253" i="1"/>
  <c r="G253" i="1" a="1"/>
  <c r="G253" i="1" s="1"/>
  <c r="F253" i="1"/>
  <c r="E253" i="1"/>
  <c r="D253" i="1"/>
  <c r="C253" i="1"/>
  <c r="B253" i="1"/>
  <c r="I252" i="1" a="1"/>
  <c r="I252" i="1" s="1"/>
  <c r="H252" i="1"/>
  <c r="G252" i="1" a="1"/>
  <c r="G252" i="1" s="1"/>
  <c r="F252" i="1"/>
  <c r="E252" i="1"/>
  <c r="D252" i="1"/>
  <c r="C252" i="1"/>
  <c r="B252" i="1"/>
  <c r="I251" i="1" a="1"/>
  <c r="I251" i="1" s="1"/>
  <c r="H251" i="1"/>
  <c r="G251" i="1" a="1"/>
  <c r="G251" i="1" s="1"/>
  <c r="F251" i="1"/>
  <c r="E251" i="1"/>
  <c r="D251" i="1"/>
  <c r="C251" i="1"/>
  <c r="B251" i="1"/>
  <c r="I250" i="1" a="1"/>
  <c r="I250" i="1" s="1"/>
  <c r="H250" i="1"/>
  <c r="G250" i="1" a="1"/>
  <c r="G250" i="1"/>
  <c r="F250" i="1"/>
  <c r="E250" i="1"/>
  <c r="D250" i="1"/>
  <c r="C250" i="1"/>
  <c r="B250" i="1"/>
  <c r="I249" i="1" a="1"/>
  <c r="I249" i="1" s="1"/>
  <c r="H249" i="1"/>
  <c r="G249" i="1" a="1"/>
  <c r="G249" i="1" s="1"/>
  <c r="F249" i="1"/>
  <c r="E249" i="1"/>
  <c r="D249" i="1"/>
  <c r="C249" i="1"/>
  <c r="B249" i="1"/>
  <c r="I248" i="1" a="1"/>
  <c r="I248" i="1" s="1"/>
  <c r="H248" i="1"/>
  <c r="G248" i="1" a="1"/>
  <c r="G248" i="1" s="1"/>
  <c r="F248" i="1"/>
  <c r="E248" i="1"/>
  <c r="D248" i="1"/>
  <c r="C248" i="1"/>
  <c r="B248" i="1"/>
  <c r="I247" i="1" a="1"/>
  <c r="I247" i="1" s="1"/>
  <c r="H247" i="1"/>
  <c r="G247" i="1" a="1"/>
  <c r="G247" i="1" s="1"/>
  <c r="F247" i="1"/>
  <c r="E247" i="1"/>
  <c r="D247" i="1"/>
  <c r="C247" i="1"/>
  <c r="B247" i="1"/>
  <c r="I246" i="1" a="1"/>
  <c r="I246" i="1" s="1"/>
  <c r="H246" i="1"/>
  <c r="G246" i="1" a="1"/>
  <c r="G246" i="1" s="1"/>
  <c r="F246" i="1"/>
  <c r="E246" i="1"/>
  <c r="D246" i="1"/>
  <c r="C246" i="1"/>
  <c r="B246" i="1"/>
  <c r="I245" i="1" a="1"/>
  <c r="I245" i="1" s="1"/>
  <c r="H245" i="1"/>
  <c r="G245" i="1" a="1"/>
  <c r="G245" i="1" s="1"/>
  <c r="F245" i="1"/>
  <c r="E245" i="1"/>
  <c r="D245" i="1"/>
  <c r="C245" i="1"/>
  <c r="B245" i="1"/>
  <c r="I244" i="1" a="1"/>
  <c r="I244" i="1" s="1"/>
  <c r="H244" i="1"/>
  <c r="G244" i="1" a="1"/>
  <c r="G244" i="1"/>
  <c r="F244" i="1"/>
  <c r="E244" i="1"/>
  <c r="D244" i="1"/>
  <c r="C244" i="1"/>
  <c r="B244" i="1"/>
  <c r="I243" i="1" a="1"/>
  <c r="I243" i="1" s="1"/>
  <c r="H243" i="1"/>
  <c r="G243" i="1" a="1"/>
  <c r="G243" i="1" s="1"/>
  <c r="F243" i="1"/>
  <c r="E243" i="1"/>
  <c r="D243" i="1"/>
  <c r="C243" i="1"/>
  <c r="B243" i="1"/>
  <c r="I242" i="1" a="1"/>
  <c r="I242" i="1" s="1"/>
  <c r="H242" i="1"/>
  <c r="G242" i="1" a="1"/>
  <c r="G242" i="1" s="1"/>
  <c r="F242" i="1"/>
  <c r="E242" i="1"/>
  <c r="D242" i="1"/>
  <c r="C242" i="1"/>
  <c r="B242" i="1"/>
  <c r="I241" i="1" a="1"/>
  <c r="I241" i="1" s="1"/>
  <c r="H241" i="1"/>
  <c r="G241" i="1" a="1"/>
  <c r="G241" i="1" s="1"/>
  <c r="F241" i="1"/>
  <c r="E241" i="1"/>
  <c r="D241" i="1"/>
  <c r="C241" i="1"/>
  <c r="B241" i="1"/>
  <c r="I240" i="1" a="1"/>
  <c r="I240" i="1" s="1"/>
  <c r="H240" i="1"/>
  <c r="G240" i="1" a="1"/>
  <c r="G240" i="1" s="1"/>
  <c r="F240" i="1"/>
  <c r="E240" i="1"/>
  <c r="D240" i="1"/>
  <c r="C240" i="1"/>
  <c r="B240" i="1"/>
  <c r="I239" i="1" a="1"/>
  <c r="I239" i="1" s="1"/>
  <c r="H239" i="1"/>
  <c r="G239" i="1" a="1"/>
  <c r="G239" i="1" s="1"/>
  <c r="F239" i="1"/>
  <c r="E239" i="1"/>
  <c r="D239" i="1"/>
  <c r="C239" i="1"/>
  <c r="B239" i="1"/>
  <c r="I238" i="1" a="1"/>
  <c r="I238" i="1" s="1"/>
  <c r="H238" i="1"/>
  <c r="G238" i="1" a="1"/>
  <c r="G238" i="1"/>
  <c r="F238" i="1"/>
  <c r="E238" i="1"/>
  <c r="D238" i="1"/>
  <c r="C238" i="1"/>
  <c r="B238" i="1"/>
  <c r="I237" i="1" a="1"/>
  <c r="I237" i="1" s="1"/>
  <c r="H237" i="1"/>
  <c r="G237" i="1" a="1"/>
  <c r="G237" i="1" s="1"/>
  <c r="F237" i="1"/>
  <c r="E237" i="1"/>
  <c r="D237" i="1"/>
  <c r="C237" i="1"/>
  <c r="B237" i="1"/>
  <c r="I236" i="1" a="1"/>
  <c r="I236" i="1" s="1"/>
  <c r="H236" i="1"/>
  <c r="G236" i="1" a="1"/>
  <c r="G236" i="1"/>
  <c r="F236" i="1"/>
  <c r="E236" i="1"/>
  <c r="D236" i="1"/>
  <c r="C236" i="1"/>
  <c r="B236" i="1"/>
  <c r="I235" i="1" a="1"/>
  <c r="I235" i="1" s="1"/>
  <c r="H235" i="1"/>
  <c r="G235" i="1" a="1"/>
  <c r="G235" i="1"/>
  <c r="F235" i="1"/>
  <c r="E235" i="1"/>
  <c r="D235" i="1"/>
  <c r="C235" i="1"/>
  <c r="B235" i="1"/>
  <c r="I234" i="1" a="1"/>
  <c r="I234" i="1" s="1"/>
  <c r="H234" i="1"/>
  <c r="G234" i="1" a="1"/>
  <c r="G234" i="1"/>
  <c r="F234" i="1"/>
  <c r="E234" i="1"/>
  <c r="D234" i="1"/>
  <c r="C234" i="1"/>
  <c r="B234" i="1"/>
  <c r="I233" i="1" a="1"/>
  <c r="I233" i="1" s="1"/>
  <c r="H233" i="1"/>
  <c r="G233" i="1" a="1"/>
  <c r="G233" i="1" s="1"/>
  <c r="F233" i="1"/>
  <c r="E233" i="1"/>
  <c r="D233" i="1"/>
  <c r="C233" i="1"/>
  <c r="B233" i="1"/>
  <c r="I232" i="1" a="1"/>
  <c r="I232" i="1" s="1"/>
  <c r="H232" i="1"/>
  <c r="G232" i="1" a="1"/>
  <c r="G232" i="1" s="1"/>
  <c r="F232" i="1"/>
  <c r="E232" i="1"/>
  <c r="D232" i="1"/>
  <c r="C232" i="1"/>
  <c r="B232" i="1"/>
  <c r="I231" i="1" a="1"/>
  <c r="I231" i="1" s="1"/>
  <c r="H231" i="1"/>
  <c r="G231" i="1" a="1"/>
  <c r="G231" i="1" s="1"/>
  <c r="F231" i="1"/>
  <c r="E231" i="1"/>
  <c r="D231" i="1"/>
  <c r="C231" i="1"/>
  <c r="B231" i="1"/>
  <c r="I230" i="1" a="1"/>
  <c r="I230" i="1" s="1"/>
  <c r="H230" i="1"/>
  <c r="G230" i="1" a="1"/>
  <c r="G230" i="1" s="1"/>
  <c r="F230" i="1"/>
  <c r="E230" i="1"/>
  <c r="D230" i="1"/>
  <c r="C230" i="1"/>
  <c r="B230" i="1"/>
  <c r="I229" i="1" a="1"/>
  <c r="I229" i="1" s="1"/>
  <c r="H229" i="1"/>
  <c r="G229" i="1" a="1"/>
  <c r="G229" i="1" s="1"/>
  <c r="F229" i="1"/>
  <c r="E229" i="1"/>
  <c r="D229" i="1"/>
  <c r="C229" i="1"/>
  <c r="B229" i="1"/>
  <c r="I228" i="1" a="1"/>
  <c r="I228" i="1" s="1"/>
  <c r="H228" i="1"/>
  <c r="G228" i="1" a="1"/>
  <c r="G228" i="1" s="1"/>
  <c r="F228" i="1"/>
  <c r="E228" i="1"/>
  <c r="D228" i="1"/>
  <c r="C228" i="1"/>
  <c r="B228" i="1"/>
  <c r="I227" i="1" a="1"/>
  <c r="I227" i="1" s="1"/>
  <c r="H227" i="1"/>
  <c r="G227" i="1" a="1"/>
  <c r="G227" i="1" s="1"/>
  <c r="F227" i="1"/>
  <c r="E227" i="1"/>
  <c r="D227" i="1"/>
  <c r="C227" i="1"/>
  <c r="B227" i="1"/>
  <c r="I226" i="1" a="1"/>
  <c r="I226" i="1" s="1"/>
  <c r="H226" i="1"/>
  <c r="G226" i="1" a="1"/>
  <c r="G226" i="1" s="1"/>
  <c r="F226" i="1"/>
  <c r="E226" i="1"/>
  <c r="D226" i="1"/>
  <c r="C226" i="1"/>
  <c r="B226" i="1"/>
  <c r="I225" i="1" a="1"/>
  <c r="I225" i="1" s="1"/>
  <c r="H225" i="1"/>
  <c r="G225" i="1" a="1"/>
  <c r="G225" i="1"/>
  <c r="F225" i="1"/>
  <c r="E225" i="1"/>
  <c r="D225" i="1"/>
  <c r="C225" i="1"/>
  <c r="B225" i="1"/>
  <c r="I224" i="1" a="1"/>
  <c r="I224" i="1" s="1"/>
  <c r="H224" i="1"/>
  <c r="G224" i="1" a="1"/>
  <c r="G224" i="1"/>
  <c r="F224" i="1"/>
  <c r="E224" i="1"/>
  <c r="D224" i="1"/>
  <c r="C224" i="1"/>
  <c r="B224" i="1"/>
  <c r="I223" i="1" a="1"/>
  <c r="I223" i="1" s="1"/>
  <c r="H223" i="1"/>
  <c r="G223" i="1" a="1"/>
  <c r="G223" i="1" s="1"/>
  <c r="F223" i="1"/>
  <c r="E223" i="1"/>
  <c r="D223" i="1"/>
  <c r="C223" i="1"/>
  <c r="B223" i="1"/>
  <c r="I222" i="1" a="1"/>
  <c r="I222" i="1" s="1"/>
  <c r="H222" i="1"/>
  <c r="G222" i="1" a="1"/>
  <c r="G222" i="1" s="1"/>
  <c r="F222" i="1"/>
  <c r="E222" i="1"/>
  <c r="D222" i="1"/>
  <c r="C222" i="1"/>
  <c r="B222" i="1"/>
  <c r="I221" i="1" a="1"/>
  <c r="I221" i="1" s="1"/>
  <c r="H221" i="1"/>
  <c r="G221" i="1" a="1"/>
  <c r="G221" i="1" s="1"/>
  <c r="F221" i="1"/>
  <c r="E221" i="1"/>
  <c r="D221" i="1"/>
  <c r="C221" i="1"/>
  <c r="B221" i="1"/>
  <c r="I220" i="1" a="1"/>
  <c r="I220" i="1" s="1"/>
  <c r="H220" i="1"/>
  <c r="G220" i="1" a="1"/>
  <c r="G220" i="1" s="1"/>
  <c r="F220" i="1"/>
  <c r="E220" i="1"/>
  <c r="D220" i="1"/>
  <c r="C220" i="1"/>
  <c r="B220" i="1"/>
  <c r="I219" i="1" a="1"/>
  <c r="I219" i="1" s="1"/>
  <c r="H219" i="1"/>
  <c r="G219" i="1" a="1"/>
  <c r="G219" i="1" s="1"/>
  <c r="F219" i="1"/>
  <c r="E219" i="1"/>
  <c r="D219" i="1"/>
  <c r="C219" i="1"/>
  <c r="B219" i="1"/>
  <c r="I218" i="1" a="1"/>
  <c r="I218" i="1" s="1"/>
  <c r="H218" i="1"/>
  <c r="G218" i="1" a="1"/>
  <c r="G218" i="1" s="1"/>
  <c r="F218" i="1"/>
  <c r="E218" i="1"/>
  <c r="D218" i="1"/>
  <c r="C218" i="1"/>
  <c r="B218" i="1"/>
  <c r="I217" i="1" a="1"/>
  <c r="I217" i="1" s="1"/>
  <c r="H217" i="1"/>
  <c r="G217" i="1" a="1"/>
  <c r="G217" i="1"/>
  <c r="F217" i="1"/>
  <c r="E217" i="1"/>
  <c r="D217" i="1"/>
  <c r="C217" i="1"/>
  <c r="B217" i="1"/>
  <c r="I216" i="1" a="1"/>
  <c r="I216" i="1" s="1"/>
  <c r="H216" i="1"/>
  <c r="G216" i="1" a="1"/>
  <c r="G216" i="1"/>
  <c r="F216" i="1"/>
  <c r="E216" i="1"/>
  <c r="D216" i="1"/>
  <c r="C216" i="1"/>
  <c r="B216" i="1"/>
  <c r="I215" i="1" a="1"/>
  <c r="I215" i="1" s="1"/>
  <c r="H215" i="1"/>
  <c r="G215" i="1" a="1"/>
  <c r="G215" i="1" s="1"/>
  <c r="F215" i="1"/>
  <c r="E215" i="1"/>
  <c r="D215" i="1"/>
  <c r="C215" i="1"/>
  <c r="B215" i="1"/>
  <c r="I214" i="1" a="1"/>
  <c r="I214" i="1" s="1"/>
  <c r="H214" i="1"/>
  <c r="G214" i="1" a="1"/>
  <c r="G214" i="1" s="1"/>
  <c r="F214" i="1"/>
  <c r="E214" i="1"/>
  <c r="D214" i="1"/>
  <c r="C214" i="1"/>
  <c r="B214" i="1"/>
  <c r="I213" i="1" a="1"/>
  <c r="I213" i="1" s="1"/>
  <c r="H213" i="1"/>
  <c r="G213" i="1" a="1"/>
  <c r="G213" i="1" s="1"/>
  <c r="F213" i="1"/>
  <c r="E213" i="1"/>
  <c r="D213" i="1"/>
  <c r="C213" i="1"/>
  <c r="B213" i="1"/>
  <c r="I212" i="1" a="1"/>
  <c r="I212" i="1" s="1"/>
  <c r="H212" i="1"/>
  <c r="G212" i="1" a="1"/>
  <c r="G212" i="1" s="1"/>
  <c r="F212" i="1"/>
  <c r="E212" i="1"/>
  <c r="D212" i="1"/>
  <c r="C212" i="1"/>
  <c r="B212" i="1"/>
  <c r="I211" i="1" a="1"/>
  <c r="I211" i="1" s="1"/>
  <c r="H211" i="1"/>
  <c r="G211" i="1" a="1"/>
  <c r="G211" i="1" s="1"/>
  <c r="F211" i="1"/>
  <c r="E211" i="1"/>
  <c r="D211" i="1"/>
  <c r="C211" i="1"/>
  <c r="B211" i="1"/>
  <c r="I210" i="1" a="1"/>
  <c r="I210" i="1" s="1"/>
  <c r="H210" i="1"/>
  <c r="G210" i="1" a="1"/>
  <c r="G210" i="1" s="1"/>
  <c r="F210" i="1"/>
  <c r="E210" i="1"/>
  <c r="D210" i="1"/>
  <c r="C210" i="1"/>
  <c r="B210" i="1"/>
  <c r="I209" i="1" a="1"/>
  <c r="I209" i="1" s="1"/>
  <c r="H209" i="1"/>
  <c r="G209" i="1" a="1"/>
  <c r="G209" i="1"/>
  <c r="F209" i="1"/>
  <c r="E209" i="1"/>
  <c r="D209" i="1"/>
  <c r="C209" i="1"/>
  <c r="B209" i="1"/>
  <c r="I208" i="1" a="1"/>
  <c r="I208" i="1" s="1"/>
  <c r="H208" i="1"/>
  <c r="G208" i="1" a="1"/>
  <c r="G208" i="1"/>
  <c r="F208" i="1"/>
  <c r="E208" i="1"/>
  <c r="D208" i="1"/>
  <c r="C208" i="1"/>
  <c r="B208" i="1"/>
  <c r="I207" i="1" a="1"/>
  <c r="I207" i="1" s="1"/>
  <c r="H207" i="1"/>
  <c r="G207" i="1" a="1"/>
  <c r="G207" i="1" s="1"/>
  <c r="F207" i="1"/>
  <c r="E207" i="1"/>
  <c r="D207" i="1"/>
  <c r="C207" i="1"/>
  <c r="B207" i="1"/>
  <c r="I206" i="1" a="1"/>
  <c r="I206" i="1" s="1"/>
  <c r="H206" i="1"/>
  <c r="G206" i="1" a="1"/>
  <c r="G206" i="1" s="1"/>
  <c r="F206" i="1"/>
  <c r="E206" i="1"/>
  <c r="D206" i="1"/>
  <c r="C206" i="1"/>
  <c r="B206" i="1"/>
  <c r="I205" i="1" a="1"/>
  <c r="I205" i="1" s="1"/>
  <c r="H205" i="1"/>
  <c r="G205" i="1" a="1"/>
  <c r="G205" i="1" s="1"/>
  <c r="F205" i="1"/>
  <c r="E205" i="1"/>
  <c r="D205" i="1"/>
  <c r="C205" i="1"/>
  <c r="B205" i="1"/>
  <c r="I204" i="1" a="1"/>
  <c r="I204" i="1"/>
  <c r="H204" i="1"/>
  <c r="G204" i="1" a="1"/>
  <c r="G204" i="1" s="1"/>
  <c r="F204" i="1"/>
  <c r="E204" i="1"/>
  <c r="D204" i="1"/>
  <c r="C204" i="1"/>
  <c r="B204" i="1"/>
  <c r="I203" i="1" a="1"/>
  <c r="I203" i="1" s="1"/>
  <c r="H203" i="1"/>
  <c r="G203" i="1" a="1"/>
  <c r="G203" i="1" s="1"/>
  <c r="F203" i="1"/>
  <c r="E203" i="1"/>
  <c r="D203" i="1"/>
  <c r="C203" i="1"/>
  <c r="B203" i="1"/>
  <c r="I202" i="1" a="1"/>
  <c r="I202" i="1" s="1"/>
  <c r="H202" i="1"/>
  <c r="G202" i="1" a="1"/>
  <c r="G202" i="1" s="1"/>
  <c r="F202" i="1"/>
  <c r="E202" i="1"/>
  <c r="D202" i="1"/>
  <c r="C202" i="1"/>
  <c r="B202" i="1"/>
  <c r="I201" i="1" a="1"/>
  <c r="I201" i="1" s="1"/>
  <c r="H201" i="1"/>
  <c r="G201" i="1" a="1"/>
  <c r="G201" i="1"/>
  <c r="F201" i="1"/>
  <c r="E201" i="1"/>
  <c r="D201" i="1"/>
  <c r="C201" i="1"/>
  <c r="B201" i="1"/>
  <c r="I200" i="1" a="1"/>
  <c r="I200" i="1"/>
  <c r="H200" i="1"/>
  <c r="G200" i="1" a="1"/>
  <c r="G200" i="1"/>
  <c r="F200" i="1"/>
  <c r="E200" i="1"/>
  <c r="D200" i="1"/>
  <c r="C200" i="1"/>
  <c r="B200" i="1"/>
  <c r="I199" i="1" a="1"/>
  <c r="I199" i="1" s="1"/>
  <c r="H199" i="1"/>
  <c r="G199" i="1" a="1"/>
  <c r="G199" i="1" s="1"/>
  <c r="F199" i="1"/>
  <c r="E199" i="1"/>
  <c r="D199" i="1"/>
  <c r="C199" i="1"/>
  <c r="B199" i="1"/>
  <c r="I198" i="1" a="1"/>
  <c r="I198" i="1" s="1"/>
  <c r="H198" i="1"/>
  <c r="G198" i="1" a="1"/>
  <c r="G198" i="1" s="1"/>
  <c r="F198" i="1"/>
  <c r="E198" i="1"/>
  <c r="D198" i="1"/>
  <c r="C198" i="1"/>
  <c r="B198" i="1"/>
  <c r="I197" i="1" a="1"/>
  <c r="I197" i="1" s="1"/>
  <c r="H197" i="1"/>
  <c r="G197" i="1" a="1"/>
  <c r="G197" i="1" s="1"/>
  <c r="F197" i="1"/>
  <c r="E197" i="1"/>
  <c r="D197" i="1"/>
  <c r="C197" i="1"/>
  <c r="B197" i="1"/>
  <c r="I196" i="1" a="1"/>
  <c r="I196" i="1" s="1"/>
  <c r="H196" i="1"/>
  <c r="G196" i="1" a="1"/>
  <c r="G196" i="1" s="1"/>
  <c r="F196" i="1"/>
  <c r="E196" i="1"/>
  <c r="D196" i="1"/>
  <c r="C196" i="1"/>
  <c r="B196" i="1"/>
  <c r="I195" i="1" a="1"/>
  <c r="I195" i="1" s="1"/>
  <c r="H195" i="1"/>
  <c r="G195" i="1" a="1"/>
  <c r="G195" i="1" s="1"/>
  <c r="F195" i="1"/>
  <c r="E195" i="1"/>
  <c r="D195" i="1"/>
  <c r="C195" i="1"/>
  <c r="B195" i="1"/>
  <c r="I194" i="1" a="1"/>
  <c r="I194" i="1" s="1"/>
  <c r="H194" i="1"/>
  <c r="G194" i="1" a="1"/>
  <c r="G194" i="1" s="1"/>
  <c r="F194" i="1"/>
  <c r="E194" i="1"/>
  <c r="D194" i="1"/>
  <c r="C194" i="1"/>
  <c r="B194" i="1"/>
  <c r="I193" i="1" a="1"/>
  <c r="I193" i="1"/>
  <c r="H193" i="1"/>
  <c r="G193" i="1" a="1"/>
  <c r="G193" i="1"/>
  <c r="F193" i="1"/>
  <c r="E193" i="1"/>
  <c r="D193" i="1"/>
  <c r="C193" i="1"/>
  <c r="B193" i="1"/>
  <c r="I192" i="1" a="1"/>
  <c r="I192" i="1" s="1"/>
  <c r="H192" i="1"/>
  <c r="G192" i="1" a="1"/>
  <c r="G192" i="1"/>
  <c r="F192" i="1"/>
  <c r="E192" i="1"/>
  <c r="D192" i="1"/>
  <c r="C192" i="1"/>
  <c r="B192" i="1"/>
  <c r="I191" i="1" a="1"/>
  <c r="I191" i="1" s="1"/>
  <c r="H191" i="1"/>
  <c r="G191" i="1" a="1"/>
  <c r="G191" i="1" s="1"/>
  <c r="F191" i="1"/>
  <c r="E191" i="1"/>
  <c r="D191" i="1"/>
  <c r="C191" i="1"/>
  <c r="B191" i="1"/>
  <c r="I190" i="1" a="1"/>
  <c r="I190" i="1" s="1"/>
  <c r="H190" i="1"/>
  <c r="G190" i="1" a="1"/>
  <c r="G190" i="1" s="1"/>
  <c r="F190" i="1"/>
  <c r="E190" i="1"/>
  <c r="D190" i="1"/>
  <c r="C190" i="1"/>
  <c r="B190" i="1"/>
  <c r="I189" i="1" a="1"/>
  <c r="I189" i="1" s="1"/>
  <c r="H189" i="1"/>
  <c r="G189" i="1" a="1"/>
  <c r="G189" i="1" s="1"/>
  <c r="F189" i="1"/>
  <c r="E189" i="1"/>
  <c r="D189" i="1"/>
  <c r="C189" i="1"/>
  <c r="B189" i="1"/>
  <c r="I188" i="1" a="1"/>
  <c r="I188" i="1" s="1"/>
  <c r="H188" i="1"/>
  <c r="G188" i="1" a="1"/>
  <c r="G188" i="1" s="1"/>
  <c r="F188" i="1"/>
  <c r="E188" i="1"/>
  <c r="D188" i="1"/>
  <c r="C188" i="1"/>
  <c r="B188" i="1"/>
  <c r="I187" i="1" a="1"/>
  <c r="I187" i="1" s="1"/>
  <c r="H187" i="1"/>
  <c r="G187" i="1" a="1"/>
  <c r="G187" i="1" s="1"/>
  <c r="F187" i="1"/>
  <c r="E187" i="1"/>
  <c r="D187" i="1"/>
  <c r="C187" i="1"/>
  <c r="B187" i="1"/>
  <c r="I186" i="1" a="1"/>
  <c r="I186" i="1" s="1"/>
  <c r="H186" i="1"/>
  <c r="G186" i="1" a="1"/>
  <c r="G186" i="1" s="1"/>
  <c r="F186" i="1"/>
  <c r="E186" i="1"/>
  <c r="D186" i="1"/>
  <c r="C186" i="1"/>
  <c r="B186" i="1"/>
  <c r="I185" i="1" a="1"/>
  <c r="I185" i="1"/>
  <c r="H185" i="1"/>
  <c r="G185" i="1" a="1"/>
  <c r="G185" i="1"/>
  <c r="F185" i="1"/>
  <c r="E185" i="1"/>
  <c r="D185" i="1"/>
  <c r="C185" i="1"/>
  <c r="B185" i="1"/>
  <c r="I184" i="1" a="1"/>
  <c r="I184" i="1" s="1"/>
  <c r="H184" i="1"/>
  <c r="G184" i="1" a="1"/>
  <c r="G184" i="1" s="1"/>
  <c r="F184" i="1"/>
  <c r="E184" i="1"/>
  <c r="D184" i="1"/>
  <c r="C184" i="1"/>
  <c r="B184" i="1"/>
  <c r="I183" i="1" a="1"/>
  <c r="I183" i="1" s="1"/>
  <c r="H183" i="1"/>
  <c r="G183" i="1" a="1"/>
  <c r="G183" i="1" s="1"/>
  <c r="F183" i="1"/>
  <c r="E183" i="1"/>
  <c r="D183" i="1"/>
  <c r="C183" i="1"/>
  <c r="B183" i="1"/>
  <c r="I182" i="1" a="1"/>
  <c r="I182" i="1" s="1"/>
  <c r="H182" i="1"/>
  <c r="G182" i="1" a="1"/>
  <c r="G182" i="1" s="1"/>
  <c r="F182" i="1"/>
  <c r="E182" i="1"/>
  <c r="D182" i="1"/>
  <c r="C182" i="1"/>
  <c r="B182" i="1"/>
  <c r="I181" i="1" a="1"/>
  <c r="I181" i="1" s="1"/>
  <c r="H181" i="1"/>
  <c r="G181" i="1" a="1"/>
  <c r="G181" i="1" s="1"/>
  <c r="F181" i="1"/>
  <c r="E181" i="1"/>
  <c r="D181" i="1"/>
  <c r="C181" i="1"/>
  <c r="B181" i="1"/>
  <c r="I180" i="1" a="1"/>
  <c r="I180" i="1" s="1"/>
  <c r="H180" i="1"/>
  <c r="G180" i="1" a="1"/>
  <c r="G180" i="1" s="1"/>
  <c r="F180" i="1"/>
  <c r="E180" i="1"/>
  <c r="D180" i="1"/>
  <c r="C180" i="1"/>
  <c r="B180" i="1"/>
  <c r="I179" i="1" a="1"/>
  <c r="I179" i="1" s="1"/>
  <c r="H179" i="1"/>
  <c r="G179" i="1" a="1"/>
  <c r="G179" i="1" s="1"/>
  <c r="F179" i="1"/>
  <c r="E179" i="1"/>
  <c r="D179" i="1"/>
  <c r="C179" i="1"/>
  <c r="B179" i="1"/>
  <c r="I178" i="1" a="1"/>
  <c r="I178" i="1" s="1"/>
  <c r="H178" i="1"/>
  <c r="G178" i="1" a="1"/>
  <c r="G178" i="1" s="1"/>
  <c r="F178" i="1"/>
  <c r="E178" i="1"/>
  <c r="D178" i="1"/>
  <c r="C178" i="1"/>
  <c r="B178" i="1"/>
  <c r="I177" i="1" a="1"/>
  <c r="I177" i="1" s="1"/>
  <c r="H177" i="1"/>
  <c r="G177" i="1" a="1"/>
  <c r="G177" i="1"/>
  <c r="F177" i="1"/>
  <c r="E177" i="1"/>
  <c r="D177" i="1"/>
  <c r="C177" i="1"/>
  <c r="B177" i="1"/>
  <c r="I176" i="1" a="1"/>
  <c r="I176" i="1" s="1"/>
  <c r="H176" i="1"/>
  <c r="G176" i="1" a="1"/>
  <c r="G176" i="1" s="1"/>
  <c r="F176" i="1"/>
  <c r="E176" i="1"/>
  <c r="D176" i="1"/>
  <c r="C176" i="1"/>
  <c r="B176" i="1"/>
  <c r="I175" i="1" a="1"/>
  <c r="I175" i="1" s="1"/>
  <c r="H175" i="1"/>
  <c r="G175" i="1" a="1"/>
  <c r="G175" i="1" s="1"/>
  <c r="F175" i="1"/>
  <c r="E175" i="1"/>
  <c r="D175" i="1"/>
  <c r="C175" i="1"/>
  <c r="B175" i="1"/>
  <c r="I174" i="1" a="1"/>
  <c r="I174" i="1" s="1"/>
  <c r="H174" i="1"/>
  <c r="G174" i="1" a="1"/>
  <c r="G174" i="1" s="1"/>
  <c r="F174" i="1"/>
  <c r="E174" i="1"/>
  <c r="D174" i="1"/>
  <c r="C174" i="1"/>
  <c r="B174" i="1"/>
  <c r="I173" i="1" a="1"/>
  <c r="I173" i="1" s="1"/>
  <c r="H173" i="1"/>
  <c r="G173" i="1" a="1"/>
  <c r="G173" i="1" s="1"/>
  <c r="F173" i="1"/>
  <c r="E173" i="1"/>
  <c r="D173" i="1"/>
  <c r="C173" i="1"/>
  <c r="B173" i="1"/>
  <c r="I172" i="1" a="1"/>
  <c r="I172" i="1" s="1"/>
  <c r="H172" i="1"/>
  <c r="G172" i="1" a="1"/>
  <c r="G172" i="1" s="1"/>
  <c r="F172" i="1"/>
  <c r="E172" i="1"/>
  <c r="D172" i="1"/>
  <c r="C172" i="1"/>
  <c r="B172" i="1"/>
  <c r="I171" i="1" a="1"/>
  <c r="I171" i="1" s="1"/>
  <c r="H171" i="1"/>
  <c r="G171" i="1" a="1"/>
  <c r="G171" i="1" s="1"/>
  <c r="F171" i="1"/>
  <c r="E171" i="1"/>
  <c r="D171" i="1"/>
  <c r="C171" i="1"/>
  <c r="B171" i="1"/>
  <c r="I170" i="1" a="1"/>
  <c r="I170" i="1" s="1"/>
  <c r="H170" i="1"/>
  <c r="G170" i="1" a="1"/>
  <c r="G170" i="1" s="1"/>
  <c r="F170" i="1"/>
  <c r="E170" i="1"/>
  <c r="D170" i="1"/>
  <c r="C170" i="1"/>
  <c r="B170" i="1"/>
  <c r="I169" i="1" a="1"/>
  <c r="I169" i="1"/>
  <c r="H169" i="1"/>
  <c r="G169" i="1" a="1"/>
  <c r="G169" i="1"/>
  <c r="F169" i="1"/>
  <c r="E169" i="1"/>
  <c r="D169" i="1"/>
  <c r="C169" i="1"/>
  <c r="B169" i="1"/>
  <c r="I168" i="1" a="1"/>
  <c r="I168" i="1" s="1"/>
  <c r="H168" i="1"/>
  <c r="G168" i="1" a="1"/>
  <c r="G168" i="1" s="1"/>
  <c r="F168" i="1"/>
  <c r="E168" i="1"/>
  <c r="D168" i="1"/>
  <c r="C168" i="1"/>
  <c r="B168" i="1"/>
  <c r="I167" i="1" a="1"/>
  <c r="I167" i="1" s="1"/>
  <c r="H167" i="1"/>
  <c r="G167" i="1" a="1"/>
  <c r="G167" i="1" s="1"/>
  <c r="F167" i="1"/>
  <c r="E167" i="1"/>
  <c r="D167" i="1"/>
  <c r="C167" i="1"/>
  <c r="B167" i="1"/>
  <c r="I166" i="1" a="1"/>
  <c r="I166" i="1" s="1"/>
  <c r="H166" i="1"/>
  <c r="G166" i="1" a="1"/>
  <c r="G166" i="1" s="1"/>
  <c r="F166" i="1"/>
  <c r="E166" i="1"/>
  <c r="D166" i="1"/>
  <c r="C166" i="1"/>
  <c r="B166" i="1"/>
  <c r="I165" i="1" a="1"/>
  <c r="I165" i="1" s="1"/>
  <c r="H165" i="1"/>
  <c r="G165" i="1" a="1"/>
  <c r="G165" i="1" s="1"/>
  <c r="F165" i="1"/>
  <c r="E165" i="1"/>
  <c r="D165" i="1"/>
  <c r="C165" i="1"/>
  <c r="B165" i="1"/>
  <c r="I164" i="1" a="1"/>
  <c r="I164" i="1" s="1"/>
  <c r="H164" i="1"/>
  <c r="G164" i="1" a="1"/>
  <c r="G164" i="1" s="1"/>
  <c r="F164" i="1"/>
  <c r="E164" i="1"/>
  <c r="D164" i="1"/>
  <c r="C164" i="1"/>
  <c r="B164" i="1"/>
  <c r="I163" i="1" a="1"/>
  <c r="I163" i="1" s="1"/>
  <c r="H163" i="1"/>
  <c r="G163" i="1" a="1"/>
  <c r="G163" i="1" s="1"/>
  <c r="F163" i="1"/>
  <c r="E163" i="1"/>
  <c r="D163" i="1"/>
  <c r="C163" i="1"/>
  <c r="B163" i="1"/>
  <c r="I162" i="1" a="1"/>
  <c r="I162" i="1" s="1"/>
  <c r="H162" i="1"/>
  <c r="G162" i="1" a="1"/>
  <c r="G162" i="1" s="1"/>
  <c r="F162" i="1"/>
  <c r="E162" i="1"/>
  <c r="D162" i="1"/>
  <c r="C162" i="1"/>
  <c r="B162" i="1"/>
  <c r="I161" i="1" a="1"/>
  <c r="I161" i="1" s="1"/>
  <c r="H161" i="1"/>
  <c r="G161" i="1" a="1"/>
  <c r="G161" i="1"/>
  <c r="F161" i="1"/>
  <c r="E161" i="1"/>
  <c r="D161" i="1"/>
  <c r="C161" i="1"/>
  <c r="B161" i="1"/>
  <c r="I160" i="1" a="1"/>
  <c r="I160" i="1" s="1"/>
  <c r="H160" i="1"/>
  <c r="G160" i="1" a="1"/>
  <c r="G160" i="1" s="1"/>
  <c r="F160" i="1"/>
  <c r="E160" i="1"/>
  <c r="D160" i="1"/>
  <c r="C160" i="1"/>
  <c r="B160" i="1"/>
  <c r="I159" i="1" a="1"/>
  <c r="I159" i="1" s="1"/>
  <c r="H159" i="1"/>
  <c r="G159" i="1" a="1"/>
  <c r="G159" i="1" s="1"/>
  <c r="F159" i="1"/>
  <c r="E159" i="1"/>
  <c r="D159" i="1"/>
  <c r="C159" i="1"/>
  <c r="B159" i="1"/>
  <c r="I158" i="1" a="1"/>
  <c r="I158" i="1" s="1"/>
  <c r="H158" i="1"/>
  <c r="G158" i="1" a="1"/>
  <c r="G158" i="1" s="1"/>
  <c r="F158" i="1"/>
  <c r="E158" i="1"/>
  <c r="D158" i="1"/>
  <c r="C158" i="1"/>
  <c r="B158" i="1"/>
  <c r="I157" i="1" a="1"/>
  <c r="I157" i="1" s="1"/>
  <c r="H157" i="1"/>
  <c r="G157" i="1" a="1"/>
  <c r="G157" i="1" s="1"/>
  <c r="F157" i="1"/>
  <c r="E157" i="1"/>
  <c r="D157" i="1"/>
  <c r="C157" i="1"/>
  <c r="B157" i="1"/>
  <c r="I156" i="1" a="1"/>
  <c r="I156" i="1" s="1"/>
  <c r="H156" i="1"/>
  <c r="G156" i="1" a="1"/>
  <c r="G156" i="1" s="1"/>
  <c r="F156" i="1"/>
  <c r="E156" i="1"/>
  <c r="D156" i="1"/>
  <c r="C156" i="1"/>
  <c r="B156" i="1"/>
  <c r="I155" i="1" a="1"/>
  <c r="I155" i="1" s="1"/>
  <c r="H155" i="1"/>
  <c r="G155" i="1" a="1"/>
  <c r="G155" i="1" s="1"/>
  <c r="F155" i="1"/>
  <c r="E155" i="1"/>
  <c r="D155" i="1"/>
  <c r="C155" i="1"/>
  <c r="B155" i="1"/>
  <c r="I154" i="1" a="1"/>
  <c r="I154" i="1" s="1"/>
  <c r="H154" i="1"/>
  <c r="G154" i="1" a="1"/>
  <c r="G154" i="1" s="1"/>
  <c r="F154" i="1"/>
  <c r="E154" i="1"/>
  <c r="D154" i="1"/>
  <c r="C154" i="1"/>
  <c r="B154" i="1"/>
  <c r="I153" i="1" a="1"/>
  <c r="I153" i="1" s="1"/>
  <c r="H153" i="1"/>
  <c r="G153" i="1" a="1"/>
  <c r="G153" i="1"/>
  <c r="F153" i="1"/>
  <c r="E153" i="1"/>
  <c r="D153" i="1"/>
  <c r="C153" i="1"/>
  <c r="B153" i="1"/>
  <c r="I152" i="1" a="1"/>
  <c r="I152" i="1" s="1"/>
  <c r="H152" i="1"/>
  <c r="G152" i="1" a="1"/>
  <c r="G152" i="1" s="1"/>
  <c r="F152" i="1"/>
  <c r="E152" i="1"/>
  <c r="D152" i="1"/>
  <c r="C152" i="1"/>
  <c r="B152" i="1"/>
  <c r="I151" i="1" a="1"/>
  <c r="I151" i="1" s="1"/>
  <c r="H151" i="1"/>
  <c r="G151" i="1" a="1"/>
  <c r="G151" i="1" s="1"/>
  <c r="F151" i="1"/>
  <c r="E151" i="1"/>
  <c r="D151" i="1"/>
  <c r="C151" i="1"/>
  <c r="B151" i="1"/>
  <c r="I150" i="1" a="1"/>
  <c r="I150" i="1" s="1"/>
  <c r="H150" i="1"/>
  <c r="G150" i="1" a="1"/>
  <c r="G150" i="1" s="1"/>
  <c r="F150" i="1"/>
  <c r="E150" i="1"/>
  <c r="D150" i="1"/>
  <c r="C150" i="1"/>
  <c r="B150" i="1"/>
  <c r="I149" i="1" a="1"/>
  <c r="I149" i="1" s="1"/>
  <c r="H149" i="1"/>
  <c r="G149" i="1" a="1"/>
  <c r="G149" i="1" s="1"/>
  <c r="F149" i="1"/>
  <c r="E149" i="1"/>
  <c r="D149" i="1"/>
  <c r="C149" i="1"/>
  <c r="B149" i="1"/>
  <c r="I148" i="1" a="1"/>
  <c r="I148" i="1" s="1"/>
  <c r="H148" i="1"/>
  <c r="G148" i="1" a="1"/>
  <c r="G148" i="1" s="1"/>
  <c r="F148" i="1"/>
  <c r="E148" i="1"/>
  <c r="D148" i="1"/>
  <c r="C148" i="1"/>
  <c r="B148" i="1"/>
  <c r="I147" i="1" a="1"/>
  <c r="I147" i="1" s="1"/>
  <c r="H147" i="1"/>
  <c r="G147" i="1" a="1"/>
  <c r="G147" i="1" s="1"/>
  <c r="F147" i="1"/>
  <c r="E147" i="1"/>
  <c r="D147" i="1"/>
  <c r="C147" i="1"/>
  <c r="B147" i="1"/>
  <c r="I146" i="1" a="1"/>
  <c r="I146" i="1" s="1"/>
  <c r="H146" i="1"/>
  <c r="G146" i="1" a="1"/>
  <c r="G146" i="1" s="1"/>
  <c r="F146" i="1"/>
  <c r="E146" i="1"/>
  <c r="D146" i="1"/>
  <c r="C146" i="1"/>
  <c r="B146" i="1"/>
  <c r="I145" i="1" a="1"/>
  <c r="I145" i="1" s="1"/>
  <c r="H145" i="1"/>
  <c r="G145" i="1" a="1"/>
  <c r="G145" i="1"/>
  <c r="F145" i="1"/>
  <c r="E145" i="1"/>
  <c r="D145" i="1"/>
  <c r="C145" i="1"/>
  <c r="B145" i="1"/>
  <c r="I144" i="1" a="1"/>
  <c r="I144" i="1" s="1"/>
  <c r="H144" i="1"/>
  <c r="G144" i="1" a="1"/>
  <c r="G144" i="1" s="1"/>
  <c r="F144" i="1"/>
  <c r="E144" i="1"/>
  <c r="D144" i="1"/>
  <c r="C144" i="1"/>
  <c r="B144" i="1"/>
  <c r="I143" i="1" a="1"/>
  <c r="I143" i="1" s="1"/>
  <c r="H143" i="1"/>
  <c r="G143" i="1" a="1"/>
  <c r="G143" i="1" s="1"/>
  <c r="F143" i="1"/>
  <c r="E143" i="1"/>
  <c r="D143" i="1"/>
  <c r="C143" i="1"/>
  <c r="B143" i="1"/>
  <c r="I142" i="1" a="1"/>
  <c r="I142" i="1" s="1"/>
  <c r="H142" i="1"/>
  <c r="G142" i="1" a="1"/>
  <c r="G142" i="1" s="1"/>
  <c r="F142" i="1"/>
  <c r="E142" i="1"/>
  <c r="D142" i="1"/>
  <c r="C142" i="1"/>
  <c r="B142" i="1"/>
  <c r="I141" i="1" a="1"/>
  <c r="I141" i="1" s="1"/>
  <c r="H141" i="1"/>
  <c r="G141" i="1" a="1"/>
  <c r="G141" i="1" s="1"/>
  <c r="F141" i="1"/>
  <c r="E141" i="1"/>
  <c r="D141" i="1"/>
  <c r="C141" i="1"/>
  <c r="B141" i="1"/>
  <c r="I140" i="1" a="1"/>
  <c r="I140" i="1"/>
  <c r="H140" i="1"/>
  <c r="G140" i="1" a="1"/>
  <c r="G140" i="1" s="1"/>
  <c r="F140" i="1"/>
  <c r="E140" i="1"/>
  <c r="D140" i="1"/>
  <c r="C140" i="1"/>
  <c r="B140" i="1"/>
  <c r="I139" i="1" a="1"/>
  <c r="I139" i="1" s="1"/>
  <c r="H139" i="1"/>
  <c r="G139" i="1" a="1"/>
  <c r="G139" i="1" s="1"/>
  <c r="F139" i="1"/>
  <c r="E139" i="1"/>
  <c r="D139" i="1"/>
  <c r="C139" i="1"/>
  <c r="B139" i="1"/>
  <c r="I138" i="1" a="1"/>
  <c r="I138" i="1" s="1"/>
  <c r="H138" i="1"/>
  <c r="G138" i="1" a="1"/>
  <c r="G138" i="1" s="1"/>
  <c r="F138" i="1"/>
  <c r="E138" i="1"/>
  <c r="D138" i="1"/>
  <c r="C138" i="1"/>
  <c r="B138" i="1"/>
  <c r="I137" i="1" a="1"/>
  <c r="I137" i="1" s="1"/>
  <c r="H137" i="1"/>
  <c r="G137" i="1" a="1"/>
  <c r="G137" i="1"/>
  <c r="F137" i="1"/>
  <c r="E137" i="1"/>
  <c r="D137" i="1"/>
  <c r="C137" i="1"/>
  <c r="B137" i="1"/>
  <c r="I136" i="1" a="1"/>
  <c r="I136" i="1" s="1"/>
  <c r="H136" i="1"/>
  <c r="G136" i="1" a="1"/>
  <c r="G136" i="1" s="1"/>
  <c r="F136" i="1"/>
  <c r="E136" i="1"/>
  <c r="D136" i="1"/>
  <c r="C136" i="1"/>
  <c r="B136" i="1"/>
  <c r="I135" i="1" a="1"/>
  <c r="I135" i="1" s="1"/>
  <c r="H135" i="1"/>
  <c r="G135" i="1" a="1"/>
  <c r="G135" i="1" s="1"/>
  <c r="F135" i="1"/>
  <c r="E135" i="1"/>
  <c r="D135" i="1"/>
  <c r="C135" i="1"/>
  <c r="B135" i="1"/>
  <c r="I134" i="1" a="1"/>
  <c r="I134" i="1" s="1"/>
  <c r="H134" i="1"/>
  <c r="G134" i="1" a="1"/>
  <c r="G134" i="1" s="1"/>
  <c r="F134" i="1"/>
  <c r="E134" i="1"/>
  <c r="D134" i="1"/>
  <c r="C134" i="1"/>
  <c r="B134" i="1"/>
  <c r="I133" i="1" a="1"/>
  <c r="I133" i="1" s="1"/>
  <c r="H133" i="1"/>
  <c r="G133" i="1" a="1"/>
  <c r="G133" i="1" s="1"/>
  <c r="F133" i="1"/>
  <c r="E133" i="1"/>
  <c r="D133" i="1"/>
  <c r="C133" i="1"/>
  <c r="B133" i="1"/>
  <c r="I132" i="1" a="1"/>
  <c r="I132" i="1" s="1"/>
  <c r="H132" i="1"/>
  <c r="G132" i="1" a="1"/>
  <c r="G132" i="1" s="1"/>
  <c r="F132" i="1"/>
  <c r="E132" i="1"/>
  <c r="D132" i="1"/>
  <c r="C132" i="1"/>
  <c r="B132" i="1"/>
  <c r="I131" i="1" a="1"/>
  <c r="I131" i="1" s="1"/>
  <c r="H131" i="1"/>
  <c r="G131" i="1" a="1"/>
  <c r="G131" i="1" s="1"/>
  <c r="F131" i="1"/>
  <c r="E131" i="1"/>
  <c r="D131" i="1"/>
  <c r="C131" i="1"/>
  <c r="B131" i="1"/>
  <c r="I130" i="1" a="1"/>
  <c r="I130" i="1" s="1"/>
  <c r="H130" i="1"/>
  <c r="G130" i="1" a="1"/>
  <c r="G130" i="1" s="1"/>
  <c r="F130" i="1"/>
  <c r="E130" i="1"/>
  <c r="D130" i="1"/>
  <c r="C130" i="1"/>
  <c r="B130" i="1"/>
  <c r="I129" i="1" a="1"/>
  <c r="I129" i="1" s="1"/>
  <c r="H129" i="1"/>
  <c r="G129" i="1" a="1"/>
  <c r="G129" i="1"/>
  <c r="F129" i="1"/>
  <c r="E129" i="1"/>
  <c r="D129" i="1"/>
  <c r="C129" i="1"/>
  <c r="B129" i="1"/>
  <c r="I128" i="1" a="1"/>
  <c r="I128" i="1" s="1"/>
  <c r="H128" i="1"/>
  <c r="G128" i="1" a="1"/>
  <c r="G128" i="1" s="1"/>
  <c r="F128" i="1"/>
  <c r="E128" i="1"/>
  <c r="D128" i="1"/>
  <c r="C128" i="1"/>
  <c r="B128" i="1"/>
  <c r="I127" i="1" a="1"/>
  <c r="I127" i="1" s="1"/>
  <c r="H127" i="1"/>
  <c r="G127" i="1" a="1"/>
  <c r="G127" i="1" s="1"/>
  <c r="F127" i="1"/>
  <c r="E127" i="1"/>
  <c r="D127" i="1"/>
  <c r="C127" i="1"/>
  <c r="B127" i="1"/>
  <c r="I126" i="1" a="1"/>
  <c r="I126" i="1"/>
  <c r="H126" i="1"/>
  <c r="G126" i="1" a="1"/>
  <c r="G126" i="1" s="1"/>
  <c r="F126" i="1"/>
  <c r="E126" i="1"/>
  <c r="D126" i="1"/>
  <c r="C126" i="1"/>
  <c r="B126" i="1"/>
  <c r="I125" i="1" a="1"/>
  <c r="I125" i="1"/>
  <c r="H125" i="1"/>
  <c r="G125" i="1" a="1"/>
  <c r="G125" i="1" s="1"/>
  <c r="F125" i="1"/>
  <c r="E125" i="1"/>
  <c r="D125" i="1"/>
  <c r="C125" i="1"/>
  <c r="B125" i="1"/>
  <c r="I124" i="1" a="1"/>
  <c r="I124" i="1" s="1"/>
  <c r="H124" i="1"/>
  <c r="G124" i="1" a="1"/>
  <c r="G124" i="1" s="1"/>
  <c r="F124" i="1"/>
  <c r="E124" i="1"/>
  <c r="D124" i="1"/>
  <c r="C124" i="1"/>
  <c r="B124" i="1"/>
  <c r="I123" i="1" a="1"/>
  <c r="I123" i="1" s="1"/>
  <c r="H123" i="1"/>
  <c r="G123" i="1" a="1"/>
  <c r="G123" i="1" s="1"/>
  <c r="F123" i="1"/>
  <c r="E123" i="1"/>
  <c r="D123" i="1"/>
  <c r="C123" i="1"/>
  <c r="B123" i="1"/>
  <c r="I122" i="1" a="1"/>
  <c r="I122" i="1" s="1"/>
  <c r="H122" i="1"/>
  <c r="G122" i="1" a="1"/>
  <c r="G122" i="1" s="1"/>
  <c r="F122" i="1"/>
  <c r="E122" i="1"/>
  <c r="D122" i="1"/>
  <c r="C122" i="1"/>
  <c r="B122" i="1"/>
  <c r="I121" i="1" a="1"/>
  <c r="I121" i="1" s="1"/>
  <c r="H121" i="1"/>
  <c r="G121" i="1" a="1"/>
  <c r="G121" i="1"/>
  <c r="F121" i="1"/>
  <c r="E121" i="1"/>
  <c r="D121" i="1"/>
  <c r="C121" i="1"/>
  <c r="B121" i="1"/>
  <c r="I120" i="1" a="1"/>
  <c r="I120" i="1" s="1"/>
  <c r="H120" i="1"/>
  <c r="G120" i="1" a="1"/>
  <c r="G120" i="1" s="1"/>
  <c r="F120" i="1"/>
  <c r="E120" i="1"/>
  <c r="D120" i="1"/>
  <c r="C120" i="1"/>
  <c r="B120" i="1"/>
  <c r="I119" i="1" a="1"/>
  <c r="I119" i="1" s="1"/>
  <c r="H119" i="1"/>
  <c r="G119" i="1" a="1"/>
  <c r="G119" i="1" s="1"/>
  <c r="F119" i="1"/>
  <c r="E119" i="1"/>
  <c r="D119" i="1"/>
  <c r="C119" i="1"/>
  <c r="B119" i="1"/>
  <c r="I118" i="1" a="1"/>
  <c r="I118" i="1" s="1"/>
  <c r="H118" i="1"/>
  <c r="G118" i="1" a="1"/>
  <c r="G118" i="1" s="1"/>
  <c r="F118" i="1"/>
  <c r="E118" i="1"/>
  <c r="D118" i="1"/>
  <c r="C118" i="1"/>
  <c r="B118" i="1"/>
  <c r="I117" i="1" a="1"/>
  <c r="I117" i="1" s="1"/>
  <c r="H117" i="1"/>
  <c r="G117" i="1" a="1"/>
  <c r="G117" i="1" s="1"/>
  <c r="F117" i="1"/>
  <c r="E117" i="1"/>
  <c r="D117" i="1"/>
  <c r="C117" i="1"/>
  <c r="B117" i="1"/>
  <c r="I116" i="1" a="1"/>
  <c r="I116" i="1" s="1"/>
  <c r="H116" i="1"/>
  <c r="G116" i="1" a="1"/>
  <c r="G116" i="1" s="1"/>
  <c r="F116" i="1"/>
  <c r="E116" i="1"/>
  <c r="D116" i="1"/>
  <c r="C116" i="1"/>
  <c r="B116" i="1"/>
  <c r="I115" i="1" a="1"/>
  <c r="I115" i="1" s="1"/>
  <c r="H115" i="1"/>
  <c r="G115" i="1" a="1"/>
  <c r="G115" i="1" s="1"/>
  <c r="F115" i="1"/>
  <c r="E115" i="1"/>
  <c r="D115" i="1"/>
  <c r="C115" i="1"/>
  <c r="B115" i="1"/>
  <c r="I114" i="1" a="1"/>
  <c r="I114" i="1" s="1"/>
  <c r="H114" i="1"/>
  <c r="G114" i="1" a="1"/>
  <c r="G114" i="1" s="1"/>
  <c r="F114" i="1"/>
  <c r="E114" i="1"/>
  <c r="D114" i="1"/>
  <c r="C114" i="1"/>
  <c r="B114" i="1"/>
  <c r="I113" i="1" a="1"/>
  <c r="I113" i="1" s="1"/>
  <c r="H113" i="1"/>
  <c r="G113" i="1" a="1"/>
  <c r="G113" i="1"/>
  <c r="F113" i="1"/>
  <c r="E113" i="1"/>
  <c r="D113" i="1"/>
  <c r="C113" i="1"/>
  <c r="B113" i="1"/>
  <c r="I112" i="1" a="1"/>
  <c r="I112" i="1" s="1"/>
  <c r="H112" i="1"/>
  <c r="G112" i="1" a="1"/>
  <c r="G112" i="1" s="1"/>
  <c r="F112" i="1"/>
  <c r="E112" i="1"/>
  <c r="D112" i="1"/>
  <c r="C112" i="1"/>
  <c r="B112" i="1"/>
  <c r="I111" i="1" a="1"/>
  <c r="I111" i="1" s="1"/>
  <c r="H111" i="1"/>
  <c r="G111" i="1" a="1"/>
  <c r="G111" i="1" s="1"/>
  <c r="F111" i="1"/>
  <c r="E111" i="1"/>
  <c r="D111" i="1"/>
  <c r="C111" i="1"/>
  <c r="B111" i="1"/>
  <c r="I110" i="1" a="1"/>
  <c r="I110" i="1" s="1"/>
  <c r="H110" i="1"/>
  <c r="G110" i="1" a="1"/>
  <c r="G110" i="1" s="1"/>
  <c r="F110" i="1"/>
  <c r="E110" i="1"/>
  <c r="D110" i="1"/>
  <c r="C110" i="1"/>
  <c r="B110" i="1"/>
  <c r="I109" i="1" a="1"/>
  <c r="I109" i="1" s="1"/>
  <c r="H109" i="1"/>
  <c r="G109" i="1" a="1"/>
  <c r="G109" i="1" s="1"/>
  <c r="F109" i="1"/>
  <c r="E109" i="1"/>
  <c r="D109" i="1"/>
  <c r="C109" i="1"/>
  <c r="B109" i="1"/>
  <c r="I108" i="1" a="1"/>
  <c r="I108" i="1"/>
  <c r="H108" i="1"/>
  <c r="G108" i="1" a="1"/>
  <c r="G108" i="1" s="1"/>
  <c r="F108" i="1"/>
  <c r="E108" i="1"/>
  <c r="D108" i="1"/>
  <c r="C108" i="1"/>
  <c r="B108" i="1"/>
  <c r="I107" i="1" a="1"/>
  <c r="I107" i="1" s="1"/>
  <c r="H107" i="1"/>
  <c r="G107" i="1" a="1"/>
  <c r="G107" i="1" s="1"/>
  <c r="F107" i="1"/>
  <c r="E107" i="1"/>
  <c r="D107" i="1"/>
  <c r="C107" i="1"/>
  <c r="B107" i="1"/>
  <c r="I106" i="1" a="1"/>
  <c r="I106" i="1" s="1"/>
  <c r="H106" i="1"/>
  <c r="G106" i="1" a="1"/>
  <c r="G106" i="1" s="1"/>
  <c r="F106" i="1"/>
  <c r="E106" i="1"/>
  <c r="D106" i="1"/>
  <c r="C106" i="1"/>
  <c r="B106" i="1"/>
  <c r="I105" i="1" a="1"/>
  <c r="I105" i="1" s="1"/>
  <c r="H105" i="1"/>
  <c r="G105" i="1" a="1"/>
  <c r="G105" i="1"/>
  <c r="F105" i="1"/>
  <c r="E105" i="1"/>
  <c r="D105" i="1"/>
  <c r="C105" i="1"/>
  <c r="B105" i="1"/>
  <c r="I104" i="1" a="1"/>
  <c r="I104" i="1"/>
  <c r="H104" i="1"/>
  <c r="G104" i="1" a="1"/>
  <c r="G104" i="1" s="1"/>
  <c r="F104" i="1"/>
  <c r="E104" i="1"/>
  <c r="D104" i="1"/>
  <c r="C104" i="1"/>
  <c r="B104" i="1"/>
  <c r="I103" i="1" a="1"/>
  <c r="I103" i="1" s="1"/>
  <c r="H103" i="1"/>
  <c r="G103" i="1" a="1"/>
  <c r="G103" i="1" s="1"/>
  <c r="F103" i="1"/>
  <c r="E103" i="1"/>
  <c r="D103" i="1"/>
  <c r="C103" i="1"/>
  <c r="B103" i="1"/>
  <c r="I102" i="1" a="1"/>
  <c r="I102" i="1" s="1"/>
  <c r="H102" i="1"/>
  <c r="G102" i="1" a="1"/>
  <c r="G102" i="1" s="1"/>
  <c r="F102" i="1"/>
  <c r="E102" i="1"/>
  <c r="D102" i="1"/>
  <c r="C102" i="1"/>
  <c r="B102" i="1"/>
  <c r="I101" i="1" a="1"/>
  <c r="I101" i="1" s="1"/>
  <c r="H101" i="1"/>
  <c r="G101" i="1" a="1"/>
  <c r="G101" i="1" s="1"/>
  <c r="F101" i="1"/>
  <c r="E101" i="1"/>
  <c r="D101" i="1"/>
  <c r="C101" i="1"/>
  <c r="B101" i="1"/>
  <c r="I100" i="1" a="1"/>
  <c r="I100" i="1" s="1"/>
  <c r="H100" i="1"/>
  <c r="G100" i="1" a="1"/>
  <c r="G100" i="1" s="1"/>
  <c r="F100" i="1"/>
  <c r="E100" i="1"/>
  <c r="D100" i="1"/>
  <c r="C100" i="1"/>
  <c r="B100" i="1"/>
  <c r="I99" i="1" a="1"/>
  <c r="I99" i="1" s="1"/>
  <c r="H99" i="1"/>
  <c r="G99" i="1" a="1"/>
  <c r="G99" i="1" s="1"/>
  <c r="F99" i="1"/>
  <c r="E99" i="1"/>
  <c r="D99" i="1"/>
  <c r="C99" i="1"/>
  <c r="B99" i="1"/>
  <c r="I98" i="1" a="1"/>
  <c r="I98" i="1" s="1"/>
  <c r="H98" i="1"/>
  <c r="G98" i="1" a="1"/>
  <c r="G98" i="1" s="1"/>
  <c r="F98" i="1"/>
  <c r="E98" i="1"/>
  <c r="D98" i="1"/>
  <c r="C98" i="1"/>
  <c r="B98" i="1"/>
  <c r="I97" i="1" a="1"/>
  <c r="I97" i="1" s="1"/>
  <c r="H97" i="1"/>
  <c r="G97" i="1" a="1"/>
  <c r="G97" i="1"/>
  <c r="F97" i="1"/>
  <c r="E97" i="1"/>
  <c r="D97" i="1"/>
  <c r="C97" i="1"/>
  <c r="B97" i="1"/>
  <c r="I96" i="1" a="1"/>
  <c r="I96" i="1" s="1"/>
  <c r="H96" i="1"/>
  <c r="G96" i="1" a="1"/>
  <c r="G96" i="1" s="1"/>
  <c r="F96" i="1"/>
  <c r="E96" i="1"/>
  <c r="D96" i="1"/>
  <c r="C96" i="1"/>
  <c r="B96" i="1"/>
  <c r="I95" i="1" a="1"/>
  <c r="I95" i="1" s="1"/>
  <c r="H95" i="1"/>
  <c r="G95" i="1" a="1"/>
  <c r="G95" i="1" s="1"/>
  <c r="F95" i="1"/>
  <c r="E95" i="1"/>
  <c r="D95" i="1"/>
  <c r="C95" i="1"/>
  <c r="B95" i="1"/>
  <c r="I94" i="1" a="1"/>
  <c r="I94" i="1" s="1"/>
  <c r="H94" i="1"/>
  <c r="G94" i="1" a="1"/>
  <c r="G94" i="1" s="1"/>
  <c r="F94" i="1"/>
  <c r="E94" i="1"/>
  <c r="D94" i="1"/>
  <c r="C94" i="1"/>
  <c r="B94" i="1"/>
  <c r="I93" i="1" a="1"/>
  <c r="I93" i="1" s="1"/>
  <c r="H93" i="1"/>
  <c r="G93" i="1" a="1"/>
  <c r="G93" i="1" s="1"/>
  <c r="F93" i="1"/>
  <c r="E93" i="1"/>
  <c r="D93" i="1"/>
  <c r="C93" i="1"/>
  <c r="B93" i="1"/>
  <c r="I92" i="1" a="1"/>
  <c r="I92" i="1" s="1"/>
  <c r="H92" i="1"/>
  <c r="G92" i="1" a="1"/>
  <c r="G92" i="1" s="1"/>
  <c r="F92" i="1"/>
  <c r="E92" i="1"/>
  <c r="D92" i="1"/>
  <c r="C92" i="1"/>
  <c r="B92" i="1"/>
  <c r="I91" i="1" a="1"/>
  <c r="I91" i="1" s="1"/>
  <c r="H91" i="1"/>
  <c r="G91" i="1" a="1"/>
  <c r="G91" i="1" s="1"/>
  <c r="F91" i="1"/>
  <c r="E91" i="1"/>
  <c r="D91" i="1"/>
  <c r="C91" i="1"/>
  <c r="B91" i="1"/>
  <c r="I90" i="1" a="1"/>
  <c r="I90" i="1" s="1"/>
  <c r="H90" i="1"/>
  <c r="G90" i="1" a="1"/>
  <c r="G90" i="1" s="1"/>
  <c r="F90" i="1"/>
  <c r="E90" i="1"/>
  <c r="D90" i="1"/>
  <c r="C90" i="1"/>
  <c r="B90" i="1"/>
  <c r="I89" i="1" a="1"/>
  <c r="I89" i="1" s="1"/>
  <c r="H89" i="1"/>
  <c r="G89" i="1" a="1"/>
  <c r="G89" i="1" s="1"/>
  <c r="F89" i="1"/>
  <c r="E89" i="1"/>
  <c r="D89" i="1"/>
  <c r="C89" i="1"/>
  <c r="B89" i="1"/>
  <c r="I88" i="1" a="1"/>
  <c r="I88" i="1" s="1"/>
  <c r="H88" i="1"/>
  <c r="G88" i="1" a="1"/>
  <c r="G88" i="1" s="1"/>
  <c r="F88" i="1"/>
  <c r="E88" i="1"/>
  <c r="D88" i="1"/>
  <c r="C88" i="1"/>
  <c r="B88" i="1"/>
  <c r="I87" i="1" a="1"/>
  <c r="I87" i="1" s="1"/>
  <c r="H87" i="1"/>
  <c r="G87" i="1" a="1"/>
  <c r="G87" i="1" s="1"/>
  <c r="F87" i="1"/>
  <c r="E87" i="1"/>
  <c r="D87" i="1"/>
  <c r="C87" i="1"/>
  <c r="B87" i="1"/>
  <c r="I86" i="1" a="1"/>
  <c r="I86" i="1" s="1"/>
  <c r="H86" i="1"/>
  <c r="G86" i="1" a="1"/>
  <c r="G86" i="1" s="1"/>
  <c r="F86" i="1"/>
  <c r="E86" i="1"/>
  <c r="D86" i="1"/>
  <c r="C86" i="1"/>
  <c r="B86" i="1"/>
  <c r="I85" i="1" a="1"/>
  <c r="I85" i="1" s="1"/>
  <c r="H85" i="1"/>
  <c r="G85" i="1" a="1"/>
  <c r="G85" i="1" s="1"/>
  <c r="F85" i="1"/>
  <c r="E85" i="1"/>
  <c r="D85" i="1"/>
  <c r="C85" i="1"/>
  <c r="B85" i="1"/>
  <c r="I84" i="1" a="1"/>
  <c r="I84" i="1" s="1"/>
  <c r="H84" i="1"/>
  <c r="G84" i="1" a="1"/>
  <c r="G84" i="1" s="1"/>
  <c r="F84" i="1"/>
  <c r="E84" i="1"/>
  <c r="D84" i="1"/>
  <c r="C84" i="1"/>
  <c r="B84" i="1"/>
  <c r="I83" i="1" a="1"/>
  <c r="I83" i="1" s="1"/>
  <c r="H83" i="1"/>
  <c r="G83" i="1" a="1"/>
  <c r="G83" i="1" s="1"/>
  <c r="F83" i="1"/>
  <c r="E83" i="1"/>
  <c r="D83" i="1"/>
  <c r="C83" i="1"/>
  <c r="B83" i="1"/>
  <c r="I82" i="1" a="1"/>
  <c r="I82" i="1" s="1"/>
  <c r="H82" i="1"/>
  <c r="G82" i="1" a="1"/>
  <c r="G82" i="1" s="1"/>
  <c r="F82" i="1"/>
  <c r="E82" i="1"/>
  <c r="D82" i="1"/>
  <c r="C82" i="1"/>
  <c r="B82" i="1"/>
  <c r="I81" i="1" a="1"/>
  <c r="I81" i="1" s="1"/>
  <c r="H81" i="1"/>
  <c r="G81" i="1" a="1"/>
  <c r="G81" i="1"/>
  <c r="F81" i="1"/>
  <c r="E81" i="1"/>
  <c r="D81" i="1"/>
  <c r="C81" i="1"/>
  <c r="B81" i="1"/>
  <c r="I80" i="1" a="1"/>
  <c r="I80" i="1" s="1"/>
  <c r="H80" i="1"/>
  <c r="G80" i="1" a="1"/>
  <c r="G80" i="1" s="1"/>
  <c r="F80" i="1"/>
  <c r="E80" i="1"/>
  <c r="D80" i="1"/>
  <c r="C80" i="1"/>
  <c r="B80" i="1"/>
  <c r="I79" i="1" a="1"/>
  <c r="I79" i="1" s="1"/>
  <c r="H79" i="1"/>
  <c r="G79" i="1" a="1"/>
  <c r="G79" i="1" s="1"/>
  <c r="F79" i="1"/>
  <c r="E79" i="1"/>
  <c r="D79" i="1"/>
  <c r="C79" i="1"/>
  <c r="B79" i="1"/>
  <c r="I78" i="1" a="1"/>
  <c r="I78" i="1" s="1"/>
  <c r="H78" i="1"/>
  <c r="G78" i="1" a="1"/>
  <c r="G78" i="1" s="1"/>
  <c r="F78" i="1"/>
  <c r="E78" i="1"/>
  <c r="D78" i="1"/>
  <c r="C78" i="1"/>
  <c r="B78" i="1"/>
  <c r="I77" i="1" a="1"/>
  <c r="I77" i="1" s="1"/>
  <c r="H77" i="1"/>
  <c r="G77" i="1" a="1"/>
  <c r="G77" i="1" s="1"/>
  <c r="F77" i="1"/>
  <c r="E77" i="1"/>
  <c r="D77" i="1"/>
  <c r="C77" i="1"/>
  <c r="B77" i="1"/>
  <c r="I76" i="1" a="1"/>
  <c r="I76" i="1" s="1"/>
  <c r="H76" i="1"/>
  <c r="G76" i="1" a="1"/>
  <c r="G76" i="1" s="1"/>
  <c r="F76" i="1"/>
  <c r="E76" i="1"/>
  <c r="D76" i="1"/>
  <c r="C76" i="1"/>
  <c r="B76" i="1"/>
  <c r="I75" i="1" a="1"/>
  <c r="I75" i="1" s="1"/>
  <c r="H75" i="1"/>
  <c r="G75" i="1" a="1"/>
  <c r="G75" i="1" s="1"/>
  <c r="F75" i="1"/>
  <c r="E75" i="1"/>
  <c r="D75" i="1"/>
  <c r="C75" i="1"/>
  <c r="B75" i="1"/>
  <c r="I74" i="1" a="1"/>
  <c r="I74" i="1" s="1"/>
  <c r="H74" i="1"/>
  <c r="G74" i="1" a="1"/>
  <c r="G74" i="1" s="1"/>
  <c r="F74" i="1"/>
  <c r="E74" i="1"/>
  <c r="D74" i="1"/>
  <c r="C74" i="1"/>
  <c r="B74" i="1"/>
  <c r="I73" i="1" a="1"/>
  <c r="I73" i="1" s="1"/>
  <c r="H73" i="1"/>
  <c r="G73" i="1" a="1"/>
  <c r="G73" i="1"/>
  <c r="F73" i="1"/>
  <c r="E73" i="1"/>
  <c r="D73" i="1"/>
  <c r="C73" i="1"/>
  <c r="B73" i="1"/>
  <c r="I72" i="1" a="1"/>
  <c r="I72" i="1"/>
  <c r="H72" i="1"/>
  <c r="G72" i="1" a="1"/>
  <c r="G72" i="1" s="1"/>
  <c r="F72" i="1"/>
  <c r="E72" i="1"/>
  <c r="D72" i="1"/>
  <c r="C72" i="1"/>
  <c r="B72" i="1"/>
  <c r="I71" i="1" a="1"/>
  <c r="I71" i="1" s="1"/>
  <c r="H71" i="1"/>
  <c r="G71" i="1" a="1"/>
  <c r="G71" i="1" s="1"/>
  <c r="F71" i="1"/>
  <c r="E71" i="1"/>
  <c r="D71" i="1"/>
  <c r="C71" i="1"/>
  <c r="B71" i="1"/>
  <c r="I70" i="1" a="1"/>
  <c r="I70" i="1" s="1"/>
  <c r="H70" i="1"/>
  <c r="G70" i="1" a="1"/>
  <c r="G70" i="1" s="1"/>
  <c r="F70" i="1"/>
  <c r="E70" i="1"/>
  <c r="D70" i="1"/>
  <c r="C70" i="1"/>
  <c r="B70" i="1"/>
  <c r="I69" i="1" a="1"/>
  <c r="I69" i="1" s="1"/>
  <c r="H69" i="1"/>
  <c r="G69" i="1" a="1"/>
  <c r="G69" i="1" s="1"/>
  <c r="F69" i="1"/>
  <c r="E69" i="1"/>
  <c r="D69" i="1"/>
  <c r="C69" i="1"/>
  <c r="B69" i="1"/>
  <c r="I68" i="1" a="1"/>
  <c r="I68" i="1" s="1"/>
  <c r="H68" i="1"/>
  <c r="G68" i="1" a="1"/>
  <c r="G68" i="1" s="1"/>
  <c r="F68" i="1"/>
  <c r="E68" i="1"/>
  <c r="D68" i="1"/>
  <c r="C68" i="1"/>
  <c r="B68" i="1"/>
  <c r="I67" i="1" a="1"/>
  <c r="I67" i="1" s="1"/>
  <c r="H67" i="1"/>
  <c r="G67" i="1" a="1"/>
  <c r="G67" i="1" s="1"/>
  <c r="F67" i="1"/>
  <c r="E67" i="1"/>
  <c r="D67" i="1"/>
  <c r="C67" i="1"/>
  <c r="B67" i="1"/>
  <c r="I66" i="1" a="1"/>
  <c r="I66" i="1" s="1"/>
  <c r="H66" i="1"/>
  <c r="G66" i="1" a="1"/>
  <c r="G66" i="1" s="1"/>
  <c r="F66" i="1"/>
  <c r="E66" i="1"/>
  <c r="D66" i="1"/>
  <c r="C66" i="1"/>
  <c r="B66" i="1"/>
  <c r="I65" i="1" a="1"/>
  <c r="I65" i="1" s="1"/>
  <c r="H65" i="1"/>
  <c r="G65" i="1" a="1"/>
  <c r="G65" i="1"/>
  <c r="F65" i="1"/>
  <c r="E65" i="1"/>
  <c r="D65" i="1"/>
  <c r="C65" i="1"/>
  <c r="B65" i="1"/>
  <c r="I64" i="1" a="1"/>
  <c r="I64" i="1" s="1"/>
  <c r="H64" i="1"/>
  <c r="G64" i="1" a="1"/>
  <c r="G64" i="1" s="1"/>
  <c r="F64" i="1"/>
  <c r="E64" i="1"/>
  <c r="D64" i="1"/>
  <c r="C64" i="1"/>
  <c r="B64" i="1"/>
  <c r="I63" i="1" a="1"/>
  <c r="I63" i="1" s="1"/>
  <c r="H63" i="1"/>
  <c r="G63" i="1" a="1"/>
  <c r="G63" i="1" s="1"/>
  <c r="F63" i="1"/>
  <c r="E63" i="1"/>
  <c r="D63" i="1"/>
  <c r="C63" i="1"/>
  <c r="B63" i="1"/>
  <c r="I62" i="1" a="1"/>
  <c r="I62" i="1" s="1"/>
  <c r="H62" i="1"/>
  <c r="G62" i="1" a="1"/>
  <c r="G62" i="1" s="1"/>
  <c r="F62" i="1"/>
  <c r="E62" i="1"/>
  <c r="D62" i="1"/>
  <c r="C62" i="1"/>
  <c r="B62" i="1"/>
  <c r="I61" i="1" a="1"/>
  <c r="I61" i="1" s="1"/>
  <c r="H61" i="1"/>
  <c r="G61" i="1" a="1"/>
  <c r="G61" i="1" s="1"/>
  <c r="F61" i="1"/>
  <c r="E61" i="1"/>
  <c r="D61" i="1"/>
  <c r="C61" i="1"/>
  <c r="B61" i="1"/>
  <c r="I60" i="1" a="1"/>
  <c r="I60" i="1" s="1"/>
  <c r="H60" i="1"/>
  <c r="G60" i="1" a="1"/>
  <c r="G60" i="1" s="1"/>
  <c r="F60" i="1"/>
  <c r="E60" i="1"/>
  <c r="D60" i="1"/>
  <c r="C60" i="1"/>
  <c r="B60" i="1"/>
  <c r="I59" i="1" a="1"/>
  <c r="I59" i="1" s="1"/>
  <c r="H59" i="1"/>
  <c r="G59" i="1" a="1"/>
  <c r="G59" i="1" s="1"/>
  <c r="F59" i="1"/>
  <c r="E59" i="1"/>
  <c r="D59" i="1"/>
  <c r="C59" i="1"/>
  <c r="B59" i="1"/>
  <c r="I58" i="1" a="1"/>
  <c r="I58" i="1" s="1"/>
  <c r="H58" i="1"/>
  <c r="G58" i="1" a="1"/>
  <c r="G58" i="1" s="1"/>
  <c r="F58" i="1"/>
  <c r="E58" i="1"/>
  <c r="D58" i="1"/>
  <c r="C58" i="1"/>
  <c r="B58" i="1"/>
  <c r="I57" i="1" a="1"/>
  <c r="I57" i="1" s="1"/>
  <c r="H57" i="1"/>
  <c r="G57" i="1" a="1"/>
  <c r="G57" i="1"/>
  <c r="F57" i="1"/>
  <c r="E57" i="1"/>
  <c r="D57" i="1"/>
  <c r="C57" i="1"/>
  <c r="B57" i="1"/>
  <c r="I56" i="1" a="1"/>
  <c r="I56" i="1" s="1"/>
  <c r="H56" i="1"/>
  <c r="G56" i="1" a="1"/>
  <c r="G56" i="1" s="1"/>
  <c r="F56" i="1"/>
  <c r="E56" i="1"/>
  <c r="D56" i="1"/>
  <c r="C56" i="1"/>
  <c r="B56" i="1"/>
  <c r="I55" i="1" a="1"/>
  <c r="I55" i="1" s="1"/>
  <c r="H55" i="1"/>
  <c r="G55" i="1" a="1"/>
  <c r="G55" i="1" s="1"/>
  <c r="F55" i="1"/>
  <c r="E55" i="1"/>
  <c r="D55" i="1"/>
  <c r="C55" i="1"/>
  <c r="B55" i="1"/>
  <c r="I54" i="1" a="1"/>
  <c r="I54" i="1" s="1"/>
  <c r="H54" i="1"/>
  <c r="G54" i="1" a="1"/>
  <c r="G54" i="1" s="1"/>
  <c r="F54" i="1"/>
  <c r="E54" i="1"/>
  <c r="D54" i="1"/>
  <c r="C54" i="1"/>
  <c r="B54" i="1"/>
  <c r="I53" i="1" a="1"/>
  <c r="I53" i="1" s="1"/>
  <c r="H53" i="1"/>
  <c r="G53" i="1" a="1"/>
  <c r="G53" i="1" s="1"/>
  <c r="F53" i="1"/>
  <c r="E53" i="1"/>
  <c r="D53" i="1"/>
  <c r="C53" i="1"/>
  <c r="B53" i="1"/>
  <c r="I52" i="1" a="1"/>
  <c r="I52" i="1" s="1"/>
  <c r="H52" i="1"/>
  <c r="G52" i="1" a="1"/>
  <c r="G52" i="1" s="1"/>
  <c r="F52" i="1"/>
  <c r="E52" i="1"/>
  <c r="D52" i="1"/>
  <c r="C52" i="1"/>
  <c r="B52" i="1"/>
  <c r="I51" i="1" a="1"/>
  <c r="I51" i="1" s="1"/>
  <c r="H51" i="1"/>
  <c r="G51" i="1" a="1"/>
  <c r="G51" i="1" s="1"/>
  <c r="F51" i="1"/>
  <c r="E51" i="1"/>
  <c r="D51" i="1"/>
  <c r="C51" i="1"/>
  <c r="B51" i="1"/>
  <c r="I50" i="1" a="1"/>
  <c r="I50" i="1"/>
  <c r="H50" i="1"/>
  <c r="G50" i="1" a="1"/>
  <c r="G50" i="1" s="1"/>
  <c r="F50" i="1"/>
  <c r="E50" i="1"/>
  <c r="D50" i="1"/>
  <c r="C50" i="1"/>
  <c r="B50" i="1"/>
  <c r="I49" i="1" a="1"/>
  <c r="I49" i="1" s="1"/>
  <c r="H49" i="1"/>
  <c r="G49" i="1" a="1"/>
  <c r="G49" i="1"/>
  <c r="F49" i="1"/>
  <c r="E49" i="1"/>
  <c r="D49" i="1"/>
  <c r="C49" i="1"/>
  <c r="B49" i="1"/>
  <c r="I48" i="1" a="1"/>
  <c r="I48" i="1" s="1"/>
  <c r="H48" i="1"/>
  <c r="G48" i="1" a="1"/>
  <c r="G48" i="1" s="1"/>
  <c r="F48" i="1"/>
  <c r="E48" i="1"/>
  <c r="D48" i="1"/>
  <c r="C48" i="1"/>
  <c r="B48" i="1"/>
  <c r="I47" i="1" a="1"/>
  <c r="I47" i="1" s="1"/>
  <c r="H47" i="1"/>
  <c r="G47" i="1" a="1"/>
  <c r="G47" i="1" s="1"/>
  <c r="F47" i="1"/>
  <c r="E47" i="1"/>
  <c r="D47" i="1"/>
  <c r="C47" i="1"/>
  <c r="B47" i="1"/>
  <c r="I46" i="1" a="1"/>
  <c r="I46" i="1" s="1"/>
  <c r="H46" i="1"/>
  <c r="G46" i="1" a="1"/>
  <c r="G46" i="1" s="1"/>
  <c r="F46" i="1"/>
  <c r="E46" i="1"/>
  <c r="D46" i="1"/>
  <c r="C46" i="1"/>
  <c r="B46" i="1"/>
  <c r="I45" i="1" a="1"/>
  <c r="I45" i="1" s="1"/>
  <c r="H45" i="1"/>
  <c r="G45" i="1" a="1"/>
  <c r="G45" i="1" s="1"/>
  <c r="F45" i="1"/>
  <c r="E45" i="1"/>
  <c r="D45" i="1"/>
  <c r="C45" i="1"/>
  <c r="B45" i="1"/>
  <c r="I44" i="1" a="1"/>
  <c r="I44" i="1" s="1"/>
  <c r="H44" i="1"/>
  <c r="G44" i="1" a="1"/>
  <c r="G44" i="1" s="1"/>
  <c r="F44" i="1"/>
  <c r="E44" i="1"/>
  <c r="D44" i="1"/>
  <c r="C44" i="1"/>
  <c r="B44" i="1"/>
  <c r="I43" i="1" a="1"/>
  <c r="I43" i="1" s="1"/>
  <c r="H43" i="1"/>
  <c r="G43" i="1" a="1"/>
  <c r="G43" i="1" s="1"/>
  <c r="F43" i="1"/>
  <c r="E43" i="1"/>
  <c r="D43" i="1"/>
  <c r="C43" i="1"/>
  <c r="B43" i="1"/>
  <c r="I42" i="1" a="1"/>
  <c r="I42" i="1" s="1"/>
  <c r="H42" i="1"/>
  <c r="G42" i="1" a="1"/>
  <c r="G42" i="1" s="1"/>
  <c r="F42" i="1"/>
  <c r="E42" i="1"/>
  <c r="D42" i="1"/>
  <c r="C42" i="1"/>
  <c r="B42" i="1"/>
  <c r="I41" i="1" a="1"/>
  <c r="I41" i="1" s="1"/>
  <c r="H41" i="1"/>
  <c r="G41" i="1" a="1"/>
  <c r="G41" i="1" s="1"/>
  <c r="F41" i="1"/>
  <c r="E41" i="1"/>
  <c r="D41" i="1"/>
  <c r="C41" i="1"/>
  <c r="B41" i="1"/>
  <c r="I40" i="1" a="1"/>
  <c r="I40" i="1" s="1"/>
  <c r="H40" i="1"/>
  <c r="G40" i="1" a="1"/>
  <c r="G40" i="1" s="1"/>
  <c r="F40" i="1"/>
  <c r="E40" i="1"/>
  <c r="D40" i="1"/>
  <c r="C40" i="1"/>
  <c r="B40" i="1"/>
  <c r="I39" i="1" a="1"/>
  <c r="I39" i="1" s="1"/>
  <c r="H39" i="1"/>
  <c r="G39" i="1" a="1"/>
  <c r="G39" i="1" s="1"/>
  <c r="F39" i="1"/>
  <c r="E39" i="1"/>
  <c r="D39" i="1"/>
  <c r="C39" i="1"/>
  <c r="B39" i="1"/>
  <c r="I38" i="1" a="1"/>
  <c r="I38" i="1" s="1"/>
  <c r="H38" i="1"/>
  <c r="G38" i="1" a="1"/>
  <c r="G38" i="1" s="1"/>
  <c r="F38" i="1"/>
  <c r="E38" i="1"/>
  <c r="D38" i="1"/>
  <c r="C38" i="1"/>
  <c r="B38" i="1"/>
  <c r="I37" i="1" a="1"/>
  <c r="I37" i="1" s="1"/>
  <c r="H37" i="1"/>
  <c r="G37" i="1" a="1"/>
  <c r="G37" i="1" s="1"/>
  <c r="F37" i="1"/>
  <c r="E37" i="1"/>
  <c r="D37" i="1"/>
  <c r="C37" i="1"/>
  <c r="B37" i="1"/>
  <c r="I36" i="1" a="1"/>
  <c r="I36" i="1" s="1"/>
  <c r="H36" i="1"/>
  <c r="G36" i="1" a="1"/>
  <c r="G36" i="1" s="1"/>
  <c r="F36" i="1"/>
  <c r="E36" i="1"/>
  <c r="D36" i="1"/>
  <c r="C36" i="1"/>
  <c r="B36" i="1"/>
  <c r="I35" i="1" a="1"/>
  <c r="I35" i="1" s="1"/>
  <c r="H35" i="1"/>
  <c r="G35" i="1" a="1"/>
  <c r="G35" i="1" s="1"/>
  <c r="F35" i="1"/>
  <c r="E35" i="1"/>
  <c r="D35" i="1"/>
  <c r="C35" i="1"/>
  <c r="B35" i="1"/>
  <c r="I34" i="1" a="1"/>
  <c r="I34" i="1" s="1"/>
  <c r="H34" i="1"/>
  <c r="G34" i="1" a="1"/>
  <c r="G34" i="1" s="1"/>
  <c r="F34" i="1"/>
  <c r="E34" i="1"/>
  <c r="D34" i="1"/>
  <c r="C34" i="1"/>
  <c r="B34" i="1"/>
  <c r="I33" i="1" a="1"/>
  <c r="I33" i="1" s="1"/>
  <c r="H33" i="1"/>
  <c r="G33" i="1" a="1"/>
  <c r="G33" i="1" s="1"/>
  <c r="F33" i="1"/>
  <c r="E33" i="1"/>
  <c r="D33" i="1"/>
  <c r="C33" i="1"/>
  <c r="B33" i="1"/>
  <c r="I32" i="1" a="1"/>
  <c r="I32" i="1" s="1"/>
  <c r="H32" i="1"/>
  <c r="G32" i="1" a="1"/>
  <c r="G32" i="1" s="1"/>
  <c r="F32" i="1"/>
  <c r="E32" i="1"/>
  <c r="D32" i="1"/>
  <c r="C32" i="1"/>
  <c r="B32" i="1"/>
  <c r="I31" i="1" a="1"/>
  <c r="I31" i="1" s="1"/>
  <c r="H31" i="1"/>
  <c r="G31" i="1" a="1"/>
  <c r="G31" i="1" s="1"/>
  <c r="F31" i="1"/>
  <c r="E31" i="1"/>
  <c r="D31" i="1"/>
  <c r="C31" i="1"/>
  <c r="B31" i="1"/>
  <c r="I30" i="1" a="1"/>
  <c r="I30" i="1" s="1"/>
  <c r="H30" i="1"/>
  <c r="G30" i="1" a="1"/>
  <c r="G30" i="1" s="1"/>
  <c r="F30" i="1"/>
  <c r="E30" i="1"/>
  <c r="D30" i="1"/>
  <c r="C30" i="1"/>
  <c r="B30" i="1"/>
  <c r="I29" i="1" a="1"/>
  <c r="I29" i="1" s="1"/>
  <c r="H29" i="1"/>
  <c r="G29" i="1" a="1"/>
  <c r="G29" i="1" s="1"/>
  <c r="F29" i="1"/>
  <c r="E29" i="1"/>
  <c r="D29" i="1"/>
  <c r="C29" i="1"/>
  <c r="B29" i="1"/>
  <c r="I28" i="1" a="1"/>
  <c r="I28" i="1" s="1"/>
  <c r="H28" i="1"/>
  <c r="G28" i="1" a="1"/>
  <c r="G28" i="1" s="1"/>
  <c r="F28" i="1"/>
  <c r="E28" i="1"/>
  <c r="D28" i="1"/>
  <c r="C28" i="1"/>
  <c r="B28" i="1"/>
  <c r="I27" i="1" a="1"/>
  <c r="I27" i="1" s="1"/>
  <c r="H27" i="1"/>
  <c r="G27" i="1" a="1"/>
  <c r="G27" i="1" s="1"/>
  <c r="F27" i="1"/>
  <c r="E27" i="1"/>
  <c r="D27" i="1"/>
  <c r="C27" i="1"/>
  <c r="B27" i="1"/>
  <c r="I26" i="1" a="1"/>
  <c r="I26" i="1" s="1"/>
  <c r="H26" i="1"/>
  <c r="G26" i="1" a="1"/>
  <c r="G26" i="1" s="1"/>
  <c r="F26" i="1"/>
  <c r="E26" i="1"/>
  <c r="D26" i="1"/>
  <c r="C26" i="1"/>
  <c r="B26" i="1"/>
  <c r="I25" i="1" a="1"/>
  <c r="I25" i="1" s="1"/>
  <c r="H25" i="1"/>
  <c r="G25" i="1" a="1"/>
  <c r="G25" i="1"/>
  <c r="F25" i="1"/>
  <c r="E25" i="1"/>
  <c r="D25" i="1"/>
  <c r="C25" i="1"/>
  <c r="B25" i="1"/>
  <c r="I24" i="1" a="1"/>
  <c r="I24" i="1" s="1"/>
  <c r="H24" i="1"/>
  <c r="G24" i="1" a="1"/>
  <c r="G24" i="1" s="1"/>
  <c r="F24" i="1"/>
  <c r="E24" i="1"/>
  <c r="D24" i="1"/>
  <c r="C24" i="1"/>
  <c r="B24" i="1"/>
  <c r="I23" i="1" a="1"/>
  <c r="I23" i="1" s="1"/>
  <c r="H23" i="1"/>
  <c r="G23" i="1" a="1"/>
  <c r="G23" i="1" s="1"/>
  <c r="F23" i="1"/>
  <c r="E23" i="1"/>
  <c r="D23" i="1"/>
  <c r="C23" i="1"/>
  <c r="B23" i="1"/>
  <c r="I22" i="1" a="1"/>
  <c r="I22" i="1" s="1"/>
  <c r="H22" i="1"/>
  <c r="G22" i="1" a="1"/>
  <c r="G22" i="1" s="1"/>
  <c r="F22" i="1"/>
  <c r="E22" i="1"/>
  <c r="D22" i="1"/>
  <c r="C22" i="1"/>
  <c r="B22" i="1"/>
  <c r="I21" i="1" a="1"/>
  <c r="I21" i="1" s="1"/>
  <c r="H21" i="1"/>
  <c r="G21" i="1" a="1"/>
  <c r="G21" i="1" s="1"/>
  <c r="F21" i="1"/>
  <c r="E21" i="1"/>
  <c r="D21" i="1"/>
  <c r="C21" i="1"/>
  <c r="B21" i="1"/>
  <c r="I20" i="1" a="1"/>
  <c r="I20" i="1" s="1"/>
  <c r="H20" i="1"/>
  <c r="G20" i="1" a="1"/>
  <c r="G20" i="1" s="1"/>
  <c r="F20" i="1"/>
  <c r="E20" i="1"/>
  <c r="D20" i="1"/>
  <c r="C20" i="1"/>
  <c r="B20" i="1"/>
  <c r="I19" i="1" a="1"/>
  <c r="I19" i="1" s="1"/>
  <c r="H19" i="1"/>
  <c r="G19" i="1" a="1"/>
  <c r="G19" i="1" s="1"/>
  <c r="F19" i="1"/>
  <c r="E19" i="1"/>
  <c r="D19" i="1"/>
  <c r="C19" i="1"/>
  <c r="B19" i="1"/>
  <c r="I18" i="1" a="1"/>
  <c r="I18" i="1"/>
  <c r="H18" i="1"/>
  <c r="G18" i="1" a="1"/>
  <c r="G18" i="1" s="1"/>
  <c r="F18" i="1"/>
  <c r="E18" i="1"/>
  <c r="D18" i="1"/>
  <c r="C18" i="1"/>
  <c r="B18" i="1"/>
  <c r="I17" i="1" a="1"/>
  <c r="I17" i="1" s="1"/>
  <c r="H17" i="1"/>
  <c r="G17" i="1" a="1"/>
  <c r="G17" i="1" s="1"/>
  <c r="F17" i="1"/>
  <c r="E17" i="1"/>
  <c r="D17" i="1"/>
  <c r="C17" i="1"/>
  <c r="B17" i="1"/>
  <c r="I16" i="1" a="1"/>
  <c r="I16" i="1" s="1"/>
  <c r="H16" i="1"/>
  <c r="G16" i="1" a="1"/>
  <c r="G16" i="1" s="1"/>
  <c r="F16" i="1"/>
  <c r="E16" i="1"/>
  <c r="D16" i="1"/>
  <c r="C16" i="1"/>
  <c r="B16" i="1"/>
  <c r="I15" i="1" a="1"/>
  <c r="I15" i="1" s="1"/>
  <c r="H15" i="1"/>
  <c r="G15" i="1" a="1"/>
  <c r="G15" i="1" s="1"/>
  <c r="F15" i="1"/>
  <c r="E15" i="1"/>
  <c r="D15" i="1"/>
  <c r="C15" i="1"/>
  <c r="B15" i="1"/>
  <c r="I14" i="1" a="1"/>
  <c r="I14" i="1"/>
  <c r="H14" i="1"/>
  <c r="G14" i="1" a="1"/>
  <c r="G14" i="1" s="1"/>
  <c r="F14" i="1"/>
  <c r="E14" i="1"/>
  <c r="D14" i="1"/>
  <c r="C14" i="1"/>
  <c r="B14" i="1"/>
  <c r="I13" i="1" a="1"/>
  <c r="I13" i="1" s="1"/>
  <c r="H13" i="1"/>
  <c r="G13" i="1" a="1"/>
  <c r="G13" i="1" s="1"/>
  <c r="F13" i="1"/>
  <c r="E13" i="1"/>
  <c r="D13" i="1"/>
  <c r="C13" i="1"/>
  <c r="B13" i="1"/>
  <c r="I12" i="1" a="1"/>
  <c r="I12" i="1" s="1"/>
  <c r="H12" i="1"/>
  <c r="G12" i="1" a="1"/>
  <c r="G12" i="1" s="1"/>
  <c r="F12" i="1"/>
  <c r="E12" i="1"/>
  <c r="D12" i="1"/>
  <c r="C12" i="1"/>
  <c r="B12" i="1"/>
  <c r="I11" i="1" a="1"/>
  <c r="I11" i="1" s="1"/>
  <c r="H11" i="1"/>
  <c r="G11" i="1" a="1"/>
  <c r="G11" i="1" s="1"/>
  <c r="F11" i="1"/>
  <c r="E11" i="1"/>
  <c r="D11" i="1"/>
  <c r="C11" i="1"/>
  <c r="B11" i="1"/>
  <c r="I10" i="1" a="1"/>
  <c r="I10" i="1" s="1"/>
  <c r="H10" i="1"/>
  <c r="G10" i="1" a="1"/>
  <c r="G10" i="1" s="1"/>
  <c r="F10" i="1"/>
  <c r="E10" i="1"/>
  <c r="D10" i="1"/>
  <c r="C10" i="1"/>
  <c r="B10" i="1"/>
  <c r="I9" i="1" a="1"/>
  <c r="I9" i="1" s="1"/>
  <c r="H9" i="1"/>
  <c r="G9" i="1" a="1"/>
  <c r="G9" i="1" s="1"/>
  <c r="F9" i="1"/>
  <c r="E9" i="1"/>
  <c r="D9" i="1"/>
  <c r="C9" i="1"/>
  <c r="B9" i="1"/>
  <c r="I8" i="1" a="1"/>
  <c r="I8" i="1" s="1"/>
  <c r="H8" i="1"/>
  <c r="G8" i="1" a="1"/>
  <c r="G8" i="1" s="1"/>
  <c r="F8" i="1"/>
  <c r="E8" i="1"/>
  <c r="D8" i="1"/>
  <c r="C8" i="1"/>
  <c r="B8" i="1"/>
  <c r="I7" i="1" a="1"/>
  <c r="I7" i="1" s="1"/>
  <c r="H7" i="1"/>
  <c r="G7" i="1" a="1"/>
  <c r="G7" i="1" s="1"/>
  <c r="F7" i="1"/>
  <c r="E7" i="1"/>
  <c r="D7" i="1"/>
  <c r="C7" i="1"/>
  <c r="B7" i="1"/>
  <c r="I6" i="1" a="1"/>
  <c r="I6" i="1" s="1"/>
  <c r="H6" i="1"/>
  <c r="G6" i="1" a="1"/>
  <c r="G6" i="1" s="1"/>
  <c r="F6" i="1"/>
  <c r="E6" i="1"/>
  <c r="D6" i="1"/>
  <c r="C6" i="1"/>
  <c r="B6" i="1"/>
  <c r="I5" i="1" a="1"/>
  <c r="I5" i="1" s="1"/>
  <c r="H5" i="1"/>
  <c r="G5" i="1" a="1"/>
  <c r="G5" i="1" s="1"/>
  <c r="F5" i="1"/>
  <c r="E5" i="1"/>
  <c r="D5" i="1"/>
  <c r="C5" i="1"/>
  <c r="B5" i="1"/>
  <c r="I4" i="1" a="1"/>
  <c r="I4" i="1" s="1"/>
  <c r="H4" i="1"/>
  <c r="G4" i="1" a="1"/>
  <c r="G4" i="1" s="1"/>
  <c r="F4" i="1"/>
  <c r="E4" i="1"/>
  <c r="D4" i="1"/>
  <c r="C4" i="1"/>
  <c r="B4" i="1"/>
  <c r="I3" i="1" a="1"/>
  <c r="I3" i="1" s="1"/>
  <c r="H3" i="1"/>
  <c r="G3" i="1" a="1"/>
  <c r="G3" i="1" s="1"/>
  <c r="F3" i="1"/>
  <c r="E3" i="1"/>
  <c r="D3" i="1"/>
  <c r="C3" i="1"/>
  <c r="B3" i="1"/>
  <c r="I2" i="1" a="1"/>
  <c r="I2" i="1" s="1"/>
  <c r="H2" i="1"/>
  <c r="G2" i="1" a="1"/>
  <c r="G2" i="1" s="1"/>
  <c r="F2" i="1"/>
  <c r="E2" i="1"/>
  <c r="D2" i="1"/>
  <c r="C2" i="1"/>
  <c r="B2" i="1"/>
  <c r="G876" i="1" l="1" a="1"/>
  <c r="G876" i="1" s="1"/>
  <c r="G868" i="1" a="1"/>
  <c r="G868" i="1" s="1"/>
  <c r="G860" i="1" a="1"/>
  <c r="G860" i="1" s="1"/>
  <c r="G879" i="1" a="1"/>
  <c r="G879" i="1" s="1"/>
  <c r="G882" i="1" a="1"/>
  <c r="G882" i="1" s="1"/>
  <c r="G874" i="1" a="1"/>
  <c r="G874" i="1" s="1"/>
  <c r="G877" i="1" a="1"/>
  <c r="G877" i="1" s="1"/>
  <c r="G869" i="1" a="1"/>
  <c r="G869" i="1" s="1"/>
  <c r="G861" i="1" a="1"/>
  <c r="G861" i="1" s="1"/>
  <c r="G853" i="1" a="1"/>
  <c r="G853" i="1" s="1"/>
  <c r="G880" i="1" a="1"/>
  <c r="G880" i="1" s="1"/>
  <c r="G872" i="1" a="1"/>
  <c r="G872" i="1" s="1"/>
  <c r="G883" i="1" a="1"/>
  <c r="G883" i="1" s="1"/>
  <c r="G875" i="1" a="1"/>
  <c r="G875" i="1" s="1"/>
  <c r="G878" i="1" a="1"/>
  <c r="G878" i="1" s="1"/>
  <c r="G870" i="1" a="1"/>
  <c r="G870" i="1" s="1"/>
  <c r="G862" i="1" a="1"/>
  <c r="G862" i="1" s="1"/>
  <c r="G881" i="1" a="1"/>
  <c r="G881" i="1" s="1"/>
</calcChain>
</file>

<file path=xl/sharedStrings.xml><?xml version="1.0" encoding="utf-8"?>
<sst xmlns="http://schemas.openxmlformats.org/spreadsheetml/2006/main" count="6690" uniqueCount="2472">
  <si>
    <t>Date</t>
  </si>
  <si>
    <t>Year</t>
  </si>
  <si>
    <t>Month</t>
  </si>
  <si>
    <t>Weekday</t>
  </si>
  <si>
    <t>AEP</t>
  </si>
  <si>
    <t>MA_OEP / GEP</t>
  </si>
  <si>
    <t>SEP_Notes</t>
  </si>
  <si>
    <t>Has_Event</t>
  </si>
  <si>
    <t>Event_Detail</t>
  </si>
  <si>
    <t>Event_Type</t>
  </si>
  <si>
    <t>Affects</t>
  </si>
  <si>
    <t>Date_Type</t>
  </si>
  <si>
    <t>Description</t>
  </si>
  <si>
    <t>Source</t>
  </si>
  <si>
    <t>States</t>
  </si>
  <si>
    <t>Value_Mechanism</t>
  </si>
  <si>
    <t>Legislation</t>
  </si>
  <si>
    <t>Part D</t>
  </si>
  <si>
    <t>Effective</t>
  </si>
  <si>
    <t>IRA phase-in: 5% coinsurance in Part D catastrophic phase eliminated; full Low-Income Subsidy (Extra Help) expanded to 150% FPL</t>
  </si>
  <si>
    <t>https://www.cms.gov/newsroom/fact-sheets/2024-medicare-advantage-and-part-d-final-rule-cms-4201-f</t>
  </si>
  <si>
    <t>National</t>
  </si>
  <si>
    <t>Benefit/Cost Value</t>
  </si>
  <si>
    <t>State Regulation</t>
  </si>
  <si>
    <t>MS</t>
  </si>
  <si>
    <t>Kentucky Medigap birthday rule takes effect (2023 HB 345, Ch. 182; KRS 304.14-525): enrollees may switch to another insurer's same-letter policy within 60 days after their birthday, no medical underwriting; law also added under-65 open enrollment protections</t>
  </si>
  <si>
    <t>https://insurance.ky.gov/ppc/Documents/2024.01.24%20Medicare%20Supplement%20Enrollment%20Changes.pdf</t>
  </si>
  <si>
    <t>KY</t>
  </si>
  <si>
    <t>Switching Window</t>
  </si>
  <si>
    <t>CMS Rule</t>
  </si>
  <si>
    <t>MA / Part D</t>
  </si>
  <si>
    <t>Announced</t>
  </si>
  <si>
    <t>CY2025 Advance Notice released: proposed +3.70% avg payment; year 2 of 3-year phase-in of 2024 CMS-HCC (V28) risk model at 67/33 blend; comments due 3/1/2024</t>
  </si>
  <si>
    <t>https://www.cms.gov/newsroom/fact-sheets/2025-medicare-advantage-part-d-advance-notice-fact-sheet</t>
  </si>
  <si>
    <t>Forward Signal</t>
  </si>
  <si>
    <t>Rate Announcement</t>
  </si>
  <si>
    <t>CY2025 Rate Announcement: final MA capitation rates (+3.70% avg) and Part C/D payment policies</t>
  </si>
  <si>
    <t xml:space="preserve">https://www.cms.gov/newsroom/fact-sheets/2026-medicare-advantage-part-d-rate-announcement </t>
  </si>
  <si>
    <t>MA / Part D / D-SNP / MS / C-SNP</t>
  </si>
  <si>
    <t>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t>
  </si>
  <si>
    <t>https://www.cms.gov/newsroom/fact-sheets/contract-year-2025-medicare-advantage-part-d-final-rule-cms-4205-f ; https://www.federalregister.gov/documents/2024/04/23/2024-07105/medicare-program-changes-to-the-medicare-advantage-and-the-medicare-prescription-drug-benefit</t>
  </si>
  <si>
    <t>Plan Rules/Structure</t>
  </si>
  <si>
    <t>Litigation</t>
  </si>
  <si>
    <t>MA</t>
  </si>
  <si>
    <t>D.D.C. rules for SCAN Health Plan: CMS's 2024 Star Ratings methodology (guardrail/Tukey sequencing) violated the APA; SCAN's rating ordered recalculated; Elevance won a parallel case ~6/11</t>
  </si>
  <si>
    <t>https://www.scanhealthplan.com/about-scan/press-release-archive/scan-health-plan-prevails-in-2024-star-ratings-lawsuit-against-cms</t>
  </si>
  <si>
    <t>Quality Ratings</t>
  </si>
  <si>
    <t>MA / MS</t>
  </si>
  <si>
    <t>N.D. Tex. (Judge O'Connor) stays the CY2025 rule's broker fixed-compensation cap and FMO contract-term restrictions before AEP 2025 - these provisions of the 4/4/2024 final rule never took effect; broker steering incentives persisted (relative MA-vs-Medigap commission economics unchanged)</t>
  </si>
  <si>
    <t>https://www.fiercehealthcare.com/payers/court-stops-cms-broker-compensation-rule-medicare-advantage-plans</t>
  </si>
  <si>
    <t>Distribution/Commission</t>
  </si>
  <si>
    <t>Following SCAN/Elevance rulings, CMS recalculates 2024 Star Ratings industry-wide: 60+ plans across 40 insurers upgraded, ~$1.4B in additional quality bonus payments (date approximate - recalc rolled out late June/early July)</t>
  </si>
  <si>
    <t>https://www.beckerspayer.com/payer/unitedhealthcare-beats-cms-in-medicare-advantage-star-ratings/</t>
  </si>
  <si>
    <t>CMS publishes negotiated maximum fair prices (MFPs) for the first 10 Part D drugs (effective 1/1/2026)</t>
  </si>
  <si>
    <t>https://www.cms.gov/files/document/10522-inflation-reduction-act-timeline.pdf</t>
  </si>
  <si>
    <t>Enrollment Milestone</t>
  </si>
  <si>
    <t>Deadline</t>
  </si>
  <si>
    <t>https://www.cms.gov/medicare/health-drug-plans/managed-care-marketing/models-standard-documents-educational-materials</t>
  </si>
  <si>
    <t>Shopping Cycle</t>
  </si>
  <si>
    <t>CY2025 plan marketing begins; plan landscape/benefit info for 2025 released ahead of AEP; NOTE: the stayed fixed-compensation provisions did NOT apply - per CMS 7/18/2024 memo, pre-rule compensation regs governed AEP 2024; the $100/$50 administrative add-ons were removed from the CY2025 FMV amounts, leaving only the routine annual FMV update (~+2.3%), and administrative payments remained outside the compensation cap</t>
  </si>
  <si>
    <t>https://www.cms.gov/newsroom/fact-sheets/contract-year-2025-medicare-advantage-part-d-final-rule-cms-4205-f</t>
  </si>
  <si>
    <t>Plan Landscape Release</t>
  </si>
  <si>
    <t>MA / Part D / MS</t>
  </si>
  <si>
    <t>2025 Star Ratings published on Medicare Plan Finder: sharp industry decline - only 7 MA-PD contracts earned 5 stars (vs 38 for 2024); avg rating fell to ~3.92; drives 2026 quality bonus payments</t>
  </si>
  <si>
    <t>https://www.cms.gov/newsroom/fact-sheets/2025-medicare-advantage-part-d-star-ratings</t>
  </si>
  <si>
    <t>All</t>
  </si>
  <si>
    <t>CY2025 Part B premium set: standard $185.00/mo (+$10.30) and deductible $257; baseline cost every enrolle pays regardless of plan type (affects cost math for MA vs Medigap shoppers during AEP)</t>
  </si>
  <si>
    <t>https://www.federalregister.gov/documents/2024/11/14/2024-26474/medicare-program-medicare-part-b-monthly-actuarial-rates-premium-rates-and-annual-deductible</t>
  </si>
  <si>
    <t>E.D. Tex. orders CMS to recalculate UnitedHealthcare's 2025 Star Ratings over one disputed test call and immediately republish in Medicare Plan Finder - a mid-AEP ratings change for the largest MA carrier, 15 days before the enrollment deadline</t>
  </si>
  <si>
    <t>https://www.fiercehealthcare.com/payers/unitedhealthcare-wins-star-ratings-lawsuit-requiring-cms-recalculate-results</t>
  </si>
  <si>
    <t>MA / Part D / D-SNP</t>
  </si>
  <si>
    <t>CY2026 Proposed Rule (CMS-4208-P): proposed anti-obesity med coverage in Part D, AI guardrails, prior-auth/UM limits (published in Federal Register 12/10/2024; comments due 1/27/2025; several proposals later NOT finalized)</t>
  </si>
  <si>
    <t>https://www.cms.gov/newsroom/fact-sheets/contract-year-2026-policy-and-technical-changes-medicare-advantage-program-medicare-prescription ; https://www.federalregister.gov/documents/2024/12/10/2024-27939/medicare-and-medicaid-programs-contract-year-2026-policy-and-technical-changes-to-the-medicare</t>
  </si>
  <si>
    <t>D-SNP / MA / Part D / C-SNP</t>
  </si>
  <si>
    <t>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t>
  </si>
  <si>
    <t>https://www.federalregister.gov/documents/2024/04/23/2024-07105/medicare-program-changes-to-the-medicare-advantage-and-the-medicare-prescription-drug-benefit</t>
  </si>
  <si>
    <t>D-SNP / C-SNP</t>
  </si>
  <si>
    <t>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t>
  </si>
  <si>
    <t>Part D / MA / D-SNP / MS / C-SNP</t>
  </si>
  <si>
    <t>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t>
  </si>
  <si>
    <t>https://www.cms.gov/newsroom/fact-sheets/2025-medicare-advantage-part-d-advance-notice-fact-sheet ; https://www.cms.gov/newsroom/fact-sheets/contract-year-2025-medicare-advantage-part-d-final-rule-cms-4205-f</t>
  </si>
  <si>
    <t>CY2026 Advance Notice released: proposed +4.33% avg payment (~$21B); final year of V28 risk model phase-in; comments due 2/10/2025</t>
  </si>
  <si>
    <t>https://www.cms.gov/newsroom/fact-sheets/2026-medicare-advantage-part-d-advance-notice-fact-sheet</t>
  </si>
  <si>
    <t>CMS announces 15 additional Part D drugs selected for negotiation round 2 (effective 1/1/2027)</t>
  </si>
  <si>
    <t>MA / Part D / D-SNP / C-SNP</t>
  </si>
  <si>
    <t>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t>
  </si>
  <si>
    <t>https://www.cms.gov/newsroom/fact-sheets/contract-year-2026-policy-and-technical-changes-medicare-advantage-program-medicare-prescription-final ; https://www.federalregister.gov/documents/2025/04/15/2025-06008/medicare-and-medicaid-programs-contract-year-2026-policy-and-technical-changes-to-the-medicare</t>
  </si>
  <si>
    <t>MA / Part D / C-SNP</t>
  </si>
  <si>
    <t>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t>
  </si>
  <si>
    <t>https://www.cms.gov/newsroom/fact-sheets/2026-medicare-advantage-part-d-rate-announcement</t>
  </si>
  <si>
    <t>Utah Medigap birthday rule takes effect (HB 258, enacted 3/26/2025): 60-day window from birthday to switch to an equal-or-lesser plan with the current insurer only, no underwriting</t>
  </si>
  <si>
    <t>https://legiscan.com/UT/bill/HB0258/2025</t>
  </si>
  <si>
    <t>UT</t>
  </si>
  <si>
    <t>Wyoming Medigap birthday rule takes effect - adopted as a Wyoming Department of Insurance rule (proposed late 2024, public comment through 2/19/2025, signed by Governor), not a statute: 63-day post-birthday window, same-or-lesser benefits, carrier switching allowed, no underwriting</t>
  </si>
  <si>
    <t>https://states.aarp.org/wyoming/what-is-the-birthday-rule-and-why-can-it-help-wyomings-medigap-policyholders</t>
  </si>
  <si>
    <t>WY</t>
  </si>
  <si>
    <t>Virginia Medigap birthday rule takes effect (SB 1199 / HB 2100, enacted 3/24/2025): 60-day open enrollment from birthday to switch to any Medigap policy with the same benefits from any insurer, no underwriting; insurers must send advance written notice of the window</t>
  </si>
  <si>
    <t>https://www.scc.virginia.gov/consumers/insurance/health-insurance-consumer/tips,-guides-publications/medigap-birthday-rule/</t>
  </si>
  <si>
    <t>VA</t>
  </si>
  <si>
    <t>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t>
  </si>
  <si>
    <t>https://ohic.ri.gov/sites/g/files/xkgbur736/files/2025-09/OHIC%20Bulletin%202025-05%20Medicare%20Supplement.pdf</t>
  </si>
  <si>
    <t>RI</t>
  </si>
  <si>
    <t>D-SNP / MS / MA / C-SNP</t>
  </si>
  <si>
    <t>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t>
  </si>
  <si>
    <t>https://www.kff.org/medicaid/the-impact-of-h-r-1-on-two-medicaid-eligibility-rules/</t>
  </si>
  <si>
    <t>N.D. Tex. vacates the CY2025 rule's fixed-fee and FMO contract-terms provisions outright (upholds the beneficiary data-consent restriction) - broker-compensation reform dead, not just paused, heading into AEP 2026 (ruling week of 8/18/2025)</t>
  </si>
  <si>
    <t>https://www.risehealth.org/insights-articles/regulatory-roundup-judge-vacates-cms-regulation-to-limit-ma-broker-agent-pay-caps-elevance-health-loses-star-ratings-case-and-more/</t>
  </si>
  <si>
    <t>https://www.federalregister.gov/documents/2025/09/19/2025-18236/medicare-and-medicaid-programs-contract-year-2026-policy-and-technical-changes-to-the-medicare</t>
  </si>
  <si>
    <t>CY2026 plan marketing begins; plans notify enrollees of 2026 changes; 2026 landscape released ahead of AEP</t>
  </si>
  <si>
    <t>https://www.cms.gov/files/document/2026-ma-part-d-landscape-state-state-fact-sheet.pdf</t>
  </si>
  <si>
    <t>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</si>
  <si>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https://www.cms.gov/files/document/2026-star-ratings-fact-sheet.pdf ; https://www.healthscape.com/insights/early-look-2026-medicare-advantage-stars-ratings-stabilize-without-meaningful-improvement</t>
  </si>
  <si>
    <t>AEP opens with California's new Medi-Medi (exclusively aligned D-SNP) plans available for enrollment statewide for 1/1/2026 coverage start || C-SNP: CA's closure of non-aligned D-SNP enrollment creates steering pressure toward C-SNPs for duals not in aligned plans (largest state market).</t>
  </si>
  <si>
    <t>https://www.dhcs.ca.gov/providers-partners/dual-eligible-special-needs-plans-in-california/</t>
  </si>
  <si>
    <t>CA</t>
  </si>
  <si>
    <t>First Rhode Island annual Medigap guaranteed-issue window opens with the AEP (RIGL 27-18.2-3(h); OHIC Bulletin 2025-05, effective 9/26/2025): continuous-coverage enrollees may switch to any Medigap plan, and MA enrollees gain a guaranteed off-ramp to Medigap, without underwriting</t>
  </si>
  <si>
    <t>CY2026 Part B premium set: standard premium $202.90/mo, up 9.7% ($17.90) from $185, deductible $283 (+$26); press release 11/14/2025, FR notice 11/19/2025. Mid AEP, second largest dollar jump on record.</t>
  </si>
  <si>
    <t>https://www.federalregister.gov/documents/2025/11/19/2025-20251/medicare-program-medicare-part-b-monthly-actuarial-rates-premium-rates-and-annual-deductible</t>
  </si>
  <si>
    <t>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t>
  </si>
  <si>
    <t>https://www.cms.gov/files/document/2027-advance-notice.pdf (p.1 cites FR publication 11/28/2025) ; https://medicareadvocacy.org/cms-caves-to-medicare-advantage-industry/ ; https://www.federalregister.gov/documents/2025/11/28/2025-21456/medicare-program-contract-year-2027-policy-and-technical-changes-to-the-medicare-advantage-program</t>
  </si>
  <si>
    <t>CMS publishes MFPs for the 15 rounds-2 drugs (statutory deadline; effective 1/1/2027)</t>
  </si>
  <si>
    <t>Part D / MA / D-SNP / C-SNP</t>
  </si>
  <si>
    <t>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t>
  </si>
  <si>
    <t>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</si>
  <si>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t>
  </si>
  <si>
    <t>Indiana Medigap birthday rule takes effect (HB 1226, enacted April 2025): window from ~1 month before to ~1 month after birthday to switch to any insurer's version of the current same-letter policy, no underwriting</t>
  </si>
  <si>
    <t>https://legiscan.com/IN/bill/HB1226/2025</t>
  </si>
  <si>
    <t>IN</t>
  </si>
  <si>
    <t>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t>
  </si>
  <si>
    <t>https://www.legis.delaware.gov/BillDetail/141935</t>
  </si>
  <si>
    <t>DE</t>
  </si>
  <si>
    <t>Illinois birthday-rule expansion takes effect (SB 56 / P.A. 103-0747, enacted 8/2/2024): during the 45-day post-birthday window (ages 65-75), enrollees may purchase an equal-or-lesser Medigap policy from the same issuer OR any authorized affiliate - previously same-issuer only</t>
  </si>
  <si>
    <t>https://www.ilga.gov/documents/legislation/103/SB/PDF/10300SB0056.pdf</t>
  </si>
  <si>
    <t>IL</t>
  </si>
  <si>
    <t>Rhode Island Medigap community rating mandate takes effect (SB 610): issuers may no longer use gender, attained-age, or issue-age as rating factors - restructures Medigap premium schedules statewide</t>
  </si>
  <si>
    <t>https://legiscan.com/RI/text/S0610/id/3156115/Rhode_Island-2025-S0610-Introduced.pdf</t>
  </si>
  <si>
    <t>CY2027 Advance Notice released: proposed only +0.09% base update (~$700M) - far below prior years; proposed excluding unlinked chart-review and audio-only diagnoses from risk scores; comments due 2/25/2026</t>
  </si>
  <si>
    <t>https://www.cms.gov/files/document/2027-advance-notice.pdf ; https://www.mcdermottplus.com/blog/regs-eggs/cms-issues-cy-2027-medicare-advantage-and-part-d-rate-notice/</t>
  </si>
  <si>
    <t>CMS announces 15 round-3 drugs (first round eligible to include Part B drugs; effective 2028)</t>
  </si>
  <si>
    <t>https://legiscan.com/NM/bill/SB21/2026</t>
  </si>
  <si>
    <t>NM</t>
  </si>
  <si>
    <t>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t>
  </si>
  <si>
    <t>https://www.cms.gov/newsroom/fact-sheets/contract-year-2027-medicare-advantage-part-d-final-rule ; https://www.federalregister.gov/documents/2026/04/06/2026-06600/medicare-program-contract-year-2027-and-certain-contract-year-2026-policy-and-technical-changes-to</t>
  </si>
  <si>
    <t>CY2027 Rate Announcement: finalized +2.48% avg payment (~$13B, sharply up from proposed 0.09% after industry lobbying); kept 2024 (V28) risk model instead of proposed update; finalized exclusion of unlinked chart-review diagnoses from risk scores</t>
  </si>
  <si>
    <t>https://www.cms.gov/files/document/2027-announcement.pdf ; https://www.aha.org/news/headline/2026-04-06-cms-finalizes-medicare-advantage-rates-cy-2027</t>
  </si>
  <si>
    <t>Clover v. HHS: federal court in Georgia finds CMS improperly used two groups of 10 measures in calculating Clover's 2026 Star Rating - the ruling that triggered CMS's June 2026 industry-wide recalculation (recalc itself is post-window)</t>
  </si>
  <si>
    <t>https://www.healthcarefinancenews.com/news/scan-alignment-sue-cms-over-medicare-advantage-star-ratings</t>
  </si>
  <si>
    <t>Disaster_Num</t>
  </si>
  <si>
    <t>State</t>
  </si>
  <si>
    <t>Decl_Type</t>
  </si>
  <si>
    <t>Incident_Type</t>
  </si>
  <si>
    <t>Title</t>
  </si>
  <si>
    <t>Incident_Begin</t>
  </si>
  <si>
    <t>Incident_End</t>
  </si>
  <si>
    <t>Declaration_Date</t>
  </si>
  <si>
    <t>IA_Declared</t>
  </si>
  <si>
    <t>Designated_Areas</t>
  </si>
  <si>
    <t>SEP_Start</t>
  </si>
  <si>
    <t>SEP_End</t>
  </si>
  <si>
    <t>WA</t>
  </si>
  <si>
    <t>DR</t>
  </si>
  <si>
    <t>Severe Storm</t>
  </si>
  <si>
    <t>SEVERE WINTER STORMS, STRAIGHT-LINE WINDS, FLOODING, LANDSLIDES, AND MUDSLIDES</t>
  </si>
  <si>
    <t>FALSE</t>
  </si>
  <si>
    <t>KS</t>
  </si>
  <si>
    <t>Winter Storm</t>
  </si>
  <si>
    <t>SEVERE WINTER STORM</t>
  </si>
  <si>
    <t>ME</t>
  </si>
  <si>
    <t>SEVERE STORMS AND FLOODING</t>
  </si>
  <si>
    <t>VT</t>
  </si>
  <si>
    <t>NH</t>
  </si>
  <si>
    <t>CT</t>
  </si>
  <si>
    <t>EM</t>
  </si>
  <si>
    <t>SEVERE STORMS, FLOODING, AND A POTENTIAL DAM BREACH</t>
  </si>
  <si>
    <t>OR</t>
  </si>
  <si>
    <t>SEVERE WINTER STORMS, STRAIGHT-LINE WINDS, LANDSLIDES, AND MUDSLIDES</t>
  </si>
  <si>
    <t>Flood</t>
  </si>
  <si>
    <t>SEVERE STORM AND FLOODING</t>
  </si>
  <si>
    <t>SEVERE WINTER STORMS, TORNADOES, FLOODING, LANDSLIDES, AND MUDSLIDES</t>
  </si>
  <si>
    <t>TX</t>
  </si>
  <si>
    <t>FM</t>
  </si>
  <si>
    <t>Fire</t>
  </si>
  <si>
    <t>WINDY DEUCE FIRE</t>
  </si>
  <si>
    <t>SMOKEHOUSE CREEK FIRE</t>
  </si>
  <si>
    <t>OK</t>
  </si>
  <si>
    <t>CATESBY FIRE</t>
  </si>
  <si>
    <t>HAPPY JACK FIRE</t>
  </si>
  <si>
    <t>OH</t>
  </si>
  <si>
    <t>Tornado</t>
  </si>
  <si>
    <t>TORNADOES</t>
  </si>
  <si>
    <t>SEVERE STORMS</t>
  </si>
  <si>
    <t>SEVERE STORMS, STRAIGHT-LINE WINDS, TORNADOES, LANDSLIDES, AND MUDSLIDES</t>
  </si>
  <si>
    <t>WV</t>
  </si>
  <si>
    <t>SEVERE STORMS, STRAIGHT-LINE WINDS, TORNADOES, FLOODING, LANDSLIDES, AND MUDSLIDES</t>
  </si>
  <si>
    <t>SEVERE WINTER STORM AND FLOODING</t>
  </si>
  <si>
    <t>NE</t>
  </si>
  <si>
    <t>SEVERE WINTER STORM AND STRAIGHT-LINE WINDS</t>
  </si>
  <si>
    <t>57 FIRE</t>
  </si>
  <si>
    <t>SEVERE STORMS, STRAIGHT-LINE WINDS, TORNADOES, AND FLOODING</t>
  </si>
  <si>
    <t>SEVERE STORMS, FLOODING, LANDSLIDES, AND MUDSLIDES</t>
  </si>
  <si>
    <t>HI</t>
  </si>
  <si>
    <t>SEVERE STORMS, FLOODING, AND LANDSLIDES</t>
  </si>
  <si>
    <t>ID</t>
  </si>
  <si>
    <t>SEVERE STORM, FLOODING, LANDSLIDES, AND MUDSLIDES</t>
  </si>
  <si>
    <t>SEVERE STORMS, STRAIGHT-LINE WINDS, AND TORNADOES</t>
  </si>
  <si>
    <t>IA</t>
  </si>
  <si>
    <t>SEVERE STORMS AND TORNADOES</t>
  </si>
  <si>
    <t>PR</t>
  </si>
  <si>
    <t>MT</t>
  </si>
  <si>
    <t>TN</t>
  </si>
  <si>
    <t>SEVERE STORMS, TORNADOES, AND FLOODING</t>
  </si>
  <si>
    <t>FL</t>
  </si>
  <si>
    <t xml:space="preserve">BLUE 2 FIRE </t>
  </si>
  <si>
    <t>MO</t>
  </si>
  <si>
    <t>SEVERE STORM, STRAIGHT-LINE WINDS, TORNADOES, AND FLOODING</t>
  </si>
  <si>
    <t>AR</t>
  </si>
  <si>
    <t>AZ</t>
  </si>
  <si>
    <t>SIMMONS FIRE</t>
  </si>
  <si>
    <t>NV</t>
  </si>
  <si>
    <t>TRAIL FIRE</t>
  </si>
  <si>
    <t>SULLIVAN FIRE</t>
  </si>
  <si>
    <t>ROSE FIRE</t>
  </si>
  <si>
    <t>SEVERE STORMS, FLOODING, STRAIGHT-LINE WINDS, AND TORNADOES</t>
  </si>
  <si>
    <t>MN</t>
  </si>
  <si>
    <t>SD</t>
  </si>
  <si>
    <t>SEVERE STORMS, STRAIGHT-LINE WINDS, AND FLOODING</t>
  </si>
  <si>
    <t>SOUTH FORK FIRE, SALT FIRE, AND FLOODING</t>
  </si>
  <si>
    <t>SOUTH FORK FIRE</t>
  </si>
  <si>
    <t>SALT FIRE</t>
  </si>
  <si>
    <t>WILDFIRES</t>
  </si>
  <si>
    <t>SLIDE RANCH FIRE</t>
  </si>
  <si>
    <t>DARLENE 3 FIRE</t>
  </si>
  <si>
    <t>BOULDER VIEW FIRE</t>
  </si>
  <si>
    <t>THOMPSON FIRE</t>
  </si>
  <si>
    <t>FRENCH FIRE</t>
  </si>
  <si>
    <t>Hurricane</t>
  </si>
  <si>
    <t xml:space="preserve">HURRICANE BERYL </t>
  </si>
  <si>
    <t>SILVER KING FIRE</t>
  </si>
  <si>
    <t>SHAKE FIRE</t>
  </si>
  <si>
    <t>HORSE GULCH FIRE</t>
  </si>
  <si>
    <t>NY</t>
  </si>
  <si>
    <t>SEVERE STORM, TORNADOES, AND FLOODING</t>
  </si>
  <si>
    <t>WATCH FIRE</t>
  </si>
  <si>
    <t>LARCH CREEK FIRE</t>
  </si>
  <si>
    <t>SEVERE STORMS, TORNADOES, STRAIGHT-LINE WINDS, AND FLOODNG</t>
  </si>
  <si>
    <t>SEVERE STORM, STRAIGHT-LINE WINDS, AND FLOODING</t>
  </si>
  <si>
    <t>TEXAS FIRE</t>
  </si>
  <si>
    <t>SPRING VALLEY FIRE</t>
  </si>
  <si>
    <t>LONE ROCK FIRE</t>
  </si>
  <si>
    <t xml:space="preserve">SWAWILLA FIRE </t>
  </si>
  <si>
    <t>FALLS FIRE</t>
  </si>
  <si>
    <t>BONEYARD FIRE</t>
  </si>
  <si>
    <t>BATTLE MOUNTAIN FIRE COMPLEX</t>
  </si>
  <si>
    <t>HAWARDEN FIRE</t>
  </si>
  <si>
    <t>DURKEE FIRE</t>
  </si>
  <si>
    <t>WEST WHITE SWAN FIRE</t>
  </si>
  <si>
    <t>Straight-Line Winds</t>
  </si>
  <si>
    <t>STRAIGHT-LINE WINDS</t>
  </si>
  <si>
    <t>PARK FIRE</t>
  </si>
  <si>
    <t>GWEN FIRE</t>
  </si>
  <si>
    <t>RETREAT FIRE</t>
  </si>
  <si>
    <t>BOREL FIRE</t>
  </si>
  <si>
    <t>PLEASANT VALLEY FIRE</t>
  </si>
  <si>
    <t>CO</t>
  </si>
  <si>
    <t>STONE MOUNTAIN FIRE</t>
  </si>
  <si>
    <t>ALEXANDER MOUNTAIN FIRE</t>
  </si>
  <si>
    <t>Tropical Storm</t>
  </si>
  <si>
    <t>TROPICAL STORM DEBBY</t>
  </si>
  <si>
    <t>HURRICANE DEBBY</t>
  </si>
  <si>
    <t>QUARRY FIRE</t>
  </si>
  <si>
    <t>MILE MARKER 132 FIRE</t>
  </si>
  <si>
    <t>SC</t>
  </si>
  <si>
    <t>GA</t>
  </si>
  <si>
    <t>ELK LANE FIRE</t>
  </si>
  <si>
    <t>NC</t>
  </si>
  <si>
    <t>AK</t>
  </si>
  <si>
    <t>FLOODING</t>
  </si>
  <si>
    <t>SEVERE STORM AND STRAIGHT-LINE WINDS</t>
  </si>
  <si>
    <t>TROPICAL DEPRESSION DEBBY</t>
  </si>
  <si>
    <t>REMNANTS OF TROPICAL STORM DEBBY</t>
  </si>
  <si>
    <t>LEE FALLS FIRE</t>
  </si>
  <si>
    <t>PA</t>
  </si>
  <si>
    <t>GOLD RANCH FIRE</t>
  </si>
  <si>
    <t>TROPICAL STORM ERNESTO</t>
  </si>
  <si>
    <t>VI</t>
  </si>
  <si>
    <t xml:space="preserve">TROPICAL STORM ERNESTO </t>
  </si>
  <si>
    <t>HOUSE DRAW FIRE</t>
  </si>
  <si>
    <t>Mud/Landslide</t>
  </si>
  <si>
    <t>LANDSLIDES</t>
  </si>
  <si>
    <t>COPPERFIELD FIRE</t>
  </si>
  <si>
    <t>RAIL RIDGE FIRE</t>
  </si>
  <si>
    <t>DAVIS FIRE</t>
  </si>
  <si>
    <t>LINE FIRE</t>
  </si>
  <si>
    <t>BOYLES FIRE</t>
  </si>
  <si>
    <t>LA</t>
  </si>
  <si>
    <t>HURRICANE FRANCINE</t>
  </si>
  <si>
    <t>TROPICAL STORM FRANCINE</t>
  </si>
  <si>
    <t>BRIDGE FIRE</t>
  </si>
  <si>
    <t>AIRPORT FIRE</t>
  </si>
  <si>
    <t>POTENTIAL TROPICAL CYCLONE EIGHT</t>
  </si>
  <si>
    <t>AL</t>
  </si>
  <si>
    <t>HURRICANE HELENE</t>
  </si>
  <si>
    <t>TROPICAL STORM HELENE</t>
  </si>
  <si>
    <t>POST-TROPICAL CYCLONE HELENE</t>
  </si>
  <si>
    <t>POST-TROPICAL STORM HELENE</t>
  </si>
  <si>
    <t>REMNANTS OF HURRICANE HELENE</t>
  </si>
  <si>
    <t>ELK FIRE</t>
  </si>
  <si>
    <t>HURRICANE MILTON</t>
  </si>
  <si>
    <t xml:space="preserve">HURRICANE MILTON </t>
  </si>
  <si>
    <t>ND</t>
  </si>
  <si>
    <t>WILDFIRES AND STRAIGHT-LINE WINDS</t>
  </si>
  <si>
    <t>BEAR DEN FIRE</t>
  </si>
  <si>
    <t>ELK HORN FIRE</t>
  </si>
  <si>
    <t xml:space="preserve">SEVERE STORM AND FLOODING </t>
  </si>
  <si>
    <t xml:space="preserve">HAWTHORNE FIRE </t>
  </si>
  <si>
    <t>EUCHEE CREEK FIRE</t>
  </si>
  <si>
    <t>NORTH ROAD FIRE</t>
  </si>
  <si>
    <t>SEVERE STORMS, TORNADOES, STRAIGHT-LINE WINDS, AND FLOODING</t>
  </si>
  <si>
    <t>MOUNTAIN FIRE</t>
  </si>
  <si>
    <t>JENNINGS CREEK FIRE</t>
  </si>
  <si>
    <t>CALLAHAN FIRE</t>
  </si>
  <si>
    <t>FRANKLIN FIRE</t>
  </si>
  <si>
    <t>PALISADES FIRE</t>
  </si>
  <si>
    <t>EATON FIRE</t>
  </si>
  <si>
    <t>HURST FIRE</t>
  </si>
  <si>
    <t>SEVERE WINTER STORMS AND FLOODING</t>
  </si>
  <si>
    <t>SEVERE STORMS, STRAIGHT-LINE WINDS, FLOODING, AND LANDSLIDES</t>
  </si>
  <si>
    <t>SEVERE STORMS, STRAIGHT-LINE WINDS, FLOODING, LANDSLIDES, AND MUDSLIDES</t>
  </si>
  <si>
    <t>SEVERE STORM, STRAIGHT-LINE WINDS, FLOODING, LANDSLIDES, AND MUDSLIDES</t>
  </si>
  <si>
    <t>COVINGTON DRIVE FIRE</t>
  </si>
  <si>
    <t>WELDER FIRE</t>
  </si>
  <si>
    <t>DUKE FIRE</t>
  </si>
  <si>
    <t>SEVERE STORMS, STRAIGHT-LINE WINDS, TORNADOES, AND WILDFIRES</t>
  </si>
  <si>
    <t>SEVERE WINTER STORM, STRAIGHT-LINE WINDS, FLOODING, AND WILDFIRES</t>
  </si>
  <si>
    <t>REST AREA FIRE</t>
  </si>
  <si>
    <t>YATES CENTER FIRE</t>
  </si>
  <si>
    <t>840 ROAD FIRE</t>
  </si>
  <si>
    <t>STILLWATER FIRE</t>
  </si>
  <si>
    <t>CHANDLER FIRE</t>
  </si>
  <si>
    <t>LITTLE SALT CREEK FIRE</t>
  </si>
  <si>
    <t>LOGAN FIRE</t>
  </si>
  <si>
    <t>LUTHER FIRE</t>
  </si>
  <si>
    <t>EAST THUNDERBIRD FIRE</t>
  </si>
  <si>
    <t>WILDHORSE FIRE</t>
  </si>
  <si>
    <t>CLEAR POND FIRE</t>
  </si>
  <si>
    <t>UNDERWOOD FIRE</t>
  </si>
  <si>
    <t>KEYSTONE FIRE</t>
  </si>
  <si>
    <t>BARN FIRE</t>
  </si>
  <si>
    <t>NORGE FIRE</t>
  </si>
  <si>
    <t>CRABAPPLE FIRE</t>
  </si>
  <si>
    <t>DOUBLE S FIRE</t>
  </si>
  <si>
    <t>328 FIRE</t>
  </si>
  <si>
    <t>PAULINE ROAD FIRE</t>
  </si>
  <si>
    <t>BLACK COVE FIRE COMPLEX</t>
  </si>
  <si>
    <t xml:space="preserve">TABLE ROCK FIRE </t>
  </si>
  <si>
    <t>TABLE ROCK FIRE COMPLEX</t>
  </si>
  <si>
    <t xml:space="preserve">ALARKA FIRE </t>
  </si>
  <si>
    <t>TABLE ROCK FIRE</t>
  </si>
  <si>
    <t>MI</t>
  </si>
  <si>
    <t>Severe Ice Storm</t>
  </si>
  <si>
    <t>RIO GRANDE FIRE</t>
  </si>
  <si>
    <t>SAM DAVIS ROAD FIRE</t>
  </si>
  <si>
    <t>NJ</t>
  </si>
  <si>
    <t>JONES ROAD FIRE</t>
  </si>
  <si>
    <t xml:space="preserve">SUNSET DRIVE FIRE </t>
  </si>
  <si>
    <t>MUNGER SHAW FIRE</t>
  </si>
  <si>
    <t>GREER FIRE</t>
  </si>
  <si>
    <t>CODY FIRE</t>
  </si>
  <si>
    <t>MARIE FIRE</t>
  </si>
  <si>
    <t xml:space="preserve">ROWENA FIRE </t>
  </si>
  <si>
    <t>TROUT FIRE</t>
  </si>
  <si>
    <t>ALDER SPRINGS FIRE</t>
  </si>
  <si>
    <t xml:space="preserve">UPPER APPLEGATE ROAD FIRE </t>
  </si>
  <si>
    <t>FORSYTH FIRE</t>
  </si>
  <si>
    <t>SEVERE STORM, TORNADOES, AND STRAIGHT-LINE WINDS</t>
  </si>
  <si>
    <t>CONNER FIRE</t>
  </si>
  <si>
    <t>SEVERE STORMS AND STRAIGHT-LINE WINDS</t>
  </si>
  <si>
    <t>DESERT WILLOW FIRE COMPLEX</t>
  </si>
  <si>
    <t xml:space="preserve">HIMALAYA ROAD FIRE </t>
  </si>
  <si>
    <t>COTTON 2 FIRE</t>
  </si>
  <si>
    <t xml:space="preserve">BEAR CREEK FIRE </t>
  </si>
  <si>
    <t>NENANA RIDGE COMPLEX</t>
  </si>
  <si>
    <t>Tropical Depression</t>
  </si>
  <si>
    <t>TROPICAL DEPRESSION CHANTAL</t>
  </si>
  <si>
    <t>DEER CREEK FIRE</t>
  </si>
  <si>
    <t>HIGHLAND FIRE</t>
  </si>
  <si>
    <t>MONROE CANYON FIRE</t>
  </si>
  <si>
    <t>BURDOIN FIRE</t>
  </si>
  <si>
    <t>PEAVINE FIRE</t>
  </si>
  <si>
    <t>LEE FIRE</t>
  </si>
  <si>
    <t>CANYON FIRE</t>
  </si>
  <si>
    <t>WI</t>
  </si>
  <si>
    <t>SEVERE STORMS, STRAIGHT-LINE WINDS, FLOODING, AND MUDSLIDES</t>
  </si>
  <si>
    <t>OAK FIRE</t>
  </si>
  <si>
    <t>SUNSET FIRE</t>
  </si>
  <si>
    <t>RED CANYON FIRE</t>
  </si>
  <si>
    <t>KUNIA ROAD FIRE</t>
  </si>
  <si>
    <t xml:space="preserve"> FLAT FIRE </t>
  </si>
  <si>
    <t>WINDY ROCK FIRE</t>
  </si>
  <si>
    <t>2-7 FIRE</t>
  </si>
  <si>
    <t>HOLOMUA FIRE</t>
  </si>
  <si>
    <t>LOWER SUGARLOAF FIRE</t>
  </si>
  <si>
    <t>SEVERE STORMS, FLOODING, AND REMNANTS OF TYPHOON HALONG</t>
  </si>
  <si>
    <t>SEVERE STORM</t>
  </si>
  <si>
    <t>SUNNY FIRE</t>
  </si>
  <si>
    <t>DC</t>
  </si>
  <si>
    <t>Other</t>
  </si>
  <si>
    <t xml:space="preserve">SEWER LINE COLLAPSE </t>
  </si>
  <si>
    <t>MD</t>
  </si>
  <si>
    <t xml:space="preserve">SEVERE WINTER STORM </t>
  </si>
  <si>
    <t>STEVENS FIRE</t>
  </si>
  <si>
    <t>RANGER ROAD FIRE</t>
  </si>
  <si>
    <t>43 FIRE</t>
  </si>
  <si>
    <t>8 BALL FIRE</t>
  </si>
  <si>
    <t>HOSPITAL ROAD FIRE</t>
  </si>
  <si>
    <t>RATTLESNAKE FIRE</t>
  </si>
  <si>
    <t>SEVERE WINTER STORM AND SNOWSTORM</t>
  </si>
  <si>
    <t>QURY FIRE</t>
  </si>
  <si>
    <t>MORRILL-COTTONWOOD FIRE</t>
  </si>
  <si>
    <t>1170 ROAD FIRE</t>
  </si>
  <si>
    <t>CORNER POCKET FIRE</t>
  </si>
  <si>
    <t>BUCK HORN FIRE</t>
  </si>
  <si>
    <t>DIBBLE CREEK FIRE</t>
  </si>
  <si>
    <t>JUMPING JUNIPER FIRE</t>
  </si>
  <si>
    <t>GU</t>
  </si>
  <si>
    <t>TYPHOON SINLAKU</t>
  </si>
  <si>
    <t>MP</t>
  </si>
  <si>
    <t>SUPER TYPHOON SINLAKU</t>
  </si>
  <si>
    <t>Typhoon</t>
  </si>
  <si>
    <t>PINELAND ROAD FIRE</t>
  </si>
  <si>
    <t>RAILROAD COMPLEX FIRE</t>
  </si>
  <si>
    <t>HIGHWAY 82 FIRE</t>
  </si>
  <si>
    <t>COW CREEK FIRE</t>
  </si>
  <si>
    <t>HUNGGATE FIRE</t>
  </si>
  <si>
    <t>STINKY FIRE</t>
  </si>
  <si>
    <t>SANDY FIRE</t>
  </si>
  <si>
    <t>BAIN FIRE</t>
  </si>
  <si>
    <t>Chemical</t>
  </si>
  <si>
    <t>CHEMICAL RELEASE</t>
  </si>
  <si>
    <t>Doc_Number</t>
  </si>
  <si>
    <t>Type</t>
  </si>
  <si>
    <t>Pub_Date</t>
  </si>
  <si>
    <t>Effective_Date</t>
  </si>
  <si>
    <t>Match</t>
  </si>
  <si>
    <t>Matched_Keywords</t>
  </si>
  <si>
    <t>Abstract</t>
  </si>
  <si>
    <t>URL</t>
  </si>
  <si>
    <t>Full_Text_Scanned</t>
  </si>
  <si>
    <t>Priority</t>
  </si>
  <si>
    <t>Trim_Note</t>
  </si>
  <si>
    <t>2023-28831</t>
  </si>
  <si>
    <t>Notice</t>
  </si>
  <si>
    <t>Medicare and Medicaid Programs; Application from the Community Health Accreditation Program (CHAP) for Continued Approval of Its Home Health Agency Accreditation Program</t>
  </si>
  <si>
    <t>This notice announces our decision to approve the Community Health Accreditation Program (CHAP) for continued recognition as a national accrediting organization for home health agencies (HHAs) that wish to participate in the Medicare or Medicaid programs.</t>
  </si>
  <si>
    <t>https://www.federalregister.gov/documents/2024/01/02/2023-28831/medicare-and-medicaid-programs-application-from-the-community-health-accreditation-program-chap-for</t>
  </si>
  <si>
    <t>Y</t>
  </si>
  <si>
    <t>2024-00205</t>
  </si>
  <si>
    <t>Medicaid and Children's Health Insurance Program (CHIP) Generic Information Collection Activities: Proposed Collection; Comment Request</t>
  </si>
  <si>
    <t>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</si>
  <si>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https://www.federalregister.gov/documents/2024/01/09/2024-00205/medicaid-and-childrens-health-insurance-program-chip-generic-information-collection-activities</t>
  </si>
  <si>
    <t>2024-00270</t>
  </si>
  <si>
    <t>Agency Information Collection Activities: Proposed Collection;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</si>
  <si>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</si>
  <si>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https://www.federalregister.gov/documents/2024/01/10/2024-00270/agency-information-collection-activities-proposed-collection-comment-request</t>
  </si>
  <si>
    <t>2024-00474</t>
  </si>
  <si>
    <t>part d(4); medicare advantage(1)</t>
  </si>
  <si>
    <t>Agency Information Collection Activities: Submission for OMB Review;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</si>
  <si>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</si>
  <si>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https://www.federalregister.gov/documents/2024/01/11/2024-00474/agency-information-collection-activities-submission-for-omb-review-comment-request</t>
  </si>
  <si>
    <t>SKIP</t>
  </si>
  <si>
    <t>PRA paperwork notice</t>
  </si>
  <si>
    <t>2024-00657</t>
  </si>
  <si>
    <t>dual eligible(3)</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</si>
  <si>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</si>
  <si>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https://www.federalregister.gov/documents/2024/01/16/2024-00657/agency-information-collection-activities-submission-for-omb-review-comment-request</t>
  </si>
  <si>
    <t>2024-00897</t>
  </si>
  <si>
    <t>ma organization(6); part c(1)</t>
  </si>
  <si>
    <t>https://www.federalregister.gov/documents/2024/01/18/2024-00897/agency-information-collection-activities-submission-for-omb-review-comment-request</t>
  </si>
  <si>
    <t>2024-01072</t>
  </si>
  <si>
    <t>Proposed Rule</t>
  </si>
  <si>
    <t>Federal Independent Dispute Resolution Operations; Reopening of Comment Period</t>
  </si>
  <si>
    <t>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</si>
  <si>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https://www.federalregister.gov/documents/2024/01/22/2024-01072/federal-independent-dispute-resolution-operations-reopening-of-comment-period</t>
  </si>
  <si>
    <t>2024-01383</t>
  </si>
  <si>
    <t>medicare advantage(2)</t>
  </si>
  <si>
    <t>https://www.federalregister.gov/documents/2024/01/25/2024-01383/agency-information-collection-activities-submission-for-omb-review-comment-request</t>
  </si>
  <si>
    <t>2024-01582</t>
  </si>
  <si>
    <t>part d(8); medicare advantage(4); part c(2)</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</si>
  <si>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</si>
  <si>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https://www.federalregister.gov/documents/2024/01/26/2024-01582/agency-information-collection-activities-proposed-collection-comment-request</t>
  </si>
  <si>
    <t>2024-01723</t>
  </si>
  <si>
    <t>part d(10)</t>
  </si>
  <si>
    <t>https://www.federalregister.gov/documents/2024/01/29/2024-01723/agency-information-collection-activities-proposed-collection-comment-request</t>
  </si>
  <si>
    <t>2024-01785</t>
  </si>
  <si>
    <t>medicare advantage(2); part d(1)</t>
  </si>
  <si>
    <t>Medicare and Medicaid Programs; Quarterly Listing of Program Issuances-October Through December 2023</t>
  </si>
  <si>
    <t>This quarterly notice lists CMS manual instructions, substantive and interpretive regulations, and other Federal Register notices that were published in the 3-month period, relating to the Medicare and Medicaid programs and other programs administered by CMS.</t>
  </si>
  <si>
    <t>https://www.federalregister.gov/documents/2024/01/30/2024-01785/medicare-and-medicaid-programs-quarterly-listing-of-program-issuances-october-through-december-2023</t>
  </si>
  <si>
    <t>catalog of issuances</t>
  </si>
  <si>
    <t>2024-00895</t>
  </si>
  <si>
    <t>Rule</t>
  </si>
  <si>
    <t>ma organization(237); part d(26); medicare advantage(15); d-snp(11); part c(9); special needs plan(4); dual eligible(2)</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</si>
  <si>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</si>
  <si>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</si>
  <si>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https://www.federalregister.gov/documents/2024/02/08/2024-00895/medicare-and-medicaid-programs-patient-protection-and-affordable-care-act-advancing-interoperability</t>
  </si>
  <si>
    <t>HIGH</t>
  </si>
  <si>
    <t>core MA/Part D policy doc (strong kw=269)</t>
  </si>
  <si>
    <t>2024-01094</t>
  </si>
  <si>
    <t>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</si>
  <si>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</si>
  <si>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https://www.federalregister.gov/documents/2024/01/31/2024-01094/medicare-program-calendar-year-cy-2024-home-health-hh-prospective-payment-system-rate-update-hh</t>
  </si>
  <si>
    <t>2024-01831</t>
  </si>
  <si>
    <t>https://www.federalregister.gov/documents/2024/01/31/2024-01831/agency-information-collection-activities-proposed-collection-comment-request</t>
  </si>
  <si>
    <t>2024-01942</t>
  </si>
  <si>
    <t>Clinical Laboratory Improvement Amendments of 1988 (CLIA) Fees; Histocompatibility, Personnel, and Alternative Sanctions for Certificate of Waiver Laboratories; Correction</t>
  </si>
  <si>
    <t>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</si>
  <si>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https://www.federalregister.gov/documents/2024/02/01/2024-01942/clinical-laboratory-improvement-amendments-of-1988-clia-fees-histocompatibility-personnel-and</t>
  </si>
  <si>
    <t>2024-02095</t>
  </si>
  <si>
    <t>part d(5); part c(1)</t>
  </si>
  <si>
    <t>https://www.federalregister.gov/documents/2024/02/02/2024-02095/agency-information-collection-activities-proposed-collection-comment-request</t>
  </si>
  <si>
    <t>2024-02243</t>
  </si>
  <si>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</si>
  <si>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https://www.federalregister.gov/documents/2024/02/05/2024-02243/agency-information-collection-activities-proposed-collection-comment-request</t>
  </si>
  <si>
    <t>2024-02306</t>
  </si>
  <si>
    <t>ma organization(2)</t>
  </si>
  <si>
    <t>https://www.federalregister.gov/documents/2024/02/06/2024-02306/agency-information-collection-activities-submission-for-omb-review-comment-request</t>
  </si>
  <si>
    <t>2024-02342</t>
  </si>
  <si>
    <t>Medicare and Medicaid Programs; Application by DNV Healthcare USA Inc. (DNV) for Continued CMS Approval of Its Psychiatric Hospital Accreditation Program</t>
  </si>
  <si>
    <t>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</si>
  <si>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https://www.federalregister.gov/documents/2024/02/06/2024-02342/medicare-and-medicaid-programs-application-by-dnv-healthcare-usa-inc-dnv-for-continued-cms-approval</t>
  </si>
  <si>
    <t>2024-02444</t>
  </si>
  <si>
    <t>medicare advantage(2); part d(2)</t>
  </si>
  <si>
    <t>https://www.federalregister.gov/documents/2024/02/07/2024-02444/agency-information-collection-activities-proposed-collection-comment-request</t>
  </si>
  <si>
    <t>2024-02445</t>
  </si>
  <si>
    <t>https://www.federalregister.gov/documents/2024/02/07/2024-02445/agency-information-collection-activities-submission-for-omb-review-comment-request</t>
  </si>
  <si>
    <t>2024-07105</t>
  </si>
  <si>
    <t>part d(1594); d-snp(1275); ma organization(1179); c-snp(230); part c(202); medicare advantage(128); special needs plan(76); dual eligible(62); medigap(10); medicare supplement(2)</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</si>
  <si>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</si>
  <si>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</si>
  <si>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core MA/Part D policy doc (strong kw=2962)</t>
  </si>
  <si>
    <t>2024-02631</t>
  </si>
  <si>
    <t>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</si>
  <si>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</si>
  <si>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https://www.federalregister.gov/documents/2024/02/09/2024-02631/medicare-program-hospital-outpatient-prospective-payment-and-ambulatory-surgical-center-payment</t>
  </si>
  <si>
    <t>2024-02662</t>
  </si>
  <si>
    <t>https://www.federalregister.gov/documents/2024/02/09/2024-02662/agency-information-collection-activities-proposed-collection-comment-request</t>
  </si>
  <si>
    <t>2024-02705</t>
  </si>
  <si>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</si>
  <si>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</si>
  <si>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https://www.federalregister.gov/documents/2024/02/12/2024-02705/medicare-and-medicaid-programs-cy-2024-payment-policies-under-the-physician-fee-schedule-and-other</t>
  </si>
  <si>
    <t>provider payment rule (MA mentions incidental)</t>
  </si>
  <si>
    <t>2024-02137</t>
  </si>
  <si>
    <t>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</si>
  <si>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</si>
  <si>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https://www.federalregister.gov/documents/2024/02/15/2024-02137/medicare-program-strengthening-oversight-of-accrediting-organizations-aos-and-preventing-ao-conflict</t>
  </si>
  <si>
    <t>2024-03294</t>
  </si>
  <si>
    <t>https://www.federalregister.gov/documents/2024/02/16/2024-03294/agency-information-collection-activities-proposed-collection-comment-request</t>
  </si>
  <si>
    <t>2024-03344</t>
  </si>
  <si>
    <t>medicare advantage(3); part c(3)</t>
  </si>
  <si>
    <t>https://www.federalregister.gov/documents/2024/02/20/2024-03344/agency-information-collection-activities-submission-for-omb-review-comment-request</t>
  </si>
  <si>
    <t>2024-03348</t>
  </si>
  <si>
    <t>https://www.federalregister.gov/documents/2024/02/20/2024-03348/agency-information-collection-activities-proposed-collection-comment-request</t>
  </si>
  <si>
    <t>2024-03363</t>
  </si>
  <si>
    <t>https://www.federalregister.gov/documents/2024/02/20/2024-03363/agency-information-collection-activities-submission-for-omb-review-comment-request</t>
  </si>
  <si>
    <t>2024-03476</t>
  </si>
  <si>
    <t>https://www.federalregister.gov/documents/2024/02/21/2024-03476/agency-information-collection-activities-submission-for-omb-review-comment-request</t>
  </si>
  <si>
    <t>2024-03542</t>
  </si>
  <si>
    <t>dual eligible(1)</t>
  </si>
  <si>
    <t>Medicaid Program; Disproportionate Share Hospital Third-Party Payer Rule</t>
  </si>
  <si>
    <t>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</si>
  <si>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https://www.federalregister.gov/documents/2024/02/23/2024-03542/medicaid-program-disproportionate-share-hospital-third-party-payer-rule</t>
  </si>
  <si>
    <t>2024-03675</t>
  </si>
  <si>
    <t>https://www.federalregister.gov/documents/2024/02/23/2024-03675/agency-information-collection-activities-submission-for-omb-review-comment-request</t>
  </si>
  <si>
    <t>2024-03676</t>
  </si>
  <si>
    <t>https://www.federalregister.gov/documents/2024/02/23/2024-03676/agency-information-collection-activities-proposed-collection-comment-request</t>
  </si>
  <si>
    <t>2024-03821</t>
  </si>
  <si>
    <t>Medicare and Medicaid Programs; Application From the Joint Commission for Continued CMS-Approval of Its Ambulatory Surgical Center Accreditation Program</t>
  </si>
  <si>
    <t>This notice acknowledges the receipt of an application from the Joint Commission for continued recognition as a national accrediting organization for Ambulatory Surgical Centers that wish to participate in the Medicare or Medicaid programs.</t>
  </si>
  <si>
    <t>https://www.federalregister.gov/documents/2024/02/26/2024-03821/medicare-and-medicaid-programs-application-from-the-joint-commission-for-continued-cms-approval-of</t>
  </si>
  <si>
    <t>2024-03866</t>
  </si>
  <si>
    <t>https://www.federalregister.gov/documents/2024/02/26/2024-03866/agency-information-collection-activities-submission-for-omb-review-comment-request</t>
  </si>
  <si>
    <t>2024-04151</t>
  </si>
  <si>
    <t>https://www.federalregister.gov/documents/2024/02/29/2024-04151/agency-information-collection-activities-proposed-collection-comment-request</t>
  </si>
  <si>
    <t>2024-04302</t>
  </si>
  <si>
    <t>part d(4); medicare advantage(2); part c(2); ma organization(1)</t>
  </si>
  <si>
    <t>https://www.federalregister.gov/documents/2024/02/29/2024-04302/agency-information-collection-activities-proposed-collection-comment-request</t>
  </si>
  <si>
    <t>2024-04341</t>
  </si>
  <si>
    <t>part d(5)</t>
  </si>
  <si>
    <t>https://www.federalregister.gov/documents/2024/03/01/2024-04341/agency-information-collection-activities-submission-for-omb-review-comment-request</t>
  </si>
  <si>
    <t>2024-04517</t>
  </si>
  <si>
    <t>part c(2)</t>
  </si>
  <si>
    <t>National Plan and Provider Enumeration System (NPPES) Data Changes</t>
  </si>
  <si>
    <t>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</si>
  <si>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https://www.federalregister.gov/documents/2024/03/04/2024-04517/national-plan-and-provider-enumeration-system-nppes-data-changes</t>
  </si>
  <si>
    <t>admin systems notice</t>
  </si>
  <si>
    <t>2024-04590</t>
  </si>
  <si>
    <t>https://www.federalregister.gov/documents/2024/03/05/2024-04590/clinical-laboratory-improvement-amendments-of-1988-clia-fees-histocompatibility-personnel-and</t>
  </si>
  <si>
    <t>2024-04591</t>
  </si>
  <si>
    <t>https://www.federalregister.gov/documents/2024/03/05/2024-04591/agency-information-collection-activities-submission-for-omb-review-comment-request</t>
  </si>
  <si>
    <t>2024-04674</t>
  </si>
  <si>
    <t>Medicare Program; Announcement of the Re-Approval of COLA Under the Clinical Laboratory Improvement Amendments of 1988</t>
  </si>
  <si>
    <t>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</si>
  <si>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https://www.federalregister.gov/documents/2024/03/06/2024-04674/medicare-program-announcement-of-the-re-approval-of-cola-under-the-clinical-laboratory-improvement</t>
  </si>
  <si>
    <t>2024-04878</t>
  </si>
  <si>
    <t>https://www.federalregister.gov/documents/2024/03/07/2024-04878/agency-information-collection-activities-proposed-collection-comment-request</t>
  </si>
  <si>
    <t>2024-05210</t>
  </si>
  <si>
    <t>Principles of Reasonable Cost Reimbursement; Payment for End-Stage Renal Disease Services; Prospectively Determined Payment Rates for Skilled Nursing Facilities; Payment for Acute Kidney Injury Dialysis</t>
  </si>
  <si>
    <t>https://www.federalregister.gov/documents/2024/03/11/2024-05210/principles-of-reasonable-cost-reimbursement-payment-for-end-stage-renal-disease-services</t>
  </si>
  <si>
    <t>2024-05291</t>
  </si>
  <si>
    <t>medicare advantage(3); part d(1)</t>
  </si>
  <si>
    <t>https://www.federalregister.gov/documents/2024/03/13/2024-05291/agency-information-collection-activities-proposed-collection-comment-request</t>
  </si>
  <si>
    <t>2024-05332</t>
  </si>
  <si>
    <t>https://www.federalregister.gov/documents/2024/03/13/2024-05332/agency-information-collection-activities-proposed-collection-comment-request</t>
  </si>
  <si>
    <t>2024-05622</t>
  </si>
  <si>
    <t>https://www.federalregister.gov/documents/2024/03/18/2024-05622/agency-information-collection-activities-submission-for-omb-review-comment-request</t>
  </si>
  <si>
    <t>2024-05710</t>
  </si>
  <si>
    <t>https://www.federalregister.gov/documents/2024/03/18/2024-05710/agency-information-collection-activities-proposed-collection-comment-request</t>
  </si>
  <si>
    <t>2024-05712</t>
  </si>
  <si>
    <t>ma organization(5); part d(2)</t>
  </si>
  <si>
    <t>https://www.federalregister.gov/documents/2024/03/18/2024-05712/agency-information-collection-activities-submission-for-omb-review-comment-request</t>
  </si>
  <si>
    <t>2024-05722</t>
  </si>
  <si>
    <t>https://www.federalregister.gov/documents/2024/03/18/2024-05722/medicaid-and-childrens-health-insurance-program-chip-generic-information-collection-activities</t>
  </si>
  <si>
    <t>2024-06144</t>
  </si>
  <si>
    <t>Medicare Program; Application by the Utilization Review Accreditation Commission (URAC) for Continued CMS Approval of Its Home Infusion Therapy (HIT) Accreditation Program</t>
  </si>
  <si>
    <t>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</si>
  <si>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https://www.federalregister.gov/documents/2024/03/22/2024-06144/medicare-program-application-by-the-utilization-review-accreditation-commission-urac-for-continued</t>
  </si>
  <si>
    <t>2024-06148</t>
  </si>
  <si>
    <t>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</si>
  <si>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</si>
  <si>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https://www.federalregister.gov/documents/2024/03/25/2024-06148/medicare-program-virtual-meeting-of-the-medicare-evidence-development-and-coverage-advisory</t>
  </si>
  <si>
    <t>2024-06239</t>
  </si>
  <si>
    <t>medicare advantage(2); ma organization(1)</t>
  </si>
  <si>
    <t>https://www.federalregister.gov/documents/2024/03/25/2024-06239/agency-information-collection-activities-proposed-collection-comment-request</t>
  </si>
  <si>
    <t>2024-06424</t>
  </si>
  <si>
    <t>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</si>
  <si>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</si>
  <si>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https://www.federalregister.gov/documents/2024/03/26/2024-06424/announcement-of-the-advisory-panel-on-outreach-and-education-apoe-in-person-meeting</t>
  </si>
  <si>
    <t>2024-06439</t>
  </si>
  <si>
    <t>https://www.federalregister.gov/documents/2024/03/27/2024-06439/agency-information-collection-activities-submission-for-omb-review-comment-request</t>
  </si>
  <si>
    <t>2024-06645</t>
  </si>
  <si>
    <t>https://www.federalregister.gov/documents/2024/03/28/2024-06645/agency-information-collection-activities-proposed-collection-comment-request</t>
  </si>
  <si>
    <t>2024-06647</t>
  </si>
  <si>
    <t>https://www.federalregister.gov/documents/2024/03/28/2024-06647/agency-information-collection-activities-submission-for-omb-review-comment-request</t>
  </si>
  <si>
    <t>2024-06550</t>
  </si>
  <si>
    <t>part c(2); medicare advantage(1)</t>
  </si>
  <si>
    <t>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</si>
  <si>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</si>
  <si>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https://www.federalregister.gov/documents/2024/03/29/2024-06550/medicare-program-inpatient-rehabilitation-facility-prospective-payment-system-for-federal-fiscal</t>
  </si>
  <si>
    <t>2024-06802</t>
  </si>
  <si>
    <t>Medicare, Medicaid, and CLIA Programs; Clinical Laboratory Improvement Amendments of 1988 Exemption of Laboratories Licensed by the State of Washington</t>
  </si>
  <si>
    <t>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</si>
  <si>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https://www.federalregister.gov/documents/2024/04/01/2024-06802/medicare-medicaid-and-clia-programs-clinical-laboratory-improvement-amendments-of-1988-exemption-of</t>
  </si>
  <si>
    <t>2024-27939</t>
  </si>
  <si>
    <t>part d(1832); ma organization(684); d-snp(147); medicare advantage(96); part c(84); medigap(54); special needs plan(17); dual eligible(13); medicare supplement(2); c-snp(1)</t>
  </si>
  <si>
    <t>Medicare and Medicaid Programs; Contract Year 2026 Policy and Technical Changes to the Medicare Advantage Program, Medicare Prescription Drug Benefit Program, Medicare Cost Plan Program, and Programs of All-Inclusive Care for the Elderly</t>
  </si>
  <si>
    <t>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</si>
  <si>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https://www.federalregister.gov/documents/2024/12/10/2024-27939/medicare-and-medicaid-programs-contract-year-2026-policy-and-technical-changes-to-the-medicare</t>
  </si>
  <si>
    <t>core MA/Part D policy doc (strong kw=1014)</t>
  </si>
  <si>
    <t>2024-06764</t>
  </si>
  <si>
    <t>part d(1)</t>
  </si>
  <si>
    <t>Medicare Program; FY 2025 Inpatient Psychiatric Facilities Prospective Payment System-Rate Update</t>
  </si>
  <si>
    <t>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</si>
  <si>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https://www.federalregister.gov/documents/2024/04/03/2024-06764/medicare-program-fy-2025-inpatient-psychiatric-facilities-prospective-payment-system-rate-update</t>
  </si>
  <si>
    <t>2024-06812</t>
  </si>
  <si>
    <t>dual eligible(13); part d(5); part c(2)</t>
  </si>
  <si>
    <t>Medicare Program; Prospective Payment System and Consolidated Billing for Skilled Nursing Facilities; Updates to the Quality Reporting Program and Value-Based Purchasing Program for Federal Fiscal Year 2025</t>
  </si>
  <si>
    <t>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</si>
  <si>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https://www.federalregister.gov/documents/2024/04/03/2024-06812/medicare-program-prospective-payment-system-and-consolidated-billing-for-skilled-nursing-facilities</t>
  </si>
  <si>
    <t>2024-06921</t>
  </si>
  <si>
    <t>medicare advantage(1)</t>
  </si>
  <si>
    <t>Medicare Program; FY 2025 Hospice Wage Index and Payment Rate Update, Hospice Conditions of Participation Updates, and Hospice Quality Reporting Program Requirements</t>
  </si>
  <si>
    <t>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</si>
  <si>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https://www.federalregister.gov/documents/2024/04/04/2024-06921/medicare-program-fy-2025-hospice-wage-index-and-payment-rate-update-hospice-conditions-of</t>
  </si>
  <si>
    <t>2024-07162</t>
  </si>
  <si>
    <t>https://www.federalregister.gov/documents/2024/04/04/2024-07162/agency-information-collection-activities-proposed-collection-comment-request</t>
  </si>
  <si>
    <t>2024-07202</t>
  </si>
  <si>
    <t>medicare advantage(2); part c(2); part d(2)</t>
  </si>
  <si>
    <t>https://www.federalregister.gov/documents/2024/04/05/2024-07202/agency-information-collection-activities-proposed-collection-comment-request</t>
  </si>
  <si>
    <t>2024-07393</t>
  </si>
  <si>
    <t>https://www.federalregister.gov/documents/2024/04/08/2024-07393/agency-information-collection-activities-submission-for-omb-review-comment-request</t>
  </si>
  <si>
    <t>2024-07415</t>
  </si>
  <si>
    <t>https://www.federalregister.gov/documents/2024/04/08/2024-07415/agency-information-collection-activities-submission-for-omb-review-comment-request</t>
  </si>
  <si>
    <t>2024-07429</t>
  </si>
  <si>
    <t>part d(7); medicare advantage(2); part c(1)</t>
  </si>
  <si>
    <t>https://www.federalregister.gov/documents/2024/04/08/2024-07429/agency-information-collection-activities-submission-for-omb-review-comment-request</t>
  </si>
  <si>
    <t>2024-07522</t>
  </si>
  <si>
    <t>Medicare Program; Prospective Payment System and Consolidated Billing for Skilled Nursing Facilities; Updates to the Quality Reporting Program and Value-Based Purchasing Program for Federal Fiscal Year 2024; Corrections</t>
  </si>
  <si>
    <t>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</si>
  <si>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https://www.federalregister.gov/documents/2024/04/10/2024-07522/medicare-program-prospective-payment-system-and-consolidated-billing-for-skilled-nursing-facilities</t>
  </si>
  <si>
    <t>2024-07790</t>
  </si>
  <si>
    <t>part d(7)</t>
  </si>
  <si>
    <t>https://www.federalregister.gov/documents/2024/04/12/2024-07790/agency-information-collection-activities-proposed-collection-comment-request</t>
  </si>
  <si>
    <t>2025-06008</t>
  </si>
  <si>
    <t>part d(1225); ma organization(418); d-snp(175); part c(69); medicare advantage(38); dual eligible(14); special needs plan(13); c-snp(7); medicare supplement(1)</t>
  </si>
  <si>
    <t>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</si>
  <si>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https://www.federalregister.gov/documents/2025/04/15/2025-06008/medicare-and-medicaid-programs-contract-year-2026-policy-and-technical-changes-to-the-medicare</t>
  </si>
  <si>
    <t>core MA/Part D policy doc (strong kw=666)</t>
  </si>
  <si>
    <t>2024-07884</t>
  </si>
  <si>
    <t>Medicare Program; Application by the Accreditation Commission for Health Care (ACHC) for Continued CMS Approval of Its Home Infusion Therapy (HIT) Accreditation Program</t>
  </si>
  <si>
    <t>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</si>
  <si>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https://www.federalregister.gov/documents/2024/04/15/2024-07884/medicare-program-application-by-the-accreditation-commission-for-health-care-achc-for-continued-cms</t>
  </si>
  <si>
    <t>2024-08005</t>
  </si>
  <si>
    <t>Public Meeting on June 25, 2024 Regarding New and Reconsidered Clinical Diagnostic Laboratory Test Codes for the Clinical Laboratory Fee Schedule for Calendar Year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</si>
  <si>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</si>
  <si>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https://www.federalregister.gov/documents/2024/04/16/2024-08005/public-meeting-on-june-25-2024-regarding-new-and-reconsidered-clinical-diagnostic-laboratory-test</t>
  </si>
  <si>
    <t>2024-08008</t>
  </si>
  <si>
    <t>Medicare Program; Meeting Announcement for the Medicare Advisory Panel on Clinical Diagnostic Laboratory Tests, July 25-26, 2024</t>
  </si>
  <si>
    <t>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</si>
  <si>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https://www.federalregister.gov/documents/2024/04/16/2024-08008/medicare-program-meeting-announcement-for-the-medicare-advisory-panel-on-clinical-diagnostic</t>
  </si>
  <si>
    <t>2024-08011</t>
  </si>
  <si>
    <t>https://www.federalregister.gov/documents/2024/04/16/2024-08011/agency-information-collection-activities-proposed-collection-comment-request</t>
  </si>
  <si>
    <t>2024-08164</t>
  </si>
  <si>
    <t>https://www.federalregister.gov/documents/2024/04/17/2024-08164/agency-information-collection-activities-submission-for-omb-review-comment-request</t>
  </si>
  <si>
    <t>2024-08223</t>
  </si>
  <si>
    <t>https://www.federalregister.gov/documents/2024/04/18/2024-08223/agency-information-collection-activities-proposed-collection-comment-request</t>
  </si>
  <si>
    <t>2024-08551</t>
  </si>
  <si>
    <t>Medicare Program Public Meeting for New Revisions to the Healthcare Common Procedure Coding System (HCPCS) Coding-May 28-30, 2024</t>
  </si>
  <si>
    <t>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</si>
  <si>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https://www.federalregister.gov/documents/2024/04/22/2024-08551/medicare-program-public-meeting-for-new-revisions-to-the-healthcare-common-procedure-coding-system</t>
  </si>
  <si>
    <t>2025-18236</t>
  </si>
  <si>
    <t>ma organization(92); medicare advantage(9); part d(2); part c(1)</t>
  </si>
  <si>
    <t>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</si>
  <si>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This final rule implements Medicare Advantage disclosure requirement changes.</t>
  </si>
  <si>
    <t>core MA/Part D policy doc (strong kw=101)</t>
  </si>
  <si>
    <t>2024-08658</t>
  </si>
  <si>
    <t>https://www.federalregister.gov/documents/2024/04/23/2024-08658/agency-information-collection-activities-submission-for-omb-review-comment-request</t>
  </si>
  <si>
    <t>2024-08809</t>
  </si>
  <si>
    <t>Announcement of the Re-Approval of AABB (Association for the Advancement of Blood and Biotherapies) as an Accreditation Organization Under the Clinical Laboratory Improvement Amendments of 1988</t>
  </si>
  <si>
    <t>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</si>
  <si>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https://www.federalregister.gov/documents/2024/04/25/2024-08809/announcement-of-the-re-approval-of-aabb-association-for-the-advancement-of-blood-and-biotherapies-as</t>
  </si>
  <si>
    <t>2024-08828</t>
  </si>
  <si>
    <t>https://www.federalregister.gov/documents/2024/04/25/2024-08828/agency-information-collection-activities-submission-for-omb-review-comment-request</t>
  </si>
  <si>
    <t>2024-08921</t>
  </si>
  <si>
    <t>https://www.federalregister.gov/documents/2024/04/26/2024-08921/agency-information-collection-activities-proposed-collection-comment-request</t>
  </si>
  <si>
    <t>2024-09040</t>
  </si>
  <si>
    <t>https://www.federalregister.gov/documents/2024/04/26/2024-09040/agency-information-collection-activities-proposed-collection-comment-request</t>
  </si>
  <si>
    <t>2024-09041</t>
  </si>
  <si>
    <t>https://www.federalregister.gov/documents/2024/04/26/2024-09041/agency-information-collection-activities-proposed-collection-comment-request</t>
  </si>
  <si>
    <t>2024-09044</t>
  </si>
  <si>
    <t>Medicare Program; Application by the National Association of Boards of Pharmacy (NABP) for Continued CMS Approval of its Home Infusion Therapy (HIT) Accreditation Program</t>
  </si>
  <si>
    <t>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</si>
  <si>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https://www.federalregister.gov/documents/2024/04/26/2024-09044/medicare-program-application-by-the-national-association-of-boards-of-pharmacy-nabp-for-continued</t>
  </si>
  <si>
    <t>2024-09165</t>
  </si>
  <si>
    <t>Medicare and Medicaid Programs; Quarterly Listing of Program Issuances-January through March 2024</t>
  </si>
  <si>
    <t>https://www.federalregister.gov/documents/2024/04/29/2024-09165/medicare-and-medicaid-programs-quarterly-listing-of-program-issuances-january-through-march-2024</t>
  </si>
  <si>
    <t>2024-09172</t>
  </si>
  <si>
    <t>Medicare Program; Application by The Compliance Team (TCT) for Continued CMS Approval of its Home Infusion Therapy (HIT) Accreditation Program</t>
  </si>
  <si>
    <t>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</si>
  <si>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https://www.federalregister.gov/documents/2024/04/29/2024-09172/medicare-program-application-by-the-compliance-team-tct-for-continued-cms-approval-of-its-home</t>
  </si>
  <si>
    <t>2024-09176</t>
  </si>
  <si>
    <t>Medicare Program; Application by the Community Health Accreditation Partner (CHAP) for Continued CMS Approval of Its Home Infusion Therapy (HIT) Accreditation Program</t>
  </si>
  <si>
    <t>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</si>
  <si>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https://www.federalregister.gov/documents/2024/04/30/2024-09176/medicare-program-application-by-the-community-health-accreditation-partner-chap-for-continued-cms</t>
  </si>
  <si>
    <t>2024-09314</t>
  </si>
  <si>
    <t>https://www.federalregister.gov/documents/2024/04/30/2024-09314/agency-information-collection-activities-submission-for-omb-review-comment-request</t>
  </si>
  <si>
    <t>2024-09426</t>
  </si>
  <si>
    <t>Medicare and Medicaid Programs: Application From the Joint Commission for Initial CMS-Approval of Its Rural Health Clinic (RHC) Accreditation Program</t>
  </si>
  <si>
    <t>This final notice announces our decision to approve The Joint Commission (TJC) for initial recognition as a national accrediting organization (AO) for rural health clinics (RHCs) that wish to participate in the Medicare or Medicaid programs.</t>
  </si>
  <si>
    <t>https://www.federalregister.gov/documents/2024/05/01/2024-09426/medicare-and-medicaid-programs-application-from-the-joint-commission-for-initial-cms-approval-of-its</t>
  </si>
  <si>
    <t>2024-07567</t>
  </si>
  <si>
    <t>medicare advantage(25); part d(16); dual eligible(4); part c(1)</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</si>
  <si>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</si>
  <si>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</si>
  <si>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https://www.federalregister.gov/documents/2024/05/02/2024-07567/medicare-and-medicaid-programs-and-the-childrens-health-insurance-program-hospital-inpatient</t>
  </si>
  <si>
    <t>2024-09699</t>
  </si>
  <si>
    <t>part d(3)</t>
  </si>
  <si>
    <t>https://www.federalregister.gov/documents/2024/05/03/2024-09699/agency-information-collection-activities-proposed-collection-comment-request</t>
  </si>
  <si>
    <t>2025-21456</t>
  </si>
  <si>
    <t>part d(1031); d-snp(307); ma organization(250); c-snp(118); medicare advantage(88); part c(74); dual eligible(27); special needs plan(21); medigap(4); medicare supplement(3)</t>
  </si>
  <si>
    <t>Medicare Program; Contract Year 2027 Policy and Technical Changes to the Medicare Advantage Program, Medicare Prescription Drug Benefit Program, and Medicare Cost Plan Program</t>
  </si>
  <si>
    <t>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</si>
  <si>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https://www.federalregister.gov/documents/2025/11/28/2025-21456/medicare-program-contract-year-2027-policy-and-technical-changes-to-the-medicare-advantage-program</t>
  </si>
  <si>
    <t>core MA/Part D policy doc (strong kw=818)</t>
  </si>
  <si>
    <t>2024-09745</t>
  </si>
  <si>
    <t>https://www.federalregister.gov/documents/2024/05/06/2024-09745/agency-information-collection-activities-proposed-collection-comment-request</t>
  </si>
  <si>
    <t>2024-09750</t>
  </si>
  <si>
    <t>Inflation Reduction Act (IRA) Medicare Drug Price Negotiation Program Draft Guidance; Comment Request</t>
  </si>
  <si>
    <t>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</si>
  <si>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https://www.federalregister.gov/documents/2024/05/06/2024-09750/inflation-reduction-act-ira-medicare-drug-price-negotiation-program-draft-guidance-comment-request</t>
  </si>
  <si>
    <t>2024-09812</t>
  </si>
  <si>
    <t>part d(9); medicare advantage(2)</t>
  </si>
  <si>
    <t>https://www.federalregister.gov/documents/2024/05/06/2024-09812/agency-information-collection-activities-proposed-collection-comment-request</t>
  </si>
  <si>
    <t>2026-06600</t>
  </si>
  <si>
    <t>part d(1204); d-snp(543); ma organization(435); medicare advantage(108); part c(104); c-snp(46); dual eligible(30); special needs plan(23); medicare supplement(2)</t>
  </si>
  <si>
    <t>Medicare Program; Contract Year 2027 and Certain Contract Year 2026 Policy and Technical Changes to the Medicare Advantage Program, Medicare Prescription Drug Benefit Program, and Medicare Cost Plan Program</t>
  </si>
  <si>
    <t>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</si>
  <si>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https://www.federalregister.gov/documents/2026/04/06/2026-06600/medicare-program-contract-year-2027-and-certain-contract-year-2026-policy-and-technical-changes-to</t>
  </si>
  <si>
    <t>core MA/Part D policy doc (strong kw=1187)</t>
  </si>
  <si>
    <t>2024-09998</t>
  </si>
  <si>
    <t>https://www.federalregister.gov/documents/2024/05/08/2024-09998/agency-information-collection-activities-submission-for-omb-review-comment-request</t>
  </si>
  <si>
    <t>2026-07205</t>
  </si>
  <si>
    <t>ma organization(199); part d(86); medicare advantage(19); part c(18); special needs plan(2); d-snp(2); dual eligible(2); medigap(2); medicare supplement(1)</t>
  </si>
  <si>
    <t>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</si>
  <si>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</si>
  <si>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https://www.federalregister.gov/documents/2026/04/14/2026-07205/medicare-and-medicaid-programs-patient-protection-and-affordable-care-act-interoperability-standards</t>
  </si>
  <si>
    <t>core MA/Part D policy doc (strong kw=227)</t>
  </si>
  <si>
    <t>2024-08273</t>
  </si>
  <si>
    <t>Medicare and Medicaid Programs; Minimum Staffing Standards for Long-Term Care Facilities and Medicaid Institutional Payment Transparency Reporting</t>
  </si>
  <si>
    <t>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</si>
  <si>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https://www.federalregister.gov/documents/2024/05/10/2024-08273/medicare-and-medicaid-programs-minimum-staffing-standards-for-long-term-care-facilities-and-medicaid</t>
  </si>
  <si>
    <t>2024-07274</t>
  </si>
  <si>
    <t>medicare advantage(33); part c(10); part d(7)</t>
  </si>
  <si>
    <t>Patient Protection and Affordable Care Act, HHS Notice of Benefit and Payment Parameters for 2025; Updating Section 1332 Waiver Public Notice Procedures; Medicaid; Consumer Operated and Oriented Plan (CO-OP) Program; and Basic Health Program</t>
  </si>
  <si>
    <t>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</si>
  <si>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https://www.federalregister.gov/documents/2024/04/15/2024-07274/patient-protection-and-affordable-care-act-hhs-notice-of-benefit-and-payment-parameters-for-2025</t>
  </si>
  <si>
    <t>MEDIUM</t>
  </si>
  <si>
    <t>skim - moderate MA/SNP relevance (strong kw=33)</t>
  </si>
  <si>
    <t>2024-10250</t>
  </si>
  <si>
    <t>Medicare and Medicaid Programs: Application From The Compliance Team (TCT) for Continued Approval of Its Rural Health Clinic (RHC) Accreditation Program</t>
  </si>
  <si>
    <t>This final notice announces our decision to approve The Compliance Team (TCT) for continued recognition as a national accrediting organization (AO) for Rural Health Clinics (RHCs) that wish to participate in the Medicare or Medicaid programs.</t>
  </si>
  <si>
    <t>https://www.federalregister.gov/documents/2024/05/10/2024-10250/medicare-and-medicaid-programs-application-from-the-compliance-team-tct-for-continued-approval-of</t>
  </si>
  <si>
    <t>2024-10255</t>
  </si>
  <si>
    <t>https://www.federalregister.gov/documents/2024/05/10/2024-10255/agency-information-collection-activities-submission-for-omb-review-comment-request</t>
  </si>
  <si>
    <t>2024-10256</t>
  </si>
  <si>
    <t>https://www.federalregister.gov/documents/2024/05/10/2024-10256/agency-information-collection-activities-proposed-collection-comment-request</t>
  </si>
  <si>
    <t>2024-10356</t>
  </si>
  <si>
    <t>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</si>
  <si>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This document announces the updated Healthcare Common Procedure Coding System (HCPCS) codes on the Master List. It also announces updates to the HCPCS codes on the Required Face-to-Face and Written Order Prior to Delivery List and the Required Prior Authorization List.</t>
  </si>
  <si>
    <t>https://www.federalregister.gov/documents/2024/05/13/2024-10356/medicare-program-updates-to-the-master-list-of-items-potentially-subject-to-face-to-face-encounter</t>
  </si>
  <si>
    <t>2024-10541</t>
  </si>
  <si>
    <t>https://www.federalregister.gov/documents/2024/05/14/2024-10541/agency-information-collection-activities-submission-for-omb-review-comment-request</t>
  </si>
  <si>
    <t>2024-10545</t>
  </si>
  <si>
    <t>https://www.federalregister.gov/documents/2024/05/14/2024-10545/agency-information-collection-activities-proposed-collection-comment-request</t>
  </si>
  <si>
    <t>2024-10771</t>
  </si>
  <si>
    <t>https://www.federalregister.gov/documents/2024/05/16/2024-10771/agency-information-collection-activities-proposed-collection-comment-request</t>
  </si>
  <si>
    <t>2024-10784</t>
  </si>
  <si>
    <t>https://www.federalregister.gov/documents/2024/05/16/2024-10784/agency-information-collection-activities-submission-for-omb-review-comment-request</t>
  </si>
  <si>
    <t>2024-09989</t>
  </si>
  <si>
    <t>part d(70); medicare advantage(1); dual eligible(1); medigap(1)</t>
  </si>
  <si>
    <t>Medicare Program; Alternative Payment Model Updates and the Increasing Organ Transplant Access (IOTA) Model</t>
  </si>
  <si>
    <t>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</si>
  <si>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https://www.federalregister.gov/documents/2024/05/17/2024-09989/medicare-program-alternative-payment-model-updates-and-the-increasing-organ-transplant-access-iota</t>
  </si>
  <si>
    <t>2024-10900</t>
  </si>
  <si>
    <t>https://www.federalregister.gov/documents/2024/05/17/2024-10900/agency-information-collection-activities-proposed-collection-comment-request</t>
  </si>
  <si>
    <t>2024-11041</t>
  </si>
  <si>
    <t>https://www.federalregister.gov/documents/2024/05/21/2024-11041/agency-information-collection-activities-proposed-collection-comment-request</t>
  </si>
  <si>
    <t>2024-11131</t>
  </si>
  <si>
    <t>https://www.federalregister.gov/documents/2024/05/21/2024-11131/agency-information-collection-activities-proposed-collection-comment-request</t>
  </si>
  <si>
    <t>2024-11291</t>
  </si>
  <si>
    <t>https://www.federalregister.gov/documents/2024/05/23/2024-11291/agency-information-collection-activities-submission-for-omb-review-comment-request</t>
  </si>
  <si>
    <t>2024-11351</t>
  </si>
  <si>
    <t>Privacy Act of 1974; Matching Program</t>
  </si>
  <si>
    <t>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</si>
  <si>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https://www.federalregister.gov/documents/2024/05/23/2024-11351/privacy-act-of-1974-matching-program</t>
  </si>
  <si>
    <t>2024-11397</t>
  </si>
  <si>
    <t>part d(4); part c(1)</t>
  </si>
  <si>
    <t>https://www.federalregister.gov/documents/2024/05/24/2024-11397/agency-information-collection-activities-submission-for-omb-review-comment-request</t>
  </si>
  <si>
    <t>2024-11421</t>
  </si>
  <si>
    <t>Medicare Program; Announcement of the Re-Approval of the Joint Commission as an Accreditation Organization Under the Clinical Laboratory Improvement Amendments of 1988</t>
  </si>
  <si>
    <t>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</si>
  <si>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https://www.federalregister.gov/documents/2024/05/24/2024-11421/medicare-program-announcement-of-the-re-approval-of-the-joint-commission-as-an-accreditation</t>
  </si>
  <si>
    <t>2024-11473</t>
  </si>
  <si>
    <t>Announcement of the Advisory Panel on Outreach and Education (APOE) Virtual Meeting</t>
  </si>
  <si>
    <t>https://www.federalregister.gov/documents/2024/05/24/2024-11473/announcement-of-the-advisory-panel-on-outreach-and-education-apoe-virtual-meeting</t>
  </si>
  <si>
    <t>2024-11676</t>
  </si>
  <si>
    <t>part d(3); medicare advantage(1); ma organization(1); part c(1)</t>
  </si>
  <si>
    <t>https://www.federalregister.gov/documents/2024/05/28/2024-11676/agency-information-collection-activities-submission-for-omb-review-comment-request</t>
  </si>
  <si>
    <t>2024-11741</t>
  </si>
  <si>
    <t>https://www.federalregister.gov/documents/2024/05/29/2024-11741/agency-information-collection-activities-submission-for-omb-review-comment-request</t>
  </si>
  <si>
    <t>2024-11978</t>
  </si>
  <si>
    <t>https://www.federalregister.gov/documents/2024/05/31/2024-11978/agency-information-collection-activities-submission-for-omb-review-comment-request</t>
  </si>
  <si>
    <t>2024-12122</t>
  </si>
  <si>
    <t>https://www.federalregister.gov/documents/2024/06/03/2024-12122/agency-information-collection-activities-submission-for-omb-review-comment-request</t>
  </si>
  <si>
    <t>2024-12157</t>
  </si>
  <si>
    <t>https://www.federalregister.gov/documents/2024/06/04/2024-12157/agency-information-collection-activities-proposed-collection-comment-request</t>
  </si>
  <si>
    <t>2024-12164</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</si>
  <si>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</si>
  <si>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</si>
  <si>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https://www.federalregister.gov/documents/2024/06/04/2024-12164/medicare-and-medicaid-programs-and-the-childrens-health-insurance-program-hospital-inpatient</t>
  </si>
  <si>
    <t>2024-12495</t>
  </si>
  <si>
    <t>Medicare and Medicaid Programs: Application by the Community Health Accreditation Partner (CHAP) Inc. for Continued CMS-Approval of Its Hospice Accreditation Program</t>
  </si>
  <si>
    <t>This notice acknowledges the receipt of an application from the Community Health Accreditation Partner for continued recognition as a national accrediting organization for hospices that wish to participate in the Medicare or Medicaid programs.</t>
  </si>
  <si>
    <t>https://www.federalregister.gov/documents/2024/06/07/2024-12495/medicare-and-medicaid-programs-application-by-the-community-health-accreditation-partner-chap-inc</t>
  </si>
  <si>
    <t>2024-12583</t>
  </si>
  <si>
    <t>https://www.federalregister.gov/documents/2024/06/10/2024-12583/agency-information-collection-activities-proposed-collection-comment-request</t>
  </si>
  <si>
    <t>2024-12585</t>
  </si>
  <si>
    <t>medicare advantage(1); ma organization(1)</t>
  </si>
  <si>
    <t>https://www.federalregister.gov/documents/2024/06/10/2024-12585/agency-information-collection-activities-submission-for-omb-review-comment-request</t>
  </si>
  <si>
    <t>2024-12637</t>
  </si>
  <si>
    <t>https://www.federalregister.gov/documents/2024/06/10/2024-12637/agency-information-collection-activities-proposed-collection-comment-request</t>
  </si>
  <si>
    <t>2024-12774</t>
  </si>
  <si>
    <t>https://www.federalregister.gov/documents/2024/06/11/2024-12774/agency-information-collection-activities-submission-for-omb-review-comment-request</t>
  </si>
  <si>
    <t>2024-12994</t>
  </si>
  <si>
    <t>Medicare and Medicaid Programs: Application by the American Association for Accreditation of Ambulatory Surgery Facilities dba QUAD A for Continued CMS Approval of Its Ambulatory Surgical Center (ASC) Accreditation Program</t>
  </si>
  <si>
    <t>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</si>
  <si>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https://www.federalregister.gov/documents/2024/06/13/2024-12994/medicare-and-medicaid-programs-application-by-the-american-association-for-accreditation-of</t>
  </si>
  <si>
    <t>2024-12995</t>
  </si>
  <si>
    <t>Medicare and Medicaid Programs: Application by the DNV Healthcare USA, Inc. for Continued CMS-Approval of Its Critical Access Hospital Accreditation Program</t>
  </si>
  <si>
    <t>This notice acknowledges the receipt of an application from the DNV Healthcare USA, Inc. for continued recognition as a national accrediting organization for critical access hospitals that wish to participate in the Medicare or Medicaid programs.</t>
  </si>
  <si>
    <t>https://www.federalregister.gov/documents/2024/06/13/2024-12995/medicare-and-medicaid-programs-application-by-the-dnv-healthcare-usa-inc-for-continued-cms-approval</t>
  </si>
  <si>
    <t>2024-13032</t>
  </si>
  <si>
    <t>https://www.federalregister.gov/documents/2024/06/13/2024-13032/agency-information-collection-activities-proposed-collection-comment-request</t>
  </si>
  <si>
    <t>2024-13127</t>
  </si>
  <si>
    <t>https://www.federalregister.gov/documents/2024/06/13/2024-13127/agency-information-collection-activities-proposed-collection-comment-request</t>
  </si>
  <si>
    <t>2024-13067</t>
  </si>
  <si>
    <t>https://www.federalregister.gov/documents/2024/06/14/2024-13067/agency-information-collection-activities-submission-for-omb-review-comment-request</t>
  </si>
  <si>
    <t>2024-13123</t>
  </si>
  <si>
    <t>https://www.federalregister.gov/documents/2024/06/14/2024-13123/agency-information-collection-activities-proposed-collection-comment-request</t>
  </si>
  <si>
    <t>2024-13129</t>
  </si>
  <si>
    <t>https://www.federalregister.gov/documents/2024/06/14/2024-13129/agency-information-collection-activities-proposed-collection-comment-request</t>
  </si>
  <si>
    <t>2024-13130</t>
  </si>
  <si>
    <t>https://www.federalregister.gov/documents/2024/06/14/2024-13130/agency-information-collection-activities-submission-for-omb-review-comment-request</t>
  </si>
  <si>
    <t>2024-08711</t>
  </si>
  <si>
    <t>medigap(51); medicare advantage(24); part d(18); medicare supplement(5); part c(3); ma organization(1); special needs plan(1); dual eligible(1)</t>
  </si>
  <si>
    <t>Nondiscrimination in Health Programs and Activities</t>
  </si>
  <si>
    <t>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</si>
  <si>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https://www.federalregister.gov/documents/2024/05/06/2024-08711/nondiscrimination-in-health-programs-and-activities</t>
  </si>
  <si>
    <t>skim - moderate MA/SNP relevance (strong kw=83)</t>
  </si>
  <si>
    <t>2024-13696</t>
  </si>
  <si>
    <t>Performance Review Board Membership</t>
  </si>
  <si>
    <t>The U.S. Code of Federal Regulations requires each agency to establish, in accordance with regulations prescribed by the Office of Personnel Management, one or more Senior Executive Service (SES) Performance Review Boards (PRBs).</t>
  </si>
  <si>
    <t>https://www.federalregister.gov/documents/2024/06/24/2024-13696/performance-review-board-membership</t>
  </si>
  <si>
    <t>2024-13712</t>
  </si>
  <si>
    <t>Medicaid Program; Medicaid and Children's Health Insurance Program (CHIP) Managed Care Access, Finance, and Quality; Correction</t>
  </si>
  <si>
    <t>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</si>
  <si>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https://www.federalregister.gov/documents/2024/06/24/2024-13712/medicaid-program-medicaid-and-childrens-health-insurance-program-chip-managed-care-access-finance</t>
  </si>
  <si>
    <t>2024-13795</t>
  </si>
  <si>
    <t>Medicare and Medicaid Programs; Minimum Staffing Standards for Long-Term Care Facilities and Medicaid Institutional Payment Transparency Reporting; Correction</t>
  </si>
  <si>
    <t>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</si>
  <si>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https://www.federalregister.gov/documents/2024/06/24/2024-13795/medicare-and-medicaid-programs-minimum-staffing-standards-for-long-term-care-facilities-and-medicaid</t>
  </si>
  <si>
    <t>2024-13891</t>
  </si>
  <si>
    <t>part c(2); medicare advantage(1); part d(1)</t>
  </si>
  <si>
    <t>https://www.federalregister.gov/documents/2024/06/25/2024-13891/agency-information-collection-activities-submission-for-omb-review-comment-request</t>
  </si>
  <si>
    <t>2024-13892</t>
  </si>
  <si>
    <t>https://www.federalregister.gov/documents/2024/06/25/2024-13892/agency-information-collection-activities-proposed-collection-comment-request</t>
  </si>
  <si>
    <t>2024-14030</t>
  </si>
  <si>
    <t>Medicaid Program; Ensuring Access to Medicaid Services; Correction</t>
  </si>
  <si>
    <t>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</si>
  <si>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https://www.federalregister.gov/documents/2024/06/27/2024-14030/medicaid-program-ensuring-access-to-medicaid-services-correction</t>
  </si>
  <si>
    <t>2024-14124</t>
  </si>
  <si>
    <t>https://www.federalregister.gov/documents/2024/06/27/2024-14124/agency-information-collection-activities-proposed-collection-comment-request</t>
  </si>
  <si>
    <t>2024-14137</t>
  </si>
  <si>
    <t>Medicare and Medicaid Programs: Application by the Accreditation Association for Ambulatory Health Care for Continued CMS-Approval of Ambulatory Surgical Center Accreditation Program</t>
  </si>
  <si>
    <t>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</si>
  <si>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https://www.federalregister.gov/documents/2024/06/27/2024-14137/medicare-and-medicaid-programs-application-by-the-accreditation-association-for-ambulatory-health</t>
  </si>
  <si>
    <t>2024-14338</t>
  </si>
  <si>
    <t>https://www.federalregister.gov/documents/2024/06/28/2024-14338/agency-information-collection-activities-proposed-collection-comment-request</t>
  </si>
  <si>
    <t>2024-08085</t>
  </si>
  <si>
    <t>medicare advantage(44); part d(43); d-snp(24); ma organization(13); dual eligible(10); part c(6); special needs plan(6)</t>
  </si>
  <si>
    <t>Medicaid Program; Medicaid and Children's Health Insurance Program (CHIP) Managed Care Access, Finance, and Quality</t>
  </si>
  <si>
    <t>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</si>
  <si>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https://www.federalregister.gov/documents/2024/05/10/2024-08085/medicaid-program-medicaid-and-childrens-health-insurance-program-chip-managed-care-access-finance</t>
  </si>
  <si>
    <t>skim - moderate MA/SNP relevance (strong kw=97)</t>
  </si>
  <si>
    <t>2024-14581</t>
  </si>
  <si>
    <t>https://www.federalregister.gov/documents/2024/07/02/2024-14581/agency-information-collection-activities-proposed-collection-comment-request</t>
  </si>
  <si>
    <t>2024-14582</t>
  </si>
  <si>
    <t>part d(2)</t>
  </si>
  <si>
    <t>https://www.federalregister.gov/documents/2024/07/02/2024-14582/agency-information-collection-activities-proposed-collection-comment-request</t>
  </si>
  <si>
    <t>2024-14254</t>
  </si>
  <si>
    <t>dual eligible(5); medicare advantage(1)</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</si>
  <si>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</si>
  <si>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</si>
  <si>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https://www.federalregister.gov/documents/2024/07/03/2024-14254/medicare-program-calendar-year-cy-2025-home-health-prospective-payment-system-hh-pps-rate-update-hh</t>
  </si>
  <si>
    <t>2024-08363</t>
  </si>
  <si>
    <t>dual eligible(9); medicare advantage(8); special needs plan(6); d-snp(6)</t>
  </si>
  <si>
    <t>Medicaid Program; Ensuring Access to Medicaid Services</t>
  </si>
  <si>
    <t>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</si>
  <si>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https://www.federalregister.gov/documents/2024/05/10/2024-08363/medicaid-program-ensuring-access-to-medicaid-services</t>
  </si>
  <si>
    <t>skim - moderate MA/SNP relevance (strong kw=29)</t>
  </si>
  <si>
    <t>2024-14637</t>
  </si>
  <si>
    <t>https://www.federalregister.gov/documents/2024/07/03/2024-14637/agency-information-collection-activities-submission-for-omb-review-comment-request</t>
  </si>
  <si>
    <t>2024-14359</t>
  </si>
  <si>
    <t>part d(18); dual eligible(4); medicare advantage(3)</t>
  </si>
  <si>
    <t>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</si>
  <si>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</si>
  <si>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https://www.federalregister.gov/documents/2024/07/05/2024-14359/medicare-program-end-stage-renal-disease-prospective-payment-system-payment-for-renal-dialysis</t>
  </si>
  <si>
    <t>2024-14772</t>
  </si>
  <si>
    <t>Agency Information Collection Activities: Submission for OMB Review; Comment Request; Correction</t>
  </si>
  <si>
    <t>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</si>
  <si>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https://www.federalregister.gov/documents/2024/07/08/2024-14772/agency-information-collection-activities-submission-for-omb-review-comment-request-correction</t>
  </si>
  <si>
    <t>2024-14825</t>
  </si>
  <si>
    <t>part d(5); medicare advantage(1)</t>
  </si>
  <si>
    <t>https://www.federalregister.gov/documents/2024/07/08/2024-14825/agency-information-collection-activities-proposed-collection-comment-request</t>
  </si>
  <si>
    <t>2024-14955</t>
  </si>
  <si>
    <t>https://www.federalregister.gov/documents/2024/07/09/2024-14955/agency-information-collection-activities-proposed-collection-comment-request</t>
  </si>
  <si>
    <t>2024-14956</t>
  </si>
  <si>
    <t>https://www.federalregister.gov/documents/2024/07/09/2024-14956/agency-information-collection-activities-submission-for-omb-review-comment-request</t>
  </si>
  <si>
    <t>2024-15097</t>
  </si>
  <si>
    <t>Agency Information Collection Activities: Proposed Collection; Comment Request; Withdrawal</t>
  </si>
  <si>
    <t>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</si>
  <si>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https://www.federalregister.gov/documents/2024/07/10/2024-15097/agency-information-collection-activities-proposed-collection-comment-request-withdrawal</t>
  </si>
  <si>
    <t>2024-15137</t>
  </si>
  <si>
    <t>https://www.federalregister.gov/documents/2024/07/10/2024-15137/agency-information-collection-activities-submission-for-omb-review-comment-request</t>
  </si>
  <si>
    <t>2024-15152</t>
  </si>
  <si>
    <t>medicare advantage(3); part c(2)</t>
  </si>
  <si>
    <t>https://www.federalregister.gov/documents/2024/07/10/2024-15152/agency-information-collection-activities-proposed-collection-comment-request</t>
  </si>
  <si>
    <t>2024-15185</t>
  </si>
  <si>
    <t>Emergency Reinstatement: Public Information Collection Requirements Submitted to the Office of Management and Budget (OMB)</t>
  </si>
  <si>
    <t>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</si>
  <si>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https://www.federalregister.gov/documents/2024/07/11/2024-15185/emergency-reinstatement-public-information-collection-requirements-submitted-to-the-office-of</t>
  </si>
  <si>
    <t>2024-15393</t>
  </si>
  <si>
    <t>Medicare Program; Announcement of the Advisory Panel on Hospital Outpatient Payment Meeting-August 26-27, 2024</t>
  </si>
  <si>
    <t>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</si>
  <si>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https://www.federalregister.gov/documents/2024/07/15/2024-15393/medicare-program-announcement-of-the-advisory-panel-on-hospital-outpatient-payment-meeting-august</t>
  </si>
  <si>
    <t>2024-15473</t>
  </si>
  <si>
    <t>https://www.federalregister.gov/documents/2024/07/15/2024-15473/agency-information-collection-activities-submission-for-omb-review-comment-request</t>
  </si>
  <si>
    <t>2024-15519</t>
  </si>
  <si>
    <t>Medicare and Medicaid Programs: Application by DNV Healthcare USA Inc. for Continued CMS Approval of Its Psychiatric Hospital Accreditation Program</t>
  </si>
  <si>
    <t>This notice acknowledges the approval of an application from DNV Healthcare USA Inc. for continued CMS approval as a national accrediting organization for its psychiatric hospitals that wish to participate in the Medicare or Medicaid programs.</t>
  </si>
  <si>
    <t>https://www.federalregister.gov/documents/2024/07/16/2024-15519/medicare-and-medicaid-programs-application-by-dnv-healthcare-usa-inc-for-continued-cms-approval-of</t>
  </si>
  <si>
    <t>2024-15581</t>
  </si>
  <si>
    <t>https://www.federalregister.gov/documents/2024/07/16/2024-15581/agency-information-collection-activities-submission-for-omb-review-comment-request</t>
  </si>
  <si>
    <t>2024-15644</t>
  </si>
  <si>
    <t>Medicare Program; Alternative Payment Model (APM) Incentive Payment Advisory for Clinicians-Request for Current Billing Information for Qualifying APM Participants</t>
  </si>
  <si>
    <t>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</si>
  <si>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https://www.federalregister.gov/documents/2024/07/17/2024-15644/medicare-program-alternative-payment-model-apm-incentive-payment-advisory-for-clinicians-request-for</t>
  </si>
  <si>
    <t>2024-15816</t>
  </si>
  <si>
    <t>Medicare and Medicaid Programs: Application From The Joint Commission for Continued Approval of Its Ambulatory Surgical Center (ASC) Accreditation Program</t>
  </si>
  <si>
    <t>This notice announces our decision to approve The Joint Commission for continued recognition as a national accrediting organization for Ambulatory Surgical Centers that wish to participate in the Medicare or Medicaid programs.</t>
  </si>
  <si>
    <t>https://www.federalregister.gov/documents/2024/07/18/2024-15816/medicare-and-medicaid-programs-application-from-the-joint-commission-for-continued-approval-of-its</t>
  </si>
  <si>
    <t>2024-15882</t>
  </si>
  <si>
    <t>https://www.federalregister.gov/documents/2024/07/19/2024-15882/medicaid-and-childrens-health-insurance-program-chip-generic-information-collection-activities</t>
  </si>
  <si>
    <t>2024-15087</t>
  </si>
  <si>
    <t>medicare advantage(6); dual eligible(2); part d(1)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</si>
  <si>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</si>
  <si>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</si>
  <si>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https://www.federalregister.gov/documents/2024/07/22/2024-15087/medicare-and-medicaid-programs-hospital-outpatient-prospective-payment-and-ambulatory-surgical</t>
  </si>
  <si>
    <t>2024-16040</t>
  </si>
  <si>
    <t>Medicare and Medicaid Programs; Quarterly Listing of Program Issuances-April Through June 2024</t>
  </si>
  <si>
    <t>https://www.federalregister.gov/documents/2024/07/22/2024-16040/medicare-and-medicaid-programs-quarterly-listing-of-program-issuances-april-through-june-2024</t>
  </si>
  <si>
    <t>2024-16205</t>
  </si>
  <si>
    <t>https://www.federalregister.gov/documents/2024/07/24/2024-16205/medicaid-and-childrens-health-insurance-program-chip-generic-information-collection-activities</t>
  </si>
  <si>
    <t>2024-16398</t>
  </si>
  <si>
    <t>https://www.federalregister.gov/documents/2024/07/25/2024-16398/agency-information-collection-activities-submission-for-omb-review-comment-request</t>
  </si>
  <si>
    <t>2024-16425</t>
  </si>
  <si>
    <t>https://www.federalregister.gov/documents/2024/07/26/2024-16425/agency-information-collection-activities-proposed-collection-comment-request</t>
  </si>
  <si>
    <t>2024-16426</t>
  </si>
  <si>
    <t>https://www.federalregister.gov/documents/2024/07/26/2024-16426/agency-information-collection-activities-submission-for-omb-review-comment-request</t>
  </si>
  <si>
    <t>2024-16513</t>
  </si>
  <si>
    <t>https://www.federalregister.gov/documents/2024/07/26/2024-16513/agency-information-collection-activities-proposed-collection-comment-request</t>
  </si>
  <si>
    <t>2024-16735</t>
  </si>
  <si>
    <t>https://www.federalregister.gov/documents/2024/07/30/2024-16735/medicaid-and-childrens-health-insurance-program-chip-generic-information-collection-activities</t>
  </si>
  <si>
    <t>2024-16736</t>
  </si>
  <si>
    <t>https://www.federalregister.gov/documents/2024/07/30/2024-16736/agency-information-collection-activities-proposed-collection-comment-request</t>
  </si>
  <si>
    <t>2024-16738</t>
  </si>
  <si>
    <t>https://www.federalregister.gov/documents/2024/07/30/2024-16738/agency-information-collection-activities-submission-for-omb-review-comment-request</t>
  </si>
  <si>
    <t>2024-14828</t>
  </si>
  <si>
    <t>part d(720); dual eligible(34); medicare advantage(25); part c(5); ma organization(2)</t>
  </si>
  <si>
    <t>Medicare and Medicaid Programs; CY 2025 Payment Policies Under the Physician Fee Schedule and Other Changes to Part B Payment and Coverage Policies; Medicare Shared Savings Program Requirements; Medicare Prescription Drug Inflation Rebate Program; and Medicare Overpayments</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</si>
  <si>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</si>
  <si>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https://www.federalregister.gov/documents/2024/07/31/2024-14828/medicare-and-medicaid-programs-cy-2025-payment-policies-under-the-physician-fee-schedule-and-other</t>
  </si>
  <si>
    <t>2024-16907</t>
  </si>
  <si>
    <t>dual eligible(14); part d(5); part c(2); medicare advantage(1)</t>
  </si>
  <si>
    <t>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</si>
  <si>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https://www.federalregister.gov/documents/2024/08/06/2024-16907/medicare-program-prospective-payment-system-and-consolidated-billing-for-skilled-nursing-facilities</t>
  </si>
  <si>
    <t>2024-16910</t>
  </si>
  <si>
    <t>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</si>
  <si>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https://www.federalregister.gov/documents/2024/08/06/2024-16910/medicare-program-fy-2025-hospice-wage-index-and-payment-rate-update-hospice-conditions-of</t>
  </si>
  <si>
    <t>2024-16911</t>
  </si>
  <si>
    <t>medicare advantage(5); part c(2)</t>
  </si>
  <si>
    <t>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</si>
  <si>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https://www.federalregister.gov/documents/2024/08/06/2024-16911/medicare-program-inpatient-rehabilitation-facility-prospective-payment-system-for-federal-fiscal</t>
  </si>
  <si>
    <t>2024-17024</t>
  </si>
  <si>
    <t>medicare advantage(7); part d(7); ma organization(6); part c(1); special needs plan(1); d-snp(1)</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</si>
  <si>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</si>
  <si>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</si>
  <si>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https://www.federalregister.gov/documents/2024/08/06/2024-17024/medicare-program-changes-to-the-medicare-advantage-and-the-medicare-prescription-drug-benefit</t>
  </si>
  <si>
    <t>skim - moderate MA/SNP relevance (strong kw=15)</t>
  </si>
  <si>
    <t>2024-17301</t>
  </si>
  <si>
    <t>part d(6)</t>
  </si>
  <si>
    <t>https://www.federalregister.gov/documents/2024/08/06/2024-17301/agency-information-collection-activities-submission-for-omb-review-comment-request</t>
  </si>
  <si>
    <t>2024-17303</t>
  </si>
  <si>
    <t>https://www.federalregister.gov/documents/2024/08/06/2024-17303/agency-information-collection-activities-proposed-collection-comment-request</t>
  </si>
  <si>
    <t>2024-16909</t>
  </si>
  <si>
    <t>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</si>
  <si>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https://www.federalregister.gov/documents/2024/08/07/2024-16909/medicare-program-fy-2025-inpatient-psychiatric-facilities-prospective-payment-system-rate-update</t>
  </si>
  <si>
    <t>2024-17411</t>
  </si>
  <si>
    <t>https://www.federalregister.gov/documents/2024/08/07/2024-17411/agency-information-collection-activities-submission-for-omb-review-comment-request</t>
  </si>
  <si>
    <t>2024-17467</t>
  </si>
  <si>
    <t>part c(4); medicare advantage(3)</t>
  </si>
  <si>
    <t>https://www.federalregister.gov/documents/2024/08/07/2024-17467/agency-information-collection-activities-proposed-collection-comment-request</t>
  </si>
  <si>
    <t>2024-17468</t>
  </si>
  <si>
    <t>part d(8)</t>
  </si>
  <si>
    <t>https://www.federalregister.gov/documents/2024/08/07/2024-17468/agency-information-collection-activities-submission-for-omb-review-comment-request</t>
  </si>
  <si>
    <t>2024-17484</t>
  </si>
  <si>
    <t>https://www.federalregister.gov/documents/2024/08/07/2024-17484/agency-information-collection-activities-proposed-collection-comment-request</t>
  </si>
  <si>
    <t>2024-17773</t>
  </si>
  <si>
    <t>part d(6); part c(1)</t>
  </si>
  <si>
    <t>https://www.federalregister.gov/documents/2024/08/09/2024-17773/agency-information-collection-activities-proposed-collection-comment-request</t>
  </si>
  <si>
    <t>2024-26474</t>
  </si>
  <si>
    <t>medicare supplement(2)</t>
  </si>
  <si>
    <t>Medicare Program; Medicare Part B Monthly Actuarial Rates, Premium Rates, and Annual Deductible Beginning January 1, 2025</t>
  </si>
  <si>
    <t>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</si>
  <si>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annual Part B premium/deductible notice - consumer-visible</t>
  </si>
  <si>
    <t>2024-17969</t>
  </si>
  <si>
    <t>https://www.federalregister.gov/documents/2024/08/13/2024-17969/agency-information-collection-activities-submission-for-omb-review-comment-request</t>
  </si>
  <si>
    <t>2024-18031</t>
  </si>
  <si>
    <t>https://www.federalregister.gov/documents/2024/08/13/2024-18031/agency-information-collection-activities-proposed-collection-comment-request</t>
  </si>
  <si>
    <t>2024-18654</t>
  </si>
  <si>
    <t>https://www.federalregister.gov/documents/2024/08/20/2024-18654/agency-information-collection-activities-submission-for-omb-review-comment-request</t>
  </si>
  <si>
    <t>2024-18655</t>
  </si>
  <si>
    <t>https://www.federalregister.gov/documents/2024/08/20/2024-18655/agency-information-collection-activities-proposed-collection-comment-request</t>
  </si>
  <si>
    <t>2024-18691</t>
  </si>
  <si>
    <t>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</si>
  <si>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https://www.federalregister.gov/documents/2024/08/21/2024-18691/announcement-of-the-advisory-panel-on-outreach-and-education-apoe-in-person-meeting</t>
  </si>
  <si>
    <t>2024-18745</t>
  </si>
  <si>
    <t>https://www.federalregister.gov/documents/2024/08/21/2024-18745/agency-information-collection-activities-submission-for-omb-review-comment-request</t>
  </si>
  <si>
    <t>2024-18866</t>
  </si>
  <si>
    <t>https://www.federalregister.gov/documents/2024/08/22/2024-18866/agency-information-collection-activities-proposed-collection-comment-request</t>
  </si>
  <si>
    <t>2024-18868</t>
  </si>
  <si>
    <t>https://www.federalregister.gov/documents/2024/08/22/2024-18868/agency-information-collection-activities-submission-for-omb-review-comment-request</t>
  </si>
  <si>
    <t>2024-19184</t>
  </si>
  <si>
    <t>https://www.federalregister.gov/documents/2024/08/27/2024-19184/agency-information-collection-activities-submission-for-omb-review-comment-request</t>
  </si>
  <si>
    <t>2024-19220</t>
  </si>
  <si>
    <t>https://www.federalregister.gov/documents/2024/08/27/2024-19220/agency-information-collection-activities-submission-for-omb-review-comment-request</t>
  </si>
  <si>
    <t>2024-19228</t>
  </si>
  <si>
    <t>https://www.federalregister.gov/documents/2024/08/27/2024-19228/agency-information-collection-activities-submission-for-omb-review-comment-request</t>
  </si>
  <si>
    <t>2024-17021</t>
  </si>
  <si>
    <t>medicare advantage(58); part d(21); dual eligible(8); part c(2)</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</si>
  <si>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</si>
  <si>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https://www.federalregister.gov/documents/2024/08/28/2024-17021/medicare-and-medicaid-programs-and-the-childrens-health-insurance-program-hospital-inpatient</t>
  </si>
  <si>
    <t>2024-19404</t>
  </si>
  <si>
    <t>https://www.federalregister.gov/documents/2024/08/29/2024-19404/agency-information-collection-activities-submission-for-omb-review-comment-request</t>
  </si>
  <si>
    <t>2024-19558</t>
  </si>
  <si>
    <t>https://www.federalregister.gov/documents/2024/08/30/2024-19558/agency-information-collection-activities-submission-for-omb-review-comment-request</t>
  </si>
  <si>
    <t>2024-19479</t>
  </si>
  <si>
    <t>Secretarial Review and Publication of the Consensus Based Entity Report of 2023 Activities to Congress and the Secretary of the Department of Health and Human Services</t>
  </si>
  <si>
    <t>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</si>
  <si>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https://www.federalregister.gov/documents/2024/09/03/2024-19479/secretarial-review-and-publication-of-the-consensus-based-entity-report-of-2023-activities-to</t>
  </si>
  <si>
    <t>2024-19733</t>
  </si>
  <si>
    <t>https://www.federalregister.gov/documents/2024/09/03/2024-19733/agency-information-collection-activities-submission-for-omb-review-comment-request</t>
  </si>
  <si>
    <t>2024-19863</t>
  </si>
  <si>
    <t>https://www.federalregister.gov/documents/2024/09/05/2024-19863/agency-information-collection-activities-submission-for-omb-review-comment-request</t>
  </si>
  <si>
    <t>2024-19867</t>
  </si>
  <si>
    <t>https://www.federalregister.gov/documents/2024/09/05/2024-19867/agency-information-collection-activities-proposed-collection-comment-request</t>
  </si>
  <si>
    <t>2025-20251</t>
  </si>
  <si>
    <t>Medicare Program; Medicare Part B Monthly Actuarial Rates, Premium Rates, and Annual Deductible Beginning January 1, 2026</t>
  </si>
  <si>
    <t>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</si>
  <si>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2024-20236</t>
  </si>
  <si>
    <t>https://www.federalregister.gov/documents/2024/09/09/2024-20236/agency-information-collection-activities-submission-for-omb-review-comment-request</t>
  </si>
  <si>
    <t>2024-20400</t>
  </si>
  <si>
    <t>ma organization(3); part c(2)</t>
  </si>
  <si>
    <t>https://www.federalregister.gov/documents/2024/09/10/2024-20400/agency-information-collection-activities-proposed-collection-comment-request</t>
  </si>
  <si>
    <t>2024-20527</t>
  </si>
  <si>
    <t>https://www.federalregister.gov/documents/2024/09/11/2024-20527/agency-information-collection-activities-submission-for-omb-review-comment-request</t>
  </si>
  <si>
    <t>2024-20791</t>
  </si>
  <si>
    <t>Medicare Program; Town Hall Meeting on the Fiscal Year 2026 Applications for New Medical Services and Technologies Add-On Payments</t>
  </si>
  <si>
    <t>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</si>
  <si>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https://www.federalregister.gov/documents/2024/09/13/2024-20791/medicare-program-town-hall-meeting-on-the-fiscal-year-2026-applications-for-new-medical-services-and</t>
  </si>
  <si>
    <t>2024-21014</t>
  </si>
  <si>
    <t>Medicare and Medicaid Programs; Application From the Accreditation Commission for Health Care, Inc. (ACHC) for Continued Approval of Its Home Health Agency Accreditation Program</t>
  </si>
  <si>
    <t>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</si>
  <si>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https://www.federalregister.gov/documents/2024/09/17/2024-21014/medicare-and-medicaid-programs-application-from-the-accreditation-commission-for-health-care-inc</t>
  </si>
  <si>
    <t>2024-21055</t>
  </si>
  <si>
    <t>https://www.federalregister.gov/documents/2024/09/17/2024-21055/agency-information-collection-activities-proposed-collection-comment-request</t>
  </si>
  <si>
    <t>2024-21063</t>
  </si>
  <si>
    <t>https://www.federalregister.gov/documents/2024/09/17/2024-21063/agency-information-collection-activities-submission-for-omb-review-comment-request</t>
  </si>
  <si>
    <t>2024-21084</t>
  </si>
  <si>
    <t>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</si>
  <si>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https://www.federalregister.gov/documents/2024/09/18/2024-21084/medicare-program-application-by-the-community-health-accreditation-partner-chap-for-continued-cms</t>
  </si>
  <si>
    <t>2024-21297</t>
  </si>
  <si>
    <t>Medicare Program; Public Meeting for New Revisions to the Healthcare Common Procedure Coding System (HCPCS) Coding-November 6-8, 2024</t>
  </si>
  <si>
    <t>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</si>
  <si>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https://www.federalregister.gov/documents/2024/09/19/2024-21297/medicare-program-public-meeting-for-new-revisions-to-the-healthcare-common-procedure-coding-system</t>
  </si>
  <si>
    <t>2024-21409</t>
  </si>
  <si>
    <t>Medicare Program; Application by the National Association of Boards of Pharmacy (NABP) for Continued CMS Approval of Its Home Infusion Therapy (HIT) Accreditation Program</t>
  </si>
  <si>
    <t>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</si>
  <si>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https://www.federalregister.gov/documents/2024/09/19/2024-21409/medicare-program-application-by-the-national-association-of-boards-of-pharmacy-nabp-for-continued</t>
  </si>
  <si>
    <t>2024-21410</t>
  </si>
  <si>
    <t>Medicare Program; Application by The Compliance Team (TCT) for Continued CMS Approval of Its Home Infusion Therapy (HIT) Accreditation Program</t>
  </si>
  <si>
    <t>This final notice announces our decision to approve The Compliance Team (TCT) for continued recognition as a national accrediting organization that accredits suppliers of home infusion therapy (HIT) services that wish to participate in the Medicare or Medicaid programs.</t>
  </si>
  <si>
    <t>https://www.federalregister.gov/documents/2024/09/19/2024-21410/medicare-program-application-by-the-compliance-team-tct-for-continued-cms-approval-of-its-home</t>
  </si>
  <si>
    <t>2024-21444</t>
  </si>
  <si>
    <t>https://www.federalregister.gov/documents/2024/09/19/2024-21444/agency-information-collection-activities-submission-for-omb-review-comment-request</t>
  </si>
  <si>
    <t>2024-21631</t>
  </si>
  <si>
    <t>https://www.federalregister.gov/documents/2024/09/23/2024-21631/agency-information-collection-activities-submission-for-omb-review-comment-request</t>
  </si>
  <si>
    <t>2024-21732</t>
  </si>
  <si>
    <t>https://www.federalregister.gov/documents/2024/09/24/2024-21732/agency-information-collection-activities-submission-for-omb-review-comment-request</t>
  </si>
  <si>
    <t>2026-03968</t>
  </si>
  <si>
    <t>ma organization(8); medicare advantage(5); part d(3); part c(1)</t>
  </si>
  <si>
    <t>Request for Information (RFI) Related to Comprehensive Regulations To Uncover Suspicious Healthcare (CRUSH)</t>
  </si>
  <si>
    <t>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</si>
  <si>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https://www.federalregister.gov/documents/2026/02/27/2026-03968/request-for-information-rfi-related-to-comprehensive-regulations-to-uncover-suspicious-healthcare</t>
  </si>
  <si>
    <t>skim - moderate MA/SNP relevance (strong kw=13)</t>
  </si>
  <si>
    <t>2024-21978</t>
  </si>
  <si>
    <t>https://www.federalregister.gov/documents/2024/09/26/2024-21978/agency-information-collection-activities-proposed-collection-comment-request</t>
  </si>
  <si>
    <t>2024-21982</t>
  </si>
  <si>
    <t>https://www.federalregister.gov/documents/2024/09/26/2024-21982/agency-information-collection-activities-submission-for-omb-review-comment-request</t>
  </si>
  <si>
    <t>2026-10050</t>
  </si>
  <si>
    <t>medicare advantage(8); part d(4); medigap(3)</t>
  </si>
  <si>
    <t>Patient Protection and Affordable Care Act, HHS Notice of Benefit and Payment Parameters for 2027; and Basic Health Program</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</si>
  <si>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</si>
  <si>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https://www.federalregister.gov/documents/2026/05/20/2026-10050/patient-protection-and-affordable-care-act-hhs-notice-of-benefit-and-payment-parameters-for-2027-and</t>
  </si>
  <si>
    <t>skim - moderate MA/SNP relevance (strong kw=11)</t>
  </si>
  <si>
    <t>2024-22142</t>
  </si>
  <si>
    <t>part d(9); part c(6); ma organization(3); medicare advantage(1)</t>
  </si>
  <si>
    <t>Medicare Program; Medicare Appeals; Adjustment to the Amount in Controversy Threshold Amounts for Calendar Year 2025</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</si>
  <si>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</si>
  <si>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https://www.federalregister.gov/documents/2024/09/27/2024-22142/medicare-program-medicare-appeals-adjustment-to-the-amount-in-controversy-threshold-amounts-for</t>
  </si>
  <si>
    <t>appeals threshold housekeeping</t>
  </si>
  <si>
    <t>2024-01832</t>
  </si>
  <si>
    <t>medicare advantage(8); part c(2); part d(2)</t>
  </si>
  <si>
    <t>Medicare Program; Request for Information on Medicare Advantage Data</t>
  </si>
  <si>
    <t>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</si>
  <si>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https://www.federalregister.gov/documents/2024/01/30/2024-01832/medicare-program-request-for-information-on-medicare-advantage-data</t>
  </si>
  <si>
    <t>LOW</t>
  </si>
  <si>
    <t>marginal (strong kw=8)</t>
  </si>
  <si>
    <t>2024-22345</t>
  </si>
  <si>
    <t>https://www.federalregister.gov/documents/2024/09/30/2024-22345/agency-information-collection-activities-submission-for-omb-review-comment-request</t>
  </si>
  <si>
    <t>2024-22355</t>
  </si>
  <si>
    <t>https://www.federalregister.gov/documents/2024/09/30/2024-22355/agency-information-collection-activities-proposed-collection-comment-request</t>
  </si>
  <si>
    <t>2024-22495</t>
  </si>
  <si>
    <t>Medicare Program; FY 2025 Hospice Wage Index and Payment Rate Update, Hospice Conditions of Participation Updates, and Hospice Quality Reporting Program Requirements; Correction</t>
  </si>
  <si>
    <t>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</si>
  <si>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https://www.federalregister.gov/documents/2024/10/01/2024-22495/medicare-program-fy-2025-hospice-wage-index-and-payment-rate-update-hospice-conditions-of</t>
  </si>
  <si>
    <t>2024-22536</t>
  </si>
  <si>
    <t>https://www.federalregister.gov/documents/2024/10/01/2024-22536/agency-information-collection-activities-proposed-collection-comment-request</t>
  </si>
  <si>
    <t>2024-22496</t>
  </si>
  <si>
    <t>Medicare Program; FY 2025 Inpatient Psychiatric Facilities Prospective Payment System-Rate Update; Correction</t>
  </si>
  <si>
    <t>This document corrects technical errors in the final action that appeared in the August 7, 2024 Federal Register titled "Medicare Program; FY 2025 Inpatient Psychiatric Facilities Prospective Payment System--Rate Update".</t>
  </si>
  <si>
    <t>https://www.federalregister.gov/documents/2024/10/02/2024-22496/medicare-program-fy-2025-inpatient-psychiatric-facilities-prospective-payment-system-rate-update</t>
  </si>
  <si>
    <t>2024-22497</t>
  </si>
  <si>
    <t>Medicare Program; Inpatient Rehabilitation Facility Prospective Payment System for Federal Fiscal Year 2025 and Updates to the IRF Quality Reporting Program; Correction</t>
  </si>
  <si>
    <t>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</si>
  <si>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https://www.federalregister.gov/documents/2024/10/02/2024-22497/medicare-program-inpatient-rehabilitation-facility-prospective-payment-system-for-federal-fiscal</t>
  </si>
  <si>
    <t>2024-22501</t>
  </si>
  <si>
    <t>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</si>
  <si>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https://www.federalregister.gov/documents/2024/10/02/2024-22501/medicare-and-medicaid-programs-and-the-childrens-health-insurance-program-hospital-inpatient</t>
  </si>
  <si>
    <t>2024-22504</t>
  </si>
  <si>
    <t>Medicare Program; Prospective Payment System and Consolidated Billing for Skilled Nursing Facilities; Updates to the Quality Reporting Program and Value-Based Purchasing Program for Federal Fiscal Year 2025; Correction</t>
  </si>
  <si>
    <t>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</si>
  <si>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https://www.federalregister.gov/documents/2024/10/02/2024-22504/medicare-program-prospective-payment-system-and-consolidated-billing-for-skilled-nursing-facilities</t>
  </si>
  <si>
    <t>2024-22547</t>
  </si>
  <si>
    <t>https://www.federalregister.gov/documents/2024/10/02/2024-22547/agency-information-collection-activities-submission-for-omb-review-comment-request</t>
  </si>
  <si>
    <t>2024-22765</t>
  </si>
  <si>
    <t>Medicare Program; Changes to the Fiscal Year 2025 Hospital Inpatient Prospective Payment System (IPPS) Rates Due to Court Decision</t>
  </si>
  <si>
    <t>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</si>
  <si>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https://www.federalregister.gov/documents/2024/10/03/2024-22765/medicare-program-changes-to-the-fiscal-year-2025-hospital-inpatient-prospective-payment-system-ipps</t>
  </si>
  <si>
    <t>2024-23008</t>
  </si>
  <si>
    <t>https://www.federalregister.gov/documents/2024/10/04/2024-23008/agency-information-collection-activities-proposed-collection-comment-request</t>
  </si>
  <si>
    <t>2024-23261</t>
  </si>
  <si>
    <t>https://www.federalregister.gov/documents/2024/10/08/2024-23261/agency-information-collection-activities-submission-for-omb-review-comment-request</t>
  </si>
  <si>
    <t>2024-23395</t>
  </si>
  <si>
    <t>medicare advantage(4); part d(2)</t>
  </si>
  <si>
    <t>https://www.federalregister.gov/documents/2024/10/09/2024-23395/agency-information-collection-activities-proposed-collection-comment-request</t>
  </si>
  <si>
    <t>2024-06566</t>
  </si>
  <si>
    <t>part d(3); dual eligible(1)</t>
  </si>
  <si>
    <t>Medicaid Program; Streamlining the Medicaid, Children's Health Insurance Program, and Basic Health Program Application, Eligibility Determination, Enrollment, and Renewal Processes</t>
  </si>
  <si>
    <t>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</si>
  <si>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https://www.federalregister.gov/documents/2024/04/02/2024-06566/medicaid-program-streamlining-the-medicaid-childrens-health-insurance-program-and-basic-health</t>
  </si>
  <si>
    <t>marginal (strong kw=1)</t>
  </si>
  <si>
    <t>2024-23418</t>
  </si>
  <si>
    <t>Inflation Reduction Act (IRA) Medicare Drug Price Negotiation Program Final Guidance</t>
  </si>
  <si>
    <t>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</si>
  <si>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https://www.federalregister.gov/documents/2024/10/10/2024-23418/inflation-reduction-act-ira-medicare-drug-price-negotiation-program-final-guidance</t>
  </si>
  <si>
    <t>2024-09661</t>
  </si>
  <si>
    <t>part c(1)</t>
  </si>
  <si>
    <t>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</si>
  <si>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</si>
  <si>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https://www.federalregister.gov/documents/2024/05/08/2024-09661/clarifying-the-eligibility-of-deferred-action-for-childhood-arrivals-daca-recipients-and-certain</t>
  </si>
  <si>
    <t>marginal (strong kw=0)</t>
  </si>
  <si>
    <t>2024-23737</t>
  </si>
  <si>
    <t>https://www.federalregister.gov/documents/2024/10/15/2024-23737/agency-information-collection-activities-submission-for-omb-review-comment-request</t>
  </si>
  <si>
    <t>2024-23930</t>
  </si>
  <si>
    <t>Medicare and Medicaid Programs: Application From the American Association for Accreditation of Ambulatory Surgery Facilities dba QUAD A for Continued CMS-Approval of Its Outpatient Physical Therapy (OPT) Accreditation Program</t>
  </si>
  <si>
    <t>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</si>
  <si>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https://www.federalregister.gov/documents/2024/10/17/2024-23930/medicare-and-medicaid-programs-application-from-the-american-association-for-accreditation-of</t>
  </si>
  <si>
    <t>2024-24264</t>
  </si>
  <si>
    <t>https://www.federalregister.gov/documents/2024/10/21/2024-24264/agency-information-collection-activities-submission-for-omb-review-comment-request</t>
  </si>
  <si>
    <t>2024-24266</t>
  </si>
  <si>
    <t>part d(4)</t>
  </si>
  <si>
    <t>https://www.federalregister.gov/documents/2024/10/21/2024-24266/agency-information-collection-activities-proposed-collection-comment-request</t>
  </si>
  <si>
    <t>2024-12842</t>
  </si>
  <si>
    <t>part d(201); medicare advantage(7)</t>
  </si>
  <si>
    <t>Medicare Program; Medicare Prescription Drug Benefit Program; Health Information Technology Standards and Implementation Specifications</t>
  </si>
  <si>
    <t>This final rule will revise the Medicare Prescription Drug Benefit (Part D) and ONC regulations to implement changes related to required standards for electronic prescribing and adoption of health information technology (IT) standards for HHS use.</t>
  </si>
  <si>
    <t>https://www.federalregister.gov/documents/2024/06/17/2024-12842/medicare-program-medicare-prescription-drug-benefit-program-health-information-technology-standards</t>
  </si>
  <si>
    <t>marginal (strong kw=7)</t>
  </si>
  <si>
    <t>2024-24910</t>
  </si>
  <si>
    <t>Patient Protection and Affordable Care Act, HHS Notice of Benefit and Payment Parameters for 2025; Updating Section 1332 Waiver Public Notice Procedures; Medicaid; Consumer Operated and Oriented Plan (CO-OP) Program; and Basic Health Program; Correcting Amendment</t>
  </si>
  <si>
    <t>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</si>
  <si>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https://www.federalregister.gov/documents/2024/10/28/2024-24910/patient-protection-and-affordable-care-act-hhs-notice-of-benefit-and-payment-parameters-for-2025</t>
  </si>
  <si>
    <t>2024-25009</t>
  </si>
  <si>
    <t>https://www.federalregister.gov/documents/2024/10/28/2024-25009/agency-information-collection-activities-proposed-collection-comment-request</t>
  </si>
  <si>
    <t>2024-25015</t>
  </si>
  <si>
    <t>https://www.federalregister.gov/documents/2024/10/28/2024-25015/agency-information-collection-activities-submission-for-omb-review-comment-request</t>
  </si>
  <si>
    <t>2024-25019</t>
  </si>
  <si>
    <t>Agency Information Collection Activities: Submission for OMB Review; Comment Request; Withdrawal</t>
  </si>
  <si>
    <t>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</si>
  <si>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https://www.federalregister.gov/documents/2024/10/28/2024-25019/agency-information-collection-activities-submission-for-omb-review-comment-request-withdrawal</t>
  </si>
  <si>
    <t>2024-25148</t>
  </si>
  <si>
    <t>https://www.federalregister.gov/documents/2024/10/30/2024-25148/agency-information-collection-activities-proposed-collection-comment-request</t>
  </si>
  <si>
    <t>2024-25331</t>
  </si>
  <si>
    <t>https://www.federalregister.gov/documents/2024/10/31/2024-25331/agency-information-collection-activities-submission-for-omb-review-comment-request</t>
  </si>
  <si>
    <t>2024-25380</t>
  </si>
  <si>
    <t>https://www.federalregister.gov/documents/2024/10/31/2024-25380/agency-information-collection-activities-submission-for-omb-review-comment-request</t>
  </si>
  <si>
    <t>2024-25503</t>
  </si>
  <si>
    <t>https://www.federalregister.gov/documents/2024/11/01/2024-25503/medicaid-and-childrens-health-insurance-program-chip-generic-information-collection-activities</t>
  </si>
  <si>
    <t>2024-25505</t>
  </si>
  <si>
    <t>https://www.federalregister.gov/documents/2024/11/01/2024-25505/agency-information-collection-activities-proposed-collection-comment-request</t>
  </si>
  <si>
    <t>2024-25646</t>
  </si>
  <si>
    <t>https://www.federalregister.gov/documents/2024/11/05/2024-25646/medicaid-and-childrens-health-insurance-program-chip-generic-information-collection-activities</t>
  </si>
  <si>
    <t>2024-25738</t>
  </si>
  <si>
    <t>https://www.federalregister.gov/documents/2024/11/06/2024-25738/agency-information-collection-activities-submission-for-omb-review-comment-request</t>
  </si>
  <si>
    <t>2024-25791</t>
  </si>
  <si>
    <t>https://www.federalregister.gov/documents/2024/11/06/2024-25791/agency-information-collection-activities-submission-for-omb-review-comment-request</t>
  </si>
  <si>
    <t>2024-25792</t>
  </si>
  <si>
    <t>https://www.federalregister.gov/documents/2024/11/06/2024-25792/agency-information-collection-activities-proposed-collection-comment-request</t>
  </si>
  <si>
    <t>2024-25441</t>
  </si>
  <si>
    <t>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</si>
  <si>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</si>
  <si>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https://www.federalregister.gov/documents/2024/11/07/2024-25441/medicare-program-calendar-year-cy-2025-home-health-prospective-payment-system-hh-pps-rate-update-hh</t>
  </si>
  <si>
    <t>2024-25874</t>
  </si>
  <si>
    <t>Medicare and Medicaid Programs; Quarterly Listing of Program Issuances-July through September 2024</t>
  </si>
  <si>
    <t>https://www.federalregister.gov/documents/2024/11/07/2024-25874/medicare-and-medicaid-programs-quarterly-listing-of-program-issuances-july-through-september-2024</t>
  </si>
  <si>
    <t>2024-25966</t>
  </si>
  <si>
    <t>Medicare, Medicaid, Children's Health Insurance Program, Private Health Insurance Program; Health Equity Advisory Committee; Establishment &amp; Nomination Request</t>
  </si>
  <si>
    <t>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</si>
  <si>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https://www.federalregister.gov/documents/2024/11/08/2024-25966/medicare-medicaid-childrens-health-insurance-program-private-health-insurance-program-health-equity</t>
  </si>
  <si>
    <t>2024-26018</t>
  </si>
  <si>
    <t>https://www.federalregister.gov/documents/2024/11/08/2024-26018/agency-information-collection-activities-submission-for-omb-review-comment-request</t>
  </si>
  <si>
    <t>2024-25486</t>
  </si>
  <si>
    <t>part d(57); medicare advantage(10); dual eligible(4)</t>
  </si>
  <si>
    <t>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</si>
  <si>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https://www.federalregister.gov/documents/2024/11/12/2024-25486/medicare-program-end-stage-renal-disease-prospective-payment-system-payment-for-renal-dialysis</t>
  </si>
  <si>
    <t>2024-26123</t>
  </si>
  <si>
    <t>Medicare and Medicaid Programs; Approval of Application by Community Health Accreditation Partner (CHAP) Inc. for Continued CMS-Approval of Its Hospice Accreditation Program</t>
  </si>
  <si>
    <t>This notice acknowledges the approval of an application by Community Health Accreditation Partner Inc., for continued CMS-approval as a national accrediting organization for its hospice programs that wish to participate in the Medicare or Medicaid programs.</t>
  </si>
  <si>
    <t>https://www.federalregister.gov/documents/2024/11/12/2024-26123/medicare-and-medicaid-programs-approval-of-application-by-community-health-accreditation-partner</t>
  </si>
  <si>
    <t>2024-26124</t>
  </si>
  <si>
    <t>Medicare and Medicaid Programs; Approval of Application by the American Association for Accreditation of Ambulatory Surgery Facilities, dba QUAD A, for Continued CMS-Approval of Its Ambulatory Surgical Center (ASC) Accreditation Program</t>
  </si>
  <si>
    <t>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</si>
  <si>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https://www.federalregister.gov/documents/2024/11/12/2024-26124/medicare-and-medicaid-programs-approval-of-application-by-the-american-association-for-accreditation</t>
  </si>
  <si>
    <t>2024-26472</t>
  </si>
  <si>
    <t>Medicare Program; CY 2025 Inpatient Hospital Deductible and Hospital and Extended Care Services Coinsurance Amounts</t>
  </si>
  <si>
    <t>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</si>
  <si>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https://www.federalregister.gov/documents/2024/11/14/2024-26472/medicare-program-cy-2025-inpatient-hospital-deductible-and-hospital-and-extended-care-services</t>
  </si>
  <si>
    <t>2024-26473</t>
  </si>
  <si>
    <t>Medicare Program; CY 2025 Part A Premiums for the Uninsured Aged and for Certain Disabled Individuals Who Have Exhausted Other Entitlement</t>
  </si>
  <si>
    <t>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</si>
  <si>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https://www.federalregister.gov/documents/2024/11/14/2024-26473/medicare-program-cy-2025-part-a-premiums-for-the-uninsured-aged-and-for-certain-disabled-individuals</t>
  </si>
  <si>
    <t>2024-13793</t>
  </si>
  <si>
    <t>medicare advantage(1); dual eligible(1)</t>
  </si>
  <si>
    <t>21st Century Cures Act: Establishment of Disincentives for Health Care Providers That Have Committed Information Blocking</t>
  </si>
  <si>
    <t>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</si>
  <si>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https://www.federalregister.gov/documents/2024/07/01/2024-13793/21st-century-cures-act-establishment-of-disincentives-for-health-care-providers-that-have-committed</t>
  </si>
  <si>
    <t>marginal (strong kw=2)</t>
  </si>
  <si>
    <t>2024-26713</t>
  </si>
  <si>
    <t>https://www.federalregister.gov/documents/2024/11/18/2024-26713/medicaid-and-childrens-health-insurance-program-chip-generic-information-collection-activities</t>
  </si>
  <si>
    <t>2024-27052</t>
  </si>
  <si>
    <t>https://www.federalregister.gov/documents/2024/11/20/2024-27052/agency-information-collection-activities-proposed-collection-comment-request</t>
  </si>
  <si>
    <t>2024-27358</t>
  </si>
  <si>
    <t>d-snp(5); special needs plan(3); ma organization(2); dual eligible(2); medicare advantage(1)</t>
  </si>
  <si>
    <t>https://www.federalregister.gov/documents/2024/11/22/2024-27358/agency-information-collection-activities-proposed-collection-comment-request</t>
  </si>
  <si>
    <t>2024-27359</t>
  </si>
  <si>
    <t>https://www.federalregister.gov/documents/2024/11/22/2024-27359/agency-information-collection-activities-submission-for-omb-review-comment-request</t>
  </si>
  <si>
    <t>2024-27490</t>
  </si>
  <si>
    <t>https://www.federalregister.gov/documents/2024/11/25/2024-27490/agency-information-collection-activities-submission-for-omb-review-comment-request</t>
  </si>
  <si>
    <t>2024-27522</t>
  </si>
  <si>
    <t>https://www.federalregister.gov/documents/2024/11/25/2024-27522/agency-information-collection-activities-proposed-collection-comment-request</t>
  </si>
  <si>
    <t>2024-25521</t>
  </si>
  <si>
    <t>medicare advantage(19); part d(8); dual eligible(2)</t>
  </si>
  <si>
    <t>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</si>
  <si>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https://www.federalregister.gov/documents/2024/11/27/2024-25521/medicare-and-medicaid-programs-hospital-outpatient-prospective-payment-and-ambulatory-surgical</t>
  </si>
  <si>
    <t>2024-27740</t>
  </si>
  <si>
    <t>Medicare Program; Public Meeting for Air Ambulance Quality &amp; Patient Safety Advisory Committee-December 12, 2024, February 18, 2025, and May 8, 2025</t>
  </si>
  <si>
    <t>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</si>
  <si>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https://www.federalregister.gov/documents/2024/11/27/2024-27740/medicare-program-public-meeting-for-air-ambulance-quality-and-patient-safety-advisory</t>
  </si>
  <si>
    <t>2024-27871</t>
  </si>
  <si>
    <t>https://www.federalregister.gov/documents/2024/11/27/2024-27871/agency-information-collection-activities-submission-for-omb-review-comment-request</t>
  </si>
  <si>
    <t>2024-28077</t>
  </si>
  <si>
    <t>https://www.federalregister.gov/documents/2024/11/29/2024-28077/agency-information-collection-activities-submission-for-omb-review-comment-request</t>
  </si>
  <si>
    <t>2024-28083</t>
  </si>
  <si>
    <t>https://www.federalregister.gov/documents/2024/12/02/2024-28083/agency-information-collection-activities-proposed-collection-comment-request</t>
  </si>
  <si>
    <t>2024-28127</t>
  </si>
  <si>
    <t>Medicare, Medicaid, and Children's Health Insurance Programs; Provider Enrollment Application Fee Amount for Calendar Year 2025</t>
  </si>
  <si>
    <t>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</si>
  <si>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https://www.federalregister.gov/documents/2024/12/02/2024-28127/medicare-medicaid-and-childrens-health-insurance-programs-provider-enrollment-application-fee-amount</t>
  </si>
  <si>
    <t>2024-28308</t>
  </si>
  <si>
    <t>https://www.federalregister.gov/documents/2024/12/03/2024-28308/agency-information-collection-activities-submission-for-omb-review-comment-request</t>
  </si>
  <si>
    <t>2024-27841</t>
  </si>
  <si>
    <t>part d(82); medicare advantage(10); dual eligible(2); medigap(1)</t>
  </si>
  <si>
    <t>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</si>
  <si>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https://www.federalregister.gov/documents/2024/12/04/2024-27841/medicare-program-alternative-payment-model-updates-and-the-increasing-organ-transplant-access-iota</t>
  </si>
  <si>
    <t>2024-28458</t>
  </si>
  <si>
    <t>https://www.federalregister.gov/documents/2024/12/05/2024-28458/agency-information-collection-activities-proposed-collection-comment-request</t>
  </si>
  <si>
    <t>2024-28515</t>
  </si>
  <si>
    <t>https://www.federalregister.gov/documents/2024/12/06/2024-28515/agency-information-collection-activities-submission-for-omb-review-comment-request</t>
  </si>
  <si>
    <t>2024-28699</t>
  </si>
  <si>
    <t>https://www.federalregister.gov/documents/2024/12/06/2024-28699/medicaid-and-childrens-health-insurance-program-chip-generic-information-collection-activities</t>
  </si>
  <si>
    <t>2024-25382</t>
  </si>
  <si>
    <t>part d(1049); dual eligible(39); medicare advantage(37); part c(9); ma organization(8); d-snp(6); special needs plan(2)</t>
  </si>
  <si>
    <t>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</si>
  <si>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https://www.federalregister.gov/documents/2024/12/09/2024-25382/medicare-and-medicaid-programs-cy-2025-payment-policies-under-the-physician-fee-schedule-and-other</t>
  </si>
  <si>
    <t>2024-28857</t>
  </si>
  <si>
    <t>https://www.federalregister.gov/documents/2024/12/09/2024-28857/agency-information-collection-activities-submission-for-omb-review-comment-request</t>
  </si>
  <si>
    <t>2024-14601</t>
  </si>
  <si>
    <t>medicare advantage(2); part c(1); part d(1)</t>
  </si>
  <si>
    <t>Medicare Program: Mitigating the Impact of Significant, Anomalous, and Highly Suspect Billing Activity on Medicare Shared Savings Program Financial Calculations in Calendar Year 2023</t>
  </si>
  <si>
    <t>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</si>
  <si>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https://www.federalregister.gov/documents/2024/07/03/2024-14601/medicare-program-mitigating-the-impact-of-significant-anomalous-and-highly-suspect-billing-activity</t>
  </si>
  <si>
    <t>2024-29002</t>
  </si>
  <si>
    <t>https://www.federalregister.gov/documents/2024/12/11/2024-29002/agency-information-collection-activities-proposed-collection-comment-request</t>
  </si>
  <si>
    <t>2024-29075</t>
  </si>
  <si>
    <t>Medicare and Medicaid Programs: Approval of Application by the DNV Healthcare USA, Inc. for Continued CMS-Approval of Its Critical Access Hospital Accreditation Program</t>
  </si>
  <si>
    <t>This notice acknowledges the approval of an application by the DNV Healthcare USA, Inc., for continued recognition as a national accrediting organization for Critical Access Hospitals that wish to participate in the Medicare or Medicaid programs.</t>
  </si>
  <si>
    <t>https://www.federalregister.gov/documents/2024/12/11/2024-29075/medicare-and-medicaid-programs-approval-of-application-by-the-dnv-healthcare-usa-inc-for-continued</t>
  </si>
  <si>
    <t>2024-29152</t>
  </si>
  <si>
    <t>Medicare and Medicaid Programs; Approval of Application by the Accreditation Association for Ambulatory Healthcare for Continued CMS-Approval of Its Ambulatory Surgical Center Accreditation Program</t>
  </si>
  <si>
    <t>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</si>
  <si>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https://www.federalregister.gov/documents/2024/12/12/2024-29152/medicare-and-medicaid-programs-approval-of-application-by-the-accreditation-association-for</t>
  </si>
  <si>
    <t>2024-29382</t>
  </si>
  <si>
    <t>https://www.federalregister.gov/documents/2024/12/13/2024-29382/agency-information-collection-activities-submission-for-omb-review-comment-request</t>
  </si>
  <si>
    <t>2024-29386</t>
  </si>
  <si>
    <t>https://www.federalregister.gov/documents/2024/12/13/2024-29386/medicaid-and-childrens-health-insurance-program-chip-generic-information-collection-activities</t>
  </si>
  <si>
    <t>2024-29392</t>
  </si>
  <si>
    <t>https://www.federalregister.gov/documents/2024/12/13/2024-29392/agency-information-collection-activities-proposed-collection-comment-request</t>
  </si>
  <si>
    <t>2024-29458</t>
  </si>
  <si>
    <t>https://www.federalregister.gov/documents/2024/12/16/2024-29458/agency-information-collection-activities-proposed-collection-comment-request</t>
  </si>
  <si>
    <t>2024-29638</t>
  </si>
  <si>
    <t>https://www.federalregister.gov/documents/2024/12/17/2024-29638/agency-information-collection-activities-proposed-collection-comment-request</t>
  </si>
  <si>
    <t>2024-29754</t>
  </si>
  <si>
    <t>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</si>
  <si>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https://www.federalregister.gov/documents/2024/12/17/2024-29754/agency-information-collection-activities-submission-for-omb-review-comment-request-correction</t>
  </si>
  <si>
    <t>2024-30202</t>
  </si>
  <si>
    <t>https://www.federalregister.gov/documents/2024/12/19/2024-30202/agency-information-collection-activities-proposed-collection-comment-request</t>
  </si>
  <si>
    <t>2024-30169</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</si>
  <si>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</si>
  <si>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</si>
  <si>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https://www.federalregister.gov/documents/2024/12/20/2024-30169/medicare-program-calendar-year-cy-2025-home-health-prospective-payment-system-hh-pps-rate-update-hh</t>
  </si>
  <si>
    <t>2024-30444</t>
  </si>
  <si>
    <t>https://www.federalregister.gov/documents/2024/12/20/2024-30444/agency-information-collection-activities-submission-for-omb-review-comment-request</t>
  </si>
  <si>
    <t>2024-30502</t>
  </si>
  <si>
    <t>https://www.federalregister.gov/documents/2024/12/23/2024-30502/agency-information-collection-activities-proposed-collection-comment-request</t>
  </si>
  <si>
    <t>2024-30522</t>
  </si>
  <si>
    <t>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</si>
  <si>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https://www.federalregister.gov/documents/2024/12/23/2024-30522/privacy-act-of-1974-matching-program</t>
  </si>
  <si>
    <t>2024-30619</t>
  </si>
  <si>
    <t>ma organization(3); part c(1)</t>
  </si>
  <si>
    <t>https://www.federalregister.gov/documents/2024/12/23/2024-30619/agency-information-collection-activities-submission-for-omb-review-comment-request</t>
  </si>
  <si>
    <t>2024-30620</t>
  </si>
  <si>
    <t>https://www.federalregister.gov/documents/2024/12/23/2024-30620/agency-information-collection-activities-proposed-collection-comment-request</t>
  </si>
  <si>
    <t>2024-30719</t>
  </si>
  <si>
    <t>Medicare Program; Rural Community Hospital Disemonstration Program: Solicitation of Additional Participants</t>
  </si>
  <si>
    <t>This notice announces a solicitation for up to 10 additional eligible hospitals to participate in the Rural Community Hospital Demonstration program, to run through June 30, 2028.</t>
  </si>
  <si>
    <t>https://www.federalregister.gov/documents/2024/12/26/2024-30719/medicare-program-rural-community-hospital-disemonstration-program-solicitation-of-additional</t>
  </si>
  <si>
    <t>2024-30853</t>
  </si>
  <si>
    <t>https://www.federalregister.gov/documents/2024/12/27/2024-30853/agency-information-collection-activities-proposed-collection-comment-request</t>
  </si>
  <si>
    <t>2024-31146</t>
  </si>
  <si>
    <t>Medicare Program: Appeal Rights for Certain Changes in Patient Status and Changes to the Medicare Claims and Medicare Prescription Drug Coverage Determination Appeals Procedures; Correcting Amendment</t>
  </si>
  <si>
    <t>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</si>
  <si>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https://www.federalregister.gov/documents/2024/12/30/2024-31146/medicare-program-appeal-rights-for-certain-changes-in-patient-status-and-changes-to-the-medicare</t>
  </si>
  <si>
    <t>2024-31553</t>
  </si>
  <si>
    <t>https://www.federalregister.gov/documents/2025/01/03/2024-31553/agency-information-collection-activities-proposed-collection-comment-request</t>
  </si>
  <si>
    <t>2024-31567</t>
  </si>
  <si>
    <t>c-snp(2); medicare advantage(1)</t>
  </si>
  <si>
    <t>https://www.federalregister.gov/documents/2025/01/03/2024-31567/agency-information-collection-activities-proposed-collection-comment-request</t>
  </si>
  <si>
    <t>C1-2024-30444</t>
  </si>
  <si>
    <t>https://www.federalregister.gov/documents/2025/01/07/C1-2024-30444/agency-information-collection-activities-submission-for-omb-review-comment-request</t>
  </si>
  <si>
    <t>2025-00385</t>
  </si>
  <si>
    <t>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</si>
  <si>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https://www.federalregister.gov/documents/2025/01/10/2025-00385/announcement-of-the-advisory-panel-on-outreach-and-education-apoe-virtual-meeting</t>
  </si>
  <si>
    <t>2025-00399</t>
  </si>
  <si>
    <t>https://www.federalregister.gov/documents/2025/01/10/2025-00399/agency-information-collection-activities-proposed-collection-comment-request</t>
  </si>
  <si>
    <t>2025-00081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</si>
  <si>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</si>
  <si>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</si>
  <si>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https://www.federalregister.gov/documents/2025/01/13/2025-00081/medicare-and-medicaid-programs-hospital-outpatient-prospective-payment-and-ambulatory-surgical</t>
  </si>
  <si>
    <t>2025-00448</t>
  </si>
  <si>
    <t>Medicare and Medicaid Programs: Application From The Joint Commission for Continued Approval of its Hospice Accreditation Program</t>
  </si>
  <si>
    <t>This proposed notice acknowledges the receipt of an application from The Joint Commission for continued recognition as a national accrediting organization for hospices that wish to participate in the Medicare or Medicaid programs.</t>
  </si>
  <si>
    <t>https://www.federalregister.gov/documents/2025/01/13/2025-00448/medicare-and-medicaid-programs-application-from-the-joint-commission-for-continued-approval-of-its</t>
  </si>
  <si>
    <t>2025-00391</t>
  </si>
  <si>
    <t>Medicare Program; Request for Nominations for Members for the Medicare Evidence Development &amp; Coverage Advisory Committee</t>
  </si>
  <si>
    <t>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</si>
  <si>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https://www.federalregister.gov/documents/2025/01/14/2025-00391/medicare-program-request-for-nominations-for-members-for-the-medicare-evidence-development-and</t>
  </si>
  <si>
    <t>2025-00589</t>
  </si>
  <si>
    <t>https://www.federalregister.gov/documents/2025/01/14/2025-00589/agency-information-collection-activities-submission-for-omb-review-comment-request</t>
  </si>
  <si>
    <t>2025-00593</t>
  </si>
  <si>
    <t>https://www.federalregister.gov/documents/2025/01/14/2025-00593/agency-information-collection-activities-proposed-collection-comment-request</t>
  </si>
  <si>
    <t>2025-00695</t>
  </si>
  <si>
    <t>https://www.federalregister.gov/documents/2025/01/15/2025-00695/agency-information-collection-activities-proposed-collection-comment-request</t>
  </si>
  <si>
    <t>2025-00696</t>
  </si>
  <si>
    <t>https://www.federalregister.gov/documents/2025/01/15/2025-00696/agency-information-collection-activities-submission-for-omb-review-comment-request</t>
  </si>
  <si>
    <t>2025-01022</t>
  </si>
  <si>
    <t>https://www.federalregister.gov/documents/2025/01/16/2025-01022/medicaid-and-childrens-health-insurance-program-chip-generic-information-collection-activities</t>
  </si>
  <si>
    <t>2025-01242</t>
  </si>
  <si>
    <t>https://www.federalregister.gov/documents/2025/01/17/2025-01242/agency-information-collection-activities-proposed-collection-comment-request</t>
  </si>
  <si>
    <t>2025-02168</t>
  </si>
  <si>
    <t>https://www.federalregister.gov/documents/2025/02/03/2025-02168/agency-information-collection-activities-submission-for-omb-review-comment-request</t>
  </si>
  <si>
    <t>2025-02215</t>
  </si>
  <si>
    <t>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</si>
  <si>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</si>
  <si>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https://www.federalregister.gov/documents/2025/02/04/2025-02215/announcement-of-the-advisory-panel-on-outreach-and-education-apoe-virtual-meeting-cancellation-of</t>
  </si>
  <si>
    <t>2025-02436</t>
  </si>
  <si>
    <t>Medicare and Medicaid Programs: Application From The Joint Commission for Continued CMS-Approval of Its Hospital Accreditation Program</t>
  </si>
  <si>
    <t>This proposed notice acknowledges the receipt of an application from The Joint Commission for continued recognition as a national accrediting organization for hospitals that wish to participate in the Medicare or Medicaid programs.</t>
  </si>
  <si>
    <t>https://www.federalregister.gov/documents/2025/02/11/2025-02436/medicare-and-medicaid-programs-application-from-the-joint-commission-for-continued-cms-approval-of</t>
  </si>
  <si>
    <t>2025-02441</t>
  </si>
  <si>
    <t>Medicare Program; Announcement of Request for an Exception From the Prohibition on Expansion of Facility Capacity Under the Hospital Ownership and Rural Provider Exceptions to the Physician Self-Referral Prohibition</t>
  </si>
  <si>
    <t>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</si>
  <si>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https://www.federalregister.gov/documents/2025/02/11/2025-02441/medicare-program-announcement-of-request-for-an-exception-from-the-prohibition-on-expansion-of</t>
  </si>
  <si>
    <t>2025-02787</t>
  </si>
  <si>
    <t>Medicare and Medicaid Programs; Quarterly Listing of Program Issuances-October Through December 2024</t>
  </si>
  <si>
    <t>https://www.federalregister.gov/documents/2025/02/19/2025-02787/medicare-and-medicaid-programs-quarterly-listing-of-program-issuances-october-through-december-2024</t>
  </si>
  <si>
    <t>2025-02914</t>
  </si>
  <si>
    <t>Medicare and Medicaid Programs: Approval of Application From the American Association for Accreditation of Ambulatory Surgery Facilities dba QUAD A for Continued CMS-Approval of Its Outpatient Physical Therapy (OPT) Accreditation Program</t>
  </si>
  <si>
    <t>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</si>
  <si>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https://www.federalregister.gov/documents/2025/02/21/2025-02914/medicare-and-medicaid-programs-approval-of-application-from-the-american-association-for</t>
  </si>
  <si>
    <t>2025-02918</t>
  </si>
  <si>
    <t>Medicare and Medicaid Programs; Application From the Accreditation Commission for Health Care Inc. for Continued Approval of Its Home Health Agency Accreditation Program</t>
  </si>
  <si>
    <t>This notice announces our decision to approve the Accreditation Commission for Health Care Inc. (ACHC) for continued recognition as a national accrediting organization for home health agencies (HHAs) that wish to participate in the Medicare or Medicaid programs.</t>
  </si>
  <si>
    <t>https://www.federalregister.gov/documents/2025/02/21/2025-02918/medicare-and-medicaid-programs-application-from-the-accreditation-commission-for-health-care-inc-for</t>
  </si>
  <si>
    <t>2025-02938</t>
  </si>
  <si>
    <t>Notice of Hearing: Reconsideration of Disapproval Idaho Medicaid State Plan Amendment (SPA) 24-0015</t>
  </si>
  <si>
    <t>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</si>
  <si>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https://www.federalregister.gov/documents/2025/02/24/2025-02938/notice-of-hearing-reconsideration-of-disapproval-idaho-medicaid-state-plan-amendment-spa-24-0015</t>
  </si>
  <si>
    <t>2025-04887</t>
  </si>
  <si>
    <t>d-snp(4); medicare advantage(3); ma organization(2); special needs plan(2); dual eligible(1)</t>
  </si>
  <si>
    <t>https://www.federalregister.gov/documents/2025/03/21/2025-04887/agency-information-collection-activities-submission-for-omb-review-comment-request</t>
  </si>
  <si>
    <t>2025-04890</t>
  </si>
  <si>
    <t>d-snp(6); part c(3); ma organization(2)</t>
  </si>
  <si>
    <t>https://www.federalregister.gov/documents/2025/03/21/2025-04890/agency-information-collection-activities-proposed-collection-comment-request</t>
  </si>
  <si>
    <t>2025-05089</t>
  </si>
  <si>
    <t>https://www.federalregister.gov/documents/2025/03/26/2025-05089/agency-information-collection-activities-proposed-collection-comment-request</t>
  </si>
  <si>
    <t>2025-05530</t>
  </si>
  <si>
    <t>https://www.federalregister.gov/documents/2025/04/01/2025-05530/agency-information-collection-activities-submission-for-omb-review-comment-request</t>
  </si>
  <si>
    <t>2024-17603</t>
  </si>
  <si>
    <t>Medicare Program; Transitional Coverage for Emerging Technologies</t>
  </si>
  <si>
    <t>This final notice finalizes the process and procedures for the Transitional Coverage for Emerging Technologies (TCET) pathway and provides our responses to the public comments received.</t>
  </si>
  <si>
    <t>https://www.federalregister.gov/documents/2024/08/12/2024-17603/medicare-program-transitional-coverage-for-emerging-technologies</t>
  </si>
  <si>
    <t>2025-06400</t>
  </si>
  <si>
    <t>https://www.federalregister.gov/documents/2025/04/16/2025-06400/medicaid-and-childrens-health-insurance-program-chip-generic-information-collection-activities</t>
  </si>
  <si>
    <t>2025-06756</t>
  </si>
  <si>
    <t>Medicare Program: Public Meeting Regarding New and Reconsidered Clinical Diagnostic Laboratory Test Codes for the Clinical Laboratory Fee Schedule for Calendar Year 2026-June 27,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</si>
  <si>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</si>
  <si>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https://www.federalregister.gov/documents/2025/04/21/2025-06756/medicare-program-public-meeting-regarding-new-and-reconsidered-clinical-diagnostic-laboratory-test</t>
  </si>
  <si>
    <t>2025-06758</t>
  </si>
  <si>
    <t>Medicare Program: Meeting Announcement for the Medicare Advisory Panel on Clinical Diagnostic Laboratory Tests, July 23-24, 2025</t>
  </si>
  <si>
    <t>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</si>
  <si>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https://www.federalregister.gov/documents/2025/04/21/2025-06758/medicare-program-meeting-announcement-for-the-medicare-advisory-panel-on-clinical-diagnostic</t>
  </si>
  <si>
    <t>2025-06760</t>
  </si>
  <si>
    <t>part d(3); medigap(1)</t>
  </si>
  <si>
    <t>https://www.federalregister.gov/documents/2025/04/21/2025-06760/agency-information-collection-activities-proposed-collection-comment-request</t>
  </si>
  <si>
    <t>2025-06834</t>
  </si>
  <si>
    <t>Medicare Program; Virtual Meeting of the Medicare Evidence Development and Coverage Advisory Committee</t>
  </si>
  <si>
    <t>This notice announces a virtual public meeting of the Medicare Evidence Development &amp; Coverage Advisory Committee (MEDCAC) ("Committee") will be held on Wednesday, June 25, 2025.</t>
  </si>
  <si>
    <t>https://www.federalregister.gov/documents/2025/04/21/2025-06834/medicare-program-virtual-meeting-of-the-medicare-evidence-development-and-coverage-advisory</t>
  </si>
  <si>
    <t>2025-07247</t>
  </si>
  <si>
    <t>Medicare and Medicaid Programs: Application From DNV Healthcare, Inc. for Initial CMS-Approval of Its Ambulatory Surgical Center (ASC) Accreditation Program</t>
  </si>
  <si>
    <t>This notice acknowledges the receipt of an application from DNV Healthcare Inc. for initial recognition as a national accrediting organization for Ambulatory Surgical Centers that wish to participate in the Medicare or Medicaid programs.</t>
  </si>
  <si>
    <t>https://www.federalregister.gov/documents/2025/04/28/2025-07247/medicare-and-medicaid-programs-application-from-dnv-healthcare-inc-for-initial-cms-approval-of-its</t>
  </si>
  <si>
    <t>2025-07294</t>
  </si>
  <si>
    <t>Medicare Program; Announcement of Request for an Exception From the Prohibition on Expansion of Facility Capacity Under the Hospital Ownership and Rural Provider Exceptions to the Physician Self-Referral Prohibition; Recission</t>
  </si>
  <si>
    <t>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</si>
  <si>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https://www.federalregister.gov/documents/2025/04/28/2025-07294/medicare-program-announcement-of-request-for-an-exception-from-the-prohibition-on-expansion-of</t>
  </si>
  <si>
    <t>2025-07302</t>
  </si>
  <si>
    <t>https://www.federalregister.gov/documents/2025/04/28/2025-07302/agency-information-collection-activities-submission-for-omb-review-comment-request</t>
  </si>
  <si>
    <t>2025-06271</t>
  </si>
  <si>
    <t>medicare advantage(28); dual eligible(6); part c(4); part d(2); special needs plan(1)</t>
  </si>
  <si>
    <t>Medicare Program; Hospital Inpatient Prospective Payment Systems for Acute Care Hospitals and the Long-Term Care Hospital Prospective Payment System and Policy Changes and Fiscal Year 2026 Rates; Requirements for Quality Programs;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</si>
  <si>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</si>
  <si>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https://www.federalregister.gov/documents/2025/04/30/2025-06271/medicare-program-hospital-inpatient-prospective-payment-systems-for-acute-care-hospitals-and-the</t>
  </si>
  <si>
    <t>2025-06298</t>
  </si>
  <si>
    <t>Medicare Program; FY 2026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</si>
  <si>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</si>
  <si>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https://www.federalregister.gov/documents/2025/04/30/2025-06298/medicare-program-fy-2026-inpatient-psychiatric-facilities-prospective-payment-system-rate-update</t>
  </si>
  <si>
    <t>2025-06317</t>
  </si>
  <si>
    <t>Medicare Program; FY 2026 Hospice Wage Index and Payment Rate Update and Hospice Quality Reporting Program Requirements</t>
  </si>
  <si>
    <t>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</si>
  <si>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https://www.federalregister.gov/documents/2025/04/30/2025-06317/medicare-program-fy-2026-hospice-wage-index-and-payment-rate-update-and-hospice-quality-reporting</t>
  </si>
  <si>
    <t>2025-06336</t>
  </si>
  <si>
    <t>medicare advantage(1); part c(1)</t>
  </si>
  <si>
    <t>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</si>
  <si>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</si>
  <si>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https://www.federalregister.gov/documents/2025/04/30/2025-06336/medicare-program-inpatient-rehabilitation-facility-prospective-payment-system-for-federal-fiscal</t>
  </si>
  <si>
    <t>2025-06348</t>
  </si>
  <si>
    <t>Medicare Program; Prospective Payment System and Consolidated Billing for Skilled Nursing Facilities; Updates to the Quality Reporting Program for Federal Fiscal Year 2026</t>
  </si>
  <si>
    <t>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</si>
  <si>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https://www.federalregister.gov/documents/2025/04/30/2025-06348/medicare-program-prospective-payment-system-and-consolidated-billing-for-skilled-nursing-facilities</t>
  </si>
  <si>
    <t>2025-07943</t>
  </si>
  <si>
    <t>Medicare Program; Public Meeting for New Revisions to the Healthcare Common Procedure Coding System (HCPCS) Coding</t>
  </si>
  <si>
    <t>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</si>
  <si>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https://www.federalregister.gov/documents/2025/05/07/2025-07943/medicare-program-public-meeting-for-new-revisions-to-the-healthcare-common-procedure-coding-system</t>
  </si>
  <si>
    <t>2025-08307</t>
  </si>
  <si>
    <t>part d(11)</t>
  </si>
  <si>
    <t>https://www.federalregister.gov/documents/2025/05/12/2025-08307/agency-information-collection-activities-submission-for-omb-review-comment-request</t>
  </si>
  <si>
    <t>2025-08348</t>
  </si>
  <si>
    <t>part d(9); part c(2); ma organization(1)</t>
  </si>
  <si>
    <t>https://www.federalregister.gov/documents/2025/05/13/2025-08348/agency-information-collection-activities-proposed-collection-comment-request</t>
  </si>
  <si>
    <t>2025-08423</t>
  </si>
  <si>
    <t>https://www.federalregister.gov/documents/2025/05/13/2025-08423/agency-information-collection-activities-proposed-collection-comment-request</t>
  </si>
  <si>
    <t>2024-20174</t>
  </si>
  <si>
    <t>Medicare Program; Medicare Prescription Drug Benefit Program; Health Information Technology Standards and Implementation Specifications; Correction</t>
  </si>
  <si>
    <t>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</si>
  <si>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https://www.federalregister.gov/documents/2024/09/09/2024-20174/medicare-program-medicare-prescription-drug-benefit-program-health-information-technology-standards</t>
  </si>
  <si>
    <t>2025-08607</t>
  </si>
  <si>
    <t>Medicare Program; Inflation Reduction Act (IRA) Medicare Drug Price Negotiation Program Draft Guidance; Comment Request</t>
  </si>
  <si>
    <t>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</si>
  <si>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https://www.federalregister.gov/documents/2025/05/15/2025-08607/medicare-program-inflation-reduction-act-ira-medicare-drug-price-negotiation-program-draft-guidance</t>
  </si>
  <si>
    <t>2025-08676</t>
  </si>
  <si>
    <t>part d(34)</t>
  </si>
  <si>
    <t>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</si>
  <si>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</si>
  <si>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https://www.federalregister.gov/documents/2025/05/16/2025-08676/medicare-and-medicaid-programs-cy-2025-payment-policies-under-the-physician-fee-schedule-and-other</t>
  </si>
  <si>
    <t>2024-21254</t>
  </si>
  <si>
    <t>part d(14); medicare advantage(1); dual eligible(1)</t>
  </si>
  <si>
    <t>Medicaid Program; Misclassification of Drugs, Program Administration and Program Integrity Updates Under the Medicaid Drug Rebate Program</t>
  </si>
  <si>
    <t>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</si>
  <si>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https://www.federalregister.gov/documents/2024/09/26/2024-21254/medicaid-program-misclassification-of-drugs-program-administration-and-program-integrity-updates</t>
  </si>
  <si>
    <t>2025-08722</t>
  </si>
  <si>
    <t>Medicare Program; Request for Renewal of Deeming Authority of the Utilization Review Accreditation Commission (URAC) for Medicare Advantage Health Maintenance Organizations and Preferred Provider Organizations</t>
  </si>
  <si>
    <t>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</si>
  <si>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https://www.federalregister.gov/documents/2025/05/16/2025-08722/medicare-program-request-for-renewal-of-deeming-authority-of-the-utilization-review-accreditation</t>
  </si>
  <si>
    <t>accreditor approval</t>
  </si>
  <si>
    <t>2025-08753</t>
  </si>
  <si>
    <t>Medicare and Medicaid Programs; Quarterly Listing of Program Issuances-January Through March 2025</t>
  </si>
  <si>
    <t>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</si>
  <si>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https://www.federalregister.gov/documents/2025/05/16/2025-08753/medicare-and-medicaid-programs-quarterly-listing-of-program-issuances-january-through-march-2025</t>
  </si>
  <si>
    <t>2025-09138</t>
  </si>
  <si>
    <t>part d(7); part c(6); medicare advantage(1)</t>
  </si>
  <si>
    <t>https://www.federalregister.gov/documents/2025/05/21/2025-09138/agency-information-collection-activities-proposed-collection-comment-request</t>
  </si>
  <si>
    <t>2025-09144</t>
  </si>
  <si>
    <t>https://www.federalregister.gov/documents/2025/05/21/2025-09144/agency-information-collection-activities-submission-for-omb-review-comment-request</t>
  </si>
  <si>
    <t>C1-2025-06317</t>
  </si>
  <si>
    <t>https://www.federalregister.gov/documents/2025/05/21/C1-2025-06317/medicare-program-fy-2026-hospice-wage-index-and-payment-rate-update-and-hospice-quality-reporting</t>
  </si>
  <si>
    <t>C1-2025-06348</t>
  </si>
  <si>
    <t>https://www.federalregister.gov/documents/2025/05/21/C1-2025-06348/medicare-program-prospective-payment-system-and-consolidated-billing-for-skilled-nursing-facilities</t>
  </si>
  <si>
    <t>2025-09495</t>
  </si>
  <si>
    <t>https://www.federalregister.gov/documents/2025/05/28/2025-09495/agency-information-collection-activities-proposed-collection-comment-request</t>
  </si>
  <si>
    <t>2025-09496</t>
  </si>
  <si>
    <t>https://www.federalregister.gov/documents/2025/05/28/2025-09496/agency-information-collection-activities-submission-for-omb-review-comment-request</t>
  </si>
  <si>
    <t>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</si>
  <si>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</si>
  <si>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https://www.federalregister.gov/documents/2024/09/27/2024-22054/medicare-program-mitigating-the-impact-of-significant-anomalous-and-highly-suspect-billing-activity</t>
  </si>
  <si>
    <t>2025-09813</t>
  </si>
  <si>
    <t>https://www.federalregister.gov/documents/2025/05/30/2025-09813/agency-information-collection-activities-submission-for-omb-review-comment-request</t>
  </si>
  <si>
    <t>2025-09870</t>
  </si>
  <si>
    <t>Medicare and Medicaid Programs; Application From The Joint Commission for Continued Approval of its Hospice Accreditation Program</t>
  </si>
  <si>
    <t>This notice announces our decision to approve The Joint Commission for continued recognition as a national accrediting organization for hospices that wish to participate in the Medicare or Medicaid programs.</t>
  </si>
  <si>
    <t>https://www.federalregister.gov/documents/2025/06/02/2025-09870/medicare-and-medicaid-programs-application-from-the-joint-commission-for-continued-approval-of-its</t>
  </si>
  <si>
    <t>2025-10112</t>
  </si>
  <si>
    <t>https://www.federalregister.gov/documents/2025/06/04/2025-10112/agency-information-collection-activities-proposed-collection-comment-request</t>
  </si>
  <si>
    <t>2025-10261</t>
  </si>
  <si>
    <t>Medicare Program; Hospital Inpatient Prospective Payment Systems for Acute Care Hospitals and the Long-Term Care Hospital Prospective Payment System and Policy Changes and Fiscal Year 2026 Rates; Requirements for Quality Programs; and Other Policy Changes; Correction</t>
  </si>
  <si>
    <t>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</si>
  <si>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https://www.federalregister.gov/documents/2025/06/05/2025-10261/medicare-program-hospital-inpatient-prospective-payment-systems-for-acute-care-hospitals-and-the</t>
  </si>
  <si>
    <t>2025-10401</t>
  </si>
  <si>
    <t>Medicare Program; Public Meeting for Air Ambulance Quality &amp; Patient Safety Advisory Committee Notice of Public Meeting-July 10, 2025</t>
  </si>
  <si>
    <t>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</si>
  <si>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https://www.federalregister.gov/documents/2025/06/09/2025-10401/medicare-program-public-meeting-for-air-ambulance-quality-and-patient-safety-advisory-committee</t>
  </si>
  <si>
    <t>2025-10521</t>
  </si>
  <si>
    <t>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</si>
  <si>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https://www.federalregister.gov/documents/2025/06/11/2025-10521/agency-information-collection-activities-submission-for-omb-review-comment-request</t>
  </si>
  <si>
    <t>2025-10533</t>
  </si>
  <si>
    <t>d-snp(4); part c(3); ma organization(2)</t>
  </si>
  <si>
    <t>https://www.federalregister.gov/documents/2025/06/11/2025-10533/agency-information-collection-activities-submission-for-omb-review-comment-request</t>
  </si>
  <si>
    <t>2025-10534</t>
  </si>
  <si>
    <t>https://www.federalregister.gov/documents/2025/06/11/2025-10534/agency-information-collection-activities-proposed-collection-comment-request</t>
  </si>
  <si>
    <t>2025-10650</t>
  </si>
  <si>
    <t>https://www.federalregister.gov/documents/2025/06/12/2025-10650/agency-information-collection-activities-proposed-collection-comment-request</t>
  </si>
  <si>
    <t>2025-10730</t>
  </si>
  <si>
    <t>https://www.federalregister.gov/documents/2025/06/12/2025-10730/medicaid-and-childrens-health-insurance-program-chip-generic-information-collection-activities</t>
  </si>
  <si>
    <t>2025-10820</t>
  </si>
  <si>
    <t>https://www.federalregister.gov/documents/2025/06/13/2025-10820/agency-information-collection-activities-submission-for-omb-review-comment-request</t>
  </si>
  <si>
    <t>2025-10824</t>
  </si>
  <si>
    <t>https://www.federalregister.gov/documents/2025/06/13/2025-10824/medicaid-and-childrens-health-insurance-program-chip-generic-information-collection-activities</t>
  </si>
  <si>
    <t>2025-11157</t>
  </si>
  <si>
    <t>https://www.federalregister.gov/documents/2025/06/17/2025-11157/agency-information-collection-activities-submission-for-omb-review-comment-request</t>
  </si>
  <si>
    <t>2025-11324</t>
  </si>
  <si>
    <t>https://www.federalregister.gov/documents/2025/06/20/2025-11324/agency-information-collection-activities-proposed-collection-comment-request</t>
  </si>
  <si>
    <t>2025-11408</t>
  </si>
  <si>
    <t>c-snp(2)</t>
  </si>
  <si>
    <t>https://www.federalregister.gov/documents/2025/06/23/2025-11408/agency-information-collection-activities-submission-for-omb-review-comment-request</t>
  </si>
  <si>
    <t>2025-11411</t>
  </si>
  <si>
    <t>https://www.federalregister.gov/documents/2025/06/23/2025-11411/agency-information-collection-activities-proposed-collection-comment-request</t>
  </si>
  <si>
    <t>2025-11451</t>
  </si>
  <si>
    <t>Medicare and Medicaid Programs; Application From The Joint Commission for Continued CMS Approval of its Hospital Accreditation Program</t>
  </si>
  <si>
    <t>This final notice announces our decision to approve The Joint Commission for continued CMS-recognition as a national accrediting organization for hospitals that wish to participate in the Medicare or Medicaid programs.</t>
  </si>
  <si>
    <t>https://www.federalregister.gov/documents/2025/06/23/2025-11451/medicare-and-medicaid-programs-application-from-the-joint-commission-for-continued-cms-approval-of</t>
  </si>
  <si>
    <t>2025-11519</t>
  </si>
  <si>
    <t>Medicaid and Children's Health Insurance Program (CHIP) Generic Information Collection Activities: Proposed Collection; Extension of Comment Period</t>
  </si>
  <si>
    <t>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</si>
  <si>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https://www.federalregister.gov/documents/2025/06/24/2025-11519/medicaid-and-childrens-health-insurance-program-chip-generic-information-collection-activities</t>
  </si>
  <si>
    <t>2025-11701</t>
  </si>
  <si>
    <t>Medicare and Medicaid Programs: Application From the Accreditation Commission for Health Care (ACHC) for Continued Approval of Its Hospice Accreditation Program</t>
  </si>
  <si>
    <t>This proposed notice acknowledges the receipt of an application from the Accreditation Commission for Health Care, for continued recognition as a national accrediting organization for hospices that wish to participate in the Medicare or Medicaid programs.</t>
  </si>
  <si>
    <t>https://www.federalregister.gov/documents/2025/06/25/2025-11701/medicare-and-medicaid-programs-application-from-the-accreditation-commission-for-health-care-achc</t>
  </si>
  <si>
    <t>2025-11865</t>
  </si>
  <si>
    <t>Secretarial Comments on the CBE's (Battelle Memorial Institute) 2024 Activities: Report to Congress and the Secretary of the Department of Health and Human Services</t>
  </si>
  <si>
    <t>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</si>
  <si>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https://www.federalregister.gov/documents/2025/06/27/2025-11865/secretarial-comments-on-the-cbes-battelle-memorial-institute-2024-activities-report-to-congress-and</t>
  </si>
  <si>
    <t>2025-11900</t>
  </si>
  <si>
    <t>https://www.federalregister.gov/documents/2025/06/27/2025-11900/agency-information-collection-activities-submission-for-omb-review-comment-request</t>
  </si>
  <si>
    <t>2025-11980</t>
  </si>
  <si>
    <t>https://www.federalregister.gov/documents/2025/06/27/2025-11980/agency-information-collection-activities-proposed-collection-comment-request</t>
  </si>
  <si>
    <t>2025-11979</t>
  </si>
  <si>
    <t>https://www.federalregister.gov/documents/2025/06/30/2025-11979/agency-information-collection-activities-proposed-collection-comment-request</t>
  </si>
  <si>
    <t>2025-12149</t>
  </si>
  <si>
    <t>https://www.federalregister.gov/documents/2025/06/30/2025-12149/agency-information-collection-activities-proposed-collection-comment-request</t>
  </si>
  <si>
    <t>2024-22203</t>
  </si>
  <si>
    <t>medicare advantage(8); part c(1); part d(1); d-snp(1)</t>
  </si>
  <si>
    <t>https://www.federalregister.gov/documents/2024/09/30/2024-22203/medicare-program-changes-to-the-medicare-advantage-and-the-medicare-prescription-drug-benefit</t>
  </si>
  <si>
    <t>marginal (strong kw=9)</t>
  </si>
  <si>
    <t>2025-12281</t>
  </si>
  <si>
    <t>https://www.federalregister.gov/documents/2025/07/01/2025-12281/agency-information-collection-activities-proposed-collection-comment-request</t>
  </si>
  <si>
    <t>2025-12347</t>
  </si>
  <si>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</si>
  <si>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</si>
  <si>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https://www.federalregister.gov/documents/2025/07/02/2025-12347/medicare-and-medicaid-programs-calendar-year-2026-home-health-prospective-payment-system-hh-pps-rate</t>
  </si>
  <si>
    <t>2025-12368</t>
  </si>
  <si>
    <t>dual eligible(4); part d(1)</t>
  </si>
  <si>
    <t>Medicare Program; End-Stage Renal Disease Prospective Payment System, Payment for Renal Dialysis Services Furnished to Individuals With Acute Kidney Injury, End-Stage Renal Disease Quality Incentive Program, and End-Stage Renal Disease Treatment Choices Model</t>
  </si>
  <si>
    <t>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</si>
  <si>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https://www.federalregister.gov/documents/2025/07/02/2025-12368/medicare-program-end-stage-renal-disease-prospective-payment-system-payment-for-renal-dialysis</t>
  </si>
  <si>
    <t>2025-12399</t>
  </si>
  <si>
    <t>https://www.federalregister.gov/documents/2025/07/03/2025-12399/agency-information-collection-activities-submission-for-omb-review-comment-request</t>
  </si>
  <si>
    <t>2025-12402</t>
  </si>
  <si>
    <t>https://www.federalregister.gov/documents/2025/07/03/2025-12402/agency-information-collection-activities-proposed-collection-comment-request</t>
  </si>
  <si>
    <t>2025-12566</t>
  </si>
  <si>
    <t>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</si>
  <si>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https://www.federalregister.gov/documents/2025/07/07/2025-12566/agency-information-collection-activities-submission-for-omb-review-comment-request-correction</t>
  </si>
  <si>
    <t>2025-12567</t>
  </si>
  <si>
    <t>Agency Information Collection Activities: Proposed Collection; Comment Request; Correction</t>
  </si>
  <si>
    <t>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</si>
  <si>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https://www.federalregister.gov/documents/2025/07/07/2025-12567/agency-information-collection-activities-proposed-collection-comment-request-correction</t>
  </si>
  <si>
    <t>2025-12585</t>
  </si>
  <si>
    <t>https://www.federalregister.gov/documents/2025/07/07/2025-12585/agency-information-collection-activities-proposed-collection-comment-request</t>
  </si>
  <si>
    <t>C1-2025-12347</t>
  </si>
  <si>
    <t>https://www.federalregister.gov/documents/2025/07/09/C1-2025-12347/medicare-and-medicaid-programs-calendar-year-2026-home-health-prospective-payment-system-hh-pps-rate</t>
  </si>
  <si>
    <t>2025-12982</t>
  </si>
  <si>
    <t>https://www.federalregister.gov/documents/2025/07/11/2025-12982/agency-information-collection-activities-proposed-collection-comment-request</t>
  </si>
  <si>
    <t>2025-12983</t>
  </si>
  <si>
    <t>medigap(1)</t>
  </si>
  <si>
    <t>https://www.federalregister.gov/documents/2025/07/11/2025-12983/agency-information-collection-activities-submission-for-omb-review-comment-request</t>
  </si>
  <si>
    <t>2025-13004</t>
  </si>
  <si>
    <t>Privacy Act of 1974; System of Records</t>
  </si>
  <si>
    <t>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</si>
  <si>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https://www.federalregister.gov/documents/2025/07/11/2025-13004/privacy-act-of-1974-system-of-records</t>
  </si>
  <si>
    <t>C2-2025-12347</t>
  </si>
  <si>
    <t>https://www.federalregister.gov/documents/2025/07/11/C2-2025-12347/medicare-and-medicaid-programs-calendar-year-2026-home-health-prospective-payment-system-hh-pps-rate</t>
  </si>
  <si>
    <t>2025-13042</t>
  </si>
  <si>
    <t>https://www.federalregister.gov/documents/2025/07/14/2025-13042/agency-information-collection-activities-proposed-collection-comment-request</t>
  </si>
  <si>
    <t>2025-13055</t>
  </si>
  <si>
    <t>https://www.federalregister.gov/documents/2025/07/14/2025-13055/agency-information-collection-activities-submission-for-omb-review-comment-request</t>
  </si>
  <si>
    <t>2025-13271</t>
  </si>
  <si>
    <t>part d(145); dual eligible(14); medicare advantage(7)</t>
  </si>
  <si>
    <t>Medicare and Medicaid Programs; CY 2026 Payment Policies Under the Physician Fee Schedule and Other Changes to Part B Payment and Coverage Policies; Medicare Shared Savings Program Requirements; and Medicare Prescription Drug Inflation Rebate Program</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</si>
  <si>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</si>
  <si>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https://www.federalregister.gov/documents/2025/07/16/2025-13271/medicare-and-medicaid-programs-cy-2026-payment-policies-under-the-physician-fee-schedule-and-other</t>
  </si>
  <si>
    <t>2025-13360</t>
  </si>
  <si>
    <t>medicare advantage(5); ma organization(4); dual eligible(1)</t>
  </si>
  <si>
    <t>Medicare and Medicaid Programs: Hospital Outpatient Prospective Payment and Ambulatory Surgical Center Payment Systems; Quality Reporting Programs; Overall Hospital Quality Star Ratings; and Hospital Price Transparency</t>
  </si>
  <si>
    <t>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</si>
  <si>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https://www.federalregister.gov/documents/2025/07/17/2025-13360/medicare-and-medicaid-programs-hospital-outpatient-prospective-payment-and-ambulatory-surgical</t>
  </si>
  <si>
    <t>2025-13428</t>
  </si>
  <si>
    <t>Medicare Program; Announcement of the Advisory Panel on Hospital Outpatient Payment Meeting-August 25, 2025</t>
  </si>
  <si>
    <t>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</si>
  <si>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https://www.federalregister.gov/documents/2025/07/17/2025-13428/medicare-program-announcement-of-the-advisory-panel-on-hospital-outpatient-payment-meeting-august-25</t>
  </si>
  <si>
    <t>2025-13673</t>
  </si>
  <si>
    <t>https://www.federalregister.gov/documents/2025/07/21/2025-13673/agency-information-collection-activities-submission-for-omb-review-comment-request</t>
  </si>
  <si>
    <t>2025-13676</t>
  </si>
  <si>
    <t>https://www.federalregister.gov/documents/2025/07/21/2025-13676/agency-information-collection-activities-proposed-collection-comment-request</t>
  </si>
  <si>
    <t>2025-13824</t>
  </si>
  <si>
    <t>Medicare and Medicaid Programs: Application From the Accreditation Commission for Health Care for Continued Approval of Its Critical Access Hospital Accreditation Program</t>
  </si>
  <si>
    <t>This notice acknowledges the receipt of an application from the Accreditation Commission for Health Care for continued recognition as a national accrediting organization for critical access hospitals that wish to participate in the Medicare or Medicaid programs.</t>
  </si>
  <si>
    <t>https://www.federalregister.gov/documents/2025/07/23/2025-13824/medicare-and-medicaid-programs-application-from-the-accreditation-commission-for-health-care-for</t>
  </si>
  <si>
    <t>2025-14210</t>
  </si>
  <si>
    <t>part d(8); d-snp(2); ma organization(1); part c(1)</t>
  </si>
  <si>
    <t>https://www.federalregister.gov/documents/2025/07/28/2025-14210/agency-information-collection-activities-submission-for-omb-review-comment-request</t>
  </si>
  <si>
    <t>2025-14434</t>
  </si>
  <si>
    <t>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</si>
  <si>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https://www.federalregister.gov/documents/2025/07/30/2025-14434/medicare-program-alternative-payment-model-apm-incentive-payment-advisory-for-clinicians-request-for</t>
  </si>
  <si>
    <t>2025-14479</t>
  </si>
  <si>
    <t>part d(7); ma organization(2); d-snp(2); medicare advantage(1); special needs plan(1); dual eligible(1)</t>
  </si>
  <si>
    <t>https://www.federalregister.gov/documents/2025/07/31/2025-14479/agency-information-collection-activities-proposed-collection-comment-request</t>
  </si>
  <si>
    <t>2025-14524</t>
  </si>
  <si>
    <t>https://www.federalregister.gov/documents/2025/08/01/2025-14524/agency-information-collection-activities-proposed-collection-comment-request</t>
  </si>
  <si>
    <t>2025-14525</t>
  </si>
  <si>
    <t>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</si>
  <si>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https://www.federalregister.gov/documents/2025/08/01/2025-14525/agency-information-collection-activities-submission-for-omb-review-comment-request-correction</t>
  </si>
  <si>
    <t>2025-14679</t>
  </si>
  <si>
    <t>dual eligible(5)</t>
  </si>
  <si>
    <t>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</si>
  <si>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https://www.federalregister.gov/documents/2025/08/04/2025-14679/medicare-program-prospective-payment-system-and-consolidated-billing-for-skilled-nursing-facilities</t>
  </si>
  <si>
    <t>2025-14681</t>
  </si>
  <si>
    <t>part d(114); medicare advantage(50); part c(8); dual eligible(7); ma organization(2); special needs plan(2)</t>
  </si>
  <si>
    <t>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</si>
  <si>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</si>
  <si>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https://www.federalregister.gov/documents/2025/08/04/2025-14681/medicare-program-hospital-inpatient-prospective-payment-systems-for-acute-care-hospitals-ipps-and</t>
  </si>
  <si>
    <t>2025-14780</t>
  </si>
  <si>
    <t>medicare advantage(2); part c(1)</t>
  </si>
  <si>
    <t>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</si>
  <si>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https://www.federalregister.gov/documents/2025/08/05/2025-14780/medicare-program-inpatient-rehabilitation-facility-prospective-payment-system-for-federal-fiscal</t>
  </si>
  <si>
    <t>2025-14781</t>
  </si>
  <si>
    <t>medicare advantage(3)</t>
  </si>
  <si>
    <t>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</si>
  <si>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https://www.federalregister.gov/documents/2025/08/05/2025-14781/medicare-program-fy-2026-inpatient-psychiatric-facilities-prospective-payment-system-rate-update</t>
  </si>
  <si>
    <t>2025-14782</t>
  </si>
  <si>
    <t>medicare advantage(2); dual eligible(2)</t>
  </si>
  <si>
    <t>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</si>
  <si>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https://www.federalregister.gov/documents/2025/08/05/2025-14782/medicare-program-fy-2026-hospice-wage-index-and-payment-rate-update-and-hospice-quality-reporting</t>
  </si>
  <si>
    <t>2025-14822</t>
  </si>
  <si>
    <t>Medicare and Medicaid Programs; Quarterly Listing of Program Issuances-April Through June 2025</t>
  </si>
  <si>
    <t>https://www.federalregister.gov/documents/2025/08/05/2025-14822/medicare-and-medicaid-programs-quarterly-listing-of-program-issuances-april-through-june-2025</t>
  </si>
  <si>
    <t>2025-14828</t>
  </si>
  <si>
    <t>https://www.federalregister.gov/documents/2025/08/05/2025-14828/agency-information-collection-activities-proposed-collection-comment-request</t>
  </si>
  <si>
    <t>2025-14829</t>
  </si>
  <si>
    <t>https://www.federalregister.gov/documents/2025/08/05/2025-14829/agency-information-collection-activities-submission-for-omb-review-comment-request</t>
  </si>
  <si>
    <t>2025-15386</t>
  </si>
  <si>
    <t>https://www.federalregister.gov/documents/2025/08/13/2025-15386/agency-information-collection-activities-submission-for-omb-review-comment-request</t>
  </si>
  <si>
    <t>2025-15492</t>
  </si>
  <si>
    <t>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</si>
  <si>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</si>
  <si>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https://www.federalregister.gov/documents/2025/08/14/2025-15492/medicare-and-medicaid-programs-cy-2026-payment-policies-under-the-physician-fee-schedule-and-other</t>
  </si>
  <si>
    <t>2025-15616</t>
  </si>
  <si>
    <t>https://www.federalregister.gov/documents/2025/08/18/2025-15616/agency-information-collection-activities-proposed-collection-comment-request</t>
  </si>
  <si>
    <t>2025-15935</t>
  </si>
  <si>
    <t>https://www.federalregister.gov/documents/2025/08/21/2025-15935/agency-information-collection-activities-submission-for-omb-review-comment-request</t>
  </si>
  <si>
    <t>2025-15981</t>
  </si>
  <si>
    <t>https://www.federalregister.gov/documents/2025/08/21/2025-15981/agency-information-collection-activities-proposed-collection-comment-request</t>
  </si>
  <si>
    <t>2025-16171</t>
  </si>
  <si>
    <t>https://www.federalregister.gov/documents/2025/08/25/2025-16171/medicaid-and-childrens-health-insurance-program-chip-generic-information-collection-activities</t>
  </si>
  <si>
    <t>2025-16343</t>
  </si>
  <si>
    <t>https://www.federalregister.gov/documents/2025/08/26/2025-16343/medicaid-and-childrens-health-insurance-program-chip-generic-information-collection-activities</t>
  </si>
  <si>
    <t>2025-16488</t>
  </si>
  <si>
    <t>https://www.federalregister.gov/documents/2025/08/28/2025-16488/agency-information-collection-activities-submission-for-omb-review-comment-request</t>
  </si>
  <si>
    <t>C3-2025-12347</t>
  </si>
  <si>
    <t>https://www.federalregister.gov/documents/2025/08/28/C3-2025-12347/medicare-and-medicaid-programs-calendar-year-2026-home-health-prospective-payment-system-hh-pps-rate</t>
  </si>
  <si>
    <t>2025-16572</t>
  </si>
  <si>
    <t>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</si>
  <si>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https://www.federalregister.gov/documents/2025/08/29/2025-16572/agency-information-collection-activities-proposed-collection-comment-request</t>
  </si>
  <si>
    <t>2025-16589</t>
  </si>
  <si>
    <t>https://www.federalregister.gov/documents/2025/08/29/2025-16589/agency-information-collection-activities-proposed-collection-comment-request</t>
  </si>
  <si>
    <t>2025-16789</t>
  </si>
  <si>
    <t>https://www.federalregister.gov/documents/2025/09/02/2025-16789/agency-information-collection-activities-submission-for-omb-review-comment-request</t>
  </si>
  <si>
    <t>2025-16803</t>
  </si>
  <si>
    <t>https://www.federalregister.gov/documents/2025/09/03/2025-16803/agency-information-collection-activities-proposed-collection-comment-request</t>
  </si>
  <si>
    <t>2025-16960</t>
  </si>
  <si>
    <t>Medicare Program; FY 2026 Hospice Wage Index and Payment Rate Update and Hospice Quality Reporting Program Requirements; Correction</t>
  </si>
  <si>
    <t>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</si>
  <si>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https://www.federalregister.gov/documents/2025/09/04/2025-16960/medicare-program-fy-2026-hospice-wage-index-and-payment-rate-update-and-hospice-quality-reporting</t>
  </si>
  <si>
    <t>2025-16983</t>
  </si>
  <si>
    <t>https://www.federalregister.gov/documents/2025/09/05/2025-16983/agency-information-collection-activities-proposed-collection-comment-request</t>
  </si>
  <si>
    <t>2025-17019</t>
  </si>
  <si>
    <t>part d(6); part c(5); medicare advantage(1)</t>
  </si>
  <si>
    <t>https://www.federalregister.gov/documents/2025/09/05/2025-17019/agency-information-collection-activities-submission-for-omb-review-comment-request</t>
  </si>
  <si>
    <t>2025-17037</t>
  </si>
  <si>
    <t>medicare advantage(3); part c(1); part d(1)</t>
  </si>
  <si>
    <t>Medicare Program; Approved Renewal of Deeming Authority of the Utilization Review Accreditation Commission (URAC) for Medicare Advantage Health Maintenance Organizations and Local Preferred Provider Organizations</t>
  </si>
  <si>
    <t>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</si>
  <si>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https://www.federalregister.gov/documents/2025/09/05/2025-17037/medicare-program-approved-renewal-of-deeming-authority-of-the-utilization-review-accreditation</t>
  </si>
  <si>
    <t>2025-17121</t>
  </si>
  <si>
    <t>https://www.federalregister.gov/documents/2025/09/08/2025-17121/medicaid-and-childrens-health-insurance-program-chip-generic-information-collection-activities</t>
  </si>
  <si>
    <t>2025-17202</t>
  </si>
  <si>
    <t>Agency Information Collection Activities: Proposed Collection; Extension of Comment Period</t>
  </si>
  <si>
    <t>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</si>
  <si>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https://www.federalregister.gov/documents/2025/09/08/2025-17202/agency-information-collection-activities-proposed-collection-extension-of-comment-period</t>
  </si>
  <si>
    <t>2025-17203</t>
  </si>
  <si>
    <t>https://www.federalregister.gov/documents/2025/09/08/2025-17203/agency-information-collection-activities-proposed-collection-comment-request</t>
  </si>
  <si>
    <t>2025-17401</t>
  </si>
  <si>
    <t>Medicare Program; Town Hall Meeting on the Fiscal Year 2027 Applications for New Technology Add-On Payments</t>
  </si>
  <si>
    <t>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</si>
  <si>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https://www.federalregister.gov/documents/2025/09/10/2025-17401/medicare-program-town-hall-meeting-on-the-fiscal-year-2027-applications-for-new-technology-add-on</t>
  </si>
  <si>
    <t>2025-17660</t>
  </si>
  <si>
    <t>https://www.federalregister.gov/documents/2025/09/12/2025-17660/agency-information-collection-activities-submission-for-omb-review-comment-request</t>
  </si>
  <si>
    <t>2025-17686</t>
  </si>
  <si>
    <t>https://www.federalregister.gov/documents/2025/09/12/2025-17686/agency-information-collection-activities-proposed-collection-comment-request</t>
  </si>
  <si>
    <t>2025-18216</t>
  </si>
  <si>
    <t>https://www.federalregister.gov/documents/2025/09/19/2025-18216/agency-information-collection-activities-proposed-collection-comment-request</t>
  </si>
  <si>
    <t>2025-18219</t>
  </si>
  <si>
    <t>https://www.federalregister.gov/documents/2025/09/19/2025-18219/agency-information-collection-activities-submission-for-omb-review-comment-request</t>
  </si>
  <si>
    <t>2024-23103</t>
  </si>
  <si>
    <t>Patient Protection and Affordable Care Act; HHS Notice of Benefit and Payment Parameters for 2026; and Basic Health Program</t>
  </si>
  <si>
    <t>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</si>
  <si>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https://www.federalregister.gov/documents/2024/10/10/2024-23103/patient-protection-and-affordable-care-act-hhs-notice-of-benefit-and-payment-parameters-for-2026-and</t>
  </si>
  <si>
    <t>marginal (strong kw=3)</t>
  </si>
  <si>
    <t>2025-18433</t>
  </si>
  <si>
    <t>https://www.federalregister.gov/documents/2025/09/23/2025-18433/agency-information-collection-activities-proposed-collection-comment-request</t>
  </si>
  <si>
    <t>2025-18448</t>
  </si>
  <si>
    <t>part d(5); medicare advantage(3); ma organization(1)</t>
  </si>
  <si>
    <t>https://www.federalregister.gov/documents/2025/09/24/2025-18448/agency-information-collection-activities-proposed-collection-comment-request</t>
  </si>
  <si>
    <t>2025-18506</t>
  </si>
  <si>
    <t>https://www.federalregister.gov/documents/2025/09/24/2025-18506/agency-information-collection-activities-submission-for-omb-review-comment-request</t>
  </si>
  <si>
    <t>2025-18533</t>
  </si>
  <si>
    <t>https://www.federalregister.gov/documents/2025/09/25/2025-18533/agency-information-collection-activities-proposed-collection-comment-request</t>
  </si>
  <si>
    <t>2025-18649</t>
  </si>
  <si>
    <t>https://www.federalregister.gov/documents/2025/09/25/2025-18649/agency-information-collection-activities-proposed-collection-comment-request</t>
  </si>
  <si>
    <t>2025-18826</t>
  </si>
  <si>
    <t>Agency Information Collection Activities: Proposed Collection; 30-Day Emergency Extension Request</t>
  </si>
  <si>
    <t>https://www.federalregister.gov/documents/2025/09/29/2025-18826/agency-information-collection-activities-proposed-collection-30-day-emergency-extension-request</t>
  </si>
  <si>
    <t>2025-18979</t>
  </si>
  <si>
    <t>https://www.federalregister.gov/documents/2025/09/30/2025-18979/agency-information-collection-activities-submission-for-omb-review-comment-request</t>
  </si>
  <si>
    <t>2025-19284</t>
  </si>
  <si>
    <t>https://www.federalregister.gov/documents/2025/10/02/2025-19284/agency-information-collection-activities-submission-for-omb-review-comment-request</t>
  </si>
  <si>
    <t>2025-19787</t>
  </si>
  <si>
    <t>part d(297); dual eligible(33); medicare advantage(14); part c(1)</t>
  </si>
  <si>
    <t>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</si>
  <si>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https://www.federalregister.gov/documents/2025/11/05/2025-19787/medicare-and-medicaid-programs-cy-2026-payment-policies-under-the-physician-fee-schedule-and-other</t>
  </si>
  <si>
    <t>2025-20058</t>
  </si>
  <si>
    <t>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</si>
  <si>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https://www.federalregister.gov/documents/2025/11/18/2025-20058/privacy-act-of-1974-matching-program</t>
  </si>
  <si>
    <t>2025-20073</t>
  </si>
  <si>
    <t>https://www.federalregister.gov/documents/2025/11/18/2025-20073/agency-information-collection-activities-submission-for-omb-review-comment-request</t>
  </si>
  <si>
    <t>2025-20249</t>
  </si>
  <si>
    <t>Medicare Program; CY 2026 Inpatient Hospital Deductible and Hospital and Extended Care Services Coinsurance Amounts</t>
  </si>
  <si>
    <t>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</si>
  <si>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https://www.federalregister.gov/documents/2025/11/19/2025-20249/medicare-program-cy-2026-inpatient-hospital-deductible-and-hospital-and-extended-care-services</t>
  </si>
  <si>
    <t>2025-20250</t>
  </si>
  <si>
    <t>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</si>
  <si>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</si>
  <si>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https://www.federalregister.gov/documents/2025/11/19/2025-20250/medicare-program-cy-2026-part-a-premiums-for-the-uninsured-aged-and-for-certain-disabled-individuals</t>
  </si>
  <si>
    <t>2024-23195</t>
  </si>
  <si>
    <t>medicare supplement(3); medicare advantage(1); ma organization(1); part c(1)</t>
  </si>
  <si>
    <t>Medicare Program: Appeal Rights for Certain Changes in Patient Status</t>
  </si>
  <si>
    <t>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</si>
  <si>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https://www.federalregister.gov/documents/2024/10/15/2024-23195/medicare-program-appeal-rights-for-certain-changes-in-patient-status</t>
  </si>
  <si>
    <t>marginal (strong kw=5)</t>
  </si>
  <si>
    <t>2025-20279</t>
  </si>
  <si>
    <t>https://www.federalregister.gov/documents/2025/11/19/2025-20279/agency-information-collection-activities-proposed-collection-comment-request</t>
  </si>
  <si>
    <t>2025-20328</t>
  </si>
  <si>
    <t>Medicare Program; Announcement of the Re-Approval of COLA Under the Clinical Laboratory Improvement Amendments of 1988; Correction</t>
  </si>
  <si>
    <t>This document corrects technical errors that appeared in the notice published in the March 6, 2024 Federal Register titled "Medicare Program; Announcement of the Re-Approval of COLA Under the Clinical Laboratory Improvement Amendments of 1988."</t>
  </si>
  <si>
    <t>https://www.federalregister.gov/documents/2025/11/19/2025-20328/medicare-program-announcement-of-the-re-approval-of-cola-under-the-clinical-laboratory-improvement</t>
  </si>
  <si>
    <t>2025-20329</t>
  </si>
  <si>
    <t>Medicare Program; Announcement of the Re-Approval of the Joint Commission as an Accreditation Organization Under the Clinical Laboratory Improvement Amendments of 1988; Correction</t>
  </si>
  <si>
    <t>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</si>
  <si>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https://www.federalregister.gov/documents/2025/11/19/2025-20329/medicare-program-announcement-of-the-re-approval-of-the-joint-commission-as-an-accreditation</t>
  </si>
  <si>
    <t>2025-20330</t>
  </si>
  <si>
    <t>Medicare Program; Public Meeting for New Revisions to the Healthcare Common Procedure Coding System (HCPCS) Coding-December 17, 2025, With an Overflow Date of December 18, 2025</t>
  </si>
  <si>
    <t>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</si>
  <si>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https://www.federalregister.gov/documents/2025/11/19/2025-20330/medicare-program-public-meeting-for-new-revisions-to-the-healthcare-common-procedure-coding-system</t>
  </si>
  <si>
    <t>2025-20367</t>
  </si>
  <si>
    <t>part d(3); medicare advantage(2)</t>
  </si>
  <si>
    <t>https://www.federalregister.gov/documents/2025/11/20/2025-20367/agency-information-collection-activities-proposed-collection-comment-request</t>
  </si>
  <si>
    <t>2025-20368</t>
  </si>
  <si>
    <t>https://www.federalregister.gov/documents/2025/11/20/2025-20368/agency-information-collection-activities-submission-for-omb-review-comment-request</t>
  </si>
  <si>
    <t>2025-20395</t>
  </si>
  <si>
    <t>https://www.federalregister.gov/documents/2025/11/20/2025-20395/agency-information-collection-activities-submission-for-omb-review-comment-request</t>
  </si>
  <si>
    <t>2025-20486</t>
  </si>
  <si>
    <t>https://www.federalregister.gov/documents/2025/11/21/2025-20486/agency-information-collection-activities-submission-for-omb-review-comment-request</t>
  </si>
  <si>
    <t>2025-20681</t>
  </si>
  <si>
    <t>part d(6); dual eligible(4); medicare advantage(1)</t>
  </si>
  <si>
    <t>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</si>
  <si>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https://www.federalregister.gov/documents/2025/11/24/2025-20681/medicare-program-end-stage-renal-disease-prospective-payment-system-payment-for-renal-dialysis</t>
  </si>
  <si>
    <t>2025-20705</t>
  </si>
  <si>
    <t>https://www.federalregister.gov/documents/2025/11/24/2025-20705/agency-information-collection-activities-submission-for-omb-review-comment-request</t>
  </si>
  <si>
    <t>2025-20748</t>
  </si>
  <si>
    <t>https://www.federalregister.gov/documents/2025/11/24/2025-20748/agency-information-collection-activities-submission-for-omb-review-comment-request</t>
  </si>
  <si>
    <t>2025-20787</t>
  </si>
  <si>
    <t>ma organization(1)</t>
  </si>
  <si>
    <t>https://www.federalregister.gov/documents/2025/11/24/2025-20787/agency-information-collection-activities-proposed-collection-comment-request</t>
  </si>
  <si>
    <t>2025-20907</t>
  </si>
  <si>
    <t>ma organization(27); medicare advantage(18); dual eligible(2)</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</si>
  <si>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</si>
  <si>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</si>
  <si>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https://www.federalregister.gov/documents/2025/11/25/2025-20907/medicare-program-hospital-outpatient-prospective-payment-and-ambulatory-surgical-center-payment</t>
  </si>
  <si>
    <t>2025-20911</t>
  </si>
  <si>
    <t>Notice of Medicaid Information Sharing Between the Centers for Medicare &amp; Medicaid Services and the Department of Homeland Security</t>
  </si>
  <si>
    <t>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</si>
  <si>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https://www.federalregister.gov/documents/2025/11/25/2025-20911/notice-of-medicaid-information-sharing-between-the-centers-for-medicare-and-medicaid-services-and</t>
  </si>
  <si>
    <t>2025-21121</t>
  </si>
  <si>
    <t>https://www.federalregister.gov/documents/2025/11/26/2025-21121/agency-information-collection-activities-proposed-collection-comment-request</t>
  </si>
  <si>
    <t>2025-21124</t>
  </si>
  <si>
    <t>https://www.federalregister.gov/documents/2025/11/26/2025-21124/medicaid-and-childrens-health-insurance-program-chip-generic-information-collection-activities</t>
  </si>
  <si>
    <t>2025-21210</t>
  </si>
  <si>
    <t>https://www.federalregister.gov/documents/2025/11/26/2025-21210/agency-information-collection-activities-submission-for-omb-review-comment-request</t>
  </si>
  <si>
    <t>2025-21394</t>
  </si>
  <si>
    <t>Privacy Act of 1974; Matching Program; Correction</t>
  </si>
  <si>
    <t>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</si>
  <si>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https://www.federalregister.gov/documents/2025/11/28/2025-21394/privacy-act-of-1974-matching-program-correction</t>
  </si>
  <si>
    <t>2025-21433</t>
  </si>
  <si>
    <t>https://www.federalregister.gov/documents/2025/11/28/2025-21433/agency-information-collection-activities-submission-for-omb-review-comment-request</t>
  </si>
  <si>
    <t>2025-21435</t>
  </si>
  <si>
    <t>part d(6); dual eligible(1)</t>
  </si>
  <si>
    <t>https://www.federalregister.gov/documents/2025/11/28/2025-21435/agency-information-collection-activities-proposed-collection-comment-request</t>
  </si>
  <si>
    <t>2024-24801</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</si>
  <si>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</si>
  <si>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</si>
  <si>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https://www.federalregister.gov/documents/2024/10/25/2024-24801/medicare-and-medicaid-programs-patient-protection-and-affordable-care-act-advancing-interoperability</t>
  </si>
  <si>
    <t>2025-21458</t>
  </si>
  <si>
    <t>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</si>
  <si>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https://www.federalregister.gov/documents/2025/11/28/2025-21458/medicare-and-medicaid-programs-cy-2026-payment-policies-under-the-physician-fee-schedule-and-other</t>
  </si>
  <si>
    <t>2025-21501</t>
  </si>
  <si>
    <t>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</si>
  <si>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</si>
  <si>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https://www.federalregister.gov/documents/2025/11/28/2025-21501/medicare-program-inflation-reduction-act-ira-medicare-drug-price-negotiation-program-final-guidance</t>
  </si>
  <si>
    <t>2025-21622</t>
  </si>
  <si>
    <t>Medicare and Medicaid Programs; Quarterly Listing of Program Issuances-July through September 2025</t>
  </si>
  <si>
    <t>https://www.federalregister.gov/documents/2025/12/01/2025-21622/medicare-and-medicaid-programs-quarterly-listing-of-program-issuances-july-through-september-2025</t>
  </si>
  <si>
    <t>2025-21690</t>
  </si>
  <si>
    <t>https://www.federalregister.gov/documents/2025/12/01/2025-21690/agency-information-collection-activities-submission-for-omb-review-comment-request</t>
  </si>
  <si>
    <t>2025-21767</t>
  </si>
  <si>
    <t>dual eligible(7); medicare advantage(3)</t>
  </si>
  <si>
    <t>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</si>
  <si>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https://www.federalregister.gov/documents/2025/12/02/2025-21767/medicare-and-medicaid-programs-calendar-year-2026-home-health-prospective-payment-system-hh-pps-rate</t>
  </si>
  <si>
    <t>2025-21792</t>
  </si>
  <si>
    <t>Medicare and Medicaid Programs; Repeal of Minimum Staffing Standards for Long-Term Care Facilities</t>
  </si>
  <si>
    <t>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</si>
  <si>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https://www.federalregister.gov/documents/2025/12/03/2025-21792/medicare-and-medicaid-programs-repeal-of-minimum-staffing-standards-for-long-term-care-facilities</t>
  </si>
  <si>
    <t>2025-21877</t>
  </si>
  <si>
    <t>Medicare, Medicaid, and Children's Health Insurance Programs; Provider Enrollment Application Fee Amount for Calendar Year 2026</t>
  </si>
  <si>
    <t>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</si>
  <si>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https://www.federalregister.gov/documents/2025/12/03/2025-21877/medicare-medicaid-and-childrens-health-insurance-programs-provider-enrollment-application-fee-amount</t>
  </si>
  <si>
    <t>2025-21879</t>
  </si>
  <si>
    <t>part d(8); part c(6); ma organization(3); medicare advantage(1)</t>
  </si>
  <si>
    <t>Medicare Program; Medicare Appeals; Adjustment to the Amount in Controversy Threshold Amounts for Calendar Year 2026</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</si>
  <si>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</si>
  <si>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https://www.federalregister.gov/documents/2025/12/04/2025-21879/medicare-program-medicare-appeals-adjustment-to-the-amount-in-controversy-threshold-amounts-for</t>
  </si>
  <si>
    <t>2025-21978</t>
  </si>
  <si>
    <t>https://www.federalregister.gov/documents/2025/12/05/2025-21978/agency-information-collection-activities-proposed-collection-comment-request</t>
  </si>
  <si>
    <t>2025-22138</t>
  </si>
  <si>
    <t>https://www.federalregister.gov/documents/2025/12/08/2025-22138/agency-information-collection-activities-submission-for-omb-review-comment-request</t>
  </si>
  <si>
    <t>2025-22184</t>
  </si>
  <si>
    <t>https://www.federalregister.gov/documents/2025/12/08/2025-22184/medicaid-and-childrens-health-insurance-program-chip-generic-information-collection-activities</t>
  </si>
  <si>
    <t>2025-22187</t>
  </si>
  <si>
    <t>Medicare and Medicaid Programs; Announcement of Application From a Hospital Requesting Waiver for Organ Procurement Service Area</t>
  </si>
  <si>
    <t>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</si>
  <si>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https://www.federalregister.gov/documents/2025/12/08/2025-22187/medicare-and-medicaid-programs-announcement-of-application-from-a-hospital-requesting-waiver-for</t>
  </si>
  <si>
    <t>2025-22188</t>
  </si>
  <si>
    <t>https://www.federalregister.gov/documents/2025/12/08/2025-22188/agency-information-collection-activities-proposed-collection-comment-request</t>
  </si>
  <si>
    <t>2025-22203</t>
  </si>
  <si>
    <t>Medicare and Medicaid Programs: Approval of Application by DNV Healthcare, Inc. for Initial CMS Approval of Its Ambulatory Surgical Center (ASC) Accreditation Program</t>
  </si>
  <si>
    <t>This notice acknowledges the approval of an application from DNV Healthcare, Inc. for initial CMS approval of its Ambulatory Surgical Centers as a national accrediting organization that wishes to participate in the Medicare or Medicaid programs.</t>
  </si>
  <si>
    <t>https://www.federalregister.gov/documents/2025/12/08/2025-22203/medicare-and-medicaid-programs-approval-of-application-by-dnv-healthcare-inc-for-initial-cms</t>
  </si>
  <si>
    <t>2025-22219</t>
  </si>
  <si>
    <t>Medicare and Medicaid Programs; Continued Approval of the American Association for Accreditation of Ambulatory Surgery Facilities' Rural Health Clinic Accreditation Program</t>
  </si>
  <si>
    <t>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</si>
  <si>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https://www.federalregister.gov/documents/2025/12/08/2025-22219/medicare-and-medicaid-programs-continued-approval-of-the-american-association-for-accreditation-of</t>
  </si>
  <si>
    <t>2025-22426</t>
  </si>
  <si>
    <t>https://www.federalregister.gov/documents/2025/12/10/2025-22426/agency-information-collection-activities-proposed-collection-comment-request</t>
  </si>
  <si>
    <t>2025-22478</t>
  </si>
  <si>
    <t>https://www.federalregister.gov/documents/2025/12/11/2025-22478/agency-information-collection-activities-proposed-collection-comment-request</t>
  </si>
  <si>
    <t>2025-22482</t>
  </si>
  <si>
    <t>https://www.federalregister.gov/documents/2025/12/11/2025-22482/agency-information-collection-activities-submission-for-omb-review-comment-request</t>
  </si>
  <si>
    <t>2025-22543</t>
  </si>
  <si>
    <t>medicare advantage(4); part c(2); dual eligible(2); ma organization(1); part d(1)</t>
  </si>
  <si>
    <t>This proposed rule would update and revise the Increasing Organ Transplant Access (IOTA) Model for Performance Year (PY) 2.</t>
  </si>
  <si>
    <t>https://www.federalregister.gov/documents/2025/12/11/2025-22543/medicare-program-alternative-payment-model-updates-and-the-increasing-organ-transplant-access-iota</t>
  </si>
  <si>
    <t>2025-22974</t>
  </si>
  <si>
    <t>part d(5); ma organization(2); d-snp(2); medicare advantage(1); special needs plan(1); dual eligible(1)</t>
  </si>
  <si>
    <t>https://www.federalregister.gov/documents/2025/12/16/2025-22974/agency-information-collection-activities-submission-for-omb-review-comment-request</t>
  </si>
  <si>
    <t>2025-22975</t>
  </si>
  <si>
    <t>https://www.federalregister.gov/documents/2025/12/16/2025-22975/agency-information-collection-activities-proposed-collection-comment-request</t>
  </si>
  <si>
    <t>2025-23081</t>
  </si>
  <si>
    <t>Medicare Program; Inpatient Rehabilitation Facility Prospective Payment System for Federal Fiscal Year 2026 and Updates to the IRF Quality Reporting Program; Correction</t>
  </si>
  <si>
    <t>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</si>
  <si>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https://www.federalregister.gov/documents/2025/12/17/2025-23081/medicare-program-inpatient-rehabilitation-facility-prospective-payment-system-for-federal-fiscal</t>
  </si>
  <si>
    <t>2025-23116</t>
  </si>
  <si>
    <t>https://www.federalregister.gov/documents/2025/12/17/2025-23116/agency-information-collection-activities-submission-for-omb-review-comment-request</t>
  </si>
  <si>
    <t>2025-23434</t>
  </si>
  <si>
    <t>Announcement of the Approval of COLA as an Accreditation Organization for the Specialties of Clinical Cytogenetics and Radiobioassay Under the Clinical Laboratory Improvement Amendments of 1988</t>
  </si>
  <si>
    <t>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</si>
  <si>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https://www.federalregister.gov/documents/2025/12/19/2025-23434/announcement-of-the-approval-of-cola-as-an-accreditation-organization-for-the-specialties-of</t>
  </si>
  <si>
    <t>2025-23464</t>
  </si>
  <si>
    <t>Medicaid Program; Prohibition on Federal Medicaid and Children's Health Insurance Program Funding for Sex-Rejecting Procedures Furnished to Children</t>
  </si>
  <si>
    <t>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</si>
  <si>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https://www.federalregister.gov/documents/2025/12/19/2025-23464/medicaid-program-prohibition-on-federal-medicaid-and-childrens-health-insurance-program-funding-for</t>
  </si>
  <si>
    <t>2025-23465</t>
  </si>
  <si>
    <t>Medicare and Medicaid Programs; Hospital Condition of Participation: Prohibiting Sex-Rejecting Procedures for Children</t>
  </si>
  <si>
    <t>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</si>
  <si>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https://www.federalregister.gov/documents/2025/12/19/2025-23465/medicare-and-medicaid-programs-hospital-condition-of-participation-prohibiting-sex-rejecting</t>
  </si>
  <si>
    <t>2025-23506</t>
  </si>
  <si>
    <t>https://www.federalregister.gov/documents/2025/12/22/2025-23506/agency-information-collection-activities-submission-for-omb-review-comment-request</t>
  </si>
  <si>
    <t>2025-23507</t>
  </si>
  <si>
    <t>https://www.federalregister.gov/documents/2025/12/22/2025-23507/agency-information-collection-activities-proposed-collection-comment-request</t>
  </si>
  <si>
    <t>2025-23582</t>
  </si>
  <si>
    <t>medicare advantage(3); part d(3); part c(2)</t>
  </si>
  <si>
    <t>https://www.federalregister.gov/documents/2025/12/22/2025-23582/agency-information-collection-activities-proposed-collection-comment-request</t>
  </si>
  <si>
    <t>2025-23588</t>
  </si>
  <si>
    <t>Statement of Organization, Functions, and Delegations of Authority</t>
  </si>
  <si>
    <t>The Centers for Medicare &amp; Medicaid Services (CMS), Center for Medicaid and CHIP Services, Office of Rural Health Transformation, has been established.</t>
  </si>
  <si>
    <t>https://www.federalregister.gov/documents/2025/12/22/2025-23588/statement-of-organization-functions-and-delegations-of-authority</t>
  </si>
  <si>
    <t>2025-08566</t>
  </si>
  <si>
    <t>Medicaid Program; Preserving Medicaid Funding for Vulnerable Populations-Closing a Health Care-Related Tax Loophole Proposed Rule</t>
  </si>
  <si>
    <t>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</si>
  <si>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https://www.federalregister.gov/documents/2025/05/15/2025-08566/medicaid-program-preserving-medicaid-funding-for-vulnerable-populations-closing-a-health</t>
  </si>
  <si>
    <t>2025-08701</t>
  </si>
  <si>
    <t>Request for Information; Health Technology Ecosystem</t>
  </si>
  <si>
    <t>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</si>
  <si>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https://www.federalregister.gov/documents/2025/05/16/2025-08701/request-for-information-health-technology-ecosystem</t>
  </si>
  <si>
    <t>2025-23923</t>
  </si>
  <si>
    <t>https://www.federalregister.gov/documents/2025/12/30/2025-23923/agency-information-collection-activities-submission-for-omb-review-comment-request</t>
  </si>
  <si>
    <t>2025-23924</t>
  </si>
  <si>
    <t>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</si>
  <si>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https://www.federalregister.gov/documents/2025/12/30/2025-23924/agency-information-collection-activities-submission-for-omb-review-comment-request</t>
  </si>
  <si>
    <t>2026-00487</t>
  </si>
  <si>
    <t>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</si>
  <si>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https://www.federalregister.gov/documents/2026/01/13/2026-00487/medicare-program-updates-to-the-master-list-of-items-potentially-subject-to-face-to-face-encounter</t>
  </si>
  <si>
    <t>2026-00512</t>
  </si>
  <si>
    <t>Notice of Opportunity for Hearing on Compliance of Minnesota State Plan Provisions Concerning Program Integrity and Fraud, Waste, and Abuse With Title XIX (Medicaid) of the Social Security Act</t>
  </si>
  <si>
    <t>https://www.federalregister.gov/documents/2026/01/14/2026-00512/notice-of-opportunity-for-hearing-on-compliance-of-minnesota-state-plan-provisions-concerning</t>
  </si>
  <si>
    <t>2026-00888</t>
  </si>
  <si>
    <t>https://www.federalregister.gov/documents/2026/01/20/2026-00888/agency-information-collection-activities-proposed-collection-comment-request</t>
  </si>
  <si>
    <t>2026-00896</t>
  </si>
  <si>
    <t>https://www.federalregister.gov/documents/2026/01/20/2026-00896/agency-information-collection-activities-submission-for-omb-review-comment-request</t>
  </si>
  <si>
    <t>2026-01005</t>
  </si>
  <si>
    <t>https://www.federalregister.gov/documents/2026/01/21/2026-01005/agency-information-collection-activities-submission-for-omb-review-comment-request</t>
  </si>
  <si>
    <t>2026-01008</t>
  </si>
  <si>
    <t>https://www.federalregister.gov/documents/2026/01/21/2026-01008/agency-information-collection-activities-submission-for-omb-review-comment-request</t>
  </si>
  <si>
    <t>2026-01196</t>
  </si>
  <si>
    <t>https://www.federalregister.gov/documents/2026/01/22/2026-01196/agency-information-collection-activities-proposed-collection-comment-request</t>
  </si>
  <si>
    <t>2026-01310</t>
  </si>
  <si>
    <t>https://www.federalregister.gov/documents/2026/01/23/2026-01310/agency-information-collection-activities-proposed-collection-comment-request</t>
  </si>
  <si>
    <t>2026-01562</t>
  </si>
  <si>
    <t>https://www.federalregister.gov/documents/2026/01/27/2026-01562/agency-information-collection-activities-proposed-collection-comment-request</t>
  </si>
  <si>
    <t>2026-01730</t>
  </si>
  <si>
    <t>Medicare Program; Ensuring Safety Through Domestic Security With Made in America Personal Protective Equipment (PPE) and Essential Medicine Procurement by Medicare Participating Hospitals</t>
  </si>
  <si>
    <t>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</si>
  <si>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https://www.federalregister.gov/documents/2026/01/29/2026-01730/medicare-program-ensuring-safety-through-domestic-security-with-made-in-america-personal-protective</t>
  </si>
  <si>
    <t>2026-01780</t>
  </si>
  <si>
    <t>https://www.federalregister.gov/documents/2026/01/29/2026-01780/agency-information-collection-activities-submission-for-omb-review-comment-request</t>
  </si>
  <si>
    <t>2026-01833</t>
  </si>
  <si>
    <t>Medicare and Medicaid Programs; Organ Procurement Organizations Conditions for Coverage: Revisions to the Conditions for Coverage</t>
  </si>
  <si>
    <t>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</si>
  <si>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https://www.federalregister.gov/documents/2026/01/30/2026-01833/medicare-and-medicaid-programs-organ-procurement-organizations-conditions-for-coverage-revisions-to</t>
  </si>
  <si>
    <t>2025-09695</t>
  </si>
  <si>
    <t>Medicare and Medicaid Programs; Contract Year 2026 Policy and Technical Changes to the Medicare Advantage Program, Medicare Prescription Drug Benefit Program, Medicare Cost Plan Program, and Programs of All-Inclusive Care for the Elderly; Correction</t>
  </si>
  <si>
    <t>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</si>
  <si>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https://www.federalregister.gov/documents/2025/05/29/2025-09695/medicare-and-medicaid-programs-contract-year-2026-policy-and-technical-changes-to-the-medicare</t>
  </si>
  <si>
    <t>2026-02187</t>
  </si>
  <si>
    <t>https://www.federalregister.gov/documents/2026/02/03/2026-02187/medicaid-and-childrens-health-insurance-program-chip-generic-information-collection-activities</t>
  </si>
  <si>
    <t>2026-02190</t>
  </si>
  <si>
    <t>https://www.federalregister.gov/documents/2026/02/03/2026-02190/agency-information-collection-activities-submission-for-omb-review-comment-request</t>
  </si>
  <si>
    <t>2026-02191</t>
  </si>
  <si>
    <t>https://www.federalregister.gov/documents/2026/02/03/2026-02191/agency-information-collection-activities-proposed-collection-comment-request</t>
  </si>
  <si>
    <t>2026-02215</t>
  </si>
  <si>
    <t>https://www.federalregister.gov/documents/2026/02/04/2026-02215/agency-information-collection-activities-proposed-collection-comment-request</t>
  </si>
  <si>
    <t>2026-02371</t>
  </si>
  <si>
    <t>https://www.federalregister.gov/documents/2026/02/06/2026-02371/agency-information-collection-activities-submission-for-omb-review-comment-request</t>
  </si>
  <si>
    <t>2026-02430</t>
  </si>
  <si>
    <t>https://www.federalregister.gov/documents/2026/02/06/2026-02430/agency-information-collection-activities-proposed-collection-comment-request</t>
  </si>
  <si>
    <t>2026-02472</t>
  </si>
  <si>
    <t>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</si>
  <si>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https://www.federalregister.gov/documents/2026/02/09/2026-02472/privacy-act-of-1974-matching-program</t>
  </si>
  <si>
    <t>2026-02603</t>
  </si>
  <si>
    <t>part d(4); medicare advantage(2); ma organization(1)</t>
  </si>
  <si>
    <t>https://www.federalregister.gov/documents/2026/02/10/2026-02603/agency-information-collection-activities-proposed-collection-comment-request</t>
  </si>
  <si>
    <t>2025-12195</t>
  </si>
  <si>
    <t>Medicare Program; Implementation of Prior Authorization for Select Services for the Wasteful and Inappropriate Services Reduction (WISeR) Model</t>
  </si>
  <si>
    <t>This notice announces a 6-year model focused on reducing fraud, waste (including low-value care), and abuse in Medicare fee-for- service (FFS) via the implementation of technology-enabled prior authorization processes for select services.</t>
  </si>
  <si>
    <t>https://www.federalregister.gov/documents/2025/07/01/2025-12195/medicare-program-implementation-of-prior-authorization-for-select-services-for-the-wasteful-and</t>
  </si>
  <si>
    <t>2026-02871</t>
  </si>
  <si>
    <t>https://www.federalregister.gov/documents/2026/02/13/2026-02871/agency-information-collection-activities-submission-for-omb-review-comment-request</t>
  </si>
  <si>
    <t>2026-02874</t>
  </si>
  <si>
    <t>https://www.federalregister.gov/documents/2026/02/13/2026-02874/agency-information-collection-activities-submission-for-omb-review-comment-request</t>
  </si>
  <si>
    <t>2026-02966</t>
  </si>
  <si>
    <t>https://www.federalregister.gov/documents/2026/02/13/2026-02966/agency-information-collection-activities-submission-for-omb-review-comment-request</t>
  </si>
  <si>
    <t>2026-02967</t>
  </si>
  <si>
    <t>part d(9); medicare advantage(1); ma organization(1); dual eligible(1)</t>
  </si>
  <si>
    <t>https://www.federalregister.gov/documents/2026/02/13/2026-02967/agency-information-collection-activities-submission-for-omb-review-comment-request</t>
  </si>
  <si>
    <t>2026-03110</t>
  </si>
  <si>
    <t>Medicare and Medicaid Programs; Announcement of Application From a Hospital Requesting Waiver for Organ Procurement Service Area (High Point Regional Health)</t>
  </si>
  <si>
    <t>https://www.federalregister.gov/documents/2026/02/18/2026-03110/medicare-and-medicaid-programs-announcement-of-application-from-a-hospital-requesting-waiver-for</t>
  </si>
  <si>
    <t>2026-03111</t>
  </si>
  <si>
    <t>Medicare and Medicaid Programs; Announcement of Application From a Hospital Requesting Waiver for Organ Procurement Service Area (WRMC Hospital Operating Corporation)</t>
  </si>
  <si>
    <t>https://www.federalregister.gov/documents/2026/02/18/2026-03111/medicare-and-medicaid-programs-announcement-of-application-from-a-hospital-requesting-waiver-for</t>
  </si>
  <si>
    <t>2026-03118</t>
  </si>
  <si>
    <t>https://www.federalregister.gov/documents/2026/02/18/2026-03118/agency-information-collection-activities-submission-for-omb-review-comment-request</t>
  </si>
  <si>
    <t>2026-03119</t>
  </si>
  <si>
    <t>Medicare and Medicaid Programs; Announcement of Application From a Hospital Requesting Waiver for Organ Procurement Service Area (Alleghany County Memorial Hospital, Inc.)</t>
  </si>
  <si>
    <t>https://www.federalregister.gov/documents/2026/02/18/2026-03119/medicare-and-medicaid-programs-announcement-of-application-from-a-hospital-requesting-waiver-for</t>
  </si>
  <si>
    <t>2026-03277</t>
  </si>
  <si>
    <t>Medicare and Medicaid Programs; Announcement of Application From a Hospital Requesting Waiver for Organ Procurement Service Area (Lexington Medical Center)</t>
  </si>
  <si>
    <t>https://www.federalregister.gov/documents/2026/02/19/2026-03277/medicare-and-medicaid-programs-announcement-of-application-from-a-hospital-requesting-waiver-for</t>
  </si>
  <si>
    <t>2026-03278</t>
  </si>
  <si>
    <t>Medicare and Medicaid Programs; Announcement of Application From a Hospital Requesting Waiver for Organ Procurement Service Area (Hugh Chatham Memorial Hospital, Inc.)</t>
  </si>
  <si>
    <t>https://www.federalregister.gov/documents/2026/02/19/2026-03278/medicare-and-medicaid-programs-announcement-of-application-from-a-hospital-requesting-waiver-for</t>
  </si>
  <si>
    <t>2026-03437</t>
  </si>
  <si>
    <t>Medicare and Medicaid Programs; Quarterly Listing of Program Issuances-October Through December 2025</t>
  </si>
  <si>
    <t>https://www.federalregister.gov/documents/2026/02/23/2026-03437/medicare-and-medicaid-programs-quarterly-listing-of-program-issuances-october-through-december-2025</t>
  </si>
  <si>
    <t>2026-03542</t>
  </si>
  <si>
    <t>ma organization(4); medicare advantage(1); dual eligible(1)</t>
  </si>
  <si>
    <t>https://www.federalregister.gov/documents/2026/02/23/2026-03542/agency-information-collection-activities-submission-for-omb-review-comment-request</t>
  </si>
  <si>
    <t>2026-03578</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</si>
  <si>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</si>
  <si>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</si>
  <si>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https://www.federalregister.gov/documents/2026/02/23/2026-03578/medicare-program-hospital-outpatient-prospective-payment-and-ambulatory-surgical-center-payment</t>
  </si>
  <si>
    <t>2026-03779</t>
  </si>
  <si>
    <t>Managed Care</t>
  </si>
  <si>
    <t>https://www.federalregister.gov/documents/2026/02/25/2026-03779/managed-care</t>
  </si>
  <si>
    <t>2026-03810</t>
  </si>
  <si>
    <t>medicare advantage(2); ma organization(1); part d(1)</t>
  </si>
  <si>
    <t>https://www.federalregister.gov/documents/2026/02/26/2026-03810/agency-information-collection-activities-submission-for-omb-review-comment-request</t>
  </si>
  <si>
    <t>2025-23702</t>
  </si>
  <si>
    <t>part d(8); medicare advantage(5); ma organization(1); dual eligible(1); medigap(1)</t>
  </si>
  <si>
    <t>Global Benchmark for Efficient Drug Pricing (GLOBE) Model</t>
  </si>
  <si>
    <t>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</si>
  <si>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https://www.federalregister.gov/documents/2025/12/23/2025-23702/global-benchmark-for-efficient-drug-pricing-globe-model</t>
  </si>
  <si>
    <t>2026-03971</t>
  </si>
  <si>
    <t>Medicare, Medicaid, and Children's Health Insurance Programs: Announcement of Nationwide Temporary Moratoria on Enrollment of Durable Medical Equipment, Prosthetics, Orthotics, and Supplies (DMEPOS) Supplier Medical Supply Companies</t>
  </si>
  <si>
    <t>This notice announces the imposition of a 6-month nationwide moratorium on the Medicare enrollment of DMEPOS supplier medical supply companies.</t>
  </si>
  <si>
    <t>https://www.federalregister.gov/documents/2026/02/27/2026-03971/medicare-medicaid-and-childrens-health-insurance-programs-announcement-of-nationwide-temporary</t>
  </si>
  <si>
    <t>2026-04004</t>
  </si>
  <si>
    <t>https://www.federalregister.gov/documents/2026/03/02/2026-04004/agency-information-collection-activities-submission-for-omb-review-comment-request</t>
  </si>
  <si>
    <t>2026-04133</t>
  </si>
  <si>
    <t>https://www.federalregister.gov/documents/2026/03/02/2026-04133/agency-information-collection-activities-submission-for-omb-review-comment-request</t>
  </si>
  <si>
    <t>2026-04467</t>
  </si>
  <si>
    <t>Patient Protection and Affordable Care Act, HHS Notice of Benefit and Payment Parameters for 2027; and Basic Health Program; Correction</t>
  </si>
  <si>
    <t>This document corrects technical errors in the proposed rule that appeared in the February 11, 2026, Federal Register titled "Patient Protection and Affordable Care Act, HHS Notice of Benefit and Payment Parameters for 2027; and Basic Health Program."</t>
  </si>
  <si>
    <t>https://www.federalregister.gov/documents/2026/03/06/2026-04467/patient-protection-and-affordable-care-act-hhs-notice-of-benefit-and-payment-parameters-for-2027-and</t>
  </si>
  <si>
    <t>2026-04518</t>
  </si>
  <si>
    <t>https://www.federalregister.gov/documents/2026/03/09/2026-04518/agency-information-collection-activities-submission-for-omb-review-comment-request</t>
  </si>
  <si>
    <t>2026-04544</t>
  </si>
  <si>
    <t>Medicare and Medicaid Programs; Announcement of Applications From 12 Hospitals Requesting Waivers for Organ Procurement Service Area</t>
  </si>
  <si>
    <t>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</si>
  <si>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https://www.federalregister.gov/documents/2026/03/09/2026-04544/medicare-and-medicaid-programs-announcement-of-applications-from-12-hospitals-requesting-waivers-for</t>
  </si>
  <si>
    <t>2026-04593</t>
  </si>
  <si>
    <t>medicare advantage(4); part c(1); part d(1)</t>
  </si>
  <si>
    <t>Medicare Program; Request for Renewal of Deeming Authority of the National Committee for Quality Assurance (NCQA) for Medicare Advantage Health Maintenance Organizations and Preferred Provider Organizations</t>
  </si>
  <si>
    <t>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</si>
  <si>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https://www.federalregister.gov/documents/2026/03/10/2026-04593/medicare-program-request-for-renewal-of-deeming-authority-of-the-national-committee-for-quality</t>
  </si>
  <si>
    <t>2026-04595</t>
  </si>
  <si>
    <t>Medicare and Medicaid Programs: Application From the American Association for Accreditation of Ambulatory Surgery Facilities for Continued CMS-Approval of its Rural Health Clinic (RHC) Accreditation Program</t>
  </si>
  <si>
    <t>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</si>
  <si>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https://www.federalregister.gov/documents/2026/03/10/2026-04595/medicare-and-medicaid-programs-application-from-the-american-association-for-accreditation-of</t>
  </si>
  <si>
    <t>2026-04605</t>
  </si>
  <si>
    <t>part d(3); part c(2)</t>
  </si>
  <si>
    <t>https://www.federalregister.gov/documents/2026/03/10/2026-04605/agency-information-collection-activities-proposed-collection-comment-request</t>
  </si>
  <si>
    <t>2026-04745</t>
  </si>
  <si>
    <t>https://www.federalregister.gov/documents/2026/03/11/2026-04745/agency-information-collection-activities-proposed-collection-comment-request</t>
  </si>
  <si>
    <t>2026-04797</t>
  </si>
  <si>
    <t>part d(1); dual eligible(1)</t>
  </si>
  <si>
    <t>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</si>
  <si>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https://www.federalregister.gov/documents/2026/03/12/2026-04797/medicare-and-medicaid-programs-cy-2026-payment-policies-under-the-physician-fee-schedule-and-other</t>
  </si>
  <si>
    <t>2026-05199</t>
  </si>
  <si>
    <t>https://www.federalregister.gov/documents/2026/03/17/2026-05199/agency-information-collection-activities-proposed-collection-comment-request</t>
  </si>
  <si>
    <t>2026-05203</t>
  </si>
  <si>
    <t>https://www.federalregister.gov/documents/2026/03/17/2026-05203/agency-information-collection-activities-submission-for-omb-review-comment-request</t>
  </si>
  <si>
    <t>2026-05217</t>
  </si>
  <si>
    <t>ma organization(2); part d(1)</t>
  </si>
  <si>
    <t>https://www.federalregister.gov/documents/2026/03/18/2026-05217/agency-information-collection-activities-proposed-collection-comment-request</t>
  </si>
  <si>
    <t>2026-05218</t>
  </si>
  <si>
    <t>https://www.federalregister.gov/documents/2026/03/18/2026-05218/agency-information-collection-activities-submission-for-omb-review-comment-request</t>
  </si>
  <si>
    <t>2026-05743</t>
  </si>
  <si>
    <t>https://www.federalregister.gov/documents/2026/03/25/2026-05743/agency-information-collection-activities-submission-for-omb-review-comment-request</t>
  </si>
  <si>
    <t>2026-05915</t>
  </si>
  <si>
    <t>https://www.federalregister.gov/documents/2026/03/26/2026-05915/agency-information-collection-activities-submission-for-omb-review-comment-request</t>
  </si>
  <si>
    <t>2026-06018</t>
  </si>
  <si>
    <t>https://www.federalregister.gov/documents/2026/03/27/2026-06018/agency-information-collection-activities-proposed-collection-comment-request</t>
  </si>
  <si>
    <t>2026-06170</t>
  </si>
  <si>
    <t>https://www.federalregister.gov/documents/2026/03/31/2026-06170/agency-information-collection-activities-proposed-collection-comment-request</t>
  </si>
  <si>
    <t>2026-06499</t>
  </si>
  <si>
    <t>Medicare and Medicaid Programs: Application From the Accreditation Commission for Health Care Inc. (ACHC) for Continued Approval of Its Critical Access Hospital Accreditation Program</t>
  </si>
  <si>
    <t>This notice announces our decision to approve the Accreditation Commission for Health Care Inc. (ACHC) for continued recognition as a national accrediting organization for critical access hospitals that wish to participate in the Medicare or Medicaid programs.</t>
  </si>
  <si>
    <t>https://www.federalregister.gov/documents/2026/04/03/2026-06499/medicare-and-medicaid-programs-application-from-the-accreditation-commission-for-health-care-inc</t>
  </si>
  <si>
    <t>2026-06500</t>
  </si>
  <si>
    <t>Medicare and Medicaid Programs; Approval of Application by the Accreditation Commission for Health Care Inc. (ACHC) for Continued CMS-Approval of its Hospice Accreditation Program</t>
  </si>
  <si>
    <t>This notice acknowledges the approval of an application from the Accreditation Commission for Health Care Inc., for continued CMS approval as a national accrediting organization for hospice programs that wish to participate in the Medicare or Medicaid programs.</t>
  </si>
  <si>
    <t>https://www.federalregister.gov/documents/2026/04/03/2026-06500/medicare-and-medicaid-programs-approval-of-application-by-the-accreditation-commission-for-health</t>
  </si>
  <si>
    <t>2026-06508</t>
  </si>
  <si>
    <t>Medicare and Medicaid Programs; Application From Joint Commission (JC) for Continued CMS-Approval of Its Home Health Agency (HHA) Accreditation Program</t>
  </si>
  <si>
    <t>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</si>
  <si>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https://www.federalregister.gov/documents/2026/04/03/2026-06508/medicare-and-medicaid-programs-application-from-joint-commission-jc-for-continued-cms-approval-of</t>
  </si>
  <si>
    <t>2026-06570</t>
  </si>
  <si>
    <t>https://www.federalregister.gov/documents/2026/04/06/2026-06570/agency-information-collection-activities-submission-for-omb-review-comment-request</t>
  </si>
  <si>
    <t>2026-06573</t>
  </si>
  <si>
    <t>https://www.federalregister.gov/documents/2026/04/06/2026-06573/agency-information-collection-activities-proposed-collection-comment-request</t>
  </si>
  <si>
    <t>2025-23705</t>
  </si>
  <si>
    <t>part d(638); medicare advantage(6); part c(1)</t>
  </si>
  <si>
    <t>Guarding U.S. Medicare Against Rising Drug Costs (GUARD) Model</t>
  </si>
  <si>
    <t>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</si>
  <si>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https://www.federalregister.gov/documents/2025/12/23/2025-23705/guarding-us-medicare-against-rising-drug-costs-guard-model</t>
  </si>
  <si>
    <t>marginal (strong kw=6)</t>
  </si>
  <si>
    <t>2026-06604</t>
  </si>
  <si>
    <t>part d(28)</t>
  </si>
  <si>
    <t>Medicare Program; FY 2027 Hospice Wage Index and Payment Rate Update and Hospice Quality Reporting Program Requirements</t>
  </si>
  <si>
    <t>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</si>
  <si>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https://www.federalregister.gov/documents/2026/04/06/2026-06604/medicare-program-fy-2027-hospice-wage-index-and-payment-rate-update-and-hospice-quality-reporting</t>
  </si>
  <si>
    <t>2026-06616</t>
  </si>
  <si>
    <t>Medicare Program; Delayed Implementation of Certain Prior Authorization for Select Services for the Wasteful and Inappropriate Services Reduction (WISeR) Model</t>
  </si>
  <si>
    <t>This notice announces a delay in the implementation of two services from the list of Wasteful and Inappropriate Services Reduction (WISeR) model items and services.</t>
  </si>
  <si>
    <t>https://www.federalregister.gov/documents/2026/04/06/2026-06616/medicare-program-delayed-implementation-of-certain-prior-authorization-for-select-services-for-the</t>
  </si>
  <si>
    <t>2026-06617</t>
  </si>
  <si>
    <t>Medicare Program; Implementation of Prior Authorization for Select Services for the Wasteful and Inappropriate Services Reduction (WISeR) Model; Correction</t>
  </si>
  <si>
    <t>This document corrects typographical and technical errors in the notice that appeared in the July 1, 2025, Federal Register titled "Medicare Program; Implementation of Prior Authorization for Select Services for the Wasteful and Inappropriate Services Reduction (WISeR) Model".</t>
  </si>
  <si>
    <t>https://www.federalregister.gov/documents/2026/04/06/2026-06617/medicare-program-implementation-of-prior-authorization-for-select-services-for-the-wasteful-and</t>
  </si>
  <si>
    <t>2026-06618</t>
  </si>
  <si>
    <t>Notice of Public Data Asset Release Under the Open, Public, Electronic, and Necessary (OPEN) Government Data Act</t>
  </si>
  <si>
    <t>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</si>
  <si>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https://www.federalregister.gov/documents/2026/04/06/2026-06618/notice-of-public-data-asset-release-under-the-open-public-electronic-and-necessary-open-government</t>
  </si>
  <si>
    <t>data release notice</t>
  </si>
  <si>
    <t>2026-06642</t>
  </si>
  <si>
    <t>Medicare Program; Inpatient Rehabilitation Facility Prospective Payment System for Federal Fiscal Year 2027 and Updates to the IRF Quality Reporting Program</t>
  </si>
  <si>
    <t>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</si>
  <si>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https://www.federalregister.gov/documents/2026/04/06/2026-06642/medicare-program-inpatient-rehabilitation-facility-prospective-payment-system-for-federal-fiscal</t>
  </si>
  <si>
    <t>2026-06674</t>
  </si>
  <si>
    <t>medicare advantage(3); special needs plan(2); ma organization(1)</t>
  </si>
  <si>
    <t>Medicare Program; Prospective Payment System and Consolidated Billing for Skilled Nursing Facilities; Updates to the Quality Reporting Program for Federal Fiscal Year 2027</t>
  </si>
  <si>
    <t>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</si>
  <si>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https://www.federalregister.gov/documents/2026/04/07/2026-06674/medicare-program-prospective-payment-system-and-consolidated-billing-for-skilled-nursing-facilities</t>
  </si>
  <si>
    <t>2026-06675</t>
  </si>
  <si>
    <t>Medicare Program; FY 2027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</si>
  <si>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</si>
  <si>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https://www.federalregister.gov/documents/2026/04/07/2026-06675/medicare-program-fy-2027-inpatient-psychiatric-facilities-prospective-payment-system-rate-update</t>
  </si>
  <si>
    <t>2026-06725</t>
  </si>
  <si>
    <t>https://www.federalregister.gov/documents/2026/04/07/2026-06725/agency-information-collection-activities-submission-for-omb-review-comment-request</t>
  </si>
  <si>
    <t>2026-06861</t>
  </si>
  <si>
    <t>Medicare and Medicaid Programs: Application From DNV Healthcare USA Inc. for Continued CMS-Approval of Its Hospital Accreditation Program</t>
  </si>
  <si>
    <t>This notice acknowledges the receipt of an application from DNV Healthcare USA Inc. (DNV) for continued recognition as a national accrediting organization for its hospital accreditation program to participate in the Medicare or Medicaid programs.</t>
  </si>
  <si>
    <t>https://www.federalregister.gov/documents/2026/04/09/2026-06861/medicare-and-medicaid-programs-application-from-dnv-healthcare-usa-inc-for-continued-cms-approval-of</t>
  </si>
  <si>
    <t>2026-06946</t>
  </si>
  <si>
    <t>https://www.federalregister.gov/documents/2026/04/10/2026-06946/agency-information-collection-activities-proposed-collection-comment-request</t>
  </si>
  <si>
    <t>2026-07016</t>
  </si>
  <si>
    <t>https://www.federalregister.gov/documents/2026/04/10/2026-07016/agency-information-collection-activities-proposed-collection-comment-request</t>
  </si>
  <si>
    <t>2026-07203</t>
  </si>
  <si>
    <t>medicare advantage(71); dual eligible(6); part d(3); part c(2); ma organization(1)</t>
  </si>
  <si>
    <t>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</si>
  <si>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https://www.federalregister.gov/documents/2026/04/14/2026-07203/medicare-program-hospital-inpatient-prospective-payment-systems-for-acute-care-hospitals-ipps-and</t>
  </si>
  <si>
    <t>2026-02040</t>
  </si>
  <si>
    <t>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</si>
  <si>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</si>
  <si>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https://www.federalregister.gov/documents/2026/02/02/2026-02040/medicaid-program-preserving-medicaid-funding-for-vulnerable-populations-closing-a-health</t>
  </si>
  <si>
    <t>2026-07226</t>
  </si>
  <si>
    <t>Medicare Program; Public Meeting for New Revisions to the Healthcare Common Procedure Coding System (HCPCS) Level II Coding</t>
  </si>
  <si>
    <t>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</si>
  <si>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https://www.federalregister.gov/documents/2026/04/14/2026-07226/medicare-program-public-meeting-for-new-revisions-to-the-healthcare-common-procedure-coding-system</t>
  </si>
  <si>
    <t>2026-07401</t>
  </si>
  <si>
    <t>https://www.federalregister.gov/documents/2026/04/16/2026-07401/agency-information-collection-activities-submission-for-omb-review-comment-request</t>
  </si>
  <si>
    <t>2026-07440</t>
  </si>
  <si>
    <t>https://www.federalregister.gov/documents/2026/04/16/2026-07440/medicaid-and-childrens-health-insurance-program-chip-generic-information-collection-activities</t>
  </si>
  <si>
    <t>2026-07470</t>
  </si>
  <si>
    <t>Medicare Program; Hospital Inpatient Prospective Payment Systems for Acute Care Hospitals (IPPS) and the Long-Term Care Hospital Prospective Payment System and Policy Changes and Fiscal Year (FY) 2027 Rates; Requirements for Quality Programs; and Other Policy Changes; Correction</t>
  </si>
  <si>
    <t>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</si>
  <si>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https://www.federalregister.gov/documents/2026/04/16/2026-07470/medicare-program-hospital-inpatient-prospective-payment-systems-for-acute-care-hospitals-ipps-and</t>
  </si>
  <si>
    <t>2026-07583</t>
  </si>
  <si>
    <t>https://www.federalregister.gov/documents/2026/04/20/2026-07583/agency-information-collection-activities-proposed-collection-comment-request</t>
  </si>
  <si>
    <t>2026-07634</t>
  </si>
  <si>
    <t>https://www.federalregister.gov/documents/2026/04/20/2026-07634/agency-information-collection-activities-submission-for-omb-review-comment-request</t>
  </si>
  <si>
    <t>2026-07802</t>
  </si>
  <si>
    <t>https://www.federalregister.gov/documents/2026/04/22/2026-07802/medicaid-and-childrens-health-insurance-program-chip-generic-information-collection-activities</t>
  </si>
  <si>
    <t>2026-07803</t>
  </si>
  <si>
    <t>https://www.federalregister.gov/documents/2026/04/22/2026-07803/medicaid-and-childrens-health-insurance-program-chip-generic-information-collection-activities</t>
  </si>
  <si>
    <t>2026-07850</t>
  </si>
  <si>
    <t>https://www.federalregister.gov/documents/2026/04/22/2026-07850/agency-information-collection-activities-proposed-collection-comment-request</t>
  </si>
  <si>
    <t>2026-07851</t>
  </si>
  <si>
    <t>https://www.federalregister.gov/documents/2026/04/22/2026-07851/agency-information-collection-activities-submission-for-omb-review-comment-request</t>
  </si>
  <si>
    <t>2026-08025</t>
  </si>
  <si>
    <t>https://www.federalregister.gov/documents/2026/04/24/2026-08025/agency-information-collection-activities-submission-for-omb-review-comment-request</t>
  </si>
  <si>
    <t>2026-08156</t>
  </si>
  <si>
    <t>https://www.federalregister.gov/documents/2026/04/27/2026-08156/agency-information-collection-activities-submission-for-omb-review-comment-request</t>
  </si>
  <si>
    <t>2026-08160</t>
  </si>
  <si>
    <t>https://www.federalregister.gov/documents/2026/04/27/2026-08160/agency-information-collection-activities-proposed-collection-comment-request</t>
  </si>
  <si>
    <t>2026-08190</t>
  </si>
  <si>
    <t>Medicaid Program; 2028 Medicaid Home and Community-Based Services Quality Measure Set</t>
  </si>
  <si>
    <t>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</si>
  <si>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https://www.federalregister.gov/documents/2026/04/28/2026-08190/medicaid-program-2028-medicaid-home-and-community-based-services-quality-measure-set</t>
  </si>
  <si>
    <t>2026-08337</t>
  </si>
  <si>
    <t>Statement of Delegation of Authority</t>
  </si>
  <si>
    <t>https://www.federalregister.gov/documents/2026/04/29/2026-08337/statement-of-delegation-of-authority</t>
  </si>
  <si>
    <t>2026-08421</t>
  </si>
  <si>
    <t>https://www.federalregister.gov/documents/2026/04/30/2026-08421/agency-information-collection-activities-submission-for-omb-review-comment-request</t>
  </si>
  <si>
    <t>2026-08460</t>
  </si>
  <si>
    <t>https://www.federalregister.gov/documents/2026/04/30/2026-08460/agency-information-collection-activities-proposed-collection-comment-request</t>
  </si>
  <si>
    <t>2026-08511</t>
  </si>
  <si>
    <t>Medicare Program: Public Meeting Regarding New and Reconsidered Clinical Diagnostic Laboratory Test Codes for the Clinical Laboratory Fee Schedule for Calendar Year 2027</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</si>
  <si>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</si>
  <si>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https://www.federalregister.gov/documents/2026/05/01/2026-08511/medicare-program-public-meeting-regarding-new-and-reconsidered-clinical-diagnostic-laboratory-test</t>
  </si>
  <si>
    <t>2026-08512</t>
  </si>
  <si>
    <t>Medicare Program: Rechartering, Membership, and Meeting Announcement for the Medicare Advisory Panel on Clinical Diagnostic Laboratory Tests</t>
  </si>
  <si>
    <t>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</si>
  <si>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https://www.federalregister.gov/documents/2026/05/01/2026-08512/medicare-program-rechartering-membership-and-meeting-announcement-for-the-medicare-advisory-panel-on</t>
  </si>
  <si>
    <t>2026-08513</t>
  </si>
  <si>
    <t>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</si>
  <si>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</si>
  <si>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https://www.federalregister.gov/documents/2026/05/01/2026-08513/medicare-program-meeting-announcement-for-the-public-and-the-medicare-advisory-panel-on-clinical</t>
  </si>
  <si>
    <t>2026-08542</t>
  </si>
  <si>
    <t>https://www.federalregister.gov/documents/2026/05/01/2026-08542/agency-information-collection-activities-submission-for-omb-review-comment-request</t>
  </si>
  <si>
    <t>2026-09096</t>
  </si>
  <si>
    <t>https://www.federalregister.gov/documents/2026/05/07/2026-09096/agency-information-collection-activities-proposed-collection-comment-request</t>
  </si>
  <si>
    <t>2026-09167</t>
  </si>
  <si>
    <t>https://www.federalregister.gov/documents/2026/05/08/2026-09167/agency-information-collection-activities-submission-for-omb-review-comment-request</t>
  </si>
  <si>
    <t>2026-09329</t>
  </si>
  <si>
    <t>Medicaid and Children's Health Insurance Program (CHIP) Generic Information Collection Activities: Proposed Collection; Reopening of Comment Period</t>
  </si>
  <si>
    <t>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</si>
  <si>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https://www.federalregister.gov/documents/2026/05/12/2026-09329/medicaid-and-childrens-health-insurance-program-chip-generic-information-collection-activities</t>
  </si>
  <si>
    <t>2026-09330</t>
  </si>
  <si>
    <t>ma organization(5); part d(4); medicare advantage(3); dual eligible(1)</t>
  </si>
  <si>
    <t>https://www.federalregister.gov/documents/2026/05/12/2026-09330/agency-information-collection-activities-submission-for-omb-review-comment-request</t>
  </si>
  <si>
    <t>2026-09444</t>
  </si>
  <si>
    <t>Healthcare Advisory Committee (HAC); Announcement of the HAC Meeting-May 18, 2026</t>
  </si>
  <si>
    <t>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</si>
  <si>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https://www.federalregister.gov/documents/2026/05/13/2026-09444/healthcare-advisory-committee-hac-announcement-of-the-hac-meeting-may-18-2026</t>
  </si>
  <si>
    <t>2026-09630</t>
  </si>
  <si>
    <t>Medicare and Medicaid Programs; Quarterly Listing of Program Issuances-January through March 2026</t>
  </si>
  <si>
    <t>https://www.federalregister.gov/documents/2026/05/14/2026-09630/medicare-and-medicaid-programs-quarterly-listing-of-program-issuances-january-through-march-2026</t>
  </si>
  <si>
    <t>2026-09717</t>
  </si>
  <si>
    <t>Medicare, Medicaid, and Children's Health Insurance Programs: Announcement of Nationwide Temporary Moratoria on Enrollment of Home Health Agencies (HHAs)</t>
  </si>
  <si>
    <t>This notice announces the imposition of a 6-month nationwide moratorium on the Medicare enrollment of home health agencies (HHAs).</t>
  </si>
  <si>
    <t>https://www.federalregister.gov/documents/2026/05/15/2026-09717/medicare-medicaid-and-childrens-health-insurance-programs-announcement-of-nationwide-temporary</t>
  </si>
  <si>
    <t>2026-09718</t>
  </si>
  <si>
    <t>Medicare, Medicaid, and Children's Health Insurance Programs: Announcement of Nationwide Temporary Moratorium on Enrollment of Hospices</t>
  </si>
  <si>
    <t>This notice announces the imposition of a 6-month nationwide moratorium on the Medicare enrollment of hospices.</t>
  </si>
  <si>
    <t>https://www.federalregister.gov/documents/2026/05/15/2026-09718/medicare-medicaid-and-childrens-health-insurance-programs-announcement-of-nationwide-temporary</t>
  </si>
  <si>
    <t>2026-09747</t>
  </si>
  <si>
    <t>https://www.federalregister.gov/documents/2026/05/15/2026-09747/agency-information-collection-activities-proposed-collection-comment-request</t>
  </si>
  <si>
    <t>2026-09832</t>
  </si>
  <si>
    <t>https://www.federalregister.gov/documents/2026/05/18/2026-09832/agency-information-collection-activities-proposed-collection-comment-request</t>
  </si>
  <si>
    <t>2026-02769</t>
  </si>
  <si>
    <t>medigap(3); medicare advantage(2); part d(2)</t>
  </si>
  <si>
    <t>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</si>
  <si>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https://www.federalregister.gov/documents/2026/02/11/2026-02769/patient-protection-and-affordable-care-act-hhs-notice-of-benefit-and-payment-parameters-for-2027-and</t>
  </si>
  <si>
    <t>2026-10097</t>
  </si>
  <si>
    <t>https://www.federalregister.gov/documents/2026/05/20/2026-10097/medicaid-and-childrens-health-insurance-program-chip-generic-information-collection-activities</t>
  </si>
  <si>
    <t>2026-10102</t>
  </si>
  <si>
    <t>https://www.federalregister.gov/documents/2026/05/20/2026-10102/agency-information-collection-activities-proposed-collection-comment-request</t>
  </si>
  <si>
    <t>2026-10276</t>
  </si>
  <si>
    <t>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</si>
  <si>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https://www.federalregister.gov/documents/2026/05/22/2026-10276/medicare-program-hospital-inpatient-prospective-payment-systems-for-acute-care-hospitals-ipps-and</t>
  </si>
  <si>
    <t>2026-10292</t>
  </si>
  <si>
    <t>Medicaid Program; Medicaid Managed Care State Directed Payments and Medicaid Fee-for-Service Targeted Medicaid Practitioner Payments</t>
  </si>
  <si>
    <t>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</si>
  <si>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https://www.federalregister.gov/documents/2026/05/22/2026-10292/medicaid-program-medicaid-managed-care-state-directed-payments-and-medicaid-fee-for-service-targeted</t>
  </si>
  <si>
    <t>2026-10777</t>
  </si>
  <si>
    <t>https://www.federalregister.gov/documents/2026/05/29/2026-10777/agency-information-collection-activities-submission-for-omb-review-comment-request</t>
  </si>
  <si>
    <t>Changes broker/agent compensation or steering economics.</t>
  </si>
  <si>
    <t>New Mexico SB21 'Medicare Supplement Open Enrollment' signed by Governor, creates a birthday-rule guaranteed-issue window of 60+ days from the first day of the birth month, equal-or-lesser plans - effective 1/1/2027 (outside data window; signing is the in-window event)</t>
  </si>
  <si>
    <t>ANOC delivery deadline, the day enrollees are actually notified of their plan's CY2025 premium, benefit, and cost-sharing changes ahead of AEP. Synchronized mass-notification shock; CY2025 ANOCs carried the post-IRA changes ($2,000 OOP cap, Prescription Payment Plan, supplemental-benefit trims), making this the date the 2025 benefit-cut news reached consumers</t>
  </si>
  <si>
    <t>ANOC delivery deadline: every MA/MA-PD/PDP enrollee must receive their plan's Annual Notice of Change by 9/30 - the day enrollees are actually notified of their plan's CY2026 premium, benefit, and cost-sharing changes ahead of AEP (first 10 negotiated drug prices, OOP cap indexed to $2,100, insulin lesser-of-$35/25% language, VBID removal); synchronized mass-notification shock preceding AEP 2026</t>
  </si>
  <si>
    <t>Provider directory rule (CMS-4208-F2): MA plans must submit provider directory data to CMS for publication in Medicare Plan Finder, with 30 day update requirements and annual accurancy attestations (target "ghost networks"; effective 11/17/2025; applicable plan years begin 1/1/2026)</t>
  </si>
  <si>
    <t>Processing note (e.g., if a document's text was truncated during scanning).</t>
  </si>
  <si>
    <t>Assigned only to Match = 1 documents. SKIP = procedural/administrative notices and annual provider payment rules (reimbursement rates, not consumer-facing plan features) - exception: kept if strong keyword count &gt;= 200 in case a payment rule carries major MA policy. LOW = strong keyword count &lt;= 10 (marginal; check keywords before dismissing). MEDIUM = count 10-99 (reviewed for relevance). HIGH = count &gt;= 100 (core MA/Part D policy documents).</t>
  </si>
  <si>
    <t>Document title, official abstract, link to the document, and whether full text was retrieved and scanned (Y/N).</t>
  </si>
  <si>
    <t>Title / Abstract / URL / Full_Text_Scanned</t>
  </si>
  <si>
    <t>Medicare Advantage; MA organization; Part C; Part D; special needs plan; D-SNP; C-SNP; dual eligible; Medigap; Medicare supplement.</t>
  </si>
  <si>
    <t>Keyword list</t>
  </si>
  <si>
    <t>Match = 1 if the document's text contains at least one tracked keyword. Matched_Keywords lists each keyword with its hit count - e.g., "medicare advantage(31); d-snp(6)" is a core document, while a lone "part d(1)" is a passing mention.</t>
  </si>
  <si>
    <t>Match / Matched_Keywords</t>
  </si>
  <si>
    <t>Federal Register document ID, document type (Rule, Proposed Rule, Notice), publication date, and stated effective date if any.</t>
  </si>
  <si>
    <t>Doc_Number / Type / Pub_Date / Effective_Date</t>
  </si>
  <si>
    <t>FED REGISTER - SOURCE AND COLUMNS</t>
  </si>
  <si>
    <t>Enrollment SEP window implied by the declaration, per the CMS disaster/emergency SEP rule: for DR and EM declarations, SEP_Start = the earlier of the incident begin date and the declaration date; SEP_End = the last day of the second full calendar month after the SEP start month. These feed the Daily Grid SEP_Notes column.</t>
  </si>
  <si>
    <t>SEP_Start / SEP_End</t>
  </si>
  <si>
    <t>Count of counties/areas designated under the declaration.</t>
  </si>
  <si>
    <t>When the incident started and ended, and when FEMA formally declared it.</t>
  </si>
  <si>
    <t>Incident_Begin / Incident_End / Declaration_Date</t>
  </si>
  <si>
    <t>FEMA's category (Severe Storm, Hurricane, Flood, Fire, etc.).</t>
  </si>
  <si>
    <t>DR = major disaster declaration; EM = emergency declaration; FM = fire management assistance (FM does not generate an enrollment SEP).</t>
  </si>
  <si>
    <t>FEMA declaration number, affected state, and official incident title.</t>
  </si>
  <si>
    <t>Disaster_Num / State / Title</t>
  </si>
  <si>
    <t>FEMA DISASTERS - SOURCE AND COLUMNS</t>
  </si>
  <si>
    <t>Announced policy whose value impact lands after the event date (proposed rules, advance notices, drug-negotiation selections, bill signings ahead of effective dates). Expect news/search reaction on the date, not a sales-value change.</t>
  </si>
  <si>
    <t>Structures when and how beneficiaries shop (plan marketing start dates, ANOC delivery deadlines, plan-finder information rules).</t>
  </si>
  <si>
    <t>Changes the displayed Star Ratings or quality bonus economics (annual ratings publications, ratings litigation and recalculations).</t>
  </si>
  <si>
    <t>Creates or opens a guaranteed-issue or switching right on a specific date (state Medigap birthday rules, Rhode Island annual window).</t>
  </si>
  <si>
    <t>Changes what plans can exist or who can enroll where (D-SNP look-alike thresholds, dual-SEP restructure, FIDE/HIDE requirements, CalAIM, OBBBA eligibility changes).</t>
  </si>
  <si>
    <t>Directly changes benefits, premiums, or out-of-pocket costs (IRA drug-cost milestones, Rate Announcements that fund benefits, Part B premium changes, negotiated drug prices taking effect, Medigap rating changes).</t>
  </si>
  <si>
    <t>VALUE_MECHANISM CATEGORIES</t>
  </si>
  <si>
    <t>How the event changes plan value or shopping behavior. Categories defined below.</t>
  </si>
  <si>
    <t>National, or semicolon-delimited state postal codes for state-level events.</t>
  </si>
  <si>
    <t>URL(s) documenting the event.</t>
  </si>
  <si>
    <t>What happened and why it matters. For D-SNP/C-SNP-relevant events, a mechanism note is appended after "||" explaining the expected effect on SNP enrollment.</t>
  </si>
  <si>
    <t>Announced = the day the rule/notice was published (expect market/news/search reaction). Effective = the day the policy actually changes plan value. Deadline = a required-by date (e.g., ANOC delivery).</t>
  </si>
  <si>
    <t>CMS Rule (federal regulation), Legislation (law passed by Congress or a state), State Regulation (state-level rule, e.g., Medigap birthday rules), Rate Announcement (payment/premium figures set), Litigation (court action that changed which policy was in effect), Enrollment Milestone (dates that structure the shopping cycle), Plan Landscape Release (Star Ratings / plan info publication), Other.</t>
  </si>
  <si>
    <t>The date of the event.</t>
  </si>
  <si>
    <t>EVENTS - COLUMNS</t>
  </si>
  <si>
    <t>Orange = policy event day | Blue = AEP | Green = MA OEP / GEP.</t>
  </si>
  <si>
    <t>Row color key</t>
  </si>
  <si>
    <t>Description of each event on that day, joined with " | " when several fall on the same date. Non-national events show state codes in brackets.</t>
  </si>
  <si>
    <t>Count of Events-tab rows dated on that day (0 = no event).</t>
  </si>
  <si>
    <t>Equals 1 during the Annual Enrollment Period (Oct 15 - Dec 7 each year). Anyone with Medicare can switch between Original Medicare and Medicare Advantage, or change drug plans. Rows highlight blue.</t>
  </si>
  <si>
    <t>Derived from Date, for filtering and pivots.</t>
  </si>
  <si>
    <t>Year / Month / Weekday</t>
  </si>
  <si>
    <t>One row per day, 1/1/2024 - 5/31/2026.</t>
  </si>
  <si>
    <t>DAILY GRID - COLUMNS</t>
  </si>
  <si>
    <t>Raw pull of ALL CMS documents published in the Federal Register in the window, via API, keyword-scanned. Comprehensive by design - most rows are noise; filter on Match and Priority.</t>
  </si>
  <si>
    <t>Fed Register</t>
  </si>
  <si>
    <t>Raw pull of ALL FEMA disaster declarations in the window, via API. Comprehensive by design, so irrelevant/minor declarations (noise) are included - filter before analysis.</t>
  </si>
  <si>
    <t>FEMA Disasters</t>
  </si>
  <si>
    <t>One row per curated policy/market event. Only events that plausibly change plan value or consumer shopping behavior are included; procedural and administrative milestones are excluded.</t>
  </si>
  <si>
    <t>Events</t>
  </si>
  <si>
    <t>One row per calendar day. Enrollment-period flags, disaster SEP notes, and event details for that day.</t>
  </si>
  <si>
    <t>Daily Grid</t>
  </si>
  <si>
    <t>Daily calendar (Jan 1, 2024 - May 31, 2026) of dates that could affect the value or sales of Medicare Advantage (MA), Medicare Supplement (MS / Medigap), Dual Eligible Special Needs Plans (D-SNP), and Chronic Condition Special Needs Plans (C-SNP).</t>
  </si>
  <si>
    <t>Purpose</t>
  </si>
  <si>
    <t>WORKBOOK OVERVIEW</t>
  </si>
  <si>
    <t>Equals 1 from Jan 1 - Mar 31 each year. MA OEP: people already in a Medicare Advantage plan get one switch to another MA plan or back to Original Medicare. GEP (same window): people who missed their initial signup can enroll in Part A and/or Part B. Both rows highlight green.</t>
  </si>
  <si>
    <t>Disaster-related Special Enrollment Period notes, built automatically from the FEMA Disasters tab. Shows incident begin/end dates and SEP open dates, with disaster type, affected state, declaration type, and declaration number. SEPs let people affected by a disaster enroll or switch outside the normal windows. FM (Fire Management Assistance declarations) unincluded; only emergency or major-disaster declarations qualifies for SEPs.</t>
  </si>
  <si>
    <t xml:space="preserve">Which products the event touches: MA, MS, Part D, D-SNP, C-SNP, or All. Multiple products are separated by " / ". </t>
  </si>
  <si>
    <t>OpenFEMA Disaster Declarations Summaries API (api.fema.gov). ALL declarations with incidents in the window were pulled programmatically - no manual curation, so noises are included. Filter by Decl_Type, Incident_Type, or IA_Declared before analysis.</t>
  </si>
  <si>
    <t>TRUE if Individual Assistance was authorized (help to households, not just governments).</t>
  </si>
  <si>
    <t>Federal Register API (federalregister.gov). ALL CMS documents published Jan 2024 - May 2026 were pulled programmatically and their full text scanned for MA/Medigap/SNP keywords - no manual curation, so noises are included. Filter Match = 1, then use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</si>
</sst>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theme="1"/>
      <name val="Calibri"/>
      <family val="2"/>
      <charset val="1"/>
    </font>
    <font>
      <b/>
      <sz val="10"/>
      <color rgb="FFFFFFFF"/>
      <name val="Calibri"/>
      <family val="2"/>
      <charset val="1"/>
    </font>
    <font>
      <sz val="10"/>
      <name val="Calibri"/>
      <family val="2"/>
      <charset val="1"/>
    </font>
    <font>
      <sz val="10"/>
      <name val="Arial"/>
      <family val="2"/>
      <charset val="1"/>
    </font>
    <font>
      <sz val="10"/>
      <color theme="1"/>
      <name val="Calibri"/>
      <family val="2"/>
      <charset val="1"/>
    </font>
    <font>
      <b/>
      <sz val="10"/>
      <name val="Calibri"/>
      <family val="2"/>
      <charset val="1"/>
    </font>
    <font>
      <u/>
      <sz val="11"/>
      <color theme="10"/>
      <name val="Calibri"/>
      <family val="2"/>
      <charset val="1"/>
    </font>
    <font>
      <b/>
      <sz val="10"/>
      <color rgb="FFFFFFFF"/>
      <name val="Calibri"/>
      <family val="2"/>
    </font>
    <font>
      <sz val="10"/>
      <name val="Calibri"/>
      <family val="2"/>
    </font>
    <font>
      <sz val="11"/>
      <color theme="1"/>
      <name val="Calibri"/>
      <family val="2"/>
    </font>
    <font>
      <b/>
      <sz val="10"/>
      <name val="Calibri"/>
      <family val="2"/>
    </font>
    <font>
      <b/>
      <sz val="11"/>
      <name val="Calibri"/>
      <family val="2"/>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horizontal="center"/>
    </xf>
    <xf numFmtId="164" fontId="2" fillId="0" borderId="0" xfId="0" applyNumberFormat="1" applyFont="1"/>
    <xf numFmtId="0" fontId="2" fillId="0" borderId="0" xfId="0" applyFont="1"/>
    <xf numFmtId="0" fontId="3" fillId="0" borderId="0" xfId="0" applyFont="1"/>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1" fillId="2" borderId="0" xfId="0" applyFont="1" applyFill="1" applyAlignment="1">
      <alignment horizontal="center" wrapText="1"/>
    </xf>
    <xf numFmtId="14" fontId="2" fillId="0" borderId="0" xfId="0" applyNumberFormat="1" applyFont="1" applyAlignment="1">
      <alignment vertical="top"/>
    </xf>
    <xf numFmtId="0" fontId="2" fillId="0" borderId="0" xfId="0" applyFont="1" applyAlignment="1">
      <alignment vertical="top"/>
    </xf>
    <xf numFmtId="0" fontId="2" fillId="0" borderId="0" xfId="0" applyFont="1" applyAlignment="1">
      <alignment vertical="top" wrapText="1"/>
    </xf>
    <xf numFmtId="0" fontId="0" fillId="3" borderId="0" xfId="0" applyFill="1"/>
    <xf numFmtId="0" fontId="0" fillId="3" borderId="0" xfId="0" applyFill="1" applyAlignment="1">
      <alignment wrapText="1"/>
    </xf>
    <xf numFmtId="0" fontId="4" fillId="3" borderId="0" xfId="0" applyFont="1" applyFill="1" applyAlignment="1">
      <alignment wrapText="1"/>
    </xf>
    <xf numFmtId="0" fontId="4" fillId="0" borderId="0" xfId="0" applyFont="1"/>
    <xf numFmtId="164" fontId="4" fillId="0" borderId="0" xfId="0" applyNumberFormat="1" applyFont="1"/>
    <xf numFmtId="0" fontId="5" fillId="0" borderId="0" xfId="0" applyFont="1"/>
    <xf numFmtId="14" fontId="3" fillId="0" borderId="0" xfId="0" applyNumberFormat="1" applyFont="1"/>
    <xf numFmtId="14" fontId="2" fillId="0" borderId="0" xfId="0" applyNumberFormat="1" applyFont="1"/>
    <xf numFmtId="0" fontId="6" fillId="0" borderId="0" xfId="0" applyFont="1"/>
    <xf numFmtId="0" fontId="3" fillId="0" borderId="0" xfId="0" applyFont="1" applyAlignment="1">
      <alignment vertical="top" wrapText="1"/>
    </xf>
    <xf numFmtId="0" fontId="5" fillId="0" borderId="0" xfId="0" applyFont="1" applyAlignment="1">
      <alignment vertical="top" wrapText="1"/>
    </xf>
    <xf numFmtId="0" fontId="7" fillId="2" borderId="0" xfId="0" applyFont="1" applyFill="1" applyAlignment="1">
      <alignment horizontal="center"/>
    </xf>
    <xf numFmtId="0" fontId="8" fillId="0" borderId="0" xfId="0" applyFont="1" applyAlignment="1">
      <alignment wrapText="1"/>
    </xf>
    <xf numFmtId="0" fontId="8" fillId="0" borderId="0" xfId="0" applyFont="1"/>
    <xf numFmtId="0" fontId="9" fillId="0" borderId="0" xfId="0" applyFont="1"/>
    <xf numFmtId="14" fontId="2" fillId="0" borderId="0" xfId="0" applyNumberFormat="1" applyFont="1" applyAlignment="1"/>
    <xf numFmtId="0" fontId="2" fillId="0" borderId="0" xfId="0" applyFont="1" applyAlignment="1"/>
    <xf numFmtId="0" fontId="8" fillId="0" borderId="0" xfId="0" applyFont="1" applyAlignment="1">
      <alignment vertical="top" wrapText="1"/>
    </xf>
    <xf numFmtId="0" fontId="10" fillId="0" borderId="0" xfId="0" applyFont="1" applyAlignment="1">
      <alignment vertical="top"/>
    </xf>
    <xf numFmtId="0" fontId="11" fillId="0" borderId="0" xfId="0" applyFont="1" applyAlignment="1">
      <alignment vertical="top"/>
    </xf>
  </cellXfs>
  <cellStyles count="1">
    <cellStyle name="Normal" xfId="0" builtinId="0"/>
  </cellStyles>
  <dxfs count="3">
    <dxf>
      <fill>
        <patternFill>
          <bgColor rgb="FFC6E0B4"/>
        </patternFill>
      </fill>
    </dxf>
    <dxf>
      <fill>
        <patternFill>
          <bgColor rgb="FFBDD7EE"/>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federalregister.gov/documents/2025/04/15/2025-06008/medicare-and-medicaid-programs-contract-year-2026-policy-and-technical-changes-to-the-medicare" TargetMode="External"/><Relationship Id="rId2" Type="http://schemas.openxmlformats.org/officeDocument/2006/relationships/hyperlink" Target="https://www.federalregister.gov/documents/2024/12/10/2024-27939/medicare-and-medicaid-programs-contract-year-2026-policy-and-technical-changes-to-the-medicare" TargetMode="External"/><Relationship Id="rId1" Type="http://schemas.openxmlformats.org/officeDocument/2006/relationships/hyperlink" Target="https://www.federalregister.gov/documents/2024/04/23/2024-07105/medicare-program-changes-to-the-medicare-advantage-and-the-medicare-prescription-drug-benefit" TargetMode="External"/><Relationship Id="rId4" Type="http://schemas.openxmlformats.org/officeDocument/2006/relationships/hyperlink" Target="https://www.federalregister.gov/documents/2025/11/28/2025-21456/medicare-program-contract-year-2027-policy-and-technical-changes-to-the-medicare-advantage-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3"/>
  <sheetViews>
    <sheetView tabSelected="1" zoomScaleNormal="100" workbookViewId="0">
      <pane ySplit="1" topLeftCell="A2" activePane="bottomLeft" state="frozen"/>
      <selection pane="bottomLeft" activeCell="G6" sqref="G6"/>
    </sheetView>
  </sheetViews>
  <sheetFormatPr defaultColWidth="8.6328125" defaultRowHeight="14.5" x14ac:dyDescent="0.35"/>
  <cols>
    <col min="1" max="1" width="12" customWidth="1"/>
    <col min="2" max="3" width="7" customWidth="1"/>
    <col min="4" max="4" width="9" customWidth="1"/>
    <col min="5" max="5" width="6" customWidth="1"/>
    <col min="6" max="6" width="8" customWidth="1"/>
    <col min="7" max="7" width="64.54296875" customWidth="1"/>
    <col min="8" max="8" width="10" customWidth="1"/>
    <col min="9" max="9" width="30.54296875" style="26" customWidth="1"/>
  </cols>
  <sheetData>
    <row r="1" spans="1:9" ht="15" customHeight="1" x14ac:dyDescent="0.35">
      <c r="A1" s="1" t="s">
        <v>0</v>
      </c>
      <c r="B1" s="1" t="s">
        <v>1</v>
      </c>
      <c r="C1" s="1" t="s">
        <v>2</v>
      </c>
      <c r="D1" s="1" t="s">
        <v>3</v>
      </c>
      <c r="E1" s="1" t="s">
        <v>4</v>
      </c>
      <c r="F1" s="1" t="s">
        <v>5</v>
      </c>
      <c r="G1" s="1" t="s">
        <v>6</v>
      </c>
      <c r="H1" s="1" t="s">
        <v>7</v>
      </c>
      <c r="I1" s="23" t="s">
        <v>8</v>
      </c>
    </row>
    <row r="2" spans="1:9" ht="17.25" customHeight="1" x14ac:dyDescent="0.35">
      <c r="A2" s="2">
        <v>45292</v>
      </c>
      <c r="B2" s="3">
        <f t="shared" ref="B2:B65" si="0">YEAR($A2)</f>
        <v>2024</v>
      </c>
      <c r="C2" s="3">
        <f t="shared" ref="C2:C65" si="1">MONTH($A2)</f>
        <v>1</v>
      </c>
      <c r="D2" s="3" t="str">
        <f t="shared" ref="D2:D65" si="2">TEXT($A2,"ddd")</f>
        <v>Mon</v>
      </c>
      <c r="E2" s="3">
        <f t="shared" ref="E2:E65" si="3">IF(OR(AND(MONTH($A2)=10,DAY($A2)&gt;=15),MONTH($A2)=11,AND(MONTH($A2)=12,DAY($A2)&lt;=7)),1,0)</f>
        <v>0</v>
      </c>
      <c r="F2" s="3">
        <f t="shared" ref="F2:F65" si="4">IF(MONTH($A2)&lt;=3,1,0)</f>
        <v>1</v>
      </c>
      <c r="G2" s="3" t="str">
        <f t="array" ref="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3">
        <f>COUNTIF(Events!$A$2:$A$397,$A2)</f>
        <v>2</v>
      </c>
      <c r="I2" s="24" t="str">
        <f t="array" ref="I2">_xlfn.TEXTJOIN(" | ",TRUE(),IF(Events!$A$2:$A$397=$A2,Events!$E$2:$E$397&amp;IF(Events!$G$2:$G$397="National",""," ["&amp;Events!$G$2:$G$397&amp;"]"),""))</f>
        <v>IRA phase-in: 5% coinsurance in Part D catastrophic phase eliminated; full Low-Income Subsidy (Extra Help) expanded to 150% FPL | Kentucky Medigap birthday rule takes effect (2023 HB 345, Ch. 182; KRS 304.14-525): enrollees may switch to another insurer's same-letter policy within 60 days after their birthday, no medical underwriting; law also added under-65 open enrollment protections [KY]</v>
      </c>
    </row>
    <row r="3" spans="1:9" ht="15" customHeight="1" x14ac:dyDescent="0.35">
      <c r="A3" s="2">
        <v>45293</v>
      </c>
      <c r="B3" s="3">
        <f t="shared" si="0"/>
        <v>2024</v>
      </c>
      <c r="C3" s="3">
        <f t="shared" si="1"/>
        <v>1</v>
      </c>
      <c r="D3" s="3" t="str">
        <f t="shared" si="2"/>
        <v>Tue</v>
      </c>
      <c r="E3" s="3">
        <f t="shared" si="3"/>
        <v>0</v>
      </c>
      <c r="F3" s="3">
        <f t="shared" si="4"/>
        <v>1</v>
      </c>
      <c r="G3" s="3" t="str">
        <f t="array" ref="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3">
        <f>COUNTIF(Events!$A$2:$A$397,$A3)</f>
        <v>0</v>
      </c>
      <c r="I3" s="25" t="str">
        <f t="array" ref="I3">_xlfn.TEXTJOIN(" | ",TRUE(),IF(Events!$A$2:$A$397=$A3,Events!$E$2:$E$397&amp;IF(Events!$G$2:$G$397="National",""," ["&amp;Events!$G$2:$G$397&amp;"]"),""))</f>
        <v/>
      </c>
    </row>
    <row r="4" spans="1:9" ht="15" customHeight="1" x14ac:dyDescent="0.35">
      <c r="A4" s="2">
        <v>45294</v>
      </c>
      <c r="B4" s="3">
        <f t="shared" si="0"/>
        <v>2024</v>
      </c>
      <c r="C4" s="3">
        <f t="shared" si="1"/>
        <v>1</v>
      </c>
      <c r="D4" s="3" t="str">
        <f t="shared" si="2"/>
        <v>Wed</v>
      </c>
      <c r="E4" s="3">
        <f t="shared" si="3"/>
        <v>0</v>
      </c>
      <c r="F4" s="3">
        <f t="shared" si="4"/>
        <v>1</v>
      </c>
      <c r="G4" s="3" t="str">
        <f t="array" ref="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3">
        <f>COUNTIF(Events!$A$2:$A$397,$A4)</f>
        <v>0</v>
      </c>
      <c r="I4" s="25" t="str">
        <f t="array" ref="I4">_xlfn.TEXTJOIN(" | ",TRUE(),IF(Events!$A$2:$A$397=$A4,Events!$E$2:$E$397&amp;IF(Events!$G$2:$G$397="National",""," ["&amp;Events!$G$2:$G$397&amp;"]"),""))</f>
        <v/>
      </c>
    </row>
    <row r="5" spans="1:9" ht="15" customHeight="1" x14ac:dyDescent="0.35">
      <c r="A5" s="2">
        <v>45295</v>
      </c>
      <c r="B5" s="3">
        <f t="shared" si="0"/>
        <v>2024</v>
      </c>
      <c r="C5" s="3">
        <f t="shared" si="1"/>
        <v>1</v>
      </c>
      <c r="D5" s="3" t="str">
        <f t="shared" si="2"/>
        <v>Thu</v>
      </c>
      <c r="E5" s="3">
        <f t="shared" si="3"/>
        <v>0</v>
      </c>
      <c r="F5" s="3">
        <f t="shared" si="4"/>
        <v>1</v>
      </c>
      <c r="G5" s="3" t="str">
        <f t="array" ref="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3">
        <f>COUNTIF(Events!$A$2:$A$397,$A5)</f>
        <v>0</v>
      </c>
      <c r="I5" s="25" t="str">
        <f t="array" ref="I5">_xlfn.TEXTJOIN(" | ",TRUE(),IF(Events!$A$2:$A$397=$A5,Events!$E$2:$E$397&amp;IF(Events!$G$2:$G$397="National",""," ["&amp;Events!$G$2:$G$397&amp;"]"),""))</f>
        <v/>
      </c>
    </row>
    <row r="6" spans="1:9" ht="26.5" x14ac:dyDescent="0.35">
      <c r="A6" s="2">
        <v>45296</v>
      </c>
      <c r="B6" s="3">
        <f t="shared" si="0"/>
        <v>2024</v>
      </c>
      <c r="C6" s="3">
        <f t="shared" si="1"/>
        <v>1</v>
      </c>
      <c r="D6" s="3" t="str">
        <f t="shared" si="2"/>
        <v>Fri</v>
      </c>
      <c r="E6" s="3">
        <f t="shared" si="3"/>
        <v>0</v>
      </c>
      <c r="F6" s="3">
        <f t="shared" si="4"/>
        <v>1</v>
      </c>
      <c r="G6" s="5" t="str">
        <f t="array" ref="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 | Disaster SEP opens: Severe Storm [WA] DR-4775</v>
      </c>
      <c r="H6" s="3">
        <f>COUNTIF(Events!$A$2:$A$397,$A6)</f>
        <v>0</v>
      </c>
      <c r="I6" s="25" t="str">
        <f t="array" ref="I6">_xlfn.TEXTJOIN(" | ",TRUE(),IF(Events!$A$2:$A$397=$A6,Events!$E$2:$E$397&amp;IF(Events!$G$2:$G$397="National",""," ["&amp;Events!$G$2:$G$397&amp;"]"),""))</f>
        <v/>
      </c>
    </row>
    <row r="7" spans="1:9" ht="15" customHeight="1" x14ac:dyDescent="0.35">
      <c r="A7" s="2">
        <v>45297</v>
      </c>
      <c r="B7" s="3">
        <f t="shared" si="0"/>
        <v>2024</v>
      </c>
      <c r="C7" s="3">
        <f t="shared" si="1"/>
        <v>1</v>
      </c>
      <c r="D7" s="3" t="str">
        <f t="shared" si="2"/>
        <v>Sat</v>
      </c>
      <c r="E7" s="3">
        <f t="shared" si="3"/>
        <v>0</v>
      </c>
      <c r="F7" s="3">
        <f t="shared" si="4"/>
        <v>1</v>
      </c>
      <c r="G7" s="3" t="str">
        <f t="array" ref="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3">
        <f>COUNTIF(Events!$A$2:$A$397,$A7)</f>
        <v>0</v>
      </c>
      <c r="I7" s="25" t="str">
        <f t="array" ref="I7">_xlfn.TEXTJOIN(" | ",TRUE(),IF(Events!$A$2:$A$397=$A7,Events!$E$2:$E$397&amp;IF(Events!$G$2:$G$397="National",""," ["&amp;Events!$G$2:$G$397&amp;"]"),""))</f>
        <v/>
      </c>
    </row>
    <row r="8" spans="1:9" ht="15" customHeight="1" x14ac:dyDescent="0.35">
      <c r="A8" s="2">
        <v>45298</v>
      </c>
      <c r="B8" s="3">
        <f t="shared" si="0"/>
        <v>2024</v>
      </c>
      <c r="C8" s="3">
        <f t="shared" si="1"/>
        <v>1</v>
      </c>
      <c r="D8" s="3" t="str">
        <f t="shared" si="2"/>
        <v>Sun</v>
      </c>
      <c r="E8" s="3">
        <f t="shared" si="3"/>
        <v>0</v>
      </c>
      <c r="F8" s="3">
        <f t="shared" si="4"/>
        <v>1</v>
      </c>
      <c r="G8" s="3" t="str">
        <f t="array" ref="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3">
        <f>COUNTIF(Events!$A$2:$A$397,$A8)</f>
        <v>0</v>
      </c>
      <c r="I8" s="25" t="str">
        <f t="array" ref="I8">_xlfn.TEXTJOIN(" | ",TRUE(),IF(Events!$A$2:$A$397=$A8,Events!$E$2:$E$397&amp;IF(Events!$G$2:$G$397="National",""," ["&amp;Events!$G$2:$G$397&amp;"]"),""))</f>
        <v/>
      </c>
    </row>
    <row r="9" spans="1:9" ht="14.25" customHeight="1" x14ac:dyDescent="0.35">
      <c r="A9" s="2">
        <v>45299</v>
      </c>
      <c r="B9" s="3">
        <f t="shared" si="0"/>
        <v>2024</v>
      </c>
      <c r="C9" s="3">
        <f t="shared" si="1"/>
        <v>1</v>
      </c>
      <c r="D9" s="3" t="str">
        <f t="shared" si="2"/>
        <v>Mon</v>
      </c>
      <c r="E9" s="3">
        <f t="shared" si="3"/>
        <v>0</v>
      </c>
      <c r="F9" s="3">
        <f t="shared" si="4"/>
        <v>1</v>
      </c>
      <c r="G9" s="3" t="str">
        <f t="array" ref="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 | Disaster SEP opens: Winter Storm [KS] DR-4774</v>
      </c>
      <c r="H9" s="3">
        <f>COUNTIF(Events!$A$2:$A$397,$A9)</f>
        <v>0</v>
      </c>
      <c r="I9" s="25" t="str">
        <f t="array" ref="I9">_xlfn.TEXTJOIN(" | ",TRUE(),IF(Events!$A$2:$A$397=$A9,Events!$E$2:$E$397&amp;IF(Events!$G$2:$G$397="National",""," ["&amp;Events!$G$2:$G$397&amp;"]"),""))</f>
        <v/>
      </c>
    </row>
    <row r="10" spans="1:9" ht="14.25" customHeight="1" x14ac:dyDescent="0.35">
      <c r="A10" s="2">
        <v>45300</v>
      </c>
      <c r="B10" s="3">
        <f t="shared" si="0"/>
        <v>2024</v>
      </c>
      <c r="C10" s="3">
        <f t="shared" si="1"/>
        <v>1</v>
      </c>
      <c r="D10" s="3" t="str">
        <f t="shared" si="2"/>
        <v>Tue</v>
      </c>
      <c r="E10" s="3">
        <f t="shared" si="3"/>
        <v>0</v>
      </c>
      <c r="F10" s="3">
        <f t="shared" si="4"/>
        <v>1</v>
      </c>
      <c r="G10" s="3" t="str">
        <f t="array" ref="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 | Disaster SEP opens: Severe Storm [ME] DR-4764 | Disaster SEP opens: Severe Storm [RI] DR-4766 | Disaster SEP opens: Severe Storm [VT] DR-4770 | Disaster SEP opens: Severe Storm [NH] DR-4771</v>
      </c>
      <c r="H10" s="3">
        <f>COUNTIF(Events!$A$2:$A$397,$A10)</f>
        <v>0</v>
      </c>
      <c r="I10" s="25" t="str">
        <f t="array" ref="I10">_xlfn.TEXTJOIN(" | ",TRUE(),IF(Events!$A$2:$A$397=$A10,Events!$E$2:$E$397&amp;IF(Events!$G$2:$G$397="National",""," ["&amp;Events!$G$2:$G$397&amp;"]"),""))</f>
        <v/>
      </c>
    </row>
    <row r="11" spans="1:9" ht="14.25" customHeight="1" x14ac:dyDescent="0.35">
      <c r="A11" s="2">
        <v>45301</v>
      </c>
      <c r="B11" s="3">
        <f t="shared" si="0"/>
        <v>2024</v>
      </c>
      <c r="C11" s="3">
        <f t="shared" si="1"/>
        <v>1</v>
      </c>
      <c r="D11" s="3" t="str">
        <f t="shared" si="2"/>
        <v>Wed</v>
      </c>
      <c r="E11" s="3">
        <f t="shared" si="3"/>
        <v>0</v>
      </c>
      <c r="F11" s="3">
        <f t="shared" si="4"/>
        <v>1</v>
      </c>
      <c r="G11" s="3" t="str">
        <f t="array" ref="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 | Disaster SEP opens: Severe Storm [CT] EM-3604 | Disaster SEP opens: Severe Storm [OR] DR-4768</v>
      </c>
      <c r="H11" s="3">
        <f>COUNTIF(Events!$A$2:$A$397,$A11)</f>
        <v>0</v>
      </c>
      <c r="I11" s="25" t="str">
        <f t="array" ref="I11">_xlfn.TEXTJOIN(" | ",TRUE(),IF(Events!$A$2:$A$397=$A11,Events!$E$2:$E$397&amp;IF(Events!$G$2:$G$397="National",""," ["&amp;Events!$G$2:$G$397&amp;"]"),""))</f>
        <v/>
      </c>
    </row>
    <row r="12" spans="1:9" ht="15" customHeight="1" x14ac:dyDescent="0.35">
      <c r="A12" s="2">
        <v>45302</v>
      </c>
      <c r="B12" s="3">
        <f t="shared" si="0"/>
        <v>2024</v>
      </c>
      <c r="C12" s="3">
        <f t="shared" si="1"/>
        <v>1</v>
      </c>
      <c r="D12" s="3" t="str">
        <f t="shared" si="2"/>
        <v>Thu</v>
      </c>
      <c r="E12" s="3">
        <f t="shared" si="3"/>
        <v>0</v>
      </c>
      <c r="F12" s="3">
        <f t="shared" si="4"/>
        <v>1</v>
      </c>
      <c r="G12" s="3" t="str">
        <f t="array" ref="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3">
        <f>COUNTIF(Events!$A$2:$A$397,$A12)</f>
        <v>0</v>
      </c>
      <c r="I12" s="25" t="str">
        <f t="array" ref="I12">_xlfn.TEXTJOIN(" | ",TRUE(),IF(Events!$A$2:$A$397=$A12,Events!$E$2:$E$397&amp;IF(Events!$G$2:$G$397="National",""," ["&amp;Events!$G$2:$G$397&amp;"]"),""))</f>
        <v/>
      </c>
    </row>
    <row r="13" spans="1:9" ht="15" customHeight="1" x14ac:dyDescent="0.35">
      <c r="A13" s="2">
        <v>45303</v>
      </c>
      <c r="B13" s="3">
        <f t="shared" si="0"/>
        <v>2024</v>
      </c>
      <c r="C13" s="3">
        <f t="shared" si="1"/>
        <v>1</v>
      </c>
      <c r="D13" s="3" t="str">
        <f t="shared" si="2"/>
        <v>Fri</v>
      </c>
      <c r="E13" s="3">
        <f t="shared" si="3"/>
        <v>0</v>
      </c>
      <c r="F13" s="3">
        <f t="shared" si="4"/>
        <v>1</v>
      </c>
      <c r="G13" s="3" t="str">
        <f t="array" ref="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3">
        <f>COUNTIF(Events!$A$2:$A$397,$A13)</f>
        <v>0</v>
      </c>
      <c r="I13" s="25" t="str">
        <f t="array" ref="I13">_xlfn.TEXTJOIN(" | ",TRUE(),IF(Events!$A$2:$A$397=$A13,Events!$E$2:$E$397&amp;IF(Events!$G$2:$G$397="National",""," ["&amp;Events!$G$2:$G$397&amp;"]"),""))</f>
        <v/>
      </c>
    </row>
    <row r="14" spans="1:9" ht="15" customHeight="1" x14ac:dyDescent="0.35">
      <c r="A14" s="2">
        <v>45304</v>
      </c>
      <c r="B14" s="3">
        <f t="shared" si="0"/>
        <v>2024</v>
      </c>
      <c r="C14" s="3">
        <f t="shared" si="1"/>
        <v>1</v>
      </c>
      <c r="D14" s="3" t="str">
        <f t="shared" si="2"/>
        <v>Sat</v>
      </c>
      <c r="E14" s="3">
        <f t="shared" si="3"/>
        <v>0</v>
      </c>
      <c r="F14" s="3">
        <f t="shared" si="4"/>
        <v>1</v>
      </c>
      <c r="G14" s="3" t="str">
        <f t="array" ref="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3">
        <f>COUNTIF(Events!$A$2:$A$397,$A14)</f>
        <v>0</v>
      </c>
      <c r="I14" s="25" t="str">
        <f t="array" ref="I14">_xlfn.TEXTJOIN(" | ",TRUE(),IF(Events!$A$2:$A$397=$A14,Events!$E$2:$E$397&amp;IF(Events!$G$2:$G$397="National",""," ["&amp;Events!$G$2:$G$397&amp;"]"),""))</f>
        <v/>
      </c>
    </row>
    <row r="15" spans="1:9" ht="15" customHeight="1" x14ac:dyDescent="0.35">
      <c r="A15" s="2">
        <v>45305</v>
      </c>
      <c r="B15" s="3">
        <f t="shared" si="0"/>
        <v>2024</v>
      </c>
      <c r="C15" s="3">
        <f t="shared" si="1"/>
        <v>1</v>
      </c>
      <c r="D15" s="3" t="str">
        <f t="shared" si="2"/>
        <v>Sun</v>
      </c>
      <c r="E15" s="3">
        <f t="shared" si="3"/>
        <v>0</v>
      </c>
      <c r="F15" s="3">
        <f t="shared" si="4"/>
        <v>1</v>
      </c>
      <c r="G15" s="3" t="str">
        <f t="array" ref="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v>
      </c>
      <c r="H15" s="3">
        <f>COUNTIF(Events!$A$2:$A$397,$A15)</f>
        <v>0</v>
      </c>
      <c r="I15" s="25" t="str">
        <f t="array" ref="I15">_xlfn.TEXTJOIN(" | ",TRUE(),IF(Events!$A$2:$A$397=$A15,Events!$E$2:$E$397&amp;IF(Events!$G$2:$G$397="National",""," ["&amp;Events!$G$2:$G$397&amp;"]"),""))</f>
        <v/>
      </c>
    </row>
    <row r="16" spans="1:9" ht="15" customHeight="1" x14ac:dyDescent="0.35">
      <c r="A16" s="2">
        <v>45306</v>
      </c>
      <c r="B16" s="3">
        <f t="shared" si="0"/>
        <v>2024</v>
      </c>
      <c r="C16" s="3">
        <f t="shared" si="1"/>
        <v>1</v>
      </c>
      <c r="D16" s="3" t="str">
        <f t="shared" si="2"/>
        <v>Mon</v>
      </c>
      <c r="E16" s="3">
        <f t="shared" si="3"/>
        <v>0</v>
      </c>
      <c r="F16" s="3">
        <f t="shared" si="4"/>
        <v>1</v>
      </c>
      <c r="G16" s="3" t="str">
        <f t="array" ref="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
      </c>
      <c r="H16" s="3">
        <f>COUNTIF(Events!$A$2:$A$397,$A16)</f>
        <v>0</v>
      </c>
      <c r="I16" s="25" t="str">
        <f t="array" ref="I16">_xlfn.TEXTJOIN(" | ",TRUE(),IF(Events!$A$2:$A$397=$A16,Events!$E$2:$E$397&amp;IF(Events!$G$2:$G$397="National",""," ["&amp;Events!$G$2:$G$397&amp;"]"),""))</f>
        <v/>
      </c>
    </row>
    <row r="17" spans="1:9" ht="15" customHeight="1" x14ac:dyDescent="0.35">
      <c r="A17" s="2">
        <v>45307</v>
      </c>
      <c r="B17" s="3">
        <f t="shared" si="0"/>
        <v>2024</v>
      </c>
      <c r="C17" s="3">
        <f t="shared" si="1"/>
        <v>1</v>
      </c>
      <c r="D17" s="3" t="str">
        <f t="shared" si="2"/>
        <v>Tue</v>
      </c>
      <c r="E17" s="3">
        <f t="shared" si="3"/>
        <v>0</v>
      </c>
      <c r="F17" s="3">
        <f t="shared" si="4"/>
        <v>1</v>
      </c>
      <c r="G17" s="3" t="str">
        <f t="array" ref="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3">
        <f>COUNTIF(Events!$A$2:$A$397,$A17)</f>
        <v>0</v>
      </c>
      <c r="I17" s="25" t="str">
        <f t="array" ref="I17">_xlfn.TEXTJOIN(" | ",TRUE(),IF(Events!$A$2:$A$397=$A17,Events!$E$2:$E$397&amp;IF(Events!$G$2:$G$397="National",""," ["&amp;Events!$G$2:$G$397&amp;"]"),""))</f>
        <v/>
      </c>
    </row>
    <row r="18" spans="1:9" ht="15" customHeight="1" x14ac:dyDescent="0.35">
      <c r="A18" s="2">
        <v>45308</v>
      </c>
      <c r="B18" s="3">
        <f t="shared" si="0"/>
        <v>2024</v>
      </c>
      <c r="C18" s="3">
        <f t="shared" si="1"/>
        <v>1</v>
      </c>
      <c r="D18" s="3" t="str">
        <f t="shared" si="2"/>
        <v>Wed</v>
      </c>
      <c r="E18" s="3">
        <f t="shared" si="3"/>
        <v>0</v>
      </c>
      <c r="F18" s="3">
        <f t="shared" si="4"/>
        <v>1</v>
      </c>
      <c r="G18" s="3" t="str">
        <f t="array" ref="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
      </c>
      <c r="H18" s="3">
        <f>COUNTIF(Events!$A$2:$A$397,$A18)</f>
        <v>0</v>
      </c>
      <c r="I18" s="25" t="str">
        <f t="array" ref="I18">_xlfn.TEXTJOIN(" | ",TRUE(),IF(Events!$A$2:$A$397=$A18,Events!$E$2:$E$397&amp;IF(Events!$G$2:$G$397="National",""," ["&amp;Events!$G$2:$G$397&amp;"]"),""))</f>
        <v/>
      </c>
    </row>
    <row r="19" spans="1:9" ht="15" customHeight="1" x14ac:dyDescent="0.35">
      <c r="A19" s="2">
        <v>45309</v>
      </c>
      <c r="B19" s="3">
        <f t="shared" si="0"/>
        <v>2024</v>
      </c>
      <c r="C19" s="3">
        <f t="shared" si="1"/>
        <v>1</v>
      </c>
      <c r="D19" s="3" t="str">
        <f t="shared" si="2"/>
        <v>Thu</v>
      </c>
      <c r="E19" s="3">
        <f t="shared" si="3"/>
        <v>0</v>
      </c>
      <c r="F19" s="3">
        <f t="shared" si="4"/>
        <v>1</v>
      </c>
      <c r="G19" s="3" t="str">
        <f t="array" ref="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3">
        <f>COUNTIF(Events!$A$2:$A$397,$A19)</f>
        <v>0</v>
      </c>
      <c r="I19" s="25" t="str">
        <f t="array" ref="I19">_xlfn.TEXTJOIN(" | ",TRUE(),IF(Events!$A$2:$A$397=$A19,Events!$E$2:$E$397&amp;IF(Events!$G$2:$G$397="National",""," ["&amp;Events!$G$2:$G$397&amp;"]"),""))</f>
        <v/>
      </c>
    </row>
    <row r="20" spans="1:9" ht="15" customHeight="1" x14ac:dyDescent="0.35">
      <c r="A20" s="2">
        <v>45310</v>
      </c>
      <c r="B20" s="3">
        <f t="shared" si="0"/>
        <v>2024</v>
      </c>
      <c r="C20" s="3">
        <f t="shared" si="1"/>
        <v>1</v>
      </c>
      <c r="D20" s="3" t="str">
        <f t="shared" si="2"/>
        <v>Fri</v>
      </c>
      <c r="E20" s="3">
        <f t="shared" si="3"/>
        <v>0</v>
      </c>
      <c r="F20" s="3">
        <f t="shared" si="4"/>
        <v>1</v>
      </c>
      <c r="G20" s="3" t="str">
        <f t="array" ref="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3">
        <f>COUNTIF(Events!$A$2:$A$397,$A20)</f>
        <v>0</v>
      </c>
      <c r="I20" s="25" t="str">
        <f t="array" ref="I20">_xlfn.TEXTJOIN(" | ",TRUE(),IF(Events!$A$2:$A$397=$A20,Events!$E$2:$E$397&amp;IF(Events!$G$2:$G$397="National",""," ["&amp;Events!$G$2:$G$397&amp;"]"),""))</f>
        <v/>
      </c>
    </row>
    <row r="21" spans="1:9" ht="15" customHeight="1" x14ac:dyDescent="0.35">
      <c r="A21" s="2">
        <v>45311</v>
      </c>
      <c r="B21" s="3">
        <f t="shared" si="0"/>
        <v>2024</v>
      </c>
      <c r="C21" s="3">
        <f t="shared" si="1"/>
        <v>1</v>
      </c>
      <c r="D21" s="3" t="str">
        <f t="shared" si="2"/>
        <v>Sat</v>
      </c>
      <c r="E21" s="3">
        <f t="shared" si="3"/>
        <v>0</v>
      </c>
      <c r="F21" s="3">
        <f t="shared" si="4"/>
        <v>1</v>
      </c>
      <c r="G21" s="3" t="str">
        <f t="array" ref="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3">
        <f>COUNTIF(Events!$A$2:$A$397,$A21)</f>
        <v>0</v>
      </c>
      <c r="I21" s="25" t="str">
        <f t="array" ref="I21">_xlfn.TEXTJOIN(" | ",TRUE(),IF(Events!$A$2:$A$397=$A21,Events!$E$2:$E$397&amp;IF(Events!$G$2:$G$397="National",""," ["&amp;Events!$G$2:$G$397&amp;"]"),""))</f>
        <v/>
      </c>
    </row>
    <row r="22" spans="1:9" ht="15" customHeight="1" x14ac:dyDescent="0.35">
      <c r="A22" s="2">
        <v>45312</v>
      </c>
      <c r="B22" s="3">
        <f t="shared" si="0"/>
        <v>2024</v>
      </c>
      <c r="C22" s="3">
        <f t="shared" si="1"/>
        <v>1</v>
      </c>
      <c r="D22" s="3" t="str">
        <f t="shared" si="2"/>
        <v>Sun</v>
      </c>
      <c r="E22" s="3">
        <f t="shared" si="3"/>
        <v>0</v>
      </c>
      <c r="F22" s="3">
        <f t="shared" si="4"/>
        <v>1</v>
      </c>
      <c r="G22" s="3" t="str">
        <f t="array" ref="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 | Disaster SEP opens: Flood [CA] DR-4758</v>
      </c>
      <c r="H22" s="3">
        <f>COUNTIF(Events!$A$2:$A$397,$A22)</f>
        <v>0</v>
      </c>
      <c r="I22" s="25" t="str">
        <f t="array" ref="I22">_xlfn.TEXTJOIN(" | ",TRUE(),IF(Events!$A$2:$A$397=$A22,Events!$E$2:$E$397&amp;IF(Events!$G$2:$G$397="National",""," ["&amp;Events!$G$2:$G$397&amp;"]"),""))</f>
        <v/>
      </c>
    </row>
    <row r="23" spans="1:9" ht="15" customHeight="1" x14ac:dyDescent="0.35">
      <c r="A23" s="2">
        <v>45313</v>
      </c>
      <c r="B23" s="3">
        <f t="shared" si="0"/>
        <v>2024</v>
      </c>
      <c r="C23" s="3">
        <f t="shared" si="1"/>
        <v>1</v>
      </c>
      <c r="D23" s="3" t="str">
        <f t="shared" si="2"/>
        <v>Mon</v>
      </c>
      <c r="E23" s="3">
        <f t="shared" si="3"/>
        <v>0</v>
      </c>
      <c r="F23" s="3">
        <f t="shared" si="4"/>
        <v>1</v>
      </c>
      <c r="G23" s="3" t="str">
        <f t="array" ref="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3">
        <f>COUNTIF(Events!$A$2:$A$397,$A23)</f>
        <v>0</v>
      </c>
      <c r="I23" s="25" t="str">
        <f t="array" ref="I23">_xlfn.TEXTJOIN(" | ",TRUE(),IF(Events!$A$2:$A$397=$A23,Events!$E$2:$E$397&amp;IF(Events!$G$2:$G$397="National",""," ["&amp;Events!$G$2:$G$397&amp;"]"),""))</f>
        <v/>
      </c>
    </row>
    <row r="24" spans="1:9" ht="15" customHeight="1" x14ac:dyDescent="0.35">
      <c r="A24" s="2">
        <v>45314</v>
      </c>
      <c r="B24" s="3">
        <f t="shared" si="0"/>
        <v>2024</v>
      </c>
      <c r="C24" s="3">
        <f t="shared" si="1"/>
        <v>1</v>
      </c>
      <c r="D24" s="3" t="str">
        <f t="shared" si="2"/>
        <v>Tue</v>
      </c>
      <c r="E24" s="3">
        <f t="shared" si="3"/>
        <v>0</v>
      </c>
      <c r="F24" s="3">
        <f t="shared" si="4"/>
        <v>1</v>
      </c>
      <c r="G24" s="3" t="str">
        <f t="array" ref="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v>
      </c>
      <c r="H24" s="3">
        <f>COUNTIF(Events!$A$2:$A$397,$A24)</f>
        <v>0</v>
      </c>
      <c r="I24" s="25" t="str">
        <f t="array" ref="I24">_xlfn.TEXTJOIN(" | ",TRUE(),IF(Events!$A$2:$A$397=$A24,Events!$E$2:$E$397&amp;IF(Events!$G$2:$G$397="National",""," ["&amp;Events!$G$2:$G$397&amp;"]"),""))</f>
        <v/>
      </c>
    </row>
    <row r="25" spans="1:9" ht="15" customHeight="1" x14ac:dyDescent="0.35">
      <c r="A25" s="2">
        <v>45315</v>
      </c>
      <c r="B25" s="3">
        <f t="shared" si="0"/>
        <v>2024</v>
      </c>
      <c r="C25" s="3">
        <f t="shared" si="1"/>
        <v>1</v>
      </c>
      <c r="D25" s="3" t="str">
        <f t="shared" si="2"/>
        <v>Wed</v>
      </c>
      <c r="E25" s="3">
        <f t="shared" si="3"/>
        <v>0</v>
      </c>
      <c r="F25" s="3">
        <f t="shared" si="4"/>
        <v>1</v>
      </c>
      <c r="G25" s="3" t="str">
        <f t="array" ref="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
      </c>
      <c r="H25" s="3">
        <f>COUNTIF(Events!$A$2:$A$397,$A25)</f>
        <v>0</v>
      </c>
      <c r="I25" s="25" t="str">
        <f t="array" ref="I25">_xlfn.TEXTJOIN(" | ",TRUE(),IF(Events!$A$2:$A$397=$A25,Events!$E$2:$E$397&amp;IF(Events!$G$2:$G$397="National",""," ["&amp;Events!$G$2:$G$397&amp;"]"),""))</f>
        <v/>
      </c>
    </row>
    <row r="26" spans="1:9" ht="15" customHeight="1" x14ac:dyDescent="0.35">
      <c r="A26" s="2">
        <v>45316</v>
      </c>
      <c r="B26" s="3">
        <f t="shared" si="0"/>
        <v>2024</v>
      </c>
      <c r="C26" s="3">
        <f t="shared" si="1"/>
        <v>1</v>
      </c>
      <c r="D26" s="3" t="str">
        <f t="shared" si="2"/>
        <v>Thu</v>
      </c>
      <c r="E26" s="3">
        <f t="shared" si="3"/>
        <v>0</v>
      </c>
      <c r="F26" s="3">
        <f t="shared" si="4"/>
        <v>1</v>
      </c>
      <c r="G26" s="3" t="str">
        <f t="array" ref="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3">
        <f>COUNTIF(Events!$A$2:$A$397,$A26)</f>
        <v>0</v>
      </c>
      <c r="I26" s="25" t="str">
        <f t="array" ref="I26">_xlfn.TEXTJOIN(" | ",TRUE(),IF(Events!$A$2:$A$397=$A26,Events!$E$2:$E$397&amp;IF(Events!$G$2:$G$397="National",""," ["&amp;Events!$G$2:$G$397&amp;"]"),""))</f>
        <v/>
      </c>
    </row>
    <row r="27" spans="1:9" ht="15" customHeight="1" x14ac:dyDescent="0.35">
      <c r="A27" s="2">
        <v>45317</v>
      </c>
      <c r="B27" s="3">
        <f t="shared" si="0"/>
        <v>2024</v>
      </c>
      <c r="C27" s="3">
        <f t="shared" si="1"/>
        <v>1</v>
      </c>
      <c r="D27" s="3" t="str">
        <f t="shared" si="2"/>
        <v>Fri</v>
      </c>
      <c r="E27" s="3">
        <f t="shared" si="3"/>
        <v>0</v>
      </c>
      <c r="F27" s="3">
        <f t="shared" si="4"/>
        <v>1</v>
      </c>
      <c r="G27" s="3" t="str">
        <f t="array" ref="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3">
        <f>COUNTIF(Events!$A$2:$A$397,$A27)</f>
        <v>0</v>
      </c>
      <c r="I27" s="25" t="str">
        <f t="array" ref="I27">_xlfn.TEXTJOIN(" | ",TRUE(),IF(Events!$A$2:$A$397=$A27,Events!$E$2:$E$397&amp;IF(Events!$G$2:$G$397="National",""," ["&amp;Events!$G$2:$G$397&amp;"]"),""))</f>
        <v/>
      </c>
    </row>
    <row r="28" spans="1:9" ht="15" customHeight="1" x14ac:dyDescent="0.35">
      <c r="A28" s="2">
        <v>45318</v>
      </c>
      <c r="B28" s="3">
        <f t="shared" si="0"/>
        <v>2024</v>
      </c>
      <c r="C28" s="3">
        <f t="shared" si="1"/>
        <v>1</v>
      </c>
      <c r="D28" s="3" t="str">
        <f t="shared" si="2"/>
        <v>Sat</v>
      </c>
      <c r="E28" s="3">
        <f t="shared" si="3"/>
        <v>0</v>
      </c>
      <c r="F28" s="3">
        <f t="shared" si="4"/>
        <v>1</v>
      </c>
      <c r="G28" s="3" t="str">
        <f t="array" ref="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3">
        <f>COUNTIF(Events!$A$2:$A$397,$A28)</f>
        <v>0</v>
      </c>
      <c r="I28" s="25" t="str">
        <f t="array" ref="I28">_xlfn.TEXTJOIN(" | ",TRUE(),IF(Events!$A$2:$A$397=$A28,Events!$E$2:$E$397&amp;IF(Events!$G$2:$G$397="National",""," ["&amp;Events!$G$2:$G$397&amp;"]"),""))</f>
        <v/>
      </c>
    </row>
    <row r="29" spans="1:9" ht="15" customHeight="1" x14ac:dyDescent="0.35">
      <c r="A29" s="2">
        <v>45319</v>
      </c>
      <c r="B29" s="3">
        <f t="shared" si="0"/>
        <v>2024</v>
      </c>
      <c r="C29" s="3">
        <f t="shared" si="1"/>
        <v>1</v>
      </c>
      <c r="D29" s="3" t="str">
        <f t="shared" si="2"/>
        <v>Sun</v>
      </c>
      <c r="E29" s="3">
        <f t="shared" si="3"/>
        <v>0</v>
      </c>
      <c r="F29" s="3">
        <f t="shared" si="4"/>
        <v>1</v>
      </c>
      <c r="G29" s="3" t="str">
        <f t="array" ref="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3">
        <f>COUNTIF(Events!$A$2:$A$397,$A29)</f>
        <v>0</v>
      </c>
      <c r="I29" s="25" t="str">
        <f t="array" ref="I29">_xlfn.TEXTJOIN(" | ",TRUE(),IF(Events!$A$2:$A$397=$A29,Events!$E$2:$E$397&amp;IF(Events!$G$2:$G$397="National",""," ["&amp;Events!$G$2:$G$397&amp;"]"),""))</f>
        <v/>
      </c>
    </row>
    <row r="30" spans="1:9" ht="15" customHeight="1" x14ac:dyDescent="0.35">
      <c r="A30" s="2">
        <v>45320</v>
      </c>
      <c r="B30" s="3">
        <f t="shared" si="0"/>
        <v>2024</v>
      </c>
      <c r="C30" s="3">
        <f t="shared" si="1"/>
        <v>1</v>
      </c>
      <c r="D30" s="3" t="str">
        <f t="shared" si="2"/>
        <v>Mon</v>
      </c>
      <c r="E30" s="3">
        <f t="shared" si="3"/>
        <v>0</v>
      </c>
      <c r="F30" s="3">
        <f t="shared" si="4"/>
        <v>1</v>
      </c>
      <c r="G30" s="3" t="str">
        <f t="array" ref="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3">
        <f>COUNTIF(Events!$A$2:$A$397,$A30)</f>
        <v>0</v>
      </c>
      <c r="I30" s="25" t="str">
        <f t="array" ref="I30">_xlfn.TEXTJOIN(" | ",TRUE(),IF(Events!$A$2:$A$397=$A30,Events!$E$2:$E$397&amp;IF(Events!$G$2:$G$397="National",""," ["&amp;Events!$G$2:$G$397&amp;"]"),""))</f>
        <v/>
      </c>
    </row>
    <row r="31" spans="1:9" ht="15" customHeight="1" x14ac:dyDescent="0.35">
      <c r="A31" s="2">
        <v>45321</v>
      </c>
      <c r="B31" s="3">
        <f t="shared" si="0"/>
        <v>2024</v>
      </c>
      <c r="C31" s="3">
        <f t="shared" si="1"/>
        <v>1</v>
      </c>
      <c r="D31" s="3" t="str">
        <f t="shared" si="2"/>
        <v>Tue</v>
      </c>
      <c r="E31" s="3">
        <f t="shared" si="3"/>
        <v>0</v>
      </c>
      <c r="F31" s="3">
        <f t="shared" si="4"/>
        <v>1</v>
      </c>
      <c r="G31" s="3" t="str">
        <f t="array" ref="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[CA] DR-4773</v>
      </c>
      <c r="H31" s="3">
        <f>COUNTIF(Events!$A$2:$A$397,$A31)</f>
        <v>0</v>
      </c>
      <c r="I31" s="25" t="str">
        <f t="array" ref="I31">_xlfn.TEXTJOIN(" | ",TRUE(),IF(Events!$A$2:$A$397=$A31,Events!$E$2:$E$397&amp;IF(Events!$G$2:$G$397="National",""," ["&amp;Events!$G$2:$G$397&amp;"]"),""))</f>
        <v/>
      </c>
    </row>
    <row r="32" spans="1:9" ht="15" customHeight="1" x14ac:dyDescent="0.35">
      <c r="A32" s="2">
        <v>45322</v>
      </c>
      <c r="B32" s="3">
        <f t="shared" si="0"/>
        <v>2024</v>
      </c>
      <c r="C32" s="3">
        <f t="shared" si="1"/>
        <v>1</v>
      </c>
      <c r="D32" s="3" t="str">
        <f t="shared" si="2"/>
        <v>Wed</v>
      </c>
      <c r="E32" s="3">
        <f t="shared" si="3"/>
        <v>0</v>
      </c>
      <c r="F32" s="3">
        <f t="shared" si="4"/>
        <v>1</v>
      </c>
      <c r="G32" s="3" t="str">
        <f t="array" ref="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 | Disaster SEP opens: Severe Storm [CA] DR-4769 | Disaster SEP opens: Severe Storm [CA] DR-4772</v>
      </c>
      <c r="H32" s="3">
        <f>COUNTIF(Events!$A$2:$A$397,$A32)</f>
        <v>1</v>
      </c>
      <c r="I32" s="25" t="str">
        <f t="array" ref="I32">_xlfn.TEXTJOIN(" | ",TRUE(),IF(Events!$A$2:$A$397=$A32,Events!$E$2:$E$397&amp;IF(Events!$G$2:$G$397="National",""," ["&amp;Events!$G$2:$G$397&amp;"]"),""))</f>
        <v>CY2025 Advance Notice released: proposed +3.70% avg payment; year 2 of 3-year phase-in of 2024 CMS-HCC (V28) risk model at 67/33 blend; comments due 3/1/2024</v>
      </c>
    </row>
    <row r="33" spans="1:9" ht="15" customHeight="1" x14ac:dyDescent="0.35">
      <c r="A33" s="2">
        <v>45323</v>
      </c>
      <c r="B33" s="3">
        <f t="shared" si="0"/>
        <v>2024</v>
      </c>
      <c r="C33" s="3">
        <f t="shared" si="1"/>
        <v>2</v>
      </c>
      <c r="D33" s="3" t="str">
        <f t="shared" si="2"/>
        <v>Thu</v>
      </c>
      <c r="E33" s="3">
        <f t="shared" si="3"/>
        <v>0</v>
      </c>
      <c r="F33" s="3">
        <f t="shared" si="4"/>
        <v>1</v>
      </c>
      <c r="G33" s="3" t="str">
        <f t="array" ref="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
      </c>
      <c r="H33" s="3">
        <f>COUNTIF(Events!$A$2:$A$397,$A33)</f>
        <v>0</v>
      </c>
      <c r="I33" s="25" t="str">
        <f t="array" ref="I33">_xlfn.TEXTJOIN(" | ",TRUE(),IF(Events!$A$2:$A$397=$A33,Events!$E$2:$E$397&amp;IF(Events!$G$2:$G$397="National",""," ["&amp;Events!$G$2:$G$397&amp;"]"),""))</f>
        <v/>
      </c>
    </row>
    <row r="34" spans="1:9" ht="15" customHeight="1" x14ac:dyDescent="0.35">
      <c r="A34" s="2">
        <v>45324</v>
      </c>
      <c r="B34" s="3">
        <f t="shared" si="0"/>
        <v>2024</v>
      </c>
      <c r="C34" s="3">
        <f t="shared" si="1"/>
        <v>2</v>
      </c>
      <c r="D34" s="3" t="str">
        <f t="shared" si="2"/>
        <v>Fri</v>
      </c>
      <c r="E34" s="3">
        <f t="shared" si="3"/>
        <v>0</v>
      </c>
      <c r="F34" s="3">
        <f t="shared" si="4"/>
        <v>1</v>
      </c>
      <c r="G34" s="3" t="str">
        <f t="array" ref="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3">
        <f>COUNTIF(Events!$A$2:$A$397,$A34)</f>
        <v>0</v>
      </c>
      <c r="I34" s="25" t="str">
        <f t="array" ref="I34">_xlfn.TEXTJOIN(" | ",TRUE(),IF(Events!$A$2:$A$397=$A34,Events!$E$2:$E$397&amp;IF(Events!$G$2:$G$397="National",""," ["&amp;Events!$G$2:$G$397&amp;"]"),""))</f>
        <v/>
      </c>
    </row>
    <row r="35" spans="1:9" ht="15" customHeight="1" x14ac:dyDescent="0.35">
      <c r="A35" s="2">
        <v>45325</v>
      </c>
      <c r="B35" s="3">
        <f t="shared" si="0"/>
        <v>2024</v>
      </c>
      <c r="C35" s="3">
        <f t="shared" si="1"/>
        <v>2</v>
      </c>
      <c r="D35" s="3" t="str">
        <f t="shared" si="2"/>
        <v>Sat</v>
      </c>
      <c r="E35" s="3">
        <f t="shared" si="3"/>
        <v>0</v>
      </c>
      <c r="F35" s="3">
        <f t="shared" si="4"/>
        <v>1</v>
      </c>
      <c r="G35" s="3" t="str">
        <f t="array" ref="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3">
        <f>COUNTIF(Events!$A$2:$A$397,$A35)</f>
        <v>0</v>
      </c>
      <c r="I35" s="25" t="str">
        <f t="array" ref="I35">_xlfn.TEXTJOIN(" | ",TRUE(),IF(Events!$A$2:$A$397=$A35,Events!$E$2:$E$397&amp;IF(Events!$G$2:$G$397="National",""," ["&amp;Events!$G$2:$G$397&amp;"]"),""))</f>
        <v/>
      </c>
    </row>
    <row r="36" spans="1:9" ht="15" customHeight="1" x14ac:dyDescent="0.35">
      <c r="A36" s="2">
        <v>45326</v>
      </c>
      <c r="B36" s="3">
        <f t="shared" si="0"/>
        <v>2024</v>
      </c>
      <c r="C36" s="3">
        <f t="shared" si="1"/>
        <v>2</v>
      </c>
      <c r="D36" s="3" t="str">
        <f t="shared" si="2"/>
        <v>Sun</v>
      </c>
      <c r="E36" s="3">
        <f t="shared" si="3"/>
        <v>0</v>
      </c>
      <c r="F36" s="3">
        <f t="shared" si="4"/>
        <v>1</v>
      </c>
      <c r="G36" s="3" t="str">
        <f t="array" ref="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3">
        <f>COUNTIF(Events!$A$2:$A$397,$A36)</f>
        <v>0</v>
      </c>
      <c r="I36" s="25" t="str">
        <f t="array" ref="I36">_xlfn.TEXTJOIN(" | ",TRUE(),IF(Events!$A$2:$A$397=$A36,Events!$E$2:$E$397&amp;IF(Events!$G$2:$G$397="National",""," ["&amp;Events!$G$2:$G$397&amp;"]"),""))</f>
        <v/>
      </c>
    </row>
    <row r="37" spans="1:9" ht="15" customHeight="1" x14ac:dyDescent="0.35">
      <c r="A37" s="2">
        <v>45327</v>
      </c>
      <c r="B37" s="3">
        <f t="shared" si="0"/>
        <v>2024</v>
      </c>
      <c r="C37" s="3">
        <f t="shared" si="1"/>
        <v>2</v>
      </c>
      <c r="D37" s="3" t="str">
        <f t="shared" si="2"/>
        <v>Mon</v>
      </c>
      <c r="E37" s="3">
        <f t="shared" si="3"/>
        <v>0</v>
      </c>
      <c r="F37" s="3">
        <f t="shared" si="4"/>
        <v>1</v>
      </c>
      <c r="G37" s="3" t="str">
        <f t="array" ref="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3">
        <f>COUNTIF(Events!$A$2:$A$397,$A37)</f>
        <v>0</v>
      </c>
      <c r="I37" s="25" t="str">
        <f t="array" ref="I37">_xlfn.TEXTJOIN(" | ",TRUE(),IF(Events!$A$2:$A$397=$A37,Events!$E$2:$E$397&amp;IF(Events!$G$2:$G$397="National",""," ["&amp;Events!$G$2:$G$397&amp;"]"),""))</f>
        <v/>
      </c>
    </row>
    <row r="38" spans="1:9" ht="15" customHeight="1" x14ac:dyDescent="0.35">
      <c r="A38" s="2">
        <v>45328</v>
      </c>
      <c r="B38" s="3">
        <f t="shared" si="0"/>
        <v>2024</v>
      </c>
      <c r="C38" s="3">
        <f t="shared" si="1"/>
        <v>2</v>
      </c>
      <c r="D38" s="3" t="str">
        <f t="shared" si="2"/>
        <v>Tue</v>
      </c>
      <c r="E38" s="3">
        <f t="shared" si="3"/>
        <v>0</v>
      </c>
      <c r="F38" s="3">
        <f t="shared" si="4"/>
        <v>1</v>
      </c>
      <c r="G38" s="3" t="str">
        <f t="array" ref="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3">
        <f>COUNTIF(Events!$A$2:$A$397,$A38)</f>
        <v>0</v>
      </c>
      <c r="I38" s="25" t="str">
        <f t="array" ref="I38">_xlfn.TEXTJOIN(" | ",TRUE(),IF(Events!$A$2:$A$397=$A38,Events!$E$2:$E$397&amp;IF(Events!$G$2:$G$397="National",""," ["&amp;Events!$G$2:$G$397&amp;"]"),""))</f>
        <v/>
      </c>
    </row>
    <row r="39" spans="1:9" ht="15" customHeight="1" x14ac:dyDescent="0.35">
      <c r="A39" s="2">
        <v>45329</v>
      </c>
      <c r="B39" s="3">
        <f t="shared" si="0"/>
        <v>2024</v>
      </c>
      <c r="C39" s="3">
        <f t="shared" si="1"/>
        <v>2</v>
      </c>
      <c r="D39" s="3" t="str">
        <f t="shared" si="2"/>
        <v>Wed</v>
      </c>
      <c r="E39" s="3">
        <f t="shared" si="3"/>
        <v>0</v>
      </c>
      <c r="F39" s="3">
        <f t="shared" si="4"/>
        <v>1</v>
      </c>
      <c r="G39" s="3" t="str">
        <f t="array" ref="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3">
        <f>COUNTIF(Events!$A$2:$A$397,$A39)</f>
        <v>0</v>
      </c>
      <c r="I39" s="25" t="str">
        <f t="array" ref="I39">_xlfn.TEXTJOIN(" | ",TRUE(),IF(Events!$A$2:$A$397=$A39,Events!$E$2:$E$397&amp;IF(Events!$G$2:$G$397="National",""," ["&amp;Events!$G$2:$G$397&amp;"]"),""))</f>
        <v/>
      </c>
    </row>
    <row r="40" spans="1:9" ht="15" customHeight="1" x14ac:dyDescent="0.35">
      <c r="A40" s="2">
        <v>45330</v>
      </c>
      <c r="B40" s="3">
        <f t="shared" si="0"/>
        <v>2024</v>
      </c>
      <c r="C40" s="3">
        <f t="shared" si="1"/>
        <v>2</v>
      </c>
      <c r="D40" s="3" t="str">
        <f t="shared" si="2"/>
        <v>Thu</v>
      </c>
      <c r="E40" s="3">
        <f t="shared" si="3"/>
        <v>0</v>
      </c>
      <c r="F40" s="3">
        <f t="shared" si="4"/>
        <v>1</v>
      </c>
      <c r="G40" s="3" t="str">
        <f t="array" ref="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3">
        <f>COUNTIF(Events!$A$2:$A$397,$A40)</f>
        <v>0</v>
      </c>
      <c r="I40" s="25" t="str">
        <f t="array" ref="I40">_xlfn.TEXTJOIN(" | ",TRUE(),IF(Events!$A$2:$A$397=$A40,Events!$E$2:$E$397&amp;IF(Events!$G$2:$G$397="National",""," ["&amp;Events!$G$2:$G$397&amp;"]"),""))</f>
        <v/>
      </c>
    </row>
    <row r="41" spans="1:9" ht="15" customHeight="1" x14ac:dyDescent="0.35">
      <c r="A41" s="2">
        <v>45331</v>
      </c>
      <c r="B41" s="3">
        <f t="shared" si="0"/>
        <v>2024</v>
      </c>
      <c r="C41" s="3">
        <f t="shared" si="1"/>
        <v>2</v>
      </c>
      <c r="D41" s="3" t="str">
        <f t="shared" si="2"/>
        <v>Fri</v>
      </c>
      <c r="E41" s="3">
        <f t="shared" si="3"/>
        <v>0</v>
      </c>
      <c r="F41" s="3">
        <f t="shared" si="4"/>
        <v>1</v>
      </c>
      <c r="G41" s="3" t="str">
        <f t="array" ref="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3">
        <f>COUNTIF(Events!$A$2:$A$397,$A41)</f>
        <v>0</v>
      </c>
      <c r="I41" s="25" t="str">
        <f t="array" ref="I41">_xlfn.TEXTJOIN(" | ",TRUE(),IF(Events!$A$2:$A$397=$A41,Events!$E$2:$E$397&amp;IF(Events!$G$2:$G$397="National",""," ["&amp;Events!$G$2:$G$397&amp;"]"),""))</f>
        <v/>
      </c>
    </row>
    <row r="42" spans="1:9" ht="15" customHeight="1" x14ac:dyDescent="0.35">
      <c r="A42" s="2">
        <v>45332</v>
      </c>
      <c r="B42" s="3">
        <f t="shared" si="0"/>
        <v>2024</v>
      </c>
      <c r="C42" s="3">
        <f t="shared" si="1"/>
        <v>2</v>
      </c>
      <c r="D42" s="3" t="str">
        <f t="shared" si="2"/>
        <v>Sat</v>
      </c>
      <c r="E42" s="3">
        <f t="shared" si="3"/>
        <v>0</v>
      </c>
      <c r="F42" s="3">
        <f t="shared" si="4"/>
        <v>1</v>
      </c>
      <c r="G42" s="3" t="str">
        <f t="array" ref="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
      </c>
      <c r="H42" s="3">
        <f>COUNTIF(Events!$A$2:$A$397,$A42)</f>
        <v>0</v>
      </c>
      <c r="I42" s="25" t="str">
        <f t="array" ref="I42">_xlfn.TEXTJOIN(" | ",TRUE(),IF(Events!$A$2:$A$397=$A42,Events!$E$2:$E$397&amp;IF(Events!$G$2:$G$397="National",""," ["&amp;Events!$G$2:$G$397&amp;"]"),""))</f>
        <v/>
      </c>
    </row>
    <row r="43" spans="1:9" ht="15" customHeight="1" x14ac:dyDescent="0.35">
      <c r="A43" s="2">
        <v>45333</v>
      </c>
      <c r="B43" s="3">
        <f t="shared" si="0"/>
        <v>2024</v>
      </c>
      <c r="C43" s="3">
        <f t="shared" si="1"/>
        <v>2</v>
      </c>
      <c r="D43" s="3" t="str">
        <f t="shared" si="2"/>
        <v>Sun</v>
      </c>
      <c r="E43" s="3">
        <f t="shared" si="3"/>
        <v>0</v>
      </c>
      <c r="F43" s="3">
        <f t="shared" si="4"/>
        <v>1</v>
      </c>
      <c r="G43" s="3" t="str">
        <f t="array" ref="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3">
        <f>COUNTIF(Events!$A$2:$A$397,$A43)</f>
        <v>0</v>
      </c>
      <c r="I43" s="25" t="str">
        <f t="array" ref="I43">_xlfn.TEXTJOIN(" | ",TRUE(),IF(Events!$A$2:$A$397=$A43,Events!$E$2:$E$397&amp;IF(Events!$G$2:$G$397="National",""," ["&amp;Events!$G$2:$G$397&amp;"]"),""))</f>
        <v/>
      </c>
    </row>
    <row r="44" spans="1:9" ht="15" customHeight="1" x14ac:dyDescent="0.35">
      <c r="A44" s="2">
        <v>45334</v>
      </c>
      <c r="B44" s="3">
        <f t="shared" si="0"/>
        <v>2024</v>
      </c>
      <c r="C44" s="3">
        <f t="shared" si="1"/>
        <v>2</v>
      </c>
      <c r="D44" s="3" t="str">
        <f t="shared" si="2"/>
        <v>Mon</v>
      </c>
      <c r="E44" s="3">
        <f t="shared" si="3"/>
        <v>0</v>
      </c>
      <c r="F44" s="3">
        <f t="shared" si="4"/>
        <v>1</v>
      </c>
      <c r="G44" s="3" t="str">
        <f t="array" ref="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3">
        <f>COUNTIF(Events!$A$2:$A$397,$A44)</f>
        <v>0</v>
      </c>
      <c r="I44" s="25" t="str">
        <f t="array" ref="I44">_xlfn.TEXTJOIN(" | ",TRUE(),IF(Events!$A$2:$A$397=$A44,Events!$E$2:$E$397&amp;IF(Events!$G$2:$G$397="National",""," ["&amp;Events!$G$2:$G$397&amp;"]"),""))</f>
        <v/>
      </c>
    </row>
    <row r="45" spans="1:9" ht="15" customHeight="1" x14ac:dyDescent="0.35">
      <c r="A45" s="2">
        <v>45335</v>
      </c>
      <c r="B45" s="3">
        <f t="shared" si="0"/>
        <v>2024</v>
      </c>
      <c r="C45" s="3">
        <f t="shared" si="1"/>
        <v>2</v>
      </c>
      <c r="D45" s="3" t="str">
        <f t="shared" si="2"/>
        <v>Tue</v>
      </c>
      <c r="E45" s="3">
        <f t="shared" si="3"/>
        <v>0</v>
      </c>
      <c r="F45" s="3">
        <f t="shared" si="4"/>
        <v>1</v>
      </c>
      <c r="G45" s="3" t="str">
        <f t="array" ref="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3">
        <f>COUNTIF(Events!$A$2:$A$397,$A45)</f>
        <v>0</v>
      </c>
      <c r="I45" s="25" t="str">
        <f t="array" ref="I45">_xlfn.TEXTJOIN(" | ",TRUE(),IF(Events!$A$2:$A$397=$A45,Events!$E$2:$E$397&amp;IF(Events!$G$2:$G$397="National",""," ["&amp;Events!$G$2:$G$397&amp;"]"),""))</f>
        <v/>
      </c>
    </row>
    <row r="46" spans="1:9" ht="15" customHeight="1" x14ac:dyDescent="0.35">
      <c r="A46" s="2">
        <v>45336</v>
      </c>
      <c r="B46" s="3">
        <f t="shared" si="0"/>
        <v>2024</v>
      </c>
      <c r="C46" s="3">
        <f t="shared" si="1"/>
        <v>2</v>
      </c>
      <c r="D46" s="3" t="str">
        <f t="shared" si="2"/>
        <v>Wed</v>
      </c>
      <c r="E46" s="3">
        <f t="shared" si="3"/>
        <v>0</v>
      </c>
      <c r="F46" s="3">
        <f t="shared" si="4"/>
        <v>1</v>
      </c>
      <c r="G46" s="3" t="str">
        <f t="array" ref="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3">
        <f>COUNTIF(Events!$A$2:$A$397,$A46)</f>
        <v>0</v>
      </c>
      <c r="I46" s="25" t="str">
        <f t="array" ref="I46">_xlfn.TEXTJOIN(" | ",TRUE(),IF(Events!$A$2:$A$397=$A46,Events!$E$2:$E$397&amp;IF(Events!$G$2:$G$397="National",""," ["&amp;Events!$G$2:$G$397&amp;"]"),""))</f>
        <v/>
      </c>
    </row>
    <row r="47" spans="1:9" ht="15" customHeight="1" x14ac:dyDescent="0.35">
      <c r="A47" s="2">
        <v>45337</v>
      </c>
      <c r="B47" s="3">
        <f t="shared" si="0"/>
        <v>2024</v>
      </c>
      <c r="C47" s="3">
        <f t="shared" si="1"/>
        <v>2</v>
      </c>
      <c r="D47" s="3" t="str">
        <f t="shared" si="2"/>
        <v>Thu</v>
      </c>
      <c r="E47" s="3">
        <f t="shared" si="3"/>
        <v>0</v>
      </c>
      <c r="F47" s="3">
        <f t="shared" si="4"/>
        <v>1</v>
      </c>
      <c r="G47" s="3" t="str">
        <f t="array" ref="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3">
        <f>COUNTIF(Events!$A$2:$A$397,$A47)</f>
        <v>0</v>
      </c>
      <c r="I47" s="25" t="str">
        <f t="array" ref="I47">_xlfn.TEXTJOIN(" | ",TRUE(),IF(Events!$A$2:$A$397=$A47,Events!$E$2:$E$397&amp;IF(Events!$G$2:$G$397="National",""," ["&amp;Events!$G$2:$G$397&amp;"]"),""))</f>
        <v/>
      </c>
    </row>
    <row r="48" spans="1:9" ht="15" customHeight="1" x14ac:dyDescent="0.35">
      <c r="A48" s="2">
        <v>45338</v>
      </c>
      <c r="B48" s="3">
        <f t="shared" si="0"/>
        <v>2024</v>
      </c>
      <c r="C48" s="3">
        <f t="shared" si="1"/>
        <v>2</v>
      </c>
      <c r="D48" s="3" t="str">
        <f t="shared" si="2"/>
        <v>Fri</v>
      </c>
      <c r="E48" s="3">
        <f t="shared" si="3"/>
        <v>0</v>
      </c>
      <c r="F48" s="3">
        <f t="shared" si="4"/>
        <v>1</v>
      </c>
      <c r="G48" s="3" t="str">
        <f t="array" ref="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3">
        <f>COUNTIF(Events!$A$2:$A$397,$A48)</f>
        <v>0</v>
      </c>
      <c r="I48" s="25" t="str">
        <f t="array" ref="I48">_xlfn.TEXTJOIN(" | ",TRUE(),IF(Events!$A$2:$A$397=$A48,Events!$E$2:$E$397&amp;IF(Events!$G$2:$G$397="National",""," ["&amp;Events!$G$2:$G$397&amp;"]"),""))</f>
        <v/>
      </c>
    </row>
    <row r="49" spans="1:9" ht="15" customHeight="1" x14ac:dyDescent="0.35">
      <c r="A49" s="2">
        <v>45339</v>
      </c>
      <c r="B49" s="3">
        <f t="shared" si="0"/>
        <v>2024</v>
      </c>
      <c r="C49" s="3">
        <f t="shared" si="1"/>
        <v>2</v>
      </c>
      <c r="D49" s="3" t="str">
        <f t="shared" si="2"/>
        <v>Sat</v>
      </c>
      <c r="E49" s="3">
        <f t="shared" si="3"/>
        <v>0</v>
      </c>
      <c r="F49" s="3">
        <f t="shared" si="4"/>
        <v>1</v>
      </c>
      <c r="G49" s="3" t="str">
        <f t="array" ref="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3">
        <f>COUNTIF(Events!$A$2:$A$397,$A49)</f>
        <v>0</v>
      </c>
      <c r="I49" s="25" t="str">
        <f t="array" ref="I49">_xlfn.TEXTJOIN(" | ",TRUE(),IF(Events!$A$2:$A$397=$A49,Events!$E$2:$E$397&amp;IF(Events!$G$2:$G$397="National",""," ["&amp;Events!$G$2:$G$397&amp;"]"),""))</f>
        <v/>
      </c>
    </row>
    <row r="50" spans="1:9" ht="15" customHeight="1" x14ac:dyDescent="0.35">
      <c r="A50" s="2">
        <v>45340</v>
      </c>
      <c r="B50" s="3">
        <f t="shared" si="0"/>
        <v>2024</v>
      </c>
      <c r="C50" s="3">
        <f t="shared" si="1"/>
        <v>2</v>
      </c>
      <c r="D50" s="3" t="str">
        <f t="shared" si="2"/>
        <v>Sun</v>
      </c>
      <c r="E50" s="3">
        <f t="shared" si="3"/>
        <v>0</v>
      </c>
      <c r="F50" s="3">
        <f t="shared" si="4"/>
        <v>1</v>
      </c>
      <c r="G50" s="3" t="str">
        <f t="array" ref="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3">
        <f>COUNTIF(Events!$A$2:$A$397,$A50)</f>
        <v>0</v>
      </c>
      <c r="I50" s="25" t="str">
        <f t="array" ref="I50">_xlfn.TEXTJOIN(" | ",TRUE(),IF(Events!$A$2:$A$397=$A50,Events!$E$2:$E$397&amp;IF(Events!$G$2:$G$397="National",""," ["&amp;Events!$G$2:$G$397&amp;"]"),""))</f>
        <v/>
      </c>
    </row>
    <row r="51" spans="1:9" ht="15" customHeight="1" x14ac:dyDescent="0.35">
      <c r="A51" s="2">
        <v>45341</v>
      </c>
      <c r="B51" s="3">
        <f t="shared" si="0"/>
        <v>2024</v>
      </c>
      <c r="C51" s="3">
        <f t="shared" si="1"/>
        <v>2</v>
      </c>
      <c r="D51" s="3" t="str">
        <f t="shared" si="2"/>
        <v>Mon</v>
      </c>
      <c r="E51" s="3">
        <f t="shared" si="3"/>
        <v>0</v>
      </c>
      <c r="F51" s="3">
        <f t="shared" si="4"/>
        <v>1</v>
      </c>
      <c r="G51" s="3" t="str">
        <f t="array" ref="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3">
        <f>COUNTIF(Events!$A$2:$A$397,$A51)</f>
        <v>0</v>
      </c>
      <c r="I51" s="25" t="str">
        <f t="array" ref="I51">_xlfn.TEXTJOIN(" | ",TRUE(),IF(Events!$A$2:$A$397=$A51,Events!$E$2:$E$397&amp;IF(Events!$G$2:$G$397="National",""," ["&amp;Events!$G$2:$G$397&amp;"]"),""))</f>
        <v/>
      </c>
    </row>
    <row r="52" spans="1:9" ht="15" customHeight="1" x14ac:dyDescent="0.35">
      <c r="A52" s="2">
        <v>45342</v>
      </c>
      <c r="B52" s="3">
        <f t="shared" si="0"/>
        <v>2024</v>
      </c>
      <c r="C52" s="3">
        <f t="shared" si="1"/>
        <v>2</v>
      </c>
      <c r="D52" s="3" t="str">
        <f t="shared" si="2"/>
        <v>Tue</v>
      </c>
      <c r="E52" s="3">
        <f t="shared" si="3"/>
        <v>0</v>
      </c>
      <c r="F52" s="3">
        <f t="shared" si="4"/>
        <v>1</v>
      </c>
      <c r="G52" s="3" t="str">
        <f t="array" ref="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3">
        <f>COUNTIF(Events!$A$2:$A$397,$A52)</f>
        <v>0</v>
      </c>
      <c r="I52" s="25" t="str">
        <f t="array" ref="I52">_xlfn.TEXTJOIN(" | ",TRUE(),IF(Events!$A$2:$A$397=$A52,Events!$E$2:$E$397&amp;IF(Events!$G$2:$G$397="National",""," ["&amp;Events!$G$2:$G$397&amp;"]"),""))</f>
        <v/>
      </c>
    </row>
    <row r="53" spans="1:9" ht="15" customHeight="1" x14ac:dyDescent="0.35">
      <c r="A53" s="2">
        <v>45343</v>
      </c>
      <c r="B53" s="3">
        <f t="shared" si="0"/>
        <v>2024</v>
      </c>
      <c r="C53" s="3">
        <f t="shared" si="1"/>
        <v>2</v>
      </c>
      <c r="D53" s="3" t="str">
        <f t="shared" si="2"/>
        <v>Wed</v>
      </c>
      <c r="E53" s="3">
        <f t="shared" si="3"/>
        <v>0</v>
      </c>
      <c r="F53" s="3">
        <f t="shared" si="4"/>
        <v>1</v>
      </c>
      <c r="G53" s="3" t="str">
        <f t="array" ref="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3">
        <f>COUNTIF(Events!$A$2:$A$397,$A53)</f>
        <v>0</v>
      </c>
      <c r="I53" s="25" t="str">
        <f t="array" ref="I53">_xlfn.TEXTJOIN(" | ",TRUE(),IF(Events!$A$2:$A$397=$A53,Events!$E$2:$E$397&amp;IF(Events!$G$2:$G$397="National",""," ["&amp;Events!$G$2:$G$397&amp;"]"),""))</f>
        <v/>
      </c>
    </row>
    <row r="54" spans="1:9" ht="15" customHeight="1" x14ac:dyDescent="0.35">
      <c r="A54" s="2">
        <v>45344</v>
      </c>
      <c r="B54" s="3">
        <f t="shared" si="0"/>
        <v>2024</v>
      </c>
      <c r="C54" s="3">
        <f t="shared" si="1"/>
        <v>2</v>
      </c>
      <c r="D54" s="3" t="str">
        <f t="shared" si="2"/>
        <v>Thu</v>
      </c>
      <c r="E54" s="3">
        <f t="shared" si="3"/>
        <v>0</v>
      </c>
      <c r="F54" s="3">
        <f t="shared" si="4"/>
        <v>1</v>
      </c>
      <c r="G54" s="3" t="str">
        <f t="array" ref="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3">
        <f>COUNTIF(Events!$A$2:$A$397,$A54)</f>
        <v>0</v>
      </c>
      <c r="I54" s="25" t="str">
        <f t="array" ref="I54">_xlfn.TEXTJOIN(" | ",TRUE(),IF(Events!$A$2:$A$397=$A54,Events!$E$2:$E$397&amp;IF(Events!$G$2:$G$397="National",""," ["&amp;Events!$G$2:$G$397&amp;"]"),""))</f>
        <v/>
      </c>
    </row>
    <row r="55" spans="1:9" ht="15" customHeight="1" x14ac:dyDescent="0.35">
      <c r="A55" s="2">
        <v>45345</v>
      </c>
      <c r="B55" s="3">
        <f t="shared" si="0"/>
        <v>2024</v>
      </c>
      <c r="C55" s="3">
        <f t="shared" si="1"/>
        <v>2</v>
      </c>
      <c r="D55" s="3" t="str">
        <f t="shared" si="2"/>
        <v>Fri</v>
      </c>
      <c r="E55" s="3">
        <f t="shared" si="3"/>
        <v>0</v>
      </c>
      <c r="F55" s="3">
        <f t="shared" si="4"/>
        <v>1</v>
      </c>
      <c r="G55" s="3" t="str">
        <f t="array" ref="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3">
        <f>COUNTIF(Events!$A$2:$A$397,$A55)</f>
        <v>0</v>
      </c>
      <c r="I55" s="25" t="str">
        <f t="array" ref="I55">_xlfn.TEXTJOIN(" | ",TRUE(),IF(Events!$A$2:$A$397=$A55,Events!$E$2:$E$397&amp;IF(Events!$G$2:$G$397="National",""," ["&amp;Events!$G$2:$G$397&amp;"]"),""))</f>
        <v/>
      </c>
    </row>
    <row r="56" spans="1:9" ht="15" customHeight="1" x14ac:dyDescent="0.35">
      <c r="A56" s="2">
        <v>45346</v>
      </c>
      <c r="B56" s="3">
        <f t="shared" si="0"/>
        <v>2024</v>
      </c>
      <c r="C56" s="3">
        <f t="shared" si="1"/>
        <v>2</v>
      </c>
      <c r="D56" s="3" t="str">
        <f t="shared" si="2"/>
        <v>Sat</v>
      </c>
      <c r="E56" s="3">
        <f t="shared" si="3"/>
        <v>0</v>
      </c>
      <c r="F56" s="3">
        <f t="shared" si="4"/>
        <v>1</v>
      </c>
      <c r="G56" s="3" t="str">
        <f t="array" ref="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3">
        <f>COUNTIF(Events!$A$2:$A$397,$A56)</f>
        <v>0</v>
      </c>
      <c r="I56" s="25" t="str">
        <f t="array" ref="I56">_xlfn.TEXTJOIN(" | ",TRUE(),IF(Events!$A$2:$A$397=$A56,Events!$E$2:$E$397&amp;IF(Events!$G$2:$G$397="National",""," ["&amp;Events!$G$2:$G$397&amp;"]"),""))</f>
        <v/>
      </c>
    </row>
    <row r="57" spans="1:9" ht="15" customHeight="1" x14ac:dyDescent="0.35">
      <c r="A57" s="2">
        <v>45347</v>
      </c>
      <c r="B57" s="3">
        <f t="shared" si="0"/>
        <v>2024</v>
      </c>
      <c r="C57" s="3">
        <f t="shared" si="1"/>
        <v>2</v>
      </c>
      <c r="D57" s="3" t="str">
        <f t="shared" si="2"/>
        <v>Sun</v>
      </c>
      <c r="E57" s="3">
        <f t="shared" si="3"/>
        <v>0</v>
      </c>
      <c r="F57" s="3">
        <f t="shared" si="4"/>
        <v>1</v>
      </c>
      <c r="G57" s="3" t="str">
        <f t="array" ref="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3">
        <f>COUNTIF(Events!$A$2:$A$397,$A57)</f>
        <v>0</v>
      </c>
      <c r="I57" s="25" t="str">
        <f t="array" ref="I57">_xlfn.TEXTJOIN(" | ",TRUE(),IF(Events!$A$2:$A$397=$A57,Events!$E$2:$E$397&amp;IF(Events!$G$2:$G$397="National",""," ["&amp;Events!$G$2:$G$397&amp;"]"),""))</f>
        <v/>
      </c>
    </row>
    <row r="58" spans="1:9" ht="15" customHeight="1" x14ac:dyDescent="0.35">
      <c r="A58" s="2">
        <v>45348</v>
      </c>
      <c r="B58" s="3">
        <f t="shared" si="0"/>
        <v>2024</v>
      </c>
      <c r="C58" s="3">
        <f t="shared" si="1"/>
        <v>2</v>
      </c>
      <c r="D58" s="3" t="str">
        <f t="shared" si="2"/>
        <v>Mon</v>
      </c>
      <c r="E58" s="3">
        <f t="shared" si="3"/>
        <v>0</v>
      </c>
      <c r="F58" s="3">
        <f t="shared" si="4"/>
        <v>1</v>
      </c>
      <c r="G58" s="3" t="str">
        <f t="array" ref="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3">
        <f>COUNTIF(Events!$A$2:$A$397,$A58)</f>
        <v>0</v>
      </c>
      <c r="I58" s="25" t="str">
        <f t="array" ref="I58">_xlfn.TEXTJOIN(" | ",TRUE(),IF(Events!$A$2:$A$397=$A58,Events!$E$2:$E$397&amp;IF(Events!$G$2:$G$397="National",""," ["&amp;Events!$G$2:$G$397&amp;"]"),""))</f>
        <v/>
      </c>
    </row>
    <row r="59" spans="1:9" ht="15" customHeight="1" x14ac:dyDescent="0.35">
      <c r="A59" s="2">
        <v>45349</v>
      </c>
      <c r="B59" s="3">
        <f t="shared" si="0"/>
        <v>2024</v>
      </c>
      <c r="C59" s="3">
        <f t="shared" si="1"/>
        <v>2</v>
      </c>
      <c r="D59" s="3" t="str">
        <f t="shared" si="2"/>
        <v>Tue</v>
      </c>
      <c r="E59" s="3">
        <f t="shared" si="3"/>
        <v>0</v>
      </c>
      <c r="F59" s="3">
        <f t="shared" si="4"/>
        <v>1</v>
      </c>
      <c r="G59" s="3" t="str">
        <f t="array" ref="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3">
        <f>COUNTIF(Events!$A$2:$A$397,$A59)</f>
        <v>0</v>
      </c>
      <c r="I59" s="25" t="str">
        <f t="array" ref="I59">_xlfn.TEXTJOIN(" | ",TRUE(),IF(Events!$A$2:$A$397=$A59,Events!$E$2:$E$397&amp;IF(Events!$G$2:$G$397="National",""," ["&amp;Events!$G$2:$G$397&amp;"]"),""))</f>
        <v/>
      </c>
    </row>
    <row r="60" spans="1:9" ht="15" customHeight="1" x14ac:dyDescent="0.35">
      <c r="A60" s="2">
        <v>45350</v>
      </c>
      <c r="B60" s="3">
        <f t="shared" si="0"/>
        <v>2024</v>
      </c>
      <c r="C60" s="3">
        <f t="shared" si="1"/>
        <v>2</v>
      </c>
      <c r="D60" s="3" t="str">
        <f t="shared" si="2"/>
        <v>Wed</v>
      </c>
      <c r="E60" s="3">
        <f t="shared" si="3"/>
        <v>0</v>
      </c>
      <c r="F60" s="3">
        <f t="shared" si="4"/>
        <v>1</v>
      </c>
      <c r="G60" s="3" t="str">
        <f t="array" ref="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3">
        <f>COUNTIF(Events!$A$2:$A$397,$A60)</f>
        <v>0</v>
      </c>
      <c r="I60" s="25" t="str">
        <f t="array" ref="I60">_xlfn.TEXTJOIN(" | ",TRUE(),IF(Events!$A$2:$A$397=$A60,Events!$E$2:$E$397&amp;IF(Events!$G$2:$G$397="National",""," ["&amp;Events!$G$2:$G$397&amp;"]"),""))</f>
        <v/>
      </c>
    </row>
    <row r="61" spans="1:9" ht="15" customHeight="1" x14ac:dyDescent="0.35">
      <c r="A61" s="2">
        <v>45351</v>
      </c>
      <c r="B61" s="3">
        <f t="shared" si="0"/>
        <v>2024</v>
      </c>
      <c r="C61" s="3">
        <f t="shared" si="1"/>
        <v>2</v>
      </c>
      <c r="D61" s="3" t="str">
        <f t="shared" si="2"/>
        <v>Thu</v>
      </c>
      <c r="E61" s="3">
        <f t="shared" si="3"/>
        <v>0</v>
      </c>
      <c r="F61" s="3">
        <f t="shared" si="4"/>
        <v>1</v>
      </c>
      <c r="G61" s="3" t="str">
        <f t="array" ref="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3">
        <f>COUNTIF(Events!$A$2:$A$397,$A61)</f>
        <v>0</v>
      </c>
      <c r="I61" s="25" t="str">
        <f t="array" ref="I61">_xlfn.TEXTJOIN(" | ",TRUE(),IF(Events!$A$2:$A$397=$A61,Events!$E$2:$E$397&amp;IF(Events!$G$2:$G$397="National",""," ["&amp;Events!$G$2:$G$397&amp;"]"),""))</f>
        <v/>
      </c>
    </row>
    <row r="62" spans="1:9" ht="15" customHeight="1" x14ac:dyDescent="0.35">
      <c r="A62" s="2">
        <v>45352</v>
      </c>
      <c r="B62" s="3">
        <f t="shared" si="0"/>
        <v>2024</v>
      </c>
      <c r="C62" s="3">
        <f t="shared" si="1"/>
        <v>3</v>
      </c>
      <c r="D62" s="3" t="str">
        <f t="shared" si="2"/>
        <v>Fri</v>
      </c>
      <c r="E62" s="3">
        <f t="shared" si="3"/>
        <v>0</v>
      </c>
      <c r="F62" s="3">
        <f t="shared" si="4"/>
        <v>1</v>
      </c>
      <c r="G62" s="3" t="str">
        <f t="array" ref="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3">
        <f>COUNTIF(Events!$A$2:$A$397,$A62)</f>
        <v>0</v>
      </c>
      <c r="I62" s="25" t="str">
        <f t="array" ref="I62">_xlfn.TEXTJOIN(" | ",TRUE(),IF(Events!$A$2:$A$397=$A62,Events!$E$2:$E$397&amp;IF(Events!$G$2:$G$397="National",""," ["&amp;Events!$G$2:$G$397&amp;"]"),""))</f>
        <v/>
      </c>
    </row>
    <row r="63" spans="1:9" ht="15" customHeight="1" x14ac:dyDescent="0.35">
      <c r="A63" s="2">
        <v>45353</v>
      </c>
      <c r="B63" s="3">
        <f t="shared" si="0"/>
        <v>2024</v>
      </c>
      <c r="C63" s="3">
        <f t="shared" si="1"/>
        <v>3</v>
      </c>
      <c r="D63" s="3" t="str">
        <f t="shared" si="2"/>
        <v>Sat</v>
      </c>
      <c r="E63" s="3">
        <f t="shared" si="3"/>
        <v>0</v>
      </c>
      <c r="F63" s="3">
        <f t="shared" si="4"/>
        <v>1</v>
      </c>
      <c r="G63" s="3" t="str">
        <f t="array" ref="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3">
        <f>COUNTIF(Events!$A$2:$A$397,$A63)</f>
        <v>0</v>
      </c>
      <c r="I63" s="25" t="str">
        <f t="array" ref="I63">_xlfn.TEXTJOIN(" | ",TRUE(),IF(Events!$A$2:$A$397=$A63,Events!$E$2:$E$397&amp;IF(Events!$G$2:$G$397="National",""," ["&amp;Events!$G$2:$G$397&amp;"]"),""))</f>
        <v/>
      </c>
    </row>
    <row r="64" spans="1:9" ht="15" customHeight="1" x14ac:dyDescent="0.35">
      <c r="A64" s="2">
        <v>45354</v>
      </c>
      <c r="B64" s="3">
        <f t="shared" si="0"/>
        <v>2024</v>
      </c>
      <c r="C64" s="3">
        <f t="shared" si="1"/>
        <v>3</v>
      </c>
      <c r="D64" s="3" t="str">
        <f t="shared" si="2"/>
        <v>Sun</v>
      </c>
      <c r="E64" s="3">
        <f t="shared" si="3"/>
        <v>0</v>
      </c>
      <c r="F64" s="3">
        <f t="shared" si="4"/>
        <v>1</v>
      </c>
      <c r="G64" s="3" t="str">
        <f t="array" ref="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3">
        <f>COUNTIF(Events!$A$2:$A$397,$A64)</f>
        <v>0</v>
      </c>
      <c r="I64" s="25" t="str">
        <f t="array" ref="I64">_xlfn.TEXTJOIN(" | ",TRUE(),IF(Events!$A$2:$A$397=$A64,Events!$E$2:$E$397&amp;IF(Events!$G$2:$G$397="National",""," ["&amp;Events!$G$2:$G$397&amp;"]"),""))</f>
        <v/>
      </c>
    </row>
    <row r="65" spans="1:9" ht="15" customHeight="1" x14ac:dyDescent="0.35">
      <c r="A65" s="2">
        <v>45355</v>
      </c>
      <c r="B65" s="3">
        <f t="shared" si="0"/>
        <v>2024</v>
      </c>
      <c r="C65" s="3">
        <f t="shared" si="1"/>
        <v>3</v>
      </c>
      <c r="D65" s="3" t="str">
        <f t="shared" si="2"/>
        <v>Mon</v>
      </c>
      <c r="E65" s="3">
        <f t="shared" si="3"/>
        <v>0</v>
      </c>
      <c r="F65" s="3">
        <f t="shared" si="4"/>
        <v>1</v>
      </c>
      <c r="G65" s="3" t="str">
        <f t="array" ref="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3">
        <f>COUNTIF(Events!$A$2:$A$397,$A65)</f>
        <v>0</v>
      </c>
      <c r="I65" s="25" t="str">
        <f t="array" ref="I65">_xlfn.TEXTJOIN(" | ",TRUE(),IF(Events!$A$2:$A$397=$A65,Events!$E$2:$E$397&amp;IF(Events!$G$2:$G$397="National",""," ["&amp;Events!$G$2:$G$397&amp;"]"),""))</f>
        <v/>
      </c>
    </row>
    <row r="66" spans="1:9" ht="15" customHeight="1" x14ac:dyDescent="0.35">
      <c r="A66" s="2">
        <v>45356</v>
      </c>
      <c r="B66" s="3">
        <f t="shared" ref="B66:B129" si="5">YEAR($A66)</f>
        <v>2024</v>
      </c>
      <c r="C66" s="3">
        <f t="shared" ref="C66:C129" si="6">MONTH($A66)</f>
        <v>3</v>
      </c>
      <c r="D66" s="3" t="str">
        <f t="shared" ref="D66:D129" si="7">TEXT($A66,"ddd")</f>
        <v>Tue</v>
      </c>
      <c r="E66" s="3">
        <f t="shared" ref="E66:E129" si="8">IF(OR(AND(MONTH($A66)=10,DAY($A66)&gt;=15),MONTH($A66)=11,AND(MONTH($A66)=12,DAY($A66)&lt;=7)),1,0)</f>
        <v>0</v>
      </c>
      <c r="F66" s="3">
        <f t="shared" ref="F66:F129" si="9">IF(MONTH($A66)&lt;=3,1,0)</f>
        <v>1</v>
      </c>
      <c r="G66" s="3" t="str">
        <f t="array" ref="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
      </c>
      <c r="H66" s="3">
        <f>COUNTIF(Events!$A$2:$A$397,$A66)</f>
        <v>0</v>
      </c>
      <c r="I66" s="25" t="str">
        <f t="array" ref="I66">_xlfn.TEXTJOIN(" | ",TRUE(),IF(Events!$A$2:$A$397=$A66,Events!$E$2:$E$397&amp;IF(Events!$G$2:$G$397="National",""," ["&amp;Events!$G$2:$G$397&amp;"]"),""))</f>
        <v/>
      </c>
    </row>
    <row r="67" spans="1:9" ht="15" customHeight="1" x14ac:dyDescent="0.35">
      <c r="A67" s="2">
        <v>45357</v>
      </c>
      <c r="B67" s="3">
        <f t="shared" si="5"/>
        <v>2024</v>
      </c>
      <c r="C67" s="3">
        <f t="shared" si="6"/>
        <v>3</v>
      </c>
      <c r="D67" s="3" t="str">
        <f t="shared" si="7"/>
        <v>Wed</v>
      </c>
      <c r="E67" s="3">
        <f t="shared" si="8"/>
        <v>0</v>
      </c>
      <c r="F67" s="3">
        <f t="shared" si="9"/>
        <v>1</v>
      </c>
      <c r="G67" s="3" t="str">
        <f t="array" ref="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3">
        <f>COUNTIF(Events!$A$2:$A$397,$A67)</f>
        <v>0</v>
      </c>
      <c r="I67" s="25" t="str">
        <f t="array" ref="I67">_xlfn.TEXTJOIN(" | ",TRUE(),IF(Events!$A$2:$A$397=$A67,Events!$E$2:$E$397&amp;IF(Events!$G$2:$G$397="National",""," ["&amp;Events!$G$2:$G$397&amp;"]"),""))</f>
        <v/>
      </c>
    </row>
    <row r="68" spans="1:9" ht="15" customHeight="1" x14ac:dyDescent="0.35">
      <c r="A68" s="2">
        <v>45358</v>
      </c>
      <c r="B68" s="3">
        <f t="shared" si="5"/>
        <v>2024</v>
      </c>
      <c r="C68" s="3">
        <f t="shared" si="6"/>
        <v>3</v>
      </c>
      <c r="D68" s="3" t="str">
        <f t="shared" si="7"/>
        <v>Thu</v>
      </c>
      <c r="E68" s="3">
        <f t="shared" si="8"/>
        <v>0</v>
      </c>
      <c r="F68" s="3">
        <f t="shared" si="9"/>
        <v>1</v>
      </c>
      <c r="G68" s="3" t="str">
        <f t="array" ref="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3">
        <f>COUNTIF(Events!$A$2:$A$397,$A68)</f>
        <v>0</v>
      </c>
      <c r="I68" s="25" t="str">
        <f t="array" ref="I68">_xlfn.TEXTJOIN(" | ",TRUE(),IF(Events!$A$2:$A$397=$A68,Events!$E$2:$E$397&amp;IF(Events!$G$2:$G$397="National",""," ["&amp;Events!$G$2:$G$397&amp;"]"),""))</f>
        <v/>
      </c>
    </row>
    <row r="69" spans="1:9" ht="15" customHeight="1" x14ac:dyDescent="0.35">
      <c r="A69" s="2">
        <v>45359</v>
      </c>
      <c r="B69" s="3">
        <f t="shared" si="5"/>
        <v>2024</v>
      </c>
      <c r="C69" s="3">
        <f t="shared" si="6"/>
        <v>3</v>
      </c>
      <c r="D69" s="3" t="str">
        <f t="shared" si="7"/>
        <v>Fri</v>
      </c>
      <c r="E69" s="3">
        <f t="shared" si="8"/>
        <v>0</v>
      </c>
      <c r="F69" s="3">
        <f t="shared" si="9"/>
        <v>1</v>
      </c>
      <c r="G69" s="3" t="str">
        <f t="array" ref="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3">
        <f>COUNTIF(Events!$A$2:$A$397,$A69)</f>
        <v>0</v>
      </c>
      <c r="I69" s="25" t="str">
        <f t="array" ref="I69">_xlfn.TEXTJOIN(" | ",TRUE(),IF(Events!$A$2:$A$397=$A69,Events!$E$2:$E$397&amp;IF(Events!$G$2:$G$397="National",""," ["&amp;Events!$G$2:$G$397&amp;"]"),""))</f>
        <v/>
      </c>
    </row>
    <row r="70" spans="1:9" ht="15" customHeight="1" x14ac:dyDescent="0.35">
      <c r="A70" s="2">
        <v>45360</v>
      </c>
      <c r="B70" s="3">
        <f t="shared" si="5"/>
        <v>2024</v>
      </c>
      <c r="C70" s="3">
        <f t="shared" si="6"/>
        <v>3</v>
      </c>
      <c r="D70" s="3" t="str">
        <f t="shared" si="7"/>
        <v>Sat</v>
      </c>
      <c r="E70" s="3">
        <f t="shared" si="8"/>
        <v>0</v>
      </c>
      <c r="F70" s="3">
        <f t="shared" si="9"/>
        <v>1</v>
      </c>
      <c r="G70" s="3" t="str">
        <f t="array" ref="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3">
        <f>COUNTIF(Events!$A$2:$A$397,$A70)</f>
        <v>0</v>
      </c>
      <c r="I70" s="25" t="str">
        <f t="array" ref="I70">_xlfn.TEXTJOIN(" | ",TRUE(),IF(Events!$A$2:$A$397=$A70,Events!$E$2:$E$397&amp;IF(Events!$G$2:$G$397="National",""," ["&amp;Events!$G$2:$G$397&amp;"]"),""))</f>
        <v/>
      </c>
    </row>
    <row r="71" spans="1:9" ht="15" customHeight="1" x14ac:dyDescent="0.35">
      <c r="A71" s="2">
        <v>45361</v>
      </c>
      <c r="B71" s="3">
        <f t="shared" si="5"/>
        <v>2024</v>
      </c>
      <c r="C71" s="3">
        <f t="shared" si="6"/>
        <v>3</v>
      </c>
      <c r="D71" s="3" t="str">
        <f t="shared" si="7"/>
        <v>Sun</v>
      </c>
      <c r="E71" s="3">
        <f t="shared" si="8"/>
        <v>0</v>
      </c>
      <c r="F71" s="3">
        <f t="shared" si="9"/>
        <v>1</v>
      </c>
      <c r="G71" s="3" t="str">
        <f t="array" ref="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3">
        <f>COUNTIF(Events!$A$2:$A$397,$A71)</f>
        <v>0</v>
      </c>
      <c r="I71" s="25" t="str">
        <f t="array" ref="I71">_xlfn.TEXTJOIN(" | ",TRUE(),IF(Events!$A$2:$A$397=$A71,Events!$E$2:$E$397&amp;IF(Events!$G$2:$G$397="National",""," ["&amp;Events!$G$2:$G$397&amp;"]"),""))</f>
        <v/>
      </c>
    </row>
    <row r="72" spans="1:9" ht="15" customHeight="1" x14ac:dyDescent="0.35">
      <c r="A72" s="2">
        <v>45362</v>
      </c>
      <c r="B72" s="3">
        <f t="shared" si="5"/>
        <v>2024</v>
      </c>
      <c r="C72" s="3">
        <f t="shared" si="6"/>
        <v>3</v>
      </c>
      <c r="D72" s="3" t="str">
        <f t="shared" si="7"/>
        <v>Mon</v>
      </c>
      <c r="E72" s="3">
        <f t="shared" si="8"/>
        <v>0</v>
      </c>
      <c r="F72" s="3">
        <f t="shared" si="9"/>
        <v>1</v>
      </c>
      <c r="G72" s="3" t="str">
        <f t="array" ref="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3">
        <f>COUNTIF(Events!$A$2:$A$397,$A72)</f>
        <v>0</v>
      </c>
      <c r="I72" s="25" t="str">
        <f t="array" ref="I72">_xlfn.TEXTJOIN(" | ",TRUE(),IF(Events!$A$2:$A$397=$A72,Events!$E$2:$E$397&amp;IF(Events!$G$2:$G$397="National",""," ["&amp;Events!$G$2:$G$397&amp;"]"),""))</f>
        <v/>
      </c>
    </row>
    <row r="73" spans="1:9" ht="15" customHeight="1" x14ac:dyDescent="0.35">
      <c r="A73" s="2">
        <v>45363</v>
      </c>
      <c r="B73" s="3">
        <f t="shared" si="5"/>
        <v>2024</v>
      </c>
      <c r="C73" s="3">
        <f t="shared" si="6"/>
        <v>3</v>
      </c>
      <c r="D73" s="3" t="str">
        <f t="shared" si="7"/>
        <v>Tue</v>
      </c>
      <c r="E73" s="3">
        <f t="shared" si="8"/>
        <v>0</v>
      </c>
      <c r="F73" s="3">
        <f t="shared" si="9"/>
        <v>1</v>
      </c>
      <c r="G73" s="3" t="str">
        <f t="array" ref="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3">
        <f>COUNTIF(Events!$A$2:$A$397,$A73)</f>
        <v>0</v>
      </c>
      <c r="I73" s="25" t="str">
        <f t="array" ref="I73">_xlfn.TEXTJOIN(" | ",TRUE(),IF(Events!$A$2:$A$397=$A73,Events!$E$2:$E$397&amp;IF(Events!$G$2:$G$397="National",""," ["&amp;Events!$G$2:$G$397&amp;"]"),""))</f>
        <v/>
      </c>
    </row>
    <row r="74" spans="1:9" ht="15" customHeight="1" x14ac:dyDescent="0.35">
      <c r="A74" s="2">
        <v>45364</v>
      </c>
      <c r="B74" s="3">
        <f t="shared" si="5"/>
        <v>2024</v>
      </c>
      <c r="C74" s="3">
        <f t="shared" si="6"/>
        <v>3</v>
      </c>
      <c r="D74" s="3" t="str">
        <f t="shared" si="7"/>
        <v>Wed</v>
      </c>
      <c r="E74" s="3">
        <f t="shared" si="8"/>
        <v>0</v>
      </c>
      <c r="F74" s="3">
        <f t="shared" si="9"/>
        <v>1</v>
      </c>
      <c r="G74" s="3" t="str">
        <f t="array" ref="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3">
        <f>COUNTIF(Events!$A$2:$A$397,$A74)</f>
        <v>0</v>
      </c>
      <c r="I74" s="25" t="str">
        <f t="array" ref="I74">_xlfn.TEXTJOIN(" | ",TRUE(),IF(Events!$A$2:$A$397=$A74,Events!$E$2:$E$397&amp;IF(Events!$G$2:$G$397="National",""," ["&amp;Events!$G$2:$G$397&amp;"]"),""))</f>
        <v/>
      </c>
    </row>
    <row r="75" spans="1:9" ht="15" customHeight="1" x14ac:dyDescent="0.35">
      <c r="A75" s="2">
        <v>45365</v>
      </c>
      <c r="B75" s="3">
        <f t="shared" si="5"/>
        <v>2024</v>
      </c>
      <c r="C75" s="3">
        <f t="shared" si="6"/>
        <v>3</v>
      </c>
      <c r="D75" s="3" t="str">
        <f t="shared" si="7"/>
        <v>Thu</v>
      </c>
      <c r="E75" s="3">
        <f t="shared" si="8"/>
        <v>0</v>
      </c>
      <c r="F75" s="3">
        <f t="shared" si="9"/>
        <v>1</v>
      </c>
      <c r="G75" s="3" t="str">
        <f t="array" ref="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opens: Tornado [OH] DR-4777 | Disaster SEP opens: Severe Storm [OK] DR-4802</v>
      </c>
      <c r="H75" s="3">
        <f>COUNTIF(Events!$A$2:$A$397,$A75)</f>
        <v>0</v>
      </c>
      <c r="I75" s="25" t="str">
        <f t="array" ref="I75">_xlfn.TEXTJOIN(" | ",TRUE(),IF(Events!$A$2:$A$397=$A75,Events!$E$2:$E$397&amp;IF(Events!$G$2:$G$397="National",""," ["&amp;Events!$G$2:$G$397&amp;"]"),""))</f>
        <v/>
      </c>
    </row>
    <row r="76" spans="1:9" ht="15" customHeight="1" x14ac:dyDescent="0.35">
      <c r="A76" s="2">
        <v>45366</v>
      </c>
      <c r="B76" s="3">
        <f t="shared" si="5"/>
        <v>2024</v>
      </c>
      <c r="C76" s="3">
        <f t="shared" si="6"/>
        <v>3</v>
      </c>
      <c r="D76" s="3" t="str">
        <f t="shared" si="7"/>
        <v>Fri</v>
      </c>
      <c r="E76" s="3">
        <f t="shared" si="8"/>
        <v>0</v>
      </c>
      <c r="F76" s="3">
        <f t="shared" si="9"/>
        <v>1</v>
      </c>
      <c r="G76" s="3" t="str">
        <f t="array" ref="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v>
      </c>
      <c r="H76" s="3">
        <f>COUNTIF(Events!$A$2:$A$397,$A76)</f>
        <v>0</v>
      </c>
      <c r="I76" s="25" t="str">
        <f t="array" ref="I76">_xlfn.TEXTJOIN(" | ",TRUE(),IF(Events!$A$2:$A$397=$A76,Events!$E$2:$E$397&amp;IF(Events!$G$2:$G$397="National",""," ["&amp;Events!$G$2:$G$397&amp;"]"),""))</f>
        <v/>
      </c>
    </row>
    <row r="77" spans="1:9" ht="15" customHeight="1" x14ac:dyDescent="0.35">
      <c r="A77" s="2">
        <v>45367</v>
      </c>
      <c r="B77" s="3">
        <f t="shared" si="5"/>
        <v>2024</v>
      </c>
      <c r="C77" s="3">
        <f t="shared" si="6"/>
        <v>3</v>
      </c>
      <c r="D77" s="3" t="str">
        <f t="shared" si="7"/>
        <v>Sat</v>
      </c>
      <c r="E77" s="3">
        <f t="shared" si="8"/>
        <v>0</v>
      </c>
      <c r="F77" s="3">
        <f t="shared" si="9"/>
        <v>1</v>
      </c>
      <c r="G77" s="3" t="str">
        <f t="array" ref="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v>
      </c>
      <c r="H77" s="3">
        <f>COUNTIF(Events!$A$2:$A$397,$A77)</f>
        <v>0</v>
      </c>
      <c r="I77" s="25" t="str">
        <f t="array" ref="I77">_xlfn.TEXTJOIN(" | ",TRUE(),IF(Events!$A$2:$A$397=$A77,Events!$E$2:$E$397&amp;IF(Events!$G$2:$G$397="National",""," ["&amp;Events!$G$2:$G$397&amp;"]"),""))</f>
        <v/>
      </c>
    </row>
    <row r="78" spans="1:9" ht="15" customHeight="1" x14ac:dyDescent="0.35">
      <c r="A78" s="2">
        <v>45368</v>
      </c>
      <c r="B78" s="3">
        <f t="shared" si="5"/>
        <v>2024</v>
      </c>
      <c r="C78" s="3">
        <f t="shared" si="6"/>
        <v>3</v>
      </c>
      <c r="D78" s="3" t="str">
        <f t="shared" si="7"/>
        <v>Sun</v>
      </c>
      <c r="E78" s="3">
        <f t="shared" si="8"/>
        <v>0</v>
      </c>
      <c r="F78" s="3">
        <f t="shared" si="9"/>
        <v>1</v>
      </c>
      <c r="G78" s="3" t="str">
        <f t="array" ref="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
      </c>
      <c r="H78" s="3">
        <f>COUNTIF(Events!$A$2:$A$397,$A78)</f>
        <v>0</v>
      </c>
      <c r="I78" s="25" t="str">
        <f t="array" ref="I78">_xlfn.TEXTJOIN(" | ",TRUE(),IF(Events!$A$2:$A$397=$A78,Events!$E$2:$E$397&amp;IF(Events!$G$2:$G$397="National",""," ["&amp;Events!$G$2:$G$397&amp;"]"),""))</f>
        <v/>
      </c>
    </row>
    <row r="79" spans="1:9" ht="15" customHeight="1" x14ac:dyDescent="0.35">
      <c r="A79" s="2">
        <v>45369</v>
      </c>
      <c r="B79" s="3">
        <f t="shared" si="5"/>
        <v>2024</v>
      </c>
      <c r="C79" s="3">
        <f t="shared" si="6"/>
        <v>3</v>
      </c>
      <c r="D79" s="3" t="str">
        <f t="shared" si="7"/>
        <v>Mon</v>
      </c>
      <c r="E79" s="3">
        <f t="shared" si="8"/>
        <v>0</v>
      </c>
      <c r="F79" s="3">
        <f t="shared" si="9"/>
        <v>1</v>
      </c>
      <c r="G79" s="3" t="str">
        <f t="array" ref="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3">
        <f>COUNTIF(Events!$A$2:$A$397,$A79)</f>
        <v>0</v>
      </c>
      <c r="I79" s="25" t="str">
        <f t="array" ref="I79">_xlfn.TEXTJOIN(" | ",TRUE(),IF(Events!$A$2:$A$397=$A79,Events!$E$2:$E$397&amp;IF(Events!$G$2:$G$397="National",""," ["&amp;Events!$G$2:$G$397&amp;"]"),""))</f>
        <v/>
      </c>
    </row>
    <row r="80" spans="1:9" ht="15" customHeight="1" x14ac:dyDescent="0.35">
      <c r="A80" s="2">
        <v>45370</v>
      </c>
      <c r="B80" s="3">
        <f t="shared" si="5"/>
        <v>2024</v>
      </c>
      <c r="C80" s="3">
        <f t="shared" si="6"/>
        <v>3</v>
      </c>
      <c r="D80" s="3" t="str">
        <f t="shared" si="7"/>
        <v>Tue</v>
      </c>
      <c r="E80" s="3">
        <f t="shared" si="8"/>
        <v>0</v>
      </c>
      <c r="F80" s="3">
        <f t="shared" si="9"/>
        <v>1</v>
      </c>
      <c r="G80" s="3" t="str">
        <f t="array" ref="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3">
        <f>COUNTIF(Events!$A$2:$A$397,$A80)</f>
        <v>0</v>
      </c>
      <c r="I80" s="25" t="str">
        <f t="array" ref="I80">_xlfn.TEXTJOIN(" | ",TRUE(),IF(Events!$A$2:$A$397=$A80,Events!$E$2:$E$397&amp;IF(Events!$G$2:$G$397="National",""," ["&amp;Events!$G$2:$G$397&amp;"]"),""))</f>
        <v/>
      </c>
    </row>
    <row r="81" spans="1:9" ht="15" customHeight="1" x14ac:dyDescent="0.35">
      <c r="A81" s="2">
        <v>45371</v>
      </c>
      <c r="B81" s="3">
        <f t="shared" si="5"/>
        <v>2024</v>
      </c>
      <c r="C81" s="3">
        <f t="shared" si="6"/>
        <v>3</v>
      </c>
      <c r="D81" s="3" t="str">
        <f t="shared" si="7"/>
        <v>Wed</v>
      </c>
      <c r="E81" s="3">
        <f t="shared" si="8"/>
        <v>0</v>
      </c>
      <c r="F81" s="3">
        <f t="shared" si="9"/>
        <v>1</v>
      </c>
      <c r="G81" s="3" t="str">
        <f t="array" ref="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3">
        <f>COUNTIF(Events!$A$2:$A$397,$A81)</f>
        <v>0</v>
      </c>
      <c r="I81" s="25" t="str">
        <f t="array" ref="I81">_xlfn.TEXTJOIN(" | ",TRUE(),IF(Events!$A$2:$A$397=$A81,Events!$E$2:$E$397&amp;IF(Events!$G$2:$G$397="National",""," ["&amp;Events!$G$2:$G$397&amp;"]"),""))</f>
        <v/>
      </c>
    </row>
    <row r="82" spans="1:9" ht="15" customHeight="1" x14ac:dyDescent="0.35">
      <c r="A82" s="2">
        <v>45372</v>
      </c>
      <c r="B82" s="3">
        <f t="shared" si="5"/>
        <v>2024</v>
      </c>
      <c r="C82" s="3">
        <f t="shared" si="6"/>
        <v>3</v>
      </c>
      <c r="D82" s="3" t="str">
        <f t="shared" si="7"/>
        <v>Thu</v>
      </c>
      <c r="E82" s="3">
        <f t="shared" si="8"/>
        <v>0</v>
      </c>
      <c r="F82" s="3">
        <f t="shared" si="9"/>
        <v>1</v>
      </c>
      <c r="G82" s="3" t="str">
        <f t="array" ref="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
      </c>
      <c r="H82" s="3">
        <f>COUNTIF(Events!$A$2:$A$397,$A82)</f>
        <v>0</v>
      </c>
      <c r="I82" s="25" t="str">
        <f t="array" ref="I82">_xlfn.TEXTJOIN(" | ",TRUE(),IF(Events!$A$2:$A$397=$A82,Events!$E$2:$E$397&amp;IF(Events!$G$2:$G$397="National",""," ["&amp;Events!$G$2:$G$397&amp;"]"),""))</f>
        <v/>
      </c>
    </row>
    <row r="83" spans="1:9" ht="15" customHeight="1" x14ac:dyDescent="0.35">
      <c r="A83" s="2">
        <v>45373</v>
      </c>
      <c r="B83" s="3">
        <f t="shared" si="5"/>
        <v>2024</v>
      </c>
      <c r="C83" s="3">
        <f t="shared" si="6"/>
        <v>3</v>
      </c>
      <c r="D83" s="3" t="str">
        <f t="shared" si="7"/>
        <v>Fri</v>
      </c>
      <c r="E83" s="3">
        <f t="shared" si="8"/>
        <v>0</v>
      </c>
      <c r="F83" s="3">
        <f t="shared" si="9"/>
        <v>1</v>
      </c>
      <c r="G83" s="3" t="str">
        <f t="array" ref="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3">
        <f>COUNTIF(Events!$A$2:$A$397,$A83)</f>
        <v>0</v>
      </c>
      <c r="I83" s="25" t="str">
        <f t="array" ref="I83">_xlfn.TEXTJOIN(" | ",TRUE(),IF(Events!$A$2:$A$397=$A83,Events!$E$2:$E$397&amp;IF(Events!$G$2:$G$397="National",""," ["&amp;Events!$G$2:$G$397&amp;"]"),""))</f>
        <v/>
      </c>
    </row>
    <row r="84" spans="1:9" ht="15" customHeight="1" x14ac:dyDescent="0.35">
      <c r="A84" s="2">
        <v>45374</v>
      </c>
      <c r="B84" s="3">
        <f t="shared" si="5"/>
        <v>2024</v>
      </c>
      <c r="C84" s="3">
        <f t="shared" si="6"/>
        <v>3</v>
      </c>
      <c r="D84" s="3" t="str">
        <f t="shared" si="7"/>
        <v>Sat</v>
      </c>
      <c r="E84" s="3">
        <f t="shared" si="8"/>
        <v>0</v>
      </c>
      <c r="F84" s="3">
        <f t="shared" si="9"/>
        <v>1</v>
      </c>
      <c r="G84" s="3" t="str">
        <f t="array" ref="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
      </c>
      <c r="H84" s="3">
        <f>COUNTIF(Events!$A$2:$A$397,$A84)</f>
        <v>0</v>
      </c>
      <c r="I84" s="25" t="str">
        <f t="array" ref="I84">_xlfn.TEXTJOIN(" | ",TRUE(),IF(Events!$A$2:$A$397=$A84,Events!$E$2:$E$397&amp;IF(Events!$G$2:$G$397="National",""," ["&amp;Events!$G$2:$G$397&amp;"]"),""))</f>
        <v/>
      </c>
    </row>
    <row r="85" spans="1:9" ht="15" customHeight="1" x14ac:dyDescent="0.35">
      <c r="A85" s="2">
        <v>45375</v>
      </c>
      <c r="B85" s="3">
        <f t="shared" si="5"/>
        <v>2024</v>
      </c>
      <c r="C85" s="3">
        <f t="shared" si="6"/>
        <v>3</v>
      </c>
      <c r="D85" s="3" t="str">
        <f t="shared" si="7"/>
        <v>Sun</v>
      </c>
      <c r="E85" s="3">
        <f t="shared" si="8"/>
        <v>0</v>
      </c>
      <c r="F85" s="3">
        <f t="shared" si="9"/>
        <v>1</v>
      </c>
      <c r="G85" s="3" t="str">
        <f t="array" ref="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
      </c>
      <c r="H85" s="3">
        <f>COUNTIF(Events!$A$2:$A$397,$A85)</f>
        <v>0</v>
      </c>
      <c r="I85" s="25" t="str">
        <f t="array" ref="I85">_xlfn.TEXTJOIN(" | ",TRUE(),IF(Events!$A$2:$A$397=$A85,Events!$E$2:$E$397&amp;IF(Events!$G$2:$G$397="National",""," ["&amp;Events!$G$2:$G$397&amp;"]"),""))</f>
        <v/>
      </c>
    </row>
    <row r="86" spans="1:9" ht="15" customHeight="1" x14ac:dyDescent="0.35">
      <c r="A86" s="2">
        <v>45376</v>
      </c>
      <c r="B86" s="3">
        <f t="shared" si="5"/>
        <v>2024</v>
      </c>
      <c r="C86" s="3">
        <f t="shared" si="6"/>
        <v>3</v>
      </c>
      <c r="D86" s="3" t="str">
        <f t="shared" si="7"/>
        <v>Mon</v>
      </c>
      <c r="E86" s="3">
        <f t="shared" si="8"/>
        <v>0</v>
      </c>
      <c r="F86" s="3">
        <f t="shared" si="9"/>
        <v>1</v>
      </c>
      <c r="G86" s="3" t="str">
        <f t="array" ref="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3">
        <f>COUNTIF(Events!$A$2:$A$397,$A86)</f>
        <v>0</v>
      </c>
      <c r="I86" s="25" t="str">
        <f t="array" ref="I86">_xlfn.TEXTJOIN(" | ",TRUE(),IF(Events!$A$2:$A$397=$A86,Events!$E$2:$E$397&amp;IF(Events!$G$2:$G$397="National",""," ["&amp;Events!$G$2:$G$397&amp;"]"),""))</f>
        <v/>
      </c>
    </row>
    <row r="87" spans="1:9" ht="15" customHeight="1" x14ac:dyDescent="0.35">
      <c r="A87" s="2">
        <v>45377</v>
      </c>
      <c r="B87" s="3">
        <f t="shared" si="5"/>
        <v>2024</v>
      </c>
      <c r="C87" s="3">
        <f t="shared" si="6"/>
        <v>3</v>
      </c>
      <c r="D87" s="3" t="str">
        <f t="shared" si="7"/>
        <v>Tue</v>
      </c>
      <c r="E87" s="3">
        <f t="shared" si="8"/>
        <v>0</v>
      </c>
      <c r="F87" s="3">
        <f t="shared" si="9"/>
        <v>1</v>
      </c>
      <c r="G87" s="3" t="str">
        <f t="array" ref="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3">
        <f>COUNTIF(Events!$A$2:$A$397,$A87)</f>
        <v>0</v>
      </c>
      <c r="I87" s="25" t="str">
        <f t="array" ref="I87">_xlfn.TEXTJOIN(" | ",TRUE(),IF(Events!$A$2:$A$397=$A87,Events!$E$2:$E$397&amp;IF(Events!$G$2:$G$397="National",""," ["&amp;Events!$G$2:$G$397&amp;"]"),""))</f>
        <v/>
      </c>
    </row>
    <row r="88" spans="1:9" ht="15" customHeight="1" x14ac:dyDescent="0.35">
      <c r="A88" s="2">
        <v>45378</v>
      </c>
      <c r="B88" s="3">
        <f t="shared" si="5"/>
        <v>2024</v>
      </c>
      <c r="C88" s="3">
        <f t="shared" si="6"/>
        <v>3</v>
      </c>
      <c r="D88" s="3" t="str">
        <f t="shared" si="7"/>
        <v>Wed</v>
      </c>
      <c r="E88" s="3">
        <f t="shared" si="8"/>
        <v>0</v>
      </c>
      <c r="F88" s="3">
        <f t="shared" si="9"/>
        <v>1</v>
      </c>
      <c r="G88" s="3" t="str">
        <f t="array" ref="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3">
        <f>COUNTIF(Events!$A$2:$A$397,$A88)</f>
        <v>0</v>
      </c>
      <c r="I88" s="25" t="str">
        <f t="array" ref="I88">_xlfn.TEXTJOIN(" | ",TRUE(),IF(Events!$A$2:$A$397=$A88,Events!$E$2:$E$397&amp;IF(Events!$G$2:$G$397="National",""," ["&amp;Events!$G$2:$G$397&amp;"]"),""))</f>
        <v/>
      </c>
    </row>
    <row r="89" spans="1:9" ht="15" customHeight="1" x14ac:dyDescent="0.35">
      <c r="A89" s="2">
        <v>45379</v>
      </c>
      <c r="B89" s="3">
        <f t="shared" si="5"/>
        <v>2024</v>
      </c>
      <c r="C89" s="3">
        <f t="shared" si="6"/>
        <v>3</v>
      </c>
      <c r="D89" s="3" t="str">
        <f t="shared" si="7"/>
        <v>Thu</v>
      </c>
      <c r="E89" s="3">
        <f t="shared" si="8"/>
        <v>0</v>
      </c>
      <c r="F89" s="3">
        <f t="shared" si="9"/>
        <v>1</v>
      </c>
      <c r="G89" s="3" t="str">
        <f t="array" ref="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3">
        <f>COUNTIF(Events!$A$2:$A$397,$A89)</f>
        <v>0</v>
      </c>
      <c r="I89" s="25" t="str">
        <f t="array" ref="I89">_xlfn.TEXTJOIN(" | ",TRUE(),IF(Events!$A$2:$A$397=$A89,Events!$E$2:$E$397&amp;IF(Events!$G$2:$G$397="National",""," ["&amp;Events!$G$2:$G$397&amp;"]"),""))</f>
        <v/>
      </c>
    </row>
    <row r="90" spans="1:9" ht="15" customHeight="1" x14ac:dyDescent="0.35">
      <c r="A90" s="2">
        <v>45380</v>
      </c>
      <c r="B90" s="3">
        <f t="shared" si="5"/>
        <v>2024</v>
      </c>
      <c r="C90" s="3">
        <f t="shared" si="6"/>
        <v>3</v>
      </c>
      <c r="D90" s="3" t="str">
        <f t="shared" si="7"/>
        <v>Fri</v>
      </c>
      <c r="E90" s="3">
        <f t="shared" si="8"/>
        <v>0</v>
      </c>
      <c r="F90" s="3">
        <f t="shared" si="9"/>
        <v>1</v>
      </c>
      <c r="G90" s="3" t="str">
        <f t="array" ref="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3">
        <f>COUNTIF(Events!$A$2:$A$397,$A90)</f>
        <v>0</v>
      </c>
      <c r="I90" s="25" t="str">
        <f t="array" ref="I90">_xlfn.TEXTJOIN(" | ",TRUE(),IF(Events!$A$2:$A$397=$A90,Events!$E$2:$E$397&amp;IF(Events!$G$2:$G$397="National",""," ["&amp;Events!$G$2:$G$397&amp;"]"),""))</f>
        <v/>
      </c>
    </row>
    <row r="91" spans="1:9" ht="15" customHeight="1" x14ac:dyDescent="0.35">
      <c r="A91" s="2">
        <v>45381</v>
      </c>
      <c r="B91" s="3">
        <f t="shared" si="5"/>
        <v>2024</v>
      </c>
      <c r="C91" s="3">
        <f t="shared" si="6"/>
        <v>3</v>
      </c>
      <c r="D91" s="3" t="str">
        <f t="shared" si="7"/>
        <v>Sat</v>
      </c>
      <c r="E91" s="3">
        <f t="shared" si="8"/>
        <v>0</v>
      </c>
      <c r="F91" s="3">
        <f t="shared" si="9"/>
        <v>1</v>
      </c>
      <c r="G91" s="3" t="str">
        <f t="array" ref="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
      </c>
      <c r="H91" s="3">
        <f>COUNTIF(Events!$A$2:$A$397,$A91)</f>
        <v>0</v>
      </c>
      <c r="I91" s="25" t="str">
        <f t="array" ref="I91">_xlfn.TEXTJOIN(" | ",TRUE(),IF(Events!$A$2:$A$397=$A91,Events!$E$2:$E$397&amp;IF(Events!$G$2:$G$397="National",""," ["&amp;Events!$G$2:$G$397&amp;"]"),""))</f>
        <v/>
      </c>
    </row>
    <row r="92" spans="1:9" ht="14.25" customHeight="1" x14ac:dyDescent="0.35">
      <c r="A92" s="2">
        <v>45382</v>
      </c>
      <c r="B92" s="3">
        <f t="shared" si="5"/>
        <v>2024</v>
      </c>
      <c r="C92" s="3">
        <f t="shared" si="6"/>
        <v>3</v>
      </c>
      <c r="D92" s="3" t="str">
        <f t="shared" si="7"/>
        <v>Sun</v>
      </c>
      <c r="E92" s="3">
        <f t="shared" si="8"/>
        <v>0</v>
      </c>
      <c r="F92" s="3">
        <f t="shared" si="9"/>
        <v>1</v>
      </c>
      <c r="G92" s="3" t="str">
        <f t="array" ref="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Disaster SEP ended: Severe Storm [WA] DR-4775 | Disaster SEP ended: Winter Storm [KS] DR-4774 | Disaster SEP ended: Severe Storm [ME] DR-4764 | Disaster SEP ended: Severe Storm [RI] DR-4766 | Disaster SEP ended: Severe Storm [VT] DR-4770 | Disaster SEP ended: Severe Storm [NH] DR-4771 | Disaster SEP ended: Severe Storm [CT] EM-3604 | Disaster SEP ended: Severe Storm [OR] DR-4768 | Disaster SEP ended: Flood [CA] DR-4758 | Disaster SEP ended: Severe Storm [CA] DR-4773 | Disaster SEP ended: Severe Storm [CA] DR-4769 | Disaster SEP ended: Severe Storm [CA] DR-4772</v>
      </c>
      <c r="H92" s="3">
        <f>COUNTIF(Events!$A$2:$A$397,$A92)</f>
        <v>0</v>
      </c>
      <c r="I92" s="25" t="str">
        <f t="array" ref="I92">_xlfn.TEXTJOIN(" | ",TRUE(),IF(Events!$A$2:$A$397=$A92,Events!$E$2:$E$397&amp;IF(Events!$G$2:$G$397="National",""," ["&amp;Events!$G$2:$G$397&amp;"]"),""))</f>
        <v/>
      </c>
    </row>
    <row r="93" spans="1:9" ht="15" customHeight="1" x14ac:dyDescent="0.35">
      <c r="A93" s="2">
        <v>45383</v>
      </c>
      <c r="B93" s="3">
        <f t="shared" si="5"/>
        <v>2024</v>
      </c>
      <c r="C93" s="3">
        <f t="shared" si="6"/>
        <v>4</v>
      </c>
      <c r="D93" s="3" t="str">
        <f t="shared" si="7"/>
        <v>Mon</v>
      </c>
      <c r="E93" s="3">
        <f t="shared" si="8"/>
        <v>0</v>
      </c>
      <c r="F93" s="3">
        <f t="shared" si="9"/>
        <v>0</v>
      </c>
      <c r="G93" s="3" t="str">
        <f t="array" ref="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
      </c>
      <c r="H93" s="3">
        <f>COUNTIF(Events!$A$2:$A$397,$A93)</f>
        <v>1</v>
      </c>
      <c r="I93" s="25" t="str">
        <f t="array" ref="I93">_xlfn.TEXTJOIN(" | ",TRUE(),IF(Events!$A$2:$A$397=$A93,Events!$E$2:$E$397&amp;IF(Events!$G$2:$G$397="National",""," ["&amp;Events!$G$2:$G$397&amp;"]"),""))</f>
        <v>CY2025 Rate Announcement: final MA capitation rates (+3.70% avg) and Part C/D payment policies</v>
      </c>
    </row>
    <row r="94" spans="1:9" ht="15" customHeight="1" x14ac:dyDescent="0.35">
      <c r="A94" s="2">
        <v>45384</v>
      </c>
      <c r="B94" s="3">
        <f t="shared" si="5"/>
        <v>2024</v>
      </c>
      <c r="C94" s="3">
        <f t="shared" si="6"/>
        <v>4</v>
      </c>
      <c r="D94" s="3" t="str">
        <f t="shared" si="7"/>
        <v>Tue</v>
      </c>
      <c r="E94" s="3">
        <f t="shared" si="8"/>
        <v>0</v>
      </c>
      <c r="F94" s="3">
        <f t="shared" si="9"/>
        <v>0</v>
      </c>
      <c r="G94" s="3" t="str">
        <f t="array" ref="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 | Disaster SEP opens: Severe Storm [KY] DR-4782 | Disaster SEP opens: Severe Storm [WV] DR-4783</v>
      </c>
      <c r="H94" s="3">
        <f>COUNTIF(Events!$A$2:$A$397,$A94)</f>
        <v>0</v>
      </c>
      <c r="I94" s="25" t="str">
        <f t="array" ref="I94">_xlfn.TEXTJOIN(" | ",TRUE(),IF(Events!$A$2:$A$397=$A94,Events!$E$2:$E$397&amp;IF(Events!$G$2:$G$397="National",""," ["&amp;Events!$G$2:$G$397&amp;"]"),""))</f>
        <v/>
      </c>
    </row>
    <row r="95" spans="1:9" ht="15" customHeight="1" x14ac:dyDescent="0.35">
      <c r="A95" s="2">
        <v>45385</v>
      </c>
      <c r="B95" s="3">
        <f t="shared" si="5"/>
        <v>2024</v>
      </c>
      <c r="C95" s="3">
        <f t="shared" si="6"/>
        <v>4</v>
      </c>
      <c r="D95" s="3" t="str">
        <f t="shared" si="7"/>
        <v>Wed</v>
      </c>
      <c r="E95" s="3">
        <f t="shared" si="8"/>
        <v>0</v>
      </c>
      <c r="F95" s="3">
        <f t="shared" si="9"/>
        <v>0</v>
      </c>
      <c r="G95" s="3" t="str">
        <f t="array" ref="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Winter Storm [ME] DR-4785 | Disaster SEP opens: Winter Storm [NH] DR-4799</v>
      </c>
      <c r="H95" s="3">
        <f>COUNTIF(Events!$A$2:$A$397,$A95)</f>
        <v>0</v>
      </c>
      <c r="I95" s="25" t="str">
        <f t="array" ref="I95">_xlfn.TEXTJOIN(" | ",TRUE(),IF(Events!$A$2:$A$397=$A95,Events!$E$2:$E$397&amp;IF(Events!$G$2:$G$397="National",""," ["&amp;Events!$G$2:$G$397&amp;"]"),""))</f>
        <v/>
      </c>
    </row>
    <row r="96" spans="1:9" ht="15" customHeight="1" x14ac:dyDescent="0.35">
      <c r="A96" s="2">
        <v>45386</v>
      </c>
      <c r="B96" s="3">
        <f t="shared" si="5"/>
        <v>2024</v>
      </c>
      <c r="C96" s="3">
        <f t="shared" si="6"/>
        <v>4</v>
      </c>
      <c r="D96" s="3" t="str">
        <f t="shared" si="7"/>
        <v>Thu</v>
      </c>
      <c r="E96" s="3">
        <f t="shared" si="8"/>
        <v>0</v>
      </c>
      <c r="F96" s="3">
        <f t="shared" si="9"/>
        <v>0</v>
      </c>
      <c r="G96" s="3" t="str">
        <f t="array" ref="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3">
        <f>COUNTIF(Events!$A$2:$A$397,$A96)</f>
        <v>1</v>
      </c>
      <c r="I96" s="25" t="str">
        <f t="array" ref="I96">_xlfn.TEXTJOIN(" | ",TRUE(),IF(Events!$A$2:$A$397=$A96,Events!$E$2:$E$397&amp;IF(Events!$G$2:$G$397="National",""," ["&amp;Events!$G$2:$G$397&amp;"]"),""))</f>
        <v>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v>
      </c>
    </row>
    <row r="97" spans="1:9" ht="15" customHeight="1" x14ac:dyDescent="0.35">
      <c r="A97" s="2">
        <v>45387</v>
      </c>
      <c r="B97" s="3">
        <f t="shared" si="5"/>
        <v>2024</v>
      </c>
      <c r="C97" s="3">
        <f t="shared" si="6"/>
        <v>4</v>
      </c>
      <c r="D97" s="3" t="str">
        <f t="shared" si="7"/>
        <v>Fri</v>
      </c>
      <c r="E97" s="3">
        <f t="shared" si="8"/>
        <v>0</v>
      </c>
      <c r="F97" s="3">
        <f t="shared" si="9"/>
        <v>0</v>
      </c>
      <c r="G97" s="3" t="str">
        <f t="array" ref="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3">
        <f>COUNTIF(Events!$A$2:$A$397,$A97)</f>
        <v>0</v>
      </c>
      <c r="I97" s="25" t="str">
        <f t="array" ref="I97">_xlfn.TEXTJOIN(" | ",TRUE(),IF(Events!$A$2:$A$397=$A97,Events!$E$2:$E$397&amp;IF(Events!$G$2:$G$397="National",""," ["&amp;Events!$G$2:$G$397&amp;"]"),""))</f>
        <v/>
      </c>
    </row>
    <row r="98" spans="1:9" ht="15" customHeight="1" x14ac:dyDescent="0.35">
      <c r="A98" s="2">
        <v>45388</v>
      </c>
      <c r="B98" s="3">
        <f t="shared" si="5"/>
        <v>2024</v>
      </c>
      <c r="C98" s="3">
        <f t="shared" si="6"/>
        <v>4</v>
      </c>
      <c r="D98" s="3" t="str">
        <f t="shared" si="7"/>
        <v>Sat</v>
      </c>
      <c r="E98" s="3">
        <f t="shared" si="8"/>
        <v>0</v>
      </c>
      <c r="F98" s="3">
        <f t="shared" si="9"/>
        <v>0</v>
      </c>
      <c r="G98" s="3" t="str">
        <f t="array" ref="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Severe Storm [NE] DR-4786</v>
      </c>
      <c r="H98" s="3">
        <f>COUNTIF(Events!$A$2:$A$397,$A98)</f>
        <v>0</v>
      </c>
      <c r="I98" s="25" t="str">
        <f t="array" ref="I98">_xlfn.TEXTJOIN(" | ",TRUE(),IF(Events!$A$2:$A$397=$A98,Events!$E$2:$E$397&amp;IF(Events!$G$2:$G$397="National",""," ["&amp;Events!$G$2:$G$397&amp;"]"),""))</f>
        <v/>
      </c>
    </row>
    <row r="99" spans="1:9" ht="15" customHeight="1" x14ac:dyDescent="0.35">
      <c r="A99" s="2">
        <v>45389</v>
      </c>
      <c r="B99" s="3">
        <f t="shared" si="5"/>
        <v>2024</v>
      </c>
      <c r="C99" s="3">
        <f t="shared" si="6"/>
        <v>4</v>
      </c>
      <c r="D99" s="3" t="str">
        <f t="shared" si="7"/>
        <v>Sun</v>
      </c>
      <c r="E99" s="3">
        <f t="shared" si="8"/>
        <v>0</v>
      </c>
      <c r="F99" s="3">
        <f t="shared" si="9"/>
        <v>0</v>
      </c>
      <c r="G99" s="3" t="str">
        <f t="array" ref="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v>
      </c>
      <c r="H99" s="3">
        <f>COUNTIF(Events!$A$2:$A$397,$A99)</f>
        <v>0</v>
      </c>
      <c r="I99" s="25" t="str">
        <f t="array" ref="I99">_xlfn.TEXTJOIN(" | ",TRUE(),IF(Events!$A$2:$A$397=$A99,Events!$E$2:$E$397&amp;IF(Events!$G$2:$G$397="National",""," ["&amp;Events!$G$2:$G$397&amp;"]"),""))</f>
        <v/>
      </c>
    </row>
    <row r="100" spans="1:9" ht="15" customHeight="1" x14ac:dyDescent="0.35">
      <c r="A100" s="2">
        <v>45390</v>
      </c>
      <c r="B100" s="3">
        <f t="shared" si="5"/>
        <v>2024</v>
      </c>
      <c r="C100" s="3">
        <f t="shared" si="6"/>
        <v>4</v>
      </c>
      <c r="D100" s="3" t="str">
        <f t="shared" si="7"/>
        <v>Mon</v>
      </c>
      <c r="E100" s="3">
        <f t="shared" si="8"/>
        <v>0</v>
      </c>
      <c r="F100" s="3">
        <f t="shared" si="9"/>
        <v>0</v>
      </c>
      <c r="G100" s="3" t="str">
        <f t="array" ref="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[MS] DR-4790</v>
      </c>
      <c r="H100" s="3">
        <f>COUNTIF(Events!$A$2:$A$397,$A100)</f>
        <v>0</v>
      </c>
      <c r="I100" s="25" t="str">
        <f t="array" ref="I100">_xlfn.TEXTJOIN(" | ",TRUE(),IF(Events!$A$2:$A$397=$A100,Events!$E$2:$E$397&amp;IF(Events!$G$2:$G$397="National",""," ["&amp;Events!$G$2:$G$397&amp;"]"),""))</f>
        <v/>
      </c>
    </row>
    <row r="101" spans="1:9" ht="15" customHeight="1" x14ac:dyDescent="0.35">
      <c r="A101" s="2">
        <v>45391</v>
      </c>
      <c r="B101" s="3">
        <f t="shared" si="5"/>
        <v>2024</v>
      </c>
      <c r="C101" s="3">
        <f t="shared" si="6"/>
        <v>4</v>
      </c>
      <c r="D101" s="3" t="str">
        <f t="shared" si="7"/>
        <v>Tue</v>
      </c>
      <c r="E101" s="3">
        <f t="shared" si="8"/>
        <v>0</v>
      </c>
      <c r="F101" s="3">
        <f t="shared" si="9"/>
        <v>0</v>
      </c>
      <c r="G101" s="3" t="str">
        <f t="array" ref="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3">
        <f>COUNTIF(Events!$A$2:$A$397,$A101)</f>
        <v>0</v>
      </c>
      <c r="I101" s="25" t="str">
        <f t="array" ref="I101">_xlfn.TEXTJOIN(" | ",TRUE(),IF(Events!$A$2:$A$397=$A101,Events!$E$2:$E$397&amp;IF(Events!$G$2:$G$397="National",""," ["&amp;Events!$G$2:$G$397&amp;"]"),""))</f>
        <v/>
      </c>
    </row>
    <row r="102" spans="1:9" ht="15" customHeight="1" x14ac:dyDescent="0.35">
      <c r="A102" s="2">
        <v>45392</v>
      </c>
      <c r="B102" s="3">
        <f t="shared" si="5"/>
        <v>2024</v>
      </c>
      <c r="C102" s="3">
        <f t="shared" si="6"/>
        <v>4</v>
      </c>
      <c r="D102" s="3" t="str">
        <f t="shared" si="7"/>
        <v>Wed</v>
      </c>
      <c r="E102" s="3">
        <f t="shared" si="8"/>
        <v>0</v>
      </c>
      <c r="F102" s="3">
        <f t="shared" si="9"/>
        <v>0</v>
      </c>
      <c r="G102" s="3" t="str">
        <f t="array" ref="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
      </c>
      <c r="H102" s="3">
        <f>COUNTIF(Events!$A$2:$A$397,$A102)</f>
        <v>0</v>
      </c>
      <c r="I102" s="25" t="str">
        <f t="array" ref="I102">_xlfn.TEXTJOIN(" | ",TRUE(),IF(Events!$A$2:$A$397=$A102,Events!$E$2:$E$397&amp;IF(Events!$G$2:$G$397="National",""," ["&amp;Events!$G$2:$G$397&amp;"]"),""))</f>
        <v/>
      </c>
    </row>
    <row r="103" spans="1:9" ht="15" customHeight="1" x14ac:dyDescent="0.35">
      <c r="A103" s="2">
        <v>45393</v>
      </c>
      <c r="B103" s="3">
        <f t="shared" si="5"/>
        <v>2024</v>
      </c>
      <c r="C103" s="3">
        <f t="shared" si="6"/>
        <v>4</v>
      </c>
      <c r="D103" s="3" t="str">
        <f t="shared" si="7"/>
        <v>Thu</v>
      </c>
      <c r="E103" s="3">
        <f t="shared" si="8"/>
        <v>0</v>
      </c>
      <c r="F103" s="3">
        <f t="shared" si="9"/>
        <v>0</v>
      </c>
      <c r="G103" s="3" t="str">
        <f t="array" ref="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 | Disaster SEP opens: Flood [WV] DR-4787 | Disaster SEP opens: Flood [HI] DR-4793</v>
      </c>
      <c r="H103" s="3">
        <f>COUNTIF(Events!$A$2:$A$397,$A103)</f>
        <v>0</v>
      </c>
      <c r="I103" s="25" t="str">
        <f t="array" ref="I103">_xlfn.TEXTJOIN(" | ",TRUE(),IF(Events!$A$2:$A$397=$A103,Events!$E$2:$E$397&amp;IF(Events!$G$2:$G$397="National",""," ["&amp;Events!$G$2:$G$397&amp;"]"),""))</f>
        <v/>
      </c>
    </row>
    <row r="104" spans="1:9" ht="15" customHeight="1" x14ac:dyDescent="0.35">
      <c r="A104" s="2">
        <v>45394</v>
      </c>
      <c r="B104" s="3">
        <f t="shared" si="5"/>
        <v>2024</v>
      </c>
      <c r="C104" s="3">
        <f t="shared" si="6"/>
        <v>4</v>
      </c>
      <c r="D104" s="3" t="str">
        <f t="shared" si="7"/>
        <v>Fri</v>
      </c>
      <c r="E104" s="3">
        <f t="shared" si="8"/>
        <v>0</v>
      </c>
      <c r="F104" s="3">
        <f t="shared" si="9"/>
        <v>0</v>
      </c>
      <c r="G104" s="3" t="str">
        <f t="array" ref="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v>
      </c>
      <c r="H104" s="3">
        <f>COUNTIF(Events!$A$2:$A$397,$A104)</f>
        <v>0</v>
      </c>
      <c r="I104" s="25" t="str">
        <f t="array" ref="I104">_xlfn.TEXTJOIN(" | ",TRUE(),IF(Events!$A$2:$A$397=$A104,Events!$E$2:$E$397&amp;IF(Events!$G$2:$G$397="National",""," ["&amp;Events!$G$2:$G$397&amp;"]"),""))</f>
        <v/>
      </c>
    </row>
    <row r="105" spans="1:9" ht="15" customHeight="1" x14ac:dyDescent="0.35">
      <c r="A105" s="2">
        <v>45395</v>
      </c>
      <c r="B105" s="3">
        <f t="shared" si="5"/>
        <v>2024</v>
      </c>
      <c r="C105" s="3">
        <f t="shared" si="6"/>
        <v>4</v>
      </c>
      <c r="D105" s="3" t="str">
        <f t="shared" si="7"/>
        <v>Sat</v>
      </c>
      <c r="E105" s="3">
        <f t="shared" si="8"/>
        <v>0</v>
      </c>
      <c r="F105" s="3">
        <f t="shared" si="9"/>
        <v>0</v>
      </c>
      <c r="G105" s="3" t="str">
        <f t="array" ref="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
      </c>
      <c r="H105" s="3">
        <f>COUNTIF(Events!$A$2:$A$397,$A105)</f>
        <v>0</v>
      </c>
      <c r="I105" s="25" t="str">
        <f t="array" ref="I105">_xlfn.TEXTJOIN(" | ",TRUE(),IF(Events!$A$2:$A$397=$A105,Events!$E$2:$E$397&amp;IF(Events!$G$2:$G$397="National",""," ["&amp;Events!$G$2:$G$397&amp;"]"),""))</f>
        <v/>
      </c>
    </row>
    <row r="106" spans="1:9" ht="15" customHeight="1" x14ac:dyDescent="0.35">
      <c r="A106" s="2">
        <v>45396</v>
      </c>
      <c r="B106" s="3">
        <f t="shared" si="5"/>
        <v>2024</v>
      </c>
      <c r="C106" s="3">
        <f t="shared" si="6"/>
        <v>4</v>
      </c>
      <c r="D106" s="3" t="str">
        <f t="shared" si="7"/>
        <v>Sun</v>
      </c>
      <c r="E106" s="3">
        <f t="shared" si="8"/>
        <v>0</v>
      </c>
      <c r="F106" s="3">
        <f t="shared" si="9"/>
        <v>0</v>
      </c>
      <c r="G106" s="3" t="str">
        <f t="array" ref="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 | Disaster SEP opens: Flood [ID] DR-4789</v>
      </c>
      <c r="H106" s="3">
        <f>COUNTIF(Events!$A$2:$A$397,$A106)</f>
        <v>0</v>
      </c>
      <c r="I106" s="25" t="str">
        <f t="array" ref="I106">_xlfn.TEXTJOIN(" | ",TRUE(),IF(Events!$A$2:$A$397=$A106,Events!$E$2:$E$397&amp;IF(Events!$G$2:$G$397="National",""," ["&amp;Events!$G$2:$G$397&amp;"]"),""))</f>
        <v/>
      </c>
    </row>
    <row r="107" spans="1:9" ht="15" customHeight="1" x14ac:dyDescent="0.35">
      <c r="A107" s="2">
        <v>45397</v>
      </c>
      <c r="B107" s="3">
        <f t="shared" si="5"/>
        <v>2024</v>
      </c>
      <c r="C107" s="3">
        <f t="shared" si="6"/>
        <v>4</v>
      </c>
      <c r="D107" s="3" t="str">
        <f t="shared" si="7"/>
        <v>Mon</v>
      </c>
      <c r="E107" s="3">
        <f t="shared" si="8"/>
        <v>0</v>
      </c>
      <c r="F107" s="3">
        <f t="shared" si="9"/>
        <v>0</v>
      </c>
      <c r="G107" s="3" t="str">
        <f t="array" ref="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v>
      </c>
      <c r="H107" s="3">
        <f>COUNTIF(Events!$A$2:$A$397,$A107)</f>
        <v>0</v>
      </c>
      <c r="I107" s="25" t="str">
        <f t="array" ref="I107">_xlfn.TEXTJOIN(" | ",TRUE(),IF(Events!$A$2:$A$397=$A107,Events!$E$2:$E$397&amp;IF(Events!$G$2:$G$397="National",""," ["&amp;Events!$G$2:$G$397&amp;"]"),""))</f>
        <v/>
      </c>
    </row>
    <row r="108" spans="1:9" ht="15" customHeight="1" x14ac:dyDescent="0.35">
      <c r="A108" s="2">
        <v>45398</v>
      </c>
      <c r="B108" s="3">
        <f t="shared" si="5"/>
        <v>2024</v>
      </c>
      <c r="C108" s="3">
        <f t="shared" si="6"/>
        <v>4</v>
      </c>
      <c r="D108" s="3" t="str">
        <f t="shared" si="7"/>
        <v>Tue</v>
      </c>
      <c r="E108" s="3">
        <f t="shared" si="8"/>
        <v>0</v>
      </c>
      <c r="F108" s="3">
        <f t="shared" si="9"/>
        <v>0</v>
      </c>
      <c r="G108" s="3" t="str">
        <f t="array" ref="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
      </c>
      <c r="H108" s="3">
        <f>COUNTIF(Events!$A$2:$A$397,$A108)</f>
        <v>0</v>
      </c>
      <c r="I108" s="25" t="str">
        <f t="array" ref="I108">_xlfn.TEXTJOIN(" | ",TRUE(),IF(Events!$A$2:$A$397=$A108,Events!$E$2:$E$397&amp;IF(Events!$G$2:$G$397="National",""," ["&amp;Events!$G$2:$G$397&amp;"]"),""))</f>
        <v/>
      </c>
    </row>
    <row r="109" spans="1:9" ht="15" customHeight="1" x14ac:dyDescent="0.35">
      <c r="A109" s="2">
        <v>45399</v>
      </c>
      <c r="B109" s="3">
        <f t="shared" si="5"/>
        <v>2024</v>
      </c>
      <c r="C109" s="3">
        <f t="shared" si="6"/>
        <v>4</v>
      </c>
      <c r="D109" s="3" t="str">
        <f t="shared" si="7"/>
        <v>Wed</v>
      </c>
      <c r="E109" s="3">
        <f t="shared" si="8"/>
        <v>0</v>
      </c>
      <c r="F109" s="3">
        <f t="shared" si="9"/>
        <v>0</v>
      </c>
      <c r="G109" s="3" t="str">
        <f t="array" ref="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3">
        <f>COUNTIF(Events!$A$2:$A$397,$A109)</f>
        <v>0</v>
      </c>
      <c r="I109" s="25" t="str">
        <f t="array" ref="I109">_xlfn.TEXTJOIN(" | ",TRUE(),IF(Events!$A$2:$A$397=$A109,Events!$E$2:$E$397&amp;IF(Events!$G$2:$G$397="National",""," ["&amp;Events!$G$2:$G$397&amp;"]"),""))</f>
        <v/>
      </c>
    </row>
    <row r="110" spans="1:9" ht="15" customHeight="1" x14ac:dyDescent="0.35">
      <c r="A110" s="2">
        <v>45400</v>
      </c>
      <c r="B110" s="3">
        <f t="shared" si="5"/>
        <v>2024</v>
      </c>
      <c r="C110" s="3">
        <f t="shared" si="6"/>
        <v>4</v>
      </c>
      <c r="D110" s="3" t="str">
        <f t="shared" si="7"/>
        <v>Thu</v>
      </c>
      <c r="E110" s="3">
        <f t="shared" si="8"/>
        <v>0</v>
      </c>
      <c r="F110" s="3">
        <f t="shared" si="9"/>
        <v>0</v>
      </c>
      <c r="G110" s="3" t="str">
        <f t="array" ref="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3">
        <f>COUNTIF(Events!$A$2:$A$397,$A110)</f>
        <v>0</v>
      </c>
      <c r="I110" s="25" t="str">
        <f t="array" ref="I110">_xlfn.TEXTJOIN(" | ",TRUE(),IF(Events!$A$2:$A$397=$A110,Events!$E$2:$E$397&amp;IF(Events!$G$2:$G$397="National",""," ["&amp;Events!$G$2:$G$397&amp;"]"),""))</f>
        <v/>
      </c>
    </row>
    <row r="111" spans="1:9" ht="15" customHeight="1" x14ac:dyDescent="0.35">
      <c r="A111" s="2">
        <v>45401</v>
      </c>
      <c r="B111" s="3">
        <f t="shared" si="5"/>
        <v>2024</v>
      </c>
      <c r="C111" s="3">
        <f t="shared" si="6"/>
        <v>4</v>
      </c>
      <c r="D111" s="3" t="str">
        <f t="shared" si="7"/>
        <v>Fri</v>
      </c>
      <c r="E111" s="3">
        <f t="shared" si="8"/>
        <v>0</v>
      </c>
      <c r="F111" s="3">
        <f t="shared" si="9"/>
        <v>0</v>
      </c>
      <c r="G111" s="3" t="str">
        <f t="array" ref="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3">
        <f>COUNTIF(Events!$A$2:$A$397,$A111)</f>
        <v>0</v>
      </c>
      <c r="I111" s="25" t="str">
        <f t="array" ref="I111">_xlfn.TEXTJOIN(" | ",TRUE(),IF(Events!$A$2:$A$397=$A111,Events!$E$2:$E$397&amp;IF(Events!$G$2:$G$397="National",""," ["&amp;Events!$G$2:$G$397&amp;"]"),""))</f>
        <v/>
      </c>
    </row>
    <row r="112" spans="1:9" ht="15" customHeight="1" x14ac:dyDescent="0.35">
      <c r="A112" s="2">
        <v>45402</v>
      </c>
      <c r="B112" s="3">
        <f t="shared" si="5"/>
        <v>2024</v>
      </c>
      <c r="C112" s="3">
        <f t="shared" si="6"/>
        <v>4</v>
      </c>
      <c r="D112" s="3" t="str">
        <f t="shared" si="7"/>
        <v>Sat</v>
      </c>
      <c r="E112" s="3">
        <f t="shared" si="8"/>
        <v>0</v>
      </c>
      <c r="F112" s="3">
        <f t="shared" si="9"/>
        <v>0</v>
      </c>
      <c r="G112" s="3" t="str">
        <f t="array" ref="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3">
        <f>COUNTIF(Events!$A$2:$A$397,$A112)</f>
        <v>0</v>
      </c>
      <c r="I112" s="25" t="str">
        <f t="array" ref="I112">_xlfn.TEXTJOIN(" | ",TRUE(),IF(Events!$A$2:$A$397=$A112,Events!$E$2:$E$397&amp;IF(Events!$G$2:$G$397="National",""," ["&amp;Events!$G$2:$G$397&amp;"]"),""))</f>
        <v/>
      </c>
    </row>
    <row r="113" spans="1:9" ht="15" customHeight="1" x14ac:dyDescent="0.35">
      <c r="A113" s="2">
        <v>45403</v>
      </c>
      <c r="B113" s="3">
        <f t="shared" si="5"/>
        <v>2024</v>
      </c>
      <c r="C113" s="3">
        <f t="shared" si="6"/>
        <v>4</v>
      </c>
      <c r="D113" s="3" t="str">
        <f t="shared" si="7"/>
        <v>Sun</v>
      </c>
      <c r="E113" s="3">
        <f t="shared" si="8"/>
        <v>0</v>
      </c>
      <c r="F113" s="3">
        <f t="shared" si="9"/>
        <v>0</v>
      </c>
      <c r="G113" s="3" t="str">
        <f t="array" ref="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3">
        <f>COUNTIF(Events!$A$2:$A$397,$A113)</f>
        <v>0</v>
      </c>
      <c r="I113" s="25" t="str">
        <f t="array" ref="I113">_xlfn.TEXTJOIN(" | ",TRUE(),IF(Events!$A$2:$A$397=$A113,Events!$E$2:$E$397&amp;IF(Events!$G$2:$G$397="National",""," ["&amp;Events!$G$2:$G$397&amp;"]"),""))</f>
        <v/>
      </c>
    </row>
    <row r="114" spans="1:9" ht="15" customHeight="1" x14ac:dyDescent="0.35">
      <c r="A114" s="2">
        <v>45404</v>
      </c>
      <c r="B114" s="3">
        <f t="shared" si="5"/>
        <v>2024</v>
      </c>
      <c r="C114" s="3">
        <f t="shared" si="6"/>
        <v>4</v>
      </c>
      <c r="D114" s="3" t="str">
        <f t="shared" si="7"/>
        <v>Mon</v>
      </c>
      <c r="E114" s="3">
        <f t="shared" si="8"/>
        <v>0</v>
      </c>
      <c r="F114" s="3">
        <f t="shared" si="9"/>
        <v>0</v>
      </c>
      <c r="G114" s="3" t="str">
        <f t="array" ref="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3">
        <f>COUNTIF(Events!$A$2:$A$397,$A114)</f>
        <v>0</v>
      </c>
      <c r="I114" s="25" t="str">
        <f t="array" ref="I114">_xlfn.TEXTJOIN(" | ",TRUE(),IF(Events!$A$2:$A$397=$A114,Events!$E$2:$E$397&amp;IF(Events!$G$2:$G$397="National",""," ["&amp;Events!$G$2:$G$397&amp;"]"),""))</f>
        <v/>
      </c>
    </row>
    <row r="115" spans="1:9" ht="15" customHeight="1" x14ac:dyDescent="0.35">
      <c r="A115" s="2">
        <v>45405</v>
      </c>
      <c r="B115" s="3">
        <f t="shared" si="5"/>
        <v>2024</v>
      </c>
      <c r="C115" s="3">
        <f t="shared" si="6"/>
        <v>4</v>
      </c>
      <c r="D115" s="3" t="str">
        <f t="shared" si="7"/>
        <v>Tue</v>
      </c>
      <c r="E115" s="3">
        <f t="shared" si="8"/>
        <v>0</v>
      </c>
      <c r="F115" s="3">
        <f t="shared" si="9"/>
        <v>0</v>
      </c>
      <c r="G115" s="3" t="str">
        <f t="array" ref="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3">
        <f>COUNTIF(Events!$A$2:$A$397,$A115)</f>
        <v>0</v>
      </c>
      <c r="I115" s="25" t="str">
        <f t="array" ref="I115">_xlfn.TEXTJOIN(" | ",TRUE(),IF(Events!$A$2:$A$397=$A115,Events!$E$2:$E$397&amp;IF(Events!$G$2:$G$397="National",""," ["&amp;Events!$G$2:$G$397&amp;"]"),""))</f>
        <v/>
      </c>
    </row>
    <row r="116" spans="1:9" ht="15" customHeight="1" x14ac:dyDescent="0.35">
      <c r="A116" s="2">
        <v>45406</v>
      </c>
      <c r="B116" s="3">
        <f t="shared" si="5"/>
        <v>2024</v>
      </c>
      <c r="C116" s="3">
        <f t="shared" si="6"/>
        <v>4</v>
      </c>
      <c r="D116" s="3" t="str">
        <f t="shared" si="7"/>
        <v>Wed</v>
      </c>
      <c r="E116" s="3">
        <f t="shared" si="8"/>
        <v>0</v>
      </c>
      <c r="F116" s="3">
        <f t="shared" si="9"/>
        <v>0</v>
      </c>
      <c r="G116" s="3" t="str">
        <f t="array" ref="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3">
        <f>COUNTIF(Events!$A$2:$A$397,$A116)</f>
        <v>0</v>
      </c>
      <c r="I116" s="25" t="str">
        <f t="array" ref="I116">_xlfn.TEXTJOIN(" | ",TRUE(),IF(Events!$A$2:$A$397=$A116,Events!$E$2:$E$397&amp;IF(Events!$G$2:$G$397="National",""," ["&amp;Events!$G$2:$G$397&amp;"]"),""))</f>
        <v/>
      </c>
    </row>
    <row r="117" spans="1:9" ht="15" customHeight="1" x14ac:dyDescent="0.35">
      <c r="A117" s="2">
        <v>45407</v>
      </c>
      <c r="B117" s="3">
        <f t="shared" si="5"/>
        <v>2024</v>
      </c>
      <c r="C117" s="3">
        <f t="shared" si="6"/>
        <v>4</v>
      </c>
      <c r="D117" s="3" t="str">
        <f t="shared" si="7"/>
        <v>Thu</v>
      </c>
      <c r="E117" s="3">
        <f t="shared" si="8"/>
        <v>0</v>
      </c>
      <c r="F117" s="3">
        <f t="shared" si="9"/>
        <v>0</v>
      </c>
      <c r="G117" s="3" t="str">
        <f t="array" ref="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 | Disaster SEP opens: Tornado [OK] DR-4776 | Disaster SEP opens: Tornado [NE] DR-4778 | Disaster SEP opens: Severe Storm [KS] DR-4800</v>
      </c>
      <c r="H117" s="3">
        <f>COUNTIF(Events!$A$2:$A$397,$A117)</f>
        <v>0</v>
      </c>
      <c r="I117" s="25" t="str">
        <f t="array" ref="I117">_xlfn.TEXTJOIN(" | ",TRUE(),IF(Events!$A$2:$A$397=$A117,Events!$E$2:$E$397&amp;IF(Events!$G$2:$G$397="National",""," ["&amp;Events!$G$2:$G$397&amp;"]"),""))</f>
        <v/>
      </c>
    </row>
    <row r="118" spans="1:9" ht="15" customHeight="1" x14ac:dyDescent="0.35">
      <c r="A118" s="2">
        <v>45408</v>
      </c>
      <c r="B118" s="3">
        <f t="shared" si="5"/>
        <v>2024</v>
      </c>
      <c r="C118" s="3">
        <f t="shared" si="6"/>
        <v>4</v>
      </c>
      <c r="D118" s="3" t="str">
        <f t="shared" si="7"/>
        <v>Fri</v>
      </c>
      <c r="E118" s="3">
        <f t="shared" si="8"/>
        <v>0</v>
      </c>
      <c r="F118" s="3">
        <f t="shared" si="9"/>
        <v>0</v>
      </c>
      <c r="G118" s="3" t="str">
        <f t="array" ref="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 | Disaster SEP opens: Tornado [IA] DR-4779 | Disaster SEP opens: Flood [TX] DR-4781</v>
      </c>
      <c r="H118" s="3">
        <f>COUNTIF(Events!$A$2:$A$397,$A118)</f>
        <v>0</v>
      </c>
      <c r="I118" s="25" t="str">
        <f t="array" ref="I118">_xlfn.TEXTJOIN(" | ",TRUE(),IF(Events!$A$2:$A$397=$A118,Events!$E$2:$E$397&amp;IF(Events!$G$2:$G$397="National",""," ["&amp;Events!$G$2:$G$397&amp;"]"),""))</f>
        <v/>
      </c>
    </row>
    <row r="119" spans="1:9" ht="15" customHeight="1" x14ac:dyDescent="0.35">
      <c r="A119" s="2">
        <v>45409</v>
      </c>
      <c r="B119" s="3">
        <f t="shared" si="5"/>
        <v>2024</v>
      </c>
      <c r="C119" s="3">
        <f t="shared" si="6"/>
        <v>4</v>
      </c>
      <c r="D119" s="3" t="str">
        <f t="shared" si="7"/>
        <v>Sat</v>
      </c>
      <c r="E119" s="3">
        <f t="shared" si="8"/>
        <v>0</v>
      </c>
      <c r="F119" s="3">
        <f t="shared" si="9"/>
        <v>0</v>
      </c>
      <c r="G119" s="3" t="str">
        <f t="array" ref="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3">
        <f>COUNTIF(Events!$A$2:$A$397,$A119)</f>
        <v>0</v>
      </c>
      <c r="I119" s="25" t="str">
        <f t="array" ref="I119">_xlfn.TEXTJOIN(" | ",TRUE(),IF(Events!$A$2:$A$397=$A119,Events!$E$2:$E$397&amp;IF(Events!$G$2:$G$397="National",""," ["&amp;Events!$G$2:$G$397&amp;"]"),""))</f>
        <v/>
      </c>
    </row>
    <row r="120" spans="1:9" ht="15" customHeight="1" x14ac:dyDescent="0.35">
      <c r="A120" s="2">
        <v>45410</v>
      </c>
      <c r="B120" s="3">
        <f t="shared" si="5"/>
        <v>2024</v>
      </c>
      <c r="C120" s="3">
        <f t="shared" si="6"/>
        <v>4</v>
      </c>
      <c r="D120" s="3" t="str">
        <f t="shared" si="7"/>
        <v>Sun</v>
      </c>
      <c r="E120" s="3">
        <f t="shared" si="8"/>
        <v>0</v>
      </c>
      <c r="F120" s="3">
        <f t="shared" si="9"/>
        <v>0</v>
      </c>
      <c r="G120" s="3" t="str">
        <f t="array" ref="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
      </c>
      <c r="H120" s="3">
        <f>COUNTIF(Events!$A$2:$A$397,$A120)</f>
        <v>0</v>
      </c>
      <c r="I120" s="25" t="str">
        <f t="array" ref="I120">_xlfn.TEXTJOIN(" | ",TRUE(),IF(Events!$A$2:$A$397=$A120,Events!$E$2:$E$397&amp;IF(Events!$G$2:$G$397="National",""," ["&amp;Events!$G$2:$G$397&amp;"]"),""))</f>
        <v/>
      </c>
    </row>
    <row r="121" spans="1:9" ht="15" customHeight="1" x14ac:dyDescent="0.35">
      <c r="A121" s="2">
        <v>45411</v>
      </c>
      <c r="B121" s="3">
        <f t="shared" si="5"/>
        <v>2024</v>
      </c>
      <c r="C121" s="3">
        <f t="shared" si="6"/>
        <v>4</v>
      </c>
      <c r="D121" s="3" t="str">
        <f t="shared" si="7"/>
        <v>Mon</v>
      </c>
      <c r="E121" s="3">
        <f t="shared" si="8"/>
        <v>0</v>
      </c>
      <c r="F121" s="3">
        <f t="shared" si="9"/>
        <v>0</v>
      </c>
      <c r="G121" s="3" t="str">
        <f t="array" ref="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 | Disaster SEP opens: Flood [PR] DR-4805</v>
      </c>
      <c r="H121" s="3">
        <f>COUNTIF(Events!$A$2:$A$397,$A121)</f>
        <v>0</v>
      </c>
      <c r="I121" s="25" t="str">
        <f t="array" ref="I121">_xlfn.TEXTJOIN(" | ",TRUE(),IF(Events!$A$2:$A$397=$A121,Events!$E$2:$E$397&amp;IF(Events!$G$2:$G$397="National",""," ["&amp;Events!$G$2:$G$397&amp;"]"),""))</f>
        <v/>
      </c>
    </row>
    <row r="122" spans="1:9" ht="15" customHeight="1" x14ac:dyDescent="0.35">
      <c r="A122" s="2">
        <v>45412</v>
      </c>
      <c r="B122" s="3">
        <f t="shared" si="5"/>
        <v>2024</v>
      </c>
      <c r="C122" s="3">
        <f t="shared" si="6"/>
        <v>4</v>
      </c>
      <c r="D122" s="3" t="str">
        <f t="shared" si="7"/>
        <v>Tue</v>
      </c>
      <c r="E122" s="3">
        <f t="shared" si="8"/>
        <v>0</v>
      </c>
      <c r="F122" s="3">
        <f t="shared" si="9"/>
        <v>0</v>
      </c>
      <c r="G122" s="3" t="str">
        <f t="array" ref="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3">
        <f>COUNTIF(Events!$A$2:$A$397,$A122)</f>
        <v>0</v>
      </c>
      <c r="I122" s="25" t="str">
        <f t="array" ref="I122">_xlfn.TEXTJOIN(" | ",TRUE(),IF(Events!$A$2:$A$397=$A122,Events!$E$2:$E$397&amp;IF(Events!$G$2:$G$397="National",""," ["&amp;Events!$G$2:$G$397&amp;"]"),""))</f>
        <v/>
      </c>
    </row>
    <row r="123" spans="1:9" ht="15" customHeight="1" x14ac:dyDescent="0.35">
      <c r="A123" s="2">
        <v>45413</v>
      </c>
      <c r="B123" s="3">
        <f t="shared" si="5"/>
        <v>2024</v>
      </c>
      <c r="C123" s="3">
        <f t="shared" si="6"/>
        <v>5</v>
      </c>
      <c r="D123" s="3" t="str">
        <f t="shared" si="7"/>
        <v>Wed</v>
      </c>
      <c r="E123" s="3">
        <f t="shared" si="8"/>
        <v>0</v>
      </c>
      <c r="F123" s="3">
        <f t="shared" si="9"/>
        <v>0</v>
      </c>
      <c r="G123" s="3" t="str">
        <f t="array" ref="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
      </c>
      <c r="H123" s="3">
        <f>COUNTIF(Events!$A$2:$A$397,$A123)</f>
        <v>0</v>
      </c>
      <c r="I123" s="25" t="str">
        <f t="array" ref="I123">_xlfn.TEXTJOIN(" | ",TRUE(),IF(Events!$A$2:$A$397=$A123,Events!$E$2:$E$397&amp;IF(Events!$G$2:$G$397="National",""," ["&amp;Events!$G$2:$G$397&amp;"]"),""))</f>
        <v/>
      </c>
    </row>
    <row r="124" spans="1:9" ht="15" customHeight="1" x14ac:dyDescent="0.35">
      <c r="A124" s="2">
        <v>45414</v>
      </c>
      <c r="B124" s="3">
        <f t="shared" si="5"/>
        <v>2024</v>
      </c>
      <c r="C124" s="3">
        <f t="shared" si="6"/>
        <v>5</v>
      </c>
      <c r="D124" s="3" t="str">
        <f t="shared" si="7"/>
        <v>Thu</v>
      </c>
      <c r="E124" s="3">
        <f t="shared" si="8"/>
        <v>0</v>
      </c>
      <c r="F124" s="3">
        <f t="shared" si="9"/>
        <v>0</v>
      </c>
      <c r="G124" s="3" t="str">
        <f t="array" ref="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3">
        <f>COUNTIF(Events!$A$2:$A$397,$A124)</f>
        <v>0</v>
      </c>
      <c r="I124" s="25" t="str">
        <f t="array" ref="I124">_xlfn.TEXTJOIN(" | ",TRUE(),IF(Events!$A$2:$A$397=$A124,Events!$E$2:$E$397&amp;IF(Events!$G$2:$G$397="National",""," ["&amp;Events!$G$2:$G$397&amp;"]"),""))</f>
        <v/>
      </c>
    </row>
    <row r="125" spans="1:9" ht="15" customHeight="1" x14ac:dyDescent="0.35">
      <c r="A125" s="2">
        <v>45415</v>
      </c>
      <c r="B125" s="3">
        <f t="shared" si="5"/>
        <v>2024</v>
      </c>
      <c r="C125" s="3">
        <f t="shared" si="6"/>
        <v>5</v>
      </c>
      <c r="D125" s="3" t="str">
        <f t="shared" si="7"/>
        <v>Fri</v>
      </c>
      <c r="E125" s="3">
        <f t="shared" si="8"/>
        <v>0</v>
      </c>
      <c r="F125" s="3">
        <f t="shared" si="9"/>
        <v>0</v>
      </c>
      <c r="G125" s="3" t="str">
        <f t="array" ref="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3">
        <f>COUNTIF(Events!$A$2:$A$397,$A125)</f>
        <v>0</v>
      </c>
      <c r="I125" s="25" t="str">
        <f t="array" ref="I125">_xlfn.TEXTJOIN(" | ",TRUE(),IF(Events!$A$2:$A$397=$A125,Events!$E$2:$E$397&amp;IF(Events!$G$2:$G$397="National",""," ["&amp;Events!$G$2:$G$397&amp;"]"),""))</f>
        <v/>
      </c>
    </row>
    <row r="126" spans="1:9" ht="15" customHeight="1" x14ac:dyDescent="0.35">
      <c r="A126" s="2">
        <v>45416</v>
      </c>
      <c r="B126" s="3">
        <f t="shared" si="5"/>
        <v>2024</v>
      </c>
      <c r="C126" s="3">
        <f t="shared" si="6"/>
        <v>5</v>
      </c>
      <c r="D126" s="3" t="str">
        <f t="shared" si="7"/>
        <v>Sat</v>
      </c>
      <c r="E126" s="3">
        <f t="shared" si="8"/>
        <v>0</v>
      </c>
      <c r="F126" s="3">
        <f t="shared" si="9"/>
        <v>0</v>
      </c>
      <c r="G126" s="3" t="str">
        <f t="array" ref="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
      </c>
      <c r="H126" s="3">
        <f>COUNTIF(Events!$A$2:$A$397,$A126)</f>
        <v>0</v>
      </c>
      <c r="I126" s="25" t="str">
        <f t="array" ref="I126">_xlfn.TEXTJOIN(" | ",TRUE(),IF(Events!$A$2:$A$397=$A126,Events!$E$2:$E$397&amp;IF(Events!$G$2:$G$397="National",""," ["&amp;Events!$G$2:$G$397&amp;"]"),""))</f>
        <v/>
      </c>
    </row>
    <row r="127" spans="1:9" ht="15" customHeight="1" x14ac:dyDescent="0.35">
      <c r="A127" s="2">
        <v>45417</v>
      </c>
      <c r="B127" s="3">
        <f t="shared" si="5"/>
        <v>2024</v>
      </c>
      <c r="C127" s="3">
        <f t="shared" si="6"/>
        <v>5</v>
      </c>
      <c r="D127" s="3" t="str">
        <f t="shared" si="7"/>
        <v>Sun</v>
      </c>
      <c r="E127" s="3">
        <f t="shared" si="8"/>
        <v>0</v>
      </c>
      <c r="F127" s="3">
        <f t="shared" si="9"/>
        <v>0</v>
      </c>
      <c r="G127" s="3" t="str">
        <f t="array" ref="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3">
        <f>COUNTIF(Events!$A$2:$A$397,$A127)</f>
        <v>0</v>
      </c>
      <c r="I127" s="25" t="str">
        <f t="array" ref="I127">_xlfn.TEXTJOIN(" | ",TRUE(),IF(Events!$A$2:$A$397=$A127,Events!$E$2:$E$397&amp;IF(Events!$G$2:$G$397="National",""," ["&amp;Events!$G$2:$G$397&amp;"]"),""))</f>
        <v/>
      </c>
    </row>
    <row r="128" spans="1:9" ht="15" customHeight="1" x14ac:dyDescent="0.35">
      <c r="A128" s="2">
        <v>45418</v>
      </c>
      <c r="B128" s="3">
        <f t="shared" si="5"/>
        <v>2024</v>
      </c>
      <c r="C128" s="3">
        <f t="shared" si="6"/>
        <v>5</v>
      </c>
      <c r="D128" s="3" t="str">
        <f t="shared" si="7"/>
        <v>Mon</v>
      </c>
      <c r="E128" s="3">
        <f t="shared" si="8"/>
        <v>0</v>
      </c>
      <c r="F128" s="3">
        <f t="shared" si="9"/>
        <v>0</v>
      </c>
      <c r="G128" s="3" t="str">
        <f t="array" ref="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 | Disaster SEP opens: Severe Storm [MT] DR-4801</v>
      </c>
      <c r="H128" s="3">
        <f>COUNTIF(Events!$A$2:$A$397,$A128)</f>
        <v>0</v>
      </c>
      <c r="I128" s="25" t="str">
        <f t="array" ref="I128">_xlfn.TEXTJOIN(" | ",TRUE(),IF(Events!$A$2:$A$397=$A128,Events!$E$2:$E$397&amp;IF(Events!$G$2:$G$397="National",""," ["&amp;Events!$G$2:$G$397&amp;"]"),""))</f>
        <v/>
      </c>
    </row>
    <row r="129" spans="1:9" ht="15" customHeight="1" x14ac:dyDescent="0.35">
      <c r="A129" s="2">
        <v>45419</v>
      </c>
      <c r="B129" s="3">
        <f t="shared" si="5"/>
        <v>2024</v>
      </c>
      <c r="C129" s="3">
        <f t="shared" si="6"/>
        <v>5</v>
      </c>
      <c r="D129" s="3" t="str">
        <f t="shared" si="7"/>
        <v>Tue</v>
      </c>
      <c r="E129" s="3">
        <f t="shared" si="8"/>
        <v>0</v>
      </c>
      <c r="F129" s="3">
        <f t="shared" si="9"/>
        <v>0</v>
      </c>
      <c r="G129" s="3" t="str">
        <f t="array" ref="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3">
        <f>COUNTIF(Events!$A$2:$A$397,$A129)</f>
        <v>0</v>
      </c>
      <c r="I129" s="25" t="str">
        <f t="array" ref="I129">_xlfn.TEXTJOIN(" | ",TRUE(),IF(Events!$A$2:$A$397=$A129,Events!$E$2:$E$397&amp;IF(Events!$G$2:$G$397="National",""," ["&amp;Events!$G$2:$G$397&amp;"]"),""))</f>
        <v/>
      </c>
    </row>
    <row r="130" spans="1:9" ht="15" customHeight="1" x14ac:dyDescent="0.35">
      <c r="A130" s="2">
        <v>45420</v>
      </c>
      <c r="B130" s="3">
        <f t="shared" ref="B130:B193" si="10">YEAR($A130)</f>
        <v>2024</v>
      </c>
      <c r="C130" s="3">
        <f t="shared" ref="C130:C193" si="11">MONTH($A130)</f>
        <v>5</v>
      </c>
      <c r="D130" s="3" t="str">
        <f t="shared" ref="D130:D193" si="12">TEXT($A130,"ddd")</f>
        <v>Wed</v>
      </c>
      <c r="E130" s="3">
        <f t="shared" ref="E130:E193" si="13">IF(OR(AND(MONTH($A130)=10,DAY($A130)&gt;=15),MONTH($A130)=11,AND(MONTH($A130)=12,DAY($A130)&lt;=7)),1,0)</f>
        <v>0</v>
      </c>
      <c r="F130" s="3">
        <f t="shared" ref="F130:F193" si="14">IF(MONTH($A130)&lt;=3,1,0)</f>
        <v>0</v>
      </c>
      <c r="G130" s="3" t="str">
        <f t="array" ref="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 | Disaster SEP opens: Severe Storm [TN] DR-4792</v>
      </c>
      <c r="H130" s="3">
        <f>COUNTIF(Events!$A$2:$A$397,$A130)</f>
        <v>0</v>
      </c>
      <c r="I130" s="25" t="str">
        <f t="array" ref="I130">_xlfn.TEXTJOIN(" | ",TRUE(),IF(Events!$A$2:$A$397=$A130,Events!$E$2:$E$397&amp;IF(Events!$G$2:$G$397="National",""," ["&amp;Events!$G$2:$G$397&amp;"]"),""))</f>
        <v/>
      </c>
    </row>
    <row r="131" spans="1:9" ht="15" customHeight="1" x14ac:dyDescent="0.35">
      <c r="A131" s="2">
        <v>45421</v>
      </c>
      <c r="B131" s="3">
        <f t="shared" si="10"/>
        <v>2024</v>
      </c>
      <c r="C131" s="3">
        <f t="shared" si="11"/>
        <v>5</v>
      </c>
      <c r="D131" s="3" t="str">
        <f t="shared" si="12"/>
        <v>Thu</v>
      </c>
      <c r="E131" s="3">
        <f t="shared" si="13"/>
        <v>0</v>
      </c>
      <c r="F131" s="3">
        <f t="shared" si="14"/>
        <v>0</v>
      </c>
      <c r="G131" s="3" t="str">
        <f t="array" ref="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3">
        <f>COUNTIF(Events!$A$2:$A$397,$A131)</f>
        <v>0</v>
      </c>
      <c r="I131" s="25" t="str">
        <f t="array" ref="I131">_xlfn.TEXTJOIN(" | ",TRUE(),IF(Events!$A$2:$A$397=$A131,Events!$E$2:$E$397&amp;IF(Events!$G$2:$G$397="National",""," ["&amp;Events!$G$2:$G$397&amp;"]"),""))</f>
        <v/>
      </c>
    </row>
    <row r="132" spans="1:9" ht="15" customHeight="1" x14ac:dyDescent="0.35">
      <c r="A132" s="2">
        <v>45422</v>
      </c>
      <c r="B132" s="3">
        <f t="shared" si="10"/>
        <v>2024</v>
      </c>
      <c r="C132" s="3">
        <f t="shared" si="11"/>
        <v>5</v>
      </c>
      <c r="D132" s="3" t="str">
        <f t="shared" si="12"/>
        <v>Fri</v>
      </c>
      <c r="E132" s="3">
        <f t="shared" si="13"/>
        <v>0</v>
      </c>
      <c r="F132" s="3">
        <f t="shared" si="14"/>
        <v>0</v>
      </c>
      <c r="G132" s="3" t="str">
        <f t="array" ref="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Severe Storm [FL] DR-4794</v>
      </c>
      <c r="H132" s="3">
        <f>COUNTIF(Events!$A$2:$A$397,$A132)</f>
        <v>0</v>
      </c>
      <c r="I132" s="25" t="str">
        <f t="array" ref="I132">_xlfn.TEXTJOIN(" | ",TRUE(),IF(Events!$A$2:$A$397=$A132,Events!$E$2:$E$397&amp;IF(Events!$G$2:$G$397="National",""," ["&amp;Events!$G$2:$G$397&amp;"]"),""))</f>
        <v/>
      </c>
    </row>
    <row r="133" spans="1:9" ht="15" customHeight="1" x14ac:dyDescent="0.35">
      <c r="A133" s="2">
        <v>45423</v>
      </c>
      <c r="B133" s="3">
        <f t="shared" si="10"/>
        <v>2024</v>
      </c>
      <c r="C133" s="3">
        <f t="shared" si="11"/>
        <v>5</v>
      </c>
      <c r="D133" s="3" t="str">
        <f t="shared" si="12"/>
        <v>Sat</v>
      </c>
      <c r="E133" s="3">
        <f t="shared" si="13"/>
        <v>0</v>
      </c>
      <c r="F133" s="3">
        <f t="shared" si="14"/>
        <v>0</v>
      </c>
      <c r="G133" s="3" t="str">
        <f t="array" ref="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
      </c>
      <c r="H133" s="3">
        <f>COUNTIF(Events!$A$2:$A$397,$A133)</f>
        <v>0</v>
      </c>
      <c r="I133" s="25" t="str">
        <f t="array" ref="I133">_xlfn.TEXTJOIN(" | ",TRUE(),IF(Events!$A$2:$A$397=$A133,Events!$E$2:$E$397&amp;IF(Events!$G$2:$G$397="National",""," ["&amp;Events!$G$2:$G$397&amp;"]"),""))</f>
        <v/>
      </c>
    </row>
    <row r="134" spans="1:9" ht="15" customHeight="1" x14ac:dyDescent="0.35">
      <c r="A134" s="2">
        <v>45424</v>
      </c>
      <c r="B134" s="3">
        <f t="shared" si="10"/>
        <v>2024</v>
      </c>
      <c r="C134" s="3">
        <f t="shared" si="11"/>
        <v>5</v>
      </c>
      <c r="D134" s="3" t="str">
        <f t="shared" si="12"/>
        <v>Sun</v>
      </c>
      <c r="E134" s="3">
        <f t="shared" si="13"/>
        <v>0</v>
      </c>
      <c r="F134" s="3">
        <f t="shared" si="14"/>
        <v>0</v>
      </c>
      <c r="G134" s="3" t="str">
        <f t="array" ref="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3">
        <f>COUNTIF(Events!$A$2:$A$397,$A134)</f>
        <v>0</v>
      </c>
      <c r="I134" s="25" t="str">
        <f t="array" ref="I134">_xlfn.TEXTJOIN(" | ",TRUE(),IF(Events!$A$2:$A$397=$A134,Events!$E$2:$E$397&amp;IF(Events!$G$2:$G$397="National",""," ["&amp;Events!$G$2:$G$397&amp;"]"),""))</f>
        <v/>
      </c>
    </row>
    <row r="135" spans="1:9" ht="15" customHeight="1" x14ac:dyDescent="0.35">
      <c r="A135" s="2">
        <v>45425</v>
      </c>
      <c r="B135" s="3">
        <f t="shared" si="10"/>
        <v>2024</v>
      </c>
      <c r="C135" s="3">
        <f t="shared" si="11"/>
        <v>5</v>
      </c>
      <c r="D135" s="3" t="str">
        <f t="shared" si="12"/>
        <v>Mon</v>
      </c>
      <c r="E135" s="3">
        <f t="shared" si="13"/>
        <v>0</v>
      </c>
      <c r="F135" s="3">
        <f t="shared" si="14"/>
        <v>0</v>
      </c>
      <c r="G135" s="3" t="str">
        <f t="array" ref="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3">
        <f>COUNTIF(Events!$A$2:$A$397,$A135)</f>
        <v>0</v>
      </c>
      <c r="I135" s="25" t="str">
        <f t="array" ref="I135">_xlfn.TEXTJOIN(" | ",TRUE(),IF(Events!$A$2:$A$397=$A135,Events!$E$2:$E$397&amp;IF(Events!$G$2:$G$397="National",""," ["&amp;Events!$G$2:$G$397&amp;"]"),""))</f>
        <v/>
      </c>
    </row>
    <row r="136" spans="1:9" ht="15" customHeight="1" x14ac:dyDescent="0.35">
      <c r="A136" s="2">
        <v>45426</v>
      </c>
      <c r="B136" s="3">
        <f t="shared" si="10"/>
        <v>2024</v>
      </c>
      <c r="C136" s="3">
        <f t="shared" si="11"/>
        <v>5</v>
      </c>
      <c r="D136" s="3" t="str">
        <f t="shared" si="12"/>
        <v>Tue</v>
      </c>
      <c r="E136" s="3">
        <f t="shared" si="13"/>
        <v>0</v>
      </c>
      <c r="F136" s="3">
        <f t="shared" si="14"/>
        <v>0</v>
      </c>
      <c r="G136" s="3" t="str">
        <f t="array" ref="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
      </c>
      <c r="H136" s="3">
        <f>COUNTIF(Events!$A$2:$A$397,$A136)</f>
        <v>0</v>
      </c>
      <c r="I136" s="25" t="str">
        <f t="array" ref="I136">_xlfn.TEXTJOIN(" | ",TRUE(),IF(Events!$A$2:$A$397=$A136,Events!$E$2:$E$397&amp;IF(Events!$G$2:$G$397="National",""," ["&amp;Events!$G$2:$G$397&amp;"]"),""))</f>
        <v/>
      </c>
    </row>
    <row r="137" spans="1:9" ht="15" customHeight="1" x14ac:dyDescent="0.35">
      <c r="A137" s="2">
        <v>45427</v>
      </c>
      <c r="B137" s="3">
        <f t="shared" si="10"/>
        <v>2024</v>
      </c>
      <c r="C137" s="3">
        <f t="shared" si="11"/>
        <v>5</v>
      </c>
      <c r="D137" s="3" t="str">
        <f t="shared" si="12"/>
        <v>Wed</v>
      </c>
      <c r="E137" s="3">
        <f t="shared" si="13"/>
        <v>0</v>
      </c>
      <c r="F137" s="3">
        <f t="shared" si="14"/>
        <v>0</v>
      </c>
      <c r="G137" s="3" t="str">
        <f t="array" ref="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
      </c>
      <c r="H137" s="3">
        <f>COUNTIF(Events!$A$2:$A$397,$A137)</f>
        <v>0</v>
      </c>
      <c r="I137" s="25" t="str">
        <f t="array" ref="I137">_xlfn.TEXTJOIN(" | ",TRUE(),IF(Events!$A$2:$A$397=$A137,Events!$E$2:$E$397&amp;IF(Events!$G$2:$G$397="National",""," ["&amp;Events!$G$2:$G$397&amp;"]"),""))</f>
        <v/>
      </c>
    </row>
    <row r="138" spans="1:9" ht="15" customHeight="1" x14ac:dyDescent="0.35">
      <c r="A138" s="2">
        <v>45428</v>
      </c>
      <c r="B138" s="3">
        <f t="shared" si="10"/>
        <v>2024</v>
      </c>
      <c r="C138" s="3">
        <f t="shared" si="11"/>
        <v>5</v>
      </c>
      <c r="D138" s="3" t="str">
        <f t="shared" si="12"/>
        <v>Thu</v>
      </c>
      <c r="E138" s="3">
        <f t="shared" si="13"/>
        <v>0</v>
      </c>
      <c r="F138" s="3">
        <f t="shared" si="14"/>
        <v>0</v>
      </c>
      <c r="G138" s="3" t="str">
        <f t="array" ref="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v>
      </c>
      <c r="H138" s="3">
        <f>COUNTIF(Events!$A$2:$A$397,$A138)</f>
        <v>0</v>
      </c>
      <c r="I138" s="25" t="str">
        <f t="array" ref="I138">_xlfn.TEXTJOIN(" | ",TRUE(),IF(Events!$A$2:$A$397=$A138,Events!$E$2:$E$397&amp;IF(Events!$G$2:$G$397="National",""," ["&amp;Events!$G$2:$G$397&amp;"]"),""))</f>
        <v/>
      </c>
    </row>
    <row r="139" spans="1:9" ht="15" customHeight="1" x14ac:dyDescent="0.35">
      <c r="A139" s="2">
        <v>45429</v>
      </c>
      <c r="B139" s="3">
        <f t="shared" si="10"/>
        <v>2024</v>
      </c>
      <c r="C139" s="3">
        <f t="shared" si="11"/>
        <v>5</v>
      </c>
      <c r="D139" s="3" t="str">
        <f t="shared" si="12"/>
        <v>Fri</v>
      </c>
      <c r="E139" s="3">
        <f t="shared" si="13"/>
        <v>0</v>
      </c>
      <c r="F139" s="3">
        <f t="shared" si="14"/>
        <v>0</v>
      </c>
      <c r="G139" s="3" t="str">
        <f t="array" ref="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3">
        <f>COUNTIF(Events!$A$2:$A$397,$A139)</f>
        <v>0</v>
      </c>
      <c r="I139" s="25" t="str">
        <f t="array" ref="I139">_xlfn.TEXTJOIN(" | ",TRUE(),IF(Events!$A$2:$A$397=$A139,Events!$E$2:$E$397&amp;IF(Events!$G$2:$G$397="National",""," ["&amp;Events!$G$2:$G$397&amp;"]"),""))</f>
        <v/>
      </c>
    </row>
    <row r="140" spans="1:9" ht="15" customHeight="1" x14ac:dyDescent="0.35">
      <c r="A140" s="2">
        <v>45430</v>
      </c>
      <c r="B140" s="3">
        <f t="shared" si="10"/>
        <v>2024</v>
      </c>
      <c r="C140" s="3">
        <f t="shared" si="11"/>
        <v>5</v>
      </c>
      <c r="D140" s="3" t="str">
        <f t="shared" si="12"/>
        <v>Sat</v>
      </c>
      <c r="E140" s="3">
        <f t="shared" si="13"/>
        <v>0</v>
      </c>
      <c r="F140" s="3">
        <f t="shared" si="14"/>
        <v>0</v>
      </c>
      <c r="G140" s="3" t="str">
        <f t="array" ref="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3">
        <f>COUNTIF(Events!$A$2:$A$397,$A140)</f>
        <v>0</v>
      </c>
      <c r="I140" s="25" t="str">
        <f t="array" ref="I140">_xlfn.TEXTJOIN(" | ",TRUE(),IF(Events!$A$2:$A$397=$A140,Events!$E$2:$E$397&amp;IF(Events!$G$2:$G$397="National",""," ["&amp;Events!$G$2:$G$397&amp;"]"),""))</f>
        <v/>
      </c>
    </row>
    <row r="141" spans="1:9" ht="15" customHeight="1" x14ac:dyDescent="0.35">
      <c r="A141" s="2">
        <v>45431</v>
      </c>
      <c r="B141" s="3">
        <f t="shared" si="10"/>
        <v>2024</v>
      </c>
      <c r="C141" s="3">
        <f t="shared" si="11"/>
        <v>5</v>
      </c>
      <c r="D141" s="3" t="str">
        <f t="shared" si="12"/>
        <v>Sun</v>
      </c>
      <c r="E141" s="3">
        <f t="shared" si="13"/>
        <v>0</v>
      </c>
      <c r="F141" s="3">
        <f t="shared" si="14"/>
        <v>0</v>
      </c>
      <c r="G141" s="3" t="str">
        <f t="array" ref="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3">
        <f>COUNTIF(Events!$A$2:$A$397,$A141)</f>
        <v>0</v>
      </c>
      <c r="I141" s="25" t="str">
        <f t="array" ref="I141">_xlfn.TEXTJOIN(" | ",TRUE(),IF(Events!$A$2:$A$397=$A141,Events!$E$2:$E$397&amp;IF(Events!$G$2:$G$397="National",""," ["&amp;Events!$G$2:$G$397&amp;"]"),""))</f>
        <v/>
      </c>
    </row>
    <row r="142" spans="1:9" ht="15" customHeight="1" x14ac:dyDescent="0.35">
      <c r="A142" s="2">
        <v>45432</v>
      </c>
      <c r="B142" s="3">
        <f t="shared" si="10"/>
        <v>2024</v>
      </c>
      <c r="C142" s="3">
        <f t="shared" si="11"/>
        <v>5</v>
      </c>
      <c r="D142" s="3" t="str">
        <f t="shared" si="12"/>
        <v>Mon</v>
      </c>
      <c r="E142" s="3">
        <f t="shared" si="13"/>
        <v>0</v>
      </c>
      <c r="F142" s="3">
        <f t="shared" si="14"/>
        <v>0</v>
      </c>
      <c r="G142" s="3" t="str">
        <f t="array" ref="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v>
      </c>
      <c r="H142" s="3">
        <f>COUNTIF(Events!$A$2:$A$397,$A142)</f>
        <v>0</v>
      </c>
      <c r="I142" s="25" t="str">
        <f t="array" ref="I142">_xlfn.TEXTJOIN(" | ",TRUE(),IF(Events!$A$2:$A$397=$A142,Events!$E$2:$E$397&amp;IF(Events!$G$2:$G$397="National",""," ["&amp;Events!$G$2:$G$397&amp;"]"),""))</f>
        <v/>
      </c>
    </row>
    <row r="143" spans="1:9" ht="15" customHeight="1" x14ac:dyDescent="0.35">
      <c r="A143" s="2">
        <v>45433</v>
      </c>
      <c r="B143" s="3">
        <f t="shared" si="10"/>
        <v>2024</v>
      </c>
      <c r="C143" s="3">
        <f t="shared" si="11"/>
        <v>5</v>
      </c>
      <c r="D143" s="3" t="str">
        <f t="shared" si="12"/>
        <v>Tue</v>
      </c>
      <c r="E143" s="3">
        <f t="shared" si="13"/>
        <v>0</v>
      </c>
      <c r="F143" s="3">
        <f t="shared" si="14"/>
        <v>0</v>
      </c>
      <c r="G143" s="3" t="str">
        <f t="array" ref="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3">
        <f>COUNTIF(Events!$A$2:$A$397,$A143)</f>
        <v>0</v>
      </c>
      <c r="I143" s="25" t="str">
        <f t="array" ref="I143">_xlfn.TEXTJOIN(" | ",TRUE(),IF(Events!$A$2:$A$397=$A143,Events!$E$2:$E$397&amp;IF(Events!$G$2:$G$397="National",""," ["&amp;Events!$G$2:$G$397&amp;"]"),""))</f>
        <v/>
      </c>
    </row>
    <row r="144" spans="1:9" ht="15" customHeight="1" x14ac:dyDescent="0.35">
      <c r="A144" s="2">
        <v>45434</v>
      </c>
      <c r="B144" s="3">
        <f t="shared" si="10"/>
        <v>2024</v>
      </c>
      <c r="C144" s="3">
        <f t="shared" si="11"/>
        <v>5</v>
      </c>
      <c r="D144" s="3" t="str">
        <f t="shared" si="12"/>
        <v>Wed</v>
      </c>
      <c r="E144" s="3">
        <f t="shared" si="13"/>
        <v>0</v>
      </c>
      <c r="F144" s="3">
        <f t="shared" si="14"/>
        <v>0</v>
      </c>
      <c r="G144" s="3" t="str">
        <f t="array" ref="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3">
        <f>COUNTIF(Events!$A$2:$A$397,$A144)</f>
        <v>0</v>
      </c>
      <c r="I144" s="25" t="str">
        <f t="array" ref="I144">_xlfn.TEXTJOIN(" | ",TRUE(),IF(Events!$A$2:$A$397=$A144,Events!$E$2:$E$397&amp;IF(Events!$G$2:$G$397="National",""," ["&amp;Events!$G$2:$G$397&amp;"]"),""))</f>
        <v/>
      </c>
    </row>
    <row r="145" spans="1:9" ht="15" customHeight="1" x14ac:dyDescent="0.35">
      <c r="A145" s="2">
        <v>45435</v>
      </c>
      <c r="B145" s="3">
        <f t="shared" si="10"/>
        <v>2024</v>
      </c>
      <c r="C145" s="3">
        <f t="shared" si="11"/>
        <v>5</v>
      </c>
      <c r="D145" s="3" t="str">
        <f t="shared" si="12"/>
        <v>Thu</v>
      </c>
      <c r="E145" s="3">
        <f t="shared" si="13"/>
        <v>0</v>
      </c>
      <c r="F145" s="3">
        <f t="shared" si="14"/>
        <v>0</v>
      </c>
      <c r="G145" s="3" t="str">
        <f t="array" ref="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3">
        <f>COUNTIF(Events!$A$2:$A$397,$A145)</f>
        <v>0</v>
      </c>
      <c r="I145" s="25" t="str">
        <f t="array" ref="I145">_xlfn.TEXTJOIN(" | ",TRUE(),IF(Events!$A$2:$A$397=$A145,Events!$E$2:$E$397&amp;IF(Events!$G$2:$G$397="National",""," ["&amp;Events!$G$2:$G$397&amp;"]"),""))</f>
        <v/>
      </c>
    </row>
    <row r="146" spans="1:9" ht="15" customHeight="1" x14ac:dyDescent="0.35">
      <c r="A146" s="2">
        <v>45436</v>
      </c>
      <c r="B146" s="3">
        <f t="shared" si="10"/>
        <v>2024</v>
      </c>
      <c r="C146" s="3">
        <f t="shared" si="11"/>
        <v>5</v>
      </c>
      <c r="D146" s="3" t="str">
        <f t="shared" si="12"/>
        <v>Fri</v>
      </c>
      <c r="E146" s="3">
        <f t="shared" si="13"/>
        <v>0</v>
      </c>
      <c r="F146" s="3">
        <f t="shared" si="14"/>
        <v>0</v>
      </c>
      <c r="G146" s="3" t="str">
        <f t="array" ref="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3">
        <f>COUNTIF(Events!$A$2:$A$397,$A146)</f>
        <v>0</v>
      </c>
      <c r="I146" s="25" t="str">
        <f t="array" ref="I146">_xlfn.TEXTJOIN(" | ",TRUE(),IF(Events!$A$2:$A$397=$A146,Events!$E$2:$E$397&amp;IF(Events!$G$2:$G$397="National",""," ["&amp;Events!$G$2:$G$397&amp;"]"),""))</f>
        <v/>
      </c>
    </row>
    <row r="147" spans="1:9" ht="15" customHeight="1" x14ac:dyDescent="0.35">
      <c r="A147" s="2">
        <v>45437</v>
      </c>
      <c r="B147" s="3">
        <f t="shared" si="10"/>
        <v>2024</v>
      </c>
      <c r="C147" s="3">
        <f t="shared" si="11"/>
        <v>5</v>
      </c>
      <c r="D147" s="3" t="str">
        <f t="shared" si="12"/>
        <v>Sat</v>
      </c>
      <c r="E147" s="3">
        <f t="shared" si="13"/>
        <v>0</v>
      </c>
      <c r="F147" s="3">
        <f t="shared" si="14"/>
        <v>0</v>
      </c>
      <c r="G147" s="3" t="str">
        <f t="array" ref="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3">
        <f>COUNTIF(Events!$A$2:$A$397,$A147)</f>
        <v>0</v>
      </c>
      <c r="I147" s="25" t="str">
        <f t="array" ref="I147">_xlfn.TEXTJOIN(" | ",TRUE(),IF(Events!$A$2:$A$397=$A147,Events!$E$2:$E$397&amp;IF(Events!$G$2:$G$397="National",""," ["&amp;Events!$G$2:$G$397&amp;"]"),""))</f>
        <v/>
      </c>
    </row>
    <row r="148" spans="1:9" ht="15" customHeight="1" x14ac:dyDescent="0.35">
      <c r="A148" s="2">
        <v>45438</v>
      </c>
      <c r="B148" s="3">
        <f t="shared" si="10"/>
        <v>2024</v>
      </c>
      <c r="C148" s="3">
        <f t="shared" si="11"/>
        <v>5</v>
      </c>
      <c r="D148" s="3" t="str">
        <f t="shared" si="12"/>
        <v>Sun</v>
      </c>
      <c r="E148" s="3">
        <f t="shared" si="13"/>
        <v>0</v>
      </c>
      <c r="F148" s="3">
        <f t="shared" si="14"/>
        <v>0</v>
      </c>
      <c r="G148" s="3" t="str">
        <f t="array" ref="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3">
        <f>COUNTIF(Events!$A$2:$A$397,$A148)</f>
        <v>0</v>
      </c>
      <c r="I148" s="25" t="str">
        <f t="array" ref="I148">_xlfn.TEXTJOIN(" | ",TRUE(),IF(Events!$A$2:$A$397=$A148,Events!$E$2:$E$397&amp;IF(Events!$G$2:$G$397="National",""," ["&amp;Events!$G$2:$G$397&amp;"]"),""))</f>
        <v/>
      </c>
    </row>
    <row r="149" spans="1:9" ht="15" customHeight="1" x14ac:dyDescent="0.35">
      <c r="A149" s="2">
        <v>45439</v>
      </c>
      <c r="B149" s="3">
        <f t="shared" si="10"/>
        <v>2024</v>
      </c>
      <c r="C149" s="3">
        <f t="shared" si="11"/>
        <v>5</v>
      </c>
      <c r="D149" s="3" t="str">
        <f t="shared" si="12"/>
        <v>Mon</v>
      </c>
      <c r="E149" s="3">
        <f t="shared" si="13"/>
        <v>0</v>
      </c>
      <c r="F149" s="3">
        <f t="shared" si="14"/>
        <v>0</v>
      </c>
      <c r="G149" s="3" t="str">
        <f t="array" ref="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3">
        <f>COUNTIF(Events!$A$2:$A$397,$A149)</f>
        <v>0</v>
      </c>
      <c r="I149" s="25" t="str">
        <f t="array" ref="I149">_xlfn.TEXTJOIN(" | ",TRUE(),IF(Events!$A$2:$A$397=$A149,Events!$E$2:$E$397&amp;IF(Events!$G$2:$G$397="National",""," ["&amp;Events!$G$2:$G$397&amp;"]"),""))</f>
        <v/>
      </c>
    </row>
    <row r="150" spans="1:9" ht="15" customHeight="1" x14ac:dyDescent="0.35">
      <c r="A150" s="2">
        <v>45440</v>
      </c>
      <c r="B150" s="3">
        <f t="shared" si="10"/>
        <v>2024</v>
      </c>
      <c r="C150" s="3">
        <f t="shared" si="11"/>
        <v>5</v>
      </c>
      <c r="D150" s="3" t="str">
        <f t="shared" si="12"/>
        <v>Tue</v>
      </c>
      <c r="E150" s="3">
        <f t="shared" si="13"/>
        <v>0</v>
      </c>
      <c r="F150" s="3">
        <f t="shared" si="14"/>
        <v>0</v>
      </c>
      <c r="G150" s="3" t="str">
        <f t="array" ref="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3">
        <f>COUNTIF(Events!$A$2:$A$397,$A150)</f>
        <v>0</v>
      </c>
      <c r="I150" s="25" t="str">
        <f t="array" ref="I150">_xlfn.TEXTJOIN(" | ",TRUE(),IF(Events!$A$2:$A$397=$A150,Events!$E$2:$E$397&amp;IF(Events!$G$2:$G$397="National",""," ["&amp;Events!$G$2:$G$397&amp;"]"),""))</f>
        <v/>
      </c>
    </row>
    <row r="151" spans="1:9" ht="15" customHeight="1" x14ac:dyDescent="0.35">
      <c r="A151" s="2">
        <v>45441</v>
      </c>
      <c r="B151" s="3">
        <f t="shared" si="10"/>
        <v>2024</v>
      </c>
      <c r="C151" s="3">
        <f t="shared" si="11"/>
        <v>5</v>
      </c>
      <c r="D151" s="3" t="str">
        <f t="shared" si="12"/>
        <v>Wed</v>
      </c>
      <c r="E151" s="3">
        <f t="shared" si="13"/>
        <v>0</v>
      </c>
      <c r="F151" s="3">
        <f t="shared" si="14"/>
        <v>0</v>
      </c>
      <c r="G151" s="3" t="str">
        <f t="array" ref="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3">
        <f>COUNTIF(Events!$A$2:$A$397,$A151)</f>
        <v>0</v>
      </c>
      <c r="I151" s="25" t="str">
        <f t="array" ref="I151">_xlfn.TEXTJOIN(" | ",TRUE(),IF(Events!$A$2:$A$397=$A151,Events!$E$2:$E$397&amp;IF(Events!$G$2:$G$397="National",""," ["&amp;Events!$G$2:$G$397&amp;"]"),""))</f>
        <v/>
      </c>
    </row>
    <row r="152" spans="1:9" ht="15" customHeight="1" x14ac:dyDescent="0.35">
      <c r="A152" s="2">
        <v>45442</v>
      </c>
      <c r="B152" s="3">
        <f t="shared" si="10"/>
        <v>2024</v>
      </c>
      <c r="C152" s="3">
        <f t="shared" si="11"/>
        <v>5</v>
      </c>
      <c r="D152" s="3" t="str">
        <f t="shared" si="12"/>
        <v>Thu</v>
      </c>
      <c r="E152" s="3">
        <f t="shared" si="13"/>
        <v>0</v>
      </c>
      <c r="F152" s="3">
        <f t="shared" si="14"/>
        <v>0</v>
      </c>
      <c r="G152" s="3" t="str">
        <f t="array" ref="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3">
        <f>COUNTIF(Events!$A$2:$A$397,$A152)</f>
        <v>0</v>
      </c>
      <c r="I152" s="25" t="str">
        <f t="array" ref="I152">_xlfn.TEXTJOIN(" | ",TRUE(),IF(Events!$A$2:$A$397=$A152,Events!$E$2:$E$397&amp;IF(Events!$G$2:$G$397="National",""," ["&amp;Events!$G$2:$G$397&amp;"]"),""))</f>
        <v/>
      </c>
    </row>
    <row r="153" spans="1:9" ht="15" customHeight="1" x14ac:dyDescent="0.35">
      <c r="A153" s="2">
        <v>45443</v>
      </c>
      <c r="B153" s="3">
        <f t="shared" si="10"/>
        <v>2024</v>
      </c>
      <c r="C153" s="3">
        <f t="shared" si="11"/>
        <v>5</v>
      </c>
      <c r="D153" s="3" t="str">
        <f t="shared" si="12"/>
        <v>Fri</v>
      </c>
      <c r="E153" s="3">
        <f t="shared" si="13"/>
        <v>0</v>
      </c>
      <c r="F153" s="3">
        <f t="shared" si="14"/>
        <v>0</v>
      </c>
      <c r="G153" s="3" t="str">
        <f t="array" ref="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 | Disaster SEP ended: Tornado [OH] DR-4777 | Disaster SEP ended: Severe Storm [OK] DR-4802</v>
      </c>
      <c r="H153" s="3">
        <f>COUNTIF(Events!$A$2:$A$397,$A153)</f>
        <v>0</v>
      </c>
      <c r="I153" s="25" t="str">
        <f t="array" ref="I153">_xlfn.TEXTJOIN(" | ",TRUE(),IF(Events!$A$2:$A$397=$A153,Events!$E$2:$E$397&amp;IF(Events!$G$2:$G$397="National",""," ["&amp;Events!$G$2:$G$397&amp;"]"),""))</f>
        <v/>
      </c>
    </row>
    <row r="154" spans="1:9" ht="15" customHeight="1" x14ac:dyDescent="0.35">
      <c r="A154" s="2">
        <v>45444</v>
      </c>
      <c r="B154" s="3">
        <f t="shared" si="10"/>
        <v>2024</v>
      </c>
      <c r="C154" s="3">
        <f t="shared" si="11"/>
        <v>6</v>
      </c>
      <c r="D154" s="3" t="str">
        <f t="shared" si="12"/>
        <v>Sat</v>
      </c>
      <c r="E154" s="3">
        <f t="shared" si="13"/>
        <v>0</v>
      </c>
      <c r="F154" s="3">
        <f t="shared" si="14"/>
        <v>0</v>
      </c>
      <c r="G154" s="3" t="str">
        <f t="array" ref="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3">
        <f>COUNTIF(Events!$A$2:$A$397,$A154)</f>
        <v>0</v>
      </c>
      <c r="I154" s="25" t="str">
        <f t="array" ref="I154">_xlfn.TEXTJOIN(" | ",TRUE(),IF(Events!$A$2:$A$397=$A154,Events!$E$2:$E$397&amp;IF(Events!$G$2:$G$397="National",""," ["&amp;Events!$G$2:$G$397&amp;"]"),""))</f>
        <v/>
      </c>
    </row>
    <row r="155" spans="1:9" ht="15" customHeight="1" x14ac:dyDescent="0.35">
      <c r="A155" s="2">
        <v>45445</v>
      </c>
      <c r="B155" s="3">
        <f t="shared" si="10"/>
        <v>2024</v>
      </c>
      <c r="C155" s="3">
        <f t="shared" si="11"/>
        <v>6</v>
      </c>
      <c r="D155" s="3" t="str">
        <f t="shared" si="12"/>
        <v>Sun</v>
      </c>
      <c r="E155" s="3">
        <f t="shared" si="13"/>
        <v>0</v>
      </c>
      <c r="F155" s="3">
        <f t="shared" si="14"/>
        <v>0</v>
      </c>
      <c r="G155" s="3" t="str">
        <f t="array" ref="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
      </c>
      <c r="H155" s="3">
        <f>COUNTIF(Events!$A$2:$A$397,$A155)</f>
        <v>0</v>
      </c>
      <c r="I155" s="25" t="str">
        <f t="array" ref="I155">_xlfn.TEXTJOIN(" | ",TRUE(),IF(Events!$A$2:$A$397=$A155,Events!$E$2:$E$397&amp;IF(Events!$G$2:$G$397="National",""," ["&amp;Events!$G$2:$G$397&amp;"]"),""))</f>
        <v/>
      </c>
    </row>
    <row r="156" spans="1:9" ht="15" customHeight="1" x14ac:dyDescent="0.35">
      <c r="A156" s="2">
        <v>45446</v>
      </c>
      <c r="B156" s="3">
        <f t="shared" si="10"/>
        <v>2024</v>
      </c>
      <c r="C156" s="3">
        <f t="shared" si="11"/>
        <v>6</v>
      </c>
      <c r="D156" s="3" t="str">
        <f t="shared" si="12"/>
        <v>Mon</v>
      </c>
      <c r="E156" s="3">
        <f t="shared" si="13"/>
        <v>0</v>
      </c>
      <c r="F156" s="3">
        <f t="shared" si="14"/>
        <v>0</v>
      </c>
      <c r="G156" s="3" t="str">
        <f t="array" ref="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3">
        <f>COUNTIF(Events!$A$2:$A$397,$A156)</f>
        <v>1</v>
      </c>
      <c r="I156" s="25" t="str">
        <f t="array" ref="I156">_xlfn.TEXTJOIN(" | ",TRUE(),IF(Events!$A$2:$A$397=$A156,Events!$E$2:$E$397&amp;IF(Events!$G$2:$G$397="National",""," ["&amp;Events!$G$2:$G$397&amp;"]"),""))</f>
        <v>D.D.C. rules for SCAN Health Plan: CMS's 2024 Star Ratings methodology (guardrail/Tukey sequencing) violated the APA; SCAN's rating ordered recalculated; Elevance won a parallel case ~6/11</v>
      </c>
    </row>
    <row r="157" spans="1:9" ht="15" customHeight="1" x14ac:dyDescent="0.35">
      <c r="A157" s="2">
        <v>45447</v>
      </c>
      <c r="B157" s="3">
        <f t="shared" si="10"/>
        <v>2024</v>
      </c>
      <c r="C157" s="3">
        <f t="shared" si="11"/>
        <v>6</v>
      </c>
      <c r="D157" s="3" t="str">
        <f t="shared" si="12"/>
        <v>Tue</v>
      </c>
      <c r="E157" s="3">
        <f t="shared" si="13"/>
        <v>0</v>
      </c>
      <c r="F157" s="3">
        <f t="shared" si="14"/>
        <v>0</v>
      </c>
      <c r="G157" s="3" t="str">
        <f t="array" ref="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3">
        <f>COUNTIF(Events!$A$2:$A$397,$A157)</f>
        <v>0</v>
      </c>
      <c r="I157" s="25" t="str">
        <f t="array" ref="I157">_xlfn.TEXTJOIN(" | ",TRUE(),IF(Events!$A$2:$A$397=$A157,Events!$E$2:$E$397&amp;IF(Events!$G$2:$G$397="National",""," ["&amp;Events!$G$2:$G$397&amp;"]"),""))</f>
        <v/>
      </c>
    </row>
    <row r="158" spans="1:9" ht="15" customHeight="1" x14ac:dyDescent="0.35">
      <c r="A158" s="2">
        <v>45448</v>
      </c>
      <c r="B158" s="3">
        <f t="shared" si="10"/>
        <v>2024</v>
      </c>
      <c r="C158" s="3">
        <f t="shared" si="11"/>
        <v>6</v>
      </c>
      <c r="D158" s="3" t="str">
        <f t="shared" si="12"/>
        <v>Wed</v>
      </c>
      <c r="E158" s="3">
        <f t="shared" si="13"/>
        <v>0</v>
      </c>
      <c r="F158" s="3">
        <f t="shared" si="14"/>
        <v>0</v>
      </c>
      <c r="G158" s="3" t="str">
        <f t="array" ref="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v>
      </c>
      <c r="H158" s="3">
        <f>COUNTIF(Events!$A$2:$A$397,$A158)</f>
        <v>0</v>
      </c>
      <c r="I158" s="25" t="str">
        <f t="array" ref="I158">_xlfn.TEXTJOIN(" | ",TRUE(),IF(Events!$A$2:$A$397=$A158,Events!$E$2:$E$397&amp;IF(Events!$G$2:$G$397="National",""," ["&amp;Events!$G$2:$G$397&amp;"]"),""))</f>
        <v/>
      </c>
    </row>
    <row r="159" spans="1:9" ht="15" customHeight="1" x14ac:dyDescent="0.35">
      <c r="A159" s="2">
        <v>45449</v>
      </c>
      <c r="B159" s="3">
        <f t="shared" si="10"/>
        <v>2024</v>
      </c>
      <c r="C159" s="3">
        <f t="shared" si="11"/>
        <v>6</v>
      </c>
      <c r="D159" s="3" t="str">
        <f t="shared" si="12"/>
        <v>Thu</v>
      </c>
      <c r="E159" s="3">
        <f t="shared" si="13"/>
        <v>0</v>
      </c>
      <c r="F159" s="3">
        <f t="shared" si="14"/>
        <v>0</v>
      </c>
      <c r="G159" s="3" t="str">
        <f t="array" ref="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
      </c>
      <c r="H159" s="3">
        <f>COUNTIF(Events!$A$2:$A$397,$A159)</f>
        <v>0</v>
      </c>
      <c r="I159" s="25" t="str">
        <f t="array" ref="I159">_xlfn.TEXTJOIN(" | ",TRUE(),IF(Events!$A$2:$A$397=$A159,Events!$E$2:$E$397&amp;IF(Events!$G$2:$G$397="National",""," ["&amp;Events!$G$2:$G$397&amp;"]"),""))</f>
        <v/>
      </c>
    </row>
    <row r="160" spans="1:9" ht="15" customHeight="1" x14ac:dyDescent="0.35">
      <c r="A160" s="2">
        <v>45450</v>
      </c>
      <c r="B160" s="3">
        <f t="shared" si="10"/>
        <v>2024</v>
      </c>
      <c r="C160" s="3">
        <f t="shared" si="11"/>
        <v>6</v>
      </c>
      <c r="D160" s="3" t="str">
        <f t="shared" si="12"/>
        <v>Fri</v>
      </c>
      <c r="E160" s="3">
        <f t="shared" si="13"/>
        <v>0</v>
      </c>
      <c r="F160" s="3">
        <f t="shared" si="14"/>
        <v>0</v>
      </c>
      <c r="G160" s="3" t="str">
        <f t="array" ref="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
      </c>
      <c r="H160" s="3">
        <f>COUNTIF(Events!$A$2:$A$397,$A160)</f>
        <v>0</v>
      </c>
      <c r="I160" s="25" t="str">
        <f t="array" ref="I160">_xlfn.TEXTJOIN(" | ",TRUE(),IF(Events!$A$2:$A$397=$A160,Events!$E$2:$E$397&amp;IF(Events!$G$2:$G$397="National",""," ["&amp;Events!$G$2:$G$397&amp;"]"),""))</f>
        <v/>
      </c>
    </row>
    <row r="161" spans="1:9" ht="15" customHeight="1" x14ac:dyDescent="0.35">
      <c r="A161" s="2">
        <v>45451</v>
      </c>
      <c r="B161" s="3">
        <f t="shared" si="10"/>
        <v>2024</v>
      </c>
      <c r="C161" s="3">
        <f t="shared" si="11"/>
        <v>6</v>
      </c>
      <c r="D161" s="3" t="str">
        <f t="shared" si="12"/>
        <v>Sat</v>
      </c>
      <c r="E161" s="3">
        <f t="shared" si="13"/>
        <v>0</v>
      </c>
      <c r="F161" s="3">
        <f t="shared" si="14"/>
        <v>0</v>
      </c>
      <c r="G161" s="3" t="str">
        <f t="array" ref="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3">
        <f>COUNTIF(Events!$A$2:$A$397,$A161)</f>
        <v>0</v>
      </c>
      <c r="I161" s="25" t="str">
        <f t="array" ref="I161">_xlfn.TEXTJOIN(" | ",TRUE(),IF(Events!$A$2:$A$397=$A161,Events!$E$2:$E$397&amp;IF(Events!$G$2:$G$397="National",""," ["&amp;Events!$G$2:$G$397&amp;"]"),""))</f>
        <v/>
      </c>
    </row>
    <row r="162" spans="1:9" ht="15" customHeight="1" x14ac:dyDescent="0.35">
      <c r="A162" s="2">
        <v>45452</v>
      </c>
      <c r="B162" s="3">
        <f t="shared" si="10"/>
        <v>2024</v>
      </c>
      <c r="C162" s="3">
        <f t="shared" si="11"/>
        <v>6</v>
      </c>
      <c r="D162" s="3" t="str">
        <f t="shared" si="12"/>
        <v>Sun</v>
      </c>
      <c r="E162" s="3">
        <f t="shared" si="13"/>
        <v>0</v>
      </c>
      <c r="F162" s="3">
        <f t="shared" si="14"/>
        <v>0</v>
      </c>
      <c r="G162" s="3" t="str">
        <f t="array" ref="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3">
        <f>COUNTIF(Events!$A$2:$A$397,$A162)</f>
        <v>0</v>
      </c>
      <c r="I162" s="25" t="str">
        <f t="array" ref="I162">_xlfn.TEXTJOIN(" | ",TRUE(),IF(Events!$A$2:$A$397=$A162,Events!$E$2:$E$397&amp;IF(Events!$G$2:$G$397="National",""," ["&amp;Events!$G$2:$G$397&amp;"]"),""))</f>
        <v/>
      </c>
    </row>
    <row r="163" spans="1:9" ht="15" customHeight="1" x14ac:dyDescent="0.35">
      <c r="A163" s="2">
        <v>45453</v>
      </c>
      <c r="B163" s="3">
        <f t="shared" si="10"/>
        <v>2024</v>
      </c>
      <c r="C163" s="3">
        <f t="shared" si="11"/>
        <v>6</v>
      </c>
      <c r="D163" s="3" t="str">
        <f t="shared" si="12"/>
        <v>Mon</v>
      </c>
      <c r="E163" s="3">
        <f t="shared" si="13"/>
        <v>0</v>
      </c>
      <c r="F163" s="3">
        <f t="shared" si="14"/>
        <v>0</v>
      </c>
      <c r="G163" s="3" t="str">
        <f t="array" ref="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3">
        <f>COUNTIF(Events!$A$2:$A$397,$A163)</f>
        <v>0</v>
      </c>
      <c r="I163" s="25" t="str">
        <f t="array" ref="I163">_xlfn.TEXTJOIN(" | ",TRUE(),IF(Events!$A$2:$A$397=$A163,Events!$E$2:$E$397&amp;IF(Events!$G$2:$G$397="National",""," ["&amp;Events!$G$2:$G$397&amp;"]"),""))</f>
        <v/>
      </c>
    </row>
    <row r="164" spans="1:9" ht="15" customHeight="1" x14ac:dyDescent="0.35">
      <c r="A164" s="2">
        <v>45454</v>
      </c>
      <c r="B164" s="3">
        <f t="shared" si="10"/>
        <v>2024</v>
      </c>
      <c r="C164" s="3">
        <f t="shared" si="11"/>
        <v>6</v>
      </c>
      <c r="D164" s="3" t="str">
        <f t="shared" si="12"/>
        <v>Tue</v>
      </c>
      <c r="E164" s="3">
        <f t="shared" si="13"/>
        <v>0</v>
      </c>
      <c r="F164" s="3">
        <f t="shared" si="14"/>
        <v>0</v>
      </c>
      <c r="G164" s="3" t="str">
        <f t="array" ref="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v>
      </c>
      <c r="H164" s="3">
        <f>COUNTIF(Events!$A$2:$A$397,$A164)</f>
        <v>0</v>
      </c>
      <c r="I164" s="25" t="str">
        <f t="array" ref="I164">_xlfn.TEXTJOIN(" | ",TRUE(),IF(Events!$A$2:$A$397=$A164,Events!$E$2:$E$397&amp;IF(Events!$G$2:$G$397="National",""," ["&amp;Events!$G$2:$G$397&amp;"]"),""))</f>
        <v/>
      </c>
    </row>
    <row r="165" spans="1:9" ht="15" customHeight="1" x14ac:dyDescent="0.35">
      <c r="A165" s="2">
        <v>45455</v>
      </c>
      <c r="B165" s="3">
        <f t="shared" si="10"/>
        <v>2024</v>
      </c>
      <c r="C165" s="3">
        <f t="shared" si="11"/>
        <v>6</v>
      </c>
      <c r="D165" s="3" t="str">
        <f t="shared" si="12"/>
        <v>Wed</v>
      </c>
      <c r="E165" s="3">
        <f t="shared" si="13"/>
        <v>0</v>
      </c>
      <c r="F165" s="3">
        <f t="shared" si="14"/>
        <v>0</v>
      </c>
      <c r="G165" s="3" t="str">
        <f t="array" ref="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v>
      </c>
      <c r="H165" s="3">
        <f>COUNTIF(Events!$A$2:$A$397,$A165)</f>
        <v>0</v>
      </c>
      <c r="I165" s="25" t="str">
        <f t="array" ref="I165">_xlfn.TEXTJOIN(" | ",TRUE(),IF(Events!$A$2:$A$397=$A165,Events!$E$2:$E$397&amp;IF(Events!$G$2:$G$397="National",""," ["&amp;Events!$G$2:$G$397&amp;"]"),""))</f>
        <v/>
      </c>
    </row>
    <row r="166" spans="1:9" ht="15" customHeight="1" x14ac:dyDescent="0.35">
      <c r="A166" s="2">
        <v>45456</v>
      </c>
      <c r="B166" s="3">
        <f t="shared" si="10"/>
        <v>2024</v>
      </c>
      <c r="C166" s="3">
        <f t="shared" si="11"/>
        <v>6</v>
      </c>
      <c r="D166" s="3" t="str">
        <f t="shared" si="12"/>
        <v>Thu</v>
      </c>
      <c r="E166" s="3">
        <f t="shared" si="13"/>
        <v>0</v>
      </c>
      <c r="F166" s="3">
        <f t="shared" si="14"/>
        <v>0</v>
      </c>
      <c r="G166" s="3" t="str">
        <f t="array" ref="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3">
        <f>COUNTIF(Events!$A$2:$A$397,$A166)</f>
        <v>0</v>
      </c>
      <c r="I166" s="25" t="str">
        <f t="array" ref="I166">_xlfn.TEXTJOIN(" | ",TRUE(),IF(Events!$A$2:$A$397=$A166,Events!$E$2:$E$397&amp;IF(Events!$G$2:$G$397="National",""," ["&amp;Events!$G$2:$G$397&amp;"]"),""))</f>
        <v/>
      </c>
    </row>
    <row r="167" spans="1:9" ht="15" customHeight="1" x14ac:dyDescent="0.35">
      <c r="A167" s="2">
        <v>45457</v>
      </c>
      <c r="B167" s="3">
        <f t="shared" si="10"/>
        <v>2024</v>
      </c>
      <c r="C167" s="3">
        <f t="shared" si="11"/>
        <v>6</v>
      </c>
      <c r="D167" s="3" t="str">
        <f t="shared" si="12"/>
        <v>Fri</v>
      </c>
      <c r="E167" s="3">
        <f t="shared" si="13"/>
        <v>0</v>
      </c>
      <c r="F167" s="3">
        <f t="shared" si="14"/>
        <v>0</v>
      </c>
      <c r="G167" s="3" t="str">
        <f t="array" ref="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v>
      </c>
      <c r="H167" s="3">
        <f>COUNTIF(Events!$A$2:$A$397,$A167)</f>
        <v>0</v>
      </c>
      <c r="I167" s="25" t="str">
        <f t="array" ref="I167">_xlfn.TEXTJOIN(" | ",TRUE(),IF(Events!$A$2:$A$397=$A167,Events!$E$2:$E$397&amp;IF(Events!$G$2:$G$397="National",""," ["&amp;Events!$G$2:$G$397&amp;"]"),""))</f>
        <v/>
      </c>
    </row>
    <row r="168" spans="1:9" ht="15" customHeight="1" x14ac:dyDescent="0.35">
      <c r="A168" s="2">
        <v>45458</v>
      </c>
      <c r="B168" s="3">
        <f t="shared" si="10"/>
        <v>2024</v>
      </c>
      <c r="C168" s="3">
        <f t="shared" si="11"/>
        <v>6</v>
      </c>
      <c r="D168" s="3" t="str">
        <f t="shared" si="12"/>
        <v>Sat</v>
      </c>
      <c r="E168" s="3">
        <f t="shared" si="13"/>
        <v>0</v>
      </c>
      <c r="F168" s="3">
        <f t="shared" si="14"/>
        <v>0</v>
      </c>
      <c r="G168" s="3" t="str">
        <f t="array" ref="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
      </c>
      <c r="H168" s="3">
        <f>COUNTIF(Events!$A$2:$A$397,$A168)</f>
        <v>0</v>
      </c>
      <c r="I168" s="25" t="str">
        <f t="array" ref="I168">_xlfn.TEXTJOIN(" | ",TRUE(),IF(Events!$A$2:$A$397=$A168,Events!$E$2:$E$397&amp;IF(Events!$G$2:$G$397="National",""," ["&amp;Events!$G$2:$G$397&amp;"]"),""))</f>
        <v/>
      </c>
    </row>
    <row r="169" spans="1:9" ht="15" customHeight="1" x14ac:dyDescent="0.35">
      <c r="A169" s="2">
        <v>45459</v>
      </c>
      <c r="B169" s="3">
        <f t="shared" si="10"/>
        <v>2024</v>
      </c>
      <c r="C169" s="3">
        <f t="shared" si="11"/>
        <v>6</v>
      </c>
      <c r="D169" s="3" t="str">
        <f t="shared" si="12"/>
        <v>Sun</v>
      </c>
      <c r="E169" s="3">
        <f t="shared" si="13"/>
        <v>0</v>
      </c>
      <c r="F169" s="3">
        <f t="shared" si="14"/>
        <v>0</v>
      </c>
      <c r="G169" s="3" t="str">
        <f t="array" ref="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3">
        <f>COUNTIF(Events!$A$2:$A$397,$A169)</f>
        <v>0</v>
      </c>
      <c r="I169" s="25" t="str">
        <f t="array" ref="I169">_xlfn.TEXTJOIN(" | ",TRUE(),IF(Events!$A$2:$A$397=$A169,Events!$E$2:$E$397&amp;IF(Events!$G$2:$G$397="National",""," ["&amp;Events!$G$2:$G$397&amp;"]"),""))</f>
        <v/>
      </c>
    </row>
    <row r="170" spans="1:9" ht="15" customHeight="1" x14ac:dyDescent="0.35">
      <c r="A170" s="2">
        <v>45460</v>
      </c>
      <c r="B170" s="3">
        <f t="shared" si="10"/>
        <v>2024</v>
      </c>
      <c r="C170" s="3">
        <f t="shared" si="11"/>
        <v>6</v>
      </c>
      <c r="D170" s="3" t="str">
        <f t="shared" si="12"/>
        <v>Mon</v>
      </c>
      <c r="E170" s="3">
        <f t="shared" si="13"/>
        <v>0</v>
      </c>
      <c r="F170" s="3">
        <f t="shared" si="14"/>
        <v>0</v>
      </c>
      <c r="G170" s="3" t="str">
        <f t="array" ref="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3">
        <f>COUNTIF(Events!$A$2:$A$397,$A170)</f>
        <v>0</v>
      </c>
      <c r="I170" s="25" t="str">
        <f t="array" ref="I170">_xlfn.TEXTJOIN(" | ",TRUE(),IF(Events!$A$2:$A$397=$A170,Events!$E$2:$E$397&amp;IF(Events!$G$2:$G$397="National",""," ["&amp;Events!$G$2:$G$397&amp;"]"),""))</f>
        <v/>
      </c>
    </row>
    <row r="171" spans="1:9" ht="15" customHeight="1" x14ac:dyDescent="0.35">
      <c r="A171" s="2">
        <v>45461</v>
      </c>
      <c r="B171" s="3">
        <f t="shared" si="10"/>
        <v>2024</v>
      </c>
      <c r="C171" s="3">
        <f t="shared" si="11"/>
        <v>6</v>
      </c>
      <c r="D171" s="3" t="str">
        <f t="shared" si="12"/>
        <v>Tue</v>
      </c>
      <c r="E171" s="3">
        <f t="shared" si="13"/>
        <v>0</v>
      </c>
      <c r="F171" s="3">
        <f t="shared" si="14"/>
        <v>0</v>
      </c>
      <c r="G171" s="3" t="str">
        <f t="array" ref="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3">
        <f>COUNTIF(Events!$A$2:$A$397,$A171)</f>
        <v>0</v>
      </c>
      <c r="I171" s="25" t="str">
        <f t="array" ref="I171">_xlfn.TEXTJOIN(" | ",TRUE(),IF(Events!$A$2:$A$397=$A171,Events!$E$2:$E$397&amp;IF(Events!$G$2:$G$397="National",""," ["&amp;Events!$G$2:$G$397&amp;"]"),""))</f>
        <v/>
      </c>
    </row>
    <row r="172" spans="1:9" ht="15" customHeight="1" x14ac:dyDescent="0.35">
      <c r="A172" s="2">
        <v>45462</v>
      </c>
      <c r="B172" s="3">
        <f t="shared" si="10"/>
        <v>2024</v>
      </c>
      <c r="C172" s="3">
        <f t="shared" si="11"/>
        <v>6</v>
      </c>
      <c r="D172" s="3" t="str">
        <f t="shared" si="12"/>
        <v>Wed</v>
      </c>
      <c r="E172" s="3">
        <f t="shared" si="13"/>
        <v>0</v>
      </c>
      <c r="F172" s="3">
        <f t="shared" si="14"/>
        <v>0</v>
      </c>
      <c r="G172" s="3" t="str">
        <f t="array" ref="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3">
        <f>COUNTIF(Events!$A$2:$A$397,$A172)</f>
        <v>0</v>
      </c>
      <c r="I172" s="25" t="str">
        <f t="array" ref="I172">_xlfn.TEXTJOIN(" | ",TRUE(),IF(Events!$A$2:$A$397=$A172,Events!$E$2:$E$397&amp;IF(Events!$G$2:$G$397="National",""," ["&amp;Events!$G$2:$G$397&amp;"]"),""))</f>
        <v/>
      </c>
    </row>
    <row r="173" spans="1:9" ht="15" customHeight="1" x14ac:dyDescent="0.35">
      <c r="A173" s="2">
        <v>45463</v>
      </c>
      <c r="B173" s="3">
        <f t="shared" si="10"/>
        <v>2024</v>
      </c>
      <c r="C173" s="3">
        <f t="shared" si="11"/>
        <v>6</v>
      </c>
      <c r="D173" s="3" t="str">
        <f t="shared" si="12"/>
        <v>Thu</v>
      </c>
      <c r="E173" s="3">
        <f t="shared" si="13"/>
        <v>0</v>
      </c>
      <c r="F173" s="3">
        <f t="shared" si="14"/>
        <v>0</v>
      </c>
      <c r="G173" s="3" t="str">
        <f t="array" ref="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3">
        <f>COUNTIF(Events!$A$2:$A$397,$A173)</f>
        <v>0</v>
      </c>
      <c r="I173" s="25" t="str">
        <f t="array" ref="I173">_xlfn.TEXTJOIN(" | ",TRUE(),IF(Events!$A$2:$A$397=$A173,Events!$E$2:$E$397&amp;IF(Events!$G$2:$G$397="National",""," ["&amp;Events!$G$2:$G$397&amp;"]"),""))</f>
        <v/>
      </c>
    </row>
    <row r="174" spans="1:9" ht="15" customHeight="1" x14ac:dyDescent="0.35">
      <c r="A174" s="2">
        <v>45464</v>
      </c>
      <c r="B174" s="3">
        <f t="shared" si="10"/>
        <v>2024</v>
      </c>
      <c r="C174" s="3">
        <f t="shared" si="11"/>
        <v>6</v>
      </c>
      <c r="D174" s="3" t="str">
        <f t="shared" si="12"/>
        <v>Fri</v>
      </c>
      <c r="E174" s="3">
        <f t="shared" si="13"/>
        <v>0</v>
      </c>
      <c r="F174" s="3">
        <f t="shared" si="14"/>
        <v>0</v>
      </c>
      <c r="G174" s="3" t="str">
        <f t="array" ref="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3">
        <f>COUNTIF(Events!$A$2:$A$397,$A174)</f>
        <v>0</v>
      </c>
      <c r="I174" s="25" t="str">
        <f t="array" ref="I174">_xlfn.TEXTJOIN(" | ",TRUE(),IF(Events!$A$2:$A$397=$A174,Events!$E$2:$E$397&amp;IF(Events!$G$2:$G$397="National",""," ["&amp;Events!$G$2:$G$397&amp;"]"),""))</f>
        <v/>
      </c>
    </row>
    <row r="175" spans="1:9" ht="15" customHeight="1" x14ac:dyDescent="0.35">
      <c r="A175" s="2">
        <v>45465</v>
      </c>
      <c r="B175" s="3">
        <f t="shared" si="10"/>
        <v>2024</v>
      </c>
      <c r="C175" s="3">
        <f t="shared" si="11"/>
        <v>6</v>
      </c>
      <c r="D175" s="3" t="str">
        <f t="shared" si="12"/>
        <v>Sat</v>
      </c>
      <c r="E175" s="3">
        <f t="shared" si="13"/>
        <v>0</v>
      </c>
      <c r="F175" s="3">
        <f t="shared" si="14"/>
        <v>0</v>
      </c>
      <c r="G175" s="3" t="str">
        <f t="array" ref="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3">
        <f>COUNTIF(Events!$A$2:$A$397,$A175)</f>
        <v>0</v>
      </c>
      <c r="I175" s="25" t="str">
        <f t="array" ref="I175">_xlfn.TEXTJOIN(" | ",TRUE(),IF(Events!$A$2:$A$397=$A175,Events!$E$2:$E$397&amp;IF(Events!$G$2:$G$397="National",""," ["&amp;Events!$G$2:$G$397&amp;"]"),""))</f>
        <v/>
      </c>
    </row>
    <row r="176" spans="1:9" ht="15" customHeight="1" x14ac:dyDescent="0.35">
      <c r="A176" s="2">
        <v>45466</v>
      </c>
      <c r="B176" s="3">
        <f t="shared" si="10"/>
        <v>2024</v>
      </c>
      <c r="C176" s="3">
        <f t="shared" si="11"/>
        <v>6</v>
      </c>
      <c r="D176" s="3" t="str">
        <f t="shared" si="12"/>
        <v>Sun</v>
      </c>
      <c r="E176" s="3">
        <f t="shared" si="13"/>
        <v>0</v>
      </c>
      <c r="F176" s="3">
        <f t="shared" si="14"/>
        <v>0</v>
      </c>
      <c r="G176" s="3" t="str">
        <f t="array" ref="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3">
        <f>COUNTIF(Events!$A$2:$A$397,$A176)</f>
        <v>0</v>
      </c>
      <c r="I176" s="25" t="str">
        <f t="array" ref="I176">_xlfn.TEXTJOIN(" | ",TRUE(),IF(Events!$A$2:$A$397=$A176,Events!$E$2:$E$397&amp;IF(Events!$G$2:$G$397="National",""," ["&amp;Events!$G$2:$G$397&amp;"]"),""))</f>
        <v/>
      </c>
    </row>
    <row r="177" spans="1:9" ht="15" customHeight="1" x14ac:dyDescent="0.35">
      <c r="A177" s="2">
        <v>45467</v>
      </c>
      <c r="B177" s="3">
        <f t="shared" si="10"/>
        <v>2024</v>
      </c>
      <c r="C177" s="3">
        <f t="shared" si="11"/>
        <v>6</v>
      </c>
      <c r="D177" s="3" t="str">
        <f t="shared" si="12"/>
        <v>Mon</v>
      </c>
      <c r="E177" s="3">
        <f t="shared" si="13"/>
        <v>0</v>
      </c>
      <c r="F177" s="3">
        <f t="shared" si="14"/>
        <v>0</v>
      </c>
      <c r="G177" s="3" t="str">
        <f t="array" ref="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3">
        <f>COUNTIF(Events!$A$2:$A$397,$A177)</f>
        <v>0</v>
      </c>
      <c r="I177" s="25" t="str">
        <f t="array" ref="I177">_xlfn.TEXTJOIN(" | ",TRUE(),IF(Events!$A$2:$A$397=$A177,Events!$E$2:$E$397&amp;IF(Events!$G$2:$G$397="National",""," ["&amp;Events!$G$2:$G$397&amp;"]"),""))</f>
        <v/>
      </c>
    </row>
    <row r="178" spans="1:9" ht="15" customHeight="1" x14ac:dyDescent="0.35">
      <c r="A178" s="2">
        <v>45468</v>
      </c>
      <c r="B178" s="3">
        <f t="shared" si="10"/>
        <v>2024</v>
      </c>
      <c r="C178" s="3">
        <f t="shared" si="11"/>
        <v>6</v>
      </c>
      <c r="D178" s="3" t="str">
        <f t="shared" si="12"/>
        <v>Tue</v>
      </c>
      <c r="E178" s="3">
        <f t="shared" si="13"/>
        <v>0</v>
      </c>
      <c r="F178" s="3">
        <f t="shared" si="14"/>
        <v>0</v>
      </c>
      <c r="G178" s="3" t="str">
        <f t="array" ref="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3">
        <f>COUNTIF(Events!$A$2:$A$397,$A178)</f>
        <v>0</v>
      </c>
      <c r="I178" s="25" t="str">
        <f t="array" ref="I178">_xlfn.TEXTJOIN(" | ",TRUE(),IF(Events!$A$2:$A$397=$A178,Events!$E$2:$E$397&amp;IF(Events!$G$2:$G$397="National",""," ["&amp;Events!$G$2:$G$397&amp;"]"),""))</f>
        <v/>
      </c>
    </row>
    <row r="179" spans="1:9" ht="15" customHeight="1" x14ac:dyDescent="0.35">
      <c r="A179" s="2">
        <v>45469</v>
      </c>
      <c r="B179" s="3">
        <f t="shared" si="10"/>
        <v>2024</v>
      </c>
      <c r="C179" s="3">
        <f t="shared" si="11"/>
        <v>6</v>
      </c>
      <c r="D179" s="3" t="str">
        <f t="shared" si="12"/>
        <v>Wed</v>
      </c>
      <c r="E179" s="3">
        <f t="shared" si="13"/>
        <v>0</v>
      </c>
      <c r="F179" s="3">
        <f t="shared" si="14"/>
        <v>0</v>
      </c>
      <c r="G179" s="3" t="str">
        <f t="array" ref="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3">
        <f>COUNTIF(Events!$A$2:$A$397,$A179)</f>
        <v>0</v>
      </c>
      <c r="I179" s="25" t="str">
        <f t="array" ref="I179">_xlfn.TEXTJOIN(" | ",TRUE(),IF(Events!$A$2:$A$397=$A179,Events!$E$2:$E$397&amp;IF(Events!$G$2:$G$397="National",""," ["&amp;Events!$G$2:$G$397&amp;"]"),""))</f>
        <v/>
      </c>
    </row>
    <row r="180" spans="1:9" ht="15" customHeight="1" x14ac:dyDescent="0.35">
      <c r="A180" s="2">
        <v>45470</v>
      </c>
      <c r="B180" s="3">
        <f t="shared" si="10"/>
        <v>2024</v>
      </c>
      <c r="C180" s="3">
        <f t="shared" si="11"/>
        <v>6</v>
      </c>
      <c r="D180" s="3" t="str">
        <f t="shared" si="12"/>
        <v>Thu</v>
      </c>
      <c r="E180" s="3">
        <f t="shared" si="13"/>
        <v>0</v>
      </c>
      <c r="F180" s="3">
        <f t="shared" si="14"/>
        <v>0</v>
      </c>
      <c r="G180" s="3" t="str">
        <f t="array" ref="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
      </c>
      <c r="H180" s="3">
        <f>COUNTIF(Events!$A$2:$A$397,$A180)</f>
        <v>0</v>
      </c>
      <c r="I180" s="25" t="str">
        <f t="array" ref="I180">_xlfn.TEXTJOIN(" | ",TRUE(),IF(Events!$A$2:$A$397=$A180,Events!$E$2:$E$397&amp;IF(Events!$G$2:$G$397="National",""," ["&amp;Events!$G$2:$G$397&amp;"]"),""))</f>
        <v/>
      </c>
    </row>
    <row r="181" spans="1:9" ht="15" customHeight="1" x14ac:dyDescent="0.35">
      <c r="A181" s="2">
        <v>45471</v>
      </c>
      <c r="B181" s="3">
        <f t="shared" si="10"/>
        <v>2024</v>
      </c>
      <c r="C181" s="3">
        <f t="shared" si="11"/>
        <v>6</v>
      </c>
      <c r="D181" s="3" t="str">
        <f t="shared" si="12"/>
        <v>Fri</v>
      </c>
      <c r="E181" s="3">
        <f t="shared" si="13"/>
        <v>0</v>
      </c>
      <c r="F181" s="3">
        <f t="shared" si="14"/>
        <v>0</v>
      </c>
      <c r="G181" s="3" t="str">
        <f t="array" ref="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3">
        <f>COUNTIF(Events!$A$2:$A$397,$A181)</f>
        <v>0</v>
      </c>
      <c r="I181" s="25" t="str">
        <f t="array" ref="I181">_xlfn.TEXTJOIN(" | ",TRUE(),IF(Events!$A$2:$A$397=$A181,Events!$E$2:$E$397&amp;IF(Events!$G$2:$G$397="National",""," ["&amp;Events!$G$2:$G$397&amp;"]"),""))</f>
        <v/>
      </c>
    </row>
    <row r="182" spans="1:9" ht="15" customHeight="1" x14ac:dyDescent="0.35">
      <c r="A182" s="2">
        <v>45472</v>
      </c>
      <c r="B182" s="3">
        <f t="shared" si="10"/>
        <v>2024</v>
      </c>
      <c r="C182" s="3">
        <f t="shared" si="11"/>
        <v>6</v>
      </c>
      <c r="D182" s="3" t="str">
        <f t="shared" si="12"/>
        <v>Sat</v>
      </c>
      <c r="E182" s="3">
        <f t="shared" si="13"/>
        <v>0</v>
      </c>
      <c r="F182" s="3">
        <f t="shared" si="14"/>
        <v>0</v>
      </c>
      <c r="G182" s="3" t="str">
        <f t="array" ref="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3">
        <f>COUNTIF(Events!$A$2:$A$397,$A182)</f>
        <v>0</v>
      </c>
      <c r="I182" s="25" t="str">
        <f t="array" ref="I182">_xlfn.TEXTJOIN(" | ",TRUE(),IF(Events!$A$2:$A$397=$A182,Events!$E$2:$E$397&amp;IF(Events!$G$2:$G$397="National",""," ["&amp;Events!$G$2:$G$397&amp;"]"),""))</f>
        <v/>
      </c>
    </row>
    <row r="183" spans="1:9" ht="15" customHeight="1" x14ac:dyDescent="0.35">
      <c r="A183" s="2">
        <v>45473</v>
      </c>
      <c r="B183" s="3">
        <f t="shared" si="10"/>
        <v>2024</v>
      </c>
      <c r="C183" s="3">
        <f t="shared" si="11"/>
        <v>6</v>
      </c>
      <c r="D183" s="3" t="str">
        <f t="shared" si="12"/>
        <v>Sun</v>
      </c>
      <c r="E183" s="3">
        <f t="shared" si="13"/>
        <v>0</v>
      </c>
      <c r="F183" s="3">
        <f t="shared" si="14"/>
        <v>0</v>
      </c>
      <c r="G183" s="3" t="str">
        <f t="array" ref="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[KY] DR-4782 | Disaster SEP ended: Severe Storm [WV] DR-4783 | Disaster SEP ended: Winter Storm [ME] DR-4785 | Disaster SEP ended: Winter Storm [NH] DR-4799 | Disaster SEP ended: Severe Storm [NE] DR-4786 | Disaster SEP ended: Severe Storm [MS] DR-4790 | Disaster SEP ended: Flood [WV] DR-4787 | Disaster SEP ended: Flood [HI] DR-4793 | Disaster SEP ended: Flood [ID] DR-4789 | Disaster SEP ended: Tornado [OK] DR-4776 | Disaster SEP ended: Tornado [NE] DR-4778 | Disaster SEP ended: Severe Storm [KS] DR-4800 | Disaster SEP ended: Tornado [IA] DR-4779 | Disaster SEP ended: Flood [TX] DR-4781 | Disaster SEP ended: Flood [PR] DR-4805</v>
      </c>
      <c r="H183" s="3">
        <f>COUNTIF(Events!$A$2:$A$397,$A183)</f>
        <v>0</v>
      </c>
      <c r="I183" s="25" t="str">
        <f t="array" ref="I183">_xlfn.TEXTJOIN(" | ",TRUE(),IF(Events!$A$2:$A$397=$A183,Events!$E$2:$E$397&amp;IF(Events!$G$2:$G$397="National",""," ["&amp;Events!$G$2:$G$397&amp;"]"),""))</f>
        <v/>
      </c>
    </row>
    <row r="184" spans="1:9" ht="15" customHeight="1" x14ac:dyDescent="0.35">
      <c r="A184" s="2">
        <v>45474</v>
      </c>
      <c r="B184" s="3">
        <f t="shared" si="10"/>
        <v>2024</v>
      </c>
      <c r="C184" s="3">
        <f t="shared" si="11"/>
        <v>7</v>
      </c>
      <c r="D184" s="3" t="str">
        <f t="shared" si="12"/>
        <v>Mon</v>
      </c>
      <c r="E184" s="3">
        <f t="shared" si="13"/>
        <v>0</v>
      </c>
      <c r="F184" s="3">
        <f t="shared" si="14"/>
        <v>0</v>
      </c>
      <c r="G184" s="3" t="str">
        <f t="array" ref="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3">
        <f>COUNTIF(Events!$A$2:$A$397,$A184)</f>
        <v>0</v>
      </c>
      <c r="I184" s="25" t="str">
        <f t="array" ref="I184">_xlfn.TEXTJOIN(" | ",TRUE(),IF(Events!$A$2:$A$397=$A184,Events!$E$2:$E$397&amp;IF(Events!$G$2:$G$397="National",""," ["&amp;Events!$G$2:$G$397&amp;"]"),""))</f>
        <v/>
      </c>
    </row>
    <row r="185" spans="1:9" ht="15" customHeight="1" x14ac:dyDescent="0.35">
      <c r="A185" s="2">
        <v>45475</v>
      </c>
      <c r="B185" s="3">
        <f t="shared" si="10"/>
        <v>2024</v>
      </c>
      <c r="C185" s="3">
        <f t="shared" si="11"/>
        <v>7</v>
      </c>
      <c r="D185" s="3" t="str">
        <f t="shared" si="12"/>
        <v>Tue</v>
      </c>
      <c r="E185" s="3">
        <f t="shared" si="13"/>
        <v>0</v>
      </c>
      <c r="F185" s="3">
        <f t="shared" si="14"/>
        <v>0</v>
      </c>
      <c r="G185" s="3" t="str">
        <f t="array" ref="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3">
        <f>COUNTIF(Events!$A$2:$A$397,$A185)</f>
        <v>0</v>
      </c>
      <c r="I185" s="25" t="str">
        <f t="array" ref="I185">_xlfn.TEXTJOIN(" | ",TRUE(),IF(Events!$A$2:$A$397=$A185,Events!$E$2:$E$397&amp;IF(Events!$G$2:$G$397="National",""," ["&amp;Events!$G$2:$G$397&amp;"]"),""))</f>
        <v/>
      </c>
    </row>
    <row r="186" spans="1:9" ht="15" customHeight="1" x14ac:dyDescent="0.35">
      <c r="A186" s="2">
        <v>45476</v>
      </c>
      <c r="B186" s="3">
        <f t="shared" si="10"/>
        <v>2024</v>
      </c>
      <c r="C186" s="3">
        <f t="shared" si="11"/>
        <v>7</v>
      </c>
      <c r="D186" s="3" t="str">
        <f t="shared" si="12"/>
        <v>Wed</v>
      </c>
      <c r="E186" s="3">
        <f t="shared" si="13"/>
        <v>0</v>
      </c>
      <c r="F186" s="3">
        <f t="shared" si="14"/>
        <v>0</v>
      </c>
      <c r="G186" s="3" t="str">
        <f t="array" ref="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3">
        <f>COUNTIF(Events!$A$2:$A$397,$A186)</f>
        <v>1</v>
      </c>
      <c r="I186" s="25" t="str">
        <f t="array" ref="I186">_xlfn.TEXTJOIN(" | ",TRUE(),IF(Events!$A$2:$A$397=$A186,Events!$E$2:$E$397&amp;IF(Events!$G$2:$G$397="National",""," ["&amp;Events!$G$2:$G$397&amp;"]"),""))</f>
        <v>N.D. Tex. (Judge O'Connor) stays the CY2025 rule's broker fixed-compensation cap and FMO contract-term restrictions before AEP 2025 - these provisions of the 4/4/2024 final rule never took effect; broker steering incentives persisted (relative MA-vs-Medigap commission economics unchanged)</v>
      </c>
    </row>
    <row r="187" spans="1:9" ht="15" customHeight="1" x14ac:dyDescent="0.35">
      <c r="A187" s="2">
        <v>45477</v>
      </c>
      <c r="B187" s="3">
        <f t="shared" si="10"/>
        <v>2024</v>
      </c>
      <c r="C187" s="3">
        <f t="shared" si="11"/>
        <v>7</v>
      </c>
      <c r="D187" s="3" t="str">
        <f t="shared" si="12"/>
        <v>Thu</v>
      </c>
      <c r="E187" s="3">
        <f t="shared" si="13"/>
        <v>0</v>
      </c>
      <c r="F187" s="3">
        <f t="shared" si="14"/>
        <v>0</v>
      </c>
      <c r="G187" s="3" t="str">
        <f t="array" ref="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3">
        <f>COUNTIF(Events!$A$2:$A$397,$A187)</f>
        <v>0</v>
      </c>
      <c r="I187" s="25" t="str">
        <f t="array" ref="I187">_xlfn.TEXTJOIN(" | ",TRUE(),IF(Events!$A$2:$A$397=$A187,Events!$E$2:$E$397&amp;IF(Events!$G$2:$G$397="National",""," ["&amp;Events!$G$2:$G$397&amp;"]"),""))</f>
        <v/>
      </c>
    </row>
    <row r="188" spans="1:9" ht="15" customHeight="1" x14ac:dyDescent="0.35">
      <c r="A188" s="2">
        <v>45478</v>
      </c>
      <c r="B188" s="3">
        <f t="shared" si="10"/>
        <v>2024</v>
      </c>
      <c r="C188" s="3">
        <f t="shared" si="11"/>
        <v>7</v>
      </c>
      <c r="D188" s="3" t="str">
        <f t="shared" si="12"/>
        <v>Fri</v>
      </c>
      <c r="E188" s="3">
        <f t="shared" si="13"/>
        <v>0</v>
      </c>
      <c r="F188" s="3">
        <f t="shared" si="14"/>
        <v>0</v>
      </c>
      <c r="G188" s="3" t="str">
        <f t="array" ref="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3">
        <f>COUNTIF(Events!$A$2:$A$397,$A188)</f>
        <v>0</v>
      </c>
      <c r="I188" s="25" t="str">
        <f t="array" ref="I188">_xlfn.TEXTJOIN(" | ",TRUE(),IF(Events!$A$2:$A$397=$A188,Events!$E$2:$E$397&amp;IF(Events!$G$2:$G$397="National",""," ["&amp;Events!$G$2:$G$397&amp;"]"),""))</f>
        <v/>
      </c>
    </row>
    <row r="189" spans="1:9" ht="15" customHeight="1" x14ac:dyDescent="0.35">
      <c r="A189" s="2">
        <v>45479</v>
      </c>
      <c r="B189" s="3">
        <f t="shared" si="10"/>
        <v>2024</v>
      </c>
      <c r="C189" s="3">
        <f t="shared" si="11"/>
        <v>7</v>
      </c>
      <c r="D189" s="3" t="str">
        <f t="shared" si="12"/>
        <v>Sat</v>
      </c>
      <c r="E189" s="3">
        <f t="shared" si="13"/>
        <v>0</v>
      </c>
      <c r="F189" s="3">
        <f t="shared" si="14"/>
        <v>0</v>
      </c>
      <c r="G189" s="3" t="str">
        <f t="array" ref="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3">
        <f>COUNTIF(Events!$A$2:$A$397,$A189)</f>
        <v>0</v>
      </c>
      <c r="I189" s="25" t="str">
        <f t="array" ref="I189">_xlfn.TEXTJOIN(" | ",TRUE(),IF(Events!$A$2:$A$397=$A189,Events!$E$2:$E$397&amp;IF(Events!$G$2:$G$397="National",""," ["&amp;Events!$G$2:$G$397&amp;"]"),""))</f>
        <v/>
      </c>
    </row>
    <row r="190" spans="1:9" ht="15" customHeight="1" x14ac:dyDescent="0.35">
      <c r="A190" s="2">
        <v>45480</v>
      </c>
      <c r="B190" s="3">
        <f t="shared" si="10"/>
        <v>2024</v>
      </c>
      <c r="C190" s="3">
        <f t="shared" si="11"/>
        <v>7</v>
      </c>
      <c r="D190" s="3" t="str">
        <f t="shared" si="12"/>
        <v>Sun</v>
      </c>
      <c r="E190" s="3">
        <f t="shared" si="13"/>
        <v>0</v>
      </c>
      <c r="F190" s="3">
        <f t="shared" si="14"/>
        <v>0</v>
      </c>
      <c r="G190" s="3" t="str">
        <f t="array" ref="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3">
        <f>COUNTIF(Events!$A$2:$A$397,$A190)</f>
        <v>0</v>
      </c>
      <c r="I190" s="25" t="str">
        <f t="array" ref="I190">_xlfn.TEXTJOIN(" | ",TRUE(),IF(Events!$A$2:$A$397=$A190,Events!$E$2:$E$397&amp;IF(Events!$G$2:$G$397="National",""," ["&amp;Events!$G$2:$G$397&amp;"]"),""))</f>
        <v/>
      </c>
    </row>
    <row r="191" spans="1:9" ht="15" customHeight="1" x14ac:dyDescent="0.35">
      <c r="A191" s="2">
        <v>45481</v>
      </c>
      <c r="B191" s="3">
        <f t="shared" si="10"/>
        <v>2024</v>
      </c>
      <c r="C191" s="3">
        <f t="shared" si="11"/>
        <v>7</v>
      </c>
      <c r="D191" s="3" t="str">
        <f t="shared" si="12"/>
        <v>Mon</v>
      </c>
      <c r="E191" s="3">
        <f t="shared" si="13"/>
        <v>0</v>
      </c>
      <c r="F191" s="3">
        <f t="shared" si="14"/>
        <v>0</v>
      </c>
      <c r="G191" s="3" t="str">
        <f t="array" ref="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3">
        <f>COUNTIF(Events!$A$2:$A$397,$A191)</f>
        <v>0</v>
      </c>
      <c r="I191" s="25" t="str">
        <f t="array" ref="I191">_xlfn.TEXTJOIN(" | ",TRUE(),IF(Events!$A$2:$A$397=$A191,Events!$E$2:$E$397&amp;IF(Events!$G$2:$G$397="National",""," ["&amp;Events!$G$2:$G$397&amp;"]"),""))</f>
        <v/>
      </c>
    </row>
    <row r="192" spans="1:9" ht="15" customHeight="1" x14ac:dyDescent="0.35">
      <c r="A192" s="2">
        <v>45482</v>
      </c>
      <c r="B192" s="3">
        <f t="shared" si="10"/>
        <v>2024</v>
      </c>
      <c r="C192" s="3">
        <f t="shared" si="11"/>
        <v>7</v>
      </c>
      <c r="D192" s="3" t="str">
        <f t="shared" si="12"/>
        <v>Tue</v>
      </c>
      <c r="E192" s="3">
        <f t="shared" si="13"/>
        <v>0</v>
      </c>
      <c r="F192" s="3">
        <f t="shared" si="14"/>
        <v>0</v>
      </c>
      <c r="G192" s="3" t="str">
        <f t="array" ref="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v>
      </c>
      <c r="H192" s="3">
        <f>COUNTIF(Events!$A$2:$A$397,$A192)</f>
        <v>1</v>
      </c>
      <c r="I192" s="25" t="str">
        <f t="array" ref="I192">_xlfn.TEXTJOIN(" | ",TRUE(),IF(Events!$A$2:$A$397=$A192,Events!$E$2:$E$397&amp;IF(Events!$G$2:$G$397="National",""," ["&amp;Events!$G$2:$G$397&amp;"]"),""))</f>
        <v>Following SCAN/Elevance rulings, CMS recalculates 2024 Star Ratings industry-wide: 60+ plans across 40 insurers upgraded, ~$1.4B in additional quality bonus payments (date approximate - recalc rolled out late June/early July)</v>
      </c>
    </row>
    <row r="193" spans="1:9" ht="15" customHeight="1" x14ac:dyDescent="0.35">
      <c r="A193" s="2">
        <v>45483</v>
      </c>
      <c r="B193" s="3">
        <f t="shared" si="10"/>
        <v>2024</v>
      </c>
      <c r="C193" s="3">
        <f t="shared" si="11"/>
        <v>7</v>
      </c>
      <c r="D193" s="3" t="str">
        <f t="shared" si="12"/>
        <v>Wed</v>
      </c>
      <c r="E193" s="3">
        <f t="shared" si="13"/>
        <v>0</v>
      </c>
      <c r="F193" s="3">
        <f t="shared" si="14"/>
        <v>0</v>
      </c>
      <c r="G193" s="3" t="str">
        <f t="array" ref="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v>
      </c>
      <c r="H193" s="3">
        <f>COUNTIF(Events!$A$2:$A$397,$A193)</f>
        <v>0</v>
      </c>
      <c r="I193" s="25" t="str">
        <f t="array" ref="I193">_xlfn.TEXTJOIN(" | ",TRUE(),IF(Events!$A$2:$A$397=$A193,Events!$E$2:$E$397&amp;IF(Events!$G$2:$G$397="National",""," ["&amp;Events!$G$2:$G$397&amp;"]"),""))</f>
        <v/>
      </c>
    </row>
    <row r="194" spans="1:9" ht="15" customHeight="1" x14ac:dyDescent="0.35">
      <c r="A194" s="2">
        <v>45484</v>
      </c>
      <c r="B194" s="3">
        <f t="shared" ref="B194:B257" si="15">YEAR($A194)</f>
        <v>2024</v>
      </c>
      <c r="C194" s="3">
        <f t="shared" ref="C194:C257" si="16">MONTH($A194)</f>
        <v>7</v>
      </c>
      <c r="D194" s="3" t="str">
        <f t="shared" ref="D194:D257" si="17">TEXT($A194,"ddd")</f>
        <v>Thu</v>
      </c>
      <c r="E194" s="3">
        <f t="shared" ref="E194:E257" si="18">IF(OR(AND(MONTH($A194)=10,DAY($A194)&gt;=15),MONTH($A194)=11,AND(MONTH($A194)=12,DAY($A194)&lt;=7)),1,0)</f>
        <v>0</v>
      </c>
      <c r="F194" s="3">
        <f t="shared" ref="F194:F257" si="19">IF(MONTH($A194)&lt;=3,1,0)</f>
        <v>0</v>
      </c>
      <c r="G194" s="3" t="str">
        <f t="array" ref="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3">
        <f>COUNTIF(Events!$A$2:$A$397,$A194)</f>
        <v>0</v>
      </c>
      <c r="I194" s="25" t="str">
        <f t="array" ref="I194">_xlfn.TEXTJOIN(" | ",TRUE(),IF(Events!$A$2:$A$397=$A194,Events!$E$2:$E$397&amp;IF(Events!$G$2:$G$397="National",""," ["&amp;Events!$G$2:$G$397&amp;"]"),""))</f>
        <v/>
      </c>
    </row>
    <row r="195" spans="1:9" ht="15" customHeight="1" x14ac:dyDescent="0.35">
      <c r="A195" s="2">
        <v>45485</v>
      </c>
      <c r="B195" s="3">
        <f t="shared" si="15"/>
        <v>2024</v>
      </c>
      <c r="C195" s="3">
        <f t="shared" si="16"/>
        <v>7</v>
      </c>
      <c r="D195" s="3" t="str">
        <f t="shared" si="17"/>
        <v>Fri</v>
      </c>
      <c r="E195" s="3">
        <f t="shared" si="18"/>
        <v>0</v>
      </c>
      <c r="F195" s="3">
        <f t="shared" si="19"/>
        <v>0</v>
      </c>
      <c r="G195" s="3" t="str">
        <f t="array" ref="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3">
        <f>COUNTIF(Events!$A$2:$A$397,$A195)</f>
        <v>0</v>
      </c>
      <c r="I195" s="25" t="str">
        <f t="array" ref="I195">_xlfn.TEXTJOIN(" | ",TRUE(),IF(Events!$A$2:$A$397=$A195,Events!$E$2:$E$397&amp;IF(Events!$G$2:$G$397="National",""," ["&amp;Events!$G$2:$G$397&amp;"]"),""))</f>
        <v/>
      </c>
    </row>
    <row r="196" spans="1:9" ht="15" customHeight="1" x14ac:dyDescent="0.35">
      <c r="A196" s="2">
        <v>45486</v>
      </c>
      <c r="B196" s="3">
        <f t="shared" si="15"/>
        <v>2024</v>
      </c>
      <c r="C196" s="3">
        <f t="shared" si="16"/>
        <v>7</v>
      </c>
      <c r="D196" s="3" t="str">
        <f t="shared" si="17"/>
        <v>Sat</v>
      </c>
      <c r="E196" s="3">
        <f t="shared" si="18"/>
        <v>0</v>
      </c>
      <c r="F196" s="3">
        <f t="shared" si="19"/>
        <v>0</v>
      </c>
      <c r="G196" s="3" t="str">
        <f t="array" ref="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3">
        <f>COUNTIF(Events!$A$2:$A$397,$A196)</f>
        <v>0</v>
      </c>
      <c r="I196" s="25" t="str">
        <f t="array" ref="I196">_xlfn.TEXTJOIN(" | ",TRUE(),IF(Events!$A$2:$A$397=$A196,Events!$E$2:$E$397&amp;IF(Events!$G$2:$G$397="National",""," ["&amp;Events!$G$2:$G$397&amp;"]"),""))</f>
        <v/>
      </c>
    </row>
    <row r="197" spans="1:9" ht="15" customHeight="1" x14ac:dyDescent="0.35">
      <c r="A197" s="2">
        <v>45487</v>
      </c>
      <c r="B197" s="3">
        <f t="shared" si="15"/>
        <v>2024</v>
      </c>
      <c r="C197" s="3">
        <f t="shared" si="16"/>
        <v>7</v>
      </c>
      <c r="D197" s="3" t="str">
        <f t="shared" si="17"/>
        <v>Sun</v>
      </c>
      <c r="E197" s="3">
        <f t="shared" si="18"/>
        <v>0</v>
      </c>
      <c r="F197" s="3">
        <f t="shared" si="19"/>
        <v>0</v>
      </c>
      <c r="G197" s="3" t="str">
        <f t="array" ref="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3">
        <f>COUNTIF(Events!$A$2:$A$397,$A197)</f>
        <v>0</v>
      </c>
      <c r="I197" s="25" t="str">
        <f t="array" ref="I197">_xlfn.TEXTJOIN(" | ",TRUE(),IF(Events!$A$2:$A$397=$A197,Events!$E$2:$E$397&amp;IF(Events!$G$2:$G$397="National",""," ["&amp;Events!$G$2:$G$397&amp;"]"),""))</f>
        <v/>
      </c>
    </row>
    <row r="198" spans="1:9" ht="15" customHeight="1" x14ac:dyDescent="0.35">
      <c r="A198" s="2">
        <v>45488</v>
      </c>
      <c r="B198" s="3">
        <f t="shared" si="15"/>
        <v>2024</v>
      </c>
      <c r="C198" s="3">
        <f t="shared" si="16"/>
        <v>7</v>
      </c>
      <c r="D198" s="3" t="str">
        <f t="shared" si="17"/>
        <v>Mon</v>
      </c>
      <c r="E198" s="3">
        <f t="shared" si="18"/>
        <v>0</v>
      </c>
      <c r="F198" s="3">
        <f t="shared" si="19"/>
        <v>0</v>
      </c>
      <c r="G198" s="3" t="str">
        <f t="array" ref="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3">
        <f>COUNTIF(Events!$A$2:$A$397,$A198)</f>
        <v>0</v>
      </c>
      <c r="I198" s="25" t="str">
        <f t="array" ref="I198">_xlfn.TEXTJOIN(" | ",TRUE(),IF(Events!$A$2:$A$397=$A198,Events!$E$2:$E$397&amp;IF(Events!$G$2:$G$397="National",""," ["&amp;Events!$G$2:$G$397&amp;"]"),""))</f>
        <v/>
      </c>
    </row>
    <row r="199" spans="1:9" ht="15" customHeight="1" x14ac:dyDescent="0.35">
      <c r="A199" s="2">
        <v>45489</v>
      </c>
      <c r="B199" s="3">
        <f t="shared" si="15"/>
        <v>2024</v>
      </c>
      <c r="C199" s="3">
        <f t="shared" si="16"/>
        <v>7</v>
      </c>
      <c r="D199" s="3" t="str">
        <f t="shared" si="17"/>
        <v>Tue</v>
      </c>
      <c r="E199" s="3">
        <f t="shared" si="18"/>
        <v>0</v>
      </c>
      <c r="F199" s="3">
        <f t="shared" si="19"/>
        <v>0</v>
      </c>
      <c r="G199" s="3" t="str">
        <f t="array" ref="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3">
        <f>COUNTIF(Events!$A$2:$A$397,$A199)</f>
        <v>0</v>
      </c>
      <c r="I199" s="25" t="str">
        <f t="array" ref="I199">_xlfn.TEXTJOIN(" | ",TRUE(),IF(Events!$A$2:$A$397=$A199,Events!$E$2:$E$397&amp;IF(Events!$G$2:$G$397="National",""," ["&amp;Events!$G$2:$G$397&amp;"]"),""))</f>
        <v/>
      </c>
    </row>
    <row r="200" spans="1:9" ht="15" customHeight="1" x14ac:dyDescent="0.35">
      <c r="A200" s="2">
        <v>45490</v>
      </c>
      <c r="B200" s="3">
        <f t="shared" si="15"/>
        <v>2024</v>
      </c>
      <c r="C200" s="3">
        <f t="shared" si="16"/>
        <v>7</v>
      </c>
      <c r="D200" s="3" t="str">
        <f t="shared" si="17"/>
        <v>Wed</v>
      </c>
      <c r="E200" s="3">
        <f t="shared" si="18"/>
        <v>0</v>
      </c>
      <c r="F200" s="3">
        <f t="shared" si="19"/>
        <v>0</v>
      </c>
      <c r="G200" s="3" t="str">
        <f t="array" ref="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3">
        <f>COUNTIF(Events!$A$2:$A$397,$A200)</f>
        <v>0</v>
      </c>
      <c r="I200" s="25" t="str">
        <f t="array" ref="I200">_xlfn.TEXTJOIN(" | ",TRUE(),IF(Events!$A$2:$A$397=$A200,Events!$E$2:$E$397&amp;IF(Events!$G$2:$G$397="National",""," ["&amp;Events!$G$2:$G$397&amp;"]"),""))</f>
        <v/>
      </c>
    </row>
    <row r="201" spans="1:9" ht="15" customHeight="1" x14ac:dyDescent="0.35">
      <c r="A201" s="2">
        <v>45491</v>
      </c>
      <c r="B201" s="3">
        <f t="shared" si="15"/>
        <v>2024</v>
      </c>
      <c r="C201" s="3">
        <f t="shared" si="16"/>
        <v>7</v>
      </c>
      <c r="D201" s="3" t="str">
        <f t="shared" si="17"/>
        <v>Thu</v>
      </c>
      <c r="E201" s="3">
        <f t="shared" si="18"/>
        <v>0</v>
      </c>
      <c r="F201" s="3">
        <f t="shared" si="19"/>
        <v>0</v>
      </c>
      <c r="G201" s="3" t="str">
        <f t="array" ref="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3">
        <f>COUNTIF(Events!$A$2:$A$397,$A201)</f>
        <v>0</v>
      </c>
      <c r="I201" s="25" t="str">
        <f t="array" ref="I201">_xlfn.TEXTJOIN(" | ",TRUE(),IF(Events!$A$2:$A$397=$A201,Events!$E$2:$E$397&amp;IF(Events!$G$2:$G$397="National",""," ["&amp;Events!$G$2:$G$397&amp;"]"),""))</f>
        <v/>
      </c>
    </row>
    <row r="202" spans="1:9" ht="15" customHeight="1" x14ac:dyDescent="0.35">
      <c r="A202" s="2">
        <v>45492</v>
      </c>
      <c r="B202" s="3">
        <f t="shared" si="15"/>
        <v>2024</v>
      </c>
      <c r="C202" s="3">
        <f t="shared" si="16"/>
        <v>7</v>
      </c>
      <c r="D202" s="3" t="str">
        <f t="shared" si="17"/>
        <v>Fri</v>
      </c>
      <c r="E202" s="3">
        <f t="shared" si="18"/>
        <v>0</v>
      </c>
      <c r="F202" s="3">
        <f t="shared" si="19"/>
        <v>0</v>
      </c>
      <c r="G202" s="3" t="str">
        <f t="array" ref="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3">
        <f>COUNTIF(Events!$A$2:$A$397,$A202)</f>
        <v>0</v>
      </c>
      <c r="I202" s="25" t="str">
        <f t="array" ref="I202">_xlfn.TEXTJOIN(" | ",TRUE(),IF(Events!$A$2:$A$397=$A202,Events!$E$2:$E$397&amp;IF(Events!$G$2:$G$397="National",""," ["&amp;Events!$G$2:$G$397&amp;"]"),""))</f>
        <v/>
      </c>
    </row>
    <row r="203" spans="1:9" ht="15" customHeight="1" x14ac:dyDescent="0.35">
      <c r="A203" s="2">
        <v>45493</v>
      </c>
      <c r="B203" s="3">
        <f t="shared" si="15"/>
        <v>2024</v>
      </c>
      <c r="C203" s="3">
        <f t="shared" si="16"/>
        <v>7</v>
      </c>
      <c r="D203" s="3" t="str">
        <f t="shared" si="17"/>
        <v>Sat</v>
      </c>
      <c r="E203" s="3">
        <f t="shared" si="18"/>
        <v>0</v>
      </c>
      <c r="F203" s="3">
        <f t="shared" si="19"/>
        <v>0</v>
      </c>
      <c r="G203" s="3" t="str">
        <f t="array" ref="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3">
        <f>COUNTIF(Events!$A$2:$A$397,$A203)</f>
        <v>0</v>
      </c>
      <c r="I203" s="25" t="str">
        <f t="array" ref="I203">_xlfn.TEXTJOIN(" | ",TRUE(),IF(Events!$A$2:$A$397=$A203,Events!$E$2:$E$397&amp;IF(Events!$G$2:$G$397="National",""," ["&amp;Events!$G$2:$G$397&amp;"]"),""))</f>
        <v/>
      </c>
    </row>
    <row r="204" spans="1:9" ht="15" customHeight="1" x14ac:dyDescent="0.35">
      <c r="A204" s="2">
        <v>45494</v>
      </c>
      <c r="B204" s="3">
        <f t="shared" si="15"/>
        <v>2024</v>
      </c>
      <c r="C204" s="3">
        <f t="shared" si="16"/>
        <v>7</v>
      </c>
      <c r="D204" s="3" t="str">
        <f t="shared" si="17"/>
        <v>Sun</v>
      </c>
      <c r="E204" s="3">
        <f t="shared" si="18"/>
        <v>0</v>
      </c>
      <c r="F204" s="3">
        <f t="shared" si="19"/>
        <v>0</v>
      </c>
      <c r="G204" s="3" t="str">
        <f t="array" ref="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3">
        <f>COUNTIF(Events!$A$2:$A$397,$A204)</f>
        <v>0</v>
      </c>
      <c r="I204" s="25" t="str">
        <f t="array" ref="I204">_xlfn.TEXTJOIN(" | ",TRUE(),IF(Events!$A$2:$A$397=$A204,Events!$E$2:$E$397&amp;IF(Events!$G$2:$G$397="National",""," ["&amp;Events!$G$2:$G$397&amp;"]"),""))</f>
        <v/>
      </c>
    </row>
    <row r="205" spans="1:9" ht="15" customHeight="1" x14ac:dyDescent="0.35">
      <c r="A205" s="2">
        <v>45495</v>
      </c>
      <c r="B205" s="3">
        <f t="shared" si="15"/>
        <v>2024</v>
      </c>
      <c r="C205" s="3">
        <f t="shared" si="16"/>
        <v>7</v>
      </c>
      <c r="D205" s="3" t="str">
        <f t="shared" si="17"/>
        <v>Mon</v>
      </c>
      <c r="E205" s="3">
        <f t="shared" si="18"/>
        <v>0</v>
      </c>
      <c r="F205" s="3">
        <f t="shared" si="19"/>
        <v>0</v>
      </c>
      <c r="G205" s="3" t="str">
        <f t="array" ref="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3">
        <f>COUNTIF(Events!$A$2:$A$397,$A205)</f>
        <v>0</v>
      </c>
      <c r="I205" s="25" t="str">
        <f t="array" ref="I205">_xlfn.TEXTJOIN(" | ",TRUE(),IF(Events!$A$2:$A$397=$A205,Events!$E$2:$E$397&amp;IF(Events!$G$2:$G$397="National",""," ["&amp;Events!$G$2:$G$397&amp;"]"),""))</f>
        <v/>
      </c>
    </row>
    <row r="206" spans="1:9" ht="15" customHeight="1" x14ac:dyDescent="0.35">
      <c r="A206" s="2">
        <v>45496</v>
      </c>
      <c r="B206" s="3">
        <f t="shared" si="15"/>
        <v>2024</v>
      </c>
      <c r="C206" s="3">
        <f t="shared" si="16"/>
        <v>7</v>
      </c>
      <c r="D206" s="3" t="str">
        <f t="shared" si="17"/>
        <v>Tue</v>
      </c>
      <c r="E206" s="3">
        <f t="shared" si="18"/>
        <v>0</v>
      </c>
      <c r="F206" s="3">
        <f t="shared" si="19"/>
        <v>0</v>
      </c>
      <c r="G206" s="3" t="str">
        <f t="array" ref="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3">
        <f>COUNTIF(Events!$A$2:$A$397,$A206)</f>
        <v>0</v>
      </c>
      <c r="I206" s="25" t="str">
        <f t="array" ref="I206">_xlfn.TEXTJOIN(" | ",TRUE(),IF(Events!$A$2:$A$397=$A206,Events!$E$2:$E$397&amp;IF(Events!$G$2:$G$397="National",""," ["&amp;Events!$G$2:$G$397&amp;"]"),""))</f>
        <v/>
      </c>
    </row>
    <row r="207" spans="1:9" ht="15" customHeight="1" x14ac:dyDescent="0.35">
      <c r="A207" s="2">
        <v>45497</v>
      </c>
      <c r="B207" s="3">
        <f t="shared" si="15"/>
        <v>2024</v>
      </c>
      <c r="C207" s="3">
        <f t="shared" si="16"/>
        <v>7</v>
      </c>
      <c r="D207" s="3" t="str">
        <f t="shared" si="17"/>
        <v>Wed</v>
      </c>
      <c r="E207" s="3">
        <f t="shared" si="18"/>
        <v>0</v>
      </c>
      <c r="F207" s="3">
        <f t="shared" si="19"/>
        <v>0</v>
      </c>
      <c r="G207" s="3" t="str">
        <f t="array" ref="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3">
        <f>COUNTIF(Events!$A$2:$A$397,$A207)</f>
        <v>0</v>
      </c>
      <c r="I207" s="25" t="str">
        <f t="array" ref="I207">_xlfn.TEXTJOIN(" | ",TRUE(),IF(Events!$A$2:$A$397=$A207,Events!$E$2:$E$397&amp;IF(Events!$G$2:$G$397="National",""," ["&amp;Events!$G$2:$G$397&amp;"]"),""))</f>
        <v/>
      </c>
    </row>
    <row r="208" spans="1:9" ht="15" customHeight="1" x14ac:dyDescent="0.35">
      <c r="A208" s="2">
        <v>45498</v>
      </c>
      <c r="B208" s="3">
        <f t="shared" si="15"/>
        <v>2024</v>
      </c>
      <c r="C208" s="3">
        <f t="shared" si="16"/>
        <v>7</v>
      </c>
      <c r="D208" s="3" t="str">
        <f t="shared" si="17"/>
        <v>Thu</v>
      </c>
      <c r="E208" s="3">
        <f t="shared" si="18"/>
        <v>0</v>
      </c>
      <c r="F208" s="3">
        <f t="shared" si="19"/>
        <v>0</v>
      </c>
      <c r="G208" s="3" t="str">
        <f t="array" ref="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3">
        <f>COUNTIF(Events!$A$2:$A$397,$A208)</f>
        <v>0</v>
      </c>
      <c r="I208" s="25" t="str">
        <f t="array" ref="I208">_xlfn.TEXTJOIN(" | ",TRUE(),IF(Events!$A$2:$A$397=$A208,Events!$E$2:$E$397&amp;IF(Events!$G$2:$G$397="National",""," ["&amp;Events!$G$2:$G$397&amp;"]"),""))</f>
        <v/>
      </c>
    </row>
    <row r="209" spans="1:9" ht="15" customHeight="1" x14ac:dyDescent="0.35">
      <c r="A209" s="2">
        <v>45499</v>
      </c>
      <c r="B209" s="3">
        <f t="shared" si="15"/>
        <v>2024</v>
      </c>
      <c r="C209" s="3">
        <f t="shared" si="16"/>
        <v>7</v>
      </c>
      <c r="D209" s="3" t="str">
        <f t="shared" si="17"/>
        <v>Fri</v>
      </c>
      <c r="E209" s="3">
        <f t="shared" si="18"/>
        <v>0</v>
      </c>
      <c r="F209" s="3">
        <f t="shared" si="19"/>
        <v>0</v>
      </c>
      <c r="G209" s="3" t="str">
        <f t="array" ref="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3">
        <f>COUNTIF(Events!$A$2:$A$397,$A209)</f>
        <v>0</v>
      </c>
      <c r="I209" s="25" t="str">
        <f t="array" ref="I209">_xlfn.TEXTJOIN(" | ",TRUE(),IF(Events!$A$2:$A$397=$A209,Events!$E$2:$E$397&amp;IF(Events!$G$2:$G$397="National",""," ["&amp;Events!$G$2:$G$397&amp;"]"),""))</f>
        <v/>
      </c>
    </row>
    <row r="210" spans="1:9" ht="15" customHeight="1" x14ac:dyDescent="0.35">
      <c r="A210" s="2">
        <v>45500</v>
      </c>
      <c r="B210" s="3">
        <f t="shared" si="15"/>
        <v>2024</v>
      </c>
      <c r="C210" s="3">
        <f t="shared" si="16"/>
        <v>7</v>
      </c>
      <c r="D210" s="3" t="str">
        <f t="shared" si="17"/>
        <v>Sat</v>
      </c>
      <c r="E210" s="3">
        <f t="shared" si="18"/>
        <v>0</v>
      </c>
      <c r="F210" s="3">
        <f t="shared" si="19"/>
        <v>0</v>
      </c>
      <c r="G210" s="3" t="str">
        <f t="array" ref="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3">
        <f>COUNTIF(Events!$A$2:$A$397,$A210)</f>
        <v>0</v>
      </c>
      <c r="I210" s="25" t="str">
        <f t="array" ref="I210">_xlfn.TEXTJOIN(" | ",TRUE(),IF(Events!$A$2:$A$397=$A210,Events!$E$2:$E$397&amp;IF(Events!$G$2:$G$397="National",""," ["&amp;Events!$G$2:$G$397&amp;"]"),""))</f>
        <v/>
      </c>
    </row>
    <row r="211" spans="1:9" ht="15" customHeight="1" x14ac:dyDescent="0.35">
      <c r="A211" s="2">
        <v>45501</v>
      </c>
      <c r="B211" s="3">
        <f t="shared" si="15"/>
        <v>2024</v>
      </c>
      <c r="C211" s="3">
        <f t="shared" si="16"/>
        <v>7</v>
      </c>
      <c r="D211" s="3" t="str">
        <f t="shared" si="17"/>
        <v>Sun</v>
      </c>
      <c r="E211" s="3">
        <f t="shared" si="18"/>
        <v>0</v>
      </c>
      <c r="F211" s="3">
        <f t="shared" si="19"/>
        <v>0</v>
      </c>
      <c r="G211" s="3" t="str">
        <f t="array" ref="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3">
        <f>COUNTIF(Events!$A$2:$A$397,$A211)</f>
        <v>0</v>
      </c>
      <c r="I211" s="25" t="str">
        <f t="array" ref="I211">_xlfn.TEXTJOIN(" | ",TRUE(),IF(Events!$A$2:$A$397=$A211,Events!$E$2:$E$397&amp;IF(Events!$G$2:$G$397="National",""," ["&amp;Events!$G$2:$G$397&amp;"]"),""))</f>
        <v/>
      </c>
    </row>
    <row r="212" spans="1:9" ht="15" customHeight="1" x14ac:dyDescent="0.35">
      <c r="A212" s="2">
        <v>45502</v>
      </c>
      <c r="B212" s="3">
        <f t="shared" si="15"/>
        <v>2024</v>
      </c>
      <c r="C212" s="3">
        <f t="shared" si="16"/>
        <v>7</v>
      </c>
      <c r="D212" s="3" t="str">
        <f t="shared" si="17"/>
        <v>Mon</v>
      </c>
      <c r="E212" s="3">
        <f t="shared" si="18"/>
        <v>0</v>
      </c>
      <c r="F212" s="3">
        <f t="shared" si="19"/>
        <v>0</v>
      </c>
      <c r="G212" s="3" t="str">
        <f t="array" ref="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3">
        <f>COUNTIF(Events!$A$2:$A$397,$A212)</f>
        <v>0</v>
      </c>
      <c r="I212" s="25" t="str">
        <f t="array" ref="I212">_xlfn.TEXTJOIN(" | ",TRUE(),IF(Events!$A$2:$A$397=$A212,Events!$E$2:$E$397&amp;IF(Events!$G$2:$G$397="National",""," ["&amp;Events!$G$2:$G$397&amp;"]"),""))</f>
        <v/>
      </c>
    </row>
    <row r="213" spans="1:9" ht="15" customHeight="1" x14ac:dyDescent="0.35">
      <c r="A213" s="2">
        <v>45503</v>
      </c>
      <c r="B213" s="3">
        <f t="shared" si="15"/>
        <v>2024</v>
      </c>
      <c r="C213" s="3">
        <f t="shared" si="16"/>
        <v>7</v>
      </c>
      <c r="D213" s="3" t="str">
        <f t="shared" si="17"/>
        <v>Tue</v>
      </c>
      <c r="E213" s="3">
        <f t="shared" si="18"/>
        <v>0</v>
      </c>
      <c r="F213" s="3">
        <f t="shared" si="19"/>
        <v>0</v>
      </c>
      <c r="G213" s="3" t="str">
        <f t="array" ref="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3">
        <f>COUNTIF(Events!$A$2:$A$397,$A213)</f>
        <v>0</v>
      </c>
      <c r="I213" s="25" t="str">
        <f t="array" ref="I213">_xlfn.TEXTJOIN(" | ",TRUE(),IF(Events!$A$2:$A$397=$A213,Events!$E$2:$E$397&amp;IF(Events!$G$2:$G$397="National",""," ["&amp;Events!$G$2:$G$397&amp;"]"),""))</f>
        <v/>
      </c>
    </row>
    <row r="214" spans="1:9" ht="15" customHeight="1" x14ac:dyDescent="0.35">
      <c r="A214" s="2">
        <v>45504</v>
      </c>
      <c r="B214" s="3">
        <f t="shared" si="15"/>
        <v>2024</v>
      </c>
      <c r="C214" s="3">
        <f t="shared" si="16"/>
        <v>7</v>
      </c>
      <c r="D214" s="3" t="str">
        <f t="shared" si="17"/>
        <v>Wed</v>
      </c>
      <c r="E214" s="3">
        <f t="shared" si="18"/>
        <v>0</v>
      </c>
      <c r="F214" s="3">
        <f t="shared" si="19"/>
        <v>0</v>
      </c>
      <c r="G214" s="3" t="str">
        <f t="array" ref="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 | Disaster SEP ended: Severe Storm [MT] DR-4801 | Disaster SEP ended: Severe Storm [TN] DR-4792 | Disaster SEP ended: Severe Storm [FL] DR-4794</v>
      </c>
      <c r="H214" s="3">
        <f>COUNTIF(Events!$A$2:$A$397,$A214)</f>
        <v>0</v>
      </c>
      <c r="I214" s="25" t="str">
        <f t="array" ref="I214">_xlfn.TEXTJOIN(" | ",TRUE(),IF(Events!$A$2:$A$397=$A214,Events!$E$2:$E$397&amp;IF(Events!$G$2:$G$397="National",""," ["&amp;Events!$G$2:$G$397&amp;"]"),""))</f>
        <v/>
      </c>
    </row>
    <row r="215" spans="1:9" ht="15" customHeight="1" x14ac:dyDescent="0.35">
      <c r="A215" s="2">
        <v>45505</v>
      </c>
      <c r="B215" s="3">
        <f t="shared" si="15"/>
        <v>2024</v>
      </c>
      <c r="C215" s="3">
        <f t="shared" si="16"/>
        <v>8</v>
      </c>
      <c r="D215" s="3" t="str">
        <f t="shared" si="17"/>
        <v>Thu</v>
      </c>
      <c r="E215" s="3">
        <f t="shared" si="18"/>
        <v>0</v>
      </c>
      <c r="F215" s="3">
        <f t="shared" si="19"/>
        <v>0</v>
      </c>
      <c r="G215" s="3" t="str">
        <f t="array" ref="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3">
        <f>COUNTIF(Events!$A$2:$A$397,$A215)</f>
        <v>0</v>
      </c>
      <c r="I215" s="25" t="str">
        <f t="array" ref="I215">_xlfn.TEXTJOIN(" | ",TRUE(),IF(Events!$A$2:$A$397=$A215,Events!$E$2:$E$397&amp;IF(Events!$G$2:$G$397="National",""," ["&amp;Events!$G$2:$G$397&amp;"]"),""))</f>
        <v/>
      </c>
    </row>
    <row r="216" spans="1:9" ht="15" customHeight="1" x14ac:dyDescent="0.35">
      <c r="A216" s="2">
        <v>45506</v>
      </c>
      <c r="B216" s="3">
        <f t="shared" si="15"/>
        <v>2024</v>
      </c>
      <c r="C216" s="3">
        <f t="shared" si="16"/>
        <v>8</v>
      </c>
      <c r="D216" s="3" t="str">
        <f t="shared" si="17"/>
        <v>Fri</v>
      </c>
      <c r="E216" s="3">
        <f t="shared" si="18"/>
        <v>0</v>
      </c>
      <c r="F216" s="3">
        <f t="shared" si="19"/>
        <v>0</v>
      </c>
      <c r="G216" s="3" t="str">
        <f t="array" ref="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3">
        <f>COUNTIF(Events!$A$2:$A$397,$A216)</f>
        <v>0</v>
      </c>
      <c r="I216" s="25" t="str">
        <f t="array" ref="I216">_xlfn.TEXTJOIN(" | ",TRUE(),IF(Events!$A$2:$A$397=$A216,Events!$E$2:$E$397&amp;IF(Events!$G$2:$G$397="National",""," ["&amp;Events!$G$2:$G$397&amp;"]"),""))</f>
        <v/>
      </c>
    </row>
    <row r="217" spans="1:9" ht="15" customHeight="1" x14ac:dyDescent="0.35">
      <c r="A217" s="2">
        <v>45507</v>
      </c>
      <c r="B217" s="3">
        <f t="shared" si="15"/>
        <v>2024</v>
      </c>
      <c r="C217" s="3">
        <f t="shared" si="16"/>
        <v>8</v>
      </c>
      <c r="D217" s="3" t="str">
        <f t="shared" si="17"/>
        <v>Sat</v>
      </c>
      <c r="E217" s="3">
        <f t="shared" si="18"/>
        <v>0</v>
      </c>
      <c r="F217" s="3">
        <f t="shared" si="19"/>
        <v>0</v>
      </c>
      <c r="G217" s="3" t="str">
        <f t="array" ref="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3">
        <f>COUNTIF(Events!$A$2:$A$397,$A217)</f>
        <v>0</v>
      </c>
      <c r="I217" s="25" t="str">
        <f t="array" ref="I217">_xlfn.TEXTJOIN(" | ",TRUE(),IF(Events!$A$2:$A$397=$A217,Events!$E$2:$E$397&amp;IF(Events!$G$2:$G$397="National",""," ["&amp;Events!$G$2:$G$397&amp;"]"),""))</f>
        <v/>
      </c>
    </row>
    <row r="218" spans="1:9" ht="15" customHeight="1" x14ac:dyDescent="0.35">
      <c r="A218" s="2">
        <v>45508</v>
      </c>
      <c r="B218" s="3">
        <f t="shared" si="15"/>
        <v>2024</v>
      </c>
      <c r="C218" s="3">
        <f t="shared" si="16"/>
        <v>8</v>
      </c>
      <c r="D218" s="3" t="str">
        <f t="shared" si="17"/>
        <v>Sun</v>
      </c>
      <c r="E218" s="3">
        <f t="shared" si="18"/>
        <v>0</v>
      </c>
      <c r="F218" s="3">
        <f t="shared" si="19"/>
        <v>0</v>
      </c>
      <c r="G218" s="3" t="str">
        <f t="array" ref="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3">
        <f>COUNTIF(Events!$A$2:$A$397,$A218)</f>
        <v>0</v>
      </c>
      <c r="I218" s="25" t="str">
        <f t="array" ref="I218">_xlfn.TEXTJOIN(" | ",TRUE(),IF(Events!$A$2:$A$397=$A218,Events!$E$2:$E$397&amp;IF(Events!$G$2:$G$397="National",""," ["&amp;Events!$G$2:$G$397&amp;"]"),""))</f>
        <v/>
      </c>
    </row>
    <row r="219" spans="1:9" ht="15" customHeight="1" x14ac:dyDescent="0.35">
      <c r="A219" s="2">
        <v>45509</v>
      </c>
      <c r="B219" s="3">
        <f t="shared" si="15"/>
        <v>2024</v>
      </c>
      <c r="C219" s="3">
        <f t="shared" si="16"/>
        <v>8</v>
      </c>
      <c r="D219" s="3" t="str">
        <f t="shared" si="17"/>
        <v>Mon</v>
      </c>
      <c r="E219" s="3">
        <f t="shared" si="18"/>
        <v>0</v>
      </c>
      <c r="F219" s="3">
        <f t="shared" si="19"/>
        <v>0</v>
      </c>
      <c r="G219" s="3" t="str">
        <f t="array" ref="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v>
      </c>
      <c r="H219" s="3">
        <f>COUNTIF(Events!$A$2:$A$397,$A219)</f>
        <v>0</v>
      </c>
      <c r="I219" s="25" t="str">
        <f t="array" ref="I219">_xlfn.TEXTJOIN(" | ",TRUE(),IF(Events!$A$2:$A$397=$A219,Events!$E$2:$E$397&amp;IF(Events!$G$2:$G$397="National",""," ["&amp;Events!$G$2:$G$397&amp;"]"),""))</f>
        <v/>
      </c>
    </row>
    <row r="220" spans="1:9" ht="15" customHeight="1" x14ac:dyDescent="0.35">
      <c r="A220" s="2">
        <v>45510</v>
      </c>
      <c r="B220" s="3">
        <f t="shared" si="15"/>
        <v>2024</v>
      </c>
      <c r="C220" s="3">
        <f t="shared" si="16"/>
        <v>8</v>
      </c>
      <c r="D220" s="3" t="str">
        <f t="shared" si="17"/>
        <v>Tue</v>
      </c>
      <c r="E220" s="3">
        <f t="shared" si="18"/>
        <v>0</v>
      </c>
      <c r="F220" s="3">
        <f t="shared" si="19"/>
        <v>0</v>
      </c>
      <c r="G220" s="3" t="str">
        <f t="array" ref="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3">
        <f>COUNTIF(Events!$A$2:$A$397,$A220)</f>
        <v>0</v>
      </c>
      <c r="I220" s="25" t="str">
        <f t="array" ref="I220">_xlfn.TEXTJOIN(" | ",TRUE(),IF(Events!$A$2:$A$397=$A220,Events!$E$2:$E$397&amp;IF(Events!$G$2:$G$397="National",""," ["&amp;Events!$G$2:$G$397&amp;"]"),""))</f>
        <v/>
      </c>
    </row>
    <row r="221" spans="1:9" ht="15" customHeight="1" x14ac:dyDescent="0.35">
      <c r="A221" s="2">
        <v>45511</v>
      </c>
      <c r="B221" s="3">
        <f t="shared" si="15"/>
        <v>2024</v>
      </c>
      <c r="C221" s="3">
        <f t="shared" si="16"/>
        <v>8</v>
      </c>
      <c r="D221" s="3" t="str">
        <f t="shared" si="17"/>
        <v>Wed</v>
      </c>
      <c r="E221" s="3">
        <f t="shared" si="18"/>
        <v>0</v>
      </c>
      <c r="F221" s="3">
        <f t="shared" si="19"/>
        <v>0</v>
      </c>
      <c r="G221" s="3" t="str">
        <f t="array" ref="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3">
        <f>COUNTIF(Events!$A$2:$A$397,$A221)</f>
        <v>0</v>
      </c>
      <c r="I221" s="25" t="str">
        <f t="array" ref="I221">_xlfn.TEXTJOIN(" | ",TRUE(),IF(Events!$A$2:$A$397=$A221,Events!$E$2:$E$397&amp;IF(Events!$G$2:$G$397="National",""," ["&amp;Events!$G$2:$G$397&amp;"]"),""))</f>
        <v/>
      </c>
    </row>
    <row r="222" spans="1:9" ht="15" customHeight="1" x14ac:dyDescent="0.35">
      <c r="A222" s="2">
        <v>45512</v>
      </c>
      <c r="B222" s="3">
        <f t="shared" si="15"/>
        <v>2024</v>
      </c>
      <c r="C222" s="3">
        <f t="shared" si="16"/>
        <v>8</v>
      </c>
      <c r="D222" s="3" t="str">
        <f t="shared" si="17"/>
        <v>Thu</v>
      </c>
      <c r="E222" s="3">
        <f t="shared" si="18"/>
        <v>0</v>
      </c>
      <c r="F222" s="3">
        <f t="shared" si="19"/>
        <v>0</v>
      </c>
      <c r="G222" s="3" t="str">
        <f t="array" ref="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3">
        <f>COUNTIF(Events!$A$2:$A$397,$A222)</f>
        <v>0</v>
      </c>
      <c r="I222" s="25" t="str">
        <f t="array" ref="I222">_xlfn.TEXTJOIN(" | ",TRUE(),IF(Events!$A$2:$A$397=$A222,Events!$E$2:$E$397&amp;IF(Events!$G$2:$G$397="National",""," ["&amp;Events!$G$2:$G$397&amp;"]"),""))</f>
        <v/>
      </c>
    </row>
    <row r="223" spans="1:9" ht="15" customHeight="1" x14ac:dyDescent="0.35">
      <c r="A223" s="2">
        <v>45513</v>
      </c>
      <c r="B223" s="3">
        <f t="shared" si="15"/>
        <v>2024</v>
      </c>
      <c r="C223" s="3">
        <f t="shared" si="16"/>
        <v>8</v>
      </c>
      <c r="D223" s="3" t="str">
        <f t="shared" si="17"/>
        <v>Fri</v>
      </c>
      <c r="E223" s="3">
        <f t="shared" si="18"/>
        <v>0</v>
      </c>
      <c r="F223" s="3">
        <f t="shared" si="19"/>
        <v>0</v>
      </c>
      <c r="G223" s="3" t="str">
        <f t="array" ref="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3">
        <f>COUNTIF(Events!$A$2:$A$397,$A223)</f>
        <v>0</v>
      </c>
      <c r="I223" s="25" t="str">
        <f t="array" ref="I223">_xlfn.TEXTJOIN(" | ",TRUE(),IF(Events!$A$2:$A$397=$A223,Events!$E$2:$E$397&amp;IF(Events!$G$2:$G$397="National",""," ["&amp;Events!$G$2:$G$397&amp;"]"),""))</f>
        <v/>
      </c>
    </row>
    <row r="224" spans="1:9" ht="15" customHeight="1" x14ac:dyDescent="0.35">
      <c r="A224" s="2">
        <v>45514</v>
      </c>
      <c r="B224" s="3">
        <f t="shared" si="15"/>
        <v>2024</v>
      </c>
      <c r="C224" s="3">
        <f t="shared" si="16"/>
        <v>8</v>
      </c>
      <c r="D224" s="3" t="str">
        <f t="shared" si="17"/>
        <v>Sat</v>
      </c>
      <c r="E224" s="3">
        <f t="shared" si="18"/>
        <v>0</v>
      </c>
      <c r="F224" s="3">
        <f t="shared" si="19"/>
        <v>0</v>
      </c>
      <c r="G224" s="3" t="str">
        <f t="array" ref="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3">
        <f>COUNTIF(Events!$A$2:$A$397,$A224)</f>
        <v>0</v>
      </c>
      <c r="I224" s="25" t="str">
        <f t="array" ref="I224">_xlfn.TEXTJOIN(" | ",TRUE(),IF(Events!$A$2:$A$397=$A224,Events!$E$2:$E$397&amp;IF(Events!$G$2:$G$397="National",""," ["&amp;Events!$G$2:$G$397&amp;"]"),""))</f>
        <v/>
      </c>
    </row>
    <row r="225" spans="1:9" ht="15" customHeight="1" x14ac:dyDescent="0.35">
      <c r="A225" s="2">
        <v>45515</v>
      </c>
      <c r="B225" s="3">
        <f t="shared" si="15"/>
        <v>2024</v>
      </c>
      <c r="C225" s="3">
        <f t="shared" si="16"/>
        <v>8</v>
      </c>
      <c r="D225" s="3" t="str">
        <f t="shared" si="17"/>
        <v>Sun</v>
      </c>
      <c r="E225" s="3">
        <f t="shared" si="18"/>
        <v>0</v>
      </c>
      <c r="F225" s="3">
        <f t="shared" si="19"/>
        <v>0</v>
      </c>
      <c r="G225" s="3" t="str">
        <f t="array" ref="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3">
        <f>COUNTIF(Events!$A$2:$A$397,$A225)</f>
        <v>0</v>
      </c>
      <c r="I225" s="25" t="str">
        <f t="array" ref="I225">_xlfn.TEXTJOIN(" | ",TRUE(),IF(Events!$A$2:$A$397=$A225,Events!$E$2:$E$397&amp;IF(Events!$G$2:$G$397="National",""," ["&amp;Events!$G$2:$G$397&amp;"]"),""))</f>
        <v/>
      </c>
    </row>
    <row r="226" spans="1:9" ht="15" customHeight="1" x14ac:dyDescent="0.35">
      <c r="A226" s="2">
        <v>45516</v>
      </c>
      <c r="B226" s="3">
        <f t="shared" si="15"/>
        <v>2024</v>
      </c>
      <c r="C226" s="3">
        <f t="shared" si="16"/>
        <v>8</v>
      </c>
      <c r="D226" s="3" t="str">
        <f t="shared" si="17"/>
        <v>Mon</v>
      </c>
      <c r="E226" s="3">
        <f t="shared" si="18"/>
        <v>0</v>
      </c>
      <c r="F226" s="3">
        <f t="shared" si="19"/>
        <v>0</v>
      </c>
      <c r="G226" s="3" t="str">
        <f t="array" ref="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3">
        <f>COUNTIF(Events!$A$2:$A$397,$A226)</f>
        <v>0</v>
      </c>
      <c r="I226" s="25" t="str">
        <f t="array" ref="I226">_xlfn.TEXTJOIN(" | ",TRUE(),IF(Events!$A$2:$A$397=$A226,Events!$E$2:$E$397&amp;IF(Events!$G$2:$G$397="National",""," ["&amp;Events!$G$2:$G$397&amp;"]"),""))</f>
        <v/>
      </c>
    </row>
    <row r="227" spans="1:9" ht="15" customHeight="1" x14ac:dyDescent="0.35">
      <c r="A227" s="2">
        <v>45517</v>
      </c>
      <c r="B227" s="3">
        <f t="shared" si="15"/>
        <v>2024</v>
      </c>
      <c r="C227" s="3">
        <f t="shared" si="16"/>
        <v>8</v>
      </c>
      <c r="D227" s="3" t="str">
        <f t="shared" si="17"/>
        <v>Tue</v>
      </c>
      <c r="E227" s="3">
        <f t="shared" si="18"/>
        <v>0</v>
      </c>
      <c r="F227" s="3">
        <f t="shared" si="19"/>
        <v>0</v>
      </c>
      <c r="G227" s="3" t="str">
        <f t="array" ref="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3">
        <f>COUNTIF(Events!$A$2:$A$397,$A227)</f>
        <v>0</v>
      </c>
      <c r="I227" s="25" t="str">
        <f t="array" ref="I227">_xlfn.TEXTJOIN(" | ",TRUE(),IF(Events!$A$2:$A$397=$A227,Events!$E$2:$E$397&amp;IF(Events!$G$2:$G$397="National",""," ["&amp;Events!$G$2:$G$397&amp;"]"),""))</f>
        <v/>
      </c>
    </row>
    <row r="228" spans="1:9" ht="15" customHeight="1" x14ac:dyDescent="0.35">
      <c r="A228" s="2">
        <v>45518</v>
      </c>
      <c r="B228" s="3">
        <f t="shared" si="15"/>
        <v>2024</v>
      </c>
      <c r="C228" s="3">
        <f t="shared" si="16"/>
        <v>8</v>
      </c>
      <c r="D228" s="3" t="str">
        <f t="shared" si="17"/>
        <v>Wed</v>
      </c>
      <c r="E228" s="3">
        <f t="shared" si="18"/>
        <v>0</v>
      </c>
      <c r="F228" s="3">
        <f t="shared" si="19"/>
        <v>0</v>
      </c>
      <c r="G228" s="3" t="str">
        <f t="array" ref="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3">
        <f>COUNTIF(Events!$A$2:$A$397,$A228)</f>
        <v>0</v>
      </c>
      <c r="I228" s="25" t="str">
        <f t="array" ref="I228">_xlfn.TEXTJOIN(" | ",TRUE(),IF(Events!$A$2:$A$397=$A228,Events!$E$2:$E$397&amp;IF(Events!$G$2:$G$397="National",""," ["&amp;Events!$G$2:$G$397&amp;"]"),""))</f>
        <v/>
      </c>
    </row>
    <row r="229" spans="1:9" ht="15" customHeight="1" x14ac:dyDescent="0.35">
      <c r="A229" s="2">
        <v>45519</v>
      </c>
      <c r="B229" s="3">
        <f t="shared" si="15"/>
        <v>2024</v>
      </c>
      <c r="C229" s="3">
        <f t="shared" si="16"/>
        <v>8</v>
      </c>
      <c r="D229" s="3" t="str">
        <f t="shared" si="17"/>
        <v>Thu</v>
      </c>
      <c r="E229" s="3">
        <f t="shared" si="18"/>
        <v>0</v>
      </c>
      <c r="F229" s="3">
        <f t="shared" si="19"/>
        <v>0</v>
      </c>
      <c r="G229" s="3" t="str">
        <f t="array" ref="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3">
        <f>COUNTIF(Events!$A$2:$A$397,$A229)</f>
        <v>1</v>
      </c>
      <c r="I229" s="25" t="str">
        <f t="array" ref="I229">_xlfn.TEXTJOIN(" | ",TRUE(),IF(Events!$A$2:$A$397=$A229,Events!$E$2:$E$397&amp;IF(Events!$G$2:$G$397="National",""," ["&amp;Events!$G$2:$G$397&amp;"]"),""))</f>
        <v>CMS publishes negotiated maximum fair prices (MFPs) for the first 10 Part D drugs (effective 1/1/2026)</v>
      </c>
    </row>
    <row r="230" spans="1:9" ht="15" customHeight="1" x14ac:dyDescent="0.35">
      <c r="A230" s="2">
        <v>45520</v>
      </c>
      <c r="B230" s="3">
        <f t="shared" si="15"/>
        <v>2024</v>
      </c>
      <c r="C230" s="3">
        <f t="shared" si="16"/>
        <v>8</v>
      </c>
      <c r="D230" s="3" t="str">
        <f t="shared" si="17"/>
        <v>Fri</v>
      </c>
      <c r="E230" s="3">
        <f t="shared" si="18"/>
        <v>0</v>
      </c>
      <c r="F230" s="3">
        <f t="shared" si="19"/>
        <v>0</v>
      </c>
      <c r="G230" s="3" t="str">
        <f t="array" ref="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3">
        <f>COUNTIF(Events!$A$2:$A$397,$A230)</f>
        <v>0</v>
      </c>
      <c r="I230" s="25" t="str">
        <f t="array" ref="I230">_xlfn.TEXTJOIN(" | ",TRUE(),IF(Events!$A$2:$A$397=$A230,Events!$E$2:$E$397&amp;IF(Events!$G$2:$G$397="National",""," ["&amp;Events!$G$2:$G$397&amp;"]"),""))</f>
        <v/>
      </c>
    </row>
    <row r="231" spans="1:9" ht="15" customHeight="1" x14ac:dyDescent="0.35">
      <c r="A231" s="2">
        <v>45521</v>
      </c>
      <c r="B231" s="3">
        <f t="shared" si="15"/>
        <v>2024</v>
      </c>
      <c r="C231" s="3">
        <f t="shared" si="16"/>
        <v>8</v>
      </c>
      <c r="D231" s="3" t="str">
        <f t="shared" si="17"/>
        <v>Sat</v>
      </c>
      <c r="E231" s="3">
        <f t="shared" si="18"/>
        <v>0</v>
      </c>
      <c r="F231" s="3">
        <f t="shared" si="19"/>
        <v>0</v>
      </c>
      <c r="G231" s="3" t="str">
        <f t="array" ref="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3">
        <f>COUNTIF(Events!$A$2:$A$397,$A231)</f>
        <v>0</v>
      </c>
      <c r="I231" s="25" t="str">
        <f t="array" ref="I231">_xlfn.TEXTJOIN(" | ",TRUE(),IF(Events!$A$2:$A$397=$A231,Events!$E$2:$E$397&amp;IF(Events!$G$2:$G$397="National",""," ["&amp;Events!$G$2:$G$397&amp;"]"),""))</f>
        <v/>
      </c>
    </row>
    <row r="232" spans="1:9" ht="15" customHeight="1" x14ac:dyDescent="0.35">
      <c r="A232" s="2">
        <v>45522</v>
      </c>
      <c r="B232" s="3">
        <f t="shared" si="15"/>
        <v>2024</v>
      </c>
      <c r="C232" s="3">
        <f t="shared" si="16"/>
        <v>8</v>
      </c>
      <c r="D232" s="3" t="str">
        <f t="shared" si="17"/>
        <v>Sun</v>
      </c>
      <c r="E232" s="3">
        <f t="shared" si="18"/>
        <v>0</v>
      </c>
      <c r="F232" s="3">
        <f t="shared" si="19"/>
        <v>0</v>
      </c>
      <c r="G232" s="3" t="str">
        <f t="array" ref="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3">
        <f>COUNTIF(Events!$A$2:$A$397,$A232)</f>
        <v>0</v>
      </c>
      <c r="I232" s="25" t="str">
        <f t="array" ref="I232">_xlfn.TEXTJOIN(" | ",TRUE(),IF(Events!$A$2:$A$397=$A232,Events!$E$2:$E$397&amp;IF(Events!$G$2:$G$397="National",""," ["&amp;Events!$G$2:$G$397&amp;"]"),""))</f>
        <v/>
      </c>
    </row>
    <row r="233" spans="1:9" ht="15" customHeight="1" x14ac:dyDescent="0.35">
      <c r="A233" s="2">
        <v>45523</v>
      </c>
      <c r="B233" s="3">
        <f t="shared" si="15"/>
        <v>2024</v>
      </c>
      <c r="C233" s="3">
        <f t="shared" si="16"/>
        <v>8</v>
      </c>
      <c r="D233" s="3" t="str">
        <f t="shared" si="17"/>
        <v>Mon</v>
      </c>
      <c r="E233" s="3">
        <f t="shared" si="18"/>
        <v>0</v>
      </c>
      <c r="F233" s="3">
        <f t="shared" si="19"/>
        <v>0</v>
      </c>
      <c r="G233" s="3" t="str">
        <f t="array" ref="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3">
        <f>COUNTIF(Events!$A$2:$A$397,$A233)</f>
        <v>0</v>
      </c>
      <c r="I233" s="25" t="str">
        <f t="array" ref="I233">_xlfn.TEXTJOIN(" | ",TRUE(),IF(Events!$A$2:$A$397=$A233,Events!$E$2:$E$397&amp;IF(Events!$G$2:$G$397="National",""," ["&amp;Events!$G$2:$G$397&amp;"]"),""))</f>
        <v/>
      </c>
    </row>
    <row r="234" spans="1:9" ht="15" customHeight="1" x14ac:dyDescent="0.35">
      <c r="A234" s="2">
        <v>45524</v>
      </c>
      <c r="B234" s="3">
        <f t="shared" si="15"/>
        <v>2024</v>
      </c>
      <c r="C234" s="3">
        <f t="shared" si="16"/>
        <v>8</v>
      </c>
      <c r="D234" s="3" t="str">
        <f t="shared" si="17"/>
        <v>Tue</v>
      </c>
      <c r="E234" s="3">
        <f t="shared" si="18"/>
        <v>0</v>
      </c>
      <c r="F234" s="3">
        <f t="shared" si="19"/>
        <v>0</v>
      </c>
      <c r="G234" s="3" t="str">
        <f t="array" ref="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3">
        <f>COUNTIF(Events!$A$2:$A$397,$A234)</f>
        <v>0</v>
      </c>
      <c r="I234" s="25" t="str">
        <f t="array" ref="I234">_xlfn.TEXTJOIN(" | ",TRUE(),IF(Events!$A$2:$A$397=$A234,Events!$E$2:$E$397&amp;IF(Events!$G$2:$G$397="National",""," ["&amp;Events!$G$2:$G$397&amp;"]"),""))</f>
        <v/>
      </c>
    </row>
    <row r="235" spans="1:9" ht="15" customHeight="1" x14ac:dyDescent="0.35">
      <c r="A235" s="2">
        <v>45525</v>
      </c>
      <c r="B235" s="3">
        <f t="shared" si="15"/>
        <v>2024</v>
      </c>
      <c r="C235" s="3">
        <f t="shared" si="16"/>
        <v>8</v>
      </c>
      <c r="D235" s="3" t="str">
        <f t="shared" si="17"/>
        <v>Wed</v>
      </c>
      <c r="E235" s="3">
        <f t="shared" si="18"/>
        <v>0</v>
      </c>
      <c r="F235" s="3">
        <f t="shared" si="19"/>
        <v>0</v>
      </c>
      <c r="G235" s="3" t="str">
        <f t="array" ref="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3">
        <f>COUNTIF(Events!$A$2:$A$397,$A235)</f>
        <v>0</v>
      </c>
      <c r="I235" s="25" t="str">
        <f t="array" ref="I235">_xlfn.TEXTJOIN(" | ",TRUE(),IF(Events!$A$2:$A$397=$A235,Events!$E$2:$E$397&amp;IF(Events!$G$2:$G$397="National",""," ["&amp;Events!$G$2:$G$397&amp;"]"),""))</f>
        <v/>
      </c>
    </row>
    <row r="236" spans="1:9" ht="15" customHeight="1" x14ac:dyDescent="0.35">
      <c r="A236" s="2">
        <v>45526</v>
      </c>
      <c r="B236" s="3">
        <f t="shared" si="15"/>
        <v>2024</v>
      </c>
      <c r="C236" s="3">
        <f t="shared" si="16"/>
        <v>8</v>
      </c>
      <c r="D236" s="3" t="str">
        <f t="shared" si="17"/>
        <v>Thu</v>
      </c>
      <c r="E236" s="3">
        <f t="shared" si="18"/>
        <v>0</v>
      </c>
      <c r="F236" s="3">
        <f t="shared" si="19"/>
        <v>0</v>
      </c>
      <c r="G236" s="3" t="str">
        <f t="array" ref="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3">
        <f>COUNTIF(Events!$A$2:$A$397,$A236)</f>
        <v>0</v>
      </c>
      <c r="I236" s="25" t="str">
        <f t="array" ref="I236">_xlfn.TEXTJOIN(" | ",TRUE(),IF(Events!$A$2:$A$397=$A236,Events!$E$2:$E$397&amp;IF(Events!$G$2:$G$397="National",""," ["&amp;Events!$G$2:$G$397&amp;"]"),""))</f>
        <v/>
      </c>
    </row>
    <row r="237" spans="1:9" ht="15" customHeight="1" x14ac:dyDescent="0.35">
      <c r="A237" s="2">
        <v>45527</v>
      </c>
      <c r="B237" s="3">
        <f t="shared" si="15"/>
        <v>2024</v>
      </c>
      <c r="C237" s="3">
        <f t="shared" si="16"/>
        <v>8</v>
      </c>
      <c r="D237" s="3" t="str">
        <f t="shared" si="17"/>
        <v>Fri</v>
      </c>
      <c r="E237" s="3">
        <f t="shared" si="18"/>
        <v>0</v>
      </c>
      <c r="F237" s="3">
        <f t="shared" si="19"/>
        <v>0</v>
      </c>
      <c r="G237" s="3" t="str">
        <f t="array" ref="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3">
        <f>COUNTIF(Events!$A$2:$A$397,$A237)</f>
        <v>0</v>
      </c>
      <c r="I237" s="25" t="str">
        <f t="array" ref="I237">_xlfn.TEXTJOIN(" | ",TRUE(),IF(Events!$A$2:$A$397=$A237,Events!$E$2:$E$397&amp;IF(Events!$G$2:$G$397="National",""," ["&amp;Events!$G$2:$G$397&amp;"]"),""))</f>
        <v/>
      </c>
    </row>
    <row r="238" spans="1:9" ht="15" customHeight="1" x14ac:dyDescent="0.35">
      <c r="A238" s="2">
        <v>45528</v>
      </c>
      <c r="B238" s="3">
        <f t="shared" si="15"/>
        <v>2024</v>
      </c>
      <c r="C238" s="3">
        <f t="shared" si="16"/>
        <v>8</v>
      </c>
      <c r="D238" s="3" t="str">
        <f t="shared" si="17"/>
        <v>Sat</v>
      </c>
      <c r="E238" s="3">
        <f t="shared" si="18"/>
        <v>0</v>
      </c>
      <c r="F238" s="3">
        <f t="shared" si="19"/>
        <v>0</v>
      </c>
      <c r="G238" s="3" t="str">
        <f t="array" ref="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3">
        <f>COUNTIF(Events!$A$2:$A$397,$A238)</f>
        <v>0</v>
      </c>
      <c r="I238" s="25" t="str">
        <f t="array" ref="I238">_xlfn.TEXTJOIN(" | ",TRUE(),IF(Events!$A$2:$A$397=$A238,Events!$E$2:$E$397&amp;IF(Events!$G$2:$G$397="National",""," ["&amp;Events!$G$2:$G$397&amp;"]"),""))</f>
        <v/>
      </c>
    </row>
    <row r="239" spans="1:9" ht="15" customHeight="1" x14ac:dyDescent="0.35">
      <c r="A239" s="2">
        <v>45529</v>
      </c>
      <c r="B239" s="3">
        <f t="shared" si="15"/>
        <v>2024</v>
      </c>
      <c r="C239" s="3">
        <f t="shared" si="16"/>
        <v>8</v>
      </c>
      <c r="D239" s="3" t="str">
        <f t="shared" si="17"/>
        <v>Sun</v>
      </c>
      <c r="E239" s="3">
        <f t="shared" si="18"/>
        <v>0</v>
      </c>
      <c r="F239" s="3">
        <f t="shared" si="19"/>
        <v>0</v>
      </c>
      <c r="G239" s="3" t="str">
        <f t="array" ref="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3">
        <f>COUNTIF(Events!$A$2:$A$397,$A239)</f>
        <v>0</v>
      </c>
      <c r="I239" s="25" t="str">
        <f t="array" ref="I239">_xlfn.TEXTJOIN(" | ",TRUE(),IF(Events!$A$2:$A$397=$A239,Events!$E$2:$E$397&amp;IF(Events!$G$2:$G$397="National",""," ["&amp;Events!$G$2:$G$397&amp;"]"),""))</f>
        <v/>
      </c>
    </row>
    <row r="240" spans="1:9" ht="15" customHeight="1" x14ac:dyDescent="0.35">
      <c r="A240" s="2">
        <v>45530</v>
      </c>
      <c r="B240" s="3">
        <f t="shared" si="15"/>
        <v>2024</v>
      </c>
      <c r="C240" s="3">
        <f t="shared" si="16"/>
        <v>8</v>
      </c>
      <c r="D240" s="3" t="str">
        <f t="shared" si="17"/>
        <v>Mon</v>
      </c>
      <c r="E240" s="3">
        <f t="shared" si="18"/>
        <v>0</v>
      </c>
      <c r="F240" s="3">
        <f t="shared" si="19"/>
        <v>0</v>
      </c>
      <c r="G240" s="3" t="str">
        <f t="array" ref="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3">
        <f>COUNTIF(Events!$A$2:$A$397,$A240)</f>
        <v>0</v>
      </c>
      <c r="I240" s="25" t="str">
        <f t="array" ref="I240">_xlfn.TEXTJOIN(" | ",TRUE(),IF(Events!$A$2:$A$397=$A240,Events!$E$2:$E$397&amp;IF(Events!$G$2:$G$397="National",""," ["&amp;Events!$G$2:$G$397&amp;"]"),""))</f>
        <v/>
      </c>
    </row>
    <row r="241" spans="1:9" ht="15" customHeight="1" x14ac:dyDescent="0.35">
      <c r="A241" s="2">
        <v>45531</v>
      </c>
      <c r="B241" s="3">
        <f t="shared" si="15"/>
        <v>2024</v>
      </c>
      <c r="C241" s="3">
        <f t="shared" si="16"/>
        <v>8</v>
      </c>
      <c r="D241" s="3" t="str">
        <f t="shared" si="17"/>
        <v>Tue</v>
      </c>
      <c r="E241" s="3">
        <f t="shared" si="18"/>
        <v>0</v>
      </c>
      <c r="F241" s="3">
        <f t="shared" si="19"/>
        <v>0</v>
      </c>
      <c r="G241" s="3" t="str">
        <f t="array" ref="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3">
        <f>COUNTIF(Events!$A$2:$A$397,$A241)</f>
        <v>0</v>
      </c>
      <c r="I241" s="25" t="str">
        <f t="array" ref="I241">_xlfn.TEXTJOIN(" | ",TRUE(),IF(Events!$A$2:$A$397=$A241,Events!$E$2:$E$397&amp;IF(Events!$G$2:$G$397="National",""," ["&amp;Events!$G$2:$G$397&amp;"]"),""))</f>
        <v/>
      </c>
    </row>
    <row r="242" spans="1:9" ht="15" customHeight="1" x14ac:dyDescent="0.35">
      <c r="A242" s="2">
        <v>45532</v>
      </c>
      <c r="B242" s="3">
        <f t="shared" si="15"/>
        <v>2024</v>
      </c>
      <c r="C242" s="3">
        <f t="shared" si="16"/>
        <v>8</v>
      </c>
      <c r="D242" s="3" t="str">
        <f t="shared" si="17"/>
        <v>Wed</v>
      </c>
      <c r="E242" s="3">
        <f t="shared" si="18"/>
        <v>0</v>
      </c>
      <c r="F242" s="3">
        <f t="shared" si="19"/>
        <v>0</v>
      </c>
      <c r="G242" s="3" t="str">
        <f t="array" ref="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3">
        <f>COUNTIF(Events!$A$2:$A$397,$A242)</f>
        <v>0</v>
      </c>
      <c r="I242" s="25" t="str">
        <f t="array" ref="I242">_xlfn.TEXTJOIN(" | ",TRUE(),IF(Events!$A$2:$A$397=$A242,Events!$E$2:$E$397&amp;IF(Events!$G$2:$G$397="National",""," ["&amp;Events!$G$2:$G$397&amp;"]"),""))</f>
        <v/>
      </c>
    </row>
    <row r="243" spans="1:9" ht="15" customHeight="1" x14ac:dyDescent="0.35">
      <c r="A243" s="2">
        <v>45533</v>
      </c>
      <c r="B243" s="3">
        <f t="shared" si="15"/>
        <v>2024</v>
      </c>
      <c r="C243" s="3">
        <f t="shared" si="16"/>
        <v>8</v>
      </c>
      <c r="D243" s="3" t="str">
        <f t="shared" si="17"/>
        <v>Thu</v>
      </c>
      <c r="E243" s="3">
        <f t="shared" si="18"/>
        <v>0</v>
      </c>
      <c r="F243" s="3">
        <f t="shared" si="19"/>
        <v>0</v>
      </c>
      <c r="G243" s="3" t="str">
        <f t="array" ref="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3">
        <f>COUNTIF(Events!$A$2:$A$397,$A243)</f>
        <v>0</v>
      </c>
      <c r="I243" s="25" t="str">
        <f t="array" ref="I243">_xlfn.TEXTJOIN(" | ",TRUE(),IF(Events!$A$2:$A$397=$A243,Events!$E$2:$E$397&amp;IF(Events!$G$2:$G$397="National",""," ["&amp;Events!$G$2:$G$397&amp;"]"),""))</f>
        <v/>
      </c>
    </row>
    <row r="244" spans="1:9" ht="15" customHeight="1" x14ac:dyDescent="0.35">
      <c r="A244" s="2">
        <v>45534</v>
      </c>
      <c r="B244" s="3">
        <f t="shared" si="15"/>
        <v>2024</v>
      </c>
      <c r="C244" s="3">
        <f t="shared" si="16"/>
        <v>8</v>
      </c>
      <c r="D244" s="3" t="str">
        <f t="shared" si="17"/>
        <v>Fri</v>
      </c>
      <c r="E244" s="3">
        <f t="shared" si="18"/>
        <v>0</v>
      </c>
      <c r="F244" s="3">
        <f t="shared" si="19"/>
        <v>0</v>
      </c>
      <c r="G244" s="3" t="str">
        <f t="array" ref="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3">
        <f>COUNTIF(Events!$A$2:$A$397,$A244)</f>
        <v>0</v>
      </c>
      <c r="I244" s="25" t="str">
        <f t="array" ref="I244">_xlfn.TEXTJOIN(" | ",TRUE(),IF(Events!$A$2:$A$397=$A244,Events!$E$2:$E$397&amp;IF(Events!$G$2:$G$397="National",""," ["&amp;Events!$G$2:$G$397&amp;"]"),""))</f>
        <v/>
      </c>
    </row>
    <row r="245" spans="1:9" ht="15" customHeight="1" x14ac:dyDescent="0.35">
      <c r="A245" s="2">
        <v>45535</v>
      </c>
      <c r="B245" s="3">
        <f t="shared" si="15"/>
        <v>2024</v>
      </c>
      <c r="C245" s="3">
        <f t="shared" si="16"/>
        <v>8</v>
      </c>
      <c r="D245" s="3" t="str">
        <f t="shared" si="17"/>
        <v>Sat</v>
      </c>
      <c r="E245" s="3">
        <f t="shared" si="18"/>
        <v>0</v>
      </c>
      <c r="F245" s="3">
        <f t="shared" si="19"/>
        <v>0</v>
      </c>
      <c r="G245" s="3" t="str">
        <f t="array" ref="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3">
        <f>COUNTIF(Events!$A$2:$A$397,$A245)</f>
        <v>0</v>
      </c>
      <c r="I245" s="25" t="str">
        <f t="array" ref="I245">_xlfn.TEXTJOIN(" | ",TRUE(),IF(Events!$A$2:$A$397=$A245,Events!$E$2:$E$397&amp;IF(Events!$G$2:$G$397="National",""," ["&amp;Events!$G$2:$G$397&amp;"]"),""))</f>
        <v/>
      </c>
    </row>
    <row r="246" spans="1:9" ht="15" customHeight="1" x14ac:dyDescent="0.35">
      <c r="A246" s="2">
        <v>45536</v>
      </c>
      <c r="B246" s="3">
        <f t="shared" si="15"/>
        <v>2024</v>
      </c>
      <c r="C246" s="3">
        <f t="shared" si="16"/>
        <v>9</v>
      </c>
      <c r="D246" s="3" t="str">
        <f t="shared" si="17"/>
        <v>Sun</v>
      </c>
      <c r="E246" s="3">
        <f t="shared" si="18"/>
        <v>0</v>
      </c>
      <c r="F246" s="3">
        <f t="shared" si="19"/>
        <v>0</v>
      </c>
      <c r="G246" s="3" t="str">
        <f t="array" ref="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3">
        <f>COUNTIF(Events!$A$2:$A$397,$A246)</f>
        <v>0</v>
      </c>
      <c r="I246" s="25" t="str">
        <f t="array" ref="I246">_xlfn.TEXTJOIN(" | ",TRUE(),IF(Events!$A$2:$A$397=$A246,Events!$E$2:$E$397&amp;IF(Events!$G$2:$G$397="National",""," ["&amp;Events!$G$2:$G$397&amp;"]"),""))</f>
        <v/>
      </c>
    </row>
    <row r="247" spans="1:9" ht="15" customHeight="1" x14ac:dyDescent="0.35">
      <c r="A247" s="2">
        <v>45537</v>
      </c>
      <c r="B247" s="3">
        <f t="shared" si="15"/>
        <v>2024</v>
      </c>
      <c r="C247" s="3">
        <f t="shared" si="16"/>
        <v>9</v>
      </c>
      <c r="D247" s="3" t="str">
        <f t="shared" si="17"/>
        <v>Mon</v>
      </c>
      <c r="E247" s="3">
        <f t="shared" si="18"/>
        <v>0</v>
      </c>
      <c r="F247" s="3">
        <f t="shared" si="19"/>
        <v>0</v>
      </c>
      <c r="G247" s="3" t="str">
        <f t="array" ref="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3">
        <f>COUNTIF(Events!$A$2:$A$397,$A247)</f>
        <v>0</v>
      </c>
      <c r="I247" s="25" t="str">
        <f t="array" ref="I247">_xlfn.TEXTJOIN(" | ",TRUE(),IF(Events!$A$2:$A$397=$A247,Events!$E$2:$E$397&amp;IF(Events!$G$2:$G$397="National",""," ["&amp;Events!$G$2:$G$397&amp;"]"),""))</f>
        <v/>
      </c>
    </row>
    <row r="248" spans="1:9" ht="15" customHeight="1" x14ac:dyDescent="0.35">
      <c r="A248" s="2">
        <v>45538</v>
      </c>
      <c r="B248" s="3">
        <f t="shared" si="15"/>
        <v>2024</v>
      </c>
      <c r="C248" s="3">
        <f t="shared" si="16"/>
        <v>9</v>
      </c>
      <c r="D248" s="3" t="str">
        <f t="shared" si="17"/>
        <v>Tue</v>
      </c>
      <c r="E248" s="3">
        <f t="shared" si="18"/>
        <v>0</v>
      </c>
      <c r="F248" s="3">
        <f t="shared" si="19"/>
        <v>0</v>
      </c>
      <c r="G248" s="3" t="str">
        <f t="array" ref="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3">
        <f>COUNTIF(Events!$A$2:$A$397,$A248)</f>
        <v>0</v>
      </c>
      <c r="I248" s="25" t="str">
        <f t="array" ref="I248">_xlfn.TEXTJOIN(" | ",TRUE(),IF(Events!$A$2:$A$397=$A248,Events!$E$2:$E$397&amp;IF(Events!$G$2:$G$397="National",""," ["&amp;Events!$G$2:$G$397&amp;"]"),""))</f>
        <v/>
      </c>
    </row>
    <row r="249" spans="1:9" ht="15" customHeight="1" x14ac:dyDescent="0.35">
      <c r="A249" s="2">
        <v>45539</v>
      </c>
      <c r="B249" s="3">
        <f t="shared" si="15"/>
        <v>2024</v>
      </c>
      <c r="C249" s="3">
        <f t="shared" si="16"/>
        <v>9</v>
      </c>
      <c r="D249" s="3" t="str">
        <f t="shared" si="17"/>
        <v>Wed</v>
      </c>
      <c r="E249" s="3">
        <f t="shared" si="18"/>
        <v>0</v>
      </c>
      <c r="F249" s="3">
        <f t="shared" si="19"/>
        <v>0</v>
      </c>
      <c r="G249" s="3" t="str">
        <f t="array" ref="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3">
        <f>COUNTIF(Events!$A$2:$A$397,$A249)</f>
        <v>0</v>
      </c>
      <c r="I249" s="25" t="str">
        <f t="array" ref="I249">_xlfn.TEXTJOIN(" | ",TRUE(),IF(Events!$A$2:$A$397=$A249,Events!$E$2:$E$397&amp;IF(Events!$G$2:$G$397="National",""," ["&amp;Events!$G$2:$G$397&amp;"]"),""))</f>
        <v/>
      </c>
    </row>
    <row r="250" spans="1:9" ht="15" customHeight="1" x14ac:dyDescent="0.35">
      <c r="A250" s="2">
        <v>45540</v>
      </c>
      <c r="B250" s="3">
        <f t="shared" si="15"/>
        <v>2024</v>
      </c>
      <c r="C250" s="3">
        <f t="shared" si="16"/>
        <v>9</v>
      </c>
      <c r="D250" s="3" t="str">
        <f t="shared" si="17"/>
        <v>Thu</v>
      </c>
      <c r="E250" s="3">
        <f t="shared" si="18"/>
        <v>0</v>
      </c>
      <c r="F250" s="3">
        <f t="shared" si="19"/>
        <v>0</v>
      </c>
      <c r="G250" s="3" t="str">
        <f t="array" ref="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3">
        <f>COUNTIF(Events!$A$2:$A$397,$A250)</f>
        <v>0</v>
      </c>
      <c r="I250" s="25" t="str">
        <f t="array" ref="I250">_xlfn.TEXTJOIN(" | ",TRUE(),IF(Events!$A$2:$A$397=$A250,Events!$E$2:$E$397&amp;IF(Events!$G$2:$G$397="National",""," ["&amp;Events!$G$2:$G$397&amp;"]"),""))</f>
        <v/>
      </c>
    </row>
    <row r="251" spans="1:9" ht="15" customHeight="1" x14ac:dyDescent="0.35">
      <c r="A251" s="2">
        <v>45541</v>
      </c>
      <c r="B251" s="3">
        <f t="shared" si="15"/>
        <v>2024</v>
      </c>
      <c r="C251" s="3">
        <f t="shared" si="16"/>
        <v>9</v>
      </c>
      <c r="D251" s="3" t="str">
        <f t="shared" si="17"/>
        <v>Fri</v>
      </c>
      <c r="E251" s="3">
        <f t="shared" si="18"/>
        <v>0</v>
      </c>
      <c r="F251" s="3">
        <f t="shared" si="19"/>
        <v>0</v>
      </c>
      <c r="G251" s="3" t="str">
        <f t="array" ref="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3">
        <f>COUNTIF(Events!$A$2:$A$397,$A251)</f>
        <v>0</v>
      </c>
      <c r="I251" s="25" t="str">
        <f t="array" ref="I251">_xlfn.TEXTJOIN(" | ",TRUE(),IF(Events!$A$2:$A$397=$A251,Events!$E$2:$E$397&amp;IF(Events!$G$2:$G$397="National",""," ["&amp;Events!$G$2:$G$397&amp;"]"),""))</f>
        <v/>
      </c>
    </row>
    <row r="252" spans="1:9" ht="15" customHeight="1" x14ac:dyDescent="0.35">
      <c r="A252" s="2">
        <v>45542</v>
      </c>
      <c r="B252" s="3">
        <f t="shared" si="15"/>
        <v>2024</v>
      </c>
      <c r="C252" s="3">
        <f t="shared" si="16"/>
        <v>9</v>
      </c>
      <c r="D252" s="3" t="str">
        <f t="shared" si="17"/>
        <v>Sat</v>
      </c>
      <c r="E252" s="3">
        <f t="shared" si="18"/>
        <v>0</v>
      </c>
      <c r="F252" s="3">
        <f t="shared" si="19"/>
        <v>0</v>
      </c>
      <c r="G252" s="3" t="str">
        <f t="array" ref="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3">
        <f>COUNTIF(Events!$A$2:$A$397,$A252)</f>
        <v>0</v>
      </c>
      <c r="I252" s="25" t="str">
        <f t="array" ref="I252">_xlfn.TEXTJOIN(" | ",TRUE(),IF(Events!$A$2:$A$397=$A252,Events!$E$2:$E$397&amp;IF(Events!$G$2:$G$397="National",""," ["&amp;Events!$G$2:$G$397&amp;"]"),""))</f>
        <v/>
      </c>
    </row>
    <row r="253" spans="1:9" ht="15" customHeight="1" x14ac:dyDescent="0.35">
      <c r="A253" s="2">
        <v>45543</v>
      </c>
      <c r="B253" s="3">
        <f t="shared" si="15"/>
        <v>2024</v>
      </c>
      <c r="C253" s="3">
        <f t="shared" si="16"/>
        <v>9</v>
      </c>
      <c r="D253" s="3" t="str">
        <f t="shared" si="17"/>
        <v>Sun</v>
      </c>
      <c r="E253" s="3">
        <f t="shared" si="18"/>
        <v>0</v>
      </c>
      <c r="F253" s="3">
        <f t="shared" si="19"/>
        <v>0</v>
      </c>
      <c r="G253" s="3" t="str">
        <f t="array" ref="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3">
        <f>COUNTIF(Events!$A$2:$A$397,$A253)</f>
        <v>0</v>
      </c>
      <c r="I253" s="25" t="str">
        <f t="array" ref="I253">_xlfn.TEXTJOIN(" | ",TRUE(),IF(Events!$A$2:$A$397=$A253,Events!$E$2:$E$397&amp;IF(Events!$G$2:$G$397="National",""," ["&amp;Events!$G$2:$G$397&amp;"]"),""))</f>
        <v/>
      </c>
    </row>
    <row r="254" spans="1:9" ht="15" customHeight="1" x14ac:dyDescent="0.35">
      <c r="A254" s="2">
        <v>45544</v>
      </c>
      <c r="B254" s="3">
        <f t="shared" si="15"/>
        <v>2024</v>
      </c>
      <c r="C254" s="3">
        <f t="shared" si="16"/>
        <v>9</v>
      </c>
      <c r="D254" s="3" t="str">
        <f t="shared" si="17"/>
        <v>Mon</v>
      </c>
      <c r="E254" s="3">
        <f t="shared" si="18"/>
        <v>0</v>
      </c>
      <c r="F254" s="3">
        <f t="shared" si="19"/>
        <v>0</v>
      </c>
      <c r="G254" s="3" t="str">
        <f t="array" ref="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3">
        <f>COUNTIF(Events!$A$2:$A$397,$A254)</f>
        <v>0</v>
      </c>
      <c r="I254" s="25" t="str">
        <f t="array" ref="I254">_xlfn.TEXTJOIN(" | ",TRUE(),IF(Events!$A$2:$A$397=$A254,Events!$E$2:$E$397&amp;IF(Events!$G$2:$G$397="National",""," ["&amp;Events!$G$2:$G$397&amp;"]"),""))</f>
        <v/>
      </c>
    </row>
    <row r="255" spans="1:9" ht="15" customHeight="1" x14ac:dyDescent="0.35">
      <c r="A255" s="2">
        <v>45545</v>
      </c>
      <c r="B255" s="3">
        <f t="shared" si="15"/>
        <v>2024</v>
      </c>
      <c r="C255" s="3">
        <f t="shared" si="16"/>
        <v>9</v>
      </c>
      <c r="D255" s="3" t="str">
        <f t="shared" si="17"/>
        <v>Tue</v>
      </c>
      <c r="E255" s="3">
        <f t="shared" si="18"/>
        <v>0</v>
      </c>
      <c r="F255" s="3">
        <f t="shared" si="19"/>
        <v>0</v>
      </c>
      <c r="G255" s="3" t="str">
        <f t="array" ref="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3">
        <f>COUNTIF(Events!$A$2:$A$397,$A255)</f>
        <v>0</v>
      </c>
      <c r="I255" s="25" t="str">
        <f t="array" ref="I255">_xlfn.TEXTJOIN(" | ",TRUE(),IF(Events!$A$2:$A$397=$A255,Events!$E$2:$E$397&amp;IF(Events!$G$2:$G$397="National",""," ["&amp;Events!$G$2:$G$397&amp;"]"),""))</f>
        <v/>
      </c>
    </row>
    <row r="256" spans="1:9" ht="15" customHeight="1" x14ac:dyDescent="0.35">
      <c r="A256" s="2">
        <v>45546</v>
      </c>
      <c r="B256" s="3">
        <f t="shared" si="15"/>
        <v>2024</v>
      </c>
      <c r="C256" s="3">
        <f t="shared" si="16"/>
        <v>9</v>
      </c>
      <c r="D256" s="3" t="str">
        <f t="shared" si="17"/>
        <v>Wed</v>
      </c>
      <c r="E256" s="3">
        <f t="shared" si="18"/>
        <v>0</v>
      </c>
      <c r="F256" s="3">
        <f t="shared" si="19"/>
        <v>0</v>
      </c>
      <c r="G256" s="3" t="str">
        <f t="array" ref="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3">
        <f>COUNTIF(Events!$A$2:$A$397,$A256)</f>
        <v>0</v>
      </c>
      <c r="I256" s="25" t="str">
        <f t="array" ref="I256">_xlfn.TEXTJOIN(" | ",TRUE(),IF(Events!$A$2:$A$397=$A256,Events!$E$2:$E$397&amp;IF(Events!$G$2:$G$397="National",""," ["&amp;Events!$G$2:$G$397&amp;"]"),""))</f>
        <v/>
      </c>
    </row>
    <row r="257" spans="1:9" ht="15" customHeight="1" x14ac:dyDescent="0.35">
      <c r="A257" s="2">
        <v>45547</v>
      </c>
      <c r="B257" s="3">
        <f t="shared" si="15"/>
        <v>2024</v>
      </c>
      <c r="C257" s="3">
        <f t="shared" si="16"/>
        <v>9</v>
      </c>
      <c r="D257" s="3" t="str">
        <f t="shared" si="17"/>
        <v>Thu</v>
      </c>
      <c r="E257" s="3">
        <f t="shared" si="18"/>
        <v>0</v>
      </c>
      <c r="F257" s="3">
        <f t="shared" si="19"/>
        <v>0</v>
      </c>
      <c r="G257" s="3" t="str">
        <f t="array" ref="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3">
        <f>COUNTIF(Events!$A$2:$A$397,$A257)</f>
        <v>0</v>
      </c>
      <c r="I257" s="25" t="str">
        <f t="array" ref="I257">_xlfn.TEXTJOIN(" | ",TRUE(),IF(Events!$A$2:$A$397=$A257,Events!$E$2:$E$397&amp;IF(Events!$G$2:$G$397="National",""," ["&amp;Events!$G$2:$G$397&amp;"]"),""))</f>
        <v/>
      </c>
    </row>
    <row r="258" spans="1:9" ht="15" customHeight="1" x14ac:dyDescent="0.35">
      <c r="A258" s="2">
        <v>45548</v>
      </c>
      <c r="B258" s="3">
        <f t="shared" ref="B258:B321" si="20">YEAR($A258)</f>
        <v>2024</v>
      </c>
      <c r="C258" s="3">
        <f t="shared" ref="C258:C321" si="21">MONTH($A258)</f>
        <v>9</v>
      </c>
      <c r="D258" s="3" t="str">
        <f t="shared" ref="D258:D321" si="22">TEXT($A258,"ddd")</f>
        <v>Fri</v>
      </c>
      <c r="E258" s="3">
        <f t="shared" ref="E258:E321" si="23">IF(OR(AND(MONTH($A258)=10,DAY($A258)&gt;=15),MONTH($A258)=11,AND(MONTH($A258)=12,DAY($A258)&lt;=7)),1,0)</f>
        <v>0</v>
      </c>
      <c r="F258" s="3">
        <f t="shared" ref="F258:F321" si="24">IF(MONTH($A258)&lt;=3,1,0)</f>
        <v>0</v>
      </c>
      <c r="G258" s="3" t="str">
        <f t="array" ref="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3">
        <f>COUNTIF(Events!$A$2:$A$397,$A258)</f>
        <v>0</v>
      </c>
      <c r="I258" s="25" t="str">
        <f t="array" ref="I258">_xlfn.TEXTJOIN(" | ",TRUE(),IF(Events!$A$2:$A$397=$A258,Events!$E$2:$E$397&amp;IF(Events!$G$2:$G$397="National",""," ["&amp;Events!$G$2:$G$397&amp;"]"),""))</f>
        <v/>
      </c>
    </row>
    <row r="259" spans="1:9" ht="15" customHeight="1" x14ac:dyDescent="0.35">
      <c r="A259" s="2">
        <v>45549</v>
      </c>
      <c r="B259" s="3">
        <f t="shared" si="20"/>
        <v>2024</v>
      </c>
      <c r="C259" s="3">
        <f t="shared" si="21"/>
        <v>9</v>
      </c>
      <c r="D259" s="3" t="str">
        <f t="shared" si="22"/>
        <v>Sat</v>
      </c>
      <c r="E259" s="3">
        <f t="shared" si="23"/>
        <v>0</v>
      </c>
      <c r="F259" s="3">
        <f t="shared" si="24"/>
        <v>0</v>
      </c>
      <c r="G259" s="3" t="str">
        <f t="array" ref="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3">
        <f>COUNTIF(Events!$A$2:$A$397,$A259)</f>
        <v>0</v>
      </c>
      <c r="I259" s="25" t="str">
        <f t="array" ref="I259">_xlfn.TEXTJOIN(" | ",TRUE(),IF(Events!$A$2:$A$397=$A259,Events!$E$2:$E$397&amp;IF(Events!$G$2:$G$397="National",""," ["&amp;Events!$G$2:$G$397&amp;"]"),""))</f>
        <v/>
      </c>
    </row>
    <row r="260" spans="1:9" ht="15" customHeight="1" x14ac:dyDescent="0.35">
      <c r="A260" s="2">
        <v>45550</v>
      </c>
      <c r="B260" s="3">
        <f t="shared" si="20"/>
        <v>2024</v>
      </c>
      <c r="C260" s="3">
        <f t="shared" si="21"/>
        <v>9</v>
      </c>
      <c r="D260" s="3" t="str">
        <f t="shared" si="22"/>
        <v>Sun</v>
      </c>
      <c r="E260" s="3">
        <f t="shared" si="23"/>
        <v>0</v>
      </c>
      <c r="F260" s="3">
        <f t="shared" si="24"/>
        <v>0</v>
      </c>
      <c r="G260" s="3" t="str">
        <f t="array" ref="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3">
        <f>COUNTIF(Events!$A$2:$A$397,$A260)</f>
        <v>0</v>
      </c>
      <c r="I260" s="25" t="str">
        <f t="array" ref="I260">_xlfn.TEXTJOIN(" | ",TRUE(),IF(Events!$A$2:$A$397=$A260,Events!$E$2:$E$397&amp;IF(Events!$G$2:$G$397="National",""," ["&amp;Events!$G$2:$G$397&amp;"]"),""))</f>
        <v/>
      </c>
    </row>
    <row r="261" spans="1:9" ht="15" customHeight="1" x14ac:dyDescent="0.35">
      <c r="A261" s="2">
        <v>45551</v>
      </c>
      <c r="B261" s="3">
        <f t="shared" si="20"/>
        <v>2024</v>
      </c>
      <c r="C261" s="3">
        <f t="shared" si="21"/>
        <v>9</v>
      </c>
      <c r="D261" s="3" t="str">
        <f t="shared" si="22"/>
        <v>Mon</v>
      </c>
      <c r="E261" s="3">
        <f t="shared" si="23"/>
        <v>0</v>
      </c>
      <c r="F261" s="3">
        <f t="shared" si="24"/>
        <v>0</v>
      </c>
      <c r="G261" s="3" t="str">
        <f t="array" ref="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3">
        <f>COUNTIF(Events!$A$2:$A$397,$A261)</f>
        <v>0</v>
      </c>
      <c r="I261" s="25" t="str">
        <f t="array" ref="I261">_xlfn.TEXTJOIN(" | ",TRUE(),IF(Events!$A$2:$A$397=$A261,Events!$E$2:$E$397&amp;IF(Events!$G$2:$G$397="National",""," ["&amp;Events!$G$2:$G$397&amp;"]"),""))</f>
        <v/>
      </c>
    </row>
    <row r="262" spans="1:9" ht="15" customHeight="1" x14ac:dyDescent="0.35">
      <c r="A262" s="2">
        <v>45552</v>
      </c>
      <c r="B262" s="3">
        <f t="shared" si="20"/>
        <v>2024</v>
      </c>
      <c r="C262" s="3">
        <f t="shared" si="21"/>
        <v>9</v>
      </c>
      <c r="D262" s="3" t="str">
        <f t="shared" si="22"/>
        <v>Tue</v>
      </c>
      <c r="E262" s="3">
        <f t="shared" si="23"/>
        <v>0</v>
      </c>
      <c r="F262" s="3">
        <f t="shared" si="24"/>
        <v>0</v>
      </c>
      <c r="G262" s="3" t="str">
        <f t="array" ref="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3">
        <f>COUNTIF(Events!$A$2:$A$397,$A262)</f>
        <v>0</v>
      </c>
      <c r="I262" s="25" t="str">
        <f t="array" ref="I262">_xlfn.TEXTJOIN(" | ",TRUE(),IF(Events!$A$2:$A$397=$A262,Events!$E$2:$E$397&amp;IF(Events!$G$2:$G$397="National",""," ["&amp;Events!$G$2:$G$397&amp;"]"),""))</f>
        <v/>
      </c>
    </row>
    <row r="263" spans="1:9" ht="15" customHeight="1" x14ac:dyDescent="0.35">
      <c r="A263" s="2">
        <v>45553</v>
      </c>
      <c r="B263" s="3">
        <f t="shared" si="20"/>
        <v>2024</v>
      </c>
      <c r="C263" s="3">
        <f t="shared" si="21"/>
        <v>9</v>
      </c>
      <c r="D263" s="3" t="str">
        <f t="shared" si="22"/>
        <v>Wed</v>
      </c>
      <c r="E263" s="3">
        <f t="shared" si="23"/>
        <v>0</v>
      </c>
      <c r="F263" s="3">
        <f t="shared" si="24"/>
        <v>0</v>
      </c>
      <c r="G263" s="3" t="str">
        <f t="array" ref="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3">
        <f>COUNTIF(Events!$A$2:$A$397,$A263)</f>
        <v>0</v>
      </c>
      <c r="I263" s="25" t="str">
        <f t="array" ref="I263">_xlfn.TEXTJOIN(" | ",TRUE(),IF(Events!$A$2:$A$397=$A263,Events!$E$2:$E$397&amp;IF(Events!$G$2:$G$397="National",""," ["&amp;Events!$G$2:$G$397&amp;"]"),""))</f>
        <v/>
      </c>
    </row>
    <row r="264" spans="1:9" ht="15" customHeight="1" x14ac:dyDescent="0.35">
      <c r="A264" s="2">
        <v>45554</v>
      </c>
      <c r="B264" s="3">
        <f t="shared" si="20"/>
        <v>2024</v>
      </c>
      <c r="C264" s="3">
        <f t="shared" si="21"/>
        <v>9</v>
      </c>
      <c r="D264" s="3" t="str">
        <f t="shared" si="22"/>
        <v>Thu</v>
      </c>
      <c r="E264" s="3">
        <f t="shared" si="23"/>
        <v>0</v>
      </c>
      <c r="F264" s="3">
        <f t="shared" si="24"/>
        <v>0</v>
      </c>
      <c r="G264" s="3" t="str">
        <f t="array" ref="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3">
        <f>COUNTIF(Events!$A$2:$A$397,$A264)</f>
        <v>0</v>
      </c>
      <c r="I264" s="25" t="str">
        <f t="array" ref="I264">_xlfn.TEXTJOIN(" | ",TRUE(),IF(Events!$A$2:$A$397=$A264,Events!$E$2:$E$397&amp;IF(Events!$G$2:$G$397="National",""," ["&amp;Events!$G$2:$G$397&amp;"]"),""))</f>
        <v/>
      </c>
    </row>
    <row r="265" spans="1:9" ht="15" customHeight="1" x14ac:dyDescent="0.35">
      <c r="A265" s="2">
        <v>45555</v>
      </c>
      <c r="B265" s="3">
        <f t="shared" si="20"/>
        <v>2024</v>
      </c>
      <c r="C265" s="3">
        <f t="shared" si="21"/>
        <v>9</v>
      </c>
      <c r="D265" s="3" t="str">
        <f t="shared" si="22"/>
        <v>Fri</v>
      </c>
      <c r="E265" s="3">
        <f t="shared" si="23"/>
        <v>0</v>
      </c>
      <c r="F265" s="3">
        <f t="shared" si="24"/>
        <v>0</v>
      </c>
      <c r="G265" s="3" t="str">
        <f t="array" ref="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3">
        <f>COUNTIF(Events!$A$2:$A$397,$A265)</f>
        <v>0</v>
      </c>
      <c r="I265" s="25" t="str">
        <f t="array" ref="I265">_xlfn.TEXTJOIN(" | ",TRUE(),IF(Events!$A$2:$A$397=$A265,Events!$E$2:$E$397&amp;IF(Events!$G$2:$G$397="National",""," ["&amp;Events!$G$2:$G$397&amp;"]"),""))</f>
        <v/>
      </c>
    </row>
    <row r="266" spans="1:9" ht="15" customHeight="1" x14ac:dyDescent="0.35">
      <c r="A266" s="2">
        <v>45556</v>
      </c>
      <c r="B266" s="3">
        <f t="shared" si="20"/>
        <v>2024</v>
      </c>
      <c r="C266" s="3">
        <f t="shared" si="21"/>
        <v>9</v>
      </c>
      <c r="D266" s="3" t="str">
        <f t="shared" si="22"/>
        <v>Sat</v>
      </c>
      <c r="E266" s="3">
        <f t="shared" si="23"/>
        <v>0</v>
      </c>
      <c r="F266" s="3">
        <f t="shared" si="24"/>
        <v>0</v>
      </c>
      <c r="G266" s="3" t="str">
        <f t="array" ref="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3">
        <f>COUNTIF(Events!$A$2:$A$397,$A266)</f>
        <v>0</v>
      </c>
      <c r="I266" s="25" t="str">
        <f t="array" ref="I266">_xlfn.TEXTJOIN(" | ",TRUE(),IF(Events!$A$2:$A$397=$A266,Events!$E$2:$E$397&amp;IF(Events!$G$2:$G$397="National",""," ["&amp;Events!$G$2:$G$397&amp;"]"),""))</f>
        <v/>
      </c>
    </row>
    <row r="267" spans="1:9" ht="15" customHeight="1" x14ac:dyDescent="0.35">
      <c r="A267" s="2">
        <v>45557</v>
      </c>
      <c r="B267" s="3">
        <f t="shared" si="20"/>
        <v>2024</v>
      </c>
      <c r="C267" s="3">
        <f t="shared" si="21"/>
        <v>9</v>
      </c>
      <c r="D267" s="3" t="str">
        <f t="shared" si="22"/>
        <v>Sun</v>
      </c>
      <c r="E267" s="3">
        <f t="shared" si="23"/>
        <v>0</v>
      </c>
      <c r="F267" s="3">
        <f t="shared" si="24"/>
        <v>0</v>
      </c>
      <c r="G267" s="3" t="str">
        <f t="array" ref="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3">
        <f>COUNTIF(Events!$A$2:$A$397,$A267)</f>
        <v>0</v>
      </c>
      <c r="I267" s="25" t="str">
        <f t="array" ref="I267">_xlfn.TEXTJOIN(" | ",TRUE(),IF(Events!$A$2:$A$397=$A267,Events!$E$2:$E$397&amp;IF(Events!$G$2:$G$397="National",""," ["&amp;Events!$G$2:$G$397&amp;"]"),""))</f>
        <v/>
      </c>
    </row>
    <row r="268" spans="1:9" ht="15" customHeight="1" x14ac:dyDescent="0.35">
      <c r="A268" s="2">
        <v>45558</v>
      </c>
      <c r="B268" s="3">
        <f t="shared" si="20"/>
        <v>2024</v>
      </c>
      <c r="C268" s="3">
        <f t="shared" si="21"/>
        <v>9</v>
      </c>
      <c r="D268" s="3" t="str">
        <f t="shared" si="22"/>
        <v>Mon</v>
      </c>
      <c r="E268" s="3">
        <f t="shared" si="23"/>
        <v>0</v>
      </c>
      <c r="F268" s="3">
        <f t="shared" si="24"/>
        <v>0</v>
      </c>
      <c r="G268" s="3" t="str">
        <f t="array" ref="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3">
        <f>COUNTIF(Events!$A$2:$A$397,$A268)</f>
        <v>0</v>
      </c>
      <c r="I268" s="25" t="str">
        <f t="array" ref="I268">_xlfn.TEXTJOIN(" | ",TRUE(),IF(Events!$A$2:$A$397=$A268,Events!$E$2:$E$397&amp;IF(Events!$G$2:$G$397="National",""," ["&amp;Events!$G$2:$G$397&amp;"]"),""))</f>
        <v/>
      </c>
    </row>
    <row r="269" spans="1:9" ht="15" customHeight="1" x14ac:dyDescent="0.35">
      <c r="A269" s="2">
        <v>45559</v>
      </c>
      <c r="B269" s="3">
        <f t="shared" si="20"/>
        <v>2024</v>
      </c>
      <c r="C269" s="3">
        <f t="shared" si="21"/>
        <v>9</v>
      </c>
      <c r="D269" s="3" t="str">
        <f t="shared" si="22"/>
        <v>Tue</v>
      </c>
      <c r="E269" s="3">
        <f t="shared" si="23"/>
        <v>0</v>
      </c>
      <c r="F269" s="3">
        <f t="shared" si="24"/>
        <v>0</v>
      </c>
      <c r="G269" s="3" t="str">
        <f t="array" ref="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3">
        <f>COUNTIF(Events!$A$2:$A$397,$A269)</f>
        <v>0</v>
      </c>
      <c r="I269" s="25" t="str">
        <f t="array" ref="I269">_xlfn.TEXTJOIN(" | ",TRUE(),IF(Events!$A$2:$A$397=$A269,Events!$E$2:$E$397&amp;IF(Events!$G$2:$G$397="National",""," ["&amp;Events!$G$2:$G$397&amp;"]"),""))</f>
        <v/>
      </c>
    </row>
    <row r="270" spans="1:9" ht="15" customHeight="1" x14ac:dyDescent="0.35">
      <c r="A270" s="2">
        <v>45560</v>
      </c>
      <c r="B270" s="3">
        <f t="shared" si="20"/>
        <v>2024</v>
      </c>
      <c r="C270" s="3">
        <f t="shared" si="21"/>
        <v>9</v>
      </c>
      <c r="D270" s="3" t="str">
        <f t="shared" si="22"/>
        <v>Wed</v>
      </c>
      <c r="E270" s="3">
        <f t="shared" si="23"/>
        <v>0</v>
      </c>
      <c r="F270" s="3">
        <f t="shared" si="24"/>
        <v>0</v>
      </c>
      <c r="G270" s="3" t="str">
        <f t="array" ref="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3">
        <f>COUNTIF(Events!$A$2:$A$397,$A270)</f>
        <v>0</v>
      </c>
      <c r="I270" s="25" t="str">
        <f t="array" ref="I270">_xlfn.TEXTJOIN(" | ",TRUE(),IF(Events!$A$2:$A$397=$A270,Events!$E$2:$E$397&amp;IF(Events!$G$2:$G$397="National",""," ["&amp;Events!$G$2:$G$397&amp;"]"),""))</f>
        <v/>
      </c>
    </row>
    <row r="271" spans="1:9" ht="15" customHeight="1" x14ac:dyDescent="0.35">
      <c r="A271" s="2">
        <v>45561</v>
      </c>
      <c r="B271" s="3">
        <f t="shared" si="20"/>
        <v>2024</v>
      </c>
      <c r="C271" s="3">
        <f t="shared" si="21"/>
        <v>9</v>
      </c>
      <c r="D271" s="3" t="str">
        <f t="shared" si="22"/>
        <v>Thu</v>
      </c>
      <c r="E271" s="3">
        <f t="shared" si="23"/>
        <v>0</v>
      </c>
      <c r="F271" s="3">
        <f t="shared" si="24"/>
        <v>0</v>
      </c>
      <c r="G271" s="3" t="str">
        <f t="array" ref="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3">
        <f>COUNTIF(Events!$A$2:$A$397,$A271)</f>
        <v>0</v>
      </c>
      <c r="I271" s="25" t="str">
        <f t="array" ref="I271">_xlfn.TEXTJOIN(" | ",TRUE(),IF(Events!$A$2:$A$397=$A271,Events!$E$2:$E$397&amp;IF(Events!$G$2:$G$397="National",""," ["&amp;Events!$G$2:$G$397&amp;"]"),""))</f>
        <v/>
      </c>
    </row>
    <row r="272" spans="1:9" ht="15" customHeight="1" x14ac:dyDescent="0.35">
      <c r="A272" s="2">
        <v>45562</v>
      </c>
      <c r="B272" s="3">
        <f t="shared" si="20"/>
        <v>2024</v>
      </c>
      <c r="C272" s="3">
        <f t="shared" si="21"/>
        <v>9</v>
      </c>
      <c r="D272" s="3" t="str">
        <f t="shared" si="22"/>
        <v>Fri</v>
      </c>
      <c r="E272" s="3">
        <f t="shared" si="23"/>
        <v>0</v>
      </c>
      <c r="F272" s="3">
        <f t="shared" si="24"/>
        <v>0</v>
      </c>
      <c r="G272" s="3" t="str">
        <f t="array" ref="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3">
        <f>COUNTIF(Events!$A$2:$A$397,$A272)</f>
        <v>0</v>
      </c>
      <c r="I272" s="25" t="str">
        <f t="array" ref="I272">_xlfn.TEXTJOIN(" | ",TRUE(),IF(Events!$A$2:$A$397=$A272,Events!$E$2:$E$397&amp;IF(Events!$G$2:$G$397="National",""," ["&amp;Events!$G$2:$G$397&amp;"]"),""))</f>
        <v/>
      </c>
    </row>
    <row r="273" spans="1:9" ht="15" customHeight="1" x14ac:dyDescent="0.35">
      <c r="A273" s="2">
        <v>45563</v>
      </c>
      <c r="B273" s="3">
        <f t="shared" si="20"/>
        <v>2024</v>
      </c>
      <c r="C273" s="3">
        <f t="shared" si="21"/>
        <v>9</v>
      </c>
      <c r="D273" s="3" t="str">
        <f t="shared" si="22"/>
        <v>Sat</v>
      </c>
      <c r="E273" s="3">
        <f t="shared" si="23"/>
        <v>0</v>
      </c>
      <c r="F273" s="3">
        <f t="shared" si="24"/>
        <v>0</v>
      </c>
      <c r="G273" s="3" t="str">
        <f t="array" ref="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3">
        <f>COUNTIF(Events!$A$2:$A$397,$A273)</f>
        <v>0</v>
      </c>
      <c r="I273" s="25" t="str">
        <f t="array" ref="I273">_xlfn.TEXTJOIN(" | ",TRUE(),IF(Events!$A$2:$A$397=$A273,Events!$E$2:$E$397&amp;IF(Events!$G$2:$G$397="National",""," ["&amp;Events!$G$2:$G$397&amp;"]"),""))</f>
        <v/>
      </c>
    </row>
    <row r="274" spans="1:9" ht="15" customHeight="1" x14ac:dyDescent="0.35">
      <c r="A274" s="2">
        <v>45564</v>
      </c>
      <c r="B274" s="3">
        <f t="shared" si="20"/>
        <v>2024</v>
      </c>
      <c r="C274" s="3">
        <f t="shared" si="21"/>
        <v>9</v>
      </c>
      <c r="D274" s="3" t="str">
        <f t="shared" si="22"/>
        <v>Sun</v>
      </c>
      <c r="E274" s="3">
        <f t="shared" si="23"/>
        <v>0</v>
      </c>
      <c r="F274" s="3">
        <f t="shared" si="24"/>
        <v>0</v>
      </c>
      <c r="G274" s="3" t="str">
        <f t="array" ref="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v>
      </c>
      <c r="H274" s="3">
        <f>COUNTIF(Events!$A$2:$A$397,$A274)</f>
        <v>0</v>
      </c>
      <c r="I274" s="25" t="str">
        <f t="array" ref="I274">_xlfn.TEXTJOIN(" | ",TRUE(),IF(Events!$A$2:$A$397=$A274,Events!$E$2:$E$397&amp;IF(Events!$G$2:$G$397="National",""," ["&amp;Events!$G$2:$G$397&amp;"]"),""))</f>
        <v/>
      </c>
    </row>
    <row r="275" spans="1:9" ht="15" customHeight="1" x14ac:dyDescent="0.35">
      <c r="A275" s="2">
        <v>45565</v>
      </c>
      <c r="B275" s="3">
        <f t="shared" si="20"/>
        <v>2024</v>
      </c>
      <c r="C275" s="3">
        <f t="shared" si="21"/>
        <v>9</v>
      </c>
      <c r="D275" s="3" t="str">
        <f t="shared" si="22"/>
        <v>Mon</v>
      </c>
      <c r="E275" s="3">
        <f t="shared" si="23"/>
        <v>0</v>
      </c>
      <c r="F275" s="3">
        <f t="shared" si="24"/>
        <v>0</v>
      </c>
      <c r="G275" s="3" t="str">
        <f t="array" ref="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5" s="3">
        <f>COUNTIF(Events!$A$2:$A$397,$A275)</f>
        <v>1</v>
      </c>
      <c r="I275" s="25" t="str">
        <f t="array" ref="I275">_xlfn.TEXTJOIN(" | ",TRUE(),IF(Events!$A$2:$A$397=$A275,Events!$E$2:$E$397&amp;IF(Events!$G$2:$G$397="National",""," ["&amp;Events!$G$2:$G$397&amp;"]"),""))</f>
        <v>ANOC delivery deadline, the day enrollees are actually notified of their plan's CY2025 premium, benefit, and cost-sharing changes ahead of AEP. Synchronized mass-notification shock; CY2025 ANOCs carried the post-IRA changes ($2,000 OOP cap, Prescription Payment Plan, supplemental-benefit trims), making this the date the 2025 benefit-cut news reached consumers</v>
      </c>
    </row>
    <row r="276" spans="1:9" ht="15" customHeight="1" x14ac:dyDescent="0.35">
      <c r="A276" s="2">
        <v>45566</v>
      </c>
      <c r="B276" s="3">
        <f t="shared" si="20"/>
        <v>2024</v>
      </c>
      <c r="C276" s="3">
        <f t="shared" si="21"/>
        <v>10</v>
      </c>
      <c r="D276" s="3" t="str">
        <f t="shared" si="22"/>
        <v>Tue</v>
      </c>
      <c r="E276" s="3">
        <f t="shared" si="23"/>
        <v>0</v>
      </c>
      <c r="F276" s="3">
        <f t="shared" si="24"/>
        <v>0</v>
      </c>
      <c r="G276" s="3" t="str">
        <f t="array" ref="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3">
        <f>COUNTIF(Events!$A$2:$A$397,$A276)</f>
        <v>1</v>
      </c>
      <c r="I276" s="25" t="str">
        <f t="array" ref="I276">_xlfn.TEXTJOIN(" | ",TRUE(),IF(Events!$A$2:$A$397=$A276,Events!$E$2:$E$397&amp;IF(Events!$G$2:$G$397="National",""," ["&amp;Events!$G$2:$G$397&amp;"]"),""))</f>
        <v>CY2025 plan marketing begins; plan landscape/benefit info for 2025 released ahead of AEP; NOTE: the stayed fixed-compensation provisions did NOT apply - per CMS 7/18/2024 memo, pre-rule compensation regs governed AEP 2024; the $100/$50 administrative add-ons were removed from the CY2025 FMV amounts, leaving only the routine annual FMV update (~+2.3%), and administrative payments remained outside the compensation cap</v>
      </c>
    </row>
    <row r="277" spans="1:9" ht="15" customHeight="1" x14ac:dyDescent="0.35">
      <c r="A277" s="2">
        <v>45567</v>
      </c>
      <c r="B277" s="3">
        <f t="shared" si="20"/>
        <v>2024</v>
      </c>
      <c r="C277" s="3">
        <f t="shared" si="21"/>
        <v>10</v>
      </c>
      <c r="D277" s="3" t="str">
        <f t="shared" si="22"/>
        <v>Wed</v>
      </c>
      <c r="E277" s="3">
        <f t="shared" si="23"/>
        <v>0</v>
      </c>
      <c r="F277" s="3">
        <f t="shared" si="24"/>
        <v>0</v>
      </c>
      <c r="G277" s="3" t="str">
        <f t="array" ref="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3">
        <f>COUNTIF(Events!$A$2:$A$397,$A277)</f>
        <v>0</v>
      </c>
      <c r="I277" s="25" t="str">
        <f t="array" ref="I277">_xlfn.TEXTJOIN(" | ",TRUE(),IF(Events!$A$2:$A$397=$A277,Events!$E$2:$E$397&amp;IF(Events!$G$2:$G$397="National",""," ["&amp;Events!$G$2:$G$397&amp;"]"),""))</f>
        <v/>
      </c>
    </row>
    <row r="278" spans="1:9" ht="15" customHeight="1" x14ac:dyDescent="0.35">
      <c r="A278" s="2">
        <v>45568</v>
      </c>
      <c r="B278" s="3">
        <f t="shared" si="20"/>
        <v>2024</v>
      </c>
      <c r="C278" s="3">
        <f t="shared" si="21"/>
        <v>10</v>
      </c>
      <c r="D278" s="3" t="str">
        <f t="shared" si="22"/>
        <v>Thu</v>
      </c>
      <c r="E278" s="3">
        <f t="shared" si="23"/>
        <v>0</v>
      </c>
      <c r="F278" s="3">
        <f t="shared" si="24"/>
        <v>0</v>
      </c>
      <c r="G278" s="3" t="str">
        <f t="array" ref="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3">
        <f>COUNTIF(Events!$A$2:$A$397,$A278)</f>
        <v>0</v>
      </c>
      <c r="I278" s="25" t="str">
        <f t="array" ref="I278">_xlfn.TEXTJOIN(" | ",TRUE(),IF(Events!$A$2:$A$397=$A278,Events!$E$2:$E$397&amp;IF(Events!$G$2:$G$397="National",""," ["&amp;Events!$G$2:$G$397&amp;"]"),""))</f>
        <v/>
      </c>
    </row>
    <row r="279" spans="1:9" ht="15" customHeight="1" x14ac:dyDescent="0.35">
      <c r="A279" s="2">
        <v>45569</v>
      </c>
      <c r="B279" s="3">
        <f t="shared" si="20"/>
        <v>2024</v>
      </c>
      <c r="C279" s="3">
        <f t="shared" si="21"/>
        <v>10</v>
      </c>
      <c r="D279" s="3" t="str">
        <f t="shared" si="22"/>
        <v>Fri</v>
      </c>
      <c r="E279" s="3">
        <f t="shared" si="23"/>
        <v>0</v>
      </c>
      <c r="F279" s="3">
        <f t="shared" si="24"/>
        <v>0</v>
      </c>
      <c r="G279" s="3" t="str">
        <f t="array" ref="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3">
        <f>COUNTIF(Events!$A$2:$A$397,$A279)</f>
        <v>0</v>
      </c>
      <c r="I279" s="25" t="str">
        <f t="array" ref="I279">_xlfn.TEXTJOIN(" | ",TRUE(),IF(Events!$A$2:$A$397=$A279,Events!$E$2:$E$397&amp;IF(Events!$G$2:$G$397="National",""," ["&amp;Events!$G$2:$G$397&amp;"]"),""))</f>
        <v/>
      </c>
    </row>
    <row r="280" spans="1:9" ht="15" customHeight="1" x14ac:dyDescent="0.35">
      <c r="A280" s="2">
        <v>45570</v>
      </c>
      <c r="B280" s="3">
        <f t="shared" si="20"/>
        <v>2024</v>
      </c>
      <c r="C280" s="3">
        <f t="shared" si="21"/>
        <v>10</v>
      </c>
      <c r="D280" s="3" t="str">
        <f t="shared" si="22"/>
        <v>Sat</v>
      </c>
      <c r="E280" s="3">
        <f t="shared" si="23"/>
        <v>0</v>
      </c>
      <c r="F280" s="3">
        <f t="shared" si="24"/>
        <v>0</v>
      </c>
      <c r="G280" s="3" t="str">
        <f t="array" ref="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3">
        <f>COUNTIF(Events!$A$2:$A$397,$A280)</f>
        <v>0</v>
      </c>
      <c r="I280" s="25" t="str">
        <f t="array" ref="I280">_xlfn.TEXTJOIN(" | ",TRUE(),IF(Events!$A$2:$A$397=$A280,Events!$E$2:$E$397&amp;IF(Events!$G$2:$G$397="National",""," ["&amp;Events!$G$2:$G$397&amp;"]"),""))</f>
        <v/>
      </c>
    </row>
    <row r="281" spans="1:9" ht="15" customHeight="1" x14ac:dyDescent="0.35">
      <c r="A281" s="2">
        <v>45571</v>
      </c>
      <c r="B281" s="3">
        <f t="shared" si="20"/>
        <v>2024</v>
      </c>
      <c r="C281" s="3">
        <f t="shared" si="21"/>
        <v>10</v>
      </c>
      <c r="D281" s="3" t="str">
        <f t="shared" si="22"/>
        <v>Sun</v>
      </c>
      <c r="E281" s="3">
        <f t="shared" si="23"/>
        <v>0</v>
      </c>
      <c r="F281" s="3">
        <f t="shared" si="24"/>
        <v>0</v>
      </c>
      <c r="G281" s="3" t="str">
        <f t="array" ref="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3">
        <f>COUNTIF(Events!$A$2:$A$397,$A281)</f>
        <v>0</v>
      </c>
      <c r="I281" s="25" t="str">
        <f t="array" ref="I281">_xlfn.TEXTJOIN(" | ",TRUE(),IF(Events!$A$2:$A$397=$A281,Events!$E$2:$E$397&amp;IF(Events!$G$2:$G$397="National",""," ["&amp;Events!$G$2:$G$397&amp;"]"),""))</f>
        <v/>
      </c>
    </row>
    <row r="282" spans="1:9" ht="15" customHeight="1" x14ac:dyDescent="0.35">
      <c r="A282" s="2">
        <v>45572</v>
      </c>
      <c r="B282" s="3">
        <f t="shared" si="20"/>
        <v>2024</v>
      </c>
      <c r="C282" s="3">
        <f t="shared" si="21"/>
        <v>10</v>
      </c>
      <c r="D282" s="3" t="str">
        <f t="shared" si="22"/>
        <v>Mon</v>
      </c>
      <c r="E282" s="3">
        <f t="shared" si="23"/>
        <v>0</v>
      </c>
      <c r="F282" s="3">
        <f t="shared" si="24"/>
        <v>0</v>
      </c>
      <c r="G282" s="3" t="str">
        <f t="array" ref="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3">
        <f>COUNTIF(Events!$A$2:$A$397,$A282)</f>
        <v>0</v>
      </c>
      <c r="I282" s="25" t="str">
        <f t="array" ref="I282">_xlfn.TEXTJOIN(" | ",TRUE(),IF(Events!$A$2:$A$397=$A282,Events!$E$2:$E$397&amp;IF(Events!$G$2:$G$397="National",""," ["&amp;Events!$G$2:$G$397&amp;"]"),""))</f>
        <v/>
      </c>
    </row>
    <row r="283" spans="1:9" ht="15" customHeight="1" x14ac:dyDescent="0.35">
      <c r="A283" s="2">
        <v>45573</v>
      </c>
      <c r="B283" s="3">
        <f t="shared" si="20"/>
        <v>2024</v>
      </c>
      <c r="C283" s="3">
        <f t="shared" si="21"/>
        <v>10</v>
      </c>
      <c r="D283" s="3" t="str">
        <f t="shared" si="22"/>
        <v>Tue</v>
      </c>
      <c r="E283" s="3">
        <f t="shared" si="23"/>
        <v>0</v>
      </c>
      <c r="F283" s="3">
        <f t="shared" si="24"/>
        <v>0</v>
      </c>
      <c r="G283" s="3" t="str">
        <f t="array" ref="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3">
        <f>COUNTIF(Events!$A$2:$A$397,$A283)</f>
        <v>0</v>
      </c>
      <c r="I283" s="25" t="str">
        <f t="array" ref="I283">_xlfn.TEXTJOIN(" | ",TRUE(),IF(Events!$A$2:$A$397=$A283,Events!$E$2:$E$397&amp;IF(Events!$G$2:$G$397="National",""," ["&amp;Events!$G$2:$G$397&amp;"]"),""))</f>
        <v/>
      </c>
    </row>
    <row r="284" spans="1:9" ht="15" customHeight="1" x14ac:dyDescent="0.35">
      <c r="A284" s="2">
        <v>45574</v>
      </c>
      <c r="B284" s="3">
        <f t="shared" si="20"/>
        <v>2024</v>
      </c>
      <c r="C284" s="3">
        <f t="shared" si="21"/>
        <v>10</v>
      </c>
      <c r="D284" s="3" t="str">
        <f t="shared" si="22"/>
        <v>Wed</v>
      </c>
      <c r="E284" s="3">
        <f t="shared" si="23"/>
        <v>0</v>
      </c>
      <c r="F284" s="3">
        <f t="shared" si="24"/>
        <v>0</v>
      </c>
      <c r="G284" s="3" t="str">
        <f t="array" ref="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3">
        <f>COUNTIF(Events!$A$2:$A$397,$A284)</f>
        <v>0</v>
      </c>
      <c r="I284" s="25" t="str">
        <f t="array" ref="I284">_xlfn.TEXTJOIN(" | ",TRUE(),IF(Events!$A$2:$A$397=$A284,Events!$E$2:$E$397&amp;IF(Events!$G$2:$G$397="National",""," ["&amp;Events!$G$2:$G$397&amp;"]"),""))</f>
        <v/>
      </c>
    </row>
    <row r="285" spans="1:9" ht="15" customHeight="1" x14ac:dyDescent="0.35">
      <c r="A285" s="2">
        <v>45575</v>
      </c>
      <c r="B285" s="3">
        <f t="shared" si="20"/>
        <v>2024</v>
      </c>
      <c r="C285" s="3">
        <f t="shared" si="21"/>
        <v>10</v>
      </c>
      <c r="D285" s="3" t="str">
        <f t="shared" si="22"/>
        <v>Thu</v>
      </c>
      <c r="E285" s="3">
        <f t="shared" si="23"/>
        <v>0</v>
      </c>
      <c r="F285" s="3">
        <f t="shared" si="24"/>
        <v>0</v>
      </c>
      <c r="G285" s="3" t="str">
        <f t="array" ref="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3">
        <f>COUNTIF(Events!$A$2:$A$397,$A285)</f>
        <v>1</v>
      </c>
      <c r="I285" s="25" t="str">
        <f t="array" ref="I285">_xlfn.TEXTJOIN(" | ",TRUE(),IF(Events!$A$2:$A$397=$A285,Events!$E$2:$E$397&amp;IF(Events!$G$2:$G$397="National",""," ["&amp;Events!$G$2:$G$397&amp;"]"),""))</f>
        <v>2025 Star Ratings published on Medicare Plan Finder: sharp industry decline - only 7 MA-PD contracts earned 5 stars (vs 38 for 2024); avg rating fell to ~3.92; drives 2026 quality bonus payments</v>
      </c>
    </row>
    <row r="286" spans="1:9" ht="15" customHeight="1" x14ac:dyDescent="0.35">
      <c r="A286" s="2">
        <v>45576</v>
      </c>
      <c r="B286" s="3">
        <f t="shared" si="20"/>
        <v>2024</v>
      </c>
      <c r="C286" s="3">
        <f t="shared" si="21"/>
        <v>10</v>
      </c>
      <c r="D286" s="3" t="str">
        <f t="shared" si="22"/>
        <v>Fri</v>
      </c>
      <c r="E286" s="3">
        <f t="shared" si="23"/>
        <v>0</v>
      </c>
      <c r="F286" s="3">
        <f t="shared" si="24"/>
        <v>0</v>
      </c>
      <c r="G286" s="3" t="str">
        <f t="array" ref="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3">
        <f>COUNTIF(Events!$A$2:$A$397,$A286)</f>
        <v>0</v>
      </c>
      <c r="I286" s="25" t="str">
        <f t="array" ref="I286">_xlfn.TEXTJOIN(" | ",TRUE(),IF(Events!$A$2:$A$397=$A286,Events!$E$2:$E$397&amp;IF(Events!$G$2:$G$397="National",""," ["&amp;Events!$G$2:$G$397&amp;"]"),""))</f>
        <v/>
      </c>
    </row>
    <row r="287" spans="1:9" ht="15" customHeight="1" x14ac:dyDescent="0.35">
      <c r="A287" s="2">
        <v>45577</v>
      </c>
      <c r="B287" s="3">
        <f t="shared" si="20"/>
        <v>2024</v>
      </c>
      <c r="C287" s="3">
        <f t="shared" si="21"/>
        <v>10</v>
      </c>
      <c r="D287" s="3" t="str">
        <f t="shared" si="22"/>
        <v>Sat</v>
      </c>
      <c r="E287" s="3">
        <f t="shared" si="23"/>
        <v>0</v>
      </c>
      <c r="F287" s="3">
        <f t="shared" si="24"/>
        <v>0</v>
      </c>
      <c r="G287" s="3" t="str">
        <f t="array" ref="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3">
        <f>COUNTIF(Events!$A$2:$A$397,$A287)</f>
        <v>0</v>
      </c>
      <c r="I287" s="25" t="str">
        <f t="array" ref="I287">_xlfn.TEXTJOIN(" | ",TRUE(),IF(Events!$A$2:$A$397=$A287,Events!$E$2:$E$397&amp;IF(Events!$G$2:$G$397="National",""," ["&amp;Events!$G$2:$G$397&amp;"]"),""))</f>
        <v/>
      </c>
    </row>
    <row r="288" spans="1:9" ht="15" customHeight="1" x14ac:dyDescent="0.35">
      <c r="A288" s="2">
        <v>45578</v>
      </c>
      <c r="B288" s="3">
        <f t="shared" si="20"/>
        <v>2024</v>
      </c>
      <c r="C288" s="3">
        <f t="shared" si="21"/>
        <v>10</v>
      </c>
      <c r="D288" s="3" t="str">
        <f t="shared" si="22"/>
        <v>Sun</v>
      </c>
      <c r="E288" s="3">
        <f t="shared" si="23"/>
        <v>0</v>
      </c>
      <c r="F288" s="3">
        <f t="shared" si="24"/>
        <v>0</v>
      </c>
      <c r="G288" s="3" t="str">
        <f t="array" ref="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3">
        <f>COUNTIF(Events!$A$2:$A$397,$A288)</f>
        <v>0</v>
      </c>
      <c r="I288" s="25" t="str">
        <f t="array" ref="I288">_xlfn.TEXTJOIN(" | ",TRUE(),IF(Events!$A$2:$A$397=$A288,Events!$E$2:$E$397&amp;IF(Events!$G$2:$G$397="National",""," ["&amp;Events!$G$2:$G$397&amp;"]"),""))</f>
        <v/>
      </c>
    </row>
    <row r="289" spans="1:9" ht="15" customHeight="1" x14ac:dyDescent="0.35">
      <c r="A289" s="2">
        <v>45579</v>
      </c>
      <c r="B289" s="3">
        <f t="shared" si="20"/>
        <v>2024</v>
      </c>
      <c r="C289" s="3">
        <f t="shared" si="21"/>
        <v>10</v>
      </c>
      <c r="D289" s="3" t="str">
        <f t="shared" si="22"/>
        <v>Mon</v>
      </c>
      <c r="E289" s="3">
        <f t="shared" si="23"/>
        <v>0</v>
      </c>
      <c r="F289" s="3">
        <f t="shared" si="24"/>
        <v>0</v>
      </c>
      <c r="G289" s="3" t="str">
        <f t="array" ref="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3">
        <f>COUNTIF(Events!$A$2:$A$397,$A289)</f>
        <v>0</v>
      </c>
      <c r="I289" s="25" t="str">
        <f t="array" ref="I289">_xlfn.TEXTJOIN(" | ",TRUE(),IF(Events!$A$2:$A$397=$A289,Events!$E$2:$E$397&amp;IF(Events!$G$2:$G$397="National",""," ["&amp;Events!$G$2:$G$397&amp;"]"),""))</f>
        <v/>
      </c>
    </row>
    <row r="290" spans="1:9" ht="15" customHeight="1" x14ac:dyDescent="0.35">
      <c r="A290" s="2">
        <v>45580</v>
      </c>
      <c r="B290" s="3">
        <f t="shared" si="20"/>
        <v>2024</v>
      </c>
      <c r="C290" s="3">
        <f t="shared" si="21"/>
        <v>10</v>
      </c>
      <c r="D290" s="3" t="str">
        <f t="shared" si="22"/>
        <v>Tue</v>
      </c>
      <c r="E290" s="3">
        <f t="shared" si="23"/>
        <v>1</v>
      </c>
      <c r="F290" s="3">
        <f t="shared" si="24"/>
        <v>0</v>
      </c>
      <c r="G290" s="3" t="str">
        <f t="array" ref="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3">
        <f>COUNTIF(Events!$A$2:$A$397,$A290)</f>
        <v>0</v>
      </c>
      <c r="I290" s="25" t="str">
        <f t="array" ref="I290">_xlfn.TEXTJOIN(" | ",TRUE(),IF(Events!$A$2:$A$397=$A290,Events!$E$2:$E$397&amp;IF(Events!$G$2:$G$397="National",""," ["&amp;Events!$G$2:$G$397&amp;"]"),""))</f>
        <v/>
      </c>
    </row>
    <row r="291" spans="1:9" ht="15" customHeight="1" x14ac:dyDescent="0.35">
      <c r="A291" s="2">
        <v>45581</v>
      </c>
      <c r="B291" s="3">
        <f t="shared" si="20"/>
        <v>2024</v>
      </c>
      <c r="C291" s="3">
        <f t="shared" si="21"/>
        <v>10</v>
      </c>
      <c r="D291" s="3" t="str">
        <f t="shared" si="22"/>
        <v>Wed</v>
      </c>
      <c r="E291" s="3">
        <f t="shared" si="23"/>
        <v>1</v>
      </c>
      <c r="F291" s="3">
        <f t="shared" si="24"/>
        <v>0</v>
      </c>
      <c r="G291" s="3" t="str">
        <f t="array" ref="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3">
        <f>COUNTIF(Events!$A$2:$A$397,$A291)</f>
        <v>0</v>
      </c>
      <c r="I291" s="25" t="str">
        <f t="array" ref="I291">_xlfn.TEXTJOIN(" | ",TRUE(),IF(Events!$A$2:$A$397=$A291,Events!$E$2:$E$397&amp;IF(Events!$G$2:$G$397="National",""," ["&amp;Events!$G$2:$G$397&amp;"]"),""))</f>
        <v/>
      </c>
    </row>
    <row r="292" spans="1:9" ht="15" customHeight="1" x14ac:dyDescent="0.35">
      <c r="A292" s="2">
        <v>45582</v>
      </c>
      <c r="B292" s="3">
        <f t="shared" si="20"/>
        <v>2024</v>
      </c>
      <c r="C292" s="3">
        <f t="shared" si="21"/>
        <v>10</v>
      </c>
      <c r="D292" s="3" t="str">
        <f t="shared" si="22"/>
        <v>Thu</v>
      </c>
      <c r="E292" s="3">
        <f t="shared" si="23"/>
        <v>1</v>
      </c>
      <c r="F292" s="3">
        <f t="shared" si="24"/>
        <v>0</v>
      </c>
      <c r="G292" s="3" t="str">
        <f t="array" ref="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3">
        <f>COUNTIF(Events!$A$2:$A$397,$A292)</f>
        <v>0</v>
      </c>
      <c r="I292" s="25" t="str">
        <f t="array" ref="I292">_xlfn.TEXTJOIN(" | ",TRUE(),IF(Events!$A$2:$A$397=$A292,Events!$E$2:$E$397&amp;IF(Events!$G$2:$G$397="National",""," ["&amp;Events!$G$2:$G$397&amp;"]"),""))</f>
        <v/>
      </c>
    </row>
    <row r="293" spans="1:9" ht="15" customHeight="1" x14ac:dyDescent="0.35">
      <c r="A293" s="2">
        <v>45583</v>
      </c>
      <c r="B293" s="3">
        <f t="shared" si="20"/>
        <v>2024</v>
      </c>
      <c r="C293" s="3">
        <f t="shared" si="21"/>
        <v>10</v>
      </c>
      <c r="D293" s="3" t="str">
        <f t="shared" si="22"/>
        <v>Fri</v>
      </c>
      <c r="E293" s="3">
        <f t="shared" si="23"/>
        <v>1</v>
      </c>
      <c r="F293" s="3">
        <f t="shared" si="24"/>
        <v>0</v>
      </c>
      <c r="G293" s="3" t="str">
        <f t="array" ref="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3">
        <f>COUNTIF(Events!$A$2:$A$397,$A293)</f>
        <v>0</v>
      </c>
      <c r="I293" s="25" t="str">
        <f t="array" ref="I293">_xlfn.TEXTJOIN(" | ",TRUE(),IF(Events!$A$2:$A$397=$A293,Events!$E$2:$E$397&amp;IF(Events!$G$2:$G$397="National",""," ["&amp;Events!$G$2:$G$397&amp;"]"),""))</f>
        <v/>
      </c>
    </row>
    <row r="294" spans="1:9" ht="15" customHeight="1" x14ac:dyDescent="0.35">
      <c r="A294" s="2">
        <v>45584</v>
      </c>
      <c r="B294" s="3">
        <f t="shared" si="20"/>
        <v>2024</v>
      </c>
      <c r="C294" s="3">
        <f t="shared" si="21"/>
        <v>10</v>
      </c>
      <c r="D294" s="3" t="str">
        <f t="shared" si="22"/>
        <v>Sat</v>
      </c>
      <c r="E294" s="3">
        <f t="shared" si="23"/>
        <v>1</v>
      </c>
      <c r="F294" s="3">
        <f t="shared" si="24"/>
        <v>0</v>
      </c>
      <c r="G294" s="3" t="str">
        <f t="array" ref="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3">
        <f>COUNTIF(Events!$A$2:$A$397,$A294)</f>
        <v>0</v>
      </c>
      <c r="I294" s="25" t="str">
        <f t="array" ref="I294">_xlfn.TEXTJOIN(" | ",TRUE(),IF(Events!$A$2:$A$397=$A294,Events!$E$2:$E$397&amp;IF(Events!$G$2:$G$397="National",""," ["&amp;Events!$G$2:$G$397&amp;"]"),""))</f>
        <v/>
      </c>
    </row>
    <row r="295" spans="1:9" ht="15" customHeight="1" x14ac:dyDescent="0.35">
      <c r="A295" s="2">
        <v>45585</v>
      </c>
      <c r="B295" s="3">
        <f t="shared" si="20"/>
        <v>2024</v>
      </c>
      <c r="C295" s="3">
        <f t="shared" si="21"/>
        <v>10</v>
      </c>
      <c r="D295" s="3" t="str">
        <f t="shared" si="22"/>
        <v>Sun</v>
      </c>
      <c r="E295" s="3">
        <f t="shared" si="23"/>
        <v>1</v>
      </c>
      <c r="F295" s="3">
        <f t="shared" si="24"/>
        <v>0</v>
      </c>
      <c r="G295" s="3" t="str">
        <f t="array" ref="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3">
        <f>COUNTIF(Events!$A$2:$A$397,$A295)</f>
        <v>0</v>
      </c>
      <c r="I295" s="25" t="str">
        <f t="array" ref="I295">_xlfn.TEXTJOIN(" | ",TRUE(),IF(Events!$A$2:$A$397=$A295,Events!$E$2:$E$397&amp;IF(Events!$G$2:$G$397="National",""," ["&amp;Events!$G$2:$G$397&amp;"]"),""))</f>
        <v/>
      </c>
    </row>
    <row r="296" spans="1:9" ht="15" customHeight="1" x14ac:dyDescent="0.35">
      <c r="A296" s="2">
        <v>45586</v>
      </c>
      <c r="B296" s="3">
        <f t="shared" si="20"/>
        <v>2024</v>
      </c>
      <c r="C296" s="3">
        <f t="shared" si="21"/>
        <v>10</v>
      </c>
      <c r="D296" s="3" t="str">
        <f t="shared" si="22"/>
        <v>Mon</v>
      </c>
      <c r="E296" s="3">
        <f t="shared" si="23"/>
        <v>1</v>
      </c>
      <c r="F296" s="3">
        <f t="shared" si="24"/>
        <v>0</v>
      </c>
      <c r="G296" s="3" t="str">
        <f t="array" ref="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3">
        <f>COUNTIF(Events!$A$2:$A$397,$A296)</f>
        <v>0</v>
      </c>
      <c r="I296" s="25" t="str">
        <f t="array" ref="I296">_xlfn.TEXTJOIN(" | ",TRUE(),IF(Events!$A$2:$A$397=$A296,Events!$E$2:$E$397&amp;IF(Events!$G$2:$G$397="National",""," ["&amp;Events!$G$2:$G$397&amp;"]"),""))</f>
        <v/>
      </c>
    </row>
    <row r="297" spans="1:9" ht="15" customHeight="1" x14ac:dyDescent="0.35">
      <c r="A297" s="2">
        <v>45587</v>
      </c>
      <c r="B297" s="3">
        <f t="shared" si="20"/>
        <v>2024</v>
      </c>
      <c r="C297" s="3">
        <f t="shared" si="21"/>
        <v>10</v>
      </c>
      <c r="D297" s="3" t="str">
        <f t="shared" si="22"/>
        <v>Tue</v>
      </c>
      <c r="E297" s="3">
        <f t="shared" si="23"/>
        <v>1</v>
      </c>
      <c r="F297" s="3">
        <f t="shared" si="24"/>
        <v>0</v>
      </c>
      <c r="G297" s="3" t="str">
        <f t="array" ref="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3">
        <f>COUNTIF(Events!$A$2:$A$397,$A297)</f>
        <v>0</v>
      </c>
      <c r="I297" s="25" t="str">
        <f t="array" ref="I297">_xlfn.TEXTJOIN(" | ",TRUE(),IF(Events!$A$2:$A$397=$A297,Events!$E$2:$E$397&amp;IF(Events!$G$2:$G$397="National",""," ["&amp;Events!$G$2:$G$397&amp;"]"),""))</f>
        <v/>
      </c>
    </row>
    <row r="298" spans="1:9" ht="15" customHeight="1" x14ac:dyDescent="0.35">
      <c r="A298" s="2">
        <v>45588</v>
      </c>
      <c r="B298" s="3">
        <f t="shared" si="20"/>
        <v>2024</v>
      </c>
      <c r="C298" s="3">
        <f t="shared" si="21"/>
        <v>10</v>
      </c>
      <c r="D298" s="3" t="str">
        <f t="shared" si="22"/>
        <v>Wed</v>
      </c>
      <c r="E298" s="3">
        <f t="shared" si="23"/>
        <v>1</v>
      </c>
      <c r="F298" s="3">
        <f t="shared" si="24"/>
        <v>0</v>
      </c>
      <c r="G298" s="3" t="str">
        <f t="array" ref="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3">
        <f>COUNTIF(Events!$A$2:$A$397,$A298)</f>
        <v>0</v>
      </c>
      <c r="I298" s="25" t="str">
        <f t="array" ref="I298">_xlfn.TEXTJOIN(" | ",TRUE(),IF(Events!$A$2:$A$397=$A298,Events!$E$2:$E$397&amp;IF(Events!$G$2:$G$397="National",""," ["&amp;Events!$G$2:$G$397&amp;"]"),""))</f>
        <v/>
      </c>
    </row>
    <row r="299" spans="1:9" ht="15" customHeight="1" x14ac:dyDescent="0.35">
      <c r="A299" s="2">
        <v>45589</v>
      </c>
      <c r="B299" s="3">
        <f t="shared" si="20"/>
        <v>2024</v>
      </c>
      <c r="C299" s="3">
        <f t="shared" si="21"/>
        <v>10</v>
      </c>
      <c r="D299" s="3" t="str">
        <f t="shared" si="22"/>
        <v>Thu</v>
      </c>
      <c r="E299" s="3">
        <f t="shared" si="23"/>
        <v>1</v>
      </c>
      <c r="F299" s="3">
        <f t="shared" si="24"/>
        <v>0</v>
      </c>
      <c r="G299" s="3" t="str">
        <f t="array" ref="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3">
        <f>COUNTIF(Events!$A$2:$A$397,$A299)</f>
        <v>0</v>
      </c>
      <c r="I299" s="25" t="str">
        <f t="array" ref="I299">_xlfn.TEXTJOIN(" | ",TRUE(),IF(Events!$A$2:$A$397=$A299,Events!$E$2:$E$397&amp;IF(Events!$G$2:$G$397="National",""," ["&amp;Events!$G$2:$G$397&amp;"]"),""))</f>
        <v/>
      </c>
    </row>
    <row r="300" spans="1:9" ht="15" customHeight="1" x14ac:dyDescent="0.35">
      <c r="A300" s="2">
        <v>45590</v>
      </c>
      <c r="B300" s="3">
        <f t="shared" si="20"/>
        <v>2024</v>
      </c>
      <c r="C300" s="3">
        <f t="shared" si="21"/>
        <v>10</v>
      </c>
      <c r="D300" s="3" t="str">
        <f t="shared" si="22"/>
        <v>Fri</v>
      </c>
      <c r="E300" s="3">
        <f t="shared" si="23"/>
        <v>1</v>
      </c>
      <c r="F300" s="3">
        <f t="shared" si="24"/>
        <v>0</v>
      </c>
      <c r="G300" s="3" t="str">
        <f t="array" ref="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3">
        <f>COUNTIF(Events!$A$2:$A$397,$A300)</f>
        <v>0</v>
      </c>
      <c r="I300" s="25" t="str">
        <f t="array" ref="I300">_xlfn.TEXTJOIN(" | ",TRUE(),IF(Events!$A$2:$A$397=$A300,Events!$E$2:$E$397&amp;IF(Events!$G$2:$G$397="National",""," ["&amp;Events!$G$2:$G$397&amp;"]"),""))</f>
        <v/>
      </c>
    </row>
    <row r="301" spans="1:9" ht="15" customHeight="1" x14ac:dyDescent="0.35">
      <c r="A301" s="2">
        <v>45591</v>
      </c>
      <c r="B301" s="3">
        <f t="shared" si="20"/>
        <v>2024</v>
      </c>
      <c r="C301" s="3">
        <f t="shared" si="21"/>
        <v>10</v>
      </c>
      <c r="D301" s="3" t="str">
        <f t="shared" si="22"/>
        <v>Sat</v>
      </c>
      <c r="E301" s="3">
        <f t="shared" si="23"/>
        <v>1</v>
      </c>
      <c r="F301" s="3">
        <f t="shared" si="24"/>
        <v>0</v>
      </c>
      <c r="G301" s="3" t="str">
        <f t="array" ref="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3">
        <f>COUNTIF(Events!$A$2:$A$397,$A301)</f>
        <v>0</v>
      </c>
      <c r="I301" s="25" t="str">
        <f t="array" ref="I301">_xlfn.TEXTJOIN(" | ",TRUE(),IF(Events!$A$2:$A$397=$A301,Events!$E$2:$E$397&amp;IF(Events!$G$2:$G$397="National",""," ["&amp;Events!$G$2:$G$397&amp;"]"),""))</f>
        <v/>
      </c>
    </row>
    <row r="302" spans="1:9" ht="15" customHeight="1" x14ac:dyDescent="0.35">
      <c r="A302" s="2">
        <v>45592</v>
      </c>
      <c r="B302" s="3">
        <f t="shared" si="20"/>
        <v>2024</v>
      </c>
      <c r="C302" s="3">
        <f t="shared" si="21"/>
        <v>10</v>
      </c>
      <c r="D302" s="3" t="str">
        <f t="shared" si="22"/>
        <v>Sun</v>
      </c>
      <c r="E302" s="3">
        <f t="shared" si="23"/>
        <v>1</v>
      </c>
      <c r="F302" s="3">
        <f t="shared" si="24"/>
        <v>0</v>
      </c>
      <c r="G302" s="3" t="str">
        <f t="array" ref="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3">
        <f>COUNTIF(Events!$A$2:$A$397,$A302)</f>
        <v>0</v>
      </c>
      <c r="I302" s="25" t="str">
        <f t="array" ref="I302">_xlfn.TEXTJOIN(" | ",TRUE(),IF(Events!$A$2:$A$397=$A302,Events!$E$2:$E$397&amp;IF(Events!$G$2:$G$397="National",""," ["&amp;Events!$G$2:$G$397&amp;"]"),""))</f>
        <v/>
      </c>
    </row>
    <row r="303" spans="1:9" ht="15" customHeight="1" x14ac:dyDescent="0.35">
      <c r="A303" s="2">
        <v>45593</v>
      </c>
      <c r="B303" s="3">
        <f t="shared" si="20"/>
        <v>2024</v>
      </c>
      <c r="C303" s="3">
        <f t="shared" si="21"/>
        <v>10</v>
      </c>
      <c r="D303" s="3" t="str">
        <f t="shared" si="22"/>
        <v>Mon</v>
      </c>
      <c r="E303" s="3">
        <f t="shared" si="23"/>
        <v>1</v>
      </c>
      <c r="F303" s="3">
        <f t="shared" si="24"/>
        <v>0</v>
      </c>
      <c r="G303" s="3" t="str">
        <f t="array" ref="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3">
        <f>COUNTIF(Events!$A$2:$A$397,$A303)</f>
        <v>0</v>
      </c>
      <c r="I303" s="25" t="str">
        <f t="array" ref="I303">_xlfn.TEXTJOIN(" | ",TRUE(),IF(Events!$A$2:$A$397=$A303,Events!$E$2:$E$397&amp;IF(Events!$G$2:$G$397="National",""," ["&amp;Events!$G$2:$G$397&amp;"]"),""))</f>
        <v/>
      </c>
    </row>
    <row r="304" spans="1:9" ht="15" customHeight="1" x14ac:dyDescent="0.35">
      <c r="A304" s="2">
        <v>45594</v>
      </c>
      <c r="B304" s="3">
        <f t="shared" si="20"/>
        <v>2024</v>
      </c>
      <c r="C304" s="3">
        <f t="shared" si="21"/>
        <v>10</v>
      </c>
      <c r="D304" s="3" t="str">
        <f t="shared" si="22"/>
        <v>Tue</v>
      </c>
      <c r="E304" s="3">
        <f t="shared" si="23"/>
        <v>1</v>
      </c>
      <c r="F304" s="3">
        <f t="shared" si="24"/>
        <v>0</v>
      </c>
      <c r="G304" s="3" t="str">
        <f t="array" ref="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3">
        <f>COUNTIF(Events!$A$2:$A$397,$A304)</f>
        <v>0</v>
      </c>
      <c r="I304" s="25" t="str">
        <f t="array" ref="I304">_xlfn.TEXTJOIN(" | ",TRUE(),IF(Events!$A$2:$A$397=$A304,Events!$E$2:$E$397&amp;IF(Events!$G$2:$G$397="National",""," ["&amp;Events!$G$2:$G$397&amp;"]"),""))</f>
        <v/>
      </c>
    </row>
    <row r="305" spans="1:9" ht="15" customHeight="1" x14ac:dyDescent="0.35">
      <c r="A305" s="2">
        <v>45595</v>
      </c>
      <c r="B305" s="3">
        <f t="shared" si="20"/>
        <v>2024</v>
      </c>
      <c r="C305" s="3">
        <f t="shared" si="21"/>
        <v>10</v>
      </c>
      <c r="D305" s="3" t="str">
        <f t="shared" si="22"/>
        <v>Wed</v>
      </c>
      <c r="E305" s="3">
        <f t="shared" si="23"/>
        <v>1</v>
      </c>
      <c r="F305" s="3">
        <f t="shared" si="24"/>
        <v>0</v>
      </c>
      <c r="G305" s="3" t="str">
        <f t="array" ref="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v>
      </c>
      <c r="H305" s="3">
        <f>COUNTIF(Events!$A$2:$A$397,$A305)</f>
        <v>0</v>
      </c>
      <c r="I305" s="25" t="str">
        <f t="array" ref="I305">_xlfn.TEXTJOIN(" | ",TRUE(),IF(Events!$A$2:$A$397=$A305,Events!$E$2:$E$397&amp;IF(Events!$G$2:$G$397="National",""," ["&amp;Events!$G$2:$G$397&amp;"]"),""))</f>
        <v/>
      </c>
    </row>
    <row r="306" spans="1:9" ht="15" customHeight="1" x14ac:dyDescent="0.35">
      <c r="A306" s="2">
        <v>45596</v>
      </c>
      <c r="B306" s="3">
        <f t="shared" si="20"/>
        <v>2024</v>
      </c>
      <c r="C306" s="3">
        <f t="shared" si="21"/>
        <v>10</v>
      </c>
      <c r="D306" s="3" t="str">
        <f t="shared" si="22"/>
        <v>Thu</v>
      </c>
      <c r="E306" s="3">
        <f t="shared" si="23"/>
        <v>1</v>
      </c>
      <c r="F306" s="3">
        <f t="shared" si="24"/>
        <v>0</v>
      </c>
      <c r="G306" s="3" t="str">
        <f t="array" ref="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 | Disaster SEP ended: Severe Storm [NE] DR-4808 | Disaster SEP ended: Fire [NV] FM-5494 | Disaster SEP ended: Fire [NV] FM-5495 | Disaster SEP ended: Fire [AZ] FM-5496 | Disaster SEP ended: Flood [NM] DR-4809 | Disaster SEP ended: Fire [AZ] FM-5501</v>
      </c>
      <c r="H306" s="3">
        <f>COUNTIF(Events!$A$2:$A$397,$A306)</f>
        <v>0</v>
      </c>
      <c r="I306" s="25" t="str">
        <f t="array" ref="I306">_xlfn.TEXTJOIN(" | ",TRUE(),IF(Events!$A$2:$A$397=$A306,Events!$E$2:$E$397&amp;IF(Events!$G$2:$G$397="National",""," ["&amp;Events!$G$2:$G$397&amp;"]"),""))</f>
        <v/>
      </c>
    </row>
    <row r="307" spans="1:9" ht="15" customHeight="1" x14ac:dyDescent="0.35">
      <c r="A307" s="2">
        <v>45597</v>
      </c>
      <c r="B307" s="3">
        <f t="shared" si="20"/>
        <v>2024</v>
      </c>
      <c r="C307" s="3">
        <f t="shared" si="21"/>
        <v>11</v>
      </c>
      <c r="D307" s="3" t="str">
        <f t="shared" si="22"/>
        <v>Fri</v>
      </c>
      <c r="E307" s="3">
        <f t="shared" si="23"/>
        <v>1</v>
      </c>
      <c r="F307" s="3">
        <f t="shared" si="24"/>
        <v>0</v>
      </c>
      <c r="G307" s="3" t="str">
        <f t="array" ref="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3">
        <f>COUNTIF(Events!$A$2:$A$397,$A307)</f>
        <v>0</v>
      </c>
      <c r="I307" s="25" t="str">
        <f t="array" ref="I307">_xlfn.TEXTJOIN(" | ",TRUE(),IF(Events!$A$2:$A$397=$A307,Events!$E$2:$E$397&amp;IF(Events!$G$2:$G$397="National",""," ["&amp;Events!$G$2:$G$397&amp;"]"),""))</f>
        <v/>
      </c>
    </row>
    <row r="308" spans="1:9" ht="15" customHeight="1" x14ac:dyDescent="0.35">
      <c r="A308" s="2">
        <v>45598</v>
      </c>
      <c r="B308" s="3">
        <f t="shared" si="20"/>
        <v>2024</v>
      </c>
      <c r="C308" s="3">
        <f t="shared" si="21"/>
        <v>11</v>
      </c>
      <c r="D308" s="3" t="str">
        <f t="shared" si="22"/>
        <v>Sat</v>
      </c>
      <c r="E308" s="3">
        <f t="shared" si="23"/>
        <v>1</v>
      </c>
      <c r="F308" s="3">
        <f t="shared" si="24"/>
        <v>0</v>
      </c>
      <c r="G308" s="3" t="str">
        <f t="array" ref="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3">
        <f>COUNTIF(Events!$A$2:$A$397,$A308)</f>
        <v>0</v>
      </c>
      <c r="I308" s="25" t="str">
        <f t="array" ref="I308">_xlfn.TEXTJOIN(" | ",TRUE(),IF(Events!$A$2:$A$397=$A308,Events!$E$2:$E$397&amp;IF(Events!$G$2:$G$397="National",""," ["&amp;Events!$G$2:$G$397&amp;"]"),""))</f>
        <v/>
      </c>
    </row>
    <row r="309" spans="1:9" ht="15" customHeight="1" x14ac:dyDescent="0.35">
      <c r="A309" s="2">
        <v>45599</v>
      </c>
      <c r="B309" s="3">
        <f t="shared" si="20"/>
        <v>2024</v>
      </c>
      <c r="C309" s="3">
        <f t="shared" si="21"/>
        <v>11</v>
      </c>
      <c r="D309" s="3" t="str">
        <f t="shared" si="22"/>
        <v>Sun</v>
      </c>
      <c r="E309" s="3">
        <f t="shared" si="23"/>
        <v>1</v>
      </c>
      <c r="F309" s="3">
        <f t="shared" si="24"/>
        <v>0</v>
      </c>
      <c r="G309" s="3" t="str">
        <f t="array" ref="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3">
        <f>COUNTIF(Events!$A$2:$A$397,$A309)</f>
        <v>0</v>
      </c>
      <c r="I309" s="25" t="str">
        <f t="array" ref="I309">_xlfn.TEXTJOIN(" | ",TRUE(),IF(Events!$A$2:$A$397=$A309,Events!$E$2:$E$397&amp;IF(Events!$G$2:$G$397="National",""," ["&amp;Events!$G$2:$G$397&amp;"]"),""))</f>
        <v/>
      </c>
    </row>
    <row r="310" spans="1:9" ht="15" customHeight="1" x14ac:dyDescent="0.35">
      <c r="A310" s="2">
        <v>45600</v>
      </c>
      <c r="B310" s="3">
        <f t="shared" si="20"/>
        <v>2024</v>
      </c>
      <c r="C310" s="3">
        <f t="shared" si="21"/>
        <v>11</v>
      </c>
      <c r="D310" s="3" t="str">
        <f t="shared" si="22"/>
        <v>Mon</v>
      </c>
      <c r="E310" s="3">
        <f t="shared" si="23"/>
        <v>1</v>
      </c>
      <c r="F310" s="3">
        <f t="shared" si="24"/>
        <v>0</v>
      </c>
      <c r="G310" s="3" t="str">
        <f t="array" ref="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3">
        <f>COUNTIF(Events!$A$2:$A$397,$A310)</f>
        <v>0</v>
      </c>
      <c r="I310" s="25" t="str">
        <f t="array" ref="I310">_xlfn.TEXTJOIN(" | ",TRUE(),IF(Events!$A$2:$A$397=$A310,Events!$E$2:$E$397&amp;IF(Events!$G$2:$G$397="National",""," ["&amp;Events!$G$2:$G$397&amp;"]"),""))</f>
        <v/>
      </c>
    </row>
    <row r="311" spans="1:9" ht="15" customHeight="1" x14ac:dyDescent="0.35">
      <c r="A311" s="2">
        <v>45601</v>
      </c>
      <c r="B311" s="3">
        <f t="shared" si="20"/>
        <v>2024</v>
      </c>
      <c r="C311" s="3">
        <f t="shared" si="21"/>
        <v>11</v>
      </c>
      <c r="D311" s="3" t="str">
        <f t="shared" si="22"/>
        <v>Tue</v>
      </c>
      <c r="E311" s="3">
        <f t="shared" si="23"/>
        <v>1</v>
      </c>
      <c r="F311" s="3">
        <f t="shared" si="24"/>
        <v>0</v>
      </c>
      <c r="G311" s="3" t="str">
        <f t="array" ref="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3">
        <f>COUNTIF(Events!$A$2:$A$397,$A311)</f>
        <v>0</v>
      </c>
      <c r="I311" s="25" t="str">
        <f t="array" ref="I311">_xlfn.TEXTJOIN(" | ",TRUE(),IF(Events!$A$2:$A$397=$A311,Events!$E$2:$E$397&amp;IF(Events!$G$2:$G$397="National",""," ["&amp;Events!$G$2:$G$397&amp;"]"),""))</f>
        <v/>
      </c>
    </row>
    <row r="312" spans="1:9" ht="15" customHeight="1" x14ac:dyDescent="0.35">
      <c r="A312" s="2">
        <v>45602</v>
      </c>
      <c r="B312" s="3">
        <f t="shared" si="20"/>
        <v>2024</v>
      </c>
      <c r="C312" s="3">
        <f t="shared" si="21"/>
        <v>11</v>
      </c>
      <c r="D312" s="3" t="str">
        <f t="shared" si="22"/>
        <v>Wed</v>
      </c>
      <c r="E312" s="3">
        <f t="shared" si="23"/>
        <v>1</v>
      </c>
      <c r="F312" s="3">
        <f t="shared" si="24"/>
        <v>0</v>
      </c>
      <c r="G312" s="3" t="str">
        <f t="array" ref="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3">
        <f>COUNTIF(Events!$A$2:$A$397,$A312)</f>
        <v>0</v>
      </c>
      <c r="I312" s="25" t="str">
        <f t="array" ref="I312">_xlfn.TEXTJOIN(" | ",TRUE(),IF(Events!$A$2:$A$397=$A312,Events!$E$2:$E$397&amp;IF(Events!$G$2:$G$397="National",""," ["&amp;Events!$G$2:$G$397&amp;"]"),""))</f>
        <v/>
      </c>
    </row>
    <row r="313" spans="1:9" ht="15" customHeight="1" x14ac:dyDescent="0.35">
      <c r="A313" s="2">
        <v>45603</v>
      </c>
      <c r="B313" s="3">
        <f t="shared" si="20"/>
        <v>2024</v>
      </c>
      <c r="C313" s="3">
        <f t="shared" si="21"/>
        <v>11</v>
      </c>
      <c r="D313" s="3" t="str">
        <f t="shared" si="22"/>
        <v>Thu</v>
      </c>
      <c r="E313" s="3">
        <f t="shared" si="23"/>
        <v>1</v>
      </c>
      <c r="F313" s="3">
        <f t="shared" si="24"/>
        <v>0</v>
      </c>
      <c r="G313" s="3" t="str">
        <f t="array" ref="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3">
        <f>COUNTIF(Events!$A$2:$A$397,$A313)</f>
        <v>0</v>
      </c>
      <c r="I313" s="25" t="str">
        <f t="array" ref="I313">_xlfn.TEXTJOIN(" | ",TRUE(),IF(Events!$A$2:$A$397=$A313,Events!$E$2:$E$397&amp;IF(Events!$G$2:$G$397="National",""," ["&amp;Events!$G$2:$G$397&amp;"]"),""))</f>
        <v/>
      </c>
    </row>
    <row r="314" spans="1:9" ht="15" customHeight="1" x14ac:dyDescent="0.35">
      <c r="A314" s="2">
        <v>45604</v>
      </c>
      <c r="B314" s="3">
        <f t="shared" si="20"/>
        <v>2024</v>
      </c>
      <c r="C314" s="3">
        <f t="shared" si="21"/>
        <v>11</v>
      </c>
      <c r="D314" s="3" t="str">
        <f t="shared" si="22"/>
        <v>Fri</v>
      </c>
      <c r="E314" s="3">
        <f t="shared" si="23"/>
        <v>1</v>
      </c>
      <c r="F314" s="3">
        <f t="shared" si="24"/>
        <v>0</v>
      </c>
      <c r="G314" s="3" t="str">
        <f t="array" ref="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3">
        <f>COUNTIF(Events!$A$2:$A$397,$A314)</f>
        <v>0</v>
      </c>
      <c r="I314" s="25" t="str">
        <f t="array" ref="I314">_xlfn.TEXTJOIN(" | ",TRUE(),IF(Events!$A$2:$A$397=$A314,Events!$E$2:$E$397&amp;IF(Events!$G$2:$G$397="National",""," ["&amp;Events!$G$2:$G$397&amp;"]"),""))</f>
        <v/>
      </c>
    </row>
    <row r="315" spans="1:9" ht="15" customHeight="1" x14ac:dyDescent="0.35">
      <c r="A315" s="2">
        <v>45605</v>
      </c>
      <c r="B315" s="3">
        <f t="shared" si="20"/>
        <v>2024</v>
      </c>
      <c r="C315" s="3">
        <f t="shared" si="21"/>
        <v>11</v>
      </c>
      <c r="D315" s="3" t="str">
        <f t="shared" si="22"/>
        <v>Sat</v>
      </c>
      <c r="E315" s="3">
        <f t="shared" si="23"/>
        <v>1</v>
      </c>
      <c r="F315" s="3">
        <f t="shared" si="24"/>
        <v>0</v>
      </c>
      <c r="G315" s="3" t="str">
        <f t="array" ref="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3">
        <f>COUNTIF(Events!$A$2:$A$397,$A315)</f>
        <v>0</v>
      </c>
      <c r="I315" s="25" t="str">
        <f t="array" ref="I315">_xlfn.TEXTJOIN(" | ",TRUE(),IF(Events!$A$2:$A$397=$A315,Events!$E$2:$E$397&amp;IF(Events!$G$2:$G$397="National",""," ["&amp;Events!$G$2:$G$397&amp;"]"),""))</f>
        <v/>
      </c>
    </row>
    <row r="316" spans="1:9" ht="15" customHeight="1" x14ac:dyDescent="0.35">
      <c r="A316" s="2">
        <v>45606</v>
      </c>
      <c r="B316" s="3">
        <f t="shared" si="20"/>
        <v>2024</v>
      </c>
      <c r="C316" s="3">
        <f t="shared" si="21"/>
        <v>11</v>
      </c>
      <c r="D316" s="3" t="str">
        <f t="shared" si="22"/>
        <v>Sun</v>
      </c>
      <c r="E316" s="3">
        <f t="shared" si="23"/>
        <v>1</v>
      </c>
      <c r="F316" s="3">
        <f t="shared" si="24"/>
        <v>0</v>
      </c>
      <c r="G316" s="3" t="str">
        <f t="array" ref="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3">
        <f>COUNTIF(Events!$A$2:$A$397,$A316)</f>
        <v>0</v>
      </c>
      <c r="I316" s="25" t="str">
        <f t="array" ref="I316">_xlfn.TEXTJOIN(" | ",TRUE(),IF(Events!$A$2:$A$397=$A316,Events!$E$2:$E$397&amp;IF(Events!$G$2:$G$397="National",""," ["&amp;Events!$G$2:$G$397&amp;"]"),""))</f>
        <v/>
      </c>
    </row>
    <row r="317" spans="1:9" ht="15" customHeight="1" x14ac:dyDescent="0.35">
      <c r="A317" s="2">
        <v>45607</v>
      </c>
      <c r="B317" s="3">
        <f t="shared" si="20"/>
        <v>2024</v>
      </c>
      <c r="C317" s="3">
        <f t="shared" si="21"/>
        <v>11</v>
      </c>
      <c r="D317" s="3" t="str">
        <f t="shared" si="22"/>
        <v>Mon</v>
      </c>
      <c r="E317" s="3">
        <f t="shared" si="23"/>
        <v>1</v>
      </c>
      <c r="F317" s="3">
        <f t="shared" si="24"/>
        <v>0</v>
      </c>
      <c r="G317" s="3" t="str">
        <f t="array" ref="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3">
        <f>COUNTIF(Events!$A$2:$A$397,$A317)</f>
        <v>0</v>
      </c>
      <c r="I317" s="25" t="str">
        <f t="array" ref="I317">_xlfn.TEXTJOIN(" | ",TRUE(),IF(Events!$A$2:$A$397=$A317,Events!$E$2:$E$397&amp;IF(Events!$G$2:$G$397="National",""," ["&amp;Events!$G$2:$G$397&amp;"]"),""))</f>
        <v/>
      </c>
    </row>
    <row r="318" spans="1:9" ht="15" customHeight="1" x14ac:dyDescent="0.35">
      <c r="A318" s="2">
        <v>45608</v>
      </c>
      <c r="B318" s="3">
        <f t="shared" si="20"/>
        <v>2024</v>
      </c>
      <c r="C318" s="3">
        <f t="shared" si="21"/>
        <v>11</v>
      </c>
      <c r="D318" s="3" t="str">
        <f t="shared" si="22"/>
        <v>Tue</v>
      </c>
      <c r="E318" s="3">
        <f t="shared" si="23"/>
        <v>1</v>
      </c>
      <c r="F318" s="3">
        <f t="shared" si="24"/>
        <v>0</v>
      </c>
      <c r="G318" s="3" t="str">
        <f t="array" ref="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3">
        <f>COUNTIF(Events!$A$2:$A$397,$A318)</f>
        <v>0</v>
      </c>
      <c r="I318" s="25" t="str">
        <f t="array" ref="I318">_xlfn.TEXTJOIN(" | ",TRUE(),IF(Events!$A$2:$A$397=$A318,Events!$E$2:$E$397&amp;IF(Events!$G$2:$G$397="National",""," ["&amp;Events!$G$2:$G$397&amp;"]"),""))</f>
        <v/>
      </c>
    </row>
    <row r="319" spans="1:9" ht="15" customHeight="1" x14ac:dyDescent="0.35">
      <c r="A319" s="2">
        <v>45609</v>
      </c>
      <c r="B319" s="3">
        <f t="shared" si="20"/>
        <v>2024</v>
      </c>
      <c r="C319" s="3">
        <f t="shared" si="21"/>
        <v>11</v>
      </c>
      <c r="D319" s="3" t="str">
        <f t="shared" si="22"/>
        <v>Wed</v>
      </c>
      <c r="E319" s="3">
        <f t="shared" si="23"/>
        <v>1</v>
      </c>
      <c r="F319" s="3">
        <f t="shared" si="24"/>
        <v>0</v>
      </c>
      <c r="G319" s="3" t="str">
        <f t="array" ref="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3">
        <f>COUNTIF(Events!$A$2:$A$397,$A319)</f>
        <v>0</v>
      </c>
      <c r="I319" s="25" t="str">
        <f t="array" ref="I319">_xlfn.TEXTJOIN(" | ",TRUE(),IF(Events!$A$2:$A$397=$A319,Events!$E$2:$E$397&amp;IF(Events!$G$2:$G$397="National",""," ["&amp;Events!$G$2:$G$397&amp;"]"),""))</f>
        <v/>
      </c>
    </row>
    <row r="320" spans="1:9" ht="15" customHeight="1" x14ac:dyDescent="0.35">
      <c r="A320" s="2">
        <v>45610</v>
      </c>
      <c r="B320" s="3">
        <f t="shared" si="20"/>
        <v>2024</v>
      </c>
      <c r="C320" s="3">
        <f t="shared" si="21"/>
        <v>11</v>
      </c>
      <c r="D320" s="3" t="str">
        <f t="shared" si="22"/>
        <v>Thu</v>
      </c>
      <c r="E320" s="3">
        <f t="shared" si="23"/>
        <v>1</v>
      </c>
      <c r="F320" s="3">
        <f t="shared" si="24"/>
        <v>0</v>
      </c>
      <c r="G320" s="3" t="str">
        <f t="array" ref="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3">
        <f>COUNTIF(Events!$A$2:$A$397,$A320)</f>
        <v>1</v>
      </c>
      <c r="I320" s="25" t="str">
        <f t="array" ref="I320">_xlfn.TEXTJOIN(" | ",TRUE(),IF(Events!$A$2:$A$397=$A320,Events!$E$2:$E$397&amp;IF(Events!$G$2:$G$397="National",""," ["&amp;Events!$G$2:$G$397&amp;"]"),""))</f>
        <v>CY2025 Part B premium set: standard $185.00/mo (+$10.30) and deductible $257; baseline cost every enrolle pays regardless of plan type (affects cost math for MA vs Medigap shoppers during AEP)</v>
      </c>
    </row>
    <row r="321" spans="1:9" ht="15" customHeight="1" x14ac:dyDescent="0.35">
      <c r="A321" s="2">
        <v>45611</v>
      </c>
      <c r="B321" s="3">
        <f t="shared" si="20"/>
        <v>2024</v>
      </c>
      <c r="C321" s="3">
        <f t="shared" si="21"/>
        <v>11</v>
      </c>
      <c r="D321" s="3" t="str">
        <f t="shared" si="22"/>
        <v>Fri</v>
      </c>
      <c r="E321" s="3">
        <f t="shared" si="23"/>
        <v>1</v>
      </c>
      <c r="F321" s="3">
        <f t="shared" si="24"/>
        <v>0</v>
      </c>
      <c r="G321" s="3" t="str">
        <f t="array" ref="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3">
        <f>COUNTIF(Events!$A$2:$A$397,$A321)</f>
        <v>0</v>
      </c>
      <c r="I321" s="25" t="str">
        <f t="array" ref="I321">_xlfn.TEXTJOIN(" | ",TRUE(),IF(Events!$A$2:$A$397=$A321,Events!$E$2:$E$397&amp;IF(Events!$G$2:$G$397="National",""," ["&amp;Events!$G$2:$G$397&amp;"]"),""))</f>
        <v/>
      </c>
    </row>
    <row r="322" spans="1:9" ht="15" customHeight="1" x14ac:dyDescent="0.35">
      <c r="A322" s="2">
        <v>45612</v>
      </c>
      <c r="B322" s="3">
        <f t="shared" ref="B322:B385" si="25">YEAR($A322)</f>
        <v>2024</v>
      </c>
      <c r="C322" s="3">
        <f t="shared" ref="C322:C385" si="26">MONTH($A322)</f>
        <v>11</v>
      </c>
      <c r="D322" s="3" t="str">
        <f t="shared" ref="D322:D385" si="27">TEXT($A322,"ddd")</f>
        <v>Sat</v>
      </c>
      <c r="E322" s="3">
        <f t="shared" ref="E322:E385" si="28">IF(OR(AND(MONTH($A322)=10,DAY($A322)&gt;=15),MONTH($A322)=11,AND(MONTH($A322)=12,DAY($A322)&lt;=7)),1,0)</f>
        <v>1</v>
      </c>
      <c r="F322" s="3">
        <f t="shared" ref="F322:F385" si="29">IF(MONTH($A322)&lt;=3,1,0)</f>
        <v>0</v>
      </c>
      <c r="G322" s="3" t="str">
        <f t="array" ref="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3">
        <f>COUNTIF(Events!$A$2:$A$397,$A322)</f>
        <v>0</v>
      </c>
      <c r="I322" s="25" t="str">
        <f t="array" ref="I322">_xlfn.TEXTJOIN(" | ",TRUE(),IF(Events!$A$2:$A$397=$A322,Events!$E$2:$E$397&amp;IF(Events!$G$2:$G$397="National",""," ["&amp;Events!$G$2:$G$397&amp;"]"),""))</f>
        <v/>
      </c>
    </row>
    <row r="323" spans="1:9" ht="15" customHeight="1" x14ac:dyDescent="0.35">
      <c r="A323" s="2">
        <v>45613</v>
      </c>
      <c r="B323" s="3">
        <f t="shared" si="25"/>
        <v>2024</v>
      </c>
      <c r="C323" s="3">
        <f t="shared" si="26"/>
        <v>11</v>
      </c>
      <c r="D323" s="3" t="str">
        <f t="shared" si="27"/>
        <v>Sun</v>
      </c>
      <c r="E323" s="3">
        <f t="shared" si="28"/>
        <v>1</v>
      </c>
      <c r="F323" s="3">
        <f t="shared" si="29"/>
        <v>0</v>
      </c>
      <c r="G323" s="3" t="str">
        <f t="array" ref="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3">
        <f>COUNTIF(Events!$A$2:$A$397,$A323)</f>
        <v>0</v>
      </c>
      <c r="I323" s="25" t="str">
        <f t="array" ref="I323">_xlfn.TEXTJOIN(" | ",TRUE(),IF(Events!$A$2:$A$397=$A323,Events!$E$2:$E$397&amp;IF(Events!$G$2:$G$397="National",""," ["&amp;Events!$G$2:$G$397&amp;"]"),""))</f>
        <v/>
      </c>
    </row>
    <row r="324" spans="1:9" ht="15" customHeight="1" x14ac:dyDescent="0.35">
      <c r="A324" s="2">
        <v>45614</v>
      </c>
      <c r="B324" s="3">
        <f t="shared" si="25"/>
        <v>2024</v>
      </c>
      <c r="C324" s="3">
        <f t="shared" si="26"/>
        <v>11</v>
      </c>
      <c r="D324" s="3" t="str">
        <f t="shared" si="27"/>
        <v>Mon</v>
      </c>
      <c r="E324" s="3">
        <f t="shared" si="28"/>
        <v>1</v>
      </c>
      <c r="F324" s="3">
        <f t="shared" si="29"/>
        <v>0</v>
      </c>
      <c r="G324" s="3" t="str">
        <f t="array" ref="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3">
        <f>COUNTIF(Events!$A$2:$A$397,$A324)</f>
        <v>0</v>
      </c>
      <c r="I324" s="25" t="str">
        <f t="array" ref="I324">_xlfn.TEXTJOIN(" | ",TRUE(),IF(Events!$A$2:$A$397=$A324,Events!$E$2:$E$397&amp;IF(Events!$G$2:$G$397="National",""," ["&amp;Events!$G$2:$G$397&amp;"]"),""))</f>
        <v/>
      </c>
    </row>
    <row r="325" spans="1:9" ht="15" customHeight="1" x14ac:dyDescent="0.35">
      <c r="A325" s="2">
        <v>45615</v>
      </c>
      <c r="B325" s="3">
        <f t="shared" si="25"/>
        <v>2024</v>
      </c>
      <c r="C325" s="3">
        <f t="shared" si="26"/>
        <v>11</v>
      </c>
      <c r="D325" s="3" t="str">
        <f t="shared" si="27"/>
        <v>Tue</v>
      </c>
      <c r="E325" s="3">
        <f t="shared" si="28"/>
        <v>1</v>
      </c>
      <c r="F325" s="3">
        <f t="shared" si="29"/>
        <v>0</v>
      </c>
      <c r="G325" s="3" t="str">
        <f t="array" ref="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3">
        <f>COUNTIF(Events!$A$2:$A$397,$A325)</f>
        <v>0</v>
      </c>
      <c r="I325" s="25" t="str">
        <f t="array" ref="I325">_xlfn.TEXTJOIN(" | ",TRUE(),IF(Events!$A$2:$A$397=$A325,Events!$E$2:$E$397&amp;IF(Events!$G$2:$G$397="National",""," ["&amp;Events!$G$2:$G$397&amp;"]"),""))</f>
        <v/>
      </c>
    </row>
    <row r="326" spans="1:9" ht="15" customHeight="1" x14ac:dyDescent="0.35">
      <c r="A326" s="2">
        <v>45616</v>
      </c>
      <c r="B326" s="3">
        <f t="shared" si="25"/>
        <v>2024</v>
      </c>
      <c r="C326" s="3">
        <f t="shared" si="26"/>
        <v>11</v>
      </c>
      <c r="D326" s="3" t="str">
        <f t="shared" si="27"/>
        <v>Wed</v>
      </c>
      <c r="E326" s="3">
        <f t="shared" si="28"/>
        <v>1</v>
      </c>
      <c r="F326" s="3">
        <f t="shared" si="29"/>
        <v>0</v>
      </c>
      <c r="G326" s="3" t="str">
        <f t="array" ref="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3">
        <f>COUNTIF(Events!$A$2:$A$397,$A326)</f>
        <v>0</v>
      </c>
      <c r="I326" s="25" t="str">
        <f t="array" ref="I326">_xlfn.TEXTJOIN(" | ",TRUE(),IF(Events!$A$2:$A$397=$A326,Events!$E$2:$E$397&amp;IF(Events!$G$2:$G$397="National",""," ["&amp;Events!$G$2:$G$397&amp;"]"),""))</f>
        <v/>
      </c>
    </row>
    <row r="327" spans="1:9" ht="15" customHeight="1" x14ac:dyDescent="0.35">
      <c r="A327" s="2">
        <v>45617</v>
      </c>
      <c r="B327" s="3">
        <f t="shared" si="25"/>
        <v>2024</v>
      </c>
      <c r="C327" s="3">
        <f t="shared" si="26"/>
        <v>11</v>
      </c>
      <c r="D327" s="3" t="str">
        <f t="shared" si="27"/>
        <v>Thu</v>
      </c>
      <c r="E327" s="3">
        <f t="shared" si="28"/>
        <v>1</v>
      </c>
      <c r="F327" s="3">
        <f t="shared" si="29"/>
        <v>0</v>
      </c>
      <c r="G327" s="3" t="str">
        <f t="array" ref="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3">
        <f>COUNTIF(Events!$A$2:$A$397,$A327)</f>
        <v>0</v>
      </c>
      <c r="I327" s="25" t="str">
        <f t="array" ref="I327">_xlfn.TEXTJOIN(" | ",TRUE(),IF(Events!$A$2:$A$397=$A327,Events!$E$2:$E$397&amp;IF(Events!$G$2:$G$397="National",""," ["&amp;Events!$G$2:$G$397&amp;"]"),""))</f>
        <v/>
      </c>
    </row>
    <row r="328" spans="1:9" ht="15" customHeight="1" x14ac:dyDescent="0.35">
      <c r="A328" s="2">
        <v>45618</v>
      </c>
      <c r="B328" s="3">
        <f t="shared" si="25"/>
        <v>2024</v>
      </c>
      <c r="C328" s="3">
        <f t="shared" si="26"/>
        <v>11</v>
      </c>
      <c r="D328" s="3" t="str">
        <f t="shared" si="27"/>
        <v>Fri</v>
      </c>
      <c r="E328" s="3">
        <f t="shared" si="28"/>
        <v>1</v>
      </c>
      <c r="F328" s="3">
        <f t="shared" si="29"/>
        <v>0</v>
      </c>
      <c r="G328" s="3" t="str">
        <f t="array" ref="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3">
        <f>COUNTIF(Events!$A$2:$A$397,$A328)</f>
        <v>1</v>
      </c>
      <c r="I328" s="25" t="str">
        <f t="array" ref="I328">_xlfn.TEXTJOIN(" | ",TRUE(),IF(Events!$A$2:$A$397=$A328,Events!$E$2:$E$397&amp;IF(Events!$G$2:$G$397="National",""," ["&amp;Events!$G$2:$G$397&amp;"]"),""))</f>
        <v>E.D. Tex. orders CMS to recalculate UnitedHealthcare's 2025 Star Ratings over one disputed test call and immediately republish in Medicare Plan Finder - a mid-AEP ratings change for the largest MA carrier, 15 days before the enrollment deadline</v>
      </c>
    </row>
    <row r="329" spans="1:9" ht="15" customHeight="1" x14ac:dyDescent="0.35">
      <c r="A329" s="2">
        <v>45619</v>
      </c>
      <c r="B329" s="3">
        <f t="shared" si="25"/>
        <v>2024</v>
      </c>
      <c r="C329" s="3">
        <f t="shared" si="26"/>
        <v>11</v>
      </c>
      <c r="D329" s="3" t="str">
        <f t="shared" si="27"/>
        <v>Sat</v>
      </c>
      <c r="E329" s="3">
        <f t="shared" si="28"/>
        <v>1</v>
      </c>
      <c r="F329" s="3">
        <f t="shared" si="29"/>
        <v>0</v>
      </c>
      <c r="G329" s="3" t="str">
        <f t="array" ref="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3">
        <f>COUNTIF(Events!$A$2:$A$397,$A329)</f>
        <v>0</v>
      </c>
      <c r="I329" s="25" t="str">
        <f t="array" ref="I329">_xlfn.TEXTJOIN(" | ",TRUE(),IF(Events!$A$2:$A$397=$A329,Events!$E$2:$E$397&amp;IF(Events!$G$2:$G$397="National",""," ["&amp;Events!$G$2:$G$397&amp;"]"),""))</f>
        <v/>
      </c>
    </row>
    <row r="330" spans="1:9" ht="15" customHeight="1" x14ac:dyDescent="0.35">
      <c r="A330" s="2">
        <v>45620</v>
      </c>
      <c r="B330" s="3">
        <f t="shared" si="25"/>
        <v>2024</v>
      </c>
      <c r="C330" s="3">
        <f t="shared" si="26"/>
        <v>11</v>
      </c>
      <c r="D330" s="3" t="str">
        <f t="shared" si="27"/>
        <v>Sun</v>
      </c>
      <c r="E330" s="3">
        <f t="shared" si="28"/>
        <v>1</v>
      </c>
      <c r="F330" s="3">
        <f t="shared" si="29"/>
        <v>0</v>
      </c>
      <c r="G330" s="3" t="str">
        <f t="array" ref="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3">
        <f>COUNTIF(Events!$A$2:$A$397,$A330)</f>
        <v>0</v>
      </c>
      <c r="I330" s="25" t="str">
        <f t="array" ref="I330">_xlfn.TEXTJOIN(" | ",TRUE(),IF(Events!$A$2:$A$397=$A330,Events!$E$2:$E$397&amp;IF(Events!$G$2:$G$397="National",""," ["&amp;Events!$G$2:$G$397&amp;"]"),""))</f>
        <v/>
      </c>
    </row>
    <row r="331" spans="1:9" ht="15" customHeight="1" x14ac:dyDescent="0.35">
      <c r="A331" s="2">
        <v>45621</v>
      </c>
      <c r="B331" s="3">
        <f t="shared" si="25"/>
        <v>2024</v>
      </c>
      <c r="C331" s="3">
        <f t="shared" si="26"/>
        <v>11</v>
      </c>
      <c r="D331" s="3" t="str">
        <f t="shared" si="27"/>
        <v>Mon</v>
      </c>
      <c r="E331" s="3">
        <f t="shared" si="28"/>
        <v>1</v>
      </c>
      <c r="F331" s="3">
        <f t="shared" si="29"/>
        <v>0</v>
      </c>
      <c r="G331" s="3" t="str">
        <f t="array" ref="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3">
        <f>COUNTIF(Events!$A$2:$A$397,$A331)</f>
        <v>0</v>
      </c>
      <c r="I331" s="25" t="str">
        <f t="array" ref="I331">_xlfn.TEXTJOIN(" | ",TRUE(),IF(Events!$A$2:$A$397=$A331,Events!$E$2:$E$397&amp;IF(Events!$G$2:$G$397="National",""," ["&amp;Events!$G$2:$G$397&amp;"]"),""))</f>
        <v/>
      </c>
    </row>
    <row r="332" spans="1:9" ht="15" customHeight="1" x14ac:dyDescent="0.35">
      <c r="A332" s="2">
        <v>45622</v>
      </c>
      <c r="B332" s="3">
        <f t="shared" si="25"/>
        <v>2024</v>
      </c>
      <c r="C332" s="3">
        <f t="shared" si="26"/>
        <v>11</v>
      </c>
      <c r="D332" s="3" t="str">
        <f t="shared" si="27"/>
        <v>Tue</v>
      </c>
      <c r="E332" s="3">
        <f t="shared" si="28"/>
        <v>1</v>
      </c>
      <c r="F332" s="3">
        <f t="shared" si="29"/>
        <v>0</v>
      </c>
      <c r="G332" s="3" t="str">
        <f t="array" ref="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3">
        <f>COUNTIF(Events!$A$2:$A$397,$A332)</f>
        <v>1</v>
      </c>
      <c r="I332" s="25" t="str">
        <f t="array" ref="I332">_xlfn.TEXTJOIN(" | ",TRUE(),IF(Events!$A$2:$A$397=$A332,Events!$E$2:$E$397&amp;IF(Events!$G$2:$G$397="National",""," ["&amp;Events!$G$2:$G$397&amp;"]"),""))</f>
        <v>CY2026 Proposed Rule (CMS-4208-P): proposed anti-obesity med coverage in Part D, AI guardrails, prior-auth/UM limits (published in Federal Register 12/10/2024; comments due 1/27/2025; several proposals later NOT finalized)</v>
      </c>
    </row>
    <row r="333" spans="1:9" ht="15" customHeight="1" x14ac:dyDescent="0.35">
      <c r="A333" s="2">
        <v>45623</v>
      </c>
      <c r="B333" s="3">
        <f t="shared" si="25"/>
        <v>2024</v>
      </c>
      <c r="C333" s="3">
        <f t="shared" si="26"/>
        <v>11</v>
      </c>
      <c r="D333" s="3" t="str">
        <f t="shared" si="27"/>
        <v>Wed</v>
      </c>
      <c r="E333" s="3">
        <f t="shared" si="28"/>
        <v>1</v>
      </c>
      <c r="F333" s="3">
        <f t="shared" si="29"/>
        <v>0</v>
      </c>
      <c r="G333" s="3" t="str">
        <f t="array" ref="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3">
        <f>COUNTIF(Events!$A$2:$A$397,$A333)</f>
        <v>0</v>
      </c>
      <c r="I333" s="25" t="str">
        <f t="array" ref="I333">_xlfn.TEXTJOIN(" | ",TRUE(),IF(Events!$A$2:$A$397=$A333,Events!$E$2:$E$397&amp;IF(Events!$G$2:$G$397="National",""," ["&amp;Events!$G$2:$G$397&amp;"]"),""))</f>
        <v/>
      </c>
    </row>
    <row r="334" spans="1:9" ht="15" customHeight="1" x14ac:dyDescent="0.35">
      <c r="A334" s="2">
        <v>45624</v>
      </c>
      <c r="B334" s="3">
        <f t="shared" si="25"/>
        <v>2024</v>
      </c>
      <c r="C334" s="3">
        <f t="shared" si="26"/>
        <v>11</v>
      </c>
      <c r="D334" s="3" t="str">
        <f t="shared" si="27"/>
        <v>Thu</v>
      </c>
      <c r="E334" s="3">
        <f t="shared" si="28"/>
        <v>1</v>
      </c>
      <c r="F334" s="3">
        <f t="shared" si="29"/>
        <v>0</v>
      </c>
      <c r="G334" s="3" t="str">
        <f t="array" ref="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3">
        <f>COUNTIF(Events!$A$2:$A$397,$A334)</f>
        <v>0</v>
      </c>
      <c r="I334" s="25" t="str">
        <f t="array" ref="I334">_xlfn.TEXTJOIN(" | ",TRUE(),IF(Events!$A$2:$A$397=$A334,Events!$E$2:$E$397&amp;IF(Events!$G$2:$G$397="National",""," ["&amp;Events!$G$2:$G$397&amp;"]"),""))</f>
        <v/>
      </c>
    </row>
    <row r="335" spans="1:9" ht="15" customHeight="1" x14ac:dyDescent="0.35">
      <c r="A335" s="2">
        <v>45625</v>
      </c>
      <c r="B335" s="3">
        <f t="shared" si="25"/>
        <v>2024</v>
      </c>
      <c r="C335" s="3">
        <f t="shared" si="26"/>
        <v>11</v>
      </c>
      <c r="D335" s="3" t="str">
        <f t="shared" si="27"/>
        <v>Fri</v>
      </c>
      <c r="E335" s="3">
        <f t="shared" si="28"/>
        <v>1</v>
      </c>
      <c r="F335" s="3">
        <f t="shared" si="29"/>
        <v>0</v>
      </c>
      <c r="G335" s="3" t="str">
        <f t="array" ref="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
      </c>
      <c r="H335" s="3">
        <f>COUNTIF(Events!$A$2:$A$397,$A335)</f>
        <v>0</v>
      </c>
      <c r="I335" s="25" t="str">
        <f t="array" ref="I335">_xlfn.TEXTJOIN(" | ",TRUE(),IF(Events!$A$2:$A$397=$A335,Events!$E$2:$E$397&amp;IF(Events!$G$2:$G$397="National",""," ["&amp;Events!$G$2:$G$397&amp;"]"),""))</f>
        <v/>
      </c>
    </row>
    <row r="336" spans="1:9" ht="15" customHeight="1" x14ac:dyDescent="0.35">
      <c r="A336" s="2">
        <v>45626</v>
      </c>
      <c r="B336" s="3">
        <f t="shared" si="25"/>
        <v>2024</v>
      </c>
      <c r="C336" s="3">
        <f t="shared" si="26"/>
        <v>11</v>
      </c>
      <c r="D336" s="3" t="str">
        <f t="shared" si="27"/>
        <v>Sat</v>
      </c>
      <c r="E336" s="3">
        <f t="shared" si="28"/>
        <v>1</v>
      </c>
      <c r="F336" s="3">
        <f t="shared" si="29"/>
        <v>0</v>
      </c>
      <c r="G336" s="3" t="str">
        <f t="array" ref="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 | 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6" s="3">
        <f>COUNTIF(Events!$A$2:$A$397,$A336)</f>
        <v>0</v>
      </c>
      <c r="I336" s="25" t="str">
        <f t="array" ref="I336">_xlfn.TEXTJOIN(" | ",TRUE(),IF(Events!$A$2:$A$397=$A336,Events!$E$2:$E$397&amp;IF(Events!$G$2:$G$397="National",""," ["&amp;Events!$G$2:$G$397&amp;"]"),""))</f>
        <v/>
      </c>
    </row>
    <row r="337" spans="1:9" ht="15" customHeight="1" x14ac:dyDescent="0.35">
      <c r="A337" s="2">
        <v>45627</v>
      </c>
      <c r="B337" s="3">
        <f t="shared" si="25"/>
        <v>2024</v>
      </c>
      <c r="C337" s="3">
        <f t="shared" si="26"/>
        <v>12</v>
      </c>
      <c r="D337" s="3" t="str">
        <f t="shared" si="27"/>
        <v>Sun</v>
      </c>
      <c r="E337" s="3">
        <f t="shared" si="28"/>
        <v>1</v>
      </c>
      <c r="F337" s="3">
        <f t="shared" si="29"/>
        <v>0</v>
      </c>
      <c r="G337" s="3" t="str">
        <f t="array" ref="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3">
        <f>COUNTIF(Events!$A$2:$A$397,$A337)</f>
        <v>0</v>
      </c>
      <c r="I337" s="25" t="str">
        <f t="array" ref="I337">_xlfn.TEXTJOIN(" | ",TRUE(),IF(Events!$A$2:$A$397=$A337,Events!$E$2:$E$397&amp;IF(Events!$G$2:$G$397="National",""," ["&amp;Events!$G$2:$G$397&amp;"]"),""))</f>
        <v/>
      </c>
    </row>
    <row r="338" spans="1:9" ht="15" customHeight="1" x14ac:dyDescent="0.35">
      <c r="A338" s="2">
        <v>45628</v>
      </c>
      <c r="B338" s="3">
        <f t="shared" si="25"/>
        <v>2024</v>
      </c>
      <c r="C338" s="3">
        <f t="shared" si="26"/>
        <v>12</v>
      </c>
      <c r="D338" s="3" t="str">
        <f t="shared" si="27"/>
        <v>Mon</v>
      </c>
      <c r="E338" s="3">
        <f t="shared" si="28"/>
        <v>1</v>
      </c>
      <c r="F338" s="3">
        <f t="shared" si="29"/>
        <v>0</v>
      </c>
      <c r="G338" s="3" t="str">
        <f t="array" ref="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3">
        <f>COUNTIF(Events!$A$2:$A$397,$A338)</f>
        <v>0</v>
      </c>
      <c r="I338" s="25" t="str">
        <f t="array" ref="I338">_xlfn.TEXTJOIN(" | ",TRUE(),IF(Events!$A$2:$A$397=$A338,Events!$E$2:$E$397&amp;IF(Events!$G$2:$G$397="National",""," ["&amp;Events!$G$2:$G$397&amp;"]"),""))</f>
        <v/>
      </c>
    </row>
    <row r="339" spans="1:9" ht="15" customHeight="1" x14ac:dyDescent="0.35">
      <c r="A339" s="2">
        <v>45629</v>
      </c>
      <c r="B339" s="3">
        <f t="shared" si="25"/>
        <v>2024</v>
      </c>
      <c r="C339" s="3">
        <f t="shared" si="26"/>
        <v>12</v>
      </c>
      <c r="D339" s="3" t="str">
        <f t="shared" si="27"/>
        <v>Tue</v>
      </c>
      <c r="E339" s="3">
        <f t="shared" si="28"/>
        <v>1</v>
      </c>
      <c r="F339" s="3">
        <f t="shared" si="29"/>
        <v>0</v>
      </c>
      <c r="G339" s="3" t="str">
        <f t="array" ref="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3">
        <f>COUNTIF(Events!$A$2:$A$397,$A339)</f>
        <v>0</v>
      </c>
      <c r="I339" s="25" t="str">
        <f t="array" ref="I339">_xlfn.TEXTJOIN(" | ",TRUE(),IF(Events!$A$2:$A$397=$A339,Events!$E$2:$E$397&amp;IF(Events!$G$2:$G$397="National",""," ["&amp;Events!$G$2:$G$397&amp;"]"),""))</f>
        <v/>
      </c>
    </row>
    <row r="340" spans="1:9" ht="15" customHeight="1" x14ac:dyDescent="0.35">
      <c r="A340" s="2">
        <v>45630</v>
      </c>
      <c r="B340" s="3">
        <f t="shared" si="25"/>
        <v>2024</v>
      </c>
      <c r="C340" s="3">
        <f t="shared" si="26"/>
        <v>12</v>
      </c>
      <c r="D340" s="3" t="str">
        <f t="shared" si="27"/>
        <v>Wed</v>
      </c>
      <c r="E340" s="3">
        <f t="shared" si="28"/>
        <v>1</v>
      </c>
      <c r="F340" s="3">
        <f t="shared" si="29"/>
        <v>0</v>
      </c>
      <c r="G340" s="3" t="str">
        <f t="array" ref="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3">
        <f>COUNTIF(Events!$A$2:$A$397,$A340)</f>
        <v>0</v>
      </c>
      <c r="I340" s="25" t="str">
        <f t="array" ref="I340">_xlfn.TEXTJOIN(" | ",TRUE(),IF(Events!$A$2:$A$397=$A340,Events!$E$2:$E$397&amp;IF(Events!$G$2:$G$397="National",""," ["&amp;Events!$G$2:$G$397&amp;"]"),""))</f>
        <v/>
      </c>
    </row>
    <row r="341" spans="1:9" ht="15" customHeight="1" x14ac:dyDescent="0.35">
      <c r="A341" s="2">
        <v>45631</v>
      </c>
      <c r="B341" s="3">
        <f t="shared" si="25"/>
        <v>2024</v>
      </c>
      <c r="C341" s="3">
        <f t="shared" si="26"/>
        <v>12</v>
      </c>
      <c r="D341" s="3" t="str">
        <f t="shared" si="27"/>
        <v>Thu</v>
      </c>
      <c r="E341" s="3">
        <f t="shared" si="28"/>
        <v>1</v>
      </c>
      <c r="F341" s="3">
        <f t="shared" si="29"/>
        <v>0</v>
      </c>
      <c r="G341" s="3" t="str">
        <f t="array" ref="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3">
        <f>COUNTIF(Events!$A$2:$A$397,$A341)</f>
        <v>0</v>
      </c>
      <c r="I341" s="25" t="str">
        <f t="array" ref="I341">_xlfn.TEXTJOIN(" | ",TRUE(),IF(Events!$A$2:$A$397=$A341,Events!$E$2:$E$397&amp;IF(Events!$G$2:$G$397="National",""," ["&amp;Events!$G$2:$G$397&amp;"]"),""))</f>
        <v/>
      </c>
    </row>
    <row r="342" spans="1:9" ht="15" customHeight="1" x14ac:dyDescent="0.35">
      <c r="A342" s="2">
        <v>45632</v>
      </c>
      <c r="B342" s="3">
        <f t="shared" si="25"/>
        <v>2024</v>
      </c>
      <c r="C342" s="3">
        <f t="shared" si="26"/>
        <v>12</v>
      </c>
      <c r="D342" s="3" t="str">
        <f t="shared" si="27"/>
        <v>Fri</v>
      </c>
      <c r="E342" s="3">
        <f t="shared" si="28"/>
        <v>1</v>
      </c>
      <c r="F342" s="3">
        <f t="shared" si="29"/>
        <v>0</v>
      </c>
      <c r="G342" s="3" t="str">
        <f t="array" ref="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3">
        <f>COUNTIF(Events!$A$2:$A$397,$A342)</f>
        <v>0</v>
      </c>
      <c r="I342" s="25" t="str">
        <f t="array" ref="I342">_xlfn.TEXTJOIN(" | ",TRUE(),IF(Events!$A$2:$A$397=$A342,Events!$E$2:$E$397&amp;IF(Events!$G$2:$G$397="National",""," ["&amp;Events!$G$2:$G$397&amp;"]"),""))</f>
        <v/>
      </c>
    </row>
    <row r="343" spans="1:9" ht="15" customHeight="1" x14ac:dyDescent="0.35">
      <c r="A343" s="2">
        <v>45633</v>
      </c>
      <c r="B343" s="3">
        <f t="shared" si="25"/>
        <v>2024</v>
      </c>
      <c r="C343" s="3">
        <f t="shared" si="26"/>
        <v>12</v>
      </c>
      <c r="D343" s="3" t="str">
        <f t="shared" si="27"/>
        <v>Sat</v>
      </c>
      <c r="E343" s="3">
        <f t="shared" si="28"/>
        <v>1</v>
      </c>
      <c r="F343" s="3">
        <f t="shared" si="29"/>
        <v>0</v>
      </c>
      <c r="G343" s="3" t="str">
        <f t="array" ref="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3">
        <f>COUNTIF(Events!$A$2:$A$397,$A343)</f>
        <v>0</v>
      </c>
      <c r="I343" s="25" t="str">
        <f t="array" ref="I343">_xlfn.TEXTJOIN(" | ",TRUE(),IF(Events!$A$2:$A$397=$A343,Events!$E$2:$E$397&amp;IF(Events!$G$2:$G$397="National",""," ["&amp;Events!$G$2:$G$397&amp;"]"),""))</f>
        <v/>
      </c>
    </row>
    <row r="344" spans="1:9" ht="15" customHeight="1" x14ac:dyDescent="0.35">
      <c r="A344" s="2">
        <v>45634</v>
      </c>
      <c r="B344" s="3">
        <f t="shared" si="25"/>
        <v>2024</v>
      </c>
      <c r="C344" s="3">
        <f t="shared" si="26"/>
        <v>12</v>
      </c>
      <c r="D344" s="3" t="str">
        <f t="shared" si="27"/>
        <v>Sun</v>
      </c>
      <c r="E344" s="3">
        <f t="shared" si="28"/>
        <v>0</v>
      </c>
      <c r="F344" s="3">
        <f t="shared" si="29"/>
        <v>0</v>
      </c>
      <c r="G344" s="3" t="str">
        <f t="array" ref="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3">
        <f>COUNTIF(Events!$A$2:$A$397,$A344)</f>
        <v>0</v>
      </c>
      <c r="I344" s="25" t="str">
        <f t="array" ref="I344">_xlfn.TEXTJOIN(" | ",TRUE(),IF(Events!$A$2:$A$397=$A344,Events!$E$2:$E$397&amp;IF(Events!$G$2:$G$397="National",""," ["&amp;Events!$G$2:$G$397&amp;"]"),""))</f>
        <v/>
      </c>
    </row>
    <row r="345" spans="1:9" ht="15" customHeight="1" x14ac:dyDescent="0.35">
      <c r="A345" s="2">
        <v>45635</v>
      </c>
      <c r="B345" s="3">
        <f t="shared" si="25"/>
        <v>2024</v>
      </c>
      <c r="C345" s="3">
        <f t="shared" si="26"/>
        <v>12</v>
      </c>
      <c r="D345" s="3" t="str">
        <f t="shared" si="27"/>
        <v>Mon</v>
      </c>
      <c r="E345" s="3">
        <f t="shared" si="28"/>
        <v>0</v>
      </c>
      <c r="F345" s="3">
        <f t="shared" si="29"/>
        <v>0</v>
      </c>
      <c r="G345" s="3" t="str">
        <f t="array" ref="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3">
        <f>COUNTIF(Events!$A$2:$A$397,$A345)</f>
        <v>0</v>
      </c>
      <c r="I345" s="25" t="str">
        <f t="array" ref="I345">_xlfn.TEXTJOIN(" | ",TRUE(),IF(Events!$A$2:$A$397=$A345,Events!$E$2:$E$397&amp;IF(Events!$G$2:$G$397="National",""," ["&amp;Events!$G$2:$G$397&amp;"]"),""))</f>
        <v/>
      </c>
    </row>
    <row r="346" spans="1:9" ht="15" customHeight="1" x14ac:dyDescent="0.35">
      <c r="A346" s="2">
        <v>45636</v>
      </c>
      <c r="B346" s="3">
        <f t="shared" si="25"/>
        <v>2024</v>
      </c>
      <c r="C346" s="3">
        <f t="shared" si="26"/>
        <v>12</v>
      </c>
      <c r="D346" s="3" t="str">
        <f t="shared" si="27"/>
        <v>Tue</v>
      </c>
      <c r="E346" s="3">
        <f t="shared" si="28"/>
        <v>0</v>
      </c>
      <c r="F346" s="3">
        <f t="shared" si="29"/>
        <v>0</v>
      </c>
      <c r="G346" s="3" t="str">
        <f t="array" ref="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3">
        <f>COUNTIF(Events!$A$2:$A$397,$A346)</f>
        <v>0</v>
      </c>
      <c r="I346" s="25" t="str">
        <f t="array" ref="I346">_xlfn.TEXTJOIN(" | ",TRUE(),IF(Events!$A$2:$A$397=$A346,Events!$E$2:$E$397&amp;IF(Events!$G$2:$G$397="National",""," ["&amp;Events!$G$2:$G$397&amp;"]"),""))</f>
        <v/>
      </c>
    </row>
    <row r="347" spans="1:9" ht="15" customHeight="1" x14ac:dyDescent="0.35">
      <c r="A347" s="2">
        <v>45637</v>
      </c>
      <c r="B347" s="3">
        <f t="shared" si="25"/>
        <v>2024</v>
      </c>
      <c r="C347" s="3">
        <f t="shared" si="26"/>
        <v>12</v>
      </c>
      <c r="D347" s="3" t="str">
        <f t="shared" si="27"/>
        <v>Wed</v>
      </c>
      <c r="E347" s="3">
        <f t="shared" si="28"/>
        <v>0</v>
      </c>
      <c r="F347" s="3">
        <f t="shared" si="29"/>
        <v>0</v>
      </c>
      <c r="G347" s="3" t="str">
        <f t="array" ref="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3">
        <f>COUNTIF(Events!$A$2:$A$397,$A347)</f>
        <v>0</v>
      </c>
      <c r="I347" s="25" t="str">
        <f t="array" ref="I347">_xlfn.TEXTJOIN(" | ",TRUE(),IF(Events!$A$2:$A$397=$A347,Events!$E$2:$E$397&amp;IF(Events!$G$2:$G$397="National",""," ["&amp;Events!$G$2:$G$397&amp;"]"),""))</f>
        <v/>
      </c>
    </row>
    <row r="348" spans="1:9" ht="15" customHeight="1" x14ac:dyDescent="0.35">
      <c r="A348" s="2">
        <v>45638</v>
      </c>
      <c r="B348" s="3">
        <f t="shared" si="25"/>
        <v>2024</v>
      </c>
      <c r="C348" s="3">
        <f t="shared" si="26"/>
        <v>12</v>
      </c>
      <c r="D348" s="3" t="str">
        <f t="shared" si="27"/>
        <v>Thu</v>
      </c>
      <c r="E348" s="3">
        <f t="shared" si="28"/>
        <v>0</v>
      </c>
      <c r="F348" s="3">
        <f t="shared" si="29"/>
        <v>0</v>
      </c>
      <c r="G348" s="3" t="str">
        <f t="array" ref="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3">
        <f>COUNTIF(Events!$A$2:$A$397,$A348)</f>
        <v>0</v>
      </c>
      <c r="I348" s="25" t="str">
        <f t="array" ref="I348">_xlfn.TEXTJOIN(" | ",TRUE(),IF(Events!$A$2:$A$397=$A348,Events!$E$2:$E$397&amp;IF(Events!$G$2:$G$397="National",""," ["&amp;Events!$G$2:$G$397&amp;"]"),""))</f>
        <v/>
      </c>
    </row>
    <row r="349" spans="1:9" ht="15" customHeight="1" x14ac:dyDescent="0.35">
      <c r="A349" s="2">
        <v>45639</v>
      </c>
      <c r="B349" s="3">
        <f t="shared" si="25"/>
        <v>2024</v>
      </c>
      <c r="C349" s="3">
        <f t="shared" si="26"/>
        <v>12</v>
      </c>
      <c r="D349" s="3" t="str">
        <f t="shared" si="27"/>
        <v>Fri</v>
      </c>
      <c r="E349" s="3">
        <f t="shared" si="28"/>
        <v>0</v>
      </c>
      <c r="F349" s="3">
        <f t="shared" si="29"/>
        <v>0</v>
      </c>
      <c r="G349" s="3" t="str">
        <f t="array" ref="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3">
        <f>COUNTIF(Events!$A$2:$A$397,$A349)</f>
        <v>0</v>
      </c>
      <c r="I349" s="25" t="str">
        <f t="array" ref="I349">_xlfn.TEXTJOIN(" | ",TRUE(),IF(Events!$A$2:$A$397=$A349,Events!$E$2:$E$397&amp;IF(Events!$G$2:$G$397="National",""," ["&amp;Events!$G$2:$G$397&amp;"]"),""))</f>
        <v/>
      </c>
    </row>
    <row r="350" spans="1:9" ht="15" customHeight="1" x14ac:dyDescent="0.35">
      <c r="A350" s="2">
        <v>45640</v>
      </c>
      <c r="B350" s="3">
        <f t="shared" si="25"/>
        <v>2024</v>
      </c>
      <c r="C350" s="3">
        <f t="shared" si="26"/>
        <v>12</v>
      </c>
      <c r="D350" s="3" t="str">
        <f t="shared" si="27"/>
        <v>Sat</v>
      </c>
      <c r="E350" s="3">
        <f t="shared" si="28"/>
        <v>0</v>
      </c>
      <c r="F350" s="3">
        <f t="shared" si="29"/>
        <v>0</v>
      </c>
      <c r="G350" s="3" t="str">
        <f t="array" ref="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3">
        <f>COUNTIF(Events!$A$2:$A$397,$A350)</f>
        <v>0</v>
      </c>
      <c r="I350" s="25" t="str">
        <f t="array" ref="I350">_xlfn.TEXTJOIN(" | ",TRUE(),IF(Events!$A$2:$A$397=$A350,Events!$E$2:$E$397&amp;IF(Events!$G$2:$G$397="National",""," ["&amp;Events!$G$2:$G$397&amp;"]"),""))</f>
        <v/>
      </c>
    </row>
    <row r="351" spans="1:9" ht="15" customHeight="1" x14ac:dyDescent="0.35">
      <c r="A351" s="2">
        <v>45641</v>
      </c>
      <c r="B351" s="3">
        <f t="shared" si="25"/>
        <v>2024</v>
      </c>
      <c r="C351" s="3">
        <f t="shared" si="26"/>
        <v>12</v>
      </c>
      <c r="D351" s="3" t="str">
        <f t="shared" si="27"/>
        <v>Sun</v>
      </c>
      <c r="E351" s="3">
        <f t="shared" si="28"/>
        <v>0</v>
      </c>
      <c r="F351" s="3">
        <f t="shared" si="29"/>
        <v>0</v>
      </c>
      <c r="G351" s="3" t="str">
        <f t="array" ref="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3">
        <f>COUNTIF(Events!$A$2:$A$397,$A351)</f>
        <v>0</v>
      </c>
      <c r="I351" s="25" t="str">
        <f t="array" ref="I351">_xlfn.TEXTJOIN(" | ",TRUE(),IF(Events!$A$2:$A$397=$A351,Events!$E$2:$E$397&amp;IF(Events!$G$2:$G$397="National",""," ["&amp;Events!$G$2:$G$397&amp;"]"),""))</f>
        <v/>
      </c>
    </row>
    <row r="352" spans="1:9" ht="15" customHeight="1" x14ac:dyDescent="0.35">
      <c r="A352" s="2">
        <v>45642</v>
      </c>
      <c r="B352" s="3">
        <f t="shared" si="25"/>
        <v>2024</v>
      </c>
      <c r="C352" s="3">
        <f t="shared" si="26"/>
        <v>12</v>
      </c>
      <c r="D352" s="3" t="str">
        <f t="shared" si="27"/>
        <v>Mon</v>
      </c>
      <c r="E352" s="3">
        <f t="shared" si="28"/>
        <v>0</v>
      </c>
      <c r="F352" s="3">
        <f t="shared" si="29"/>
        <v>0</v>
      </c>
      <c r="G352" s="3" t="str">
        <f t="array" ref="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3">
        <f>COUNTIF(Events!$A$2:$A$397,$A352)</f>
        <v>0</v>
      </c>
      <c r="I352" s="25" t="str">
        <f t="array" ref="I352">_xlfn.TEXTJOIN(" | ",TRUE(),IF(Events!$A$2:$A$397=$A352,Events!$E$2:$E$397&amp;IF(Events!$G$2:$G$397="National",""," ["&amp;Events!$G$2:$G$397&amp;"]"),""))</f>
        <v/>
      </c>
    </row>
    <row r="353" spans="1:9" ht="15" customHeight="1" x14ac:dyDescent="0.35">
      <c r="A353" s="2">
        <v>45643</v>
      </c>
      <c r="B353" s="3">
        <f t="shared" si="25"/>
        <v>2024</v>
      </c>
      <c r="C353" s="3">
        <f t="shared" si="26"/>
        <v>12</v>
      </c>
      <c r="D353" s="3" t="str">
        <f t="shared" si="27"/>
        <v>Tue</v>
      </c>
      <c r="E353" s="3">
        <f t="shared" si="28"/>
        <v>0</v>
      </c>
      <c r="F353" s="3">
        <f t="shared" si="29"/>
        <v>0</v>
      </c>
      <c r="G353" s="3" t="str">
        <f t="array" ref="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3">
        <f>COUNTIF(Events!$A$2:$A$397,$A353)</f>
        <v>0</v>
      </c>
      <c r="I353" s="25" t="str">
        <f t="array" ref="I353">_xlfn.TEXTJOIN(" | ",TRUE(),IF(Events!$A$2:$A$397=$A353,Events!$E$2:$E$397&amp;IF(Events!$G$2:$G$397="National",""," ["&amp;Events!$G$2:$G$397&amp;"]"),""))</f>
        <v/>
      </c>
    </row>
    <row r="354" spans="1:9" ht="15" customHeight="1" x14ac:dyDescent="0.35">
      <c r="A354" s="2">
        <v>45644</v>
      </c>
      <c r="B354" s="3">
        <f t="shared" si="25"/>
        <v>2024</v>
      </c>
      <c r="C354" s="3">
        <f t="shared" si="26"/>
        <v>12</v>
      </c>
      <c r="D354" s="3" t="str">
        <f t="shared" si="27"/>
        <v>Wed</v>
      </c>
      <c r="E354" s="3">
        <f t="shared" si="28"/>
        <v>0</v>
      </c>
      <c r="F354" s="3">
        <f t="shared" si="29"/>
        <v>0</v>
      </c>
      <c r="G354" s="3" t="str">
        <f t="array" ref="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3">
        <f>COUNTIF(Events!$A$2:$A$397,$A354)</f>
        <v>0</v>
      </c>
      <c r="I354" s="25" t="str">
        <f t="array" ref="I354">_xlfn.TEXTJOIN(" | ",TRUE(),IF(Events!$A$2:$A$397=$A354,Events!$E$2:$E$397&amp;IF(Events!$G$2:$G$397="National",""," ["&amp;Events!$G$2:$G$397&amp;"]"),""))</f>
        <v/>
      </c>
    </row>
    <row r="355" spans="1:9" ht="15" customHeight="1" x14ac:dyDescent="0.35">
      <c r="A355" s="2">
        <v>45645</v>
      </c>
      <c r="B355" s="3">
        <f t="shared" si="25"/>
        <v>2024</v>
      </c>
      <c r="C355" s="3">
        <f t="shared" si="26"/>
        <v>12</v>
      </c>
      <c r="D355" s="3" t="str">
        <f t="shared" si="27"/>
        <v>Thu</v>
      </c>
      <c r="E355" s="3">
        <f t="shared" si="28"/>
        <v>0</v>
      </c>
      <c r="F355" s="3">
        <f t="shared" si="29"/>
        <v>0</v>
      </c>
      <c r="G355" s="3" t="str">
        <f t="array" ref="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3">
        <f>COUNTIF(Events!$A$2:$A$397,$A355)</f>
        <v>0</v>
      </c>
      <c r="I355" s="25" t="str">
        <f t="array" ref="I355">_xlfn.TEXTJOIN(" | ",TRUE(),IF(Events!$A$2:$A$397=$A355,Events!$E$2:$E$397&amp;IF(Events!$G$2:$G$397="National",""," ["&amp;Events!$G$2:$G$397&amp;"]"),""))</f>
        <v/>
      </c>
    </row>
    <row r="356" spans="1:9" ht="15" customHeight="1" x14ac:dyDescent="0.35">
      <c r="A356" s="2">
        <v>45646</v>
      </c>
      <c r="B356" s="3">
        <f t="shared" si="25"/>
        <v>2024</v>
      </c>
      <c r="C356" s="3">
        <f t="shared" si="26"/>
        <v>12</v>
      </c>
      <c r="D356" s="3" t="str">
        <f t="shared" si="27"/>
        <v>Fri</v>
      </c>
      <c r="E356" s="3">
        <f t="shared" si="28"/>
        <v>0</v>
      </c>
      <c r="F356" s="3">
        <f t="shared" si="29"/>
        <v>0</v>
      </c>
      <c r="G356" s="3" t="str">
        <f t="array" ref="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3">
        <f>COUNTIF(Events!$A$2:$A$397,$A356)</f>
        <v>0</v>
      </c>
      <c r="I356" s="25" t="str">
        <f t="array" ref="I356">_xlfn.TEXTJOIN(" | ",TRUE(),IF(Events!$A$2:$A$397=$A356,Events!$E$2:$E$397&amp;IF(Events!$G$2:$G$397="National",""," ["&amp;Events!$G$2:$G$397&amp;"]"),""))</f>
        <v/>
      </c>
    </row>
    <row r="357" spans="1:9" ht="15" customHeight="1" x14ac:dyDescent="0.35">
      <c r="A357" s="2">
        <v>45647</v>
      </c>
      <c r="B357" s="3">
        <f t="shared" si="25"/>
        <v>2024</v>
      </c>
      <c r="C357" s="3">
        <f t="shared" si="26"/>
        <v>12</v>
      </c>
      <c r="D357" s="3" t="str">
        <f t="shared" si="27"/>
        <v>Sat</v>
      </c>
      <c r="E357" s="3">
        <f t="shared" si="28"/>
        <v>0</v>
      </c>
      <c r="F357" s="3">
        <f t="shared" si="29"/>
        <v>0</v>
      </c>
      <c r="G357" s="3" t="str">
        <f t="array" ref="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3">
        <f>COUNTIF(Events!$A$2:$A$397,$A357)</f>
        <v>0</v>
      </c>
      <c r="I357" s="25" t="str">
        <f t="array" ref="I357">_xlfn.TEXTJOIN(" | ",TRUE(),IF(Events!$A$2:$A$397=$A357,Events!$E$2:$E$397&amp;IF(Events!$G$2:$G$397="National",""," ["&amp;Events!$G$2:$G$397&amp;"]"),""))</f>
        <v/>
      </c>
    </row>
    <row r="358" spans="1:9" ht="15" customHeight="1" x14ac:dyDescent="0.35">
      <c r="A358" s="2">
        <v>45648</v>
      </c>
      <c r="B358" s="3">
        <f t="shared" si="25"/>
        <v>2024</v>
      </c>
      <c r="C358" s="3">
        <f t="shared" si="26"/>
        <v>12</v>
      </c>
      <c r="D358" s="3" t="str">
        <f t="shared" si="27"/>
        <v>Sun</v>
      </c>
      <c r="E358" s="3">
        <f t="shared" si="28"/>
        <v>0</v>
      </c>
      <c r="F358" s="3">
        <f t="shared" si="29"/>
        <v>0</v>
      </c>
      <c r="G358" s="3" t="str">
        <f t="array" ref="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3">
        <f>COUNTIF(Events!$A$2:$A$397,$A358)</f>
        <v>0</v>
      </c>
      <c r="I358" s="25" t="str">
        <f t="array" ref="I358">_xlfn.TEXTJOIN(" | ",TRUE(),IF(Events!$A$2:$A$397=$A358,Events!$E$2:$E$397&amp;IF(Events!$G$2:$G$397="National",""," ["&amp;Events!$G$2:$G$397&amp;"]"),""))</f>
        <v/>
      </c>
    </row>
    <row r="359" spans="1:9" ht="15" customHeight="1" x14ac:dyDescent="0.35">
      <c r="A359" s="2">
        <v>45649</v>
      </c>
      <c r="B359" s="3">
        <f t="shared" si="25"/>
        <v>2024</v>
      </c>
      <c r="C359" s="3">
        <f t="shared" si="26"/>
        <v>12</v>
      </c>
      <c r="D359" s="3" t="str">
        <f t="shared" si="27"/>
        <v>Mon</v>
      </c>
      <c r="E359" s="3">
        <f t="shared" si="28"/>
        <v>0</v>
      </c>
      <c r="F359" s="3">
        <f t="shared" si="29"/>
        <v>0</v>
      </c>
      <c r="G359" s="3" t="str">
        <f t="array" ref="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3">
        <f>COUNTIF(Events!$A$2:$A$397,$A359)</f>
        <v>0</v>
      </c>
      <c r="I359" s="25" t="str">
        <f t="array" ref="I359">_xlfn.TEXTJOIN(" | ",TRUE(),IF(Events!$A$2:$A$397=$A359,Events!$E$2:$E$397&amp;IF(Events!$G$2:$G$397="National",""," ["&amp;Events!$G$2:$G$397&amp;"]"),""))</f>
        <v/>
      </c>
    </row>
    <row r="360" spans="1:9" ht="15" customHeight="1" x14ac:dyDescent="0.35">
      <c r="A360" s="2">
        <v>45650</v>
      </c>
      <c r="B360" s="3">
        <f t="shared" si="25"/>
        <v>2024</v>
      </c>
      <c r="C360" s="3">
        <f t="shared" si="26"/>
        <v>12</v>
      </c>
      <c r="D360" s="3" t="str">
        <f t="shared" si="27"/>
        <v>Tue</v>
      </c>
      <c r="E360" s="3">
        <f t="shared" si="28"/>
        <v>0</v>
      </c>
      <c r="F360" s="3">
        <f t="shared" si="29"/>
        <v>0</v>
      </c>
      <c r="G360" s="3" t="str">
        <f t="array" ref="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3">
        <f>COUNTIF(Events!$A$2:$A$397,$A360)</f>
        <v>0</v>
      </c>
      <c r="I360" s="25" t="str">
        <f t="array" ref="I360">_xlfn.TEXTJOIN(" | ",TRUE(),IF(Events!$A$2:$A$397=$A360,Events!$E$2:$E$397&amp;IF(Events!$G$2:$G$397="National",""," ["&amp;Events!$G$2:$G$397&amp;"]"),""))</f>
        <v/>
      </c>
    </row>
    <row r="361" spans="1:9" ht="15" customHeight="1" x14ac:dyDescent="0.35">
      <c r="A361" s="2">
        <v>45651</v>
      </c>
      <c r="B361" s="3">
        <f t="shared" si="25"/>
        <v>2024</v>
      </c>
      <c r="C361" s="3">
        <f t="shared" si="26"/>
        <v>12</v>
      </c>
      <c r="D361" s="3" t="str">
        <f t="shared" si="27"/>
        <v>Wed</v>
      </c>
      <c r="E361" s="3">
        <f t="shared" si="28"/>
        <v>0</v>
      </c>
      <c r="F361" s="3">
        <f t="shared" si="29"/>
        <v>0</v>
      </c>
      <c r="G361" s="3" t="str">
        <f t="array" ref="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3">
        <f>COUNTIF(Events!$A$2:$A$397,$A361)</f>
        <v>0</v>
      </c>
      <c r="I361" s="25" t="str">
        <f t="array" ref="I361">_xlfn.TEXTJOIN(" | ",TRUE(),IF(Events!$A$2:$A$397=$A361,Events!$E$2:$E$397&amp;IF(Events!$G$2:$G$397="National",""," ["&amp;Events!$G$2:$G$397&amp;"]"),""))</f>
        <v/>
      </c>
    </row>
    <row r="362" spans="1:9" ht="15" customHeight="1" x14ac:dyDescent="0.35">
      <c r="A362" s="2">
        <v>45652</v>
      </c>
      <c r="B362" s="3">
        <f t="shared" si="25"/>
        <v>2024</v>
      </c>
      <c r="C362" s="3">
        <f t="shared" si="26"/>
        <v>12</v>
      </c>
      <c r="D362" s="3" t="str">
        <f t="shared" si="27"/>
        <v>Thu</v>
      </c>
      <c r="E362" s="3">
        <f t="shared" si="28"/>
        <v>0</v>
      </c>
      <c r="F362" s="3">
        <f t="shared" si="29"/>
        <v>0</v>
      </c>
      <c r="G362" s="3" t="str">
        <f t="array" ref="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3">
        <f>COUNTIF(Events!$A$2:$A$397,$A362)</f>
        <v>0</v>
      </c>
      <c r="I362" s="25" t="str">
        <f t="array" ref="I362">_xlfn.TEXTJOIN(" | ",TRUE(),IF(Events!$A$2:$A$397=$A362,Events!$E$2:$E$397&amp;IF(Events!$G$2:$G$397="National",""," ["&amp;Events!$G$2:$G$397&amp;"]"),""))</f>
        <v/>
      </c>
    </row>
    <row r="363" spans="1:9" ht="15" customHeight="1" x14ac:dyDescent="0.35">
      <c r="A363" s="2">
        <v>45653</v>
      </c>
      <c r="B363" s="3">
        <f t="shared" si="25"/>
        <v>2024</v>
      </c>
      <c r="C363" s="3">
        <f t="shared" si="26"/>
        <v>12</v>
      </c>
      <c r="D363" s="3" t="str">
        <f t="shared" si="27"/>
        <v>Fri</v>
      </c>
      <c r="E363" s="3">
        <f t="shared" si="28"/>
        <v>0</v>
      </c>
      <c r="F363" s="3">
        <f t="shared" si="29"/>
        <v>0</v>
      </c>
      <c r="G363" s="3" t="str">
        <f t="array" ref="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3">
        <f>COUNTIF(Events!$A$2:$A$397,$A363)</f>
        <v>0</v>
      </c>
      <c r="I363" s="25" t="str">
        <f t="array" ref="I363">_xlfn.TEXTJOIN(" | ",TRUE(),IF(Events!$A$2:$A$397=$A363,Events!$E$2:$E$397&amp;IF(Events!$G$2:$G$397="National",""," ["&amp;Events!$G$2:$G$397&amp;"]"),""))</f>
        <v/>
      </c>
    </row>
    <row r="364" spans="1:9" ht="15" customHeight="1" x14ac:dyDescent="0.35">
      <c r="A364" s="2">
        <v>45654</v>
      </c>
      <c r="B364" s="3">
        <f t="shared" si="25"/>
        <v>2024</v>
      </c>
      <c r="C364" s="3">
        <f t="shared" si="26"/>
        <v>12</v>
      </c>
      <c r="D364" s="3" t="str">
        <f t="shared" si="27"/>
        <v>Sat</v>
      </c>
      <c r="E364" s="3">
        <f t="shared" si="28"/>
        <v>0</v>
      </c>
      <c r="F364" s="3">
        <f t="shared" si="29"/>
        <v>0</v>
      </c>
      <c r="G364" s="3" t="str">
        <f t="array" ref="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3">
        <f>COUNTIF(Events!$A$2:$A$397,$A364)</f>
        <v>0</v>
      </c>
      <c r="I364" s="25" t="str">
        <f t="array" ref="I364">_xlfn.TEXTJOIN(" | ",TRUE(),IF(Events!$A$2:$A$397=$A364,Events!$E$2:$E$397&amp;IF(Events!$G$2:$G$397="National",""," ["&amp;Events!$G$2:$G$397&amp;"]"),""))</f>
        <v/>
      </c>
    </row>
    <row r="365" spans="1:9" ht="15" customHeight="1" x14ac:dyDescent="0.35">
      <c r="A365" s="2">
        <v>45655</v>
      </c>
      <c r="B365" s="3">
        <f t="shared" si="25"/>
        <v>2024</v>
      </c>
      <c r="C365" s="3">
        <f t="shared" si="26"/>
        <v>12</v>
      </c>
      <c r="D365" s="3" t="str">
        <f t="shared" si="27"/>
        <v>Sun</v>
      </c>
      <c r="E365" s="3">
        <f t="shared" si="28"/>
        <v>0</v>
      </c>
      <c r="F365" s="3">
        <f t="shared" si="29"/>
        <v>0</v>
      </c>
      <c r="G365" s="3" t="str">
        <f t="array" ref="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3">
        <f>COUNTIF(Events!$A$2:$A$397,$A365)</f>
        <v>0</v>
      </c>
      <c r="I365" s="25" t="str">
        <f t="array" ref="I365">_xlfn.TEXTJOIN(" | ",TRUE(),IF(Events!$A$2:$A$397=$A365,Events!$E$2:$E$397&amp;IF(Events!$G$2:$G$397="National",""," ["&amp;Events!$G$2:$G$397&amp;"]"),""))</f>
        <v/>
      </c>
    </row>
    <row r="366" spans="1:9" ht="15" customHeight="1" x14ac:dyDescent="0.35">
      <c r="A366" s="2">
        <v>45656</v>
      </c>
      <c r="B366" s="3">
        <f t="shared" si="25"/>
        <v>2024</v>
      </c>
      <c r="C366" s="3">
        <f t="shared" si="26"/>
        <v>12</v>
      </c>
      <c r="D366" s="3" t="str">
        <f t="shared" si="27"/>
        <v>Mon</v>
      </c>
      <c r="E366" s="3">
        <f t="shared" si="28"/>
        <v>0</v>
      </c>
      <c r="F366" s="3">
        <f t="shared" si="29"/>
        <v>0</v>
      </c>
      <c r="G366" s="3" t="str">
        <f t="array" ref="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
      </c>
      <c r="H366" s="3">
        <f>COUNTIF(Events!$A$2:$A$397,$A366)</f>
        <v>0</v>
      </c>
      <c r="I366" s="25" t="str">
        <f t="array" ref="I366">_xlfn.TEXTJOIN(" | ",TRUE(),IF(Events!$A$2:$A$397=$A366,Events!$E$2:$E$397&amp;IF(Events!$G$2:$G$397="National",""," ["&amp;Events!$G$2:$G$397&amp;"]"),""))</f>
        <v/>
      </c>
    </row>
    <row r="367" spans="1:9" ht="15" customHeight="1" x14ac:dyDescent="0.35">
      <c r="A367" s="2">
        <v>45657</v>
      </c>
      <c r="B367" s="3">
        <f t="shared" si="25"/>
        <v>2024</v>
      </c>
      <c r="C367" s="3">
        <f t="shared" si="26"/>
        <v>12</v>
      </c>
      <c r="D367" s="3" t="str">
        <f t="shared" si="27"/>
        <v>Tue</v>
      </c>
      <c r="E367" s="3">
        <f t="shared" si="28"/>
        <v>0</v>
      </c>
      <c r="F367" s="3">
        <f t="shared" si="29"/>
        <v>0</v>
      </c>
      <c r="G367" s="3" t="str">
        <f t="array" ref="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 | 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7" s="3">
        <f>COUNTIF(Events!$A$2:$A$397,$A367)</f>
        <v>0</v>
      </c>
      <c r="I367" s="25" t="str">
        <f t="array" ref="I367">_xlfn.TEXTJOIN(" | ",TRUE(),IF(Events!$A$2:$A$397=$A367,Events!$E$2:$E$397&amp;IF(Events!$G$2:$G$397="National",""," ["&amp;Events!$G$2:$G$397&amp;"]"),""))</f>
        <v/>
      </c>
    </row>
    <row r="368" spans="1:9" ht="15" customHeight="1" x14ac:dyDescent="0.35">
      <c r="A368" s="2">
        <v>45658</v>
      </c>
      <c r="B368" s="3">
        <f t="shared" si="25"/>
        <v>2025</v>
      </c>
      <c r="C368" s="3">
        <f t="shared" si="26"/>
        <v>1</v>
      </c>
      <c r="D368" s="3" t="str">
        <f t="shared" si="27"/>
        <v>Wed</v>
      </c>
      <c r="E368" s="3">
        <f t="shared" si="28"/>
        <v>0</v>
      </c>
      <c r="F368" s="3">
        <f t="shared" si="29"/>
        <v>1</v>
      </c>
      <c r="G368" s="3" t="str">
        <f t="array" ref="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3">
        <f>COUNTIF(Events!$A$2:$A$397,$A368)</f>
        <v>3</v>
      </c>
      <c r="I368" s="25" t="str">
        <f t="array" ref="I368">_xlfn.TEXTJOIN(" | ",TRUE(),IF(Events!$A$2:$A$397=$A368,Events!$E$2:$E$397&amp;IF(Events!$G$2:$G$397="National",""," ["&amp;Events!$G$2:$G$397&amp;"]"),""))</f>
        <v>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 | 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 | 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v>
      </c>
    </row>
    <row r="369" spans="1:9" ht="15" customHeight="1" x14ac:dyDescent="0.35">
      <c r="A369" s="2">
        <v>45659</v>
      </c>
      <c r="B369" s="3">
        <f t="shared" si="25"/>
        <v>2025</v>
      </c>
      <c r="C369" s="3">
        <f t="shared" si="26"/>
        <v>1</v>
      </c>
      <c r="D369" s="3" t="str">
        <f t="shared" si="27"/>
        <v>Thu</v>
      </c>
      <c r="E369" s="3">
        <f t="shared" si="28"/>
        <v>0</v>
      </c>
      <c r="F369" s="3">
        <f t="shared" si="29"/>
        <v>1</v>
      </c>
      <c r="G369" s="3" t="str">
        <f t="array" ref="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3">
        <f>COUNTIF(Events!$A$2:$A$397,$A369)</f>
        <v>0</v>
      </c>
      <c r="I369" s="25" t="str">
        <f t="array" ref="I369">_xlfn.TEXTJOIN(" | ",TRUE(),IF(Events!$A$2:$A$397=$A369,Events!$E$2:$E$397&amp;IF(Events!$G$2:$G$397="National",""," ["&amp;Events!$G$2:$G$397&amp;"]"),""))</f>
        <v/>
      </c>
    </row>
    <row r="370" spans="1:9" ht="15" customHeight="1" x14ac:dyDescent="0.35">
      <c r="A370" s="2">
        <v>45660</v>
      </c>
      <c r="B370" s="3">
        <f t="shared" si="25"/>
        <v>2025</v>
      </c>
      <c r="C370" s="3">
        <f t="shared" si="26"/>
        <v>1</v>
      </c>
      <c r="D370" s="3" t="str">
        <f t="shared" si="27"/>
        <v>Fri</v>
      </c>
      <c r="E370" s="3">
        <f t="shared" si="28"/>
        <v>0</v>
      </c>
      <c r="F370" s="3">
        <f t="shared" si="29"/>
        <v>1</v>
      </c>
      <c r="G370" s="3" t="str">
        <f t="array" ref="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3">
        <f>COUNTIF(Events!$A$2:$A$397,$A370)</f>
        <v>0</v>
      </c>
      <c r="I370" s="25" t="str">
        <f t="array" ref="I370">_xlfn.TEXTJOIN(" | ",TRUE(),IF(Events!$A$2:$A$397=$A370,Events!$E$2:$E$397&amp;IF(Events!$G$2:$G$397="National",""," ["&amp;Events!$G$2:$G$397&amp;"]"),""))</f>
        <v/>
      </c>
    </row>
    <row r="371" spans="1:9" ht="15" customHeight="1" x14ac:dyDescent="0.35">
      <c r="A371" s="2">
        <v>45661</v>
      </c>
      <c r="B371" s="3">
        <f t="shared" si="25"/>
        <v>2025</v>
      </c>
      <c r="C371" s="3">
        <f t="shared" si="26"/>
        <v>1</v>
      </c>
      <c r="D371" s="3" t="str">
        <f t="shared" si="27"/>
        <v>Sat</v>
      </c>
      <c r="E371" s="3">
        <f t="shared" si="28"/>
        <v>0</v>
      </c>
      <c r="F371" s="3">
        <f t="shared" si="29"/>
        <v>1</v>
      </c>
      <c r="G371" s="3" t="str">
        <f t="array" ref="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3">
        <f>COUNTIF(Events!$A$2:$A$397,$A371)</f>
        <v>0</v>
      </c>
      <c r="I371" s="25" t="str">
        <f t="array" ref="I371">_xlfn.TEXTJOIN(" | ",TRUE(),IF(Events!$A$2:$A$397=$A371,Events!$E$2:$E$397&amp;IF(Events!$G$2:$G$397="National",""," ["&amp;Events!$G$2:$G$397&amp;"]"),""))</f>
        <v/>
      </c>
    </row>
    <row r="372" spans="1:9" ht="15" customHeight="1" x14ac:dyDescent="0.35">
      <c r="A372" s="2">
        <v>45662</v>
      </c>
      <c r="B372" s="3">
        <f t="shared" si="25"/>
        <v>2025</v>
      </c>
      <c r="C372" s="3">
        <f t="shared" si="26"/>
        <v>1</v>
      </c>
      <c r="D372" s="3" t="str">
        <f t="shared" si="27"/>
        <v>Sun</v>
      </c>
      <c r="E372" s="3">
        <f t="shared" si="28"/>
        <v>0</v>
      </c>
      <c r="F372" s="3">
        <f t="shared" si="29"/>
        <v>1</v>
      </c>
      <c r="G372" s="3" t="str">
        <f t="array" ref="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3">
        <f>COUNTIF(Events!$A$2:$A$397,$A372)</f>
        <v>0</v>
      </c>
      <c r="I372" s="25" t="str">
        <f t="array" ref="I372">_xlfn.TEXTJOIN(" | ",TRUE(),IF(Events!$A$2:$A$397=$A372,Events!$E$2:$E$397&amp;IF(Events!$G$2:$G$397="National",""," ["&amp;Events!$G$2:$G$397&amp;"]"),""))</f>
        <v/>
      </c>
    </row>
    <row r="373" spans="1:9" ht="15" customHeight="1" x14ac:dyDescent="0.35">
      <c r="A373" s="2">
        <v>45663</v>
      </c>
      <c r="B373" s="3">
        <f t="shared" si="25"/>
        <v>2025</v>
      </c>
      <c r="C373" s="3">
        <f t="shared" si="26"/>
        <v>1</v>
      </c>
      <c r="D373" s="3" t="str">
        <f t="shared" si="27"/>
        <v>Mon</v>
      </c>
      <c r="E373" s="3">
        <f t="shared" si="28"/>
        <v>0</v>
      </c>
      <c r="F373" s="3">
        <f t="shared" si="29"/>
        <v>1</v>
      </c>
      <c r="G373" s="3" t="str">
        <f t="array" ref="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3">
        <f>COUNTIF(Events!$A$2:$A$397,$A373)</f>
        <v>0</v>
      </c>
      <c r="I373" s="25" t="str">
        <f t="array" ref="I373">_xlfn.TEXTJOIN(" | ",TRUE(),IF(Events!$A$2:$A$397=$A373,Events!$E$2:$E$397&amp;IF(Events!$G$2:$G$397="National",""," ["&amp;Events!$G$2:$G$397&amp;"]"),""))</f>
        <v/>
      </c>
    </row>
    <row r="374" spans="1:9" ht="15" customHeight="1" x14ac:dyDescent="0.35">
      <c r="A374" s="2">
        <v>45664</v>
      </c>
      <c r="B374" s="3">
        <f t="shared" si="25"/>
        <v>2025</v>
      </c>
      <c r="C374" s="3">
        <f t="shared" si="26"/>
        <v>1</v>
      </c>
      <c r="D374" s="3" t="str">
        <f t="shared" si="27"/>
        <v>Tue</v>
      </c>
      <c r="E374" s="3">
        <f t="shared" si="28"/>
        <v>0</v>
      </c>
      <c r="F374" s="3">
        <f t="shared" si="29"/>
        <v>1</v>
      </c>
      <c r="G374" s="3" t="str">
        <f t="array" ref="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3">
        <f>COUNTIF(Events!$A$2:$A$397,$A374)</f>
        <v>0</v>
      </c>
      <c r="I374" s="25" t="str">
        <f t="array" ref="I374">_xlfn.TEXTJOIN(" | ",TRUE(),IF(Events!$A$2:$A$397=$A374,Events!$E$2:$E$397&amp;IF(Events!$G$2:$G$397="National",""," ["&amp;Events!$G$2:$G$397&amp;"]"),""))</f>
        <v/>
      </c>
    </row>
    <row r="375" spans="1:9" ht="15" customHeight="1" x14ac:dyDescent="0.35">
      <c r="A375" s="2">
        <v>45665</v>
      </c>
      <c r="B375" s="3">
        <f t="shared" si="25"/>
        <v>2025</v>
      </c>
      <c r="C375" s="3">
        <f t="shared" si="26"/>
        <v>1</v>
      </c>
      <c r="D375" s="3" t="str">
        <f t="shared" si="27"/>
        <v>Wed</v>
      </c>
      <c r="E375" s="3">
        <f t="shared" si="28"/>
        <v>0</v>
      </c>
      <c r="F375" s="3">
        <f t="shared" si="29"/>
        <v>1</v>
      </c>
      <c r="G375" s="3" t="str">
        <f t="array" ref="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3">
        <f>COUNTIF(Events!$A$2:$A$397,$A375)</f>
        <v>0</v>
      </c>
      <c r="I375" s="25" t="str">
        <f t="array" ref="I375">_xlfn.TEXTJOIN(" | ",TRUE(),IF(Events!$A$2:$A$397=$A375,Events!$E$2:$E$397&amp;IF(Events!$G$2:$G$397="National",""," ["&amp;Events!$G$2:$G$397&amp;"]"),""))</f>
        <v/>
      </c>
    </row>
    <row r="376" spans="1:9" ht="15" customHeight="1" x14ac:dyDescent="0.35">
      <c r="A376" s="2">
        <v>45666</v>
      </c>
      <c r="B376" s="3">
        <f t="shared" si="25"/>
        <v>2025</v>
      </c>
      <c r="C376" s="3">
        <f t="shared" si="26"/>
        <v>1</v>
      </c>
      <c r="D376" s="3" t="str">
        <f t="shared" si="27"/>
        <v>Thu</v>
      </c>
      <c r="E376" s="3">
        <f t="shared" si="28"/>
        <v>0</v>
      </c>
      <c r="F376" s="3">
        <f t="shared" si="29"/>
        <v>1</v>
      </c>
      <c r="G376" s="3" t="str">
        <f t="array" ref="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3">
        <f>COUNTIF(Events!$A$2:$A$397,$A376)</f>
        <v>0</v>
      </c>
      <c r="I376" s="25" t="str">
        <f t="array" ref="I376">_xlfn.TEXTJOIN(" | ",TRUE(),IF(Events!$A$2:$A$397=$A376,Events!$E$2:$E$397&amp;IF(Events!$G$2:$G$397="National",""," ["&amp;Events!$G$2:$G$397&amp;"]"),""))</f>
        <v/>
      </c>
    </row>
    <row r="377" spans="1:9" ht="15" customHeight="1" x14ac:dyDescent="0.35">
      <c r="A377" s="2">
        <v>45667</v>
      </c>
      <c r="B377" s="3">
        <f t="shared" si="25"/>
        <v>2025</v>
      </c>
      <c r="C377" s="3">
        <f t="shared" si="26"/>
        <v>1</v>
      </c>
      <c r="D377" s="3" t="str">
        <f t="shared" si="27"/>
        <v>Fri</v>
      </c>
      <c r="E377" s="3">
        <f t="shared" si="28"/>
        <v>0</v>
      </c>
      <c r="F377" s="3">
        <f t="shared" si="29"/>
        <v>1</v>
      </c>
      <c r="G377" s="3" t="str">
        <f t="array" ref="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3">
        <f>COUNTIF(Events!$A$2:$A$397,$A377)</f>
        <v>1</v>
      </c>
      <c r="I377" s="25" t="str">
        <f t="array" ref="I377">_xlfn.TEXTJOIN(" | ",TRUE(),IF(Events!$A$2:$A$397=$A377,Events!$E$2:$E$397&amp;IF(Events!$G$2:$G$397="National",""," ["&amp;Events!$G$2:$G$397&amp;"]"),""))</f>
        <v>CY2026 Advance Notice released: proposed +4.33% avg payment (~$21B); final year of V28 risk model phase-in; comments due 2/10/2025</v>
      </c>
    </row>
    <row r="378" spans="1:9" ht="15" customHeight="1" x14ac:dyDescent="0.35">
      <c r="A378" s="2">
        <v>45668</v>
      </c>
      <c r="B378" s="3">
        <f t="shared" si="25"/>
        <v>2025</v>
      </c>
      <c r="C378" s="3">
        <f t="shared" si="26"/>
        <v>1</v>
      </c>
      <c r="D378" s="3" t="str">
        <f t="shared" si="27"/>
        <v>Sat</v>
      </c>
      <c r="E378" s="3">
        <f t="shared" si="28"/>
        <v>0</v>
      </c>
      <c r="F378" s="3">
        <f t="shared" si="29"/>
        <v>1</v>
      </c>
      <c r="G378" s="3" t="str">
        <f t="array" ref="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3">
        <f>COUNTIF(Events!$A$2:$A$397,$A378)</f>
        <v>0</v>
      </c>
      <c r="I378" s="25" t="str">
        <f t="array" ref="I378">_xlfn.TEXTJOIN(" | ",TRUE(),IF(Events!$A$2:$A$397=$A378,Events!$E$2:$E$397&amp;IF(Events!$G$2:$G$397="National",""," ["&amp;Events!$G$2:$G$397&amp;"]"),""))</f>
        <v/>
      </c>
    </row>
    <row r="379" spans="1:9" ht="15" customHeight="1" x14ac:dyDescent="0.35">
      <c r="A379" s="2">
        <v>45669</v>
      </c>
      <c r="B379" s="3">
        <f t="shared" si="25"/>
        <v>2025</v>
      </c>
      <c r="C379" s="3">
        <f t="shared" si="26"/>
        <v>1</v>
      </c>
      <c r="D379" s="3" t="str">
        <f t="shared" si="27"/>
        <v>Sun</v>
      </c>
      <c r="E379" s="3">
        <f t="shared" si="28"/>
        <v>0</v>
      </c>
      <c r="F379" s="3">
        <f t="shared" si="29"/>
        <v>1</v>
      </c>
      <c r="G379" s="3" t="str">
        <f t="array" ref="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3">
        <f>COUNTIF(Events!$A$2:$A$397,$A379)</f>
        <v>0</v>
      </c>
      <c r="I379" s="25" t="str">
        <f t="array" ref="I379">_xlfn.TEXTJOIN(" | ",TRUE(),IF(Events!$A$2:$A$397=$A379,Events!$E$2:$E$397&amp;IF(Events!$G$2:$G$397="National",""," ["&amp;Events!$G$2:$G$397&amp;"]"),""))</f>
        <v/>
      </c>
    </row>
    <row r="380" spans="1:9" ht="15" customHeight="1" x14ac:dyDescent="0.35">
      <c r="A380" s="2">
        <v>45670</v>
      </c>
      <c r="B380" s="3">
        <f t="shared" si="25"/>
        <v>2025</v>
      </c>
      <c r="C380" s="3">
        <f t="shared" si="26"/>
        <v>1</v>
      </c>
      <c r="D380" s="3" t="str">
        <f t="shared" si="27"/>
        <v>Mon</v>
      </c>
      <c r="E380" s="3">
        <f t="shared" si="28"/>
        <v>0</v>
      </c>
      <c r="F380" s="3">
        <f t="shared" si="29"/>
        <v>1</v>
      </c>
      <c r="G380" s="3" t="str">
        <f t="array" ref="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3">
        <f>COUNTIF(Events!$A$2:$A$397,$A380)</f>
        <v>0</v>
      </c>
      <c r="I380" s="25" t="str">
        <f t="array" ref="I380">_xlfn.TEXTJOIN(" | ",TRUE(),IF(Events!$A$2:$A$397=$A380,Events!$E$2:$E$397&amp;IF(Events!$G$2:$G$397="National",""," ["&amp;Events!$G$2:$G$397&amp;"]"),""))</f>
        <v/>
      </c>
    </row>
    <row r="381" spans="1:9" ht="15" customHeight="1" x14ac:dyDescent="0.35">
      <c r="A381" s="2">
        <v>45671</v>
      </c>
      <c r="B381" s="3">
        <f t="shared" si="25"/>
        <v>2025</v>
      </c>
      <c r="C381" s="3">
        <f t="shared" si="26"/>
        <v>1</v>
      </c>
      <c r="D381" s="3" t="str">
        <f t="shared" si="27"/>
        <v>Tue</v>
      </c>
      <c r="E381" s="3">
        <f t="shared" si="28"/>
        <v>0</v>
      </c>
      <c r="F381" s="3">
        <f t="shared" si="29"/>
        <v>1</v>
      </c>
      <c r="G381" s="3" t="str">
        <f t="array" ref="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3">
        <f>COUNTIF(Events!$A$2:$A$397,$A381)</f>
        <v>0</v>
      </c>
      <c r="I381" s="25" t="str">
        <f t="array" ref="I381">_xlfn.TEXTJOIN(" | ",TRUE(),IF(Events!$A$2:$A$397=$A381,Events!$E$2:$E$397&amp;IF(Events!$G$2:$G$397="National",""," ["&amp;Events!$G$2:$G$397&amp;"]"),""))</f>
        <v/>
      </c>
    </row>
    <row r="382" spans="1:9" ht="15" customHeight="1" x14ac:dyDescent="0.35">
      <c r="A382" s="2">
        <v>45672</v>
      </c>
      <c r="B382" s="3">
        <f t="shared" si="25"/>
        <v>2025</v>
      </c>
      <c r="C382" s="3">
        <f t="shared" si="26"/>
        <v>1</v>
      </c>
      <c r="D382" s="3" t="str">
        <f t="shared" si="27"/>
        <v>Wed</v>
      </c>
      <c r="E382" s="3">
        <f t="shared" si="28"/>
        <v>0</v>
      </c>
      <c r="F382" s="3">
        <f t="shared" si="29"/>
        <v>1</v>
      </c>
      <c r="G382" s="3" t="str">
        <f t="array" ref="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3">
        <f>COUNTIF(Events!$A$2:$A$397,$A382)</f>
        <v>0</v>
      </c>
      <c r="I382" s="25" t="str">
        <f t="array" ref="I382">_xlfn.TEXTJOIN(" | ",TRUE(),IF(Events!$A$2:$A$397=$A382,Events!$E$2:$E$397&amp;IF(Events!$G$2:$G$397="National",""," ["&amp;Events!$G$2:$G$397&amp;"]"),""))</f>
        <v/>
      </c>
    </row>
    <row r="383" spans="1:9" ht="15" customHeight="1" x14ac:dyDescent="0.35">
      <c r="A383" s="2">
        <v>45673</v>
      </c>
      <c r="B383" s="3">
        <f t="shared" si="25"/>
        <v>2025</v>
      </c>
      <c r="C383" s="3">
        <f t="shared" si="26"/>
        <v>1</v>
      </c>
      <c r="D383" s="3" t="str">
        <f t="shared" si="27"/>
        <v>Thu</v>
      </c>
      <c r="E383" s="3">
        <f t="shared" si="28"/>
        <v>0</v>
      </c>
      <c r="F383" s="3">
        <f t="shared" si="29"/>
        <v>1</v>
      </c>
      <c r="G383" s="3" t="str">
        <f t="array" ref="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3">
        <f>COUNTIF(Events!$A$2:$A$397,$A383)</f>
        <v>0</v>
      </c>
      <c r="I383" s="25" t="str">
        <f t="array" ref="I383">_xlfn.TEXTJOIN(" | ",TRUE(),IF(Events!$A$2:$A$397=$A383,Events!$E$2:$E$397&amp;IF(Events!$G$2:$G$397="National",""," ["&amp;Events!$G$2:$G$397&amp;"]"),""))</f>
        <v/>
      </c>
    </row>
    <row r="384" spans="1:9" ht="15" customHeight="1" x14ac:dyDescent="0.35">
      <c r="A384" s="2">
        <v>45674</v>
      </c>
      <c r="B384" s="3">
        <f t="shared" si="25"/>
        <v>2025</v>
      </c>
      <c r="C384" s="3">
        <f t="shared" si="26"/>
        <v>1</v>
      </c>
      <c r="D384" s="3" t="str">
        <f t="shared" si="27"/>
        <v>Fri</v>
      </c>
      <c r="E384" s="3">
        <f t="shared" si="28"/>
        <v>0</v>
      </c>
      <c r="F384" s="3">
        <f t="shared" si="29"/>
        <v>1</v>
      </c>
      <c r="G384" s="3" t="str">
        <f t="array" ref="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3">
        <f>COUNTIF(Events!$A$2:$A$397,$A384)</f>
        <v>1</v>
      </c>
      <c r="I384" s="25" t="str">
        <f t="array" ref="I384">_xlfn.TEXTJOIN(" | ",TRUE(),IF(Events!$A$2:$A$397=$A384,Events!$E$2:$E$397&amp;IF(Events!$G$2:$G$397="National",""," ["&amp;Events!$G$2:$G$397&amp;"]"),""))</f>
        <v>CMS announces 15 additional Part D drugs selected for negotiation round 2 (effective 1/1/2027)</v>
      </c>
    </row>
    <row r="385" spans="1:9" ht="15" customHeight="1" x14ac:dyDescent="0.35">
      <c r="A385" s="2">
        <v>45675</v>
      </c>
      <c r="B385" s="3">
        <f t="shared" si="25"/>
        <v>2025</v>
      </c>
      <c r="C385" s="3">
        <f t="shared" si="26"/>
        <v>1</v>
      </c>
      <c r="D385" s="3" t="str">
        <f t="shared" si="27"/>
        <v>Sat</v>
      </c>
      <c r="E385" s="3">
        <f t="shared" si="28"/>
        <v>0</v>
      </c>
      <c r="F385" s="3">
        <f t="shared" si="29"/>
        <v>1</v>
      </c>
      <c r="G385" s="3" t="str">
        <f t="array" ref="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3">
        <f>COUNTIF(Events!$A$2:$A$397,$A385)</f>
        <v>0</v>
      </c>
      <c r="I385" s="25" t="str">
        <f t="array" ref="I385">_xlfn.TEXTJOIN(" | ",TRUE(),IF(Events!$A$2:$A$397=$A385,Events!$E$2:$E$397&amp;IF(Events!$G$2:$G$397="National",""," ["&amp;Events!$G$2:$G$397&amp;"]"),""))</f>
        <v/>
      </c>
    </row>
    <row r="386" spans="1:9" ht="15" customHeight="1" x14ac:dyDescent="0.35">
      <c r="A386" s="2">
        <v>45676</v>
      </c>
      <c r="B386" s="3">
        <f t="shared" ref="B386:B449" si="30">YEAR($A386)</f>
        <v>2025</v>
      </c>
      <c r="C386" s="3">
        <f t="shared" ref="C386:C449" si="31">MONTH($A386)</f>
        <v>1</v>
      </c>
      <c r="D386" s="3" t="str">
        <f t="shared" ref="D386:D449" si="32">TEXT($A386,"ddd")</f>
        <v>Sun</v>
      </c>
      <c r="E386" s="3">
        <f t="shared" ref="E386:E449" si="33">IF(OR(AND(MONTH($A386)=10,DAY($A386)&gt;=15),MONTH($A386)=11,AND(MONTH($A386)=12,DAY($A386)&lt;=7)),1,0)</f>
        <v>0</v>
      </c>
      <c r="F386" s="3">
        <f t="shared" ref="F386:F449" si="34">IF(MONTH($A386)&lt;=3,1,0)</f>
        <v>1</v>
      </c>
      <c r="G386" s="3" t="str">
        <f t="array" ref="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3">
        <f>COUNTIF(Events!$A$2:$A$397,$A386)</f>
        <v>0</v>
      </c>
      <c r="I386" s="25" t="str">
        <f t="array" ref="I386">_xlfn.TEXTJOIN(" | ",TRUE(),IF(Events!$A$2:$A$397=$A386,Events!$E$2:$E$397&amp;IF(Events!$G$2:$G$397="National",""," ["&amp;Events!$G$2:$G$397&amp;"]"),""))</f>
        <v/>
      </c>
    </row>
    <row r="387" spans="1:9" ht="15" customHeight="1" x14ac:dyDescent="0.35">
      <c r="A387" s="2">
        <v>45677</v>
      </c>
      <c r="B387" s="3">
        <f t="shared" si="30"/>
        <v>2025</v>
      </c>
      <c r="C387" s="3">
        <f t="shared" si="31"/>
        <v>1</v>
      </c>
      <c r="D387" s="3" t="str">
        <f t="shared" si="32"/>
        <v>Mon</v>
      </c>
      <c r="E387" s="3">
        <f t="shared" si="33"/>
        <v>0</v>
      </c>
      <c r="F387" s="3">
        <f t="shared" si="34"/>
        <v>1</v>
      </c>
      <c r="G387" s="3" t="str">
        <f t="array" ref="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3">
        <f>COUNTIF(Events!$A$2:$A$397,$A387)</f>
        <v>0</v>
      </c>
      <c r="I387" s="25" t="str">
        <f t="array" ref="I387">_xlfn.TEXTJOIN(" | ",TRUE(),IF(Events!$A$2:$A$397=$A387,Events!$E$2:$E$397&amp;IF(Events!$G$2:$G$397="National",""," ["&amp;Events!$G$2:$G$397&amp;"]"),""))</f>
        <v/>
      </c>
    </row>
    <row r="388" spans="1:9" ht="15" customHeight="1" x14ac:dyDescent="0.35">
      <c r="A388" s="2">
        <v>45678</v>
      </c>
      <c r="B388" s="3">
        <f t="shared" si="30"/>
        <v>2025</v>
      </c>
      <c r="C388" s="3">
        <f t="shared" si="31"/>
        <v>1</v>
      </c>
      <c r="D388" s="3" t="str">
        <f t="shared" si="32"/>
        <v>Tue</v>
      </c>
      <c r="E388" s="3">
        <f t="shared" si="33"/>
        <v>0</v>
      </c>
      <c r="F388" s="3">
        <f t="shared" si="34"/>
        <v>1</v>
      </c>
      <c r="G388" s="3" t="str">
        <f t="array" ref="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3">
        <f>COUNTIF(Events!$A$2:$A$397,$A388)</f>
        <v>0</v>
      </c>
      <c r="I388" s="25" t="str">
        <f t="array" ref="I388">_xlfn.TEXTJOIN(" | ",TRUE(),IF(Events!$A$2:$A$397=$A388,Events!$E$2:$E$397&amp;IF(Events!$G$2:$G$397="National",""," ["&amp;Events!$G$2:$G$397&amp;"]"),""))</f>
        <v/>
      </c>
    </row>
    <row r="389" spans="1:9" ht="15" customHeight="1" x14ac:dyDescent="0.35">
      <c r="A389" s="2">
        <v>45679</v>
      </c>
      <c r="B389" s="3">
        <f t="shared" si="30"/>
        <v>2025</v>
      </c>
      <c r="C389" s="3">
        <f t="shared" si="31"/>
        <v>1</v>
      </c>
      <c r="D389" s="3" t="str">
        <f t="shared" si="32"/>
        <v>Wed</v>
      </c>
      <c r="E389" s="3">
        <f t="shared" si="33"/>
        <v>0</v>
      </c>
      <c r="F389" s="3">
        <f t="shared" si="34"/>
        <v>1</v>
      </c>
      <c r="G389" s="3" t="str">
        <f t="array" ref="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3">
        <f>COUNTIF(Events!$A$2:$A$397,$A389)</f>
        <v>0</v>
      </c>
      <c r="I389" s="25" t="str">
        <f t="array" ref="I389">_xlfn.TEXTJOIN(" | ",TRUE(),IF(Events!$A$2:$A$397=$A389,Events!$E$2:$E$397&amp;IF(Events!$G$2:$G$397="National",""," ["&amp;Events!$G$2:$G$397&amp;"]"),""))</f>
        <v/>
      </c>
    </row>
    <row r="390" spans="1:9" ht="15" customHeight="1" x14ac:dyDescent="0.35">
      <c r="A390" s="2">
        <v>45680</v>
      </c>
      <c r="B390" s="3">
        <f t="shared" si="30"/>
        <v>2025</v>
      </c>
      <c r="C390" s="3">
        <f t="shared" si="31"/>
        <v>1</v>
      </c>
      <c r="D390" s="3" t="str">
        <f t="shared" si="32"/>
        <v>Thu</v>
      </c>
      <c r="E390" s="3">
        <f t="shared" si="33"/>
        <v>0</v>
      </c>
      <c r="F390" s="3">
        <f t="shared" si="34"/>
        <v>1</v>
      </c>
      <c r="G390" s="3" t="str">
        <f t="array" ref="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3">
        <f>COUNTIF(Events!$A$2:$A$397,$A390)</f>
        <v>0</v>
      </c>
      <c r="I390" s="25" t="str">
        <f t="array" ref="I390">_xlfn.TEXTJOIN(" | ",TRUE(),IF(Events!$A$2:$A$397=$A390,Events!$E$2:$E$397&amp;IF(Events!$G$2:$G$397="National",""," ["&amp;Events!$G$2:$G$397&amp;"]"),""))</f>
        <v/>
      </c>
    </row>
    <row r="391" spans="1:9" ht="15" customHeight="1" x14ac:dyDescent="0.35">
      <c r="A391" s="2">
        <v>45681</v>
      </c>
      <c r="B391" s="3">
        <f t="shared" si="30"/>
        <v>2025</v>
      </c>
      <c r="C391" s="3">
        <f t="shared" si="31"/>
        <v>1</v>
      </c>
      <c r="D391" s="3" t="str">
        <f t="shared" si="32"/>
        <v>Fri</v>
      </c>
      <c r="E391" s="3">
        <f t="shared" si="33"/>
        <v>0</v>
      </c>
      <c r="F391" s="3">
        <f t="shared" si="34"/>
        <v>1</v>
      </c>
      <c r="G391" s="3" t="str">
        <f t="array" ref="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3">
        <f>COUNTIF(Events!$A$2:$A$397,$A391)</f>
        <v>0</v>
      </c>
      <c r="I391" s="25" t="str">
        <f t="array" ref="I391">_xlfn.TEXTJOIN(" | ",TRUE(),IF(Events!$A$2:$A$397=$A391,Events!$E$2:$E$397&amp;IF(Events!$G$2:$G$397="National",""," ["&amp;Events!$G$2:$G$397&amp;"]"),""))</f>
        <v/>
      </c>
    </row>
    <row r="392" spans="1:9" ht="15" customHeight="1" x14ac:dyDescent="0.35">
      <c r="A392" s="2">
        <v>45682</v>
      </c>
      <c r="B392" s="3">
        <f t="shared" si="30"/>
        <v>2025</v>
      </c>
      <c r="C392" s="3">
        <f t="shared" si="31"/>
        <v>1</v>
      </c>
      <c r="D392" s="3" t="str">
        <f t="shared" si="32"/>
        <v>Sat</v>
      </c>
      <c r="E392" s="3">
        <f t="shared" si="33"/>
        <v>0</v>
      </c>
      <c r="F392" s="3">
        <f t="shared" si="34"/>
        <v>1</v>
      </c>
      <c r="G392" s="3" t="str">
        <f t="array" ref="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3">
        <f>COUNTIF(Events!$A$2:$A$397,$A392)</f>
        <v>0</v>
      </c>
      <c r="I392" s="25" t="str">
        <f t="array" ref="I392">_xlfn.TEXTJOIN(" | ",TRUE(),IF(Events!$A$2:$A$397=$A392,Events!$E$2:$E$397&amp;IF(Events!$G$2:$G$397="National",""," ["&amp;Events!$G$2:$G$397&amp;"]"),""))</f>
        <v/>
      </c>
    </row>
    <row r="393" spans="1:9" ht="15" customHeight="1" x14ac:dyDescent="0.35">
      <c r="A393" s="2">
        <v>45683</v>
      </c>
      <c r="B393" s="3">
        <f t="shared" si="30"/>
        <v>2025</v>
      </c>
      <c r="C393" s="3">
        <f t="shared" si="31"/>
        <v>1</v>
      </c>
      <c r="D393" s="3" t="str">
        <f t="shared" si="32"/>
        <v>Sun</v>
      </c>
      <c r="E393" s="3">
        <f t="shared" si="33"/>
        <v>0</v>
      </c>
      <c r="F393" s="3">
        <f t="shared" si="34"/>
        <v>1</v>
      </c>
      <c r="G393" s="3" t="str">
        <f t="array" ref="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3">
        <f>COUNTIF(Events!$A$2:$A$397,$A393)</f>
        <v>0</v>
      </c>
      <c r="I393" s="25" t="str">
        <f t="array" ref="I393">_xlfn.TEXTJOIN(" | ",TRUE(),IF(Events!$A$2:$A$397=$A393,Events!$E$2:$E$397&amp;IF(Events!$G$2:$G$397="National",""," ["&amp;Events!$G$2:$G$397&amp;"]"),""))</f>
        <v/>
      </c>
    </row>
    <row r="394" spans="1:9" ht="15" customHeight="1" x14ac:dyDescent="0.35">
      <c r="A394" s="2">
        <v>45684</v>
      </c>
      <c r="B394" s="3">
        <f t="shared" si="30"/>
        <v>2025</v>
      </c>
      <c r="C394" s="3">
        <f t="shared" si="31"/>
        <v>1</v>
      </c>
      <c r="D394" s="3" t="str">
        <f t="shared" si="32"/>
        <v>Mon</v>
      </c>
      <c r="E394" s="3">
        <f t="shared" si="33"/>
        <v>0</v>
      </c>
      <c r="F394" s="3">
        <f t="shared" si="34"/>
        <v>1</v>
      </c>
      <c r="G394" s="3" t="str">
        <f t="array" ref="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3">
        <f>COUNTIF(Events!$A$2:$A$397,$A394)</f>
        <v>0</v>
      </c>
      <c r="I394" s="25" t="str">
        <f t="array" ref="I394">_xlfn.TEXTJOIN(" | ",TRUE(),IF(Events!$A$2:$A$397=$A394,Events!$E$2:$E$397&amp;IF(Events!$G$2:$G$397="National",""," ["&amp;Events!$G$2:$G$397&amp;"]"),""))</f>
        <v/>
      </c>
    </row>
    <row r="395" spans="1:9" ht="15" customHeight="1" x14ac:dyDescent="0.35">
      <c r="A395" s="2">
        <v>45685</v>
      </c>
      <c r="B395" s="3">
        <f t="shared" si="30"/>
        <v>2025</v>
      </c>
      <c r="C395" s="3">
        <f t="shared" si="31"/>
        <v>1</v>
      </c>
      <c r="D395" s="3" t="str">
        <f t="shared" si="32"/>
        <v>Tue</v>
      </c>
      <c r="E395" s="3">
        <f t="shared" si="33"/>
        <v>0</v>
      </c>
      <c r="F395" s="3">
        <f t="shared" si="34"/>
        <v>1</v>
      </c>
      <c r="G395" s="3" t="str">
        <f t="array" ref="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3">
        <f>COUNTIF(Events!$A$2:$A$397,$A395)</f>
        <v>0</v>
      </c>
      <c r="I395" s="25" t="str">
        <f t="array" ref="I395">_xlfn.TEXTJOIN(" | ",TRUE(),IF(Events!$A$2:$A$397=$A395,Events!$E$2:$E$397&amp;IF(Events!$G$2:$G$397="National",""," ["&amp;Events!$G$2:$G$397&amp;"]"),""))</f>
        <v/>
      </c>
    </row>
    <row r="396" spans="1:9" ht="15" customHeight="1" x14ac:dyDescent="0.35">
      <c r="A396" s="2">
        <v>45686</v>
      </c>
      <c r="B396" s="3">
        <f t="shared" si="30"/>
        <v>2025</v>
      </c>
      <c r="C396" s="3">
        <f t="shared" si="31"/>
        <v>1</v>
      </c>
      <c r="D396" s="3" t="str">
        <f t="shared" si="32"/>
        <v>Wed</v>
      </c>
      <c r="E396" s="3">
        <f t="shared" si="33"/>
        <v>0</v>
      </c>
      <c r="F396" s="3">
        <f t="shared" si="34"/>
        <v>1</v>
      </c>
      <c r="G396" s="3" t="str">
        <f t="array" ref="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
      </c>
      <c r="H396" s="3">
        <f>COUNTIF(Events!$A$2:$A$397,$A396)</f>
        <v>0</v>
      </c>
      <c r="I396" s="25" t="str">
        <f t="array" ref="I396">_xlfn.TEXTJOIN(" | ",TRUE(),IF(Events!$A$2:$A$397=$A396,Events!$E$2:$E$397&amp;IF(Events!$G$2:$G$397="National",""," ["&amp;Events!$G$2:$G$397&amp;"]"),""))</f>
        <v/>
      </c>
    </row>
    <row r="397" spans="1:9" ht="15" customHeight="1" x14ac:dyDescent="0.35">
      <c r="A397" s="2">
        <v>45687</v>
      </c>
      <c r="B397" s="3">
        <f t="shared" si="30"/>
        <v>2025</v>
      </c>
      <c r="C397" s="3">
        <f t="shared" si="31"/>
        <v>1</v>
      </c>
      <c r="D397" s="3" t="str">
        <f t="shared" si="32"/>
        <v>Thu</v>
      </c>
      <c r="E397" s="3">
        <f t="shared" si="33"/>
        <v>0</v>
      </c>
      <c r="F397" s="3">
        <f t="shared" si="34"/>
        <v>1</v>
      </c>
      <c r="G397" s="3" t="str">
        <f t="array" ref="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3">
        <f>COUNTIF(Events!$A$2:$A$397,$A397)</f>
        <v>0</v>
      </c>
      <c r="I397" s="25" t="str">
        <f t="array" ref="I397">_xlfn.TEXTJOIN(" | ",TRUE(),IF(Events!$A$2:$A$397=$A397,Events!$E$2:$E$397&amp;IF(Events!$G$2:$G$397="National",""," ["&amp;Events!$G$2:$G$397&amp;"]"),""))</f>
        <v/>
      </c>
    </row>
    <row r="398" spans="1:9" ht="15" customHeight="1" x14ac:dyDescent="0.35">
      <c r="A398" s="2">
        <v>45688</v>
      </c>
      <c r="B398" s="3">
        <f t="shared" si="30"/>
        <v>2025</v>
      </c>
      <c r="C398" s="3">
        <f t="shared" si="31"/>
        <v>1</v>
      </c>
      <c r="D398" s="3" t="str">
        <f t="shared" si="32"/>
        <v>Fri</v>
      </c>
      <c r="E398" s="3">
        <f t="shared" si="33"/>
        <v>0</v>
      </c>
      <c r="F398" s="3">
        <f t="shared" si="34"/>
        <v>1</v>
      </c>
      <c r="G398" s="3" t="str">
        <f t="array" ref="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 | 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8" s="3">
        <f>COUNTIF(Events!$A$2:$A$397,$A398)</f>
        <v>0</v>
      </c>
      <c r="I398" s="25" t="str">
        <f t="array" ref="I398">_xlfn.TEXTJOIN(" | ",TRUE(),IF(Events!$A$2:$A$397=$A398,Events!$E$2:$E$397&amp;IF(Events!$G$2:$G$397="National",""," ["&amp;Events!$G$2:$G$397&amp;"]"),""))</f>
        <v/>
      </c>
    </row>
    <row r="399" spans="1:9" ht="15" customHeight="1" x14ac:dyDescent="0.35">
      <c r="A399" s="2">
        <v>45689</v>
      </c>
      <c r="B399" s="3">
        <f t="shared" si="30"/>
        <v>2025</v>
      </c>
      <c r="C399" s="3">
        <f t="shared" si="31"/>
        <v>2</v>
      </c>
      <c r="D399" s="3" t="str">
        <f t="shared" si="32"/>
        <v>Sat</v>
      </c>
      <c r="E399" s="3">
        <f t="shared" si="33"/>
        <v>0</v>
      </c>
      <c r="F399" s="3">
        <f t="shared" si="34"/>
        <v>1</v>
      </c>
      <c r="G399" s="3" t="str">
        <f t="array" ref="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3">
        <f>COUNTIF(Events!$A$2:$A$397,$A399)</f>
        <v>0</v>
      </c>
      <c r="I399" s="25" t="str">
        <f t="array" ref="I399">_xlfn.TEXTJOIN(" | ",TRUE(),IF(Events!$A$2:$A$397=$A399,Events!$E$2:$E$397&amp;IF(Events!$G$2:$G$397="National",""," ["&amp;Events!$G$2:$G$397&amp;"]"),""))</f>
        <v/>
      </c>
    </row>
    <row r="400" spans="1:9" ht="15" customHeight="1" x14ac:dyDescent="0.35">
      <c r="A400" s="2">
        <v>45690</v>
      </c>
      <c r="B400" s="3">
        <f t="shared" si="30"/>
        <v>2025</v>
      </c>
      <c r="C400" s="3">
        <f t="shared" si="31"/>
        <v>2</v>
      </c>
      <c r="D400" s="3" t="str">
        <f t="shared" si="32"/>
        <v>Sun</v>
      </c>
      <c r="E400" s="3">
        <f t="shared" si="33"/>
        <v>0</v>
      </c>
      <c r="F400" s="3">
        <f t="shared" si="34"/>
        <v>1</v>
      </c>
      <c r="G400" s="3" t="str">
        <f t="array" ref="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3">
        <f>COUNTIF(Events!$A$2:$A$397,$A400)</f>
        <v>0</v>
      </c>
      <c r="I400" s="25" t="str">
        <f t="array" ref="I400">_xlfn.TEXTJOIN(" | ",TRUE(),IF(Events!$A$2:$A$397=$A400,Events!$E$2:$E$397&amp;IF(Events!$G$2:$G$397="National",""," ["&amp;Events!$G$2:$G$397&amp;"]"),""))</f>
        <v/>
      </c>
    </row>
    <row r="401" spans="1:9" ht="15" customHeight="1" x14ac:dyDescent="0.35">
      <c r="A401" s="2">
        <v>45691</v>
      </c>
      <c r="B401" s="3">
        <f t="shared" si="30"/>
        <v>2025</v>
      </c>
      <c r="C401" s="3">
        <f t="shared" si="31"/>
        <v>2</v>
      </c>
      <c r="D401" s="3" t="str">
        <f t="shared" si="32"/>
        <v>Mon</v>
      </c>
      <c r="E401" s="3">
        <f t="shared" si="33"/>
        <v>0</v>
      </c>
      <c r="F401" s="3">
        <f t="shared" si="34"/>
        <v>1</v>
      </c>
      <c r="G401" s="3" t="str">
        <f t="array" ref="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3">
        <f>COUNTIF(Events!$A$2:$A$397,$A401)</f>
        <v>0</v>
      </c>
      <c r="I401" s="25" t="str">
        <f t="array" ref="I401">_xlfn.TEXTJOIN(" | ",TRUE(),IF(Events!$A$2:$A$397=$A401,Events!$E$2:$E$397&amp;IF(Events!$G$2:$G$397="National",""," ["&amp;Events!$G$2:$G$397&amp;"]"),""))</f>
        <v/>
      </c>
    </row>
    <row r="402" spans="1:9" ht="15" customHeight="1" x14ac:dyDescent="0.35">
      <c r="A402" s="2">
        <v>45692</v>
      </c>
      <c r="B402" s="3">
        <f t="shared" si="30"/>
        <v>2025</v>
      </c>
      <c r="C402" s="3">
        <f t="shared" si="31"/>
        <v>2</v>
      </c>
      <c r="D402" s="3" t="str">
        <f t="shared" si="32"/>
        <v>Tue</v>
      </c>
      <c r="E402" s="3">
        <f t="shared" si="33"/>
        <v>0</v>
      </c>
      <c r="F402" s="3">
        <f t="shared" si="34"/>
        <v>1</v>
      </c>
      <c r="G402" s="3" t="str">
        <f t="array" ref="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3">
        <f>COUNTIF(Events!$A$2:$A$397,$A402)</f>
        <v>0</v>
      </c>
      <c r="I402" s="25" t="str">
        <f t="array" ref="I402">_xlfn.TEXTJOIN(" | ",TRUE(),IF(Events!$A$2:$A$397=$A402,Events!$E$2:$E$397&amp;IF(Events!$G$2:$G$397="National",""," ["&amp;Events!$G$2:$G$397&amp;"]"),""))</f>
        <v/>
      </c>
    </row>
    <row r="403" spans="1:9" ht="15" customHeight="1" x14ac:dyDescent="0.35">
      <c r="A403" s="2">
        <v>45693</v>
      </c>
      <c r="B403" s="3">
        <f t="shared" si="30"/>
        <v>2025</v>
      </c>
      <c r="C403" s="3">
        <f t="shared" si="31"/>
        <v>2</v>
      </c>
      <c r="D403" s="3" t="str">
        <f t="shared" si="32"/>
        <v>Wed</v>
      </c>
      <c r="E403" s="3">
        <f t="shared" si="33"/>
        <v>0</v>
      </c>
      <c r="F403" s="3">
        <f t="shared" si="34"/>
        <v>1</v>
      </c>
      <c r="G403" s="3" t="str">
        <f t="array" ref="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3">
        <f>COUNTIF(Events!$A$2:$A$397,$A403)</f>
        <v>0</v>
      </c>
      <c r="I403" s="25" t="str">
        <f t="array" ref="I403">_xlfn.TEXTJOIN(" | ",TRUE(),IF(Events!$A$2:$A$397=$A403,Events!$E$2:$E$397&amp;IF(Events!$G$2:$G$397="National",""," ["&amp;Events!$G$2:$G$397&amp;"]"),""))</f>
        <v/>
      </c>
    </row>
    <row r="404" spans="1:9" ht="15" customHeight="1" x14ac:dyDescent="0.35">
      <c r="A404" s="2">
        <v>45694</v>
      </c>
      <c r="B404" s="3">
        <f t="shared" si="30"/>
        <v>2025</v>
      </c>
      <c r="C404" s="3">
        <f t="shared" si="31"/>
        <v>2</v>
      </c>
      <c r="D404" s="3" t="str">
        <f t="shared" si="32"/>
        <v>Thu</v>
      </c>
      <c r="E404" s="3">
        <f t="shared" si="33"/>
        <v>0</v>
      </c>
      <c r="F404" s="3">
        <f t="shared" si="34"/>
        <v>1</v>
      </c>
      <c r="G404" s="3" t="str">
        <f t="array" ref="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3">
        <f>COUNTIF(Events!$A$2:$A$397,$A404)</f>
        <v>0</v>
      </c>
      <c r="I404" s="25" t="str">
        <f t="array" ref="I404">_xlfn.TEXTJOIN(" | ",TRUE(),IF(Events!$A$2:$A$397=$A404,Events!$E$2:$E$397&amp;IF(Events!$G$2:$G$397="National",""," ["&amp;Events!$G$2:$G$397&amp;"]"),""))</f>
        <v/>
      </c>
    </row>
    <row r="405" spans="1:9" ht="15" customHeight="1" x14ac:dyDescent="0.35">
      <c r="A405" s="2">
        <v>45695</v>
      </c>
      <c r="B405" s="3">
        <f t="shared" si="30"/>
        <v>2025</v>
      </c>
      <c r="C405" s="3">
        <f t="shared" si="31"/>
        <v>2</v>
      </c>
      <c r="D405" s="3" t="str">
        <f t="shared" si="32"/>
        <v>Fri</v>
      </c>
      <c r="E405" s="3">
        <f t="shared" si="33"/>
        <v>0</v>
      </c>
      <c r="F405" s="3">
        <f t="shared" si="34"/>
        <v>1</v>
      </c>
      <c r="G405" s="3" t="str">
        <f t="array" ref="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3">
        <f>COUNTIF(Events!$A$2:$A$397,$A405)</f>
        <v>0</v>
      </c>
      <c r="I405" s="25" t="str">
        <f t="array" ref="I405">_xlfn.TEXTJOIN(" | ",TRUE(),IF(Events!$A$2:$A$397=$A405,Events!$E$2:$E$397&amp;IF(Events!$G$2:$G$397="National",""," ["&amp;Events!$G$2:$G$397&amp;"]"),""))</f>
        <v/>
      </c>
    </row>
    <row r="406" spans="1:9" ht="15" customHeight="1" x14ac:dyDescent="0.35">
      <c r="A406" s="2">
        <v>45696</v>
      </c>
      <c r="B406" s="3">
        <f t="shared" si="30"/>
        <v>2025</v>
      </c>
      <c r="C406" s="3">
        <f t="shared" si="31"/>
        <v>2</v>
      </c>
      <c r="D406" s="3" t="str">
        <f t="shared" si="32"/>
        <v>Sat</v>
      </c>
      <c r="E406" s="3">
        <f t="shared" si="33"/>
        <v>0</v>
      </c>
      <c r="F406" s="3">
        <f t="shared" si="34"/>
        <v>1</v>
      </c>
      <c r="G406" s="3" t="str">
        <f t="array" ref="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3">
        <f>COUNTIF(Events!$A$2:$A$397,$A406)</f>
        <v>0</v>
      </c>
      <c r="I406" s="25" t="str">
        <f t="array" ref="I406">_xlfn.TEXTJOIN(" | ",TRUE(),IF(Events!$A$2:$A$397=$A406,Events!$E$2:$E$397&amp;IF(Events!$G$2:$G$397="National",""," ["&amp;Events!$G$2:$G$397&amp;"]"),""))</f>
        <v/>
      </c>
    </row>
    <row r="407" spans="1:9" ht="15" customHeight="1" x14ac:dyDescent="0.35">
      <c r="A407" s="2">
        <v>45697</v>
      </c>
      <c r="B407" s="3">
        <f t="shared" si="30"/>
        <v>2025</v>
      </c>
      <c r="C407" s="3">
        <f t="shared" si="31"/>
        <v>2</v>
      </c>
      <c r="D407" s="3" t="str">
        <f t="shared" si="32"/>
        <v>Sun</v>
      </c>
      <c r="E407" s="3">
        <f t="shared" si="33"/>
        <v>0</v>
      </c>
      <c r="F407" s="3">
        <f t="shared" si="34"/>
        <v>1</v>
      </c>
      <c r="G407" s="3" t="str">
        <f t="array" ref="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3">
        <f>COUNTIF(Events!$A$2:$A$397,$A407)</f>
        <v>0</v>
      </c>
      <c r="I407" s="25" t="str">
        <f t="array" ref="I407">_xlfn.TEXTJOIN(" | ",TRUE(),IF(Events!$A$2:$A$397=$A407,Events!$E$2:$E$397&amp;IF(Events!$G$2:$G$397="National",""," ["&amp;Events!$G$2:$G$397&amp;"]"),""))</f>
        <v/>
      </c>
    </row>
    <row r="408" spans="1:9" ht="15" customHeight="1" x14ac:dyDescent="0.35">
      <c r="A408" s="2">
        <v>45698</v>
      </c>
      <c r="B408" s="3">
        <f t="shared" si="30"/>
        <v>2025</v>
      </c>
      <c r="C408" s="3">
        <f t="shared" si="31"/>
        <v>2</v>
      </c>
      <c r="D408" s="3" t="str">
        <f t="shared" si="32"/>
        <v>Mon</v>
      </c>
      <c r="E408" s="3">
        <f t="shared" si="33"/>
        <v>0</v>
      </c>
      <c r="F408" s="3">
        <f t="shared" si="34"/>
        <v>1</v>
      </c>
      <c r="G408" s="3" t="str">
        <f t="array" ref="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3">
        <f>COUNTIF(Events!$A$2:$A$397,$A408)</f>
        <v>0</v>
      </c>
      <c r="I408" s="25" t="str">
        <f t="array" ref="I408">_xlfn.TEXTJOIN(" | ",TRUE(),IF(Events!$A$2:$A$397=$A408,Events!$E$2:$E$397&amp;IF(Events!$G$2:$G$397="National",""," ["&amp;Events!$G$2:$G$397&amp;"]"),""))</f>
        <v/>
      </c>
    </row>
    <row r="409" spans="1:9" ht="15" customHeight="1" x14ac:dyDescent="0.35">
      <c r="A409" s="2">
        <v>45699</v>
      </c>
      <c r="B409" s="3">
        <f t="shared" si="30"/>
        <v>2025</v>
      </c>
      <c r="C409" s="3">
        <f t="shared" si="31"/>
        <v>2</v>
      </c>
      <c r="D409" s="3" t="str">
        <f t="shared" si="32"/>
        <v>Tue</v>
      </c>
      <c r="E409" s="3">
        <f t="shared" si="33"/>
        <v>0</v>
      </c>
      <c r="F409" s="3">
        <f t="shared" si="34"/>
        <v>1</v>
      </c>
      <c r="G409" s="3" t="str">
        <f t="array" ref="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3">
        <f>COUNTIF(Events!$A$2:$A$397,$A409)</f>
        <v>0</v>
      </c>
      <c r="I409" s="25" t="str">
        <f t="array" ref="I409">_xlfn.TEXTJOIN(" | ",TRUE(),IF(Events!$A$2:$A$397=$A409,Events!$E$2:$E$397&amp;IF(Events!$G$2:$G$397="National",""," ["&amp;Events!$G$2:$G$397&amp;"]"),""))</f>
        <v/>
      </c>
    </row>
    <row r="410" spans="1:9" ht="15" customHeight="1" x14ac:dyDescent="0.35">
      <c r="A410" s="2">
        <v>45700</v>
      </c>
      <c r="B410" s="3">
        <f t="shared" si="30"/>
        <v>2025</v>
      </c>
      <c r="C410" s="3">
        <f t="shared" si="31"/>
        <v>2</v>
      </c>
      <c r="D410" s="3" t="str">
        <f t="shared" si="32"/>
        <v>Wed</v>
      </c>
      <c r="E410" s="3">
        <f t="shared" si="33"/>
        <v>0</v>
      </c>
      <c r="F410" s="3">
        <f t="shared" si="34"/>
        <v>1</v>
      </c>
      <c r="G410" s="3" t="str">
        <f t="array" ref="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3">
        <f>COUNTIF(Events!$A$2:$A$397,$A410)</f>
        <v>0</v>
      </c>
      <c r="I410" s="25" t="str">
        <f t="array" ref="I410">_xlfn.TEXTJOIN(" | ",TRUE(),IF(Events!$A$2:$A$397=$A410,Events!$E$2:$E$397&amp;IF(Events!$G$2:$G$397="National",""," ["&amp;Events!$G$2:$G$397&amp;"]"),""))</f>
        <v/>
      </c>
    </row>
    <row r="411" spans="1:9" ht="15" customHeight="1" x14ac:dyDescent="0.35">
      <c r="A411" s="2">
        <v>45701</v>
      </c>
      <c r="B411" s="3">
        <f t="shared" si="30"/>
        <v>2025</v>
      </c>
      <c r="C411" s="3">
        <f t="shared" si="31"/>
        <v>2</v>
      </c>
      <c r="D411" s="3" t="str">
        <f t="shared" si="32"/>
        <v>Thu</v>
      </c>
      <c r="E411" s="3">
        <f t="shared" si="33"/>
        <v>0</v>
      </c>
      <c r="F411" s="3">
        <f t="shared" si="34"/>
        <v>1</v>
      </c>
      <c r="G411" s="3" t="str">
        <f t="array" ref="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3">
        <f>COUNTIF(Events!$A$2:$A$397,$A411)</f>
        <v>0</v>
      </c>
      <c r="I411" s="25" t="str">
        <f t="array" ref="I411">_xlfn.TEXTJOIN(" | ",TRUE(),IF(Events!$A$2:$A$397=$A411,Events!$E$2:$E$397&amp;IF(Events!$G$2:$G$397="National",""," ["&amp;Events!$G$2:$G$397&amp;"]"),""))</f>
        <v/>
      </c>
    </row>
    <row r="412" spans="1:9" ht="15" customHeight="1" x14ac:dyDescent="0.35">
      <c r="A412" s="2">
        <v>45702</v>
      </c>
      <c r="B412" s="3">
        <f t="shared" si="30"/>
        <v>2025</v>
      </c>
      <c r="C412" s="3">
        <f t="shared" si="31"/>
        <v>2</v>
      </c>
      <c r="D412" s="3" t="str">
        <f t="shared" si="32"/>
        <v>Fri</v>
      </c>
      <c r="E412" s="3">
        <f t="shared" si="33"/>
        <v>0</v>
      </c>
      <c r="F412" s="3">
        <f t="shared" si="34"/>
        <v>1</v>
      </c>
      <c r="G412" s="3" t="str">
        <f t="array" ref="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3">
        <f>COUNTIF(Events!$A$2:$A$397,$A412)</f>
        <v>0</v>
      </c>
      <c r="I412" s="25" t="str">
        <f t="array" ref="I412">_xlfn.TEXTJOIN(" | ",TRUE(),IF(Events!$A$2:$A$397=$A412,Events!$E$2:$E$397&amp;IF(Events!$G$2:$G$397="National",""," ["&amp;Events!$G$2:$G$397&amp;"]"),""))</f>
        <v/>
      </c>
    </row>
    <row r="413" spans="1:9" ht="15" customHeight="1" x14ac:dyDescent="0.35">
      <c r="A413" s="2">
        <v>45703</v>
      </c>
      <c r="B413" s="3">
        <f t="shared" si="30"/>
        <v>2025</v>
      </c>
      <c r="C413" s="3">
        <f t="shared" si="31"/>
        <v>2</v>
      </c>
      <c r="D413" s="3" t="str">
        <f t="shared" si="32"/>
        <v>Sat</v>
      </c>
      <c r="E413" s="3">
        <f t="shared" si="33"/>
        <v>0</v>
      </c>
      <c r="F413" s="3">
        <f t="shared" si="34"/>
        <v>1</v>
      </c>
      <c r="G413" s="3" t="str">
        <f t="array" ref="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3">
        <f>COUNTIF(Events!$A$2:$A$397,$A413)</f>
        <v>0</v>
      </c>
      <c r="I413" s="25" t="str">
        <f t="array" ref="I413">_xlfn.TEXTJOIN(" | ",TRUE(),IF(Events!$A$2:$A$397=$A413,Events!$E$2:$E$397&amp;IF(Events!$G$2:$G$397="National",""," ["&amp;Events!$G$2:$G$397&amp;"]"),""))</f>
        <v/>
      </c>
    </row>
    <row r="414" spans="1:9" ht="15" customHeight="1" x14ac:dyDescent="0.35">
      <c r="A414" s="2">
        <v>45704</v>
      </c>
      <c r="B414" s="3">
        <f t="shared" si="30"/>
        <v>2025</v>
      </c>
      <c r="C414" s="3">
        <f t="shared" si="31"/>
        <v>2</v>
      </c>
      <c r="D414" s="3" t="str">
        <f t="shared" si="32"/>
        <v>Sun</v>
      </c>
      <c r="E414" s="3">
        <f t="shared" si="33"/>
        <v>0</v>
      </c>
      <c r="F414" s="3">
        <f t="shared" si="34"/>
        <v>1</v>
      </c>
      <c r="G414" s="3" t="str">
        <f t="array" ref="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3">
        <f>COUNTIF(Events!$A$2:$A$397,$A414)</f>
        <v>0</v>
      </c>
      <c r="I414" s="25" t="str">
        <f t="array" ref="I414">_xlfn.TEXTJOIN(" | ",TRUE(),IF(Events!$A$2:$A$397=$A414,Events!$E$2:$E$397&amp;IF(Events!$G$2:$G$397="National",""," ["&amp;Events!$G$2:$G$397&amp;"]"),""))</f>
        <v/>
      </c>
    </row>
    <row r="415" spans="1:9" ht="15" customHeight="1" x14ac:dyDescent="0.35">
      <c r="A415" s="2">
        <v>45705</v>
      </c>
      <c r="B415" s="3">
        <f t="shared" si="30"/>
        <v>2025</v>
      </c>
      <c r="C415" s="3">
        <f t="shared" si="31"/>
        <v>2</v>
      </c>
      <c r="D415" s="3" t="str">
        <f t="shared" si="32"/>
        <v>Mon</v>
      </c>
      <c r="E415" s="3">
        <f t="shared" si="33"/>
        <v>0</v>
      </c>
      <c r="F415" s="3">
        <f t="shared" si="34"/>
        <v>1</v>
      </c>
      <c r="G415" s="3" t="str">
        <f t="array" ref="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3">
        <f>COUNTIF(Events!$A$2:$A$397,$A415)</f>
        <v>0</v>
      </c>
      <c r="I415" s="25" t="str">
        <f t="array" ref="I415">_xlfn.TEXTJOIN(" | ",TRUE(),IF(Events!$A$2:$A$397=$A415,Events!$E$2:$E$397&amp;IF(Events!$G$2:$G$397="National",""," ["&amp;Events!$G$2:$G$397&amp;"]"),""))</f>
        <v/>
      </c>
    </row>
    <row r="416" spans="1:9" ht="15" customHeight="1" x14ac:dyDescent="0.35">
      <c r="A416" s="2">
        <v>45706</v>
      </c>
      <c r="B416" s="3">
        <f t="shared" si="30"/>
        <v>2025</v>
      </c>
      <c r="C416" s="3">
        <f t="shared" si="31"/>
        <v>2</v>
      </c>
      <c r="D416" s="3" t="str">
        <f t="shared" si="32"/>
        <v>Tue</v>
      </c>
      <c r="E416" s="3">
        <f t="shared" si="33"/>
        <v>0</v>
      </c>
      <c r="F416" s="3">
        <f t="shared" si="34"/>
        <v>1</v>
      </c>
      <c r="G416" s="3" t="str">
        <f t="array" ref="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3">
        <f>COUNTIF(Events!$A$2:$A$397,$A416)</f>
        <v>0</v>
      </c>
      <c r="I416" s="25" t="str">
        <f t="array" ref="I416">_xlfn.TEXTJOIN(" | ",TRUE(),IF(Events!$A$2:$A$397=$A416,Events!$E$2:$E$397&amp;IF(Events!$G$2:$G$397="National",""," ["&amp;Events!$G$2:$G$397&amp;"]"),""))</f>
        <v/>
      </c>
    </row>
    <row r="417" spans="1:9" ht="15" customHeight="1" x14ac:dyDescent="0.35">
      <c r="A417" s="2">
        <v>45707</v>
      </c>
      <c r="B417" s="3">
        <f t="shared" si="30"/>
        <v>2025</v>
      </c>
      <c r="C417" s="3">
        <f t="shared" si="31"/>
        <v>2</v>
      </c>
      <c r="D417" s="3" t="str">
        <f t="shared" si="32"/>
        <v>Wed</v>
      </c>
      <c r="E417" s="3">
        <f t="shared" si="33"/>
        <v>0</v>
      </c>
      <c r="F417" s="3">
        <f t="shared" si="34"/>
        <v>1</v>
      </c>
      <c r="G417" s="3" t="str">
        <f t="array" ref="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3">
        <f>COUNTIF(Events!$A$2:$A$397,$A417)</f>
        <v>0</v>
      </c>
      <c r="I417" s="25" t="str">
        <f t="array" ref="I417">_xlfn.TEXTJOIN(" | ",TRUE(),IF(Events!$A$2:$A$397=$A417,Events!$E$2:$E$397&amp;IF(Events!$G$2:$G$397="National",""," ["&amp;Events!$G$2:$G$397&amp;"]"),""))</f>
        <v/>
      </c>
    </row>
    <row r="418" spans="1:9" ht="15" customHeight="1" x14ac:dyDescent="0.35">
      <c r="A418" s="2">
        <v>45708</v>
      </c>
      <c r="B418" s="3">
        <f t="shared" si="30"/>
        <v>2025</v>
      </c>
      <c r="C418" s="3">
        <f t="shared" si="31"/>
        <v>2</v>
      </c>
      <c r="D418" s="3" t="str">
        <f t="shared" si="32"/>
        <v>Thu</v>
      </c>
      <c r="E418" s="3">
        <f t="shared" si="33"/>
        <v>0</v>
      </c>
      <c r="F418" s="3">
        <f t="shared" si="34"/>
        <v>1</v>
      </c>
      <c r="G418" s="3" t="str">
        <f t="array" ref="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3">
        <f>COUNTIF(Events!$A$2:$A$397,$A418)</f>
        <v>0</v>
      </c>
      <c r="I418" s="25" t="str">
        <f t="array" ref="I418">_xlfn.TEXTJOIN(" | ",TRUE(),IF(Events!$A$2:$A$397=$A418,Events!$E$2:$E$397&amp;IF(Events!$G$2:$G$397="National",""," ["&amp;Events!$G$2:$G$397&amp;"]"),""))</f>
        <v/>
      </c>
    </row>
    <row r="419" spans="1:9" ht="15" customHeight="1" x14ac:dyDescent="0.35">
      <c r="A419" s="2">
        <v>45709</v>
      </c>
      <c r="B419" s="3">
        <f t="shared" si="30"/>
        <v>2025</v>
      </c>
      <c r="C419" s="3">
        <f t="shared" si="31"/>
        <v>2</v>
      </c>
      <c r="D419" s="3" t="str">
        <f t="shared" si="32"/>
        <v>Fri</v>
      </c>
      <c r="E419" s="3">
        <f t="shared" si="33"/>
        <v>0</v>
      </c>
      <c r="F419" s="3">
        <f t="shared" si="34"/>
        <v>1</v>
      </c>
      <c r="G419" s="3" t="str">
        <f t="array" ref="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3">
        <f>COUNTIF(Events!$A$2:$A$397,$A419)</f>
        <v>0</v>
      </c>
      <c r="I419" s="25" t="str">
        <f t="array" ref="I419">_xlfn.TEXTJOIN(" | ",TRUE(),IF(Events!$A$2:$A$397=$A419,Events!$E$2:$E$397&amp;IF(Events!$G$2:$G$397="National",""," ["&amp;Events!$G$2:$G$397&amp;"]"),""))</f>
        <v/>
      </c>
    </row>
    <row r="420" spans="1:9" ht="15" customHeight="1" x14ac:dyDescent="0.35">
      <c r="A420" s="2">
        <v>45710</v>
      </c>
      <c r="B420" s="3">
        <f t="shared" si="30"/>
        <v>2025</v>
      </c>
      <c r="C420" s="3">
        <f t="shared" si="31"/>
        <v>2</v>
      </c>
      <c r="D420" s="3" t="str">
        <f t="shared" si="32"/>
        <v>Sat</v>
      </c>
      <c r="E420" s="3">
        <f t="shared" si="33"/>
        <v>0</v>
      </c>
      <c r="F420" s="3">
        <f t="shared" si="34"/>
        <v>1</v>
      </c>
      <c r="G420" s="3" t="str">
        <f t="array" ref="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3">
        <f>COUNTIF(Events!$A$2:$A$397,$A420)</f>
        <v>0</v>
      </c>
      <c r="I420" s="25" t="str">
        <f t="array" ref="I420">_xlfn.TEXTJOIN(" | ",TRUE(),IF(Events!$A$2:$A$397=$A420,Events!$E$2:$E$397&amp;IF(Events!$G$2:$G$397="National",""," ["&amp;Events!$G$2:$G$397&amp;"]"),""))</f>
        <v/>
      </c>
    </row>
    <row r="421" spans="1:9" ht="15" customHeight="1" x14ac:dyDescent="0.35">
      <c r="A421" s="2">
        <v>45711</v>
      </c>
      <c r="B421" s="3">
        <f t="shared" si="30"/>
        <v>2025</v>
      </c>
      <c r="C421" s="3">
        <f t="shared" si="31"/>
        <v>2</v>
      </c>
      <c r="D421" s="3" t="str">
        <f t="shared" si="32"/>
        <v>Sun</v>
      </c>
      <c r="E421" s="3">
        <f t="shared" si="33"/>
        <v>0</v>
      </c>
      <c r="F421" s="3">
        <f t="shared" si="34"/>
        <v>1</v>
      </c>
      <c r="G421" s="3" t="str">
        <f t="array" ref="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3">
        <f>COUNTIF(Events!$A$2:$A$397,$A421)</f>
        <v>0</v>
      </c>
      <c r="I421" s="25" t="str">
        <f t="array" ref="I421">_xlfn.TEXTJOIN(" | ",TRUE(),IF(Events!$A$2:$A$397=$A421,Events!$E$2:$E$397&amp;IF(Events!$G$2:$G$397="National",""," ["&amp;Events!$G$2:$G$397&amp;"]"),""))</f>
        <v/>
      </c>
    </row>
    <row r="422" spans="1:9" ht="15" customHeight="1" x14ac:dyDescent="0.35">
      <c r="A422" s="2">
        <v>45712</v>
      </c>
      <c r="B422" s="3">
        <f t="shared" si="30"/>
        <v>2025</v>
      </c>
      <c r="C422" s="3">
        <f t="shared" si="31"/>
        <v>2</v>
      </c>
      <c r="D422" s="3" t="str">
        <f t="shared" si="32"/>
        <v>Mon</v>
      </c>
      <c r="E422" s="3">
        <f t="shared" si="33"/>
        <v>0</v>
      </c>
      <c r="F422" s="3">
        <f t="shared" si="34"/>
        <v>1</v>
      </c>
      <c r="G422" s="3" t="str">
        <f t="array" ref="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3">
        <f>COUNTIF(Events!$A$2:$A$397,$A422)</f>
        <v>0</v>
      </c>
      <c r="I422" s="25" t="str">
        <f t="array" ref="I422">_xlfn.TEXTJOIN(" | ",TRUE(),IF(Events!$A$2:$A$397=$A422,Events!$E$2:$E$397&amp;IF(Events!$G$2:$G$397="National",""," ["&amp;Events!$G$2:$G$397&amp;"]"),""))</f>
        <v/>
      </c>
    </row>
    <row r="423" spans="1:9" ht="15" customHeight="1" x14ac:dyDescent="0.35">
      <c r="A423" s="2">
        <v>45713</v>
      </c>
      <c r="B423" s="3">
        <f t="shared" si="30"/>
        <v>2025</v>
      </c>
      <c r="C423" s="3">
        <f t="shared" si="31"/>
        <v>2</v>
      </c>
      <c r="D423" s="3" t="str">
        <f t="shared" si="32"/>
        <v>Tue</v>
      </c>
      <c r="E423" s="3">
        <f t="shared" si="33"/>
        <v>0</v>
      </c>
      <c r="F423" s="3">
        <f t="shared" si="34"/>
        <v>1</v>
      </c>
      <c r="G423" s="3" t="str">
        <f t="array" ref="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3">
        <f>COUNTIF(Events!$A$2:$A$397,$A423)</f>
        <v>0</v>
      </c>
      <c r="I423" s="25" t="str">
        <f t="array" ref="I423">_xlfn.TEXTJOIN(" | ",TRUE(),IF(Events!$A$2:$A$397=$A423,Events!$E$2:$E$397&amp;IF(Events!$G$2:$G$397="National",""," ["&amp;Events!$G$2:$G$397&amp;"]"),""))</f>
        <v/>
      </c>
    </row>
    <row r="424" spans="1:9" ht="15" customHeight="1" x14ac:dyDescent="0.35">
      <c r="A424" s="2">
        <v>45714</v>
      </c>
      <c r="B424" s="3">
        <f t="shared" si="30"/>
        <v>2025</v>
      </c>
      <c r="C424" s="3">
        <f t="shared" si="31"/>
        <v>2</v>
      </c>
      <c r="D424" s="3" t="str">
        <f t="shared" si="32"/>
        <v>Wed</v>
      </c>
      <c r="E424" s="3">
        <f t="shared" si="33"/>
        <v>0</v>
      </c>
      <c r="F424" s="3">
        <f t="shared" si="34"/>
        <v>1</v>
      </c>
      <c r="G424" s="3" t="str">
        <f t="array" ref="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3">
        <f>COUNTIF(Events!$A$2:$A$397,$A424)</f>
        <v>0</v>
      </c>
      <c r="I424" s="25" t="str">
        <f t="array" ref="I424">_xlfn.TEXTJOIN(" | ",TRUE(),IF(Events!$A$2:$A$397=$A424,Events!$E$2:$E$397&amp;IF(Events!$G$2:$G$397="National",""," ["&amp;Events!$G$2:$G$397&amp;"]"),""))</f>
        <v/>
      </c>
    </row>
    <row r="425" spans="1:9" ht="15" customHeight="1" x14ac:dyDescent="0.35">
      <c r="A425" s="2">
        <v>45715</v>
      </c>
      <c r="B425" s="3">
        <f t="shared" si="30"/>
        <v>2025</v>
      </c>
      <c r="C425" s="3">
        <f t="shared" si="31"/>
        <v>2</v>
      </c>
      <c r="D425" s="3" t="str">
        <f t="shared" si="32"/>
        <v>Thu</v>
      </c>
      <c r="E425" s="3">
        <f t="shared" si="33"/>
        <v>0</v>
      </c>
      <c r="F425" s="3">
        <f t="shared" si="34"/>
        <v>1</v>
      </c>
      <c r="G425" s="3" t="str">
        <f t="array" ref="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3">
        <f>COUNTIF(Events!$A$2:$A$397,$A425)</f>
        <v>0</v>
      </c>
      <c r="I425" s="25" t="str">
        <f t="array" ref="I425">_xlfn.TEXTJOIN(" | ",TRUE(),IF(Events!$A$2:$A$397=$A425,Events!$E$2:$E$397&amp;IF(Events!$G$2:$G$397="National",""," ["&amp;Events!$G$2:$G$397&amp;"]"),""))</f>
        <v/>
      </c>
    </row>
    <row r="426" spans="1:9" ht="15" customHeight="1" x14ac:dyDescent="0.35">
      <c r="A426" s="2">
        <v>45716</v>
      </c>
      <c r="B426" s="3">
        <f t="shared" si="30"/>
        <v>2025</v>
      </c>
      <c r="C426" s="3">
        <f t="shared" si="31"/>
        <v>2</v>
      </c>
      <c r="D426" s="3" t="str">
        <f t="shared" si="32"/>
        <v>Fri</v>
      </c>
      <c r="E426" s="3">
        <f t="shared" si="33"/>
        <v>0</v>
      </c>
      <c r="F426" s="3">
        <f t="shared" si="34"/>
        <v>1</v>
      </c>
      <c r="G426" s="3" t="str">
        <f t="array" ref="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6" s="3">
        <f>COUNTIF(Events!$A$2:$A$397,$A426)</f>
        <v>0</v>
      </c>
      <c r="I426" s="25" t="str">
        <f t="array" ref="I426">_xlfn.TEXTJOIN(" | ",TRUE(),IF(Events!$A$2:$A$397=$A426,Events!$E$2:$E$397&amp;IF(Events!$G$2:$G$397="National",""," ["&amp;Events!$G$2:$G$397&amp;"]"),""))</f>
        <v/>
      </c>
    </row>
    <row r="427" spans="1:9" ht="15" customHeight="1" x14ac:dyDescent="0.35">
      <c r="A427" s="2">
        <v>45717</v>
      </c>
      <c r="B427" s="3">
        <f t="shared" si="30"/>
        <v>2025</v>
      </c>
      <c r="C427" s="3">
        <f t="shared" si="31"/>
        <v>3</v>
      </c>
      <c r="D427" s="3" t="str">
        <f t="shared" si="32"/>
        <v>Sat</v>
      </c>
      <c r="E427" s="3">
        <f t="shared" si="33"/>
        <v>0</v>
      </c>
      <c r="F427" s="3">
        <f t="shared" si="34"/>
        <v>1</v>
      </c>
      <c r="G427" s="3" t="str">
        <f t="array" ref="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v>
      </c>
      <c r="H427" s="3">
        <f>COUNTIF(Events!$A$2:$A$397,$A427)</f>
        <v>0</v>
      </c>
      <c r="I427" s="25" t="str">
        <f t="array" ref="I427">_xlfn.TEXTJOIN(" | ",TRUE(),IF(Events!$A$2:$A$397=$A427,Events!$E$2:$E$397&amp;IF(Events!$G$2:$G$397="National",""," ["&amp;Events!$G$2:$G$397&amp;"]"),""))</f>
        <v/>
      </c>
    </row>
    <row r="428" spans="1:9" ht="15" customHeight="1" x14ac:dyDescent="0.35">
      <c r="A428" s="2">
        <v>45718</v>
      </c>
      <c r="B428" s="3">
        <f t="shared" si="30"/>
        <v>2025</v>
      </c>
      <c r="C428" s="3">
        <f t="shared" si="31"/>
        <v>3</v>
      </c>
      <c r="D428" s="3" t="str">
        <f t="shared" si="32"/>
        <v>Sun</v>
      </c>
      <c r="E428" s="3">
        <f t="shared" si="33"/>
        <v>0</v>
      </c>
      <c r="F428" s="3">
        <f t="shared" si="34"/>
        <v>1</v>
      </c>
      <c r="G428" s="3" t="str">
        <f t="array" ref="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3">
        <f>COUNTIF(Events!$A$2:$A$397,$A428)</f>
        <v>0</v>
      </c>
      <c r="I428" s="25" t="str">
        <f t="array" ref="I428">_xlfn.TEXTJOIN(" | ",TRUE(),IF(Events!$A$2:$A$397=$A428,Events!$E$2:$E$397&amp;IF(Events!$G$2:$G$397="National",""," ["&amp;Events!$G$2:$G$397&amp;"]"),""))</f>
        <v/>
      </c>
    </row>
    <row r="429" spans="1:9" ht="15" customHeight="1" x14ac:dyDescent="0.35">
      <c r="A429" s="2">
        <v>45719</v>
      </c>
      <c r="B429" s="3">
        <f t="shared" si="30"/>
        <v>2025</v>
      </c>
      <c r="C429" s="3">
        <f t="shared" si="31"/>
        <v>3</v>
      </c>
      <c r="D429" s="3" t="str">
        <f t="shared" si="32"/>
        <v>Mon</v>
      </c>
      <c r="E429" s="3">
        <f t="shared" si="33"/>
        <v>0</v>
      </c>
      <c r="F429" s="3">
        <f t="shared" si="34"/>
        <v>1</v>
      </c>
      <c r="G429" s="3" t="str">
        <f t="array" ref="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3">
        <f>COUNTIF(Events!$A$2:$A$397,$A429)</f>
        <v>0</v>
      </c>
      <c r="I429" s="25" t="str">
        <f t="array" ref="I429">_xlfn.TEXTJOIN(" | ",TRUE(),IF(Events!$A$2:$A$397=$A429,Events!$E$2:$E$397&amp;IF(Events!$G$2:$G$397="National",""," ["&amp;Events!$G$2:$G$397&amp;"]"),""))</f>
        <v/>
      </c>
    </row>
    <row r="430" spans="1:9" ht="15" customHeight="1" x14ac:dyDescent="0.35">
      <c r="A430" s="2">
        <v>45720</v>
      </c>
      <c r="B430" s="3">
        <f t="shared" si="30"/>
        <v>2025</v>
      </c>
      <c r="C430" s="3">
        <f t="shared" si="31"/>
        <v>3</v>
      </c>
      <c r="D430" s="3" t="str">
        <f t="shared" si="32"/>
        <v>Tue</v>
      </c>
      <c r="E430" s="3">
        <f t="shared" si="33"/>
        <v>0</v>
      </c>
      <c r="F430" s="3">
        <f t="shared" si="34"/>
        <v>1</v>
      </c>
      <c r="G430" s="3" t="str">
        <f t="array" ref="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3">
        <f>COUNTIF(Events!$A$2:$A$397,$A430)</f>
        <v>0</v>
      </c>
      <c r="I430" s="25" t="str">
        <f t="array" ref="I430">_xlfn.TEXTJOIN(" | ",TRUE(),IF(Events!$A$2:$A$397=$A430,Events!$E$2:$E$397&amp;IF(Events!$G$2:$G$397="National",""," ["&amp;Events!$G$2:$G$397&amp;"]"),""))</f>
        <v/>
      </c>
    </row>
    <row r="431" spans="1:9" ht="15" customHeight="1" x14ac:dyDescent="0.35">
      <c r="A431" s="2">
        <v>45721</v>
      </c>
      <c r="B431" s="3">
        <f t="shared" si="30"/>
        <v>2025</v>
      </c>
      <c r="C431" s="3">
        <f t="shared" si="31"/>
        <v>3</v>
      </c>
      <c r="D431" s="3" t="str">
        <f t="shared" si="32"/>
        <v>Wed</v>
      </c>
      <c r="E431" s="3">
        <f t="shared" si="33"/>
        <v>0</v>
      </c>
      <c r="F431" s="3">
        <f t="shared" si="34"/>
        <v>1</v>
      </c>
      <c r="G431" s="3" t="str">
        <f t="array" ref="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3">
        <f>COUNTIF(Events!$A$2:$A$397,$A431)</f>
        <v>0</v>
      </c>
      <c r="I431" s="25" t="str">
        <f t="array" ref="I431">_xlfn.TEXTJOIN(" | ",TRUE(),IF(Events!$A$2:$A$397=$A431,Events!$E$2:$E$397&amp;IF(Events!$G$2:$G$397="National",""," ["&amp;Events!$G$2:$G$397&amp;"]"),""))</f>
        <v/>
      </c>
    </row>
    <row r="432" spans="1:9" ht="15" customHeight="1" x14ac:dyDescent="0.35">
      <c r="A432" s="2">
        <v>45722</v>
      </c>
      <c r="B432" s="3">
        <f t="shared" si="30"/>
        <v>2025</v>
      </c>
      <c r="C432" s="3">
        <f t="shared" si="31"/>
        <v>3</v>
      </c>
      <c r="D432" s="3" t="str">
        <f t="shared" si="32"/>
        <v>Thu</v>
      </c>
      <c r="E432" s="3">
        <f t="shared" si="33"/>
        <v>0</v>
      </c>
      <c r="F432" s="3">
        <f t="shared" si="34"/>
        <v>1</v>
      </c>
      <c r="G432" s="3" t="str">
        <f t="array" ref="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3">
        <f>COUNTIF(Events!$A$2:$A$397,$A432)</f>
        <v>0</v>
      </c>
      <c r="I432" s="25" t="str">
        <f t="array" ref="I432">_xlfn.TEXTJOIN(" | ",TRUE(),IF(Events!$A$2:$A$397=$A432,Events!$E$2:$E$397&amp;IF(Events!$G$2:$G$397="National",""," ["&amp;Events!$G$2:$G$397&amp;"]"),""))</f>
        <v/>
      </c>
    </row>
    <row r="433" spans="1:9" ht="15" customHeight="1" x14ac:dyDescent="0.35">
      <c r="A433" s="2">
        <v>45723</v>
      </c>
      <c r="B433" s="3">
        <f t="shared" si="30"/>
        <v>2025</v>
      </c>
      <c r="C433" s="3">
        <f t="shared" si="31"/>
        <v>3</v>
      </c>
      <c r="D433" s="3" t="str">
        <f t="shared" si="32"/>
        <v>Fri</v>
      </c>
      <c r="E433" s="3">
        <f t="shared" si="33"/>
        <v>0</v>
      </c>
      <c r="F433" s="3">
        <f t="shared" si="34"/>
        <v>1</v>
      </c>
      <c r="G433" s="3" t="str">
        <f t="array" ref="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3">
        <f>COUNTIF(Events!$A$2:$A$397,$A433)</f>
        <v>0</v>
      </c>
      <c r="I433" s="25" t="str">
        <f t="array" ref="I433">_xlfn.TEXTJOIN(" | ",TRUE(),IF(Events!$A$2:$A$397=$A433,Events!$E$2:$E$397&amp;IF(Events!$G$2:$G$397="National",""," ["&amp;Events!$G$2:$G$397&amp;"]"),""))</f>
        <v/>
      </c>
    </row>
    <row r="434" spans="1:9" ht="15" customHeight="1" x14ac:dyDescent="0.35">
      <c r="A434" s="2">
        <v>45724</v>
      </c>
      <c r="B434" s="3">
        <f t="shared" si="30"/>
        <v>2025</v>
      </c>
      <c r="C434" s="3">
        <f t="shared" si="31"/>
        <v>3</v>
      </c>
      <c r="D434" s="3" t="str">
        <f t="shared" si="32"/>
        <v>Sat</v>
      </c>
      <c r="E434" s="3">
        <f t="shared" si="33"/>
        <v>0</v>
      </c>
      <c r="F434" s="3">
        <f t="shared" si="34"/>
        <v>1</v>
      </c>
      <c r="G434" s="3" t="str">
        <f t="array" ref="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3">
        <f>COUNTIF(Events!$A$2:$A$397,$A434)</f>
        <v>0</v>
      </c>
      <c r="I434" s="25" t="str">
        <f t="array" ref="I434">_xlfn.TEXTJOIN(" | ",TRUE(),IF(Events!$A$2:$A$397=$A434,Events!$E$2:$E$397&amp;IF(Events!$G$2:$G$397="National",""," ["&amp;Events!$G$2:$G$397&amp;"]"),""))</f>
        <v/>
      </c>
    </row>
    <row r="435" spans="1:9" ht="15" customHeight="1" x14ac:dyDescent="0.35">
      <c r="A435" s="2">
        <v>45725</v>
      </c>
      <c r="B435" s="3">
        <f t="shared" si="30"/>
        <v>2025</v>
      </c>
      <c r="C435" s="3">
        <f t="shared" si="31"/>
        <v>3</v>
      </c>
      <c r="D435" s="3" t="str">
        <f t="shared" si="32"/>
        <v>Sun</v>
      </c>
      <c r="E435" s="3">
        <f t="shared" si="33"/>
        <v>0</v>
      </c>
      <c r="F435" s="3">
        <f t="shared" si="34"/>
        <v>1</v>
      </c>
      <c r="G435" s="3" t="str">
        <f t="array" ref="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3">
        <f>COUNTIF(Events!$A$2:$A$397,$A435)</f>
        <v>0</v>
      </c>
      <c r="I435" s="25" t="str">
        <f t="array" ref="I435">_xlfn.TEXTJOIN(" | ",TRUE(),IF(Events!$A$2:$A$397=$A435,Events!$E$2:$E$397&amp;IF(Events!$G$2:$G$397="National",""," ["&amp;Events!$G$2:$G$397&amp;"]"),""))</f>
        <v/>
      </c>
    </row>
    <row r="436" spans="1:9" ht="15" customHeight="1" x14ac:dyDescent="0.35">
      <c r="A436" s="2">
        <v>45726</v>
      </c>
      <c r="B436" s="3">
        <f t="shared" si="30"/>
        <v>2025</v>
      </c>
      <c r="C436" s="3">
        <f t="shared" si="31"/>
        <v>3</v>
      </c>
      <c r="D436" s="3" t="str">
        <f t="shared" si="32"/>
        <v>Mon</v>
      </c>
      <c r="E436" s="3">
        <f t="shared" si="33"/>
        <v>0</v>
      </c>
      <c r="F436" s="3">
        <f t="shared" si="34"/>
        <v>1</v>
      </c>
      <c r="G436" s="3" t="str">
        <f t="array" ref="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3">
        <f>COUNTIF(Events!$A$2:$A$397,$A436)</f>
        <v>0</v>
      </c>
      <c r="I436" s="25" t="str">
        <f t="array" ref="I436">_xlfn.TEXTJOIN(" | ",TRUE(),IF(Events!$A$2:$A$397=$A436,Events!$E$2:$E$397&amp;IF(Events!$G$2:$G$397="National",""," ["&amp;Events!$G$2:$G$397&amp;"]"),""))</f>
        <v/>
      </c>
    </row>
    <row r="437" spans="1:9" ht="15" customHeight="1" x14ac:dyDescent="0.35">
      <c r="A437" s="2">
        <v>45727</v>
      </c>
      <c r="B437" s="3">
        <f t="shared" si="30"/>
        <v>2025</v>
      </c>
      <c r="C437" s="3">
        <f t="shared" si="31"/>
        <v>3</v>
      </c>
      <c r="D437" s="3" t="str">
        <f t="shared" si="32"/>
        <v>Tue</v>
      </c>
      <c r="E437" s="3">
        <f t="shared" si="33"/>
        <v>0</v>
      </c>
      <c r="F437" s="3">
        <f t="shared" si="34"/>
        <v>1</v>
      </c>
      <c r="G437" s="3" t="str">
        <f t="array" ref="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3">
        <f>COUNTIF(Events!$A$2:$A$397,$A437)</f>
        <v>0</v>
      </c>
      <c r="I437" s="25" t="str">
        <f t="array" ref="I437">_xlfn.TEXTJOIN(" | ",TRUE(),IF(Events!$A$2:$A$397=$A437,Events!$E$2:$E$397&amp;IF(Events!$G$2:$G$397="National",""," ["&amp;Events!$G$2:$G$397&amp;"]"),""))</f>
        <v/>
      </c>
    </row>
    <row r="438" spans="1:9" ht="15" customHeight="1" x14ac:dyDescent="0.35">
      <c r="A438" s="2">
        <v>45728</v>
      </c>
      <c r="B438" s="3">
        <f t="shared" si="30"/>
        <v>2025</v>
      </c>
      <c r="C438" s="3">
        <f t="shared" si="31"/>
        <v>3</v>
      </c>
      <c r="D438" s="3" t="str">
        <f t="shared" si="32"/>
        <v>Wed</v>
      </c>
      <c r="E438" s="3">
        <f t="shared" si="33"/>
        <v>0</v>
      </c>
      <c r="F438" s="3">
        <f t="shared" si="34"/>
        <v>1</v>
      </c>
      <c r="G438" s="3" t="str">
        <f t="array" ref="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3">
        <f>COUNTIF(Events!$A$2:$A$397,$A438)</f>
        <v>0</v>
      </c>
      <c r="I438" s="25" t="str">
        <f t="array" ref="I438">_xlfn.TEXTJOIN(" | ",TRUE(),IF(Events!$A$2:$A$397=$A438,Events!$E$2:$E$397&amp;IF(Events!$G$2:$G$397="National",""," ["&amp;Events!$G$2:$G$397&amp;"]"),""))</f>
        <v/>
      </c>
    </row>
    <row r="439" spans="1:9" ht="15" customHeight="1" x14ac:dyDescent="0.35">
      <c r="A439" s="2">
        <v>45729</v>
      </c>
      <c r="B439" s="3">
        <f t="shared" si="30"/>
        <v>2025</v>
      </c>
      <c r="C439" s="3">
        <f t="shared" si="31"/>
        <v>3</v>
      </c>
      <c r="D439" s="3" t="str">
        <f t="shared" si="32"/>
        <v>Thu</v>
      </c>
      <c r="E439" s="3">
        <f t="shared" si="33"/>
        <v>0</v>
      </c>
      <c r="F439" s="3">
        <f t="shared" si="34"/>
        <v>1</v>
      </c>
      <c r="G439" s="3" t="str">
        <f t="array" ref="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3">
        <f>COUNTIF(Events!$A$2:$A$397,$A439)</f>
        <v>0</v>
      </c>
      <c r="I439" s="25" t="str">
        <f t="array" ref="I439">_xlfn.TEXTJOIN(" | ",TRUE(),IF(Events!$A$2:$A$397=$A439,Events!$E$2:$E$397&amp;IF(Events!$G$2:$G$397="National",""," ["&amp;Events!$G$2:$G$397&amp;"]"),""))</f>
        <v/>
      </c>
    </row>
    <row r="440" spans="1:9" ht="15" customHeight="1" x14ac:dyDescent="0.35">
      <c r="A440" s="2">
        <v>45730</v>
      </c>
      <c r="B440" s="3">
        <f t="shared" si="30"/>
        <v>2025</v>
      </c>
      <c r="C440" s="3">
        <f t="shared" si="31"/>
        <v>3</v>
      </c>
      <c r="D440" s="3" t="str">
        <f t="shared" si="32"/>
        <v>Fri</v>
      </c>
      <c r="E440" s="3">
        <f t="shared" si="33"/>
        <v>0</v>
      </c>
      <c r="F440" s="3">
        <f t="shared" si="34"/>
        <v>1</v>
      </c>
      <c r="G440" s="3" t="str">
        <f t="array" ref="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3">
        <f>COUNTIF(Events!$A$2:$A$397,$A440)</f>
        <v>0</v>
      </c>
      <c r="I440" s="25" t="str">
        <f t="array" ref="I440">_xlfn.TEXTJOIN(" | ",TRUE(),IF(Events!$A$2:$A$397=$A440,Events!$E$2:$E$397&amp;IF(Events!$G$2:$G$397="National",""," ["&amp;Events!$G$2:$G$397&amp;"]"),""))</f>
        <v/>
      </c>
    </row>
    <row r="441" spans="1:9" ht="15" customHeight="1" x14ac:dyDescent="0.35">
      <c r="A441" s="2">
        <v>45731</v>
      </c>
      <c r="B441" s="3">
        <f t="shared" si="30"/>
        <v>2025</v>
      </c>
      <c r="C441" s="3">
        <f t="shared" si="31"/>
        <v>3</v>
      </c>
      <c r="D441" s="3" t="str">
        <f t="shared" si="32"/>
        <v>Sat</v>
      </c>
      <c r="E441" s="3">
        <f t="shared" si="33"/>
        <v>0</v>
      </c>
      <c r="F441" s="3">
        <f t="shared" si="34"/>
        <v>1</v>
      </c>
      <c r="G441" s="3" t="str">
        <f t="array" ref="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3">
        <f>COUNTIF(Events!$A$2:$A$397,$A441)</f>
        <v>0</v>
      </c>
      <c r="I441" s="25" t="str">
        <f t="array" ref="I441">_xlfn.TEXTJOIN(" | ",TRUE(),IF(Events!$A$2:$A$397=$A441,Events!$E$2:$E$397&amp;IF(Events!$G$2:$G$397="National",""," ["&amp;Events!$G$2:$G$397&amp;"]"),""))</f>
        <v/>
      </c>
    </row>
    <row r="442" spans="1:9" ht="15" customHeight="1" x14ac:dyDescent="0.35">
      <c r="A442" s="2">
        <v>45732</v>
      </c>
      <c r="B442" s="3">
        <f t="shared" si="30"/>
        <v>2025</v>
      </c>
      <c r="C442" s="3">
        <f t="shared" si="31"/>
        <v>3</v>
      </c>
      <c r="D442" s="3" t="str">
        <f t="shared" si="32"/>
        <v>Sun</v>
      </c>
      <c r="E442" s="3">
        <f t="shared" si="33"/>
        <v>0</v>
      </c>
      <c r="F442" s="3">
        <f t="shared" si="34"/>
        <v>1</v>
      </c>
      <c r="G442" s="3" t="str">
        <f t="array" ref="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3">
        <f>COUNTIF(Events!$A$2:$A$397,$A442)</f>
        <v>0</v>
      </c>
      <c r="I442" s="25" t="str">
        <f t="array" ref="I442">_xlfn.TEXTJOIN(" | ",TRUE(),IF(Events!$A$2:$A$397=$A442,Events!$E$2:$E$397&amp;IF(Events!$G$2:$G$397="National",""," ["&amp;Events!$G$2:$G$397&amp;"]"),""))</f>
        <v/>
      </c>
    </row>
    <row r="443" spans="1:9" ht="15" customHeight="1" x14ac:dyDescent="0.35">
      <c r="A443" s="2">
        <v>45733</v>
      </c>
      <c r="B443" s="3">
        <f t="shared" si="30"/>
        <v>2025</v>
      </c>
      <c r="C443" s="3">
        <f t="shared" si="31"/>
        <v>3</v>
      </c>
      <c r="D443" s="3" t="str">
        <f t="shared" si="32"/>
        <v>Mon</v>
      </c>
      <c r="E443" s="3">
        <f t="shared" si="33"/>
        <v>0</v>
      </c>
      <c r="F443" s="3">
        <f t="shared" si="34"/>
        <v>1</v>
      </c>
      <c r="G443" s="3" t="str">
        <f t="array" ref="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3">
        <f>COUNTIF(Events!$A$2:$A$397,$A443)</f>
        <v>0</v>
      </c>
      <c r="I443" s="25" t="str">
        <f t="array" ref="I443">_xlfn.TEXTJOIN(" | ",TRUE(),IF(Events!$A$2:$A$397=$A443,Events!$E$2:$E$397&amp;IF(Events!$G$2:$G$397="National",""," ["&amp;Events!$G$2:$G$397&amp;"]"),""))</f>
        <v/>
      </c>
    </row>
    <row r="444" spans="1:9" ht="15" customHeight="1" x14ac:dyDescent="0.35">
      <c r="A444" s="2">
        <v>45734</v>
      </c>
      <c r="B444" s="3">
        <f t="shared" si="30"/>
        <v>2025</v>
      </c>
      <c r="C444" s="3">
        <f t="shared" si="31"/>
        <v>3</v>
      </c>
      <c r="D444" s="3" t="str">
        <f t="shared" si="32"/>
        <v>Tue</v>
      </c>
      <c r="E444" s="3">
        <f t="shared" si="33"/>
        <v>0</v>
      </c>
      <c r="F444" s="3">
        <f t="shared" si="34"/>
        <v>1</v>
      </c>
      <c r="G444" s="3" t="str">
        <f t="array" ref="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3">
        <f>COUNTIF(Events!$A$2:$A$397,$A444)</f>
        <v>0</v>
      </c>
      <c r="I444" s="25" t="str">
        <f t="array" ref="I444">_xlfn.TEXTJOIN(" | ",TRUE(),IF(Events!$A$2:$A$397=$A444,Events!$E$2:$E$397&amp;IF(Events!$G$2:$G$397="National",""," ["&amp;Events!$G$2:$G$397&amp;"]"),""))</f>
        <v/>
      </c>
    </row>
    <row r="445" spans="1:9" ht="15" customHeight="1" x14ac:dyDescent="0.35">
      <c r="A445" s="2">
        <v>45735</v>
      </c>
      <c r="B445" s="3">
        <f t="shared" si="30"/>
        <v>2025</v>
      </c>
      <c r="C445" s="3">
        <f t="shared" si="31"/>
        <v>3</v>
      </c>
      <c r="D445" s="3" t="str">
        <f t="shared" si="32"/>
        <v>Wed</v>
      </c>
      <c r="E445" s="3">
        <f t="shared" si="33"/>
        <v>0</v>
      </c>
      <c r="F445" s="3">
        <f t="shared" si="34"/>
        <v>1</v>
      </c>
      <c r="G445" s="3" t="str">
        <f t="array" ref="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3">
        <f>COUNTIF(Events!$A$2:$A$397,$A445)</f>
        <v>0</v>
      </c>
      <c r="I445" s="25" t="str">
        <f t="array" ref="I445">_xlfn.TEXTJOIN(" | ",TRUE(),IF(Events!$A$2:$A$397=$A445,Events!$E$2:$E$397&amp;IF(Events!$G$2:$G$397="National",""," ["&amp;Events!$G$2:$G$397&amp;"]"),""))</f>
        <v/>
      </c>
    </row>
    <row r="446" spans="1:9" ht="15" customHeight="1" x14ac:dyDescent="0.35">
      <c r="A446" s="2">
        <v>45736</v>
      </c>
      <c r="B446" s="3">
        <f t="shared" si="30"/>
        <v>2025</v>
      </c>
      <c r="C446" s="3">
        <f t="shared" si="31"/>
        <v>3</v>
      </c>
      <c r="D446" s="3" t="str">
        <f t="shared" si="32"/>
        <v>Thu</v>
      </c>
      <c r="E446" s="3">
        <f t="shared" si="33"/>
        <v>0</v>
      </c>
      <c r="F446" s="3">
        <f t="shared" si="34"/>
        <v>1</v>
      </c>
      <c r="G446" s="3" t="str">
        <f t="array" ref="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3">
        <f>COUNTIF(Events!$A$2:$A$397,$A446)</f>
        <v>0</v>
      </c>
      <c r="I446" s="25" t="str">
        <f t="array" ref="I446">_xlfn.TEXTJOIN(" | ",TRUE(),IF(Events!$A$2:$A$397=$A446,Events!$E$2:$E$397&amp;IF(Events!$G$2:$G$397="National",""," ["&amp;Events!$G$2:$G$397&amp;"]"),""))</f>
        <v/>
      </c>
    </row>
    <row r="447" spans="1:9" ht="15" customHeight="1" x14ac:dyDescent="0.35">
      <c r="A447" s="2">
        <v>45737</v>
      </c>
      <c r="B447" s="3">
        <f t="shared" si="30"/>
        <v>2025</v>
      </c>
      <c r="C447" s="3">
        <f t="shared" si="31"/>
        <v>3</v>
      </c>
      <c r="D447" s="3" t="str">
        <f t="shared" si="32"/>
        <v>Fri</v>
      </c>
      <c r="E447" s="3">
        <f t="shared" si="33"/>
        <v>0</v>
      </c>
      <c r="F447" s="3">
        <f t="shared" si="34"/>
        <v>1</v>
      </c>
      <c r="G447" s="3" t="str">
        <f t="array" ref="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3">
        <f>COUNTIF(Events!$A$2:$A$397,$A447)</f>
        <v>0</v>
      </c>
      <c r="I447" s="25" t="str">
        <f t="array" ref="I447">_xlfn.TEXTJOIN(" | ",TRUE(),IF(Events!$A$2:$A$397=$A447,Events!$E$2:$E$397&amp;IF(Events!$G$2:$G$397="National",""," ["&amp;Events!$G$2:$G$397&amp;"]"),""))</f>
        <v/>
      </c>
    </row>
    <row r="448" spans="1:9" ht="15" customHeight="1" x14ac:dyDescent="0.35">
      <c r="A448" s="2">
        <v>45738</v>
      </c>
      <c r="B448" s="3">
        <f t="shared" si="30"/>
        <v>2025</v>
      </c>
      <c r="C448" s="3">
        <f t="shared" si="31"/>
        <v>3</v>
      </c>
      <c r="D448" s="3" t="str">
        <f t="shared" si="32"/>
        <v>Sat</v>
      </c>
      <c r="E448" s="3">
        <f t="shared" si="33"/>
        <v>0</v>
      </c>
      <c r="F448" s="3">
        <f t="shared" si="34"/>
        <v>1</v>
      </c>
      <c r="G448" s="3" t="str">
        <f t="array" ref="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3">
        <f>COUNTIF(Events!$A$2:$A$397,$A448)</f>
        <v>0</v>
      </c>
      <c r="I448" s="25" t="str">
        <f t="array" ref="I448">_xlfn.TEXTJOIN(" | ",TRUE(),IF(Events!$A$2:$A$397=$A448,Events!$E$2:$E$397&amp;IF(Events!$G$2:$G$397="National",""," ["&amp;Events!$G$2:$G$397&amp;"]"),""))</f>
        <v/>
      </c>
    </row>
    <row r="449" spans="1:9" ht="15" customHeight="1" x14ac:dyDescent="0.35">
      <c r="A449" s="2">
        <v>45739</v>
      </c>
      <c r="B449" s="3">
        <f t="shared" si="30"/>
        <v>2025</v>
      </c>
      <c r="C449" s="3">
        <f t="shared" si="31"/>
        <v>3</v>
      </c>
      <c r="D449" s="3" t="str">
        <f t="shared" si="32"/>
        <v>Sun</v>
      </c>
      <c r="E449" s="3">
        <f t="shared" si="33"/>
        <v>0</v>
      </c>
      <c r="F449" s="3">
        <f t="shared" si="34"/>
        <v>1</v>
      </c>
      <c r="G449" s="3" t="str">
        <f t="array" ref="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3">
        <f>COUNTIF(Events!$A$2:$A$397,$A449)</f>
        <v>0</v>
      </c>
      <c r="I449" s="25" t="str">
        <f t="array" ref="I449">_xlfn.TEXTJOIN(" | ",TRUE(),IF(Events!$A$2:$A$397=$A449,Events!$E$2:$E$397&amp;IF(Events!$G$2:$G$397="National",""," ["&amp;Events!$G$2:$G$397&amp;"]"),""))</f>
        <v/>
      </c>
    </row>
    <row r="450" spans="1:9" ht="15" customHeight="1" x14ac:dyDescent="0.35">
      <c r="A450" s="2">
        <v>45740</v>
      </c>
      <c r="B450" s="3">
        <f t="shared" ref="B450:B513" si="35">YEAR($A450)</f>
        <v>2025</v>
      </c>
      <c r="C450" s="3">
        <f t="shared" ref="C450:C513" si="36">MONTH($A450)</f>
        <v>3</v>
      </c>
      <c r="D450" s="3" t="str">
        <f t="shared" ref="D450:D513" si="37">TEXT($A450,"ddd")</f>
        <v>Mon</v>
      </c>
      <c r="E450" s="3">
        <f t="shared" ref="E450:E513" si="38">IF(OR(AND(MONTH($A450)=10,DAY($A450)&gt;=15),MONTH($A450)=11,AND(MONTH($A450)=12,DAY($A450)&lt;=7)),1,0)</f>
        <v>0</v>
      </c>
      <c r="F450" s="3">
        <f t="shared" ref="F450:F513" si="39">IF(MONTH($A450)&lt;=3,1,0)</f>
        <v>1</v>
      </c>
      <c r="G450" s="3" t="str">
        <f t="array" ref="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3">
        <f>COUNTIF(Events!$A$2:$A$397,$A450)</f>
        <v>0</v>
      </c>
      <c r="I450" s="25" t="str">
        <f t="array" ref="I450">_xlfn.TEXTJOIN(" | ",TRUE(),IF(Events!$A$2:$A$397=$A450,Events!$E$2:$E$397&amp;IF(Events!$G$2:$G$397="National",""," ["&amp;Events!$G$2:$G$397&amp;"]"),""))</f>
        <v/>
      </c>
    </row>
    <row r="451" spans="1:9" ht="15" customHeight="1" x14ac:dyDescent="0.35">
      <c r="A451" s="2">
        <v>45741</v>
      </c>
      <c r="B451" s="3">
        <f t="shared" si="35"/>
        <v>2025</v>
      </c>
      <c r="C451" s="3">
        <f t="shared" si="36"/>
        <v>3</v>
      </c>
      <c r="D451" s="3" t="str">
        <f t="shared" si="37"/>
        <v>Tue</v>
      </c>
      <c r="E451" s="3">
        <f t="shared" si="38"/>
        <v>0</v>
      </c>
      <c r="F451" s="3">
        <f t="shared" si="39"/>
        <v>1</v>
      </c>
      <c r="G451" s="3" t="str">
        <f t="array" ref="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3">
        <f>COUNTIF(Events!$A$2:$A$397,$A451)</f>
        <v>0</v>
      </c>
      <c r="I451" s="25" t="str">
        <f t="array" ref="I451">_xlfn.TEXTJOIN(" | ",TRUE(),IF(Events!$A$2:$A$397=$A451,Events!$E$2:$E$397&amp;IF(Events!$G$2:$G$397="National",""," ["&amp;Events!$G$2:$G$397&amp;"]"),""))</f>
        <v/>
      </c>
    </row>
    <row r="452" spans="1:9" ht="15" customHeight="1" x14ac:dyDescent="0.35">
      <c r="A452" s="2">
        <v>45742</v>
      </c>
      <c r="B452" s="3">
        <f t="shared" si="35"/>
        <v>2025</v>
      </c>
      <c r="C452" s="3">
        <f t="shared" si="36"/>
        <v>3</v>
      </c>
      <c r="D452" s="3" t="str">
        <f t="shared" si="37"/>
        <v>Wed</v>
      </c>
      <c r="E452" s="3">
        <f t="shared" si="38"/>
        <v>0</v>
      </c>
      <c r="F452" s="3">
        <f t="shared" si="39"/>
        <v>1</v>
      </c>
      <c r="G452" s="3" t="str">
        <f t="array" ref="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3">
        <f>COUNTIF(Events!$A$2:$A$397,$A452)</f>
        <v>0</v>
      </c>
      <c r="I452" s="25" t="str">
        <f t="array" ref="I452">_xlfn.TEXTJOIN(" | ",TRUE(),IF(Events!$A$2:$A$397=$A452,Events!$E$2:$E$397&amp;IF(Events!$G$2:$G$397="National",""," ["&amp;Events!$G$2:$G$397&amp;"]"),""))</f>
        <v/>
      </c>
    </row>
    <row r="453" spans="1:9" ht="15" customHeight="1" x14ac:dyDescent="0.35">
      <c r="A453" s="2">
        <v>45743</v>
      </c>
      <c r="B453" s="3">
        <f t="shared" si="35"/>
        <v>2025</v>
      </c>
      <c r="C453" s="3">
        <f t="shared" si="36"/>
        <v>3</v>
      </c>
      <c r="D453" s="3" t="str">
        <f t="shared" si="37"/>
        <v>Thu</v>
      </c>
      <c r="E453" s="3">
        <f t="shared" si="38"/>
        <v>0</v>
      </c>
      <c r="F453" s="3">
        <f t="shared" si="39"/>
        <v>1</v>
      </c>
      <c r="G453" s="3" t="str">
        <f t="array" ref="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3">
        <f>COUNTIF(Events!$A$2:$A$397,$A453)</f>
        <v>0</v>
      </c>
      <c r="I453" s="25" t="str">
        <f t="array" ref="I453">_xlfn.TEXTJOIN(" | ",TRUE(),IF(Events!$A$2:$A$397=$A453,Events!$E$2:$E$397&amp;IF(Events!$G$2:$G$397="National",""," ["&amp;Events!$G$2:$G$397&amp;"]"),""))</f>
        <v/>
      </c>
    </row>
    <row r="454" spans="1:9" ht="15" customHeight="1" x14ac:dyDescent="0.35">
      <c r="A454" s="2">
        <v>45744</v>
      </c>
      <c r="B454" s="3">
        <f t="shared" si="35"/>
        <v>2025</v>
      </c>
      <c r="C454" s="3">
        <f t="shared" si="36"/>
        <v>3</v>
      </c>
      <c r="D454" s="3" t="str">
        <f t="shared" si="37"/>
        <v>Fri</v>
      </c>
      <c r="E454" s="3">
        <f t="shared" si="38"/>
        <v>0</v>
      </c>
      <c r="F454" s="3">
        <f t="shared" si="39"/>
        <v>1</v>
      </c>
      <c r="G454" s="3" t="str">
        <f t="array" ref="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3">
        <f>COUNTIF(Events!$A$2:$A$397,$A454)</f>
        <v>0</v>
      </c>
      <c r="I454" s="25" t="str">
        <f t="array" ref="I454">_xlfn.TEXTJOIN(" | ",TRUE(),IF(Events!$A$2:$A$397=$A454,Events!$E$2:$E$397&amp;IF(Events!$G$2:$G$397="National",""," ["&amp;Events!$G$2:$G$397&amp;"]"),""))</f>
        <v/>
      </c>
    </row>
    <row r="455" spans="1:9" ht="15" customHeight="1" x14ac:dyDescent="0.35">
      <c r="A455" s="2">
        <v>45745</v>
      </c>
      <c r="B455" s="3">
        <f t="shared" si="35"/>
        <v>2025</v>
      </c>
      <c r="C455" s="3">
        <f t="shared" si="36"/>
        <v>3</v>
      </c>
      <c r="D455" s="3" t="str">
        <f t="shared" si="37"/>
        <v>Sat</v>
      </c>
      <c r="E455" s="3">
        <f t="shared" si="38"/>
        <v>0</v>
      </c>
      <c r="F455" s="3">
        <f t="shared" si="39"/>
        <v>1</v>
      </c>
      <c r="G455" s="3" t="str">
        <f t="array" ref="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3">
        <f>COUNTIF(Events!$A$2:$A$397,$A455)</f>
        <v>0</v>
      </c>
      <c r="I455" s="25" t="str">
        <f t="array" ref="I455">_xlfn.TEXTJOIN(" | ",TRUE(),IF(Events!$A$2:$A$397=$A455,Events!$E$2:$E$397&amp;IF(Events!$G$2:$G$397="National",""," ["&amp;Events!$G$2:$G$397&amp;"]"),""))</f>
        <v/>
      </c>
    </row>
    <row r="456" spans="1:9" ht="15" customHeight="1" x14ac:dyDescent="0.35">
      <c r="A456" s="2">
        <v>45746</v>
      </c>
      <c r="B456" s="3">
        <f t="shared" si="35"/>
        <v>2025</v>
      </c>
      <c r="C456" s="3">
        <f t="shared" si="36"/>
        <v>3</v>
      </c>
      <c r="D456" s="3" t="str">
        <f t="shared" si="37"/>
        <v>Sun</v>
      </c>
      <c r="E456" s="3">
        <f t="shared" si="38"/>
        <v>0</v>
      </c>
      <c r="F456" s="3">
        <f t="shared" si="39"/>
        <v>1</v>
      </c>
      <c r="G456" s="3" t="str">
        <f t="array" ref="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3">
        <f>COUNTIF(Events!$A$2:$A$397,$A456)</f>
        <v>0</v>
      </c>
      <c r="I456" s="25" t="str">
        <f t="array" ref="I456">_xlfn.TEXTJOIN(" | ",TRUE(),IF(Events!$A$2:$A$397=$A456,Events!$E$2:$E$397&amp;IF(Events!$G$2:$G$397="National",""," ["&amp;Events!$G$2:$G$397&amp;"]"),""))</f>
        <v/>
      </c>
    </row>
    <row r="457" spans="1:9" ht="15" customHeight="1" x14ac:dyDescent="0.35">
      <c r="A457" s="2">
        <v>45747</v>
      </c>
      <c r="B457" s="3">
        <f t="shared" si="35"/>
        <v>2025</v>
      </c>
      <c r="C457" s="3">
        <f t="shared" si="36"/>
        <v>3</v>
      </c>
      <c r="D457" s="3" t="str">
        <f t="shared" si="37"/>
        <v>Mon</v>
      </c>
      <c r="E457" s="3">
        <f t="shared" si="38"/>
        <v>0</v>
      </c>
      <c r="F457" s="3">
        <f t="shared" si="39"/>
        <v>1</v>
      </c>
      <c r="G457" s="3" t="str">
        <f t="array" ref="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 | 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7" s="3">
        <f>COUNTIF(Events!$A$2:$A$397,$A457)</f>
        <v>0</v>
      </c>
      <c r="I457" s="25" t="str">
        <f t="array" ref="I457">_xlfn.TEXTJOIN(" | ",TRUE(),IF(Events!$A$2:$A$397=$A457,Events!$E$2:$E$397&amp;IF(Events!$G$2:$G$397="National",""," ["&amp;Events!$G$2:$G$397&amp;"]"),""))</f>
        <v/>
      </c>
    </row>
    <row r="458" spans="1:9" ht="15" customHeight="1" x14ac:dyDescent="0.35">
      <c r="A458" s="2">
        <v>45748</v>
      </c>
      <c r="B458" s="3">
        <f t="shared" si="35"/>
        <v>2025</v>
      </c>
      <c r="C458" s="3">
        <f t="shared" si="36"/>
        <v>4</v>
      </c>
      <c r="D458" s="3" t="str">
        <f t="shared" si="37"/>
        <v>Tue</v>
      </c>
      <c r="E458" s="3">
        <f t="shared" si="38"/>
        <v>0</v>
      </c>
      <c r="F458" s="3">
        <f t="shared" si="39"/>
        <v>0</v>
      </c>
      <c r="G458" s="3" t="str">
        <f t="array" ref="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
      </c>
      <c r="H458" s="3">
        <f>COUNTIF(Events!$A$2:$A$397,$A458)</f>
        <v>0</v>
      </c>
      <c r="I458" s="25" t="str">
        <f t="array" ref="I458">_xlfn.TEXTJOIN(" | ",TRUE(),IF(Events!$A$2:$A$397=$A458,Events!$E$2:$E$397&amp;IF(Events!$G$2:$G$397="National",""," ["&amp;Events!$G$2:$G$397&amp;"]"),""))</f>
        <v/>
      </c>
    </row>
    <row r="459" spans="1:9" ht="15" customHeight="1" x14ac:dyDescent="0.35">
      <c r="A459" s="2">
        <v>45749</v>
      </c>
      <c r="B459" s="3">
        <f t="shared" si="35"/>
        <v>2025</v>
      </c>
      <c r="C459" s="3">
        <f t="shared" si="36"/>
        <v>4</v>
      </c>
      <c r="D459" s="3" t="str">
        <f t="shared" si="37"/>
        <v>Wed</v>
      </c>
      <c r="E459" s="3">
        <f t="shared" si="38"/>
        <v>0</v>
      </c>
      <c r="F459" s="3">
        <f t="shared" si="39"/>
        <v>0</v>
      </c>
      <c r="G459" s="3" t="str">
        <f t="array" ref="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3">
        <f>COUNTIF(Events!$A$2:$A$397,$A459)</f>
        <v>0</v>
      </c>
      <c r="I459" s="25" t="str">
        <f t="array" ref="I459">_xlfn.TEXTJOIN(" | ",TRUE(),IF(Events!$A$2:$A$397=$A459,Events!$E$2:$E$397&amp;IF(Events!$G$2:$G$397="National",""," ["&amp;Events!$G$2:$G$397&amp;"]"),""))</f>
        <v/>
      </c>
    </row>
    <row r="460" spans="1:9" ht="15" customHeight="1" x14ac:dyDescent="0.35">
      <c r="A460" s="2">
        <v>45750</v>
      </c>
      <c r="B460" s="3">
        <f t="shared" si="35"/>
        <v>2025</v>
      </c>
      <c r="C460" s="3">
        <f t="shared" si="36"/>
        <v>4</v>
      </c>
      <c r="D460" s="3" t="str">
        <f t="shared" si="37"/>
        <v>Thu</v>
      </c>
      <c r="E460" s="3">
        <f t="shared" si="38"/>
        <v>0</v>
      </c>
      <c r="F460" s="3">
        <f t="shared" si="39"/>
        <v>0</v>
      </c>
      <c r="G460" s="3" t="str">
        <f t="array" ref="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3">
        <f>COUNTIF(Events!$A$2:$A$397,$A460)</f>
        <v>0</v>
      </c>
      <c r="I460" s="25" t="str">
        <f t="array" ref="I460">_xlfn.TEXTJOIN(" | ",TRUE(),IF(Events!$A$2:$A$397=$A460,Events!$E$2:$E$397&amp;IF(Events!$G$2:$G$397="National",""," ["&amp;Events!$G$2:$G$397&amp;"]"),""))</f>
        <v/>
      </c>
    </row>
    <row r="461" spans="1:9" ht="15" customHeight="1" x14ac:dyDescent="0.35">
      <c r="A461" s="2">
        <v>45751</v>
      </c>
      <c r="B461" s="3">
        <f t="shared" si="35"/>
        <v>2025</v>
      </c>
      <c r="C461" s="3">
        <f t="shared" si="36"/>
        <v>4</v>
      </c>
      <c r="D461" s="3" t="str">
        <f t="shared" si="37"/>
        <v>Fri</v>
      </c>
      <c r="E461" s="3">
        <f t="shared" si="38"/>
        <v>0</v>
      </c>
      <c r="F461" s="3">
        <f t="shared" si="39"/>
        <v>0</v>
      </c>
      <c r="G461" s="3" t="str">
        <f t="array" ref="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3">
        <f>COUNTIF(Events!$A$2:$A$397,$A461)</f>
        <v>1</v>
      </c>
      <c r="I461" s="25" t="str">
        <f t="array" ref="I461">_xlfn.TEXTJOIN(" | ",TRUE(),IF(Events!$A$2:$A$397=$A461,Events!$E$2:$E$397&amp;IF(Events!$G$2:$G$397="National",""," ["&amp;Events!$G$2:$G$397&amp;"]"),""))</f>
        <v>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v>
      </c>
    </row>
    <row r="462" spans="1:9" ht="15" customHeight="1" x14ac:dyDescent="0.35">
      <c r="A462" s="2">
        <v>45752</v>
      </c>
      <c r="B462" s="3">
        <f t="shared" si="35"/>
        <v>2025</v>
      </c>
      <c r="C462" s="3">
        <f t="shared" si="36"/>
        <v>4</v>
      </c>
      <c r="D462" s="3" t="str">
        <f t="shared" si="37"/>
        <v>Sat</v>
      </c>
      <c r="E462" s="3">
        <f t="shared" si="38"/>
        <v>0</v>
      </c>
      <c r="F462" s="3">
        <f t="shared" si="39"/>
        <v>0</v>
      </c>
      <c r="G462" s="3" t="str">
        <f t="array" ref="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3">
        <f>COUNTIF(Events!$A$2:$A$397,$A462)</f>
        <v>0</v>
      </c>
      <c r="I462" s="25" t="str">
        <f t="array" ref="I462">_xlfn.TEXTJOIN(" | ",TRUE(),IF(Events!$A$2:$A$397=$A462,Events!$E$2:$E$397&amp;IF(Events!$G$2:$G$397="National",""," ["&amp;Events!$G$2:$G$397&amp;"]"),""))</f>
        <v/>
      </c>
    </row>
    <row r="463" spans="1:9" ht="15" customHeight="1" x14ac:dyDescent="0.35">
      <c r="A463" s="2">
        <v>45753</v>
      </c>
      <c r="B463" s="3">
        <f t="shared" si="35"/>
        <v>2025</v>
      </c>
      <c r="C463" s="3">
        <f t="shared" si="36"/>
        <v>4</v>
      </c>
      <c r="D463" s="3" t="str">
        <f t="shared" si="37"/>
        <v>Sun</v>
      </c>
      <c r="E463" s="3">
        <f t="shared" si="38"/>
        <v>0</v>
      </c>
      <c r="F463" s="3">
        <f t="shared" si="39"/>
        <v>0</v>
      </c>
      <c r="G463" s="3" t="str">
        <f t="array" ref="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3">
        <f>COUNTIF(Events!$A$2:$A$397,$A463)</f>
        <v>0</v>
      </c>
      <c r="I463" s="25" t="str">
        <f t="array" ref="I463">_xlfn.TEXTJOIN(" | ",TRUE(),IF(Events!$A$2:$A$397=$A463,Events!$E$2:$E$397&amp;IF(Events!$G$2:$G$397="National",""," ["&amp;Events!$G$2:$G$397&amp;"]"),""))</f>
        <v/>
      </c>
    </row>
    <row r="464" spans="1:9" ht="15" customHeight="1" x14ac:dyDescent="0.35">
      <c r="A464" s="2">
        <v>45754</v>
      </c>
      <c r="B464" s="3">
        <f t="shared" si="35"/>
        <v>2025</v>
      </c>
      <c r="C464" s="3">
        <f t="shared" si="36"/>
        <v>4</v>
      </c>
      <c r="D464" s="3" t="str">
        <f t="shared" si="37"/>
        <v>Mon</v>
      </c>
      <c r="E464" s="3">
        <f t="shared" si="38"/>
        <v>0</v>
      </c>
      <c r="F464" s="3">
        <f t="shared" si="39"/>
        <v>0</v>
      </c>
      <c r="G464" s="3" t="str">
        <f t="array" ref="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3">
        <f>COUNTIF(Events!$A$2:$A$397,$A464)</f>
        <v>1</v>
      </c>
      <c r="I464" s="25" t="str">
        <f t="array" ref="I464">_xlfn.TEXTJOIN(" | ",TRUE(),IF(Events!$A$2:$A$397=$A464,Events!$E$2:$E$397&amp;IF(Events!$G$2:$G$397="National",""," ["&amp;Events!$G$2:$G$397&amp;"]"),""))</f>
        <v>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v>
      </c>
    </row>
    <row r="465" spans="1:9" ht="15" customHeight="1" x14ac:dyDescent="0.35">
      <c r="A465" s="2">
        <v>45755</v>
      </c>
      <c r="B465" s="3">
        <f t="shared" si="35"/>
        <v>2025</v>
      </c>
      <c r="C465" s="3">
        <f t="shared" si="36"/>
        <v>4</v>
      </c>
      <c r="D465" s="3" t="str">
        <f t="shared" si="37"/>
        <v>Tue</v>
      </c>
      <c r="E465" s="3">
        <f t="shared" si="38"/>
        <v>0</v>
      </c>
      <c r="F465" s="3">
        <f t="shared" si="39"/>
        <v>0</v>
      </c>
      <c r="G465" s="3" t="str">
        <f t="array" ref="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3">
        <f>COUNTIF(Events!$A$2:$A$397,$A465)</f>
        <v>0</v>
      </c>
      <c r="I465" s="25" t="str">
        <f t="array" ref="I465">_xlfn.TEXTJOIN(" | ",TRUE(),IF(Events!$A$2:$A$397=$A465,Events!$E$2:$E$397&amp;IF(Events!$G$2:$G$397="National",""," ["&amp;Events!$G$2:$G$397&amp;"]"),""))</f>
        <v/>
      </c>
    </row>
    <row r="466" spans="1:9" ht="15" customHeight="1" x14ac:dyDescent="0.35">
      <c r="A466" s="2">
        <v>45756</v>
      </c>
      <c r="B466" s="3">
        <f t="shared" si="35"/>
        <v>2025</v>
      </c>
      <c r="C466" s="3">
        <f t="shared" si="36"/>
        <v>4</v>
      </c>
      <c r="D466" s="3" t="str">
        <f t="shared" si="37"/>
        <v>Wed</v>
      </c>
      <c r="E466" s="3">
        <f t="shared" si="38"/>
        <v>0</v>
      </c>
      <c r="F466" s="3">
        <f t="shared" si="39"/>
        <v>0</v>
      </c>
      <c r="G466" s="3" t="str">
        <f t="array" ref="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3">
        <f>COUNTIF(Events!$A$2:$A$397,$A466)</f>
        <v>0</v>
      </c>
      <c r="I466" s="25" t="str">
        <f t="array" ref="I466">_xlfn.TEXTJOIN(" | ",TRUE(),IF(Events!$A$2:$A$397=$A466,Events!$E$2:$E$397&amp;IF(Events!$G$2:$G$397="National",""," ["&amp;Events!$G$2:$G$397&amp;"]"),""))</f>
        <v/>
      </c>
    </row>
    <row r="467" spans="1:9" ht="15" customHeight="1" x14ac:dyDescent="0.35">
      <c r="A467" s="2">
        <v>45757</v>
      </c>
      <c r="B467" s="3">
        <f t="shared" si="35"/>
        <v>2025</v>
      </c>
      <c r="C467" s="3">
        <f t="shared" si="36"/>
        <v>4</v>
      </c>
      <c r="D467" s="3" t="str">
        <f t="shared" si="37"/>
        <v>Thu</v>
      </c>
      <c r="E467" s="3">
        <f t="shared" si="38"/>
        <v>0</v>
      </c>
      <c r="F467" s="3">
        <f t="shared" si="39"/>
        <v>0</v>
      </c>
      <c r="G467" s="3" t="str">
        <f t="array" ref="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3">
        <f>COUNTIF(Events!$A$2:$A$397,$A467)</f>
        <v>0</v>
      </c>
      <c r="I467" s="25" t="str">
        <f t="array" ref="I467">_xlfn.TEXTJOIN(" | ",TRUE(),IF(Events!$A$2:$A$397=$A467,Events!$E$2:$E$397&amp;IF(Events!$G$2:$G$397="National",""," ["&amp;Events!$G$2:$G$397&amp;"]"),""))</f>
        <v/>
      </c>
    </row>
    <row r="468" spans="1:9" ht="15" customHeight="1" x14ac:dyDescent="0.35">
      <c r="A468" s="2">
        <v>45758</v>
      </c>
      <c r="B468" s="3">
        <f t="shared" si="35"/>
        <v>2025</v>
      </c>
      <c r="C468" s="3">
        <f t="shared" si="36"/>
        <v>4</v>
      </c>
      <c r="D468" s="3" t="str">
        <f t="shared" si="37"/>
        <v>Fri</v>
      </c>
      <c r="E468" s="3">
        <f t="shared" si="38"/>
        <v>0</v>
      </c>
      <c r="F468" s="3">
        <f t="shared" si="39"/>
        <v>0</v>
      </c>
      <c r="G468" s="3" t="str">
        <f t="array" ref="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3">
        <f>COUNTIF(Events!$A$2:$A$397,$A468)</f>
        <v>0</v>
      </c>
      <c r="I468" s="25" t="str">
        <f t="array" ref="I468">_xlfn.TEXTJOIN(" | ",TRUE(),IF(Events!$A$2:$A$397=$A468,Events!$E$2:$E$397&amp;IF(Events!$G$2:$G$397="National",""," ["&amp;Events!$G$2:$G$397&amp;"]"),""))</f>
        <v/>
      </c>
    </row>
    <row r="469" spans="1:9" ht="15" customHeight="1" x14ac:dyDescent="0.35">
      <c r="A469" s="2">
        <v>45759</v>
      </c>
      <c r="B469" s="3">
        <f t="shared" si="35"/>
        <v>2025</v>
      </c>
      <c r="C469" s="3">
        <f t="shared" si="36"/>
        <v>4</v>
      </c>
      <c r="D469" s="3" t="str">
        <f t="shared" si="37"/>
        <v>Sat</v>
      </c>
      <c r="E469" s="3">
        <f t="shared" si="38"/>
        <v>0</v>
      </c>
      <c r="F469" s="3">
        <f t="shared" si="39"/>
        <v>0</v>
      </c>
      <c r="G469" s="3" t="str">
        <f t="array" ref="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3">
        <f>COUNTIF(Events!$A$2:$A$397,$A469)</f>
        <v>0</v>
      </c>
      <c r="I469" s="25" t="str">
        <f t="array" ref="I469">_xlfn.TEXTJOIN(" | ",TRUE(),IF(Events!$A$2:$A$397=$A469,Events!$E$2:$E$397&amp;IF(Events!$G$2:$G$397="National",""," ["&amp;Events!$G$2:$G$397&amp;"]"),""))</f>
        <v/>
      </c>
    </row>
    <row r="470" spans="1:9" ht="15" customHeight="1" x14ac:dyDescent="0.35">
      <c r="A470" s="2">
        <v>45760</v>
      </c>
      <c r="B470" s="3">
        <f t="shared" si="35"/>
        <v>2025</v>
      </c>
      <c r="C470" s="3">
        <f t="shared" si="36"/>
        <v>4</v>
      </c>
      <c r="D470" s="3" t="str">
        <f t="shared" si="37"/>
        <v>Sun</v>
      </c>
      <c r="E470" s="3">
        <f t="shared" si="38"/>
        <v>0</v>
      </c>
      <c r="F470" s="3">
        <f t="shared" si="39"/>
        <v>0</v>
      </c>
      <c r="G470" s="3" t="str">
        <f t="array" ref="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3">
        <f>COUNTIF(Events!$A$2:$A$397,$A470)</f>
        <v>0</v>
      </c>
      <c r="I470" s="25" t="str">
        <f t="array" ref="I470">_xlfn.TEXTJOIN(" | ",TRUE(),IF(Events!$A$2:$A$397=$A470,Events!$E$2:$E$397&amp;IF(Events!$G$2:$G$397="National",""," ["&amp;Events!$G$2:$G$397&amp;"]"),""))</f>
        <v/>
      </c>
    </row>
    <row r="471" spans="1:9" ht="15" customHeight="1" x14ac:dyDescent="0.35">
      <c r="A471" s="2">
        <v>45761</v>
      </c>
      <c r="B471" s="3">
        <f t="shared" si="35"/>
        <v>2025</v>
      </c>
      <c r="C471" s="3">
        <f t="shared" si="36"/>
        <v>4</v>
      </c>
      <c r="D471" s="3" t="str">
        <f t="shared" si="37"/>
        <v>Mon</v>
      </c>
      <c r="E471" s="3">
        <f t="shared" si="38"/>
        <v>0</v>
      </c>
      <c r="F471" s="3">
        <f t="shared" si="39"/>
        <v>0</v>
      </c>
      <c r="G471" s="3" t="str">
        <f t="array" ref="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3">
        <f>COUNTIF(Events!$A$2:$A$397,$A471)</f>
        <v>0</v>
      </c>
      <c r="I471" s="25" t="str">
        <f t="array" ref="I471">_xlfn.TEXTJOIN(" | ",TRUE(),IF(Events!$A$2:$A$397=$A471,Events!$E$2:$E$397&amp;IF(Events!$G$2:$G$397="National",""," ["&amp;Events!$G$2:$G$397&amp;"]"),""))</f>
        <v/>
      </c>
    </row>
    <row r="472" spans="1:9" ht="15" customHeight="1" x14ac:dyDescent="0.35">
      <c r="A472" s="2">
        <v>45762</v>
      </c>
      <c r="B472" s="3">
        <f t="shared" si="35"/>
        <v>2025</v>
      </c>
      <c r="C472" s="3">
        <f t="shared" si="36"/>
        <v>4</v>
      </c>
      <c r="D472" s="3" t="str">
        <f t="shared" si="37"/>
        <v>Tue</v>
      </c>
      <c r="E472" s="3">
        <f t="shared" si="38"/>
        <v>0</v>
      </c>
      <c r="F472" s="3">
        <f t="shared" si="39"/>
        <v>0</v>
      </c>
      <c r="G472" s="3" t="str">
        <f t="array" ref="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3">
        <f>COUNTIF(Events!$A$2:$A$397,$A472)</f>
        <v>0</v>
      </c>
      <c r="I472" s="25" t="str">
        <f t="array" ref="I472">_xlfn.TEXTJOIN(" | ",TRUE(),IF(Events!$A$2:$A$397=$A472,Events!$E$2:$E$397&amp;IF(Events!$G$2:$G$397="National",""," ["&amp;Events!$G$2:$G$397&amp;"]"),""))</f>
        <v/>
      </c>
    </row>
    <row r="473" spans="1:9" ht="15" customHeight="1" x14ac:dyDescent="0.35">
      <c r="A473" s="2">
        <v>45763</v>
      </c>
      <c r="B473" s="3">
        <f t="shared" si="35"/>
        <v>2025</v>
      </c>
      <c r="C473" s="3">
        <f t="shared" si="36"/>
        <v>4</v>
      </c>
      <c r="D473" s="3" t="str">
        <f t="shared" si="37"/>
        <v>Wed</v>
      </c>
      <c r="E473" s="3">
        <f t="shared" si="38"/>
        <v>0</v>
      </c>
      <c r="F473" s="3">
        <f t="shared" si="39"/>
        <v>0</v>
      </c>
      <c r="G473" s="3" t="str">
        <f t="array" ref="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3">
        <f>COUNTIF(Events!$A$2:$A$397,$A473)</f>
        <v>0</v>
      </c>
      <c r="I473" s="25" t="str">
        <f t="array" ref="I473">_xlfn.TEXTJOIN(" | ",TRUE(),IF(Events!$A$2:$A$397=$A473,Events!$E$2:$E$397&amp;IF(Events!$G$2:$G$397="National",""," ["&amp;Events!$G$2:$G$397&amp;"]"),""))</f>
        <v/>
      </c>
    </row>
    <row r="474" spans="1:9" ht="15" customHeight="1" x14ac:dyDescent="0.35">
      <c r="A474" s="2">
        <v>45764</v>
      </c>
      <c r="B474" s="3">
        <f t="shared" si="35"/>
        <v>2025</v>
      </c>
      <c r="C474" s="3">
        <f t="shared" si="36"/>
        <v>4</v>
      </c>
      <c r="D474" s="3" t="str">
        <f t="shared" si="37"/>
        <v>Thu</v>
      </c>
      <c r="E474" s="3">
        <f t="shared" si="38"/>
        <v>0</v>
      </c>
      <c r="F474" s="3">
        <f t="shared" si="39"/>
        <v>0</v>
      </c>
      <c r="G474" s="3" t="str">
        <f t="array" ref="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3">
        <f>COUNTIF(Events!$A$2:$A$397,$A474)</f>
        <v>0</v>
      </c>
      <c r="I474" s="25" t="str">
        <f t="array" ref="I474">_xlfn.TEXTJOIN(" | ",TRUE(),IF(Events!$A$2:$A$397=$A474,Events!$E$2:$E$397&amp;IF(Events!$G$2:$G$397="National",""," ["&amp;Events!$G$2:$G$397&amp;"]"),""))</f>
        <v/>
      </c>
    </row>
    <row r="475" spans="1:9" ht="15" customHeight="1" x14ac:dyDescent="0.35">
      <c r="A475" s="2">
        <v>45765</v>
      </c>
      <c r="B475" s="3">
        <f t="shared" si="35"/>
        <v>2025</v>
      </c>
      <c r="C475" s="3">
        <f t="shared" si="36"/>
        <v>4</v>
      </c>
      <c r="D475" s="3" t="str">
        <f t="shared" si="37"/>
        <v>Fri</v>
      </c>
      <c r="E475" s="3">
        <f t="shared" si="38"/>
        <v>0</v>
      </c>
      <c r="F475" s="3">
        <f t="shared" si="39"/>
        <v>0</v>
      </c>
      <c r="G475" s="3" t="str">
        <f t="array" ref="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3">
        <f>COUNTIF(Events!$A$2:$A$397,$A475)</f>
        <v>0</v>
      </c>
      <c r="I475" s="25" t="str">
        <f t="array" ref="I475">_xlfn.TEXTJOIN(" | ",TRUE(),IF(Events!$A$2:$A$397=$A475,Events!$E$2:$E$397&amp;IF(Events!$G$2:$G$397="National",""," ["&amp;Events!$G$2:$G$397&amp;"]"),""))</f>
        <v/>
      </c>
    </row>
    <row r="476" spans="1:9" ht="15" customHeight="1" x14ac:dyDescent="0.35">
      <c r="A476" s="2">
        <v>45766</v>
      </c>
      <c r="B476" s="3">
        <f t="shared" si="35"/>
        <v>2025</v>
      </c>
      <c r="C476" s="3">
        <f t="shared" si="36"/>
        <v>4</v>
      </c>
      <c r="D476" s="3" t="str">
        <f t="shared" si="37"/>
        <v>Sat</v>
      </c>
      <c r="E476" s="3">
        <f t="shared" si="38"/>
        <v>0</v>
      </c>
      <c r="F476" s="3">
        <f t="shared" si="39"/>
        <v>0</v>
      </c>
      <c r="G476" s="3" t="str">
        <f t="array" ref="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3">
        <f>COUNTIF(Events!$A$2:$A$397,$A476)</f>
        <v>0</v>
      </c>
      <c r="I476" s="25" t="str">
        <f t="array" ref="I476">_xlfn.TEXTJOIN(" | ",TRUE(),IF(Events!$A$2:$A$397=$A476,Events!$E$2:$E$397&amp;IF(Events!$G$2:$G$397="National",""," ["&amp;Events!$G$2:$G$397&amp;"]"),""))</f>
        <v/>
      </c>
    </row>
    <row r="477" spans="1:9" ht="15" customHeight="1" x14ac:dyDescent="0.35">
      <c r="A477" s="2">
        <v>45767</v>
      </c>
      <c r="B477" s="3">
        <f t="shared" si="35"/>
        <v>2025</v>
      </c>
      <c r="C477" s="3">
        <f t="shared" si="36"/>
        <v>4</v>
      </c>
      <c r="D477" s="3" t="str">
        <f t="shared" si="37"/>
        <v>Sun</v>
      </c>
      <c r="E477" s="3">
        <f t="shared" si="38"/>
        <v>0</v>
      </c>
      <c r="F477" s="3">
        <f t="shared" si="39"/>
        <v>0</v>
      </c>
      <c r="G477" s="3" t="str">
        <f t="array" ref="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3">
        <f>COUNTIF(Events!$A$2:$A$397,$A477)</f>
        <v>0</v>
      </c>
      <c r="I477" s="25" t="str">
        <f t="array" ref="I477">_xlfn.TEXTJOIN(" | ",TRUE(),IF(Events!$A$2:$A$397=$A477,Events!$E$2:$E$397&amp;IF(Events!$G$2:$G$397="National",""," ["&amp;Events!$G$2:$G$397&amp;"]"),""))</f>
        <v/>
      </c>
    </row>
    <row r="478" spans="1:9" ht="15" customHeight="1" x14ac:dyDescent="0.35">
      <c r="A478" s="2">
        <v>45768</v>
      </c>
      <c r="B478" s="3">
        <f t="shared" si="35"/>
        <v>2025</v>
      </c>
      <c r="C478" s="3">
        <f t="shared" si="36"/>
        <v>4</v>
      </c>
      <c r="D478" s="3" t="str">
        <f t="shared" si="37"/>
        <v>Mon</v>
      </c>
      <c r="E478" s="3">
        <f t="shared" si="38"/>
        <v>0</v>
      </c>
      <c r="F478" s="3">
        <f t="shared" si="39"/>
        <v>0</v>
      </c>
      <c r="G478" s="3" t="str">
        <f t="array" ref="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3">
        <f>COUNTIF(Events!$A$2:$A$397,$A478)</f>
        <v>0</v>
      </c>
      <c r="I478" s="25" t="str">
        <f t="array" ref="I478">_xlfn.TEXTJOIN(" | ",TRUE(),IF(Events!$A$2:$A$397=$A478,Events!$E$2:$E$397&amp;IF(Events!$G$2:$G$397="National",""," ["&amp;Events!$G$2:$G$397&amp;"]"),""))</f>
        <v/>
      </c>
    </row>
    <row r="479" spans="1:9" ht="15" customHeight="1" x14ac:dyDescent="0.35">
      <c r="A479" s="2">
        <v>45769</v>
      </c>
      <c r="B479" s="3">
        <f t="shared" si="35"/>
        <v>2025</v>
      </c>
      <c r="C479" s="3">
        <f t="shared" si="36"/>
        <v>4</v>
      </c>
      <c r="D479" s="3" t="str">
        <f t="shared" si="37"/>
        <v>Tue</v>
      </c>
      <c r="E479" s="3">
        <f t="shared" si="38"/>
        <v>0</v>
      </c>
      <c r="F479" s="3">
        <f t="shared" si="39"/>
        <v>0</v>
      </c>
      <c r="G479" s="3" t="str">
        <f t="array" ref="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3">
        <f>COUNTIF(Events!$A$2:$A$397,$A479)</f>
        <v>0</v>
      </c>
      <c r="I479" s="25" t="str">
        <f t="array" ref="I479">_xlfn.TEXTJOIN(" | ",TRUE(),IF(Events!$A$2:$A$397=$A479,Events!$E$2:$E$397&amp;IF(Events!$G$2:$G$397="National",""," ["&amp;Events!$G$2:$G$397&amp;"]"),""))</f>
        <v/>
      </c>
    </row>
    <row r="480" spans="1:9" ht="15" customHeight="1" x14ac:dyDescent="0.35">
      <c r="A480" s="2">
        <v>45770</v>
      </c>
      <c r="B480" s="3">
        <f t="shared" si="35"/>
        <v>2025</v>
      </c>
      <c r="C480" s="3">
        <f t="shared" si="36"/>
        <v>4</v>
      </c>
      <c r="D480" s="3" t="str">
        <f t="shared" si="37"/>
        <v>Wed</v>
      </c>
      <c r="E480" s="3">
        <f t="shared" si="38"/>
        <v>0</v>
      </c>
      <c r="F480" s="3">
        <f t="shared" si="39"/>
        <v>0</v>
      </c>
      <c r="G480" s="3" t="str">
        <f t="array" ref="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3">
        <f>COUNTIF(Events!$A$2:$A$397,$A480)</f>
        <v>0</v>
      </c>
      <c r="I480" s="25" t="str">
        <f t="array" ref="I480">_xlfn.TEXTJOIN(" | ",TRUE(),IF(Events!$A$2:$A$397=$A480,Events!$E$2:$E$397&amp;IF(Events!$G$2:$G$397="National",""," ["&amp;Events!$G$2:$G$397&amp;"]"),""))</f>
        <v/>
      </c>
    </row>
    <row r="481" spans="1:9" ht="15" customHeight="1" x14ac:dyDescent="0.35">
      <c r="A481" s="2">
        <v>45771</v>
      </c>
      <c r="B481" s="3">
        <f t="shared" si="35"/>
        <v>2025</v>
      </c>
      <c r="C481" s="3">
        <f t="shared" si="36"/>
        <v>4</v>
      </c>
      <c r="D481" s="3" t="str">
        <f t="shared" si="37"/>
        <v>Thu</v>
      </c>
      <c r="E481" s="3">
        <f t="shared" si="38"/>
        <v>0</v>
      </c>
      <c r="F481" s="3">
        <f t="shared" si="39"/>
        <v>0</v>
      </c>
      <c r="G481" s="3" t="str">
        <f t="array" ref="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3">
        <f>COUNTIF(Events!$A$2:$A$397,$A481)</f>
        <v>0</v>
      </c>
      <c r="I481" s="25" t="str">
        <f t="array" ref="I481">_xlfn.TEXTJOIN(" | ",TRUE(),IF(Events!$A$2:$A$397=$A481,Events!$E$2:$E$397&amp;IF(Events!$G$2:$G$397="National",""," ["&amp;Events!$G$2:$G$397&amp;"]"),""))</f>
        <v/>
      </c>
    </row>
    <row r="482" spans="1:9" ht="15" customHeight="1" x14ac:dyDescent="0.35">
      <c r="A482" s="2">
        <v>45772</v>
      </c>
      <c r="B482" s="3">
        <f t="shared" si="35"/>
        <v>2025</v>
      </c>
      <c r="C482" s="3">
        <f t="shared" si="36"/>
        <v>4</v>
      </c>
      <c r="D482" s="3" t="str">
        <f t="shared" si="37"/>
        <v>Fri</v>
      </c>
      <c r="E482" s="3">
        <f t="shared" si="38"/>
        <v>0</v>
      </c>
      <c r="F482" s="3">
        <f t="shared" si="39"/>
        <v>0</v>
      </c>
      <c r="G482" s="3" t="str">
        <f t="array" ref="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3">
        <f>COUNTIF(Events!$A$2:$A$397,$A482)</f>
        <v>0</v>
      </c>
      <c r="I482" s="25" t="str">
        <f t="array" ref="I482">_xlfn.TEXTJOIN(" | ",TRUE(),IF(Events!$A$2:$A$397=$A482,Events!$E$2:$E$397&amp;IF(Events!$G$2:$G$397="National",""," ["&amp;Events!$G$2:$G$397&amp;"]"),""))</f>
        <v/>
      </c>
    </row>
    <row r="483" spans="1:9" ht="15" customHeight="1" x14ac:dyDescent="0.35">
      <c r="A483" s="2">
        <v>45773</v>
      </c>
      <c r="B483" s="3">
        <f t="shared" si="35"/>
        <v>2025</v>
      </c>
      <c r="C483" s="3">
        <f t="shared" si="36"/>
        <v>4</v>
      </c>
      <c r="D483" s="3" t="str">
        <f t="shared" si="37"/>
        <v>Sat</v>
      </c>
      <c r="E483" s="3">
        <f t="shared" si="38"/>
        <v>0</v>
      </c>
      <c r="F483" s="3">
        <f t="shared" si="39"/>
        <v>0</v>
      </c>
      <c r="G483" s="3" t="str">
        <f t="array" ref="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3">
        <f>COUNTIF(Events!$A$2:$A$397,$A483)</f>
        <v>0</v>
      </c>
      <c r="I483" s="25" t="str">
        <f t="array" ref="I483">_xlfn.TEXTJOIN(" | ",TRUE(),IF(Events!$A$2:$A$397=$A483,Events!$E$2:$E$397&amp;IF(Events!$G$2:$G$397="National",""," ["&amp;Events!$G$2:$G$397&amp;"]"),""))</f>
        <v/>
      </c>
    </row>
    <row r="484" spans="1:9" ht="15" customHeight="1" x14ac:dyDescent="0.35">
      <c r="A484" s="2">
        <v>45774</v>
      </c>
      <c r="B484" s="3">
        <f t="shared" si="35"/>
        <v>2025</v>
      </c>
      <c r="C484" s="3">
        <f t="shared" si="36"/>
        <v>4</v>
      </c>
      <c r="D484" s="3" t="str">
        <f t="shared" si="37"/>
        <v>Sun</v>
      </c>
      <c r="E484" s="3">
        <f t="shared" si="38"/>
        <v>0</v>
      </c>
      <c r="F484" s="3">
        <f t="shared" si="39"/>
        <v>0</v>
      </c>
      <c r="G484" s="3" t="str">
        <f t="array" ref="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3">
        <f>COUNTIF(Events!$A$2:$A$397,$A484)</f>
        <v>0</v>
      </c>
      <c r="I484" s="25" t="str">
        <f t="array" ref="I484">_xlfn.TEXTJOIN(" | ",TRUE(),IF(Events!$A$2:$A$397=$A484,Events!$E$2:$E$397&amp;IF(Events!$G$2:$G$397="National",""," ["&amp;Events!$G$2:$G$397&amp;"]"),""))</f>
        <v/>
      </c>
    </row>
    <row r="485" spans="1:9" ht="15" customHeight="1" x14ac:dyDescent="0.35">
      <c r="A485" s="2">
        <v>45775</v>
      </c>
      <c r="B485" s="3">
        <f t="shared" si="35"/>
        <v>2025</v>
      </c>
      <c r="C485" s="3">
        <f t="shared" si="36"/>
        <v>4</v>
      </c>
      <c r="D485" s="3" t="str">
        <f t="shared" si="37"/>
        <v>Mon</v>
      </c>
      <c r="E485" s="3">
        <f t="shared" si="38"/>
        <v>0</v>
      </c>
      <c r="F485" s="3">
        <f t="shared" si="39"/>
        <v>0</v>
      </c>
      <c r="G485" s="3" t="str">
        <f t="array" ref="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3">
        <f>COUNTIF(Events!$A$2:$A$397,$A485)</f>
        <v>0</v>
      </c>
      <c r="I485" s="25" t="str">
        <f t="array" ref="I485">_xlfn.TEXTJOIN(" | ",TRUE(),IF(Events!$A$2:$A$397=$A485,Events!$E$2:$E$397&amp;IF(Events!$G$2:$G$397="National",""," ["&amp;Events!$G$2:$G$397&amp;"]"),""))</f>
        <v/>
      </c>
    </row>
    <row r="486" spans="1:9" ht="15" customHeight="1" x14ac:dyDescent="0.35">
      <c r="A486" s="2">
        <v>45776</v>
      </c>
      <c r="B486" s="3">
        <f t="shared" si="35"/>
        <v>2025</v>
      </c>
      <c r="C486" s="3">
        <f t="shared" si="36"/>
        <v>4</v>
      </c>
      <c r="D486" s="3" t="str">
        <f t="shared" si="37"/>
        <v>Tue</v>
      </c>
      <c r="E486" s="3">
        <f t="shared" si="38"/>
        <v>0</v>
      </c>
      <c r="F486" s="3">
        <f t="shared" si="39"/>
        <v>0</v>
      </c>
      <c r="G486" s="3" t="str">
        <f t="array" ref="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v>
      </c>
      <c r="H486" s="3">
        <f>COUNTIF(Events!$A$2:$A$397,$A486)</f>
        <v>0</v>
      </c>
      <c r="I486" s="25" t="str">
        <f t="array" ref="I486">_xlfn.TEXTJOIN(" | ",TRUE(),IF(Events!$A$2:$A$397=$A486,Events!$E$2:$E$397&amp;IF(Events!$G$2:$G$397="National",""," ["&amp;Events!$G$2:$G$397&amp;"]"),""))</f>
        <v/>
      </c>
    </row>
    <row r="487" spans="1:9" ht="15" customHeight="1" x14ac:dyDescent="0.35">
      <c r="A487" s="2">
        <v>45777</v>
      </c>
      <c r="B487" s="3">
        <f t="shared" si="35"/>
        <v>2025</v>
      </c>
      <c r="C487" s="3">
        <f t="shared" si="36"/>
        <v>4</v>
      </c>
      <c r="D487" s="3" t="str">
        <f t="shared" si="37"/>
        <v>Wed</v>
      </c>
      <c r="E487" s="3">
        <f t="shared" si="38"/>
        <v>0</v>
      </c>
      <c r="F487" s="3">
        <f t="shared" si="39"/>
        <v>0</v>
      </c>
      <c r="G487" s="3" t="str">
        <f t="array" ref="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 | Disaster SEP ended: Tropical Storm [NC] EM-3617 | Disaster SEP ended: Tropical Storm [NC] DR-4827 | Disaster SEP ended: Fire [CA] FM-5548</v>
      </c>
      <c r="H487" s="3">
        <f>COUNTIF(Events!$A$2:$A$397,$A487)</f>
        <v>0</v>
      </c>
      <c r="I487" s="25" t="str">
        <f t="array" ref="I487">_xlfn.TEXTJOIN(" | ",TRUE(),IF(Events!$A$2:$A$397=$A487,Events!$E$2:$E$397&amp;IF(Events!$G$2:$G$397="National",""," ["&amp;Events!$G$2:$G$397&amp;"]"),""))</f>
        <v/>
      </c>
    </row>
    <row r="488" spans="1:9" ht="15" customHeight="1" x14ac:dyDescent="0.35">
      <c r="A488" s="2">
        <v>45778</v>
      </c>
      <c r="B488" s="3">
        <f t="shared" si="35"/>
        <v>2025</v>
      </c>
      <c r="C488" s="3">
        <f t="shared" si="36"/>
        <v>5</v>
      </c>
      <c r="D488" s="3" t="str">
        <f t="shared" si="37"/>
        <v>Thu</v>
      </c>
      <c r="E488" s="3">
        <f t="shared" si="38"/>
        <v>0</v>
      </c>
      <c r="F488" s="3">
        <f t="shared" si="39"/>
        <v>0</v>
      </c>
      <c r="G488" s="3" t="str">
        <f t="array" ref="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3">
        <f>COUNTIF(Events!$A$2:$A$397,$A488)</f>
        <v>0</v>
      </c>
      <c r="I488" s="25" t="str">
        <f t="array" ref="I488">_xlfn.TEXTJOIN(" | ",TRUE(),IF(Events!$A$2:$A$397=$A488,Events!$E$2:$E$397&amp;IF(Events!$G$2:$G$397="National",""," ["&amp;Events!$G$2:$G$397&amp;"]"),""))</f>
        <v/>
      </c>
    </row>
    <row r="489" spans="1:9" ht="15" customHeight="1" x14ac:dyDescent="0.35">
      <c r="A489" s="2">
        <v>45779</v>
      </c>
      <c r="B489" s="3">
        <f t="shared" si="35"/>
        <v>2025</v>
      </c>
      <c r="C489" s="3">
        <f t="shared" si="36"/>
        <v>5</v>
      </c>
      <c r="D489" s="3" t="str">
        <f t="shared" si="37"/>
        <v>Fri</v>
      </c>
      <c r="E489" s="3">
        <f t="shared" si="38"/>
        <v>0</v>
      </c>
      <c r="F489" s="3">
        <f t="shared" si="39"/>
        <v>0</v>
      </c>
      <c r="G489" s="3" t="str">
        <f t="array" ref="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3">
        <f>COUNTIF(Events!$A$2:$A$397,$A489)</f>
        <v>0</v>
      </c>
      <c r="I489" s="25" t="str">
        <f t="array" ref="I489">_xlfn.TEXTJOIN(" | ",TRUE(),IF(Events!$A$2:$A$397=$A489,Events!$E$2:$E$397&amp;IF(Events!$G$2:$G$397="National",""," ["&amp;Events!$G$2:$G$397&amp;"]"),""))</f>
        <v/>
      </c>
    </row>
    <row r="490" spans="1:9" ht="15" customHeight="1" x14ac:dyDescent="0.35">
      <c r="A490" s="2">
        <v>45780</v>
      </c>
      <c r="B490" s="3">
        <f t="shared" si="35"/>
        <v>2025</v>
      </c>
      <c r="C490" s="3">
        <f t="shared" si="36"/>
        <v>5</v>
      </c>
      <c r="D490" s="3" t="str">
        <f t="shared" si="37"/>
        <v>Sat</v>
      </c>
      <c r="E490" s="3">
        <f t="shared" si="38"/>
        <v>0</v>
      </c>
      <c r="F490" s="3">
        <f t="shared" si="39"/>
        <v>0</v>
      </c>
      <c r="G490" s="3" t="str">
        <f t="array" ref="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3">
        <f>COUNTIF(Events!$A$2:$A$397,$A490)</f>
        <v>0</v>
      </c>
      <c r="I490" s="25" t="str">
        <f t="array" ref="I490">_xlfn.TEXTJOIN(" | ",TRUE(),IF(Events!$A$2:$A$397=$A490,Events!$E$2:$E$397&amp;IF(Events!$G$2:$G$397="National",""," ["&amp;Events!$G$2:$G$397&amp;"]"),""))</f>
        <v/>
      </c>
    </row>
    <row r="491" spans="1:9" ht="15" customHeight="1" x14ac:dyDescent="0.35">
      <c r="A491" s="2">
        <v>45781</v>
      </c>
      <c r="B491" s="3">
        <f t="shared" si="35"/>
        <v>2025</v>
      </c>
      <c r="C491" s="3">
        <f t="shared" si="36"/>
        <v>5</v>
      </c>
      <c r="D491" s="3" t="str">
        <f t="shared" si="37"/>
        <v>Sun</v>
      </c>
      <c r="E491" s="3">
        <f t="shared" si="38"/>
        <v>0</v>
      </c>
      <c r="F491" s="3">
        <f t="shared" si="39"/>
        <v>0</v>
      </c>
      <c r="G491" s="3" t="str">
        <f t="array" ref="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3">
        <f>COUNTIF(Events!$A$2:$A$397,$A491)</f>
        <v>0</v>
      </c>
      <c r="I491" s="25" t="str">
        <f t="array" ref="I491">_xlfn.TEXTJOIN(" | ",TRUE(),IF(Events!$A$2:$A$397=$A491,Events!$E$2:$E$397&amp;IF(Events!$G$2:$G$397="National",""," ["&amp;Events!$G$2:$G$397&amp;"]"),""))</f>
        <v/>
      </c>
    </row>
    <row r="492" spans="1:9" ht="15" customHeight="1" x14ac:dyDescent="0.35">
      <c r="A492" s="2">
        <v>45782</v>
      </c>
      <c r="B492" s="3">
        <f t="shared" si="35"/>
        <v>2025</v>
      </c>
      <c r="C492" s="3">
        <f t="shared" si="36"/>
        <v>5</v>
      </c>
      <c r="D492" s="3" t="str">
        <f t="shared" si="37"/>
        <v>Mon</v>
      </c>
      <c r="E492" s="3">
        <f t="shared" si="38"/>
        <v>0</v>
      </c>
      <c r="F492" s="3">
        <f t="shared" si="39"/>
        <v>0</v>
      </c>
      <c r="G492" s="3" t="str">
        <f t="array" ref="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3">
        <f>COUNTIF(Events!$A$2:$A$397,$A492)</f>
        <v>0</v>
      </c>
      <c r="I492" s="25" t="str">
        <f t="array" ref="I492">_xlfn.TEXTJOIN(" | ",TRUE(),IF(Events!$A$2:$A$397=$A492,Events!$E$2:$E$397&amp;IF(Events!$G$2:$G$397="National",""," ["&amp;Events!$G$2:$G$397&amp;"]"),""))</f>
        <v/>
      </c>
    </row>
    <row r="493" spans="1:9" ht="15" customHeight="1" x14ac:dyDescent="0.35">
      <c r="A493" s="2">
        <v>45783</v>
      </c>
      <c r="B493" s="3">
        <f t="shared" si="35"/>
        <v>2025</v>
      </c>
      <c r="C493" s="3">
        <f t="shared" si="36"/>
        <v>5</v>
      </c>
      <c r="D493" s="3" t="str">
        <f t="shared" si="37"/>
        <v>Tue</v>
      </c>
      <c r="E493" s="3">
        <f t="shared" si="38"/>
        <v>0</v>
      </c>
      <c r="F493" s="3">
        <f t="shared" si="39"/>
        <v>0</v>
      </c>
      <c r="G493" s="3" t="str">
        <f t="array" ref="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3">
        <f>COUNTIF(Events!$A$2:$A$397,$A493)</f>
        <v>0</v>
      </c>
      <c r="I493" s="25" t="str">
        <f t="array" ref="I493">_xlfn.TEXTJOIN(" | ",TRUE(),IF(Events!$A$2:$A$397=$A493,Events!$E$2:$E$397&amp;IF(Events!$G$2:$G$397="National",""," ["&amp;Events!$G$2:$G$397&amp;"]"),""))</f>
        <v/>
      </c>
    </row>
    <row r="494" spans="1:9" ht="15" customHeight="1" x14ac:dyDescent="0.35">
      <c r="A494" s="2">
        <v>45784</v>
      </c>
      <c r="B494" s="3">
        <f t="shared" si="35"/>
        <v>2025</v>
      </c>
      <c r="C494" s="3">
        <f t="shared" si="36"/>
        <v>5</v>
      </c>
      <c r="D494" s="3" t="str">
        <f t="shared" si="37"/>
        <v>Wed</v>
      </c>
      <c r="E494" s="3">
        <f t="shared" si="38"/>
        <v>0</v>
      </c>
      <c r="F494" s="3">
        <f t="shared" si="39"/>
        <v>0</v>
      </c>
      <c r="G494" s="3" t="str">
        <f t="array" ref="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3">
        <f>COUNTIF(Events!$A$2:$A$397,$A494)</f>
        <v>1</v>
      </c>
      <c r="I494" s="25" t="str">
        <f t="array" ref="I494">_xlfn.TEXTJOIN(" | ",TRUE(),IF(Events!$A$2:$A$397=$A494,Events!$E$2:$E$397&amp;IF(Events!$G$2:$G$397="National",""," ["&amp;Events!$G$2:$G$397&amp;"]"),""))</f>
        <v>Utah Medigap birthday rule takes effect (HB 258, enacted 3/26/2025): 60-day window from birthday to switch to an equal-or-lesser plan with the current insurer only, no underwriting [UT]</v>
      </c>
    </row>
    <row r="495" spans="1:9" ht="15" customHeight="1" x14ac:dyDescent="0.35">
      <c r="A495" s="2">
        <v>45785</v>
      </c>
      <c r="B495" s="3">
        <f t="shared" si="35"/>
        <v>2025</v>
      </c>
      <c r="C495" s="3">
        <f t="shared" si="36"/>
        <v>5</v>
      </c>
      <c r="D495" s="3" t="str">
        <f t="shared" si="37"/>
        <v>Thu</v>
      </c>
      <c r="E495" s="3">
        <f t="shared" si="38"/>
        <v>0</v>
      </c>
      <c r="F495" s="3">
        <f t="shared" si="39"/>
        <v>0</v>
      </c>
      <c r="G495" s="3" t="str">
        <f t="array" ref="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3">
        <f>COUNTIF(Events!$A$2:$A$397,$A495)</f>
        <v>0</v>
      </c>
      <c r="I495" s="25" t="str">
        <f t="array" ref="I495">_xlfn.TEXTJOIN(" | ",TRUE(),IF(Events!$A$2:$A$397=$A495,Events!$E$2:$E$397&amp;IF(Events!$G$2:$G$397="National",""," ["&amp;Events!$G$2:$G$397&amp;"]"),""))</f>
        <v/>
      </c>
    </row>
    <row r="496" spans="1:9" ht="15" customHeight="1" x14ac:dyDescent="0.35">
      <c r="A496" s="2">
        <v>45786</v>
      </c>
      <c r="B496" s="3">
        <f t="shared" si="35"/>
        <v>2025</v>
      </c>
      <c r="C496" s="3">
        <f t="shared" si="36"/>
        <v>5</v>
      </c>
      <c r="D496" s="3" t="str">
        <f t="shared" si="37"/>
        <v>Fri</v>
      </c>
      <c r="E496" s="3">
        <f t="shared" si="38"/>
        <v>0</v>
      </c>
      <c r="F496" s="3">
        <f t="shared" si="39"/>
        <v>0</v>
      </c>
      <c r="G496" s="3" t="str">
        <f t="array" ref="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3">
        <f>COUNTIF(Events!$A$2:$A$397,$A496)</f>
        <v>0</v>
      </c>
      <c r="I496" s="25" t="str">
        <f t="array" ref="I496">_xlfn.TEXTJOIN(" | ",TRUE(),IF(Events!$A$2:$A$397=$A496,Events!$E$2:$E$397&amp;IF(Events!$G$2:$G$397="National",""," ["&amp;Events!$G$2:$G$397&amp;"]"),""))</f>
        <v/>
      </c>
    </row>
    <row r="497" spans="1:9" ht="15" customHeight="1" x14ac:dyDescent="0.35">
      <c r="A497" s="2">
        <v>45787</v>
      </c>
      <c r="B497" s="3">
        <f t="shared" si="35"/>
        <v>2025</v>
      </c>
      <c r="C497" s="3">
        <f t="shared" si="36"/>
        <v>5</v>
      </c>
      <c r="D497" s="3" t="str">
        <f t="shared" si="37"/>
        <v>Sat</v>
      </c>
      <c r="E497" s="3">
        <f t="shared" si="38"/>
        <v>0</v>
      </c>
      <c r="F497" s="3">
        <f t="shared" si="39"/>
        <v>0</v>
      </c>
      <c r="G497" s="3" t="str">
        <f t="array" ref="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3">
        <f>COUNTIF(Events!$A$2:$A$397,$A497)</f>
        <v>0</v>
      </c>
      <c r="I497" s="25" t="str">
        <f t="array" ref="I497">_xlfn.TEXTJOIN(" | ",TRUE(),IF(Events!$A$2:$A$397=$A497,Events!$E$2:$E$397&amp;IF(Events!$G$2:$G$397="National",""," ["&amp;Events!$G$2:$G$397&amp;"]"),""))</f>
        <v/>
      </c>
    </row>
    <row r="498" spans="1:9" ht="15" customHeight="1" x14ac:dyDescent="0.35">
      <c r="A498" s="2">
        <v>45788</v>
      </c>
      <c r="B498" s="3">
        <f t="shared" si="35"/>
        <v>2025</v>
      </c>
      <c r="C498" s="3">
        <f t="shared" si="36"/>
        <v>5</v>
      </c>
      <c r="D498" s="3" t="str">
        <f t="shared" si="37"/>
        <v>Sun</v>
      </c>
      <c r="E498" s="3">
        <f t="shared" si="38"/>
        <v>0</v>
      </c>
      <c r="F498" s="3">
        <f t="shared" si="39"/>
        <v>0</v>
      </c>
      <c r="G498" s="3" t="str">
        <f t="array" ref="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3">
        <f>COUNTIF(Events!$A$2:$A$397,$A498)</f>
        <v>0</v>
      </c>
      <c r="I498" s="25" t="str">
        <f t="array" ref="I498">_xlfn.TEXTJOIN(" | ",TRUE(),IF(Events!$A$2:$A$397=$A498,Events!$E$2:$E$397&amp;IF(Events!$G$2:$G$397="National",""," ["&amp;Events!$G$2:$G$397&amp;"]"),""))</f>
        <v/>
      </c>
    </row>
    <row r="499" spans="1:9" ht="15" customHeight="1" x14ac:dyDescent="0.35">
      <c r="A499" s="2">
        <v>45789</v>
      </c>
      <c r="B499" s="3">
        <f t="shared" si="35"/>
        <v>2025</v>
      </c>
      <c r="C499" s="3">
        <f t="shared" si="36"/>
        <v>5</v>
      </c>
      <c r="D499" s="3" t="str">
        <f t="shared" si="37"/>
        <v>Mon</v>
      </c>
      <c r="E499" s="3">
        <f t="shared" si="38"/>
        <v>0</v>
      </c>
      <c r="F499" s="3">
        <f t="shared" si="39"/>
        <v>0</v>
      </c>
      <c r="G499" s="3" t="str">
        <f t="array" ref="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3">
        <f>COUNTIF(Events!$A$2:$A$397,$A499)</f>
        <v>0</v>
      </c>
      <c r="I499" s="25" t="str">
        <f t="array" ref="I499">_xlfn.TEXTJOIN(" | ",TRUE(),IF(Events!$A$2:$A$397=$A499,Events!$E$2:$E$397&amp;IF(Events!$G$2:$G$397="National",""," ["&amp;Events!$G$2:$G$397&amp;"]"),""))</f>
        <v/>
      </c>
    </row>
    <row r="500" spans="1:9" ht="15" customHeight="1" x14ac:dyDescent="0.35">
      <c r="A500" s="2">
        <v>45790</v>
      </c>
      <c r="B500" s="3">
        <f t="shared" si="35"/>
        <v>2025</v>
      </c>
      <c r="C500" s="3">
        <f t="shared" si="36"/>
        <v>5</v>
      </c>
      <c r="D500" s="3" t="str">
        <f t="shared" si="37"/>
        <v>Tue</v>
      </c>
      <c r="E500" s="3">
        <f t="shared" si="38"/>
        <v>0</v>
      </c>
      <c r="F500" s="3">
        <f t="shared" si="39"/>
        <v>0</v>
      </c>
      <c r="G500" s="3" t="str">
        <f t="array" ref="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3">
        <f>COUNTIF(Events!$A$2:$A$397,$A500)</f>
        <v>0</v>
      </c>
      <c r="I500" s="25" t="str">
        <f t="array" ref="I500">_xlfn.TEXTJOIN(" | ",TRUE(),IF(Events!$A$2:$A$397=$A500,Events!$E$2:$E$397&amp;IF(Events!$G$2:$G$397="National",""," ["&amp;Events!$G$2:$G$397&amp;"]"),""))</f>
        <v/>
      </c>
    </row>
    <row r="501" spans="1:9" ht="15" customHeight="1" x14ac:dyDescent="0.35">
      <c r="A501" s="2">
        <v>45791</v>
      </c>
      <c r="B501" s="3">
        <f t="shared" si="35"/>
        <v>2025</v>
      </c>
      <c r="C501" s="3">
        <f t="shared" si="36"/>
        <v>5</v>
      </c>
      <c r="D501" s="3" t="str">
        <f t="shared" si="37"/>
        <v>Wed</v>
      </c>
      <c r="E501" s="3">
        <f t="shared" si="38"/>
        <v>0</v>
      </c>
      <c r="F501" s="3">
        <f t="shared" si="39"/>
        <v>0</v>
      </c>
      <c r="G501" s="3" t="str">
        <f t="array" ref="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3">
        <f>COUNTIF(Events!$A$2:$A$397,$A501)</f>
        <v>0</v>
      </c>
      <c r="I501" s="25" t="str">
        <f t="array" ref="I501">_xlfn.TEXTJOIN(" | ",TRUE(),IF(Events!$A$2:$A$397=$A501,Events!$E$2:$E$397&amp;IF(Events!$G$2:$G$397="National",""," ["&amp;Events!$G$2:$G$397&amp;"]"),""))</f>
        <v/>
      </c>
    </row>
    <row r="502" spans="1:9" ht="15" customHeight="1" x14ac:dyDescent="0.35">
      <c r="A502" s="2">
        <v>45792</v>
      </c>
      <c r="B502" s="3">
        <f t="shared" si="35"/>
        <v>2025</v>
      </c>
      <c r="C502" s="3">
        <f t="shared" si="36"/>
        <v>5</v>
      </c>
      <c r="D502" s="3" t="str">
        <f t="shared" si="37"/>
        <v>Thu</v>
      </c>
      <c r="E502" s="3">
        <f t="shared" si="38"/>
        <v>0</v>
      </c>
      <c r="F502" s="3">
        <f t="shared" si="39"/>
        <v>0</v>
      </c>
      <c r="G502" s="3" t="str">
        <f t="array" ref="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3">
        <f>COUNTIF(Events!$A$2:$A$397,$A502)</f>
        <v>0</v>
      </c>
      <c r="I502" s="25" t="str">
        <f t="array" ref="I502">_xlfn.TEXTJOIN(" | ",TRUE(),IF(Events!$A$2:$A$397=$A502,Events!$E$2:$E$397&amp;IF(Events!$G$2:$G$397="National",""," ["&amp;Events!$G$2:$G$397&amp;"]"),""))</f>
        <v/>
      </c>
    </row>
    <row r="503" spans="1:9" ht="15" customHeight="1" x14ac:dyDescent="0.35">
      <c r="A503" s="2">
        <v>45793</v>
      </c>
      <c r="B503" s="3">
        <f t="shared" si="35"/>
        <v>2025</v>
      </c>
      <c r="C503" s="3">
        <f t="shared" si="36"/>
        <v>5</v>
      </c>
      <c r="D503" s="3" t="str">
        <f t="shared" si="37"/>
        <v>Fri</v>
      </c>
      <c r="E503" s="3">
        <f t="shared" si="38"/>
        <v>0</v>
      </c>
      <c r="F503" s="3">
        <f t="shared" si="39"/>
        <v>0</v>
      </c>
      <c r="G503" s="3" t="str">
        <f t="array" ref="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3">
        <f>COUNTIF(Events!$A$2:$A$397,$A503)</f>
        <v>0</v>
      </c>
      <c r="I503" s="25" t="str">
        <f t="array" ref="I503">_xlfn.TEXTJOIN(" | ",TRUE(),IF(Events!$A$2:$A$397=$A503,Events!$E$2:$E$397&amp;IF(Events!$G$2:$G$397="National",""," ["&amp;Events!$G$2:$G$397&amp;"]"),""))</f>
        <v/>
      </c>
    </row>
    <row r="504" spans="1:9" ht="15" customHeight="1" x14ac:dyDescent="0.35">
      <c r="A504" s="2">
        <v>45794</v>
      </c>
      <c r="B504" s="3">
        <f t="shared" si="35"/>
        <v>2025</v>
      </c>
      <c r="C504" s="3">
        <f t="shared" si="36"/>
        <v>5</v>
      </c>
      <c r="D504" s="3" t="str">
        <f t="shared" si="37"/>
        <v>Sat</v>
      </c>
      <c r="E504" s="3">
        <f t="shared" si="38"/>
        <v>0</v>
      </c>
      <c r="F504" s="3">
        <f t="shared" si="39"/>
        <v>0</v>
      </c>
      <c r="G504" s="3" t="str">
        <f t="array" ref="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3">
        <f>COUNTIF(Events!$A$2:$A$397,$A504)</f>
        <v>0</v>
      </c>
      <c r="I504" s="25" t="str">
        <f t="array" ref="I504">_xlfn.TEXTJOIN(" | ",TRUE(),IF(Events!$A$2:$A$397=$A504,Events!$E$2:$E$397&amp;IF(Events!$G$2:$G$397="National",""," ["&amp;Events!$G$2:$G$397&amp;"]"),""))</f>
        <v/>
      </c>
    </row>
    <row r="505" spans="1:9" ht="15" customHeight="1" x14ac:dyDescent="0.35">
      <c r="A505" s="2">
        <v>45795</v>
      </c>
      <c r="B505" s="3">
        <f t="shared" si="35"/>
        <v>2025</v>
      </c>
      <c r="C505" s="3">
        <f t="shared" si="36"/>
        <v>5</v>
      </c>
      <c r="D505" s="3" t="str">
        <f t="shared" si="37"/>
        <v>Sun</v>
      </c>
      <c r="E505" s="3">
        <f t="shared" si="38"/>
        <v>0</v>
      </c>
      <c r="F505" s="3">
        <f t="shared" si="39"/>
        <v>0</v>
      </c>
      <c r="G505" s="3" t="str">
        <f t="array" ref="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3">
        <f>COUNTIF(Events!$A$2:$A$397,$A505)</f>
        <v>0</v>
      </c>
      <c r="I505" s="25" t="str">
        <f t="array" ref="I505">_xlfn.TEXTJOIN(" | ",TRUE(),IF(Events!$A$2:$A$397=$A505,Events!$E$2:$E$397&amp;IF(Events!$G$2:$G$397="National",""," ["&amp;Events!$G$2:$G$397&amp;"]"),""))</f>
        <v/>
      </c>
    </row>
    <row r="506" spans="1:9" ht="15" customHeight="1" x14ac:dyDescent="0.35">
      <c r="A506" s="2">
        <v>45796</v>
      </c>
      <c r="B506" s="3">
        <f t="shared" si="35"/>
        <v>2025</v>
      </c>
      <c r="C506" s="3">
        <f t="shared" si="36"/>
        <v>5</v>
      </c>
      <c r="D506" s="3" t="str">
        <f t="shared" si="37"/>
        <v>Mon</v>
      </c>
      <c r="E506" s="3">
        <f t="shared" si="38"/>
        <v>0</v>
      </c>
      <c r="F506" s="3">
        <f t="shared" si="39"/>
        <v>0</v>
      </c>
      <c r="G506" s="3" t="str">
        <f t="array" ref="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3">
        <f>COUNTIF(Events!$A$2:$A$397,$A506)</f>
        <v>0</v>
      </c>
      <c r="I506" s="25" t="str">
        <f t="array" ref="I506">_xlfn.TEXTJOIN(" | ",TRUE(),IF(Events!$A$2:$A$397=$A506,Events!$E$2:$E$397&amp;IF(Events!$G$2:$G$397="National",""," ["&amp;Events!$G$2:$G$397&amp;"]"),""))</f>
        <v/>
      </c>
    </row>
    <row r="507" spans="1:9" ht="15" customHeight="1" x14ac:dyDescent="0.35">
      <c r="A507" s="2">
        <v>45797</v>
      </c>
      <c r="B507" s="3">
        <f t="shared" si="35"/>
        <v>2025</v>
      </c>
      <c r="C507" s="3">
        <f t="shared" si="36"/>
        <v>5</v>
      </c>
      <c r="D507" s="3" t="str">
        <f t="shared" si="37"/>
        <v>Tue</v>
      </c>
      <c r="E507" s="3">
        <f t="shared" si="38"/>
        <v>0</v>
      </c>
      <c r="F507" s="3">
        <f t="shared" si="39"/>
        <v>0</v>
      </c>
      <c r="G507" s="3" t="str">
        <f t="array" ref="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3">
        <f>COUNTIF(Events!$A$2:$A$397,$A507)</f>
        <v>0</v>
      </c>
      <c r="I507" s="25" t="str">
        <f t="array" ref="I507">_xlfn.TEXTJOIN(" | ",TRUE(),IF(Events!$A$2:$A$397=$A507,Events!$E$2:$E$397&amp;IF(Events!$G$2:$G$397="National",""," ["&amp;Events!$G$2:$G$397&amp;"]"),""))</f>
        <v/>
      </c>
    </row>
    <row r="508" spans="1:9" ht="15" customHeight="1" x14ac:dyDescent="0.35">
      <c r="A508" s="2">
        <v>45798</v>
      </c>
      <c r="B508" s="3">
        <f t="shared" si="35"/>
        <v>2025</v>
      </c>
      <c r="C508" s="3">
        <f t="shared" si="36"/>
        <v>5</v>
      </c>
      <c r="D508" s="3" t="str">
        <f t="shared" si="37"/>
        <v>Wed</v>
      </c>
      <c r="E508" s="3">
        <f t="shared" si="38"/>
        <v>0</v>
      </c>
      <c r="F508" s="3">
        <f t="shared" si="39"/>
        <v>0</v>
      </c>
      <c r="G508" s="3" t="str">
        <f t="array" ref="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3">
        <f>COUNTIF(Events!$A$2:$A$397,$A508)</f>
        <v>0</v>
      </c>
      <c r="I508" s="25" t="str">
        <f t="array" ref="I508">_xlfn.TEXTJOIN(" | ",TRUE(),IF(Events!$A$2:$A$397=$A508,Events!$E$2:$E$397&amp;IF(Events!$G$2:$G$397="National",""," ["&amp;Events!$G$2:$G$397&amp;"]"),""))</f>
        <v/>
      </c>
    </row>
    <row r="509" spans="1:9" ht="15" customHeight="1" x14ac:dyDescent="0.35">
      <c r="A509" s="2">
        <v>45799</v>
      </c>
      <c r="B509" s="3">
        <f t="shared" si="35"/>
        <v>2025</v>
      </c>
      <c r="C509" s="3">
        <f t="shared" si="36"/>
        <v>5</v>
      </c>
      <c r="D509" s="3" t="str">
        <f t="shared" si="37"/>
        <v>Thu</v>
      </c>
      <c r="E509" s="3">
        <f t="shared" si="38"/>
        <v>0</v>
      </c>
      <c r="F509" s="3">
        <f t="shared" si="39"/>
        <v>0</v>
      </c>
      <c r="G509" s="3" t="str">
        <f t="array" ref="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3">
        <f>COUNTIF(Events!$A$2:$A$397,$A509)</f>
        <v>0</v>
      </c>
      <c r="I509" s="25" t="str">
        <f t="array" ref="I509">_xlfn.TEXTJOIN(" | ",TRUE(),IF(Events!$A$2:$A$397=$A509,Events!$E$2:$E$397&amp;IF(Events!$G$2:$G$397="National",""," ["&amp;Events!$G$2:$G$397&amp;"]"),""))</f>
        <v/>
      </c>
    </row>
    <row r="510" spans="1:9" ht="15" customHeight="1" x14ac:dyDescent="0.35">
      <c r="A510" s="2">
        <v>45800</v>
      </c>
      <c r="B510" s="3">
        <f t="shared" si="35"/>
        <v>2025</v>
      </c>
      <c r="C510" s="3">
        <f t="shared" si="36"/>
        <v>5</v>
      </c>
      <c r="D510" s="3" t="str">
        <f t="shared" si="37"/>
        <v>Fri</v>
      </c>
      <c r="E510" s="3">
        <f t="shared" si="38"/>
        <v>0</v>
      </c>
      <c r="F510" s="3">
        <f t="shared" si="39"/>
        <v>0</v>
      </c>
      <c r="G510" s="3" t="str">
        <f t="array" ref="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3">
        <f>COUNTIF(Events!$A$2:$A$397,$A510)</f>
        <v>0</v>
      </c>
      <c r="I510" s="25" t="str">
        <f t="array" ref="I510">_xlfn.TEXTJOIN(" | ",TRUE(),IF(Events!$A$2:$A$397=$A510,Events!$E$2:$E$397&amp;IF(Events!$G$2:$G$397="National",""," ["&amp;Events!$G$2:$G$397&amp;"]"),""))</f>
        <v/>
      </c>
    </row>
    <row r="511" spans="1:9" ht="15" customHeight="1" x14ac:dyDescent="0.35">
      <c r="A511" s="2">
        <v>45801</v>
      </c>
      <c r="B511" s="3">
        <f t="shared" si="35"/>
        <v>2025</v>
      </c>
      <c r="C511" s="3">
        <f t="shared" si="36"/>
        <v>5</v>
      </c>
      <c r="D511" s="3" t="str">
        <f t="shared" si="37"/>
        <v>Sat</v>
      </c>
      <c r="E511" s="3">
        <f t="shared" si="38"/>
        <v>0</v>
      </c>
      <c r="F511" s="3">
        <f t="shared" si="39"/>
        <v>0</v>
      </c>
      <c r="G511" s="3" t="str">
        <f t="array" ref="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3">
        <f>COUNTIF(Events!$A$2:$A$397,$A511)</f>
        <v>0</v>
      </c>
      <c r="I511" s="25" t="str">
        <f t="array" ref="I511">_xlfn.TEXTJOIN(" | ",TRUE(),IF(Events!$A$2:$A$397=$A511,Events!$E$2:$E$397&amp;IF(Events!$G$2:$G$397="National",""," ["&amp;Events!$G$2:$G$397&amp;"]"),""))</f>
        <v/>
      </c>
    </row>
    <row r="512" spans="1:9" ht="15" customHeight="1" x14ac:dyDescent="0.35">
      <c r="A512" s="2">
        <v>45802</v>
      </c>
      <c r="B512" s="3">
        <f t="shared" si="35"/>
        <v>2025</v>
      </c>
      <c r="C512" s="3">
        <f t="shared" si="36"/>
        <v>5</v>
      </c>
      <c r="D512" s="3" t="str">
        <f t="shared" si="37"/>
        <v>Sun</v>
      </c>
      <c r="E512" s="3">
        <f t="shared" si="38"/>
        <v>0</v>
      </c>
      <c r="F512" s="3">
        <f t="shared" si="39"/>
        <v>0</v>
      </c>
      <c r="G512" s="3" t="str">
        <f t="array" ref="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3">
        <f>COUNTIF(Events!$A$2:$A$397,$A512)</f>
        <v>0</v>
      </c>
      <c r="I512" s="25" t="str">
        <f t="array" ref="I512">_xlfn.TEXTJOIN(" | ",TRUE(),IF(Events!$A$2:$A$397=$A512,Events!$E$2:$E$397&amp;IF(Events!$G$2:$G$397="National",""," ["&amp;Events!$G$2:$G$397&amp;"]"),""))</f>
        <v/>
      </c>
    </row>
    <row r="513" spans="1:9" ht="15" customHeight="1" x14ac:dyDescent="0.35">
      <c r="A513" s="2">
        <v>45803</v>
      </c>
      <c r="B513" s="3">
        <f t="shared" si="35"/>
        <v>2025</v>
      </c>
      <c r="C513" s="3">
        <f t="shared" si="36"/>
        <v>5</v>
      </c>
      <c r="D513" s="3" t="str">
        <f t="shared" si="37"/>
        <v>Mon</v>
      </c>
      <c r="E513" s="3">
        <f t="shared" si="38"/>
        <v>0</v>
      </c>
      <c r="F513" s="3">
        <f t="shared" si="39"/>
        <v>0</v>
      </c>
      <c r="G513" s="3" t="str">
        <f t="array" ref="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3">
        <f>COUNTIF(Events!$A$2:$A$397,$A513)</f>
        <v>0</v>
      </c>
      <c r="I513" s="25" t="str">
        <f t="array" ref="I513">_xlfn.TEXTJOIN(" | ",TRUE(),IF(Events!$A$2:$A$397=$A513,Events!$E$2:$E$397&amp;IF(Events!$G$2:$G$397="National",""," ["&amp;Events!$G$2:$G$397&amp;"]"),""))</f>
        <v/>
      </c>
    </row>
    <row r="514" spans="1:9" ht="15" customHeight="1" x14ac:dyDescent="0.35">
      <c r="A514" s="2">
        <v>45804</v>
      </c>
      <c r="B514" s="3">
        <f t="shared" ref="B514:B577" si="40">YEAR($A514)</f>
        <v>2025</v>
      </c>
      <c r="C514" s="3">
        <f t="shared" ref="C514:C577" si="41">MONTH($A514)</f>
        <v>5</v>
      </c>
      <c r="D514" s="3" t="str">
        <f t="shared" ref="D514:D577" si="42">TEXT($A514,"ddd")</f>
        <v>Tue</v>
      </c>
      <c r="E514" s="3">
        <f t="shared" ref="E514:E577" si="43">IF(OR(AND(MONTH($A514)=10,DAY($A514)&gt;=15),MONTH($A514)=11,AND(MONTH($A514)=12,DAY($A514)&lt;=7)),1,0)</f>
        <v>0</v>
      </c>
      <c r="F514" s="3">
        <f t="shared" ref="F514:F577" si="44">IF(MONTH($A514)&lt;=3,1,0)</f>
        <v>0</v>
      </c>
      <c r="G514" s="3" t="str">
        <f t="array" ref="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3">
        <f>COUNTIF(Events!$A$2:$A$397,$A514)</f>
        <v>0</v>
      </c>
      <c r="I514" s="25" t="str">
        <f t="array" ref="I514">_xlfn.TEXTJOIN(" | ",TRUE(),IF(Events!$A$2:$A$397=$A514,Events!$E$2:$E$397&amp;IF(Events!$G$2:$G$397="National",""," ["&amp;Events!$G$2:$G$397&amp;"]"),""))</f>
        <v/>
      </c>
    </row>
    <row r="515" spans="1:9" ht="15" customHeight="1" x14ac:dyDescent="0.35">
      <c r="A515" s="2">
        <v>45805</v>
      </c>
      <c r="B515" s="3">
        <f t="shared" si="40"/>
        <v>2025</v>
      </c>
      <c r="C515" s="3">
        <f t="shared" si="41"/>
        <v>5</v>
      </c>
      <c r="D515" s="3" t="str">
        <f t="shared" si="42"/>
        <v>Wed</v>
      </c>
      <c r="E515" s="3">
        <f t="shared" si="43"/>
        <v>0</v>
      </c>
      <c r="F515" s="3">
        <f t="shared" si="44"/>
        <v>0</v>
      </c>
      <c r="G515" s="3" t="str">
        <f t="array" ref="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3">
        <f>COUNTIF(Events!$A$2:$A$397,$A515)</f>
        <v>0</v>
      </c>
      <c r="I515" s="25" t="str">
        <f t="array" ref="I515">_xlfn.TEXTJOIN(" | ",TRUE(),IF(Events!$A$2:$A$397=$A515,Events!$E$2:$E$397&amp;IF(Events!$G$2:$G$397="National",""," ["&amp;Events!$G$2:$G$397&amp;"]"),""))</f>
        <v/>
      </c>
    </row>
    <row r="516" spans="1:9" ht="15" customHeight="1" x14ac:dyDescent="0.35">
      <c r="A516" s="2">
        <v>45806</v>
      </c>
      <c r="B516" s="3">
        <f t="shared" si="40"/>
        <v>2025</v>
      </c>
      <c r="C516" s="3">
        <f t="shared" si="41"/>
        <v>5</v>
      </c>
      <c r="D516" s="3" t="str">
        <f t="shared" si="42"/>
        <v>Thu</v>
      </c>
      <c r="E516" s="3">
        <f t="shared" si="43"/>
        <v>0</v>
      </c>
      <c r="F516" s="3">
        <f t="shared" si="44"/>
        <v>0</v>
      </c>
      <c r="G516" s="3" t="str">
        <f t="array" ref="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3">
        <f>COUNTIF(Events!$A$2:$A$397,$A516)</f>
        <v>0</v>
      </c>
      <c r="I516" s="25" t="str">
        <f t="array" ref="I516">_xlfn.TEXTJOIN(" | ",TRUE(),IF(Events!$A$2:$A$397=$A516,Events!$E$2:$E$397&amp;IF(Events!$G$2:$G$397="National",""," ["&amp;Events!$G$2:$G$397&amp;"]"),""))</f>
        <v/>
      </c>
    </row>
    <row r="517" spans="1:9" ht="15" customHeight="1" x14ac:dyDescent="0.35">
      <c r="A517" s="2">
        <v>45807</v>
      </c>
      <c r="B517" s="3">
        <f t="shared" si="40"/>
        <v>2025</v>
      </c>
      <c r="C517" s="3">
        <f t="shared" si="41"/>
        <v>5</v>
      </c>
      <c r="D517" s="3" t="str">
        <f t="shared" si="42"/>
        <v>Fri</v>
      </c>
      <c r="E517" s="3">
        <f t="shared" si="43"/>
        <v>0</v>
      </c>
      <c r="F517" s="3">
        <f t="shared" si="44"/>
        <v>0</v>
      </c>
      <c r="G517" s="3" t="str">
        <f t="array" ref="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
      </c>
      <c r="H517" s="3">
        <f>COUNTIF(Events!$A$2:$A$397,$A517)</f>
        <v>0</v>
      </c>
      <c r="I517" s="25" t="str">
        <f t="array" ref="I517">_xlfn.TEXTJOIN(" | ",TRUE(),IF(Events!$A$2:$A$397=$A517,Events!$E$2:$E$397&amp;IF(Events!$G$2:$G$397="National",""," ["&amp;Events!$G$2:$G$397&amp;"]"),""))</f>
        <v/>
      </c>
    </row>
    <row r="518" spans="1:9" ht="15" customHeight="1" x14ac:dyDescent="0.35">
      <c r="A518" s="2">
        <v>45808</v>
      </c>
      <c r="B518" s="3">
        <f t="shared" si="40"/>
        <v>2025</v>
      </c>
      <c r="C518" s="3">
        <f t="shared" si="41"/>
        <v>5</v>
      </c>
      <c r="D518" s="3" t="str">
        <f t="shared" si="42"/>
        <v>Sat</v>
      </c>
      <c r="E518" s="3">
        <f t="shared" si="43"/>
        <v>0</v>
      </c>
      <c r="F518" s="3">
        <f t="shared" si="44"/>
        <v>0</v>
      </c>
      <c r="G518" s="3" t="str">
        <f t="array" ref="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 | Disaster SEP ended: Fire [CA] DR-4856</v>
      </c>
      <c r="H518" s="3">
        <f>COUNTIF(Events!$A$2:$A$397,$A518)</f>
        <v>0</v>
      </c>
      <c r="I518" s="25" t="str">
        <f t="array" ref="I518">_xlfn.TEXTJOIN(" | ",TRUE(),IF(Events!$A$2:$A$397=$A518,Events!$E$2:$E$397&amp;IF(Events!$G$2:$G$397="National",""," ["&amp;Events!$G$2:$G$397&amp;"]"),""))</f>
        <v/>
      </c>
    </row>
    <row r="519" spans="1:9" ht="15" customHeight="1" x14ac:dyDescent="0.35">
      <c r="A519" s="2">
        <v>45809</v>
      </c>
      <c r="B519" s="3">
        <f t="shared" si="40"/>
        <v>2025</v>
      </c>
      <c r="C519" s="3">
        <f t="shared" si="41"/>
        <v>6</v>
      </c>
      <c r="D519" s="3" t="str">
        <f t="shared" si="42"/>
        <v>Sun</v>
      </c>
      <c r="E519" s="3">
        <f t="shared" si="43"/>
        <v>0</v>
      </c>
      <c r="F519" s="3">
        <f t="shared" si="44"/>
        <v>0</v>
      </c>
      <c r="G519" s="3" t="str">
        <f t="array" ref="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3">
        <f>COUNTIF(Events!$A$2:$A$397,$A519)</f>
        <v>0</v>
      </c>
      <c r="I519" s="25" t="str">
        <f t="array" ref="I519">_xlfn.TEXTJOIN(" | ",TRUE(),IF(Events!$A$2:$A$397=$A519,Events!$E$2:$E$397&amp;IF(Events!$G$2:$G$397="National",""," ["&amp;Events!$G$2:$G$397&amp;"]"),""))</f>
        <v/>
      </c>
    </row>
    <row r="520" spans="1:9" ht="15" customHeight="1" x14ac:dyDescent="0.35">
      <c r="A520" s="2">
        <v>45810</v>
      </c>
      <c r="B520" s="3">
        <f t="shared" si="40"/>
        <v>2025</v>
      </c>
      <c r="C520" s="3">
        <f t="shared" si="41"/>
        <v>6</v>
      </c>
      <c r="D520" s="3" t="str">
        <f t="shared" si="42"/>
        <v>Mon</v>
      </c>
      <c r="E520" s="3">
        <f t="shared" si="43"/>
        <v>0</v>
      </c>
      <c r="F520" s="3">
        <f t="shared" si="44"/>
        <v>0</v>
      </c>
      <c r="G520" s="3" t="str">
        <f t="array" ref="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3">
        <f>COUNTIF(Events!$A$2:$A$397,$A520)</f>
        <v>0</v>
      </c>
      <c r="I520" s="25" t="str">
        <f t="array" ref="I520">_xlfn.TEXTJOIN(" | ",TRUE(),IF(Events!$A$2:$A$397=$A520,Events!$E$2:$E$397&amp;IF(Events!$G$2:$G$397="National",""," ["&amp;Events!$G$2:$G$397&amp;"]"),""))</f>
        <v/>
      </c>
    </row>
    <row r="521" spans="1:9" ht="15" customHeight="1" x14ac:dyDescent="0.35">
      <c r="A521" s="2">
        <v>45811</v>
      </c>
      <c r="B521" s="3">
        <f t="shared" si="40"/>
        <v>2025</v>
      </c>
      <c r="C521" s="3">
        <f t="shared" si="41"/>
        <v>6</v>
      </c>
      <c r="D521" s="3" t="str">
        <f t="shared" si="42"/>
        <v>Tue</v>
      </c>
      <c r="E521" s="3">
        <f t="shared" si="43"/>
        <v>0</v>
      </c>
      <c r="F521" s="3">
        <f t="shared" si="44"/>
        <v>0</v>
      </c>
      <c r="G521" s="3" t="str">
        <f t="array" ref="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3">
        <f>COUNTIF(Events!$A$2:$A$397,$A521)</f>
        <v>0</v>
      </c>
      <c r="I521" s="25" t="str">
        <f t="array" ref="I521">_xlfn.TEXTJOIN(" | ",TRUE(),IF(Events!$A$2:$A$397=$A521,Events!$E$2:$E$397&amp;IF(Events!$G$2:$G$397="National",""," ["&amp;Events!$G$2:$G$397&amp;"]"),""))</f>
        <v/>
      </c>
    </row>
    <row r="522" spans="1:9" ht="15" customHeight="1" x14ac:dyDescent="0.35">
      <c r="A522" s="2">
        <v>45812</v>
      </c>
      <c r="B522" s="3">
        <f t="shared" si="40"/>
        <v>2025</v>
      </c>
      <c r="C522" s="3">
        <f t="shared" si="41"/>
        <v>6</v>
      </c>
      <c r="D522" s="3" t="str">
        <f t="shared" si="42"/>
        <v>Wed</v>
      </c>
      <c r="E522" s="3">
        <f t="shared" si="43"/>
        <v>0</v>
      </c>
      <c r="F522" s="3">
        <f t="shared" si="44"/>
        <v>0</v>
      </c>
      <c r="G522" s="3" t="str">
        <f t="array" ref="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3">
        <f>COUNTIF(Events!$A$2:$A$397,$A522)</f>
        <v>1</v>
      </c>
      <c r="I522" s="25" t="str">
        <f t="array" ref="I522">_xlfn.TEXTJOIN(" | ",TRUE(),IF(Events!$A$2:$A$397=$A522,Events!$E$2:$E$397&amp;IF(Events!$G$2:$G$397="National",""," ["&amp;Events!$G$2:$G$397&amp;"]"),""))</f>
        <v>Wyoming Medigap birthday rule takes effect - adopted as a Wyoming Department of Insurance rule (proposed late 2024, public comment through 2/19/2025, signed by Governor), not a statute: 63-day post-birthday window, same-or-lesser benefits, carrier switching allowed, no underwriting [WY]</v>
      </c>
    </row>
    <row r="523" spans="1:9" ht="15" customHeight="1" x14ac:dyDescent="0.35">
      <c r="A523" s="2">
        <v>45813</v>
      </c>
      <c r="B523" s="3">
        <f t="shared" si="40"/>
        <v>2025</v>
      </c>
      <c r="C523" s="3">
        <f t="shared" si="41"/>
        <v>6</v>
      </c>
      <c r="D523" s="3" t="str">
        <f t="shared" si="42"/>
        <v>Thu</v>
      </c>
      <c r="E523" s="3">
        <f t="shared" si="43"/>
        <v>0</v>
      </c>
      <c r="F523" s="3">
        <f t="shared" si="44"/>
        <v>0</v>
      </c>
      <c r="G523" s="3" t="str">
        <f t="array" ref="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3">
        <f>COUNTIF(Events!$A$2:$A$397,$A523)</f>
        <v>0</v>
      </c>
      <c r="I523" s="25" t="str">
        <f t="array" ref="I523">_xlfn.TEXTJOIN(" | ",TRUE(),IF(Events!$A$2:$A$397=$A523,Events!$E$2:$E$397&amp;IF(Events!$G$2:$G$397="National",""," ["&amp;Events!$G$2:$G$397&amp;"]"),""))</f>
        <v/>
      </c>
    </row>
    <row r="524" spans="1:9" ht="15" customHeight="1" x14ac:dyDescent="0.35">
      <c r="A524" s="2">
        <v>45814</v>
      </c>
      <c r="B524" s="3">
        <f t="shared" si="40"/>
        <v>2025</v>
      </c>
      <c r="C524" s="3">
        <f t="shared" si="41"/>
        <v>6</v>
      </c>
      <c r="D524" s="3" t="str">
        <f t="shared" si="42"/>
        <v>Fri</v>
      </c>
      <c r="E524" s="3">
        <f t="shared" si="43"/>
        <v>0</v>
      </c>
      <c r="F524" s="3">
        <f t="shared" si="44"/>
        <v>0</v>
      </c>
      <c r="G524" s="3" t="str">
        <f t="array" ref="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3">
        <f>COUNTIF(Events!$A$2:$A$397,$A524)</f>
        <v>0</v>
      </c>
      <c r="I524" s="25" t="str">
        <f t="array" ref="I524">_xlfn.TEXTJOIN(" | ",TRUE(),IF(Events!$A$2:$A$397=$A524,Events!$E$2:$E$397&amp;IF(Events!$G$2:$G$397="National",""," ["&amp;Events!$G$2:$G$397&amp;"]"),""))</f>
        <v/>
      </c>
    </row>
    <row r="525" spans="1:9" ht="15" customHeight="1" x14ac:dyDescent="0.35">
      <c r="A525" s="2">
        <v>45815</v>
      </c>
      <c r="B525" s="3">
        <f t="shared" si="40"/>
        <v>2025</v>
      </c>
      <c r="C525" s="3">
        <f t="shared" si="41"/>
        <v>6</v>
      </c>
      <c r="D525" s="3" t="str">
        <f t="shared" si="42"/>
        <v>Sat</v>
      </c>
      <c r="E525" s="3">
        <f t="shared" si="43"/>
        <v>0</v>
      </c>
      <c r="F525" s="3">
        <f t="shared" si="44"/>
        <v>0</v>
      </c>
      <c r="G525" s="3" t="str">
        <f t="array" ref="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3">
        <f>COUNTIF(Events!$A$2:$A$397,$A525)</f>
        <v>0</v>
      </c>
      <c r="I525" s="25" t="str">
        <f t="array" ref="I525">_xlfn.TEXTJOIN(" | ",TRUE(),IF(Events!$A$2:$A$397=$A525,Events!$E$2:$E$397&amp;IF(Events!$G$2:$G$397="National",""," ["&amp;Events!$G$2:$G$397&amp;"]"),""))</f>
        <v/>
      </c>
    </row>
    <row r="526" spans="1:9" ht="15" customHeight="1" x14ac:dyDescent="0.35">
      <c r="A526" s="2">
        <v>45816</v>
      </c>
      <c r="B526" s="3">
        <f t="shared" si="40"/>
        <v>2025</v>
      </c>
      <c r="C526" s="3">
        <f t="shared" si="41"/>
        <v>6</v>
      </c>
      <c r="D526" s="3" t="str">
        <f t="shared" si="42"/>
        <v>Sun</v>
      </c>
      <c r="E526" s="3">
        <f t="shared" si="43"/>
        <v>0</v>
      </c>
      <c r="F526" s="3">
        <f t="shared" si="44"/>
        <v>0</v>
      </c>
      <c r="G526" s="3" t="str">
        <f t="array" ref="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3">
        <f>COUNTIF(Events!$A$2:$A$397,$A526)</f>
        <v>0</v>
      </c>
      <c r="I526" s="25" t="str">
        <f t="array" ref="I526">_xlfn.TEXTJOIN(" | ",TRUE(),IF(Events!$A$2:$A$397=$A526,Events!$E$2:$E$397&amp;IF(Events!$G$2:$G$397="National",""," ["&amp;Events!$G$2:$G$397&amp;"]"),""))</f>
        <v/>
      </c>
    </row>
    <row r="527" spans="1:9" ht="15" customHeight="1" x14ac:dyDescent="0.35">
      <c r="A527" s="2">
        <v>45817</v>
      </c>
      <c r="B527" s="3">
        <f t="shared" si="40"/>
        <v>2025</v>
      </c>
      <c r="C527" s="3">
        <f t="shared" si="41"/>
        <v>6</v>
      </c>
      <c r="D527" s="3" t="str">
        <f t="shared" si="42"/>
        <v>Mon</v>
      </c>
      <c r="E527" s="3">
        <f t="shared" si="43"/>
        <v>0</v>
      </c>
      <c r="F527" s="3">
        <f t="shared" si="44"/>
        <v>0</v>
      </c>
      <c r="G527" s="3" t="str">
        <f t="array" ref="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3">
        <f>COUNTIF(Events!$A$2:$A$397,$A527)</f>
        <v>0</v>
      </c>
      <c r="I527" s="25" t="str">
        <f t="array" ref="I527">_xlfn.TEXTJOIN(" | ",TRUE(),IF(Events!$A$2:$A$397=$A527,Events!$E$2:$E$397&amp;IF(Events!$G$2:$G$397="National",""," ["&amp;Events!$G$2:$G$397&amp;"]"),""))</f>
        <v/>
      </c>
    </row>
    <row r="528" spans="1:9" ht="15" customHeight="1" x14ac:dyDescent="0.35">
      <c r="A528" s="2">
        <v>45818</v>
      </c>
      <c r="B528" s="3">
        <f t="shared" si="40"/>
        <v>2025</v>
      </c>
      <c r="C528" s="3">
        <f t="shared" si="41"/>
        <v>6</v>
      </c>
      <c r="D528" s="3" t="str">
        <f t="shared" si="42"/>
        <v>Tue</v>
      </c>
      <c r="E528" s="3">
        <f t="shared" si="43"/>
        <v>0</v>
      </c>
      <c r="F528" s="3">
        <f t="shared" si="44"/>
        <v>0</v>
      </c>
      <c r="G528" s="3" t="str">
        <f t="array" ref="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3">
        <f>COUNTIF(Events!$A$2:$A$397,$A528)</f>
        <v>0</v>
      </c>
      <c r="I528" s="25" t="str">
        <f t="array" ref="I528">_xlfn.TEXTJOIN(" | ",TRUE(),IF(Events!$A$2:$A$397=$A528,Events!$E$2:$E$397&amp;IF(Events!$G$2:$G$397="National",""," ["&amp;Events!$G$2:$G$397&amp;"]"),""))</f>
        <v/>
      </c>
    </row>
    <row r="529" spans="1:9" ht="15" customHeight="1" x14ac:dyDescent="0.35">
      <c r="A529" s="2">
        <v>45819</v>
      </c>
      <c r="B529" s="3">
        <f t="shared" si="40"/>
        <v>2025</v>
      </c>
      <c r="C529" s="3">
        <f t="shared" si="41"/>
        <v>6</v>
      </c>
      <c r="D529" s="3" t="str">
        <f t="shared" si="42"/>
        <v>Wed</v>
      </c>
      <c r="E529" s="3">
        <f t="shared" si="43"/>
        <v>0</v>
      </c>
      <c r="F529" s="3">
        <f t="shared" si="44"/>
        <v>0</v>
      </c>
      <c r="G529" s="3" t="str">
        <f t="array" ref="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3">
        <f>COUNTIF(Events!$A$2:$A$397,$A529)</f>
        <v>0</v>
      </c>
      <c r="I529" s="25" t="str">
        <f t="array" ref="I529">_xlfn.TEXTJOIN(" | ",TRUE(),IF(Events!$A$2:$A$397=$A529,Events!$E$2:$E$397&amp;IF(Events!$G$2:$G$397="National",""," ["&amp;Events!$G$2:$G$397&amp;"]"),""))</f>
        <v/>
      </c>
    </row>
    <row r="530" spans="1:9" ht="15" customHeight="1" x14ac:dyDescent="0.35">
      <c r="A530" s="2">
        <v>45820</v>
      </c>
      <c r="B530" s="3">
        <f t="shared" si="40"/>
        <v>2025</v>
      </c>
      <c r="C530" s="3">
        <f t="shared" si="41"/>
        <v>6</v>
      </c>
      <c r="D530" s="3" t="str">
        <f t="shared" si="42"/>
        <v>Thu</v>
      </c>
      <c r="E530" s="3">
        <f t="shared" si="43"/>
        <v>0</v>
      </c>
      <c r="F530" s="3">
        <f t="shared" si="44"/>
        <v>0</v>
      </c>
      <c r="G530" s="3" t="str">
        <f t="array" ref="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3">
        <f>COUNTIF(Events!$A$2:$A$397,$A530)</f>
        <v>0</v>
      </c>
      <c r="I530" s="25" t="str">
        <f t="array" ref="I530">_xlfn.TEXTJOIN(" | ",TRUE(),IF(Events!$A$2:$A$397=$A530,Events!$E$2:$E$397&amp;IF(Events!$G$2:$G$397="National",""," ["&amp;Events!$G$2:$G$397&amp;"]"),""))</f>
        <v/>
      </c>
    </row>
    <row r="531" spans="1:9" ht="15" customHeight="1" x14ac:dyDescent="0.35">
      <c r="A531" s="2">
        <v>45821</v>
      </c>
      <c r="B531" s="3">
        <f t="shared" si="40"/>
        <v>2025</v>
      </c>
      <c r="C531" s="3">
        <f t="shared" si="41"/>
        <v>6</v>
      </c>
      <c r="D531" s="3" t="str">
        <f t="shared" si="42"/>
        <v>Fri</v>
      </c>
      <c r="E531" s="3">
        <f t="shared" si="43"/>
        <v>0</v>
      </c>
      <c r="F531" s="3">
        <f t="shared" si="44"/>
        <v>0</v>
      </c>
      <c r="G531" s="3" t="str">
        <f t="array" ref="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3">
        <f>COUNTIF(Events!$A$2:$A$397,$A531)</f>
        <v>0</v>
      </c>
      <c r="I531" s="25" t="str">
        <f t="array" ref="I531">_xlfn.TEXTJOIN(" | ",TRUE(),IF(Events!$A$2:$A$397=$A531,Events!$E$2:$E$397&amp;IF(Events!$G$2:$G$397="National",""," ["&amp;Events!$G$2:$G$397&amp;"]"),""))</f>
        <v/>
      </c>
    </row>
    <row r="532" spans="1:9" ht="15" customHeight="1" x14ac:dyDescent="0.35">
      <c r="A532" s="2">
        <v>45822</v>
      </c>
      <c r="B532" s="3">
        <f t="shared" si="40"/>
        <v>2025</v>
      </c>
      <c r="C532" s="3">
        <f t="shared" si="41"/>
        <v>6</v>
      </c>
      <c r="D532" s="3" t="str">
        <f t="shared" si="42"/>
        <v>Sat</v>
      </c>
      <c r="E532" s="3">
        <f t="shared" si="43"/>
        <v>0</v>
      </c>
      <c r="F532" s="3">
        <f t="shared" si="44"/>
        <v>0</v>
      </c>
      <c r="G532" s="3" t="str">
        <f t="array" ref="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3">
        <f>COUNTIF(Events!$A$2:$A$397,$A532)</f>
        <v>0</v>
      </c>
      <c r="I532" s="25" t="str">
        <f t="array" ref="I532">_xlfn.TEXTJOIN(" | ",TRUE(),IF(Events!$A$2:$A$397=$A532,Events!$E$2:$E$397&amp;IF(Events!$G$2:$G$397="National",""," ["&amp;Events!$G$2:$G$397&amp;"]"),""))</f>
        <v/>
      </c>
    </row>
    <row r="533" spans="1:9" ht="15" customHeight="1" x14ac:dyDescent="0.35">
      <c r="A533" s="2">
        <v>45823</v>
      </c>
      <c r="B533" s="3">
        <f t="shared" si="40"/>
        <v>2025</v>
      </c>
      <c r="C533" s="3">
        <f t="shared" si="41"/>
        <v>6</v>
      </c>
      <c r="D533" s="3" t="str">
        <f t="shared" si="42"/>
        <v>Sun</v>
      </c>
      <c r="E533" s="3">
        <f t="shared" si="43"/>
        <v>0</v>
      </c>
      <c r="F533" s="3">
        <f t="shared" si="44"/>
        <v>0</v>
      </c>
      <c r="G533" s="3" t="str">
        <f t="array" ref="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3">
        <f>COUNTIF(Events!$A$2:$A$397,$A533)</f>
        <v>0</v>
      </c>
      <c r="I533" s="25" t="str">
        <f t="array" ref="I533">_xlfn.TEXTJOIN(" | ",TRUE(),IF(Events!$A$2:$A$397=$A533,Events!$E$2:$E$397&amp;IF(Events!$G$2:$G$397="National",""," ["&amp;Events!$G$2:$G$397&amp;"]"),""))</f>
        <v/>
      </c>
    </row>
    <row r="534" spans="1:9" ht="15" customHeight="1" x14ac:dyDescent="0.35">
      <c r="A534" s="2">
        <v>45824</v>
      </c>
      <c r="B534" s="3">
        <f t="shared" si="40"/>
        <v>2025</v>
      </c>
      <c r="C534" s="3">
        <f t="shared" si="41"/>
        <v>6</v>
      </c>
      <c r="D534" s="3" t="str">
        <f t="shared" si="42"/>
        <v>Mon</v>
      </c>
      <c r="E534" s="3">
        <f t="shared" si="43"/>
        <v>0</v>
      </c>
      <c r="F534" s="3">
        <f t="shared" si="44"/>
        <v>0</v>
      </c>
      <c r="G534" s="3" t="str">
        <f t="array" ref="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3">
        <f>COUNTIF(Events!$A$2:$A$397,$A534)</f>
        <v>0</v>
      </c>
      <c r="I534" s="25" t="str">
        <f t="array" ref="I534">_xlfn.TEXTJOIN(" | ",TRUE(),IF(Events!$A$2:$A$397=$A534,Events!$E$2:$E$397&amp;IF(Events!$G$2:$G$397="National",""," ["&amp;Events!$G$2:$G$397&amp;"]"),""))</f>
        <v/>
      </c>
    </row>
    <row r="535" spans="1:9" ht="15" customHeight="1" x14ac:dyDescent="0.35">
      <c r="A535" s="2">
        <v>45825</v>
      </c>
      <c r="B535" s="3">
        <f t="shared" si="40"/>
        <v>2025</v>
      </c>
      <c r="C535" s="3">
        <f t="shared" si="41"/>
        <v>6</v>
      </c>
      <c r="D535" s="3" t="str">
        <f t="shared" si="42"/>
        <v>Tue</v>
      </c>
      <c r="E535" s="3">
        <f t="shared" si="43"/>
        <v>0</v>
      </c>
      <c r="F535" s="3">
        <f t="shared" si="44"/>
        <v>0</v>
      </c>
      <c r="G535" s="3" t="str">
        <f t="array" ref="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3">
        <f>COUNTIF(Events!$A$2:$A$397,$A535)</f>
        <v>0</v>
      </c>
      <c r="I535" s="25" t="str">
        <f t="array" ref="I535">_xlfn.TEXTJOIN(" | ",TRUE(),IF(Events!$A$2:$A$397=$A535,Events!$E$2:$E$397&amp;IF(Events!$G$2:$G$397="National",""," ["&amp;Events!$G$2:$G$397&amp;"]"),""))</f>
        <v/>
      </c>
    </row>
    <row r="536" spans="1:9" ht="15" customHeight="1" x14ac:dyDescent="0.35">
      <c r="A536" s="2">
        <v>45826</v>
      </c>
      <c r="B536" s="3">
        <f t="shared" si="40"/>
        <v>2025</v>
      </c>
      <c r="C536" s="3">
        <f t="shared" si="41"/>
        <v>6</v>
      </c>
      <c r="D536" s="3" t="str">
        <f t="shared" si="42"/>
        <v>Wed</v>
      </c>
      <c r="E536" s="3">
        <f t="shared" si="43"/>
        <v>0</v>
      </c>
      <c r="F536" s="3">
        <f t="shared" si="44"/>
        <v>0</v>
      </c>
      <c r="G536" s="3" t="str">
        <f t="array" ref="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3">
        <f>COUNTIF(Events!$A$2:$A$397,$A536)</f>
        <v>0</v>
      </c>
      <c r="I536" s="25" t="str">
        <f t="array" ref="I536">_xlfn.TEXTJOIN(" | ",TRUE(),IF(Events!$A$2:$A$397=$A536,Events!$E$2:$E$397&amp;IF(Events!$G$2:$G$397="National",""," ["&amp;Events!$G$2:$G$397&amp;"]"),""))</f>
        <v/>
      </c>
    </row>
    <row r="537" spans="1:9" ht="15" customHeight="1" x14ac:dyDescent="0.35">
      <c r="A537" s="2">
        <v>45827</v>
      </c>
      <c r="B537" s="3">
        <f t="shared" si="40"/>
        <v>2025</v>
      </c>
      <c r="C537" s="3">
        <f t="shared" si="41"/>
        <v>6</v>
      </c>
      <c r="D537" s="3" t="str">
        <f t="shared" si="42"/>
        <v>Thu</v>
      </c>
      <c r="E537" s="3">
        <f t="shared" si="43"/>
        <v>0</v>
      </c>
      <c r="F537" s="3">
        <f t="shared" si="44"/>
        <v>0</v>
      </c>
      <c r="G537" s="3" t="str">
        <f t="array" ref="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3">
        <f>COUNTIF(Events!$A$2:$A$397,$A537)</f>
        <v>0</v>
      </c>
      <c r="I537" s="25" t="str">
        <f t="array" ref="I537">_xlfn.TEXTJOIN(" | ",TRUE(),IF(Events!$A$2:$A$397=$A537,Events!$E$2:$E$397&amp;IF(Events!$G$2:$G$397="National",""," ["&amp;Events!$G$2:$G$397&amp;"]"),""))</f>
        <v/>
      </c>
    </row>
    <row r="538" spans="1:9" ht="15" customHeight="1" x14ac:dyDescent="0.35">
      <c r="A538" s="2">
        <v>45828</v>
      </c>
      <c r="B538" s="3">
        <f t="shared" si="40"/>
        <v>2025</v>
      </c>
      <c r="C538" s="3">
        <f t="shared" si="41"/>
        <v>6</v>
      </c>
      <c r="D538" s="3" t="str">
        <f t="shared" si="42"/>
        <v>Fri</v>
      </c>
      <c r="E538" s="3">
        <f t="shared" si="43"/>
        <v>0</v>
      </c>
      <c r="F538" s="3">
        <f t="shared" si="44"/>
        <v>0</v>
      </c>
      <c r="G538" s="3" t="str">
        <f t="array" ref="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3">
        <f>COUNTIF(Events!$A$2:$A$397,$A538)</f>
        <v>0</v>
      </c>
      <c r="I538" s="25" t="str">
        <f t="array" ref="I538">_xlfn.TEXTJOIN(" | ",TRUE(),IF(Events!$A$2:$A$397=$A538,Events!$E$2:$E$397&amp;IF(Events!$G$2:$G$397="National",""," ["&amp;Events!$G$2:$G$397&amp;"]"),""))</f>
        <v/>
      </c>
    </row>
    <row r="539" spans="1:9" ht="15" customHeight="1" x14ac:dyDescent="0.35">
      <c r="A539" s="2">
        <v>45829</v>
      </c>
      <c r="B539" s="3">
        <f t="shared" si="40"/>
        <v>2025</v>
      </c>
      <c r="C539" s="3">
        <f t="shared" si="41"/>
        <v>6</v>
      </c>
      <c r="D539" s="3" t="str">
        <f t="shared" si="42"/>
        <v>Sat</v>
      </c>
      <c r="E539" s="3">
        <f t="shared" si="43"/>
        <v>0</v>
      </c>
      <c r="F539" s="3">
        <f t="shared" si="44"/>
        <v>0</v>
      </c>
      <c r="G539" s="3" t="str">
        <f t="array" ref="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3">
        <f>COUNTIF(Events!$A$2:$A$397,$A539)</f>
        <v>0</v>
      </c>
      <c r="I539" s="25" t="str">
        <f t="array" ref="I539">_xlfn.TEXTJOIN(" | ",TRUE(),IF(Events!$A$2:$A$397=$A539,Events!$E$2:$E$397&amp;IF(Events!$G$2:$G$397="National",""," ["&amp;Events!$G$2:$G$397&amp;"]"),""))</f>
        <v/>
      </c>
    </row>
    <row r="540" spans="1:9" ht="15" customHeight="1" x14ac:dyDescent="0.35">
      <c r="A540" s="2">
        <v>45830</v>
      </c>
      <c r="B540" s="3">
        <f t="shared" si="40"/>
        <v>2025</v>
      </c>
      <c r="C540" s="3">
        <f t="shared" si="41"/>
        <v>6</v>
      </c>
      <c r="D540" s="3" t="str">
        <f t="shared" si="42"/>
        <v>Sun</v>
      </c>
      <c r="E540" s="3">
        <f t="shared" si="43"/>
        <v>0</v>
      </c>
      <c r="F540" s="3">
        <f t="shared" si="44"/>
        <v>0</v>
      </c>
      <c r="G540" s="3" t="str">
        <f t="array" ref="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3">
        <f>COUNTIF(Events!$A$2:$A$397,$A540)</f>
        <v>0</v>
      </c>
      <c r="I540" s="25" t="str">
        <f t="array" ref="I540">_xlfn.TEXTJOIN(" | ",TRUE(),IF(Events!$A$2:$A$397=$A540,Events!$E$2:$E$397&amp;IF(Events!$G$2:$G$397="National",""," ["&amp;Events!$G$2:$G$397&amp;"]"),""))</f>
        <v/>
      </c>
    </row>
    <row r="541" spans="1:9" ht="15" customHeight="1" x14ac:dyDescent="0.35">
      <c r="A541" s="2">
        <v>45831</v>
      </c>
      <c r="B541" s="3">
        <f t="shared" si="40"/>
        <v>2025</v>
      </c>
      <c r="C541" s="3">
        <f t="shared" si="41"/>
        <v>6</v>
      </c>
      <c r="D541" s="3" t="str">
        <f t="shared" si="42"/>
        <v>Mon</v>
      </c>
      <c r="E541" s="3">
        <f t="shared" si="43"/>
        <v>0</v>
      </c>
      <c r="F541" s="3">
        <f t="shared" si="44"/>
        <v>0</v>
      </c>
      <c r="G541" s="3" t="str">
        <f t="array" ref="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3">
        <f>COUNTIF(Events!$A$2:$A$397,$A541)</f>
        <v>0</v>
      </c>
      <c r="I541" s="25" t="str">
        <f t="array" ref="I541">_xlfn.TEXTJOIN(" | ",TRUE(),IF(Events!$A$2:$A$397=$A541,Events!$E$2:$E$397&amp;IF(Events!$G$2:$G$397="National",""," ["&amp;Events!$G$2:$G$397&amp;"]"),""))</f>
        <v/>
      </c>
    </row>
    <row r="542" spans="1:9" ht="15" customHeight="1" x14ac:dyDescent="0.35">
      <c r="A542" s="2">
        <v>45832</v>
      </c>
      <c r="B542" s="3">
        <f t="shared" si="40"/>
        <v>2025</v>
      </c>
      <c r="C542" s="3">
        <f t="shared" si="41"/>
        <v>6</v>
      </c>
      <c r="D542" s="3" t="str">
        <f t="shared" si="42"/>
        <v>Tue</v>
      </c>
      <c r="E542" s="3">
        <f t="shared" si="43"/>
        <v>0</v>
      </c>
      <c r="F542" s="3">
        <f t="shared" si="44"/>
        <v>0</v>
      </c>
      <c r="G542" s="3" t="str">
        <f t="array" ref="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3">
        <f>COUNTIF(Events!$A$2:$A$397,$A542)</f>
        <v>0</v>
      </c>
      <c r="I542" s="25" t="str">
        <f t="array" ref="I542">_xlfn.TEXTJOIN(" | ",TRUE(),IF(Events!$A$2:$A$397=$A542,Events!$E$2:$E$397&amp;IF(Events!$G$2:$G$397="National",""," ["&amp;Events!$G$2:$G$397&amp;"]"),""))</f>
        <v/>
      </c>
    </row>
    <row r="543" spans="1:9" ht="15" customHeight="1" x14ac:dyDescent="0.35">
      <c r="A543" s="2">
        <v>45833</v>
      </c>
      <c r="B543" s="3">
        <f t="shared" si="40"/>
        <v>2025</v>
      </c>
      <c r="C543" s="3">
        <f t="shared" si="41"/>
        <v>6</v>
      </c>
      <c r="D543" s="3" t="str">
        <f t="shared" si="42"/>
        <v>Wed</v>
      </c>
      <c r="E543" s="3">
        <f t="shared" si="43"/>
        <v>0</v>
      </c>
      <c r="F543" s="3">
        <f t="shared" si="44"/>
        <v>0</v>
      </c>
      <c r="G543" s="3" t="str">
        <f t="array" ref="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3">
        <f>COUNTIF(Events!$A$2:$A$397,$A543)</f>
        <v>0</v>
      </c>
      <c r="I543" s="25" t="str">
        <f t="array" ref="I543">_xlfn.TEXTJOIN(" | ",TRUE(),IF(Events!$A$2:$A$397=$A543,Events!$E$2:$E$397&amp;IF(Events!$G$2:$G$397="National",""," ["&amp;Events!$G$2:$G$397&amp;"]"),""))</f>
        <v/>
      </c>
    </row>
    <row r="544" spans="1:9" ht="15" customHeight="1" x14ac:dyDescent="0.35">
      <c r="A544" s="2">
        <v>45834</v>
      </c>
      <c r="B544" s="3">
        <f t="shared" si="40"/>
        <v>2025</v>
      </c>
      <c r="C544" s="3">
        <f t="shared" si="41"/>
        <v>6</v>
      </c>
      <c r="D544" s="3" t="str">
        <f t="shared" si="42"/>
        <v>Thu</v>
      </c>
      <c r="E544" s="3">
        <f t="shared" si="43"/>
        <v>0</v>
      </c>
      <c r="F544" s="3">
        <f t="shared" si="44"/>
        <v>0</v>
      </c>
      <c r="G544" s="3" t="str">
        <f t="array" ref="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3">
        <f>COUNTIF(Events!$A$2:$A$397,$A544)</f>
        <v>0</v>
      </c>
      <c r="I544" s="25" t="str">
        <f t="array" ref="I544">_xlfn.TEXTJOIN(" | ",TRUE(),IF(Events!$A$2:$A$397=$A544,Events!$E$2:$E$397&amp;IF(Events!$G$2:$G$397="National",""," ["&amp;Events!$G$2:$G$397&amp;"]"),""))</f>
        <v/>
      </c>
    </row>
    <row r="545" spans="1:9" ht="15" customHeight="1" x14ac:dyDescent="0.35">
      <c r="A545" s="2">
        <v>45835</v>
      </c>
      <c r="B545" s="3">
        <f t="shared" si="40"/>
        <v>2025</v>
      </c>
      <c r="C545" s="3">
        <f t="shared" si="41"/>
        <v>6</v>
      </c>
      <c r="D545" s="3" t="str">
        <f t="shared" si="42"/>
        <v>Fri</v>
      </c>
      <c r="E545" s="3">
        <f t="shared" si="43"/>
        <v>0</v>
      </c>
      <c r="F545" s="3">
        <f t="shared" si="44"/>
        <v>0</v>
      </c>
      <c r="G545" s="3" t="str">
        <f t="array" ref="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3">
        <f>COUNTIF(Events!$A$2:$A$397,$A545)</f>
        <v>0</v>
      </c>
      <c r="I545" s="25" t="str">
        <f t="array" ref="I545">_xlfn.TEXTJOIN(" | ",TRUE(),IF(Events!$A$2:$A$397=$A545,Events!$E$2:$E$397&amp;IF(Events!$G$2:$G$397="National",""," ["&amp;Events!$G$2:$G$397&amp;"]"),""))</f>
        <v/>
      </c>
    </row>
    <row r="546" spans="1:9" ht="15" customHeight="1" x14ac:dyDescent="0.35">
      <c r="A546" s="2">
        <v>45836</v>
      </c>
      <c r="B546" s="3">
        <f t="shared" si="40"/>
        <v>2025</v>
      </c>
      <c r="C546" s="3">
        <f t="shared" si="41"/>
        <v>6</v>
      </c>
      <c r="D546" s="3" t="str">
        <f t="shared" si="42"/>
        <v>Sat</v>
      </c>
      <c r="E546" s="3">
        <f t="shared" si="43"/>
        <v>0</v>
      </c>
      <c r="F546" s="3">
        <f t="shared" si="44"/>
        <v>0</v>
      </c>
      <c r="G546" s="3" t="str">
        <f t="array" ref="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3">
        <f>COUNTIF(Events!$A$2:$A$397,$A546)</f>
        <v>0</v>
      </c>
      <c r="I546" s="25" t="str">
        <f t="array" ref="I546">_xlfn.TEXTJOIN(" | ",TRUE(),IF(Events!$A$2:$A$397=$A546,Events!$E$2:$E$397&amp;IF(Events!$G$2:$G$397="National",""," ["&amp;Events!$G$2:$G$397&amp;"]"),""))</f>
        <v/>
      </c>
    </row>
    <row r="547" spans="1:9" ht="15" customHeight="1" x14ac:dyDescent="0.35">
      <c r="A547" s="2">
        <v>45837</v>
      </c>
      <c r="B547" s="3">
        <f t="shared" si="40"/>
        <v>2025</v>
      </c>
      <c r="C547" s="3">
        <f t="shared" si="41"/>
        <v>6</v>
      </c>
      <c r="D547" s="3" t="str">
        <f t="shared" si="42"/>
        <v>Sun</v>
      </c>
      <c r="E547" s="3">
        <f t="shared" si="43"/>
        <v>0</v>
      </c>
      <c r="F547" s="3">
        <f t="shared" si="44"/>
        <v>0</v>
      </c>
      <c r="G547" s="3" t="str">
        <f t="array" ref="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
      </c>
      <c r="H547" s="3">
        <f>COUNTIF(Events!$A$2:$A$397,$A547)</f>
        <v>0</v>
      </c>
      <c r="I547" s="25" t="str">
        <f t="array" ref="I547">_xlfn.TEXTJOIN(" | ",TRUE(),IF(Events!$A$2:$A$397=$A547,Events!$E$2:$E$397&amp;IF(Events!$G$2:$G$397="National",""," ["&amp;Events!$G$2:$G$397&amp;"]"),""))</f>
        <v/>
      </c>
    </row>
    <row r="548" spans="1:9" ht="15" customHeight="1" x14ac:dyDescent="0.35">
      <c r="A548" s="2">
        <v>45838</v>
      </c>
      <c r="B548" s="3">
        <f t="shared" si="40"/>
        <v>2025</v>
      </c>
      <c r="C548" s="3">
        <f t="shared" si="41"/>
        <v>6</v>
      </c>
      <c r="D548" s="3" t="str">
        <f t="shared" si="42"/>
        <v>Mon</v>
      </c>
      <c r="E548" s="3">
        <f t="shared" si="43"/>
        <v>0</v>
      </c>
      <c r="F548" s="3">
        <f t="shared" si="44"/>
        <v>0</v>
      </c>
      <c r="G548" s="3" t="str">
        <f t="array" ref="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 | Disaster SEP ended: Severe Storm [VA] DR-4863 | Disaster SEP ended: Severe Storm [WV] DR-4861</v>
      </c>
      <c r="H548" s="3">
        <f>COUNTIF(Events!$A$2:$A$397,$A548)</f>
        <v>0</v>
      </c>
      <c r="I548" s="25" t="str">
        <f t="array" ref="I548">_xlfn.TEXTJOIN(" | ",TRUE(),IF(Events!$A$2:$A$397=$A548,Events!$E$2:$E$397&amp;IF(Events!$G$2:$G$397="National",""," ["&amp;Events!$G$2:$G$397&amp;"]"),""))</f>
        <v/>
      </c>
    </row>
    <row r="549" spans="1:9" ht="15" customHeight="1" x14ac:dyDescent="0.35">
      <c r="A549" s="2">
        <v>45839</v>
      </c>
      <c r="B549" s="3">
        <f t="shared" si="40"/>
        <v>2025</v>
      </c>
      <c r="C549" s="3">
        <f t="shared" si="41"/>
        <v>7</v>
      </c>
      <c r="D549" s="3" t="str">
        <f t="shared" si="42"/>
        <v>Tue</v>
      </c>
      <c r="E549" s="3">
        <f t="shared" si="43"/>
        <v>0</v>
      </c>
      <c r="F549" s="3">
        <f t="shared" si="44"/>
        <v>0</v>
      </c>
      <c r="G549" s="3" t="str">
        <f t="array" ref="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3">
        <f>COUNTIF(Events!$A$2:$A$397,$A549)</f>
        <v>1</v>
      </c>
      <c r="I549" s="25" t="str">
        <f t="array" ref="I549">_xlfn.TEXTJOIN(" | ",TRUE(),IF(Events!$A$2:$A$397=$A549,Events!$E$2:$E$397&amp;IF(Events!$G$2:$G$397="National",""," ["&amp;Events!$G$2:$G$397&amp;"]"),""))</f>
        <v>Virginia Medigap birthday rule takes effect (SB 1199 / HB 2100, enacted 3/24/2025): 60-day open enrollment from birthday to switch to any Medigap policy with the same benefits from any insurer, no underwriting; insurers must send advance written notice of the window [VA]</v>
      </c>
    </row>
    <row r="550" spans="1:9" ht="15" customHeight="1" x14ac:dyDescent="0.35">
      <c r="A550" s="2">
        <v>45840</v>
      </c>
      <c r="B550" s="3">
        <f t="shared" si="40"/>
        <v>2025</v>
      </c>
      <c r="C550" s="3">
        <f t="shared" si="41"/>
        <v>7</v>
      </c>
      <c r="D550" s="3" t="str">
        <f t="shared" si="42"/>
        <v>Wed</v>
      </c>
      <c r="E550" s="3">
        <f t="shared" si="43"/>
        <v>0</v>
      </c>
      <c r="F550" s="3">
        <f t="shared" si="44"/>
        <v>0</v>
      </c>
      <c r="G550" s="3" t="str">
        <f t="array" ref="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3">
        <f>COUNTIF(Events!$A$2:$A$397,$A550)</f>
        <v>1</v>
      </c>
      <c r="I550" s="25" t="str">
        <f t="array" ref="I550">_xlfn.TEXTJOIN(" | ",TRUE(),IF(Events!$A$2:$A$397=$A550,Events!$E$2:$E$397&amp;IF(Events!$G$2:$G$397="National",""," ["&amp;Events!$G$2:$G$397&amp;"]"),""))</f>
        <v>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 [RI]</v>
      </c>
    </row>
    <row r="551" spans="1:9" ht="15" customHeight="1" x14ac:dyDescent="0.35">
      <c r="A551" s="2">
        <v>45841</v>
      </c>
      <c r="B551" s="3">
        <f t="shared" si="40"/>
        <v>2025</v>
      </c>
      <c r="C551" s="3">
        <f t="shared" si="41"/>
        <v>7</v>
      </c>
      <c r="D551" s="3" t="str">
        <f t="shared" si="42"/>
        <v>Thu</v>
      </c>
      <c r="E551" s="3">
        <f t="shared" si="43"/>
        <v>0</v>
      </c>
      <c r="F551" s="3">
        <f t="shared" si="44"/>
        <v>0</v>
      </c>
      <c r="G551" s="3" t="str">
        <f t="array" ref="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3">
        <f>COUNTIF(Events!$A$2:$A$397,$A551)</f>
        <v>0</v>
      </c>
      <c r="I551" s="25" t="str">
        <f t="array" ref="I551">_xlfn.TEXTJOIN(" | ",TRUE(),IF(Events!$A$2:$A$397=$A551,Events!$E$2:$E$397&amp;IF(Events!$G$2:$G$397="National",""," ["&amp;Events!$G$2:$G$397&amp;"]"),""))</f>
        <v/>
      </c>
    </row>
    <row r="552" spans="1:9" ht="15" customHeight="1" x14ac:dyDescent="0.35">
      <c r="A552" s="2">
        <v>45842</v>
      </c>
      <c r="B552" s="3">
        <f t="shared" si="40"/>
        <v>2025</v>
      </c>
      <c r="C552" s="3">
        <f t="shared" si="41"/>
        <v>7</v>
      </c>
      <c r="D552" s="3" t="str">
        <f t="shared" si="42"/>
        <v>Fri</v>
      </c>
      <c r="E552" s="3">
        <f t="shared" si="43"/>
        <v>0</v>
      </c>
      <c r="F552" s="3">
        <f t="shared" si="44"/>
        <v>0</v>
      </c>
      <c r="G552" s="3" t="str">
        <f t="array" ref="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3">
        <f>COUNTIF(Events!$A$2:$A$397,$A552)</f>
        <v>1</v>
      </c>
      <c r="I552" s="25" t="str">
        <f t="array" ref="I552">_xlfn.TEXTJOIN(" | ",TRUE(),IF(Events!$A$2:$A$397=$A552,Events!$E$2:$E$397&amp;IF(Events!$G$2:$G$397="National",""," ["&amp;Events!$G$2:$G$397&amp;"]"),""))</f>
        <v>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v>
      </c>
    </row>
    <row r="553" spans="1:9" ht="15" customHeight="1" x14ac:dyDescent="0.35">
      <c r="A553" s="2">
        <v>45843</v>
      </c>
      <c r="B553" s="3">
        <f t="shared" si="40"/>
        <v>2025</v>
      </c>
      <c r="C553" s="3">
        <f t="shared" si="41"/>
        <v>7</v>
      </c>
      <c r="D553" s="3" t="str">
        <f t="shared" si="42"/>
        <v>Sat</v>
      </c>
      <c r="E553" s="3">
        <f t="shared" si="43"/>
        <v>0</v>
      </c>
      <c r="F553" s="3">
        <f t="shared" si="44"/>
        <v>0</v>
      </c>
      <c r="G553" s="3" t="str">
        <f t="array" ref="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3">
        <f>COUNTIF(Events!$A$2:$A$397,$A553)</f>
        <v>0</v>
      </c>
      <c r="I553" s="25" t="str">
        <f t="array" ref="I553">_xlfn.TEXTJOIN(" | ",TRUE(),IF(Events!$A$2:$A$397=$A553,Events!$E$2:$E$397&amp;IF(Events!$G$2:$G$397="National",""," ["&amp;Events!$G$2:$G$397&amp;"]"),""))</f>
        <v/>
      </c>
    </row>
    <row r="554" spans="1:9" ht="15" customHeight="1" x14ac:dyDescent="0.35">
      <c r="A554" s="2">
        <v>45844</v>
      </c>
      <c r="B554" s="3">
        <f t="shared" si="40"/>
        <v>2025</v>
      </c>
      <c r="C554" s="3">
        <f t="shared" si="41"/>
        <v>7</v>
      </c>
      <c r="D554" s="3" t="str">
        <f t="shared" si="42"/>
        <v>Sun</v>
      </c>
      <c r="E554" s="3">
        <f t="shared" si="43"/>
        <v>0</v>
      </c>
      <c r="F554" s="3">
        <f t="shared" si="44"/>
        <v>0</v>
      </c>
      <c r="G554" s="3" t="str">
        <f t="array" ref="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3">
        <f>COUNTIF(Events!$A$2:$A$397,$A554)</f>
        <v>0</v>
      </c>
      <c r="I554" s="25" t="str">
        <f t="array" ref="I554">_xlfn.TEXTJOIN(" | ",TRUE(),IF(Events!$A$2:$A$397=$A554,Events!$E$2:$E$397&amp;IF(Events!$G$2:$G$397="National",""," ["&amp;Events!$G$2:$G$397&amp;"]"),""))</f>
        <v/>
      </c>
    </row>
    <row r="555" spans="1:9" ht="15" customHeight="1" x14ac:dyDescent="0.35">
      <c r="A555" s="2">
        <v>45845</v>
      </c>
      <c r="B555" s="3">
        <f t="shared" si="40"/>
        <v>2025</v>
      </c>
      <c r="C555" s="3">
        <f t="shared" si="41"/>
        <v>7</v>
      </c>
      <c r="D555" s="3" t="str">
        <f t="shared" si="42"/>
        <v>Mon</v>
      </c>
      <c r="E555" s="3">
        <f t="shared" si="43"/>
        <v>0</v>
      </c>
      <c r="F555" s="3">
        <f t="shared" si="44"/>
        <v>0</v>
      </c>
      <c r="G555" s="3" t="str">
        <f t="array" ref="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3">
        <f>COUNTIF(Events!$A$2:$A$397,$A555)</f>
        <v>0</v>
      </c>
      <c r="I555" s="25" t="str">
        <f t="array" ref="I555">_xlfn.TEXTJOIN(" | ",TRUE(),IF(Events!$A$2:$A$397=$A555,Events!$E$2:$E$397&amp;IF(Events!$G$2:$G$397="National",""," ["&amp;Events!$G$2:$G$397&amp;"]"),""))</f>
        <v/>
      </c>
    </row>
    <row r="556" spans="1:9" ht="15" customHeight="1" x14ac:dyDescent="0.35">
      <c r="A556" s="2">
        <v>45846</v>
      </c>
      <c r="B556" s="3">
        <f t="shared" si="40"/>
        <v>2025</v>
      </c>
      <c r="C556" s="3">
        <f t="shared" si="41"/>
        <v>7</v>
      </c>
      <c r="D556" s="3" t="str">
        <f t="shared" si="42"/>
        <v>Tue</v>
      </c>
      <c r="E556" s="3">
        <f t="shared" si="43"/>
        <v>0</v>
      </c>
      <c r="F556" s="3">
        <f t="shared" si="44"/>
        <v>0</v>
      </c>
      <c r="G556" s="3" t="str">
        <f t="array" ref="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3">
        <f>COUNTIF(Events!$A$2:$A$397,$A556)</f>
        <v>0</v>
      </c>
      <c r="I556" s="25" t="str">
        <f t="array" ref="I556">_xlfn.TEXTJOIN(" | ",TRUE(),IF(Events!$A$2:$A$397=$A556,Events!$E$2:$E$397&amp;IF(Events!$G$2:$G$397="National",""," ["&amp;Events!$G$2:$G$397&amp;"]"),""))</f>
        <v/>
      </c>
    </row>
    <row r="557" spans="1:9" ht="15" customHeight="1" x14ac:dyDescent="0.35">
      <c r="A557" s="2">
        <v>45847</v>
      </c>
      <c r="B557" s="3">
        <f t="shared" si="40"/>
        <v>2025</v>
      </c>
      <c r="C557" s="3">
        <f t="shared" si="41"/>
        <v>7</v>
      </c>
      <c r="D557" s="3" t="str">
        <f t="shared" si="42"/>
        <v>Wed</v>
      </c>
      <c r="E557" s="3">
        <f t="shared" si="43"/>
        <v>0</v>
      </c>
      <c r="F557" s="3">
        <f t="shared" si="44"/>
        <v>0</v>
      </c>
      <c r="G557" s="3" t="str">
        <f t="array" ref="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3">
        <f>COUNTIF(Events!$A$2:$A$397,$A557)</f>
        <v>0</v>
      </c>
      <c r="I557" s="25" t="str">
        <f t="array" ref="I557">_xlfn.TEXTJOIN(" | ",TRUE(),IF(Events!$A$2:$A$397=$A557,Events!$E$2:$E$397&amp;IF(Events!$G$2:$G$397="National",""," ["&amp;Events!$G$2:$G$397&amp;"]"),""))</f>
        <v/>
      </c>
    </row>
    <row r="558" spans="1:9" ht="15" customHeight="1" x14ac:dyDescent="0.35">
      <c r="A558" s="2">
        <v>45848</v>
      </c>
      <c r="B558" s="3">
        <f t="shared" si="40"/>
        <v>2025</v>
      </c>
      <c r="C558" s="3">
        <f t="shared" si="41"/>
        <v>7</v>
      </c>
      <c r="D558" s="3" t="str">
        <f t="shared" si="42"/>
        <v>Thu</v>
      </c>
      <c r="E558" s="3">
        <f t="shared" si="43"/>
        <v>0</v>
      </c>
      <c r="F558" s="3">
        <f t="shared" si="44"/>
        <v>0</v>
      </c>
      <c r="G558" s="3" t="str">
        <f t="array" ref="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3">
        <f>COUNTIF(Events!$A$2:$A$397,$A558)</f>
        <v>0</v>
      </c>
      <c r="I558" s="25" t="str">
        <f t="array" ref="I558">_xlfn.TEXTJOIN(" | ",TRUE(),IF(Events!$A$2:$A$397=$A558,Events!$E$2:$E$397&amp;IF(Events!$G$2:$G$397="National",""," ["&amp;Events!$G$2:$G$397&amp;"]"),""))</f>
        <v/>
      </c>
    </row>
    <row r="559" spans="1:9" ht="15" customHeight="1" x14ac:dyDescent="0.35">
      <c r="A559" s="2">
        <v>45849</v>
      </c>
      <c r="B559" s="3">
        <f t="shared" si="40"/>
        <v>2025</v>
      </c>
      <c r="C559" s="3">
        <f t="shared" si="41"/>
        <v>7</v>
      </c>
      <c r="D559" s="3" t="str">
        <f t="shared" si="42"/>
        <v>Fri</v>
      </c>
      <c r="E559" s="3">
        <f t="shared" si="43"/>
        <v>0</v>
      </c>
      <c r="F559" s="3">
        <f t="shared" si="44"/>
        <v>0</v>
      </c>
      <c r="G559" s="3" t="str">
        <f t="array" ref="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3">
        <f>COUNTIF(Events!$A$2:$A$397,$A559)</f>
        <v>0</v>
      </c>
      <c r="I559" s="25" t="str">
        <f t="array" ref="I559">_xlfn.TEXTJOIN(" | ",TRUE(),IF(Events!$A$2:$A$397=$A559,Events!$E$2:$E$397&amp;IF(Events!$G$2:$G$397="National",""," ["&amp;Events!$G$2:$G$397&amp;"]"),""))</f>
        <v/>
      </c>
    </row>
    <row r="560" spans="1:9" ht="15" customHeight="1" x14ac:dyDescent="0.35">
      <c r="A560" s="2">
        <v>45850</v>
      </c>
      <c r="B560" s="3">
        <f t="shared" si="40"/>
        <v>2025</v>
      </c>
      <c r="C560" s="3">
        <f t="shared" si="41"/>
        <v>7</v>
      </c>
      <c r="D560" s="3" t="str">
        <f t="shared" si="42"/>
        <v>Sat</v>
      </c>
      <c r="E560" s="3">
        <f t="shared" si="43"/>
        <v>0</v>
      </c>
      <c r="F560" s="3">
        <f t="shared" si="44"/>
        <v>0</v>
      </c>
      <c r="G560" s="3" t="str">
        <f t="array" ref="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3">
        <f>COUNTIF(Events!$A$2:$A$397,$A560)</f>
        <v>0</v>
      </c>
      <c r="I560" s="25" t="str">
        <f t="array" ref="I560">_xlfn.TEXTJOIN(" | ",TRUE(),IF(Events!$A$2:$A$397=$A560,Events!$E$2:$E$397&amp;IF(Events!$G$2:$G$397="National",""," ["&amp;Events!$G$2:$G$397&amp;"]"),""))</f>
        <v/>
      </c>
    </row>
    <row r="561" spans="1:9" ht="15" customHeight="1" x14ac:dyDescent="0.35">
      <c r="A561" s="2">
        <v>45851</v>
      </c>
      <c r="B561" s="3">
        <f t="shared" si="40"/>
        <v>2025</v>
      </c>
      <c r="C561" s="3">
        <f t="shared" si="41"/>
        <v>7</v>
      </c>
      <c r="D561" s="3" t="str">
        <f t="shared" si="42"/>
        <v>Sun</v>
      </c>
      <c r="E561" s="3">
        <f t="shared" si="43"/>
        <v>0</v>
      </c>
      <c r="F561" s="3">
        <f t="shared" si="44"/>
        <v>0</v>
      </c>
      <c r="G561" s="3" t="str">
        <f t="array" ref="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3">
        <f>COUNTIF(Events!$A$2:$A$397,$A561)</f>
        <v>0</v>
      </c>
      <c r="I561" s="25" t="str">
        <f t="array" ref="I561">_xlfn.TEXTJOIN(" | ",TRUE(),IF(Events!$A$2:$A$397=$A561,Events!$E$2:$E$397&amp;IF(Events!$G$2:$G$397="National",""," ["&amp;Events!$G$2:$G$397&amp;"]"),""))</f>
        <v/>
      </c>
    </row>
    <row r="562" spans="1:9" ht="15" customHeight="1" x14ac:dyDescent="0.35">
      <c r="A562" s="2">
        <v>45852</v>
      </c>
      <c r="B562" s="3">
        <f t="shared" si="40"/>
        <v>2025</v>
      </c>
      <c r="C562" s="3">
        <f t="shared" si="41"/>
        <v>7</v>
      </c>
      <c r="D562" s="3" t="str">
        <f t="shared" si="42"/>
        <v>Mon</v>
      </c>
      <c r="E562" s="3">
        <f t="shared" si="43"/>
        <v>0</v>
      </c>
      <c r="F562" s="3">
        <f t="shared" si="44"/>
        <v>0</v>
      </c>
      <c r="G562" s="3" t="str">
        <f t="array" ref="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3">
        <f>COUNTIF(Events!$A$2:$A$397,$A562)</f>
        <v>0</v>
      </c>
      <c r="I562" s="25" t="str">
        <f t="array" ref="I562">_xlfn.TEXTJOIN(" | ",TRUE(),IF(Events!$A$2:$A$397=$A562,Events!$E$2:$E$397&amp;IF(Events!$G$2:$G$397="National",""," ["&amp;Events!$G$2:$G$397&amp;"]"),""))</f>
        <v/>
      </c>
    </row>
    <row r="563" spans="1:9" ht="15" customHeight="1" x14ac:dyDescent="0.35">
      <c r="A563" s="2">
        <v>45853</v>
      </c>
      <c r="B563" s="3">
        <f t="shared" si="40"/>
        <v>2025</v>
      </c>
      <c r="C563" s="3">
        <f t="shared" si="41"/>
        <v>7</v>
      </c>
      <c r="D563" s="3" t="str">
        <f t="shared" si="42"/>
        <v>Tue</v>
      </c>
      <c r="E563" s="3">
        <f t="shared" si="43"/>
        <v>0</v>
      </c>
      <c r="F563" s="3">
        <f t="shared" si="44"/>
        <v>0</v>
      </c>
      <c r="G563" s="3" t="str">
        <f t="array" ref="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3">
        <f>COUNTIF(Events!$A$2:$A$397,$A563)</f>
        <v>0</v>
      </c>
      <c r="I563" s="25" t="str">
        <f t="array" ref="I563">_xlfn.TEXTJOIN(" | ",TRUE(),IF(Events!$A$2:$A$397=$A563,Events!$E$2:$E$397&amp;IF(Events!$G$2:$G$397="National",""," ["&amp;Events!$G$2:$G$397&amp;"]"),""))</f>
        <v/>
      </c>
    </row>
    <row r="564" spans="1:9" ht="15" customHeight="1" x14ac:dyDescent="0.35">
      <c r="A564" s="2">
        <v>45854</v>
      </c>
      <c r="B564" s="3">
        <f t="shared" si="40"/>
        <v>2025</v>
      </c>
      <c r="C564" s="3">
        <f t="shared" si="41"/>
        <v>7</v>
      </c>
      <c r="D564" s="3" t="str">
        <f t="shared" si="42"/>
        <v>Wed</v>
      </c>
      <c r="E564" s="3">
        <f t="shared" si="43"/>
        <v>0</v>
      </c>
      <c r="F564" s="3">
        <f t="shared" si="44"/>
        <v>0</v>
      </c>
      <c r="G564" s="3" t="str">
        <f t="array" ref="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3">
        <f>COUNTIF(Events!$A$2:$A$397,$A564)</f>
        <v>0</v>
      </c>
      <c r="I564" s="25" t="str">
        <f t="array" ref="I564">_xlfn.TEXTJOIN(" | ",TRUE(),IF(Events!$A$2:$A$397=$A564,Events!$E$2:$E$397&amp;IF(Events!$G$2:$G$397="National",""," ["&amp;Events!$G$2:$G$397&amp;"]"),""))</f>
        <v/>
      </c>
    </row>
    <row r="565" spans="1:9" ht="15" customHeight="1" x14ac:dyDescent="0.35">
      <c r="A565" s="2">
        <v>45855</v>
      </c>
      <c r="B565" s="3">
        <f t="shared" si="40"/>
        <v>2025</v>
      </c>
      <c r="C565" s="3">
        <f t="shared" si="41"/>
        <v>7</v>
      </c>
      <c r="D565" s="3" t="str">
        <f t="shared" si="42"/>
        <v>Thu</v>
      </c>
      <c r="E565" s="3">
        <f t="shared" si="43"/>
        <v>0</v>
      </c>
      <c r="F565" s="3">
        <f t="shared" si="44"/>
        <v>0</v>
      </c>
      <c r="G565" s="3" t="str">
        <f t="array" ref="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3">
        <f>COUNTIF(Events!$A$2:$A$397,$A565)</f>
        <v>0</v>
      </c>
      <c r="I565" s="25" t="str">
        <f t="array" ref="I565">_xlfn.TEXTJOIN(" | ",TRUE(),IF(Events!$A$2:$A$397=$A565,Events!$E$2:$E$397&amp;IF(Events!$G$2:$G$397="National",""," ["&amp;Events!$G$2:$G$397&amp;"]"),""))</f>
        <v/>
      </c>
    </row>
    <row r="566" spans="1:9" ht="15" customHeight="1" x14ac:dyDescent="0.35">
      <c r="A566" s="2">
        <v>45856</v>
      </c>
      <c r="B566" s="3">
        <f t="shared" si="40"/>
        <v>2025</v>
      </c>
      <c r="C566" s="3">
        <f t="shared" si="41"/>
        <v>7</v>
      </c>
      <c r="D566" s="3" t="str">
        <f t="shared" si="42"/>
        <v>Fri</v>
      </c>
      <c r="E566" s="3">
        <f t="shared" si="43"/>
        <v>0</v>
      </c>
      <c r="F566" s="3">
        <f t="shared" si="44"/>
        <v>0</v>
      </c>
      <c r="G566" s="3" t="str">
        <f t="array" ref="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3">
        <f>COUNTIF(Events!$A$2:$A$397,$A566)</f>
        <v>0</v>
      </c>
      <c r="I566" s="25" t="str">
        <f t="array" ref="I566">_xlfn.TEXTJOIN(" | ",TRUE(),IF(Events!$A$2:$A$397=$A566,Events!$E$2:$E$397&amp;IF(Events!$G$2:$G$397="National",""," ["&amp;Events!$G$2:$G$397&amp;"]"),""))</f>
        <v/>
      </c>
    </row>
    <row r="567" spans="1:9" ht="15" customHeight="1" x14ac:dyDescent="0.35">
      <c r="A567" s="2">
        <v>45857</v>
      </c>
      <c r="B567" s="3">
        <f t="shared" si="40"/>
        <v>2025</v>
      </c>
      <c r="C567" s="3">
        <f t="shared" si="41"/>
        <v>7</v>
      </c>
      <c r="D567" s="3" t="str">
        <f t="shared" si="42"/>
        <v>Sat</v>
      </c>
      <c r="E567" s="3">
        <f t="shared" si="43"/>
        <v>0</v>
      </c>
      <c r="F567" s="3">
        <f t="shared" si="44"/>
        <v>0</v>
      </c>
      <c r="G567" s="3" t="str">
        <f t="array" ref="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3">
        <f>COUNTIF(Events!$A$2:$A$397,$A567)</f>
        <v>0</v>
      </c>
      <c r="I567" s="25" t="str">
        <f t="array" ref="I567">_xlfn.TEXTJOIN(" | ",TRUE(),IF(Events!$A$2:$A$397=$A567,Events!$E$2:$E$397&amp;IF(Events!$G$2:$G$397="National",""," ["&amp;Events!$G$2:$G$397&amp;"]"),""))</f>
        <v/>
      </c>
    </row>
    <row r="568" spans="1:9" ht="15" customHeight="1" x14ac:dyDescent="0.35">
      <c r="A568" s="2">
        <v>45858</v>
      </c>
      <c r="B568" s="3">
        <f t="shared" si="40"/>
        <v>2025</v>
      </c>
      <c r="C568" s="3">
        <f t="shared" si="41"/>
        <v>7</v>
      </c>
      <c r="D568" s="3" t="str">
        <f t="shared" si="42"/>
        <v>Sun</v>
      </c>
      <c r="E568" s="3">
        <f t="shared" si="43"/>
        <v>0</v>
      </c>
      <c r="F568" s="3">
        <f t="shared" si="44"/>
        <v>0</v>
      </c>
      <c r="G568" s="3" t="str">
        <f t="array" ref="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3">
        <f>COUNTIF(Events!$A$2:$A$397,$A568)</f>
        <v>0</v>
      </c>
      <c r="I568" s="25" t="str">
        <f t="array" ref="I568">_xlfn.TEXTJOIN(" | ",TRUE(),IF(Events!$A$2:$A$397=$A568,Events!$E$2:$E$397&amp;IF(Events!$G$2:$G$397="National",""," ["&amp;Events!$G$2:$G$397&amp;"]"),""))</f>
        <v/>
      </c>
    </row>
    <row r="569" spans="1:9" ht="15" customHeight="1" x14ac:dyDescent="0.35">
      <c r="A569" s="2">
        <v>45859</v>
      </c>
      <c r="B569" s="3">
        <f t="shared" si="40"/>
        <v>2025</v>
      </c>
      <c r="C569" s="3">
        <f t="shared" si="41"/>
        <v>7</v>
      </c>
      <c r="D569" s="3" t="str">
        <f t="shared" si="42"/>
        <v>Mon</v>
      </c>
      <c r="E569" s="3">
        <f t="shared" si="43"/>
        <v>0</v>
      </c>
      <c r="F569" s="3">
        <f t="shared" si="44"/>
        <v>0</v>
      </c>
      <c r="G569" s="3" t="str">
        <f t="array" ref="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3">
        <f>COUNTIF(Events!$A$2:$A$397,$A569)</f>
        <v>0</v>
      </c>
      <c r="I569" s="25" t="str">
        <f t="array" ref="I569">_xlfn.TEXTJOIN(" | ",TRUE(),IF(Events!$A$2:$A$397=$A569,Events!$E$2:$E$397&amp;IF(Events!$G$2:$G$397="National",""," ["&amp;Events!$G$2:$G$397&amp;"]"),""))</f>
        <v/>
      </c>
    </row>
    <row r="570" spans="1:9" ht="15" customHeight="1" x14ac:dyDescent="0.35">
      <c r="A570" s="2">
        <v>45860</v>
      </c>
      <c r="B570" s="3">
        <f t="shared" si="40"/>
        <v>2025</v>
      </c>
      <c r="C570" s="3">
        <f t="shared" si="41"/>
        <v>7</v>
      </c>
      <c r="D570" s="3" t="str">
        <f t="shared" si="42"/>
        <v>Tue</v>
      </c>
      <c r="E570" s="3">
        <f t="shared" si="43"/>
        <v>0</v>
      </c>
      <c r="F570" s="3">
        <f t="shared" si="44"/>
        <v>0</v>
      </c>
      <c r="G570" s="3" t="str">
        <f t="array" ref="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3">
        <f>COUNTIF(Events!$A$2:$A$397,$A570)</f>
        <v>0</v>
      </c>
      <c r="I570" s="25" t="str">
        <f t="array" ref="I570">_xlfn.TEXTJOIN(" | ",TRUE(),IF(Events!$A$2:$A$397=$A570,Events!$E$2:$E$397&amp;IF(Events!$G$2:$G$397="National",""," ["&amp;Events!$G$2:$G$397&amp;"]"),""))</f>
        <v/>
      </c>
    </row>
    <row r="571" spans="1:9" ht="15" customHeight="1" x14ac:dyDescent="0.35">
      <c r="A571" s="2">
        <v>45861</v>
      </c>
      <c r="B571" s="3">
        <f t="shared" si="40"/>
        <v>2025</v>
      </c>
      <c r="C571" s="3">
        <f t="shared" si="41"/>
        <v>7</v>
      </c>
      <c r="D571" s="3" t="str">
        <f t="shared" si="42"/>
        <v>Wed</v>
      </c>
      <c r="E571" s="3">
        <f t="shared" si="43"/>
        <v>0</v>
      </c>
      <c r="F571" s="3">
        <f t="shared" si="44"/>
        <v>0</v>
      </c>
      <c r="G571" s="3" t="str">
        <f t="array" ref="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3">
        <f>COUNTIF(Events!$A$2:$A$397,$A571)</f>
        <v>0</v>
      </c>
      <c r="I571" s="25" t="str">
        <f t="array" ref="I571">_xlfn.TEXTJOIN(" | ",TRUE(),IF(Events!$A$2:$A$397=$A571,Events!$E$2:$E$397&amp;IF(Events!$G$2:$G$397="National",""," ["&amp;Events!$G$2:$G$397&amp;"]"),""))</f>
        <v/>
      </c>
    </row>
    <row r="572" spans="1:9" ht="15" customHeight="1" x14ac:dyDescent="0.35">
      <c r="A572" s="2">
        <v>45862</v>
      </c>
      <c r="B572" s="3">
        <f t="shared" si="40"/>
        <v>2025</v>
      </c>
      <c r="C572" s="3">
        <f t="shared" si="41"/>
        <v>7</v>
      </c>
      <c r="D572" s="3" t="str">
        <f t="shared" si="42"/>
        <v>Thu</v>
      </c>
      <c r="E572" s="3">
        <f t="shared" si="43"/>
        <v>0</v>
      </c>
      <c r="F572" s="3">
        <f t="shared" si="44"/>
        <v>0</v>
      </c>
      <c r="G572" s="3" t="str">
        <f t="array" ref="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3">
        <f>COUNTIF(Events!$A$2:$A$397,$A572)</f>
        <v>0</v>
      </c>
      <c r="I572" s="25" t="str">
        <f t="array" ref="I572">_xlfn.TEXTJOIN(" | ",TRUE(),IF(Events!$A$2:$A$397=$A572,Events!$E$2:$E$397&amp;IF(Events!$G$2:$G$397="National",""," ["&amp;Events!$G$2:$G$397&amp;"]"),""))</f>
        <v/>
      </c>
    </row>
    <row r="573" spans="1:9" ht="15" customHeight="1" x14ac:dyDescent="0.35">
      <c r="A573" s="2">
        <v>45863</v>
      </c>
      <c r="B573" s="3">
        <f t="shared" si="40"/>
        <v>2025</v>
      </c>
      <c r="C573" s="3">
        <f t="shared" si="41"/>
        <v>7</v>
      </c>
      <c r="D573" s="3" t="str">
        <f t="shared" si="42"/>
        <v>Fri</v>
      </c>
      <c r="E573" s="3">
        <f t="shared" si="43"/>
        <v>0</v>
      </c>
      <c r="F573" s="3">
        <f t="shared" si="44"/>
        <v>0</v>
      </c>
      <c r="G573" s="3" t="str">
        <f t="array" ref="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3">
        <f>COUNTIF(Events!$A$2:$A$397,$A573)</f>
        <v>0</v>
      </c>
      <c r="I573" s="25" t="str">
        <f t="array" ref="I573">_xlfn.TEXTJOIN(" | ",TRUE(),IF(Events!$A$2:$A$397=$A573,Events!$E$2:$E$397&amp;IF(Events!$G$2:$G$397="National",""," ["&amp;Events!$G$2:$G$397&amp;"]"),""))</f>
        <v/>
      </c>
    </row>
    <row r="574" spans="1:9" ht="15" customHeight="1" x14ac:dyDescent="0.35">
      <c r="A574" s="2">
        <v>45864</v>
      </c>
      <c r="B574" s="3">
        <f t="shared" si="40"/>
        <v>2025</v>
      </c>
      <c r="C574" s="3">
        <f t="shared" si="41"/>
        <v>7</v>
      </c>
      <c r="D574" s="3" t="str">
        <f t="shared" si="42"/>
        <v>Sat</v>
      </c>
      <c r="E574" s="3">
        <f t="shared" si="43"/>
        <v>0</v>
      </c>
      <c r="F574" s="3">
        <f t="shared" si="44"/>
        <v>0</v>
      </c>
      <c r="G574" s="3" t="str">
        <f t="array" ref="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3">
        <f>COUNTIF(Events!$A$2:$A$397,$A574)</f>
        <v>0</v>
      </c>
      <c r="I574" s="25" t="str">
        <f t="array" ref="I574">_xlfn.TEXTJOIN(" | ",TRUE(),IF(Events!$A$2:$A$397=$A574,Events!$E$2:$E$397&amp;IF(Events!$G$2:$G$397="National",""," ["&amp;Events!$G$2:$G$397&amp;"]"),""))</f>
        <v/>
      </c>
    </row>
    <row r="575" spans="1:9" ht="15" customHeight="1" x14ac:dyDescent="0.35">
      <c r="A575" s="2">
        <v>45865</v>
      </c>
      <c r="B575" s="3">
        <f t="shared" si="40"/>
        <v>2025</v>
      </c>
      <c r="C575" s="3">
        <f t="shared" si="41"/>
        <v>7</v>
      </c>
      <c r="D575" s="3" t="str">
        <f t="shared" si="42"/>
        <v>Sun</v>
      </c>
      <c r="E575" s="3">
        <f t="shared" si="43"/>
        <v>0</v>
      </c>
      <c r="F575" s="3">
        <f t="shared" si="44"/>
        <v>0</v>
      </c>
      <c r="G575" s="3" t="str">
        <f t="array" ref="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3">
        <f>COUNTIF(Events!$A$2:$A$397,$A575)</f>
        <v>0</v>
      </c>
      <c r="I575" s="25" t="str">
        <f t="array" ref="I575">_xlfn.TEXTJOIN(" | ",TRUE(),IF(Events!$A$2:$A$397=$A575,Events!$E$2:$E$397&amp;IF(Events!$G$2:$G$397="National",""," ["&amp;Events!$G$2:$G$397&amp;"]"),""))</f>
        <v/>
      </c>
    </row>
    <row r="576" spans="1:9" ht="15" customHeight="1" x14ac:dyDescent="0.35">
      <c r="A576" s="2">
        <v>45866</v>
      </c>
      <c r="B576" s="3">
        <f t="shared" si="40"/>
        <v>2025</v>
      </c>
      <c r="C576" s="3">
        <f t="shared" si="41"/>
        <v>7</v>
      </c>
      <c r="D576" s="3" t="str">
        <f t="shared" si="42"/>
        <v>Mon</v>
      </c>
      <c r="E576" s="3">
        <f t="shared" si="43"/>
        <v>0</v>
      </c>
      <c r="F576" s="3">
        <f t="shared" si="44"/>
        <v>0</v>
      </c>
      <c r="G576" s="3" t="str">
        <f t="array" ref="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3">
        <f>COUNTIF(Events!$A$2:$A$397,$A576)</f>
        <v>0</v>
      </c>
      <c r="I576" s="25" t="str">
        <f t="array" ref="I576">_xlfn.TEXTJOIN(" | ",TRUE(),IF(Events!$A$2:$A$397=$A576,Events!$E$2:$E$397&amp;IF(Events!$G$2:$G$397="National",""," ["&amp;Events!$G$2:$G$397&amp;"]"),""))</f>
        <v/>
      </c>
    </row>
    <row r="577" spans="1:9" ht="15" customHeight="1" x14ac:dyDescent="0.35">
      <c r="A577" s="2">
        <v>45867</v>
      </c>
      <c r="B577" s="3">
        <f t="shared" si="40"/>
        <v>2025</v>
      </c>
      <c r="C577" s="3">
        <f t="shared" si="41"/>
        <v>7</v>
      </c>
      <c r="D577" s="3" t="str">
        <f t="shared" si="42"/>
        <v>Tue</v>
      </c>
      <c r="E577" s="3">
        <f t="shared" si="43"/>
        <v>0</v>
      </c>
      <c r="F577" s="3">
        <f t="shared" si="44"/>
        <v>0</v>
      </c>
      <c r="G577" s="3" t="str">
        <f t="array" ref="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3">
        <f>COUNTIF(Events!$A$2:$A$397,$A577)</f>
        <v>0</v>
      </c>
      <c r="I577" s="25" t="str">
        <f t="array" ref="I577">_xlfn.TEXTJOIN(" | ",TRUE(),IF(Events!$A$2:$A$397=$A577,Events!$E$2:$E$397&amp;IF(Events!$G$2:$G$397="National",""," ["&amp;Events!$G$2:$G$397&amp;"]"),""))</f>
        <v/>
      </c>
    </row>
    <row r="578" spans="1:9" ht="15" customHeight="1" x14ac:dyDescent="0.35">
      <c r="A578" s="2">
        <v>45868</v>
      </c>
      <c r="B578" s="3">
        <f t="shared" ref="B578:B641" si="45">YEAR($A578)</f>
        <v>2025</v>
      </c>
      <c r="C578" s="3">
        <f t="shared" ref="C578:C641" si="46">MONTH($A578)</f>
        <v>7</v>
      </c>
      <c r="D578" s="3" t="str">
        <f t="shared" ref="D578:D641" si="47">TEXT($A578,"ddd")</f>
        <v>Wed</v>
      </c>
      <c r="E578" s="3">
        <f t="shared" ref="E578:E641" si="48">IF(OR(AND(MONTH($A578)=10,DAY($A578)&gt;=15),MONTH($A578)=11,AND(MONTH($A578)=12,DAY($A578)&lt;=7)),1,0)</f>
        <v>0</v>
      </c>
      <c r="F578" s="3">
        <f t="shared" ref="F578:F641" si="49">IF(MONTH($A578)&lt;=3,1,0)</f>
        <v>0</v>
      </c>
      <c r="G578" s="3" t="str">
        <f t="array" ref="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
      </c>
      <c r="H578" s="3">
        <f>COUNTIF(Events!$A$2:$A$397,$A578)</f>
        <v>0</v>
      </c>
      <c r="I578" s="25" t="str">
        <f t="array" ref="I578">_xlfn.TEXTJOIN(" | ",TRUE(),IF(Events!$A$2:$A$397=$A578,Events!$E$2:$E$397&amp;IF(Events!$G$2:$G$397="National",""," ["&amp;Events!$G$2:$G$397&amp;"]"),""))</f>
        <v/>
      </c>
    </row>
    <row r="579" spans="1:9" ht="15" customHeight="1" x14ac:dyDescent="0.35">
      <c r="A579" s="2">
        <v>45869</v>
      </c>
      <c r="B579" s="3">
        <f t="shared" si="45"/>
        <v>2025</v>
      </c>
      <c r="C579" s="3">
        <f t="shared" si="46"/>
        <v>7</v>
      </c>
      <c r="D579" s="3" t="str">
        <f t="shared" si="47"/>
        <v>Thu</v>
      </c>
      <c r="E579" s="3">
        <f t="shared" si="48"/>
        <v>0</v>
      </c>
      <c r="F579" s="3">
        <f t="shared" si="49"/>
        <v>0</v>
      </c>
      <c r="G579" s="3" t="str">
        <f t="array" ref="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 | 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9" s="3">
        <f>COUNTIF(Events!$A$2:$A$397,$A579)</f>
        <v>0</v>
      </c>
      <c r="I579" s="25" t="str">
        <f t="array" ref="I579">_xlfn.TEXTJOIN(" | ",TRUE(),IF(Events!$A$2:$A$397=$A579,Events!$E$2:$E$397&amp;IF(Events!$G$2:$G$397="National",""," ["&amp;Events!$G$2:$G$397&amp;"]"),""))</f>
        <v/>
      </c>
    </row>
    <row r="580" spans="1:9" ht="15" customHeight="1" x14ac:dyDescent="0.35">
      <c r="A580" s="2">
        <v>45870</v>
      </c>
      <c r="B580" s="3">
        <f t="shared" si="45"/>
        <v>2025</v>
      </c>
      <c r="C580" s="3">
        <f t="shared" si="46"/>
        <v>8</v>
      </c>
      <c r="D580" s="3" t="str">
        <f t="shared" si="47"/>
        <v>Fri</v>
      </c>
      <c r="E580" s="3">
        <f t="shared" si="48"/>
        <v>0</v>
      </c>
      <c r="F580" s="3">
        <f t="shared" si="49"/>
        <v>0</v>
      </c>
      <c r="G580" s="3" t="str">
        <f t="array" ref="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3">
        <f>COUNTIF(Events!$A$2:$A$397,$A580)</f>
        <v>0</v>
      </c>
      <c r="I580" s="25" t="str">
        <f t="array" ref="I580">_xlfn.TEXTJOIN(" | ",TRUE(),IF(Events!$A$2:$A$397=$A580,Events!$E$2:$E$397&amp;IF(Events!$G$2:$G$397="National",""," ["&amp;Events!$G$2:$G$397&amp;"]"),""))</f>
        <v/>
      </c>
    </row>
    <row r="581" spans="1:9" ht="15" customHeight="1" x14ac:dyDescent="0.35">
      <c r="A581" s="2">
        <v>45871</v>
      </c>
      <c r="B581" s="3">
        <f t="shared" si="45"/>
        <v>2025</v>
      </c>
      <c r="C581" s="3">
        <f t="shared" si="46"/>
        <v>8</v>
      </c>
      <c r="D581" s="3" t="str">
        <f t="shared" si="47"/>
        <v>Sat</v>
      </c>
      <c r="E581" s="3">
        <f t="shared" si="48"/>
        <v>0</v>
      </c>
      <c r="F581" s="3">
        <f t="shared" si="49"/>
        <v>0</v>
      </c>
      <c r="G581" s="3" t="str">
        <f t="array" ref="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3">
        <f>COUNTIF(Events!$A$2:$A$397,$A581)</f>
        <v>0</v>
      </c>
      <c r="I581" s="25" t="str">
        <f t="array" ref="I581">_xlfn.TEXTJOIN(" | ",TRUE(),IF(Events!$A$2:$A$397=$A581,Events!$E$2:$E$397&amp;IF(Events!$G$2:$G$397="National",""," ["&amp;Events!$G$2:$G$397&amp;"]"),""))</f>
        <v/>
      </c>
    </row>
    <row r="582" spans="1:9" ht="15" customHeight="1" x14ac:dyDescent="0.35">
      <c r="A582" s="2">
        <v>45872</v>
      </c>
      <c r="B582" s="3">
        <f t="shared" si="45"/>
        <v>2025</v>
      </c>
      <c r="C582" s="3">
        <f t="shared" si="46"/>
        <v>8</v>
      </c>
      <c r="D582" s="3" t="str">
        <f t="shared" si="47"/>
        <v>Sun</v>
      </c>
      <c r="E582" s="3">
        <f t="shared" si="48"/>
        <v>0</v>
      </c>
      <c r="F582" s="3">
        <f t="shared" si="49"/>
        <v>0</v>
      </c>
      <c r="G582" s="3" t="str">
        <f t="array" ref="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3">
        <f>COUNTIF(Events!$A$2:$A$397,$A582)</f>
        <v>0</v>
      </c>
      <c r="I582" s="25" t="str">
        <f t="array" ref="I582">_xlfn.TEXTJOIN(" | ",TRUE(),IF(Events!$A$2:$A$397=$A582,Events!$E$2:$E$397&amp;IF(Events!$G$2:$G$397="National",""," ["&amp;Events!$G$2:$G$397&amp;"]"),""))</f>
        <v/>
      </c>
    </row>
    <row r="583" spans="1:9" ht="15" customHeight="1" x14ac:dyDescent="0.35">
      <c r="A583" s="2">
        <v>45873</v>
      </c>
      <c r="B583" s="3">
        <f t="shared" si="45"/>
        <v>2025</v>
      </c>
      <c r="C583" s="3">
        <f t="shared" si="46"/>
        <v>8</v>
      </c>
      <c r="D583" s="3" t="str">
        <f t="shared" si="47"/>
        <v>Mon</v>
      </c>
      <c r="E583" s="3">
        <f t="shared" si="48"/>
        <v>0</v>
      </c>
      <c r="F583" s="3">
        <f t="shared" si="49"/>
        <v>0</v>
      </c>
      <c r="G583" s="3" t="str">
        <f t="array" ref="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3">
        <f>COUNTIF(Events!$A$2:$A$397,$A583)</f>
        <v>0</v>
      </c>
      <c r="I583" s="25" t="str">
        <f t="array" ref="I583">_xlfn.TEXTJOIN(" | ",TRUE(),IF(Events!$A$2:$A$397=$A583,Events!$E$2:$E$397&amp;IF(Events!$G$2:$G$397="National",""," ["&amp;Events!$G$2:$G$397&amp;"]"),""))</f>
        <v/>
      </c>
    </row>
    <row r="584" spans="1:9" ht="15" customHeight="1" x14ac:dyDescent="0.35">
      <c r="A584" s="2">
        <v>45874</v>
      </c>
      <c r="B584" s="3">
        <f t="shared" si="45"/>
        <v>2025</v>
      </c>
      <c r="C584" s="3">
        <f t="shared" si="46"/>
        <v>8</v>
      </c>
      <c r="D584" s="3" t="str">
        <f t="shared" si="47"/>
        <v>Tue</v>
      </c>
      <c r="E584" s="3">
        <f t="shared" si="48"/>
        <v>0</v>
      </c>
      <c r="F584" s="3">
        <f t="shared" si="49"/>
        <v>0</v>
      </c>
      <c r="G584" s="3" t="str">
        <f t="array" ref="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3">
        <f>COUNTIF(Events!$A$2:$A$397,$A584)</f>
        <v>0</v>
      </c>
      <c r="I584" s="25" t="str">
        <f t="array" ref="I584">_xlfn.TEXTJOIN(" | ",TRUE(),IF(Events!$A$2:$A$397=$A584,Events!$E$2:$E$397&amp;IF(Events!$G$2:$G$397="National",""," ["&amp;Events!$G$2:$G$397&amp;"]"),""))</f>
        <v/>
      </c>
    </row>
    <row r="585" spans="1:9" ht="15" customHeight="1" x14ac:dyDescent="0.35">
      <c r="A585" s="2">
        <v>45875</v>
      </c>
      <c r="B585" s="3">
        <f t="shared" si="45"/>
        <v>2025</v>
      </c>
      <c r="C585" s="3">
        <f t="shared" si="46"/>
        <v>8</v>
      </c>
      <c r="D585" s="3" t="str">
        <f t="shared" si="47"/>
        <v>Wed</v>
      </c>
      <c r="E585" s="3">
        <f t="shared" si="48"/>
        <v>0</v>
      </c>
      <c r="F585" s="3">
        <f t="shared" si="49"/>
        <v>0</v>
      </c>
      <c r="G585" s="3" t="str">
        <f t="array" ref="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3">
        <f>COUNTIF(Events!$A$2:$A$397,$A585)</f>
        <v>0</v>
      </c>
      <c r="I585" s="25" t="str">
        <f t="array" ref="I585">_xlfn.TEXTJOIN(" | ",TRUE(),IF(Events!$A$2:$A$397=$A585,Events!$E$2:$E$397&amp;IF(Events!$G$2:$G$397="National",""," ["&amp;Events!$G$2:$G$397&amp;"]"),""))</f>
        <v/>
      </c>
    </row>
    <row r="586" spans="1:9" ht="15" customHeight="1" x14ac:dyDescent="0.35">
      <c r="A586" s="2">
        <v>45876</v>
      </c>
      <c r="B586" s="3">
        <f t="shared" si="45"/>
        <v>2025</v>
      </c>
      <c r="C586" s="3">
        <f t="shared" si="46"/>
        <v>8</v>
      </c>
      <c r="D586" s="3" t="str">
        <f t="shared" si="47"/>
        <v>Thu</v>
      </c>
      <c r="E586" s="3">
        <f t="shared" si="48"/>
        <v>0</v>
      </c>
      <c r="F586" s="3">
        <f t="shared" si="49"/>
        <v>0</v>
      </c>
      <c r="G586" s="3" t="str">
        <f t="array" ref="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3">
        <f>COUNTIF(Events!$A$2:$A$397,$A586)</f>
        <v>0</v>
      </c>
      <c r="I586" s="25" t="str">
        <f t="array" ref="I586">_xlfn.TEXTJOIN(" | ",TRUE(),IF(Events!$A$2:$A$397=$A586,Events!$E$2:$E$397&amp;IF(Events!$G$2:$G$397="National",""," ["&amp;Events!$G$2:$G$397&amp;"]"),""))</f>
        <v/>
      </c>
    </row>
    <row r="587" spans="1:9" ht="15" customHeight="1" x14ac:dyDescent="0.35">
      <c r="A587" s="2">
        <v>45877</v>
      </c>
      <c r="B587" s="3">
        <f t="shared" si="45"/>
        <v>2025</v>
      </c>
      <c r="C587" s="3">
        <f t="shared" si="46"/>
        <v>8</v>
      </c>
      <c r="D587" s="3" t="str">
        <f t="shared" si="47"/>
        <v>Fri</v>
      </c>
      <c r="E587" s="3">
        <f t="shared" si="48"/>
        <v>0</v>
      </c>
      <c r="F587" s="3">
        <f t="shared" si="49"/>
        <v>0</v>
      </c>
      <c r="G587" s="3" t="str">
        <f t="array" ref="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3">
        <f>COUNTIF(Events!$A$2:$A$397,$A587)</f>
        <v>0</v>
      </c>
      <c r="I587" s="25" t="str">
        <f t="array" ref="I587">_xlfn.TEXTJOIN(" | ",TRUE(),IF(Events!$A$2:$A$397=$A587,Events!$E$2:$E$397&amp;IF(Events!$G$2:$G$397="National",""," ["&amp;Events!$G$2:$G$397&amp;"]"),""))</f>
        <v/>
      </c>
    </row>
    <row r="588" spans="1:9" ht="15" customHeight="1" x14ac:dyDescent="0.35">
      <c r="A588" s="2">
        <v>45878</v>
      </c>
      <c r="B588" s="3">
        <f t="shared" si="45"/>
        <v>2025</v>
      </c>
      <c r="C588" s="3">
        <f t="shared" si="46"/>
        <v>8</v>
      </c>
      <c r="D588" s="3" t="str">
        <f t="shared" si="47"/>
        <v>Sat</v>
      </c>
      <c r="E588" s="3">
        <f t="shared" si="48"/>
        <v>0</v>
      </c>
      <c r="F588" s="3">
        <f t="shared" si="49"/>
        <v>0</v>
      </c>
      <c r="G588" s="3" t="str">
        <f t="array" ref="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3">
        <f>COUNTIF(Events!$A$2:$A$397,$A588)</f>
        <v>0</v>
      </c>
      <c r="I588" s="25" t="str">
        <f t="array" ref="I588">_xlfn.TEXTJOIN(" | ",TRUE(),IF(Events!$A$2:$A$397=$A588,Events!$E$2:$E$397&amp;IF(Events!$G$2:$G$397="National",""," ["&amp;Events!$G$2:$G$397&amp;"]"),""))</f>
        <v/>
      </c>
    </row>
    <row r="589" spans="1:9" ht="15" customHeight="1" x14ac:dyDescent="0.35">
      <c r="A589" s="2">
        <v>45879</v>
      </c>
      <c r="B589" s="3">
        <f t="shared" si="45"/>
        <v>2025</v>
      </c>
      <c r="C589" s="3">
        <f t="shared" si="46"/>
        <v>8</v>
      </c>
      <c r="D589" s="3" t="str">
        <f t="shared" si="47"/>
        <v>Sun</v>
      </c>
      <c r="E589" s="3">
        <f t="shared" si="48"/>
        <v>0</v>
      </c>
      <c r="F589" s="3">
        <f t="shared" si="49"/>
        <v>0</v>
      </c>
      <c r="G589" s="3" t="str">
        <f t="array" ref="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3">
        <f>COUNTIF(Events!$A$2:$A$397,$A589)</f>
        <v>0</v>
      </c>
      <c r="I589" s="25" t="str">
        <f t="array" ref="I589">_xlfn.TEXTJOIN(" | ",TRUE(),IF(Events!$A$2:$A$397=$A589,Events!$E$2:$E$397&amp;IF(Events!$G$2:$G$397="National",""," ["&amp;Events!$G$2:$G$397&amp;"]"),""))</f>
        <v/>
      </c>
    </row>
    <row r="590" spans="1:9" ht="15" customHeight="1" x14ac:dyDescent="0.35">
      <c r="A590" s="2">
        <v>45880</v>
      </c>
      <c r="B590" s="3">
        <f t="shared" si="45"/>
        <v>2025</v>
      </c>
      <c r="C590" s="3">
        <f t="shared" si="46"/>
        <v>8</v>
      </c>
      <c r="D590" s="3" t="str">
        <f t="shared" si="47"/>
        <v>Mon</v>
      </c>
      <c r="E590" s="3">
        <f t="shared" si="48"/>
        <v>0</v>
      </c>
      <c r="F590" s="3">
        <f t="shared" si="49"/>
        <v>0</v>
      </c>
      <c r="G590" s="3" t="str">
        <f t="array" ref="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3">
        <f>COUNTIF(Events!$A$2:$A$397,$A590)</f>
        <v>0</v>
      </c>
      <c r="I590" s="25" t="str">
        <f t="array" ref="I590">_xlfn.TEXTJOIN(" | ",TRUE(),IF(Events!$A$2:$A$397=$A590,Events!$E$2:$E$397&amp;IF(Events!$G$2:$G$397="National",""," ["&amp;Events!$G$2:$G$397&amp;"]"),""))</f>
        <v/>
      </c>
    </row>
    <row r="591" spans="1:9" ht="15" customHeight="1" x14ac:dyDescent="0.35">
      <c r="A591" s="2">
        <v>45881</v>
      </c>
      <c r="B591" s="3">
        <f t="shared" si="45"/>
        <v>2025</v>
      </c>
      <c r="C591" s="3">
        <f t="shared" si="46"/>
        <v>8</v>
      </c>
      <c r="D591" s="3" t="str">
        <f t="shared" si="47"/>
        <v>Tue</v>
      </c>
      <c r="E591" s="3">
        <f t="shared" si="48"/>
        <v>0</v>
      </c>
      <c r="F591" s="3">
        <f t="shared" si="49"/>
        <v>0</v>
      </c>
      <c r="G591" s="3" t="str">
        <f t="array" ref="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3">
        <f>COUNTIF(Events!$A$2:$A$397,$A591)</f>
        <v>0</v>
      </c>
      <c r="I591" s="25" t="str">
        <f t="array" ref="I591">_xlfn.TEXTJOIN(" | ",TRUE(),IF(Events!$A$2:$A$397=$A591,Events!$E$2:$E$397&amp;IF(Events!$G$2:$G$397="National",""," ["&amp;Events!$G$2:$G$397&amp;"]"),""))</f>
        <v/>
      </c>
    </row>
    <row r="592" spans="1:9" ht="15" customHeight="1" x14ac:dyDescent="0.35">
      <c r="A592" s="2">
        <v>45882</v>
      </c>
      <c r="B592" s="3">
        <f t="shared" si="45"/>
        <v>2025</v>
      </c>
      <c r="C592" s="3">
        <f t="shared" si="46"/>
        <v>8</v>
      </c>
      <c r="D592" s="3" t="str">
        <f t="shared" si="47"/>
        <v>Wed</v>
      </c>
      <c r="E592" s="3">
        <f t="shared" si="48"/>
        <v>0</v>
      </c>
      <c r="F592" s="3">
        <f t="shared" si="49"/>
        <v>0</v>
      </c>
      <c r="G592" s="3" t="str">
        <f t="array" ref="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3">
        <f>COUNTIF(Events!$A$2:$A$397,$A592)</f>
        <v>0</v>
      </c>
      <c r="I592" s="25" t="str">
        <f t="array" ref="I592">_xlfn.TEXTJOIN(" | ",TRUE(),IF(Events!$A$2:$A$397=$A592,Events!$E$2:$E$397&amp;IF(Events!$G$2:$G$397="National",""," ["&amp;Events!$G$2:$G$397&amp;"]"),""))</f>
        <v/>
      </c>
    </row>
    <row r="593" spans="1:9" ht="15" customHeight="1" x14ac:dyDescent="0.35">
      <c r="A593" s="2">
        <v>45883</v>
      </c>
      <c r="B593" s="3">
        <f t="shared" si="45"/>
        <v>2025</v>
      </c>
      <c r="C593" s="3">
        <f t="shared" si="46"/>
        <v>8</v>
      </c>
      <c r="D593" s="3" t="str">
        <f t="shared" si="47"/>
        <v>Thu</v>
      </c>
      <c r="E593" s="3">
        <f t="shared" si="48"/>
        <v>0</v>
      </c>
      <c r="F593" s="3">
        <f t="shared" si="49"/>
        <v>0</v>
      </c>
      <c r="G593" s="3" t="str">
        <f t="array" ref="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3">
        <f>COUNTIF(Events!$A$2:$A$397,$A593)</f>
        <v>0</v>
      </c>
      <c r="I593" s="25" t="str">
        <f t="array" ref="I593">_xlfn.TEXTJOIN(" | ",TRUE(),IF(Events!$A$2:$A$397=$A593,Events!$E$2:$E$397&amp;IF(Events!$G$2:$G$397="National",""," ["&amp;Events!$G$2:$G$397&amp;"]"),""))</f>
        <v/>
      </c>
    </row>
    <row r="594" spans="1:9" ht="15" customHeight="1" x14ac:dyDescent="0.35">
      <c r="A594" s="2">
        <v>45884</v>
      </c>
      <c r="B594" s="3">
        <f t="shared" si="45"/>
        <v>2025</v>
      </c>
      <c r="C594" s="3">
        <f t="shared" si="46"/>
        <v>8</v>
      </c>
      <c r="D594" s="3" t="str">
        <f t="shared" si="47"/>
        <v>Fri</v>
      </c>
      <c r="E594" s="3">
        <f t="shared" si="48"/>
        <v>0</v>
      </c>
      <c r="F594" s="3">
        <f t="shared" si="49"/>
        <v>0</v>
      </c>
      <c r="G594" s="3" t="str">
        <f t="array" ref="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3">
        <f>COUNTIF(Events!$A$2:$A$397,$A594)</f>
        <v>0</v>
      </c>
      <c r="I594" s="25" t="str">
        <f t="array" ref="I594">_xlfn.TEXTJOIN(" | ",TRUE(),IF(Events!$A$2:$A$397=$A594,Events!$E$2:$E$397&amp;IF(Events!$G$2:$G$397="National",""," ["&amp;Events!$G$2:$G$397&amp;"]"),""))</f>
        <v/>
      </c>
    </row>
    <row r="595" spans="1:9" ht="15" customHeight="1" x14ac:dyDescent="0.35">
      <c r="A595" s="2">
        <v>45885</v>
      </c>
      <c r="B595" s="3">
        <f t="shared" si="45"/>
        <v>2025</v>
      </c>
      <c r="C595" s="3">
        <f t="shared" si="46"/>
        <v>8</v>
      </c>
      <c r="D595" s="3" t="str">
        <f t="shared" si="47"/>
        <v>Sat</v>
      </c>
      <c r="E595" s="3">
        <f t="shared" si="48"/>
        <v>0</v>
      </c>
      <c r="F595" s="3">
        <f t="shared" si="49"/>
        <v>0</v>
      </c>
      <c r="G595" s="3" t="str">
        <f t="array" ref="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3">
        <f>COUNTIF(Events!$A$2:$A$397,$A595)</f>
        <v>0</v>
      </c>
      <c r="I595" s="25" t="str">
        <f t="array" ref="I595">_xlfn.TEXTJOIN(" | ",TRUE(),IF(Events!$A$2:$A$397=$A595,Events!$E$2:$E$397&amp;IF(Events!$G$2:$G$397="National",""," ["&amp;Events!$G$2:$G$397&amp;"]"),""))</f>
        <v/>
      </c>
    </row>
    <row r="596" spans="1:9" ht="15" customHeight="1" x14ac:dyDescent="0.35">
      <c r="A596" s="2">
        <v>45886</v>
      </c>
      <c r="B596" s="3">
        <f t="shared" si="45"/>
        <v>2025</v>
      </c>
      <c r="C596" s="3">
        <f t="shared" si="46"/>
        <v>8</v>
      </c>
      <c r="D596" s="3" t="str">
        <f t="shared" si="47"/>
        <v>Sun</v>
      </c>
      <c r="E596" s="3">
        <f t="shared" si="48"/>
        <v>0</v>
      </c>
      <c r="F596" s="3">
        <f t="shared" si="49"/>
        <v>0</v>
      </c>
      <c r="G596" s="3" t="str">
        <f t="array" ref="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3">
        <f>COUNTIF(Events!$A$2:$A$397,$A596)</f>
        <v>0</v>
      </c>
      <c r="I596" s="25" t="str">
        <f t="array" ref="I596">_xlfn.TEXTJOIN(" | ",TRUE(),IF(Events!$A$2:$A$397=$A596,Events!$E$2:$E$397&amp;IF(Events!$G$2:$G$397="National",""," ["&amp;Events!$G$2:$G$397&amp;"]"),""))</f>
        <v/>
      </c>
    </row>
    <row r="597" spans="1:9" ht="15" customHeight="1" x14ac:dyDescent="0.35">
      <c r="A597" s="2">
        <v>45887</v>
      </c>
      <c r="B597" s="3">
        <f t="shared" si="45"/>
        <v>2025</v>
      </c>
      <c r="C597" s="3">
        <f t="shared" si="46"/>
        <v>8</v>
      </c>
      <c r="D597" s="3" t="str">
        <f t="shared" si="47"/>
        <v>Mon</v>
      </c>
      <c r="E597" s="3">
        <f t="shared" si="48"/>
        <v>0</v>
      </c>
      <c r="F597" s="3">
        <f t="shared" si="49"/>
        <v>0</v>
      </c>
      <c r="G597" s="3" t="str">
        <f t="array" ref="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3">
        <f>COUNTIF(Events!$A$2:$A$397,$A597)</f>
        <v>1</v>
      </c>
      <c r="I597" s="25" t="str">
        <f t="array" ref="I597">_xlfn.TEXTJOIN(" | ",TRUE(),IF(Events!$A$2:$A$397=$A597,Events!$E$2:$E$397&amp;IF(Events!$G$2:$G$397="National",""," ["&amp;Events!$G$2:$G$397&amp;"]"),""))</f>
        <v>N.D. Tex. vacates the CY2025 rule's fixed-fee and FMO contract-terms provisions outright (upholds the beneficiary data-consent restriction) - broker-compensation reform dead, not just paused, heading into AEP 2026 (ruling week of 8/18/2025)</v>
      </c>
    </row>
    <row r="598" spans="1:9" ht="15" customHeight="1" x14ac:dyDescent="0.35">
      <c r="A598" s="2">
        <v>45888</v>
      </c>
      <c r="B598" s="3">
        <f t="shared" si="45"/>
        <v>2025</v>
      </c>
      <c r="C598" s="3">
        <f t="shared" si="46"/>
        <v>8</v>
      </c>
      <c r="D598" s="3" t="str">
        <f t="shared" si="47"/>
        <v>Tue</v>
      </c>
      <c r="E598" s="3">
        <f t="shared" si="48"/>
        <v>0</v>
      </c>
      <c r="F598" s="3">
        <f t="shared" si="49"/>
        <v>0</v>
      </c>
      <c r="G598" s="3" t="str">
        <f t="array" ref="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3">
        <f>COUNTIF(Events!$A$2:$A$397,$A598)</f>
        <v>0</v>
      </c>
      <c r="I598" s="25" t="str">
        <f t="array" ref="I598">_xlfn.TEXTJOIN(" | ",TRUE(),IF(Events!$A$2:$A$397=$A598,Events!$E$2:$E$397&amp;IF(Events!$G$2:$G$397="National",""," ["&amp;Events!$G$2:$G$397&amp;"]"),""))</f>
        <v/>
      </c>
    </row>
    <row r="599" spans="1:9" ht="15" customHeight="1" x14ac:dyDescent="0.35">
      <c r="A599" s="2">
        <v>45889</v>
      </c>
      <c r="B599" s="3">
        <f t="shared" si="45"/>
        <v>2025</v>
      </c>
      <c r="C599" s="3">
        <f t="shared" si="46"/>
        <v>8</v>
      </c>
      <c r="D599" s="3" t="str">
        <f t="shared" si="47"/>
        <v>Wed</v>
      </c>
      <c r="E599" s="3">
        <f t="shared" si="48"/>
        <v>0</v>
      </c>
      <c r="F599" s="3">
        <f t="shared" si="49"/>
        <v>0</v>
      </c>
      <c r="G599" s="3" t="str">
        <f t="array" ref="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3">
        <f>COUNTIF(Events!$A$2:$A$397,$A599)</f>
        <v>0</v>
      </c>
      <c r="I599" s="25" t="str">
        <f t="array" ref="I599">_xlfn.TEXTJOIN(" | ",TRUE(),IF(Events!$A$2:$A$397=$A599,Events!$E$2:$E$397&amp;IF(Events!$G$2:$G$397="National",""," ["&amp;Events!$G$2:$G$397&amp;"]"),""))</f>
        <v/>
      </c>
    </row>
    <row r="600" spans="1:9" ht="15" customHeight="1" x14ac:dyDescent="0.35">
      <c r="A600" s="2">
        <v>45890</v>
      </c>
      <c r="B600" s="3">
        <f t="shared" si="45"/>
        <v>2025</v>
      </c>
      <c r="C600" s="3">
        <f t="shared" si="46"/>
        <v>8</v>
      </c>
      <c r="D600" s="3" t="str">
        <f t="shared" si="47"/>
        <v>Thu</v>
      </c>
      <c r="E600" s="3">
        <f t="shared" si="48"/>
        <v>0</v>
      </c>
      <c r="F600" s="3">
        <f t="shared" si="49"/>
        <v>0</v>
      </c>
      <c r="G600" s="3" t="str">
        <f t="array" ref="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3">
        <f>COUNTIF(Events!$A$2:$A$397,$A600)</f>
        <v>0</v>
      </c>
      <c r="I600" s="25" t="str">
        <f t="array" ref="I600">_xlfn.TEXTJOIN(" | ",TRUE(),IF(Events!$A$2:$A$397=$A600,Events!$E$2:$E$397&amp;IF(Events!$G$2:$G$397="National",""," ["&amp;Events!$G$2:$G$397&amp;"]"),""))</f>
        <v/>
      </c>
    </row>
    <row r="601" spans="1:9" ht="15" customHeight="1" x14ac:dyDescent="0.35">
      <c r="A601" s="2">
        <v>45891</v>
      </c>
      <c r="B601" s="3">
        <f t="shared" si="45"/>
        <v>2025</v>
      </c>
      <c r="C601" s="3">
        <f t="shared" si="46"/>
        <v>8</v>
      </c>
      <c r="D601" s="3" t="str">
        <f t="shared" si="47"/>
        <v>Fri</v>
      </c>
      <c r="E601" s="3">
        <f t="shared" si="48"/>
        <v>0</v>
      </c>
      <c r="F601" s="3">
        <f t="shared" si="49"/>
        <v>0</v>
      </c>
      <c r="G601" s="3" t="str">
        <f t="array" ref="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3">
        <f>COUNTIF(Events!$A$2:$A$397,$A601)</f>
        <v>0</v>
      </c>
      <c r="I601" s="25" t="str">
        <f t="array" ref="I601">_xlfn.TEXTJOIN(" | ",TRUE(),IF(Events!$A$2:$A$397=$A601,Events!$E$2:$E$397&amp;IF(Events!$G$2:$G$397="National",""," ["&amp;Events!$G$2:$G$397&amp;"]"),""))</f>
        <v/>
      </c>
    </row>
    <row r="602" spans="1:9" ht="15" customHeight="1" x14ac:dyDescent="0.35">
      <c r="A602" s="2">
        <v>45892</v>
      </c>
      <c r="B602" s="3">
        <f t="shared" si="45"/>
        <v>2025</v>
      </c>
      <c r="C602" s="3">
        <f t="shared" si="46"/>
        <v>8</v>
      </c>
      <c r="D602" s="3" t="str">
        <f t="shared" si="47"/>
        <v>Sat</v>
      </c>
      <c r="E602" s="3">
        <f t="shared" si="48"/>
        <v>0</v>
      </c>
      <c r="F602" s="3">
        <f t="shared" si="49"/>
        <v>0</v>
      </c>
      <c r="G602" s="3" t="str">
        <f t="array" ref="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3">
        <f>COUNTIF(Events!$A$2:$A$397,$A602)</f>
        <v>0</v>
      </c>
      <c r="I602" s="25" t="str">
        <f t="array" ref="I602">_xlfn.TEXTJOIN(" | ",TRUE(),IF(Events!$A$2:$A$397=$A602,Events!$E$2:$E$397&amp;IF(Events!$G$2:$G$397="National",""," ["&amp;Events!$G$2:$G$397&amp;"]"),""))</f>
        <v/>
      </c>
    </row>
    <row r="603" spans="1:9" ht="15" customHeight="1" x14ac:dyDescent="0.35">
      <c r="A603" s="2">
        <v>45893</v>
      </c>
      <c r="B603" s="3">
        <f t="shared" si="45"/>
        <v>2025</v>
      </c>
      <c r="C603" s="3">
        <f t="shared" si="46"/>
        <v>8</v>
      </c>
      <c r="D603" s="3" t="str">
        <f t="shared" si="47"/>
        <v>Sun</v>
      </c>
      <c r="E603" s="3">
        <f t="shared" si="48"/>
        <v>0</v>
      </c>
      <c r="F603" s="3">
        <f t="shared" si="49"/>
        <v>0</v>
      </c>
      <c r="G603" s="3" t="str">
        <f t="array" ref="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3">
        <f>COUNTIF(Events!$A$2:$A$397,$A603)</f>
        <v>0</v>
      </c>
      <c r="I603" s="25" t="str">
        <f t="array" ref="I603">_xlfn.TEXTJOIN(" | ",TRUE(),IF(Events!$A$2:$A$397=$A603,Events!$E$2:$E$397&amp;IF(Events!$G$2:$G$397="National",""," ["&amp;Events!$G$2:$G$397&amp;"]"),""))</f>
        <v/>
      </c>
    </row>
    <row r="604" spans="1:9" ht="15" customHeight="1" x14ac:dyDescent="0.35">
      <c r="A604" s="2">
        <v>45894</v>
      </c>
      <c r="B604" s="3">
        <f t="shared" si="45"/>
        <v>2025</v>
      </c>
      <c r="C604" s="3">
        <f t="shared" si="46"/>
        <v>8</v>
      </c>
      <c r="D604" s="3" t="str">
        <f t="shared" si="47"/>
        <v>Mon</v>
      </c>
      <c r="E604" s="3">
        <f t="shared" si="48"/>
        <v>0</v>
      </c>
      <c r="F604" s="3">
        <f t="shared" si="49"/>
        <v>0</v>
      </c>
      <c r="G604" s="3" t="str">
        <f t="array" ref="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3">
        <f>COUNTIF(Events!$A$2:$A$397,$A604)</f>
        <v>0</v>
      </c>
      <c r="I604" s="25" t="str">
        <f t="array" ref="I604">_xlfn.TEXTJOIN(" | ",TRUE(),IF(Events!$A$2:$A$397=$A604,Events!$E$2:$E$397&amp;IF(Events!$G$2:$G$397="National",""," ["&amp;Events!$G$2:$G$397&amp;"]"),""))</f>
        <v/>
      </c>
    </row>
    <row r="605" spans="1:9" ht="15" customHeight="1" x14ac:dyDescent="0.35">
      <c r="A605" s="2">
        <v>45895</v>
      </c>
      <c r="B605" s="3">
        <f t="shared" si="45"/>
        <v>2025</v>
      </c>
      <c r="C605" s="3">
        <f t="shared" si="46"/>
        <v>8</v>
      </c>
      <c r="D605" s="3" t="str">
        <f t="shared" si="47"/>
        <v>Tue</v>
      </c>
      <c r="E605" s="3">
        <f t="shared" si="48"/>
        <v>0</v>
      </c>
      <c r="F605" s="3">
        <f t="shared" si="49"/>
        <v>0</v>
      </c>
      <c r="G605" s="3" t="str">
        <f t="array" ref="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3">
        <f>COUNTIF(Events!$A$2:$A$397,$A605)</f>
        <v>0</v>
      </c>
      <c r="I605" s="25" t="str">
        <f t="array" ref="I605">_xlfn.TEXTJOIN(" | ",TRUE(),IF(Events!$A$2:$A$397=$A605,Events!$E$2:$E$397&amp;IF(Events!$G$2:$G$397="National",""," ["&amp;Events!$G$2:$G$397&amp;"]"),""))</f>
        <v/>
      </c>
    </row>
    <row r="606" spans="1:9" ht="15" customHeight="1" x14ac:dyDescent="0.35">
      <c r="A606" s="2">
        <v>45896</v>
      </c>
      <c r="B606" s="3">
        <f t="shared" si="45"/>
        <v>2025</v>
      </c>
      <c r="C606" s="3">
        <f t="shared" si="46"/>
        <v>8</v>
      </c>
      <c r="D606" s="3" t="str">
        <f t="shared" si="47"/>
        <v>Wed</v>
      </c>
      <c r="E606" s="3">
        <f t="shared" si="48"/>
        <v>0</v>
      </c>
      <c r="F606" s="3">
        <f t="shared" si="49"/>
        <v>0</v>
      </c>
      <c r="G606" s="3" t="str">
        <f t="array" ref="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3">
        <f>COUNTIF(Events!$A$2:$A$397,$A606)</f>
        <v>0</v>
      </c>
      <c r="I606" s="25" t="str">
        <f t="array" ref="I606">_xlfn.TEXTJOIN(" | ",TRUE(),IF(Events!$A$2:$A$397=$A606,Events!$E$2:$E$397&amp;IF(Events!$G$2:$G$397="National",""," ["&amp;Events!$G$2:$G$397&amp;"]"),""))</f>
        <v/>
      </c>
    </row>
    <row r="607" spans="1:9" ht="15" customHeight="1" x14ac:dyDescent="0.35">
      <c r="A607" s="2">
        <v>45897</v>
      </c>
      <c r="B607" s="3">
        <f t="shared" si="45"/>
        <v>2025</v>
      </c>
      <c r="C607" s="3">
        <f t="shared" si="46"/>
        <v>8</v>
      </c>
      <c r="D607" s="3" t="str">
        <f t="shared" si="47"/>
        <v>Thu</v>
      </c>
      <c r="E607" s="3">
        <f t="shared" si="48"/>
        <v>0</v>
      </c>
      <c r="F607" s="3">
        <f t="shared" si="49"/>
        <v>0</v>
      </c>
      <c r="G607" s="3" t="str">
        <f t="array" ref="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3">
        <f>COUNTIF(Events!$A$2:$A$397,$A607)</f>
        <v>0</v>
      </c>
      <c r="I607" s="25" t="str">
        <f t="array" ref="I607">_xlfn.TEXTJOIN(" | ",TRUE(),IF(Events!$A$2:$A$397=$A607,Events!$E$2:$E$397&amp;IF(Events!$G$2:$G$397="National",""," ["&amp;Events!$G$2:$G$397&amp;"]"),""))</f>
        <v/>
      </c>
    </row>
    <row r="608" spans="1:9" ht="15" customHeight="1" x14ac:dyDescent="0.35">
      <c r="A608" s="2">
        <v>45898</v>
      </c>
      <c r="B608" s="3">
        <f t="shared" si="45"/>
        <v>2025</v>
      </c>
      <c r="C608" s="3">
        <f t="shared" si="46"/>
        <v>8</v>
      </c>
      <c r="D608" s="3" t="str">
        <f t="shared" si="47"/>
        <v>Fri</v>
      </c>
      <c r="E608" s="3">
        <f t="shared" si="48"/>
        <v>0</v>
      </c>
      <c r="F608" s="3">
        <f t="shared" si="49"/>
        <v>0</v>
      </c>
      <c r="G608" s="3" t="str">
        <f t="array" ref="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
      </c>
      <c r="H608" s="3">
        <f>COUNTIF(Events!$A$2:$A$397,$A608)</f>
        <v>0</v>
      </c>
      <c r="I608" s="25" t="str">
        <f t="array" ref="I608">_xlfn.TEXTJOIN(" | ",TRUE(),IF(Events!$A$2:$A$397=$A608,Events!$E$2:$E$397&amp;IF(Events!$G$2:$G$397="National",""," ["&amp;Events!$G$2:$G$397&amp;"]"),""))</f>
        <v/>
      </c>
    </row>
    <row r="609" spans="1:9" ht="15" customHeight="1" x14ac:dyDescent="0.35">
      <c r="A609" s="2">
        <v>45899</v>
      </c>
      <c r="B609" s="3">
        <f t="shared" si="45"/>
        <v>2025</v>
      </c>
      <c r="C609" s="3">
        <f t="shared" si="46"/>
        <v>8</v>
      </c>
      <c r="D609" s="3" t="str">
        <f t="shared" si="47"/>
        <v>Sat</v>
      </c>
      <c r="E609" s="3">
        <f t="shared" si="48"/>
        <v>0</v>
      </c>
      <c r="F609" s="3">
        <f t="shared" si="49"/>
        <v>0</v>
      </c>
      <c r="G609" s="3" t="str">
        <f t="array" ref="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3">
        <f>COUNTIF(Events!$A$2:$A$397,$A609)</f>
        <v>0</v>
      </c>
      <c r="I609" s="25" t="str">
        <f t="array" ref="I609">_xlfn.TEXTJOIN(" | ",TRUE(),IF(Events!$A$2:$A$397=$A609,Events!$E$2:$E$397&amp;IF(Events!$G$2:$G$397="National",""," ["&amp;Events!$G$2:$G$397&amp;"]"),""))</f>
        <v/>
      </c>
    </row>
    <row r="610" spans="1:9" ht="15" customHeight="1" x14ac:dyDescent="0.35">
      <c r="A610" s="2">
        <v>45900</v>
      </c>
      <c r="B610" s="3">
        <f t="shared" si="45"/>
        <v>2025</v>
      </c>
      <c r="C610" s="3">
        <f t="shared" si="46"/>
        <v>8</v>
      </c>
      <c r="D610" s="3" t="str">
        <f t="shared" si="47"/>
        <v>Sun</v>
      </c>
      <c r="E610" s="3">
        <f t="shared" si="48"/>
        <v>0</v>
      </c>
      <c r="F610" s="3">
        <f t="shared" si="49"/>
        <v>0</v>
      </c>
      <c r="G610" s="3" t="str">
        <f t="array" ref="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 | 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10" s="3">
        <f>COUNTIF(Events!$A$2:$A$397,$A610)</f>
        <v>0</v>
      </c>
      <c r="I610" s="25" t="str">
        <f t="array" ref="I610">_xlfn.TEXTJOIN(" | ",TRUE(),IF(Events!$A$2:$A$397=$A610,Events!$E$2:$E$397&amp;IF(Events!$G$2:$G$397="National",""," ["&amp;Events!$G$2:$G$397&amp;"]"),""))</f>
        <v/>
      </c>
    </row>
    <row r="611" spans="1:9" ht="15" customHeight="1" x14ac:dyDescent="0.35">
      <c r="A611" s="2">
        <v>45901</v>
      </c>
      <c r="B611" s="3">
        <f t="shared" si="45"/>
        <v>2025</v>
      </c>
      <c r="C611" s="3">
        <f t="shared" si="46"/>
        <v>9</v>
      </c>
      <c r="D611" s="3" t="str">
        <f t="shared" si="47"/>
        <v>Mon</v>
      </c>
      <c r="E611" s="3">
        <f t="shared" si="48"/>
        <v>0</v>
      </c>
      <c r="F611" s="3">
        <f t="shared" si="49"/>
        <v>0</v>
      </c>
      <c r="G611" s="3" t="str">
        <f t="array" ref="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3">
        <f>COUNTIF(Events!$A$2:$A$397,$A611)</f>
        <v>0</v>
      </c>
      <c r="I611" s="25" t="str">
        <f t="array" ref="I611">_xlfn.TEXTJOIN(" | ",TRUE(),IF(Events!$A$2:$A$397=$A611,Events!$E$2:$E$397&amp;IF(Events!$G$2:$G$397="National",""," ["&amp;Events!$G$2:$G$397&amp;"]"),""))</f>
        <v/>
      </c>
    </row>
    <row r="612" spans="1:9" ht="15" customHeight="1" x14ac:dyDescent="0.35">
      <c r="A612" s="2">
        <v>45902</v>
      </c>
      <c r="B612" s="3">
        <f t="shared" si="45"/>
        <v>2025</v>
      </c>
      <c r="C612" s="3">
        <f t="shared" si="46"/>
        <v>9</v>
      </c>
      <c r="D612" s="3" t="str">
        <f t="shared" si="47"/>
        <v>Tue</v>
      </c>
      <c r="E612" s="3">
        <f t="shared" si="48"/>
        <v>0</v>
      </c>
      <c r="F612" s="3">
        <f t="shared" si="49"/>
        <v>0</v>
      </c>
      <c r="G612" s="3" t="str">
        <f t="array" ref="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3">
        <f>COUNTIF(Events!$A$2:$A$397,$A612)</f>
        <v>0</v>
      </c>
      <c r="I612" s="25" t="str">
        <f t="array" ref="I612">_xlfn.TEXTJOIN(" | ",TRUE(),IF(Events!$A$2:$A$397=$A612,Events!$E$2:$E$397&amp;IF(Events!$G$2:$G$397="National",""," ["&amp;Events!$G$2:$G$397&amp;"]"),""))</f>
        <v/>
      </c>
    </row>
    <row r="613" spans="1:9" ht="15" customHeight="1" x14ac:dyDescent="0.35">
      <c r="A613" s="2">
        <v>45903</v>
      </c>
      <c r="B613" s="3">
        <f t="shared" si="45"/>
        <v>2025</v>
      </c>
      <c r="C613" s="3">
        <f t="shared" si="46"/>
        <v>9</v>
      </c>
      <c r="D613" s="3" t="str">
        <f t="shared" si="47"/>
        <v>Wed</v>
      </c>
      <c r="E613" s="3">
        <f t="shared" si="48"/>
        <v>0</v>
      </c>
      <c r="F613" s="3">
        <f t="shared" si="49"/>
        <v>0</v>
      </c>
      <c r="G613" s="3" t="str">
        <f t="array" ref="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3">
        <f>COUNTIF(Events!$A$2:$A$397,$A613)</f>
        <v>0</v>
      </c>
      <c r="I613" s="25" t="str">
        <f t="array" ref="I613">_xlfn.TEXTJOIN(" | ",TRUE(),IF(Events!$A$2:$A$397=$A613,Events!$E$2:$E$397&amp;IF(Events!$G$2:$G$397="National",""," ["&amp;Events!$G$2:$G$397&amp;"]"),""))</f>
        <v/>
      </c>
    </row>
    <row r="614" spans="1:9" ht="15" customHeight="1" x14ac:dyDescent="0.35">
      <c r="A614" s="2">
        <v>45904</v>
      </c>
      <c r="B614" s="3">
        <f t="shared" si="45"/>
        <v>2025</v>
      </c>
      <c r="C614" s="3">
        <f t="shared" si="46"/>
        <v>9</v>
      </c>
      <c r="D614" s="3" t="str">
        <f t="shared" si="47"/>
        <v>Thu</v>
      </c>
      <c r="E614" s="3">
        <f t="shared" si="48"/>
        <v>0</v>
      </c>
      <c r="F614" s="3">
        <f t="shared" si="49"/>
        <v>0</v>
      </c>
      <c r="G614" s="3" t="str">
        <f t="array" ref="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3">
        <f>COUNTIF(Events!$A$2:$A$397,$A614)</f>
        <v>0</v>
      </c>
      <c r="I614" s="25" t="str">
        <f t="array" ref="I614">_xlfn.TEXTJOIN(" | ",TRUE(),IF(Events!$A$2:$A$397=$A614,Events!$E$2:$E$397&amp;IF(Events!$G$2:$G$397="National",""," ["&amp;Events!$G$2:$G$397&amp;"]"),""))</f>
        <v/>
      </c>
    </row>
    <row r="615" spans="1:9" ht="15" customHeight="1" x14ac:dyDescent="0.35">
      <c r="A615" s="2">
        <v>45905</v>
      </c>
      <c r="B615" s="3">
        <f t="shared" si="45"/>
        <v>2025</v>
      </c>
      <c r="C615" s="3">
        <f t="shared" si="46"/>
        <v>9</v>
      </c>
      <c r="D615" s="3" t="str">
        <f t="shared" si="47"/>
        <v>Fri</v>
      </c>
      <c r="E615" s="3">
        <f t="shared" si="48"/>
        <v>0</v>
      </c>
      <c r="F615" s="3">
        <f t="shared" si="49"/>
        <v>0</v>
      </c>
      <c r="G615" s="3" t="str">
        <f t="array" ref="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3">
        <f>COUNTIF(Events!$A$2:$A$397,$A615)</f>
        <v>0</v>
      </c>
      <c r="I615" s="25" t="str">
        <f t="array" ref="I615">_xlfn.TEXTJOIN(" | ",TRUE(),IF(Events!$A$2:$A$397=$A615,Events!$E$2:$E$397&amp;IF(Events!$G$2:$G$397="National",""," ["&amp;Events!$G$2:$G$397&amp;"]"),""))</f>
        <v/>
      </c>
    </row>
    <row r="616" spans="1:9" ht="15" customHeight="1" x14ac:dyDescent="0.35">
      <c r="A616" s="2">
        <v>45906</v>
      </c>
      <c r="B616" s="3">
        <f t="shared" si="45"/>
        <v>2025</v>
      </c>
      <c r="C616" s="3">
        <f t="shared" si="46"/>
        <v>9</v>
      </c>
      <c r="D616" s="3" t="str">
        <f t="shared" si="47"/>
        <v>Sat</v>
      </c>
      <c r="E616" s="3">
        <f t="shared" si="48"/>
        <v>0</v>
      </c>
      <c r="F616" s="3">
        <f t="shared" si="49"/>
        <v>0</v>
      </c>
      <c r="G616" s="3" t="str">
        <f t="array" ref="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3">
        <f>COUNTIF(Events!$A$2:$A$397,$A616)</f>
        <v>0</v>
      </c>
      <c r="I616" s="25" t="str">
        <f t="array" ref="I616">_xlfn.TEXTJOIN(" | ",TRUE(),IF(Events!$A$2:$A$397=$A616,Events!$E$2:$E$397&amp;IF(Events!$G$2:$G$397="National",""," ["&amp;Events!$G$2:$G$397&amp;"]"),""))</f>
        <v/>
      </c>
    </row>
    <row r="617" spans="1:9" ht="15" customHeight="1" x14ac:dyDescent="0.35">
      <c r="A617" s="2">
        <v>45907</v>
      </c>
      <c r="B617" s="3">
        <f t="shared" si="45"/>
        <v>2025</v>
      </c>
      <c r="C617" s="3">
        <f t="shared" si="46"/>
        <v>9</v>
      </c>
      <c r="D617" s="3" t="str">
        <f t="shared" si="47"/>
        <v>Sun</v>
      </c>
      <c r="E617" s="3">
        <f t="shared" si="48"/>
        <v>0</v>
      </c>
      <c r="F617" s="3">
        <f t="shared" si="49"/>
        <v>0</v>
      </c>
      <c r="G617" s="3" t="str">
        <f t="array" ref="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3">
        <f>COUNTIF(Events!$A$2:$A$397,$A617)</f>
        <v>0</v>
      </c>
      <c r="I617" s="25" t="str">
        <f t="array" ref="I617">_xlfn.TEXTJOIN(" | ",TRUE(),IF(Events!$A$2:$A$397=$A617,Events!$E$2:$E$397&amp;IF(Events!$G$2:$G$397="National",""," ["&amp;Events!$G$2:$G$397&amp;"]"),""))</f>
        <v/>
      </c>
    </row>
    <row r="618" spans="1:9" ht="15" customHeight="1" x14ac:dyDescent="0.35">
      <c r="A618" s="2">
        <v>45908</v>
      </c>
      <c r="B618" s="3">
        <f t="shared" si="45"/>
        <v>2025</v>
      </c>
      <c r="C618" s="3">
        <f t="shared" si="46"/>
        <v>9</v>
      </c>
      <c r="D618" s="3" t="str">
        <f t="shared" si="47"/>
        <v>Mon</v>
      </c>
      <c r="E618" s="3">
        <f t="shared" si="48"/>
        <v>0</v>
      </c>
      <c r="F618" s="3">
        <f t="shared" si="49"/>
        <v>0</v>
      </c>
      <c r="G618" s="3" t="str">
        <f t="array" ref="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3">
        <f>COUNTIF(Events!$A$2:$A$397,$A618)</f>
        <v>0</v>
      </c>
      <c r="I618" s="25" t="str">
        <f t="array" ref="I618">_xlfn.TEXTJOIN(" | ",TRUE(),IF(Events!$A$2:$A$397=$A618,Events!$E$2:$E$397&amp;IF(Events!$G$2:$G$397="National",""," ["&amp;Events!$G$2:$G$397&amp;"]"),""))</f>
        <v/>
      </c>
    </row>
    <row r="619" spans="1:9" ht="15" customHeight="1" x14ac:dyDescent="0.35">
      <c r="A619" s="2">
        <v>45909</v>
      </c>
      <c r="B619" s="3">
        <f t="shared" si="45"/>
        <v>2025</v>
      </c>
      <c r="C619" s="3">
        <f t="shared" si="46"/>
        <v>9</v>
      </c>
      <c r="D619" s="3" t="str">
        <f t="shared" si="47"/>
        <v>Tue</v>
      </c>
      <c r="E619" s="3">
        <f t="shared" si="48"/>
        <v>0</v>
      </c>
      <c r="F619" s="3">
        <f t="shared" si="49"/>
        <v>0</v>
      </c>
      <c r="G619" s="3" t="str">
        <f t="array" ref="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3">
        <f>COUNTIF(Events!$A$2:$A$397,$A619)</f>
        <v>0</v>
      </c>
      <c r="I619" s="25" t="str">
        <f t="array" ref="I619">_xlfn.TEXTJOIN(" | ",TRUE(),IF(Events!$A$2:$A$397=$A619,Events!$E$2:$E$397&amp;IF(Events!$G$2:$G$397="National",""," ["&amp;Events!$G$2:$G$397&amp;"]"),""))</f>
        <v/>
      </c>
    </row>
    <row r="620" spans="1:9" ht="15" customHeight="1" x14ac:dyDescent="0.35">
      <c r="A620" s="2">
        <v>45910</v>
      </c>
      <c r="B620" s="3">
        <f t="shared" si="45"/>
        <v>2025</v>
      </c>
      <c r="C620" s="3">
        <f t="shared" si="46"/>
        <v>9</v>
      </c>
      <c r="D620" s="3" t="str">
        <f t="shared" si="47"/>
        <v>Wed</v>
      </c>
      <c r="E620" s="3">
        <f t="shared" si="48"/>
        <v>0</v>
      </c>
      <c r="F620" s="3">
        <f t="shared" si="49"/>
        <v>0</v>
      </c>
      <c r="G620" s="3" t="str">
        <f t="array" ref="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3">
        <f>COUNTIF(Events!$A$2:$A$397,$A620)</f>
        <v>0</v>
      </c>
      <c r="I620" s="25" t="str">
        <f t="array" ref="I620">_xlfn.TEXTJOIN(" | ",TRUE(),IF(Events!$A$2:$A$397=$A620,Events!$E$2:$E$397&amp;IF(Events!$G$2:$G$397="National",""," ["&amp;Events!$G$2:$G$397&amp;"]"),""))</f>
        <v/>
      </c>
    </row>
    <row r="621" spans="1:9" ht="15" customHeight="1" x14ac:dyDescent="0.35">
      <c r="A621" s="2">
        <v>45911</v>
      </c>
      <c r="B621" s="3">
        <f t="shared" si="45"/>
        <v>2025</v>
      </c>
      <c r="C621" s="3">
        <f t="shared" si="46"/>
        <v>9</v>
      </c>
      <c r="D621" s="3" t="str">
        <f t="shared" si="47"/>
        <v>Thu</v>
      </c>
      <c r="E621" s="3">
        <f t="shared" si="48"/>
        <v>0</v>
      </c>
      <c r="F621" s="3">
        <f t="shared" si="49"/>
        <v>0</v>
      </c>
      <c r="G621" s="3" t="str">
        <f t="array" ref="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3">
        <f>COUNTIF(Events!$A$2:$A$397,$A621)</f>
        <v>0</v>
      </c>
      <c r="I621" s="25" t="str">
        <f t="array" ref="I621">_xlfn.TEXTJOIN(" | ",TRUE(),IF(Events!$A$2:$A$397=$A621,Events!$E$2:$E$397&amp;IF(Events!$G$2:$G$397="National",""," ["&amp;Events!$G$2:$G$397&amp;"]"),""))</f>
        <v/>
      </c>
    </row>
    <row r="622" spans="1:9" ht="15" customHeight="1" x14ac:dyDescent="0.35">
      <c r="A622" s="2">
        <v>45912</v>
      </c>
      <c r="B622" s="3">
        <f t="shared" si="45"/>
        <v>2025</v>
      </c>
      <c r="C622" s="3">
        <f t="shared" si="46"/>
        <v>9</v>
      </c>
      <c r="D622" s="3" t="str">
        <f t="shared" si="47"/>
        <v>Fri</v>
      </c>
      <c r="E622" s="3">
        <f t="shared" si="48"/>
        <v>0</v>
      </c>
      <c r="F622" s="3">
        <f t="shared" si="49"/>
        <v>0</v>
      </c>
      <c r="G622" s="3" t="str">
        <f t="array" ref="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3">
        <f>COUNTIF(Events!$A$2:$A$397,$A622)</f>
        <v>0</v>
      </c>
      <c r="I622" s="25" t="str">
        <f t="array" ref="I622">_xlfn.TEXTJOIN(" | ",TRUE(),IF(Events!$A$2:$A$397=$A622,Events!$E$2:$E$397&amp;IF(Events!$G$2:$G$397="National",""," ["&amp;Events!$G$2:$G$397&amp;"]"),""))</f>
        <v/>
      </c>
    </row>
    <row r="623" spans="1:9" ht="15" customHeight="1" x14ac:dyDescent="0.35">
      <c r="A623" s="2">
        <v>45913</v>
      </c>
      <c r="B623" s="3">
        <f t="shared" si="45"/>
        <v>2025</v>
      </c>
      <c r="C623" s="3">
        <f t="shared" si="46"/>
        <v>9</v>
      </c>
      <c r="D623" s="3" t="str">
        <f t="shared" si="47"/>
        <v>Sat</v>
      </c>
      <c r="E623" s="3">
        <f t="shared" si="48"/>
        <v>0</v>
      </c>
      <c r="F623" s="3">
        <f t="shared" si="49"/>
        <v>0</v>
      </c>
      <c r="G623" s="3" t="str">
        <f t="array" ref="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3">
        <f>COUNTIF(Events!$A$2:$A$397,$A623)</f>
        <v>0</v>
      </c>
      <c r="I623" s="25" t="str">
        <f t="array" ref="I623">_xlfn.TEXTJOIN(" | ",TRUE(),IF(Events!$A$2:$A$397=$A623,Events!$E$2:$E$397&amp;IF(Events!$G$2:$G$397="National",""," ["&amp;Events!$G$2:$G$397&amp;"]"),""))</f>
        <v/>
      </c>
    </row>
    <row r="624" spans="1:9" ht="15" customHeight="1" x14ac:dyDescent="0.35">
      <c r="A624" s="2">
        <v>45914</v>
      </c>
      <c r="B624" s="3">
        <f t="shared" si="45"/>
        <v>2025</v>
      </c>
      <c r="C624" s="3">
        <f t="shared" si="46"/>
        <v>9</v>
      </c>
      <c r="D624" s="3" t="str">
        <f t="shared" si="47"/>
        <v>Sun</v>
      </c>
      <c r="E624" s="3">
        <f t="shared" si="48"/>
        <v>0</v>
      </c>
      <c r="F624" s="3">
        <f t="shared" si="49"/>
        <v>0</v>
      </c>
      <c r="G624" s="3" t="str">
        <f t="array" ref="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3">
        <f>COUNTIF(Events!$A$2:$A$397,$A624)</f>
        <v>0</v>
      </c>
      <c r="I624" s="25" t="str">
        <f t="array" ref="I624">_xlfn.TEXTJOIN(" | ",TRUE(),IF(Events!$A$2:$A$397=$A624,Events!$E$2:$E$397&amp;IF(Events!$G$2:$G$397="National",""," ["&amp;Events!$G$2:$G$397&amp;"]"),""))</f>
        <v/>
      </c>
    </row>
    <row r="625" spans="1:9" ht="15" customHeight="1" x14ac:dyDescent="0.35">
      <c r="A625" s="2">
        <v>45915</v>
      </c>
      <c r="B625" s="3">
        <f t="shared" si="45"/>
        <v>2025</v>
      </c>
      <c r="C625" s="3">
        <f t="shared" si="46"/>
        <v>9</v>
      </c>
      <c r="D625" s="3" t="str">
        <f t="shared" si="47"/>
        <v>Mon</v>
      </c>
      <c r="E625" s="3">
        <f t="shared" si="48"/>
        <v>0</v>
      </c>
      <c r="F625" s="3">
        <f t="shared" si="49"/>
        <v>0</v>
      </c>
      <c r="G625" s="3" t="str">
        <f t="array" ref="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3">
        <f>COUNTIF(Events!$A$2:$A$397,$A625)</f>
        <v>0</v>
      </c>
      <c r="I625" s="25" t="str">
        <f t="array" ref="I625">_xlfn.TEXTJOIN(" | ",TRUE(),IF(Events!$A$2:$A$397=$A625,Events!$E$2:$E$397&amp;IF(Events!$G$2:$G$397="National",""," ["&amp;Events!$G$2:$G$397&amp;"]"),""))</f>
        <v/>
      </c>
    </row>
    <row r="626" spans="1:9" ht="15" customHeight="1" x14ac:dyDescent="0.35">
      <c r="A626" s="2">
        <v>45916</v>
      </c>
      <c r="B626" s="3">
        <f t="shared" si="45"/>
        <v>2025</v>
      </c>
      <c r="C626" s="3">
        <f t="shared" si="46"/>
        <v>9</v>
      </c>
      <c r="D626" s="3" t="str">
        <f t="shared" si="47"/>
        <v>Tue</v>
      </c>
      <c r="E626" s="3">
        <f t="shared" si="48"/>
        <v>0</v>
      </c>
      <c r="F626" s="3">
        <f t="shared" si="49"/>
        <v>0</v>
      </c>
      <c r="G626" s="3" t="str">
        <f t="array" ref="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3">
        <f>COUNTIF(Events!$A$2:$A$397,$A626)</f>
        <v>0</v>
      </c>
      <c r="I626" s="25" t="str">
        <f t="array" ref="I626">_xlfn.TEXTJOIN(" | ",TRUE(),IF(Events!$A$2:$A$397=$A626,Events!$E$2:$E$397&amp;IF(Events!$G$2:$G$397="National",""," ["&amp;Events!$G$2:$G$397&amp;"]"),""))</f>
        <v/>
      </c>
    </row>
    <row r="627" spans="1:9" ht="15" customHeight="1" x14ac:dyDescent="0.35">
      <c r="A627" s="2">
        <v>45917</v>
      </c>
      <c r="B627" s="3">
        <f t="shared" si="45"/>
        <v>2025</v>
      </c>
      <c r="C627" s="3">
        <f t="shared" si="46"/>
        <v>9</v>
      </c>
      <c r="D627" s="3" t="str">
        <f t="shared" si="47"/>
        <v>Wed</v>
      </c>
      <c r="E627" s="3">
        <f t="shared" si="48"/>
        <v>0</v>
      </c>
      <c r="F627" s="3">
        <f t="shared" si="49"/>
        <v>0</v>
      </c>
      <c r="G627" s="3" t="str">
        <f t="array" ref="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3">
        <f>COUNTIF(Events!$A$2:$A$397,$A627)</f>
        <v>0</v>
      </c>
      <c r="I627" s="25" t="str">
        <f t="array" ref="I627">_xlfn.TEXTJOIN(" | ",TRUE(),IF(Events!$A$2:$A$397=$A627,Events!$E$2:$E$397&amp;IF(Events!$G$2:$G$397="National",""," ["&amp;Events!$G$2:$G$397&amp;"]"),""))</f>
        <v/>
      </c>
    </row>
    <row r="628" spans="1:9" ht="15" customHeight="1" x14ac:dyDescent="0.35">
      <c r="A628" s="2">
        <v>45918</v>
      </c>
      <c r="B628" s="3">
        <f t="shared" si="45"/>
        <v>2025</v>
      </c>
      <c r="C628" s="3">
        <f t="shared" si="46"/>
        <v>9</v>
      </c>
      <c r="D628" s="3" t="str">
        <f t="shared" si="47"/>
        <v>Thu</v>
      </c>
      <c r="E628" s="3">
        <f t="shared" si="48"/>
        <v>0</v>
      </c>
      <c r="F628" s="3">
        <f t="shared" si="49"/>
        <v>0</v>
      </c>
      <c r="G628" s="3" t="str">
        <f t="array" ref="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3">
        <f>COUNTIF(Events!$A$2:$A$397,$A628)</f>
        <v>0</v>
      </c>
      <c r="I628" s="25" t="str">
        <f t="array" ref="I628">_xlfn.TEXTJOIN(" | ",TRUE(),IF(Events!$A$2:$A$397=$A628,Events!$E$2:$E$397&amp;IF(Events!$G$2:$G$397="National",""," ["&amp;Events!$G$2:$G$397&amp;"]"),""))</f>
        <v/>
      </c>
    </row>
    <row r="629" spans="1:9" ht="15" customHeight="1" x14ac:dyDescent="0.35">
      <c r="A629" s="2">
        <v>45919</v>
      </c>
      <c r="B629" s="3">
        <f t="shared" si="45"/>
        <v>2025</v>
      </c>
      <c r="C629" s="3">
        <f t="shared" si="46"/>
        <v>9</v>
      </c>
      <c r="D629" s="3" t="str">
        <f t="shared" si="47"/>
        <v>Fri</v>
      </c>
      <c r="E629" s="3">
        <f t="shared" si="48"/>
        <v>0</v>
      </c>
      <c r="F629" s="3">
        <f t="shared" si="49"/>
        <v>0</v>
      </c>
      <c r="G629" s="3" t="str">
        <f t="array" ref="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3">
        <f>COUNTIF(Events!$A$2:$A$397,$A629)</f>
        <v>1</v>
      </c>
      <c r="I629" s="25" t="str">
        <f t="array" ref="I629">_xlfn.TEXTJOIN(" | ",TRUE(),IF(Events!$A$2:$A$397=$A629,Events!$E$2:$E$397&amp;IF(Events!$G$2:$G$397="National",""," ["&amp;Events!$G$2:$G$397&amp;"]"),""))</f>
        <v>Provider directory rule (CMS-4208-F2): MA plans must submit provider directory data to CMS for publication in Medicare Plan Finder, with 30 day update requirements and annual accurancy attestations (target "ghost networks"; effective 11/17/2025; applicable plan years begin 1/1/2026)</v>
      </c>
    </row>
    <row r="630" spans="1:9" ht="15" customHeight="1" x14ac:dyDescent="0.35">
      <c r="A630" s="2">
        <v>45920</v>
      </c>
      <c r="B630" s="3">
        <f t="shared" si="45"/>
        <v>2025</v>
      </c>
      <c r="C630" s="3">
        <f t="shared" si="46"/>
        <v>9</v>
      </c>
      <c r="D630" s="3" t="str">
        <f t="shared" si="47"/>
        <v>Sat</v>
      </c>
      <c r="E630" s="3">
        <f t="shared" si="48"/>
        <v>0</v>
      </c>
      <c r="F630" s="3">
        <f t="shared" si="49"/>
        <v>0</v>
      </c>
      <c r="G630" s="3" t="str">
        <f t="array" ref="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3">
        <f>COUNTIF(Events!$A$2:$A$397,$A630)</f>
        <v>0</v>
      </c>
      <c r="I630" s="25" t="str">
        <f t="array" ref="I630">_xlfn.TEXTJOIN(" | ",TRUE(),IF(Events!$A$2:$A$397=$A630,Events!$E$2:$E$397&amp;IF(Events!$G$2:$G$397="National",""," ["&amp;Events!$G$2:$G$397&amp;"]"),""))</f>
        <v/>
      </c>
    </row>
    <row r="631" spans="1:9" ht="15" customHeight="1" x14ac:dyDescent="0.35">
      <c r="A631" s="2">
        <v>45921</v>
      </c>
      <c r="B631" s="3">
        <f t="shared" si="45"/>
        <v>2025</v>
      </c>
      <c r="C631" s="3">
        <f t="shared" si="46"/>
        <v>9</v>
      </c>
      <c r="D631" s="3" t="str">
        <f t="shared" si="47"/>
        <v>Sun</v>
      </c>
      <c r="E631" s="3">
        <f t="shared" si="48"/>
        <v>0</v>
      </c>
      <c r="F631" s="3">
        <f t="shared" si="49"/>
        <v>0</v>
      </c>
      <c r="G631" s="3" t="str">
        <f t="array" ref="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3">
        <f>COUNTIF(Events!$A$2:$A$397,$A631)</f>
        <v>0</v>
      </c>
      <c r="I631" s="25" t="str">
        <f t="array" ref="I631">_xlfn.TEXTJOIN(" | ",TRUE(),IF(Events!$A$2:$A$397=$A631,Events!$E$2:$E$397&amp;IF(Events!$G$2:$G$397="National",""," ["&amp;Events!$G$2:$G$397&amp;"]"),""))</f>
        <v/>
      </c>
    </row>
    <row r="632" spans="1:9" ht="15" customHeight="1" x14ac:dyDescent="0.35">
      <c r="A632" s="2">
        <v>45922</v>
      </c>
      <c r="B632" s="3">
        <f t="shared" si="45"/>
        <v>2025</v>
      </c>
      <c r="C632" s="3">
        <f t="shared" si="46"/>
        <v>9</v>
      </c>
      <c r="D632" s="3" t="str">
        <f t="shared" si="47"/>
        <v>Mon</v>
      </c>
      <c r="E632" s="3">
        <f t="shared" si="48"/>
        <v>0</v>
      </c>
      <c r="F632" s="3">
        <f t="shared" si="49"/>
        <v>0</v>
      </c>
      <c r="G632" s="3" t="str">
        <f t="array" ref="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3">
        <f>COUNTIF(Events!$A$2:$A$397,$A632)</f>
        <v>0</v>
      </c>
      <c r="I632" s="25" t="str">
        <f t="array" ref="I632">_xlfn.TEXTJOIN(" | ",TRUE(),IF(Events!$A$2:$A$397=$A632,Events!$E$2:$E$397&amp;IF(Events!$G$2:$G$397="National",""," ["&amp;Events!$G$2:$G$397&amp;"]"),""))</f>
        <v/>
      </c>
    </row>
    <row r="633" spans="1:9" ht="15" customHeight="1" x14ac:dyDescent="0.35">
      <c r="A633" s="2">
        <v>45923</v>
      </c>
      <c r="B633" s="3">
        <f t="shared" si="45"/>
        <v>2025</v>
      </c>
      <c r="C633" s="3">
        <f t="shared" si="46"/>
        <v>9</v>
      </c>
      <c r="D633" s="3" t="str">
        <f t="shared" si="47"/>
        <v>Tue</v>
      </c>
      <c r="E633" s="3">
        <f t="shared" si="48"/>
        <v>0</v>
      </c>
      <c r="F633" s="3">
        <f t="shared" si="49"/>
        <v>0</v>
      </c>
      <c r="G633" s="3" t="str">
        <f t="array" ref="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3">
        <f>COUNTIF(Events!$A$2:$A$397,$A633)</f>
        <v>0</v>
      </c>
      <c r="I633" s="25" t="str">
        <f t="array" ref="I633">_xlfn.TEXTJOIN(" | ",TRUE(),IF(Events!$A$2:$A$397=$A633,Events!$E$2:$E$397&amp;IF(Events!$G$2:$G$397="National",""," ["&amp;Events!$G$2:$G$397&amp;"]"),""))</f>
        <v/>
      </c>
    </row>
    <row r="634" spans="1:9" ht="15" customHeight="1" x14ac:dyDescent="0.35">
      <c r="A634" s="2">
        <v>45924</v>
      </c>
      <c r="B634" s="3">
        <f t="shared" si="45"/>
        <v>2025</v>
      </c>
      <c r="C634" s="3">
        <f t="shared" si="46"/>
        <v>9</v>
      </c>
      <c r="D634" s="3" t="str">
        <f t="shared" si="47"/>
        <v>Wed</v>
      </c>
      <c r="E634" s="3">
        <f t="shared" si="48"/>
        <v>0</v>
      </c>
      <c r="F634" s="3">
        <f t="shared" si="49"/>
        <v>0</v>
      </c>
      <c r="G634" s="3" t="str">
        <f t="array" ref="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3">
        <f>COUNTIF(Events!$A$2:$A$397,$A634)</f>
        <v>0</v>
      </c>
      <c r="I634" s="25" t="str">
        <f t="array" ref="I634">_xlfn.TEXTJOIN(" | ",TRUE(),IF(Events!$A$2:$A$397=$A634,Events!$E$2:$E$397&amp;IF(Events!$G$2:$G$397="National",""," ["&amp;Events!$G$2:$G$397&amp;"]"),""))</f>
        <v/>
      </c>
    </row>
    <row r="635" spans="1:9" ht="15" customHeight="1" x14ac:dyDescent="0.35">
      <c r="A635" s="2">
        <v>45925</v>
      </c>
      <c r="B635" s="3">
        <f t="shared" si="45"/>
        <v>2025</v>
      </c>
      <c r="C635" s="3">
        <f t="shared" si="46"/>
        <v>9</v>
      </c>
      <c r="D635" s="3" t="str">
        <f t="shared" si="47"/>
        <v>Thu</v>
      </c>
      <c r="E635" s="3">
        <f t="shared" si="48"/>
        <v>0</v>
      </c>
      <c r="F635" s="3">
        <f t="shared" si="49"/>
        <v>0</v>
      </c>
      <c r="G635" s="3" t="str">
        <f t="array" ref="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3">
        <f>COUNTIF(Events!$A$2:$A$397,$A635)</f>
        <v>0</v>
      </c>
      <c r="I635" s="25" t="str">
        <f t="array" ref="I635">_xlfn.TEXTJOIN(" | ",TRUE(),IF(Events!$A$2:$A$397=$A635,Events!$E$2:$E$397&amp;IF(Events!$G$2:$G$397="National",""," ["&amp;Events!$G$2:$G$397&amp;"]"),""))</f>
        <v/>
      </c>
    </row>
    <row r="636" spans="1:9" ht="15" customHeight="1" x14ac:dyDescent="0.35">
      <c r="A636" s="2">
        <v>45926</v>
      </c>
      <c r="B636" s="3">
        <f t="shared" si="45"/>
        <v>2025</v>
      </c>
      <c r="C636" s="3">
        <f t="shared" si="46"/>
        <v>9</v>
      </c>
      <c r="D636" s="3" t="str">
        <f t="shared" si="47"/>
        <v>Fri</v>
      </c>
      <c r="E636" s="3">
        <f t="shared" si="48"/>
        <v>0</v>
      </c>
      <c r="F636" s="3">
        <f t="shared" si="49"/>
        <v>0</v>
      </c>
      <c r="G636" s="3" t="str">
        <f t="array" ref="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3">
        <f>COUNTIF(Events!$A$2:$A$397,$A636)</f>
        <v>0</v>
      </c>
      <c r="I636" s="25" t="str">
        <f t="array" ref="I636">_xlfn.TEXTJOIN(" | ",TRUE(),IF(Events!$A$2:$A$397=$A636,Events!$E$2:$E$397&amp;IF(Events!$G$2:$G$397="National",""," ["&amp;Events!$G$2:$G$397&amp;"]"),""))</f>
        <v/>
      </c>
    </row>
    <row r="637" spans="1:9" ht="15" customHeight="1" x14ac:dyDescent="0.35">
      <c r="A637" s="2">
        <v>45927</v>
      </c>
      <c r="B637" s="3">
        <f t="shared" si="45"/>
        <v>2025</v>
      </c>
      <c r="C637" s="3">
        <f t="shared" si="46"/>
        <v>9</v>
      </c>
      <c r="D637" s="3" t="str">
        <f t="shared" si="47"/>
        <v>Sat</v>
      </c>
      <c r="E637" s="3">
        <f t="shared" si="48"/>
        <v>0</v>
      </c>
      <c r="F637" s="3">
        <f t="shared" si="49"/>
        <v>0</v>
      </c>
      <c r="G637" s="3" t="str">
        <f t="array" ref="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3">
        <f>COUNTIF(Events!$A$2:$A$397,$A637)</f>
        <v>0</v>
      </c>
      <c r="I637" s="25" t="str">
        <f t="array" ref="I637">_xlfn.TEXTJOIN(" | ",TRUE(),IF(Events!$A$2:$A$397=$A637,Events!$E$2:$E$397&amp;IF(Events!$G$2:$G$397="National",""," ["&amp;Events!$G$2:$G$397&amp;"]"),""))</f>
        <v/>
      </c>
    </row>
    <row r="638" spans="1:9" ht="15" customHeight="1" x14ac:dyDescent="0.35">
      <c r="A638" s="2">
        <v>45928</v>
      </c>
      <c r="B638" s="3">
        <f t="shared" si="45"/>
        <v>2025</v>
      </c>
      <c r="C638" s="3">
        <f t="shared" si="46"/>
        <v>9</v>
      </c>
      <c r="D638" s="3" t="str">
        <f t="shared" si="47"/>
        <v>Sun</v>
      </c>
      <c r="E638" s="3">
        <f t="shared" si="48"/>
        <v>0</v>
      </c>
      <c r="F638" s="3">
        <f t="shared" si="49"/>
        <v>0</v>
      </c>
      <c r="G638" s="3" t="str">
        <f t="array" ref="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3">
        <f>COUNTIF(Events!$A$2:$A$397,$A638)</f>
        <v>0</v>
      </c>
      <c r="I638" s="25" t="str">
        <f t="array" ref="I638">_xlfn.TEXTJOIN(" | ",TRUE(),IF(Events!$A$2:$A$397=$A638,Events!$E$2:$E$397&amp;IF(Events!$G$2:$G$397="National",""," ["&amp;Events!$G$2:$G$397&amp;"]"),""))</f>
        <v/>
      </c>
    </row>
    <row r="639" spans="1:9" ht="15" customHeight="1" x14ac:dyDescent="0.35">
      <c r="A639" s="2">
        <v>45929</v>
      </c>
      <c r="B639" s="3">
        <f t="shared" si="45"/>
        <v>2025</v>
      </c>
      <c r="C639" s="3">
        <f t="shared" si="46"/>
        <v>9</v>
      </c>
      <c r="D639" s="3" t="str">
        <f t="shared" si="47"/>
        <v>Mon</v>
      </c>
      <c r="E639" s="3">
        <f t="shared" si="48"/>
        <v>0</v>
      </c>
      <c r="F639" s="3">
        <f t="shared" si="49"/>
        <v>0</v>
      </c>
      <c r="G639" s="3" t="str">
        <f t="array" ref="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v>
      </c>
      <c r="H639" s="3">
        <f>COUNTIF(Events!$A$2:$A$397,$A639)</f>
        <v>0</v>
      </c>
      <c r="I639" s="25" t="str">
        <f t="array" ref="I639">_xlfn.TEXTJOIN(" | ",TRUE(),IF(Events!$A$2:$A$397=$A639,Events!$E$2:$E$397&amp;IF(Events!$G$2:$G$397="National",""," ["&amp;Events!$G$2:$G$397&amp;"]"),""))</f>
        <v/>
      </c>
    </row>
    <row r="640" spans="1:9" ht="15" customHeight="1" x14ac:dyDescent="0.35">
      <c r="A640" s="2">
        <v>45930</v>
      </c>
      <c r="B640" s="3">
        <f t="shared" si="45"/>
        <v>2025</v>
      </c>
      <c r="C640" s="3">
        <f t="shared" si="46"/>
        <v>9</v>
      </c>
      <c r="D640" s="3" t="str">
        <f t="shared" si="47"/>
        <v>Tue</v>
      </c>
      <c r="E640" s="3">
        <f t="shared" si="48"/>
        <v>0</v>
      </c>
      <c r="F640" s="3">
        <f t="shared" si="49"/>
        <v>0</v>
      </c>
      <c r="G640" s="3" t="str">
        <f t="array" ref="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40" s="3">
        <f>COUNTIF(Events!$A$2:$A$397,$A640)</f>
        <v>1</v>
      </c>
      <c r="I640" s="25" t="str">
        <f t="array" ref="I640">_xlfn.TEXTJOIN(" | ",TRUE(),IF(Events!$A$2:$A$397=$A640,Events!$E$2:$E$397&amp;IF(Events!$G$2:$G$397="National",""," ["&amp;Events!$G$2:$G$397&amp;"]"),""))</f>
        <v>ANOC delivery deadline: every MA/MA-PD/PDP enrollee must receive their plan's Annual Notice of Change by 9/30 - the day enrollees are actually notified of their plan's CY2026 premium, benefit, and cost-sharing changes ahead of AEP (first 10 negotiated drug prices, OOP cap indexed to $2,100, insulin lesser-of-$35/25% language, VBID removal); synchronized mass-notification shock preceding AEP 2026</v>
      </c>
    </row>
    <row r="641" spans="1:9" ht="15" customHeight="1" x14ac:dyDescent="0.35">
      <c r="A641" s="2">
        <v>45931</v>
      </c>
      <c r="B641" s="3">
        <f t="shared" si="45"/>
        <v>2025</v>
      </c>
      <c r="C641" s="3">
        <f t="shared" si="46"/>
        <v>10</v>
      </c>
      <c r="D641" s="3" t="str">
        <f t="shared" si="47"/>
        <v>Wed</v>
      </c>
      <c r="E641" s="3">
        <f t="shared" si="48"/>
        <v>0</v>
      </c>
      <c r="F641" s="3">
        <f t="shared" si="49"/>
        <v>0</v>
      </c>
      <c r="G641" s="3" t="str">
        <f t="array" ref="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3">
        <f>COUNTIF(Events!$A$2:$A$397,$A641)</f>
        <v>1</v>
      </c>
      <c r="I641" s="25" t="str">
        <f t="array" ref="I641">_xlfn.TEXTJOIN(" | ",TRUE(),IF(Events!$A$2:$A$397=$A641,Events!$E$2:$E$397&amp;IF(Events!$G$2:$G$397="National",""," ["&amp;Events!$G$2:$G$397&amp;"]"),""))</f>
        <v>CY2026 plan marketing begins; plans notify enrollees of 2026 changes; 2026 landscape released ahead of AEP</v>
      </c>
    </row>
    <row r="642" spans="1:9" ht="15" customHeight="1" x14ac:dyDescent="0.35">
      <c r="A642" s="2">
        <v>45932</v>
      </c>
      <c r="B642" s="3">
        <f t="shared" ref="B642:B705" si="50">YEAR($A642)</f>
        <v>2025</v>
      </c>
      <c r="C642" s="3">
        <f t="shared" ref="C642:C705" si="51">MONTH($A642)</f>
        <v>10</v>
      </c>
      <c r="D642" s="3" t="str">
        <f t="shared" ref="D642:D705" si="52">TEXT($A642,"ddd")</f>
        <v>Thu</v>
      </c>
      <c r="E642" s="3">
        <f t="shared" ref="E642:E705" si="53">IF(OR(AND(MONTH($A642)=10,DAY($A642)&gt;=15),MONTH($A642)=11,AND(MONTH($A642)=12,DAY($A642)&lt;=7)),1,0)</f>
        <v>0</v>
      </c>
      <c r="F642" s="3">
        <f t="shared" ref="F642:F705" si="54">IF(MONTH($A642)&lt;=3,1,0)</f>
        <v>0</v>
      </c>
      <c r="G642" s="3" t="str">
        <f t="array" ref="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3">
        <f>COUNTIF(Events!$A$2:$A$397,$A642)</f>
        <v>0</v>
      </c>
      <c r="I642" s="25" t="str">
        <f t="array" ref="I642">_xlfn.TEXTJOIN(" | ",TRUE(),IF(Events!$A$2:$A$397=$A642,Events!$E$2:$E$397&amp;IF(Events!$G$2:$G$397="National",""," ["&amp;Events!$G$2:$G$397&amp;"]"),""))</f>
        <v/>
      </c>
    </row>
    <row r="643" spans="1:9" ht="15" customHeight="1" x14ac:dyDescent="0.35">
      <c r="A643" s="2">
        <v>45933</v>
      </c>
      <c r="B643" s="3">
        <f t="shared" si="50"/>
        <v>2025</v>
      </c>
      <c r="C643" s="3">
        <f t="shared" si="51"/>
        <v>10</v>
      </c>
      <c r="D643" s="3" t="str">
        <f t="shared" si="52"/>
        <v>Fri</v>
      </c>
      <c r="E643" s="3">
        <f t="shared" si="53"/>
        <v>0</v>
      </c>
      <c r="F643" s="3">
        <f t="shared" si="54"/>
        <v>0</v>
      </c>
      <c r="G643" s="3" t="str">
        <f t="array" ref="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3">
        <f>COUNTIF(Events!$A$2:$A$397,$A643)</f>
        <v>0</v>
      </c>
      <c r="I643" s="25" t="str">
        <f t="array" ref="I643">_xlfn.TEXTJOIN(" | ",TRUE(),IF(Events!$A$2:$A$397=$A643,Events!$E$2:$E$397&amp;IF(Events!$G$2:$G$397="National",""," ["&amp;Events!$G$2:$G$397&amp;"]"),""))</f>
        <v/>
      </c>
    </row>
    <row r="644" spans="1:9" ht="15" customHeight="1" x14ac:dyDescent="0.35">
      <c r="A644" s="2">
        <v>45934</v>
      </c>
      <c r="B644" s="3">
        <f t="shared" si="50"/>
        <v>2025</v>
      </c>
      <c r="C644" s="3">
        <f t="shared" si="51"/>
        <v>10</v>
      </c>
      <c r="D644" s="3" t="str">
        <f t="shared" si="52"/>
        <v>Sat</v>
      </c>
      <c r="E644" s="3">
        <f t="shared" si="53"/>
        <v>0</v>
      </c>
      <c r="F644" s="3">
        <f t="shared" si="54"/>
        <v>0</v>
      </c>
      <c r="G644" s="3" t="str">
        <f t="array" ref="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3">
        <f>COUNTIF(Events!$A$2:$A$397,$A644)</f>
        <v>0</v>
      </c>
      <c r="I644" s="25" t="str">
        <f t="array" ref="I644">_xlfn.TEXTJOIN(" | ",TRUE(),IF(Events!$A$2:$A$397=$A644,Events!$E$2:$E$397&amp;IF(Events!$G$2:$G$397="National",""," ["&amp;Events!$G$2:$G$397&amp;"]"),""))</f>
        <v/>
      </c>
    </row>
    <row r="645" spans="1:9" ht="15" customHeight="1" x14ac:dyDescent="0.35">
      <c r="A645" s="2">
        <v>45935</v>
      </c>
      <c r="B645" s="3">
        <f t="shared" si="50"/>
        <v>2025</v>
      </c>
      <c r="C645" s="3">
        <f t="shared" si="51"/>
        <v>10</v>
      </c>
      <c r="D645" s="3" t="str">
        <f t="shared" si="52"/>
        <v>Sun</v>
      </c>
      <c r="E645" s="3">
        <f t="shared" si="53"/>
        <v>0</v>
      </c>
      <c r="F645" s="3">
        <f t="shared" si="54"/>
        <v>0</v>
      </c>
      <c r="G645" s="3" t="str">
        <f t="array" ref="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3">
        <f>COUNTIF(Events!$A$2:$A$397,$A645)</f>
        <v>0</v>
      </c>
      <c r="I645" s="25" t="str">
        <f t="array" ref="I645">_xlfn.TEXTJOIN(" | ",TRUE(),IF(Events!$A$2:$A$397=$A645,Events!$E$2:$E$397&amp;IF(Events!$G$2:$G$397="National",""," ["&amp;Events!$G$2:$G$397&amp;"]"),""))</f>
        <v/>
      </c>
    </row>
    <row r="646" spans="1:9" ht="15" customHeight="1" x14ac:dyDescent="0.35">
      <c r="A646" s="2">
        <v>45936</v>
      </c>
      <c r="B646" s="3">
        <f t="shared" si="50"/>
        <v>2025</v>
      </c>
      <c r="C646" s="3">
        <f t="shared" si="51"/>
        <v>10</v>
      </c>
      <c r="D646" s="3" t="str">
        <f t="shared" si="52"/>
        <v>Mon</v>
      </c>
      <c r="E646" s="3">
        <f t="shared" si="53"/>
        <v>0</v>
      </c>
      <c r="F646" s="3">
        <f t="shared" si="54"/>
        <v>0</v>
      </c>
      <c r="G646" s="3" t="str">
        <f t="array" ref="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3">
        <f>COUNTIF(Events!$A$2:$A$397,$A646)</f>
        <v>0</v>
      </c>
      <c r="I646" s="25" t="str">
        <f t="array" ref="I646">_xlfn.TEXTJOIN(" | ",TRUE(),IF(Events!$A$2:$A$397=$A646,Events!$E$2:$E$397&amp;IF(Events!$G$2:$G$397="National",""," ["&amp;Events!$G$2:$G$397&amp;"]"),""))</f>
        <v/>
      </c>
    </row>
    <row r="647" spans="1:9" ht="15" customHeight="1" x14ac:dyDescent="0.35">
      <c r="A647" s="2">
        <v>45937</v>
      </c>
      <c r="B647" s="3">
        <f t="shared" si="50"/>
        <v>2025</v>
      </c>
      <c r="C647" s="3">
        <f t="shared" si="51"/>
        <v>10</v>
      </c>
      <c r="D647" s="3" t="str">
        <f t="shared" si="52"/>
        <v>Tue</v>
      </c>
      <c r="E647" s="3">
        <f t="shared" si="53"/>
        <v>0</v>
      </c>
      <c r="F647" s="3">
        <f t="shared" si="54"/>
        <v>0</v>
      </c>
      <c r="G647" s="3" t="str">
        <f t="array" ref="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3">
        <f>COUNTIF(Events!$A$2:$A$397,$A647)</f>
        <v>0</v>
      </c>
      <c r="I647" s="25" t="str">
        <f t="array" ref="I647">_xlfn.TEXTJOIN(" | ",TRUE(),IF(Events!$A$2:$A$397=$A647,Events!$E$2:$E$397&amp;IF(Events!$G$2:$G$397="National",""," ["&amp;Events!$G$2:$G$397&amp;"]"),""))</f>
        <v/>
      </c>
    </row>
    <row r="648" spans="1:9" ht="15" customHeight="1" x14ac:dyDescent="0.35">
      <c r="A648" s="2">
        <v>45938</v>
      </c>
      <c r="B648" s="3">
        <f t="shared" si="50"/>
        <v>2025</v>
      </c>
      <c r="C648" s="3">
        <f t="shared" si="51"/>
        <v>10</v>
      </c>
      <c r="D648" s="3" t="str">
        <f t="shared" si="52"/>
        <v>Wed</v>
      </c>
      <c r="E648" s="3">
        <f t="shared" si="53"/>
        <v>0</v>
      </c>
      <c r="F648" s="3">
        <f t="shared" si="54"/>
        <v>0</v>
      </c>
      <c r="G648" s="3" t="str">
        <f t="array" ref="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3">
        <f>COUNTIF(Events!$A$2:$A$397,$A648)</f>
        <v>0</v>
      </c>
      <c r="I648" s="25" t="str">
        <f t="array" ref="I648">_xlfn.TEXTJOIN(" | ",TRUE(),IF(Events!$A$2:$A$397=$A648,Events!$E$2:$E$397&amp;IF(Events!$G$2:$G$397="National",""," ["&amp;Events!$G$2:$G$397&amp;"]"),""))</f>
        <v/>
      </c>
    </row>
    <row r="649" spans="1:9" ht="15" customHeight="1" x14ac:dyDescent="0.35">
      <c r="A649" s="2">
        <v>45939</v>
      </c>
      <c r="B649" s="3">
        <f t="shared" si="50"/>
        <v>2025</v>
      </c>
      <c r="C649" s="3">
        <f t="shared" si="51"/>
        <v>10</v>
      </c>
      <c r="D649" s="3" t="str">
        <f t="shared" si="52"/>
        <v>Thu</v>
      </c>
      <c r="E649" s="3">
        <f t="shared" si="53"/>
        <v>0</v>
      </c>
      <c r="F649" s="3">
        <f t="shared" si="54"/>
        <v>0</v>
      </c>
      <c r="G649" s="3" t="str">
        <f t="array" ref="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3">
        <f>COUNTIF(Events!$A$2:$A$397,$A649)</f>
        <v>1</v>
      </c>
      <c r="I649" s="25" t="str">
        <f t="array" ref="I649">_xlfn.TEXTJOIN(" | ",TRUE(),IF(Events!$A$2:$A$397=$A649,Events!$E$2:$E$397&amp;IF(Events!$G$2:$G$397="National",""," ["&amp;Events!$G$2:$G$397&amp;"]"),""))</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spans="1:9" ht="15" customHeight="1" x14ac:dyDescent="0.35">
      <c r="A650" s="2">
        <v>45940</v>
      </c>
      <c r="B650" s="3">
        <f t="shared" si="50"/>
        <v>2025</v>
      </c>
      <c r="C650" s="3">
        <f t="shared" si="51"/>
        <v>10</v>
      </c>
      <c r="D650" s="3" t="str">
        <f t="shared" si="52"/>
        <v>Fri</v>
      </c>
      <c r="E650" s="3">
        <f t="shared" si="53"/>
        <v>0</v>
      </c>
      <c r="F650" s="3">
        <f t="shared" si="54"/>
        <v>0</v>
      </c>
      <c r="G650" s="3" t="str">
        <f t="array" ref="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3">
        <f>COUNTIF(Events!$A$2:$A$397,$A650)</f>
        <v>0</v>
      </c>
      <c r="I650" s="25" t="str">
        <f t="array" ref="I650">_xlfn.TEXTJOIN(" | ",TRUE(),IF(Events!$A$2:$A$397=$A650,Events!$E$2:$E$397&amp;IF(Events!$G$2:$G$397="National",""," ["&amp;Events!$G$2:$G$397&amp;"]"),""))</f>
        <v/>
      </c>
    </row>
    <row r="651" spans="1:9" ht="15" customHeight="1" x14ac:dyDescent="0.35">
      <c r="A651" s="2">
        <v>45941</v>
      </c>
      <c r="B651" s="3">
        <f t="shared" si="50"/>
        <v>2025</v>
      </c>
      <c r="C651" s="3">
        <f t="shared" si="51"/>
        <v>10</v>
      </c>
      <c r="D651" s="3" t="str">
        <f t="shared" si="52"/>
        <v>Sat</v>
      </c>
      <c r="E651" s="3">
        <f t="shared" si="53"/>
        <v>0</v>
      </c>
      <c r="F651" s="3">
        <f t="shared" si="54"/>
        <v>0</v>
      </c>
      <c r="G651" s="3" t="str">
        <f t="array" ref="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3">
        <f>COUNTIF(Events!$A$2:$A$397,$A651)</f>
        <v>0</v>
      </c>
      <c r="I651" s="25" t="str">
        <f t="array" ref="I651">_xlfn.TEXTJOIN(" | ",TRUE(),IF(Events!$A$2:$A$397=$A651,Events!$E$2:$E$397&amp;IF(Events!$G$2:$G$397="National",""," ["&amp;Events!$G$2:$G$397&amp;"]"),""))</f>
        <v/>
      </c>
    </row>
    <row r="652" spans="1:9" ht="15" customHeight="1" x14ac:dyDescent="0.35">
      <c r="A652" s="2">
        <v>45942</v>
      </c>
      <c r="B652" s="3">
        <f t="shared" si="50"/>
        <v>2025</v>
      </c>
      <c r="C652" s="3">
        <f t="shared" si="51"/>
        <v>10</v>
      </c>
      <c r="D652" s="3" t="str">
        <f t="shared" si="52"/>
        <v>Sun</v>
      </c>
      <c r="E652" s="3">
        <f t="shared" si="53"/>
        <v>0</v>
      </c>
      <c r="F652" s="3">
        <f t="shared" si="54"/>
        <v>0</v>
      </c>
      <c r="G652" s="3" t="str">
        <f t="array" ref="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3">
        <f>COUNTIF(Events!$A$2:$A$397,$A652)</f>
        <v>0</v>
      </c>
      <c r="I652" s="25" t="str">
        <f t="array" ref="I652">_xlfn.TEXTJOIN(" | ",TRUE(),IF(Events!$A$2:$A$397=$A652,Events!$E$2:$E$397&amp;IF(Events!$G$2:$G$397="National",""," ["&amp;Events!$G$2:$G$397&amp;"]"),""))</f>
        <v/>
      </c>
    </row>
    <row r="653" spans="1:9" ht="15" customHeight="1" x14ac:dyDescent="0.35">
      <c r="A653" s="2">
        <v>45943</v>
      </c>
      <c r="B653" s="3">
        <f t="shared" si="50"/>
        <v>2025</v>
      </c>
      <c r="C653" s="3">
        <f t="shared" si="51"/>
        <v>10</v>
      </c>
      <c r="D653" s="3" t="str">
        <f t="shared" si="52"/>
        <v>Mon</v>
      </c>
      <c r="E653" s="3">
        <f t="shared" si="53"/>
        <v>0</v>
      </c>
      <c r="F653" s="3">
        <f t="shared" si="54"/>
        <v>0</v>
      </c>
      <c r="G653" s="3" t="str">
        <f t="array" ref="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3">
        <f>COUNTIF(Events!$A$2:$A$397,$A653)</f>
        <v>0</v>
      </c>
      <c r="I653" s="25" t="str">
        <f t="array" ref="I653">_xlfn.TEXTJOIN(" | ",TRUE(),IF(Events!$A$2:$A$397=$A653,Events!$E$2:$E$397&amp;IF(Events!$G$2:$G$397="National",""," ["&amp;Events!$G$2:$G$397&amp;"]"),""))</f>
        <v/>
      </c>
    </row>
    <row r="654" spans="1:9" ht="15" customHeight="1" x14ac:dyDescent="0.35">
      <c r="A654" s="2">
        <v>45944</v>
      </c>
      <c r="B654" s="3">
        <f t="shared" si="50"/>
        <v>2025</v>
      </c>
      <c r="C654" s="3">
        <f t="shared" si="51"/>
        <v>10</v>
      </c>
      <c r="D654" s="3" t="str">
        <f t="shared" si="52"/>
        <v>Tue</v>
      </c>
      <c r="E654" s="3">
        <f t="shared" si="53"/>
        <v>0</v>
      </c>
      <c r="F654" s="3">
        <f t="shared" si="54"/>
        <v>0</v>
      </c>
      <c r="G654" s="3" t="str">
        <f t="array" ref="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3">
        <f>COUNTIF(Events!$A$2:$A$397,$A654)</f>
        <v>0</v>
      </c>
      <c r="I654" s="25" t="str">
        <f t="array" ref="I654">_xlfn.TEXTJOIN(" | ",TRUE(),IF(Events!$A$2:$A$397=$A654,Events!$E$2:$E$397&amp;IF(Events!$G$2:$G$397="National",""," ["&amp;Events!$G$2:$G$397&amp;"]"),""))</f>
        <v/>
      </c>
    </row>
    <row r="655" spans="1:9" ht="15" customHeight="1" x14ac:dyDescent="0.35">
      <c r="A655" s="2">
        <v>45945</v>
      </c>
      <c r="B655" s="3">
        <f t="shared" si="50"/>
        <v>2025</v>
      </c>
      <c r="C655" s="3">
        <f t="shared" si="51"/>
        <v>10</v>
      </c>
      <c r="D655" s="3" t="str">
        <f t="shared" si="52"/>
        <v>Wed</v>
      </c>
      <c r="E655" s="3">
        <f t="shared" si="53"/>
        <v>1</v>
      </c>
      <c r="F655" s="3">
        <f t="shared" si="54"/>
        <v>0</v>
      </c>
      <c r="G655" s="3" t="str">
        <f t="array" ref="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3">
        <f>COUNTIF(Events!$A$2:$A$397,$A655)</f>
        <v>2</v>
      </c>
      <c r="I655" s="25" t="str">
        <f t="array" ref="I655">_xlfn.TEXTJOIN(" | ",TRUE(),IF(Events!$A$2:$A$397=$A655,Events!$E$2:$E$397&amp;IF(Events!$G$2:$G$397="National",""," ["&amp;Events!$G$2:$G$397&amp;"]"),""))</f>
        <v>AEP opens with California's new Medi-Medi (exclusively aligned D-SNP) plans available for enrollment statewide for 1/1/2026 coverage start || C-SNP: CA's closure of non-aligned D-SNP enrollment creates steering pressure toward C-SNPs for duals not in aligned plans (largest state market). [CA] | First Rhode Island annual Medigap guaranteed-issue window opens with the AEP (RIGL 27-18.2-3(h); OHIC Bulletin 2025-05, effective 9/26/2025): continuous-coverage enrollees may switch to any Medigap plan, and MA enrollees gain a guaranteed off-ramp to Medigap, without underwriting [RI]</v>
      </c>
    </row>
    <row r="656" spans="1:9" ht="15" customHeight="1" x14ac:dyDescent="0.35">
      <c r="A656" s="2">
        <v>45946</v>
      </c>
      <c r="B656" s="3">
        <f t="shared" si="50"/>
        <v>2025</v>
      </c>
      <c r="C656" s="3">
        <f t="shared" si="51"/>
        <v>10</v>
      </c>
      <c r="D656" s="3" t="str">
        <f t="shared" si="52"/>
        <v>Thu</v>
      </c>
      <c r="E656" s="3">
        <f t="shared" si="53"/>
        <v>1</v>
      </c>
      <c r="F656" s="3">
        <f t="shared" si="54"/>
        <v>0</v>
      </c>
      <c r="G656" s="3" t="str">
        <f t="array" ref="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3">
        <f>COUNTIF(Events!$A$2:$A$397,$A656)</f>
        <v>0</v>
      </c>
      <c r="I656" s="25" t="str">
        <f t="array" ref="I656">_xlfn.TEXTJOIN(" | ",TRUE(),IF(Events!$A$2:$A$397=$A656,Events!$E$2:$E$397&amp;IF(Events!$G$2:$G$397="National",""," ["&amp;Events!$G$2:$G$397&amp;"]"),""))</f>
        <v/>
      </c>
    </row>
    <row r="657" spans="1:9" ht="15" customHeight="1" x14ac:dyDescent="0.35">
      <c r="A657" s="2">
        <v>45947</v>
      </c>
      <c r="B657" s="3">
        <f t="shared" si="50"/>
        <v>2025</v>
      </c>
      <c r="C657" s="3">
        <f t="shared" si="51"/>
        <v>10</v>
      </c>
      <c r="D657" s="3" t="str">
        <f t="shared" si="52"/>
        <v>Fri</v>
      </c>
      <c r="E657" s="3">
        <f t="shared" si="53"/>
        <v>1</v>
      </c>
      <c r="F657" s="3">
        <f t="shared" si="54"/>
        <v>0</v>
      </c>
      <c r="G657" s="3" t="str">
        <f t="array" ref="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3">
        <f>COUNTIF(Events!$A$2:$A$397,$A657)</f>
        <v>0</v>
      </c>
      <c r="I657" s="25" t="str">
        <f t="array" ref="I657">_xlfn.TEXTJOIN(" | ",TRUE(),IF(Events!$A$2:$A$397=$A657,Events!$E$2:$E$397&amp;IF(Events!$G$2:$G$397="National",""," ["&amp;Events!$G$2:$G$397&amp;"]"),""))</f>
        <v/>
      </c>
    </row>
    <row r="658" spans="1:9" ht="15" customHeight="1" x14ac:dyDescent="0.35">
      <c r="A658" s="2">
        <v>45948</v>
      </c>
      <c r="B658" s="3">
        <f t="shared" si="50"/>
        <v>2025</v>
      </c>
      <c r="C658" s="3">
        <f t="shared" si="51"/>
        <v>10</v>
      </c>
      <c r="D658" s="3" t="str">
        <f t="shared" si="52"/>
        <v>Sat</v>
      </c>
      <c r="E658" s="3">
        <f t="shared" si="53"/>
        <v>1</v>
      </c>
      <c r="F658" s="3">
        <f t="shared" si="54"/>
        <v>0</v>
      </c>
      <c r="G658" s="3" t="str">
        <f t="array" ref="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3">
        <f>COUNTIF(Events!$A$2:$A$397,$A658)</f>
        <v>0</v>
      </c>
      <c r="I658" s="25" t="str">
        <f t="array" ref="I658">_xlfn.TEXTJOIN(" | ",TRUE(),IF(Events!$A$2:$A$397=$A658,Events!$E$2:$E$397&amp;IF(Events!$G$2:$G$397="National",""," ["&amp;Events!$G$2:$G$397&amp;"]"),""))</f>
        <v/>
      </c>
    </row>
    <row r="659" spans="1:9" ht="15" customHeight="1" x14ac:dyDescent="0.35">
      <c r="A659" s="2">
        <v>45949</v>
      </c>
      <c r="B659" s="3">
        <f t="shared" si="50"/>
        <v>2025</v>
      </c>
      <c r="C659" s="3">
        <f t="shared" si="51"/>
        <v>10</v>
      </c>
      <c r="D659" s="3" t="str">
        <f t="shared" si="52"/>
        <v>Sun</v>
      </c>
      <c r="E659" s="3">
        <f t="shared" si="53"/>
        <v>1</v>
      </c>
      <c r="F659" s="3">
        <f t="shared" si="54"/>
        <v>0</v>
      </c>
      <c r="G659" s="3" t="str">
        <f t="array" ref="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3">
        <f>COUNTIF(Events!$A$2:$A$397,$A659)</f>
        <v>0</v>
      </c>
      <c r="I659" s="25" t="str">
        <f t="array" ref="I659">_xlfn.TEXTJOIN(" | ",TRUE(),IF(Events!$A$2:$A$397=$A659,Events!$E$2:$E$397&amp;IF(Events!$G$2:$G$397="National",""," ["&amp;Events!$G$2:$G$397&amp;"]"),""))</f>
        <v/>
      </c>
    </row>
    <row r="660" spans="1:9" ht="15" customHeight="1" x14ac:dyDescent="0.35">
      <c r="A660" s="2">
        <v>45950</v>
      </c>
      <c r="B660" s="3">
        <f t="shared" si="50"/>
        <v>2025</v>
      </c>
      <c r="C660" s="3">
        <f t="shared" si="51"/>
        <v>10</v>
      </c>
      <c r="D660" s="3" t="str">
        <f t="shared" si="52"/>
        <v>Mon</v>
      </c>
      <c r="E660" s="3">
        <f t="shared" si="53"/>
        <v>1</v>
      </c>
      <c r="F660" s="3">
        <f t="shared" si="54"/>
        <v>0</v>
      </c>
      <c r="G660" s="3" t="str">
        <f t="array" ref="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3">
        <f>COUNTIF(Events!$A$2:$A$397,$A660)</f>
        <v>0</v>
      </c>
      <c r="I660" s="25" t="str">
        <f t="array" ref="I660">_xlfn.TEXTJOIN(" | ",TRUE(),IF(Events!$A$2:$A$397=$A660,Events!$E$2:$E$397&amp;IF(Events!$G$2:$G$397="National",""," ["&amp;Events!$G$2:$G$397&amp;"]"),""))</f>
        <v/>
      </c>
    </row>
    <row r="661" spans="1:9" ht="15" customHeight="1" x14ac:dyDescent="0.35">
      <c r="A661" s="2">
        <v>45951</v>
      </c>
      <c r="B661" s="3">
        <f t="shared" si="50"/>
        <v>2025</v>
      </c>
      <c r="C661" s="3">
        <f t="shared" si="51"/>
        <v>10</v>
      </c>
      <c r="D661" s="3" t="str">
        <f t="shared" si="52"/>
        <v>Tue</v>
      </c>
      <c r="E661" s="3">
        <f t="shared" si="53"/>
        <v>1</v>
      </c>
      <c r="F661" s="3">
        <f t="shared" si="54"/>
        <v>0</v>
      </c>
      <c r="G661" s="3" t="str">
        <f t="array" ref="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3">
        <f>COUNTIF(Events!$A$2:$A$397,$A661)</f>
        <v>0</v>
      </c>
      <c r="I661" s="25" t="str">
        <f t="array" ref="I661">_xlfn.TEXTJOIN(" | ",TRUE(),IF(Events!$A$2:$A$397=$A661,Events!$E$2:$E$397&amp;IF(Events!$G$2:$G$397="National",""," ["&amp;Events!$G$2:$G$397&amp;"]"),""))</f>
        <v/>
      </c>
    </row>
    <row r="662" spans="1:9" ht="15" customHeight="1" x14ac:dyDescent="0.35">
      <c r="A662" s="2">
        <v>45952</v>
      </c>
      <c r="B662" s="3">
        <f t="shared" si="50"/>
        <v>2025</v>
      </c>
      <c r="C662" s="3">
        <f t="shared" si="51"/>
        <v>10</v>
      </c>
      <c r="D662" s="3" t="str">
        <f t="shared" si="52"/>
        <v>Wed</v>
      </c>
      <c r="E662" s="3">
        <f t="shared" si="53"/>
        <v>1</v>
      </c>
      <c r="F662" s="3">
        <f t="shared" si="54"/>
        <v>0</v>
      </c>
      <c r="G662" s="3" t="str">
        <f t="array" ref="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3">
        <f>COUNTIF(Events!$A$2:$A$397,$A662)</f>
        <v>0</v>
      </c>
      <c r="I662" s="25" t="str">
        <f t="array" ref="I662">_xlfn.TEXTJOIN(" | ",TRUE(),IF(Events!$A$2:$A$397=$A662,Events!$E$2:$E$397&amp;IF(Events!$G$2:$G$397="National",""," ["&amp;Events!$G$2:$G$397&amp;"]"),""))</f>
        <v/>
      </c>
    </row>
    <row r="663" spans="1:9" ht="15" customHeight="1" x14ac:dyDescent="0.35">
      <c r="A663" s="2">
        <v>45953</v>
      </c>
      <c r="B663" s="3">
        <f t="shared" si="50"/>
        <v>2025</v>
      </c>
      <c r="C663" s="3">
        <f t="shared" si="51"/>
        <v>10</v>
      </c>
      <c r="D663" s="3" t="str">
        <f t="shared" si="52"/>
        <v>Thu</v>
      </c>
      <c r="E663" s="3">
        <f t="shared" si="53"/>
        <v>1</v>
      </c>
      <c r="F663" s="3">
        <f t="shared" si="54"/>
        <v>0</v>
      </c>
      <c r="G663" s="3" t="str">
        <f t="array" ref="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3">
        <f>COUNTIF(Events!$A$2:$A$397,$A663)</f>
        <v>0</v>
      </c>
      <c r="I663" s="25" t="str">
        <f t="array" ref="I663">_xlfn.TEXTJOIN(" | ",TRUE(),IF(Events!$A$2:$A$397=$A663,Events!$E$2:$E$397&amp;IF(Events!$G$2:$G$397="National",""," ["&amp;Events!$G$2:$G$397&amp;"]"),""))</f>
        <v/>
      </c>
    </row>
    <row r="664" spans="1:9" ht="15" customHeight="1" x14ac:dyDescent="0.35">
      <c r="A664" s="2">
        <v>45954</v>
      </c>
      <c r="B664" s="3">
        <f t="shared" si="50"/>
        <v>2025</v>
      </c>
      <c r="C664" s="3">
        <f t="shared" si="51"/>
        <v>10</v>
      </c>
      <c r="D664" s="3" t="str">
        <f t="shared" si="52"/>
        <v>Fri</v>
      </c>
      <c r="E664" s="3">
        <f t="shared" si="53"/>
        <v>1</v>
      </c>
      <c r="F664" s="3">
        <f t="shared" si="54"/>
        <v>0</v>
      </c>
      <c r="G664" s="3" t="str">
        <f t="array" ref="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3">
        <f>COUNTIF(Events!$A$2:$A$397,$A664)</f>
        <v>0</v>
      </c>
      <c r="I664" s="25" t="str">
        <f t="array" ref="I664">_xlfn.TEXTJOIN(" | ",TRUE(),IF(Events!$A$2:$A$397=$A664,Events!$E$2:$E$397&amp;IF(Events!$G$2:$G$397="National",""," ["&amp;Events!$G$2:$G$397&amp;"]"),""))</f>
        <v/>
      </c>
    </row>
    <row r="665" spans="1:9" ht="15" customHeight="1" x14ac:dyDescent="0.35">
      <c r="A665" s="2">
        <v>45955</v>
      </c>
      <c r="B665" s="3">
        <f t="shared" si="50"/>
        <v>2025</v>
      </c>
      <c r="C665" s="3">
        <f t="shared" si="51"/>
        <v>10</v>
      </c>
      <c r="D665" s="3" t="str">
        <f t="shared" si="52"/>
        <v>Sat</v>
      </c>
      <c r="E665" s="3">
        <f t="shared" si="53"/>
        <v>1</v>
      </c>
      <c r="F665" s="3">
        <f t="shared" si="54"/>
        <v>0</v>
      </c>
      <c r="G665" s="3" t="str">
        <f t="array" ref="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3">
        <f>COUNTIF(Events!$A$2:$A$397,$A665)</f>
        <v>0</v>
      </c>
      <c r="I665" s="25" t="str">
        <f t="array" ref="I665">_xlfn.TEXTJOIN(" | ",TRUE(),IF(Events!$A$2:$A$397=$A665,Events!$E$2:$E$397&amp;IF(Events!$G$2:$G$397="National",""," ["&amp;Events!$G$2:$G$397&amp;"]"),""))</f>
        <v/>
      </c>
    </row>
    <row r="666" spans="1:9" ht="15" customHeight="1" x14ac:dyDescent="0.35">
      <c r="A666" s="2">
        <v>45956</v>
      </c>
      <c r="B666" s="3">
        <f t="shared" si="50"/>
        <v>2025</v>
      </c>
      <c r="C666" s="3">
        <f t="shared" si="51"/>
        <v>10</v>
      </c>
      <c r="D666" s="3" t="str">
        <f t="shared" si="52"/>
        <v>Sun</v>
      </c>
      <c r="E666" s="3">
        <f t="shared" si="53"/>
        <v>1</v>
      </c>
      <c r="F666" s="3">
        <f t="shared" si="54"/>
        <v>0</v>
      </c>
      <c r="G666" s="3" t="str">
        <f t="array" ref="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3">
        <f>COUNTIF(Events!$A$2:$A$397,$A666)</f>
        <v>0</v>
      </c>
      <c r="I666" s="25" t="str">
        <f t="array" ref="I666">_xlfn.TEXTJOIN(" | ",TRUE(),IF(Events!$A$2:$A$397=$A666,Events!$E$2:$E$397&amp;IF(Events!$G$2:$G$397="National",""," ["&amp;Events!$G$2:$G$397&amp;"]"),""))</f>
        <v/>
      </c>
    </row>
    <row r="667" spans="1:9" ht="15" customHeight="1" x14ac:dyDescent="0.35">
      <c r="A667" s="2">
        <v>45957</v>
      </c>
      <c r="B667" s="3">
        <f t="shared" si="50"/>
        <v>2025</v>
      </c>
      <c r="C667" s="3">
        <f t="shared" si="51"/>
        <v>10</v>
      </c>
      <c r="D667" s="3" t="str">
        <f t="shared" si="52"/>
        <v>Mon</v>
      </c>
      <c r="E667" s="3">
        <f t="shared" si="53"/>
        <v>1</v>
      </c>
      <c r="F667" s="3">
        <f t="shared" si="54"/>
        <v>0</v>
      </c>
      <c r="G667" s="3" t="str">
        <f t="array" ref="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3">
        <f>COUNTIF(Events!$A$2:$A$397,$A667)</f>
        <v>0</v>
      </c>
      <c r="I667" s="25" t="str">
        <f t="array" ref="I667">_xlfn.TEXTJOIN(" | ",TRUE(),IF(Events!$A$2:$A$397=$A667,Events!$E$2:$E$397&amp;IF(Events!$G$2:$G$397="National",""," ["&amp;Events!$G$2:$G$397&amp;"]"),""))</f>
        <v/>
      </c>
    </row>
    <row r="668" spans="1:9" ht="15" customHeight="1" x14ac:dyDescent="0.35">
      <c r="A668" s="2">
        <v>45958</v>
      </c>
      <c r="B668" s="3">
        <f t="shared" si="50"/>
        <v>2025</v>
      </c>
      <c r="C668" s="3">
        <f t="shared" si="51"/>
        <v>10</v>
      </c>
      <c r="D668" s="3" t="str">
        <f t="shared" si="52"/>
        <v>Tue</v>
      </c>
      <c r="E668" s="3">
        <f t="shared" si="53"/>
        <v>1</v>
      </c>
      <c r="F668" s="3">
        <f t="shared" si="54"/>
        <v>0</v>
      </c>
      <c r="G668" s="3" t="str">
        <f t="array" ref="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3">
        <f>COUNTIF(Events!$A$2:$A$397,$A668)</f>
        <v>0</v>
      </c>
      <c r="I668" s="25" t="str">
        <f t="array" ref="I668">_xlfn.TEXTJOIN(" | ",TRUE(),IF(Events!$A$2:$A$397=$A668,Events!$E$2:$E$397&amp;IF(Events!$G$2:$G$397="National",""," ["&amp;Events!$G$2:$G$397&amp;"]"),""))</f>
        <v/>
      </c>
    </row>
    <row r="669" spans="1:9" ht="15" customHeight="1" x14ac:dyDescent="0.35">
      <c r="A669" s="2">
        <v>45959</v>
      </c>
      <c r="B669" s="3">
        <f t="shared" si="50"/>
        <v>2025</v>
      </c>
      <c r="C669" s="3">
        <f t="shared" si="51"/>
        <v>10</v>
      </c>
      <c r="D669" s="3" t="str">
        <f t="shared" si="52"/>
        <v>Wed</v>
      </c>
      <c r="E669" s="3">
        <f t="shared" si="53"/>
        <v>1</v>
      </c>
      <c r="F669" s="3">
        <f t="shared" si="54"/>
        <v>0</v>
      </c>
      <c r="G669" s="3" t="str">
        <f t="array" ref="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3">
        <f>COUNTIF(Events!$A$2:$A$397,$A669)</f>
        <v>0</v>
      </c>
      <c r="I669" s="25" t="str">
        <f t="array" ref="I669">_xlfn.TEXTJOIN(" | ",TRUE(),IF(Events!$A$2:$A$397=$A669,Events!$E$2:$E$397&amp;IF(Events!$G$2:$G$397="National",""," ["&amp;Events!$G$2:$G$397&amp;"]"),""))</f>
        <v/>
      </c>
    </row>
    <row r="670" spans="1:9" ht="15" customHeight="1" x14ac:dyDescent="0.35">
      <c r="A670" s="2">
        <v>45960</v>
      </c>
      <c r="B670" s="3">
        <f t="shared" si="50"/>
        <v>2025</v>
      </c>
      <c r="C670" s="3">
        <f t="shared" si="51"/>
        <v>10</v>
      </c>
      <c r="D670" s="3" t="str">
        <f t="shared" si="52"/>
        <v>Thu</v>
      </c>
      <c r="E670" s="3">
        <f t="shared" si="53"/>
        <v>1</v>
      </c>
      <c r="F670" s="3">
        <f t="shared" si="54"/>
        <v>0</v>
      </c>
      <c r="G670" s="3" t="str">
        <f t="array" ref="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
      </c>
      <c r="H670" s="3">
        <f>COUNTIF(Events!$A$2:$A$397,$A670)</f>
        <v>0</v>
      </c>
      <c r="I670" s="25" t="str">
        <f t="array" ref="I670">_xlfn.TEXTJOIN(" | ",TRUE(),IF(Events!$A$2:$A$397=$A670,Events!$E$2:$E$397&amp;IF(Events!$G$2:$G$397="National",""," ["&amp;Events!$G$2:$G$397&amp;"]"),""))</f>
        <v/>
      </c>
    </row>
    <row r="671" spans="1:9" ht="15" customHeight="1" x14ac:dyDescent="0.35">
      <c r="A671" s="2">
        <v>45961</v>
      </c>
      <c r="B671" s="3">
        <f t="shared" si="50"/>
        <v>2025</v>
      </c>
      <c r="C671" s="3">
        <f t="shared" si="51"/>
        <v>10</v>
      </c>
      <c r="D671" s="3" t="str">
        <f t="shared" si="52"/>
        <v>Fri</v>
      </c>
      <c r="E671" s="3">
        <f t="shared" si="53"/>
        <v>1</v>
      </c>
      <c r="F671" s="3">
        <f t="shared" si="54"/>
        <v>0</v>
      </c>
      <c r="G671" s="3" t="str">
        <f t="array" ref="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 | 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1" s="3">
        <f>COUNTIF(Events!$A$2:$A$397,$A671)</f>
        <v>0</v>
      </c>
      <c r="I671" s="25" t="str">
        <f t="array" ref="I671">_xlfn.TEXTJOIN(" | ",TRUE(),IF(Events!$A$2:$A$397=$A671,Events!$E$2:$E$397&amp;IF(Events!$G$2:$G$397="National",""," ["&amp;Events!$G$2:$G$397&amp;"]"),""))</f>
        <v/>
      </c>
    </row>
    <row r="672" spans="1:9" ht="15" customHeight="1" x14ac:dyDescent="0.35">
      <c r="A672" s="2">
        <v>45962</v>
      </c>
      <c r="B672" s="3">
        <f t="shared" si="50"/>
        <v>2025</v>
      </c>
      <c r="C672" s="3">
        <f t="shared" si="51"/>
        <v>11</v>
      </c>
      <c r="D672" s="3" t="str">
        <f t="shared" si="52"/>
        <v>Sat</v>
      </c>
      <c r="E672" s="3">
        <f t="shared" si="53"/>
        <v>1</v>
      </c>
      <c r="F672" s="3">
        <f t="shared" si="54"/>
        <v>0</v>
      </c>
      <c r="G672" s="3" t="str">
        <f t="array" ref="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3">
        <f>COUNTIF(Events!$A$2:$A$397,$A672)</f>
        <v>0</v>
      </c>
      <c r="I672" s="25" t="str">
        <f t="array" ref="I672">_xlfn.TEXTJOIN(" | ",TRUE(),IF(Events!$A$2:$A$397=$A672,Events!$E$2:$E$397&amp;IF(Events!$G$2:$G$397="National",""," ["&amp;Events!$G$2:$G$397&amp;"]"),""))</f>
        <v/>
      </c>
    </row>
    <row r="673" spans="1:9" ht="15" customHeight="1" x14ac:dyDescent="0.35">
      <c r="A673" s="2">
        <v>45963</v>
      </c>
      <c r="B673" s="3">
        <f t="shared" si="50"/>
        <v>2025</v>
      </c>
      <c r="C673" s="3">
        <f t="shared" si="51"/>
        <v>11</v>
      </c>
      <c r="D673" s="3" t="str">
        <f t="shared" si="52"/>
        <v>Sun</v>
      </c>
      <c r="E673" s="3">
        <f t="shared" si="53"/>
        <v>1</v>
      </c>
      <c r="F673" s="3">
        <f t="shared" si="54"/>
        <v>0</v>
      </c>
      <c r="G673" s="3" t="str">
        <f t="array" ref="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3">
        <f>COUNTIF(Events!$A$2:$A$397,$A673)</f>
        <v>0</v>
      </c>
      <c r="I673" s="25" t="str">
        <f t="array" ref="I673">_xlfn.TEXTJOIN(" | ",TRUE(),IF(Events!$A$2:$A$397=$A673,Events!$E$2:$E$397&amp;IF(Events!$G$2:$G$397="National",""," ["&amp;Events!$G$2:$G$397&amp;"]"),""))</f>
        <v/>
      </c>
    </row>
    <row r="674" spans="1:9" ht="15" customHeight="1" x14ac:dyDescent="0.35">
      <c r="A674" s="2">
        <v>45964</v>
      </c>
      <c r="B674" s="3">
        <f t="shared" si="50"/>
        <v>2025</v>
      </c>
      <c r="C674" s="3">
        <f t="shared" si="51"/>
        <v>11</v>
      </c>
      <c r="D674" s="3" t="str">
        <f t="shared" si="52"/>
        <v>Mon</v>
      </c>
      <c r="E674" s="3">
        <f t="shared" si="53"/>
        <v>1</v>
      </c>
      <c r="F674" s="3">
        <f t="shared" si="54"/>
        <v>0</v>
      </c>
      <c r="G674" s="3" t="str">
        <f t="array" ref="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3">
        <f>COUNTIF(Events!$A$2:$A$397,$A674)</f>
        <v>0</v>
      </c>
      <c r="I674" s="25" t="str">
        <f t="array" ref="I674">_xlfn.TEXTJOIN(" | ",TRUE(),IF(Events!$A$2:$A$397=$A674,Events!$E$2:$E$397&amp;IF(Events!$G$2:$G$397="National",""," ["&amp;Events!$G$2:$G$397&amp;"]"),""))</f>
        <v/>
      </c>
    </row>
    <row r="675" spans="1:9" ht="15" customHeight="1" x14ac:dyDescent="0.35">
      <c r="A675" s="2">
        <v>45965</v>
      </c>
      <c r="B675" s="3">
        <f t="shared" si="50"/>
        <v>2025</v>
      </c>
      <c r="C675" s="3">
        <f t="shared" si="51"/>
        <v>11</v>
      </c>
      <c r="D675" s="3" t="str">
        <f t="shared" si="52"/>
        <v>Tue</v>
      </c>
      <c r="E675" s="3">
        <f t="shared" si="53"/>
        <v>1</v>
      </c>
      <c r="F675" s="3">
        <f t="shared" si="54"/>
        <v>0</v>
      </c>
      <c r="G675" s="3" t="str">
        <f t="array" ref="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3">
        <f>COUNTIF(Events!$A$2:$A$397,$A675)</f>
        <v>0</v>
      </c>
      <c r="I675" s="25" t="str">
        <f t="array" ref="I675">_xlfn.TEXTJOIN(" | ",TRUE(),IF(Events!$A$2:$A$397=$A675,Events!$E$2:$E$397&amp;IF(Events!$G$2:$G$397="National",""," ["&amp;Events!$G$2:$G$397&amp;"]"),""))</f>
        <v/>
      </c>
    </row>
    <row r="676" spans="1:9" ht="15" customHeight="1" x14ac:dyDescent="0.35">
      <c r="A676" s="2">
        <v>45966</v>
      </c>
      <c r="B676" s="3">
        <f t="shared" si="50"/>
        <v>2025</v>
      </c>
      <c r="C676" s="3">
        <f t="shared" si="51"/>
        <v>11</v>
      </c>
      <c r="D676" s="3" t="str">
        <f t="shared" si="52"/>
        <v>Wed</v>
      </c>
      <c r="E676" s="3">
        <f t="shared" si="53"/>
        <v>1</v>
      </c>
      <c r="F676" s="3">
        <f t="shared" si="54"/>
        <v>0</v>
      </c>
      <c r="G676" s="3" t="str">
        <f t="array" ref="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3">
        <f>COUNTIF(Events!$A$2:$A$397,$A676)</f>
        <v>0</v>
      </c>
      <c r="I676" s="25" t="str">
        <f t="array" ref="I676">_xlfn.TEXTJOIN(" | ",TRUE(),IF(Events!$A$2:$A$397=$A676,Events!$E$2:$E$397&amp;IF(Events!$G$2:$G$397="National",""," ["&amp;Events!$G$2:$G$397&amp;"]"),""))</f>
        <v/>
      </c>
    </row>
    <row r="677" spans="1:9" ht="15" customHeight="1" x14ac:dyDescent="0.35">
      <c r="A677" s="2">
        <v>45967</v>
      </c>
      <c r="B677" s="3">
        <f t="shared" si="50"/>
        <v>2025</v>
      </c>
      <c r="C677" s="3">
        <f t="shared" si="51"/>
        <v>11</v>
      </c>
      <c r="D677" s="3" t="str">
        <f t="shared" si="52"/>
        <v>Thu</v>
      </c>
      <c r="E677" s="3">
        <f t="shared" si="53"/>
        <v>1</v>
      </c>
      <c r="F677" s="3">
        <f t="shared" si="54"/>
        <v>0</v>
      </c>
      <c r="G677" s="3" t="str">
        <f t="array" ref="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3">
        <f>COUNTIF(Events!$A$2:$A$397,$A677)</f>
        <v>0</v>
      </c>
      <c r="I677" s="25" t="str">
        <f t="array" ref="I677">_xlfn.TEXTJOIN(" | ",TRUE(),IF(Events!$A$2:$A$397=$A677,Events!$E$2:$E$397&amp;IF(Events!$G$2:$G$397="National",""," ["&amp;Events!$G$2:$G$397&amp;"]"),""))</f>
        <v/>
      </c>
    </row>
    <row r="678" spans="1:9" ht="15" customHeight="1" x14ac:dyDescent="0.35">
      <c r="A678" s="2">
        <v>45968</v>
      </c>
      <c r="B678" s="3">
        <f t="shared" si="50"/>
        <v>2025</v>
      </c>
      <c r="C678" s="3">
        <f t="shared" si="51"/>
        <v>11</v>
      </c>
      <c r="D678" s="3" t="str">
        <f t="shared" si="52"/>
        <v>Fri</v>
      </c>
      <c r="E678" s="3">
        <f t="shared" si="53"/>
        <v>1</v>
      </c>
      <c r="F678" s="3">
        <f t="shared" si="54"/>
        <v>0</v>
      </c>
      <c r="G678" s="3" t="str">
        <f t="array" ref="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3">
        <f>COUNTIF(Events!$A$2:$A$397,$A678)</f>
        <v>0</v>
      </c>
      <c r="I678" s="25" t="str">
        <f t="array" ref="I678">_xlfn.TEXTJOIN(" | ",TRUE(),IF(Events!$A$2:$A$397=$A678,Events!$E$2:$E$397&amp;IF(Events!$G$2:$G$397="National",""," ["&amp;Events!$G$2:$G$397&amp;"]"),""))</f>
        <v/>
      </c>
    </row>
    <row r="679" spans="1:9" ht="15" customHeight="1" x14ac:dyDescent="0.35">
      <c r="A679" s="2">
        <v>45969</v>
      </c>
      <c r="B679" s="3">
        <f t="shared" si="50"/>
        <v>2025</v>
      </c>
      <c r="C679" s="3">
        <f t="shared" si="51"/>
        <v>11</v>
      </c>
      <c r="D679" s="3" t="str">
        <f t="shared" si="52"/>
        <v>Sat</v>
      </c>
      <c r="E679" s="3">
        <f t="shared" si="53"/>
        <v>1</v>
      </c>
      <c r="F679" s="3">
        <f t="shared" si="54"/>
        <v>0</v>
      </c>
      <c r="G679" s="3" t="str">
        <f t="array" ref="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3">
        <f>COUNTIF(Events!$A$2:$A$397,$A679)</f>
        <v>0</v>
      </c>
      <c r="I679" s="25" t="str">
        <f t="array" ref="I679">_xlfn.TEXTJOIN(" | ",TRUE(),IF(Events!$A$2:$A$397=$A679,Events!$E$2:$E$397&amp;IF(Events!$G$2:$G$397="National",""," ["&amp;Events!$G$2:$G$397&amp;"]"),""))</f>
        <v/>
      </c>
    </row>
    <row r="680" spans="1:9" ht="15" customHeight="1" x14ac:dyDescent="0.35">
      <c r="A680" s="2">
        <v>45970</v>
      </c>
      <c r="B680" s="3">
        <f t="shared" si="50"/>
        <v>2025</v>
      </c>
      <c r="C680" s="3">
        <f t="shared" si="51"/>
        <v>11</v>
      </c>
      <c r="D680" s="3" t="str">
        <f t="shared" si="52"/>
        <v>Sun</v>
      </c>
      <c r="E680" s="3">
        <f t="shared" si="53"/>
        <v>1</v>
      </c>
      <c r="F680" s="3">
        <f t="shared" si="54"/>
        <v>0</v>
      </c>
      <c r="G680" s="3" t="str">
        <f t="array" ref="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3">
        <f>COUNTIF(Events!$A$2:$A$397,$A680)</f>
        <v>0</v>
      </c>
      <c r="I680" s="25" t="str">
        <f t="array" ref="I680">_xlfn.TEXTJOIN(" | ",TRUE(),IF(Events!$A$2:$A$397=$A680,Events!$E$2:$E$397&amp;IF(Events!$G$2:$G$397="National",""," ["&amp;Events!$G$2:$G$397&amp;"]"),""))</f>
        <v/>
      </c>
    </row>
    <row r="681" spans="1:9" ht="15" customHeight="1" x14ac:dyDescent="0.35">
      <c r="A681" s="2">
        <v>45971</v>
      </c>
      <c r="B681" s="3">
        <f t="shared" si="50"/>
        <v>2025</v>
      </c>
      <c r="C681" s="3">
        <f t="shared" si="51"/>
        <v>11</v>
      </c>
      <c r="D681" s="3" t="str">
        <f t="shared" si="52"/>
        <v>Mon</v>
      </c>
      <c r="E681" s="3">
        <f t="shared" si="53"/>
        <v>1</v>
      </c>
      <c r="F681" s="3">
        <f t="shared" si="54"/>
        <v>0</v>
      </c>
      <c r="G681" s="3" t="str">
        <f t="array" ref="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3">
        <f>COUNTIF(Events!$A$2:$A$397,$A681)</f>
        <v>0</v>
      </c>
      <c r="I681" s="25" t="str">
        <f t="array" ref="I681">_xlfn.TEXTJOIN(" | ",TRUE(),IF(Events!$A$2:$A$397=$A681,Events!$E$2:$E$397&amp;IF(Events!$G$2:$G$397="National",""," ["&amp;Events!$G$2:$G$397&amp;"]"),""))</f>
        <v/>
      </c>
    </row>
    <row r="682" spans="1:9" ht="15" customHeight="1" x14ac:dyDescent="0.35">
      <c r="A682" s="2">
        <v>45972</v>
      </c>
      <c r="B682" s="3">
        <f t="shared" si="50"/>
        <v>2025</v>
      </c>
      <c r="C682" s="3">
        <f t="shared" si="51"/>
        <v>11</v>
      </c>
      <c r="D682" s="3" t="str">
        <f t="shared" si="52"/>
        <v>Tue</v>
      </c>
      <c r="E682" s="3">
        <f t="shared" si="53"/>
        <v>1</v>
      </c>
      <c r="F682" s="3">
        <f t="shared" si="54"/>
        <v>0</v>
      </c>
      <c r="G682" s="3" t="str">
        <f t="array" ref="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3">
        <f>COUNTIF(Events!$A$2:$A$397,$A682)</f>
        <v>0</v>
      </c>
      <c r="I682" s="25" t="str">
        <f t="array" ref="I682">_xlfn.TEXTJOIN(" | ",TRUE(),IF(Events!$A$2:$A$397=$A682,Events!$E$2:$E$397&amp;IF(Events!$G$2:$G$397="National",""," ["&amp;Events!$G$2:$G$397&amp;"]"),""))</f>
        <v/>
      </c>
    </row>
    <row r="683" spans="1:9" ht="15" customHeight="1" x14ac:dyDescent="0.35">
      <c r="A683" s="2">
        <v>45973</v>
      </c>
      <c r="B683" s="3">
        <f t="shared" si="50"/>
        <v>2025</v>
      </c>
      <c r="C683" s="3">
        <f t="shared" si="51"/>
        <v>11</v>
      </c>
      <c r="D683" s="3" t="str">
        <f t="shared" si="52"/>
        <v>Wed</v>
      </c>
      <c r="E683" s="3">
        <f t="shared" si="53"/>
        <v>1</v>
      </c>
      <c r="F683" s="3">
        <f t="shared" si="54"/>
        <v>0</v>
      </c>
      <c r="G683" s="3" t="str">
        <f t="array" ref="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3">
        <f>COUNTIF(Events!$A$2:$A$397,$A683)</f>
        <v>0</v>
      </c>
      <c r="I683" s="25" t="str">
        <f t="array" ref="I683">_xlfn.TEXTJOIN(" | ",TRUE(),IF(Events!$A$2:$A$397=$A683,Events!$E$2:$E$397&amp;IF(Events!$G$2:$G$397="National",""," ["&amp;Events!$G$2:$G$397&amp;"]"),""))</f>
        <v/>
      </c>
    </row>
    <row r="684" spans="1:9" ht="15" customHeight="1" x14ac:dyDescent="0.35">
      <c r="A684" s="2">
        <v>45974</v>
      </c>
      <c r="B684" s="3">
        <f t="shared" si="50"/>
        <v>2025</v>
      </c>
      <c r="C684" s="3">
        <f t="shared" si="51"/>
        <v>11</v>
      </c>
      <c r="D684" s="3" t="str">
        <f t="shared" si="52"/>
        <v>Thu</v>
      </c>
      <c r="E684" s="3">
        <f t="shared" si="53"/>
        <v>1</v>
      </c>
      <c r="F684" s="3">
        <f t="shared" si="54"/>
        <v>0</v>
      </c>
      <c r="G684" s="3" t="str">
        <f t="array" ref="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3">
        <f>COUNTIF(Events!$A$2:$A$397,$A684)</f>
        <v>0</v>
      </c>
      <c r="I684" s="25" t="str">
        <f t="array" ref="I684">_xlfn.TEXTJOIN(" | ",TRUE(),IF(Events!$A$2:$A$397=$A684,Events!$E$2:$E$397&amp;IF(Events!$G$2:$G$397="National",""," ["&amp;Events!$G$2:$G$397&amp;"]"),""))</f>
        <v/>
      </c>
    </row>
    <row r="685" spans="1:9" ht="15" customHeight="1" x14ac:dyDescent="0.35">
      <c r="A685" s="2">
        <v>45975</v>
      </c>
      <c r="B685" s="3">
        <f t="shared" si="50"/>
        <v>2025</v>
      </c>
      <c r="C685" s="3">
        <f t="shared" si="51"/>
        <v>11</v>
      </c>
      <c r="D685" s="3" t="str">
        <f t="shared" si="52"/>
        <v>Fri</v>
      </c>
      <c r="E685" s="3">
        <f t="shared" si="53"/>
        <v>1</v>
      </c>
      <c r="F685" s="3">
        <f t="shared" si="54"/>
        <v>0</v>
      </c>
      <c r="G685" s="3" t="str">
        <f t="array" ref="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3">
        <f>COUNTIF(Events!$A$2:$A$397,$A685)</f>
        <v>0</v>
      </c>
      <c r="I685" s="25" t="str">
        <f t="array" ref="I685">_xlfn.TEXTJOIN(" | ",TRUE(),IF(Events!$A$2:$A$397=$A685,Events!$E$2:$E$397&amp;IF(Events!$G$2:$G$397="National",""," ["&amp;Events!$G$2:$G$397&amp;"]"),""))</f>
        <v/>
      </c>
    </row>
    <row r="686" spans="1:9" ht="15" customHeight="1" x14ac:dyDescent="0.35">
      <c r="A686" s="2">
        <v>45976</v>
      </c>
      <c r="B686" s="3">
        <f t="shared" si="50"/>
        <v>2025</v>
      </c>
      <c r="C686" s="3">
        <f t="shared" si="51"/>
        <v>11</v>
      </c>
      <c r="D686" s="3" t="str">
        <f t="shared" si="52"/>
        <v>Sat</v>
      </c>
      <c r="E686" s="3">
        <f t="shared" si="53"/>
        <v>1</v>
      </c>
      <c r="F686" s="3">
        <f t="shared" si="54"/>
        <v>0</v>
      </c>
      <c r="G686" s="3" t="str">
        <f t="array" ref="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3">
        <f>COUNTIF(Events!$A$2:$A$397,$A686)</f>
        <v>0</v>
      </c>
      <c r="I686" s="25" t="str">
        <f t="array" ref="I686">_xlfn.TEXTJOIN(" | ",TRUE(),IF(Events!$A$2:$A$397=$A686,Events!$E$2:$E$397&amp;IF(Events!$G$2:$G$397="National",""," ["&amp;Events!$G$2:$G$397&amp;"]"),""))</f>
        <v/>
      </c>
    </row>
    <row r="687" spans="1:9" ht="15" customHeight="1" x14ac:dyDescent="0.35">
      <c r="A687" s="2">
        <v>45977</v>
      </c>
      <c r="B687" s="3">
        <f t="shared" si="50"/>
        <v>2025</v>
      </c>
      <c r="C687" s="3">
        <f t="shared" si="51"/>
        <v>11</v>
      </c>
      <c r="D687" s="3" t="str">
        <f t="shared" si="52"/>
        <v>Sun</v>
      </c>
      <c r="E687" s="3">
        <f t="shared" si="53"/>
        <v>1</v>
      </c>
      <c r="F687" s="3">
        <f t="shared" si="54"/>
        <v>0</v>
      </c>
      <c r="G687" s="3" t="str">
        <f t="array" ref="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3">
        <f>COUNTIF(Events!$A$2:$A$397,$A687)</f>
        <v>0</v>
      </c>
      <c r="I687" s="25" t="str">
        <f t="array" ref="I687">_xlfn.TEXTJOIN(" | ",TRUE(),IF(Events!$A$2:$A$397=$A687,Events!$E$2:$E$397&amp;IF(Events!$G$2:$G$397="National",""," ["&amp;Events!$G$2:$G$397&amp;"]"),""))</f>
        <v/>
      </c>
    </row>
    <row r="688" spans="1:9" ht="15" customHeight="1" x14ac:dyDescent="0.35">
      <c r="A688" s="2">
        <v>45978</v>
      </c>
      <c r="B688" s="3">
        <f t="shared" si="50"/>
        <v>2025</v>
      </c>
      <c r="C688" s="3">
        <f t="shared" si="51"/>
        <v>11</v>
      </c>
      <c r="D688" s="3" t="str">
        <f t="shared" si="52"/>
        <v>Mon</v>
      </c>
      <c r="E688" s="3">
        <f t="shared" si="53"/>
        <v>1</v>
      </c>
      <c r="F688" s="3">
        <f t="shared" si="54"/>
        <v>0</v>
      </c>
      <c r="G688" s="3" t="str">
        <f t="array" ref="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3">
        <f>COUNTIF(Events!$A$2:$A$397,$A688)</f>
        <v>0</v>
      </c>
      <c r="I688" s="25" t="str">
        <f t="array" ref="I688">_xlfn.TEXTJOIN(" | ",TRUE(),IF(Events!$A$2:$A$397=$A688,Events!$E$2:$E$397&amp;IF(Events!$G$2:$G$397="National",""," ["&amp;Events!$G$2:$G$397&amp;"]"),""))</f>
        <v/>
      </c>
    </row>
    <row r="689" spans="1:9" ht="15" customHeight="1" x14ac:dyDescent="0.35">
      <c r="A689" s="2">
        <v>45979</v>
      </c>
      <c r="B689" s="3">
        <f t="shared" si="50"/>
        <v>2025</v>
      </c>
      <c r="C689" s="3">
        <f t="shared" si="51"/>
        <v>11</v>
      </c>
      <c r="D689" s="3" t="str">
        <f t="shared" si="52"/>
        <v>Tue</v>
      </c>
      <c r="E689" s="3">
        <f t="shared" si="53"/>
        <v>1</v>
      </c>
      <c r="F689" s="3">
        <f t="shared" si="54"/>
        <v>0</v>
      </c>
      <c r="G689" s="3" t="str">
        <f t="array" ref="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3">
        <f>COUNTIF(Events!$A$2:$A$397,$A689)</f>
        <v>0</v>
      </c>
      <c r="I689" s="25" t="str">
        <f t="array" ref="I689">_xlfn.TEXTJOIN(" | ",TRUE(),IF(Events!$A$2:$A$397=$A689,Events!$E$2:$E$397&amp;IF(Events!$G$2:$G$397="National",""," ["&amp;Events!$G$2:$G$397&amp;"]"),""))</f>
        <v/>
      </c>
    </row>
    <row r="690" spans="1:9" ht="15" customHeight="1" x14ac:dyDescent="0.35">
      <c r="A690" s="2">
        <v>45980</v>
      </c>
      <c r="B690" s="3">
        <f t="shared" si="50"/>
        <v>2025</v>
      </c>
      <c r="C690" s="3">
        <f t="shared" si="51"/>
        <v>11</v>
      </c>
      <c r="D690" s="3" t="str">
        <f t="shared" si="52"/>
        <v>Wed</v>
      </c>
      <c r="E690" s="3">
        <f t="shared" si="53"/>
        <v>1</v>
      </c>
      <c r="F690" s="3">
        <f t="shared" si="54"/>
        <v>0</v>
      </c>
      <c r="G690" s="3" t="str">
        <f t="array" ref="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3">
        <f>COUNTIF(Events!$A$2:$A$397,$A690)</f>
        <v>1</v>
      </c>
      <c r="I690" s="25" t="str">
        <f t="array" ref="I690">_xlfn.TEXTJOIN(" | ",TRUE(),IF(Events!$A$2:$A$397=$A690,Events!$E$2:$E$397&amp;IF(Events!$G$2:$G$397="National",""," ["&amp;Events!$G$2:$G$397&amp;"]"),""))</f>
        <v>CY2026 Part B premium set: standard premium $202.90/mo, up 9.7% ($17.90) from $185, deductible $283 (+$26); press release 11/14/2025, FR notice 11/19/2025. Mid AEP, second largest dollar jump on record.</v>
      </c>
    </row>
    <row r="691" spans="1:9" ht="15" customHeight="1" x14ac:dyDescent="0.35">
      <c r="A691" s="2">
        <v>45981</v>
      </c>
      <c r="B691" s="3">
        <f t="shared" si="50"/>
        <v>2025</v>
      </c>
      <c r="C691" s="3">
        <f t="shared" si="51"/>
        <v>11</v>
      </c>
      <c r="D691" s="3" t="str">
        <f t="shared" si="52"/>
        <v>Thu</v>
      </c>
      <c r="E691" s="3">
        <f t="shared" si="53"/>
        <v>1</v>
      </c>
      <c r="F691" s="3">
        <f t="shared" si="54"/>
        <v>0</v>
      </c>
      <c r="G691" s="3" t="str">
        <f t="array" ref="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3">
        <f>COUNTIF(Events!$A$2:$A$397,$A691)</f>
        <v>0</v>
      </c>
      <c r="I691" s="25" t="str">
        <f t="array" ref="I691">_xlfn.TEXTJOIN(" | ",TRUE(),IF(Events!$A$2:$A$397=$A691,Events!$E$2:$E$397&amp;IF(Events!$G$2:$G$397="National",""," ["&amp;Events!$G$2:$G$397&amp;"]"),""))</f>
        <v/>
      </c>
    </row>
    <row r="692" spans="1:9" ht="15" customHeight="1" x14ac:dyDescent="0.35">
      <c r="A692" s="2">
        <v>45982</v>
      </c>
      <c r="B692" s="3">
        <f t="shared" si="50"/>
        <v>2025</v>
      </c>
      <c r="C692" s="3">
        <f t="shared" si="51"/>
        <v>11</v>
      </c>
      <c r="D692" s="3" t="str">
        <f t="shared" si="52"/>
        <v>Fri</v>
      </c>
      <c r="E692" s="3">
        <f t="shared" si="53"/>
        <v>1</v>
      </c>
      <c r="F692" s="3">
        <f t="shared" si="54"/>
        <v>0</v>
      </c>
      <c r="G692" s="3" t="str">
        <f t="array" ref="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3">
        <f>COUNTIF(Events!$A$2:$A$397,$A692)</f>
        <v>0</v>
      </c>
      <c r="I692" s="25" t="str">
        <f t="array" ref="I692">_xlfn.TEXTJOIN(" | ",TRUE(),IF(Events!$A$2:$A$397=$A692,Events!$E$2:$E$397&amp;IF(Events!$G$2:$G$397="National",""," ["&amp;Events!$G$2:$G$397&amp;"]"),""))</f>
        <v/>
      </c>
    </row>
    <row r="693" spans="1:9" ht="15" customHeight="1" x14ac:dyDescent="0.35">
      <c r="A693" s="2">
        <v>45983</v>
      </c>
      <c r="B693" s="3">
        <f t="shared" si="50"/>
        <v>2025</v>
      </c>
      <c r="C693" s="3">
        <f t="shared" si="51"/>
        <v>11</v>
      </c>
      <c r="D693" s="3" t="str">
        <f t="shared" si="52"/>
        <v>Sat</v>
      </c>
      <c r="E693" s="3">
        <f t="shared" si="53"/>
        <v>1</v>
      </c>
      <c r="F693" s="3">
        <f t="shared" si="54"/>
        <v>0</v>
      </c>
      <c r="G693" s="3" t="str">
        <f t="array" ref="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3">
        <f>COUNTIF(Events!$A$2:$A$397,$A693)</f>
        <v>0</v>
      </c>
      <c r="I693" s="25" t="str">
        <f t="array" ref="I693">_xlfn.TEXTJOIN(" | ",TRUE(),IF(Events!$A$2:$A$397=$A693,Events!$E$2:$E$397&amp;IF(Events!$G$2:$G$397="National",""," ["&amp;Events!$G$2:$G$397&amp;"]"),""))</f>
        <v/>
      </c>
    </row>
    <row r="694" spans="1:9" ht="15" customHeight="1" x14ac:dyDescent="0.35">
      <c r="A694" s="2">
        <v>45984</v>
      </c>
      <c r="B694" s="3">
        <f t="shared" si="50"/>
        <v>2025</v>
      </c>
      <c r="C694" s="3">
        <f t="shared" si="51"/>
        <v>11</v>
      </c>
      <c r="D694" s="3" t="str">
        <f t="shared" si="52"/>
        <v>Sun</v>
      </c>
      <c r="E694" s="3">
        <f t="shared" si="53"/>
        <v>1</v>
      </c>
      <c r="F694" s="3">
        <f t="shared" si="54"/>
        <v>0</v>
      </c>
      <c r="G694" s="3" t="str">
        <f t="array" ref="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3">
        <f>COUNTIF(Events!$A$2:$A$397,$A694)</f>
        <v>0</v>
      </c>
      <c r="I694" s="25" t="str">
        <f t="array" ref="I694">_xlfn.TEXTJOIN(" | ",TRUE(),IF(Events!$A$2:$A$397=$A694,Events!$E$2:$E$397&amp;IF(Events!$G$2:$G$397="National",""," ["&amp;Events!$G$2:$G$397&amp;"]"),""))</f>
        <v/>
      </c>
    </row>
    <row r="695" spans="1:9" ht="15" customHeight="1" x14ac:dyDescent="0.35">
      <c r="A695" s="2">
        <v>45985</v>
      </c>
      <c r="B695" s="3">
        <f t="shared" si="50"/>
        <v>2025</v>
      </c>
      <c r="C695" s="3">
        <f t="shared" si="51"/>
        <v>11</v>
      </c>
      <c r="D695" s="3" t="str">
        <f t="shared" si="52"/>
        <v>Mon</v>
      </c>
      <c r="E695" s="3">
        <f t="shared" si="53"/>
        <v>1</v>
      </c>
      <c r="F695" s="3">
        <f t="shared" si="54"/>
        <v>0</v>
      </c>
      <c r="G695" s="3" t="str">
        <f t="array" ref="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3">
        <f>COUNTIF(Events!$A$2:$A$397,$A695)</f>
        <v>0</v>
      </c>
      <c r="I695" s="25" t="str">
        <f t="array" ref="I695">_xlfn.TEXTJOIN(" | ",TRUE(),IF(Events!$A$2:$A$397=$A695,Events!$E$2:$E$397&amp;IF(Events!$G$2:$G$397="National",""," ["&amp;Events!$G$2:$G$397&amp;"]"),""))</f>
        <v/>
      </c>
    </row>
    <row r="696" spans="1:9" ht="15" customHeight="1" x14ac:dyDescent="0.35">
      <c r="A696" s="2">
        <v>45986</v>
      </c>
      <c r="B696" s="3">
        <f t="shared" si="50"/>
        <v>2025</v>
      </c>
      <c r="C696" s="3">
        <f t="shared" si="51"/>
        <v>11</v>
      </c>
      <c r="D696" s="3" t="str">
        <f t="shared" si="52"/>
        <v>Tue</v>
      </c>
      <c r="E696" s="3">
        <f t="shared" si="53"/>
        <v>1</v>
      </c>
      <c r="F696" s="3">
        <f t="shared" si="54"/>
        <v>0</v>
      </c>
      <c r="G696" s="3" t="str">
        <f t="array" ref="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3">
        <f>COUNTIF(Events!$A$2:$A$397,$A696)</f>
        <v>0</v>
      </c>
      <c r="I696" s="25" t="str">
        <f t="array" ref="I696">_xlfn.TEXTJOIN(" | ",TRUE(),IF(Events!$A$2:$A$397=$A696,Events!$E$2:$E$397&amp;IF(Events!$G$2:$G$397="National",""," ["&amp;Events!$G$2:$G$397&amp;"]"),""))</f>
        <v/>
      </c>
    </row>
    <row r="697" spans="1:9" ht="15" customHeight="1" x14ac:dyDescent="0.35">
      <c r="A697" s="2">
        <v>45987</v>
      </c>
      <c r="B697" s="3">
        <f t="shared" si="50"/>
        <v>2025</v>
      </c>
      <c r="C697" s="3">
        <f t="shared" si="51"/>
        <v>11</v>
      </c>
      <c r="D697" s="3" t="str">
        <f t="shared" si="52"/>
        <v>Wed</v>
      </c>
      <c r="E697" s="3">
        <f t="shared" si="53"/>
        <v>1</v>
      </c>
      <c r="F697" s="3">
        <f t="shared" si="54"/>
        <v>0</v>
      </c>
      <c r="G697" s="3" t="str">
        <f t="array" ref="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3">
        <f>COUNTIF(Events!$A$2:$A$397,$A697)</f>
        <v>0</v>
      </c>
      <c r="I697" s="25" t="str">
        <f t="array" ref="I697">_xlfn.TEXTJOIN(" | ",TRUE(),IF(Events!$A$2:$A$397=$A697,Events!$E$2:$E$397&amp;IF(Events!$G$2:$G$397="National",""," ["&amp;Events!$G$2:$G$397&amp;"]"),""))</f>
        <v/>
      </c>
    </row>
    <row r="698" spans="1:9" ht="15" customHeight="1" x14ac:dyDescent="0.35">
      <c r="A698" s="2">
        <v>45988</v>
      </c>
      <c r="B698" s="3">
        <f t="shared" si="50"/>
        <v>2025</v>
      </c>
      <c r="C698" s="3">
        <f t="shared" si="51"/>
        <v>11</v>
      </c>
      <c r="D698" s="3" t="str">
        <f t="shared" si="52"/>
        <v>Thu</v>
      </c>
      <c r="E698" s="3">
        <f t="shared" si="53"/>
        <v>1</v>
      </c>
      <c r="F698" s="3">
        <f t="shared" si="54"/>
        <v>0</v>
      </c>
      <c r="G698" s="3" t="str">
        <f t="array" ref="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3">
        <f>COUNTIF(Events!$A$2:$A$397,$A698)</f>
        <v>0</v>
      </c>
      <c r="I698" s="25" t="str">
        <f t="array" ref="I698">_xlfn.TEXTJOIN(" | ",TRUE(),IF(Events!$A$2:$A$397=$A698,Events!$E$2:$E$397&amp;IF(Events!$G$2:$G$397="National",""," ["&amp;Events!$G$2:$G$397&amp;"]"),""))</f>
        <v/>
      </c>
    </row>
    <row r="699" spans="1:9" ht="15" customHeight="1" x14ac:dyDescent="0.35">
      <c r="A699" s="2">
        <v>45989</v>
      </c>
      <c r="B699" s="3">
        <f t="shared" si="50"/>
        <v>2025</v>
      </c>
      <c r="C699" s="3">
        <f t="shared" si="51"/>
        <v>11</v>
      </c>
      <c r="D699" s="3" t="str">
        <f t="shared" si="52"/>
        <v>Fri</v>
      </c>
      <c r="E699" s="3">
        <f t="shared" si="53"/>
        <v>1</v>
      </c>
      <c r="F699" s="3">
        <f t="shared" si="54"/>
        <v>0</v>
      </c>
      <c r="G699" s="3" t="str">
        <f t="array" ref="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3">
        <f>COUNTIF(Events!$A$2:$A$397,$A699)</f>
        <v>1</v>
      </c>
      <c r="I699" s="25" t="str">
        <f t="array" ref="I699">_xlfn.TEXTJOIN(" | ",TRUE(),IF(Events!$A$2:$A$397=$A699,Events!$E$2:$E$397&amp;IF(Events!$G$2:$G$397="National",""," ["&amp;Events!$G$2:$G$397&amp;"]"),""))</f>
        <v>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v>
      </c>
    </row>
    <row r="700" spans="1:9" ht="15" customHeight="1" x14ac:dyDescent="0.35">
      <c r="A700" s="2">
        <v>45990</v>
      </c>
      <c r="B700" s="3">
        <f t="shared" si="50"/>
        <v>2025</v>
      </c>
      <c r="C700" s="3">
        <f t="shared" si="51"/>
        <v>11</v>
      </c>
      <c r="D700" s="3" t="str">
        <f t="shared" si="52"/>
        <v>Sat</v>
      </c>
      <c r="E700" s="3">
        <f t="shared" si="53"/>
        <v>1</v>
      </c>
      <c r="F700" s="3">
        <f t="shared" si="54"/>
        <v>0</v>
      </c>
      <c r="G700" s="3" t="str">
        <f t="array" ref="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
      </c>
      <c r="H700" s="3">
        <f>COUNTIF(Events!$A$2:$A$397,$A700)</f>
        <v>0</v>
      </c>
      <c r="I700" s="25" t="str">
        <f t="array" ref="I700">_xlfn.TEXTJOIN(" | ",TRUE(),IF(Events!$A$2:$A$397=$A700,Events!$E$2:$E$397&amp;IF(Events!$G$2:$G$397="National",""," ["&amp;Events!$G$2:$G$397&amp;"]"),""))</f>
        <v/>
      </c>
    </row>
    <row r="701" spans="1:9" ht="15" customHeight="1" x14ac:dyDescent="0.35">
      <c r="A701" s="2">
        <v>45991</v>
      </c>
      <c r="B701" s="3">
        <f t="shared" si="50"/>
        <v>2025</v>
      </c>
      <c r="C701" s="3">
        <f t="shared" si="51"/>
        <v>11</v>
      </c>
      <c r="D701" s="3" t="str">
        <f t="shared" si="52"/>
        <v>Sun</v>
      </c>
      <c r="E701" s="3">
        <f t="shared" si="53"/>
        <v>1</v>
      </c>
      <c r="F701" s="3">
        <f t="shared" si="54"/>
        <v>0</v>
      </c>
      <c r="G701" s="3" t="str">
        <f t="array" ref="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 | 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1" s="3">
        <f>COUNTIF(Events!$A$2:$A$397,$A701)</f>
        <v>1</v>
      </c>
      <c r="I701" s="25" t="str">
        <f t="array" ref="I701">_xlfn.TEXTJOIN(" | ",TRUE(),IF(Events!$A$2:$A$397=$A701,Events!$E$2:$E$397&amp;IF(Events!$G$2:$G$397="National",""," ["&amp;Events!$G$2:$G$397&amp;"]"),""))</f>
        <v>CMS publishes MFPs for the 15 rounds-2 drugs (statutory deadline; effective 1/1/2027)</v>
      </c>
    </row>
    <row r="702" spans="1:9" ht="15" customHeight="1" x14ac:dyDescent="0.35">
      <c r="A702" s="2">
        <v>45992</v>
      </c>
      <c r="B702" s="3">
        <f t="shared" si="50"/>
        <v>2025</v>
      </c>
      <c r="C702" s="3">
        <f t="shared" si="51"/>
        <v>12</v>
      </c>
      <c r="D702" s="3" t="str">
        <f t="shared" si="52"/>
        <v>Mon</v>
      </c>
      <c r="E702" s="3">
        <f t="shared" si="53"/>
        <v>1</v>
      </c>
      <c r="F702" s="3">
        <f t="shared" si="54"/>
        <v>0</v>
      </c>
      <c r="G702" s="3" t="str">
        <f t="array" ref="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3">
        <f>COUNTIF(Events!$A$2:$A$397,$A702)</f>
        <v>0</v>
      </c>
      <c r="I702" s="25" t="str">
        <f t="array" ref="I702">_xlfn.TEXTJOIN(" | ",TRUE(),IF(Events!$A$2:$A$397=$A702,Events!$E$2:$E$397&amp;IF(Events!$G$2:$G$397="National",""," ["&amp;Events!$G$2:$G$397&amp;"]"),""))</f>
        <v/>
      </c>
    </row>
    <row r="703" spans="1:9" ht="15" customHeight="1" x14ac:dyDescent="0.35">
      <c r="A703" s="2">
        <v>45993</v>
      </c>
      <c r="B703" s="3">
        <f t="shared" si="50"/>
        <v>2025</v>
      </c>
      <c r="C703" s="3">
        <f t="shared" si="51"/>
        <v>12</v>
      </c>
      <c r="D703" s="3" t="str">
        <f t="shared" si="52"/>
        <v>Tue</v>
      </c>
      <c r="E703" s="3">
        <f t="shared" si="53"/>
        <v>1</v>
      </c>
      <c r="F703" s="3">
        <f t="shared" si="54"/>
        <v>0</v>
      </c>
      <c r="G703" s="3" t="str">
        <f t="array" ref="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3">
        <f>COUNTIF(Events!$A$2:$A$397,$A703)</f>
        <v>0</v>
      </c>
      <c r="I703" s="25" t="str">
        <f t="array" ref="I703">_xlfn.TEXTJOIN(" | ",TRUE(),IF(Events!$A$2:$A$397=$A703,Events!$E$2:$E$397&amp;IF(Events!$G$2:$G$397="National",""," ["&amp;Events!$G$2:$G$397&amp;"]"),""))</f>
        <v/>
      </c>
    </row>
    <row r="704" spans="1:9" ht="15" customHeight="1" x14ac:dyDescent="0.35">
      <c r="A704" s="2">
        <v>45994</v>
      </c>
      <c r="B704" s="3">
        <f t="shared" si="50"/>
        <v>2025</v>
      </c>
      <c r="C704" s="3">
        <f t="shared" si="51"/>
        <v>12</v>
      </c>
      <c r="D704" s="3" t="str">
        <f t="shared" si="52"/>
        <v>Wed</v>
      </c>
      <c r="E704" s="3">
        <f t="shared" si="53"/>
        <v>1</v>
      </c>
      <c r="F704" s="3">
        <f t="shared" si="54"/>
        <v>0</v>
      </c>
      <c r="G704" s="3" t="str">
        <f t="array" ref="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3">
        <f>COUNTIF(Events!$A$2:$A$397,$A704)</f>
        <v>0</v>
      </c>
      <c r="I704" s="25" t="str">
        <f t="array" ref="I704">_xlfn.TEXTJOIN(" | ",TRUE(),IF(Events!$A$2:$A$397=$A704,Events!$E$2:$E$397&amp;IF(Events!$G$2:$G$397="National",""," ["&amp;Events!$G$2:$G$397&amp;"]"),""))</f>
        <v/>
      </c>
    </row>
    <row r="705" spans="1:9" ht="15" customHeight="1" x14ac:dyDescent="0.35">
      <c r="A705" s="2">
        <v>45995</v>
      </c>
      <c r="B705" s="3">
        <f t="shared" si="50"/>
        <v>2025</v>
      </c>
      <c r="C705" s="3">
        <f t="shared" si="51"/>
        <v>12</v>
      </c>
      <c r="D705" s="3" t="str">
        <f t="shared" si="52"/>
        <v>Thu</v>
      </c>
      <c r="E705" s="3">
        <f t="shared" si="53"/>
        <v>1</v>
      </c>
      <c r="F705" s="3">
        <f t="shared" si="54"/>
        <v>0</v>
      </c>
      <c r="G705" s="3" t="str">
        <f t="array" ref="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3">
        <f>COUNTIF(Events!$A$2:$A$397,$A705)</f>
        <v>0</v>
      </c>
      <c r="I705" s="25" t="str">
        <f t="array" ref="I705">_xlfn.TEXTJOIN(" | ",TRUE(),IF(Events!$A$2:$A$397=$A705,Events!$E$2:$E$397&amp;IF(Events!$G$2:$G$397="National",""," ["&amp;Events!$G$2:$G$397&amp;"]"),""))</f>
        <v/>
      </c>
    </row>
    <row r="706" spans="1:9" ht="15" customHeight="1" x14ac:dyDescent="0.35">
      <c r="A706" s="2">
        <v>45996</v>
      </c>
      <c r="B706" s="3">
        <f t="shared" ref="B706:B769" si="55">YEAR($A706)</f>
        <v>2025</v>
      </c>
      <c r="C706" s="3">
        <f t="shared" ref="C706:C769" si="56">MONTH($A706)</f>
        <v>12</v>
      </c>
      <c r="D706" s="3" t="str">
        <f t="shared" ref="D706:D769" si="57">TEXT($A706,"ddd")</f>
        <v>Fri</v>
      </c>
      <c r="E706" s="3">
        <f t="shared" ref="E706:E769" si="58">IF(OR(AND(MONTH($A706)=10,DAY($A706)&gt;=15),MONTH($A706)=11,AND(MONTH($A706)=12,DAY($A706)&lt;=7)),1,0)</f>
        <v>1</v>
      </c>
      <c r="F706" s="3">
        <f t="shared" ref="F706:F769" si="59">IF(MONTH($A706)&lt;=3,1,0)</f>
        <v>0</v>
      </c>
      <c r="G706" s="3" t="str">
        <f t="array" ref="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3">
        <f>COUNTIF(Events!$A$2:$A$397,$A706)</f>
        <v>0</v>
      </c>
      <c r="I706" s="25" t="str">
        <f t="array" ref="I706">_xlfn.TEXTJOIN(" | ",TRUE(),IF(Events!$A$2:$A$397=$A706,Events!$E$2:$E$397&amp;IF(Events!$G$2:$G$397="National",""," ["&amp;Events!$G$2:$G$397&amp;"]"),""))</f>
        <v/>
      </c>
    </row>
    <row r="707" spans="1:9" ht="15" customHeight="1" x14ac:dyDescent="0.35">
      <c r="A707" s="2">
        <v>45997</v>
      </c>
      <c r="B707" s="3">
        <f t="shared" si="55"/>
        <v>2025</v>
      </c>
      <c r="C707" s="3">
        <f t="shared" si="56"/>
        <v>12</v>
      </c>
      <c r="D707" s="3" t="str">
        <f t="shared" si="57"/>
        <v>Sat</v>
      </c>
      <c r="E707" s="3">
        <f t="shared" si="58"/>
        <v>1</v>
      </c>
      <c r="F707" s="3">
        <f t="shared" si="59"/>
        <v>0</v>
      </c>
      <c r="G707" s="3" t="str">
        <f t="array" ref="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3">
        <f>COUNTIF(Events!$A$2:$A$397,$A707)</f>
        <v>0</v>
      </c>
      <c r="I707" s="25" t="str">
        <f t="array" ref="I707">_xlfn.TEXTJOIN(" | ",TRUE(),IF(Events!$A$2:$A$397=$A707,Events!$E$2:$E$397&amp;IF(Events!$G$2:$G$397="National",""," ["&amp;Events!$G$2:$G$397&amp;"]"),""))</f>
        <v/>
      </c>
    </row>
    <row r="708" spans="1:9" ht="15" customHeight="1" x14ac:dyDescent="0.35">
      <c r="A708" s="2">
        <v>45998</v>
      </c>
      <c r="B708" s="3">
        <f t="shared" si="55"/>
        <v>2025</v>
      </c>
      <c r="C708" s="3">
        <f t="shared" si="56"/>
        <v>12</v>
      </c>
      <c r="D708" s="3" t="str">
        <f t="shared" si="57"/>
        <v>Sun</v>
      </c>
      <c r="E708" s="3">
        <f t="shared" si="58"/>
        <v>1</v>
      </c>
      <c r="F708" s="3">
        <f t="shared" si="59"/>
        <v>0</v>
      </c>
      <c r="G708" s="3" t="str">
        <f t="array" ref="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3">
        <f>COUNTIF(Events!$A$2:$A$397,$A708)</f>
        <v>0</v>
      </c>
      <c r="I708" s="25" t="str">
        <f t="array" ref="I708">_xlfn.TEXTJOIN(" | ",TRUE(),IF(Events!$A$2:$A$397=$A708,Events!$E$2:$E$397&amp;IF(Events!$G$2:$G$397="National",""," ["&amp;Events!$G$2:$G$397&amp;"]"),""))</f>
        <v/>
      </c>
    </row>
    <row r="709" spans="1:9" ht="15" customHeight="1" x14ac:dyDescent="0.35">
      <c r="A709" s="2">
        <v>45999</v>
      </c>
      <c r="B709" s="3">
        <f t="shared" si="55"/>
        <v>2025</v>
      </c>
      <c r="C709" s="3">
        <f t="shared" si="56"/>
        <v>12</v>
      </c>
      <c r="D709" s="3" t="str">
        <f t="shared" si="57"/>
        <v>Mon</v>
      </c>
      <c r="E709" s="3">
        <f t="shared" si="58"/>
        <v>0</v>
      </c>
      <c r="F709" s="3">
        <f t="shared" si="59"/>
        <v>0</v>
      </c>
      <c r="G709" s="3" t="str">
        <f t="array" ref="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3">
        <f>COUNTIF(Events!$A$2:$A$397,$A709)</f>
        <v>0</v>
      </c>
      <c r="I709" s="25" t="str">
        <f t="array" ref="I709">_xlfn.TEXTJOIN(" | ",TRUE(),IF(Events!$A$2:$A$397=$A709,Events!$E$2:$E$397&amp;IF(Events!$G$2:$G$397="National",""," ["&amp;Events!$G$2:$G$397&amp;"]"),""))</f>
        <v/>
      </c>
    </row>
    <row r="710" spans="1:9" ht="15" customHeight="1" x14ac:dyDescent="0.35">
      <c r="A710" s="2">
        <v>46000</v>
      </c>
      <c r="B710" s="3">
        <f t="shared" si="55"/>
        <v>2025</v>
      </c>
      <c r="C710" s="3">
        <f t="shared" si="56"/>
        <v>12</v>
      </c>
      <c r="D710" s="3" t="str">
        <f t="shared" si="57"/>
        <v>Tue</v>
      </c>
      <c r="E710" s="3">
        <f t="shared" si="58"/>
        <v>0</v>
      </c>
      <c r="F710" s="3">
        <f t="shared" si="59"/>
        <v>0</v>
      </c>
      <c r="G710" s="3" t="str">
        <f t="array" ref="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3">
        <f>COUNTIF(Events!$A$2:$A$397,$A710)</f>
        <v>0</v>
      </c>
      <c r="I710" s="25" t="str">
        <f t="array" ref="I710">_xlfn.TEXTJOIN(" | ",TRUE(),IF(Events!$A$2:$A$397=$A710,Events!$E$2:$E$397&amp;IF(Events!$G$2:$G$397="National",""," ["&amp;Events!$G$2:$G$397&amp;"]"),""))</f>
        <v/>
      </c>
    </row>
    <row r="711" spans="1:9" ht="15" customHeight="1" x14ac:dyDescent="0.35">
      <c r="A711" s="2">
        <v>46001</v>
      </c>
      <c r="B711" s="3">
        <f t="shared" si="55"/>
        <v>2025</v>
      </c>
      <c r="C711" s="3">
        <f t="shared" si="56"/>
        <v>12</v>
      </c>
      <c r="D711" s="3" t="str">
        <f t="shared" si="57"/>
        <v>Wed</v>
      </c>
      <c r="E711" s="3">
        <f t="shared" si="58"/>
        <v>0</v>
      </c>
      <c r="F711" s="3">
        <f t="shared" si="59"/>
        <v>0</v>
      </c>
      <c r="G711" s="3" t="str">
        <f t="array" ref="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3">
        <f>COUNTIF(Events!$A$2:$A$397,$A711)</f>
        <v>0</v>
      </c>
      <c r="I711" s="25" t="str">
        <f t="array" ref="I711">_xlfn.TEXTJOIN(" | ",TRUE(),IF(Events!$A$2:$A$397=$A711,Events!$E$2:$E$397&amp;IF(Events!$G$2:$G$397="National",""," ["&amp;Events!$G$2:$G$397&amp;"]"),""))</f>
        <v/>
      </c>
    </row>
    <row r="712" spans="1:9" ht="15" customHeight="1" x14ac:dyDescent="0.35">
      <c r="A712" s="2">
        <v>46002</v>
      </c>
      <c r="B712" s="3">
        <f t="shared" si="55"/>
        <v>2025</v>
      </c>
      <c r="C712" s="3">
        <f t="shared" si="56"/>
        <v>12</v>
      </c>
      <c r="D712" s="3" t="str">
        <f t="shared" si="57"/>
        <v>Thu</v>
      </c>
      <c r="E712" s="3">
        <f t="shared" si="58"/>
        <v>0</v>
      </c>
      <c r="F712" s="3">
        <f t="shared" si="59"/>
        <v>0</v>
      </c>
      <c r="G712" s="3" t="str">
        <f t="array" ref="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3">
        <f>COUNTIF(Events!$A$2:$A$397,$A712)</f>
        <v>0</v>
      </c>
      <c r="I712" s="25" t="str">
        <f t="array" ref="I712">_xlfn.TEXTJOIN(" | ",TRUE(),IF(Events!$A$2:$A$397=$A712,Events!$E$2:$E$397&amp;IF(Events!$G$2:$G$397="National",""," ["&amp;Events!$G$2:$G$397&amp;"]"),""))</f>
        <v/>
      </c>
    </row>
    <row r="713" spans="1:9" ht="15" customHeight="1" x14ac:dyDescent="0.35">
      <c r="A713" s="2">
        <v>46003</v>
      </c>
      <c r="B713" s="3">
        <f t="shared" si="55"/>
        <v>2025</v>
      </c>
      <c r="C713" s="3">
        <f t="shared" si="56"/>
        <v>12</v>
      </c>
      <c r="D713" s="3" t="str">
        <f t="shared" si="57"/>
        <v>Fri</v>
      </c>
      <c r="E713" s="3">
        <f t="shared" si="58"/>
        <v>0</v>
      </c>
      <c r="F713" s="3">
        <f t="shared" si="59"/>
        <v>0</v>
      </c>
      <c r="G713" s="3" t="str">
        <f t="array" ref="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3">
        <f>COUNTIF(Events!$A$2:$A$397,$A713)</f>
        <v>0</v>
      </c>
      <c r="I713" s="25" t="str">
        <f t="array" ref="I713">_xlfn.TEXTJOIN(" | ",TRUE(),IF(Events!$A$2:$A$397=$A713,Events!$E$2:$E$397&amp;IF(Events!$G$2:$G$397="National",""," ["&amp;Events!$G$2:$G$397&amp;"]"),""))</f>
        <v/>
      </c>
    </row>
    <row r="714" spans="1:9" ht="15" customHeight="1" x14ac:dyDescent="0.35">
      <c r="A714" s="2">
        <v>46004</v>
      </c>
      <c r="B714" s="3">
        <f t="shared" si="55"/>
        <v>2025</v>
      </c>
      <c r="C714" s="3">
        <f t="shared" si="56"/>
        <v>12</v>
      </c>
      <c r="D714" s="3" t="str">
        <f t="shared" si="57"/>
        <v>Sat</v>
      </c>
      <c r="E714" s="3">
        <f t="shared" si="58"/>
        <v>0</v>
      </c>
      <c r="F714" s="3">
        <f t="shared" si="59"/>
        <v>0</v>
      </c>
      <c r="G714" s="3" t="str">
        <f t="array" ref="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3">
        <f>COUNTIF(Events!$A$2:$A$397,$A714)</f>
        <v>0</v>
      </c>
      <c r="I714" s="25" t="str">
        <f t="array" ref="I714">_xlfn.TEXTJOIN(" | ",TRUE(),IF(Events!$A$2:$A$397=$A714,Events!$E$2:$E$397&amp;IF(Events!$G$2:$G$397="National",""," ["&amp;Events!$G$2:$G$397&amp;"]"),""))</f>
        <v/>
      </c>
    </row>
    <row r="715" spans="1:9" ht="15" customHeight="1" x14ac:dyDescent="0.35">
      <c r="A715" s="2">
        <v>46005</v>
      </c>
      <c r="B715" s="3">
        <f t="shared" si="55"/>
        <v>2025</v>
      </c>
      <c r="C715" s="3">
        <f t="shared" si="56"/>
        <v>12</v>
      </c>
      <c r="D715" s="3" t="str">
        <f t="shared" si="57"/>
        <v>Sun</v>
      </c>
      <c r="E715" s="3">
        <f t="shared" si="58"/>
        <v>0</v>
      </c>
      <c r="F715" s="3">
        <f t="shared" si="59"/>
        <v>0</v>
      </c>
      <c r="G715" s="3" t="str">
        <f t="array" ref="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3">
        <f>COUNTIF(Events!$A$2:$A$397,$A715)</f>
        <v>0</v>
      </c>
      <c r="I715" s="25" t="str">
        <f t="array" ref="I715">_xlfn.TEXTJOIN(" | ",TRUE(),IF(Events!$A$2:$A$397=$A715,Events!$E$2:$E$397&amp;IF(Events!$G$2:$G$397="National",""," ["&amp;Events!$G$2:$G$397&amp;"]"),""))</f>
        <v/>
      </c>
    </row>
    <row r="716" spans="1:9" ht="15" customHeight="1" x14ac:dyDescent="0.35">
      <c r="A716" s="2">
        <v>46006</v>
      </c>
      <c r="B716" s="3">
        <f t="shared" si="55"/>
        <v>2025</v>
      </c>
      <c r="C716" s="3">
        <f t="shared" si="56"/>
        <v>12</v>
      </c>
      <c r="D716" s="3" t="str">
        <f t="shared" si="57"/>
        <v>Mon</v>
      </c>
      <c r="E716" s="3">
        <f t="shared" si="58"/>
        <v>0</v>
      </c>
      <c r="F716" s="3">
        <f t="shared" si="59"/>
        <v>0</v>
      </c>
      <c r="G716" s="3" t="str">
        <f t="array" ref="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3">
        <f>COUNTIF(Events!$A$2:$A$397,$A716)</f>
        <v>0</v>
      </c>
      <c r="I716" s="25" t="str">
        <f t="array" ref="I716">_xlfn.TEXTJOIN(" | ",TRUE(),IF(Events!$A$2:$A$397=$A716,Events!$E$2:$E$397&amp;IF(Events!$G$2:$G$397="National",""," ["&amp;Events!$G$2:$G$397&amp;"]"),""))</f>
        <v/>
      </c>
    </row>
    <row r="717" spans="1:9" ht="15" customHeight="1" x14ac:dyDescent="0.35">
      <c r="A717" s="2">
        <v>46007</v>
      </c>
      <c r="B717" s="3">
        <f t="shared" si="55"/>
        <v>2025</v>
      </c>
      <c r="C717" s="3">
        <f t="shared" si="56"/>
        <v>12</v>
      </c>
      <c r="D717" s="3" t="str">
        <f t="shared" si="57"/>
        <v>Tue</v>
      </c>
      <c r="E717" s="3">
        <f t="shared" si="58"/>
        <v>0</v>
      </c>
      <c r="F717" s="3">
        <f t="shared" si="59"/>
        <v>0</v>
      </c>
      <c r="G717" s="3" t="str">
        <f t="array" ref="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3">
        <f>COUNTIF(Events!$A$2:$A$397,$A717)</f>
        <v>0</v>
      </c>
      <c r="I717" s="25" t="str">
        <f t="array" ref="I717">_xlfn.TEXTJOIN(" | ",TRUE(),IF(Events!$A$2:$A$397=$A717,Events!$E$2:$E$397&amp;IF(Events!$G$2:$G$397="National",""," ["&amp;Events!$G$2:$G$397&amp;"]"),""))</f>
        <v/>
      </c>
    </row>
    <row r="718" spans="1:9" ht="15" customHeight="1" x14ac:dyDescent="0.35">
      <c r="A718" s="2">
        <v>46008</v>
      </c>
      <c r="B718" s="3">
        <f t="shared" si="55"/>
        <v>2025</v>
      </c>
      <c r="C718" s="3">
        <f t="shared" si="56"/>
        <v>12</v>
      </c>
      <c r="D718" s="3" t="str">
        <f t="shared" si="57"/>
        <v>Wed</v>
      </c>
      <c r="E718" s="3">
        <f t="shared" si="58"/>
        <v>0</v>
      </c>
      <c r="F718" s="3">
        <f t="shared" si="59"/>
        <v>0</v>
      </c>
      <c r="G718" s="3" t="str">
        <f t="array" ref="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3">
        <f>COUNTIF(Events!$A$2:$A$397,$A718)</f>
        <v>0</v>
      </c>
      <c r="I718" s="25" t="str">
        <f t="array" ref="I718">_xlfn.TEXTJOIN(" | ",TRUE(),IF(Events!$A$2:$A$397=$A718,Events!$E$2:$E$397&amp;IF(Events!$G$2:$G$397="National",""," ["&amp;Events!$G$2:$G$397&amp;"]"),""))</f>
        <v/>
      </c>
    </row>
    <row r="719" spans="1:9" ht="15" customHeight="1" x14ac:dyDescent="0.35">
      <c r="A719" s="2">
        <v>46009</v>
      </c>
      <c r="B719" s="3">
        <f t="shared" si="55"/>
        <v>2025</v>
      </c>
      <c r="C719" s="3">
        <f t="shared" si="56"/>
        <v>12</v>
      </c>
      <c r="D719" s="3" t="str">
        <f t="shared" si="57"/>
        <v>Thu</v>
      </c>
      <c r="E719" s="3">
        <f t="shared" si="58"/>
        <v>0</v>
      </c>
      <c r="F719" s="3">
        <f t="shared" si="59"/>
        <v>0</v>
      </c>
      <c r="G719" s="3" t="str">
        <f t="array" ref="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3">
        <f>COUNTIF(Events!$A$2:$A$397,$A719)</f>
        <v>0</v>
      </c>
      <c r="I719" s="25" t="str">
        <f t="array" ref="I719">_xlfn.TEXTJOIN(" | ",TRUE(),IF(Events!$A$2:$A$397=$A719,Events!$E$2:$E$397&amp;IF(Events!$G$2:$G$397="National",""," ["&amp;Events!$G$2:$G$397&amp;"]"),""))</f>
        <v/>
      </c>
    </row>
    <row r="720" spans="1:9" ht="15" customHeight="1" x14ac:dyDescent="0.35">
      <c r="A720" s="2">
        <v>46010</v>
      </c>
      <c r="B720" s="3">
        <f t="shared" si="55"/>
        <v>2025</v>
      </c>
      <c r="C720" s="3">
        <f t="shared" si="56"/>
        <v>12</v>
      </c>
      <c r="D720" s="3" t="str">
        <f t="shared" si="57"/>
        <v>Fri</v>
      </c>
      <c r="E720" s="3">
        <f t="shared" si="58"/>
        <v>0</v>
      </c>
      <c r="F720" s="3">
        <f t="shared" si="59"/>
        <v>0</v>
      </c>
      <c r="G720" s="3" t="str">
        <f t="array" ref="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3">
        <f>COUNTIF(Events!$A$2:$A$397,$A720)</f>
        <v>0</v>
      </c>
      <c r="I720" s="25" t="str">
        <f t="array" ref="I720">_xlfn.TEXTJOIN(" | ",TRUE(),IF(Events!$A$2:$A$397=$A720,Events!$E$2:$E$397&amp;IF(Events!$G$2:$G$397="National",""," ["&amp;Events!$G$2:$G$397&amp;"]"),""))</f>
        <v/>
      </c>
    </row>
    <row r="721" spans="1:9" ht="15" customHeight="1" x14ac:dyDescent="0.35">
      <c r="A721" s="2">
        <v>46011</v>
      </c>
      <c r="B721" s="3">
        <f t="shared" si="55"/>
        <v>2025</v>
      </c>
      <c r="C721" s="3">
        <f t="shared" si="56"/>
        <v>12</v>
      </c>
      <c r="D721" s="3" t="str">
        <f t="shared" si="57"/>
        <v>Sat</v>
      </c>
      <c r="E721" s="3">
        <f t="shared" si="58"/>
        <v>0</v>
      </c>
      <c r="F721" s="3">
        <f t="shared" si="59"/>
        <v>0</v>
      </c>
      <c r="G721" s="3" t="str">
        <f t="array" ref="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3">
        <f>COUNTIF(Events!$A$2:$A$397,$A721)</f>
        <v>0</v>
      </c>
      <c r="I721" s="25" t="str">
        <f t="array" ref="I721">_xlfn.TEXTJOIN(" | ",TRUE(),IF(Events!$A$2:$A$397=$A721,Events!$E$2:$E$397&amp;IF(Events!$G$2:$G$397="National",""," ["&amp;Events!$G$2:$G$397&amp;"]"),""))</f>
        <v/>
      </c>
    </row>
    <row r="722" spans="1:9" ht="15" customHeight="1" x14ac:dyDescent="0.35">
      <c r="A722" s="2">
        <v>46012</v>
      </c>
      <c r="B722" s="3">
        <f t="shared" si="55"/>
        <v>2025</v>
      </c>
      <c r="C722" s="3">
        <f t="shared" si="56"/>
        <v>12</v>
      </c>
      <c r="D722" s="3" t="str">
        <f t="shared" si="57"/>
        <v>Sun</v>
      </c>
      <c r="E722" s="3">
        <f t="shared" si="58"/>
        <v>0</v>
      </c>
      <c r="F722" s="3">
        <f t="shared" si="59"/>
        <v>0</v>
      </c>
      <c r="G722" s="3" t="str">
        <f t="array" ref="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3">
        <f>COUNTIF(Events!$A$2:$A$397,$A722)</f>
        <v>0</v>
      </c>
      <c r="I722" s="25" t="str">
        <f t="array" ref="I722">_xlfn.TEXTJOIN(" | ",TRUE(),IF(Events!$A$2:$A$397=$A722,Events!$E$2:$E$397&amp;IF(Events!$G$2:$G$397="National",""," ["&amp;Events!$G$2:$G$397&amp;"]"),""))</f>
        <v/>
      </c>
    </row>
    <row r="723" spans="1:9" ht="15" customHeight="1" x14ac:dyDescent="0.35">
      <c r="A723" s="2">
        <v>46013</v>
      </c>
      <c r="B723" s="3">
        <f t="shared" si="55"/>
        <v>2025</v>
      </c>
      <c r="C723" s="3">
        <f t="shared" si="56"/>
        <v>12</v>
      </c>
      <c r="D723" s="3" t="str">
        <f t="shared" si="57"/>
        <v>Mon</v>
      </c>
      <c r="E723" s="3">
        <f t="shared" si="58"/>
        <v>0</v>
      </c>
      <c r="F723" s="3">
        <f t="shared" si="59"/>
        <v>0</v>
      </c>
      <c r="G723" s="3" t="str">
        <f t="array" ref="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3">
        <f>COUNTIF(Events!$A$2:$A$397,$A723)</f>
        <v>0</v>
      </c>
      <c r="I723" s="25" t="str">
        <f t="array" ref="I723">_xlfn.TEXTJOIN(" | ",TRUE(),IF(Events!$A$2:$A$397=$A723,Events!$E$2:$E$397&amp;IF(Events!$G$2:$G$397="National",""," ["&amp;Events!$G$2:$G$397&amp;"]"),""))</f>
        <v/>
      </c>
    </row>
    <row r="724" spans="1:9" ht="15" customHeight="1" x14ac:dyDescent="0.35">
      <c r="A724" s="2">
        <v>46014</v>
      </c>
      <c r="B724" s="3">
        <f t="shared" si="55"/>
        <v>2025</v>
      </c>
      <c r="C724" s="3">
        <f t="shared" si="56"/>
        <v>12</v>
      </c>
      <c r="D724" s="3" t="str">
        <f t="shared" si="57"/>
        <v>Tue</v>
      </c>
      <c r="E724" s="3">
        <f t="shared" si="58"/>
        <v>0</v>
      </c>
      <c r="F724" s="3">
        <f t="shared" si="59"/>
        <v>0</v>
      </c>
      <c r="G724" s="3" t="str">
        <f t="array" ref="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3">
        <f>COUNTIF(Events!$A$2:$A$397,$A724)</f>
        <v>0</v>
      </c>
      <c r="I724" s="25" t="str">
        <f t="array" ref="I724">_xlfn.TEXTJOIN(" | ",TRUE(),IF(Events!$A$2:$A$397=$A724,Events!$E$2:$E$397&amp;IF(Events!$G$2:$G$397="National",""," ["&amp;Events!$G$2:$G$397&amp;"]"),""))</f>
        <v/>
      </c>
    </row>
    <row r="725" spans="1:9" ht="15" customHeight="1" x14ac:dyDescent="0.35">
      <c r="A725" s="2">
        <v>46015</v>
      </c>
      <c r="B725" s="3">
        <f t="shared" si="55"/>
        <v>2025</v>
      </c>
      <c r="C725" s="3">
        <f t="shared" si="56"/>
        <v>12</v>
      </c>
      <c r="D725" s="3" t="str">
        <f t="shared" si="57"/>
        <v>Wed</v>
      </c>
      <c r="E725" s="3">
        <f t="shared" si="58"/>
        <v>0</v>
      </c>
      <c r="F725" s="3">
        <f t="shared" si="59"/>
        <v>0</v>
      </c>
      <c r="G725" s="3" t="str">
        <f t="array" ref="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3">
        <f>COUNTIF(Events!$A$2:$A$397,$A725)</f>
        <v>0</v>
      </c>
      <c r="I725" s="25" t="str">
        <f t="array" ref="I725">_xlfn.TEXTJOIN(" | ",TRUE(),IF(Events!$A$2:$A$397=$A725,Events!$E$2:$E$397&amp;IF(Events!$G$2:$G$397="National",""," ["&amp;Events!$G$2:$G$397&amp;"]"),""))</f>
        <v/>
      </c>
    </row>
    <row r="726" spans="1:9" ht="15" customHeight="1" x14ac:dyDescent="0.35">
      <c r="A726" s="2">
        <v>46016</v>
      </c>
      <c r="B726" s="3">
        <f t="shared" si="55"/>
        <v>2025</v>
      </c>
      <c r="C726" s="3">
        <f t="shared" si="56"/>
        <v>12</v>
      </c>
      <c r="D726" s="3" t="str">
        <f t="shared" si="57"/>
        <v>Thu</v>
      </c>
      <c r="E726" s="3">
        <f t="shared" si="58"/>
        <v>0</v>
      </c>
      <c r="F726" s="3">
        <f t="shared" si="59"/>
        <v>0</v>
      </c>
      <c r="G726" s="3" t="str">
        <f t="array" ref="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3">
        <f>COUNTIF(Events!$A$2:$A$397,$A726)</f>
        <v>0</v>
      </c>
      <c r="I726" s="25" t="str">
        <f t="array" ref="I726">_xlfn.TEXTJOIN(" | ",TRUE(),IF(Events!$A$2:$A$397=$A726,Events!$E$2:$E$397&amp;IF(Events!$G$2:$G$397="National",""," ["&amp;Events!$G$2:$G$397&amp;"]"),""))</f>
        <v/>
      </c>
    </row>
    <row r="727" spans="1:9" ht="15" customHeight="1" x14ac:dyDescent="0.35">
      <c r="A727" s="2">
        <v>46017</v>
      </c>
      <c r="B727" s="3">
        <f t="shared" si="55"/>
        <v>2025</v>
      </c>
      <c r="C727" s="3">
        <f t="shared" si="56"/>
        <v>12</v>
      </c>
      <c r="D727" s="3" t="str">
        <f t="shared" si="57"/>
        <v>Fri</v>
      </c>
      <c r="E727" s="3">
        <f t="shared" si="58"/>
        <v>0</v>
      </c>
      <c r="F727" s="3">
        <f t="shared" si="59"/>
        <v>0</v>
      </c>
      <c r="G727" s="3" t="str">
        <f t="array" ref="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3">
        <f>COUNTIF(Events!$A$2:$A$397,$A727)</f>
        <v>0</v>
      </c>
      <c r="I727" s="25" t="str">
        <f t="array" ref="I727">_xlfn.TEXTJOIN(" | ",TRUE(),IF(Events!$A$2:$A$397=$A727,Events!$E$2:$E$397&amp;IF(Events!$G$2:$G$397="National",""," ["&amp;Events!$G$2:$G$397&amp;"]"),""))</f>
        <v/>
      </c>
    </row>
    <row r="728" spans="1:9" ht="15" customHeight="1" x14ac:dyDescent="0.35">
      <c r="A728" s="2">
        <v>46018</v>
      </c>
      <c r="B728" s="3">
        <f t="shared" si="55"/>
        <v>2025</v>
      </c>
      <c r="C728" s="3">
        <f t="shared" si="56"/>
        <v>12</v>
      </c>
      <c r="D728" s="3" t="str">
        <f t="shared" si="57"/>
        <v>Sat</v>
      </c>
      <c r="E728" s="3">
        <f t="shared" si="58"/>
        <v>0</v>
      </c>
      <c r="F728" s="3">
        <f t="shared" si="59"/>
        <v>0</v>
      </c>
      <c r="G728" s="3" t="str">
        <f t="array" ref="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3">
        <f>COUNTIF(Events!$A$2:$A$397,$A728)</f>
        <v>0</v>
      </c>
      <c r="I728" s="25" t="str">
        <f t="array" ref="I728">_xlfn.TEXTJOIN(" | ",TRUE(),IF(Events!$A$2:$A$397=$A728,Events!$E$2:$E$397&amp;IF(Events!$G$2:$G$397="National",""," ["&amp;Events!$G$2:$G$397&amp;"]"),""))</f>
        <v/>
      </c>
    </row>
    <row r="729" spans="1:9" ht="15" customHeight="1" x14ac:dyDescent="0.35">
      <c r="A729" s="2">
        <v>46019</v>
      </c>
      <c r="B729" s="3">
        <f t="shared" si="55"/>
        <v>2025</v>
      </c>
      <c r="C729" s="3">
        <f t="shared" si="56"/>
        <v>12</v>
      </c>
      <c r="D729" s="3" t="str">
        <f t="shared" si="57"/>
        <v>Sun</v>
      </c>
      <c r="E729" s="3">
        <f t="shared" si="58"/>
        <v>0</v>
      </c>
      <c r="F729" s="3">
        <f t="shared" si="59"/>
        <v>0</v>
      </c>
      <c r="G729" s="3" t="str">
        <f t="array" ref="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3">
        <f>COUNTIF(Events!$A$2:$A$397,$A729)</f>
        <v>0</v>
      </c>
      <c r="I729" s="25" t="str">
        <f t="array" ref="I729">_xlfn.TEXTJOIN(" | ",TRUE(),IF(Events!$A$2:$A$397=$A729,Events!$E$2:$E$397&amp;IF(Events!$G$2:$G$397="National",""," ["&amp;Events!$G$2:$G$397&amp;"]"),""))</f>
        <v/>
      </c>
    </row>
    <row r="730" spans="1:9" ht="15" customHeight="1" x14ac:dyDescent="0.35">
      <c r="A730" s="2">
        <v>46020</v>
      </c>
      <c r="B730" s="3">
        <f t="shared" si="55"/>
        <v>2025</v>
      </c>
      <c r="C730" s="3">
        <f t="shared" si="56"/>
        <v>12</v>
      </c>
      <c r="D730" s="3" t="str">
        <f t="shared" si="57"/>
        <v>Mon</v>
      </c>
      <c r="E730" s="3">
        <f t="shared" si="58"/>
        <v>0</v>
      </c>
      <c r="F730" s="3">
        <f t="shared" si="59"/>
        <v>0</v>
      </c>
      <c r="G730" s="3" t="str">
        <f t="array" ref="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3">
        <f>COUNTIF(Events!$A$2:$A$397,$A730)</f>
        <v>0</v>
      </c>
      <c r="I730" s="25" t="str">
        <f t="array" ref="I730">_xlfn.TEXTJOIN(" | ",TRUE(),IF(Events!$A$2:$A$397=$A730,Events!$E$2:$E$397&amp;IF(Events!$G$2:$G$397="National",""," ["&amp;Events!$G$2:$G$397&amp;"]"),""))</f>
        <v/>
      </c>
    </row>
    <row r="731" spans="1:9" ht="15" customHeight="1" x14ac:dyDescent="0.35">
      <c r="A731" s="2">
        <v>46021</v>
      </c>
      <c r="B731" s="3">
        <f t="shared" si="55"/>
        <v>2025</v>
      </c>
      <c r="C731" s="3">
        <f t="shared" si="56"/>
        <v>12</v>
      </c>
      <c r="D731" s="3" t="str">
        <f t="shared" si="57"/>
        <v>Tue</v>
      </c>
      <c r="E731" s="3">
        <f t="shared" si="58"/>
        <v>0</v>
      </c>
      <c r="F731" s="3">
        <f t="shared" si="59"/>
        <v>0</v>
      </c>
      <c r="G731" s="3" t="str">
        <f t="array" ref="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v>
      </c>
      <c r="H731" s="3">
        <f>COUNTIF(Events!$A$2:$A$397,$A731)</f>
        <v>0</v>
      </c>
      <c r="I731" s="25" t="str">
        <f t="array" ref="I731">_xlfn.TEXTJOIN(" | ",TRUE(),IF(Events!$A$2:$A$397=$A731,Events!$E$2:$E$397&amp;IF(Events!$G$2:$G$397="National",""," ["&amp;Events!$G$2:$G$397&amp;"]"),""))</f>
        <v/>
      </c>
    </row>
    <row r="732" spans="1:9" ht="15" customHeight="1" x14ac:dyDescent="0.35">
      <c r="A732" s="2">
        <v>46022</v>
      </c>
      <c r="B732" s="3">
        <f t="shared" si="55"/>
        <v>2025</v>
      </c>
      <c r="C732" s="3">
        <f t="shared" si="56"/>
        <v>12</v>
      </c>
      <c r="D732" s="3" t="str">
        <f t="shared" si="57"/>
        <v>Wed</v>
      </c>
      <c r="E732" s="3">
        <f t="shared" si="58"/>
        <v>0</v>
      </c>
      <c r="F732" s="3">
        <f t="shared" si="59"/>
        <v>0</v>
      </c>
      <c r="G732" s="3" t="str">
        <f t="array" ref="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2" s="3">
        <f>COUNTIF(Events!$A$2:$A$397,$A732)</f>
        <v>0</v>
      </c>
      <c r="I732" s="25" t="str">
        <f t="array" ref="I732">_xlfn.TEXTJOIN(" | ",TRUE(),IF(Events!$A$2:$A$397=$A732,Events!$E$2:$E$397&amp;IF(Events!$G$2:$G$397="National",""," ["&amp;Events!$G$2:$G$397&amp;"]"),""))</f>
        <v/>
      </c>
    </row>
    <row r="733" spans="1:9" ht="15" customHeight="1" x14ac:dyDescent="0.35">
      <c r="A733" s="2">
        <v>46023</v>
      </c>
      <c r="B733" s="3">
        <f t="shared" si="55"/>
        <v>2026</v>
      </c>
      <c r="C733" s="3">
        <f t="shared" si="56"/>
        <v>1</v>
      </c>
      <c r="D733" s="3" t="str">
        <f t="shared" si="57"/>
        <v>Thu</v>
      </c>
      <c r="E733" s="3">
        <f t="shared" si="58"/>
        <v>0</v>
      </c>
      <c r="F733" s="3">
        <f t="shared" si="59"/>
        <v>1</v>
      </c>
      <c r="G733" s="3" t="str">
        <f t="array" ref="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3">
        <f>COUNTIF(Events!$A$2:$A$397,$A733)</f>
        <v>6</v>
      </c>
      <c r="I733" s="25" t="str">
        <f t="array" ref="I733">_xlfn.TEXTJOIN(" | ",TRUE(),IF(Events!$A$2:$A$397=$A733,Events!$E$2:$E$397&amp;IF(Events!$G$2:$G$397="National",""," ["&amp;Events!$G$2:$G$397&amp;"]"),""))</f>
        <v>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 | 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 [CA] | Indiana Medigap birthday rule takes effect (HB 1226, enacted April 2025): window from ~1 month before to ~1 month after birthday to switch to any insurer's version of the current same-letter policy, no underwriting [IN] | 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 [DE] | Illinois birthday-rule expansion takes effect (SB 56 / P.A. 103-0747, enacted 8/2/2024): during the 45-day post-birthday window (ages 65-75), enrollees may purchase an equal-or-lesser Medigap policy from the same issuer OR any authorized affiliate - previously same-issuer only [IL] | Rhode Island Medigap community rating mandate takes effect (SB 610): issuers may no longer use gender, attained-age, or issue-age as rating factors - restructures Medigap premium schedules statewide [RI]</v>
      </c>
    </row>
    <row r="734" spans="1:9" ht="15" customHeight="1" x14ac:dyDescent="0.35">
      <c r="A734" s="2">
        <v>46024</v>
      </c>
      <c r="B734" s="3">
        <f t="shared" si="55"/>
        <v>2026</v>
      </c>
      <c r="C734" s="3">
        <f t="shared" si="56"/>
        <v>1</v>
      </c>
      <c r="D734" s="3" t="str">
        <f t="shared" si="57"/>
        <v>Fri</v>
      </c>
      <c r="E734" s="3">
        <f t="shared" si="58"/>
        <v>0</v>
      </c>
      <c r="F734" s="3">
        <f t="shared" si="59"/>
        <v>1</v>
      </c>
      <c r="G734" s="3" t="str">
        <f t="array" ref="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3">
        <f>COUNTIF(Events!$A$2:$A$397,$A734)</f>
        <v>0</v>
      </c>
      <c r="I734" s="25" t="str">
        <f t="array" ref="I734">_xlfn.TEXTJOIN(" | ",TRUE(),IF(Events!$A$2:$A$397=$A734,Events!$E$2:$E$397&amp;IF(Events!$G$2:$G$397="National",""," ["&amp;Events!$G$2:$G$397&amp;"]"),""))</f>
        <v/>
      </c>
    </row>
    <row r="735" spans="1:9" ht="15" customHeight="1" x14ac:dyDescent="0.35">
      <c r="A735" s="2">
        <v>46025</v>
      </c>
      <c r="B735" s="3">
        <f t="shared" si="55"/>
        <v>2026</v>
      </c>
      <c r="C735" s="3">
        <f t="shared" si="56"/>
        <v>1</v>
      </c>
      <c r="D735" s="3" t="str">
        <f t="shared" si="57"/>
        <v>Sat</v>
      </c>
      <c r="E735" s="3">
        <f t="shared" si="58"/>
        <v>0</v>
      </c>
      <c r="F735" s="3">
        <f t="shared" si="59"/>
        <v>1</v>
      </c>
      <c r="G735" s="3" t="str">
        <f t="array" ref="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3">
        <f>COUNTIF(Events!$A$2:$A$397,$A735)</f>
        <v>0</v>
      </c>
      <c r="I735" s="25" t="str">
        <f t="array" ref="I735">_xlfn.TEXTJOIN(" | ",TRUE(),IF(Events!$A$2:$A$397=$A735,Events!$E$2:$E$397&amp;IF(Events!$G$2:$G$397="National",""," ["&amp;Events!$G$2:$G$397&amp;"]"),""))</f>
        <v/>
      </c>
    </row>
    <row r="736" spans="1:9" ht="15" customHeight="1" x14ac:dyDescent="0.35">
      <c r="A736" s="2">
        <v>46026</v>
      </c>
      <c r="B736" s="3">
        <f t="shared" si="55"/>
        <v>2026</v>
      </c>
      <c r="C736" s="3">
        <f t="shared" si="56"/>
        <v>1</v>
      </c>
      <c r="D736" s="3" t="str">
        <f t="shared" si="57"/>
        <v>Sun</v>
      </c>
      <c r="E736" s="3">
        <f t="shared" si="58"/>
        <v>0</v>
      </c>
      <c r="F736" s="3">
        <f t="shared" si="59"/>
        <v>1</v>
      </c>
      <c r="G736" s="3" t="str">
        <f t="array" ref="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3">
        <f>COUNTIF(Events!$A$2:$A$397,$A736)</f>
        <v>0</v>
      </c>
      <c r="I736" s="25" t="str">
        <f t="array" ref="I736">_xlfn.TEXTJOIN(" | ",TRUE(),IF(Events!$A$2:$A$397=$A736,Events!$E$2:$E$397&amp;IF(Events!$G$2:$G$397="National",""," ["&amp;Events!$G$2:$G$397&amp;"]"),""))</f>
        <v/>
      </c>
    </row>
    <row r="737" spans="1:9" ht="15" customHeight="1" x14ac:dyDescent="0.35">
      <c r="A737" s="2">
        <v>46027</v>
      </c>
      <c r="B737" s="3">
        <f t="shared" si="55"/>
        <v>2026</v>
      </c>
      <c r="C737" s="3">
        <f t="shared" si="56"/>
        <v>1</v>
      </c>
      <c r="D737" s="3" t="str">
        <f t="shared" si="57"/>
        <v>Mon</v>
      </c>
      <c r="E737" s="3">
        <f t="shared" si="58"/>
        <v>0</v>
      </c>
      <c r="F737" s="3">
        <f t="shared" si="59"/>
        <v>1</v>
      </c>
      <c r="G737" s="3" t="str">
        <f t="array" ref="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3">
        <f>COUNTIF(Events!$A$2:$A$397,$A737)</f>
        <v>0</v>
      </c>
      <c r="I737" s="25" t="str">
        <f t="array" ref="I737">_xlfn.TEXTJOIN(" | ",TRUE(),IF(Events!$A$2:$A$397=$A737,Events!$E$2:$E$397&amp;IF(Events!$G$2:$G$397="National",""," ["&amp;Events!$G$2:$G$397&amp;"]"),""))</f>
        <v/>
      </c>
    </row>
    <row r="738" spans="1:9" ht="15" customHeight="1" x14ac:dyDescent="0.35">
      <c r="A738" s="2">
        <v>46028</v>
      </c>
      <c r="B738" s="3">
        <f t="shared" si="55"/>
        <v>2026</v>
      </c>
      <c r="C738" s="3">
        <f t="shared" si="56"/>
        <v>1</v>
      </c>
      <c r="D738" s="3" t="str">
        <f t="shared" si="57"/>
        <v>Tue</v>
      </c>
      <c r="E738" s="3">
        <f t="shared" si="58"/>
        <v>0</v>
      </c>
      <c r="F738" s="3">
        <f t="shared" si="59"/>
        <v>1</v>
      </c>
      <c r="G738" s="3" t="str">
        <f t="array" ref="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3">
        <f>COUNTIF(Events!$A$2:$A$397,$A738)</f>
        <v>0</v>
      </c>
      <c r="I738" s="25" t="str">
        <f t="array" ref="I738">_xlfn.TEXTJOIN(" | ",TRUE(),IF(Events!$A$2:$A$397=$A738,Events!$E$2:$E$397&amp;IF(Events!$G$2:$G$397="National",""," ["&amp;Events!$G$2:$G$397&amp;"]"),""))</f>
        <v/>
      </c>
    </row>
    <row r="739" spans="1:9" ht="15" customHeight="1" x14ac:dyDescent="0.35">
      <c r="A739" s="2">
        <v>46029</v>
      </c>
      <c r="B739" s="3">
        <f t="shared" si="55"/>
        <v>2026</v>
      </c>
      <c r="C739" s="3">
        <f t="shared" si="56"/>
        <v>1</v>
      </c>
      <c r="D739" s="3" t="str">
        <f t="shared" si="57"/>
        <v>Wed</v>
      </c>
      <c r="E739" s="3">
        <f t="shared" si="58"/>
        <v>0</v>
      </c>
      <c r="F739" s="3">
        <f t="shared" si="59"/>
        <v>1</v>
      </c>
      <c r="G739" s="3" t="str">
        <f t="array" ref="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3">
        <f>COUNTIF(Events!$A$2:$A$397,$A739)</f>
        <v>0</v>
      </c>
      <c r="I739" s="25" t="str">
        <f t="array" ref="I739">_xlfn.TEXTJOIN(" | ",TRUE(),IF(Events!$A$2:$A$397=$A739,Events!$E$2:$E$397&amp;IF(Events!$G$2:$G$397="National",""," ["&amp;Events!$G$2:$G$397&amp;"]"),""))</f>
        <v/>
      </c>
    </row>
    <row r="740" spans="1:9" ht="15" customHeight="1" x14ac:dyDescent="0.35">
      <c r="A740" s="2">
        <v>46030</v>
      </c>
      <c r="B740" s="3">
        <f t="shared" si="55"/>
        <v>2026</v>
      </c>
      <c r="C740" s="3">
        <f t="shared" si="56"/>
        <v>1</v>
      </c>
      <c r="D740" s="3" t="str">
        <f t="shared" si="57"/>
        <v>Thu</v>
      </c>
      <c r="E740" s="3">
        <f t="shared" si="58"/>
        <v>0</v>
      </c>
      <c r="F740" s="3">
        <f t="shared" si="59"/>
        <v>1</v>
      </c>
      <c r="G740" s="3" t="str">
        <f t="array" ref="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3">
        <f>COUNTIF(Events!$A$2:$A$397,$A740)</f>
        <v>0</v>
      </c>
      <c r="I740" s="25" t="str">
        <f t="array" ref="I740">_xlfn.TEXTJOIN(" | ",TRUE(),IF(Events!$A$2:$A$397=$A740,Events!$E$2:$E$397&amp;IF(Events!$G$2:$G$397="National",""," ["&amp;Events!$G$2:$G$397&amp;"]"),""))</f>
        <v/>
      </c>
    </row>
    <row r="741" spans="1:9" ht="15" customHeight="1" x14ac:dyDescent="0.35">
      <c r="A741" s="2">
        <v>46031</v>
      </c>
      <c r="B741" s="3">
        <f t="shared" si="55"/>
        <v>2026</v>
      </c>
      <c r="C741" s="3">
        <f t="shared" si="56"/>
        <v>1</v>
      </c>
      <c r="D741" s="3" t="str">
        <f t="shared" si="57"/>
        <v>Fri</v>
      </c>
      <c r="E741" s="3">
        <f t="shared" si="58"/>
        <v>0</v>
      </c>
      <c r="F741" s="3">
        <f t="shared" si="59"/>
        <v>1</v>
      </c>
      <c r="G741" s="3" t="str">
        <f t="array" ref="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3">
        <f>COUNTIF(Events!$A$2:$A$397,$A741)</f>
        <v>0</v>
      </c>
      <c r="I741" s="25" t="str">
        <f t="array" ref="I741">_xlfn.TEXTJOIN(" | ",TRUE(),IF(Events!$A$2:$A$397=$A741,Events!$E$2:$E$397&amp;IF(Events!$G$2:$G$397="National",""," ["&amp;Events!$G$2:$G$397&amp;"]"),""))</f>
        <v/>
      </c>
    </row>
    <row r="742" spans="1:9" ht="15" customHeight="1" x14ac:dyDescent="0.35">
      <c r="A742" s="2">
        <v>46032</v>
      </c>
      <c r="B742" s="3">
        <f t="shared" si="55"/>
        <v>2026</v>
      </c>
      <c r="C742" s="3">
        <f t="shared" si="56"/>
        <v>1</v>
      </c>
      <c r="D742" s="3" t="str">
        <f t="shared" si="57"/>
        <v>Sat</v>
      </c>
      <c r="E742" s="3">
        <f t="shared" si="58"/>
        <v>0</v>
      </c>
      <c r="F742" s="3">
        <f t="shared" si="59"/>
        <v>1</v>
      </c>
      <c r="G742" s="3" t="str">
        <f t="array" ref="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3">
        <f>COUNTIF(Events!$A$2:$A$397,$A742)</f>
        <v>0</v>
      </c>
      <c r="I742" s="25" t="str">
        <f t="array" ref="I742">_xlfn.TEXTJOIN(" | ",TRUE(),IF(Events!$A$2:$A$397=$A742,Events!$E$2:$E$397&amp;IF(Events!$G$2:$G$397="National",""," ["&amp;Events!$G$2:$G$397&amp;"]"),""))</f>
        <v/>
      </c>
    </row>
    <row r="743" spans="1:9" ht="15" customHeight="1" x14ac:dyDescent="0.35">
      <c r="A743" s="2">
        <v>46033</v>
      </c>
      <c r="B743" s="3">
        <f t="shared" si="55"/>
        <v>2026</v>
      </c>
      <c r="C743" s="3">
        <f t="shared" si="56"/>
        <v>1</v>
      </c>
      <c r="D743" s="3" t="str">
        <f t="shared" si="57"/>
        <v>Sun</v>
      </c>
      <c r="E743" s="3">
        <f t="shared" si="58"/>
        <v>0</v>
      </c>
      <c r="F743" s="3">
        <f t="shared" si="59"/>
        <v>1</v>
      </c>
      <c r="G743" s="3" t="str">
        <f t="array" ref="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3">
        <f>COUNTIF(Events!$A$2:$A$397,$A743)</f>
        <v>0</v>
      </c>
      <c r="I743" s="25" t="str">
        <f t="array" ref="I743">_xlfn.TEXTJOIN(" | ",TRUE(),IF(Events!$A$2:$A$397=$A743,Events!$E$2:$E$397&amp;IF(Events!$G$2:$G$397="National",""," ["&amp;Events!$G$2:$G$397&amp;"]"),""))</f>
        <v/>
      </c>
    </row>
    <row r="744" spans="1:9" ht="15" customHeight="1" x14ac:dyDescent="0.35">
      <c r="A744" s="2">
        <v>46034</v>
      </c>
      <c r="B744" s="3">
        <f t="shared" si="55"/>
        <v>2026</v>
      </c>
      <c r="C744" s="3">
        <f t="shared" si="56"/>
        <v>1</v>
      </c>
      <c r="D744" s="3" t="str">
        <f t="shared" si="57"/>
        <v>Mon</v>
      </c>
      <c r="E744" s="3">
        <f t="shared" si="58"/>
        <v>0</v>
      </c>
      <c r="F744" s="3">
        <f t="shared" si="59"/>
        <v>1</v>
      </c>
      <c r="G744" s="3" t="str">
        <f t="array" ref="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3">
        <f>COUNTIF(Events!$A$2:$A$397,$A744)</f>
        <v>0</v>
      </c>
      <c r="I744" s="25" t="str">
        <f t="array" ref="I744">_xlfn.TEXTJOIN(" | ",TRUE(),IF(Events!$A$2:$A$397=$A744,Events!$E$2:$E$397&amp;IF(Events!$G$2:$G$397="National",""," ["&amp;Events!$G$2:$G$397&amp;"]"),""))</f>
        <v/>
      </c>
    </row>
    <row r="745" spans="1:9" ht="15" customHeight="1" x14ac:dyDescent="0.35">
      <c r="A745" s="2">
        <v>46035</v>
      </c>
      <c r="B745" s="3">
        <f t="shared" si="55"/>
        <v>2026</v>
      </c>
      <c r="C745" s="3">
        <f t="shared" si="56"/>
        <v>1</v>
      </c>
      <c r="D745" s="3" t="str">
        <f t="shared" si="57"/>
        <v>Tue</v>
      </c>
      <c r="E745" s="3">
        <f t="shared" si="58"/>
        <v>0</v>
      </c>
      <c r="F745" s="3">
        <f t="shared" si="59"/>
        <v>1</v>
      </c>
      <c r="G745" s="3" t="str">
        <f t="array" ref="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3">
        <f>COUNTIF(Events!$A$2:$A$397,$A745)</f>
        <v>0</v>
      </c>
      <c r="I745" s="25" t="str">
        <f t="array" ref="I745">_xlfn.TEXTJOIN(" | ",TRUE(),IF(Events!$A$2:$A$397=$A745,Events!$E$2:$E$397&amp;IF(Events!$G$2:$G$397="National",""," ["&amp;Events!$G$2:$G$397&amp;"]"),""))</f>
        <v/>
      </c>
    </row>
    <row r="746" spans="1:9" ht="15" customHeight="1" x14ac:dyDescent="0.35">
      <c r="A746" s="2">
        <v>46036</v>
      </c>
      <c r="B746" s="3">
        <f t="shared" si="55"/>
        <v>2026</v>
      </c>
      <c r="C746" s="3">
        <f t="shared" si="56"/>
        <v>1</v>
      </c>
      <c r="D746" s="3" t="str">
        <f t="shared" si="57"/>
        <v>Wed</v>
      </c>
      <c r="E746" s="3">
        <f t="shared" si="58"/>
        <v>0</v>
      </c>
      <c r="F746" s="3">
        <f t="shared" si="59"/>
        <v>1</v>
      </c>
      <c r="G746" s="3" t="str">
        <f t="array" ref="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3">
        <f>COUNTIF(Events!$A$2:$A$397,$A746)</f>
        <v>0</v>
      </c>
      <c r="I746" s="25" t="str">
        <f t="array" ref="I746">_xlfn.TEXTJOIN(" | ",TRUE(),IF(Events!$A$2:$A$397=$A746,Events!$E$2:$E$397&amp;IF(Events!$G$2:$G$397="National",""," ["&amp;Events!$G$2:$G$397&amp;"]"),""))</f>
        <v/>
      </c>
    </row>
    <row r="747" spans="1:9" ht="15" customHeight="1" x14ac:dyDescent="0.35">
      <c r="A747" s="2">
        <v>46037</v>
      </c>
      <c r="B747" s="3">
        <f t="shared" si="55"/>
        <v>2026</v>
      </c>
      <c r="C747" s="3">
        <f t="shared" si="56"/>
        <v>1</v>
      </c>
      <c r="D747" s="3" t="str">
        <f t="shared" si="57"/>
        <v>Thu</v>
      </c>
      <c r="E747" s="3">
        <f t="shared" si="58"/>
        <v>0</v>
      </c>
      <c r="F747" s="3">
        <f t="shared" si="59"/>
        <v>1</v>
      </c>
      <c r="G747" s="3" t="str">
        <f t="array" ref="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3">
        <f>COUNTIF(Events!$A$2:$A$397,$A747)</f>
        <v>0</v>
      </c>
      <c r="I747" s="25" t="str">
        <f t="array" ref="I747">_xlfn.TEXTJOIN(" | ",TRUE(),IF(Events!$A$2:$A$397=$A747,Events!$E$2:$E$397&amp;IF(Events!$G$2:$G$397="National",""," ["&amp;Events!$G$2:$G$397&amp;"]"),""))</f>
        <v/>
      </c>
    </row>
    <row r="748" spans="1:9" ht="15" customHeight="1" x14ac:dyDescent="0.35">
      <c r="A748" s="2">
        <v>46038</v>
      </c>
      <c r="B748" s="3">
        <f t="shared" si="55"/>
        <v>2026</v>
      </c>
      <c r="C748" s="3">
        <f t="shared" si="56"/>
        <v>1</v>
      </c>
      <c r="D748" s="3" t="str">
        <f t="shared" si="57"/>
        <v>Fri</v>
      </c>
      <c r="E748" s="3">
        <f t="shared" si="58"/>
        <v>0</v>
      </c>
      <c r="F748" s="3">
        <f t="shared" si="59"/>
        <v>1</v>
      </c>
      <c r="G748" s="3" t="str">
        <f t="array" ref="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3">
        <f>COUNTIF(Events!$A$2:$A$397,$A748)</f>
        <v>0</v>
      </c>
      <c r="I748" s="25" t="str">
        <f t="array" ref="I748">_xlfn.TEXTJOIN(" | ",TRUE(),IF(Events!$A$2:$A$397=$A748,Events!$E$2:$E$397&amp;IF(Events!$G$2:$G$397="National",""," ["&amp;Events!$G$2:$G$397&amp;"]"),""))</f>
        <v/>
      </c>
    </row>
    <row r="749" spans="1:9" ht="15" customHeight="1" x14ac:dyDescent="0.35">
      <c r="A749" s="2">
        <v>46039</v>
      </c>
      <c r="B749" s="3">
        <f t="shared" si="55"/>
        <v>2026</v>
      </c>
      <c r="C749" s="3">
        <f t="shared" si="56"/>
        <v>1</v>
      </c>
      <c r="D749" s="3" t="str">
        <f t="shared" si="57"/>
        <v>Sat</v>
      </c>
      <c r="E749" s="3">
        <f t="shared" si="58"/>
        <v>0</v>
      </c>
      <c r="F749" s="3">
        <f t="shared" si="59"/>
        <v>1</v>
      </c>
      <c r="G749" s="3" t="str">
        <f t="array" ref="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3">
        <f>COUNTIF(Events!$A$2:$A$397,$A749)</f>
        <v>0</v>
      </c>
      <c r="I749" s="25" t="str">
        <f t="array" ref="I749">_xlfn.TEXTJOIN(" | ",TRUE(),IF(Events!$A$2:$A$397=$A749,Events!$E$2:$E$397&amp;IF(Events!$G$2:$G$397="National",""," ["&amp;Events!$G$2:$G$397&amp;"]"),""))</f>
        <v/>
      </c>
    </row>
    <row r="750" spans="1:9" ht="15" customHeight="1" x14ac:dyDescent="0.35">
      <c r="A750" s="2">
        <v>46040</v>
      </c>
      <c r="B750" s="3">
        <f t="shared" si="55"/>
        <v>2026</v>
      </c>
      <c r="C750" s="3">
        <f t="shared" si="56"/>
        <v>1</v>
      </c>
      <c r="D750" s="3" t="str">
        <f t="shared" si="57"/>
        <v>Sun</v>
      </c>
      <c r="E750" s="3">
        <f t="shared" si="58"/>
        <v>0</v>
      </c>
      <c r="F750" s="3">
        <f t="shared" si="59"/>
        <v>1</v>
      </c>
      <c r="G750" s="3" t="str">
        <f t="array" ref="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3">
        <f>COUNTIF(Events!$A$2:$A$397,$A750)</f>
        <v>0</v>
      </c>
      <c r="I750" s="25" t="str">
        <f t="array" ref="I750">_xlfn.TEXTJOIN(" | ",TRUE(),IF(Events!$A$2:$A$397=$A750,Events!$E$2:$E$397&amp;IF(Events!$G$2:$G$397="National",""," ["&amp;Events!$G$2:$G$397&amp;"]"),""))</f>
        <v/>
      </c>
    </row>
    <row r="751" spans="1:9" ht="15" customHeight="1" x14ac:dyDescent="0.35">
      <c r="A751" s="2">
        <v>46041</v>
      </c>
      <c r="B751" s="3">
        <f t="shared" si="55"/>
        <v>2026</v>
      </c>
      <c r="C751" s="3">
        <f t="shared" si="56"/>
        <v>1</v>
      </c>
      <c r="D751" s="3" t="str">
        <f t="shared" si="57"/>
        <v>Mon</v>
      </c>
      <c r="E751" s="3">
        <f t="shared" si="58"/>
        <v>0</v>
      </c>
      <c r="F751" s="3">
        <f t="shared" si="59"/>
        <v>1</v>
      </c>
      <c r="G751" s="3" t="str">
        <f t="array" ref="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3">
        <f>COUNTIF(Events!$A$2:$A$397,$A751)</f>
        <v>0</v>
      </c>
      <c r="I751" s="25" t="str">
        <f t="array" ref="I751">_xlfn.TEXTJOIN(" | ",TRUE(),IF(Events!$A$2:$A$397=$A751,Events!$E$2:$E$397&amp;IF(Events!$G$2:$G$397="National",""," ["&amp;Events!$G$2:$G$397&amp;"]"),""))</f>
        <v/>
      </c>
    </row>
    <row r="752" spans="1:9" ht="15" customHeight="1" x14ac:dyDescent="0.35">
      <c r="A752" s="2">
        <v>46042</v>
      </c>
      <c r="B752" s="3">
        <f t="shared" si="55"/>
        <v>2026</v>
      </c>
      <c r="C752" s="3">
        <f t="shared" si="56"/>
        <v>1</v>
      </c>
      <c r="D752" s="3" t="str">
        <f t="shared" si="57"/>
        <v>Tue</v>
      </c>
      <c r="E752" s="3">
        <f t="shared" si="58"/>
        <v>0</v>
      </c>
      <c r="F752" s="3">
        <f t="shared" si="59"/>
        <v>1</v>
      </c>
      <c r="G752" s="3" t="str">
        <f t="array" ref="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3">
        <f>COUNTIF(Events!$A$2:$A$397,$A752)</f>
        <v>0</v>
      </c>
      <c r="I752" s="25" t="str">
        <f t="array" ref="I752">_xlfn.TEXTJOIN(" | ",TRUE(),IF(Events!$A$2:$A$397=$A752,Events!$E$2:$E$397&amp;IF(Events!$G$2:$G$397="National",""," ["&amp;Events!$G$2:$G$397&amp;"]"),""))</f>
        <v/>
      </c>
    </row>
    <row r="753" spans="1:9" ht="15" customHeight="1" x14ac:dyDescent="0.35">
      <c r="A753" s="2">
        <v>46043</v>
      </c>
      <c r="B753" s="3">
        <f t="shared" si="55"/>
        <v>2026</v>
      </c>
      <c r="C753" s="3">
        <f t="shared" si="56"/>
        <v>1</v>
      </c>
      <c r="D753" s="3" t="str">
        <f t="shared" si="57"/>
        <v>Wed</v>
      </c>
      <c r="E753" s="3">
        <f t="shared" si="58"/>
        <v>0</v>
      </c>
      <c r="F753" s="3">
        <f t="shared" si="59"/>
        <v>1</v>
      </c>
      <c r="G753" s="3" t="str">
        <f t="array" ref="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3">
        <f>COUNTIF(Events!$A$2:$A$397,$A753)</f>
        <v>0</v>
      </c>
      <c r="I753" s="25" t="str">
        <f t="array" ref="I753">_xlfn.TEXTJOIN(" | ",TRUE(),IF(Events!$A$2:$A$397=$A753,Events!$E$2:$E$397&amp;IF(Events!$G$2:$G$397="National",""," ["&amp;Events!$G$2:$G$397&amp;"]"),""))</f>
        <v/>
      </c>
    </row>
    <row r="754" spans="1:9" ht="15" customHeight="1" x14ac:dyDescent="0.35">
      <c r="A754" s="2">
        <v>46044</v>
      </c>
      <c r="B754" s="3">
        <f t="shared" si="55"/>
        <v>2026</v>
      </c>
      <c r="C754" s="3">
        <f t="shared" si="56"/>
        <v>1</v>
      </c>
      <c r="D754" s="3" t="str">
        <f t="shared" si="57"/>
        <v>Thu</v>
      </c>
      <c r="E754" s="3">
        <f t="shared" si="58"/>
        <v>0</v>
      </c>
      <c r="F754" s="3">
        <f t="shared" si="59"/>
        <v>1</v>
      </c>
      <c r="G754" s="3" t="str">
        <f t="array" ref="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3">
        <f>COUNTIF(Events!$A$2:$A$397,$A754)</f>
        <v>0</v>
      </c>
      <c r="I754" s="25" t="str">
        <f t="array" ref="I754">_xlfn.TEXTJOIN(" | ",TRUE(),IF(Events!$A$2:$A$397=$A754,Events!$E$2:$E$397&amp;IF(Events!$G$2:$G$397="National",""," ["&amp;Events!$G$2:$G$397&amp;"]"),""))</f>
        <v/>
      </c>
    </row>
    <row r="755" spans="1:9" ht="15" customHeight="1" x14ac:dyDescent="0.35">
      <c r="A755" s="2">
        <v>46045</v>
      </c>
      <c r="B755" s="3">
        <f t="shared" si="55"/>
        <v>2026</v>
      </c>
      <c r="C755" s="3">
        <f t="shared" si="56"/>
        <v>1</v>
      </c>
      <c r="D755" s="3" t="str">
        <f t="shared" si="57"/>
        <v>Fri</v>
      </c>
      <c r="E755" s="3">
        <f t="shared" si="58"/>
        <v>0</v>
      </c>
      <c r="F755" s="3">
        <f t="shared" si="59"/>
        <v>1</v>
      </c>
      <c r="G755" s="3" t="str">
        <f t="array" ref="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3">
        <f>COUNTIF(Events!$A$2:$A$397,$A755)</f>
        <v>0</v>
      </c>
      <c r="I755" s="25" t="str">
        <f t="array" ref="I755">_xlfn.TEXTJOIN(" | ",TRUE(),IF(Events!$A$2:$A$397=$A755,Events!$E$2:$E$397&amp;IF(Events!$G$2:$G$397="National",""," ["&amp;Events!$G$2:$G$397&amp;"]"),""))</f>
        <v/>
      </c>
    </row>
    <row r="756" spans="1:9" ht="15" customHeight="1" x14ac:dyDescent="0.35">
      <c r="A756" s="2">
        <v>46046</v>
      </c>
      <c r="B756" s="3">
        <f t="shared" si="55"/>
        <v>2026</v>
      </c>
      <c r="C756" s="3">
        <f t="shared" si="56"/>
        <v>1</v>
      </c>
      <c r="D756" s="3" t="str">
        <f t="shared" si="57"/>
        <v>Sat</v>
      </c>
      <c r="E756" s="3">
        <f t="shared" si="58"/>
        <v>0</v>
      </c>
      <c r="F756" s="3">
        <f t="shared" si="59"/>
        <v>1</v>
      </c>
      <c r="G756" s="3" t="str">
        <f t="array" ref="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3">
        <f>COUNTIF(Events!$A$2:$A$397,$A756)</f>
        <v>0</v>
      </c>
      <c r="I756" s="25" t="str">
        <f t="array" ref="I756">_xlfn.TEXTJOIN(" | ",TRUE(),IF(Events!$A$2:$A$397=$A756,Events!$E$2:$E$397&amp;IF(Events!$G$2:$G$397="National",""," ["&amp;Events!$G$2:$G$397&amp;"]"),""))</f>
        <v/>
      </c>
    </row>
    <row r="757" spans="1:9" ht="15" customHeight="1" x14ac:dyDescent="0.35">
      <c r="A757" s="2">
        <v>46047</v>
      </c>
      <c r="B757" s="3">
        <f t="shared" si="55"/>
        <v>2026</v>
      </c>
      <c r="C757" s="3">
        <f t="shared" si="56"/>
        <v>1</v>
      </c>
      <c r="D757" s="3" t="str">
        <f t="shared" si="57"/>
        <v>Sun</v>
      </c>
      <c r="E757" s="3">
        <f t="shared" si="58"/>
        <v>0</v>
      </c>
      <c r="F757" s="3">
        <f t="shared" si="59"/>
        <v>1</v>
      </c>
      <c r="G757" s="3" t="str">
        <f t="array" ref="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3">
        <f>COUNTIF(Events!$A$2:$A$397,$A757)</f>
        <v>0</v>
      </c>
      <c r="I757" s="25" t="str">
        <f t="array" ref="I757">_xlfn.TEXTJOIN(" | ",TRUE(),IF(Events!$A$2:$A$397=$A757,Events!$E$2:$E$397&amp;IF(Events!$G$2:$G$397="National",""," ["&amp;Events!$G$2:$G$397&amp;"]"),""))</f>
        <v/>
      </c>
    </row>
    <row r="758" spans="1:9" ht="15" customHeight="1" x14ac:dyDescent="0.35">
      <c r="A758" s="2">
        <v>46048</v>
      </c>
      <c r="B758" s="3">
        <f t="shared" si="55"/>
        <v>2026</v>
      </c>
      <c r="C758" s="3">
        <f t="shared" si="56"/>
        <v>1</v>
      </c>
      <c r="D758" s="3" t="str">
        <f t="shared" si="57"/>
        <v>Mon</v>
      </c>
      <c r="E758" s="3">
        <f t="shared" si="58"/>
        <v>0</v>
      </c>
      <c r="F758" s="3">
        <f t="shared" si="59"/>
        <v>1</v>
      </c>
      <c r="G758" s="3" t="str">
        <f t="array" ref="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3">
        <f>COUNTIF(Events!$A$2:$A$397,$A758)</f>
        <v>1</v>
      </c>
      <c r="I758" s="25" t="str">
        <f t="array" ref="I758">_xlfn.TEXTJOIN(" | ",TRUE(),IF(Events!$A$2:$A$397=$A758,Events!$E$2:$E$397&amp;IF(Events!$G$2:$G$397="National",""," ["&amp;Events!$G$2:$G$397&amp;"]"),""))</f>
        <v>CY2027 Advance Notice released: proposed only +0.09% base update (~$700M) - far below prior years; proposed excluding unlinked chart-review and audio-only diagnoses from risk scores; comments due 2/25/2026</v>
      </c>
    </row>
    <row r="759" spans="1:9" ht="15" customHeight="1" x14ac:dyDescent="0.35">
      <c r="A759" s="2">
        <v>46049</v>
      </c>
      <c r="B759" s="3">
        <f t="shared" si="55"/>
        <v>2026</v>
      </c>
      <c r="C759" s="3">
        <f t="shared" si="56"/>
        <v>1</v>
      </c>
      <c r="D759" s="3" t="str">
        <f t="shared" si="57"/>
        <v>Tue</v>
      </c>
      <c r="E759" s="3">
        <f t="shared" si="58"/>
        <v>0</v>
      </c>
      <c r="F759" s="3">
        <f t="shared" si="59"/>
        <v>1</v>
      </c>
      <c r="G759" s="3" t="str">
        <f t="array" ref="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3">
        <f>COUNTIF(Events!$A$2:$A$397,$A759)</f>
        <v>1</v>
      </c>
      <c r="I759" s="25" t="str">
        <f t="array" ref="I759">_xlfn.TEXTJOIN(" | ",TRUE(),IF(Events!$A$2:$A$397=$A759,Events!$E$2:$E$397&amp;IF(Events!$G$2:$G$397="National",""," ["&amp;Events!$G$2:$G$397&amp;"]"),""))</f>
        <v>CMS announces 15 round-3 drugs (first round eligible to include Part B drugs; effective 2028)</v>
      </c>
    </row>
    <row r="760" spans="1:9" ht="15" customHeight="1" x14ac:dyDescent="0.35">
      <c r="A760" s="2">
        <v>46050</v>
      </c>
      <c r="B760" s="3">
        <f t="shared" si="55"/>
        <v>2026</v>
      </c>
      <c r="C760" s="3">
        <f t="shared" si="56"/>
        <v>1</v>
      </c>
      <c r="D760" s="3" t="str">
        <f t="shared" si="57"/>
        <v>Wed</v>
      </c>
      <c r="E760" s="3">
        <f t="shared" si="58"/>
        <v>0</v>
      </c>
      <c r="F760" s="3">
        <f t="shared" si="59"/>
        <v>1</v>
      </c>
      <c r="G760" s="3" t="str">
        <f t="array" ref="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3">
        <f>COUNTIF(Events!$A$2:$A$397,$A760)</f>
        <v>0</v>
      </c>
      <c r="I760" s="25" t="str">
        <f t="array" ref="I760">_xlfn.TEXTJOIN(" | ",TRUE(),IF(Events!$A$2:$A$397=$A760,Events!$E$2:$E$397&amp;IF(Events!$G$2:$G$397="National",""," ["&amp;Events!$G$2:$G$397&amp;"]"),""))</f>
        <v/>
      </c>
    </row>
    <row r="761" spans="1:9" ht="15" customHeight="1" x14ac:dyDescent="0.35">
      <c r="A761" s="2">
        <v>46051</v>
      </c>
      <c r="B761" s="3">
        <f t="shared" si="55"/>
        <v>2026</v>
      </c>
      <c r="C761" s="3">
        <f t="shared" si="56"/>
        <v>1</v>
      </c>
      <c r="D761" s="3" t="str">
        <f t="shared" si="57"/>
        <v>Thu</v>
      </c>
      <c r="E761" s="3">
        <f t="shared" si="58"/>
        <v>0</v>
      </c>
      <c r="F761" s="3">
        <f t="shared" si="59"/>
        <v>1</v>
      </c>
      <c r="G761" s="3" t="str">
        <f t="array" ref="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
      </c>
      <c r="H761" s="3">
        <f>COUNTIF(Events!$A$2:$A$397,$A761)</f>
        <v>0</v>
      </c>
      <c r="I761" s="25" t="str">
        <f t="array" ref="I761">_xlfn.TEXTJOIN(" | ",TRUE(),IF(Events!$A$2:$A$397=$A761,Events!$E$2:$E$397&amp;IF(Events!$G$2:$G$397="National",""," ["&amp;Events!$G$2:$G$397&amp;"]"),""))</f>
        <v/>
      </c>
    </row>
    <row r="762" spans="1:9" ht="15" customHeight="1" x14ac:dyDescent="0.35">
      <c r="A762" s="2">
        <v>46052</v>
      </c>
      <c r="B762" s="3">
        <f t="shared" si="55"/>
        <v>2026</v>
      </c>
      <c r="C762" s="3">
        <f t="shared" si="56"/>
        <v>1</v>
      </c>
      <c r="D762" s="3" t="str">
        <f t="shared" si="57"/>
        <v>Fri</v>
      </c>
      <c r="E762" s="3">
        <f t="shared" si="58"/>
        <v>0</v>
      </c>
      <c r="F762" s="3">
        <f t="shared" si="59"/>
        <v>1</v>
      </c>
      <c r="G762" s="3" t="str">
        <f t="array" ref="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3">
        <f>COUNTIF(Events!$A$2:$A$397,$A762)</f>
        <v>0</v>
      </c>
      <c r="I762" s="25" t="str">
        <f t="array" ref="I762">_xlfn.TEXTJOIN(" | ",TRUE(),IF(Events!$A$2:$A$397=$A762,Events!$E$2:$E$397&amp;IF(Events!$G$2:$G$397="National",""," ["&amp;Events!$G$2:$G$397&amp;"]"),""))</f>
        <v/>
      </c>
    </row>
    <row r="763" spans="1:9" ht="15" customHeight="1" x14ac:dyDescent="0.35">
      <c r="A763" s="2">
        <v>46053</v>
      </c>
      <c r="B763" s="3">
        <f t="shared" si="55"/>
        <v>2026</v>
      </c>
      <c r="C763" s="3">
        <f t="shared" si="56"/>
        <v>1</v>
      </c>
      <c r="D763" s="3" t="str">
        <f t="shared" si="57"/>
        <v>Sat</v>
      </c>
      <c r="E763" s="3">
        <f t="shared" si="58"/>
        <v>0</v>
      </c>
      <c r="F763" s="3">
        <f t="shared" si="59"/>
        <v>1</v>
      </c>
      <c r="G763" s="3" t="str">
        <f t="array" ref="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3" s="3">
        <f>COUNTIF(Events!$A$2:$A$397,$A763)</f>
        <v>0</v>
      </c>
      <c r="I763" s="25" t="str">
        <f t="array" ref="I763">_xlfn.TEXTJOIN(" | ",TRUE(),IF(Events!$A$2:$A$397=$A763,Events!$E$2:$E$397&amp;IF(Events!$G$2:$G$397="National",""," ["&amp;Events!$G$2:$G$397&amp;"]"),""))</f>
        <v/>
      </c>
    </row>
    <row r="764" spans="1:9" ht="15" customHeight="1" x14ac:dyDescent="0.35">
      <c r="A764" s="2">
        <v>46054</v>
      </c>
      <c r="B764" s="3">
        <f t="shared" si="55"/>
        <v>2026</v>
      </c>
      <c r="C764" s="3">
        <f t="shared" si="56"/>
        <v>2</v>
      </c>
      <c r="D764" s="3" t="str">
        <f t="shared" si="57"/>
        <v>Sun</v>
      </c>
      <c r="E764" s="3">
        <f t="shared" si="58"/>
        <v>0</v>
      </c>
      <c r="F764" s="3">
        <f t="shared" si="59"/>
        <v>1</v>
      </c>
      <c r="G764" s="3" t="str">
        <f t="array" ref="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3">
        <f>COUNTIF(Events!$A$2:$A$397,$A764)</f>
        <v>0</v>
      </c>
      <c r="I764" s="25" t="str">
        <f t="array" ref="I764">_xlfn.TEXTJOIN(" | ",TRUE(),IF(Events!$A$2:$A$397=$A764,Events!$E$2:$E$397&amp;IF(Events!$G$2:$G$397="National",""," ["&amp;Events!$G$2:$G$397&amp;"]"),""))</f>
        <v/>
      </c>
    </row>
    <row r="765" spans="1:9" ht="15" customHeight="1" x14ac:dyDescent="0.35">
      <c r="A765" s="2">
        <v>46055</v>
      </c>
      <c r="B765" s="3">
        <f t="shared" si="55"/>
        <v>2026</v>
      </c>
      <c r="C765" s="3">
        <f t="shared" si="56"/>
        <v>2</v>
      </c>
      <c r="D765" s="3" t="str">
        <f t="shared" si="57"/>
        <v>Mon</v>
      </c>
      <c r="E765" s="3">
        <f t="shared" si="58"/>
        <v>0</v>
      </c>
      <c r="F765" s="3">
        <f t="shared" si="59"/>
        <v>1</v>
      </c>
      <c r="G765" s="3" t="str">
        <f t="array" ref="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3">
        <f>COUNTIF(Events!$A$2:$A$397,$A765)</f>
        <v>0</v>
      </c>
      <c r="I765" s="25" t="str">
        <f t="array" ref="I765">_xlfn.TEXTJOIN(" | ",TRUE(),IF(Events!$A$2:$A$397=$A765,Events!$E$2:$E$397&amp;IF(Events!$G$2:$G$397="National",""," ["&amp;Events!$G$2:$G$397&amp;"]"),""))</f>
        <v/>
      </c>
    </row>
    <row r="766" spans="1:9" ht="15" customHeight="1" x14ac:dyDescent="0.35">
      <c r="A766" s="2">
        <v>46056</v>
      </c>
      <c r="B766" s="3">
        <f t="shared" si="55"/>
        <v>2026</v>
      </c>
      <c r="C766" s="3">
        <f t="shared" si="56"/>
        <v>2</v>
      </c>
      <c r="D766" s="3" t="str">
        <f t="shared" si="57"/>
        <v>Tue</v>
      </c>
      <c r="E766" s="3">
        <f t="shared" si="58"/>
        <v>0</v>
      </c>
      <c r="F766" s="3">
        <f t="shared" si="59"/>
        <v>1</v>
      </c>
      <c r="G766" s="3" t="str">
        <f t="array" ref="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3">
        <f>COUNTIF(Events!$A$2:$A$397,$A766)</f>
        <v>0</v>
      </c>
      <c r="I766" s="25" t="str">
        <f t="array" ref="I766">_xlfn.TEXTJOIN(" | ",TRUE(),IF(Events!$A$2:$A$397=$A766,Events!$E$2:$E$397&amp;IF(Events!$G$2:$G$397="National",""," ["&amp;Events!$G$2:$G$397&amp;"]"),""))</f>
        <v/>
      </c>
    </row>
    <row r="767" spans="1:9" ht="15" customHeight="1" x14ac:dyDescent="0.35">
      <c r="A767" s="2">
        <v>46057</v>
      </c>
      <c r="B767" s="3">
        <f t="shared" si="55"/>
        <v>2026</v>
      </c>
      <c r="C767" s="3">
        <f t="shared" si="56"/>
        <v>2</v>
      </c>
      <c r="D767" s="3" t="str">
        <f t="shared" si="57"/>
        <v>Wed</v>
      </c>
      <c r="E767" s="3">
        <f t="shared" si="58"/>
        <v>0</v>
      </c>
      <c r="F767" s="3">
        <f t="shared" si="59"/>
        <v>1</v>
      </c>
      <c r="G767" s="3" t="str">
        <f t="array" ref="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3">
        <f>COUNTIF(Events!$A$2:$A$397,$A767)</f>
        <v>0</v>
      </c>
      <c r="I767" s="25" t="str">
        <f t="array" ref="I767">_xlfn.TEXTJOIN(" | ",TRUE(),IF(Events!$A$2:$A$397=$A767,Events!$E$2:$E$397&amp;IF(Events!$G$2:$G$397="National",""," ["&amp;Events!$G$2:$G$397&amp;"]"),""))</f>
        <v/>
      </c>
    </row>
    <row r="768" spans="1:9" ht="15" customHeight="1" x14ac:dyDescent="0.35">
      <c r="A768" s="2">
        <v>46058</v>
      </c>
      <c r="B768" s="3">
        <f t="shared" si="55"/>
        <v>2026</v>
      </c>
      <c r="C768" s="3">
        <f t="shared" si="56"/>
        <v>2</v>
      </c>
      <c r="D768" s="3" t="str">
        <f t="shared" si="57"/>
        <v>Thu</v>
      </c>
      <c r="E768" s="3">
        <f t="shared" si="58"/>
        <v>0</v>
      </c>
      <c r="F768" s="3">
        <f t="shared" si="59"/>
        <v>1</v>
      </c>
      <c r="G768" s="3" t="str">
        <f t="array" ref="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3">
        <f>COUNTIF(Events!$A$2:$A$397,$A768)</f>
        <v>0</v>
      </c>
      <c r="I768" s="25" t="str">
        <f t="array" ref="I768">_xlfn.TEXTJOIN(" | ",TRUE(),IF(Events!$A$2:$A$397=$A768,Events!$E$2:$E$397&amp;IF(Events!$G$2:$G$397="National",""," ["&amp;Events!$G$2:$G$397&amp;"]"),""))</f>
        <v/>
      </c>
    </row>
    <row r="769" spans="1:9" ht="15" customHeight="1" x14ac:dyDescent="0.35">
      <c r="A769" s="2">
        <v>46059</v>
      </c>
      <c r="B769" s="3">
        <f t="shared" si="55"/>
        <v>2026</v>
      </c>
      <c r="C769" s="3">
        <f t="shared" si="56"/>
        <v>2</v>
      </c>
      <c r="D769" s="3" t="str">
        <f t="shared" si="57"/>
        <v>Fri</v>
      </c>
      <c r="E769" s="3">
        <f t="shared" si="58"/>
        <v>0</v>
      </c>
      <c r="F769" s="3">
        <f t="shared" si="59"/>
        <v>1</v>
      </c>
      <c r="G769" s="3" t="str">
        <f t="array" ref="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3">
        <f>COUNTIF(Events!$A$2:$A$397,$A769)</f>
        <v>0</v>
      </c>
      <c r="I769" s="25" t="str">
        <f t="array" ref="I769">_xlfn.TEXTJOIN(" | ",TRUE(),IF(Events!$A$2:$A$397=$A769,Events!$E$2:$E$397&amp;IF(Events!$G$2:$G$397="National",""," ["&amp;Events!$G$2:$G$397&amp;"]"),""))</f>
        <v/>
      </c>
    </row>
    <row r="770" spans="1:9" ht="15" customHeight="1" x14ac:dyDescent="0.35">
      <c r="A770" s="2">
        <v>46060</v>
      </c>
      <c r="B770" s="3">
        <f t="shared" ref="B770:B833" si="60">YEAR($A770)</f>
        <v>2026</v>
      </c>
      <c r="C770" s="3">
        <f t="shared" ref="C770:C833" si="61">MONTH($A770)</f>
        <v>2</v>
      </c>
      <c r="D770" s="3" t="str">
        <f t="shared" ref="D770:D833" si="62">TEXT($A770,"ddd")</f>
        <v>Sat</v>
      </c>
      <c r="E770" s="3">
        <f t="shared" ref="E770:E833" si="63">IF(OR(AND(MONTH($A770)=10,DAY($A770)&gt;=15),MONTH($A770)=11,AND(MONTH($A770)=12,DAY($A770)&lt;=7)),1,0)</f>
        <v>0</v>
      </c>
      <c r="F770" s="3">
        <f t="shared" ref="F770:F833" si="64">IF(MONTH($A770)&lt;=3,1,0)</f>
        <v>1</v>
      </c>
      <c r="G770" s="3" t="str">
        <f t="array" ref="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3">
        <f>COUNTIF(Events!$A$2:$A$397,$A770)</f>
        <v>0</v>
      </c>
      <c r="I770" s="25" t="str">
        <f t="array" ref="I770">_xlfn.TEXTJOIN(" | ",TRUE(),IF(Events!$A$2:$A$397=$A770,Events!$E$2:$E$397&amp;IF(Events!$G$2:$G$397="National",""," ["&amp;Events!$G$2:$G$397&amp;"]"),""))</f>
        <v/>
      </c>
    </row>
    <row r="771" spans="1:9" ht="15" customHeight="1" x14ac:dyDescent="0.35">
      <c r="A771" s="2">
        <v>46061</v>
      </c>
      <c r="B771" s="3">
        <f t="shared" si="60"/>
        <v>2026</v>
      </c>
      <c r="C771" s="3">
        <f t="shared" si="61"/>
        <v>2</v>
      </c>
      <c r="D771" s="3" t="str">
        <f t="shared" si="62"/>
        <v>Sun</v>
      </c>
      <c r="E771" s="3">
        <f t="shared" si="63"/>
        <v>0</v>
      </c>
      <c r="F771" s="3">
        <f t="shared" si="64"/>
        <v>1</v>
      </c>
      <c r="G771" s="3" t="str">
        <f t="array" ref="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3">
        <f>COUNTIF(Events!$A$2:$A$397,$A771)</f>
        <v>0</v>
      </c>
      <c r="I771" s="25" t="str">
        <f t="array" ref="I771">_xlfn.TEXTJOIN(" | ",TRUE(),IF(Events!$A$2:$A$397=$A771,Events!$E$2:$E$397&amp;IF(Events!$G$2:$G$397="National",""," ["&amp;Events!$G$2:$G$397&amp;"]"),""))</f>
        <v/>
      </c>
    </row>
    <row r="772" spans="1:9" ht="15" customHeight="1" x14ac:dyDescent="0.35">
      <c r="A772" s="2">
        <v>46062</v>
      </c>
      <c r="B772" s="3">
        <f t="shared" si="60"/>
        <v>2026</v>
      </c>
      <c r="C772" s="3">
        <f t="shared" si="61"/>
        <v>2</v>
      </c>
      <c r="D772" s="3" t="str">
        <f t="shared" si="62"/>
        <v>Mon</v>
      </c>
      <c r="E772" s="3">
        <f t="shared" si="63"/>
        <v>0</v>
      </c>
      <c r="F772" s="3">
        <f t="shared" si="64"/>
        <v>1</v>
      </c>
      <c r="G772" s="3" t="str">
        <f t="array" ref="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3">
        <f>COUNTIF(Events!$A$2:$A$397,$A772)</f>
        <v>0</v>
      </c>
      <c r="I772" s="25" t="str">
        <f t="array" ref="I772">_xlfn.TEXTJOIN(" | ",TRUE(),IF(Events!$A$2:$A$397=$A772,Events!$E$2:$E$397&amp;IF(Events!$G$2:$G$397="National",""," ["&amp;Events!$G$2:$G$397&amp;"]"),""))</f>
        <v/>
      </c>
    </row>
    <row r="773" spans="1:9" ht="15" customHeight="1" x14ac:dyDescent="0.35">
      <c r="A773" s="2">
        <v>46063</v>
      </c>
      <c r="B773" s="3">
        <f t="shared" si="60"/>
        <v>2026</v>
      </c>
      <c r="C773" s="3">
        <f t="shared" si="61"/>
        <v>2</v>
      </c>
      <c r="D773" s="3" t="str">
        <f t="shared" si="62"/>
        <v>Tue</v>
      </c>
      <c r="E773" s="3">
        <f t="shared" si="63"/>
        <v>0</v>
      </c>
      <c r="F773" s="3">
        <f t="shared" si="64"/>
        <v>1</v>
      </c>
      <c r="G773" s="3" t="str">
        <f t="array" ref="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3">
        <f>COUNTIF(Events!$A$2:$A$397,$A773)</f>
        <v>0</v>
      </c>
      <c r="I773" s="25" t="str">
        <f t="array" ref="I773">_xlfn.TEXTJOIN(" | ",TRUE(),IF(Events!$A$2:$A$397=$A773,Events!$E$2:$E$397&amp;IF(Events!$G$2:$G$397="National",""," ["&amp;Events!$G$2:$G$397&amp;"]"),""))</f>
        <v/>
      </c>
    </row>
    <row r="774" spans="1:9" ht="15" customHeight="1" x14ac:dyDescent="0.35">
      <c r="A774" s="2">
        <v>46064</v>
      </c>
      <c r="B774" s="3">
        <f t="shared" si="60"/>
        <v>2026</v>
      </c>
      <c r="C774" s="3">
        <f t="shared" si="61"/>
        <v>2</v>
      </c>
      <c r="D774" s="3" t="str">
        <f t="shared" si="62"/>
        <v>Wed</v>
      </c>
      <c r="E774" s="3">
        <f t="shared" si="63"/>
        <v>0</v>
      </c>
      <c r="F774" s="3">
        <f t="shared" si="64"/>
        <v>1</v>
      </c>
      <c r="G774" s="3" t="str">
        <f t="array" ref="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3">
        <f>COUNTIF(Events!$A$2:$A$397,$A774)</f>
        <v>0</v>
      </c>
      <c r="I774" s="25" t="str">
        <f t="array" ref="I774">_xlfn.TEXTJOIN(" | ",TRUE(),IF(Events!$A$2:$A$397=$A774,Events!$E$2:$E$397&amp;IF(Events!$G$2:$G$397="National",""," ["&amp;Events!$G$2:$G$397&amp;"]"),""))</f>
        <v/>
      </c>
    </row>
    <row r="775" spans="1:9" ht="15" customHeight="1" x14ac:dyDescent="0.35">
      <c r="A775" s="2">
        <v>46065</v>
      </c>
      <c r="B775" s="3">
        <f t="shared" si="60"/>
        <v>2026</v>
      </c>
      <c r="C775" s="3">
        <f t="shared" si="61"/>
        <v>2</v>
      </c>
      <c r="D775" s="3" t="str">
        <f t="shared" si="62"/>
        <v>Thu</v>
      </c>
      <c r="E775" s="3">
        <f t="shared" si="63"/>
        <v>0</v>
      </c>
      <c r="F775" s="3">
        <f t="shared" si="64"/>
        <v>1</v>
      </c>
      <c r="G775" s="3" t="str">
        <f t="array" ref="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3">
        <f>COUNTIF(Events!$A$2:$A$397,$A775)</f>
        <v>0</v>
      </c>
      <c r="I775" s="25" t="str">
        <f t="array" ref="I775">_xlfn.TEXTJOIN(" | ",TRUE(),IF(Events!$A$2:$A$397=$A775,Events!$E$2:$E$397&amp;IF(Events!$G$2:$G$397="National",""," ["&amp;Events!$G$2:$G$397&amp;"]"),""))</f>
        <v/>
      </c>
    </row>
    <row r="776" spans="1:9" ht="15" customHeight="1" x14ac:dyDescent="0.35">
      <c r="A776" s="2">
        <v>46066</v>
      </c>
      <c r="B776" s="3">
        <f t="shared" si="60"/>
        <v>2026</v>
      </c>
      <c r="C776" s="3">
        <f t="shared" si="61"/>
        <v>2</v>
      </c>
      <c r="D776" s="3" t="str">
        <f t="shared" si="62"/>
        <v>Fri</v>
      </c>
      <c r="E776" s="3">
        <f t="shared" si="63"/>
        <v>0</v>
      </c>
      <c r="F776" s="3">
        <f t="shared" si="64"/>
        <v>1</v>
      </c>
      <c r="G776" s="3" t="str">
        <f t="array" ref="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3">
        <f>COUNTIF(Events!$A$2:$A$397,$A776)</f>
        <v>0</v>
      </c>
      <c r="I776" s="25" t="str">
        <f t="array" ref="I776">_xlfn.TEXTJOIN(" | ",TRUE(),IF(Events!$A$2:$A$397=$A776,Events!$E$2:$E$397&amp;IF(Events!$G$2:$G$397="National",""," ["&amp;Events!$G$2:$G$397&amp;"]"),""))</f>
        <v/>
      </c>
    </row>
    <row r="777" spans="1:9" ht="15" customHeight="1" x14ac:dyDescent="0.35">
      <c r="A777" s="2">
        <v>46067</v>
      </c>
      <c r="B777" s="3">
        <f t="shared" si="60"/>
        <v>2026</v>
      </c>
      <c r="C777" s="3">
        <f t="shared" si="61"/>
        <v>2</v>
      </c>
      <c r="D777" s="3" t="str">
        <f t="shared" si="62"/>
        <v>Sat</v>
      </c>
      <c r="E777" s="3">
        <f t="shared" si="63"/>
        <v>0</v>
      </c>
      <c r="F777" s="3">
        <f t="shared" si="64"/>
        <v>1</v>
      </c>
      <c r="G777" s="3" t="str">
        <f t="array" ref="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3">
        <f>COUNTIF(Events!$A$2:$A$397,$A777)</f>
        <v>0</v>
      </c>
      <c r="I777" s="25" t="str">
        <f t="array" ref="I777">_xlfn.TEXTJOIN(" | ",TRUE(),IF(Events!$A$2:$A$397=$A777,Events!$E$2:$E$397&amp;IF(Events!$G$2:$G$397="National",""," ["&amp;Events!$G$2:$G$397&amp;"]"),""))</f>
        <v/>
      </c>
    </row>
    <row r="778" spans="1:9" ht="15" customHeight="1" x14ac:dyDescent="0.35">
      <c r="A778" s="2">
        <v>46068</v>
      </c>
      <c r="B778" s="3">
        <f t="shared" si="60"/>
        <v>2026</v>
      </c>
      <c r="C778" s="3">
        <f t="shared" si="61"/>
        <v>2</v>
      </c>
      <c r="D778" s="3" t="str">
        <f t="shared" si="62"/>
        <v>Sun</v>
      </c>
      <c r="E778" s="3">
        <f t="shared" si="63"/>
        <v>0</v>
      </c>
      <c r="F778" s="3">
        <f t="shared" si="64"/>
        <v>1</v>
      </c>
      <c r="G778" s="3" t="str">
        <f t="array" ref="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3">
        <f>COUNTIF(Events!$A$2:$A$397,$A778)</f>
        <v>0</v>
      </c>
      <c r="I778" s="25" t="str">
        <f t="array" ref="I778">_xlfn.TEXTJOIN(" | ",TRUE(),IF(Events!$A$2:$A$397=$A778,Events!$E$2:$E$397&amp;IF(Events!$G$2:$G$397="National",""," ["&amp;Events!$G$2:$G$397&amp;"]"),""))</f>
        <v/>
      </c>
    </row>
    <row r="779" spans="1:9" ht="15" customHeight="1" x14ac:dyDescent="0.35">
      <c r="A779" s="2">
        <v>46069</v>
      </c>
      <c r="B779" s="3">
        <f t="shared" si="60"/>
        <v>2026</v>
      </c>
      <c r="C779" s="3">
        <f t="shared" si="61"/>
        <v>2</v>
      </c>
      <c r="D779" s="3" t="str">
        <f t="shared" si="62"/>
        <v>Mon</v>
      </c>
      <c r="E779" s="3">
        <f t="shared" si="63"/>
        <v>0</v>
      </c>
      <c r="F779" s="3">
        <f t="shared" si="64"/>
        <v>1</v>
      </c>
      <c r="G779" s="3" t="str">
        <f t="array" ref="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3">
        <f>COUNTIF(Events!$A$2:$A$397,$A779)</f>
        <v>0</v>
      </c>
      <c r="I779" s="25" t="str">
        <f t="array" ref="I779">_xlfn.TEXTJOIN(" | ",TRUE(),IF(Events!$A$2:$A$397=$A779,Events!$E$2:$E$397&amp;IF(Events!$G$2:$G$397="National",""," ["&amp;Events!$G$2:$G$397&amp;"]"),""))</f>
        <v/>
      </c>
    </row>
    <row r="780" spans="1:9" ht="15" customHeight="1" x14ac:dyDescent="0.35">
      <c r="A780" s="2">
        <v>46070</v>
      </c>
      <c r="B780" s="3">
        <f t="shared" si="60"/>
        <v>2026</v>
      </c>
      <c r="C780" s="3">
        <f t="shared" si="61"/>
        <v>2</v>
      </c>
      <c r="D780" s="3" t="str">
        <f t="shared" si="62"/>
        <v>Tue</v>
      </c>
      <c r="E780" s="3">
        <f t="shared" si="63"/>
        <v>0</v>
      </c>
      <c r="F780" s="3">
        <f t="shared" si="64"/>
        <v>1</v>
      </c>
      <c r="G780" s="3" t="str">
        <f t="array" ref="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3">
        <f>COUNTIF(Events!$A$2:$A$397,$A780)</f>
        <v>0</v>
      </c>
      <c r="I780" s="25" t="str">
        <f t="array" ref="I780">_xlfn.TEXTJOIN(" | ",TRUE(),IF(Events!$A$2:$A$397=$A780,Events!$E$2:$E$397&amp;IF(Events!$G$2:$G$397="National",""," ["&amp;Events!$G$2:$G$397&amp;"]"),""))</f>
        <v/>
      </c>
    </row>
    <row r="781" spans="1:9" ht="15" customHeight="1" x14ac:dyDescent="0.35">
      <c r="A781" s="2">
        <v>46071</v>
      </c>
      <c r="B781" s="3">
        <f t="shared" si="60"/>
        <v>2026</v>
      </c>
      <c r="C781" s="3">
        <f t="shared" si="61"/>
        <v>2</v>
      </c>
      <c r="D781" s="3" t="str">
        <f t="shared" si="62"/>
        <v>Wed</v>
      </c>
      <c r="E781" s="3">
        <f t="shared" si="63"/>
        <v>0</v>
      </c>
      <c r="F781" s="3">
        <f t="shared" si="64"/>
        <v>1</v>
      </c>
      <c r="G781" s="3" t="str">
        <f t="array" ref="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3">
        <f>COUNTIF(Events!$A$2:$A$397,$A781)</f>
        <v>0</v>
      </c>
      <c r="I781" s="25" t="str">
        <f t="array" ref="I781">_xlfn.TEXTJOIN(" | ",TRUE(),IF(Events!$A$2:$A$397=$A781,Events!$E$2:$E$397&amp;IF(Events!$G$2:$G$397="National",""," ["&amp;Events!$G$2:$G$397&amp;"]"),""))</f>
        <v/>
      </c>
    </row>
    <row r="782" spans="1:9" ht="15" customHeight="1" x14ac:dyDescent="0.35">
      <c r="A782" s="2">
        <v>46072</v>
      </c>
      <c r="B782" s="3">
        <f t="shared" si="60"/>
        <v>2026</v>
      </c>
      <c r="C782" s="3">
        <f t="shared" si="61"/>
        <v>2</v>
      </c>
      <c r="D782" s="3" t="str">
        <f t="shared" si="62"/>
        <v>Thu</v>
      </c>
      <c r="E782" s="3">
        <f t="shared" si="63"/>
        <v>0</v>
      </c>
      <c r="F782" s="3">
        <f t="shared" si="64"/>
        <v>1</v>
      </c>
      <c r="G782" s="3" t="str">
        <f t="array" ref="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3">
        <f>COUNTIF(Events!$A$2:$A$397,$A782)</f>
        <v>0</v>
      </c>
      <c r="I782" s="25" t="str">
        <f t="array" ref="I782">_xlfn.TEXTJOIN(" | ",TRUE(),IF(Events!$A$2:$A$397=$A782,Events!$E$2:$E$397&amp;IF(Events!$G$2:$G$397="National",""," ["&amp;Events!$G$2:$G$397&amp;"]"),""))</f>
        <v/>
      </c>
    </row>
    <row r="783" spans="1:9" ht="15" customHeight="1" x14ac:dyDescent="0.35">
      <c r="A783" s="2">
        <v>46073</v>
      </c>
      <c r="B783" s="3">
        <f t="shared" si="60"/>
        <v>2026</v>
      </c>
      <c r="C783" s="3">
        <f t="shared" si="61"/>
        <v>2</v>
      </c>
      <c r="D783" s="3" t="str">
        <f t="shared" si="62"/>
        <v>Fri</v>
      </c>
      <c r="E783" s="3">
        <f t="shared" si="63"/>
        <v>0</v>
      </c>
      <c r="F783" s="3">
        <f t="shared" si="64"/>
        <v>1</v>
      </c>
      <c r="G783" s="3" t="str">
        <f t="array" ref="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3">
        <f>COUNTIF(Events!$A$2:$A$397,$A783)</f>
        <v>0</v>
      </c>
      <c r="I783" s="25" t="str">
        <f t="array" ref="I783">_xlfn.TEXTJOIN(" | ",TRUE(),IF(Events!$A$2:$A$397=$A783,Events!$E$2:$E$397&amp;IF(Events!$G$2:$G$397="National",""," ["&amp;Events!$G$2:$G$397&amp;"]"),""))</f>
        <v/>
      </c>
    </row>
    <row r="784" spans="1:9" ht="15" customHeight="1" x14ac:dyDescent="0.35">
      <c r="A784" s="2">
        <v>46074</v>
      </c>
      <c r="B784" s="3">
        <f t="shared" si="60"/>
        <v>2026</v>
      </c>
      <c r="C784" s="3">
        <f t="shared" si="61"/>
        <v>2</v>
      </c>
      <c r="D784" s="3" t="str">
        <f t="shared" si="62"/>
        <v>Sat</v>
      </c>
      <c r="E784" s="3">
        <f t="shared" si="63"/>
        <v>0</v>
      </c>
      <c r="F784" s="3">
        <f t="shared" si="64"/>
        <v>1</v>
      </c>
      <c r="G784" s="3" t="str">
        <f t="array" ref="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3">
        <f>COUNTIF(Events!$A$2:$A$397,$A784)</f>
        <v>0</v>
      </c>
      <c r="I784" s="25" t="str">
        <f t="array" ref="I784">_xlfn.TEXTJOIN(" | ",TRUE(),IF(Events!$A$2:$A$397=$A784,Events!$E$2:$E$397&amp;IF(Events!$G$2:$G$397="National",""," ["&amp;Events!$G$2:$G$397&amp;"]"),""))</f>
        <v/>
      </c>
    </row>
    <row r="785" spans="1:9" ht="15" customHeight="1" x14ac:dyDescent="0.35">
      <c r="A785" s="2">
        <v>46075</v>
      </c>
      <c r="B785" s="3">
        <f t="shared" si="60"/>
        <v>2026</v>
      </c>
      <c r="C785" s="3">
        <f t="shared" si="61"/>
        <v>2</v>
      </c>
      <c r="D785" s="3" t="str">
        <f t="shared" si="62"/>
        <v>Sun</v>
      </c>
      <c r="E785" s="3">
        <f t="shared" si="63"/>
        <v>0</v>
      </c>
      <c r="F785" s="3">
        <f t="shared" si="64"/>
        <v>1</v>
      </c>
      <c r="G785" s="3" t="str">
        <f t="array" ref="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3">
        <f>COUNTIF(Events!$A$2:$A$397,$A785)</f>
        <v>0</v>
      </c>
      <c r="I785" s="25" t="str">
        <f t="array" ref="I785">_xlfn.TEXTJOIN(" | ",TRUE(),IF(Events!$A$2:$A$397=$A785,Events!$E$2:$E$397&amp;IF(Events!$G$2:$G$397="National",""," ["&amp;Events!$G$2:$G$397&amp;"]"),""))</f>
        <v/>
      </c>
    </row>
    <row r="786" spans="1:9" ht="15" customHeight="1" x14ac:dyDescent="0.35">
      <c r="A786" s="2">
        <v>46076</v>
      </c>
      <c r="B786" s="3">
        <f t="shared" si="60"/>
        <v>2026</v>
      </c>
      <c r="C786" s="3">
        <f t="shared" si="61"/>
        <v>2</v>
      </c>
      <c r="D786" s="3" t="str">
        <f t="shared" si="62"/>
        <v>Mon</v>
      </c>
      <c r="E786" s="3">
        <f t="shared" si="63"/>
        <v>0</v>
      </c>
      <c r="F786" s="3">
        <f t="shared" si="64"/>
        <v>1</v>
      </c>
      <c r="G786" s="3" t="str">
        <f t="array" ref="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3">
        <f>COUNTIF(Events!$A$2:$A$397,$A786)</f>
        <v>0</v>
      </c>
      <c r="I786" s="25" t="str">
        <f t="array" ref="I786">_xlfn.TEXTJOIN(" | ",TRUE(),IF(Events!$A$2:$A$397=$A786,Events!$E$2:$E$397&amp;IF(Events!$G$2:$G$397="National",""," ["&amp;Events!$G$2:$G$397&amp;"]"),""))</f>
        <v/>
      </c>
    </row>
    <row r="787" spans="1:9" ht="15" customHeight="1" x14ac:dyDescent="0.35">
      <c r="A787" s="2">
        <v>46077</v>
      </c>
      <c r="B787" s="3">
        <f t="shared" si="60"/>
        <v>2026</v>
      </c>
      <c r="C787" s="3">
        <f t="shared" si="61"/>
        <v>2</v>
      </c>
      <c r="D787" s="3" t="str">
        <f t="shared" si="62"/>
        <v>Tue</v>
      </c>
      <c r="E787" s="3">
        <f t="shared" si="63"/>
        <v>0</v>
      </c>
      <c r="F787" s="3">
        <f t="shared" si="64"/>
        <v>1</v>
      </c>
      <c r="G787" s="3" t="str">
        <f t="array" ref="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3">
        <f>COUNTIF(Events!$A$2:$A$397,$A787)</f>
        <v>0</v>
      </c>
      <c r="I787" s="25" t="str">
        <f t="array" ref="I787">_xlfn.TEXTJOIN(" | ",TRUE(),IF(Events!$A$2:$A$397=$A787,Events!$E$2:$E$397&amp;IF(Events!$G$2:$G$397="National",""," ["&amp;Events!$G$2:$G$397&amp;"]"),""))</f>
        <v/>
      </c>
    </row>
    <row r="788" spans="1:9" ht="15" customHeight="1" x14ac:dyDescent="0.35">
      <c r="A788" s="2">
        <v>46078</v>
      </c>
      <c r="B788" s="3">
        <f t="shared" si="60"/>
        <v>2026</v>
      </c>
      <c r="C788" s="3">
        <f t="shared" si="61"/>
        <v>2</v>
      </c>
      <c r="D788" s="3" t="str">
        <f t="shared" si="62"/>
        <v>Wed</v>
      </c>
      <c r="E788" s="3">
        <f t="shared" si="63"/>
        <v>0</v>
      </c>
      <c r="F788" s="3">
        <f t="shared" si="64"/>
        <v>1</v>
      </c>
      <c r="G788" s="3" t="str">
        <f t="array" ref="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3">
        <f>COUNTIF(Events!$A$2:$A$397,$A788)</f>
        <v>0</v>
      </c>
      <c r="I788" s="25" t="str">
        <f t="array" ref="I788">_xlfn.TEXTJOIN(" | ",TRUE(),IF(Events!$A$2:$A$397=$A788,Events!$E$2:$E$397&amp;IF(Events!$G$2:$G$397="National",""," ["&amp;Events!$G$2:$G$397&amp;"]"),""))</f>
        <v/>
      </c>
    </row>
    <row r="789" spans="1:9" ht="15" customHeight="1" x14ac:dyDescent="0.35">
      <c r="A789" s="2">
        <v>46079</v>
      </c>
      <c r="B789" s="3">
        <f t="shared" si="60"/>
        <v>2026</v>
      </c>
      <c r="C789" s="3">
        <f t="shared" si="61"/>
        <v>2</v>
      </c>
      <c r="D789" s="3" t="str">
        <f t="shared" si="62"/>
        <v>Thu</v>
      </c>
      <c r="E789" s="3">
        <f t="shared" si="63"/>
        <v>0</v>
      </c>
      <c r="F789" s="3">
        <f t="shared" si="64"/>
        <v>1</v>
      </c>
      <c r="G789" s="3" t="str">
        <f t="array" ref="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3">
        <f>COUNTIF(Events!$A$2:$A$397,$A789)</f>
        <v>0</v>
      </c>
      <c r="I789" s="25" t="str">
        <f t="array" ref="I789">_xlfn.TEXTJOIN(" | ",TRUE(),IF(Events!$A$2:$A$397=$A789,Events!$E$2:$E$397&amp;IF(Events!$G$2:$G$397="National",""," ["&amp;Events!$G$2:$G$397&amp;"]"),""))</f>
        <v/>
      </c>
    </row>
    <row r="790" spans="1:9" ht="15" customHeight="1" x14ac:dyDescent="0.35">
      <c r="A790" s="2">
        <v>46080</v>
      </c>
      <c r="B790" s="3">
        <f t="shared" si="60"/>
        <v>2026</v>
      </c>
      <c r="C790" s="3">
        <f t="shared" si="61"/>
        <v>2</v>
      </c>
      <c r="D790" s="3" t="str">
        <f t="shared" si="62"/>
        <v>Fri</v>
      </c>
      <c r="E790" s="3">
        <f t="shared" si="63"/>
        <v>0</v>
      </c>
      <c r="F790" s="3">
        <f t="shared" si="64"/>
        <v>1</v>
      </c>
      <c r="G790" s="3" t="str">
        <f t="array" ref="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3">
        <f>COUNTIF(Events!$A$2:$A$397,$A790)</f>
        <v>0</v>
      </c>
      <c r="I790" s="25" t="str">
        <f t="array" ref="I790">_xlfn.TEXTJOIN(" | ",TRUE(),IF(Events!$A$2:$A$397=$A790,Events!$E$2:$E$397&amp;IF(Events!$G$2:$G$397="National",""," ["&amp;Events!$G$2:$G$397&amp;"]"),""))</f>
        <v/>
      </c>
    </row>
    <row r="791" spans="1:9" ht="15" customHeight="1" x14ac:dyDescent="0.35">
      <c r="A791" s="2">
        <v>46081</v>
      </c>
      <c r="B791" s="3">
        <f t="shared" si="60"/>
        <v>2026</v>
      </c>
      <c r="C791" s="3">
        <f t="shared" si="61"/>
        <v>2</v>
      </c>
      <c r="D791" s="3" t="str">
        <f t="shared" si="62"/>
        <v>Sat</v>
      </c>
      <c r="E791" s="3">
        <f t="shared" si="63"/>
        <v>0</v>
      </c>
      <c r="F791" s="3">
        <f t="shared" si="64"/>
        <v>1</v>
      </c>
      <c r="G791" s="3" t="str">
        <f t="array" ref="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 | Disaster SEP ended: Fire [WA] FM-5614 | Disaster SEP ended: Flood [AK] DR-4893 | Disaster SEP ended: Flood [AK] DR-4912 | Disaster SEP ended: Severe Storm [AZ] DR-4911</v>
      </c>
      <c r="H791" s="3">
        <f>COUNTIF(Events!$A$2:$A$397,$A791)</f>
        <v>0</v>
      </c>
      <c r="I791" s="25" t="str">
        <f t="array" ref="I791">_xlfn.TEXTJOIN(" | ",TRUE(),IF(Events!$A$2:$A$397=$A791,Events!$E$2:$E$397&amp;IF(Events!$G$2:$G$397="National",""," ["&amp;Events!$G$2:$G$397&amp;"]"),""))</f>
        <v/>
      </c>
    </row>
    <row r="792" spans="1:9" ht="15" customHeight="1" x14ac:dyDescent="0.35">
      <c r="A792" s="2">
        <v>46082</v>
      </c>
      <c r="B792" s="3">
        <f t="shared" si="60"/>
        <v>2026</v>
      </c>
      <c r="C792" s="3">
        <f t="shared" si="61"/>
        <v>3</v>
      </c>
      <c r="D792" s="3" t="str">
        <f t="shared" si="62"/>
        <v>Sun</v>
      </c>
      <c r="E792" s="3">
        <f t="shared" si="63"/>
        <v>0</v>
      </c>
      <c r="F792" s="3">
        <f t="shared" si="64"/>
        <v>1</v>
      </c>
      <c r="G792" s="3" t="str">
        <f t="array" ref="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
      </c>
      <c r="H792" s="3">
        <f>COUNTIF(Events!$A$2:$A$397,$A792)</f>
        <v>0</v>
      </c>
      <c r="I792" s="25" t="str">
        <f t="array" ref="I792">_xlfn.TEXTJOIN(" | ",TRUE(),IF(Events!$A$2:$A$397=$A792,Events!$E$2:$E$397&amp;IF(Events!$G$2:$G$397="National",""," ["&amp;Events!$G$2:$G$397&amp;"]"),""))</f>
        <v/>
      </c>
    </row>
    <row r="793" spans="1:9" ht="15" customHeight="1" x14ac:dyDescent="0.35">
      <c r="A793" s="2">
        <v>46083</v>
      </c>
      <c r="B793" s="3">
        <f t="shared" si="60"/>
        <v>2026</v>
      </c>
      <c r="C793" s="3">
        <f t="shared" si="61"/>
        <v>3</v>
      </c>
      <c r="D793" s="3" t="str">
        <f t="shared" si="62"/>
        <v>Mon</v>
      </c>
      <c r="E793" s="3">
        <f t="shared" si="63"/>
        <v>0</v>
      </c>
      <c r="F793" s="3">
        <f t="shared" si="64"/>
        <v>1</v>
      </c>
      <c r="G793" s="3" t="str">
        <f t="array" ref="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3">
        <f>COUNTIF(Events!$A$2:$A$397,$A793)</f>
        <v>0</v>
      </c>
      <c r="I793" s="25" t="str">
        <f t="array" ref="I793">_xlfn.TEXTJOIN(" | ",TRUE(),IF(Events!$A$2:$A$397=$A793,Events!$E$2:$E$397&amp;IF(Events!$G$2:$G$397="National",""," ["&amp;Events!$G$2:$G$397&amp;"]"),""))</f>
        <v/>
      </c>
    </row>
    <row r="794" spans="1:9" ht="15" customHeight="1" x14ac:dyDescent="0.35">
      <c r="A794" s="2">
        <v>46084</v>
      </c>
      <c r="B794" s="3">
        <f t="shared" si="60"/>
        <v>2026</v>
      </c>
      <c r="C794" s="3">
        <f t="shared" si="61"/>
        <v>3</v>
      </c>
      <c r="D794" s="3" t="str">
        <f t="shared" si="62"/>
        <v>Tue</v>
      </c>
      <c r="E794" s="3">
        <f t="shared" si="63"/>
        <v>0</v>
      </c>
      <c r="F794" s="3">
        <f t="shared" si="64"/>
        <v>1</v>
      </c>
      <c r="G794" s="3" t="str">
        <f t="array" ref="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3">
        <f>COUNTIF(Events!$A$2:$A$397,$A794)</f>
        <v>1</v>
      </c>
      <c r="I794" s="25" t="str">
        <f t="array" ref="I794">_xlfn.TEXTJOIN(" | ",TRUE(),IF(Events!$A$2:$A$397=$A794,Events!$E$2:$E$397&amp;IF(Events!$G$2:$G$397="National",""," ["&amp;Events!$G$2:$G$397&amp;"]"),""))</f>
        <v>New Mexico SB21 'Medicare Supplement Open Enrollment' signed by Governor, creates a birthday-rule guaranteed-issue window of 60+ days from the first day of the birth month, equal-or-lesser plans - effective 1/1/2027 (outside data window; signing is the in-window event) [NM]</v>
      </c>
    </row>
    <row r="795" spans="1:9" ht="15" customHeight="1" x14ac:dyDescent="0.35">
      <c r="A795" s="2">
        <v>46085</v>
      </c>
      <c r="B795" s="3">
        <f t="shared" si="60"/>
        <v>2026</v>
      </c>
      <c r="C795" s="3">
        <f t="shared" si="61"/>
        <v>3</v>
      </c>
      <c r="D795" s="3" t="str">
        <f t="shared" si="62"/>
        <v>Wed</v>
      </c>
      <c r="E795" s="3">
        <f t="shared" si="63"/>
        <v>0</v>
      </c>
      <c r="F795" s="3">
        <f t="shared" si="64"/>
        <v>1</v>
      </c>
      <c r="G795" s="3" t="str">
        <f t="array" ref="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3">
        <f>COUNTIF(Events!$A$2:$A$397,$A795)</f>
        <v>0</v>
      </c>
      <c r="I795" s="25" t="str">
        <f t="array" ref="I795">_xlfn.TEXTJOIN(" | ",TRUE(),IF(Events!$A$2:$A$397=$A795,Events!$E$2:$E$397&amp;IF(Events!$G$2:$G$397="National",""," ["&amp;Events!$G$2:$G$397&amp;"]"),""))</f>
        <v/>
      </c>
    </row>
    <row r="796" spans="1:9" ht="15" customHeight="1" x14ac:dyDescent="0.35">
      <c r="A796" s="2">
        <v>46086</v>
      </c>
      <c r="B796" s="3">
        <f t="shared" si="60"/>
        <v>2026</v>
      </c>
      <c r="C796" s="3">
        <f t="shared" si="61"/>
        <v>3</v>
      </c>
      <c r="D796" s="3" t="str">
        <f t="shared" si="62"/>
        <v>Thu</v>
      </c>
      <c r="E796" s="3">
        <f t="shared" si="63"/>
        <v>0</v>
      </c>
      <c r="F796" s="3">
        <f t="shared" si="64"/>
        <v>1</v>
      </c>
      <c r="G796" s="3" t="str">
        <f t="array" ref="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3">
        <f>COUNTIF(Events!$A$2:$A$397,$A796)</f>
        <v>0</v>
      </c>
      <c r="I796" s="25" t="str">
        <f t="array" ref="I796">_xlfn.TEXTJOIN(" | ",TRUE(),IF(Events!$A$2:$A$397=$A796,Events!$E$2:$E$397&amp;IF(Events!$G$2:$G$397="National",""," ["&amp;Events!$G$2:$G$397&amp;"]"),""))</f>
        <v/>
      </c>
    </row>
    <row r="797" spans="1:9" ht="15" customHeight="1" x14ac:dyDescent="0.35">
      <c r="A797" s="2">
        <v>46087</v>
      </c>
      <c r="B797" s="3">
        <f t="shared" si="60"/>
        <v>2026</v>
      </c>
      <c r="C797" s="3">
        <f t="shared" si="61"/>
        <v>3</v>
      </c>
      <c r="D797" s="3" t="str">
        <f t="shared" si="62"/>
        <v>Fri</v>
      </c>
      <c r="E797" s="3">
        <f t="shared" si="63"/>
        <v>0</v>
      </c>
      <c r="F797" s="3">
        <f t="shared" si="64"/>
        <v>1</v>
      </c>
      <c r="G797" s="3" t="str">
        <f t="array" ref="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3">
        <f>COUNTIF(Events!$A$2:$A$397,$A797)</f>
        <v>0</v>
      </c>
      <c r="I797" s="25" t="str">
        <f t="array" ref="I797">_xlfn.TEXTJOIN(" | ",TRUE(),IF(Events!$A$2:$A$397=$A797,Events!$E$2:$E$397&amp;IF(Events!$G$2:$G$397="National",""," ["&amp;Events!$G$2:$G$397&amp;"]"),""))</f>
        <v/>
      </c>
    </row>
    <row r="798" spans="1:9" ht="15" customHeight="1" x14ac:dyDescent="0.35">
      <c r="A798" s="2">
        <v>46088</v>
      </c>
      <c r="B798" s="3">
        <f t="shared" si="60"/>
        <v>2026</v>
      </c>
      <c r="C798" s="3">
        <f t="shared" si="61"/>
        <v>3</v>
      </c>
      <c r="D798" s="3" t="str">
        <f t="shared" si="62"/>
        <v>Sat</v>
      </c>
      <c r="E798" s="3">
        <f t="shared" si="63"/>
        <v>0</v>
      </c>
      <c r="F798" s="3">
        <f t="shared" si="64"/>
        <v>1</v>
      </c>
      <c r="G798" s="3" t="str">
        <f t="array" ref="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3">
        <f>COUNTIF(Events!$A$2:$A$397,$A798)</f>
        <v>0</v>
      </c>
      <c r="I798" s="25" t="str">
        <f t="array" ref="I798">_xlfn.TEXTJOIN(" | ",TRUE(),IF(Events!$A$2:$A$397=$A798,Events!$E$2:$E$397&amp;IF(Events!$G$2:$G$397="National",""," ["&amp;Events!$G$2:$G$397&amp;"]"),""))</f>
        <v/>
      </c>
    </row>
    <row r="799" spans="1:9" ht="15" customHeight="1" x14ac:dyDescent="0.35">
      <c r="A799" s="2">
        <v>46089</v>
      </c>
      <c r="B799" s="3">
        <f t="shared" si="60"/>
        <v>2026</v>
      </c>
      <c r="C799" s="3">
        <f t="shared" si="61"/>
        <v>3</v>
      </c>
      <c r="D799" s="3" t="str">
        <f t="shared" si="62"/>
        <v>Sun</v>
      </c>
      <c r="E799" s="3">
        <f t="shared" si="63"/>
        <v>0</v>
      </c>
      <c r="F799" s="3">
        <f t="shared" si="64"/>
        <v>1</v>
      </c>
      <c r="G799" s="3" t="str">
        <f t="array" ref="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3">
        <f>COUNTIF(Events!$A$2:$A$397,$A799)</f>
        <v>0</v>
      </c>
      <c r="I799" s="25" t="str">
        <f t="array" ref="I799">_xlfn.TEXTJOIN(" | ",TRUE(),IF(Events!$A$2:$A$397=$A799,Events!$E$2:$E$397&amp;IF(Events!$G$2:$G$397="National",""," ["&amp;Events!$G$2:$G$397&amp;"]"),""))</f>
        <v/>
      </c>
    </row>
    <row r="800" spans="1:9" ht="15" customHeight="1" x14ac:dyDescent="0.35">
      <c r="A800" s="2">
        <v>46090</v>
      </c>
      <c r="B800" s="3">
        <f t="shared" si="60"/>
        <v>2026</v>
      </c>
      <c r="C800" s="3">
        <f t="shared" si="61"/>
        <v>3</v>
      </c>
      <c r="D800" s="3" t="str">
        <f t="shared" si="62"/>
        <v>Mon</v>
      </c>
      <c r="E800" s="3">
        <f t="shared" si="63"/>
        <v>0</v>
      </c>
      <c r="F800" s="3">
        <f t="shared" si="64"/>
        <v>1</v>
      </c>
      <c r="G800" s="3" t="str">
        <f t="array" ref="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3">
        <f>COUNTIF(Events!$A$2:$A$397,$A800)</f>
        <v>0</v>
      </c>
      <c r="I800" s="25" t="str">
        <f t="array" ref="I800">_xlfn.TEXTJOIN(" | ",TRUE(),IF(Events!$A$2:$A$397=$A800,Events!$E$2:$E$397&amp;IF(Events!$G$2:$G$397="National",""," ["&amp;Events!$G$2:$G$397&amp;"]"),""))</f>
        <v/>
      </c>
    </row>
    <row r="801" spans="1:9" ht="15" customHeight="1" x14ac:dyDescent="0.35">
      <c r="A801" s="2">
        <v>46091</v>
      </c>
      <c r="B801" s="3">
        <f t="shared" si="60"/>
        <v>2026</v>
      </c>
      <c r="C801" s="3">
        <f t="shared" si="61"/>
        <v>3</v>
      </c>
      <c r="D801" s="3" t="str">
        <f t="shared" si="62"/>
        <v>Tue</v>
      </c>
      <c r="E801" s="3">
        <f t="shared" si="63"/>
        <v>0</v>
      </c>
      <c r="F801" s="3">
        <f t="shared" si="64"/>
        <v>1</v>
      </c>
      <c r="G801" s="3" t="str">
        <f t="array" ref="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3">
        <f>COUNTIF(Events!$A$2:$A$397,$A801)</f>
        <v>0</v>
      </c>
      <c r="I801" s="25" t="str">
        <f t="array" ref="I801">_xlfn.TEXTJOIN(" | ",TRUE(),IF(Events!$A$2:$A$397=$A801,Events!$E$2:$E$397&amp;IF(Events!$G$2:$G$397="National",""," ["&amp;Events!$G$2:$G$397&amp;"]"),""))</f>
        <v/>
      </c>
    </row>
    <row r="802" spans="1:9" ht="15" customHeight="1" x14ac:dyDescent="0.35">
      <c r="A802" s="2">
        <v>46092</v>
      </c>
      <c r="B802" s="3">
        <f t="shared" si="60"/>
        <v>2026</v>
      </c>
      <c r="C802" s="3">
        <f t="shared" si="61"/>
        <v>3</v>
      </c>
      <c r="D802" s="3" t="str">
        <f t="shared" si="62"/>
        <v>Wed</v>
      </c>
      <c r="E802" s="3">
        <f t="shared" si="63"/>
        <v>0</v>
      </c>
      <c r="F802" s="3">
        <f t="shared" si="64"/>
        <v>1</v>
      </c>
      <c r="G802" s="3" t="str">
        <f t="array" ref="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3">
        <f>COUNTIF(Events!$A$2:$A$397,$A802)</f>
        <v>0</v>
      </c>
      <c r="I802" s="25" t="str">
        <f t="array" ref="I802">_xlfn.TEXTJOIN(" | ",TRUE(),IF(Events!$A$2:$A$397=$A802,Events!$E$2:$E$397&amp;IF(Events!$G$2:$G$397="National",""," ["&amp;Events!$G$2:$G$397&amp;"]"),""))</f>
        <v/>
      </c>
    </row>
    <row r="803" spans="1:9" ht="15" customHeight="1" x14ac:dyDescent="0.35">
      <c r="A803" s="2">
        <v>46093</v>
      </c>
      <c r="B803" s="3">
        <f t="shared" si="60"/>
        <v>2026</v>
      </c>
      <c r="C803" s="3">
        <f t="shared" si="61"/>
        <v>3</v>
      </c>
      <c r="D803" s="3" t="str">
        <f t="shared" si="62"/>
        <v>Thu</v>
      </c>
      <c r="E803" s="3">
        <f t="shared" si="63"/>
        <v>0</v>
      </c>
      <c r="F803" s="3">
        <f t="shared" si="64"/>
        <v>1</v>
      </c>
      <c r="G803" s="3" t="str">
        <f t="array" ref="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3">
        <f>COUNTIF(Events!$A$2:$A$397,$A803)</f>
        <v>0</v>
      </c>
      <c r="I803" s="25" t="str">
        <f t="array" ref="I803">_xlfn.TEXTJOIN(" | ",TRUE(),IF(Events!$A$2:$A$397=$A803,Events!$E$2:$E$397&amp;IF(Events!$G$2:$G$397="National",""," ["&amp;Events!$G$2:$G$397&amp;"]"),""))</f>
        <v/>
      </c>
    </row>
    <row r="804" spans="1:9" ht="15" customHeight="1" x14ac:dyDescent="0.35">
      <c r="A804" s="2">
        <v>46094</v>
      </c>
      <c r="B804" s="3">
        <f t="shared" si="60"/>
        <v>2026</v>
      </c>
      <c r="C804" s="3">
        <f t="shared" si="61"/>
        <v>3</v>
      </c>
      <c r="D804" s="3" t="str">
        <f t="shared" si="62"/>
        <v>Fri</v>
      </c>
      <c r="E804" s="3">
        <f t="shared" si="63"/>
        <v>0</v>
      </c>
      <c r="F804" s="3">
        <f t="shared" si="64"/>
        <v>1</v>
      </c>
      <c r="G804" s="3" t="str">
        <f t="array" ref="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3">
        <f>COUNTIF(Events!$A$2:$A$397,$A804)</f>
        <v>0</v>
      </c>
      <c r="I804" s="25" t="str">
        <f t="array" ref="I804">_xlfn.TEXTJOIN(" | ",TRUE(),IF(Events!$A$2:$A$397=$A804,Events!$E$2:$E$397&amp;IF(Events!$G$2:$G$397="National",""," ["&amp;Events!$G$2:$G$397&amp;"]"),""))</f>
        <v/>
      </c>
    </row>
    <row r="805" spans="1:9" ht="15" customHeight="1" x14ac:dyDescent="0.35">
      <c r="A805" s="2">
        <v>46095</v>
      </c>
      <c r="B805" s="3">
        <f t="shared" si="60"/>
        <v>2026</v>
      </c>
      <c r="C805" s="3">
        <f t="shared" si="61"/>
        <v>3</v>
      </c>
      <c r="D805" s="3" t="str">
        <f t="shared" si="62"/>
        <v>Sat</v>
      </c>
      <c r="E805" s="3">
        <f t="shared" si="63"/>
        <v>0</v>
      </c>
      <c r="F805" s="3">
        <f t="shared" si="64"/>
        <v>1</v>
      </c>
      <c r="G805" s="3" t="str">
        <f t="array" ref="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3">
        <f>COUNTIF(Events!$A$2:$A$397,$A805)</f>
        <v>0</v>
      </c>
      <c r="I805" s="25" t="str">
        <f t="array" ref="I805">_xlfn.TEXTJOIN(" | ",TRUE(),IF(Events!$A$2:$A$397=$A805,Events!$E$2:$E$397&amp;IF(Events!$G$2:$G$397="National",""," ["&amp;Events!$G$2:$G$397&amp;"]"),""))</f>
        <v/>
      </c>
    </row>
    <row r="806" spans="1:9" ht="15" customHeight="1" x14ac:dyDescent="0.35">
      <c r="A806" s="2">
        <v>46096</v>
      </c>
      <c r="B806" s="3">
        <f t="shared" si="60"/>
        <v>2026</v>
      </c>
      <c r="C806" s="3">
        <f t="shared" si="61"/>
        <v>3</v>
      </c>
      <c r="D806" s="3" t="str">
        <f t="shared" si="62"/>
        <v>Sun</v>
      </c>
      <c r="E806" s="3">
        <f t="shared" si="63"/>
        <v>0</v>
      </c>
      <c r="F806" s="3">
        <f t="shared" si="64"/>
        <v>1</v>
      </c>
      <c r="G806" s="3" t="str">
        <f t="array" ref="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3">
        <f>COUNTIF(Events!$A$2:$A$397,$A806)</f>
        <v>0</v>
      </c>
      <c r="I806" s="25" t="str">
        <f t="array" ref="I806">_xlfn.TEXTJOIN(" | ",TRUE(),IF(Events!$A$2:$A$397=$A806,Events!$E$2:$E$397&amp;IF(Events!$G$2:$G$397="National",""," ["&amp;Events!$G$2:$G$397&amp;"]"),""))</f>
        <v/>
      </c>
    </row>
    <row r="807" spans="1:9" ht="15" customHeight="1" x14ac:dyDescent="0.35">
      <c r="A807" s="2">
        <v>46097</v>
      </c>
      <c r="B807" s="3">
        <f t="shared" si="60"/>
        <v>2026</v>
      </c>
      <c r="C807" s="3">
        <f t="shared" si="61"/>
        <v>3</v>
      </c>
      <c r="D807" s="3" t="str">
        <f t="shared" si="62"/>
        <v>Mon</v>
      </c>
      <c r="E807" s="3">
        <f t="shared" si="63"/>
        <v>0</v>
      </c>
      <c r="F807" s="3">
        <f t="shared" si="64"/>
        <v>1</v>
      </c>
      <c r="G807" s="3" t="str">
        <f t="array" ref="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3">
        <f>COUNTIF(Events!$A$2:$A$397,$A807)</f>
        <v>0</v>
      </c>
      <c r="I807" s="25" t="str">
        <f t="array" ref="I807">_xlfn.TEXTJOIN(" | ",TRUE(),IF(Events!$A$2:$A$397=$A807,Events!$E$2:$E$397&amp;IF(Events!$G$2:$G$397="National",""," ["&amp;Events!$G$2:$G$397&amp;"]"),""))</f>
        <v/>
      </c>
    </row>
    <row r="808" spans="1:9" ht="15" customHeight="1" x14ac:dyDescent="0.35">
      <c r="A808" s="2">
        <v>46098</v>
      </c>
      <c r="B808" s="3">
        <f t="shared" si="60"/>
        <v>2026</v>
      </c>
      <c r="C808" s="3">
        <f t="shared" si="61"/>
        <v>3</v>
      </c>
      <c r="D808" s="3" t="str">
        <f t="shared" si="62"/>
        <v>Tue</v>
      </c>
      <c r="E808" s="3">
        <f t="shared" si="63"/>
        <v>0</v>
      </c>
      <c r="F808" s="3">
        <f t="shared" si="64"/>
        <v>1</v>
      </c>
      <c r="G808" s="3" t="str">
        <f t="array" ref="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3">
        <f>COUNTIF(Events!$A$2:$A$397,$A808)</f>
        <v>0</v>
      </c>
      <c r="I808" s="25" t="str">
        <f t="array" ref="I808">_xlfn.TEXTJOIN(" | ",TRUE(),IF(Events!$A$2:$A$397=$A808,Events!$E$2:$E$397&amp;IF(Events!$G$2:$G$397="National",""," ["&amp;Events!$G$2:$G$397&amp;"]"),""))</f>
        <v/>
      </c>
    </row>
    <row r="809" spans="1:9" ht="15" customHeight="1" x14ac:dyDescent="0.35">
      <c r="A809" s="2">
        <v>46099</v>
      </c>
      <c r="B809" s="3">
        <f t="shared" si="60"/>
        <v>2026</v>
      </c>
      <c r="C809" s="3">
        <f t="shared" si="61"/>
        <v>3</v>
      </c>
      <c r="D809" s="3" t="str">
        <f t="shared" si="62"/>
        <v>Wed</v>
      </c>
      <c r="E809" s="3">
        <f t="shared" si="63"/>
        <v>0</v>
      </c>
      <c r="F809" s="3">
        <f t="shared" si="64"/>
        <v>1</v>
      </c>
      <c r="G809" s="3" t="str">
        <f t="array" ref="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3">
        <f>COUNTIF(Events!$A$2:$A$397,$A809)</f>
        <v>0</v>
      </c>
      <c r="I809" s="25" t="str">
        <f t="array" ref="I809">_xlfn.TEXTJOIN(" | ",TRUE(),IF(Events!$A$2:$A$397=$A809,Events!$E$2:$E$397&amp;IF(Events!$G$2:$G$397="National",""," ["&amp;Events!$G$2:$G$397&amp;"]"),""))</f>
        <v/>
      </c>
    </row>
    <row r="810" spans="1:9" ht="15" customHeight="1" x14ac:dyDescent="0.35">
      <c r="A810" s="2">
        <v>46100</v>
      </c>
      <c r="B810" s="3">
        <f t="shared" si="60"/>
        <v>2026</v>
      </c>
      <c r="C810" s="3">
        <f t="shared" si="61"/>
        <v>3</v>
      </c>
      <c r="D810" s="3" t="str">
        <f t="shared" si="62"/>
        <v>Thu</v>
      </c>
      <c r="E810" s="3">
        <f t="shared" si="63"/>
        <v>0</v>
      </c>
      <c r="F810" s="3">
        <f t="shared" si="64"/>
        <v>1</v>
      </c>
      <c r="G810" s="3" t="str">
        <f t="array" ref="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3">
        <f>COUNTIF(Events!$A$2:$A$397,$A810)</f>
        <v>0</v>
      </c>
      <c r="I810" s="25" t="str">
        <f t="array" ref="I810">_xlfn.TEXTJOIN(" | ",TRUE(),IF(Events!$A$2:$A$397=$A810,Events!$E$2:$E$397&amp;IF(Events!$G$2:$G$397="National",""," ["&amp;Events!$G$2:$G$397&amp;"]"),""))</f>
        <v/>
      </c>
    </row>
    <row r="811" spans="1:9" ht="15" customHeight="1" x14ac:dyDescent="0.35">
      <c r="A811" s="2">
        <v>46101</v>
      </c>
      <c r="B811" s="3">
        <f t="shared" si="60"/>
        <v>2026</v>
      </c>
      <c r="C811" s="3">
        <f t="shared" si="61"/>
        <v>3</v>
      </c>
      <c r="D811" s="3" t="str">
        <f t="shared" si="62"/>
        <v>Fri</v>
      </c>
      <c r="E811" s="3">
        <f t="shared" si="63"/>
        <v>0</v>
      </c>
      <c r="F811" s="3">
        <f t="shared" si="64"/>
        <v>1</v>
      </c>
      <c r="G811" s="3" t="str">
        <f t="array" ref="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3">
        <f>COUNTIF(Events!$A$2:$A$397,$A811)</f>
        <v>0</v>
      </c>
      <c r="I811" s="25" t="str">
        <f t="array" ref="I811">_xlfn.TEXTJOIN(" | ",TRUE(),IF(Events!$A$2:$A$397=$A811,Events!$E$2:$E$397&amp;IF(Events!$G$2:$G$397="National",""," ["&amp;Events!$G$2:$G$397&amp;"]"),""))</f>
        <v/>
      </c>
    </row>
    <row r="812" spans="1:9" ht="15" customHeight="1" x14ac:dyDescent="0.35">
      <c r="A812" s="2">
        <v>46102</v>
      </c>
      <c r="B812" s="3">
        <f t="shared" si="60"/>
        <v>2026</v>
      </c>
      <c r="C812" s="3">
        <f t="shared" si="61"/>
        <v>3</v>
      </c>
      <c r="D812" s="3" t="str">
        <f t="shared" si="62"/>
        <v>Sat</v>
      </c>
      <c r="E812" s="3">
        <f t="shared" si="63"/>
        <v>0</v>
      </c>
      <c r="F812" s="3">
        <f t="shared" si="64"/>
        <v>1</v>
      </c>
      <c r="G812" s="3" t="str">
        <f t="array" ref="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3">
        <f>COUNTIF(Events!$A$2:$A$397,$A812)</f>
        <v>0</v>
      </c>
      <c r="I812" s="25" t="str">
        <f t="array" ref="I812">_xlfn.TEXTJOIN(" | ",TRUE(),IF(Events!$A$2:$A$397=$A812,Events!$E$2:$E$397&amp;IF(Events!$G$2:$G$397="National",""," ["&amp;Events!$G$2:$G$397&amp;"]"),""))</f>
        <v/>
      </c>
    </row>
    <row r="813" spans="1:9" ht="15" customHeight="1" x14ac:dyDescent="0.35">
      <c r="A813" s="2">
        <v>46103</v>
      </c>
      <c r="B813" s="3">
        <f t="shared" si="60"/>
        <v>2026</v>
      </c>
      <c r="C813" s="3">
        <f t="shared" si="61"/>
        <v>3</v>
      </c>
      <c r="D813" s="3" t="str">
        <f t="shared" si="62"/>
        <v>Sun</v>
      </c>
      <c r="E813" s="3">
        <f t="shared" si="63"/>
        <v>0</v>
      </c>
      <c r="F813" s="3">
        <f t="shared" si="64"/>
        <v>1</v>
      </c>
      <c r="G813" s="3" t="str">
        <f t="array" ref="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3">
        <f>COUNTIF(Events!$A$2:$A$397,$A813)</f>
        <v>0</v>
      </c>
      <c r="I813" s="25" t="str">
        <f t="array" ref="I813">_xlfn.TEXTJOIN(" | ",TRUE(),IF(Events!$A$2:$A$397=$A813,Events!$E$2:$E$397&amp;IF(Events!$G$2:$G$397="National",""," ["&amp;Events!$G$2:$G$397&amp;"]"),""))</f>
        <v/>
      </c>
    </row>
    <row r="814" spans="1:9" ht="15" customHeight="1" x14ac:dyDescent="0.35">
      <c r="A814" s="2">
        <v>46104</v>
      </c>
      <c r="B814" s="3">
        <f t="shared" si="60"/>
        <v>2026</v>
      </c>
      <c r="C814" s="3">
        <f t="shared" si="61"/>
        <v>3</v>
      </c>
      <c r="D814" s="3" t="str">
        <f t="shared" si="62"/>
        <v>Mon</v>
      </c>
      <c r="E814" s="3">
        <f t="shared" si="63"/>
        <v>0</v>
      </c>
      <c r="F814" s="3">
        <f t="shared" si="64"/>
        <v>1</v>
      </c>
      <c r="G814" s="3" t="str">
        <f t="array" ref="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3">
        <f>COUNTIF(Events!$A$2:$A$397,$A814)</f>
        <v>0</v>
      </c>
      <c r="I814" s="25" t="str">
        <f t="array" ref="I814">_xlfn.TEXTJOIN(" | ",TRUE(),IF(Events!$A$2:$A$397=$A814,Events!$E$2:$E$397&amp;IF(Events!$G$2:$G$397="National",""," ["&amp;Events!$G$2:$G$397&amp;"]"),""))</f>
        <v/>
      </c>
    </row>
    <row r="815" spans="1:9" ht="15" customHeight="1" x14ac:dyDescent="0.35">
      <c r="A815" s="2">
        <v>46105</v>
      </c>
      <c r="B815" s="3">
        <f t="shared" si="60"/>
        <v>2026</v>
      </c>
      <c r="C815" s="3">
        <f t="shared" si="61"/>
        <v>3</v>
      </c>
      <c r="D815" s="3" t="str">
        <f t="shared" si="62"/>
        <v>Tue</v>
      </c>
      <c r="E815" s="3">
        <f t="shared" si="63"/>
        <v>0</v>
      </c>
      <c r="F815" s="3">
        <f t="shared" si="64"/>
        <v>1</v>
      </c>
      <c r="G815" s="3" t="str">
        <f t="array" ref="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3">
        <f>COUNTIF(Events!$A$2:$A$397,$A815)</f>
        <v>0</v>
      </c>
      <c r="I815" s="25" t="str">
        <f t="array" ref="I815">_xlfn.TEXTJOIN(" | ",TRUE(),IF(Events!$A$2:$A$397=$A815,Events!$E$2:$E$397&amp;IF(Events!$G$2:$G$397="National",""," ["&amp;Events!$G$2:$G$397&amp;"]"),""))</f>
        <v/>
      </c>
    </row>
    <row r="816" spans="1:9" ht="15" customHeight="1" x14ac:dyDescent="0.35">
      <c r="A816" s="2">
        <v>46106</v>
      </c>
      <c r="B816" s="3">
        <f t="shared" si="60"/>
        <v>2026</v>
      </c>
      <c r="C816" s="3">
        <f t="shared" si="61"/>
        <v>3</v>
      </c>
      <c r="D816" s="3" t="str">
        <f t="shared" si="62"/>
        <v>Wed</v>
      </c>
      <c r="E816" s="3">
        <f t="shared" si="63"/>
        <v>0</v>
      </c>
      <c r="F816" s="3">
        <f t="shared" si="64"/>
        <v>1</v>
      </c>
      <c r="G816" s="3" t="str">
        <f t="array" ref="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3">
        <f>COUNTIF(Events!$A$2:$A$397,$A816)</f>
        <v>0</v>
      </c>
      <c r="I816" s="25" t="str">
        <f t="array" ref="I816">_xlfn.TEXTJOIN(" | ",TRUE(),IF(Events!$A$2:$A$397=$A816,Events!$E$2:$E$397&amp;IF(Events!$G$2:$G$397="National",""," ["&amp;Events!$G$2:$G$397&amp;"]"),""))</f>
        <v/>
      </c>
    </row>
    <row r="817" spans="1:9" ht="15" customHeight="1" x14ac:dyDescent="0.35">
      <c r="A817" s="2">
        <v>46107</v>
      </c>
      <c r="B817" s="3">
        <f t="shared" si="60"/>
        <v>2026</v>
      </c>
      <c r="C817" s="3">
        <f t="shared" si="61"/>
        <v>3</v>
      </c>
      <c r="D817" s="3" t="str">
        <f t="shared" si="62"/>
        <v>Thu</v>
      </c>
      <c r="E817" s="3">
        <f t="shared" si="63"/>
        <v>0</v>
      </c>
      <c r="F817" s="3">
        <f t="shared" si="64"/>
        <v>1</v>
      </c>
      <c r="G817" s="3" t="str">
        <f t="array" ref="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3">
        <f>COUNTIF(Events!$A$2:$A$397,$A817)</f>
        <v>0</v>
      </c>
      <c r="I817" s="25" t="str">
        <f t="array" ref="I817">_xlfn.TEXTJOIN(" | ",TRUE(),IF(Events!$A$2:$A$397=$A817,Events!$E$2:$E$397&amp;IF(Events!$G$2:$G$397="National",""," ["&amp;Events!$G$2:$G$397&amp;"]"),""))</f>
        <v/>
      </c>
    </row>
    <row r="818" spans="1:9" ht="15" customHeight="1" x14ac:dyDescent="0.35">
      <c r="A818" s="2">
        <v>46108</v>
      </c>
      <c r="B818" s="3">
        <f t="shared" si="60"/>
        <v>2026</v>
      </c>
      <c r="C818" s="3">
        <f t="shared" si="61"/>
        <v>3</v>
      </c>
      <c r="D818" s="3" t="str">
        <f t="shared" si="62"/>
        <v>Fri</v>
      </c>
      <c r="E818" s="3">
        <f t="shared" si="63"/>
        <v>0</v>
      </c>
      <c r="F818" s="3">
        <f t="shared" si="64"/>
        <v>1</v>
      </c>
      <c r="G818" s="3" t="str">
        <f t="array" ref="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3">
        <f>COUNTIF(Events!$A$2:$A$397,$A818)</f>
        <v>0</v>
      </c>
      <c r="I818" s="25" t="str">
        <f t="array" ref="I818">_xlfn.TEXTJOIN(" | ",TRUE(),IF(Events!$A$2:$A$397=$A818,Events!$E$2:$E$397&amp;IF(Events!$G$2:$G$397="National",""," ["&amp;Events!$G$2:$G$397&amp;"]"),""))</f>
        <v/>
      </c>
    </row>
    <row r="819" spans="1:9" ht="15" customHeight="1" x14ac:dyDescent="0.35">
      <c r="A819" s="2">
        <v>46109</v>
      </c>
      <c r="B819" s="3">
        <f t="shared" si="60"/>
        <v>2026</v>
      </c>
      <c r="C819" s="3">
        <f t="shared" si="61"/>
        <v>3</v>
      </c>
      <c r="D819" s="3" t="str">
        <f t="shared" si="62"/>
        <v>Sat</v>
      </c>
      <c r="E819" s="3">
        <f t="shared" si="63"/>
        <v>0</v>
      </c>
      <c r="F819" s="3">
        <f t="shared" si="64"/>
        <v>1</v>
      </c>
      <c r="G819" s="3" t="str">
        <f t="array" ref="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3">
        <f>COUNTIF(Events!$A$2:$A$397,$A819)</f>
        <v>0</v>
      </c>
      <c r="I819" s="25" t="str">
        <f t="array" ref="I819">_xlfn.TEXTJOIN(" | ",TRUE(),IF(Events!$A$2:$A$397=$A819,Events!$E$2:$E$397&amp;IF(Events!$G$2:$G$397="National",""," ["&amp;Events!$G$2:$G$397&amp;"]"),""))</f>
        <v/>
      </c>
    </row>
    <row r="820" spans="1:9" ht="15" customHeight="1" x14ac:dyDescent="0.35">
      <c r="A820" s="2">
        <v>46110</v>
      </c>
      <c r="B820" s="3">
        <f t="shared" si="60"/>
        <v>2026</v>
      </c>
      <c r="C820" s="3">
        <f t="shared" si="61"/>
        <v>3</v>
      </c>
      <c r="D820" s="3" t="str">
        <f t="shared" si="62"/>
        <v>Sun</v>
      </c>
      <c r="E820" s="3">
        <f t="shared" si="63"/>
        <v>0</v>
      </c>
      <c r="F820" s="3">
        <f t="shared" si="64"/>
        <v>1</v>
      </c>
      <c r="G820" s="3" t="str">
        <f t="array" ref="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3">
        <f>COUNTIF(Events!$A$2:$A$397,$A820)</f>
        <v>0</v>
      </c>
      <c r="I820" s="25" t="str">
        <f t="array" ref="I820">_xlfn.TEXTJOIN(" | ",TRUE(),IF(Events!$A$2:$A$397=$A820,Events!$E$2:$E$397&amp;IF(Events!$G$2:$G$397="National",""," ["&amp;Events!$G$2:$G$397&amp;"]"),""))</f>
        <v/>
      </c>
    </row>
    <row r="821" spans="1:9" ht="15" customHeight="1" x14ac:dyDescent="0.35">
      <c r="A821" s="2">
        <v>46111</v>
      </c>
      <c r="B821" s="3">
        <f t="shared" si="60"/>
        <v>2026</v>
      </c>
      <c r="C821" s="3">
        <f t="shared" si="61"/>
        <v>3</v>
      </c>
      <c r="D821" s="3" t="str">
        <f t="shared" si="62"/>
        <v>Mon</v>
      </c>
      <c r="E821" s="3">
        <f t="shared" si="63"/>
        <v>0</v>
      </c>
      <c r="F821" s="3">
        <f t="shared" si="64"/>
        <v>1</v>
      </c>
      <c r="G821" s="3" t="str">
        <f t="array" ref="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3">
        <f>COUNTIF(Events!$A$2:$A$397,$A821)</f>
        <v>0</v>
      </c>
      <c r="I821" s="25" t="str">
        <f t="array" ref="I821">_xlfn.TEXTJOIN(" | ",TRUE(),IF(Events!$A$2:$A$397=$A821,Events!$E$2:$E$397&amp;IF(Events!$G$2:$G$397="National",""," ["&amp;Events!$G$2:$G$397&amp;"]"),""))</f>
        <v/>
      </c>
    </row>
    <row r="822" spans="1:9" ht="15" customHeight="1" x14ac:dyDescent="0.35">
      <c r="A822" s="2">
        <v>46112</v>
      </c>
      <c r="B822" s="3">
        <f t="shared" si="60"/>
        <v>2026</v>
      </c>
      <c r="C822" s="3">
        <f t="shared" si="61"/>
        <v>3</v>
      </c>
      <c r="D822" s="3" t="str">
        <f t="shared" si="62"/>
        <v>Tue</v>
      </c>
      <c r="E822" s="3">
        <f t="shared" si="63"/>
        <v>0</v>
      </c>
      <c r="F822" s="3">
        <f t="shared" si="64"/>
        <v>1</v>
      </c>
      <c r="G822" s="3" t="str">
        <f t="array" ref="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3">
        <f>COUNTIF(Events!$A$2:$A$397,$A822)</f>
        <v>0</v>
      </c>
      <c r="I822" s="25" t="str">
        <f t="array" ref="I822">_xlfn.TEXTJOIN(" | ",TRUE(),IF(Events!$A$2:$A$397=$A822,Events!$E$2:$E$397&amp;IF(Events!$G$2:$G$397="National",""," ["&amp;Events!$G$2:$G$397&amp;"]"),""))</f>
        <v/>
      </c>
    </row>
    <row r="823" spans="1:9" ht="15" customHeight="1" x14ac:dyDescent="0.35">
      <c r="A823" s="2">
        <v>46113</v>
      </c>
      <c r="B823" s="3">
        <f t="shared" si="60"/>
        <v>2026</v>
      </c>
      <c r="C823" s="3">
        <f t="shared" si="61"/>
        <v>4</v>
      </c>
      <c r="D823" s="3" t="str">
        <f t="shared" si="62"/>
        <v>Wed</v>
      </c>
      <c r="E823" s="3">
        <f t="shared" si="63"/>
        <v>0</v>
      </c>
      <c r="F823" s="3">
        <f t="shared" si="64"/>
        <v>0</v>
      </c>
      <c r="G823" s="3" t="str">
        <f t="array" ref="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3">
        <f>COUNTIF(Events!$A$2:$A$397,$A823)</f>
        <v>0</v>
      </c>
      <c r="I823" s="25" t="str">
        <f t="array" ref="I823">_xlfn.TEXTJOIN(" | ",TRUE(),IF(Events!$A$2:$A$397=$A823,Events!$E$2:$E$397&amp;IF(Events!$G$2:$G$397="National",""," ["&amp;Events!$G$2:$G$397&amp;"]"),""))</f>
        <v/>
      </c>
    </row>
    <row r="824" spans="1:9" ht="15" customHeight="1" x14ac:dyDescent="0.35">
      <c r="A824" s="2">
        <v>46114</v>
      </c>
      <c r="B824" s="3">
        <f t="shared" si="60"/>
        <v>2026</v>
      </c>
      <c r="C824" s="3">
        <f t="shared" si="61"/>
        <v>4</v>
      </c>
      <c r="D824" s="3" t="str">
        <f t="shared" si="62"/>
        <v>Thu</v>
      </c>
      <c r="E824" s="3">
        <f t="shared" si="63"/>
        <v>0</v>
      </c>
      <c r="F824" s="3">
        <f t="shared" si="64"/>
        <v>0</v>
      </c>
      <c r="G824" s="3" t="str">
        <f t="array" ref="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3">
        <f>COUNTIF(Events!$A$2:$A$397,$A824)</f>
        <v>1</v>
      </c>
      <c r="I824" s="25" t="str">
        <f t="array" ref="I824">_xlfn.TEXTJOIN(" | ",TRUE(),IF(Events!$A$2:$A$397=$A824,Events!$E$2:$E$397&amp;IF(Events!$G$2:$G$397="National",""," ["&amp;Events!$G$2:$G$397&amp;"]"),""))</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v>
      </c>
    </row>
    <row r="825" spans="1:9" ht="15" customHeight="1" x14ac:dyDescent="0.35">
      <c r="A825" s="2">
        <v>46115</v>
      </c>
      <c r="B825" s="3">
        <f t="shared" si="60"/>
        <v>2026</v>
      </c>
      <c r="C825" s="3">
        <f t="shared" si="61"/>
        <v>4</v>
      </c>
      <c r="D825" s="3" t="str">
        <f t="shared" si="62"/>
        <v>Fri</v>
      </c>
      <c r="E825" s="3">
        <f t="shared" si="63"/>
        <v>0</v>
      </c>
      <c r="F825" s="3">
        <f t="shared" si="64"/>
        <v>0</v>
      </c>
      <c r="G825" s="3" t="str">
        <f t="array" ref="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3">
        <f>COUNTIF(Events!$A$2:$A$397,$A825)</f>
        <v>0</v>
      </c>
      <c r="I825" s="25" t="str">
        <f t="array" ref="I825">_xlfn.TEXTJOIN(" | ",TRUE(),IF(Events!$A$2:$A$397=$A825,Events!$E$2:$E$397&amp;IF(Events!$G$2:$G$397="National",""," ["&amp;Events!$G$2:$G$397&amp;"]"),""))</f>
        <v/>
      </c>
    </row>
    <row r="826" spans="1:9" ht="15" customHeight="1" x14ac:dyDescent="0.35">
      <c r="A826" s="2">
        <v>46116</v>
      </c>
      <c r="B826" s="3">
        <f t="shared" si="60"/>
        <v>2026</v>
      </c>
      <c r="C826" s="3">
        <f t="shared" si="61"/>
        <v>4</v>
      </c>
      <c r="D826" s="3" t="str">
        <f t="shared" si="62"/>
        <v>Sat</v>
      </c>
      <c r="E826" s="3">
        <f t="shared" si="63"/>
        <v>0</v>
      </c>
      <c r="F826" s="3">
        <f t="shared" si="64"/>
        <v>0</v>
      </c>
      <c r="G826" s="3" t="str">
        <f t="array" ref="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3">
        <f>COUNTIF(Events!$A$2:$A$397,$A826)</f>
        <v>0</v>
      </c>
      <c r="I826" s="25" t="str">
        <f t="array" ref="I826">_xlfn.TEXTJOIN(" | ",TRUE(),IF(Events!$A$2:$A$397=$A826,Events!$E$2:$E$397&amp;IF(Events!$G$2:$G$397="National",""," ["&amp;Events!$G$2:$G$397&amp;"]"),""))</f>
        <v/>
      </c>
    </row>
    <row r="827" spans="1:9" ht="15" customHeight="1" x14ac:dyDescent="0.35">
      <c r="A827" s="2">
        <v>46117</v>
      </c>
      <c r="B827" s="3">
        <f t="shared" si="60"/>
        <v>2026</v>
      </c>
      <c r="C827" s="3">
        <f t="shared" si="61"/>
        <v>4</v>
      </c>
      <c r="D827" s="3" t="str">
        <f t="shared" si="62"/>
        <v>Sun</v>
      </c>
      <c r="E827" s="3">
        <f t="shared" si="63"/>
        <v>0</v>
      </c>
      <c r="F827" s="3">
        <f t="shared" si="64"/>
        <v>0</v>
      </c>
      <c r="G827" s="3" t="str">
        <f t="array" ref="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3">
        <f>COUNTIF(Events!$A$2:$A$397,$A827)</f>
        <v>0</v>
      </c>
      <c r="I827" s="25" t="str">
        <f t="array" ref="I827">_xlfn.TEXTJOIN(" | ",TRUE(),IF(Events!$A$2:$A$397=$A827,Events!$E$2:$E$397&amp;IF(Events!$G$2:$G$397="National",""," ["&amp;Events!$G$2:$G$397&amp;"]"),""))</f>
        <v/>
      </c>
    </row>
    <row r="828" spans="1:9" ht="15" customHeight="1" x14ac:dyDescent="0.35">
      <c r="A828" s="2">
        <v>46118</v>
      </c>
      <c r="B828" s="3">
        <f t="shared" si="60"/>
        <v>2026</v>
      </c>
      <c r="C828" s="3">
        <f t="shared" si="61"/>
        <v>4</v>
      </c>
      <c r="D828" s="3" t="str">
        <f t="shared" si="62"/>
        <v>Mon</v>
      </c>
      <c r="E828" s="3">
        <f t="shared" si="63"/>
        <v>0</v>
      </c>
      <c r="F828" s="3">
        <f t="shared" si="64"/>
        <v>0</v>
      </c>
      <c r="G828" s="3" t="str">
        <f t="array" ref="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3">
        <f>COUNTIF(Events!$A$2:$A$397,$A828)</f>
        <v>1</v>
      </c>
      <c r="I828" s="25" t="str">
        <f t="array" ref="I828">_xlfn.TEXTJOIN(" | ",TRUE(),IF(Events!$A$2:$A$397=$A828,Events!$E$2:$E$397&amp;IF(Events!$G$2:$G$397="National",""," ["&amp;Events!$G$2:$G$397&amp;"]"),""))</f>
        <v>CY2027 Rate Announcement: finalized +2.48% avg payment (~$13B, sharply up from proposed 0.09% after industry lobbying); kept 2024 (V28) risk model instead of proposed update; finalized exclusion of unlinked chart-review diagnoses from risk scores</v>
      </c>
    </row>
    <row r="829" spans="1:9" ht="15" customHeight="1" x14ac:dyDescent="0.35">
      <c r="A829" s="2">
        <v>46119</v>
      </c>
      <c r="B829" s="3">
        <f t="shared" si="60"/>
        <v>2026</v>
      </c>
      <c r="C829" s="3">
        <f t="shared" si="61"/>
        <v>4</v>
      </c>
      <c r="D829" s="3" t="str">
        <f t="shared" si="62"/>
        <v>Tue</v>
      </c>
      <c r="E829" s="3">
        <f t="shared" si="63"/>
        <v>0</v>
      </c>
      <c r="F829" s="3">
        <f t="shared" si="64"/>
        <v>0</v>
      </c>
      <c r="G829" s="3" t="str">
        <f t="array" ref="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3">
        <f>COUNTIF(Events!$A$2:$A$397,$A829)</f>
        <v>0</v>
      </c>
      <c r="I829" s="25" t="str">
        <f t="array" ref="I829">_xlfn.TEXTJOIN(" | ",TRUE(),IF(Events!$A$2:$A$397=$A829,Events!$E$2:$E$397&amp;IF(Events!$G$2:$G$397="National",""," ["&amp;Events!$G$2:$G$397&amp;"]"),""))</f>
        <v/>
      </c>
    </row>
    <row r="830" spans="1:9" ht="15" customHeight="1" x14ac:dyDescent="0.35">
      <c r="A830" s="2">
        <v>46120</v>
      </c>
      <c r="B830" s="3">
        <f t="shared" si="60"/>
        <v>2026</v>
      </c>
      <c r="C830" s="3">
        <f t="shared" si="61"/>
        <v>4</v>
      </c>
      <c r="D830" s="3" t="str">
        <f t="shared" si="62"/>
        <v>Wed</v>
      </c>
      <c r="E830" s="3">
        <f t="shared" si="63"/>
        <v>0</v>
      </c>
      <c r="F830" s="3">
        <f t="shared" si="64"/>
        <v>0</v>
      </c>
      <c r="G830" s="3" t="str">
        <f t="array" ref="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3">
        <f>COUNTIF(Events!$A$2:$A$397,$A830)</f>
        <v>0</v>
      </c>
      <c r="I830" s="25" t="str">
        <f t="array" ref="I830">_xlfn.TEXTJOIN(" | ",TRUE(),IF(Events!$A$2:$A$397=$A830,Events!$E$2:$E$397&amp;IF(Events!$G$2:$G$397="National",""," ["&amp;Events!$G$2:$G$397&amp;"]"),""))</f>
        <v/>
      </c>
    </row>
    <row r="831" spans="1:9" ht="15" customHeight="1" x14ac:dyDescent="0.35">
      <c r="A831" s="2">
        <v>46121</v>
      </c>
      <c r="B831" s="3">
        <f t="shared" si="60"/>
        <v>2026</v>
      </c>
      <c r="C831" s="3">
        <f t="shared" si="61"/>
        <v>4</v>
      </c>
      <c r="D831" s="3" t="str">
        <f t="shared" si="62"/>
        <v>Thu</v>
      </c>
      <c r="E831" s="3">
        <f t="shared" si="63"/>
        <v>0</v>
      </c>
      <c r="F831" s="3">
        <f t="shared" si="64"/>
        <v>0</v>
      </c>
      <c r="G831" s="3" t="str">
        <f t="array" ref="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3">
        <f>COUNTIF(Events!$A$2:$A$397,$A831)</f>
        <v>0</v>
      </c>
      <c r="I831" s="25" t="str">
        <f t="array" ref="I831">_xlfn.TEXTJOIN(" | ",TRUE(),IF(Events!$A$2:$A$397=$A831,Events!$E$2:$E$397&amp;IF(Events!$G$2:$G$397="National",""," ["&amp;Events!$G$2:$G$397&amp;"]"),""))</f>
        <v/>
      </c>
    </row>
    <row r="832" spans="1:9" ht="15" customHeight="1" x14ac:dyDescent="0.35">
      <c r="A832" s="2">
        <v>46122</v>
      </c>
      <c r="B832" s="3">
        <f t="shared" si="60"/>
        <v>2026</v>
      </c>
      <c r="C832" s="3">
        <f t="shared" si="61"/>
        <v>4</v>
      </c>
      <c r="D832" s="3" t="str">
        <f t="shared" si="62"/>
        <v>Fri</v>
      </c>
      <c r="E832" s="3">
        <f t="shared" si="63"/>
        <v>0</v>
      </c>
      <c r="F832" s="3">
        <f t="shared" si="64"/>
        <v>0</v>
      </c>
      <c r="G832" s="3" t="str">
        <f t="array" ref="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3">
        <f>COUNTIF(Events!$A$2:$A$397,$A832)</f>
        <v>0</v>
      </c>
      <c r="I832" s="25" t="str">
        <f t="array" ref="I832">_xlfn.TEXTJOIN(" | ",TRUE(),IF(Events!$A$2:$A$397=$A832,Events!$E$2:$E$397&amp;IF(Events!$G$2:$G$397="National",""," ["&amp;Events!$G$2:$G$397&amp;"]"),""))</f>
        <v/>
      </c>
    </row>
    <row r="833" spans="1:9" ht="15" customHeight="1" x14ac:dyDescent="0.35">
      <c r="A833" s="2">
        <v>46123</v>
      </c>
      <c r="B833" s="3">
        <f t="shared" si="60"/>
        <v>2026</v>
      </c>
      <c r="C833" s="3">
        <f t="shared" si="61"/>
        <v>4</v>
      </c>
      <c r="D833" s="3" t="str">
        <f t="shared" si="62"/>
        <v>Sat</v>
      </c>
      <c r="E833" s="3">
        <f t="shared" si="63"/>
        <v>0</v>
      </c>
      <c r="F833" s="3">
        <f t="shared" si="64"/>
        <v>0</v>
      </c>
      <c r="G833" s="3" t="str">
        <f t="array" ref="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3">
        <f>COUNTIF(Events!$A$2:$A$397,$A833)</f>
        <v>0</v>
      </c>
      <c r="I833" s="25" t="str">
        <f t="array" ref="I833">_xlfn.TEXTJOIN(" | ",TRUE(),IF(Events!$A$2:$A$397=$A833,Events!$E$2:$E$397&amp;IF(Events!$G$2:$G$397="National",""," ["&amp;Events!$G$2:$G$397&amp;"]"),""))</f>
        <v/>
      </c>
    </row>
    <row r="834" spans="1:9" ht="15" customHeight="1" x14ac:dyDescent="0.35">
      <c r="A834" s="2">
        <v>46124</v>
      </c>
      <c r="B834" s="3">
        <f t="shared" ref="B834:B883" si="65">YEAR($A834)</f>
        <v>2026</v>
      </c>
      <c r="C834" s="3">
        <f t="shared" ref="C834:C883" si="66">MONTH($A834)</f>
        <v>4</v>
      </c>
      <c r="D834" s="3" t="str">
        <f t="shared" ref="D834:D883" si="67">TEXT($A834,"ddd")</f>
        <v>Sun</v>
      </c>
      <c r="E834" s="3">
        <f t="shared" ref="E834:E883" si="68">IF(OR(AND(MONTH($A834)=10,DAY($A834)&gt;=15),MONTH($A834)=11,AND(MONTH($A834)=12,DAY($A834)&lt;=7)),1,0)</f>
        <v>0</v>
      </c>
      <c r="F834" s="3">
        <f t="shared" ref="F834:F883" si="69">IF(MONTH($A834)&lt;=3,1,0)</f>
        <v>0</v>
      </c>
      <c r="G834" s="3" t="str">
        <f t="array" ref="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3">
        <f>COUNTIF(Events!$A$2:$A$397,$A834)</f>
        <v>0</v>
      </c>
      <c r="I834" s="25" t="str">
        <f t="array" ref="I834">_xlfn.TEXTJOIN(" | ",TRUE(),IF(Events!$A$2:$A$397=$A834,Events!$E$2:$E$397&amp;IF(Events!$G$2:$G$397="National",""," ["&amp;Events!$G$2:$G$397&amp;"]"),""))</f>
        <v/>
      </c>
    </row>
    <row r="835" spans="1:9" ht="15" customHeight="1" x14ac:dyDescent="0.35">
      <c r="A835" s="2">
        <v>46125</v>
      </c>
      <c r="B835" s="3">
        <f t="shared" si="65"/>
        <v>2026</v>
      </c>
      <c r="C835" s="3">
        <f t="shared" si="66"/>
        <v>4</v>
      </c>
      <c r="D835" s="3" t="str">
        <f t="shared" si="67"/>
        <v>Mon</v>
      </c>
      <c r="E835" s="3">
        <f t="shared" si="68"/>
        <v>0</v>
      </c>
      <c r="F835" s="3">
        <f t="shared" si="69"/>
        <v>0</v>
      </c>
      <c r="G835" s="3" t="str">
        <f t="array" ref="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3">
        <f>COUNTIF(Events!$A$2:$A$397,$A835)</f>
        <v>0</v>
      </c>
      <c r="I835" s="25" t="str">
        <f t="array" ref="I835">_xlfn.TEXTJOIN(" | ",TRUE(),IF(Events!$A$2:$A$397=$A835,Events!$E$2:$E$397&amp;IF(Events!$G$2:$G$397="National",""," ["&amp;Events!$G$2:$G$397&amp;"]"),""))</f>
        <v/>
      </c>
    </row>
    <row r="836" spans="1:9" ht="15" customHeight="1" x14ac:dyDescent="0.35">
      <c r="A836" s="2">
        <v>46126</v>
      </c>
      <c r="B836" s="3">
        <f t="shared" si="65"/>
        <v>2026</v>
      </c>
      <c r="C836" s="3">
        <f t="shared" si="66"/>
        <v>4</v>
      </c>
      <c r="D836" s="3" t="str">
        <f t="shared" si="67"/>
        <v>Tue</v>
      </c>
      <c r="E836" s="3">
        <f t="shared" si="68"/>
        <v>0</v>
      </c>
      <c r="F836" s="3">
        <f t="shared" si="69"/>
        <v>0</v>
      </c>
      <c r="G836" s="3" t="str">
        <f t="array" ref="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3">
        <f>COUNTIF(Events!$A$2:$A$397,$A836)</f>
        <v>0</v>
      </c>
      <c r="I836" s="25" t="str">
        <f t="array" ref="I836">_xlfn.TEXTJOIN(" | ",TRUE(),IF(Events!$A$2:$A$397=$A836,Events!$E$2:$E$397&amp;IF(Events!$G$2:$G$397="National",""," ["&amp;Events!$G$2:$G$397&amp;"]"),""))</f>
        <v/>
      </c>
    </row>
    <row r="837" spans="1:9" ht="15" customHeight="1" x14ac:dyDescent="0.35">
      <c r="A837" s="2">
        <v>46127</v>
      </c>
      <c r="B837" s="3">
        <f t="shared" si="65"/>
        <v>2026</v>
      </c>
      <c r="C837" s="3">
        <f t="shared" si="66"/>
        <v>4</v>
      </c>
      <c r="D837" s="3" t="str">
        <f t="shared" si="67"/>
        <v>Wed</v>
      </c>
      <c r="E837" s="3">
        <f t="shared" si="68"/>
        <v>0</v>
      </c>
      <c r="F837" s="3">
        <f t="shared" si="69"/>
        <v>0</v>
      </c>
      <c r="G837" s="3" t="str">
        <f t="array" ref="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3">
        <f>COUNTIF(Events!$A$2:$A$397,$A837)</f>
        <v>0</v>
      </c>
      <c r="I837" s="25" t="str">
        <f t="array" ref="I837">_xlfn.TEXTJOIN(" | ",TRUE(),IF(Events!$A$2:$A$397=$A837,Events!$E$2:$E$397&amp;IF(Events!$G$2:$G$397="National",""," ["&amp;Events!$G$2:$G$397&amp;"]"),""))</f>
        <v/>
      </c>
    </row>
    <row r="838" spans="1:9" ht="15" customHeight="1" x14ac:dyDescent="0.35">
      <c r="A838" s="2">
        <v>46128</v>
      </c>
      <c r="B838" s="3">
        <f t="shared" si="65"/>
        <v>2026</v>
      </c>
      <c r="C838" s="3">
        <f t="shared" si="66"/>
        <v>4</v>
      </c>
      <c r="D838" s="3" t="str">
        <f t="shared" si="67"/>
        <v>Thu</v>
      </c>
      <c r="E838" s="3">
        <f t="shared" si="68"/>
        <v>0</v>
      </c>
      <c r="F838" s="3">
        <f t="shared" si="69"/>
        <v>0</v>
      </c>
      <c r="G838" s="3" t="str">
        <f t="array" ref="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3">
        <f>COUNTIF(Events!$A$2:$A$397,$A838)</f>
        <v>0</v>
      </c>
      <c r="I838" s="25" t="str">
        <f t="array" ref="I838">_xlfn.TEXTJOIN(" | ",TRUE(),IF(Events!$A$2:$A$397=$A838,Events!$E$2:$E$397&amp;IF(Events!$G$2:$G$397="National",""," ["&amp;Events!$G$2:$G$397&amp;"]"),""))</f>
        <v/>
      </c>
    </row>
    <row r="839" spans="1:9" ht="15" customHeight="1" x14ac:dyDescent="0.35">
      <c r="A839" s="2">
        <v>46129</v>
      </c>
      <c r="B839" s="3">
        <f t="shared" si="65"/>
        <v>2026</v>
      </c>
      <c r="C839" s="3">
        <f t="shared" si="66"/>
        <v>4</v>
      </c>
      <c r="D839" s="3" t="str">
        <f t="shared" si="67"/>
        <v>Fri</v>
      </c>
      <c r="E839" s="3">
        <f t="shared" si="68"/>
        <v>0</v>
      </c>
      <c r="F839" s="3">
        <f t="shared" si="69"/>
        <v>0</v>
      </c>
      <c r="G839" s="3" t="str">
        <f t="array" ref="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3">
        <f>COUNTIF(Events!$A$2:$A$397,$A839)</f>
        <v>0</v>
      </c>
      <c r="I839" s="25" t="str">
        <f t="array" ref="I839">_xlfn.TEXTJOIN(" | ",TRUE(),IF(Events!$A$2:$A$397=$A839,Events!$E$2:$E$397&amp;IF(Events!$G$2:$G$397="National",""," ["&amp;Events!$G$2:$G$397&amp;"]"),""))</f>
        <v/>
      </c>
    </row>
    <row r="840" spans="1:9" ht="15" customHeight="1" x14ac:dyDescent="0.35">
      <c r="A840" s="2">
        <v>46130</v>
      </c>
      <c r="B840" s="3">
        <f t="shared" si="65"/>
        <v>2026</v>
      </c>
      <c r="C840" s="3">
        <f t="shared" si="66"/>
        <v>4</v>
      </c>
      <c r="D840" s="3" t="str">
        <f t="shared" si="67"/>
        <v>Sat</v>
      </c>
      <c r="E840" s="3">
        <f t="shared" si="68"/>
        <v>0</v>
      </c>
      <c r="F840" s="3">
        <f t="shared" si="69"/>
        <v>0</v>
      </c>
      <c r="G840" s="3" t="str">
        <f t="array" ref="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3">
        <f>COUNTIF(Events!$A$2:$A$397,$A840)</f>
        <v>0</v>
      </c>
      <c r="I840" s="25" t="str">
        <f t="array" ref="I840">_xlfn.TEXTJOIN(" | ",TRUE(),IF(Events!$A$2:$A$397=$A840,Events!$E$2:$E$397&amp;IF(Events!$G$2:$G$397="National",""," ["&amp;Events!$G$2:$G$397&amp;"]"),""))</f>
        <v/>
      </c>
    </row>
    <row r="841" spans="1:9" ht="15" customHeight="1" x14ac:dyDescent="0.35">
      <c r="A841" s="2">
        <v>46131</v>
      </c>
      <c r="B841" s="3">
        <f t="shared" si="65"/>
        <v>2026</v>
      </c>
      <c r="C841" s="3">
        <f t="shared" si="66"/>
        <v>4</v>
      </c>
      <c r="D841" s="3" t="str">
        <f t="shared" si="67"/>
        <v>Sun</v>
      </c>
      <c r="E841" s="3">
        <f t="shared" si="68"/>
        <v>0</v>
      </c>
      <c r="F841" s="3">
        <f t="shared" si="69"/>
        <v>0</v>
      </c>
      <c r="G841" s="3" t="str">
        <f t="array" ref="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3">
        <f>COUNTIF(Events!$A$2:$A$397,$A841)</f>
        <v>0</v>
      </c>
      <c r="I841" s="25" t="str">
        <f t="array" ref="I841">_xlfn.TEXTJOIN(" | ",TRUE(),IF(Events!$A$2:$A$397=$A841,Events!$E$2:$E$397&amp;IF(Events!$G$2:$G$397="National",""," ["&amp;Events!$G$2:$G$397&amp;"]"),""))</f>
        <v/>
      </c>
    </row>
    <row r="842" spans="1:9" ht="15" customHeight="1" x14ac:dyDescent="0.35">
      <c r="A842" s="2">
        <v>46132</v>
      </c>
      <c r="B842" s="3">
        <f t="shared" si="65"/>
        <v>2026</v>
      </c>
      <c r="C842" s="3">
        <f t="shared" si="66"/>
        <v>4</v>
      </c>
      <c r="D842" s="3" t="str">
        <f t="shared" si="67"/>
        <v>Mon</v>
      </c>
      <c r="E842" s="3">
        <f t="shared" si="68"/>
        <v>0</v>
      </c>
      <c r="F842" s="3">
        <f t="shared" si="69"/>
        <v>0</v>
      </c>
      <c r="G842" s="3" t="str">
        <f t="array" ref="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3">
        <f>COUNTIF(Events!$A$2:$A$397,$A842)</f>
        <v>0</v>
      </c>
      <c r="I842" s="25" t="str">
        <f t="array" ref="I842">_xlfn.TEXTJOIN(" | ",TRUE(),IF(Events!$A$2:$A$397=$A842,Events!$E$2:$E$397&amp;IF(Events!$G$2:$G$397="National",""," ["&amp;Events!$G$2:$G$397&amp;"]"),""))</f>
        <v/>
      </c>
    </row>
    <row r="843" spans="1:9" ht="15" customHeight="1" x14ac:dyDescent="0.35">
      <c r="A843" s="2">
        <v>46133</v>
      </c>
      <c r="B843" s="3">
        <f t="shared" si="65"/>
        <v>2026</v>
      </c>
      <c r="C843" s="3">
        <f t="shared" si="66"/>
        <v>4</v>
      </c>
      <c r="D843" s="3" t="str">
        <f t="shared" si="67"/>
        <v>Tue</v>
      </c>
      <c r="E843" s="3">
        <f t="shared" si="68"/>
        <v>0</v>
      </c>
      <c r="F843" s="3">
        <f t="shared" si="69"/>
        <v>0</v>
      </c>
      <c r="G843" s="3" t="str">
        <f t="array" ref="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3">
        <f>COUNTIF(Events!$A$2:$A$397,$A843)</f>
        <v>0</v>
      </c>
      <c r="I843" s="25" t="str">
        <f t="array" ref="I843">_xlfn.TEXTJOIN(" | ",TRUE(),IF(Events!$A$2:$A$397=$A843,Events!$E$2:$E$397&amp;IF(Events!$G$2:$G$397="National",""," ["&amp;Events!$G$2:$G$397&amp;"]"),""))</f>
        <v/>
      </c>
    </row>
    <row r="844" spans="1:9" ht="15" customHeight="1" x14ac:dyDescent="0.35">
      <c r="A844" s="2">
        <v>46134</v>
      </c>
      <c r="B844" s="3">
        <f t="shared" si="65"/>
        <v>2026</v>
      </c>
      <c r="C844" s="3">
        <f t="shared" si="66"/>
        <v>4</v>
      </c>
      <c r="D844" s="3" t="str">
        <f t="shared" si="67"/>
        <v>Wed</v>
      </c>
      <c r="E844" s="3">
        <f t="shared" si="68"/>
        <v>0</v>
      </c>
      <c r="F844" s="3">
        <f t="shared" si="69"/>
        <v>0</v>
      </c>
      <c r="G844" s="3" t="str">
        <f t="array" ref="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3">
        <f>COUNTIF(Events!$A$2:$A$397,$A844)</f>
        <v>0</v>
      </c>
      <c r="I844" s="25" t="str">
        <f t="array" ref="I844">_xlfn.TEXTJOIN(" | ",TRUE(),IF(Events!$A$2:$A$397=$A844,Events!$E$2:$E$397&amp;IF(Events!$G$2:$G$397="National",""," ["&amp;Events!$G$2:$G$397&amp;"]"),""))</f>
        <v/>
      </c>
    </row>
    <row r="845" spans="1:9" ht="15" customHeight="1" x14ac:dyDescent="0.35">
      <c r="A845" s="2">
        <v>46135</v>
      </c>
      <c r="B845" s="3">
        <f t="shared" si="65"/>
        <v>2026</v>
      </c>
      <c r="C845" s="3">
        <f t="shared" si="66"/>
        <v>4</v>
      </c>
      <c r="D845" s="3" t="str">
        <f t="shared" si="67"/>
        <v>Thu</v>
      </c>
      <c r="E845" s="3">
        <f t="shared" si="68"/>
        <v>0</v>
      </c>
      <c r="F845" s="3">
        <f t="shared" si="69"/>
        <v>0</v>
      </c>
      <c r="G845" s="3" t="str">
        <f t="array" ref="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3">
        <f>COUNTIF(Events!$A$2:$A$397,$A845)</f>
        <v>0</v>
      </c>
      <c r="I845" s="25" t="str">
        <f t="array" ref="I845">_xlfn.TEXTJOIN(" | ",TRUE(),IF(Events!$A$2:$A$397=$A845,Events!$E$2:$E$397&amp;IF(Events!$G$2:$G$397="National",""," ["&amp;Events!$G$2:$G$397&amp;"]"),""))</f>
        <v/>
      </c>
    </row>
    <row r="846" spans="1:9" ht="15" customHeight="1" x14ac:dyDescent="0.35">
      <c r="A846" s="2">
        <v>46136</v>
      </c>
      <c r="B846" s="3">
        <f t="shared" si="65"/>
        <v>2026</v>
      </c>
      <c r="C846" s="3">
        <f t="shared" si="66"/>
        <v>4</v>
      </c>
      <c r="D846" s="3" t="str">
        <f t="shared" si="67"/>
        <v>Fri</v>
      </c>
      <c r="E846" s="3">
        <f t="shared" si="68"/>
        <v>0</v>
      </c>
      <c r="F846" s="3">
        <f t="shared" si="69"/>
        <v>0</v>
      </c>
      <c r="G846" s="3" t="str">
        <f t="array" ref="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3">
        <f>COUNTIF(Events!$A$2:$A$397,$A846)</f>
        <v>0</v>
      </c>
      <c r="I846" s="25" t="str">
        <f t="array" ref="I846">_xlfn.TEXTJOIN(" | ",TRUE(),IF(Events!$A$2:$A$397=$A846,Events!$E$2:$E$397&amp;IF(Events!$G$2:$G$397="National",""," ["&amp;Events!$G$2:$G$397&amp;"]"),""))</f>
        <v/>
      </c>
    </row>
    <row r="847" spans="1:9" ht="15" customHeight="1" x14ac:dyDescent="0.35">
      <c r="A847" s="2">
        <v>46137</v>
      </c>
      <c r="B847" s="3">
        <f t="shared" si="65"/>
        <v>2026</v>
      </c>
      <c r="C847" s="3">
        <f t="shared" si="66"/>
        <v>4</v>
      </c>
      <c r="D847" s="3" t="str">
        <f t="shared" si="67"/>
        <v>Sat</v>
      </c>
      <c r="E847" s="3">
        <f t="shared" si="68"/>
        <v>0</v>
      </c>
      <c r="F847" s="3">
        <f t="shared" si="69"/>
        <v>0</v>
      </c>
      <c r="G847" s="3" t="str">
        <f t="array" ref="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3">
        <f>COUNTIF(Events!$A$2:$A$397,$A847)</f>
        <v>0</v>
      </c>
      <c r="I847" s="25" t="str">
        <f t="array" ref="I847">_xlfn.TEXTJOIN(" | ",TRUE(),IF(Events!$A$2:$A$397=$A847,Events!$E$2:$E$397&amp;IF(Events!$G$2:$G$397="National",""," ["&amp;Events!$G$2:$G$397&amp;"]"),""))</f>
        <v/>
      </c>
    </row>
    <row r="848" spans="1:9" ht="15" customHeight="1" x14ac:dyDescent="0.35">
      <c r="A848" s="2">
        <v>46138</v>
      </c>
      <c r="B848" s="3">
        <f t="shared" si="65"/>
        <v>2026</v>
      </c>
      <c r="C848" s="3">
        <f t="shared" si="66"/>
        <v>4</v>
      </c>
      <c r="D848" s="3" t="str">
        <f t="shared" si="67"/>
        <v>Sun</v>
      </c>
      <c r="E848" s="3">
        <f t="shared" si="68"/>
        <v>0</v>
      </c>
      <c r="F848" s="3">
        <f t="shared" si="69"/>
        <v>0</v>
      </c>
      <c r="G848" s="3" t="str">
        <f t="array" ref="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3">
        <f>COUNTIF(Events!$A$2:$A$397,$A848)</f>
        <v>0</v>
      </c>
      <c r="I848" s="25" t="str">
        <f t="array" ref="I848">_xlfn.TEXTJOIN(" | ",TRUE(),IF(Events!$A$2:$A$397=$A848,Events!$E$2:$E$397&amp;IF(Events!$G$2:$G$397="National",""," ["&amp;Events!$G$2:$G$397&amp;"]"),""))</f>
        <v/>
      </c>
    </row>
    <row r="849" spans="1:9" ht="15" customHeight="1" x14ac:dyDescent="0.35">
      <c r="A849" s="2">
        <v>46139</v>
      </c>
      <c r="B849" s="3">
        <f t="shared" si="65"/>
        <v>2026</v>
      </c>
      <c r="C849" s="3">
        <f t="shared" si="66"/>
        <v>4</v>
      </c>
      <c r="D849" s="3" t="str">
        <f t="shared" si="67"/>
        <v>Mon</v>
      </c>
      <c r="E849" s="3">
        <f t="shared" si="68"/>
        <v>0</v>
      </c>
      <c r="F849" s="3">
        <f t="shared" si="69"/>
        <v>0</v>
      </c>
      <c r="G849" s="3" t="str">
        <f t="array" ref="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3">
        <f>COUNTIF(Events!$A$2:$A$397,$A849)</f>
        <v>0</v>
      </c>
      <c r="I849" s="25" t="str">
        <f t="array" ref="I849">_xlfn.TEXTJOIN(" | ",TRUE(),IF(Events!$A$2:$A$397=$A849,Events!$E$2:$E$397&amp;IF(Events!$G$2:$G$397="National",""," ["&amp;Events!$G$2:$G$397&amp;"]"),""))</f>
        <v/>
      </c>
    </row>
    <row r="850" spans="1:9" ht="15" customHeight="1" x14ac:dyDescent="0.35">
      <c r="A850" s="2">
        <v>46140</v>
      </c>
      <c r="B850" s="3">
        <f t="shared" si="65"/>
        <v>2026</v>
      </c>
      <c r="C850" s="3">
        <f t="shared" si="66"/>
        <v>4</v>
      </c>
      <c r="D850" s="3" t="str">
        <f t="shared" si="67"/>
        <v>Tue</v>
      </c>
      <c r="E850" s="3">
        <f t="shared" si="68"/>
        <v>0</v>
      </c>
      <c r="F850" s="3">
        <f t="shared" si="69"/>
        <v>0</v>
      </c>
      <c r="G850" s="3" t="str">
        <f t="array" ref="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3">
        <f>COUNTIF(Events!$A$2:$A$397,$A850)</f>
        <v>0</v>
      </c>
      <c r="I850" s="25" t="str">
        <f t="array" ref="I850">_xlfn.TEXTJOIN(" | ",TRUE(),IF(Events!$A$2:$A$397=$A850,Events!$E$2:$E$397&amp;IF(Events!$G$2:$G$397="National",""," ["&amp;Events!$G$2:$G$397&amp;"]"),""))</f>
        <v/>
      </c>
    </row>
    <row r="851" spans="1:9" ht="15" customHeight="1" x14ac:dyDescent="0.35">
      <c r="A851" s="2">
        <v>46141</v>
      </c>
      <c r="B851" s="3">
        <f t="shared" si="65"/>
        <v>2026</v>
      </c>
      <c r="C851" s="3">
        <f t="shared" si="66"/>
        <v>4</v>
      </c>
      <c r="D851" s="3" t="str">
        <f t="shared" si="67"/>
        <v>Wed</v>
      </c>
      <c r="E851" s="3">
        <f t="shared" si="68"/>
        <v>0</v>
      </c>
      <c r="F851" s="3">
        <f t="shared" si="69"/>
        <v>0</v>
      </c>
      <c r="G851" s="3" t="str">
        <f t="array" ref="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
      </c>
      <c r="H851" s="3">
        <f>COUNTIF(Events!$A$2:$A$397,$A851)</f>
        <v>0</v>
      </c>
      <c r="I851" s="25" t="str">
        <f t="array" ref="I851">_xlfn.TEXTJOIN(" | ",TRUE(),IF(Events!$A$2:$A$397=$A851,Events!$E$2:$E$397&amp;IF(Events!$G$2:$G$397="National",""," ["&amp;Events!$G$2:$G$397&amp;"]"),""))</f>
        <v/>
      </c>
    </row>
    <row r="852" spans="1:9" ht="15" customHeight="1" x14ac:dyDescent="0.35">
      <c r="A852" s="2">
        <v>46142</v>
      </c>
      <c r="B852" s="3">
        <f t="shared" si="65"/>
        <v>2026</v>
      </c>
      <c r="C852" s="3">
        <f t="shared" si="66"/>
        <v>4</v>
      </c>
      <c r="D852" s="3" t="str">
        <f t="shared" si="67"/>
        <v>Thu</v>
      </c>
      <c r="E852" s="3">
        <f t="shared" si="68"/>
        <v>0</v>
      </c>
      <c r="F852" s="3">
        <f t="shared" si="69"/>
        <v>0</v>
      </c>
      <c r="G852" s="3" t="str">
        <f t="array" ref="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 | 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2" s="3">
        <f>COUNTIF(Events!$A$2:$A$397,$A852)</f>
        <v>0</v>
      </c>
      <c r="I852" s="25" t="str">
        <f t="array" ref="I852">_xlfn.TEXTJOIN(" | ",TRUE(),IF(Events!$A$2:$A$397=$A852,Events!$E$2:$E$397&amp;IF(Events!$G$2:$G$397="National",""," ["&amp;Events!$G$2:$G$397&amp;"]"),""))</f>
        <v/>
      </c>
    </row>
    <row r="853" spans="1:9" ht="15" customHeight="1" x14ac:dyDescent="0.35">
      <c r="A853" s="2">
        <v>46143</v>
      </c>
      <c r="B853" s="3">
        <f t="shared" si="65"/>
        <v>2026</v>
      </c>
      <c r="C853" s="3">
        <f t="shared" si="66"/>
        <v>5</v>
      </c>
      <c r="D853" s="3" t="str">
        <f t="shared" si="67"/>
        <v>Fri</v>
      </c>
      <c r="E853" s="3">
        <f t="shared" si="68"/>
        <v>0</v>
      </c>
      <c r="F853" s="3">
        <f t="shared" si="69"/>
        <v>0</v>
      </c>
      <c r="G853" s="3" t="str">
        <f t="array" ref="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3">
        <f>COUNTIF(Events!$A$2:$A$397,$A853)</f>
        <v>0</v>
      </c>
      <c r="I853" s="25" t="str">
        <f t="array" ref="I853">_xlfn.TEXTJOIN(" | ",TRUE(),IF(Events!$A$2:$A$397=$A853,Events!$E$2:$E$397&amp;IF(Events!$G$2:$G$397="National",""," ["&amp;Events!$G$2:$G$397&amp;"]"),""))</f>
        <v/>
      </c>
    </row>
    <row r="854" spans="1:9" ht="15" customHeight="1" x14ac:dyDescent="0.35">
      <c r="A854" s="2">
        <v>46144</v>
      </c>
      <c r="B854" s="3">
        <f t="shared" si="65"/>
        <v>2026</v>
      </c>
      <c r="C854" s="3">
        <f t="shared" si="66"/>
        <v>5</v>
      </c>
      <c r="D854" s="3" t="str">
        <f t="shared" si="67"/>
        <v>Sat</v>
      </c>
      <c r="E854" s="3">
        <f t="shared" si="68"/>
        <v>0</v>
      </c>
      <c r="F854" s="3">
        <f t="shared" si="69"/>
        <v>0</v>
      </c>
      <c r="G854" s="3" t="str">
        <f t="array" ref="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3">
        <f>COUNTIF(Events!$A$2:$A$397,$A854)</f>
        <v>0</v>
      </c>
      <c r="I854" s="25" t="str">
        <f t="array" ref="I854">_xlfn.TEXTJOIN(" | ",TRUE(),IF(Events!$A$2:$A$397=$A854,Events!$E$2:$E$397&amp;IF(Events!$G$2:$G$397="National",""," ["&amp;Events!$G$2:$G$397&amp;"]"),""))</f>
        <v/>
      </c>
    </row>
    <row r="855" spans="1:9" ht="15" customHeight="1" x14ac:dyDescent="0.35">
      <c r="A855" s="2">
        <v>46145</v>
      </c>
      <c r="B855" s="3">
        <f t="shared" si="65"/>
        <v>2026</v>
      </c>
      <c r="C855" s="3">
        <f t="shared" si="66"/>
        <v>5</v>
      </c>
      <c r="D855" s="3" t="str">
        <f t="shared" si="67"/>
        <v>Sun</v>
      </c>
      <c r="E855" s="3">
        <f t="shared" si="68"/>
        <v>0</v>
      </c>
      <c r="F855" s="3">
        <f t="shared" si="69"/>
        <v>0</v>
      </c>
      <c r="G855" s="3" t="str">
        <f t="array" ref="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3">
        <f>COUNTIF(Events!$A$2:$A$397,$A855)</f>
        <v>0</v>
      </c>
      <c r="I855" s="25" t="str">
        <f t="array" ref="I855">_xlfn.TEXTJOIN(" | ",TRUE(),IF(Events!$A$2:$A$397=$A855,Events!$E$2:$E$397&amp;IF(Events!$G$2:$G$397="National",""," ["&amp;Events!$G$2:$G$397&amp;"]"),""))</f>
        <v/>
      </c>
    </row>
    <row r="856" spans="1:9" ht="15" customHeight="1" x14ac:dyDescent="0.35">
      <c r="A856" s="2">
        <v>46146</v>
      </c>
      <c r="B856" s="3">
        <f t="shared" si="65"/>
        <v>2026</v>
      </c>
      <c r="C856" s="3">
        <f t="shared" si="66"/>
        <v>5</v>
      </c>
      <c r="D856" s="3" t="str">
        <f t="shared" si="67"/>
        <v>Mon</v>
      </c>
      <c r="E856" s="3">
        <f t="shared" si="68"/>
        <v>0</v>
      </c>
      <c r="F856" s="3">
        <f t="shared" si="69"/>
        <v>0</v>
      </c>
      <c r="G856" s="3" t="str">
        <f t="array" ref="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3">
        <f>COUNTIF(Events!$A$2:$A$397,$A856)</f>
        <v>0</v>
      </c>
      <c r="I856" s="25" t="str">
        <f t="array" ref="I856">_xlfn.TEXTJOIN(" | ",TRUE(),IF(Events!$A$2:$A$397=$A856,Events!$E$2:$E$397&amp;IF(Events!$G$2:$G$397="National",""," ["&amp;Events!$G$2:$G$397&amp;"]"),""))</f>
        <v/>
      </c>
    </row>
    <row r="857" spans="1:9" ht="15" customHeight="1" x14ac:dyDescent="0.35">
      <c r="A857" s="2">
        <v>46147</v>
      </c>
      <c r="B857" s="3">
        <f t="shared" si="65"/>
        <v>2026</v>
      </c>
      <c r="C857" s="3">
        <f t="shared" si="66"/>
        <v>5</v>
      </c>
      <c r="D857" s="3" t="str">
        <f t="shared" si="67"/>
        <v>Tue</v>
      </c>
      <c r="E857" s="3">
        <f t="shared" si="68"/>
        <v>0</v>
      </c>
      <c r="F857" s="3">
        <f t="shared" si="69"/>
        <v>0</v>
      </c>
      <c r="G857" s="3" t="str">
        <f t="array" ref="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3">
        <f>COUNTIF(Events!$A$2:$A$397,$A857)</f>
        <v>0</v>
      </c>
      <c r="I857" s="25" t="str">
        <f t="array" ref="I857">_xlfn.TEXTJOIN(" | ",TRUE(),IF(Events!$A$2:$A$397=$A857,Events!$E$2:$E$397&amp;IF(Events!$G$2:$G$397="National",""," ["&amp;Events!$G$2:$G$397&amp;"]"),""))</f>
        <v/>
      </c>
    </row>
    <row r="858" spans="1:9" ht="15" customHeight="1" x14ac:dyDescent="0.35">
      <c r="A858" s="2">
        <v>46148</v>
      </c>
      <c r="B858" s="3">
        <f t="shared" si="65"/>
        <v>2026</v>
      </c>
      <c r="C858" s="3">
        <f t="shared" si="66"/>
        <v>5</v>
      </c>
      <c r="D858" s="3" t="str">
        <f t="shared" si="67"/>
        <v>Wed</v>
      </c>
      <c r="E858" s="3">
        <f t="shared" si="68"/>
        <v>0</v>
      </c>
      <c r="F858" s="3">
        <f t="shared" si="69"/>
        <v>0</v>
      </c>
      <c r="G858" s="3" t="str">
        <f t="array" ref="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3">
        <f>COUNTIF(Events!$A$2:$A$397,$A858)</f>
        <v>0</v>
      </c>
      <c r="I858" s="25" t="str">
        <f t="array" ref="I858">_xlfn.TEXTJOIN(" | ",TRUE(),IF(Events!$A$2:$A$397=$A858,Events!$E$2:$E$397&amp;IF(Events!$G$2:$G$397="National",""," ["&amp;Events!$G$2:$G$397&amp;"]"),""))</f>
        <v/>
      </c>
    </row>
    <row r="859" spans="1:9" ht="15" customHeight="1" x14ac:dyDescent="0.35">
      <c r="A859" s="2">
        <v>46149</v>
      </c>
      <c r="B859" s="3">
        <f t="shared" si="65"/>
        <v>2026</v>
      </c>
      <c r="C859" s="3">
        <f t="shared" si="66"/>
        <v>5</v>
      </c>
      <c r="D859" s="3" t="str">
        <f t="shared" si="67"/>
        <v>Thu</v>
      </c>
      <c r="E859" s="3">
        <f t="shared" si="68"/>
        <v>0</v>
      </c>
      <c r="F859" s="3">
        <f t="shared" si="69"/>
        <v>0</v>
      </c>
      <c r="G859" s="3" t="str">
        <f t="array" ref="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3">
        <f>COUNTIF(Events!$A$2:$A$397,$A859)</f>
        <v>0</v>
      </c>
      <c r="I859" s="25" t="str">
        <f t="array" ref="I859">_xlfn.TEXTJOIN(" | ",TRUE(),IF(Events!$A$2:$A$397=$A859,Events!$E$2:$E$397&amp;IF(Events!$G$2:$G$397="National",""," ["&amp;Events!$G$2:$G$397&amp;"]"),""))</f>
        <v/>
      </c>
    </row>
    <row r="860" spans="1:9" ht="15" customHeight="1" x14ac:dyDescent="0.35">
      <c r="A860" s="2">
        <v>46150</v>
      </c>
      <c r="B860" s="3">
        <f t="shared" si="65"/>
        <v>2026</v>
      </c>
      <c r="C860" s="3">
        <f t="shared" si="66"/>
        <v>5</v>
      </c>
      <c r="D860" s="3" t="str">
        <f t="shared" si="67"/>
        <v>Fri</v>
      </c>
      <c r="E860" s="3">
        <f t="shared" si="68"/>
        <v>0</v>
      </c>
      <c r="F860" s="3">
        <f t="shared" si="69"/>
        <v>0</v>
      </c>
      <c r="G860" s="3" t="str">
        <f t="array" ref="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3">
        <f>COUNTIF(Events!$A$2:$A$397,$A860)</f>
        <v>0</v>
      </c>
      <c r="I860" s="25" t="str">
        <f t="array" ref="I860">_xlfn.TEXTJOIN(" | ",TRUE(),IF(Events!$A$2:$A$397=$A860,Events!$E$2:$E$397&amp;IF(Events!$G$2:$G$397="National",""," ["&amp;Events!$G$2:$G$397&amp;"]"),""))</f>
        <v/>
      </c>
    </row>
    <row r="861" spans="1:9" ht="15" customHeight="1" x14ac:dyDescent="0.35">
      <c r="A861" s="2">
        <v>46151</v>
      </c>
      <c r="B861" s="3">
        <f t="shared" si="65"/>
        <v>2026</v>
      </c>
      <c r="C861" s="3">
        <f t="shared" si="66"/>
        <v>5</v>
      </c>
      <c r="D861" s="3" t="str">
        <f t="shared" si="67"/>
        <v>Sat</v>
      </c>
      <c r="E861" s="3">
        <f t="shared" si="68"/>
        <v>0</v>
      </c>
      <c r="F861" s="3">
        <f t="shared" si="69"/>
        <v>0</v>
      </c>
      <c r="G861" s="3" t="str">
        <f t="array" ref="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3">
        <f>COUNTIF(Events!$A$2:$A$397,$A861)</f>
        <v>0</v>
      </c>
      <c r="I861" s="25" t="str">
        <f t="array" ref="I861">_xlfn.TEXTJOIN(" | ",TRUE(),IF(Events!$A$2:$A$397=$A861,Events!$E$2:$E$397&amp;IF(Events!$G$2:$G$397="National",""," ["&amp;Events!$G$2:$G$397&amp;"]"),""))</f>
        <v/>
      </c>
    </row>
    <row r="862" spans="1:9" ht="15" customHeight="1" x14ac:dyDescent="0.35">
      <c r="A862" s="2">
        <v>46152</v>
      </c>
      <c r="B862" s="3">
        <f t="shared" si="65"/>
        <v>2026</v>
      </c>
      <c r="C862" s="3">
        <f t="shared" si="66"/>
        <v>5</v>
      </c>
      <c r="D862" s="3" t="str">
        <f t="shared" si="67"/>
        <v>Sun</v>
      </c>
      <c r="E862" s="3">
        <f t="shared" si="68"/>
        <v>0</v>
      </c>
      <c r="F862" s="3">
        <f t="shared" si="69"/>
        <v>0</v>
      </c>
      <c r="G862" s="3" t="str">
        <f t="array" ref="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3">
        <f>COUNTIF(Events!$A$2:$A$397,$A862)</f>
        <v>0</v>
      </c>
      <c r="I862" s="25" t="str">
        <f t="array" ref="I862">_xlfn.TEXTJOIN(" | ",TRUE(),IF(Events!$A$2:$A$397=$A862,Events!$E$2:$E$397&amp;IF(Events!$G$2:$G$397="National",""," ["&amp;Events!$G$2:$G$397&amp;"]"),""))</f>
        <v/>
      </c>
    </row>
    <row r="863" spans="1:9" ht="15" customHeight="1" x14ac:dyDescent="0.35">
      <c r="A863" s="2">
        <v>46153</v>
      </c>
      <c r="B863" s="3">
        <f t="shared" si="65"/>
        <v>2026</v>
      </c>
      <c r="C863" s="3">
        <f t="shared" si="66"/>
        <v>5</v>
      </c>
      <c r="D863" s="3" t="str">
        <f t="shared" si="67"/>
        <v>Mon</v>
      </c>
      <c r="E863" s="3">
        <f t="shared" si="68"/>
        <v>0</v>
      </c>
      <c r="F863" s="3">
        <f t="shared" si="69"/>
        <v>0</v>
      </c>
      <c r="G863" s="3" t="str">
        <f t="array" ref="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3">
        <f>COUNTIF(Events!$A$2:$A$397,$A863)</f>
        <v>0</v>
      </c>
      <c r="I863" s="25" t="str">
        <f t="array" ref="I863">_xlfn.TEXTJOIN(" | ",TRUE(),IF(Events!$A$2:$A$397=$A863,Events!$E$2:$E$397&amp;IF(Events!$G$2:$G$397="National",""," ["&amp;Events!$G$2:$G$397&amp;"]"),""))</f>
        <v/>
      </c>
    </row>
    <row r="864" spans="1:9" ht="15" customHeight="1" x14ac:dyDescent="0.35">
      <c r="A864" s="2">
        <v>46154</v>
      </c>
      <c r="B864" s="3">
        <f t="shared" si="65"/>
        <v>2026</v>
      </c>
      <c r="C864" s="3">
        <f t="shared" si="66"/>
        <v>5</v>
      </c>
      <c r="D864" s="3" t="str">
        <f t="shared" si="67"/>
        <v>Tue</v>
      </c>
      <c r="E864" s="3">
        <f t="shared" si="68"/>
        <v>0</v>
      </c>
      <c r="F864" s="3">
        <f t="shared" si="69"/>
        <v>0</v>
      </c>
      <c r="G864" s="3" t="str">
        <f t="array" ref="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3">
        <f>COUNTIF(Events!$A$2:$A$397,$A864)</f>
        <v>0</v>
      </c>
      <c r="I864" s="25" t="str">
        <f t="array" ref="I864">_xlfn.TEXTJOIN(" | ",TRUE(),IF(Events!$A$2:$A$397=$A864,Events!$E$2:$E$397&amp;IF(Events!$G$2:$G$397="National",""," ["&amp;Events!$G$2:$G$397&amp;"]"),""))</f>
        <v/>
      </c>
    </row>
    <row r="865" spans="1:9" ht="15" customHeight="1" x14ac:dyDescent="0.35">
      <c r="A865" s="2">
        <v>46155</v>
      </c>
      <c r="B865" s="3">
        <f t="shared" si="65"/>
        <v>2026</v>
      </c>
      <c r="C865" s="3">
        <f t="shared" si="66"/>
        <v>5</v>
      </c>
      <c r="D865" s="3" t="str">
        <f t="shared" si="67"/>
        <v>Wed</v>
      </c>
      <c r="E865" s="3">
        <f t="shared" si="68"/>
        <v>0</v>
      </c>
      <c r="F865" s="3">
        <f t="shared" si="69"/>
        <v>0</v>
      </c>
      <c r="G865" s="3" t="str">
        <f t="array" ref="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3">
        <f>COUNTIF(Events!$A$2:$A$397,$A865)</f>
        <v>0</v>
      </c>
      <c r="I865" s="25" t="str">
        <f t="array" ref="I865">_xlfn.TEXTJOIN(" | ",TRUE(),IF(Events!$A$2:$A$397=$A865,Events!$E$2:$E$397&amp;IF(Events!$G$2:$G$397="National",""," ["&amp;Events!$G$2:$G$397&amp;"]"),""))</f>
        <v/>
      </c>
    </row>
    <row r="866" spans="1:9" ht="15" customHeight="1" x14ac:dyDescent="0.35">
      <c r="A866" s="2">
        <v>46156</v>
      </c>
      <c r="B866" s="3">
        <f t="shared" si="65"/>
        <v>2026</v>
      </c>
      <c r="C866" s="3">
        <f t="shared" si="66"/>
        <v>5</v>
      </c>
      <c r="D866" s="3" t="str">
        <f t="shared" si="67"/>
        <v>Thu</v>
      </c>
      <c r="E866" s="3">
        <f t="shared" si="68"/>
        <v>0</v>
      </c>
      <c r="F866" s="3">
        <f t="shared" si="69"/>
        <v>0</v>
      </c>
      <c r="G866" s="3" t="str">
        <f t="array" ref="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3">
        <f>COUNTIF(Events!$A$2:$A$397,$A866)</f>
        <v>0</v>
      </c>
      <c r="I866" s="25" t="str">
        <f t="array" ref="I866">_xlfn.TEXTJOIN(" | ",TRUE(),IF(Events!$A$2:$A$397=$A866,Events!$E$2:$E$397&amp;IF(Events!$G$2:$G$397="National",""," ["&amp;Events!$G$2:$G$397&amp;"]"),""))</f>
        <v/>
      </c>
    </row>
    <row r="867" spans="1:9" ht="15" customHeight="1" x14ac:dyDescent="0.35">
      <c r="A867" s="2">
        <v>46157</v>
      </c>
      <c r="B867" s="3">
        <f t="shared" si="65"/>
        <v>2026</v>
      </c>
      <c r="C867" s="3">
        <f t="shared" si="66"/>
        <v>5</v>
      </c>
      <c r="D867" s="3" t="str">
        <f t="shared" si="67"/>
        <v>Fri</v>
      </c>
      <c r="E867" s="3">
        <f t="shared" si="68"/>
        <v>0</v>
      </c>
      <c r="F867" s="3">
        <f t="shared" si="69"/>
        <v>0</v>
      </c>
      <c r="G867" s="3" t="str">
        <f t="array" ref="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3">
        <f>COUNTIF(Events!$A$2:$A$397,$A867)</f>
        <v>0</v>
      </c>
      <c r="I867" s="25" t="str">
        <f t="array" ref="I867">_xlfn.TEXTJOIN(" | ",TRUE(),IF(Events!$A$2:$A$397=$A867,Events!$E$2:$E$397&amp;IF(Events!$G$2:$G$397="National",""," ["&amp;Events!$G$2:$G$397&amp;"]"),""))</f>
        <v/>
      </c>
    </row>
    <row r="868" spans="1:9" ht="15" customHeight="1" x14ac:dyDescent="0.35">
      <c r="A868" s="2">
        <v>46158</v>
      </c>
      <c r="B868" s="3">
        <f t="shared" si="65"/>
        <v>2026</v>
      </c>
      <c r="C868" s="3">
        <f t="shared" si="66"/>
        <v>5</v>
      </c>
      <c r="D868" s="3" t="str">
        <f t="shared" si="67"/>
        <v>Sat</v>
      </c>
      <c r="E868" s="3">
        <f t="shared" si="68"/>
        <v>0</v>
      </c>
      <c r="F868" s="3">
        <f t="shared" si="69"/>
        <v>0</v>
      </c>
      <c r="G868" s="3" t="str">
        <f t="array" ref="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3">
        <f>COUNTIF(Events!$A$2:$A$397,$A868)</f>
        <v>0</v>
      </c>
      <c r="I868" s="25" t="str">
        <f t="array" ref="I868">_xlfn.TEXTJOIN(" | ",TRUE(),IF(Events!$A$2:$A$397=$A868,Events!$E$2:$E$397&amp;IF(Events!$G$2:$G$397="National",""," ["&amp;Events!$G$2:$G$397&amp;"]"),""))</f>
        <v/>
      </c>
    </row>
    <row r="869" spans="1:9" ht="15" customHeight="1" x14ac:dyDescent="0.35">
      <c r="A869" s="2">
        <v>46159</v>
      </c>
      <c r="B869" s="3">
        <f t="shared" si="65"/>
        <v>2026</v>
      </c>
      <c r="C869" s="3">
        <f t="shared" si="66"/>
        <v>5</v>
      </c>
      <c r="D869" s="3" t="str">
        <f t="shared" si="67"/>
        <v>Sun</v>
      </c>
      <c r="E869" s="3">
        <f t="shared" si="68"/>
        <v>0</v>
      </c>
      <c r="F869" s="3">
        <f t="shared" si="69"/>
        <v>0</v>
      </c>
      <c r="G869" s="3" t="str">
        <f t="array" ref="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3">
        <f>COUNTIF(Events!$A$2:$A$397,$A869)</f>
        <v>0</v>
      </c>
      <c r="I869" s="25" t="str">
        <f t="array" ref="I869">_xlfn.TEXTJOIN(" | ",TRUE(),IF(Events!$A$2:$A$397=$A869,Events!$E$2:$E$397&amp;IF(Events!$G$2:$G$397="National",""," ["&amp;Events!$G$2:$G$397&amp;"]"),""))</f>
        <v/>
      </c>
    </row>
    <row r="870" spans="1:9" ht="15" customHeight="1" x14ac:dyDescent="0.35">
      <c r="A870" s="2">
        <v>46160</v>
      </c>
      <c r="B870" s="3">
        <f t="shared" si="65"/>
        <v>2026</v>
      </c>
      <c r="C870" s="3">
        <f t="shared" si="66"/>
        <v>5</v>
      </c>
      <c r="D870" s="3" t="str">
        <f t="shared" si="67"/>
        <v>Mon</v>
      </c>
      <c r="E870" s="3">
        <f t="shared" si="68"/>
        <v>0</v>
      </c>
      <c r="F870" s="3">
        <f t="shared" si="69"/>
        <v>0</v>
      </c>
      <c r="G870" s="3" t="str">
        <f t="array" ref="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3">
        <f>COUNTIF(Events!$A$2:$A$397,$A870)</f>
        <v>0</v>
      </c>
      <c r="I870" s="25" t="str">
        <f t="array" ref="I870">_xlfn.TEXTJOIN(" | ",TRUE(),IF(Events!$A$2:$A$397=$A870,Events!$E$2:$E$397&amp;IF(Events!$G$2:$G$397="National",""," ["&amp;Events!$G$2:$G$397&amp;"]"),""))</f>
        <v/>
      </c>
    </row>
    <row r="871" spans="1:9" ht="15" customHeight="1" x14ac:dyDescent="0.35">
      <c r="A871" s="2">
        <v>46161</v>
      </c>
      <c r="B871" s="3">
        <f t="shared" si="65"/>
        <v>2026</v>
      </c>
      <c r="C871" s="3">
        <f t="shared" si="66"/>
        <v>5</v>
      </c>
      <c r="D871" s="3" t="str">
        <f t="shared" si="67"/>
        <v>Tue</v>
      </c>
      <c r="E871" s="3">
        <f t="shared" si="68"/>
        <v>0</v>
      </c>
      <c r="F871" s="3">
        <f t="shared" si="69"/>
        <v>0</v>
      </c>
      <c r="G871" s="3" t="str">
        <f t="array" ref="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3">
        <f>COUNTIF(Events!$A$2:$A$397,$A871)</f>
        <v>0</v>
      </c>
      <c r="I871" s="25" t="str">
        <f t="array" ref="I871">_xlfn.TEXTJOIN(" | ",TRUE(),IF(Events!$A$2:$A$397=$A871,Events!$E$2:$E$397&amp;IF(Events!$G$2:$G$397="National",""," ["&amp;Events!$G$2:$G$397&amp;"]"),""))</f>
        <v/>
      </c>
    </row>
    <row r="872" spans="1:9" ht="15" customHeight="1" x14ac:dyDescent="0.35">
      <c r="A872" s="2">
        <v>46162</v>
      </c>
      <c r="B872" s="3">
        <f t="shared" si="65"/>
        <v>2026</v>
      </c>
      <c r="C872" s="3">
        <f t="shared" si="66"/>
        <v>5</v>
      </c>
      <c r="D872" s="3" t="str">
        <f t="shared" si="67"/>
        <v>Wed</v>
      </c>
      <c r="E872" s="3">
        <f t="shared" si="68"/>
        <v>0</v>
      </c>
      <c r="F872" s="3">
        <f t="shared" si="69"/>
        <v>0</v>
      </c>
      <c r="G872" s="3" t="str">
        <f t="array" ref="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3">
        <f>COUNTIF(Events!$A$2:$A$397,$A872)</f>
        <v>0</v>
      </c>
      <c r="I872" s="25" t="str">
        <f t="array" ref="I872">_xlfn.TEXTJOIN(" | ",TRUE(),IF(Events!$A$2:$A$397=$A872,Events!$E$2:$E$397&amp;IF(Events!$G$2:$G$397="National",""," ["&amp;Events!$G$2:$G$397&amp;"]"),""))</f>
        <v/>
      </c>
    </row>
    <row r="873" spans="1:9" ht="15" customHeight="1" x14ac:dyDescent="0.35">
      <c r="A873" s="2">
        <v>46163</v>
      </c>
      <c r="B873" s="3">
        <f t="shared" si="65"/>
        <v>2026</v>
      </c>
      <c r="C873" s="3">
        <f t="shared" si="66"/>
        <v>5</v>
      </c>
      <c r="D873" s="3" t="str">
        <f t="shared" si="67"/>
        <v>Thu</v>
      </c>
      <c r="E873" s="3">
        <f t="shared" si="68"/>
        <v>0</v>
      </c>
      <c r="F873" s="3">
        <f t="shared" si="69"/>
        <v>0</v>
      </c>
      <c r="G873" s="3" t="str">
        <f t="array" ref="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3">
        <f>COUNTIF(Events!$A$2:$A$397,$A873)</f>
        <v>0</v>
      </c>
      <c r="I873" s="25" t="str">
        <f t="array" ref="I873">_xlfn.TEXTJOIN(" | ",TRUE(),IF(Events!$A$2:$A$397=$A873,Events!$E$2:$E$397&amp;IF(Events!$G$2:$G$397="National",""," ["&amp;Events!$G$2:$G$397&amp;"]"),""))</f>
        <v/>
      </c>
    </row>
    <row r="874" spans="1:9" ht="15" customHeight="1" x14ac:dyDescent="0.35">
      <c r="A874" s="2">
        <v>46164</v>
      </c>
      <c r="B874" s="3">
        <f t="shared" si="65"/>
        <v>2026</v>
      </c>
      <c r="C874" s="3">
        <f t="shared" si="66"/>
        <v>5</v>
      </c>
      <c r="D874" s="3" t="str">
        <f t="shared" si="67"/>
        <v>Fri</v>
      </c>
      <c r="E874" s="3">
        <f t="shared" si="68"/>
        <v>0</v>
      </c>
      <c r="F874" s="3">
        <f t="shared" si="69"/>
        <v>0</v>
      </c>
      <c r="G874" s="3" t="str">
        <f t="array" ref="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3">
        <f>COUNTIF(Events!$A$2:$A$397,$A874)</f>
        <v>0</v>
      </c>
      <c r="I874" s="25" t="str">
        <f t="array" ref="I874">_xlfn.TEXTJOIN(" | ",TRUE(),IF(Events!$A$2:$A$397=$A874,Events!$E$2:$E$397&amp;IF(Events!$G$2:$G$397="National",""," ["&amp;Events!$G$2:$G$397&amp;"]"),""))</f>
        <v/>
      </c>
    </row>
    <row r="875" spans="1:9" ht="15" customHeight="1" x14ac:dyDescent="0.35">
      <c r="A875" s="2">
        <v>46165</v>
      </c>
      <c r="B875" s="3">
        <f t="shared" si="65"/>
        <v>2026</v>
      </c>
      <c r="C875" s="3">
        <f t="shared" si="66"/>
        <v>5</v>
      </c>
      <c r="D875" s="3" t="str">
        <f t="shared" si="67"/>
        <v>Sat</v>
      </c>
      <c r="E875" s="3">
        <f t="shared" si="68"/>
        <v>0</v>
      </c>
      <c r="F875" s="3">
        <f t="shared" si="69"/>
        <v>0</v>
      </c>
      <c r="G875" s="3" t="str">
        <f t="array" ref="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3">
        <f>COUNTIF(Events!$A$2:$A$397,$A875)</f>
        <v>0</v>
      </c>
      <c r="I875" s="25" t="str">
        <f t="array" ref="I875">_xlfn.TEXTJOIN(" | ",TRUE(),IF(Events!$A$2:$A$397=$A875,Events!$E$2:$E$397&amp;IF(Events!$G$2:$G$397="National",""," ["&amp;Events!$G$2:$G$397&amp;"]"),""))</f>
        <v/>
      </c>
    </row>
    <row r="876" spans="1:9" ht="15" customHeight="1" x14ac:dyDescent="0.35">
      <c r="A876" s="2">
        <v>46166</v>
      </c>
      <c r="B876" s="3">
        <f t="shared" si="65"/>
        <v>2026</v>
      </c>
      <c r="C876" s="3">
        <f t="shared" si="66"/>
        <v>5</v>
      </c>
      <c r="D876" s="3" t="str">
        <f t="shared" si="67"/>
        <v>Sun</v>
      </c>
      <c r="E876" s="3">
        <f t="shared" si="68"/>
        <v>0</v>
      </c>
      <c r="F876" s="3">
        <f t="shared" si="69"/>
        <v>0</v>
      </c>
      <c r="G876" s="3" t="str">
        <f t="array" ref="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3">
        <f>COUNTIF(Events!$A$2:$A$397,$A876)</f>
        <v>0</v>
      </c>
      <c r="I876" s="25" t="str">
        <f t="array" ref="I876">_xlfn.TEXTJOIN(" | ",TRUE(),IF(Events!$A$2:$A$397=$A876,Events!$E$2:$E$397&amp;IF(Events!$G$2:$G$397="National",""," ["&amp;Events!$G$2:$G$397&amp;"]"),""))</f>
        <v/>
      </c>
    </row>
    <row r="877" spans="1:9" ht="15" customHeight="1" x14ac:dyDescent="0.35">
      <c r="A877" s="2">
        <v>46167</v>
      </c>
      <c r="B877" s="3">
        <f t="shared" si="65"/>
        <v>2026</v>
      </c>
      <c r="C877" s="3">
        <f t="shared" si="66"/>
        <v>5</v>
      </c>
      <c r="D877" s="3" t="str">
        <f t="shared" si="67"/>
        <v>Mon</v>
      </c>
      <c r="E877" s="3">
        <f t="shared" si="68"/>
        <v>0</v>
      </c>
      <c r="F877" s="3">
        <f t="shared" si="69"/>
        <v>0</v>
      </c>
      <c r="G877" s="3" t="str">
        <f t="array" ref="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3">
        <f>COUNTIF(Events!$A$2:$A$397,$A877)</f>
        <v>0</v>
      </c>
      <c r="I877" s="25" t="str">
        <f t="array" ref="I877">_xlfn.TEXTJOIN(" | ",TRUE(),IF(Events!$A$2:$A$397=$A877,Events!$E$2:$E$397&amp;IF(Events!$G$2:$G$397="National",""," ["&amp;Events!$G$2:$G$397&amp;"]"),""))</f>
        <v/>
      </c>
    </row>
    <row r="878" spans="1:9" ht="15" customHeight="1" x14ac:dyDescent="0.35">
      <c r="A878" s="2">
        <v>46168</v>
      </c>
      <c r="B878" s="3">
        <f t="shared" si="65"/>
        <v>2026</v>
      </c>
      <c r="C878" s="3">
        <f t="shared" si="66"/>
        <v>5</v>
      </c>
      <c r="D878" s="3" t="str">
        <f t="shared" si="67"/>
        <v>Tue</v>
      </c>
      <c r="E878" s="3">
        <f t="shared" si="68"/>
        <v>0</v>
      </c>
      <c r="F878" s="3">
        <f t="shared" si="69"/>
        <v>0</v>
      </c>
      <c r="G878" s="3" t="str">
        <f t="array" ref="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3">
        <f>COUNTIF(Events!$A$2:$A$397,$A878)</f>
        <v>0</v>
      </c>
      <c r="I878" s="25" t="str">
        <f t="array" ref="I878">_xlfn.TEXTJOIN(" | ",TRUE(),IF(Events!$A$2:$A$397=$A878,Events!$E$2:$E$397&amp;IF(Events!$G$2:$G$397="National",""," ["&amp;Events!$G$2:$G$397&amp;"]"),""))</f>
        <v/>
      </c>
    </row>
    <row r="879" spans="1:9" ht="15" customHeight="1" x14ac:dyDescent="0.35">
      <c r="A879" s="2">
        <v>46169</v>
      </c>
      <c r="B879" s="3">
        <f t="shared" si="65"/>
        <v>2026</v>
      </c>
      <c r="C879" s="3">
        <f t="shared" si="66"/>
        <v>5</v>
      </c>
      <c r="D879" s="3" t="str">
        <f t="shared" si="67"/>
        <v>Wed</v>
      </c>
      <c r="E879" s="3">
        <f t="shared" si="68"/>
        <v>0</v>
      </c>
      <c r="F879" s="3">
        <f t="shared" si="69"/>
        <v>0</v>
      </c>
      <c r="G879" s="3" t="str">
        <f t="array" ref="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3">
        <f>COUNTIF(Events!$A$2:$A$397,$A879)</f>
        <v>1</v>
      </c>
      <c r="I879" s="25" t="str">
        <f t="array" ref="I879">_xlfn.TEXTJOIN(" | ",TRUE(),IF(Events!$A$2:$A$397=$A879,Events!$E$2:$E$397&amp;IF(Events!$G$2:$G$397="National",""," ["&amp;Events!$G$2:$G$397&amp;"]"),""))</f>
        <v>Clover v. HHS: federal court in Georgia finds CMS improperly used two groups of 10 measures in calculating Clover's 2026 Star Rating - the ruling that triggered CMS's June 2026 industry-wide recalculation (recalc itself is post-window)</v>
      </c>
    </row>
    <row r="880" spans="1:9" ht="15" customHeight="1" x14ac:dyDescent="0.35">
      <c r="A880" s="2">
        <v>46170</v>
      </c>
      <c r="B880" s="3">
        <f t="shared" si="65"/>
        <v>2026</v>
      </c>
      <c r="C880" s="3">
        <f t="shared" si="66"/>
        <v>5</v>
      </c>
      <c r="D880" s="3" t="str">
        <f t="shared" si="67"/>
        <v>Thu</v>
      </c>
      <c r="E880" s="3">
        <f t="shared" si="68"/>
        <v>0</v>
      </c>
      <c r="F880" s="3">
        <f t="shared" si="69"/>
        <v>0</v>
      </c>
      <c r="G880" s="3" t="str">
        <f t="array" ref="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3">
        <f>COUNTIF(Events!$A$2:$A$397,$A880)</f>
        <v>0</v>
      </c>
      <c r="I880" s="25" t="str">
        <f t="array" ref="I880">_xlfn.TEXTJOIN(" | ",TRUE(),IF(Events!$A$2:$A$397=$A880,Events!$E$2:$E$397&amp;IF(Events!$G$2:$G$397="National",""," ["&amp;Events!$G$2:$G$397&amp;"]"),""))</f>
        <v/>
      </c>
    </row>
    <row r="881" spans="1:9" ht="15" customHeight="1" x14ac:dyDescent="0.35">
      <c r="A881" s="2">
        <v>46171</v>
      </c>
      <c r="B881" s="3">
        <f t="shared" si="65"/>
        <v>2026</v>
      </c>
      <c r="C881" s="3">
        <f t="shared" si="66"/>
        <v>5</v>
      </c>
      <c r="D881" s="3" t="str">
        <f t="shared" si="67"/>
        <v>Fri</v>
      </c>
      <c r="E881" s="3">
        <f t="shared" si="68"/>
        <v>0</v>
      </c>
      <c r="F881" s="3">
        <f t="shared" si="69"/>
        <v>0</v>
      </c>
      <c r="G881" s="3" t="str">
        <f t="array" ref="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3">
        <f>COUNTIF(Events!$A$2:$A$397,$A881)</f>
        <v>0</v>
      </c>
      <c r="I881" s="25" t="str">
        <f t="array" ref="I881">_xlfn.TEXTJOIN(" | ",TRUE(),IF(Events!$A$2:$A$397=$A881,Events!$E$2:$E$397&amp;IF(Events!$G$2:$G$397="National",""," ["&amp;Events!$G$2:$G$397&amp;"]"),""))</f>
        <v/>
      </c>
    </row>
    <row r="882" spans="1:9" ht="15" customHeight="1" x14ac:dyDescent="0.35">
      <c r="A882" s="2">
        <v>46172</v>
      </c>
      <c r="B882" s="3">
        <f t="shared" si="65"/>
        <v>2026</v>
      </c>
      <c r="C882" s="3">
        <f t="shared" si="66"/>
        <v>5</v>
      </c>
      <c r="D882" s="3" t="str">
        <f t="shared" si="67"/>
        <v>Sat</v>
      </c>
      <c r="E882" s="3">
        <f t="shared" si="68"/>
        <v>0</v>
      </c>
      <c r="F882" s="3">
        <f t="shared" si="69"/>
        <v>0</v>
      </c>
      <c r="G882" s="3" t="str">
        <f t="array" ref="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
      </c>
      <c r="H882" s="3">
        <f>COUNTIF(Events!$A$2:$A$397,$A882)</f>
        <v>0</v>
      </c>
      <c r="I882" s="25" t="str">
        <f t="array" ref="I882">_xlfn.TEXTJOIN(" | ",TRUE(),IF(Events!$A$2:$A$397=$A882,Events!$E$2:$E$397&amp;IF(Events!$G$2:$G$397="National",""," ["&amp;Events!$G$2:$G$397&amp;"]"),""))</f>
        <v/>
      </c>
    </row>
    <row r="883" spans="1:9" ht="39" customHeight="1" x14ac:dyDescent="0.35">
      <c r="A883" s="2">
        <v>46173</v>
      </c>
      <c r="B883" s="3">
        <f t="shared" si="65"/>
        <v>2026</v>
      </c>
      <c r="C883" s="3">
        <f t="shared" si="66"/>
        <v>5</v>
      </c>
      <c r="D883" s="3" t="str">
        <f t="shared" si="67"/>
        <v>Sun</v>
      </c>
      <c r="E883" s="3">
        <f t="shared" si="68"/>
        <v>0</v>
      </c>
      <c r="F883" s="3">
        <f t="shared" si="69"/>
        <v>0</v>
      </c>
      <c r="G883" s="5" t="str">
        <f t="array" ref="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 | 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3" s="3">
        <f>COUNTIF(Events!$A$2:$A$397,$A883)</f>
        <v>0</v>
      </c>
      <c r="I883" s="25" t="str">
        <f t="array" ref="I883">_xlfn.TEXTJOIN(" | ",TRUE(),IF(Events!$A$2:$A$397=$A883,Events!$E$2:$E$397&amp;IF(Events!$G$2:$G$397="National",""," ["&amp;Events!$G$2:$G$397&amp;"]"),""))</f>
        <v/>
      </c>
    </row>
  </sheetData>
  <autoFilter ref="A1:I883" xr:uid="{00000000-0009-0000-0000-000000000000}"/>
  <conditionalFormatting sqref="A2:I883">
    <cfRule type="expression" dxfId="2" priority="2">
      <formula>$H2&gt;0</formula>
    </cfRule>
    <cfRule type="expression" dxfId="1" priority="3">
      <formula>$E2=1</formula>
    </cfRule>
    <cfRule type="expression" dxfId="0" priority="4">
      <formula>$F2=1</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7"/>
  <sheetViews>
    <sheetView zoomScaleNormal="100" workbookViewId="0">
      <pane ySplit="1" topLeftCell="A2" activePane="bottomLeft" state="frozen"/>
      <selection pane="bottomLeft" activeCell="F30" sqref="F30"/>
    </sheetView>
  </sheetViews>
  <sheetFormatPr defaultColWidth="8.6328125" defaultRowHeight="14.5" x14ac:dyDescent="0.35"/>
  <cols>
    <col min="1" max="1" width="9.90625" customWidth="1"/>
    <col min="2" max="2" width="18.90625" customWidth="1"/>
    <col min="3" max="3" width="20.1796875" customWidth="1"/>
    <col min="4" max="4" width="13.54296875" customWidth="1"/>
    <col min="5" max="5" width="55.54296875" style="6" customWidth="1"/>
    <col min="6" max="6" width="35.81640625" style="7" customWidth="1"/>
    <col min="7" max="7" width="10" customWidth="1"/>
    <col min="8" max="8" width="20.08984375" bestFit="1" customWidth="1"/>
  </cols>
  <sheetData>
    <row r="1" spans="1:8" ht="15" customHeight="1" x14ac:dyDescent="0.35">
      <c r="A1" s="1" t="s">
        <v>0</v>
      </c>
      <c r="B1" s="1" t="s">
        <v>9</v>
      </c>
      <c r="C1" s="1" t="s">
        <v>10</v>
      </c>
      <c r="D1" s="1" t="s">
        <v>11</v>
      </c>
      <c r="E1" s="8" t="s">
        <v>12</v>
      </c>
      <c r="F1" s="8" t="s">
        <v>13</v>
      </c>
      <c r="G1" s="8" t="s">
        <v>14</v>
      </c>
      <c r="H1" s="1" t="s">
        <v>15</v>
      </c>
    </row>
    <row r="2" spans="1:8" ht="39.5" x14ac:dyDescent="0.35">
      <c r="A2" s="27">
        <v>45292</v>
      </c>
      <c r="B2" s="28" t="s">
        <v>16</v>
      </c>
      <c r="C2" s="28" t="s">
        <v>17</v>
      </c>
      <c r="D2" s="28" t="s">
        <v>18</v>
      </c>
      <c r="E2" s="5" t="s">
        <v>19</v>
      </c>
      <c r="F2" s="5" t="s">
        <v>20</v>
      </c>
      <c r="G2" s="28" t="s">
        <v>21</v>
      </c>
      <c r="H2" s="28" t="s">
        <v>22</v>
      </c>
    </row>
    <row r="3" spans="1:8" ht="52.5" x14ac:dyDescent="0.35">
      <c r="A3" s="27">
        <v>45292</v>
      </c>
      <c r="B3" s="28" t="s">
        <v>23</v>
      </c>
      <c r="C3" s="28" t="s">
        <v>24</v>
      </c>
      <c r="D3" s="28" t="s">
        <v>18</v>
      </c>
      <c r="E3" s="5" t="s">
        <v>25</v>
      </c>
      <c r="F3" s="5" t="s">
        <v>26</v>
      </c>
      <c r="G3" s="28" t="s">
        <v>27</v>
      </c>
      <c r="H3" s="28" t="s">
        <v>28</v>
      </c>
    </row>
    <row r="4" spans="1:8" ht="39.5" x14ac:dyDescent="0.35">
      <c r="A4" s="27">
        <v>45322</v>
      </c>
      <c r="B4" s="28" t="s">
        <v>29</v>
      </c>
      <c r="C4" s="28" t="s">
        <v>30</v>
      </c>
      <c r="D4" s="28" t="s">
        <v>31</v>
      </c>
      <c r="E4" s="5" t="s">
        <v>32</v>
      </c>
      <c r="F4" s="5" t="s">
        <v>33</v>
      </c>
      <c r="G4" s="28" t="s">
        <v>21</v>
      </c>
      <c r="H4" s="28" t="s">
        <v>34</v>
      </c>
    </row>
    <row r="5" spans="1:8" ht="39.5" x14ac:dyDescent="0.35">
      <c r="A5" s="27">
        <v>45383</v>
      </c>
      <c r="B5" s="28" t="s">
        <v>35</v>
      </c>
      <c r="C5" s="28" t="s">
        <v>30</v>
      </c>
      <c r="D5" s="28" t="s">
        <v>31</v>
      </c>
      <c r="E5" s="5" t="s">
        <v>36</v>
      </c>
      <c r="F5" s="5" t="s">
        <v>37</v>
      </c>
      <c r="G5" s="28" t="s">
        <v>21</v>
      </c>
      <c r="H5" s="28" t="s">
        <v>22</v>
      </c>
    </row>
    <row r="6" spans="1:8" ht="104.5" x14ac:dyDescent="0.35">
      <c r="A6" s="27">
        <v>45386</v>
      </c>
      <c r="B6" s="28" t="s">
        <v>29</v>
      </c>
      <c r="C6" s="28" t="s">
        <v>38</v>
      </c>
      <c r="D6" s="28" t="s">
        <v>31</v>
      </c>
      <c r="E6" s="5" t="s">
        <v>39</v>
      </c>
      <c r="F6" s="5" t="s">
        <v>40</v>
      </c>
      <c r="G6" s="28" t="s">
        <v>21</v>
      </c>
      <c r="H6" s="28" t="s">
        <v>41</v>
      </c>
    </row>
    <row r="7" spans="1:8" ht="52.5" x14ac:dyDescent="0.35">
      <c r="A7" s="27">
        <v>45446</v>
      </c>
      <c r="B7" s="28" t="s">
        <v>42</v>
      </c>
      <c r="C7" s="28" t="s">
        <v>43</v>
      </c>
      <c r="D7" s="28" t="s">
        <v>31</v>
      </c>
      <c r="E7" s="5" t="s">
        <v>44</v>
      </c>
      <c r="F7" s="5" t="s">
        <v>45</v>
      </c>
      <c r="G7" s="28" t="s">
        <v>21</v>
      </c>
      <c r="H7" s="28" t="s">
        <v>46</v>
      </c>
    </row>
    <row r="8" spans="1:8" ht="65.5" x14ac:dyDescent="0.35">
      <c r="A8" s="27">
        <v>45476</v>
      </c>
      <c r="B8" s="28" t="s">
        <v>42</v>
      </c>
      <c r="C8" s="28" t="s">
        <v>47</v>
      </c>
      <c r="D8" s="28" t="s">
        <v>18</v>
      </c>
      <c r="E8" s="5" t="s">
        <v>48</v>
      </c>
      <c r="F8" s="5" t="s">
        <v>49</v>
      </c>
      <c r="G8" s="28" t="s">
        <v>21</v>
      </c>
      <c r="H8" s="28" t="s">
        <v>50</v>
      </c>
    </row>
    <row r="9" spans="1:8" ht="52.5" x14ac:dyDescent="0.35">
      <c r="A9" s="27">
        <v>45482</v>
      </c>
      <c r="B9" s="28" t="s">
        <v>42</v>
      </c>
      <c r="C9" s="28" t="s">
        <v>43</v>
      </c>
      <c r="D9" s="28" t="s">
        <v>18</v>
      </c>
      <c r="E9" s="5" t="s">
        <v>51</v>
      </c>
      <c r="F9" s="5" t="s">
        <v>52</v>
      </c>
      <c r="G9" s="28" t="s">
        <v>21</v>
      </c>
      <c r="H9" s="28" t="s">
        <v>46</v>
      </c>
    </row>
    <row r="10" spans="1:8" ht="26.5" x14ac:dyDescent="0.35">
      <c r="A10" s="27">
        <v>45519</v>
      </c>
      <c r="B10" s="28" t="s">
        <v>35</v>
      </c>
      <c r="C10" s="28" t="s">
        <v>17</v>
      </c>
      <c r="D10" s="28" t="s">
        <v>31</v>
      </c>
      <c r="E10" s="5" t="s">
        <v>53</v>
      </c>
      <c r="F10" s="5" t="s">
        <v>54</v>
      </c>
      <c r="G10" s="28" t="s">
        <v>21</v>
      </c>
      <c r="H10" s="28" t="s">
        <v>34</v>
      </c>
    </row>
    <row r="11" spans="1:8" ht="78.5" x14ac:dyDescent="0.35">
      <c r="A11" s="27">
        <v>45565</v>
      </c>
      <c r="B11" s="28" t="s">
        <v>55</v>
      </c>
      <c r="C11" s="28" t="s">
        <v>30</v>
      </c>
      <c r="D11" s="28" t="s">
        <v>56</v>
      </c>
      <c r="E11" s="5" t="s">
        <v>2407</v>
      </c>
      <c r="F11" s="5" t="s">
        <v>57</v>
      </c>
      <c r="G11" s="28" t="s">
        <v>21</v>
      </c>
      <c r="H11" s="28" t="s">
        <v>58</v>
      </c>
    </row>
    <row r="12" spans="1:8" ht="91.5" x14ac:dyDescent="0.35">
      <c r="A12" s="27">
        <v>45566</v>
      </c>
      <c r="B12" s="28" t="s">
        <v>55</v>
      </c>
      <c r="C12" s="28" t="s">
        <v>30</v>
      </c>
      <c r="D12" s="28" t="s">
        <v>18</v>
      </c>
      <c r="E12" s="5" t="s">
        <v>59</v>
      </c>
      <c r="F12" s="5" t="s">
        <v>60</v>
      </c>
      <c r="G12" s="28" t="s">
        <v>21</v>
      </c>
      <c r="H12" s="28" t="s">
        <v>58</v>
      </c>
    </row>
    <row r="13" spans="1:8" ht="39.5" x14ac:dyDescent="0.35">
      <c r="A13" s="27">
        <v>45575</v>
      </c>
      <c r="B13" s="28" t="s">
        <v>61</v>
      </c>
      <c r="C13" s="28" t="s">
        <v>62</v>
      </c>
      <c r="D13" s="28" t="s">
        <v>31</v>
      </c>
      <c r="E13" s="5" t="s">
        <v>63</v>
      </c>
      <c r="F13" s="5" t="s">
        <v>64</v>
      </c>
      <c r="G13" s="28" t="s">
        <v>21</v>
      </c>
      <c r="H13" s="28" t="s">
        <v>46</v>
      </c>
    </row>
    <row r="14" spans="1:8" ht="52.5" x14ac:dyDescent="0.35">
      <c r="A14" s="27">
        <v>45610</v>
      </c>
      <c r="B14" s="28" t="s">
        <v>35</v>
      </c>
      <c r="C14" s="28" t="s">
        <v>65</v>
      </c>
      <c r="D14" s="28" t="s">
        <v>31</v>
      </c>
      <c r="E14" s="5" t="s">
        <v>66</v>
      </c>
      <c r="F14" s="5" t="s">
        <v>67</v>
      </c>
      <c r="G14" s="28" t="s">
        <v>21</v>
      </c>
      <c r="H14" s="28" t="s">
        <v>22</v>
      </c>
    </row>
    <row r="15" spans="1:8" ht="52.5" x14ac:dyDescent="0.35">
      <c r="A15" s="27">
        <v>45618</v>
      </c>
      <c r="B15" s="28" t="s">
        <v>42</v>
      </c>
      <c r="C15" s="28" t="s">
        <v>43</v>
      </c>
      <c r="D15" s="28" t="s">
        <v>18</v>
      </c>
      <c r="E15" s="5" t="s">
        <v>68</v>
      </c>
      <c r="F15" s="5" t="s">
        <v>69</v>
      </c>
      <c r="G15" s="28" t="s">
        <v>21</v>
      </c>
      <c r="H15" s="28" t="s">
        <v>46</v>
      </c>
    </row>
    <row r="16" spans="1:8" ht="104.5" x14ac:dyDescent="0.35">
      <c r="A16" s="27">
        <v>45622</v>
      </c>
      <c r="B16" s="28" t="s">
        <v>29</v>
      </c>
      <c r="C16" s="28" t="s">
        <v>70</v>
      </c>
      <c r="D16" s="28" t="s">
        <v>31</v>
      </c>
      <c r="E16" s="5" t="s">
        <v>71</v>
      </c>
      <c r="F16" s="5" t="s">
        <v>72</v>
      </c>
      <c r="G16" s="28" t="s">
        <v>21</v>
      </c>
      <c r="H16" s="28" t="s">
        <v>34</v>
      </c>
    </row>
    <row r="17" spans="1:8" ht="104.5" x14ac:dyDescent="0.35">
      <c r="A17" s="27">
        <v>45658</v>
      </c>
      <c r="B17" s="28" t="s">
        <v>29</v>
      </c>
      <c r="C17" s="28" t="s">
        <v>73</v>
      </c>
      <c r="D17" s="28" t="s">
        <v>18</v>
      </c>
      <c r="E17" s="5" t="s">
        <v>74</v>
      </c>
      <c r="F17" s="5" t="s">
        <v>75</v>
      </c>
      <c r="G17" s="28" t="s">
        <v>21</v>
      </c>
      <c r="H17" s="28" t="s">
        <v>41</v>
      </c>
    </row>
    <row r="18" spans="1:8" ht="78.5" x14ac:dyDescent="0.35">
      <c r="A18" s="27">
        <v>45658</v>
      </c>
      <c r="B18" s="28" t="s">
        <v>29</v>
      </c>
      <c r="C18" s="28" t="s">
        <v>76</v>
      </c>
      <c r="D18" s="28" t="s">
        <v>18</v>
      </c>
      <c r="E18" s="5" t="s">
        <v>77</v>
      </c>
      <c r="F18" s="5" t="s">
        <v>75</v>
      </c>
      <c r="G18" s="28" t="s">
        <v>21</v>
      </c>
      <c r="H18" s="28" t="s">
        <v>41</v>
      </c>
    </row>
    <row r="19" spans="1:8" ht="182.5" x14ac:dyDescent="0.35">
      <c r="A19" s="27">
        <v>45658</v>
      </c>
      <c r="B19" s="28" t="s">
        <v>16</v>
      </c>
      <c r="C19" s="28" t="s">
        <v>78</v>
      </c>
      <c r="D19" s="28" t="s">
        <v>18</v>
      </c>
      <c r="E19" s="5" t="s">
        <v>79</v>
      </c>
      <c r="F19" s="5" t="s">
        <v>80</v>
      </c>
      <c r="G19" s="28" t="s">
        <v>21</v>
      </c>
      <c r="H19" s="28" t="s">
        <v>22</v>
      </c>
    </row>
    <row r="20" spans="1:8" ht="43.5" customHeight="1" x14ac:dyDescent="0.35">
      <c r="A20" s="27">
        <v>45667</v>
      </c>
      <c r="B20" s="28" t="s">
        <v>35</v>
      </c>
      <c r="C20" s="28" t="s">
        <v>30</v>
      </c>
      <c r="D20" s="28" t="s">
        <v>31</v>
      </c>
      <c r="E20" s="5" t="s">
        <v>81</v>
      </c>
      <c r="F20" s="5" t="s">
        <v>82</v>
      </c>
      <c r="G20" s="28" t="s">
        <v>21</v>
      </c>
      <c r="H20" s="28" t="s">
        <v>34</v>
      </c>
    </row>
    <row r="21" spans="1:8" ht="26.5" x14ac:dyDescent="0.35">
      <c r="A21" s="27">
        <v>45674</v>
      </c>
      <c r="B21" s="28" t="s">
        <v>29</v>
      </c>
      <c r="C21" s="28" t="s">
        <v>17</v>
      </c>
      <c r="D21" s="28" t="s">
        <v>31</v>
      </c>
      <c r="E21" s="5" t="s">
        <v>83</v>
      </c>
      <c r="F21" s="5" t="s">
        <v>54</v>
      </c>
      <c r="G21" s="28" t="s">
        <v>21</v>
      </c>
      <c r="H21" s="28" t="s">
        <v>34</v>
      </c>
    </row>
    <row r="22" spans="1:8" ht="104.5" x14ac:dyDescent="0.35">
      <c r="A22" s="27">
        <v>45751</v>
      </c>
      <c r="B22" s="28" t="s">
        <v>29</v>
      </c>
      <c r="C22" s="28" t="s">
        <v>84</v>
      </c>
      <c r="D22" s="28" t="s">
        <v>31</v>
      </c>
      <c r="E22" s="5" t="s">
        <v>85</v>
      </c>
      <c r="F22" s="5" t="s">
        <v>86</v>
      </c>
      <c r="G22" s="28" t="s">
        <v>21</v>
      </c>
      <c r="H22" s="28" t="s">
        <v>41</v>
      </c>
    </row>
    <row r="23" spans="1:8" ht="78.5" x14ac:dyDescent="0.35">
      <c r="A23" s="27">
        <v>45754</v>
      </c>
      <c r="B23" s="28" t="s">
        <v>35</v>
      </c>
      <c r="C23" s="28" t="s">
        <v>87</v>
      </c>
      <c r="D23" s="28" t="s">
        <v>31</v>
      </c>
      <c r="E23" s="5" t="s">
        <v>88</v>
      </c>
      <c r="F23" s="5" t="s">
        <v>89</v>
      </c>
      <c r="G23" s="28" t="s">
        <v>21</v>
      </c>
      <c r="H23" s="28" t="s">
        <v>22</v>
      </c>
    </row>
    <row r="24" spans="1:8" ht="39.5" x14ac:dyDescent="0.35">
      <c r="A24" s="27">
        <v>45784</v>
      </c>
      <c r="B24" s="28" t="s">
        <v>23</v>
      </c>
      <c r="C24" s="28" t="s">
        <v>24</v>
      </c>
      <c r="D24" s="28" t="s">
        <v>18</v>
      </c>
      <c r="E24" s="5" t="s">
        <v>90</v>
      </c>
      <c r="F24" s="5" t="s">
        <v>91</v>
      </c>
      <c r="G24" s="28" t="s">
        <v>92</v>
      </c>
      <c r="H24" s="28" t="s">
        <v>28</v>
      </c>
    </row>
    <row r="25" spans="1:8" ht="65.5" x14ac:dyDescent="0.35">
      <c r="A25" s="27">
        <v>45812</v>
      </c>
      <c r="B25" s="28" t="s">
        <v>23</v>
      </c>
      <c r="C25" s="28" t="s">
        <v>24</v>
      </c>
      <c r="D25" s="28" t="s">
        <v>18</v>
      </c>
      <c r="E25" s="5" t="s">
        <v>93</v>
      </c>
      <c r="F25" s="5" t="s">
        <v>94</v>
      </c>
      <c r="G25" s="28" t="s">
        <v>95</v>
      </c>
      <c r="H25" s="28" t="s">
        <v>28</v>
      </c>
    </row>
    <row r="26" spans="1:8" ht="65.5" x14ac:dyDescent="0.35">
      <c r="A26" s="27">
        <v>45839</v>
      </c>
      <c r="B26" s="28" t="s">
        <v>23</v>
      </c>
      <c r="C26" s="28" t="s">
        <v>24</v>
      </c>
      <c r="D26" s="28" t="s">
        <v>18</v>
      </c>
      <c r="E26" s="5" t="s">
        <v>96</v>
      </c>
      <c r="F26" s="5" t="s">
        <v>97</v>
      </c>
      <c r="G26" s="28" t="s">
        <v>98</v>
      </c>
      <c r="H26" s="28" t="s">
        <v>28</v>
      </c>
    </row>
    <row r="27" spans="1:8" ht="78.5" x14ac:dyDescent="0.35">
      <c r="A27" s="27">
        <v>45840</v>
      </c>
      <c r="B27" s="28" t="s">
        <v>23</v>
      </c>
      <c r="C27" s="28" t="s">
        <v>24</v>
      </c>
      <c r="D27" s="28" t="s">
        <v>31</v>
      </c>
      <c r="E27" s="5" t="s">
        <v>99</v>
      </c>
      <c r="F27" s="5" t="s">
        <v>100</v>
      </c>
      <c r="G27" s="28" t="s">
        <v>101</v>
      </c>
      <c r="H27" s="28" t="s">
        <v>34</v>
      </c>
    </row>
    <row r="28" spans="1:8" ht="117.5" x14ac:dyDescent="0.35">
      <c r="A28" s="27">
        <v>45842</v>
      </c>
      <c r="B28" s="28" t="s">
        <v>16</v>
      </c>
      <c r="C28" s="28" t="s">
        <v>102</v>
      </c>
      <c r="D28" s="28" t="s">
        <v>31</v>
      </c>
      <c r="E28" s="5" t="s">
        <v>103</v>
      </c>
      <c r="F28" s="5" t="s">
        <v>104</v>
      </c>
      <c r="G28" s="28" t="s">
        <v>21</v>
      </c>
      <c r="H28" s="28" t="s">
        <v>41</v>
      </c>
    </row>
    <row r="29" spans="1:8" ht="65.5" x14ac:dyDescent="0.35">
      <c r="A29" s="27">
        <v>45887</v>
      </c>
      <c r="B29" s="28" t="s">
        <v>42</v>
      </c>
      <c r="C29" s="28" t="s">
        <v>47</v>
      </c>
      <c r="D29" s="28" t="s">
        <v>18</v>
      </c>
      <c r="E29" s="5" t="s">
        <v>105</v>
      </c>
      <c r="F29" s="5" t="s">
        <v>106</v>
      </c>
      <c r="G29" s="28" t="s">
        <v>21</v>
      </c>
      <c r="H29" s="28" t="s">
        <v>50</v>
      </c>
    </row>
    <row r="30" spans="1:8" ht="65.5" x14ac:dyDescent="0.35">
      <c r="A30" s="27">
        <v>45919</v>
      </c>
      <c r="B30" s="28" t="s">
        <v>29</v>
      </c>
      <c r="C30" s="28" t="s">
        <v>43</v>
      </c>
      <c r="D30" s="28" t="s">
        <v>31</v>
      </c>
      <c r="E30" s="5" t="s">
        <v>2409</v>
      </c>
      <c r="F30" s="5" t="s">
        <v>107</v>
      </c>
      <c r="G30" s="28" t="s">
        <v>21</v>
      </c>
      <c r="H30" s="28" t="s">
        <v>58</v>
      </c>
    </row>
    <row r="31" spans="1:8" ht="78.5" x14ac:dyDescent="0.35">
      <c r="A31" s="27">
        <v>45930</v>
      </c>
      <c r="B31" s="28" t="s">
        <v>55</v>
      </c>
      <c r="C31" s="28" t="s">
        <v>30</v>
      </c>
      <c r="D31" s="28" t="s">
        <v>56</v>
      </c>
      <c r="E31" s="5" t="s">
        <v>2408</v>
      </c>
      <c r="F31" s="5" t="s">
        <v>57</v>
      </c>
      <c r="G31" s="28" t="s">
        <v>21</v>
      </c>
      <c r="H31" s="28" t="s">
        <v>58</v>
      </c>
    </row>
    <row r="32" spans="1:8" ht="39.5" x14ac:dyDescent="0.35">
      <c r="A32" s="27">
        <v>45931</v>
      </c>
      <c r="B32" s="28" t="s">
        <v>55</v>
      </c>
      <c r="C32" s="28" t="s">
        <v>30</v>
      </c>
      <c r="D32" s="28" t="s">
        <v>18</v>
      </c>
      <c r="E32" s="5" t="s">
        <v>108</v>
      </c>
      <c r="F32" s="5" t="s">
        <v>109</v>
      </c>
      <c r="G32" s="28" t="s">
        <v>21</v>
      </c>
      <c r="H32" s="28" t="s">
        <v>58</v>
      </c>
    </row>
    <row r="33" spans="1:8" ht="65.5" x14ac:dyDescent="0.35">
      <c r="A33" s="27">
        <v>45939</v>
      </c>
      <c r="B33" s="28" t="s">
        <v>61</v>
      </c>
      <c r="C33" s="28" t="s">
        <v>62</v>
      </c>
      <c r="D33" s="28" t="s">
        <v>31</v>
      </c>
      <c r="E33" s="5" t="s">
        <v>110</v>
      </c>
      <c r="F33" s="5" t="s">
        <v>111</v>
      </c>
      <c r="G33" s="28" t="s">
        <v>21</v>
      </c>
      <c r="H33" s="28" t="s">
        <v>46</v>
      </c>
    </row>
    <row r="34" spans="1:8" ht="65.5" x14ac:dyDescent="0.35">
      <c r="A34" s="27">
        <v>45945</v>
      </c>
      <c r="B34" s="28" t="s">
        <v>55</v>
      </c>
      <c r="C34" s="28" t="s">
        <v>76</v>
      </c>
      <c r="D34" s="28" t="s">
        <v>18</v>
      </c>
      <c r="E34" s="5" t="s">
        <v>112</v>
      </c>
      <c r="F34" s="5" t="s">
        <v>113</v>
      </c>
      <c r="G34" s="28" t="s">
        <v>114</v>
      </c>
      <c r="H34" s="28" t="s">
        <v>41</v>
      </c>
    </row>
    <row r="35" spans="1:8" ht="65.5" x14ac:dyDescent="0.35">
      <c r="A35" s="27">
        <v>45945</v>
      </c>
      <c r="B35" s="28" t="s">
        <v>23</v>
      </c>
      <c r="C35" s="28" t="s">
        <v>24</v>
      </c>
      <c r="D35" s="28" t="s">
        <v>18</v>
      </c>
      <c r="E35" s="5" t="s">
        <v>115</v>
      </c>
      <c r="F35" s="5" t="s">
        <v>100</v>
      </c>
      <c r="G35" s="28" t="s">
        <v>101</v>
      </c>
      <c r="H35" s="28" t="s">
        <v>28</v>
      </c>
    </row>
    <row r="36" spans="1:8" ht="52.5" x14ac:dyDescent="0.35">
      <c r="A36" s="27">
        <v>45980</v>
      </c>
      <c r="B36" s="28" t="s">
        <v>35</v>
      </c>
      <c r="C36" s="28" t="s">
        <v>65</v>
      </c>
      <c r="D36" s="28" t="s">
        <v>31</v>
      </c>
      <c r="E36" s="5" t="s">
        <v>116</v>
      </c>
      <c r="F36" s="5" t="s">
        <v>117</v>
      </c>
      <c r="G36" s="28" t="s">
        <v>21</v>
      </c>
      <c r="H36" s="28" t="s">
        <v>22</v>
      </c>
    </row>
    <row r="37" spans="1:8" ht="117.5" x14ac:dyDescent="0.35">
      <c r="A37" s="27">
        <v>45989</v>
      </c>
      <c r="B37" s="28" t="s">
        <v>29</v>
      </c>
      <c r="C37" s="28" t="s">
        <v>84</v>
      </c>
      <c r="D37" s="28" t="s">
        <v>31</v>
      </c>
      <c r="E37" s="5" t="s">
        <v>118</v>
      </c>
      <c r="F37" s="5" t="s">
        <v>119</v>
      </c>
      <c r="G37" s="28" t="s">
        <v>21</v>
      </c>
      <c r="H37" s="28" t="s">
        <v>34</v>
      </c>
    </row>
    <row r="38" spans="1:8" ht="26.5" x14ac:dyDescent="0.35">
      <c r="A38" s="27">
        <v>45991</v>
      </c>
      <c r="B38" s="28" t="s">
        <v>35</v>
      </c>
      <c r="C38" s="28" t="s">
        <v>17</v>
      </c>
      <c r="D38" s="28" t="s">
        <v>31</v>
      </c>
      <c r="E38" s="5" t="s">
        <v>120</v>
      </c>
      <c r="F38" s="5" t="s">
        <v>54</v>
      </c>
      <c r="G38" s="28" t="s">
        <v>21</v>
      </c>
      <c r="H38" s="28" t="s">
        <v>34</v>
      </c>
    </row>
    <row r="39" spans="1:8" ht="156.5" x14ac:dyDescent="0.35">
      <c r="A39" s="27">
        <v>46023</v>
      </c>
      <c r="B39" s="28" t="s">
        <v>16</v>
      </c>
      <c r="C39" s="28" t="s">
        <v>121</v>
      </c>
      <c r="D39" s="28" t="s">
        <v>18</v>
      </c>
      <c r="E39" s="5" t="s">
        <v>122</v>
      </c>
      <c r="F39" s="5" t="s">
        <v>123</v>
      </c>
      <c r="G39" s="28" t="s">
        <v>21</v>
      </c>
      <c r="H39" s="28" t="s">
        <v>22</v>
      </c>
    </row>
    <row r="40" spans="1:8" ht="78.5" x14ac:dyDescent="0.35">
      <c r="A40" s="27">
        <v>46023</v>
      </c>
      <c r="B40" s="28" t="s">
        <v>23</v>
      </c>
      <c r="C40" s="28" t="s">
        <v>76</v>
      </c>
      <c r="D40" s="28" t="s">
        <v>18</v>
      </c>
      <c r="E40" s="5" t="s">
        <v>124</v>
      </c>
      <c r="F40" s="5" t="s">
        <v>113</v>
      </c>
      <c r="G40" s="28" t="s">
        <v>114</v>
      </c>
      <c r="H40" s="28" t="s">
        <v>41</v>
      </c>
    </row>
    <row r="41" spans="1:8" ht="52.5" x14ac:dyDescent="0.35">
      <c r="A41" s="27">
        <v>46023</v>
      </c>
      <c r="B41" s="28" t="s">
        <v>23</v>
      </c>
      <c r="C41" s="28" t="s">
        <v>24</v>
      </c>
      <c r="D41" s="28" t="s">
        <v>18</v>
      </c>
      <c r="E41" s="5" t="s">
        <v>125</v>
      </c>
      <c r="F41" s="5" t="s">
        <v>126</v>
      </c>
      <c r="G41" s="28" t="s">
        <v>127</v>
      </c>
      <c r="H41" s="28" t="s">
        <v>28</v>
      </c>
    </row>
    <row r="42" spans="1:8" ht="65.5" x14ac:dyDescent="0.35">
      <c r="A42" s="27">
        <v>46023</v>
      </c>
      <c r="B42" s="28" t="s">
        <v>23</v>
      </c>
      <c r="C42" s="28" t="s">
        <v>24</v>
      </c>
      <c r="D42" s="28" t="s">
        <v>18</v>
      </c>
      <c r="E42" s="5" t="s">
        <v>128</v>
      </c>
      <c r="F42" s="5" t="s">
        <v>129</v>
      </c>
      <c r="G42" s="28" t="s">
        <v>130</v>
      </c>
      <c r="H42" s="28" t="s">
        <v>28</v>
      </c>
    </row>
    <row r="43" spans="1:8" ht="65.5" x14ac:dyDescent="0.35">
      <c r="A43" s="27">
        <v>46023</v>
      </c>
      <c r="B43" s="28" t="s">
        <v>23</v>
      </c>
      <c r="C43" s="28" t="s">
        <v>24</v>
      </c>
      <c r="D43" s="28" t="s">
        <v>18</v>
      </c>
      <c r="E43" s="5" t="s">
        <v>131</v>
      </c>
      <c r="F43" s="5" t="s">
        <v>132</v>
      </c>
      <c r="G43" s="28" t="s">
        <v>133</v>
      </c>
      <c r="H43" s="28" t="s">
        <v>28</v>
      </c>
    </row>
    <row r="44" spans="1:8" ht="39.5" x14ac:dyDescent="0.35">
      <c r="A44" s="27">
        <v>46023</v>
      </c>
      <c r="B44" s="28" t="s">
        <v>23</v>
      </c>
      <c r="C44" s="28" t="s">
        <v>24</v>
      </c>
      <c r="D44" s="28" t="s">
        <v>18</v>
      </c>
      <c r="E44" s="5" t="s">
        <v>134</v>
      </c>
      <c r="F44" s="5" t="s">
        <v>135</v>
      </c>
      <c r="G44" s="28" t="s">
        <v>101</v>
      </c>
      <c r="H44" s="28" t="s">
        <v>22</v>
      </c>
    </row>
    <row r="45" spans="1:8" ht="65.5" x14ac:dyDescent="0.35">
      <c r="A45" s="27">
        <v>46048</v>
      </c>
      <c r="B45" s="28" t="s">
        <v>35</v>
      </c>
      <c r="C45" s="28" t="s">
        <v>30</v>
      </c>
      <c r="D45" s="28" t="s">
        <v>31</v>
      </c>
      <c r="E45" s="5" t="s">
        <v>136</v>
      </c>
      <c r="F45" s="5" t="s">
        <v>137</v>
      </c>
      <c r="G45" s="28" t="s">
        <v>21</v>
      </c>
      <c r="H45" s="28" t="s">
        <v>34</v>
      </c>
    </row>
    <row r="46" spans="1:8" ht="26.5" x14ac:dyDescent="0.35">
      <c r="A46" s="27">
        <v>46049</v>
      </c>
      <c r="B46" s="28" t="s">
        <v>29</v>
      </c>
      <c r="C46" s="28" t="s">
        <v>30</v>
      </c>
      <c r="D46" s="28" t="s">
        <v>31</v>
      </c>
      <c r="E46" s="5" t="s">
        <v>138</v>
      </c>
      <c r="F46" s="5" t="s">
        <v>54</v>
      </c>
      <c r="G46" s="28" t="s">
        <v>21</v>
      </c>
      <c r="H46" s="28" t="s">
        <v>34</v>
      </c>
    </row>
    <row r="47" spans="1:8" ht="65.5" x14ac:dyDescent="0.35">
      <c r="A47" s="27">
        <v>46084</v>
      </c>
      <c r="B47" s="28" t="s">
        <v>23</v>
      </c>
      <c r="C47" s="28" t="s">
        <v>24</v>
      </c>
      <c r="D47" s="28" t="s">
        <v>31</v>
      </c>
      <c r="E47" s="5" t="s">
        <v>2406</v>
      </c>
      <c r="F47" s="5" t="s">
        <v>139</v>
      </c>
      <c r="G47" s="28" t="s">
        <v>140</v>
      </c>
      <c r="H47" s="28" t="s">
        <v>34</v>
      </c>
    </row>
    <row r="48" spans="1:8" ht="104.5" x14ac:dyDescent="0.35">
      <c r="A48" s="27">
        <v>46114</v>
      </c>
      <c r="B48" s="28" t="s">
        <v>29</v>
      </c>
      <c r="C48" s="28" t="s">
        <v>84</v>
      </c>
      <c r="D48" s="28" t="s">
        <v>31</v>
      </c>
      <c r="E48" s="5" t="s">
        <v>141</v>
      </c>
      <c r="F48" s="5" t="s">
        <v>142</v>
      </c>
      <c r="G48" s="28" t="s">
        <v>21</v>
      </c>
      <c r="H48" s="28" t="s">
        <v>34</v>
      </c>
    </row>
    <row r="49" spans="1:8" ht="65.5" x14ac:dyDescent="0.35">
      <c r="A49" s="27">
        <v>46118</v>
      </c>
      <c r="B49" s="28" t="s">
        <v>35</v>
      </c>
      <c r="C49" s="28" t="s">
        <v>30</v>
      </c>
      <c r="D49" s="28" t="s">
        <v>31</v>
      </c>
      <c r="E49" s="5" t="s">
        <v>143</v>
      </c>
      <c r="F49" s="5" t="s">
        <v>144</v>
      </c>
      <c r="G49" s="28" t="s">
        <v>21</v>
      </c>
      <c r="H49" s="28" t="s">
        <v>34</v>
      </c>
    </row>
    <row r="50" spans="1:8" ht="52.5" x14ac:dyDescent="0.35">
      <c r="A50" s="27">
        <v>46169</v>
      </c>
      <c r="B50" s="28" t="s">
        <v>42</v>
      </c>
      <c r="C50" s="28" t="s">
        <v>43</v>
      </c>
      <c r="D50" s="28" t="s">
        <v>31</v>
      </c>
      <c r="E50" s="5" t="s">
        <v>145</v>
      </c>
      <c r="F50" s="5" t="s">
        <v>146</v>
      </c>
      <c r="G50" s="28" t="s">
        <v>21</v>
      </c>
      <c r="H50" s="28" t="s">
        <v>46</v>
      </c>
    </row>
    <row r="51" spans="1:8" ht="15" customHeight="1" x14ac:dyDescent="0.35">
      <c r="A51" s="9"/>
      <c r="B51" s="10"/>
      <c r="C51" s="10"/>
      <c r="D51" s="10"/>
      <c r="E51" s="11"/>
      <c r="F51" s="5"/>
      <c r="G51" s="3"/>
    </row>
    <row r="52" spans="1:8" ht="15" customHeight="1" x14ac:dyDescent="0.35">
      <c r="A52" s="9"/>
      <c r="B52" s="10"/>
      <c r="C52" s="10"/>
      <c r="D52" s="10"/>
      <c r="E52" s="11"/>
      <c r="F52" s="5"/>
      <c r="G52" s="3"/>
    </row>
    <row r="53" spans="1:8" ht="15" customHeight="1" x14ac:dyDescent="0.35">
      <c r="A53" s="9"/>
      <c r="B53" s="10"/>
      <c r="C53" s="10"/>
      <c r="D53" s="10"/>
      <c r="E53" s="11"/>
      <c r="F53" s="5"/>
      <c r="G53" s="3"/>
    </row>
    <row r="54" spans="1:8" ht="15" customHeight="1" x14ac:dyDescent="0.35">
      <c r="A54" s="12"/>
      <c r="B54" s="12"/>
      <c r="C54" s="12"/>
      <c r="D54" s="12"/>
      <c r="E54" s="13"/>
      <c r="F54" s="14"/>
    </row>
    <row r="55" spans="1:8" ht="15" customHeight="1" x14ac:dyDescent="0.35">
      <c r="A55" s="12"/>
      <c r="B55" s="12"/>
      <c r="C55" s="12"/>
      <c r="D55" s="12"/>
      <c r="E55" s="13"/>
      <c r="F55" s="14"/>
    </row>
    <row r="56" spans="1:8" ht="15" customHeight="1" x14ac:dyDescent="0.35">
      <c r="A56" s="12"/>
      <c r="B56" s="12"/>
      <c r="C56" s="12"/>
      <c r="D56" s="12"/>
      <c r="E56" s="13"/>
      <c r="F56" s="14"/>
    </row>
    <row r="57" spans="1:8" ht="15" customHeight="1" x14ac:dyDescent="0.35">
      <c r="A57" s="12"/>
      <c r="B57" s="12"/>
      <c r="C57" s="12"/>
      <c r="D57" s="12"/>
      <c r="E57" s="13"/>
      <c r="F57" s="14"/>
    </row>
    <row r="58" spans="1:8" ht="15" customHeight="1" x14ac:dyDescent="0.35">
      <c r="A58" s="12"/>
      <c r="B58" s="12"/>
      <c r="C58" s="12"/>
      <c r="D58" s="12"/>
      <c r="E58" s="13"/>
      <c r="F58" s="14"/>
    </row>
    <row r="59" spans="1:8" ht="15" customHeight="1" x14ac:dyDescent="0.35">
      <c r="A59" s="12"/>
      <c r="B59" s="12"/>
      <c r="C59" s="12"/>
      <c r="D59" s="12"/>
      <c r="E59" s="13"/>
      <c r="F59" s="14"/>
    </row>
    <row r="60" spans="1:8" ht="15" customHeight="1" x14ac:dyDescent="0.35">
      <c r="A60" s="12"/>
      <c r="B60" s="12"/>
      <c r="C60" s="12"/>
      <c r="D60" s="12"/>
      <c r="E60" s="13"/>
      <c r="F60" s="14"/>
    </row>
    <row r="61" spans="1:8" ht="15" customHeight="1" x14ac:dyDescent="0.35">
      <c r="A61" s="12"/>
      <c r="B61" s="12"/>
      <c r="C61" s="12"/>
      <c r="D61" s="12"/>
      <c r="E61" s="13"/>
      <c r="F61" s="14"/>
    </row>
    <row r="62" spans="1:8" ht="15" customHeight="1" x14ac:dyDescent="0.35">
      <c r="A62" s="12"/>
      <c r="B62" s="12"/>
      <c r="C62" s="12"/>
      <c r="D62" s="12"/>
      <c r="E62" s="13"/>
      <c r="F62" s="14"/>
    </row>
    <row r="63" spans="1:8" ht="15" customHeight="1" x14ac:dyDescent="0.35">
      <c r="A63" s="12"/>
      <c r="B63" s="12"/>
      <c r="C63" s="12"/>
      <c r="D63" s="12"/>
      <c r="E63" s="13"/>
      <c r="F63" s="14"/>
    </row>
    <row r="64" spans="1:8" ht="15" customHeight="1" x14ac:dyDescent="0.35">
      <c r="A64" s="12"/>
      <c r="B64" s="12"/>
      <c r="C64" s="12"/>
      <c r="D64" s="12"/>
      <c r="E64" s="13"/>
      <c r="F64" s="14"/>
    </row>
    <row r="65" spans="1:6" ht="15" customHeight="1" x14ac:dyDescent="0.35">
      <c r="A65" s="12"/>
      <c r="B65" s="12"/>
      <c r="C65" s="12"/>
      <c r="D65" s="12"/>
      <c r="E65" s="13"/>
      <c r="F65" s="14"/>
    </row>
    <row r="66" spans="1:6" ht="15" customHeight="1" x14ac:dyDescent="0.35">
      <c r="A66" s="12"/>
      <c r="B66" s="12"/>
      <c r="C66" s="12"/>
      <c r="D66" s="12"/>
      <c r="E66" s="13"/>
      <c r="F66" s="14"/>
    </row>
    <row r="67" spans="1:6" ht="15" customHeight="1" x14ac:dyDescent="0.35">
      <c r="A67" s="12"/>
      <c r="B67" s="12"/>
      <c r="C67" s="12"/>
      <c r="D67" s="12"/>
      <c r="E67" s="13"/>
      <c r="F67" s="14"/>
    </row>
    <row r="68" spans="1:6" ht="15" customHeight="1" x14ac:dyDescent="0.35">
      <c r="A68" s="12"/>
      <c r="B68" s="12"/>
      <c r="C68" s="12"/>
      <c r="D68" s="12"/>
      <c r="E68" s="13"/>
      <c r="F68" s="14"/>
    </row>
    <row r="69" spans="1:6" ht="15" customHeight="1" x14ac:dyDescent="0.35">
      <c r="A69" s="12"/>
      <c r="B69" s="12"/>
      <c r="C69" s="12"/>
      <c r="D69" s="12"/>
      <c r="E69" s="13"/>
      <c r="F69" s="14"/>
    </row>
    <row r="70" spans="1:6" ht="15" customHeight="1" x14ac:dyDescent="0.35">
      <c r="A70" s="12"/>
      <c r="B70" s="12"/>
      <c r="C70" s="12"/>
      <c r="D70" s="12"/>
      <c r="E70" s="13"/>
      <c r="F70" s="14"/>
    </row>
    <row r="71" spans="1:6" ht="15" customHeight="1" x14ac:dyDescent="0.35">
      <c r="A71" s="12"/>
      <c r="B71" s="12"/>
      <c r="C71" s="12"/>
      <c r="D71" s="12"/>
      <c r="E71" s="13"/>
      <c r="F71" s="14"/>
    </row>
    <row r="72" spans="1:6" ht="15" customHeight="1" x14ac:dyDescent="0.35">
      <c r="A72" s="12"/>
      <c r="B72" s="12"/>
      <c r="C72" s="12"/>
      <c r="D72" s="12"/>
      <c r="E72" s="13"/>
      <c r="F72" s="14"/>
    </row>
    <row r="73" spans="1:6" ht="15" customHeight="1" x14ac:dyDescent="0.35">
      <c r="A73" s="12"/>
      <c r="B73" s="12"/>
      <c r="C73" s="12"/>
      <c r="D73" s="12"/>
      <c r="E73" s="13"/>
      <c r="F73" s="14"/>
    </row>
    <row r="74" spans="1:6" ht="15" customHeight="1" x14ac:dyDescent="0.35">
      <c r="A74" s="12"/>
      <c r="B74" s="12"/>
      <c r="C74" s="12"/>
      <c r="D74" s="12"/>
      <c r="E74" s="13"/>
      <c r="F74" s="14"/>
    </row>
    <row r="75" spans="1:6" ht="15" customHeight="1" x14ac:dyDescent="0.35">
      <c r="A75" s="12"/>
      <c r="B75" s="12"/>
      <c r="C75" s="12"/>
      <c r="D75" s="12"/>
      <c r="E75" s="13"/>
      <c r="F75" s="14"/>
    </row>
    <row r="76" spans="1:6" ht="15" customHeight="1" x14ac:dyDescent="0.35">
      <c r="A76" s="12"/>
      <c r="B76" s="12"/>
      <c r="C76" s="12"/>
      <c r="D76" s="12"/>
      <c r="E76" s="13"/>
      <c r="F76" s="14"/>
    </row>
    <row r="77" spans="1:6" ht="15" customHeight="1" x14ac:dyDescent="0.35">
      <c r="A77" s="12"/>
      <c r="B77" s="12"/>
      <c r="C77" s="12"/>
      <c r="D77" s="12"/>
      <c r="E77" s="13"/>
      <c r="F77" s="14"/>
    </row>
    <row r="78" spans="1:6" ht="15" customHeight="1" x14ac:dyDescent="0.35">
      <c r="A78" s="12"/>
      <c r="B78" s="12"/>
      <c r="C78" s="12"/>
      <c r="D78" s="12"/>
      <c r="E78" s="13"/>
      <c r="F78" s="14"/>
    </row>
    <row r="79" spans="1:6" ht="15" customHeight="1" x14ac:dyDescent="0.35">
      <c r="A79" s="12"/>
      <c r="B79" s="12"/>
      <c r="C79" s="12"/>
      <c r="D79" s="12"/>
      <c r="E79" s="13"/>
      <c r="F79" s="14"/>
    </row>
    <row r="80" spans="1:6" ht="15" customHeight="1" x14ac:dyDescent="0.35">
      <c r="A80" s="12"/>
      <c r="B80" s="12"/>
      <c r="C80" s="12"/>
      <c r="D80" s="12"/>
      <c r="E80" s="13"/>
      <c r="F80" s="14"/>
    </row>
    <row r="81" spans="1:6" ht="15" customHeight="1" x14ac:dyDescent="0.35">
      <c r="A81" s="12"/>
      <c r="B81" s="12"/>
      <c r="C81" s="12"/>
      <c r="D81" s="12"/>
      <c r="E81" s="13"/>
      <c r="F81" s="14"/>
    </row>
    <row r="82" spans="1:6" ht="15" customHeight="1" x14ac:dyDescent="0.35">
      <c r="A82" s="12"/>
      <c r="B82" s="12"/>
      <c r="C82" s="12"/>
      <c r="D82" s="12"/>
      <c r="E82" s="13"/>
      <c r="F82" s="14"/>
    </row>
    <row r="83" spans="1:6" ht="15" customHeight="1" x14ac:dyDescent="0.35">
      <c r="A83" s="12"/>
      <c r="B83" s="12"/>
      <c r="C83" s="12"/>
      <c r="D83" s="12"/>
      <c r="E83" s="13"/>
      <c r="F83" s="14"/>
    </row>
    <row r="84" spans="1:6" ht="15" customHeight="1" x14ac:dyDescent="0.35">
      <c r="A84" s="12"/>
      <c r="B84" s="12"/>
      <c r="C84" s="12"/>
      <c r="D84" s="12"/>
      <c r="E84" s="13"/>
      <c r="F84" s="14"/>
    </row>
    <row r="85" spans="1:6" ht="15" customHeight="1" x14ac:dyDescent="0.35">
      <c r="A85" s="12"/>
      <c r="B85" s="12"/>
      <c r="C85" s="12"/>
      <c r="D85" s="12"/>
      <c r="E85" s="13"/>
      <c r="F85" s="14"/>
    </row>
    <row r="86" spans="1:6" ht="15" customHeight="1" x14ac:dyDescent="0.35">
      <c r="A86" s="12"/>
      <c r="B86" s="12"/>
      <c r="C86" s="12"/>
      <c r="D86" s="12"/>
      <c r="E86" s="13"/>
      <c r="F86" s="14"/>
    </row>
    <row r="87" spans="1:6" ht="15" customHeight="1" x14ac:dyDescent="0.35">
      <c r="A87" s="12"/>
      <c r="B87" s="12"/>
      <c r="C87" s="12"/>
      <c r="D87" s="12"/>
      <c r="E87" s="13"/>
      <c r="F87" s="14"/>
    </row>
    <row r="88" spans="1:6" ht="15" customHeight="1" x14ac:dyDescent="0.35">
      <c r="A88" s="12"/>
      <c r="B88" s="12"/>
      <c r="C88" s="12"/>
      <c r="D88" s="12"/>
      <c r="E88" s="13"/>
      <c r="F88" s="14"/>
    </row>
    <row r="89" spans="1:6" ht="15" customHeight="1" x14ac:dyDescent="0.35">
      <c r="A89" s="12"/>
      <c r="B89" s="12"/>
      <c r="C89" s="12"/>
      <c r="D89" s="12"/>
      <c r="E89" s="13"/>
      <c r="F89" s="14"/>
    </row>
    <row r="90" spans="1:6" ht="15" customHeight="1" x14ac:dyDescent="0.35">
      <c r="A90" s="12"/>
      <c r="B90" s="12"/>
      <c r="C90" s="12"/>
      <c r="D90" s="12"/>
      <c r="E90" s="13"/>
      <c r="F90" s="14"/>
    </row>
    <row r="91" spans="1:6" ht="15" customHeight="1" x14ac:dyDescent="0.35">
      <c r="A91" s="12"/>
      <c r="B91" s="12"/>
      <c r="C91" s="12"/>
      <c r="D91" s="12"/>
      <c r="E91" s="13"/>
      <c r="F91" s="14"/>
    </row>
    <row r="92" spans="1:6" ht="15" customHeight="1" x14ac:dyDescent="0.35">
      <c r="A92" s="12"/>
      <c r="B92" s="12"/>
      <c r="C92" s="12"/>
      <c r="D92" s="12"/>
      <c r="E92" s="13"/>
      <c r="F92" s="14"/>
    </row>
    <row r="93" spans="1:6" ht="15" customHeight="1" x14ac:dyDescent="0.35">
      <c r="A93" s="12"/>
      <c r="B93" s="12"/>
      <c r="C93" s="12"/>
      <c r="D93" s="12"/>
      <c r="E93" s="13"/>
      <c r="F93" s="14"/>
    </row>
    <row r="94" spans="1:6" ht="15" customHeight="1" x14ac:dyDescent="0.35">
      <c r="A94" s="12"/>
      <c r="B94" s="12"/>
      <c r="C94" s="12"/>
      <c r="D94" s="12"/>
      <c r="E94" s="13"/>
      <c r="F94" s="14"/>
    </row>
    <row r="95" spans="1:6" ht="15" customHeight="1" x14ac:dyDescent="0.35">
      <c r="A95" s="12"/>
      <c r="B95" s="12"/>
      <c r="C95" s="12"/>
      <c r="D95" s="12"/>
      <c r="E95" s="13"/>
      <c r="F95" s="14"/>
    </row>
    <row r="96" spans="1:6" ht="15" customHeight="1" x14ac:dyDescent="0.35">
      <c r="A96" s="12"/>
      <c r="B96" s="12"/>
      <c r="C96" s="12"/>
      <c r="D96" s="12"/>
      <c r="E96" s="13"/>
      <c r="F96" s="14"/>
    </row>
    <row r="97" spans="1:6" ht="15" customHeight="1" x14ac:dyDescent="0.35">
      <c r="A97" s="12"/>
      <c r="B97" s="12"/>
      <c r="C97" s="12"/>
      <c r="D97" s="12"/>
      <c r="E97" s="13"/>
      <c r="F97" s="14"/>
    </row>
    <row r="98" spans="1:6" ht="15" customHeight="1" x14ac:dyDescent="0.35">
      <c r="A98" s="12"/>
      <c r="B98" s="12"/>
      <c r="C98" s="12"/>
      <c r="D98" s="12"/>
      <c r="E98" s="13"/>
      <c r="F98" s="14"/>
    </row>
    <row r="99" spans="1:6" ht="15" customHeight="1" x14ac:dyDescent="0.35">
      <c r="A99" s="12"/>
      <c r="B99" s="12"/>
      <c r="C99" s="12"/>
      <c r="D99" s="12"/>
      <c r="E99" s="13"/>
      <c r="F99" s="14"/>
    </row>
    <row r="100" spans="1:6" ht="15" customHeight="1" x14ac:dyDescent="0.35">
      <c r="A100" s="12"/>
      <c r="B100" s="12"/>
      <c r="C100" s="12"/>
      <c r="D100" s="12"/>
      <c r="E100" s="13"/>
      <c r="F100" s="14"/>
    </row>
    <row r="101" spans="1:6" ht="15" customHeight="1" x14ac:dyDescent="0.35">
      <c r="A101" s="12"/>
      <c r="B101" s="12"/>
      <c r="C101" s="12"/>
      <c r="D101" s="12"/>
      <c r="E101" s="13"/>
      <c r="F101" s="14"/>
    </row>
    <row r="102" spans="1:6" ht="15" customHeight="1" x14ac:dyDescent="0.35">
      <c r="A102" s="12"/>
      <c r="B102" s="12"/>
      <c r="C102" s="12"/>
      <c r="D102" s="12"/>
      <c r="E102" s="13"/>
      <c r="F102" s="14"/>
    </row>
    <row r="103" spans="1:6" ht="15" customHeight="1" x14ac:dyDescent="0.35">
      <c r="A103" s="12"/>
      <c r="B103" s="12"/>
      <c r="C103" s="12"/>
      <c r="D103" s="12"/>
      <c r="E103" s="13"/>
      <c r="F103" s="14"/>
    </row>
    <row r="104" spans="1:6" ht="15" customHeight="1" x14ac:dyDescent="0.35">
      <c r="A104" s="12"/>
      <c r="B104" s="12"/>
      <c r="C104" s="12"/>
      <c r="D104" s="12"/>
      <c r="E104" s="13"/>
      <c r="F104" s="14"/>
    </row>
    <row r="105" spans="1:6" ht="15" customHeight="1" x14ac:dyDescent="0.35">
      <c r="A105" s="12"/>
      <c r="B105" s="12"/>
      <c r="C105" s="12"/>
      <c r="D105" s="12"/>
      <c r="E105" s="13"/>
      <c r="F105" s="14"/>
    </row>
    <row r="106" spans="1:6" ht="15" customHeight="1" x14ac:dyDescent="0.35">
      <c r="A106" s="12"/>
      <c r="B106" s="12"/>
      <c r="C106" s="12"/>
      <c r="D106" s="12"/>
      <c r="E106" s="13"/>
      <c r="F106" s="14"/>
    </row>
    <row r="107" spans="1:6" ht="15" customHeight="1" x14ac:dyDescent="0.35">
      <c r="A107" s="12"/>
      <c r="B107" s="12"/>
      <c r="C107" s="12"/>
      <c r="D107" s="12"/>
      <c r="E107" s="13"/>
      <c r="F107" s="14"/>
    </row>
    <row r="108" spans="1:6" ht="15" customHeight="1" x14ac:dyDescent="0.35">
      <c r="A108" s="12"/>
      <c r="B108" s="12"/>
      <c r="C108" s="12"/>
      <c r="D108" s="12"/>
      <c r="E108" s="13"/>
      <c r="F108" s="14"/>
    </row>
    <row r="109" spans="1:6" ht="15" customHeight="1" x14ac:dyDescent="0.35">
      <c r="A109" s="12"/>
      <c r="B109" s="12"/>
      <c r="C109" s="12"/>
      <c r="D109" s="12"/>
      <c r="E109" s="13"/>
      <c r="F109" s="14"/>
    </row>
    <row r="110" spans="1:6" ht="15" customHeight="1" x14ac:dyDescent="0.35">
      <c r="A110" s="12"/>
      <c r="B110" s="12"/>
      <c r="C110" s="12"/>
      <c r="D110" s="12"/>
      <c r="E110" s="13"/>
      <c r="F110" s="14"/>
    </row>
    <row r="111" spans="1:6" ht="15" customHeight="1" x14ac:dyDescent="0.35">
      <c r="A111" s="12"/>
      <c r="B111" s="12"/>
      <c r="C111" s="12"/>
      <c r="D111" s="12"/>
      <c r="E111" s="13"/>
      <c r="F111" s="14"/>
    </row>
    <row r="112" spans="1:6" ht="15" customHeight="1" x14ac:dyDescent="0.35">
      <c r="A112" s="12"/>
      <c r="B112" s="12"/>
      <c r="C112" s="12"/>
      <c r="D112" s="12"/>
      <c r="E112" s="13"/>
      <c r="F112" s="14"/>
    </row>
    <row r="113" spans="1:6" ht="15" customHeight="1" x14ac:dyDescent="0.35">
      <c r="A113" s="12"/>
      <c r="B113" s="12"/>
      <c r="C113" s="12"/>
      <c r="D113" s="12"/>
      <c r="E113" s="13"/>
      <c r="F113" s="14"/>
    </row>
    <row r="114" spans="1:6" ht="15" customHeight="1" x14ac:dyDescent="0.35">
      <c r="A114" s="12"/>
      <c r="B114" s="12"/>
      <c r="C114" s="12"/>
      <c r="D114" s="12"/>
      <c r="E114" s="13"/>
      <c r="F114" s="14"/>
    </row>
    <row r="115" spans="1:6" ht="15" customHeight="1" x14ac:dyDescent="0.35">
      <c r="A115" s="12"/>
      <c r="B115" s="12"/>
      <c r="C115" s="12"/>
      <c r="D115" s="12"/>
      <c r="E115" s="13"/>
      <c r="F115" s="14"/>
    </row>
    <row r="116" spans="1:6" ht="15" customHeight="1" x14ac:dyDescent="0.35">
      <c r="A116" s="12"/>
      <c r="B116" s="12"/>
      <c r="C116" s="12"/>
      <c r="D116" s="12"/>
      <c r="E116" s="13"/>
      <c r="F116" s="14"/>
    </row>
    <row r="117" spans="1:6" ht="15" customHeight="1" x14ac:dyDescent="0.35">
      <c r="A117" s="12"/>
      <c r="B117" s="12"/>
      <c r="C117" s="12"/>
      <c r="D117" s="12"/>
      <c r="E117" s="13"/>
      <c r="F117" s="14"/>
    </row>
    <row r="118" spans="1:6" ht="15" customHeight="1" x14ac:dyDescent="0.35">
      <c r="A118" s="12"/>
      <c r="B118" s="12"/>
      <c r="C118" s="12"/>
      <c r="D118" s="12"/>
      <c r="E118" s="13"/>
      <c r="F118" s="14"/>
    </row>
    <row r="119" spans="1:6" ht="15" customHeight="1" x14ac:dyDescent="0.35">
      <c r="A119" s="12"/>
      <c r="B119" s="12"/>
      <c r="C119" s="12"/>
      <c r="D119" s="12"/>
      <c r="E119" s="13"/>
      <c r="F119" s="14"/>
    </row>
    <row r="120" spans="1:6" ht="15" customHeight="1" x14ac:dyDescent="0.35">
      <c r="A120" s="12"/>
      <c r="B120" s="12"/>
      <c r="C120" s="12"/>
      <c r="D120" s="12"/>
      <c r="E120" s="13"/>
      <c r="F120" s="14"/>
    </row>
    <row r="121" spans="1:6" ht="15" customHeight="1" x14ac:dyDescent="0.35">
      <c r="A121" s="12"/>
      <c r="B121" s="12"/>
      <c r="C121" s="12"/>
      <c r="D121" s="12"/>
      <c r="E121" s="13"/>
      <c r="F121" s="14"/>
    </row>
    <row r="122" spans="1:6" ht="15" customHeight="1" x14ac:dyDescent="0.35">
      <c r="A122" s="12"/>
      <c r="B122" s="12"/>
      <c r="C122" s="12"/>
      <c r="D122" s="12"/>
      <c r="E122" s="13"/>
      <c r="F122" s="14"/>
    </row>
    <row r="123" spans="1:6" ht="15" customHeight="1" x14ac:dyDescent="0.35">
      <c r="A123" s="12"/>
      <c r="B123" s="12"/>
      <c r="C123" s="12"/>
      <c r="D123" s="12"/>
      <c r="E123" s="13"/>
      <c r="F123" s="14"/>
    </row>
    <row r="124" spans="1:6" ht="15" customHeight="1" x14ac:dyDescent="0.35">
      <c r="A124" s="12"/>
      <c r="B124" s="12"/>
      <c r="C124" s="12"/>
      <c r="D124" s="12"/>
      <c r="E124" s="13"/>
      <c r="F124" s="14"/>
    </row>
    <row r="125" spans="1:6" ht="15" customHeight="1" x14ac:dyDescent="0.35">
      <c r="A125" s="12"/>
      <c r="B125" s="12"/>
      <c r="C125" s="12"/>
      <c r="D125" s="12"/>
      <c r="E125" s="13"/>
      <c r="F125" s="14"/>
    </row>
    <row r="126" spans="1:6" ht="15" customHeight="1" x14ac:dyDescent="0.35">
      <c r="A126" s="12"/>
      <c r="B126" s="12"/>
      <c r="C126" s="12"/>
      <c r="D126" s="12"/>
      <c r="E126" s="13"/>
      <c r="F126" s="14"/>
    </row>
    <row r="127" spans="1:6" ht="15" customHeight="1" x14ac:dyDescent="0.35">
      <c r="A127" s="12"/>
      <c r="B127" s="12"/>
      <c r="C127" s="12"/>
      <c r="D127" s="12"/>
      <c r="E127" s="13"/>
      <c r="F127" s="14"/>
    </row>
    <row r="128" spans="1:6" ht="15" customHeight="1" x14ac:dyDescent="0.35">
      <c r="A128" s="12"/>
      <c r="B128" s="12"/>
      <c r="C128" s="12"/>
      <c r="D128" s="12"/>
      <c r="E128" s="13"/>
      <c r="F128" s="14"/>
    </row>
    <row r="129" spans="1:6" ht="15" customHeight="1" x14ac:dyDescent="0.35">
      <c r="A129" s="12"/>
      <c r="B129" s="12"/>
      <c r="C129" s="12"/>
      <c r="D129" s="12"/>
      <c r="E129" s="13"/>
      <c r="F129" s="14"/>
    </row>
    <row r="130" spans="1:6" ht="15" customHeight="1" x14ac:dyDescent="0.35">
      <c r="A130" s="12"/>
      <c r="B130" s="12"/>
      <c r="C130" s="12"/>
      <c r="D130" s="12"/>
      <c r="E130" s="13"/>
      <c r="F130" s="14"/>
    </row>
    <row r="131" spans="1:6" ht="15" customHeight="1" x14ac:dyDescent="0.35">
      <c r="A131" s="12"/>
      <c r="B131" s="12"/>
      <c r="C131" s="12"/>
      <c r="D131" s="12"/>
      <c r="E131" s="13"/>
      <c r="F131" s="14"/>
    </row>
    <row r="132" spans="1:6" ht="15" customHeight="1" x14ac:dyDescent="0.35">
      <c r="A132" s="12"/>
      <c r="B132" s="12"/>
      <c r="C132" s="12"/>
      <c r="D132" s="12"/>
      <c r="E132" s="13"/>
      <c r="F132" s="14"/>
    </row>
    <row r="133" spans="1:6" ht="15" customHeight="1" x14ac:dyDescent="0.35">
      <c r="A133" s="12"/>
      <c r="B133" s="12"/>
      <c r="C133" s="12"/>
      <c r="D133" s="12"/>
      <c r="E133" s="13"/>
      <c r="F133" s="14"/>
    </row>
    <row r="134" spans="1:6" ht="15" customHeight="1" x14ac:dyDescent="0.35">
      <c r="A134" s="12"/>
      <c r="B134" s="12"/>
      <c r="C134" s="12"/>
      <c r="D134" s="12"/>
      <c r="E134" s="13"/>
      <c r="F134" s="14"/>
    </row>
    <row r="135" spans="1:6" ht="15" customHeight="1" x14ac:dyDescent="0.35">
      <c r="A135" s="12"/>
      <c r="B135" s="12"/>
      <c r="C135" s="12"/>
      <c r="D135" s="12"/>
      <c r="E135" s="13"/>
      <c r="F135" s="14"/>
    </row>
    <row r="136" spans="1:6" ht="15" customHeight="1" x14ac:dyDescent="0.35">
      <c r="A136" s="12"/>
      <c r="B136" s="12"/>
      <c r="C136" s="12"/>
      <c r="D136" s="12"/>
      <c r="E136" s="13"/>
      <c r="F136" s="14"/>
    </row>
    <row r="137" spans="1:6" ht="15" customHeight="1" x14ac:dyDescent="0.35">
      <c r="A137" s="12"/>
      <c r="B137" s="12"/>
      <c r="C137" s="12"/>
      <c r="D137" s="12"/>
      <c r="E137" s="13"/>
      <c r="F137" s="14"/>
    </row>
    <row r="138" spans="1:6" ht="15" customHeight="1" x14ac:dyDescent="0.35">
      <c r="A138" s="12"/>
      <c r="B138" s="12"/>
      <c r="C138" s="12"/>
      <c r="D138" s="12"/>
      <c r="E138" s="13"/>
      <c r="F138" s="14"/>
    </row>
    <row r="139" spans="1:6" ht="15" customHeight="1" x14ac:dyDescent="0.35">
      <c r="A139" s="12"/>
      <c r="B139" s="12"/>
      <c r="C139" s="12"/>
      <c r="D139" s="12"/>
      <c r="E139" s="13"/>
      <c r="F139" s="14"/>
    </row>
    <row r="140" spans="1:6" ht="15" customHeight="1" x14ac:dyDescent="0.35">
      <c r="A140" s="12"/>
      <c r="B140" s="12"/>
      <c r="C140" s="12"/>
      <c r="D140" s="12"/>
      <c r="E140" s="13"/>
      <c r="F140" s="14"/>
    </row>
    <row r="141" spans="1:6" ht="15" customHeight="1" x14ac:dyDescent="0.35">
      <c r="A141" s="12"/>
      <c r="B141" s="12"/>
      <c r="C141" s="12"/>
      <c r="D141" s="12"/>
      <c r="E141" s="13"/>
      <c r="F141" s="14"/>
    </row>
    <row r="142" spans="1:6" ht="15" customHeight="1" x14ac:dyDescent="0.35">
      <c r="A142" s="12"/>
      <c r="B142" s="12"/>
      <c r="C142" s="12"/>
      <c r="D142" s="12"/>
      <c r="E142" s="13"/>
      <c r="F142" s="14"/>
    </row>
    <row r="143" spans="1:6" ht="15" customHeight="1" x14ac:dyDescent="0.35">
      <c r="A143" s="12"/>
      <c r="B143" s="12"/>
      <c r="C143" s="12"/>
      <c r="D143" s="12"/>
      <c r="E143" s="13"/>
      <c r="F143" s="14"/>
    </row>
    <row r="144" spans="1:6" ht="15" customHeight="1" x14ac:dyDescent="0.35">
      <c r="A144" s="12"/>
      <c r="B144" s="12"/>
      <c r="C144" s="12"/>
      <c r="D144" s="12"/>
      <c r="E144" s="13"/>
      <c r="F144" s="14"/>
    </row>
    <row r="145" spans="1:6" ht="15" customHeight="1" x14ac:dyDescent="0.35">
      <c r="A145" s="12"/>
      <c r="B145" s="12"/>
      <c r="C145" s="12"/>
      <c r="D145" s="12"/>
      <c r="E145" s="13"/>
      <c r="F145" s="14"/>
    </row>
    <row r="146" spans="1:6" ht="15" customHeight="1" x14ac:dyDescent="0.35">
      <c r="A146" s="12"/>
      <c r="B146" s="12"/>
      <c r="C146" s="12"/>
      <c r="D146" s="12"/>
      <c r="E146" s="13"/>
      <c r="F146" s="14"/>
    </row>
    <row r="147" spans="1:6" ht="15" customHeight="1" x14ac:dyDescent="0.35">
      <c r="A147" s="12"/>
      <c r="B147" s="12"/>
      <c r="C147" s="12"/>
      <c r="D147" s="12"/>
      <c r="E147" s="13"/>
      <c r="F147" s="14"/>
    </row>
    <row r="148" spans="1:6" ht="15" customHeight="1" x14ac:dyDescent="0.35">
      <c r="A148" s="12"/>
      <c r="B148" s="12"/>
      <c r="C148" s="12"/>
      <c r="D148" s="12"/>
      <c r="E148" s="13"/>
      <c r="F148" s="14"/>
    </row>
    <row r="149" spans="1:6" ht="15" customHeight="1" x14ac:dyDescent="0.35">
      <c r="A149" s="12"/>
      <c r="B149" s="12"/>
      <c r="C149" s="12"/>
      <c r="D149" s="12"/>
      <c r="E149" s="13"/>
      <c r="F149" s="14"/>
    </row>
    <row r="150" spans="1:6" ht="15" customHeight="1" x14ac:dyDescent="0.35">
      <c r="A150" s="12"/>
      <c r="B150" s="12"/>
      <c r="C150" s="12"/>
      <c r="D150" s="12"/>
      <c r="E150" s="13"/>
      <c r="F150" s="14"/>
    </row>
    <row r="151" spans="1:6" ht="15" customHeight="1" x14ac:dyDescent="0.35">
      <c r="A151" s="12"/>
      <c r="B151" s="12"/>
      <c r="C151" s="12"/>
      <c r="D151" s="12"/>
      <c r="E151" s="13"/>
      <c r="F151" s="14"/>
    </row>
    <row r="152" spans="1:6" ht="15" customHeight="1" x14ac:dyDescent="0.35">
      <c r="A152" s="12"/>
      <c r="B152" s="12"/>
      <c r="C152" s="12"/>
      <c r="D152" s="12"/>
      <c r="E152" s="13"/>
      <c r="F152" s="14"/>
    </row>
    <row r="153" spans="1:6" ht="15" customHeight="1" x14ac:dyDescent="0.35">
      <c r="A153" s="12"/>
      <c r="B153" s="12"/>
      <c r="C153" s="12"/>
      <c r="D153" s="12"/>
      <c r="E153" s="13"/>
      <c r="F153" s="14"/>
    </row>
    <row r="154" spans="1:6" ht="15" customHeight="1" x14ac:dyDescent="0.35">
      <c r="A154" s="12"/>
      <c r="B154" s="12"/>
      <c r="C154" s="12"/>
      <c r="D154" s="12"/>
      <c r="E154" s="13"/>
      <c r="F154" s="14"/>
    </row>
    <row r="155" spans="1:6" ht="15" customHeight="1" x14ac:dyDescent="0.35">
      <c r="A155" s="12"/>
      <c r="B155" s="12"/>
      <c r="C155" s="12"/>
      <c r="D155" s="12"/>
      <c r="E155" s="13"/>
      <c r="F155" s="14"/>
    </row>
    <row r="156" spans="1:6" ht="15" customHeight="1" x14ac:dyDescent="0.35">
      <c r="A156" s="12"/>
      <c r="B156" s="12"/>
      <c r="C156" s="12"/>
      <c r="D156" s="12"/>
      <c r="E156" s="13"/>
      <c r="F156" s="14"/>
    </row>
    <row r="157" spans="1:6" ht="15" customHeight="1" x14ac:dyDescent="0.35">
      <c r="A157" s="12"/>
      <c r="B157" s="12"/>
      <c r="C157" s="12"/>
      <c r="D157" s="12"/>
      <c r="E157" s="13"/>
      <c r="F157" s="14"/>
    </row>
    <row r="158" spans="1:6" ht="15" customHeight="1" x14ac:dyDescent="0.35">
      <c r="A158" s="12"/>
      <c r="B158" s="12"/>
      <c r="C158" s="12"/>
      <c r="D158" s="12"/>
      <c r="E158" s="13"/>
      <c r="F158" s="14"/>
    </row>
    <row r="159" spans="1:6" ht="15" customHeight="1" x14ac:dyDescent="0.35">
      <c r="A159" s="12"/>
      <c r="B159" s="12"/>
      <c r="C159" s="12"/>
      <c r="D159" s="12"/>
      <c r="E159" s="13"/>
      <c r="F159" s="14"/>
    </row>
    <row r="160" spans="1:6" ht="15" customHeight="1" x14ac:dyDescent="0.35">
      <c r="A160" s="12"/>
      <c r="B160" s="12"/>
      <c r="C160" s="12"/>
      <c r="D160" s="12"/>
      <c r="E160" s="13"/>
      <c r="F160" s="14"/>
    </row>
    <row r="161" spans="1:6" ht="15" customHeight="1" x14ac:dyDescent="0.35">
      <c r="A161" s="12"/>
      <c r="B161" s="12"/>
      <c r="C161" s="12"/>
      <c r="D161" s="12"/>
      <c r="E161" s="13"/>
      <c r="F161" s="14"/>
    </row>
    <row r="162" spans="1:6" ht="15" customHeight="1" x14ac:dyDescent="0.35">
      <c r="A162" s="12"/>
      <c r="B162" s="12"/>
      <c r="C162" s="12"/>
      <c r="D162" s="12"/>
      <c r="E162" s="13"/>
      <c r="F162" s="14"/>
    </row>
    <row r="163" spans="1:6" ht="15" customHeight="1" x14ac:dyDescent="0.35">
      <c r="A163" s="12"/>
      <c r="B163" s="12"/>
      <c r="C163" s="12"/>
      <c r="D163" s="12"/>
      <c r="E163" s="13"/>
      <c r="F163" s="14"/>
    </row>
    <row r="164" spans="1:6" ht="15" customHeight="1" x14ac:dyDescent="0.35">
      <c r="A164" s="12"/>
      <c r="B164" s="12"/>
      <c r="C164" s="12"/>
      <c r="D164" s="12"/>
      <c r="E164" s="13"/>
      <c r="F164" s="14"/>
    </row>
    <row r="165" spans="1:6" ht="15" customHeight="1" x14ac:dyDescent="0.35">
      <c r="A165" s="12"/>
      <c r="B165" s="12"/>
      <c r="C165" s="12"/>
      <c r="D165" s="12"/>
      <c r="E165" s="13"/>
      <c r="F165" s="14"/>
    </row>
    <row r="166" spans="1:6" ht="15" customHeight="1" x14ac:dyDescent="0.35">
      <c r="A166" s="12"/>
      <c r="B166" s="12"/>
      <c r="C166" s="12"/>
      <c r="D166" s="12"/>
      <c r="E166" s="13"/>
      <c r="F166" s="14"/>
    </row>
    <row r="167" spans="1:6" ht="15" customHeight="1" x14ac:dyDescent="0.35">
      <c r="A167" s="12"/>
      <c r="B167" s="12"/>
      <c r="C167" s="12"/>
      <c r="D167" s="12"/>
      <c r="E167" s="13"/>
      <c r="F167" s="14"/>
    </row>
    <row r="168" spans="1:6" ht="15" customHeight="1" x14ac:dyDescent="0.35">
      <c r="A168" s="12"/>
      <c r="B168" s="12"/>
      <c r="C168" s="12"/>
      <c r="D168" s="12"/>
      <c r="E168" s="13"/>
      <c r="F168" s="14"/>
    </row>
    <row r="169" spans="1:6" ht="15" customHeight="1" x14ac:dyDescent="0.35">
      <c r="A169" s="12"/>
      <c r="B169" s="12"/>
      <c r="C169" s="12"/>
      <c r="D169" s="12"/>
      <c r="E169" s="13"/>
      <c r="F169" s="14"/>
    </row>
    <row r="170" spans="1:6" ht="15" customHeight="1" x14ac:dyDescent="0.35">
      <c r="A170" s="12"/>
      <c r="B170" s="12"/>
      <c r="C170" s="12"/>
      <c r="D170" s="12"/>
      <c r="E170" s="13"/>
      <c r="F170" s="14"/>
    </row>
    <row r="171" spans="1:6" ht="15" customHeight="1" x14ac:dyDescent="0.35">
      <c r="A171" s="12"/>
      <c r="B171" s="12"/>
      <c r="C171" s="12"/>
      <c r="D171" s="12"/>
      <c r="E171" s="13"/>
      <c r="F171" s="14"/>
    </row>
    <row r="172" spans="1:6" ht="15" customHeight="1" x14ac:dyDescent="0.35">
      <c r="A172" s="12"/>
      <c r="B172" s="12"/>
      <c r="C172" s="12"/>
      <c r="D172" s="12"/>
      <c r="E172" s="13"/>
      <c r="F172" s="14"/>
    </row>
    <row r="173" spans="1:6" ht="15" customHeight="1" x14ac:dyDescent="0.35">
      <c r="A173" s="12"/>
      <c r="B173" s="12"/>
      <c r="C173" s="12"/>
      <c r="D173" s="12"/>
      <c r="E173" s="13"/>
      <c r="F173" s="14"/>
    </row>
    <row r="174" spans="1:6" ht="15" customHeight="1" x14ac:dyDescent="0.35">
      <c r="A174" s="12"/>
      <c r="B174" s="12"/>
      <c r="C174" s="12"/>
      <c r="D174" s="12"/>
      <c r="E174" s="13"/>
      <c r="F174" s="14"/>
    </row>
    <row r="175" spans="1:6" ht="15" customHeight="1" x14ac:dyDescent="0.35">
      <c r="A175" s="12"/>
      <c r="B175" s="12"/>
      <c r="C175" s="12"/>
      <c r="D175" s="12"/>
      <c r="E175" s="13"/>
      <c r="F175" s="14"/>
    </row>
    <row r="176" spans="1:6" ht="15" customHeight="1" x14ac:dyDescent="0.35">
      <c r="A176" s="12"/>
      <c r="B176" s="12"/>
      <c r="C176" s="12"/>
      <c r="D176" s="12"/>
      <c r="E176" s="13"/>
      <c r="F176" s="14"/>
    </row>
    <row r="177" spans="1:6" ht="15" customHeight="1" x14ac:dyDescent="0.35">
      <c r="A177" s="12"/>
      <c r="B177" s="12"/>
      <c r="C177" s="12"/>
      <c r="D177" s="12"/>
      <c r="E177" s="13"/>
      <c r="F177" s="14"/>
    </row>
    <row r="178" spans="1:6" ht="15" customHeight="1" x14ac:dyDescent="0.35">
      <c r="A178" s="12"/>
      <c r="B178" s="12"/>
      <c r="C178" s="12"/>
      <c r="D178" s="12"/>
      <c r="E178" s="13"/>
      <c r="F178" s="14"/>
    </row>
    <row r="179" spans="1:6" ht="15" customHeight="1" x14ac:dyDescent="0.35">
      <c r="A179" s="12"/>
      <c r="B179" s="12"/>
      <c r="C179" s="12"/>
      <c r="D179" s="12"/>
      <c r="E179" s="13"/>
      <c r="F179" s="14"/>
    </row>
    <row r="180" spans="1:6" ht="15" customHeight="1" x14ac:dyDescent="0.35">
      <c r="A180" s="12"/>
      <c r="B180" s="12"/>
      <c r="C180" s="12"/>
      <c r="D180" s="12"/>
      <c r="E180" s="13"/>
      <c r="F180" s="14"/>
    </row>
    <row r="181" spans="1:6" ht="15" customHeight="1" x14ac:dyDescent="0.35">
      <c r="A181" s="12"/>
      <c r="B181" s="12"/>
      <c r="C181" s="12"/>
      <c r="D181" s="12"/>
      <c r="E181" s="13"/>
      <c r="F181" s="14"/>
    </row>
    <row r="182" spans="1:6" ht="15" customHeight="1" x14ac:dyDescent="0.35">
      <c r="A182" s="12"/>
      <c r="B182" s="12"/>
      <c r="C182" s="12"/>
      <c r="D182" s="12"/>
      <c r="E182" s="13"/>
      <c r="F182" s="14"/>
    </row>
    <row r="183" spans="1:6" ht="15" customHeight="1" x14ac:dyDescent="0.35">
      <c r="A183" s="12"/>
      <c r="B183" s="12"/>
      <c r="C183" s="12"/>
      <c r="D183" s="12"/>
      <c r="E183" s="13"/>
      <c r="F183" s="14"/>
    </row>
    <row r="184" spans="1:6" ht="15" customHeight="1" x14ac:dyDescent="0.35">
      <c r="A184" s="12"/>
      <c r="B184" s="12"/>
      <c r="C184" s="12"/>
      <c r="D184" s="12"/>
      <c r="E184" s="13"/>
      <c r="F184" s="14"/>
    </row>
    <row r="185" spans="1:6" ht="15" customHeight="1" x14ac:dyDescent="0.35">
      <c r="A185" s="12"/>
      <c r="B185" s="12"/>
      <c r="C185" s="12"/>
      <c r="D185" s="12"/>
      <c r="E185" s="13"/>
      <c r="F185" s="14"/>
    </row>
    <row r="186" spans="1:6" ht="15" customHeight="1" x14ac:dyDescent="0.35">
      <c r="A186" s="12"/>
      <c r="B186" s="12"/>
      <c r="C186" s="12"/>
      <c r="D186" s="12"/>
      <c r="E186" s="13"/>
      <c r="F186" s="14"/>
    </row>
    <row r="187" spans="1:6" ht="15" customHeight="1" x14ac:dyDescent="0.35">
      <c r="A187" s="12"/>
      <c r="B187" s="12"/>
      <c r="C187" s="12"/>
      <c r="D187" s="12"/>
      <c r="E187" s="13"/>
      <c r="F187" s="14"/>
    </row>
    <row r="188" spans="1:6" ht="15" customHeight="1" x14ac:dyDescent="0.35">
      <c r="A188" s="12"/>
      <c r="B188" s="12"/>
      <c r="C188" s="12"/>
      <c r="D188" s="12"/>
      <c r="E188" s="13"/>
      <c r="F188" s="14"/>
    </row>
    <row r="189" spans="1:6" ht="15" customHeight="1" x14ac:dyDescent="0.35">
      <c r="A189" s="12"/>
      <c r="B189" s="12"/>
      <c r="C189" s="12"/>
      <c r="D189" s="12"/>
      <c r="E189" s="13"/>
      <c r="F189" s="14"/>
    </row>
    <row r="190" spans="1:6" ht="15" customHeight="1" x14ac:dyDescent="0.35">
      <c r="A190" s="12"/>
      <c r="B190" s="12"/>
      <c r="C190" s="12"/>
      <c r="D190" s="12"/>
      <c r="E190" s="13"/>
      <c r="F190" s="14"/>
    </row>
    <row r="191" spans="1:6" ht="15" customHeight="1" x14ac:dyDescent="0.35">
      <c r="A191" s="12"/>
      <c r="B191" s="12"/>
      <c r="C191" s="12"/>
      <c r="D191" s="12"/>
      <c r="E191" s="13"/>
      <c r="F191" s="14"/>
    </row>
    <row r="192" spans="1:6" ht="15" customHeight="1" x14ac:dyDescent="0.35">
      <c r="A192" s="12"/>
      <c r="B192" s="12"/>
      <c r="C192" s="12"/>
      <c r="D192" s="12"/>
      <c r="E192" s="13"/>
      <c r="F192" s="14"/>
    </row>
    <row r="193" spans="1:6" ht="15" customHeight="1" x14ac:dyDescent="0.35">
      <c r="A193" s="12"/>
      <c r="B193" s="12"/>
      <c r="C193" s="12"/>
      <c r="D193" s="12"/>
      <c r="E193" s="13"/>
      <c r="F193" s="14"/>
    </row>
    <row r="194" spans="1:6" ht="15" customHeight="1" x14ac:dyDescent="0.35">
      <c r="A194" s="12"/>
      <c r="B194" s="12"/>
      <c r="C194" s="12"/>
      <c r="D194" s="12"/>
      <c r="E194" s="13"/>
      <c r="F194" s="14"/>
    </row>
    <row r="195" spans="1:6" ht="15" customHeight="1" x14ac:dyDescent="0.35">
      <c r="A195" s="12"/>
      <c r="B195" s="12"/>
      <c r="C195" s="12"/>
      <c r="D195" s="12"/>
      <c r="E195" s="13"/>
      <c r="F195" s="14"/>
    </row>
    <row r="196" spans="1:6" ht="15" customHeight="1" x14ac:dyDescent="0.35">
      <c r="A196" s="12"/>
      <c r="B196" s="12"/>
      <c r="C196" s="12"/>
      <c r="D196" s="12"/>
      <c r="E196" s="13"/>
      <c r="F196" s="14"/>
    </row>
    <row r="197" spans="1:6" ht="15" customHeight="1" x14ac:dyDescent="0.35">
      <c r="A197" s="12"/>
      <c r="B197" s="12"/>
      <c r="C197" s="12"/>
      <c r="D197" s="12"/>
      <c r="E197" s="13"/>
      <c r="F197" s="14"/>
    </row>
    <row r="198" spans="1:6" ht="15" customHeight="1" x14ac:dyDescent="0.35">
      <c r="A198" s="12"/>
      <c r="B198" s="12"/>
      <c r="C198" s="12"/>
      <c r="D198" s="12"/>
      <c r="E198" s="13"/>
      <c r="F198" s="14"/>
    </row>
    <row r="199" spans="1:6" ht="15" customHeight="1" x14ac:dyDescent="0.35">
      <c r="A199" s="12"/>
      <c r="B199" s="12"/>
      <c r="C199" s="12"/>
      <c r="D199" s="12"/>
      <c r="E199" s="13"/>
      <c r="F199" s="14"/>
    </row>
    <row r="200" spans="1:6" ht="15" customHeight="1" x14ac:dyDescent="0.35">
      <c r="A200" s="12"/>
      <c r="B200" s="12"/>
      <c r="C200" s="12"/>
      <c r="D200" s="12"/>
      <c r="E200" s="13"/>
      <c r="F200" s="14"/>
    </row>
    <row r="201" spans="1:6" ht="15" customHeight="1" x14ac:dyDescent="0.35">
      <c r="A201" s="12"/>
      <c r="B201" s="12"/>
      <c r="C201" s="12"/>
      <c r="D201" s="12"/>
      <c r="E201" s="13"/>
      <c r="F201" s="14"/>
    </row>
    <row r="202" spans="1:6" ht="15" customHeight="1" x14ac:dyDescent="0.35">
      <c r="A202" s="12"/>
      <c r="B202" s="12"/>
      <c r="C202" s="12"/>
      <c r="D202" s="12"/>
      <c r="E202" s="13"/>
      <c r="F202" s="14"/>
    </row>
    <row r="203" spans="1:6" ht="15" customHeight="1" x14ac:dyDescent="0.35">
      <c r="A203" s="12"/>
      <c r="B203" s="12"/>
      <c r="C203" s="12"/>
      <c r="D203" s="12"/>
      <c r="E203" s="13"/>
      <c r="F203" s="14"/>
    </row>
    <row r="204" spans="1:6" ht="15" customHeight="1" x14ac:dyDescent="0.35">
      <c r="A204" s="12"/>
      <c r="B204" s="12"/>
      <c r="C204" s="12"/>
      <c r="D204" s="12"/>
      <c r="E204" s="13"/>
      <c r="F204" s="14"/>
    </row>
    <row r="205" spans="1:6" ht="15" customHeight="1" x14ac:dyDescent="0.35">
      <c r="A205" s="12"/>
      <c r="B205" s="12"/>
      <c r="C205" s="12"/>
      <c r="D205" s="12"/>
      <c r="E205" s="13"/>
      <c r="F205" s="14"/>
    </row>
    <row r="206" spans="1:6" ht="15" customHeight="1" x14ac:dyDescent="0.35">
      <c r="A206" s="12"/>
      <c r="B206" s="12"/>
      <c r="C206" s="12"/>
      <c r="D206" s="12"/>
      <c r="E206" s="13"/>
      <c r="F206" s="14"/>
    </row>
    <row r="207" spans="1:6" ht="15" customHeight="1" x14ac:dyDescent="0.35">
      <c r="A207" s="12"/>
      <c r="B207" s="12"/>
      <c r="C207" s="12"/>
      <c r="D207" s="12"/>
      <c r="E207" s="13"/>
      <c r="F207" s="14"/>
    </row>
    <row r="208" spans="1:6" ht="15" customHeight="1" x14ac:dyDescent="0.35">
      <c r="A208" s="12"/>
      <c r="B208" s="12"/>
      <c r="C208" s="12"/>
      <c r="D208" s="12"/>
      <c r="E208" s="13"/>
      <c r="F208" s="14"/>
    </row>
    <row r="209" spans="1:6" ht="15" customHeight="1" x14ac:dyDescent="0.35">
      <c r="A209" s="12"/>
      <c r="B209" s="12"/>
      <c r="C209" s="12"/>
      <c r="D209" s="12"/>
      <c r="E209" s="13"/>
      <c r="F209" s="14"/>
    </row>
    <row r="210" spans="1:6" ht="15" customHeight="1" x14ac:dyDescent="0.35">
      <c r="A210" s="12"/>
      <c r="B210" s="12"/>
      <c r="C210" s="12"/>
      <c r="D210" s="12"/>
      <c r="E210" s="13"/>
      <c r="F210" s="14"/>
    </row>
    <row r="211" spans="1:6" ht="15" customHeight="1" x14ac:dyDescent="0.35">
      <c r="A211" s="12"/>
      <c r="B211" s="12"/>
      <c r="C211" s="12"/>
      <c r="D211" s="12"/>
      <c r="E211" s="13"/>
      <c r="F211" s="14"/>
    </row>
    <row r="212" spans="1:6" ht="15" customHeight="1" x14ac:dyDescent="0.35">
      <c r="A212" s="12"/>
      <c r="B212" s="12"/>
      <c r="C212" s="12"/>
      <c r="D212" s="12"/>
      <c r="E212" s="13"/>
      <c r="F212" s="14"/>
    </row>
    <row r="213" spans="1:6" ht="15" customHeight="1" x14ac:dyDescent="0.35">
      <c r="A213" s="12"/>
      <c r="B213" s="12"/>
      <c r="C213" s="12"/>
      <c r="D213" s="12"/>
      <c r="E213" s="13"/>
      <c r="F213" s="14"/>
    </row>
    <row r="214" spans="1:6" ht="15" customHeight="1" x14ac:dyDescent="0.35">
      <c r="A214" s="12"/>
      <c r="B214" s="12"/>
      <c r="C214" s="12"/>
      <c r="D214" s="12"/>
      <c r="E214" s="13"/>
      <c r="F214" s="14"/>
    </row>
    <row r="215" spans="1:6" ht="15" customHeight="1" x14ac:dyDescent="0.35">
      <c r="A215" s="12"/>
      <c r="B215" s="12"/>
      <c r="C215" s="12"/>
      <c r="D215" s="12"/>
      <c r="E215" s="13"/>
      <c r="F215" s="14"/>
    </row>
    <row r="216" spans="1:6" ht="15" customHeight="1" x14ac:dyDescent="0.35">
      <c r="A216" s="12"/>
      <c r="B216" s="12"/>
      <c r="C216" s="12"/>
      <c r="D216" s="12"/>
      <c r="E216" s="13"/>
      <c r="F216" s="14"/>
    </row>
    <row r="217" spans="1:6" ht="15" customHeight="1" x14ac:dyDescent="0.35">
      <c r="A217" s="12"/>
      <c r="B217" s="12"/>
      <c r="C217" s="12"/>
      <c r="D217" s="12"/>
      <c r="E217" s="13"/>
      <c r="F217" s="14"/>
    </row>
    <row r="218" spans="1:6" ht="15" customHeight="1" x14ac:dyDescent="0.35">
      <c r="A218" s="12"/>
      <c r="B218" s="12"/>
      <c r="C218" s="12"/>
      <c r="D218" s="12"/>
      <c r="E218" s="13"/>
      <c r="F218" s="14"/>
    </row>
    <row r="219" spans="1:6" ht="15" customHeight="1" x14ac:dyDescent="0.35">
      <c r="A219" s="12"/>
      <c r="B219" s="12"/>
      <c r="C219" s="12"/>
      <c r="D219" s="12"/>
      <c r="E219" s="13"/>
      <c r="F219" s="14"/>
    </row>
    <row r="220" spans="1:6" ht="15" customHeight="1" x14ac:dyDescent="0.35">
      <c r="A220" s="12"/>
      <c r="B220" s="12"/>
      <c r="C220" s="12"/>
      <c r="D220" s="12"/>
      <c r="E220" s="13"/>
      <c r="F220" s="14"/>
    </row>
    <row r="221" spans="1:6" ht="15" customHeight="1" x14ac:dyDescent="0.35">
      <c r="A221" s="12"/>
      <c r="B221" s="12"/>
      <c r="C221" s="12"/>
      <c r="D221" s="12"/>
      <c r="E221" s="13"/>
      <c r="F221" s="14"/>
    </row>
    <row r="222" spans="1:6" ht="15" customHeight="1" x14ac:dyDescent="0.35">
      <c r="A222" s="12"/>
      <c r="B222" s="12"/>
      <c r="C222" s="12"/>
      <c r="D222" s="12"/>
      <c r="E222" s="13"/>
      <c r="F222" s="14"/>
    </row>
    <row r="223" spans="1:6" ht="15" customHeight="1" x14ac:dyDescent="0.35">
      <c r="A223" s="12"/>
      <c r="B223" s="12"/>
      <c r="C223" s="12"/>
      <c r="D223" s="12"/>
      <c r="E223" s="13"/>
      <c r="F223" s="14"/>
    </row>
    <row r="224" spans="1:6" ht="15" customHeight="1" x14ac:dyDescent="0.35">
      <c r="A224" s="12"/>
      <c r="B224" s="12"/>
      <c r="C224" s="12"/>
      <c r="D224" s="12"/>
      <c r="E224" s="13"/>
      <c r="F224" s="14"/>
    </row>
    <row r="225" spans="1:6" ht="15" customHeight="1" x14ac:dyDescent="0.35">
      <c r="A225" s="12"/>
      <c r="B225" s="12"/>
      <c r="C225" s="12"/>
      <c r="D225" s="12"/>
      <c r="E225" s="13"/>
      <c r="F225" s="14"/>
    </row>
    <row r="226" spans="1:6" ht="15" customHeight="1" x14ac:dyDescent="0.35">
      <c r="A226" s="12"/>
      <c r="B226" s="12"/>
      <c r="C226" s="12"/>
      <c r="D226" s="12"/>
      <c r="E226" s="13"/>
      <c r="F226" s="14"/>
    </row>
    <row r="227" spans="1:6" ht="15" customHeight="1" x14ac:dyDescent="0.35">
      <c r="A227" s="12"/>
      <c r="B227" s="12"/>
      <c r="C227" s="12"/>
      <c r="D227" s="12"/>
      <c r="E227" s="13"/>
      <c r="F227" s="14"/>
    </row>
    <row r="228" spans="1:6" ht="15" customHeight="1" x14ac:dyDescent="0.35">
      <c r="A228" s="12"/>
      <c r="B228" s="12"/>
      <c r="C228" s="12"/>
      <c r="D228" s="12"/>
      <c r="E228" s="13"/>
      <c r="F228" s="14"/>
    </row>
    <row r="229" spans="1:6" ht="15" customHeight="1" x14ac:dyDescent="0.35">
      <c r="A229" s="12"/>
      <c r="B229" s="12"/>
      <c r="C229" s="12"/>
      <c r="D229" s="12"/>
      <c r="E229" s="13"/>
      <c r="F229" s="14"/>
    </row>
    <row r="230" spans="1:6" ht="15" customHeight="1" x14ac:dyDescent="0.35">
      <c r="A230" s="12"/>
      <c r="B230" s="12"/>
      <c r="C230" s="12"/>
      <c r="D230" s="12"/>
      <c r="E230" s="13"/>
      <c r="F230" s="14"/>
    </row>
    <row r="231" spans="1:6" ht="15" customHeight="1" x14ac:dyDescent="0.35">
      <c r="A231" s="12"/>
      <c r="B231" s="12"/>
      <c r="C231" s="12"/>
      <c r="D231" s="12"/>
      <c r="E231" s="13"/>
      <c r="F231" s="14"/>
    </row>
    <row r="232" spans="1:6" ht="15" customHeight="1" x14ac:dyDescent="0.35">
      <c r="A232" s="12"/>
      <c r="B232" s="12"/>
      <c r="C232" s="12"/>
      <c r="D232" s="12"/>
      <c r="E232" s="13"/>
      <c r="F232" s="14"/>
    </row>
    <row r="233" spans="1:6" ht="15" customHeight="1" x14ac:dyDescent="0.35">
      <c r="A233" s="12"/>
      <c r="B233" s="12"/>
      <c r="C233" s="12"/>
      <c r="D233" s="12"/>
      <c r="E233" s="13"/>
      <c r="F233" s="14"/>
    </row>
    <row r="234" spans="1:6" ht="15" customHeight="1" x14ac:dyDescent="0.35">
      <c r="A234" s="12"/>
      <c r="B234" s="12"/>
      <c r="C234" s="12"/>
      <c r="D234" s="12"/>
      <c r="E234" s="13"/>
      <c r="F234" s="14"/>
    </row>
    <row r="235" spans="1:6" ht="15" customHeight="1" x14ac:dyDescent="0.35">
      <c r="A235" s="12"/>
      <c r="B235" s="12"/>
      <c r="C235" s="12"/>
      <c r="D235" s="12"/>
      <c r="E235" s="13"/>
      <c r="F235" s="14"/>
    </row>
    <row r="236" spans="1:6" ht="15" customHeight="1" x14ac:dyDescent="0.35">
      <c r="A236" s="12"/>
      <c r="B236" s="12"/>
      <c r="C236" s="12"/>
      <c r="D236" s="12"/>
      <c r="E236" s="13"/>
      <c r="F236" s="14"/>
    </row>
    <row r="237" spans="1:6" ht="15" customHeight="1" x14ac:dyDescent="0.35">
      <c r="A237" s="12"/>
      <c r="B237" s="12"/>
      <c r="C237" s="12"/>
      <c r="D237" s="12"/>
      <c r="E237" s="13"/>
      <c r="F237" s="14"/>
    </row>
    <row r="238" spans="1:6" ht="15" customHeight="1" x14ac:dyDescent="0.35">
      <c r="A238" s="12"/>
      <c r="B238" s="12"/>
      <c r="C238" s="12"/>
      <c r="D238" s="12"/>
      <c r="E238" s="13"/>
      <c r="F238" s="14"/>
    </row>
    <row r="239" spans="1:6" ht="15" customHeight="1" x14ac:dyDescent="0.35">
      <c r="A239" s="12"/>
      <c r="B239" s="12"/>
      <c r="C239" s="12"/>
      <c r="D239" s="12"/>
      <c r="E239" s="13"/>
      <c r="F239" s="14"/>
    </row>
    <row r="240" spans="1:6" ht="15" customHeight="1" x14ac:dyDescent="0.35">
      <c r="A240" s="12"/>
      <c r="B240" s="12"/>
      <c r="C240" s="12"/>
      <c r="D240" s="12"/>
      <c r="E240" s="13"/>
      <c r="F240" s="14"/>
    </row>
    <row r="241" spans="1:6" ht="15" customHeight="1" x14ac:dyDescent="0.35">
      <c r="A241" s="12"/>
      <c r="B241" s="12"/>
      <c r="C241" s="12"/>
      <c r="D241" s="12"/>
      <c r="E241" s="13"/>
      <c r="F241" s="14"/>
    </row>
    <row r="242" spans="1:6" ht="15" customHeight="1" x14ac:dyDescent="0.35">
      <c r="A242" s="12"/>
      <c r="B242" s="12"/>
      <c r="C242" s="12"/>
      <c r="D242" s="12"/>
      <c r="E242" s="13"/>
      <c r="F242" s="14"/>
    </row>
    <row r="243" spans="1:6" ht="15" customHeight="1" x14ac:dyDescent="0.35">
      <c r="A243" s="12"/>
      <c r="B243" s="12"/>
      <c r="C243" s="12"/>
      <c r="D243" s="12"/>
      <c r="E243" s="13"/>
      <c r="F243" s="14"/>
    </row>
    <row r="244" spans="1:6" ht="15" customHeight="1" x14ac:dyDescent="0.35">
      <c r="A244" s="12"/>
      <c r="B244" s="12"/>
      <c r="C244" s="12"/>
      <c r="D244" s="12"/>
      <c r="E244" s="13"/>
      <c r="F244" s="14"/>
    </row>
    <row r="245" spans="1:6" ht="15" customHeight="1" x14ac:dyDescent="0.35">
      <c r="A245" s="12"/>
      <c r="B245" s="12"/>
      <c r="C245" s="12"/>
      <c r="D245" s="12"/>
      <c r="E245" s="13"/>
      <c r="F245" s="14"/>
    </row>
    <row r="246" spans="1:6" ht="15" customHeight="1" x14ac:dyDescent="0.35">
      <c r="A246" s="12"/>
      <c r="B246" s="12"/>
      <c r="C246" s="12"/>
      <c r="D246" s="12"/>
      <c r="E246" s="13"/>
      <c r="F246" s="14"/>
    </row>
    <row r="247" spans="1:6" ht="15" customHeight="1" x14ac:dyDescent="0.35">
      <c r="A247" s="12"/>
      <c r="B247" s="12"/>
      <c r="C247" s="12"/>
      <c r="D247" s="12"/>
      <c r="E247" s="13"/>
      <c r="F247" s="14"/>
    </row>
    <row r="248" spans="1:6" ht="15" customHeight="1" x14ac:dyDescent="0.35">
      <c r="A248" s="12"/>
      <c r="B248" s="12"/>
      <c r="C248" s="12"/>
      <c r="D248" s="12"/>
      <c r="E248" s="13"/>
      <c r="F248" s="14"/>
    </row>
    <row r="249" spans="1:6" ht="15" customHeight="1" x14ac:dyDescent="0.35">
      <c r="A249" s="12"/>
      <c r="B249" s="12"/>
      <c r="C249" s="12"/>
      <c r="D249" s="12"/>
      <c r="E249" s="13"/>
      <c r="F249" s="14"/>
    </row>
    <row r="250" spans="1:6" ht="15" customHeight="1" x14ac:dyDescent="0.35">
      <c r="A250" s="12"/>
      <c r="B250" s="12"/>
      <c r="C250" s="12"/>
      <c r="D250" s="12"/>
      <c r="E250" s="13"/>
      <c r="F250" s="14"/>
    </row>
    <row r="251" spans="1:6" ht="15" customHeight="1" x14ac:dyDescent="0.35">
      <c r="A251" s="12"/>
      <c r="B251" s="12"/>
      <c r="C251" s="12"/>
      <c r="D251" s="12"/>
      <c r="E251" s="13"/>
      <c r="F251" s="14"/>
    </row>
    <row r="252" spans="1:6" ht="15" customHeight="1" x14ac:dyDescent="0.35">
      <c r="A252" s="12"/>
      <c r="B252" s="12"/>
      <c r="C252" s="12"/>
      <c r="D252" s="12"/>
      <c r="E252" s="13"/>
      <c r="F252" s="14"/>
    </row>
    <row r="253" spans="1:6" ht="15" customHeight="1" x14ac:dyDescent="0.35">
      <c r="A253" s="12"/>
      <c r="B253" s="12"/>
      <c r="C253" s="12"/>
      <c r="D253" s="12"/>
      <c r="E253" s="13"/>
      <c r="F253" s="14"/>
    </row>
    <row r="254" spans="1:6" ht="15" customHeight="1" x14ac:dyDescent="0.35">
      <c r="A254" s="12"/>
      <c r="B254" s="12"/>
      <c r="C254" s="12"/>
      <c r="D254" s="12"/>
      <c r="E254" s="13"/>
      <c r="F254" s="14"/>
    </row>
    <row r="255" spans="1:6" ht="15" customHeight="1" x14ac:dyDescent="0.35">
      <c r="A255" s="12"/>
      <c r="B255" s="12"/>
      <c r="C255" s="12"/>
      <c r="D255" s="12"/>
      <c r="E255" s="13"/>
      <c r="F255" s="14"/>
    </row>
    <row r="256" spans="1:6" ht="15" customHeight="1" x14ac:dyDescent="0.35">
      <c r="A256" s="12"/>
      <c r="B256" s="12"/>
      <c r="C256" s="12"/>
      <c r="D256" s="12"/>
      <c r="E256" s="13"/>
      <c r="F256" s="14"/>
    </row>
    <row r="257" spans="1:6" ht="15" customHeight="1" x14ac:dyDescent="0.35">
      <c r="A257" s="12"/>
      <c r="B257" s="12"/>
      <c r="C257" s="12"/>
      <c r="D257" s="12"/>
      <c r="E257" s="13"/>
      <c r="F257" s="14"/>
    </row>
    <row r="258" spans="1:6" ht="15" customHeight="1" x14ac:dyDescent="0.35">
      <c r="A258" s="12"/>
      <c r="B258" s="12"/>
      <c r="C258" s="12"/>
      <c r="D258" s="12"/>
      <c r="E258" s="13"/>
      <c r="F258" s="14"/>
    </row>
    <row r="259" spans="1:6" ht="15" customHeight="1" x14ac:dyDescent="0.35">
      <c r="A259" s="12"/>
      <c r="B259" s="12"/>
      <c r="C259" s="12"/>
      <c r="D259" s="12"/>
      <c r="E259" s="13"/>
      <c r="F259" s="14"/>
    </row>
    <row r="260" spans="1:6" ht="15" customHeight="1" x14ac:dyDescent="0.35">
      <c r="A260" s="12"/>
      <c r="B260" s="12"/>
      <c r="C260" s="12"/>
      <c r="D260" s="12"/>
      <c r="E260" s="13"/>
      <c r="F260" s="14"/>
    </row>
    <row r="261" spans="1:6" ht="15" customHeight="1" x14ac:dyDescent="0.35">
      <c r="A261" s="12"/>
      <c r="B261" s="12"/>
      <c r="C261" s="12"/>
      <c r="D261" s="12"/>
      <c r="E261" s="13"/>
      <c r="F261" s="14"/>
    </row>
    <row r="262" spans="1:6" ht="15" customHeight="1" x14ac:dyDescent="0.35">
      <c r="A262" s="12"/>
      <c r="B262" s="12"/>
      <c r="C262" s="12"/>
      <c r="D262" s="12"/>
      <c r="E262" s="13"/>
      <c r="F262" s="14"/>
    </row>
    <row r="263" spans="1:6" ht="15" customHeight="1" x14ac:dyDescent="0.35">
      <c r="A263" s="12"/>
      <c r="B263" s="12"/>
      <c r="C263" s="12"/>
      <c r="D263" s="12"/>
      <c r="E263" s="13"/>
      <c r="F263" s="14"/>
    </row>
    <row r="264" spans="1:6" ht="15" customHeight="1" x14ac:dyDescent="0.35">
      <c r="A264" s="12"/>
      <c r="B264" s="12"/>
      <c r="C264" s="12"/>
      <c r="D264" s="12"/>
      <c r="E264" s="13"/>
      <c r="F264" s="14"/>
    </row>
    <row r="265" spans="1:6" ht="15" customHeight="1" x14ac:dyDescent="0.35">
      <c r="A265" s="12"/>
      <c r="B265" s="12"/>
      <c r="C265" s="12"/>
      <c r="D265" s="12"/>
      <c r="E265" s="13"/>
      <c r="F265" s="14"/>
    </row>
    <row r="266" spans="1:6" ht="15" customHeight="1" x14ac:dyDescent="0.35">
      <c r="A266" s="12"/>
      <c r="B266" s="12"/>
      <c r="C266" s="12"/>
      <c r="D266" s="12"/>
      <c r="E266" s="13"/>
      <c r="F266" s="14"/>
    </row>
    <row r="267" spans="1:6" ht="15" customHeight="1" x14ac:dyDescent="0.35">
      <c r="A267" s="12"/>
      <c r="B267" s="12"/>
      <c r="C267" s="12"/>
      <c r="D267" s="12"/>
      <c r="E267" s="13"/>
      <c r="F267" s="14"/>
    </row>
    <row r="268" spans="1:6" ht="15" customHeight="1" x14ac:dyDescent="0.35">
      <c r="A268" s="12"/>
      <c r="B268" s="12"/>
      <c r="C268" s="12"/>
      <c r="D268" s="12"/>
      <c r="E268" s="13"/>
      <c r="F268" s="14"/>
    </row>
    <row r="269" spans="1:6" ht="15" customHeight="1" x14ac:dyDescent="0.35">
      <c r="A269" s="12"/>
      <c r="B269" s="12"/>
      <c r="C269" s="12"/>
      <c r="D269" s="12"/>
      <c r="E269" s="13"/>
      <c r="F269" s="14"/>
    </row>
    <row r="270" spans="1:6" ht="15" customHeight="1" x14ac:dyDescent="0.35">
      <c r="A270" s="12"/>
      <c r="B270" s="12"/>
      <c r="C270" s="12"/>
      <c r="D270" s="12"/>
      <c r="E270" s="13"/>
      <c r="F270" s="14"/>
    </row>
    <row r="271" spans="1:6" ht="15" customHeight="1" x14ac:dyDescent="0.35">
      <c r="A271" s="12"/>
      <c r="B271" s="12"/>
      <c r="C271" s="12"/>
      <c r="D271" s="12"/>
      <c r="E271" s="13"/>
      <c r="F271" s="14"/>
    </row>
    <row r="272" spans="1:6" ht="15" customHeight="1" x14ac:dyDescent="0.35">
      <c r="A272" s="12"/>
      <c r="B272" s="12"/>
      <c r="C272" s="12"/>
      <c r="D272" s="12"/>
      <c r="E272" s="13"/>
      <c r="F272" s="14"/>
    </row>
    <row r="273" spans="1:6" ht="15" customHeight="1" x14ac:dyDescent="0.35">
      <c r="A273" s="12"/>
      <c r="B273" s="12"/>
      <c r="C273" s="12"/>
      <c r="D273" s="12"/>
      <c r="E273" s="13"/>
      <c r="F273" s="14"/>
    </row>
    <row r="274" spans="1:6" ht="15" customHeight="1" x14ac:dyDescent="0.35">
      <c r="A274" s="12"/>
      <c r="B274" s="12"/>
      <c r="C274" s="12"/>
      <c r="D274" s="12"/>
      <c r="E274" s="13"/>
      <c r="F274" s="14"/>
    </row>
    <row r="275" spans="1:6" ht="15" customHeight="1" x14ac:dyDescent="0.35">
      <c r="A275" s="12"/>
      <c r="B275" s="12"/>
      <c r="C275" s="12"/>
      <c r="D275" s="12"/>
      <c r="E275" s="13"/>
      <c r="F275" s="14"/>
    </row>
    <row r="276" spans="1:6" ht="15" customHeight="1" x14ac:dyDescent="0.35">
      <c r="A276" s="12"/>
      <c r="B276" s="12"/>
      <c r="C276" s="12"/>
      <c r="D276" s="12"/>
      <c r="E276" s="13"/>
      <c r="F276" s="14"/>
    </row>
    <row r="277" spans="1:6" ht="15" customHeight="1" x14ac:dyDescent="0.35">
      <c r="A277" s="12"/>
      <c r="B277" s="12"/>
      <c r="C277" s="12"/>
      <c r="D277" s="12"/>
      <c r="E277" s="13"/>
      <c r="F277" s="14"/>
    </row>
    <row r="278" spans="1:6" ht="15" customHeight="1" x14ac:dyDescent="0.35">
      <c r="A278" s="12"/>
      <c r="B278" s="12"/>
      <c r="C278" s="12"/>
      <c r="D278" s="12"/>
      <c r="E278" s="13"/>
      <c r="F278" s="14"/>
    </row>
    <row r="279" spans="1:6" ht="15" customHeight="1" x14ac:dyDescent="0.35">
      <c r="A279" s="12"/>
      <c r="B279" s="12"/>
      <c r="C279" s="12"/>
      <c r="D279" s="12"/>
      <c r="E279" s="13"/>
      <c r="F279" s="14"/>
    </row>
    <row r="280" spans="1:6" ht="15" customHeight="1" x14ac:dyDescent="0.35">
      <c r="A280" s="12"/>
      <c r="B280" s="12"/>
      <c r="C280" s="12"/>
      <c r="D280" s="12"/>
      <c r="E280" s="13"/>
      <c r="F280" s="14"/>
    </row>
    <row r="281" spans="1:6" ht="15" customHeight="1" x14ac:dyDescent="0.35">
      <c r="A281" s="12"/>
      <c r="B281" s="12"/>
      <c r="C281" s="12"/>
      <c r="D281" s="12"/>
      <c r="E281" s="13"/>
      <c r="F281" s="14"/>
    </row>
    <row r="282" spans="1:6" ht="15" customHeight="1" x14ac:dyDescent="0.35">
      <c r="A282" s="12"/>
      <c r="B282" s="12"/>
      <c r="C282" s="12"/>
      <c r="D282" s="12"/>
      <c r="E282" s="13"/>
      <c r="F282" s="14"/>
    </row>
    <row r="283" spans="1:6" ht="15" customHeight="1" x14ac:dyDescent="0.35">
      <c r="A283" s="12"/>
      <c r="B283" s="12"/>
      <c r="C283" s="12"/>
      <c r="D283" s="12"/>
      <c r="E283" s="13"/>
      <c r="F283" s="14"/>
    </row>
    <row r="284" spans="1:6" ht="15" customHeight="1" x14ac:dyDescent="0.35">
      <c r="A284" s="12"/>
      <c r="B284" s="12"/>
      <c r="C284" s="12"/>
      <c r="D284" s="12"/>
      <c r="E284" s="13"/>
      <c r="F284" s="14"/>
    </row>
    <row r="285" spans="1:6" ht="15" customHeight="1" x14ac:dyDescent="0.35">
      <c r="A285" s="12"/>
      <c r="B285" s="12"/>
      <c r="C285" s="12"/>
      <c r="D285" s="12"/>
      <c r="E285" s="13"/>
      <c r="F285" s="14"/>
    </row>
    <row r="286" spans="1:6" ht="15" customHeight="1" x14ac:dyDescent="0.35">
      <c r="A286" s="12"/>
      <c r="B286" s="12"/>
      <c r="C286" s="12"/>
      <c r="D286" s="12"/>
      <c r="E286" s="13"/>
      <c r="F286" s="14"/>
    </row>
    <row r="287" spans="1:6" ht="15" customHeight="1" x14ac:dyDescent="0.35">
      <c r="A287" s="12"/>
      <c r="B287" s="12"/>
      <c r="C287" s="12"/>
      <c r="D287" s="12"/>
      <c r="E287" s="13"/>
      <c r="F287" s="14"/>
    </row>
    <row r="288" spans="1:6" ht="15" customHeight="1" x14ac:dyDescent="0.35">
      <c r="A288" s="12"/>
      <c r="B288" s="12"/>
      <c r="C288" s="12"/>
      <c r="D288" s="12"/>
      <c r="E288" s="13"/>
      <c r="F288" s="14"/>
    </row>
    <row r="289" spans="1:6" ht="15" customHeight="1" x14ac:dyDescent="0.35">
      <c r="A289" s="12"/>
      <c r="B289" s="12"/>
      <c r="C289" s="12"/>
      <c r="D289" s="12"/>
      <c r="E289" s="13"/>
      <c r="F289" s="14"/>
    </row>
    <row r="290" spans="1:6" ht="15" customHeight="1" x14ac:dyDescent="0.35">
      <c r="A290" s="12"/>
      <c r="B290" s="12"/>
      <c r="C290" s="12"/>
      <c r="D290" s="12"/>
      <c r="E290" s="13"/>
      <c r="F290" s="14"/>
    </row>
    <row r="291" spans="1:6" ht="15" customHeight="1" x14ac:dyDescent="0.35">
      <c r="A291" s="12"/>
      <c r="B291" s="12"/>
      <c r="C291" s="12"/>
      <c r="D291" s="12"/>
      <c r="E291" s="13"/>
      <c r="F291" s="14"/>
    </row>
    <row r="292" spans="1:6" ht="15" customHeight="1" x14ac:dyDescent="0.35">
      <c r="A292" s="12"/>
      <c r="B292" s="12"/>
      <c r="C292" s="12"/>
      <c r="D292" s="12"/>
      <c r="E292" s="13"/>
      <c r="F292" s="14"/>
    </row>
    <row r="293" spans="1:6" ht="15" customHeight="1" x14ac:dyDescent="0.35">
      <c r="A293" s="12"/>
      <c r="B293" s="12"/>
      <c r="C293" s="12"/>
      <c r="D293" s="12"/>
      <c r="E293" s="13"/>
      <c r="F293" s="14"/>
    </row>
    <row r="294" spans="1:6" ht="15" customHeight="1" x14ac:dyDescent="0.35">
      <c r="A294" s="12"/>
      <c r="B294" s="12"/>
      <c r="C294" s="12"/>
      <c r="D294" s="12"/>
      <c r="E294" s="13"/>
      <c r="F294" s="14"/>
    </row>
    <row r="295" spans="1:6" ht="15" customHeight="1" x14ac:dyDescent="0.35">
      <c r="A295" s="12"/>
      <c r="B295" s="12"/>
      <c r="C295" s="12"/>
      <c r="D295" s="12"/>
      <c r="E295" s="13"/>
      <c r="F295" s="14"/>
    </row>
    <row r="296" spans="1:6" ht="15" customHeight="1" x14ac:dyDescent="0.35">
      <c r="A296" s="12"/>
      <c r="B296" s="12"/>
      <c r="C296" s="12"/>
      <c r="D296" s="12"/>
      <c r="E296" s="13"/>
      <c r="F296" s="14"/>
    </row>
    <row r="297" spans="1:6" ht="15" customHeight="1" x14ac:dyDescent="0.35">
      <c r="A297" s="12"/>
      <c r="B297" s="12"/>
      <c r="C297" s="12"/>
      <c r="D297" s="12"/>
      <c r="E297" s="13"/>
      <c r="F297" s="14"/>
    </row>
    <row r="298" spans="1:6" ht="15" customHeight="1" x14ac:dyDescent="0.35">
      <c r="A298" s="12"/>
      <c r="B298" s="12"/>
      <c r="C298" s="12"/>
      <c r="D298" s="12"/>
      <c r="E298" s="13"/>
      <c r="F298" s="14"/>
    </row>
    <row r="299" spans="1:6" ht="15" customHeight="1" x14ac:dyDescent="0.35">
      <c r="A299" s="12"/>
      <c r="B299" s="12"/>
      <c r="C299" s="12"/>
      <c r="D299" s="12"/>
      <c r="E299" s="13"/>
      <c r="F299" s="14"/>
    </row>
    <row r="300" spans="1:6" ht="15" customHeight="1" x14ac:dyDescent="0.35">
      <c r="A300" s="12"/>
      <c r="B300" s="12"/>
      <c r="C300" s="12"/>
      <c r="D300" s="12"/>
      <c r="E300" s="13"/>
      <c r="F300" s="14"/>
    </row>
    <row r="301" spans="1:6" ht="15" customHeight="1" x14ac:dyDescent="0.35">
      <c r="A301" s="12"/>
      <c r="B301" s="12"/>
      <c r="C301" s="12"/>
      <c r="D301" s="12"/>
      <c r="E301" s="13"/>
      <c r="F301" s="14"/>
    </row>
    <row r="302" spans="1:6" ht="15" customHeight="1" x14ac:dyDescent="0.35">
      <c r="A302" s="12"/>
      <c r="B302" s="12"/>
      <c r="C302" s="12"/>
      <c r="D302" s="12"/>
      <c r="E302" s="13"/>
      <c r="F302" s="14"/>
    </row>
    <row r="303" spans="1:6" ht="15" customHeight="1" x14ac:dyDescent="0.35">
      <c r="A303" s="12"/>
      <c r="B303" s="12"/>
      <c r="C303" s="12"/>
      <c r="D303" s="12"/>
      <c r="E303" s="13"/>
      <c r="F303" s="14"/>
    </row>
    <row r="304" spans="1:6" ht="15" customHeight="1" x14ac:dyDescent="0.35">
      <c r="A304" s="12"/>
      <c r="B304" s="12"/>
      <c r="C304" s="12"/>
      <c r="D304" s="12"/>
      <c r="E304" s="13"/>
      <c r="F304" s="14"/>
    </row>
    <row r="305" spans="1:6" ht="15" customHeight="1" x14ac:dyDescent="0.35">
      <c r="A305" s="12"/>
      <c r="B305" s="12"/>
      <c r="C305" s="12"/>
      <c r="D305" s="12"/>
      <c r="E305" s="13"/>
      <c r="F305" s="14"/>
    </row>
    <row r="306" spans="1:6" ht="15" customHeight="1" x14ac:dyDescent="0.35">
      <c r="A306" s="12"/>
      <c r="B306" s="12"/>
      <c r="C306" s="12"/>
      <c r="D306" s="12"/>
      <c r="E306" s="13"/>
      <c r="F306" s="14"/>
    </row>
    <row r="307" spans="1:6" ht="15" customHeight="1" x14ac:dyDescent="0.35">
      <c r="A307" s="12"/>
      <c r="B307" s="12"/>
      <c r="C307" s="12"/>
      <c r="D307" s="12"/>
      <c r="E307" s="13"/>
      <c r="F307" s="14"/>
    </row>
    <row r="308" spans="1:6" ht="15" customHeight="1" x14ac:dyDescent="0.35">
      <c r="A308" s="12"/>
      <c r="B308" s="12"/>
      <c r="C308" s="12"/>
      <c r="D308" s="12"/>
      <c r="E308" s="13"/>
      <c r="F308" s="14"/>
    </row>
    <row r="309" spans="1:6" ht="15" customHeight="1" x14ac:dyDescent="0.35">
      <c r="A309" s="12"/>
      <c r="B309" s="12"/>
      <c r="C309" s="12"/>
      <c r="D309" s="12"/>
      <c r="E309" s="13"/>
      <c r="F309" s="14"/>
    </row>
    <row r="310" spans="1:6" ht="15" customHeight="1" x14ac:dyDescent="0.35">
      <c r="A310" s="12"/>
      <c r="B310" s="12"/>
      <c r="C310" s="12"/>
      <c r="D310" s="12"/>
      <c r="E310" s="13"/>
      <c r="F310" s="14"/>
    </row>
    <row r="311" spans="1:6" ht="15" customHeight="1" x14ac:dyDescent="0.35">
      <c r="A311" s="12"/>
      <c r="B311" s="12"/>
      <c r="C311" s="12"/>
      <c r="D311" s="12"/>
      <c r="E311" s="13"/>
      <c r="F311" s="14"/>
    </row>
    <row r="312" spans="1:6" ht="15" customHeight="1" x14ac:dyDescent="0.35">
      <c r="A312" s="12"/>
      <c r="B312" s="12"/>
      <c r="C312" s="12"/>
      <c r="D312" s="12"/>
      <c r="E312" s="13"/>
      <c r="F312" s="14"/>
    </row>
    <row r="313" spans="1:6" ht="15" customHeight="1" x14ac:dyDescent="0.35">
      <c r="A313" s="12"/>
      <c r="B313" s="12"/>
      <c r="C313" s="12"/>
      <c r="D313" s="12"/>
      <c r="E313" s="13"/>
      <c r="F313" s="14"/>
    </row>
    <row r="314" spans="1:6" ht="15" customHeight="1" x14ac:dyDescent="0.35">
      <c r="A314" s="12"/>
      <c r="B314" s="12"/>
      <c r="C314" s="12"/>
      <c r="D314" s="12"/>
      <c r="E314" s="13"/>
      <c r="F314" s="14"/>
    </row>
    <row r="315" spans="1:6" ht="15" customHeight="1" x14ac:dyDescent="0.35">
      <c r="A315" s="12"/>
      <c r="B315" s="12"/>
      <c r="C315" s="12"/>
      <c r="D315" s="12"/>
      <c r="E315" s="13"/>
      <c r="F315" s="14"/>
    </row>
    <row r="316" spans="1:6" ht="15" customHeight="1" x14ac:dyDescent="0.35">
      <c r="A316" s="12"/>
      <c r="B316" s="12"/>
      <c r="C316" s="12"/>
      <c r="D316" s="12"/>
      <c r="E316" s="13"/>
      <c r="F316" s="14"/>
    </row>
    <row r="317" spans="1:6" ht="15" customHeight="1" x14ac:dyDescent="0.35">
      <c r="A317" s="12"/>
      <c r="B317" s="12"/>
      <c r="C317" s="12"/>
      <c r="D317" s="12"/>
      <c r="E317" s="13"/>
      <c r="F317" s="14"/>
    </row>
    <row r="318" spans="1:6" ht="15" customHeight="1" x14ac:dyDescent="0.35">
      <c r="A318" s="12"/>
      <c r="B318" s="12"/>
      <c r="C318" s="12"/>
      <c r="D318" s="12"/>
      <c r="E318" s="13"/>
      <c r="F318" s="14"/>
    </row>
    <row r="319" spans="1:6" ht="15" customHeight="1" x14ac:dyDescent="0.35">
      <c r="A319" s="12"/>
      <c r="B319" s="12"/>
      <c r="C319" s="12"/>
      <c r="D319" s="12"/>
      <c r="E319" s="13"/>
      <c r="F319" s="14"/>
    </row>
    <row r="320" spans="1:6" ht="15" customHeight="1" x14ac:dyDescent="0.35">
      <c r="A320" s="12"/>
      <c r="B320" s="12"/>
      <c r="C320" s="12"/>
      <c r="D320" s="12"/>
      <c r="E320" s="13"/>
      <c r="F320" s="14"/>
    </row>
    <row r="321" spans="1:6" ht="15" customHeight="1" x14ac:dyDescent="0.35">
      <c r="A321" s="12"/>
      <c r="B321" s="12"/>
      <c r="C321" s="12"/>
      <c r="D321" s="12"/>
      <c r="E321" s="13"/>
      <c r="F321" s="14"/>
    </row>
    <row r="322" spans="1:6" ht="15" customHeight="1" x14ac:dyDescent="0.35">
      <c r="A322" s="12"/>
      <c r="B322" s="12"/>
      <c r="C322" s="12"/>
      <c r="D322" s="12"/>
      <c r="E322" s="13"/>
      <c r="F322" s="14"/>
    </row>
    <row r="323" spans="1:6" ht="15" customHeight="1" x14ac:dyDescent="0.35">
      <c r="A323" s="12"/>
      <c r="B323" s="12"/>
      <c r="C323" s="12"/>
      <c r="D323" s="12"/>
      <c r="E323" s="13"/>
      <c r="F323" s="14"/>
    </row>
    <row r="324" spans="1:6" ht="15" customHeight="1" x14ac:dyDescent="0.35">
      <c r="A324" s="12"/>
      <c r="B324" s="12"/>
      <c r="C324" s="12"/>
      <c r="D324" s="12"/>
      <c r="E324" s="13"/>
      <c r="F324" s="14"/>
    </row>
    <row r="325" spans="1:6" ht="15" customHeight="1" x14ac:dyDescent="0.35">
      <c r="A325" s="12"/>
      <c r="B325" s="12"/>
      <c r="C325" s="12"/>
      <c r="D325" s="12"/>
      <c r="E325" s="13"/>
      <c r="F325" s="14"/>
    </row>
    <row r="326" spans="1:6" ht="15" customHeight="1" x14ac:dyDescent="0.35">
      <c r="A326" s="12"/>
      <c r="B326" s="12"/>
      <c r="C326" s="12"/>
      <c r="D326" s="12"/>
      <c r="E326" s="13"/>
      <c r="F326" s="14"/>
    </row>
    <row r="327" spans="1:6" ht="15" customHeight="1" x14ac:dyDescent="0.35">
      <c r="A327" s="12"/>
      <c r="B327" s="12"/>
      <c r="C327" s="12"/>
      <c r="D327" s="12"/>
      <c r="E327" s="13"/>
      <c r="F327" s="14"/>
    </row>
    <row r="328" spans="1:6" ht="15" customHeight="1" x14ac:dyDescent="0.35">
      <c r="A328" s="12"/>
      <c r="B328" s="12"/>
      <c r="C328" s="12"/>
      <c r="D328" s="12"/>
      <c r="E328" s="13"/>
      <c r="F328" s="14"/>
    </row>
    <row r="329" spans="1:6" ht="15" customHeight="1" x14ac:dyDescent="0.35">
      <c r="A329" s="12"/>
      <c r="B329" s="12"/>
      <c r="C329" s="12"/>
      <c r="D329" s="12"/>
      <c r="E329" s="13"/>
      <c r="F329" s="14"/>
    </row>
    <row r="330" spans="1:6" ht="15" customHeight="1" x14ac:dyDescent="0.35">
      <c r="A330" s="12"/>
      <c r="B330" s="12"/>
      <c r="C330" s="12"/>
      <c r="D330" s="12"/>
      <c r="E330" s="13"/>
      <c r="F330" s="14"/>
    </row>
    <row r="331" spans="1:6" ht="15" customHeight="1" x14ac:dyDescent="0.35">
      <c r="A331" s="12"/>
      <c r="B331" s="12"/>
      <c r="C331" s="12"/>
      <c r="D331" s="12"/>
      <c r="E331" s="13"/>
      <c r="F331" s="14"/>
    </row>
    <row r="332" spans="1:6" ht="15" customHeight="1" x14ac:dyDescent="0.35">
      <c r="A332" s="12"/>
      <c r="B332" s="12"/>
      <c r="C332" s="12"/>
      <c r="D332" s="12"/>
      <c r="E332" s="13"/>
      <c r="F332" s="14"/>
    </row>
    <row r="333" spans="1:6" ht="15" customHeight="1" x14ac:dyDescent="0.35">
      <c r="A333" s="12"/>
      <c r="B333" s="12"/>
      <c r="C333" s="12"/>
      <c r="D333" s="12"/>
      <c r="E333" s="13"/>
      <c r="F333" s="14"/>
    </row>
    <row r="334" spans="1:6" ht="15" customHeight="1" x14ac:dyDescent="0.35">
      <c r="A334" s="12"/>
      <c r="B334" s="12"/>
      <c r="C334" s="12"/>
      <c r="D334" s="12"/>
      <c r="E334" s="13"/>
      <c r="F334" s="14"/>
    </row>
    <row r="335" spans="1:6" ht="15" customHeight="1" x14ac:dyDescent="0.35">
      <c r="A335" s="12"/>
      <c r="B335" s="12"/>
      <c r="C335" s="12"/>
      <c r="D335" s="12"/>
      <c r="E335" s="13"/>
      <c r="F335" s="14"/>
    </row>
    <row r="336" spans="1:6" ht="15" customHeight="1" x14ac:dyDescent="0.35">
      <c r="A336" s="12"/>
      <c r="B336" s="12"/>
      <c r="C336" s="12"/>
      <c r="D336" s="12"/>
      <c r="E336" s="13"/>
      <c r="F336" s="14"/>
    </row>
    <row r="337" spans="1:6" ht="15" customHeight="1" x14ac:dyDescent="0.35">
      <c r="A337" s="12"/>
      <c r="B337" s="12"/>
      <c r="C337" s="12"/>
      <c r="D337" s="12"/>
      <c r="E337" s="13"/>
      <c r="F337" s="14"/>
    </row>
    <row r="338" spans="1:6" ht="15" customHeight="1" x14ac:dyDescent="0.35">
      <c r="A338" s="12"/>
      <c r="B338" s="12"/>
      <c r="C338" s="12"/>
      <c r="D338" s="12"/>
      <c r="E338" s="13"/>
      <c r="F338" s="14"/>
    </row>
    <row r="339" spans="1:6" ht="15" customHeight="1" x14ac:dyDescent="0.35">
      <c r="A339" s="12"/>
      <c r="B339" s="12"/>
      <c r="C339" s="12"/>
      <c r="D339" s="12"/>
      <c r="E339" s="13"/>
      <c r="F339" s="14"/>
    </row>
    <row r="340" spans="1:6" ht="15" customHeight="1" x14ac:dyDescent="0.35">
      <c r="A340" s="12"/>
      <c r="B340" s="12"/>
      <c r="C340" s="12"/>
      <c r="D340" s="12"/>
      <c r="E340" s="13"/>
      <c r="F340" s="14"/>
    </row>
    <row r="341" spans="1:6" ht="15" customHeight="1" x14ac:dyDescent="0.35">
      <c r="A341" s="12"/>
      <c r="B341" s="12"/>
      <c r="C341" s="12"/>
      <c r="D341" s="12"/>
      <c r="E341" s="13"/>
      <c r="F341" s="14"/>
    </row>
    <row r="342" spans="1:6" ht="15" customHeight="1" x14ac:dyDescent="0.35">
      <c r="A342" s="12"/>
      <c r="B342" s="12"/>
      <c r="C342" s="12"/>
      <c r="D342" s="12"/>
      <c r="E342" s="13"/>
      <c r="F342" s="14"/>
    </row>
    <row r="343" spans="1:6" ht="15" customHeight="1" x14ac:dyDescent="0.35">
      <c r="A343" s="12"/>
      <c r="B343" s="12"/>
      <c r="C343" s="12"/>
      <c r="D343" s="12"/>
      <c r="E343" s="13"/>
      <c r="F343" s="14"/>
    </row>
    <row r="344" spans="1:6" ht="15" customHeight="1" x14ac:dyDescent="0.35">
      <c r="A344" s="12"/>
      <c r="B344" s="12"/>
      <c r="C344" s="12"/>
      <c r="D344" s="12"/>
      <c r="E344" s="13"/>
      <c r="F344" s="14"/>
    </row>
    <row r="345" spans="1:6" ht="15" customHeight="1" x14ac:dyDescent="0.35">
      <c r="A345" s="12"/>
      <c r="B345" s="12"/>
      <c r="C345" s="12"/>
      <c r="D345" s="12"/>
      <c r="E345" s="13"/>
      <c r="F345" s="14"/>
    </row>
    <row r="346" spans="1:6" ht="15" customHeight="1" x14ac:dyDescent="0.35">
      <c r="A346" s="12"/>
      <c r="B346" s="12"/>
      <c r="C346" s="12"/>
      <c r="D346" s="12"/>
      <c r="E346" s="13"/>
      <c r="F346" s="14"/>
    </row>
    <row r="347" spans="1:6" ht="15" customHeight="1" x14ac:dyDescent="0.35">
      <c r="A347" s="12"/>
      <c r="B347" s="12"/>
      <c r="C347" s="12"/>
      <c r="D347" s="12"/>
      <c r="E347" s="13"/>
      <c r="F347" s="14"/>
    </row>
    <row r="348" spans="1:6" ht="15" customHeight="1" x14ac:dyDescent="0.35">
      <c r="A348" s="12"/>
      <c r="B348" s="12"/>
      <c r="C348" s="12"/>
      <c r="D348" s="12"/>
      <c r="E348" s="13"/>
      <c r="F348" s="14"/>
    </row>
    <row r="349" spans="1:6" ht="15" customHeight="1" x14ac:dyDescent="0.35">
      <c r="A349" s="12"/>
      <c r="B349" s="12"/>
      <c r="C349" s="12"/>
      <c r="D349" s="12"/>
      <c r="E349" s="13"/>
      <c r="F349" s="14"/>
    </row>
    <row r="350" spans="1:6" ht="15" customHeight="1" x14ac:dyDescent="0.35">
      <c r="A350" s="12"/>
      <c r="B350" s="12"/>
      <c r="C350" s="12"/>
      <c r="D350" s="12"/>
      <c r="E350" s="13"/>
      <c r="F350" s="14"/>
    </row>
    <row r="351" spans="1:6" ht="15" customHeight="1" x14ac:dyDescent="0.35">
      <c r="A351" s="12"/>
      <c r="B351" s="12"/>
      <c r="C351" s="12"/>
      <c r="D351" s="12"/>
      <c r="E351" s="13"/>
      <c r="F351" s="14"/>
    </row>
    <row r="352" spans="1:6" ht="15" customHeight="1" x14ac:dyDescent="0.35">
      <c r="A352" s="12"/>
      <c r="B352" s="12"/>
      <c r="C352" s="12"/>
      <c r="D352" s="12"/>
      <c r="E352" s="13"/>
      <c r="F352" s="14"/>
    </row>
    <row r="353" spans="1:6" ht="15" customHeight="1" x14ac:dyDescent="0.35">
      <c r="A353" s="12"/>
      <c r="B353" s="12"/>
      <c r="C353" s="12"/>
      <c r="D353" s="12"/>
      <c r="E353" s="13"/>
      <c r="F353" s="14"/>
    </row>
    <row r="354" spans="1:6" ht="15" customHeight="1" x14ac:dyDescent="0.35">
      <c r="A354" s="12"/>
      <c r="B354" s="12"/>
      <c r="C354" s="12"/>
      <c r="D354" s="12"/>
      <c r="E354" s="13"/>
      <c r="F354" s="14"/>
    </row>
    <row r="355" spans="1:6" ht="15" customHeight="1" x14ac:dyDescent="0.35">
      <c r="A355" s="12"/>
      <c r="B355" s="12"/>
      <c r="C355" s="12"/>
      <c r="D355" s="12"/>
      <c r="E355" s="13"/>
      <c r="F355" s="14"/>
    </row>
    <row r="356" spans="1:6" ht="15" customHeight="1" x14ac:dyDescent="0.35">
      <c r="A356" s="12"/>
      <c r="B356" s="12"/>
      <c r="C356" s="12"/>
      <c r="D356" s="12"/>
      <c r="E356" s="13"/>
      <c r="F356" s="14"/>
    </row>
    <row r="357" spans="1:6" ht="15" customHeight="1" x14ac:dyDescent="0.35">
      <c r="A357" s="12"/>
      <c r="B357" s="12"/>
      <c r="C357" s="12"/>
      <c r="D357" s="12"/>
      <c r="E357" s="13"/>
      <c r="F357" s="14"/>
    </row>
    <row r="358" spans="1:6" ht="15" customHeight="1" x14ac:dyDescent="0.35">
      <c r="A358" s="12"/>
      <c r="B358" s="12"/>
      <c r="C358" s="12"/>
      <c r="D358" s="12"/>
      <c r="E358" s="13"/>
      <c r="F358" s="14"/>
    </row>
    <row r="359" spans="1:6" ht="15" customHeight="1" x14ac:dyDescent="0.35">
      <c r="A359" s="12"/>
      <c r="B359" s="12"/>
      <c r="C359" s="12"/>
      <c r="D359" s="12"/>
      <c r="E359" s="13"/>
      <c r="F359" s="14"/>
    </row>
    <row r="360" spans="1:6" ht="15" customHeight="1" x14ac:dyDescent="0.35">
      <c r="A360" s="12"/>
      <c r="B360" s="12"/>
      <c r="C360" s="12"/>
      <c r="D360" s="12"/>
      <c r="E360" s="13"/>
      <c r="F360" s="14"/>
    </row>
    <row r="361" spans="1:6" ht="15" customHeight="1" x14ac:dyDescent="0.35">
      <c r="A361" s="12"/>
      <c r="B361" s="12"/>
      <c r="C361" s="12"/>
      <c r="D361" s="12"/>
      <c r="E361" s="13"/>
      <c r="F361" s="14"/>
    </row>
    <row r="362" spans="1:6" ht="15" customHeight="1" x14ac:dyDescent="0.35">
      <c r="A362" s="12"/>
      <c r="B362" s="12"/>
      <c r="C362" s="12"/>
      <c r="D362" s="12"/>
      <c r="E362" s="13"/>
      <c r="F362" s="14"/>
    </row>
    <row r="363" spans="1:6" ht="15" customHeight="1" x14ac:dyDescent="0.35">
      <c r="A363" s="12"/>
      <c r="B363" s="12"/>
      <c r="C363" s="12"/>
      <c r="D363" s="12"/>
      <c r="E363" s="13"/>
      <c r="F363" s="14"/>
    </row>
    <row r="364" spans="1:6" ht="15" customHeight="1" x14ac:dyDescent="0.35">
      <c r="A364" s="12"/>
      <c r="B364" s="12"/>
      <c r="C364" s="12"/>
      <c r="D364" s="12"/>
      <c r="E364" s="13"/>
      <c r="F364" s="14"/>
    </row>
    <row r="365" spans="1:6" ht="15" customHeight="1" x14ac:dyDescent="0.35">
      <c r="A365" s="12"/>
      <c r="B365" s="12"/>
      <c r="C365" s="12"/>
      <c r="D365" s="12"/>
      <c r="E365" s="13"/>
      <c r="F365" s="14"/>
    </row>
    <row r="366" spans="1:6" ht="15" customHeight="1" x14ac:dyDescent="0.35">
      <c r="A366" s="12"/>
      <c r="B366" s="12"/>
      <c r="C366" s="12"/>
      <c r="D366" s="12"/>
      <c r="E366" s="13"/>
      <c r="F366" s="14"/>
    </row>
    <row r="367" spans="1:6" ht="15" customHeight="1" x14ac:dyDescent="0.35">
      <c r="A367" s="12"/>
      <c r="B367" s="12"/>
      <c r="C367" s="12"/>
      <c r="D367" s="12"/>
      <c r="E367" s="13"/>
      <c r="F367" s="14"/>
    </row>
    <row r="368" spans="1:6" ht="15" customHeight="1" x14ac:dyDescent="0.35">
      <c r="A368" s="12"/>
      <c r="B368" s="12"/>
      <c r="C368" s="12"/>
      <c r="D368" s="12"/>
      <c r="E368" s="13"/>
      <c r="F368" s="14"/>
    </row>
    <row r="369" spans="1:6" ht="15" customHeight="1" x14ac:dyDescent="0.35">
      <c r="A369" s="12"/>
      <c r="B369" s="12"/>
      <c r="C369" s="12"/>
      <c r="D369" s="12"/>
      <c r="E369" s="13"/>
      <c r="F369" s="14"/>
    </row>
    <row r="370" spans="1:6" ht="15" customHeight="1" x14ac:dyDescent="0.35">
      <c r="A370" s="12"/>
      <c r="B370" s="12"/>
      <c r="C370" s="12"/>
      <c r="D370" s="12"/>
      <c r="E370" s="13"/>
      <c r="F370" s="14"/>
    </row>
    <row r="371" spans="1:6" ht="15" customHeight="1" x14ac:dyDescent="0.35">
      <c r="A371" s="12"/>
      <c r="B371" s="12"/>
      <c r="C371" s="12"/>
      <c r="D371" s="12"/>
      <c r="E371" s="13"/>
      <c r="F371" s="14"/>
    </row>
    <row r="372" spans="1:6" ht="15" customHeight="1" x14ac:dyDescent="0.35">
      <c r="A372" s="12"/>
      <c r="B372" s="12"/>
      <c r="C372" s="12"/>
      <c r="D372" s="12"/>
      <c r="E372" s="13"/>
      <c r="F372" s="14"/>
    </row>
    <row r="373" spans="1:6" ht="15" customHeight="1" x14ac:dyDescent="0.35">
      <c r="A373" s="12"/>
      <c r="B373" s="12"/>
      <c r="C373" s="12"/>
      <c r="D373" s="12"/>
      <c r="E373" s="13"/>
      <c r="F373" s="14"/>
    </row>
    <row r="374" spans="1:6" ht="15" customHeight="1" x14ac:dyDescent="0.35">
      <c r="A374" s="12"/>
      <c r="B374" s="12"/>
      <c r="C374" s="12"/>
      <c r="D374" s="12"/>
      <c r="E374" s="13"/>
      <c r="F374" s="14"/>
    </row>
    <row r="375" spans="1:6" ht="15" customHeight="1" x14ac:dyDescent="0.35">
      <c r="A375" s="12"/>
      <c r="B375" s="12"/>
      <c r="C375" s="12"/>
      <c r="D375" s="12"/>
      <c r="E375" s="13"/>
      <c r="F375" s="14"/>
    </row>
    <row r="376" spans="1:6" ht="15" customHeight="1" x14ac:dyDescent="0.35">
      <c r="A376" s="12"/>
      <c r="B376" s="12"/>
      <c r="C376" s="12"/>
      <c r="D376" s="12"/>
      <c r="E376" s="13"/>
      <c r="F376" s="14"/>
    </row>
    <row r="377" spans="1:6" ht="15" customHeight="1" x14ac:dyDescent="0.35">
      <c r="A377" s="12"/>
      <c r="B377" s="12"/>
      <c r="C377" s="12"/>
      <c r="D377" s="12"/>
      <c r="E377" s="13"/>
      <c r="F377" s="14"/>
    </row>
    <row r="378" spans="1:6" ht="15" customHeight="1" x14ac:dyDescent="0.35">
      <c r="A378" s="12"/>
      <c r="B378" s="12"/>
      <c r="C378" s="12"/>
      <c r="D378" s="12"/>
      <c r="E378" s="13"/>
      <c r="F378" s="14"/>
    </row>
    <row r="379" spans="1:6" ht="15" customHeight="1" x14ac:dyDescent="0.35">
      <c r="A379" s="12"/>
      <c r="B379" s="12"/>
      <c r="C379" s="12"/>
      <c r="D379" s="12"/>
      <c r="E379" s="13"/>
      <c r="F379" s="14"/>
    </row>
    <row r="380" spans="1:6" ht="15" customHeight="1" x14ac:dyDescent="0.35">
      <c r="A380" s="12"/>
      <c r="B380" s="12"/>
      <c r="C380" s="12"/>
      <c r="D380" s="12"/>
      <c r="E380" s="13"/>
      <c r="F380" s="14"/>
    </row>
    <row r="381" spans="1:6" ht="15" customHeight="1" x14ac:dyDescent="0.35">
      <c r="A381" s="12"/>
      <c r="B381" s="12"/>
      <c r="C381" s="12"/>
      <c r="D381" s="12"/>
      <c r="E381" s="13"/>
      <c r="F381" s="14"/>
    </row>
    <row r="382" spans="1:6" ht="15" customHeight="1" x14ac:dyDescent="0.35">
      <c r="A382" s="12"/>
      <c r="B382" s="12"/>
      <c r="C382" s="12"/>
      <c r="D382" s="12"/>
      <c r="E382" s="13"/>
      <c r="F382" s="14"/>
    </row>
    <row r="383" spans="1:6" ht="15" customHeight="1" x14ac:dyDescent="0.35">
      <c r="A383" s="12"/>
      <c r="B383" s="12"/>
      <c r="C383" s="12"/>
      <c r="D383" s="12"/>
      <c r="E383" s="13"/>
      <c r="F383" s="14"/>
    </row>
    <row r="384" spans="1:6" ht="15" customHeight="1" x14ac:dyDescent="0.35">
      <c r="A384" s="12"/>
      <c r="B384" s="12"/>
      <c r="C384" s="12"/>
      <c r="D384" s="12"/>
      <c r="E384" s="13"/>
      <c r="F384" s="14"/>
    </row>
    <row r="385" spans="1:6" ht="15" customHeight="1" x14ac:dyDescent="0.35">
      <c r="A385" s="12"/>
      <c r="B385" s="12"/>
      <c r="C385" s="12"/>
      <c r="D385" s="12"/>
      <c r="E385" s="13"/>
      <c r="F385" s="14"/>
    </row>
    <row r="386" spans="1:6" ht="15" customHeight="1" x14ac:dyDescent="0.35">
      <c r="A386" s="12"/>
      <c r="B386" s="12"/>
      <c r="C386" s="12"/>
      <c r="D386" s="12"/>
      <c r="E386" s="13"/>
      <c r="F386" s="14"/>
    </row>
    <row r="387" spans="1:6" ht="15" customHeight="1" x14ac:dyDescent="0.35">
      <c r="A387" s="12"/>
      <c r="B387" s="12"/>
      <c r="C387" s="12"/>
      <c r="D387" s="12"/>
      <c r="E387" s="13"/>
      <c r="F387" s="14"/>
    </row>
    <row r="388" spans="1:6" ht="15" customHeight="1" x14ac:dyDescent="0.35">
      <c r="A388" s="12"/>
      <c r="B388" s="12"/>
      <c r="C388" s="12"/>
      <c r="D388" s="12"/>
      <c r="E388" s="13"/>
      <c r="F388" s="14"/>
    </row>
    <row r="389" spans="1:6" ht="15" customHeight="1" x14ac:dyDescent="0.35">
      <c r="A389" s="12"/>
      <c r="B389" s="12"/>
      <c r="C389" s="12"/>
      <c r="D389" s="12"/>
      <c r="E389" s="13"/>
      <c r="F389" s="14"/>
    </row>
    <row r="390" spans="1:6" ht="15" customHeight="1" x14ac:dyDescent="0.35">
      <c r="A390" s="12"/>
      <c r="B390" s="12"/>
      <c r="C390" s="12"/>
      <c r="D390" s="12"/>
      <c r="E390" s="13"/>
      <c r="F390" s="14"/>
    </row>
    <row r="391" spans="1:6" ht="15" customHeight="1" x14ac:dyDescent="0.35">
      <c r="A391" s="12"/>
      <c r="B391" s="12"/>
      <c r="C391" s="12"/>
      <c r="D391" s="12"/>
      <c r="E391" s="13"/>
      <c r="F391" s="14"/>
    </row>
    <row r="392" spans="1:6" ht="15" customHeight="1" x14ac:dyDescent="0.35">
      <c r="A392" s="12"/>
      <c r="B392" s="12"/>
      <c r="C392" s="12"/>
      <c r="D392" s="12"/>
      <c r="E392" s="13"/>
      <c r="F392" s="14"/>
    </row>
    <row r="393" spans="1:6" ht="15" customHeight="1" x14ac:dyDescent="0.35">
      <c r="A393" s="12"/>
      <c r="B393" s="12"/>
      <c r="C393" s="12"/>
      <c r="D393" s="12"/>
      <c r="E393" s="13"/>
      <c r="F393" s="14"/>
    </row>
    <row r="394" spans="1:6" ht="15" customHeight="1" x14ac:dyDescent="0.35">
      <c r="A394" s="12"/>
      <c r="B394" s="12"/>
      <c r="C394" s="12"/>
      <c r="D394" s="12"/>
      <c r="E394" s="13"/>
      <c r="F394" s="14"/>
    </row>
    <row r="395" spans="1:6" ht="15" customHeight="1" x14ac:dyDescent="0.35">
      <c r="A395" s="12"/>
      <c r="B395" s="12"/>
      <c r="C395" s="12"/>
      <c r="D395" s="12"/>
      <c r="E395" s="13"/>
      <c r="F395" s="14"/>
    </row>
    <row r="396" spans="1:6" ht="15" customHeight="1" x14ac:dyDescent="0.35">
      <c r="A396" s="12"/>
      <c r="B396" s="12"/>
      <c r="C396" s="12"/>
      <c r="D396" s="12"/>
      <c r="E396" s="13"/>
      <c r="F396" s="14"/>
    </row>
    <row r="397" spans="1:6" ht="15" customHeight="1" x14ac:dyDescent="0.35">
      <c r="A397" s="12"/>
      <c r="B397" s="12"/>
      <c r="C397" s="12"/>
      <c r="D397" s="12"/>
      <c r="E397" s="13"/>
      <c r="F397" s="14"/>
    </row>
  </sheetData>
  <autoFilter ref="A1:F397" xr:uid="{00000000-0009-0000-0000-000001000000}"/>
  <dataValidations count="3">
    <dataValidation type="list" allowBlank="1" sqref="B2:B397" xr:uid="{00000000-0002-0000-0100-000000000000}">
      <formula1>"Legislation,CMS Rule,Rate Announcement,Enrollment Milestone,Plan Landscape Release,Disaster SEP,State Regulation,Litigation,Other"</formula1>
      <formula2>0</formula2>
    </dataValidation>
    <dataValidation type="list" allowBlank="1" sqref="C2:C397" xr:uid="{00000000-0002-0000-0100-000001000000}">
      <formula1>"MA,MS,Part D,D-SNP,C-SNP,MA / Part D,MA / MS,MA / Part D / MS,MA / Part D / D-SNP,Part D / MA / D-SNP,D-SNP / MA / Part D,All,Multiple"</formula1>
      <formula2>0</formula2>
    </dataValidation>
    <dataValidation type="list" allowBlank="1" sqref="D2:D397" xr:uid="{00000000-0002-0000-0100-000002000000}">
      <formula1>"Announced,Effective,Deadline"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5"/>
  <sheetViews>
    <sheetView zoomScaleNormal="100" workbookViewId="0">
      <pane ySplit="1" topLeftCell="A2" activePane="bottomLeft" state="frozen"/>
      <selection pane="bottomLeft"/>
    </sheetView>
  </sheetViews>
  <sheetFormatPr defaultColWidth="8.6328125" defaultRowHeight="14.5" x14ac:dyDescent="0.35"/>
  <cols>
    <col min="1" max="1" width="12" customWidth="1"/>
    <col min="2" max="2" width="7" customWidth="1"/>
    <col min="3" max="3" width="10" customWidth="1"/>
    <col min="4" max="4" width="16" customWidth="1"/>
    <col min="5" max="5" width="55" customWidth="1"/>
    <col min="6" max="7" width="14" customWidth="1"/>
    <col min="8" max="8" width="15" customWidth="1"/>
    <col min="9" max="9" width="11" customWidth="1"/>
    <col min="10" max="10" width="16" customWidth="1"/>
    <col min="11" max="11" width="12" customWidth="1"/>
    <col min="12" max="12" width="10.453125" style="15" customWidth="1"/>
  </cols>
  <sheetData>
    <row r="1" spans="1:12" ht="14.25" customHeight="1" x14ac:dyDescent="0.35">
      <c r="A1" s="1" t="s">
        <v>147</v>
      </c>
      <c r="B1" s="1" t="s">
        <v>148</v>
      </c>
      <c r="C1" s="1" t="s">
        <v>149</v>
      </c>
      <c r="D1" s="1" t="s">
        <v>150</v>
      </c>
      <c r="E1" s="1" t="s">
        <v>151</v>
      </c>
      <c r="F1" s="1" t="s">
        <v>152</v>
      </c>
      <c r="G1" s="1" t="s">
        <v>153</v>
      </c>
      <c r="H1" s="1" t="s">
        <v>154</v>
      </c>
      <c r="I1" s="1" t="s">
        <v>155</v>
      </c>
      <c r="J1" s="1" t="s">
        <v>156</v>
      </c>
      <c r="K1" s="1" t="s">
        <v>157</v>
      </c>
      <c r="L1" s="1" t="s">
        <v>158</v>
      </c>
    </row>
    <row r="2" spans="1:12" ht="25.5" customHeight="1" x14ac:dyDescent="0.35">
      <c r="A2" s="3">
        <v>4775</v>
      </c>
      <c r="B2" s="3" t="s">
        <v>159</v>
      </c>
      <c r="C2" s="3" t="s">
        <v>160</v>
      </c>
      <c r="D2" s="3" t="s">
        <v>161</v>
      </c>
      <c r="E2" s="11" t="s">
        <v>162</v>
      </c>
      <c r="F2" s="2">
        <v>45296</v>
      </c>
      <c r="G2" s="2">
        <v>45320</v>
      </c>
      <c r="H2" s="2">
        <v>45410</v>
      </c>
      <c r="I2" s="3" t="s">
        <v>163</v>
      </c>
      <c r="J2" s="3">
        <v>17</v>
      </c>
      <c r="K2" s="2">
        <f t="shared" ref="K2:K38" si="0">IF(OR(C2="DR",C2="EM"),MIN(F2,H2),"")</f>
        <v>45296</v>
      </c>
      <c r="L2" s="16">
        <f t="shared" ref="L2:L65" si="1">IF(K2="","",EOMONTH(K2,2))</f>
        <v>45382</v>
      </c>
    </row>
    <row r="3" spans="1:12" ht="14.25" customHeight="1" x14ac:dyDescent="0.35">
      <c r="A3" s="3">
        <v>4774</v>
      </c>
      <c r="B3" s="3" t="s">
        <v>164</v>
      </c>
      <c r="C3" s="3" t="s">
        <v>160</v>
      </c>
      <c r="D3" s="3" t="s">
        <v>165</v>
      </c>
      <c r="E3" s="11" t="s">
        <v>166</v>
      </c>
      <c r="F3" s="2">
        <v>45299</v>
      </c>
      <c r="G3" s="2">
        <v>45307</v>
      </c>
      <c r="H3" s="2">
        <v>45410</v>
      </c>
      <c r="I3" s="3" t="s">
        <v>163</v>
      </c>
      <c r="J3" s="3">
        <v>17</v>
      </c>
      <c r="K3" s="2">
        <f t="shared" si="0"/>
        <v>45299</v>
      </c>
      <c r="L3" s="16">
        <f t="shared" si="1"/>
        <v>45382</v>
      </c>
    </row>
    <row r="4" spans="1:12" ht="14.25" customHeight="1" x14ac:dyDescent="0.35">
      <c r="A4" s="3">
        <v>4764</v>
      </c>
      <c r="B4" s="3" t="s">
        <v>167</v>
      </c>
      <c r="C4" s="3" t="s">
        <v>160</v>
      </c>
      <c r="D4" s="3" t="s">
        <v>161</v>
      </c>
      <c r="E4" s="11" t="s">
        <v>168</v>
      </c>
      <c r="F4" s="2">
        <v>45300</v>
      </c>
      <c r="G4" s="2">
        <v>45304</v>
      </c>
      <c r="H4" s="2">
        <v>45371</v>
      </c>
      <c r="I4" s="3" t="s">
        <v>163</v>
      </c>
      <c r="J4" s="3">
        <v>8</v>
      </c>
      <c r="K4" s="2">
        <f t="shared" si="0"/>
        <v>45300</v>
      </c>
      <c r="L4" s="16">
        <f t="shared" si="1"/>
        <v>45382</v>
      </c>
    </row>
    <row r="5" spans="1:12" ht="14.25" customHeight="1" x14ac:dyDescent="0.35">
      <c r="A5" s="3">
        <v>4766</v>
      </c>
      <c r="B5" s="3" t="s">
        <v>101</v>
      </c>
      <c r="C5" s="3" t="s">
        <v>160</v>
      </c>
      <c r="D5" s="3" t="s">
        <v>161</v>
      </c>
      <c r="E5" s="11" t="s">
        <v>168</v>
      </c>
      <c r="F5" s="2">
        <v>45300</v>
      </c>
      <c r="G5" s="2">
        <v>45304</v>
      </c>
      <c r="H5" s="2">
        <v>45371</v>
      </c>
      <c r="I5" s="3" t="s">
        <v>163</v>
      </c>
      <c r="J5" s="3">
        <v>4</v>
      </c>
      <c r="K5" s="2">
        <f t="shared" si="0"/>
        <v>45300</v>
      </c>
      <c r="L5" s="16">
        <f t="shared" si="1"/>
        <v>45382</v>
      </c>
    </row>
    <row r="6" spans="1:12" ht="14.25" customHeight="1" x14ac:dyDescent="0.35">
      <c r="A6" s="3">
        <v>4770</v>
      </c>
      <c r="B6" s="3" t="s">
        <v>169</v>
      </c>
      <c r="C6" s="3" t="s">
        <v>160</v>
      </c>
      <c r="D6" s="3" t="s">
        <v>161</v>
      </c>
      <c r="E6" s="11" t="s">
        <v>166</v>
      </c>
      <c r="F6" s="2">
        <v>45300</v>
      </c>
      <c r="G6" s="2">
        <v>45304</v>
      </c>
      <c r="H6" s="2">
        <v>45401</v>
      </c>
      <c r="I6" s="3" t="s">
        <v>163</v>
      </c>
      <c r="J6" s="3">
        <v>5</v>
      </c>
      <c r="K6" s="2">
        <f t="shared" si="0"/>
        <v>45300</v>
      </c>
      <c r="L6" s="16">
        <f t="shared" si="1"/>
        <v>45382</v>
      </c>
    </row>
    <row r="7" spans="1:12" ht="14.25" customHeight="1" x14ac:dyDescent="0.35">
      <c r="A7" s="3">
        <v>4771</v>
      </c>
      <c r="B7" s="3" t="s">
        <v>170</v>
      </c>
      <c r="C7" s="3" t="s">
        <v>160</v>
      </c>
      <c r="D7" s="3" t="s">
        <v>161</v>
      </c>
      <c r="E7" s="11" t="s">
        <v>168</v>
      </c>
      <c r="F7" s="2">
        <v>45300</v>
      </c>
      <c r="G7" s="2">
        <v>45305</v>
      </c>
      <c r="H7" s="2">
        <v>45401</v>
      </c>
      <c r="I7" s="3" t="s">
        <v>163</v>
      </c>
      <c r="J7" s="3">
        <v>2</v>
      </c>
      <c r="K7" s="2">
        <f t="shared" si="0"/>
        <v>45300</v>
      </c>
      <c r="L7" s="16">
        <f t="shared" si="1"/>
        <v>45382</v>
      </c>
    </row>
    <row r="8" spans="1:12" ht="14.25" customHeight="1" x14ac:dyDescent="0.35">
      <c r="A8" s="3">
        <v>3604</v>
      </c>
      <c r="B8" s="3" t="s">
        <v>171</v>
      </c>
      <c r="C8" s="3" t="s">
        <v>172</v>
      </c>
      <c r="D8" s="3" t="s">
        <v>161</v>
      </c>
      <c r="E8" s="11" t="s">
        <v>173</v>
      </c>
      <c r="F8" s="2">
        <v>45301</v>
      </c>
      <c r="G8" s="2">
        <v>45304</v>
      </c>
      <c r="H8" s="2">
        <v>45304</v>
      </c>
      <c r="I8" s="3" t="s">
        <v>163</v>
      </c>
      <c r="J8" s="3">
        <v>3</v>
      </c>
      <c r="K8" s="2">
        <f t="shared" si="0"/>
        <v>45301</v>
      </c>
      <c r="L8" s="16">
        <f t="shared" si="1"/>
        <v>45382</v>
      </c>
    </row>
    <row r="9" spans="1:12" ht="25.5" customHeight="1" x14ac:dyDescent="0.35">
      <c r="A9" s="3">
        <v>4768</v>
      </c>
      <c r="B9" s="3" t="s">
        <v>174</v>
      </c>
      <c r="C9" s="3" t="s">
        <v>160</v>
      </c>
      <c r="D9" s="3" t="s">
        <v>161</v>
      </c>
      <c r="E9" s="11" t="s">
        <v>175</v>
      </c>
      <c r="F9" s="2">
        <v>45301</v>
      </c>
      <c r="G9" s="2">
        <v>45313</v>
      </c>
      <c r="H9" s="2">
        <v>45395</v>
      </c>
      <c r="I9" s="3" t="s">
        <v>163</v>
      </c>
      <c r="J9" s="3">
        <v>13</v>
      </c>
      <c r="K9" s="2">
        <f t="shared" si="0"/>
        <v>45301</v>
      </c>
      <c r="L9" s="16">
        <f t="shared" si="1"/>
        <v>45382</v>
      </c>
    </row>
    <row r="10" spans="1:12" ht="14.25" customHeight="1" x14ac:dyDescent="0.35">
      <c r="A10" s="3">
        <v>4758</v>
      </c>
      <c r="B10" s="3" t="s">
        <v>114</v>
      </c>
      <c r="C10" s="3" t="s">
        <v>160</v>
      </c>
      <c r="D10" s="3" t="s">
        <v>176</v>
      </c>
      <c r="E10" s="11" t="s">
        <v>177</v>
      </c>
      <c r="F10" s="2">
        <v>45312</v>
      </c>
      <c r="G10" s="2">
        <v>45314</v>
      </c>
      <c r="H10" s="2">
        <v>45341</v>
      </c>
      <c r="I10" s="3" t="s">
        <v>163</v>
      </c>
      <c r="J10" s="3">
        <v>1</v>
      </c>
      <c r="K10" s="2">
        <f t="shared" si="0"/>
        <v>45312</v>
      </c>
      <c r="L10" s="16">
        <f t="shared" si="1"/>
        <v>45382</v>
      </c>
    </row>
    <row r="11" spans="1:12" ht="14.25" customHeight="1" x14ac:dyDescent="0.35">
      <c r="A11" s="3">
        <v>4773</v>
      </c>
      <c r="B11" s="3" t="s">
        <v>114</v>
      </c>
      <c r="C11" s="3" t="s">
        <v>160</v>
      </c>
      <c r="D11" s="3" t="s">
        <v>161</v>
      </c>
      <c r="E11" s="11" t="s">
        <v>166</v>
      </c>
      <c r="F11" s="2">
        <v>45321</v>
      </c>
      <c r="G11" s="2">
        <v>45322</v>
      </c>
      <c r="H11" s="2">
        <v>45401</v>
      </c>
      <c r="I11" s="3" t="s">
        <v>163</v>
      </c>
      <c r="J11" s="3">
        <v>1</v>
      </c>
      <c r="K11" s="2">
        <f t="shared" si="0"/>
        <v>45321</v>
      </c>
      <c r="L11" s="16">
        <f t="shared" si="1"/>
        <v>45382</v>
      </c>
    </row>
    <row r="12" spans="1:12" ht="25.5" customHeight="1" x14ac:dyDescent="0.35">
      <c r="A12" s="3">
        <v>4769</v>
      </c>
      <c r="B12" s="3" t="s">
        <v>114</v>
      </c>
      <c r="C12" s="3" t="s">
        <v>160</v>
      </c>
      <c r="D12" s="3" t="s">
        <v>161</v>
      </c>
      <c r="E12" s="11" t="s">
        <v>178</v>
      </c>
      <c r="F12" s="2">
        <v>45322</v>
      </c>
      <c r="G12" s="2">
        <v>45331</v>
      </c>
      <c r="H12" s="2">
        <v>45395</v>
      </c>
      <c r="I12" s="3" t="s">
        <v>163</v>
      </c>
      <c r="J12" s="3">
        <v>9</v>
      </c>
      <c r="K12" s="2">
        <f t="shared" si="0"/>
        <v>45322</v>
      </c>
      <c r="L12" s="16">
        <f t="shared" si="1"/>
        <v>45382</v>
      </c>
    </row>
    <row r="13" spans="1:12" ht="14.25" customHeight="1" x14ac:dyDescent="0.35">
      <c r="A13" s="3">
        <v>4772</v>
      </c>
      <c r="B13" s="3" t="s">
        <v>114</v>
      </c>
      <c r="C13" s="3" t="s">
        <v>160</v>
      </c>
      <c r="D13" s="3" t="s">
        <v>161</v>
      </c>
      <c r="E13" s="11" t="s">
        <v>168</v>
      </c>
      <c r="F13" s="2">
        <v>45322</v>
      </c>
      <c r="G13" s="2">
        <v>45331</v>
      </c>
      <c r="H13" s="2">
        <v>45401</v>
      </c>
      <c r="I13" s="3" t="s">
        <v>163</v>
      </c>
      <c r="J13" s="3">
        <v>1</v>
      </c>
      <c r="K13" s="2">
        <f t="shared" si="0"/>
        <v>45322</v>
      </c>
      <c r="L13" s="16">
        <f t="shared" si="1"/>
        <v>45382</v>
      </c>
    </row>
    <row r="14" spans="1:12" ht="14.25" customHeight="1" x14ac:dyDescent="0.35">
      <c r="A14" s="3">
        <v>5487</v>
      </c>
      <c r="B14" s="3" t="s">
        <v>179</v>
      </c>
      <c r="C14" s="3" t="s">
        <v>180</v>
      </c>
      <c r="D14" s="3" t="s">
        <v>181</v>
      </c>
      <c r="E14" s="11" t="s">
        <v>182</v>
      </c>
      <c r="F14" s="2">
        <v>45349</v>
      </c>
      <c r="G14" s="2">
        <v>45367</v>
      </c>
      <c r="H14" s="2">
        <v>45349</v>
      </c>
      <c r="I14" s="3" t="s">
        <v>163</v>
      </c>
      <c r="J14" s="3">
        <v>1</v>
      </c>
      <c r="K14" s="2" t="str">
        <f t="shared" si="0"/>
        <v/>
      </c>
      <c r="L14" s="16" t="str">
        <f t="shared" si="1"/>
        <v/>
      </c>
    </row>
    <row r="15" spans="1:12" ht="14.25" customHeight="1" x14ac:dyDescent="0.35">
      <c r="A15" s="3">
        <v>5488</v>
      </c>
      <c r="B15" s="3" t="s">
        <v>179</v>
      </c>
      <c r="C15" s="3" t="s">
        <v>180</v>
      </c>
      <c r="D15" s="3" t="s">
        <v>181</v>
      </c>
      <c r="E15" s="11" t="s">
        <v>183</v>
      </c>
      <c r="F15" s="2">
        <v>45349</v>
      </c>
      <c r="G15" s="2">
        <v>45367</v>
      </c>
      <c r="H15" s="2">
        <v>45349</v>
      </c>
      <c r="I15" s="3" t="s">
        <v>163</v>
      </c>
      <c r="J15" s="3">
        <v>3</v>
      </c>
      <c r="K15" s="2" t="str">
        <f t="shared" si="0"/>
        <v/>
      </c>
      <c r="L15" s="16" t="str">
        <f t="shared" si="1"/>
        <v/>
      </c>
    </row>
    <row r="16" spans="1:12" ht="14.25" customHeight="1" x14ac:dyDescent="0.35">
      <c r="A16" s="3">
        <v>5489</v>
      </c>
      <c r="B16" s="3" t="s">
        <v>184</v>
      </c>
      <c r="C16" s="3" t="s">
        <v>180</v>
      </c>
      <c r="D16" s="3" t="s">
        <v>181</v>
      </c>
      <c r="E16" s="11" t="s">
        <v>185</v>
      </c>
      <c r="F16" s="2">
        <v>45349</v>
      </c>
      <c r="G16" s="2">
        <v>45371</v>
      </c>
      <c r="H16" s="2">
        <v>45349</v>
      </c>
      <c r="I16" s="3" t="s">
        <v>163</v>
      </c>
      <c r="J16" s="3">
        <v>1</v>
      </c>
      <c r="K16" s="2" t="str">
        <f t="shared" si="0"/>
        <v/>
      </c>
      <c r="L16" s="16" t="str">
        <f t="shared" si="1"/>
        <v/>
      </c>
    </row>
    <row r="17" spans="1:12" ht="14.25" customHeight="1" x14ac:dyDescent="0.35">
      <c r="A17" s="3">
        <v>5490</v>
      </c>
      <c r="B17" s="3" t="s">
        <v>95</v>
      </c>
      <c r="C17" s="3" t="s">
        <v>180</v>
      </c>
      <c r="D17" s="3" t="s">
        <v>181</v>
      </c>
      <c r="E17" s="11" t="s">
        <v>186</v>
      </c>
      <c r="F17" s="2">
        <v>45352</v>
      </c>
      <c r="G17" s="2">
        <v>45355</v>
      </c>
      <c r="H17" s="2">
        <v>45352</v>
      </c>
      <c r="I17" s="3" t="s">
        <v>163</v>
      </c>
      <c r="J17" s="3">
        <v>1</v>
      </c>
      <c r="K17" s="2" t="str">
        <f t="shared" si="0"/>
        <v/>
      </c>
      <c r="L17" s="16" t="str">
        <f t="shared" si="1"/>
        <v/>
      </c>
    </row>
    <row r="18" spans="1:12" ht="14.25" customHeight="1" x14ac:dyDescent="0.35">
      <c r="A18" s="3">
        <v>4777</v>
      </c>
      <c r="B18" s="3" t="s">
        <v>187</v>
      </c>
      <c r="C18" s="3" t="s">
        <v>160</v>
      </c>
      <c r="D18" s="3" t="s">
        <v>188</v>
      </c>
      <c r="E18" s="11" t="s">
        <v>189</v>
      </c>
      <c r="F18" s="2">
        <v>45365</v>
      </c>
      <c r="G18" s="2">
        <v>45365</v>
      </c>
      <c r="H18" s="2">
        <v>45414</v>
      </c>
      <c r="I18" s="3" t="s">
        <v>163</v>
      </c>
      <c r="J18" s="3">
        <v>11</v>
      </c>
      <c r="K18" s="2">
        <f t="shared" si="0"/>
        <v>45365</v>
      </c>
      <c r="L18" s="16">
        <f t="shared" si="1"/>
        <v>45443</v>
      </c>
    </row>
    <row r="19" spans="1:12" ht="14.25" customHeight="1" x14ac:dyDescent="0.35">
      <c r="A19" s="3">
        <v>4802</v>
      </c>
      <c r="B19" s="3" t="s">
        <v>184</v>
      </c>
      <c r="C19" s="3" t="s">
        <v>160</v>
      </c>
      <c r="D19" s="3" t="s">
        <v>161</v>
      </c>
      <c r="E19" s="11" t="s">
        <v>190</v>
      </c>
      <c r="F19" s="2">
        <v>45365</v>
      </c>
      <c r="G19" s="2">
        <v>45366</v>
      </c>
      <c r="H19" s="2">
        <v>45496</v>
      </c>
      <c r="I19" s="3" t="s">
        <v>163</v>
      </c>
      <c r="J19" s="3">
        <v>1</v>
      </c>
      <c r="K19" s="2">
        <f t="shared" si="0"/>
        <v>45365</v>
      </c>
      <c r="L19" s="16">
        <f t="shared" si="1"/>
        <v>45443</v>
      </c>
    </row>
    <row r="20" spans="1:12" ht="25.5" customHeight="1" x14ac:dyDescent="0.35">
      <c r="A20" s="3">
        <v>4782</v>
      </c>
      <c r="B20" s="3" t="s">
        <v>27</v>
      </c>
      <c r="C20" s="3" t="s">
        <v>160</v>
      </c>
      <c r="D20" s="3" t="s">
        <v>161</v>
      </c>
      <c r="E20" s="11" t="s">
        <v>191</v>
      </c>
      <c r="F20" s="2">
        <v>45384</v>
      </c>
      <c r="G20" s="2">
        <v>45384</v>
      </c>
      <c r="H20" s="2">
        <v>45434</v>
      </c>
      <c r="I20" s="3" t="s">
        <v>163</v>
      </c>
      <c r="J20" s="3">
        <v>11</v>
      </c>
      <c r="K20" s="2">
        <f t="shared" si="0"/>
        <v>45384</v>
      </c>
      <c r="L20" s="16">
        <f t="shared" si="1"/>
        <v>45473</v>
      </c>
    </row>
    <row r="21" spans="1:12" ht="25.5" customHeight="1" x14ac:dyDescent="0.35">
      <c r="A21" s="3">
        <v>4783</v>
      </c>
      <c r="B21" s="3" t="s">
        <v>192</v>
      </c>
      <c r="C21" s="3" t="s">
        <v>160</v>
      </c>
      <c r="D21" s="3" t="s">
        <v>161</v>
      </c>
      <c r="E21" s="11" t="s">
        <v>193</v>
      </c>
      <c r="F21" s="2">
        <v>45384</v>
      </c>
      <c r="G21" s="2">
        <v>45388</v>
      </c>
      <c r="H21" s="2">
        <v>45434</v>
      </c>
      <c r="I21" s="3" t="s">
        <v>163</v>
      </c>
      <c r="J21" s="3">
        <v>15</v>
      </c>
      <c r="K21" s="2">
        <f t="shared" si="0"/>
        <v>45384</v>
      </c>
      <c r="L21" s="16">
        <f t="shared" si="1"/>
        <v>45473</v>
      </c>
    </row>
    <row r="22" spans="1:12" ht="14.25" customHeight="1" x14ac:dyDescent="0.35">
      <c r="A22" s="3">
        <v>4785</v>
      </c>
      <c r="B22" s="3" t="s">
        <v>167</v>
      </c>
      <c r="C22" s="3" t="s">
        <v>160</v>
      </c>
      <c r="D22" s="3" t="s">
        <v>165</v>
      </c>
      <c r="E22" s="11" t="s">
        <v>166</v>
      </c>
      <c r="F22" s="2">
        <v>45385</v>
      </c>
      <c r="G22" s="2">
        <v>45387</v>
      </c>
      <c r="H22" s="2">
        <v>45436</v>
      </c>
      <c r="I22" s="3" t="s">
        <v>163</v>
      </c>
      <c r="J22" s="3">
        <v>2</v>
      </c>
      <c r="K22" s="2">
        <f t="shared" si="0"/>
        <v>45385</v>
      </c>
      <c r="L22" s="16">
        <f t="shared" si="1"/>
        <v>45473</v>
      </c>
    </row>
    <row r="23" spans="1:12" ht="14.25" customHeight="1" x14ac:dyDescent="0.35">
      <c r="A23" s="3">
        <v>4799</v>
      </c>
      <c r="B23" s="3" t="s">
        <v>170</v>
      </c>
      <c r="C23" s="3" t="s">
        <v>160</v>
      </c>
      <c r="D23" s="3" t="s">
        <v>165</v>
      </c>
      <c r="E23" s="11" t="s">
        <v>194</v>
      </c>
      <c r="F23" s="2">
        <v>45385</v>
      </c>
      <c r="G23" s="2">
        <v>45387</v>
      </c>
      <c r="H23" s="2">
        <v>45483</v>
      </c>
      <c r="I23" s="3" t="s">
        <v>163</v>
      </c>
      <c r="J23" s="3">
        <v>5</v>
      </c>
      <c r="K23" s="2">
        <f t="shared" si="0"/>
        <v>45385</v>
      </c>
      <c r="L23" s="16">
        <f t="shared" si="1"/>
        <v>45473</v>
      </c>
    </row>
    <row r="24" spans="1:12" ht="14.25" customHeight="1" x14ac:dyDescent="0.35">
      <c r="A24" s="3">
        <v>4786</v>
      </c>
      <c r="B24" s="3" t="s">
        <v>195</v>
      </c>
      <c r="C24" s="3" t="s">
        <v>160</v>
      </c>
      <c r="D24" s="3" t="s">
        <v>161</v>
      </c>
      <c r="E24" s="11" t="s">
        <v>196</v>
      </c>
      <c r="F24" s="2">
        <v>45388</v>
      </c>
      <c r="G24" s="2">
        <v>45389</v>
      </c>
      <c r="H24" s="2">
        <v>45436</v>
      </c>
      <c r="I24" s="3" t="s">
        <v>163</v>
      </c>
      <c r="J24" s="3">
        <v>8</v>
      </c>
      <c r="K24" s="2">
        <f t="shared" si="0"/>
        <v>45388</v>
      </c>
      <c r="L24" s="16">
        <f t="shared" si="1"/>
        <v>45473</v>
      </c>
    </row>
    <row r="25" spans="1:12" ht="14.25" customHeight="1" x14ac:dyDescent="0.35">
      <c r="A25" s="3">
        <v>5491</v>
      </c>
      <c r="B25" s="3" t="s">
        <v>184</v>
      </c>
      <c r="C25" s="3" t="s">
        <v>180</v>
      </c>
      <c r="D25" s="3" t="s">
        <v>181</v>
      </c>
      <c r="E25" s="11" t="s">
        <v>197</v>
      </c>
      <c r="F25" s="2">
        <v>45388</v>
      </c>
      <c r="G25" s="2">
        <v>45394</v>
      </c>
      <c r="H25" s="2">
        <v>45388</v>
      </c>
      <c r="I25" s="3" t="s">
        <v>163</v>
      </c>
      <c r="J25" s="3">
        <v>1</v>
      </c>
      <c r="K25" s="2" t="str">
        <f t="shared" si="0"/>
        <v/>
      </c>
      <c r="L25" s="16" t="str">
        <f t="shared" si="1"/>
        <v/>
      </c>
    </row>
    <row r="26" spans="1:12" ht="14.25" customHeight="1" x14ac:dyDescent="0.35">
      <c r="A26" s="3">
        <v>4790</v>
      </c>
      <c r="B26" s="3" t="s">
        <v>24</v>
      </c>
      <c r="C26" s="3" t="s">
        <v>160</v>
      </c>
      <c r="D26" s="3" t="s">
        <v>161</v>
      </c>
      <c r="E26" s="11" t="s">
        <v>198</v>
      </c>
      <c r="F26" s="2">
        <v>45390</v>
      </c>
      <c r="G26" s="2">
        <v>45393</v>
      </c>
      <c r="H26" s="2">
        <v>45453</v>
      </c>
      <c r="I26" s="3" t="s">
        <v>163</v>
      </c>
      <c r="J26" s="3">
        <v>6</v>
      </c>
      <c r="K26" s="2">
        <f t="shared" si="0"/>
        <v>45390</v>
      </c>
      <c r="L26" s="16">
        <f t="shared" si="1"/>
        <v>45473</v>
      </c>
    </row>
    <row r="27" spans="1:12" ht="14.25" customHeight="1" x14ac:dyDescent="0.35">
      <c r="A27" s="3">
        <v>4787</v>
      </c>
      <c r="B27" s="3" t="s">
        <v>192</v>
      </c>
      <c r="C27" s="3" t="s">
        <v>160</v>
      </c>
      <c r="D27" s="3" t="s">
        <v>176</v>
      </c>
      <c r="E27" s="11" t="s">
        <v>199</v>
      </c>
      <c r="F27" s="2">
        <v>45393</v>
      </c>
      <c r="G27" s="2">
        <v>45394</v>
      </c>
      <c r="H27" s="2">
        <v>45436</v>
      </c>
      <c r="I27" s="3" t="s">
        <v>163</v>
      </c>
      <c r="J27" s="3">
        <v>13</v>
      </c>
      <c r="K27" s="2">
        <f t="shared" si="0"/>
        <v>45393</v>
      </c>
      <c r="L27" s="16">
        <f t="shared" si="1"/>
        <v>45473</v>
      </c>
    </row>
    <row r="28" spans="1:12" ht="14.25" customHeight="1" x14ac:dyDescent="0.35">
      <c r="A28" s="3">
        <v>4793</v>
      </c>
      <c r="B28" s="3" t="s">
        <v>200</v>
      </c>
      <c r="C28" s="3" t="s">
        <v>160</v>
      </c>
      <c r="D28" s="3" t="s">
        <v>176</v>
      </c>
      <c r="E28" s="11" t="s">
        <v>201</v>
      </c>
      <c r="F28" s="2">
        <v>45393</v>
      </c>
      <c r="G28" s="2">
        <v>45396</v>
      </c>
      <c r="H28" s="2">
        <v>45460</v>
      </c>
      <c r="I28" s="3" t="s">
        <v>163</v>
      </c>
      <c r="J28" s="3">
        <v>1</v>
      </c>
      <c r="K28" s="2">
        <f t="shared" si="0"/>
        <v>45393</v>
      </c>
      <c r="L28" s="16">
        <f t="shared" si="1"/>
        <v>45473</v>
      </c>
    </row>
    <row r="29" spans="1:12" ht="14.25" customHeight="1" x14ac:dyDescent="0.35">
      <c r="A29" s="3">
        <v>4789</v>
      </c>
      <c r="B29" s="3" t="s">
        <v>202</v>
      </c>
      <c r="C29" s="3" t="s">
        <v>160</v>
      </c>
      <c r="D29" s="3" t="s">
        <v>176</v>
      </c>
      <c r="E29" s="11" t="s">
        <v>203</v>
      </c>
      <c r="F29" s="2">
        <v>45396</v>
      </c>
      <c r="G29" s="2">
        <v>45397</v>
      </c>
      <c r="H29" s="2">
        <v>45453</v>
      </c>
      <c r="I29" s="3" t="s">
        <v>163</v>
      </c>
      <c r="J29" s="3">
        <v>3</v>
      </c>
      <c r="K29" s="2">
        <f t="shared" si="0"/>
        <v>45396</v>
      </c>
      <c r="L29" s="16">
        <f t="shared" si="1"/>
        <v>45473</v>
      </c>
    </row>
    <row r="30" spans="1:12" ht="14.25" customHeight="1" x14ac:dyDescent="0.35">
      <c r="A30" s="3">
        <v>4776</v>
      </c>
      <c r="B30" s="3" t="s">
        <v>184</v>
      </c>
      <c r="C30" s="3" t="s">
        <v>160</v>
      </c>
      <c r="D30" s="3" t="s">
        <v>188</v>
      </c>
      <c r="E30" s="11" t="s">
        <v>198</v>
      </c>
      <c r="F30" s="2">
        <v>45407</v>
      </c>
      <c r="G30" s="2">
        <v>45421</v>
      </c>
      <c r="H30" s="2">
        <v>45412</v>
      </c>
      <c r="I30" s="3" t="s">
        <v>163</v>
      </c>
      <c r="J30" s="3">
        <v>25</v>
      </c>
      <c r="K30" s="2">
        <f t="shared" si="0"/>
        <v>45407</v>
      </c>
      <c r="L30" s="16">
        <f t="shared" si="1"/>
        <v>45473</v>
      </c>
    </row>
    <row r="31" spans="1:12" ht="14.25" customHeight="1" x14ac:dyDescent="0.35">
      <c r="A31" s="3">
        <v>4778</v>
      </c>
      <c r="B31" s="3" t="s">
        <v>195</v>
      </c>
      <c r="C31" s="3" t="s">
        <v>160</v>
      </c>
      <c r="D31" s="3" t="s">
        <v>188</v>
      </c>
      <c r="E31" s="11" t="s">
        <v>204</v>
      </c>
      <c r="F31" s="2">
        <v>45407</v>
      </c>
      <c r="G31" s="2">
        <v>45409</v>
      </c>
      <c r="H31" s="2">
        <v>45415</v>
      </c>
      <c r="I31" s="3" t="s">
        <v>163</v>
      </c>
      <c r="J31" s="3">
        <v>6</v>
      </c>
      <c r="K31" s="2">
        <f t="shared" si="0"/>
        <v>45407</v>
      </c>
      <c r="L31" s="16">
        <f t="shared" si="1"/>
        <v>45473</v>
      </c>
    </row>
    <row r="32" spans="1:12" ht="14.25" customHeight="1" x14ac:dyDescent="0.35">
      <c r="A32" s="3">
        <v>4800</v>
      </c>
      <c r="B32" s="3" t="s">
        <v>164</v>
      </c>
      <c r="C32" s="3" t="s">
        <v>160</v>
      </c>
      <c r="D32" s="3" t="s">
        <v>161</v>
      </c>
      <c r="E32" s="11" t="s">
        <v>198</v>
      </c>
      <c r="F32" s="2">
        <v>45407</v>
      </c>
      <c r="G32" s="2">
        <v>45412</v>
      </c>
      <c r="H32" s="2">
        <v>45488</v>
      </c>
      <c r="I32" s="3" t="s">
        <v>163</v>
      </c>
      <c r="J32" s="3">
        <v>13</v>
      </c>
      <c r="K32" s="2">
        <f t="shared" si="0"/>
        <v>45407</v>
      </c>
      <c r="L32" s="16">
        <f t="shared" si="1"/>
        <v>45473</v>
      </c>
    </row>
    <row r="33" spans="1:12" ht="14.25" customHeight="1" x14ac:dyDescent="0.35">
      <c r="A33" s="3">
        <v>4779</v>
      </c>
      <c r="B33" s="3" t="s">
        <v>205</v>
      </c>
      <c r="C33" s="3" t="s">
        <v>160</v>
      </c>
      <c r="D33" s="3" t="s">
        <v>188</v>
      </c>
      <c r="E33" s="11" t="s">
        <v>206</v>
      </c>
      <c r="F33" s="2">
        <v>45408</v>
      </c>
      <c r="G33" s="2">
        <v>45409</v>
      </c>
      <c r="H33" s="2">
        <v>45426</v>
      </c>
      <c r="I33" s="3" t="s">
        <v>163</v>
      </c>
      <c r="J33" s="3">
        <v>9</v>
      </c>
      <c r="K33" s="2">
        <f t="shared" si="0"/>
        <v>45408</v>
      </c>
      <c r="L33" s="16">
        <f t="shared" si="1"/>
        <v>45473</v>
      </c>
    </row>
    <row r="34" spans="1:12" ht="14.25" customHeight="1" x14ac:dyDescent="0.35">
      <c r="A34" s="3">
        <v>4781</v>
      </c>
      <c r="B34" s="3" t="s">
        <v>179</v>
      </c>
      <c r="C34" s="3" t="s">
        <v>160</v>
      </c>
      <c r="D34" s="3" t="s">
        <v>176</v>
      </c>
      <c r="E34" s="11" t="s">
        <v>198</v>
      </c>
      <c r="F34" s="2">
        <v>45408</v>
      </c>
      <c r="G34" s="2">
        <v>45448</v>
      </c>
      <c r="H34" s="2">
        <v>45429</v>
      </c>
      <c r="I34" s="3" t="s">
        <v>163</v>
      </c>
      <c r="J34" s="3">
        <v>83</v>
      </c>
      <c r="K34" s="2">
        <f t="shared" si="0"/>
        <v>45408</v>
      </c>
      <c r="L34" s="16">
        <f t="shared" si="1"/>
        <v>45473</v>
      </c>
    </row>
    <row r="35" spans="1:12" ht="14.25" customHeight="1" x14ac:dyDescent="0.35">
      <c r="A35" s="3">
        <v>4805</v>
      </c>
      <c r="B35" s="3" t="s">
        <v>207</v>
      </c>
      <c r="C35" s="3" t="s">
        <v>160</v>
      </c>
      <c r="D35" s="3" t="s">
        <v>176</v>
      </c>
      <c r="E35" s="11" t="s">
        <v>199</v>
      </c>
      <c r="F35" s="2">
        <v>45411</v>
      </c>
      <c r="G35" s="2">
        <v>45422</v>
      </c>
      <c r="H35" s="2">
        <v>45496</v>
      </c>
      <c r="I35" s="3" t="s">
        <v>163</v>
      </c>
      <c r="J35" s="3">
        <v>13</v>
      </c>
      <c r="K35" s="2">
        <f t="shared" si="0"/>
        <v>45411</v>
      </c>
      <c r="L35" s="16">
        <f t="shared" si="1"/>
        <v>45473</v>
      </c>
    </row>
    <row r="36" spans="1:12" ht="14.25" customHeight="1" x14ac:dyDescent="0.35">
      <c r="A36" s="3">
        <v>4801</v>
      </c>
      <c r="B36" s="3" t="s">
        <v>208</v>
      </c>
      <c r="C36" s="3" t="s">
        <v>160</v>
      </c>
      <c r="D36" s="3" t="s">
        <v>161</v>
      </c>
      <c r="E36" s="11" t="s">
        <v>194</v>
      </c>
      <c r="F36" s="2">
        <v>45418</v>
      </c>
      <c r="G36" s="2">
        <v>45421</v>
      </c>
      <c r="H36" s="2">
        <v>45491</v>
      </c>
      <c r="I36" s="3" t="s">
        <v>163</v>
      </c>
      <c r="J36" s="3">
        <v>12</v>
      </c>
      <c r="K36" s="2">
        <f t="shared" si="0"/>
        <v>45418</v>
      </c>
      <c r="L36" s="16">
        <f t="shared" si="1"/>
        <v>45504</v>
      </c>
    </row>
    <row r="37" spans="1:12" ht="14.25" customHeight="1" x14ac:dyDescent="0.35">
      <c r="A37" s="3">
        <v>4792</v>
      </c>
      <c r="B37" s="3" t="s">
        <v>209</v>
      </c>
      <c r="C37" s="3" t="s">
        <v>160</v>
      </c>
      <c r="D37" s="3" t="s">
        <v>161</v>
      </c>
      <c r="E37" s="11" t="s">
        <v>210</v>
      </c>
      <c r="F37" s="2">
        <v>45420</v>
      </c>
      <c r="G37" s="2">
        <v>45421</v>
      </c>
      <c r="H37" s="2">
        <v>45460</v>
      </c>
      <c r="I37" s="3" t="s">
        <v>163</v>
      </c>
      <c r="J37" s="3">
        <v>12</v>
      </c>
      <c r="K37" s="2">
        <f t="shared" si="0"/>
        <v>45420</v>
      </c>
      <c r="L37" s="16">
        <f t="shared" si="1"/>
        <v>45504</v>
      </c>
    </row>
    <row r="38" spans="1:12" ht="14.25" customHeight="1" x14ac:dyDescent="0.35">
      <c r="A38" s="3">
        <v>4794</v>
      </c>
      <c r="B38" s="3" t="s">
        <v>211</v>
      </c>
      <c r="C38" s="3" t="s">
        <v>160</v>
      </c>
      <c r="D38" s="3" t="s">
        <v>161</v>
      </c>
      <c r="E38" s="11" t="s">
        <v>204</v>
      </c>
      <c r="F38" s="2">
        <v>45422</v>
      </c>
      <c r="G38" s="2">
        <v>45422</v>
      </c>
      <c r="H38" s="2">
        <v>45460</v>
      </c>
      <c r="I38" s="3" t="s">
        <v>163</v>
      </c>
      <c r="J38" s="3">
        <v>13</v>
      </c>
      <c r="K38" s="2">
        <f t="shared" si="0"/>
        <v>45422</v>
      </c>
      <c r="L38" s="16">
        <f t="shared" si="1"/>
        <v>45504</v>
      </c>
    </row>
    <row r="39" spans="1:12" ht="14.25" customHeight="1" x14ac:dyDescent="0.35">
      <c r="A39" s="3">
        <v>5492</v>
      </c>
      <c r="B39" s="3" t="s">
        <v>140</v>
      </c>
      <c r="C39" s="3" t="s">
        <v>180</v>
      </c>
      <c r="D39" s="3" t="s">
        <v>181</v>
      </c>
      <c r="E39" s="11" t="s">
        <v>212</v>
      </c>
      <c r="F39" s="2">
        <v>45428</v>
      </c>
      <c r="G39" s="3"/>
      <c r="H39" s="2">
        <v>45438</v>
      </c>
      <c r="I39" s="3" t="s">
        <v>163</v>
      </c>
      <c r="J39" s="3">
        <v>1</v>
      </c>
      <c r="K39" s="3"/>
      <c r="L39" s="16" t="str">
        <f t="shared" si="1"/>
        <v/>
      </c>
    </row>
    <row r="40" spans="1:12" ht="14.25" customHeight="1" x14ac:dyDescent="0.35">
      <c r="A40" s="3">
        <v>4791</v>
      </c>
      <c r="B40" s="3" t="s">
        <v>184</v>
      </c>
      <c r="C40" s="3" t="s">
        <v>160</v>
      </c>
      <c r="D40" s="3" t="s">
        <v>161</v>
      </c>
      <c r="E40" s="11" t="s">
        <v>198</v>
      </c>
      <c r="F40" s="2">
        <v>45431</v>
      </c>
      <c r="G40" s="2">
        <v>45440</v>
      </c>
      <c r="H40" s="2">
        <v>45457</v>
      </c>
      <c r="I40" s="3" t="s">
        <v>163</v>
      </c>
      <c r="J40" s="3">
        <v>10</v>
      </c>
      <c r="K40" s="2">
        <v>45504</v>
      </c>
      <c r="L40" s="16">
        <f t="shared" si="1"/>
        <v>45565</v>
      </c>
    </row>
    <row r="41" spans="1:12" ht="14.25" customHeight="1" x14ac:dyDescent="0.35">
      <c r="A41" s="3">
        <v>4803</v>
      </c>
      <c r="B41" s="3" t="s">
        <v>213</v>
      </c>
      <c r="C41" s="3" t="s">
        <v>160</v>
      </c>
      <c r="D41" s="3" t="s">
        <v>161</v>
      </c>
      <c r="E41" s="11" t="s">
        <v>198</v>
      </c>
      <c r="F41" s="2">
        <v>45431</v>
      </c>
      <c r="G41" s="2">
        <v>45439</v>
      </c>
      <c r="H41" s="2">
        <v>45496</v>
      </c>
      <c r="I41" s="3" t="s">
        <v>163</v>
      </c>
      <c r="J41" s="3">
        <v>15</v>
      </c>
      <c r="K41" s="2">
        <v>45504</v>
      </c>
      <c r="L41" s="16">
        <f t="shared" si="1"/>
        <v>45565</v>
      </c>
    </row>
    <row r="42" spans="1:12" ht="14.25" customHeight="1" x14ac:dyDescent="0.35">
      <c r="A42" s="3">
        <v>4811</v>
      </c>
      <c r="B42" s="3" t="s">
        <v>164</v>
      </c>
      <c r="C42" s="3" t="s">
        <v>160</v>
      </c>
      <c r="D42" s="3" t="s">
        <v>161</v>
      </c>
      <c r="E42" s="11" t="s">
        <v>214</v>
      </c>
      <c r="F42" s="2">
        <v>45431</v>
      </c>
      <c r="G42" s="2">
        <v>45431</v>
      </c>
      <c r="H42" s="2">
        <v>45524</v>
      </c>
      <c r="I42" s="3" t="s">
        <v>163</v>
      </c>
      <c r="J42" s="3">
        <v>14</v>
      </c>
      <c r="K42" s="2">
        <v>45504</v>
      </c>
      <c r="L42" s="16">
        <f t="shared" si="1"/>
        <v>45565</v>
      </c>
    </row>
    <row r="43" spans="1:12" ht="14.25" customHeight="1" x14ac:dyDescent="0.35">
      <c r="A43" s="3">
        <v>4784</v>
      </c>
      <c r="B43" s="3" t="s">
        <v>205</v>
      </c>
      <c r="C43" s="3" t="s">
        <v>160</v>
      </c>
      <c r="D43" s="3" t="s">
        <v>161</v>
      </c>
      <c r="E43" s="11" t="s">
        <v>210</v>
      </c>
      <c r="F43" s="2">
        <v>45432</v>
      </c>
      <c r="G43" s="2">
        <v>45443</v>
      </c>
      <c r="H43" s="2">
        <v>45436</v>
      </c>
      <c r="I43" s="3" t="s">
        <v>163</v>
      </c>
      <c r="J43" s="3">
        <v>29</v>
      </c>
      <c r="K43" s="2">
        <v>45504</v>
      </c>
      <c r="L43" s="16">
        <f t="shared" si="1"/>
        <v>45565</v>
      </c>
    </row>
    <row r="44" spans="1:12" ht="14.25" customHeight="1" x14ac:dyDescent="0.35">
      <c r="A44" s="3">
        <v>4808</v>
      </c>
      <c r="B44" s="3" t="s">
        <v>195</v>
      </c>
      <c r="C44" s="3" t="s">
        <v>160</v>
      </c>
      <c r="D44" s="3" t="s">
        <v>161</v>
      </c>
      <c r="E44" s="11" t="s">
        <v>198</v>
      </c>
      <c r="F44" s="2">
        <v>45432</v>
      </c>
      <c r="G44" s="2">
        <v>45446</v>
      </c>
      <c r="H44" s="2">
        <v>45524</v>
      </c>
      <c r="I44" s="3" t="s">
        <v>163</v>
      </c>
      <c r="J44" s="3">
        <v>19</v>
      </c>
      <c r="K44" s="2">
        <v>45535</v>
      </c>
      <c r="L44" s="16">
        <f t="shared" si="1"/>
        <v>45596</v>
      </c>
    </row>
    <row r="45" spans="1:12" ht="25.5" customHeight="1" x14ac:dyDescent="0.35">
      <c r="A45" s="3">
        <v>4804</v>
      </c>
      <c r="B45" s="3" t="s">
        <v>27</v>
      </c>
      <c r="C45" s="3" t="s">
        <v>160</v>
      </c>
      <c r="D45" s="3" t="s">
        <v>161</v>
      </c>
      <c r="E45" s="11" t="s">
        <v>191</v>
      </c>
      <c r="F45" s="2">
        <v>45433</v>
      </c>
      <c r="G45" s="2">
        <v>45439</v>
      </c>
      <c r="H45" s="2">
        <v>45496</v>
      </c>
      <c r="I45" s="3" t="s">
        <v>163</v>
      </c>
      <c r="J45" s="3">
        <v>58</v>
      </c>
      <c r="K45" s="2">
        <v>45504</v>
      </c>
      <c r="L45" s="16">
        <f t="shared" si="1"/>
        <v>45565</v>
      </c>
    </row>
    <row r="46" spans="1:12" ht="14.25" customHeight="1" x14ac:dyDescent="0.35">
      <c r="A46" s="3">
        <v>4788</v>
      </c>
      <c r="B46" s="3" t="s">
        <v>215</v>
      </c>
      <c r="C46" s="3" t="s">
        <v>160</v>
      </c>
      <c r="D46" s="3" t="s">
        <v>161</v>
      </c>
      <c r="E46" s="11" t="s">
        <v>198</v>
      </c>
      <c r="F46" s="2">
        <v>45436</v>
      </c>
      <c r="G46" s="2">
        <v>45439</v>
      </c>
      <c r="H46" s="2">
        <v>45442</v>
      </c>
      <c r="I46" s="3" t="s">
        <v>163</v>
      </c>
      <c r="J46" s="3">
        <v>11</v>
      </c>
      <c r="K46" s="2">
        <v>45504</v>
      </c>
      <c r="L46" s="16">
        <f t="shared" si="1"/>
        <v>45565</v>
      </c>
    </row>
    <row r="47" spans="1:12" ht="14.25" customHeight="1" x14ac:dyDescent="0.35">
      <c r="A47" s="3">
        <v>5493</v>
      </c>
      <c r="B47" s="3" t="s">
        <v>216</v>
      </c>
      <c r="C47" s="3" t="s">
        <v>180</v>
      </c>
      <c r="D47" s="3" t="s">
        <v>181</v>
      </c>
      <c r="E47" s="11" t="s">
        <v>217</v>
      </c>
      <c r="F47" s="2">
        <v>45440</v>
      </c>
      <c r="G47" s="2">
        <v>45443</v>
      </c>
      <c r="H47" s="2">
        <v>45441</v>
      </c>
      <c r="I47" s="3" t="s">
        <v>163</v>
      </c>
      <c r="J47" s="3">
        <v>1</v>
      </c>
      <c r="K47" s="2">
        <v>45504</v>
      </c>
      <c r="L47" s="16">
        <f t="shared" si="1"/>
        <v>45565</v>
      </c>
    </row>
    <row r="48" spans="1:12" ht="14.25" customHeight="1" x14ac:dyDescent="0.35">
      <c r="A48" s="3">
        <v>5494</v>
      </c>
      <c r="B48" s="3" t="s">
        <v>218</v>
      </c>
      <c r="C48" s="3" t="s">
        <v>180</v>
      </c>
      <c r="D48" s="3" t="s">
        <v>181</v>
      </c>
      <c r="E48" s="11" t="s">
        <v>219</v>
      </c>
      <c r="F48" s="2">
        <v>45454</v>
      </c>
      <c r="G48" s="2">
        <v>45456</v>
      </c>
      <c r="H48" s="2">
        <v>45454</v>
      </c>
      <c r="I48" s="3" t="s">
        <v>163</v>
      </c>
      <c r="J48" s="3">
        <v>1</v>
      </c>
      <c r="K48" s="2">
        <v>45535</v>
      </c>
      <c r="L48" s="16">
        <f t="shared" si="1"/>
        <v>45596</v>
      </c>
    </row>
    <row r="49" spans="1:12" ht="14.25" customHeight="1" x14ac:dyDescent="0.35">
      <c r="A49" s="3">
        <v>5495</v>
      </c>
      <c r="B49" s="3" t="s">
        <v>218</v>
      </c>
      <c r="C49" s="3" t="s">
        <v>180</v>
      </c>
      <c r="D49" s="3" t="s">
        <v>181</v>
      </c>
      <c r="E49" s="11" t="s">
        <v>220</v>
      </c>
      <c r="F49" s="2">
        <v>45454</v>
      </c>
      <c r="G49" s="2">
        <v>45455</v>
      </c>
      <c r="H49" s="2">
        <v>45455</v>
      </c>
      <c r="I49" s="3" t="s">
        <v>163</v>
      </c>
      <c r="J49" s="3">
        <v>1</v>
      </c>
      <c r="K49" s="2">
        <v>45535</v>
      </c>
      <c r="L49" s="16">
        <f t="shared" si="1"/>
        <v>45596</v>
      </c>
    </row>
    <row r="50" spans="1:12" ht="14.25" customHeight="1" x14ac:dyDescent="0.35">
      <c r="A50" s="3">
        <v>5496</v>
      </c>
      <c r="B50" s="3" t="s">
        <v>216</v>
      </c>
      <c r="C50" s="3" t="s">
        <v>180</v>
      </c>
      <c r="D50" s="3" t="s">
        <v>181</v>
      </c>
      <c r="E50" s="11" t="s">
        <v>221</v>
      </c>
      <c r="F50" s="2">
        <v>45455</v>
      </c>
      <c r="G50" s="2">
        <v>45457</v>
      </c>
      <c r="H50" s="2">
        <v>45455</v>
      </c>
      <c r="I50" s="3" t="s">
        <v>163</v>
      </c>
      <c r="J50" s="3">
        <v>1</v>
      </c>
      <c r="K50" s="2">
        <v>45535</v>
      </c>
      <c r="L50" s="16">
        <f t="shared" si="1"/>
        <v>45596</v>
      </c>
    </row>
    <row r="51" spans="1:12" ht="14.25" customHeight="1" x14ac:dyDescent="0.35">
      <c r="A51" s="3">
        <v>4796</v>
      </c>
      <c r="B51" s="3" t="s">
        <v>205</v>
      </c>
      <c r="C51" s="3" t="s">
        <v>160</v>
      </c>
      <c r="D51" s="3" t="s">
        <v>161</v>
      </c>
      <c r="E51" s="11" t="s">
        <v>222</v>
      </c>
      <c r="F51" s="2">
        <v>45459</v>
      </c>
      <c r="G51" s="2">
        <v>45496</v>
      </c>
      <c r="H51" s="2">
        <v>45467</v>
      </c>
      <c r="I51" s="3" t="s">
        <v>163</v>
      </c>
      <c r="J51" s="3">
        <v>29</v>
      </c>
      <c r="K51" s="2">
        <v>45565</v>
      </c>
      <c r="L51" s="16">
        <f t="shared" si="1"/>
        <v>45626</v>
      </c>
    </row>
    <row r="52" spans="1:12" ht="14.25" customHeight="1" x14ac:dyDescent="0.35">
      <c r="A52" s="3">
        <v>4797</v>
      </c>
      <c r="B52" s="3" t="s">
        <v>223</v>
      </c>
      <c r="C52" s="3" t="s">
        <v>160</v>
      </c>
      <c r="D52" s="3" t="s">
        <v>176</v>
      </c>
      <c r="E52" s="11" t="s">
        <v>168</v>
      </c>
      <c r="F52" s="2">
        <v>45459</v>
      </c>
      <c r="G52" s="2">
        <v>45477</v>
      </c>
      <c r="H52" s="2">
        <v>45471</v>
      </c>
      <c r="I52" s="3" t="s">
        <v>163</v>
      </c>
      <c r="J52" s="3">
        <v>32</v>
      </c>
      <c r="K52" s="2">
        <v>45565</v>
      </c>
      <c r="L52" s="16">
        <f t="shared" si="1"/>
        <v>45626</v>
      </c>
    </row>
    <row r="53" spans="1:12" ht="14.25" customHeight="1" x14ac:dyDescent="0.35">
      <c r="A53" s="3">
        <v>4807</v>
      </c>
      <c r="B53" s="3" t="s">
        <v>224</v>
      </c>
      <c r="C53" s="3" t="s">
        <v>160</v>
      </c>
      <c r="D53" s="3" t="s">
        <v>176</v>
      </c>
      <c r="E53" s="11" t="s">
        <v>225</v>
      </c>
      <c r="F53" s="2">
        <v>45459</v>
      </c>
      <c r="G53" s="2">
        <v>45481</v>
      </c>
      <c r="H53" s="2">
        <v>45519</v>
      </c>
      <c r="I53" s="3" t="s">
        <v>163</v>
      </c>
      <c r="J53" s="3">
        <v>25</v>
      </c>
      <c r="K53" s="2">
        <v>45565</v>
      </c>
      <c r="L53" s="16">
        <f t="shared" si="1"/>
        <v>45626</v>
      </c>
    </row>
    <row r="54" spans="1:12" ht="14.25" customHeight="1" x14ac:dyDescent="0.35">
      <c r="A54" s="3">
        <v>4795</v>
      </c>
      <c r="B54" s="3" t="s">
        <v>140</v>
      </c>
      <c r="C54" s="3" t="s">
        <v>160</v>
      </c>
      <c r="D54" s="3" t="s">
        <v>181</v>
      </c>
      <c r="E54" s="11" t="s">
        <v>226</v>
      </c>
      <c r="F54" s="2">
        <v>45460</v>
      </c>
      <c r="G54" s="2">
        <v>45524</v>
      </c>
      <c r="H54" s="2">
        <v>45463</v>
      </c>
      <c r="I54" s="3" t="s">
        <v>163</v>
      </c>
      <c r="J54" s="3">
        <v>5</v>
      </c>
      <c r="K54" s="2">
        <v>45596</v>
      </c>
      <c r="L54" s="16">
        <f t="shared" si="1"/>
        <v>45657</v>
      </c>
    </row>
    <row r="55" spans="1:12" ht="14.25" customHeight="1" x14ac:dyDescent="0.35">
      <c r="A55" s="3">
        <v>5497</v>
      </c>
      <c r="B55" s="3" t="s">
        <v>140</v>
      </c>
      <c r="C55" s="3" t="s">
        <v>180</v>
      </c>
      <c r="D55" s="3" t="s">
        <v>181</v>
      </c>
      <c r="E55" s="11" t="s">
        <v>227</v>
      </c>
      <c r="F55" s="2">
        <v>45460</v>
      </c>
      <c r="G55" s="3"/>
      <c r="H55" s="2">
        <v>45460</v>
      </c>
      <c r="I55" s="3" t="s">
        <v>163</v>
      </c>
      <c r="J55" s="3">
        <v>3</v>
      </c>
      <c r="K55" s="3"/>
      <c r="L55" s="16" t="str">
        <f t="shared" si="1"/>
        <v/>
      </c>
    </row>
    <row r="56" spans="1:12" ht="14.25" customHeight="1" x14ac:dyDescent="0.35">
      <c r="A56" s="3">
        <v>5498</v>
      </c>
      <c r="B56" s="3" t="s">
        <v>140</v>
      </c>
      <c r="C56" s="3" t="s">
        <v>180</v>
      </c>
      <c r="D56" s="3" t="s">
        <v>181</v>
      </c>
      <c r="E56" s="11" t="s">
        <v>228</v>
      </c>
      <c r="F56" s="2">
        <v>45460</v>
      </c>
      <c r="G56" s="3"/>
      <c r="H56" s="2">
        <v>45461</v>
      </c>
      <c r="I56" s="3" t="s">
        <v>163</v>
      </c>
      <c r="J56" s="3">
        <v>3</v>
      </c>
      <c r="K56" s="3"/>
      <c r="L56" s="16" t="str">
        <f t="shared" si="1"/>
        <v/>
      </c>
    </row>
    <row r="57" spans="1:12" ht="14.25" customHeight="1" x14ac:dyDescent="0.35">
      <c r="A57" s="3">
        <v>4822</v>
      </c>
      <c r="B57" s="3" t="s">
        <v>195</v>
      </c>
      <c r="C57" s="3" t="s">
        <v>160</v>
      </c>
      <c r="D57" s="3" t="s">
        <v>161</v>
      </c>
      <c r="E57" s="11" t="s">
        <v>198</v>
      </c>
      <c r="F57" s="2">
        <v>45462</v>
      </c>
      <c r="G57" s="2">
        <v>45481</v>
      </c>
      <c r="H57" s="2">
        <v>45559</v>
      </c>
      <c r="I57" s="3" t="s">
        <v>163</v>
      </c>
      <c r="J57" s="3">
        <v>17</v>
      </c>
      <c r="K57" s="2">
        <v>45565</v>
      </c>
      <c r="L57" s="16">
        <f t="shared" si="1"/>
        <v>45626</v>
      </c>
    </row>
    <row r="58" spans="1:12" ht="14.25" customHeight="1" x14ac:dyDescent="0.35">
      <c r="A58" s="3">
        <v>4809</v>
      </c>
      <c r="B58" s="3" t="s">
        <v>140</v>
      </c>
      <c r="C58" s="3" t="s">
        <v>160</v>
      </c>
      <c r="D58" s="3" t="s">
        <v>176</v>
      </c>
      <c r="E58" s="11" t="s">
        <v>168</v>
      </c>
      <c r="F58" s="2">
        <v>45463</v>
      </c>
      <c r="G58" s="2">
        <v>45464</v>
      </c>
      <c r="H58" s="2">
        <v>45524</v>
      </c>
      <c r="I58" s="3" t="s">
        <v>163</v>
      </c>
      <c r="J58" s="3">
        <v>1</v>
      </c>
      <c r="K58" s="2">
        <v>45535</v>
      </c>
      <c r="L58" s="16">
        <f t="shared" si="1"/>
        <v>45596</v>
      </c>
    </row>
    <row r="59" spans="1:12" ht="14.25" customHeight="1" x14ac:dyDescent="0.35">
      <c r="A59" s="3">
        <v>4823</v>
      </c>
      <c r="B59" s="3" t="s">
        <v>159</v>
      </c>
      <c r="C59" s="3" t="s">
        <v>160</v>
      </c>
      <c r="D59" s="3" t="s">
        <v>181</v>
      </c>
      <c r="E59" s="11" t="s">
        <v>229</v>
      </c>
      <c r="F59" s="2">
        <v>45465</v>
      </c>
      <c r="G59" s="2">
        <v>45481</v>
      </c>
      <c r="H59" s="2">
        <v>45559</v>
      </c>
      <c r="I59" s="3" t="s">
        <v>163</v>
      </c>
      <c r="J59" s="3">
        <v>1</v>
      </c>
      <c r="K59" s="2">
        <v>45565</v>
      </c>
      <c r="L59" s="16">
        <f t="shared" si="1"/>
        <v>45626</v>
      </c>
    </row>
    <row r="60" spans="1:12" ht="14.25" customHeight="1" x14ac:dyDescent="0.35">
      <c r="A60" s="3">
        <v>5499</v>
      </c>
      <c r="B60" s="3" t="s">
        <v>159</v>
      </c>
      <c r="C60" s="3" t="s">
        <v>180</v>
      </c>
      <c r="D60" s="3" t="s">
        <v>181</v>
      </c>
      <c r="E60" s="11" t="s">
        <v>230</v>
      </c>
      <c r="F60" s="2">
        <v>45465</v>
      </c>
      <c r="G60" s="2">
        <v>45484</v>
      </c>
      <c r="H60" s="2">
        <v>45466</v>
      </c>
      <c r="I60" s="3" t="s">
        <v>163</v>
      </c>
      <c r="J60" s="3">
        <v>2</v>
      </c>
      <c r="K60" s="2">
        <v>45565</v>
      </c>
      <c r="L60" s="16">
        <f t="shared" si="1"/>
        <v>45626</v>
      </c>
    </row>
    <row r="61" spans="1:12" ht="14.25" customHeight="1" x14ac:dyDescent="0.35">
      <c r="A61" s="3">
        <v>5500</v>
      </c>
      <c r="B61" s="3" t="s">
        <v>174</v>
      </c>
      <c r="C61" s="3" t="s">
        <v>180</v>
      </c>
      <c r="D61" s="3" t="s">
        <v>181</v>
      </c>
      <c r="E61" s="11" t="s">
        <v>231</v>
      </c>
      <c r="F61" s="2">
        <v>45468</v>
      </c>
      <c r="G61" s="3"/>
      <c r="H61" s="2">
        <v>45468</v>
      </c>
      <c r="I61" s="3" t="s">
        <v>163</v>
      </c>
      <c r="J61" s="3">
        <v>1</v>
      </c>
      <c r="K61" s="3"/>
      <c r="L61" s="16" t="str">
        <f t="shared" si="1"/>
        <v/>
      </c>
    </row>
    <row r="62" spans="1:12" ht="14.25" customHeight="1" x14ac:dyDescent="0.35">
      <c r="A62" s="3">
        <v>4824</v>
      </c>
      <c r="B62" s="3" t="s">
        <v>164</v>
      </c>
      <c r="C62" s="3" t="s">
        <v>160</v>
      </c>
      <c r="D62" s="3" t="s">
        <v>161</v>
      </c>
      <c r="E62" s="11" t="s">
        <v>198</v>
      </c>
      <c r="F62" s="2">
        <v>45469</v>
      </c>
      <c r="G62" s="2">
        <v>45480</v>
      </c>
      <c r="H62" s="2">
        <v>45559</v>
      </c>
      <c r="I62" s="3" t="s">
        <v>163</v>
      </c>
      <c r="J62" s="3">
        <v>17</v>
      </c>
      <c r="K62" s="2">
        <v>45565</v>
      </c>
      <c r="L62" s="16">
        <f t="shared" si="1"/>
        <v>45626</v>
      </c>
    </row>
    <row r="63" spans="1:12" ht="14.25" customHeight="1" x14ac:dyDescent="0.35">
      <c r="A63" s="3">
        <v>5501</v>
      </c>
      <c r="B63" s="3" t="s">
        <v>216</v>
      </c>
      <c r="C63" s="3" t="s">
        <v>180</v>
      </c>
      <c r="D63" s="3" t="s">
        <v>181</v>
      </c>
      <c r="E63" s="11" t="s">
        <v>232</v>
      </c>
      <c r="F63" s="2">
        <v>45471</v>
      </c>
      <c r="G63" s="2">
        <v>45473</v>
      </c>
      <c r="H63" s="2">
        <v>45471</v>
      </c>
      <c r="I63" s="3" t="s">
        <v>163</v>
      </c>
      <c r="J63" s="3">
        <v>1</v>
      </c>
      <c r="K63" s="2">
        <v>45535</v>
      </c>
      <c r="L63" s="16">
        <f t="shared" si="1"/>
        <v>45596</v>
      </c>
    </row>
    <row r="64" spans="1:12" ht="14.25" customHeight="1" x14ac:dyDescent="0.35">
      <c r="A64" s="3">
        <v>5502</v>
      </c>
      <c r="B64" s="3" t="s">
        <v>114</v>
      </c>
      <c r="C64" s="3" t="s">
        <v>180</v>
      </c>
      <c r="D64" s="3" t="s">
        <v>181</v>
      </c>
      <c r="E64" s="11" t="s">
        <v>233</v>
      </c>
      <c r="F64" s="2">
        <v>45475</v>
      </c>
      <c r="G64" s="2">
        <v>45479</v>
      </c>
      <c r="H64" s="2">
        <v>45475</v>
      </c>
      <c r="I64" s="3" t="s">
        <v>163</v>
      </c>
      <c r="J64" s="3">
        <v>1</v>
      </c>
      <c r="K64" s="2">
        <v>45565</v>
      </c>
      <c r="L64" s="16">
        <f t="shared" si="1"/>
        <v>45626</v>
      </c>
    </row>
    <row r="65" spans="1:12" ht="14.25" customHeight="1" x14ac:dyDescent="0.35">
      <c r="A65" s="3">
        <v>5503</v>
      </c>
      <c r="B65" s="3" t="s">
        <v>114</v>
      </c>
      <c r="C65" s="3" t="s">
        <v>180</v>
      </c>
      <c r="D65" s="3" t="s">
        <v>181</v>
      </c>
      <c r="E65" s="11" t="s">
        <v>234</v>
      </c>
      <c r="F65" s="2">
        <v>45477</v>
      </c>
      <c r="G65" s="2">
        <v>45480</v>
      </c>
      <c r="H65" s="2">
        <v>45478</v>
      </c>
      <c r="I65" s="3" t="s">
        <v>163</v>
      </c>
      <c r="J65" s="3">
        <v>1</v>
      </c>
      <c r="K65" s="2">
        <v>45565</v>
      </c>
      <c r="L65" s="16">
        <f t="shared" si="1"/>
        <v>45626</v>
      </c>
    </row>
    <row r="66" spans="1:12" ht="14.25" customHeight="1" x14ac:dyDescent="0.35">
      <c r="A66" s="3">
        <v>4798</v>
      </c>
      <c r="B66" s="3" t="s">
        <v>179</v>
      </c>
      <c r="C66" s="3" t="s">
        <v>160</v>
      </c>
      <c r="D66" s="3" t="s">
        <v>235</v>
      </c>
      <c r="E66" s="11" t="s">
        <v>236</v>
      </c>
      <c r="F66" s="2">
        <v>45478</v>
      </c>
      <c r="G66" s="2">
        <v>45482</v>
      </c>
      <c r="H66" s="2">
        <v>45482</v>
      </c>
      <c r="I66" s="3" t="s">
        <v>163</v>
      </c>
      <c r="J66" s="3">
        <v>67</v>
      </c>
      <c r="K66" s="2">
        <v>45565</v>
      </c>
      <c r="L66" s="16">
        <f t="shared" ref="L66:L129" si="2">IF(K66="","",EOMONTH(K66,2))</f>
        <v>45626</v>
      </c>
    </row>
    <row r="67" spans="1:12" ht="14.25" customHeight="1" x14ac:dyDescent="0.35">
      <c r="A67" s="3">
        <v>5504</v>
      </c>
      <c r="B67" s="3" t="s">
        <v>92</v>
      </c>
      <c r="C67" s="3" t="s">
        <v>180</v>
      </c>
      <c r="D67" s="3" t="s">
        <v>181</v>
      </c>
      <c r="E67" s="11" t="s">
        <v>237</v>
      </c>
      <c r="F67" s="2">
        <v>45480</v>
      </c>
      <c r="G67" s="2">
        <v>45506</v>
      </c>
      <c r="H67" s="2">
        <v>45480</v>
      </c>
      <c r="I67" s="3" t="s">
        <v>163</v>
      </c>
      <c r="J67" s="3">
        <v>1</v>
      </c>
      <c r="K67" s="2">
        <v>45596</v>
      </c>
      <c r="L67" s="16">
        <f t="shared" si="2"/>
        <v>45657</v>
      </c>
    </row>
    <row r="68" spans="1:12" ht="14.25" customHeight="1" x14ac:dyDescent="0.35">
      <c r="A68" s="3">
        <v>4810</v>
      </c>
      <c r="B68" s="3" t="s">
        <v>169</v>
      </c>
      <c r="C68" s="3" t="s">
        <v>160</v>
      </c>
      <c r="D68" s="3" t="s">
        <v>161</v>
      </c>
      <c r="E68" s="11" t="s">
        <v>203</v>
      </c>
      <c r="F68" s="2">
        <v>45482</v>
      </c>
      <c r="G68" s="2">
        <v>45484</v>
      </c>
      <c r="H68" s="2">
        <v>45524</v>
      </c>
      <c r="I68" s="3" t="s">
        <v>163</v>
      </c>
      <c r="J68" s="3">
        <v>8</v>
      </c>
      <c r="K68" s="2">
        <v>45565</v>
      </c>
      <c r="L68" s="16">
        <f t="shared" si="2"/>
        <v>45626</v>
      </c>
    </row>
    <row r="69" spans="1:12" ht="14.25" customHeight="1" x14ac:dyDescent="0.35">
      <c r="A69" s="3">
        <v>5505</v>
      </c>
      <c r="B69" s="3" t="s">
        <v>216</v>
      </c>
      <c r="C69" s="3" t="s">
        <v>180</v>
      </c>
      <c r="D69" s="3" t="s">
        <v>181</v>
      </c>
      <c r="E69" s="11" t="s">
        <v>238</v>
      </c>
      <c r="F69" s="2">
        <v>45482</v>
      </c>
      <c r="G69" s="2">
        <v>45483</v>
      </c>
      <c r="H69" s="2">
        <v>45482</v>
      </c>
      <c r="I69" s="3" t="s">
        <v>163</v>
      </c>
      <c r="J69" s="3">
        <v>1</v>
      </c>
      <c r="K69" s="2">
        <v>45565</v>
      </c>
      <c r="L69" s="16">
        <f t="shared" si="2"/>
        <v>45626</v>
      </c>
    </row>
    <row r="70" spans="1:12" ht="14.25" customHeight="1" x14ac:dyDescent="0.35">
      <c r="A70" s="3">
        <v>5507</v>
      </c>
      <c r="B70" s="3" t="s">
        <v>208</v>
      </c>
      <c r="C70" s="3" t="s">
        <v>180</v>
      </c>
      <c r="D70" s="3" t="s">
        <v>181</v>
      </c>
      <c r="E70" s="11" t="s">
        <v>239</v>
      </c>
      <c r="F70" s="2">
        <v>45482</v>
      </c>
      <c r="G70" s="3"/>
      <c r="H70" s="2">
        <v>45485</v>
      </c>
      <c r="I70" s="3" t="s">
        <v>163</v>
      </c>
      <c r="J70" s="3">
        <v>2</v>
      </c>
      <c r="K70" s="3"/>
      <c r="L70" s="16" t="str">
        <f t="shared" si="2"/>
        <v/>
      </c>
    </row>
    <row r="71" spans="1:12" ht="14.25" customHeight="1" x14ac:dyDescent="0.35">
      <c r="A71" s="3">
        <v>4812</v>
      </c>
      <c r="B71" s="3" t="s">
        <v>170</v>
      </c>
      <c r="C71" s="3" t="s">
        <v>160</v>
      </c>
      <c r="D71" s="3" t="s">
        <v>161</v>
      </c>
      <c r="E71" s="11" t="s">
        <v>177</v>
      </c>
      <c r="F71" s="2">
        <v>45483</v>
      </c>
      <c r="G71" s="2">
        <v>45486</v>
      </c>
      <c r="H71" s="2">
        <v>45524</v>
      </c>
      <c r="I71" s="3" t="s">
        <v>163</v>
      </c>
      <c r="J71" s="3">
        <v>2</v>
      </c>
      <c r="K71" s="2">
        <v>45565</v>
      </c>
      <c r="L71" s="16">
        <f t="shared" si="2"/>
        <v>45626</v>
      </c>
    </row>
    <row r="72" spans="1:12" ht="14.25" customHeight="1" x14ac:dyDescent="0.35">
      <c r="A72" s="3">
        <v>4814</v>
      </c>
      <c r="B72" s="3" t="s">
        <v>240</v>
      </c>
      <c r="C72" s="3" t="s">
        <v>160</v>
      </c>
      <c r="D72" s="3" t="s">
        <v>176</v>
      </c>
      <c r="E72" s="11" t="s">
        <v>241</v>
      </c>
      <c r="F72" s="2">
        <v>45483</v>
      </c>
      <c r="G72" s="2">
        <v>45484</v>
      </c>
      <c r="H72" s="2">
        <v>45533</v>
      </c>
      <c r="I72" s="3" t="s">
        <v>163</v>
      </c>
      <c r="J72" s="3">
        <v>5</v>
      </c>
      <c r="K72" s="2">
        <v>45565</v>
      </c>
      <c r="L72" s="16">
        <f t="shared" si="2"/>
        <v>45626</v>
      </c>
    </row>
    <row r="73" spans="1:12" ht="14.25" customHeight="1" x14ac:dyDescent="0.35">
      <c r="A73" s="3">
        <v>4833</v>
      </c>
      <c r="B73" s="3" t="s">
        <v>216</v>
      </c>
      <c r="C73" s="3" t="s">
        <v>160</v>
      </c>
      <c r="D73" s="3" t="s">
        <v>181</v>
      </c>
      <c r="E73" s="11" t="s">
        <v>242</v>
      </c>
      <c r="F73" s="2">
        <v>45483</v>
      </c>
      <c r="G73" s="2">
        <v>45490</v>
      </c>
      <c r="H73" s="2">
        <v>45569</v>
      </c>
      <c r="I73" s="3" t="s">
        <v>163</v>
      </c>
      <c r="J73" s="3">
        <v>1</v>
      </c>
      <c r="K73" s="2">
        <v>45565</v>
      </c>
      <c r="L73" s="16">
        <f t="shared" si="2"/>
        <v>45626</v>
      </c>
    </row>
    <row r="74" spans="1:12" ht="14.25" customHeight="1" x14ac:dyDescent="0.35">
      <c r="A74" s="3">
        <v>4854</v>
      </c>
      <c r="B74" s="3" t="s">
        <v>174</v>
      </c>
      <c r="C74" s="3" t="s">
        <v>160</v>
      </c>
      <c r="D74" s="3" t="s">
        <v>181</v>
      </c>
      <c r="E74" s="11" t="s">
        <v>229</v>
      </c>
      <c r="F74" s="2">
        <v>45483</v>
      </c>
      <c r="G74" s="2">
        <v>45527</v>
      </c>
      <c r="H74" s="2">
        <v>45658</v>
      </c>
      <c r="I74" s="3" t="s">
        <v>163</v>
      </c>
      <c r="J74" s="3">
        <v>5</v>
      </c>
      <c r="K74" s="2">
        <v>45596</v>
      </c>
      <c r="L74" s="16">
        <f t="shared" si="2"/>
        <v>45657</v>
      </c>
    </row>
    <row r="75" spans="1:12" ht="14.25" customHeight="1" x14ac:dyDescent="0.35">
      <c r="A75" s="3">
        <v>5506</v>
      </c>
      <c r="B75" s="3" t="s">
        <v>174</v>
      </c>
      <c r="C75" s="3" t="s">
        <v>180</v>
      </c>
      <c r="D75" s="3" t="s">
        <v>181</v>
      </c>
      <c r="E75" s="11" t="s">
        <v>243</v>
      </c>
      <c r="F75" s="2">
        <v>45483</v>
      </c>
      <c r="G75" s="3"/>
      <c r="H75" s="2">
        <v>45484</v>
      </c>
      <c r="I75" s="3" t="s">
        <v>163</v>
      </c>
      <c r="J75" s="3">
        <v>1</v>
      </c>
      <c r="K75" s="3"/>
      <c r="L75" s="16" t="str">
        <f t="shared" si="2"/>
        <v/>
      </c>
    </row>
    <row r="76" spans="1:12" ht="14.25" customHeight="1" x14ac:dyDescent="0.35">
      <c r="A76" s="3">
        <v>5508</v>
      </c>
      <c r="B76" s="3" t="s">
        <v>216</v>
      </c>
      <c r="C76" s="3" t="s">
        <v>180</v>
      </c>
      <c r="D76" s="3" t="s">
        <v>181</v>
      </c>
      <c r="E76" s="11" t="s">
        <v>242</v>
      </c>
      <c r="F76" s="2">
        <v>45483</v>
      </c>
      <c r="G76" s="2">
        <v>45488</v>
      </c>
      <c r="H76" s="2">
        <v>45486</v>
      </c>
      <c r="I76" s="3" t="s">
        <v>163</v>
      </c>
      <c r="J76" s="3">
        <v>1</v>
      </c>
      <c r="K76" s="2">
        <v>45565</v>
      </c>
      <c r="L76" s="16">
        <f t="shared" si="2"/>
        <v>45626</v>
      </c>
    </row>
    <row r="77" spans="1:12" ht="14.25" customHeight="1" x14ac:dyDescent="0.35">
      <c r="A77" s="3">
        <v>4819</v>
      </c>
      <c r="B77" s="3" t="s">
        <v>133</v>
      </c>
      <c r="C77" s="3" t="s">
        <v>160</v>
      </c>
      <c r="D77" s="3" t="s">
        <v>176</v>
      </c>
      <c r="E77" s="11" t="s">
        <v>244</v>
      </c>
      <c r="F77" s="2">
        <v>45486</v>
      </c>
      <c r="G77" s="2">
        <v>45489</v>
      </c>
      <c r="H77" s="2">
        <v>45555</v>
      </c>
      <c r="I77" s="3" t="s">
        <v>163</v>
      </c>
      <c r="J77" s="3">
        <v>7</v>
      </c>
      <c r="K77" s="2">
        <v>45565</v>
      </c>
      <c r="L77" s="16">
        <f t="shared" si="2"/>
        <v>45626</v>
      </c>
    </row>
    <row r="78" spans="1:12" ht="14.25" customHeight="1" x14ac:dyDescent="0.35">
      <c r="A78" s="3">
        <v>4842</v>
      </c>
      <c r="B78" s="3" t="s">
        <v>224</v>
      </c>
      <c r="C78" s="3" t="s">
        <v>160</v>
      </c>
      <c r="D78" s="3" t="s">
        <v>161</v>
      </c>
      <c r="E78" s="11" t="s">
        <v>245</v>
      </c>
      <c r="F78" s="2">
        <v>45486</v>
      </c>
      <c r="G78" s="2">
        <v>45487</v>
      </c>
      <c r="H78" s="2">
        <v>45597</v>
      </c>
      <c r="I78" s="3" t="s">
        <v>163</v>
      </c>
      <c r="J78" s="3">
        <v>1</v>
      </c>
      <c r="K78" s="2">
        <v>45565</v>
      </c>
      <c r="L78" s="16">
        <f t="shared" si="2"/>
        <v>45626</v>
      </c>
    </row>
    <row r="79" spans="1:12" ht="14.25" customHeight="1" x14ac:dyDescent="0.35">
      <c r="A79" s="3">
        <v>5510</v>
      </c>
      <c r="B79" s="3" t="s">
        <v>202</v>
      </c>
      <c r="C79" s="3" t="s">
        <v>180</v>
      </c>
      <c r="D79" s="3" t="s">
        <v>181</v>
      </c>
      <c r="E79" s="11" t="s">
        <v>246</v>
      </c>
      <c r="F79" s="2">
        <v>45488</v>
      </c>
      <c r="G79" s="2">
        <v>45494</v>
      </c>
      <c r="H79" s="2">
        <v>45489</v>
      </c>
      <c r="I79" s="3" t="s">
        <v>163</v>
      </c>
      <c r="J79" s="3">
        <v>2</v>
      </c>
      <c r="K79" s="2">
        <v>45565</v>
      </c>
      <c r="L79" s="16">
        <f t="shared" si="2"/>
        <v>45626</v>
      </c>
    </row>
    <row r="80" spans="1:12" ht="14.25" customHeight="1" x14ac:dyDescent="0.35">
      <c r="A80" s="3">
        <v>5509</v>
      </c>
      <c r="B80" s="3" t="s">
        <v>218</v>
      </c>
      <c r="C80" s="3" t="s">
        <v>180</v>
      </c>
      <c r="D80" s="3" t="s">
        <v>181</v>
      </c>
      <c r="E80" s="11" t="s">
        <v>247</v>
      </c>
      <c r="F80" s="2">
        <v>45489</v>
      </c>
      <c r="G80" s="2">
        <v>45490</v>
      </c>
      <c r="H80" s="2">
        <v>45489</v>
      </c>
      <c r="I80" s="3" t="s">
        <v>163</v>
      </c>
      <c r="J80" s="3">
        <v>1</v>
      </c>
      <c r="K80" s="2">
        <v>45565</v>
      </c>
      <c r="L80" s="16">
        <f t="shared" si="2"/>
        <v>45626</v>
      </c>
    </row>
    <row r="81" spans="1:12" ht="14.25" customHeight="1" x14ac:dyDescent="0.35">
      <c r="A81" s="3">
        <v>4849</v>
      </c>
      <c r="B81" s="3" t="s">
        <v>159</v>
      </c>
      <c r="C81" s="3" t="s">
        <v>160</v>
      </c>
      <c r="D81" s="3" t="s">
        <v>181</v>
      </c>
      <c r="E81" s="11" t="s">
        <v>229</v>
      </c>
      <c r="F81" s="2">
        <v>45490</v>
      </c>
      <c r="G81" s="2">
        <v>45525</v>
      </c>
      <c r="H81" s="2">
        <v>45622</v>
      </c>
      <c r="I81" s="3" t="s">
        <v>163</v>
      </c>
      <c r="J81" s="3">
        <v>1</v>
      </c>
      <c r="K81" s="2">
        <v>45596</v>
      </c>
      <c r="L81" s="16">
        <f t="shared" si="2"/>
        <v>45657</v>
      </c>
    </row>
    <row r="82" spans="1:12" ht="14.25" customHeight="1" x14ac:dyDescent="0.35">
      <c r="A82" s="3">
        <v>5511</v>
      </c>
      <c r="B82" s="3" t="s">
        <v>174</v>
      </c>
      <c r="C82" s="3" t="s">
        <v>180</v>
      </c>
      <c r="D82" s="3" t="s">
        <v>181</v>
      </c>
      <c r="E82" s="11" t="s">
        <v>248</v>
      </c>
      <c r="F82" s="2">
        <v>45490</v>
      </c>
      <c r="G82" s="3"/>
      <c r="H82" s="2">
        <v>45491</v>
      </c>
      <c r="I82" s="3" t="s">
        <v>163</v>
      </c>
      <c r="J82" s="3">
        <v>3</v>
      </c>
      <c r="K82" s="3"/>
      <c r="L82" s="16" t="str">
        <f t="shared" si="2"/>
        <v/>
      </c>
    </row>
    <row r="83" spans="1:12" ht="14.25" customHeight="1" x14ac:dyDescent="0.35">
      <c r="A83" s="3">
        <v>5518</v>
      </c>
      <c r="B83" s="3" t="s">
        <v>159</v>
      </c>
      <c r="C83" s="3" t="s">
        <v>180</v>
      </c>
      <c r="D83" s="3" t="s">
        <v>181</v>
      </c>
      <c r="E83" s="11" t="s">
        <v>249</v>
      </c>
      <c r="F83" s="2">
        <v>45490</v>
      </c>
      <c r="G83" s="2">
        <v>45494</v>
      </c>
      <c r="H83" s="2">
        <v>45497</v>
      </c>
      <c r="I83" s="3" t="s">
        <v>163</v>
      </c>
      <c r="J83" s="3">
        <v>3</v>
      </c>
      <c r="K83" s="2">
        <v>45565</v>
      </c>
      <c r="L83" s="16">
        <f t="shared" si="2"/>
        <v>45626</v>
      </c>
    </row>
    <row r="84" spans="1:12" ht="14.25" customHeight="1" x14ac:dyDescent="0.35">
      <c r="A84" s="3">
        <v>5512</v>
      </c>
      <c r="B84" s="3" t="s">
        <v>174</v>
      </c>
      <c r="C84" s="3" t="s">
        <v>180</v>
      </c>
      <c r="D84" s="3" t="s">
        <v>181</v>
      </c>
      <c r="E84" s="11" t="s">
        <v>250</v>
      </c>
      <c r="F84" s="2">
        <v>45491</v>
      </c>
      <c r="G84" s="3"/>
      <c r="H84" s="2">
        <v>45491</v>
      </c>
      <c r="I84" s="3" t="s">
        <v>163</v>
      </c>
      <c r="J84" s="3">
        <v>2</v>
      </c>
      <c r="K84" s="3"/>
      <c r="L84" s="16" t="str">
        <f t="shared" si="2"/>
        <v/>
      </c>
    </row>
    <row r="85" spans="1:12" ht="14.25" customHeight="1" x14ac:dyDescent="0.35">
      <c r="A85" s="3">
        <v>5513</v>
      </c>
      <c r="B85" s="3" t="s">
        <v>174</v>
      </c>
      <c r="C85" s="3" t="s">
        <v>180</v>
      </c>
      <c r="D85" s="3" t="s">
        <v>181</v>
      </c>
      <c r="E85" s="11" t="s">
        <v>251</v>
      </c>
      <c r="F85" s="2">
        <v>45493</v>
      </c>
      <c r="G85" s="3"/>
      <c r="H85" s="2">
        <v>45494</v>
      </c>
      <c r="I85" s="3" t="s">
        <v>163</v>
      </c>
      <c r="J85" s="3">
        <v>1</v>
      </c>
      <c r="K85" s="3"/>
      <c r="L85" s="16" t="str">
        <f t="shared" si="2"/>
        <v/>
      </c>
    </row>
    <row r="86" spans="1:12" ht="14.25" customHeight="1" x14ac:dyDescent="0.35">
      <c r="A86" s="3">
        <v>5514</v>
      </c>
      <c r="B86" s="3" t="s">
        <v>174</v>
      </c>
      <c r="C86" s="3" t="s">
        <v>180</v>
      </c>
      <c r="D86" s="3" t="s">
        <v>181</v>
      </c>
      <c r="E86" s="11" t="s">
        <v>252</v>
      </c>
      <c r="F86" s="2">
        <v>45494</v>
      </c>
      <c r="G86" s="3"/>
      <c r="H86" s="2">
        <v>45494</v>
      </c>
      <c r="I86" s="3" t="s">
        <v>163</v>
      </c>
      <c r="J86" s="3">
        <v>3</v>
      </c>
      <c r="K86" s="3"/>
      <c r="L86" s="16" t="str">
        <f t="shared" si="2"/>
        <v/>
      </c>
    </row>
    <row r="87" spans="1:12" ht="14.25" customHeight="1" x14ac:dyDescent="0.35">
      <c r="A87" s="3">
        <v>5515</v>
      </c>
      <c r="B87" s="3" t="s">
        <v>114</v>
      </c>
      <c r="C87" s="3" t="s">
        <v>180</v>
      </c>
      <c r="D87" s="3" t="s">
        <v>181</v>
      </c>
      <c r="E87" s="11" t="s">
        <v>253</v>
      </c>
      <c r="F87" s="2">
        <v>45494</v>
      </c>
      <c r="G87" s="2">
        <v>45495</v>
      </c>
      <c r="H87" s="2">
        <v>45494</v>
      </c>
      <c r="I87" s="3" t="s">
        <v>163</v>
      </c>
      <c r="J87" s="3">
        <v>1</v>
      </c>
      <c r="K87" s="2">
        <v>45565</v>
      </c>
      <c r="L87" s="16">
        <f t="shared" si="2"/>
        <v>45626</v>
      </c>
    </row>
    <row r="88" spans="1:12" ht="14.25" customHeight="1" x14ac:dyDescent="0.35">
      <c r="A88" s="3">
        <v>5516</v>
      </c>
      <c r="B88" s="3" t="s">
        <v>174</v>
      </c>
      <c r="C88" s="3" t="s">
        <v>180</v>
      </c>
      <c r="D88" s="3" t="s">
        <v>181</v>
      </c>
      <c r="E88" s="11" t="s">
        <v>254</v>
      </c>
      <c r="F88" s="2">
        <v>45494</v>
      </c>
      <c r="G88" s="3"/>
      <c r="H88" s="2">
        <v>45495</v>
      </c>
      <c r="I88" s="3" t="s">
        <v>163</v>
      </c>
      <c r="J88" s="3">
        <v>2</v>
      </c>
      <c r="K88" s="3"/>
      <c r="L88" s="16" t="str">
        <f t="shared" si="2"/>
        <v/>
      </c>
    </row>
    <row r="89" spans="1:12" ht="14.25" customHeight="1" x14ac:dyDescent="0.35">
      <c r="A89" s="3">
        <v>5517</v>
      </c>
      <c r="B89" s="3" t="s">
        <v>159</v>
      </c>
      <c r="C89" s="3" t="s">
        <v>180</v>
      </c>
      <c r="D89" s="3" t="s">
        <v>181</v>
      </c>
      <c r="E89" s="11" t="s">
        <v>255</v>
      </c>
      <c r="F89" s="2">
        <v>45495</v>
      </c>
      <c r="G89" s="2">
        <v>45501</v>
      </c>
      <c r="H89" s="2">
        <v>45496</v>
      </c>
      <c r="I89" s="3" t="s">
        <v>163</v>
      </c>
      <c r="J89" s="3">
        <v>2</v>
      </c>
      <c r="K89" s="2">
        <v>45565</v>
      </c>
      <c r="L89" s="16">
        <f t="shared" si="2"/>
        <v>45626</v>
      </c>
    </row>
    <row r="90" spans="1:12" ht="14.25" customHeight="1" x14ac:dyDescent="0.35">
      <c r="A90" s="3">
        <v>4813</v>
      </c>
      <c r="B90" s="3" t="s">
        <v>208</v>
      </c>
      <c r="C90" s="3" t="s">
        <v>160</v>
      </c>
      <c r="D90" s="3" t="s">
        <v>256</v>
      </c>
      <c r="E90" s="11" t="s">
        <v>257</v>
      </c>
      <c r="F90" s="2">
        <v>45497</v>
      </c>
      <c r="G90" s="2">
        <v>45497</v>
      </c>
      <c r="H90" s="2">
        <v>45527</v>
      </c>
      <c r="I90" s="3" t="s">
        <v>163</v>
      </c>
      <c r="J90" s="3">
        <v>2</v>
      </c>
      <c r="K90" s="2">
        <v>45565</v>
      </c>
      <c r="L90" s="16">
        <f t="shared" si="2"/>
        <v>45626</v>
      </c>
    </row>
    <row r="91" spans="1:12" ht="14.25" customHeight="1" x14ac:dyDescent="0.35">
      <c r="A91" s="3">
        <v>5519</v>
      </c>
      <c r="B91" s="3" t="s">
        <v>114</v>
      </c>
      <c r="C91" s="3" t="s">
        <v>180</v>
      </c>
      <c r="D91" s="3" t="s">
        <v>181</v>
      </c>
      <c r="E91" s="11" t="s">
        <v>258</v>
      </c>
      <c r="F91" s="2">
        <v>45497</v>
      </c>
      <c r="G91" s="2">
        <v>45524</v>
      </c>
      <c r="H91" s="2">
        <v>45498</v>
      </c>
      <c r="I91" s="3" t="s">
        <v>163</v>
      </c>
      <c r="J91" s="3">
        <v>2</v>
      </c>
      <c r="K91" s="2">
        <v>45596</v>
      </c>
      <c r="L91" s="16">
        <f t="shared" si="2"/>
        <v>45657</v>
      </c>
    </row>
    <row r="92" spans="1:12" ht="14.25" customHeight="1" x14ac:dyDescent="0.35">
      <c r="A92" s="3">
        <v>5520</v>
      </c>
      <c r="B92" s="3" t="s">
        <v>202</v>
      </c>
      <c r="C92" s="3" t="s">
        <v>180</v>
      </c>
      <c r="D92" s="3" t="s">
        <v>181</v>
      </c>
      <c r="E92" s="11" t="s">
        <v>259</v>
      </c>
      <c r="F92" s="2">
        <v>45498</v>
      </c>
      <c r="G92" s="2">
        <v>45513</v>
      </c>
      <c r="H92" s="2">
        <v>45499</v>
      </c>
      <c r="I92" s="3" t="s">
        <v>163</v>
      </c>
      <c r="J92" s="3">
        <v>3</v>
      </c>
      <c r="K92" s="2">
        <v>45596</v>
      </c>
      <c r="L92" s="16">
        <f t="shared" si="2"/>
        <v>45657</v>
      </c>
    </row>
    <row r="93" spans="1:12" ht="14.25" customHeight="1" x14ac:dyDescent="0.35">
      <c r="A93" s="3">
        <v>5521</v>
      </c>
      <c r="B93" s="3" t="s">
        <v>159</v>
      </c>
      <c r="C93" s="3" t="s">
        <v>180</v>
      </c>
      <c r="D93" s="3" t="s">
        <v>181</v>
      </c>
      <c r="E93" s="11" t="s">
        <v>260</v>
      </c>
      <c r="F93" s="2">
        <v>45498</v>
      </c>
      <c r="G93" s="2">
        <v>45527</v>
      </c>
      <c r="H93" s="2">
        <v>45499</v>
      </c>
      <c r="I93" s="3" t="s">
        <v>163</v>
      </c>
      <c r="J93" s="3">
        <v>1</v>
      </c>
      <c r="K93" s="2">
        <v>45596</v>
      </c>
      <c r="L93" s="16">
        <f t="shared" si="2"/>
        <v>45657</v>
      </c>
    </row>
    <row r="94" spans="1:12" ht="14.25" customHeight="1" x14ac:dyDescent="0.35">
      <c r="A94" s="3">
        <v>5522</v>
      </c>
      <c r="B94" s="3" t="s">
        <v>114</v>
      </c>
      <c r="C94" s="3" t="s">
        <v>180</v>
      </c>
      <c r="D94" s="3" t="s">
        <v>181</v>
      </c>
      <c r="E94" s="11" t="s">
        <v>261</v>
      </c>
      <c r="F94" s="2">
        <v>45498</v>
      </c>
      <c r="G94" s="2">
        <v>45514</v>
      </c>
      <c r="H94" s="2">
        <v>45500</v>
      </c>
      <c r="I94" s="3" t="s">
        <v>163</v>
      </c>
      <c r="J94" s="3">
        <v>1</v>
      </c>
      <c r="K94" s="2">
        <v>45596</v>
      </c>
      <c r="L94" s="16">
        <f t="shared" si="2"/>
        <v>45657</v>
      </c>
    </row>
    <row r="95" spans="1:12" ht="14.25" customHeight="1" x14ac:dyDescent="0.35">
      <c r="A95" s="3">
        <v>4826</v>
      </c>
      <c r="B95" s="3" t="s">
        <v>169</v>
      </c>
      <c r="C95" s="3" t="s">
        <v>160</v>
      </c>
      <c r="D95" s="3" t="s">
        <v>176</v>
      </c>
      <c r="E95" s="11" t="s">
        <v>199</v>
      </c>
      <c r="F95" s="2">
        <v>45502</v>
      </c>
      <c r="G95" s="2">
        <v>45504</v>
      </c>
      <c r="H95" s="2">
        <v>45561</v>
      </c>
      <c r="I95" s="3" t="s">
        <v>163</v>
      </c>
      <c r="J95" s="3">
        <v>3</v>
      </c>
      <c r="K95" s="2">
        <v>45565</v>
      </c>
      <c r="L95" s="16">
        <f t="shared" si="2"/>
        <v>45626</v>
      </c>
    </row>
    <row r="96" spans="1:12" ht="14.25" customHeight="1" x14ac:dyDescent="0.35">
      <c r="A96" s="3">
        <v>5523</v>
      </c>
      <c r="B96" s="3" t="s">
        <v>95</v>
      </c>
      <c r="C96" s="3" t="s">
        <v>180</v>
      </c>
      <c r="D96" s="3" t="s">
        <v>181</v>
      </c>
      <c r="E96" s="11" t="s">
        <v>262</v>
      </c>
      <c r="F96" s="2">
        <v>45503</v>
      </c>
      <c r="G96" s="2">
        <v>45508</v>
      </c>
      <c r="H96" s="2">
        <v>45503</v>
      </c>
      <c r="I96" s="3" t="s">
        <v>163</v>
      </c>
      <c r="J96" s="3">
        <v>1</v>
      </c>
      <c r="K96" s="2">
        <v>45596</v>
      </c>
      <c r="L96" s="16">
        <f t="shared" si="2"/>
        <v>45657</v>
      </c>
    </row>
    <row r="97" spans="1:12" ht="14.25" customHeight="1" x14ac:dyDescent="0.35">
      <c r="A97" s="3">
        <v>5525</v>
      </c>
      <c r="B97" s="3" t="s">
        <v>263</v>
      </c>
      <c r="C97" s="3" t="s">
        <v>180</v>
      </c>
      <c r="D97" s="3" t="s">
        <v>181</v>
      </c>
      <c r="E97" s="11" t="s">
        <v>264</v>
      </c>
      <c r="F97" s="2">
        <v>45503</v>
      </c>
      <c r="G97" s="2">
        <v>45534</v>
      </c>
      <c r="H97" s="2">
        <v>45504</v>
      </c>
      <c r="I97" s="3" t="s">
        <v>163</v>
      </c>
      <c r="J97" s="3">
        <v>2</v>
      </c>
      <c r="K97" s="2">
        <v>45596</v>
      </c>
      <c r="L97" s="16">
        <f t="shared" si="2"/>
        <v>45657</v>
      </c>
    </row>
    <row r="98" spans="1:12" ht="14.25" customHeight="1" x14ac:dyDescent="0.35">
      <c r="A98" s="3">
        <v>4838</v>
      </c>
      <c r="B98" s="3" t="s">
        <v>195</v>
      </c>
      <c r="C98" s="3" t="s">
        <v>160</v>
      </c>
      <c r="D98" s="3" t="s">
        <v>161</v>
      </c>
      <c r="E98" s="11" t="s">
        <v>198</v>
      </c>
      <c r="F98" s="2">
        <v>45504</v>
      </c>
      <c r="G98" s="2">
        <v>45504</v>
      </c>
      <c r="H98" s="2">
        <v>45586</v>
      </c>
      <c r="I98" s="3" t="s">
        <v>163</v>
      </c>
      <c r="J98" s="3">
        <v>5</v>
      </c>
      <c r="K98" s="2">
        <v>45565</v>
      </c>
      <c r="L98" s="16">
        <f t="shared" si="2"/>
        <v>45626</v>
      </c>
    </row>
    <row r="99" spans="1:12" ht="14.25" customHeight="1" x14ac:dyDescent="0.35">
      <c r="A99" s="3">
        <v>5524</v>
      </c>
      <c r="B99" s="3" t="s">
        <v>263</v>
      </c>
      <c r="C99" s="3" t="s">
        <v>180</v>
      </c>
      <c r="D99" s="3" t="s">
        <v>181</v>
      </c>
      <c r="E99" s="11" t="s">
        <v>265</v>
      </c>
      <c r="F99" s="2">
        <v>45504</v>
      </c>
      <c r="G99" s="2">
        <v>45513</v>
      </c>
      <c r="H99" s="2">
        <v>45504</v>
      </c>
      <c r="I99" s="3" t="s">
        <v>163</v>
      </c>
      <c r="J99" s="3">
        <v>1</v>
      </c>
      <c r="K99" s="2">
        <v>45596</v>
      </c>
      <c r="L99" s="16">
        <f t="shared" si="2"/>
        <v>45657</v>
      </c>
    </row>
    <row r="100" spans="1:12" ht="14.25" customHeight="1" x14ac:dyDescent="0.35">
      <c r="A100" s="3">
        <v>3605</v>
      </c>
      <c r="B100" s="3" t="s">
        <v>211</v>
      </c>
      <c r="C100" s="3" t="s">
        <v>172</v>
      </c>
      <c r="D100" s="3" t="s">
        <v>266</v>
      </c>
      <c r="E100" s="11" t="s">
        <v>267</v>
      </c>
      <c r="F100" s="2">
        <v>45505</v>
      </c>
      <c r="G100" s="2">
        <v>45531</v>
      </c>
      <c r="H100" s="2">
        <v>45507</v>
      </c>
      <c r="I100" s="3" t="s">
        <v>163</v>
      </c>
      <c r="J100" s="3">
        <v>61</v>
      </c>
      <c r="K100" s="2">
        <v>45596</v>
      </c>
      <c r="L100" s="16">
        <f t="shared" si="2"/>
        <v>45657</v>
      </c>
    </row>
    <row r="101" spans="1:12" ht="14.25" customHeight="1" x14ac:dyDescent="0.35">
      <c r="A101" s="3">
        <v>4806</v>
      </c>
      <c r="B101" s="3" t="s">
        <v>211</v>
      </c>
      <c r="C101" s="3" t="s">
        <v>160</v>
      </c>
      <c r="D101" s="3" t="s">
        <v>266</v>
      </c>
      <c r="E101" s="11" t="s">
        <v>268</v>
      </c>
      <c r="F101" s="2">
        <v>45505</v>
      </c>
      <c r="G101" s="2">
        <v>45531</v>
      </c>
      <c r="H101" s="2">
        <v>45514</v>
      </c>
      <c r="I101" s="3" t="s">
        <v>163</v>
      </c>
      <c r="J101" s="3">
        <v>61</v>
      </c>
      <c r="K101" s="2">
        <v>45596</v>
      </c>
      <c r="L101" s="16">
        <f t="shared" si="2"/>
        <v>45657</v>
      </c>
    </row>
    <row r="102" spans="1:12" ht="14.25" customHeight="1" x14ac:dyDescent="0.35">
      <c r="A102" s="3">
        <v>5526</v>
      </c>
      <c r="B102" s="3" t="s">
        <v>263</v>
      </c>
      <c r="C102" s="3" t="s">
        <v>180</v>
      </c>
      <c r="D102" s="3" t="s">
        <v>181</v>
      </c>
      <c r="E102" s="11" t="s">
        <v>269</v>
      </c>
      <c r="F102" s="2">
        <v>45505</v>
      </c>
      <c r="G102" s="2">
        <v>45511</v>
      </c>
      <c r="H102" s="2">
        <v>45505</v>
      </c>
      <c r="I102" s="3" t="s">
        <v>163</v>
      </c>
      <c r="J102" s="3">
        <v>1</v>
      </c>
      <c r="K102" s="2">
        <v>45596</v>
      </c>
      <c r="L102" s="16">
        <f t="shared" si="2"/>
        <v>45657</v>
      </c>
    </row>
    <row r="103" spans="1:12" ht="14.25" customHeight="1" x14ac:dyDescent="0.35">
      <c r="A103" s="3">
        <v>5527</v>
      </c>
      <c r="B103" s="3" t="s">
        <v>174</v>
      </c>
      <c r="C103" s="3" t="s">
        <v>180</v>
      </c>
      <c r="D103" s="3" t="s">
        <v>181</v>
      </c>
      <c r="E103" s="11" t="s">
        <v>270</v>
      </c>
      <c r="F103" s="2">
        <v>45506</v>
      </c>
      <c r="G103" s="3"/>
      <c r="H103" s="2">
        <v>45506</v>
      </c>
      <c r="I103" s="3" t="s">
        <v>163</v>
      </c>
      <c r="J103" s="3">
        <v>1</v>
      </c>
      <c r="K103" s="3"/>
      <c r="L103" s="16" t="str">
        <f t="shared" si="2"/>
        <v/>
      </c>
    </row>
    <row r="104" spans="1:12" ht="14.25" customHeight="1" x14ac:dyDescent="0.35">
      <c r="A104" s="3">
        <v>3606</v>
      </c>
      <c r="B104" s="3" t="s">
        <v>271</v>
      </c>
      <c r="C104" s="3" t="s">
        <v>172</v>
      </c>
      <c r="D104" s="3" t="s">
        <v>266</v>
      </c>
      <c r="E104" s="11" t="s">
        <v>268</v>
      </c>
      <c r="F104" s="2">
        <v>45508</v>
      </c>
      <c r="G104" s="2">
        <v>45526</v>
      </c>
      <c r="H104" s="2">
        <v>45509</v>
      </c>
      <c r="I104" s="3" t="s">
        <v>163</v>
      </c>
      <c r="J104" s="3">
        <v>46</v>
      </c>
      <c r="K104" s="2">
        <v>45596</v>
      </c>
      <c r="L104" s="16">
        <f t="shared" si="2"/>
        <v>45657</v>
      </c>
    </row>
    <row r="105" spans="1:12" ht="14.25" customHeight="1" x14ac:dyDescent="0.35">
      <c r="A105" s="3">
        <v>3607</v>
      </c>
      <c r="B105" s="3" t="s">
        <v>272</v>
      </c>
      <c r="C105" s="3" t="s">
        <v>172</v>
      </c>
      <c r="D105" s="3" t="s">
        <v>266</v>
      </c>
      <c r="E105" s="11" t="s">
        <v>268</v>
      </c>
      <c r="F105" s="2">
        <v>45508</v>
      </c>
      <c r="G105" s="2">
        <v>45524</v>
      </c>
      <c r="H105" s="2">
        <v>45509</v>
      </c>
      <c r="I105" s="3" t="s">
        <v>163</v>
      </c>
      <c r="J105" s="3">
        <v>55</v>
      </c>
      <c r="K105" s="2">
        <v>45596</v>
      </c>
      <c r="L105" s="16">
        <f t="shared" si="2"/>
        <v>45657</v>
      </c>
    </row>
    <row r="106" spans="1:12" ht="14.25" customHeight="1" x14ac:dyDescent="0.35">
      <c r="A106" s="3">
        <v>4821</v>
      </c>
      <c r="B106" s="3" t="s">
        <v>272</v>
      </c>
      <c r="C106" s="3" t="s">
        <v>160</v>
      </c>
      <c r="D106" s="3" t="s">
        <v>266</v>
      </c>
      <c r="E106" s="11" t="s">
        <v>267</v>
      </c>
      <c r="F106" s="2">
        <v>45508</v>
      </c>
      <c r="G106" s="2">
        <v>45524</v>
      </c>
      <c r="H106" s="2">
        <v>45559</v>
      </c>
      <c r="I106" s="3" t="s">
        <v>163</v>
      </c>
      <c r="J106" s="3">
        <v>35</v>
      </c>
      <c r="K106" s="2">
        <v>45596</v>
      </c>
      <c r="L106" s="16">
        <f t="shared" si="2"/>
        <v>45657</v>
      </c>
    </row>
    <row r="107" spans="1:12" ht="14.25" customHeight="1" x14ac:dyDescent="0.35">
      <c r="A107" s="3">
        <v>4835</v>
      </c>
      <c r="B107" s="3" t="s">
        <v>271</v>
      </c>
      <c r="C107" s="3" t="s">
        <v>160</v>
      </c>
      <c r="D107" s="3" t="s">
        <v>266</v>
      </c>
      <c r="E107" s="11" t="s">
        <v>267</v>
      </c>
      <c r="F107" s="2">
        <v>45508</v>
      </c>
      <c r="G107" s="2">
        <v>45526</v>
      </c>
      <c r="H107" s="2">
        <v>45564</v>
      </c>
      <c r="I107" s="3" t="s">
        <v>163</v>
      </c>
      <c r="J107" s="3">
        <v>14</v>
      </c>
      <c r="K107" s="2">
        <v>45596</v>
      </c>
      <c r="L107" s="16">
        <f t="shared" si="2"/>
        <v>45657</v>
      </c>
    </row>
    <row r="108" spans="1:12" ht="14.25" customHeight="1" x14ac:dyDescent="0.35">
      <c r="A108" s="3">
        <v>5528</v>
      </c>
      <c r="B108" s="3" t="s">
        <v>174</v>
      </c>
      <c r="C108" s="3" t="s">
        <v>180</v>
      </c>
      <c r="D108" s="3" t="s">
        <v>181</v>
      </c>
      <c r="E108" s="11" t="s">
        <v>273</v>
      </c>
      <c r="F108" s="2">
        <v>45508</v>
      </c>
      <c r="G108" s="3"/>
      <c r="H108" s="2">
        <v>45510</v>
      </c>
      <c r="I108" s="3" t="s">
        <v>163</v>
      </c>
      <c r="J108" s="3">
        <v>1</v>
      </c>
      <c r="K108" s="3"/>
      <c r="L108" s="16" t="str">
        <f t="shared" si="2"/>
        <v/>
      </c>
    </row>
    <row r="109" spans="1:12" ht="14.25" customHeight="1" x14ac:dyDescent="0.35">
      <c r="A109" s="3">
        <v>3608</v>
      </c>
      <c r="B109" s="3" t="s">
        <v>274</v>
      </c>
      <c r="C109" s="3" t="s">
        <v>172</v>
      </c>
      <c r="D109" s="3" t="s">
        <v>266</v>
      </c>
      <c r="E109" s="11" t="s">
        <v>267</v>
      </c>
      <c r="F109" s="2">
        <v>45509</v>
      </c>
      <c r="G109" s="2">
        <v>45523</v>
      </c>
      <c r="H109" s="2">
        <v>45510</v>
      </c>
      <c r="I109" s="3" t="s">
        <v>163</v>
      </c>
      <c r="J109" s="3">
        <v>74</v>
      </c>
      <c r="K109" s="2">
        <v>45596</v>
      </c>
      <c r="L109" s="16">
        <f t="shared" si="2"/>
        <v>45657</v>
      </c>
    </row>
    <row r="110" spans="1:12" ht="14.25" customHeight="1" x14ac:dyDescent="0.35">
      <c r="A110" s="3">
        <v>4836</v>
      </c>
      <c r="B110" s="3" t="s">
        <v>275</v>
      </c>
      <c r="C110" s="3" t="s">
        <v>160</v>
      </c>
      <c r="D110" s="3" t="s">
        <v>176</v>
      </c>
      <c r="E110" s="11" t="s">
        <v>276</v>
      </c>
      <c r="F110" s="2">
        <v>45509</v>
      </c>
      <c r="G110" s="2">
        <v>45510</v>
      </c>
      <c r="H110" s="2">
        <v>45581</v>
      </c>
      <c r="I110" s="3" t="s">
        <v>163</v>
      </c>
      <c r="J110" s="3">
        <v>1</v>
      </c>
      <c r="K110" s="2">
        <v>45596</v>
      </c>
      <c r="L110" s="16">
        <f t="shared" si="2"/>
        <v>45657</v>
      </c>
    </row>
    <row r="111" spans="1:12" ht="14.25" customHeight="1" x14ac:dyDescent="0.35">
      <c r="A111" s="3">
        <v>4847</v>
      </c>
      <c r="B111" s="3" t="s">
        <v>208</v>
      </c>
      <c r="C111" s="3" t="s">
        <v>160</v>
      </c>
      <c r="D111" s="3" t="s">
        <v>161</v>
      </c>
      <c r="E111" s="11" t="s">
        <v>277</v>
      </c>
      <c r="F111" s="2">
        <v>45510</v>
      </c>
      <c r="G111" s="2">
        <v>45510</v>
      </c>
      <c r="H111" s="2">
        <v>45610</v>
      </c>
      <c r="I111" s="3" t="s">
        <v>163</v>
      </c>
      <c r="J111" s="3">
        <v>1</v>
      </c>
      <c r="K111" s="2">
        <v>45596</v>
      </c>
      <c r="L111" s="16">
        <f t="shared" si="2"/>
        <v>45657</v>
      </c>
    </row>
    <row r="112" spans="1:12" ht="14.25" customHeight="1" x14ac:dyDescent="0.35">
      <c r="A112" s="3">
        <v>3609</v>
      </c>
      <c r="B112" s="3" t="s">
        <v>169</v>
      </c>
      <c r="C112" s="3" t="s">
        <v>172</v>
      </c>
      <c r="D112" s="3" t="s">
        <v>266</v>
      </c>
      <c r="E112" s="11" t="s">
        <v>278</v>
      </c>
      <c r="F112" s="2">
        <v>45512</v>
      </c>
      <c r="G112" s="2">
        <v>45514</v>
      </c>
      <c r="H112" s="2">
        <v>45512</v>
      </c>
      <c r="I112" s="3" t="s">
        <v>163</v>
      </c>
      <c r="J112" s="3">
        <v>14</v>
      </c>
      <c r="K112" s="2">
        <v>45596</v>
      </c>
      <c r="L112" s="16">
        <f t="shared" si="2"/>
        <v>45657</v>
      </c>
    </row>
    <row r="113" spans="1:12" ht="14.25" customHeight="1" x14ac:dyDescent="0.35">
      <c r="A113" s="3">
        <v>4818</v>
      </c>
      <c r="B113" s="3" t="s">
        <v>240</v>
      </c>
      <c r="C113" s="3" t="s">
        <v>160</v>
      </c>
      <c r="D113" s="3" t="s">
        <v>266</v>
      </c>
      <c r="E113" s="11" t="s">
        <v>177</v>
      </c>
      <c r="F113" s="2">
        <v>45512</v>
      </c>
      <c r="G113" s="2">
        <v>45514</v>
      </c>
      <c r="H113" s="2">
        <v>45555</v>
      </c>
      <c r="I113" s="3" t="s">
        <v>163</v>
      </c>
      <c r="J113" s="3">
        <v>1</v>
      </c>
      <c r="K113" s="2">
        <v>45596</v>
      </c>
      <c r="L113" s="16">
        <f t="shared" si="2"/>
        <v>45657</v>
      </c>
    </row>
    <row r="114" spans="1:12" ht="14.25" customHeight="1" x14ac:dyDescent="0.35">
      <c r="A114" s="3">
        <v>4825</v>
      </c>
      <c r="B114" s="3" t="s">
        <v>240</v>
      </c>
      <c r="C114" s="3" t="s">
        <v>160</v>
      </c>
      <c r="D114" s="3" t="s">
        <v>266</v>
      </c>
      <c r="E114" s="11" t="s">
        <v>279</v>
      </c>
      <c r="F114" s="2">
        <v>45512</v>
      </c>
      <c r="G114" s="2">
        <v>45514</v>
      </c>
      <c r="H114" s="2">
        <v>45559</v>
      </c>
      <c r="I114" s="3" t="s">
        <v>163</v>
      </c>
      <c r="J114" s="3">
        <v>11</v>
      </c>
      <c r="K114" s="2">
        <v>45596</v>
      </c>
      <c r="L114" s="16">
        <f t="shared" si="2"/>
        <v>45657</v>
      </c>
    </row>
    <row r="115" spans="1:12" ht="14.25" customHeight="1" x14ac:dyDescent="0.35">
      <c r="A115" s="3">
        <v>5529</v>
      </c>
      <c r="B115" s="3" t="s">
        <v>174</v>
      </c>
      <c r="C115" s="3" t="s">
        <v>180</v>
      </c>
      <c r="D115" s="3" t="s">
        <v>181</v>
      </c>
      <c r="E115" s="11" t="s">
        <v>280</v>
      </c>
      <c r="F115" s="2">
        <v>45512</v>
      </c>
      <c r="G115" s="3"/>
      <c r="H115" s="2">
        <v>45513</v>
      </c>
      <c r="I115" s="3" t="s">
        <v>163</v>
      </c>
      <c r="J115" s="3">
        <v>1</v>
      </c>
      <c r="K115" s="3"/>
      <c r="L115" s="16" t="str">
        <f t="shared" si="2"/>
        <v/>
      </c>
    </row>
    <row r="116" spans="1:12" ht="14.25" customHeight="1" x14ac:dyDescent="0.35">
      <c r="A116" s="3">
        <v>4815</v>
      </c>
      <c r="B116" s="3" t="s">
        <v>281</v>
      </c>
      <c r="C116" s="3" t="s">
        <v>160</v>
      </c>
      <c r="D116" s="3" t="s">
        <v>266</v>
      </c>
      <c r="E116" s="11" t="s">
        <v>267</v>
      </c>
      <c r="F116" s="2">
        <v>45513</v>
      </c>
      <c r="G116" s="2">
        <v>45514</v>
      </c>
      <c r="H116" s="2">
        <v>45546</v>
      </c>
      <c r="I116" s="3" t="s">
        <v>163</v>
      </c>
      <c r="J116" s="3">
        <v>13</v>
      </c>
      <c r="K116" s="2">
        <v>45596</v>
      </c>
      <c r="L116" s="16">
        <f t="shared" si="2"/>
        <v>45657</v>
      </c>
    </row>
    <row r="117" spans="1:12" ht="14.25" customHeight="1" x14ac:dyDescent="0.35">
      <c r="A117" s="3">
        <v>5530</v>
      </c>
      <c r="B117" s="3" t="s">
        <v>218</v>
      </c>
      <c r="C117" s="3" t="s">
        <v>180</v>
      </c>
      <c r="D117" s="3" t="s">
        <v>181</v>
      </c>
      <c r="E117" s="11" t="s">
        <v>282</v>
      </c>
      <c r="F117" s="2">
        <v>45515</v>
      </c>
      <c r="G117" s="2">
        <v>45517</v>
      </c>
      <c r="H117" s="2">
        <v>45516</v>
      </c>
      <c r="I117" s="3" t="s">
        <v>163</v>
      </c>
      <c r="J117" s="3">
        <v>1</v>
      </c>
      <c r="K117" s="2">
        <v>45596</v>
      </c>
      <c r="L117" s="16">
        <f t="shared" si="2"/>
        <v>45657</v>
      </c>
    </row>
    <row r="118" spans="1:12" ht="14.25" customHeight="1" x14ac:dyDescent="0.35">
      <c r="A118" s="3">
        <v>3610</v>
      </c>
      <c r="B118" s="3" t="s">
        <v>207</v>
      </c>
      <c r="C118" s="3" t="s">
        <v>172</v>
      </c>
      <c r="D118" s="3" t="s">
        <v>161</v>
      </c>
      <c r="E118" s="11" t="s">
        <v>283</v>
      </c>
      <c r="F118" s="2">
        <v>45517</v>
      </c>
      <c r="G118" s="2">
        <v>45520</v>
      </c>
      <c r="H118" s="2">
        <v>45517</v>
      </c>
      <c r="I118" s="3" t="s">
        <v>163</v>
      </c>
      <c r="J118" s="3">
        <v>78</v>
      </c>
      <c r="K118" s="2">
        <v>45596</v>
      </c>
      <c r="L118" s="16">
        <f t="shared" si="2"/>
        <v>45657</v>
      </c>
    </row>
    <row r="119" spans="1:12" ht="14.25" customHeight="1" x14ac:dyDescent="0.35">
      <c r="A119" s="3">
        <v>3611</v>
      </c>
      <c r="B119" s="3" t="s">
        <v>284</v>
      </c>
      <c r="C119" s="3" t="s">
        <v>172</v>
      </c>
      <c r="D119" s="3" t="s">
        <v>266</v>
      </c>
      <c r="E119" s="11" t="s">
        <v>283</v>
      </c>
      <c r="F119" s="2">
        <v>45517</v>
      </c>
      <c r="G119" s="2">
        <v>45520</v>
      </c>
      <c r="H119" s="2">
        <v>45522</v>
      </c>
      <c r="I119" s="3" t="s">
        <v>163</v>
      </c>
      <c r="J119" s="3">
        <v>3</v>
      </c>
      <c r="K119" s="2">
        <v>45596</v>
      </c>
      <c r="L119" s="16">
        <f t="shared" si="2"/>
        <v>45657</v>
      </c>
    </row>
    <row r="120" spans="1:12" ht="14.25" customHeight="1" x14ac:dyDescent="0.35">
      <c r="A120" s="3">
        <v>4841</v>
      </c>
      <c r="B120" s="3" t="s">
        <v>284</v>
      </c>
      <c r="C120" s="3" t="s">
        <v>160</v>
      </c>
      <c r="D120" s="3" t="s">
        <v>266</v>
      </c>
      <c r="E120" s="11" t="s">
        <v>283</v>
      </c>
      <c r="F120" s="2">
        <v>45517</v>
      </c>
      <c r="G120" s="2">
        <v>45520</v>
      </c>
      <c r="H120" s="2">
        <v>45590</v>
      </c>
      <c r="I120" s="3" t="s">
        <v>163</v>
      </c>
      <c r="J120" s="3">
        <v>3</v>
      </c>
      <c r="K120" s="2">
        <v>45596</v>
      </c>
      <c r="L120" s="16">
        <f t="shared" si="2"/>
        <v>45657</v>
      </c>
    </row>
    <row r="121" spans="1:12" ht="14.25" customHeight="1" x14ac:dyDescent="0.35">
      <c r="A121" s="3">
        <v>4850</v>
      </c>
      <c r="B121" s="3" t="s">
        <v>207</v>
      </c>
      <c r="C121" s="3" t="s">
        <v>160</v>
      </c>
      <c r="D121" s="3" t="s">
        <v>266</v>
      </c>
      <c r="E121" s="11" t="s">
        <v>285</v>
      </c>
      <c r="F121" s="2">
        <v>45517</v>
      </c>
      <c r="G121" s="2">
        <v>45520</v>
      </c>
      <c r="H121" s="2">
        <v>45623</v>
      </c>
      <c r="I121" s="3" t="s">
        <v>163</v>
      </c>
      <c r="J121" s="3">
        <v>38</v>
      </c>
      <c r="K121" s="2">
        <v>45596</v>
      </c>
      <c r="L121" s="16">
        <f t="shared" si="2"/>
        <v>45657</v>
      </c>
    </row>
    <row r="122" spans="1:12" ht="14.25" customHeight="1" x14ac:dyDescent="0.35">
      <c r="A122" s="3">
        <v>4857</v>
      </c>
      <c r="B122" s="3" t="s">
        <v>275</v>
      </c>
      <c r="C122" s="3" t="s">
        <v>160</v>
      </c>
      <c r="D122" s="3" t="s">
        <v>161</v>
      </c>
      <c r="E122" s="11" t="s">
        <v>177</v>
      </c>
      <c r="F122" s="2">
        <v>45519</v>
      </c>
      <c r="G122" s="2">
        <v>45522</v>
      </c>
      <c r="H122" s="2">
        <v>45667</v>
      </c>
      <c r="I122" s="3" t="s">
        <v>163</v>
      </c>
      <c r="J122" s="3">
        <v>1</v>
      </c>
      <c r="K122" s="2">
        <v>45596</v>
      </c>
      <c r="L122" s="16">
        <f t="shared" si="2"/>
        <v>45657</v>
      </c>
    </row>
    <row r="123" spans="1:12" ht="14.25" customHeight="1" x14ac:dyDescent="0.35">
      <c r="A123" s="3">
        <v>4853</v>
      </c>
      <c r="B123" s="3" t="s">
        <v>275</v>
      </c>
      <c r="C123" s="3" t="s">
        <v>160</v>
      </c>
      <c r="D123" s="3" t="s">
        <v>161</v>
      </c>
      <c r="E123" s="11" t="s">
        <v>177</v>
      </c>
      <c r="F123" s="2">
        <v>45520</v>
      </c>
      <c r="G123" s="2">
        <v>45522</v>
      </c>
      <c r="H123" s="2">
        <v>45658</v>
      </c>
      <c r="I123" s="3" t="s">
        <v>163</v>
      </c>
      <c r="J123" s="3">
        <v>1</v>
      </c>
      <c r="K123" s="2">
        <v>45596</v>
      </c>
      <c r="L123" s="16">
        <f t="shared" si="2"/>
        <v>45657</v>
      </c>
    </row>
    <row r="124" spans="1:12" ht="14.25" customHeight="1" x14ac:dyDescent="0.35">
      <c r="A124" s="3">
        <v>3612</v>
      </c>
      <c r="B124" s="3" t="s">
        <v>171</v>
      </c>
      <c r="C124" s="3" t="s">
        <v>172</v>
      </c>
      <c r="D124" s="3" t="s">
        <v>161</v>
      </c>
      <c r="E124" s="11" t="s">
        <v>199</v>
      </c>
      <c r="F124" s="2">
        <v>45522</v>
      </c>
      <c r="G124" s="2">
        <v>45523</v>
      </c>
      <c r="H124" s="2">
        <v>45525</v>
      </c>
      <c r="I124" s="3" t="s">
        <v>163</v>
      </c>
      <c r="J124" s="3">
        <v>3</v>
      </c>
      <c r="K124" s="2">
        <v>45596</v>
      </c>
      <c r="L124" s="16">
        <f t="shared" si="2"/>
        <v>45657</v>
      </c>
    </row>
    <row r="125" spans="1:12" ht="14.25" customHeight="1" x14ac:dyDescent="0.35">
      <c r="A125" s="3">
        <v>3613</v>
      </c>
      <c r="B125" s="3" t="s">
        <v>240</v>
      </c>
      <c r="C125" s="3" t="s">
        <v>172</v>
      </c>
      <c r="D125" s="3" t="s">
        <v>161</v>
      </c>
      <c r="E125" s="11" t="s">
        <v>177</v>
      </c>
      <c r="F125" s="2">
        <v>45522</v>
      </c>
      <c r="G125" s="2">
        <v>45523</v>
      </c>
      <c r="H125" s="2">
        <v>45529</v>
      </c>
      <c r="I125" s="3" t="s">
        <v>163</v>
      </c>
      <c r="J125" s="3">
        <v>1</v>
      </c>
      <c r="K125" s="2">
        <v>45596</v>
      </c>
      <c r="L125" s="16">
        <f t="shared" si="2"/>
        <v>45657</v>
      </c>
    </row>
    <row r="126" spans="1:12" ht="14.25" customHeight="1" x14ac:dyDescent="0.35">
      <c r="A126" s="3">
        <v>4820</v>
      </c>
      <c r="B126" s="3" t="s">
        <v>171</v>
      </c>
      <c r="C126" s="3" t="s">
        <v>160</v>
      </c>
      <c r="D126" s="3" t="s">
        <v>161</v>
      </c>
      <c r="E126" s="11" t="s">
        <v>203</v>
      </c>
      <c r="F126" s="2">
        <v>45522</v>
      </c>
      <c r="G126" s="2">
        <v>45523</v>
      </c>
      <c r="H126" s="2">
        <v>45555</v>
      </c>
      <c r="I126" s="3" t="s">
        <v>163</v>
      </c>
      <c r="J126" s="3">
        <v>3</v>
      </c>
      <c r="K126" s="2">
        <v>45596</v>
      </c>
      <c r="L126" s="16">
        <f t="shared" si="2"/>
        <v>45657</v>
      </c>
    </row>
    <row r="127" spans="1:12" ht="14.25" customHeight="1" x14ac:dyDescent="0.35">
      <c r="A127" s="3">
        <v>4839</v>
      </c>
      <c r="B127" s="3" t="s">
        <v>240</v>
      </c>
      <c r="C127" s="3" t="s">
        <v>160</v>
      </c>
      <c r="D127" s="3" t="s">
        <v>161</v>
      </c>
      <c r="E127" s="11" t="s">
        <v>177</v>
      </c>
      <c r="F127" s="2">
        <v>45522</v>
      </c>
      <c r="G127" s="2">
        <v>45523</v>
      </c>
      <c r="H127" s="2">
        <v>45586</v>
      </c>
      <c r="I127" s="3" t="s">
        <v>163</v>
      </c>
      <c r="J127" s="3">
        <v>3</v>
      </c>
      <c r="K127" s="2">
        <v>45596</v>
      </c>
      <c r="L127" s="16">
        <f t="shared" si="2"/>
        <v>45657</v>
      </c>
    </row>
    <row r="128" spans="1:12" ht="14.25" customHeight="1" x14ac:dyDescent="0.35">
      <c r="A128" s="3">
        <v>4845</v>
      </c>
      <c r="B128" s="3" t="s">
        <v>95</v>
      </c>
      <c r="C128" s="3" t="s">
        <v>160</v>
      </c>
      <c r="D128" s="3" t="s">
        <v>181</v>
      </c>
      <c r="E128" s="11" t="s">
        <v>229</v>
      </c>
      <c r="F128" s="2">
        <v>45525</v>
      </c>
      <c r="G128" s="2">
        <v>45535</v>
      </c>
      <c r="H128" s="2">
        <v>45609</v>
      </c>
      <c r="I128" s="3" t="s">
        <v>163</v>
      </c>
      <c r="J128" s="3">
        <v>2</v>
      </c>
      <c r="K128" s="2">
        <v>45596</v>
      </c>
      <c r="L128" s="16">
        <f t="shared" si="2"/>
        <v>45657</v>
      </c>
    </row>
    <row r="129" spans="1:12" ht="14.25" customHeight="1" x14ac:dyDescent="0.35">
      <c r="A129" s="3">
        <v>4816</v>
      </c>
      <c r="B129" s="3" t="s">
        <v>169</v>
      </c>
      <c r="C129" s="3" t="s">
        <v>160</v>
      </c>
      <c r="D129" s="3" t="s">
        <v>176</v>
      </c>
      <c r="E129" s="11" t="s">
        <v>168</v>
      </c>
      <c r="F129" s="2">
        <v>45526</v>
      </c>
      <c r="G129" s="2">
        <v>45528</v>
      </c>
      <c r="H129" s="2">
        <v>45546</v>
      </c>
      <c r="I129" s="3" t="s">
        <v>163</v>
      </c>
      <c r="J129" s="3">
        <v>1</v>
      </c>
      <c r="K129" s="2">
        <v>45596</v>
      </c>
      <c r="L129" s="16">
        <f t="shared" si="2"/>
        <v>45657</v>
      </c>
    </row>
    <row r="130" spans="1:12" ht="14.25" customHeight="1" x14ac:dyDescent="0.35">
      <c r="A130" s="3">
        <v>4840</v>
      </c>
      <c r="B130" s="3" t="s">
        <v>216</v>
      </c>
      <c r="C130" s="3" t="s">
        <v>160</v>
      </c>
      <c r="D130" s="3" t="s">
        <v>176</v>
      </c>
      <c r="E130" s="11" t="s">
        <v>276</v>
      </c>
      <c r="F130" s="2">
        <v>45526</v>
      </c>
      <c r="G130" s="2">
        <v>45527</v>
      </c>
      <c r="H130" s="2">
        <v>45590</v>
      </c>
      <c r="I130" s="3" t="s">
        <v>163</v>
      </c>
      <c r="J130" s="3">
        <v>1</v>
      </c>
      <c r="K130" s="2">
        <v>45596</v>
      </c>
      <c r="L130" s="16">
        <f t="shared" ref="L130:L193" si="3">IF(K130="","",EOMONTH(K130,2))</f>
        <v>45657</v>
      </c>
    </row>
    <row r="131" spans="1:12" ht="14.25" customHeight="1" x14ac:dyDescent="0.35">
      <c r="A131" s="3">
        <v>5531</v>
      </c>
      <c r="B131" s="3" t="s">
        <v>95</v>
      </c>
      <c r="C131" s="3" t="s">
        <v>180</v>
      </c>
      <c r="D131" s="3" t="s">
        <v>181</v>
      </c>
      <c r="E131" s="11" t="s">
        <v>286</v>
      </c>
      <c r="F131" s="2">
        <v>45526</v>
      </c>
      <c r="G131" s="2">
        <v>45535</v>
      </c>
      <c r="H131" s="2">
        <v>45526</v>
      </c>
      <c r="I131" s="3" t="s">
        <v>163</v>
      </c>
      <c r="J131" s="3">
        <v>1</v>
      </c>
      <c r="K131" s="2">
        <v>45596</v>
      </c>
      <c r="L131" s="16">
        <f t="shared" si="3"/>
        <v>45657</v>
      </c>
    </row>
    <row r="132" spans="1:12" ht="14.25" customHeight="1" x14ac:dyDescent="0.35">
      <c r="A132" s="3">
        <v>4846</v>
      </c>
      <c r="B132" s="3" t="s">
        <v>275</v>
      </c>
      <c r="C132" s="3" t="s">
        <v>160</v>
      </c>
      <c r="D132" s="3" t="s">
        <v>287</v>
      </c>
      <c r="E132" s="11" t="s">
        <v>288</v>
      </c>
      <c r="F132" s="2">
        <v>45529</v>
      </c>
      <c r="G132" s="2">
        <v>45529</v>
      </c>
      <c r="H132" s="2">
        <v>45609</v>
      </c>
      <c r="I132" s="3" t="s">
        <v>163</v>
      </c>
      <c r="J132" s="3">
        <v>1</v>
      </c>
      <c r="K132" s="2">
        <v>45596</v>
      </c>
      <c r="L132" s="16">
        <f t="shared" si="3"/>
        <v>45657</v>
      </c>
    </row>
    <row r="133" spans="1:12" ht="14.25" customHeight="1" x14ac:dyDescent="0.35">
      <c r="A133" s="3">
        <v>5532</v>
      </c>
      <c r="B133" s="3" t="s">
        <v>174</v>
      </c>
      <c r="C133" s="3" t="s">
        <v>180</v>
      </c>
      <c r="D133" s="3" t="s">
        <v>181</v>
      </c>
      <c r="E133" s="11" t="s">
        <v>289</v>
      </c>
      <c r="F133" s="2">
        <v>45536</v>
      </c>
      <c r="G133" s="3"/>
      <c r="H133" s="2">
        <v>45537</v>
      </c>
      <c r="I133" s="3" t="s">
        <v>163</v>
      </c>
      <c r="J133" s="3">
        <v>1</v>
      </c>
      <c r="K133" s="3"/>
      <c r="L133" s="16" t="str">
        <f t="shared" si="3"/>
        <v/>
      </c>
    </row>
    <row r="134" spans="1:12" ht="14.25" customHeight="1" x14ac:dyDescent="0.35">
      <c r="A134" s="3">
        <v>5534</v>
      </c>
      <c r="B134" s="3" t="s">
        <v>174</v>
      </c>
      <c r="C134" s="3" t="s">
        <v>180</v>
      </c>
      <c r="D134" s="3" t="s">
        <v>181</v>
      </c>
      <c r="E134" s="11" t="s">
        <v>290</v>
      </c>
      <c r="F134" s="2">
        <v>45537</v>
      </c>
      <c r="G134" s="3"/>
      <c r="H134" s="2">
        <v>45542</v>
      </c>
      <c r="I134" s="3" t="s">
        <v>163</v>
      </c>
      <c r="J134" s="3">
        <v>3</v>
      </c>
      <c r="K134" s="3"/>
      <c r="L134" s="16" t="str">
        <f t="shared" si="3"/>
        <v/>
      </c>
    </row>
    <row r="135" spans="1:12" ht="14.25" customHeight="1" x14ac:dyDescent="0.35">
      <c r="A135" s="3">
        <v>5533</v>
      </c>
      <c r="B135" s="3" t="s">
        <v>218</v>
      </c>
      <c r="C135" s="3" t="s">
        <v>180</v>
      </c>
      <c r="D135" s="3" t="s">
        <v>181</v>
      </c>
      <c r="E135" s="11" t="s">
        <v>291</v>
      </c>
      <c r="F135" s="2">
        <v>45542</v>
      </c>
      <c r="G135" s="2">
        <v>45550</v>
      </c>
      <c r="H135" s="2">
        <v>45542</v>
      </c>
      <c r="I135" s="3" t="s">
        <v>163</v>
      </c>
      <c r="J135" s="3">
        <v>1</v>
      </c>
      <c r="K135" s="2">
        <v>45626</v>
      </c>
      <c r="L135" s="16">
        <f t="shared" si="3"/>
        <v>45688</v>
      </c>
    </row>
    <row r="136" spans="1:12" ht="14.25" customHeight="1" x14ac:dyDescent="0.35">
      <c r="A136" s="3">
        <v>5535</v>
      </c>
      <c r="B136" s="3" t="s">
        <v>114</v>
      </c>
      <c r="C136" s="3" t="s">
        <v>180</v>
      </c>
      <c r="D136" s="3" t="s">
        <v>181</v>
      </c>
      <c r="E136" s="11" t="s">
        <v>292</v>
      </c>
      <c r="F136" s="2">
        <v>45542</v>
      </c>
      <c r="G136" s="2">
        <v>45577</v>
      </c>
      <c r="H136" s="2">
        <v>45542</v>
      </c>
      <c r="I136" s="3" t="s">
        <v>163</v>
      </c>
      <c r="J136" s="3">
        <v>1</v>
      </c>
      <c r="K136" s="2">
        <v>45657</v>
      </c>
      <c r="L136" s="16">
        <f t="shared" si="3"/>
        <v>45716</v>
      </c>
    </row>
    <row r="137" spans="1:12" ht="14.25" customHeight="1" x14ac:dyDescent="0.35">
      <c r="A137" s="3">
        <v>5536</v>
      </c>
      <c r="B137" s="3" t="s">
        <v>114</v>
      </c>
      <c r="C137" s="3" t="s">
        <v>180</v>
      </c>
      <c r="D137" s="3" t="s">
        <v>181</v>
      </c>
      <c r="E137" s="11" t="s">
        <v>293</v>
      </c>
      <c r="F137" s="2">
        <v>45543</v>
      </c>
      <c r="G137" s="2">
        <v>45546</v>
      </c>
      <c r="H137" s="2">
        <v>45543</v>
      </c>
      <c r="I137" s="3" t="s">
        <v>163</v>
      </c>
      <c r="J137" s="3">
        <v>1</v>
      </c>
      <c r="K137" s="2">
        <v>45626</v>
      </c>
      <c r="L137" s="16">
        <f t="shared" si="3"/>
        <v>45688</v>
      </c>
    </row>
    <row r="138" spans="1:12" ht="14.25" customHeight="1" x14ac:dyDescent="0.35">
      <c r="A138" s="3">
        <v>4817</v>
      </c>
      <c r="B138" s="3" t="s">
        <v>294</v>
      </c>
      <c r="C138" s="3" t="s">
        <v>160</v>
      </c>
      <c r="D138" s="3" t="s">
        <v>235</v>
      </c>
      <c r="E138" s="11" t="s">
        <v>295</v>
      </c>
      <c r="F138" s="2">
        <v>45544</v>
      </c>
      <c r="G138" s="2">
        <v>45547</v>
      </c>
      <c r="H138" s="2">
        <v>45551</v>
      </c>
      <c r="I138" s="3" t="s">
        <v>163</v>
      </c>
      <c r="J138" s="3">
        <v>22</v>
      </c>
      <c r="K138" s="2">
        <v>45626</v>
      </c>
      <c r="L138" s="16">
        <f t="shared" si="3"/>
        <v>45688</v>
      </c>
    </row>
    <row r="139" spans="1:12" ht="14.25" customHeight="1" x14ac:dyDescent="0.35">
      <c r="A139" s="3">
        <v>3614</v>
      </c>
      <c r="B139" s="3" t="s">
        <v>294</v>
      </c>
      <c r="C139" s="3" t="s">
        <v>172</v>
      </c>
      <c r="D139" s="3" t="s">
        <v>235</v>
      </c>
      <c r="E139" s="11" t="s">
        <v>296</v>
      </c>
      <c r="F139" s="2">
        <v>45545</v>
      </c>
      <c r="G139" s="2">
        <v>45547</v>
      </c>
      <c r="H139" s="2">
        <v>45545</v>
      </c>
      <c r="I139" s="3" t="s">
        <v>163</v>
      </c>
      <c r="J139" s="3">
        <v>64</v>
      </c>
      <c r="K139" s="2">
        <v>45626</v>
      </c>
      <c r="L139" s="16">
        <f t="shared" si="3"/>
        <v>45688</v>
      </c>
    </row>
    <row r="140" spans="1:12" ht="14.25" customHeight="1" x14ac:dyDescent="0.35">
      <c r="A140" s="3">
        <v>5537</v>
      </c>
      <c r="B140" s="3" t="s">
        <v>114</v>
      </c>
      <c r="C140" s="3" t="s">
        <v>180</v>
      </c>
      <c r="D140" s="3" t="s">
        <v>181</v>
      </c>
      <c r="E140" s="11" t="s">
        <v>297</v>
      </c>
      <c r="F140" s="2">
        <v>45545</v>
      </c>
      <c r="G140" s="2">
        <v>45559</v>
      </c>
      <c r="H140" s="2">
        <v>45546</v>
      </c>
      <c r="I140" s="3" t="s">
        <v>163</v>
      </c>
      <c r="J140" s="3">
        <v>2</v>
      </c>
      <c r="K140" s="2">
        <v>45626</v>
      </c>
      <c r="L140" s="16">
        <f t="shared" si="3"/>
        <v>45688</v>
      </c>
    </row>
    <row r="141" spans="1:12" ht="14.25" customHeight="1" x14ac:dyDescent="0.35">
      <c r="A141" s="3">
        <v>5538</v>
      </c>
      <c r="B141" s="3" t="s">
        <v>114</v>
      </c>
      <c r="C141" s="3" t="s">
        <v>180</v>
      </c>
      <c r="D141" s="3" t="s">
        <v>181</v>
      </c>
      <c r="E141" s="11" t="s">
        <v>298</v>
      </c>
      <c r="F141" s="2">
        <v>45546</v>
      </c>
      <c r="G141" s="2">
        <v>45556</v>
      </c>
      <c r="H141" s="2">
        <v>45546</v>
      </c>
      <c r="I141" s="3" t="s">
        <v>163</v>
      </c>
      <c r="J141" s="3">
        <v>1</v>
      </c>
      <c r="K141" s="2">
        <v>45626</v>
      </c>
      <c r="L141" s="16">
        <f t="shared" si="3"/>
        <v>45688</v>
      </c>
    </row>
    <row r="142" spans="1:12" ht="14.25" customHeight="1" x14ac:dyDescent="0.35">
      <c r="A142" s="3">
        <v>4837</v>
      </c>
      <c r="B142" s="3" t="s">
        <v>274</v>
      </c>
      <c r="C142" s="3" t="s">
        <v>160</v>
      </c>
      <c r="D142" s="3" t="s">
        <v>266</v>
      </c>
      <c r="E142" s="11" t="s">
        <v>299</v>
      </c>
      <c r="F142" s="2">
        <v>45551</v>
      </c>
      <c r="G142" s="2">
        <v>45555</v>
      </c>
      <c r="H142" s="2">
        <v>45584</v>
      </c>
      <c r="I142" s="3" t="s">
        <v>163</v>
      </c>
      <c r="J142" s="3">
        <v>6</v>
      </c>
      <c r="K142" s="2">
        <v>45626</v>
      </c>
      <c r="L142" s="16">
        <f t="shared" si="3"/>
        <v>45688</v>
      </c>
    </row>
    <row r="143" spans="1:12" ht="14.25" customHeight="1" x14ac:dyDescent="0.35">
      <c r="A143" s="3">
        <v>3618</v>
      </c>
      <c r="B143" s="3" t="s">
        <v>300</v>
      </c>
      <c r="C143" s="3" t="s">
        <v>172</v>
      </c>
      <c r="D143" s="3" t="s">
        <v>235</v>
      </c>
      <c r="E143" s="11" t="s">
        <v>301</v>
      </c>
      <c r="F143" s="2">
        <v>45557</v>
      </c>
      <c r="G143" s="2">
        <v>45564</v>
      </c>
      <c r="H143" s="2">
        <v>45561</v>
      </c>
      <c r="I143" s="3" t="s">
        <v>163</v>
      </c>
      <c r="J143" s="3">
        <v>67</v>
      </c>
      <c r="K143" s="2">
        <v>45626</v>
      </c>
      <c r="L143" s="16">
        <f t="shared" si="3"/>
        <v>45688</v>
      </c>
    </row>
    <row r="144" spans="1:12" ht="14.25" customHeight="1" x14ac:dyDescent="0.35">
      <c r="A144" s="3">
        <v>3615</v>
      </c>
      <c r="B144" s="3" t="s">
        <v>211</v>
      </c>
      <c r="C144" s="3" t="s">
        <v>172</v>
      </c>
      <c r="D144" s="3" t="s">
        <v>266</v>
      </c>
      <c r="E144" s="11" t="s">
        <v>302</v>
      </c>
      <c r="F144" s="2">
        <v>45558</v>
      </c>
      <c r="G144" s="2">
        <v>45572</v>
      </c>
      <c r="H144" s="2">
        <v>45559</v>
      </c>
      <c r="I144" s="3" t="s">
        <v>163</v>
      </c>
      <c r="J144" s="3">
        <v>41</v>
      </c>
      <c r="K144" s="2">
        <v>45657</v>
      </c>
      <c r="L144" s="16">
        <f t="shared" si="3"/>
        <v>45716</v>
      </c>
    </row>
    <row r="145" spans="1:12" ht="14.25" customHeight="1" x14ac:dyDescent="0.35">
      <c r="A145" s="3">
        <v>4828</v>
      </c>
      <c r="B145" s="3" t="s">
        <v>211</v>
      </c>
      <c r="C145" s="3" t="s">
        <v>160</v>
      </c>
      <c r="D145" s="3" t="s">
        <v>235</v>
      </c>
      <c r="E145" s="11" t="s">
        <v>301</v>
      </c>
      <c r="F145" s="2">
        <v>45558</v>
      </c>
      <c r="G145" s="2">
        <v>45572</v>
      </c>
      <c r="H145" s="2">
        <v>45563</v>
      </c>
      <c r="I145" s="3" t="s">
        <v>163</v>
      </c>
      <c r="J145" s="3">
        <v>47</v>
      </c>
      <c r="K145" s="2">
        <v>45657</v>
      </c>
      <c r="L145" s="16">
        <f t="shared" si="3"/>
        <v>45716</v>
      </c>
    </row>
    <row r="146" spans="1:12" ht="14.25" customHeight="1" x14ac:dyDescent="0.35">
      <c r="A146" s="3">
        <v>3616</v>
      </c>
      <c r="B146" s="3" t="s">
        <v>272</v>
      </c>
      <c r="C146" s="3" t="s">
        <v>172</v>
      </c>
      <c r="D146" s="3" t="s">
        <v>266</v>
      </c>
      <c r="E146" s="11" t="s">
        <v>301</v>
      </c>
      <c r="F146" s="2">
        <v>45559</v>
      </c>
      <c r="G146" s="2">
        <v>45595</v>
      </c>
      <c r="H146" s="2">
        <v>45561</v>
      </c>
      <c r="I146" s="3" t="s">
        <v>163</v>
      </c>
      <c r="J146" s="3">
        <v>159</v>
      </c>
      <c r="K146" s="2">
        <v>45657</v>
      </c>
      <c r="L146" s="16">
        <f t="shared" si="3"/>
        <v>45716</v>
      </c>
    </row>
    <row r="147" spans="1:12" ht="14.25" customHeight="1" x14ac:dyDescent="0.35">
      <c r="A147" s="3">
        <v>4830</v>
      </c>
      <c r="B147" s="3" t="s">
        <v>272</v>
      </c>
      <c r="C147" s="3" t="s">
        <v>160</v>
      </c>
      <c r="D147" s="3" t="s">
        <v>235</v>
      </c>
      <c r="E147" s="11" t="s">
        <v>301</v>
      </c>
      <c r="F147" s="2">
        <v>45559</v>
      </c>
      <c r="G147" s="2">
        <v>45595</v>
      </c>
      <c r="H147" s="2">
        <v>45565</v>
      </c>
      <c r="I147" s="3" t="s">
        <v>163</v>
      </c>
      <c r="J147" s="3">
        <v>94</v>
      </c>
      <c r="K147" s="2">
        <v>45657</v>
      </c>
      <c r="L147" s="16">
        <f t="shared" si="3"/>
        <v>45716</v>
      </c>
    </row>
    <row r="148" spans="1:12" ht="14.25" customHeight="1" x14ac:dyDescent="0.35">
      <c r="A148" s="3">
        <v>3617</v>
      </c>
      <c r="B148" s="3" t="s">
        <v>274</v>
      </c>
      <c r="C148" s="3" t="s">
        <v>172</v>
      </c>
      <c r="D148" s="3" t="s">
        <v>266</v>
      </c>
      <c r="E148" s="11" t="s">
        <v>301</v>
      </c>
      <c r="F148" s="2">
        <v>45560</v>
      </c>
      <c r="G148" s="2">
        <v>45644</v>
      </c>
      <c r="H148" s="2">
        <v>45561</v>
      </c>
      <c r="I148" s="3" t="s">
        <v>163</v>
      </c>
      <c r="J148" s="3">
        <v>101</v>
      </c>
      <c r="K148" s="2">
        <v>45716</v>
      </c>
      <c r="L148" s="16">
        <f t="shared" si="3"/>
        <v>45777</v>
      </c>
    </row>
    <row r="149" spans="1:12" ht="14.25" customHeight="1" x14ac:dyDescent="0.35">
      <c r="A149" s="3">
        <v>3619</v>
      </c>
      <c r="B149" s="3" t="s">
        <v>271</v>
      </c>
      <c r="C149" s="3" t="s">
        <v>172</v>
      </c>
      <c r="D149" s="3" t="s">
        <v>266</v>
      </c>
      <c r="E149" s="11" t="s">
        <v>301</v>
      </c>
      <c r="F149" s="2">
        <v>45560</v>
      </c>
      <c r="G149" s="2">
        <v>45572</v>
      </c>
      <c r="H149" s="2">
        <v>45561</v>
      </c>
      <c r="I149" s="3" t="s">
        <v>163</v>
      </c>
      <c r="J149" s="3">
        <v>46</v>
      </c>
      <c r="K149" s="2">
        <v>45657</v>
      </c>
      <c r="L149" s="16">
        <f t="shared" si="3"/>
        <v>45716</v>
      </c>
    </row>
    <row r="150" spans="1:12" ht="14.25" customHeight="1" x14ac:dyDescent="0.35">
      <c r="A150" s="3">
        <v>3621</v>
      </c>
      <c r="B150" s="3" t="s">
        <v>98</v>
      </c>
      <c r="C150" s="3" t="s">
        <v>172</v>
      </c>
      <c r="D150" s="3" t="s">
        <v>266</v>
      </c>
      <c r="E150" s="11" t="s">
        <v>303</v>
      </c>
      <c r="F150" s="2">
        <v>45560</v>
      </c>
      <c r="G150" s="2">
        <v>45568</v>
      </c>
      <c r="H150" s="2">
        <v>45564</v>
      </c>
      <c r="I150" s="3" t="s">
        <v>163</v>
      </c>
      <c r="J150" s="3">
        <v>24</v>
      </c>
      <c r="K150" s="2">
        <v>45657</v>
      </c>
      <c r="L150" s="16">
        <f t="shared" si="3"/>
        <v>45716</v>
      </c>
    </row>
    <row r="151" spans="1:12" ht="14.25" customHeight="1" x14ac:dyDescent="0.35">
      <c r="A151" s="3">
        <v>4827</v>
      </c>
      <c r="B151" s="3" t="s">
        <v>274</v>
      </c>
      <c r="C151" s="3" t="s">
        <v>160</v>
      </c>
      <c r="D151" s="3" t="s">
        <v>266</v>
      </c>
      <c r="E151" s="11" t="s">
        <v>302</v>
      </c>
      <c r="F151" s="2">
        <v>45560</v>
      </c>
      <c r="G151" s="2">
        <v>45644</v>
      </c>
      <c r="H151" s="2">
        <v>45563</v>
      </c>
      <c r="I151" s="3" t="s">
        <v>163</v>
      </c>
      <c r="J151" s="3">
        <v>40</v>
      </c>
      <c r="K151" s="2">
        <v>45716</v>
      </c>
      <c r="L151" s="16">
        <f t="shared" si="3"/>
        <v>45777</v>
      </c>
    </row>
    <row r="152" spans="1:12" ht="14.25" customHeight="1" x14ac:dyDescent="0.35">
      <c r="A152" s="3">
        <v>4829</v>
      </c>
      <c r="B152" s="3" t="s">
        <v>271</v>
      </c>
      <c r="C152" s="3" t="s">
        <v>160</v>
      </c>
      <c r="D152" s="3" t="s">
        <v>235</v>
      </c>
      <c r="E152" s="11" t="s">
        <v>301</v>
      </c>
      <c r="F152" s="2">
        <v>45560</v>
      </c>
      <c r="G152" s="2">
        <v>45572</v>
      </c>
      <c r="H152" s="2">
        <v>45564</v>
      </c>
      <c r="I152" s="3" t="s">
        <v>163</v>
      </c>
      <c r="J152" s="3">
        <v>34</v>
      </c>
      <c r="K152" s="2">
        <v>45657</v>
      </c>
      <c r="L152" s="16">
        <f t="shared" si="3"/>
        <v>45716</v>
      </c>
    </row>
    <row r="153" spans="1:12" ht="14.25" customHeight="1" x14ac:dyDescent="0.35">
      <c r="A153" s="3">
        <v>4831</v>
      </c>
      <c r="B153" s="3" t="s">
        <v>98</v>
      </c>
      <c r="C153" s="3" t="s">
        <v>160</v>
      </c>
      <c r="D153" s="3" t="s">
        <v>266</v>
      </c>
      <c r="E153" s="11" t="s">
        <v>302</v>
      </c>
      <c r="F153" s="2">
        <v>45560</v>
      </c>
      <c r="G153" s="2">
        <v>45568</v>
      </c>
      <c r="H153" s="2">
        <v>45566</v>
      </c>
      <c r="I153" s="3" t="s">
        <v>163</v>
      </c>
      <c r="J153" s="3">
        <v>37</v>
      </c>
      <c r="K153" s="2">
        <v>45657</v>
      </c>
      <c r="L153" s="16">
        <f t="shared" si="3"/>
        <v>45716</v>
      </c>
    </row>
    <row r="154" spans="1:12" ht="14.25" customHeight="1" x14ac:dyDescent="0.35">
      <c r="A154" s="3">
        <v>4851</v>
      </c>
      <c r="B154" s="3" t="s">
        <v>192</v>
      </c>
      <c r="C154" s="3" t="s">
        <v>160</v>
      </c>
      <c r="D154" s="3" t="s">
        <v>266</v>
      </c>
      <c r="E154" s="11" t="s">
        <v>304</v>
      </c>
      <c r="F154" s="2">
        <v>45560</v>
      </c>
      <c r="G154" s="2">
        <v>45563</v>
      </c>
      <c r="H154" s="2">
        <v>45635</v>
      </c>
      <c r="I154" s="3" t="s">
        <v>163</v>
      </c>
      <c r="J154" s="3">
        <v>1</v>
      </c>
      <c r="K154" s="2">
        <v>45626</v>
      </c>
      <c r="L154" s="16">
        <f t="shared" si="3"/>
        <v>45688</v>
      </c>
    </row>
    <row r="155" spans="1:12" ht="14.25" customHeight="1" x14ac:dyDescent="0.35">
      <c r="A155" s="3">
        <v>3620</v>
      </c>
      <c r="B155" s="3" t="s">
        <v>209</v>
      </c>
      <c r="C155" s="3" t="s">
        <v>172</v>
      </c>
      <c r="D155" s="3" t="s">
        <v>266</v>
      </c>
      <c r="E155" s="11" t="s">
        <v>302</v>
      </c>
      <c r="F155" s="2">
        <v>45561</v>
      </c>
      <c r="G155" s="2">
        <v>45565</v>
      </c>
      <c r="H155" s="2">
        <v>45562</v>
      </c>
      <c r="I155" s="3" t="s">
        <v>163</v>
      </c>
      <c r="J155" s="3">
        <v>8</v>
      </c>
      <c r="K155" s="2">
        <v>45626</v>
      </c>
      <c r="L155" s="16">
        <f t="shared" si="3"/>
        <v>45688</v>
      </c>
    </row>
    <row r="156" spans="1:12" ht="14.25" customHeight="1" x14ac:dyDescent="0.35">
      <c r="A156" s="3">
        <v>4832</v>
      </c>
      <c r="B156" s="3" t="s">
        <v>209</v>
      </c>
      <c r="C156" s="3" t="s">
        <v>160</v>
      </c>
      <c r="D156" s="3" t="s">
        <v>266</v>
      </c>
      <c r="E156" s="11" t="s">
        <v>302</v>
      </c>
      <c r="F156" s="2">
        <v>45561</v>
      </c>
      <c r="G156" s="2">
        <v>45565</v>
      </c>
      <c r="H156" s="2">
        <v>45567</v>
      </c>
      <c r="I156" s="3" t="s">
        <v>163</v>
      </c>
      <c r="J156" s="3">
        <v>14</v>
      </c>
      <c r="K156" s="2">
        <v>45626</v>
      </c>
      <c r="L156" s="16">
        <f t="shared" si="3"/>
        <v>45688</v>
      </c>
    </row>
    <row r="157" spans="1:12" ht="14.25" customHeight="1" x14ac:dyDescent="0.35">
      <c r="A157" s="3">
        <v>4848</v>
      </c>
      <c r="B157" s="3" t="s">
        <v>27</v>
      </c>
      <c r="C157" s="3" t="s">
        <v>160</v>
      </c>
      <c r="D157" s="3" t="s">
        <v>266</v>
      </c>
      <c r="E157" s="11" t="s">
        <v>305</v>
      </c>
      <c r="F157" s="2">
        <v>45562</v>
      </c>
      <c r="G157" s="2">
        <v>45565</v>
      </c>
      <c r="H157" s="2">
        <v>45622</v>
      </c>
      <c r="I157" s="3" t="s">
        <v>163</v>
      </c>
      <c r="J157" s="3">
        <v>34</v>
      </c>
      <c r="K157" s="2">
        <v>45626</v>
      </c>
      <c r="L157" s="16">
        <f t="shared" si="3"/>
        <v>45688</v>
      </c>
    </row>
    <row r="158" spans="1:12" ht="14.25" customHeight="1" x14ac:dyDescent="0.35">
      <c r="A158" s="3">
        <v>5539</v>
      </c>
      <c r="B158" s="3" t="s">
        <v>95</v>
      </c>
      <c r="C158" s="3" t="s">
        <v>180</v>
      </c>
      <c r="D158" s="3" t="s">
        <v>181</v>
      </c>
      <c r="E158" s="11" t="s">
        <v>306</v>
      </c>
      <c r="F158" s="2">
        <v>45563</v>
      </c>
      <c r="G158" s="2">
        <v>45587</v>
      </c>
      <c r="H158" s="2">
        <v>45565</v>
      </c>
      <c r="I158" s="3" t="s">
        <v>163</v>
      </c>
      <c r="J158" s="3">
        <v>1</v>
      </c>
      <c r="K158" s="2">
        <v>45657</v>
      </c>
      <c r="L158" s="16">
        <f t="shared" si="3"/>
        <v>45716</v>
      </c>
    </row>
    <row r="159" spans="1:12" ht="14.25" customHeight="1" x14ac:dyDescent="0.35">
      <c r="A159" s="3">
        <v>3622</v>
      </c>
      <c r="B159" s="3" t="s">
        <v>211</v>
      </c>
      <c r="C159" s="3" t="s">
        <v>172</v>
      </c>
      <c r="D159" s="3" t="s">
        <v>235</v>
      </c>
      <c r="E159" s="11" t="s">
        <v>307</v>
      </c>
      <c r="F159" s="2">
        <v>45570</v>
      </c>
      <c r="G159" s="2">
        <v>45598</v>
      </c>
      <c r="H159" s="2">
        <v>45572</v>
      </c>
      <c r="I159" s="3" t="s">
        <v>163</v>
      </c>
      <c r="J159" s="3">
        <v>51</v>
      </c>
      <c r="K159" s="2">
        <v>45688</v>
      </c>
      <c r="L159" s="16">
        <f t="shared" si="3"/>
        <v>45747</v>
      </c>
    </row>
    <row r="160" spans="1:12" ht="14.25" customHeight="1" x14ac:dyDescent="0.35">
      <c r="A160" s="3">
        <v>3623</v>
      </c>
      <c r="B160" s="3" t="s">
        <v>211</v>
      </c>
      <c r="C160" s="3" t="s">
        <v>172</v>
      </c>
      <c r="D160" s="3" t="s">
        <v>235</v>
      </c>
      <c r="E160" s="11" t="s">
        <v>307</v>
      </c>
      <c r="F160" s="2">
        <v>45570</v>
      </c>
      <c r="G160" s="2">
        <v>45598</v>
      </c>
      <c r="H160" s="2">
        <v>45573</v>
      </c>
      <c r="I160" s="3" t="s">
        <v>163</v>
      </c>
      <c r="J160" s="3">
        <v>7</v>
      </c>
      <c r="K160" s="2">
        <v>45688</v>
      </c>
      <c r="L160" s="16">
        <f t="shared" si="3"/>
        <v>45747</v>
      </c>
    </row>
    <row r="161" spans="1:12" ht="14.25" customHeight="1" x14ac:dyDescent="0.35">
      <c r="A161" s="3">
        <v>4834</v>
      </c>
      <c r="B161" s="3" t="s">
        <v>211</v>
      </c>
      <c r="C161" s="3" t="s">
        <v>160</v>
      </c>
      <c r="D161" s="3" t="s">
        <v>235</v>
      </c>
      <c r="E161" s="11" t="s">
        <v>308</v>
      </c>
      <c r="F161" s="2">
        <v>45570</v>
      </c>
      <c r="G161" s="2">
        <v>45598</v>
      </c>
      <c r="H161" s="2">
        <v>45576</v>
      </c>
      <c r="I161" s="3" t="s">
        <v>163</v>
      </c>
      <c r="J161" s="3">
        <v>52</v>
      </c>
      <c r="K161" s="2">
        <v>45688</v>
      </c>
      <c r="L161" s="16">
        <f t="shared" si="3"/>
        <v>45747</v>
      </c>
    </row>
    <row r="162" spans="1:12" ht="14.25" customHeight="1" x14ac:dyDescent="0.35">
      <c r="A162" s="3">
        <v>4844</v>
      </c>
      <c r="B162" s="3" t="s">
        <v>211</v>
      </c>
      <c r="C162" s="3" t="s">
        <v>160</v>
      </c>
      <c r="D162" s="3" t="s">
        <v>235</v>
      </c>
      <c r="E162" s="11" t="s">
        <v>307</v>
      </c>
      <c r="F162" s="2">
        <v>45570</v>
      </c>
      <c r="G162" s="2">
        <v>45598</v>
      </c>
      <c r="H162" s="2">
        <v>45601</v>
      </c>
      <c r="I162" s="3" t="s">
        <v>163</v>
      </c>
      <c r="J162" s="3">
        <v>7</v>
      </c>
      <c r="K162" s="2">
        <v>45688</v>
      </c>
      <c r="L162" s="16">
        <f t="shared" si="3"/>
        <v>45747</v>
      </c>
    </row>
    <row r="163" spans="1:12" ht="14.25" customHeight="1" x14ac:dyDescent="0.35">
      <c r="A163" s="3">
        <v>4852</v>
      </c>
      <c r="B163" s="3" t="s">
        <v>309</v>
      </c>
      <c r="C163" s="3" t="s">
        <v>160</v>
      </c>
      <c r="D163" s="3" t="s">
        <v>181</v>
      </c>
      <c r="E163" s="11" t="s">
        <v>310</v>
      </c>
      <c r="F163" s="2">
        <v>45570</v>
      </c>
      <c r="G163" s="2">
        <v>45571</v>
      </c>
      <c r="H163" s="2">
        <v>45650</v>
      </c>
      <c r="I163" s="3" t="s">
        <v>163</v>
      </c>
      <c r="J163" s="3">
        <v>2</v>
      </c>
      <c r="K163" s="2">
        <v>45657</v>
      </c>
      <c r="L163" s="16">
        <f t="shared" si="3"/>
        <v>45716</v>
      </c>
    </row>
    <row r="164" spans="1:12" ht="14.25" customHeight="1" x14ac:dyDescent="0.35">
      <c r="A164" s="3">
        <v>5540</v>
      </c>
      <c r="B164" s="3" t="s">
        <v>309</v>
      </c>
      <c r="C164" s="3" t="s">
        <v>180</v>
      </c>
      <c r="D164" s="3" t="s">
        <v>181</v>
      </c>
      <c r="E164" s="11" t="s">
        <v>311</v>
      </c>
      <c r="F164" s="2">
        <v>45570</v>
      </c>
      <c r="G164" s="2">
        <v>45586</v>
      </c>
      <c r="H164" s="2">
        <v>45571</v>
      </c>
      <c r="I164" s="3" t="s">
        <v>163</v>
      </c>
      <c r="J164" s="3">
        <v>1</v>
      </c>
      <c r="K164" s="2">
        <v>45657</v>
      </c>
      <c r="L164" s="16">
        <f t="shared" si="3"/>
        <v>45716</v>
      </c>
    </row>
    <row r="165" spans="1:12" ht="14.25" customHeight="1" x14ac:dyDescent="0.35">
      <c r="A165" s="3">
        <v>5541</v>
      </c>
      <c r="B165" s="3" t="s">
        <v>309</v>
      </c>
      <c r="C165" s="3" t="s">
        <v>180</v>
      </c>
      <c r="D165" s="3" t="s">
        <v>181</v>
      </c>
      <c r="E165" s="11" t="s">
        <v>312</v>
      </c>
      <c r="F165" s="2">
        <v>45570</v>
      </c>
      <c r="G165" s="2">
        <v>45582</v>
      </c>
      <c r="H165" s="2">
        <v>45571</v>
      </c>
      <c r="I165" s="3" t="s">
        <v>163</v>
      </c>
      <c r="J165" s="3">
        <v>1</v>
      </c>
      <c r="K165" s="2">
        <v>45657</v>
      </c>
      <c r="L165" s="16">
        <f t="shared" si="3"/>
        <v>45716</v>
      </c>
    </row>
    <row r="166" spans="1:12" ht="14.25" customHeight="1" x14ac:dyDescent="0.35">
      <c r="A166" s="3">
        <v>4843</v>
      </c>
      <c r="B166" s="3" t="s">
        <v>140</v>
      </c>
      <c r="C166" s="3" t="s">
        <v>160</v>
      </c>
      <c r="D166" s="3" t="s">
        <v>176</v>
      </c>
      <c r="E166" s="11" t="s">
        <v>313</v>
      </c>
      <c r="F166" s="2">
        <v>45584</v>
      </c>
      <c r="G166" s="2">
        <v>45585</v>
      </c>
      <c r="H166" s="2">
        <v>45597</v>
      </c>
      <c r="I166" s="3" t="s">
        <v>163</v>
      </c>
      <c r="J166" s="3">
        <v>1</v>
      </c>
      <c r="K166" s="2">
        <v>45657</v>
      </c>
      <c r="L166" s="16">
        <f t="shared" si="3"/>
        <v>45716</v>
      </c>
    </row>
    <row r="167" spans="1:12" ht="14.25" customHeight="1" x14ac:dyDescent="0.35">
      <c r="A167" s="3">
        <v>4859</v>
      </c>
      <c r="B167" s="3" t="s">
        <v>275</v>
      </c>
      <c r="C167" s="3" t="s">
        <v>160</v>
      </c>
      <c r="D167" s="3" t="s">
        <v>161</v>
      </c>
      <c r="E167" s="11" t="s">
        <v>177</v>
      </c>
      <c r="F167" s="2">
        <v>45585</v>
      </c>
      <c r="G167" s="2">
        <v>45588</v>
      </c>
      <c r="H167" s="2">
        <v>45672</v>
      </c>
      <c r="I167" s="3" t="s">
        <v>163</v>
      </c>
      <c r="J167" s="3">
        <v>2</v>
      </c>
      <c r="K167" s="2">
        <v>45657</v>
      </c>
      <c r="L167" s="16">
        <f t="shared" si="3"/>
        <v>45716</v>
      </c>
    </row>
    <row r="168" spans="1:12" ht="14.25" customHeight="1" x14ac:dyDescent="0.35">
      <c r="A168" s="3">
        <v>5542</v>
      </c>
      <c r="B168" s="3" t="s">
        <v>171</v>
      </c>
      <c r="C168" s="3" t="s">
        <v>180</v>
      </c>
      <c r="D168" s="3" t="s">
        <v>181</v>
      </c>
      <c r="E168" s="11" t="s">
        <v>314</v>
      </c>
      <c r="F168" s="2">
        <v>45586</v>
      </c>
      <c r="G168" s="3"/>
      <c r="H168" s="2">
        <v>45589</v>
      </c>
      <c r="I168" s="3" t="s">
        <v>163</v>
      </c>
      <c r="J168" s="3">
        <v>2</v>
      </c>
      <c r="K168" s="3"/>
      <c r="L168" s="16" t="str">
        <f t="shared" si="3"/>
        <v/>
      </c>
    </row>
    <row r="169" spans="1:12" ht="14.25" customHeight="1" x14ac:dyDescent="0.35">
      <c r="A169" s="3">
        <v>5543</v>
      </c>
      <c r="B169" s="3" t="s">
        <v>184</v>
      </c>
      <c r="C169" s="3" t="s">
        <v>180</v>
      </c>
      <c r="D169" s="3" t="s">
        <v>181</v>
      </c>
      <c r="E169" s="11" t="s">
        <v>315</v>
      </c>
      <c r="F169" s="2">
        <v>45594</v>
      </c>
      <c r="G169" s="3"/>
      <c r="H169" s="2">
        <v>45595</v>
      </c>
      <c r="I169" s="3" t="s">
        <v>163</v>
      </c>
      <c r="J169" s="3">
        <v>2</v>
      </c>
      <c r="K169" s="3"/>
      <c r="L169" s="16" t="str">
        <f t="shared" si="3"/>
        <v/>
      </c>
    </row>
    <row r="170" spans="1:12" ht="14.25" customHeight="1" x14ac:dyDescent="0.35">
      <c r="A170" s="3">
        <v>5544</v>
      </c>
      <c r="B170" s="3" t="s">
        <v>184</v>
      </c>
      <c r="C170" s="3" t="s">
        <v>180</v>
      </c>
      <c r="D170" s="3" t="s">
        <v>181</v>
      </c>
      <c r="E170" s="11" t="s">
        <v>316</v>
      </c>
      <c r="F170" s="2">
        <v>45594</v>
      </c>
      <c r="G170" s="3"/>
      <c r="H170" s="2">
        <v>45595</v>
      </c>
      <c r="I170" s="3" t="s">
        <v>163</v>
      </c>
      <c r="J170" s="3">
        <v>1</v>
      </c>
      <c r="K170" s="3"/>
      <c r="L170" s="16" t="str">
        <f t="shared" si="3"/>
        <v/>
      </c>
    </row>
    <row r="171" spans="1:12" ht="14.25" customHeight="1" x14ac:dyDescent="0.35">
      <c r="A171" s="3">
        <v>4862</v>
      </c>
      <c r="B171" s="3" t="s">
        <v>184</v>
      </c>
      <c r="C171" s="3" t="s">
        <v>160</v>
      </c>
      <c r="D171" s="3" t="s">
        <v>161</v>
      </c>
      <c r="E171" s="11" t="s">
        <v>198</v>
      </c>
      <c r="F171" s="2">
        <v>45598</v>
      </c>
      <c r="G171" s="2">
        <v>45601</v>
      </c>
      <c r="H171" s="2">
        <v>45734</v>
      </c>
      <c r="I171" s="3" t="s">
        <v>163</v>
      </c>
      <c r="J171" s="3">
        <v>8</v>
      </c>
      <c r="K171" s="2">
        <v>45688</v>
      </c>
      <c r="L171" s="16">
        <f t="shared" si="3"/>
        <v>45747</v>
      </c>
    </row>
    <row r="172" spans="1:12" ht="14.25" customHeight="1" x14ac:dyDescent="0.35">
      <c r="A172" s="3">
        <v>4855</v>
      </c>
      <c r="B172" s="3" t="s">
        <v>213</v>
      </c>
      <c r="C172" s="3" t="s">
        <v>160</v>
      </c>
      <c r="D172" s="3" t="s">
        <v>161</v>
      </c>
      <c r="E172" s="11" t="s">
        <v>317</v>
      </c>
      <c r="F172" s="2">
        <v>45599</v>
      </c>
      <c r="G172" s="2">
        <v>45605</v>
      </c>
      <c r="H172" s="2">
        <v>45658</v>
      </c>
      <c r="I172" s="3" t="s">
        <v>163</v>
      </c>
      <c r="J172" s="3">
        <v>14</v>
      </c>
      <c r="K172" s="2">
        <v>45688</v>
      </c>
      <c r="L172" s="16">
        <f t="shared" si="3"/>
        <v>45747</v>
      </c>
    </row>
    <row r="173" spans="1:12" ht="14.25" customHeight="1" x14ac:dyDescent="0.35">
      <c r="A173" s="3">
        <v>4858</v>
      </c>
      <c r="B173" s="3" t="s">
        <v>271</v>
      </c>
      <c r="C173" s="3" t="s">
        <v>160</v>
      </c>
      <c r="D173" s="3" t="s">
        <v>176</v>
      </c>
      <c r="E173" s="11" t="s">
        <v>168</v>
      </c>
      <c r="F173" s="2">
        <v>45602</v>
      </c>
      <c r="G173" s="2">
        <v>45610</v>
      </c>
      <c r="H173" s="2">
        <v>45667</v>
      </c>
      <c r="I173" s="3" t="s">
        <v>163</v>
      </c>
      <c r="J173" s="3">
        <v>3</v>
      </c>
      <c r="K173" s="2">
        <v>45688</v>
      </c>
      <c r="L173" s="16">
        <f t="shared" si="3"/>
        <v>45747</v>
      </c>
    </row>
    <row r="174" spans="1:12" ht="14.25" customHeight="1" x14ac:dyDescent="0.35">
      <c r="A174" s="3">
        <v>5545</v>
      </c>
      <c r="B174" s="3" t="s">
        <v>114</v>
      </c>
      <c r="C174" s="3" t="s">
        <v>180</v>
      </c>
      <c r="D174" s="3" t="s">
        <v>181</v>
      </c>
      <c r="E174" s="11" t="s">
        <v>318</v>
      </c>
      <c r="F174" s="2">
        <v>45602</v>
      </c>
      <c r="G174" s="2">
        <v>45611</v>
      </c>
      <c r="H174" s="2">
        <v>45602</v>
      </c>
      <c r="I174" s="3" t="s">
        <v>163</v>
      </c>
      <c r="J174" s="3">
        <v>1</v>
      </c>
      <c r="K174" s="2">
        <v>45688</v>
      </c>
      <c r="L174" s="16">
        <f t="shared" si="3"/>
        <v>45747</v>
      </c>
    </row>
    <row r="175" spans="1:12" ht="14.25" customHeight="1" x14ac:dyDescent="0.35">
      <c r="A175" s="3">
        <v>5547</v>
      </c>
      <c r="B175" s="3" t="s">
        <v>240</v>
      </c>
      <c r="C175" s="3" t="s">
        <v>180</v>
      </c>
      <c r="D175" s="3" t="s">
        <v>181</v>
      </c>
      <c r="E175" s="11" t="s">
        <v>319</v>
      </c>
      <c r="F175" s="2">
        <v>45604</v>
      </c>
      <c r="G175" s="2">
        <v>45618</v>
      </c>
      <c r="H175" s="2">
        <v>45611</v>
      </c>
      <c r="I175" s="3" t="s">
        <v>163</v>
      </c>
      <c r="J175" s="3">
        <v>1</v>
      </c>
      <c r="K175" s="2">
        <v>45688</v>
      </c>
      <c r="L175" s="16">
        <f t="shared" si="3"/>
        <v>45747</v>
      </c>
    </row>
    <row r="176" spans="1:12" ht="14.25" customHeight="1" x14ac:dyDescent="0.35">
      <c r="A176" s="3">
        <v>5546</v>
      </c>
      <c r="B176" s="3" t="s">
        <v>218</v>
      </c>
      <c r="C176" s="3" t="s">
        <v>180</v>
      </c>
      <c r="D176" s="3" t="s">
        <v>181</v>
      </c>
      <c r="E176" s="11" t="s">
        <v>320</v>
      </c>
      <c r="F176" s="2">
        <v>45607</v>
      </c>
      <c r="G176" s="2">
        <v>45609</v>
      </c>
      <c r="H176" s="2">
        <v>45607</v>
      </c>
      <c r="I176" s="3" t="s">
        <v>163</v>
      </c>
      <c r="J176" s="3">
        <v>1</v>
      </c>
      <c r="K176" s="2">
        <v>45688</v>
      </c>
      <c r="L176" s="16">
        <f t="shared" si="3"/>
        <v>45747</v>
      </c>
    </row>
    <row r="177" spans="1:12" ht="14.25" customHeight="1" x14ac:dyDescent="0.35">
      <c r="A177" s="3">
        <v>5548</v>
      </c>
      <c r="B177" s="3" t="s">
        <v>114</v>
      </c>
      <c r="C177" s="3" t="s">
        <v>180</v>
      </c>
      <c r="D177" s="3" t="s">
        <v>181</v>
      </c>
      <c r="E177" s="11" t="s">
        <v>321</v>
      </c>
      <c r="F177" s="2">
        <v>45636</v>
      </c>
      <c r="G177" s="2">
        <v>45644</v>
      </c>
      <c r="H177" s="2">
        <v>45636</v>
      </c>
      <c r="I177" s="3" t="s">
        <v>163</v>
      </c>
      <c r="J177" s="3">
        <v>1</v>
      </c>
      <c r="K177" s="2">
        <v>45716</v>
      </c>
      <c r="L177" s="16">
        <f t="shared" si="3"/>
        <v>45777</v>
      </c>
    </row>
    <row r="178" spans="1:12" ht="14.25" customHeight="1" x14ac:dyDescent="0.35">
      <c r="A178" s="3">
        <v>4856</v>
      </c>
      <c r="B178" s="3" t="s">
        <v>114</v>
      </c>
      <c r="C178" s="3" t="s">
        <v>160</v>
      </c>
      <c r="D178" s="3" t="s">
        <v>181</v>
      </c>
      <c r="E178" s="11" t="s">
        <v>310</v>
      </c>
      <c r="F178" s="2">
        <v>45664</v>
      </c>
      <c r="G178" s="2">
        <v>45688</v>
      </c>
      <c r="H178" s="2">
        <v>45665</v>
      </c>
      <c r="I178" s="3" t="s">
        <v>163</v>
      </c>
      <c r="J178" s="3">
        <v>1</v>
      </c>
      <c r="K178" s="2">
        <v>45747</v>
      </c>
      <c r="L178" s="16">
        <f t="shared" si="3"/>
        <v>45808</v>
      </c>
    </row>
    <row r="179" spans="1:12" ht="14.25" customHeight="1" x14ac:dyDescent="0.35">
      <c r="A179" s="3">
        <v>5549</v>
      </c>
      <c r="B179" s="3" t="s">
        <v>114</v>
      </c>
      <c r="C179" s="3" t="s">
        <v>180</v>
      </c>
      <c r="D179" s="3" t="s">
        <v>181</v>
      </c>
      <c r="E179" s="11" t="s">
        <v>322</v>
      </c>
      <c r="F179" s="2">
        <v>45664</v>
      </c>
      <c r="G179" s="3"/>
      <c r="H179" s="2">
        <v>45664</v>
      </c>
      <c r="I179" s="3" t="s">
        <v>163</v>
      </c>
      <c r="J179" s="3">
        <v>1</v>
      </c>
      <c r="K179" s="3"/>
      <c r="L179" s="16" t="str">
        <f t="shared" si="3"/>
        <v/>
      </c>
    </row>
    <row r="180" spans="1:12" ht="14.25" customHeight="1" x14ac:dyDescent="0.35">
      <c r="A180" s="3">
        <v>5550</v>
      </c>
      <c r="B180" s="3" t="s">
        <v>114</v>
      </c>
      <c r="C180" s="3" t="s">
        <v>180</v>
      </c>
      <c r="D180" s="3" t="s">
        <v>181</v>
      </c>
      <c r="E180" s="11" t="s">
        <v>323</v>
      </c>
      <c r="F180" s="2">
        <v>45664</v>
      </c>
      <c r="G180" s="3"/>
      <c r="H180" s="2">
        <v>45665</v>
      </c>
      <c r="I180" s="3" t="s">
        <v>163</v>
      </c>
      <c r="J180" s="3">
        <v>1</v>
      </c>
      <c r="K180" s="3"/>
      <c r="L180" s="16" t="str">
        <f t="shared" si="3"/>
        <v/>
      </c>
    </row>
    <row r="181" spans="1:12" ht="14.25" customHeight="1" x14ac:dyDescent="0.35">
      <c r="A181" s="3">
        <v>5551</v>
      </c>
      <c r="B181" s="3" t="s">
        <v>114</v>
      </c>
      <c r="C181" s="3" t="s">
        <v>180</v>
      </c>
      <c r="D181" s="3" t="s">
        <v>181</v>
      </c>
      <c r="E181" s="11" t="s">
        <v>324</v>
      </c>
      <c r="F181" s="2">
        <v>45664</v>
      </c>
      <c r="G181" s="3"/>
      <c r="H181" s="2">
        <v>45665</v>
      </c>
      <c r="I181" s="3" t="s">
        <v>163</v>
      </c>
      <c r="J181" s="3">
        <v>1</v>
      </c>
      <c r="K181" s="3"/>
      <c r="L181" s="16" t="str">
        <f t="shared" si="3"/>
        <v/>
      </c>
    </row>
    <row r="182" spans="1:12" ht="14.25" customHeight="1" x14ac:dyDescent="0.35">
      <c r="A182" s="3">
        <v>4863</v>
      </c>
      <c r="B182" s="3" t="s">
        <v>98</v>
      </c>
      <c r="C182" s="3" t="s">
        <v>160</v>
      </c>
      <c r="D182" s="3" t="s">
        <v>161</v>
      </c>
      <c r="E182" s="11" t="s">
        <v>325</v>
      </c>
      <c r="F182" s="2">
        <v>45698</v>
      </c>
      <c r="G182" s="2">
        <v>45706</v>
      </c>
      <c r="H182" s="2">
        <v>45751</v>
      </c>
      <c r="I182" s="3" t="s">
        <v>163</v>
      </c>
      <c r="J182" s="3">
        <v>36</v>
      </c>
      <c r="K182" s="2">
        <v>45777</v>
      </c>
      <c r="L182" s="16">
        <f t="shared" si="3"/>
        <v>45838</v>
      </c>
    </row>
    <row r="183" spans="1:12" ht="14.25" customHeight="1" x14ac:dyDescent="0.35">
      <c r="A183" s="3">
        <v>3624</v>
      </c>
      <c r="B183" s="3" t="s">
        <v>27</v>
      </c>
      <c r="C183" s="3" t="s">
        <v>172</v>
      </c>
      <c r="D183" s="3" t="s">
        <v>161</v>
      </c>
      <c r="E183" s="11" t="s">
        <v>326</v>
      </c>
      <c r="F183" s="2">
        <v>45702</v>
      </c>
      <c r="G183" s="2">
        <v>45723</v>
      </c>
      <c r="H183" s="2">
        <v>45704</v>
      </c>
      <c r="I183" s="3" t="s">
        <v>163</v>
      </c>
      <c r="J183" s="3">
        <v>120</v>
      </c>
      <c r="K183" s="2">
        <v>45808</v>
      </c>
      <c r="L183" s="16">
        <f t="shared" si="3"/>
        <v>45869</v>
      </c>
    </row>
    <row r="184" spans="1:12" ht="25.5" customHeight="1" x14ac:dyDescent="0.35">
      <c r="A184" s="3">
        <v>4860</v>
      </c>
      <c r="B184" s="3" t="s">
        <v>27</v>
      </c>
      <c r="C184" s="3" t="s">
        <v>160</v>
      </c>
      <c r="D184" s="3" t="s">
        <v>161</v>
      </c>
      <c r="E184" s="11" t="s">
        <v>327</v>
      </c>
      <c r="F184" s="2">
        <v>45702</v>
      </c>
      <c r="G184" s="2">
        <v>45723</v>
      </c>
      <c r="H184" s="2">
        <v>45712</v>
      </c>
      <c r="I184" s="3" t="s">
        <v>163</v>
      </c>
      <c r="J184" s="3">
        <v>69</v>
      </c>
      <c r="K184" s="2">
        <v>45808</v>
      </c>
      <c r="L184" s="16">
        <f t="shared" si="3"/>
        <v>45869</v>
      </c>
    </row>
    <row r="185" spans="1:12" ht="25.5" customHeight="1" x14ac:dyDescent="0.35">
      <c r="A185" s="3">
        <v>4861</v>
      </c>
      <c r="B185" s="3" t="s">
        <v>192</v>
      </c>
      <c r="C185" s="3" t="s">
        <v>160</v>
      </c>
      <c r="D185" s="3" t="s">
        <v>161</v>
      </c>
      <c r="E185" s="11" t="s">
        <v>328</v>
      </c>
      <c r="F185" s="2">
        <v>45703</v>
      </c>
      <c r="G185" s="2">
        <v>45706</v>
      </c>
      <c r="H185" s="2">
        <v>45714</v>
      </c>
      <c r="I185" s="3" t="s">
        <v>163</v>
      </c>
      <c r="J185" s="3">
        <v>12</v>
      </c>
      <c r="K185" s="2">
        <v>45777</v>
      </c>
      <c r="L185" s="16">
        <f t="shared" si="3"/>
        <v>45838</v>
      </c>
    </row>
    <row r="186" spans="1:12" ht="14.25" customHeight="1" x14ac:dyDescent="0.35">
      <c r="A186" s="3">
        <v>5554</v>
      </c>
      <c r="B186" s="3" t="s">
        <v>271</v>
      </c>
      <c r="C186" s="3" t="s">
        <v>180</v>
      </c>
      <c r="D186" s="3" t="s">
        <v>181</v>
      </c>
      <c r="E186" s="11" t="s">
        <v>329</v>
      </c>
      <c r="F186" s="2">
        <v>45717</v>
      </c>
      <c r="G186" s="3"/>
      <c r="H186" s="2">
        <v>45723</v>
      </c>
      <c r="I186" s="3" t="s">
        <v>163</v>
      </c>
      <c r="J186" s="3">
        <v>1</v>
      </c>
      <c r="K186" s="3"/>
      <c r="L186" s="16" t="str">
        <f t="shared" si="3"/>
        <v/>
      </c>
    </row>
    <row r="187" spans="1:12" ht="14.25" customHeight="1" x14ac:dyDescent="0.35">
      <c r="A187" s="3">
        <v>5552</v>
      </c>
      <c r="B187" s="3" t="s">
        <v>179</v>
      </c>
      <c r="C187" s="3" t="s">
        <v>180</v>
      </c>
      <c r="D187" s="3" t="s">
        <v>181</v>
      </c>
      <c r="E187" s="11" t="s">
        <v>330</v>
      </c>
      <c r="F187" s="2">
        <v>45720</v>
      </c>
      <c r="G187" s="2">
        <v>45725</v>
      </c>
      <c r="H187" s="2">
        <v>45720</v>
      </c>
      <c r="I187" s="3" t="s">
        <v>163</v>
      </c>
      <c r="J187" s="3">
        <v>1</v>
      </c>
      <c r="K187" s="2">
        <v>45808</v>
      </c>
      <c r="L187" s="16">
        <f t="shared" si="3"/>
        <v>45869</v>
      </c>
    </row>
    <row r="188" spans="1:12" ht="14.25" customHeight="1" x14ac:dyDescent="0.35">
      <c r="A188" s="3">
        <v>5553</v>
      </c>
      <c r="B188" s="3" t="s">
        <v>179</v>
      </c>
      <c r="C188" s="3" t="s">
        <v>180</v>
      </c>
      <c r="D188" s="3" t="s">
        <v>181</v>
      </c>
      <c r="E188" s="11" t="s">
        <v>331</v>
      </c>
      <c r="F188" s="2">
        <v>45720</v>
      </c>
      <c r="G188" s="2">
        <v>45721</v>
      </c>
      <c r="H188" s="2">
        <v>45721</v>
      </c>
      <c r="I188" s="3" t="s">
        <v>163</v>
      </c>
      <c r="J188" s="3">
        <v>2</v>
      </c>
      <c r="K188" s="2">
        <v>45808</v>
      </c>
      <c r="L188" s="16">
        <f t="shared" si="3"/>
        <v>45869</v>
      </c>
    </row>
    <row r="189" spans="1:12" ht="14.25" customHeight="1" x14ac:dyDescent="0.35">
      <c r="A189" s="3">
        <v>4881</v>
      </c>
      <c r="B189" s="3" t="s">
        <v>174</v>
      </c>
      <c r="C189" s="3" t="s">
        <v>160</v>
      </c>
      <c r="D189" s="3" t="s">
        <v>161</v>
      </c>
      <c r="E189" s="11" t="s">
        <v>199</v>
      </c>
      <c r="F189" s="2">
        <v>45729</v>
      </c>
      <c r="G189" s="2">
        <v>45736</v>
      </c>
      <c r="H189" s="2">
        <v>45860</v>
      </c>
      <c r="I189" s="3" t="s">
        <v>163</v>
      </c>
      <c r="J189" s="3">
        <v>4</v>
      </c>
      <c r="K189" s="2">
        <v>45808</v>
      </c>
      <c r="L189" s="16">
        <f t="shared" si="3"/>
        <v>45869</v>
      </c>
    </row>
    <row r="190" spans="1:12" ht="14.25" customHeight="1" x14ac:dyDescent="0.35">
      <c r="A190" s="3">
        <v>4865</v>
      </c>
      <c r="B190" s="3" t="s">
        <v>215</v>
      </c>
      <c r="C190" s="3" t="s">
        <v>160</v>
      </c>
      <c r="D190" s="3" t="s">
        <v>161</v>
      </c>
      <c r="E190" s="11" t="s">
        <v>206</v>
      </c>
      <c r="F190" s="2">
        <v>45730</v>
      </c>
      <c r="G190" s="2">
        <v>45731</v>
      </c>
      <c r="H190" s="2">
        <v>45785</v>
      </c>
      <c r="I190" s="3" t="s">
        <v>163</v>
      </c>
      <c r="J190" s="3">
        <v>9</v>
      </c>
      <c r="K190" s="2">
        <v>45808</v>
      </c>
      <c r="L190" s="16">
        <f t="shared" si="3"/>
        <v>45869</v>
      </c>
    </row>
    <row r="191" spans="1:12" ht="14.25" customHeight="1" x14ac:dyDescent="0.35">
      <c r="A191" s="3">
        <v>4866</v>
      </c>
      <c r="B191" s="3" t="s">
        <v>184</v>
      </c>
      <c r="C191" s="3" t="s">
        <v>160</v>
      </c>
      <c r="D191" s="3" t="s">
        <v>181</v>
      </c>
      <c r="E191" s="11" t="s">
        <v>310</v>
      </c>
      <c r="F191" s="2">
        <v>45730</v>
      </c>
      <c r="G191" s="2">
        <v>45737</v>
      </c>
      <c r="H191" s="2">
        <v>45798</v>
      </c>
      <c r="I191" s="3" t="s">
        <v>163</v>
      </c>
      <c r="J191" s="3">
        <v>7</v>
      </c>
      <c r="K191" s="2">
        <v>45808</v>
      </c>
      <c r="L191" s="16">
        <f t="shared" si="3"/>
        <v>45869</v>
      </c>
    </row>
    <row r="192" spans="1:12" ht="14.25" customHeight="1" x14ac:dyDescent="0.35">
      <c r="A192" s="3">
        <v>4867</v>
      </c>
      <c r="B192" s="3" t="s">
        <v>213</v>
      </c>
      <c r="C192" s="3" t="s">
        <v>160</v>
      </c>
      <c r="D192" s="3" t="s">
        <v>161</v>
      </c>
      <c r="E192" s="11" t="s">
        <v>332</v>
      </c>
      <c r="F192" s="2">
        <v>45730</v>
      </c>
      <c r="G192" s="2">
        <v>45731</v>
      </c>
      <c r="H192" s="2">
        <v>45798</v>
      </c>
      <c r="I192" s="3" t="s">
        <v>163</v>
      </c>
      <c r="J192" s="3">
        <v>25</v>
      </c>
      <c r="K192" s="2">
        <v>45808</v>
      </c>
      <c r="L192" s="16">
        <f t="shared" si="3"/>
        <v>45869</v>
      </c>
    </row>
    <row r="193" spans="1:12" ht="25.5" customHeight="1" x14ac:dyDescent="0.35">
      <c r="A193" s="3">
        <v>4869</v>
      </c>
      <c r="B193" s="3" t="s">
        <v>164</v>
      </c>
      <c r="C193" s="3" t="s">
        <v>160</v>
      </c>
      <c r="D193" s="3" t="s">
        <v>161</v>
      </c>
      <c r="E193" s="11" t="s">
        <v>333</v>
      </c>
      <c r="F193" s="2">
        <v>45730</v>
      </c>
      <c r="G193" s="2">
        <v>45735</v>
      </c>
      <c r="H193" s="2">
        <v>45798</v>
      </c>
      <c r="I193" s="3" t="s">
        <v>163</v>
      </c>
      <c r="J193" s="3">
        <v>28</v>
      </c>
      <c r="K193" s="2">
        <v>45808</v>
      </c>
      <c r="L193" s="16">
        <f t="shared" si="3"/>
        <v>45869</v>
      </c>
    </row>
    <row r="194" spans="1:12" ht="14.25" customHeight="1" x14ac:dyDescent="0.35">
      <c r="A194" s="3">
        <v>4874</v>
      </c>
      <c r="B194" s="3" t="s">
        <v>24</v>
      </c>
      <c r="C194" s="3" t="s">
        <v>160</v>
      </c>
      <c r="D194" s="3" t="s">
        <v>161</v>
      </c>
      <c r="E194" s="11" t="s">
        <v>198</v>
      </c>
      <c r="F194" s="2">
        <v>45730</v>
      </c>
      <c r="G194" s="2">
        <v>45731</v>
      </c>
      <c r="H194" s="2">
        <v>45798</v>
      </c>
      <c r="I194" s="3" t="s">
        <v>163</v>
      </c>
      <c r="J194" s="3">
        <v>18</v>
      </c>
      <c r="K194" s="2">
        <v>45808</v>
      </c>
      <c r="L194" s="16">
        <f t="shared" ref="L194:L257" si="4">IF(K194="","",EOMONTH(K194,2))</f>
        <v>45869</v>
      </c>
    </row>
    <row r="195" spans="1:12" ht="14.25" customHeight="1" x14ac:dyDescent="0.35">
      <c r="A195" s="3">
        <v>5555</v>
      </c>
      <c r="B195" s="3" t="s">
        <v>179</v>
      </c>
      <c r="C195" s="3" t="s">
        <v>180</v>
      </c>
      <c r="D195" s="3" t="s">
        <v>181</v>
      </c>
      <c r="E195" s="11" t="s">
        <v>334</v>
      </c>
      <c r="F195" s="2">
        <v>45730</v>
      </c>
      <c r="G195" s="2">
        <v>45732</v>
      </c>
      <c r="H195" s="2">
        <v>45730</v>
      </c>
      <c r="I195" s="3" t="s">
        <v>163</v>
      </c>
      <c r="J195" s="3">
        <v>2</v>
      </c>
      <c r="K195" s="2">
        <v>45808</v>
      </c>
      <c r="L195" s="16">
        <f t="shared" si="4"/>
        <v>45869</v>
      </c>
    </row>
    <row r="196" spans="1:12" ht="14.25" customHeight="1" x14ac:dyDescent="0.35">
      <c r="A196" s="3">
        <v>5556</v>
      </c>
      <c r="B196" s="3" t="s">
        <v>164</v>
      </c>
      <c r="C196" s="3" t="s">
        <v>180</v>
      </c>
      <c r="D196" s="3" t="s">
        <v>181</v>
      </c>
      <c r="E196" s="11" t="s">
        <v>335</v>
      </c>
      <c r="F196" s="2">
        <v>45730</v>
      </c>
      <c r="G196" s="2">
        <v>45732</v>
      </c>
      <c r="H196" s="2">
        <v>45730</v>
      </c>
      <c r="I196" s="3" t="s">
        <v>163</v>
      </c>
      <c r="J196" s="3">
        <v>1</v>
      </c>
      <c r="K196" s="2">
        <v>45808</v>
      </c>
      <c r="L196" s="16">
        <f t="shared" si="4"/>
        <v>45869</v>
      </c>
    </row>
    <row r="197" spans="1:12" ht="14.25" customHeight="1" x14ac:dyDescent="0.35">
      <c r="A197" s="3">
        <v>5557</v>
      </c>
      <c r="B197" s="3" t="s">
        <v>184</v>
      </c>
      <c r="C197" s="3" t="s">
        <v>180</v>
      </c>
      <c r="D197" s="3" t="s">
        <v>181</v>
      </c>
      <c r="E197" s="11" t="s">
        <v>336</v>
      </c>
      <c r="F197" s="2">
        <v>45730</v>
      </c>
      <c r="G197" s="2">
        <v>45741</v>
      </c>
      <c r="H197" s="2">
        <v>45730</v>
      </c>
      <c r="I197" s="3" t="s">
        <v>163</v>
      </c>
      <c r="J197" s="3">
        <v>3</v>
      </c>
      <c r="K197" s="2">
        <v>45808</v>
      </c>
      <c r="L197" s="16">
        <f t="shared" si="4"/>
        <v>45869</v>
      </c>
    </row>
    <row r="198" spans="1:12" ht="14.25" customHeight="1" x14ac:dyDescent="0.35">
      <c r="A198" s="3">
        <v>5558</v>
      </c>
      <c r="B198" s="3" t="s">
        <v>184</v>
      </c>
      <c r="C198" s="3" t="s">
        <v>180</v>
      </c>
      <c r="D198" s="3" t="s">
        <v>181</v>
      </c>
      <c r="E198" s="11" t="s">
        <v>337</v>
      </c>
      <c r="F198" s="2">
        <v>45730</v>
      </c>
      <c r="G198" s="2">
        <v>45742</v>
      </c>
      <c r="H198" s="2">
        <v>45730</v>
      </c>
      <c r="I198" s="3" t="s">
        <v>163</v>
      </c>
      <c r="J198" s="3">
        <v>1</v>
      </c>
      <c r="K198" s="2">
        <v>45808</v>
      </c>
      <c r="L198" s="16">
        <f t="shared" si="4"/>
        <v>45869</v>
      </c>
    </row>
    <row r="199" spans="1:12" ht="14.25" customHeight="1" x14ac:dyDescent="0.35">
      <c r="A199" s="3">
        <v>5559</v>
      </c>
      <c r="B199" s="3" t="s">
        <v>184</v>
      </c>
      <c r="C199" s="3" t="s">
        <v>180</v>
      </c>
      <c r="D199" s="3" t="s">
        <v>181</v>
      </c>
      <c r="E199" s="11" t="s">
        <v>338</v>
      </c>
      <c r="F199" s="2">
        <v>45730</v>
      </c>
      <c r="G199" s="2">
        <v>45735</v>
      </c>
      <c r="H199" s="2">
        <v>45730</v>
      </c>
      <c r="I199" s="3" t="s">
        <v>163</v>
      </c>
      <c r="J199" s="3">
        <v>1</v>
      </c>
      <c r="K199" s="2">
        <v>45808</v>
      </c>
      <c r="L199" s="16">
        <f t="shared" si="4"/>
        <v>45869</v>
      </c>
    </row>
    <row r="200" spans="1:12" ht="14.25" customHeight="1" x14ac:dyDescent="0.35">
      <c r="A200" s="3">
        <v>5560</v>
      </c>
      <c r="B200" s="3" t="s">
        <v>184</v>
      </c>
      <c r="C200" s="3" t="s">
        <v>180</v>
      </c>
      <c r="D200" s="3" t="s">
        <v>181</v>
      </c>
      <c r="E200" s="11" t="s">
        <v>339</v>
      </c>
      <c r="F200" s="2">
        <v>45730</v>
      </c>
      <c r="G200" s="2">
        <v>45742</v>
      </c>
      <c r="H200" s="2">
        <v>45730</v>
      </c>
      <c r="I200" s="3" t="s">
        <v>163</v>
      </c>
      <c r="J200" s="3">
        <v>1</v>
      </c>
      <c r="K200" s="2">
        <v>45808</v>
      </c>
      <c r="L200" s="16">
        <f t="shared" si="4"/>
        <v>45869</v>
      </c>
    </row>
    <row r="201" spans="1:12" ht="14.25" customHeight="1" x14ac:dyDescent="0.35">
      <c r="A201" s="3">
        <v>5561</v>
      </c>
      <c r="B201" s="3" t="s">
        <v>184</v>
      </c>
      <c r="C201" s="3" t="s">
        <v>180</v>
      </c>
      <c r="D201" s="3" t="s">
        <v>181</v>
      </c>
      <c r="E201" s="11" t="s">
        <v>340</v>
      </c>
      <c r="F201" s="2">
        <v>45730</v>
      </c>
      <c r="G201" s="2">
        <v>45746</v>
      </c>
      <c r="H201" s="2">
        <v>45730</v>
      </c>
      <c r="I201" s="3" t="s">
        <v>163</v>
      </c>
      <c r="J201" s="3">
        <v>2</v>
      </c>
      <c r="K201" s="2">
        <v>45808</v>
      </c>
      <c r="L201" s="16">
        <f t="shared" si="4"/>
        <v>45869</v>
      </c>
    </row>
    <row r="202" spans="1:12" ht="14.25" customHeight="1" x14ac:dyDescent="0.35">
      <c r="A202" s="3">
        <v>5562</v>
      </c>
      <c r="B202" s="3" t="s">
        <v>184</v>
      </c>
      <c r="C202" s="3" t="s">
        <v>180</v>
      </c>
      <c r="D202" s="3" t="s">
        <v>181</v>
      </c>
      <c r="E202" s="11" t="s">
        <v>341</v>
      </c>
      <c r="F202" s="2">
        <v>45730</v>
      </c>
      <c r="G202" s="2">
        <v>45740</v>
      </c>
      <c r="H202" s="2">
        <v>45730</v>
      </c>
      <c r="I202" s="3" t="s">
        <v>163</v>
      </c>
      <c r="J202" s="3">
        <v>2</v>
      </c>
      <c r="K202" s="2">
        <v>45808</v>
      </c>
      <c r="L202" s="16">
        <f t="shared" si="4"/>
        <v>45869</v>
      </c>
    </row>
    <row r="203" spans="1:12" ht="14.25" customHeight="1" x14ac:dyDescent="0.35">
      <c r="A203" s="3">
        <v>5563</v>
      </c>
      <c r="B203" s="3" t="s">
        <v>184</v>
      </c>
      <c r="C203" s="3" t="s">
        <v>180</v>
      </c>
      <c r="D203" s="3" t="s">
        <v>181</v>
      </c>
      <c r="E203" s="11" t="s">
        <v>342</v>
      </c>
      <c r="F203" s="2">
        <v>45730</v>
      </c>
      <c r="G203" s="2">
        <v>45743</v>
      </c>
      <c r="H203" s="2">
        <v>45731</v>
      </c>
      <c r="I203" s="3" t="s">
        <v>163</v>
      </c>
      <c r="J203" s="3">
        <v>2</v>
      </c>
      <c r="K203" s="2">
        <v>45808</v>
      </c>
      <c r="L203" s="16">
        <f t="shared" si="4"/>
        <v>45869</v>
      </c>
    </row>
    <row r="204" spans="1:12" ht="14.25" customHeight="1" x14ac:dyDescent="0.35">
      <c r="A204" s="3">
        <v>5564</v>
      </c>
      <c r="B204" s="3" t="s">
        <v>184</v>
      </c>
      <c r="C204" s="3" t="s">
        <v>180</v>
      </c>
      <c r="D204" s="3" t="s">
        <v>181</v>
      </c>
      <c r="E204" s="11" t="s">
        <v>343</v>
      </c>
      <c r="F204" s="2">
        <v>45730</v>
      </c>
      <c r="G204" s="2">
        <v>45735</v>
      </c>
      <c r="H204" s="2">
        <v>45731</v>
      </c>
      <c r="I204" s="3" t="s">
        <v>163</v>
      </c>
      <c r="J204" s="3">
        <v>1</v>
      </c>
      <c r="K204" s="2">
        <v>45808</v>
      </c>
      <c r="L204" s="16">
        <f t="shared" si="4"/>
        <v>45869</v>
      </c>
    </row>
    <row r="205" spans="1:12" ht="14.25" customHeight="1" x14ac:dyDescent="0.35">
      <c r="A205" s="3">
        <v>5565</v>
      </c>
      <c r="B205" s="3" t="s">
        <v>184</v>
      </c>
      <c r="C205" s="3" t="s">
        <v>180</v>
      </c>
      <c r="D205" s="3" t="s">
        <v>181</v>
      </c>
      <c r="E205" s="11" t="s">
        <v>344</v>
      </c>
      <c r="F205" s="2">
        <v>45730</v>
      </c>
      <c r="G205" s="2">
        <v>45731</v>
      </c>
      <c r="H205" s="2">
        <v>45731</v>
      </c>
      <c r="I205" s="3" t="s">
        <v>163</v>
      </c>
      <c r="J205" s="3">
        <v>1</v>
      </c>
      <c r="K205" s="2">
        <v>45808</v>
      </c>
      <c r="L205" s="16">
        <f t="shared" si="4"/>
        <v>45869</v>
      </c>
    </row>
    <row r="206" spans="1:12" ht="14.25" customHeight="1" x14ac:dyDescent="0.35">
      <c r="A206" s="3">
        <v>5566</v>
      </c>
      <c r="B206" s="3" t="s">
        <v>184</v>
      </c>
      <c r="C206" s="3" t="s">
        <v>180</v>
      </c>
      <c r="D206" s="3" t="s">
        <v>181</v>
      </c>
      <c r="E206" s="11" t="s">
        <v>345</v>
      </c>
      <c r="F206" s="2">
        <v>45730</v>
      </c>
      <c r="G206" s="2">
        <v>45742</v>
      </c>
      <c r="H206" s="2">
        <v>45731</v>
      </c>
      <c r="I206" s="3" t="s">
        <v>163</v>
      </c>
      <c r="J206" s="3">
        <v>2</v>
      </c>
      <c r="K206" s="2">
        <v>45808</v>
      </c>
      <c r="L206" s="16">
        <f t="shared" si="4"/>
        <v>45869</v>
      </c>
    </row>
    <row r="207" spans="1:12" ht="14.25" customHeight="1" x14ac:dyDescent="0.35">
      <c r="A207" s="3">
        <v>5567</v>
      </c>
      <c r="B207" s="3" t="s">
        <v>184</v>
      </c>
      <c r="C207" s="3" t="s">
        <v>180</v>
      </c>
      <c r="D207" s="3" t="s">
        <v>181</v>
      </c>
      <c r="E207" s="11" t="s">
        <v>346</v>
      </c>
      <c r="F207" s="2">
        <v>45730</v>
      </c>
      <c r="G207" s="2">
        <v>45744</v>
      </c>
      <c r="H207" s="2">
        <v>45731</v>
      </c>
      <c r="I207" s="3" t="s">
        <v>163</v>
      </c>
      <c r="J207" s="3">
        <v>1</v>
      </c>
      <c r="K207" s="2">
        <v>45808</v>
      </c>
      <c r="L207" s="16">
        <f t="shared" si="4"/>
        <v>45869</v>
      </c>
    </row>
    <row r="208" spans="1:12" ht="14.25" customHeight="1" x14ac:dyDescent="0.35">
      <c r="A208" s="3">
        <v>5568</v>
      </c>
      <c r="B208" s="3" t="s">
        <v>184</v>
      </c>
      <c r="C208" s="3" t="s">
        <v>180</v>
      </c>
      <c r="D208" s="3" t="s">
        <v>181</v>
      </c>
      <c r="E208" s="11" t="s">
        <v>347</v>
      </c>
      <c r="F208" s="2">
        <v>45730</v>
      </c>
      <c r="G208" s="2">
        <v>45733</v>
      </c>
      <c r="H208" s="2">
        <v>45731</v>
      </c>
      <c r="I208" s="3" t="s">
        <v>163</v>
      </c>
      <c r="J208" s="3">
        <v>1</v>
      </c>
      <c r="K208" s="2">
        <v>45808</v>
      </c>
      <c r="L208" s="16">
        <f t="shared" si="4"/>
        <v>45869</v>
      </c>
    </row>
    <row r="209" spans="1:12" ht="14.25" customHeight="1" x14ac:dyDescent="0.35">
      <c r="A209" s="3">
        <v>5569</v>
      </c>
      <c r="B209" s="3" t="s">
        <v>184</v>
      </c>
      <c r="C209" s="3" t="s">
        <v>180</v>
      </c>
      <c r="D209" s="3" t="s">
        <v>181</v>
      </c>
      <c r="E209" s="11" t="s">
        <v>348</v>
      </c>
      <c r="F209" s="2">
        <v>45730</v>
      </c>
      <c r="G209" s="2">
        <v>45733</v>
      </c>
      <c r="H209" s="2">
        <v>45731</v>
      </c>
      <c r="I209" s="3" t="s">
        <v>163</v>
      </c>
      <c r="J209" s="3">
        <v>1</v>
      </c>
      <c r="K209" s="2">
        <v>45808</v>
      </c>
      <c r="L209" s="16">
        <f t="shared" si="4"/>
        <v>45869</v>
      </c>
    </row>
    <row r="210" spans="1:12" ht="14.25" customHeight="1" x14ac:dyDescent="0.35">
      <c r="A210" s="3">
        <v>5570</v>
      </c>
      <c r="B210" s="3" t="s">
        <v>179</v>
      </c>
      <c r="C210" s="3" t="s">
        <v>180</v>
      </c>
      <c r="D210" s="3" t="s">
        <v>181</v>
      </c>
      <c r="E210" s="11" t="s">
        <v>349</v>
      </c>
      <c r="F210" s="2">
        <v>45731</v>
      </c>
      <c r="G210" s="2">
        <v>45737</v>
      </c>
      <c r="H210" s="2">
        <v>45731</v>
      </c>
      <c r="I210" s="3" t="s">
        <v>163</v>
      </c>
      <c r="J210" s="3">
        <v>1</v>
      </c>
      <c r="K210" s="2">
        <v>45808</v>
      </c>
      <c r="L210" s="16">
        <f t="shared" si="4"/>
        <v>45869</v>
      </c>
    </row>
    <row r="211" spans="1:12" ht="14.25" customHeight="1" x14ac:dyDescent="0.35">
      <c r="A211" s="3">
        <v>4868</v>
      </c>
      <c r="B211" s="3" t="s">
        <v>195</v>
      </c>
      <c r="C211" s="3" t="s">
        <v>160</v>
      </c>
      <c r="D211" s="3" t="s">
        <v>165</v>
      </c>
      <c r="E211" s="11" t="s">
        <v>196</v>
      </c>
      <c r="F211" s="2">
        <v>45734</v>
      </c>
      <c r="G211" s="2">
        <v>45735</v>
      </c>
      <c r="H211" s="2">
        <v>45798</v>
      </c>
      <c r="I211" s="3" t="s">
        <v>163</v>
      </c>
      <c r="J211" s="3">
        <v>28</v>
      </c>
      <c r="K211" s="2">
        <v>45808</v>
      </c>
      <c r="L211" s="16">
        <f t="shared" si="4"/>
        <v>45869</v>
      </c>
    </row>
    <row r="212" spans="1:12" ht="14.25" customHeight="1" x14ac:dyDescent="0.35">
      <c r="A212" s="3">
        <v>5571</v>
      </c>
      <c r="B212" s="3" t="s">
        <v>179</v>
      </c>
      <c r="C212" s="3" t="s">
        <v>180</v>
      </c>
      <c r="D212" s="3" t="s">
        <v>181</v>
      </c>
      <c r="E212" s="11" t="s">
        <v>350</v>
      </c>
      <c r="F212" s="2">
        <v>45734</v>
      </c>
      <c r="G212" s="2">
        <v>45737</v>
      </c>
      <c r="H212" s="2">
        <v>45734</v>
      </c>
      <c r="I212" s="3" t="s">
        <v>163</v>
      </c>
      <c r="J212" s="3">
        <v>1</v>
      </c>
      <c r="K212" s="2">
        <v>45808</v>
      </c>
      <c r="L212" s="16">
        <f t="shared" si="4"/>
        <v>45869</v>
      </c>
    </row>
    <row r="213" spans="1:12" ht="14.25" customHeight="1" x14ac:dyDescent="0.35">
      <c r="A213" s="3">
        <v>4870</v>
      </c>
      <c r="B213" s="3" t="s">
        <v>205</v>
      </c>
      <c r="C213" s="3" t="s">
        <v>160</v>
      </c>
      <c r="D213" s="3" t="s">
        <v>165</v>
      </c>
      <c r="E213" s="11" t="s">
        <v>166</v>
      </c>
      <c r="F213" s="2">
        <v>45735</v>
      </c>
      <c r="G213" s="2">
        <v>45735</v>
      </c>
      <c r="H213" s="2">
        <v>45798</v>
      </c>
      <c r="I213" s="3" t="s">
        <v>163</v>
      </c>
      <c r="J213" s="3">
        <v>4</v>
      </c>
      <c r="K213" s="2">
        <v>45808</v>
      </c>
      <c r="L213" s="16">
        <f t="shared" si="4"/>
        <v>45869</v>
      </c>
    </row>
    <row r="214" spans="1:12" ht="14.25" customHeight="1" x14ac:dyDescent="0.35">
      <c r="A214" s="3">
        <v>5572</v>
      </c>
      <c r="B214" s="3" t="s">
        <v>184</v>
      </c>
      <c r="C214" s="3" t="s">
        <v>180</v>
      </c>
      <c r="D214" s="3" t="s">
        <v>181</v>
      </c>
      <c r="E214" s="11" t="s">
        <v>351</v>
      </c>
      <c r="F214" s="2">
        <v>45735</v>
      </c>
      <c r="G214" s="2">
        <v>45744</v>
      </c>
      <c r="H214" s="2">
        <v>45735</v>
      </c>
      <c r="I214" s="3" t="s">
        <v>163</v>
      </c>
      <c r="J214" s="3">
        <v>1</v>
      </c>
      <c r="K214" s="2">
        <v>45808</v>
      </c>
      <c r="L214" s="16">
        <f t="shared" si="4"/>
        <v>45869</v>
      </c>
    </row>
    <row r="215" spans="1:12" ht="14.25" customHeight="1" x14ac:dyDescent="0.35">
      <c r="A215" s="3">
        <v>5573</v>
      </c>
      <c r="B215" s="3" t="s">
        <v>179</v>
      </c>
      <c r="C215" s="3" t="s">
        <v>180</v>
      </c>
      <c r="D215" s="3" t="s">
        <v>181</v>
      </c>
      <c r="E215" s="11" t="s">
        <v>352</v>
      </c>
      <c r="F215" s="2">
        <v>45735</v>
      </c>
      <c r="G215" s="2">
        <v>45742</v>
      </c>
      <c r="H215" s="2">
        <v>45736</v>
      </c>
      <c r="I215" s="3" t="s">
        <v>163</v>
      </c>
      <c r="J215" s="3">
        <v>2</v>
      </c>
      <c r="K215" s="2">
        <v>45808</v>
      </c>
      <c r="L215" s="16">
        <f t="shared" si="4"/>
        <v>45869</v>
      </c>
    </row>
    <row r="216" spans="1:12" ht="14.25" customHeight="1" x14ac:dyDescent="0.35">
      <c r="A216" s="3">
        <v>5574</v>
      </c>
      <c r="B216" s="3" t="s">
        <v>274</v>
      </c>
      <c r="C216" s="3" t="s">
        <v>180</v>
      </c>
      <c r="D216" s="3" t="s">
        <v>181</v>
      </c>
      <c r="E216" s="11" t="s">
        <v>353</v>
      </c>
      <c r="F216" s="2">
        <v>45735</v>
      </c>
      <c r="G216" s="3"/>
      <c r="H216" s="2">
        <v>45738</v>
      </c>
      <c r="I216" s="3" t="s">
        <v>163</v>
      </c>
      <c r="J216" s="3">
        <v>1</v>
      </c>
      <c r="K216" s="3"/>
      <c r="L216" s="16" t="str">
        <f t="shared" si="4"/>
        <v/>
      </c>
    </row>
    <row r="217" spans="1:12" ht="14.25" customHeight="1" x14ac:dyDescent="0.35">
      <c r="A217" s="3">
        <v>5575</v>
      </c>
      <c r="B217" s="3" t="s">
        <v>271</v>
      </c>
      <c r="C217" s="3" t="s">
        <v>180</v>
      </c>
      <c r="D217" s="3" t="s">
        <v>181</v>
      </c>
      <c r="E217" s="11" t="s">
        <v>354</v>
      </c>
      <c r="F217" s="2">
        <v>45737</v>
      </c>
      <c r="G217" s="3"/>
      <c r="H217" s="2">
        <v>45739</v>
      </c>
      <c r="I217" s="3" t="s">
        <v>163</v>
      </c>
      <c r="J217" s="3">
        <v>1</v>
      </c>
      <c r="K217" s="3"/>
      <c r="L217" s="16" t="str">
        <f t="shared" si="4"/>
        <v/>
      </c>
    </row>
    <row r="218" spans="1:12" ht="14.25" customHeight="1" x14ac:dyDescent="0.35">
      <c r="A218" s="3">
        <v>5576</v>
      </c>
      <c r="B218" s="3" t="s">
        <v>271</v>
      </c>
      <c r="C218" s="3" t="s">
        <v>180</v>
      </c>
      <c r="D218" s="3" t="s">
        <v>181</v>
      </c>
      <c r="E218" s="11" t="s">
        <v>355</v>
      </c>
      <c r="F218" s="2">
        <v>45739</v>
      </c>
      <c r="G218" s="3"/>
      <c r="H218" s="2">
        <v>45739</v>
      </c>
      <c r="I218" s="3" t="s">
        <v>163</v>
      </c>
      <c r="J218" s="3">
        <v>2</v>
      </c>
      <c r="K218" s="3"/>
      <c r="L218" s="16" t="str">
        <f t="shared" si="4"/>
        <v/>
      </c>
    </row>
    <row r="219" spans="1:12" ht="14.25" customHeight="1" x14ac:dyDescent="0.35">
      <c r="A219" s="3">
        <v>5577</v>
      </c>
      <c r="B219" s="3" t="s">
        <v>274</v>
      </c>
      <c r="C219" s="3" t="s">
        <v>180</v>
      </c>
      <c r="D219" s="3" t="s">
        <v>181</v>
      </c>
      <c r="E219" s="11" t="s">
        <v>356</v>
      </c>
      <c r="F219" s="2">
        <v>45741</v>
      </c>
      <c r="G219" s="3"/>
      <c r="H219" s="2">
        <v>45742</v>
      </c>
      <c r="I219" s="3" t="s">
        <v>163</v>
      </c>
      <c r="J219" s="3">
        <v>1</v>
      </c>
      <c r="K219" s="3"/>
      <c r="L219" s="16" t="str">
        <f t="shared" si="4"/>
        <v/>
      </c>
    </row>
    <row r="220" spans="1:12" ht="14.25" customHeight="1" x14ac:dyDescent="0.35">
      <c r="A220" s="3">
        <v>4871</v>
      </c>
      <c r="B220" s="3" t="s">
        <v>179</v>
      </c>
      <c r="C220" s="3" t="s">
        <v>160</v>
      </c>
      <c r="D220" s="3" t="s">
        <v>176</v>
      </c>
      <c r="E220" s="11" t="s">
        <v>168</v>
      </c>
      <c r="F220" s="2">
        <v>45742</v>
      </c>
      <c r="G220" s="2">
        <v>45744</v>
      </c>
      <c r="H220" s="2">
        <v>45798</v>
      </c>
      <c r="I220" s="3" t="s">
        <v>163</v>
      </c>
      <c r="J220" s="3">
        <v>4</v>
      </c>
      <c r="K220" s="2">
        <v>45808</v>
      </c>
      <c r="L220" s="16">
        <f t="shared" si="4"/>
        <v>45869</v>
      </c>
    </row>
    <row r="221" spans="1:12" ht="14.25" customHeight="1" x14ac:dyDescent="0.35">
      <c r="A221" s="3">
        <v>5578</v>
      </c>
      <c r="B221" s="3" t="s">
        <v>274</v>
      </c>
      <c r="C221" s="3" t="s">
        <v>180</v>
      </c>
      <c r="D221" s="3" t="s">
        <v>181</v>
      </c>
      <c r="E221" s="11" t="s">
        <v>357</v>
      </c>
      <c r="F221" s="2">
        <v>45742</v>
      </c>
      <c r="G221" s="3"/>
      <c r="H221" s="2">
        <v>45743</v>
      </c>
      <c r="I221" s="3" t="s">
        <v>163</v>
      </c>
      <c r="J221" s="3">
        <v>1</v>
      </c>
      <c r="K221" s="3"/>
      <c r="L221" s="16" t="str">
        <f t="shared" si="4"/>
        <v/>
      </c>
    </row>
    <row r="222" spans="1:12" ht="14.25" customHeight="1" x14ac:dyDescent="0.35">
      <c r="A222" s="3">
        <v>4880</v>
      </c>
      <c r="B222" s="3" t="s">
        <v>358</v>
      </c>
      <c r="C222" s="3" t="s">
        <v>160</v>
      </c>
      <c r="D222" s="3" t="s">
        <v>359</v>
      </c>
      <c r="E222" s="11" t="s">
        <v>166</v>
      </c>
      <c r="F222" s="2">
        <v>45744</v>
      </c>
      <c r="G222" s="2">
        <v>45746</v>
      </c>
      <c r="H222" s="2">
        <v>45860</v>
      </c>
      <c r="I222" s="3" t="s">
        <v>163</v>
      </c>
      <c r="J222" s="3">
        <v>14</v>
      </c>
      <c r="K222" s="2">
        <v>45808</v>
      </c>
      <c r="L222" s="16">
        <f t="shared" si="4"/>
        <v>45869</v>
      </c>
    </row>
    <row r="223" spans="1:12" ht="14.25" customHeight="1" x14ac:dyDescent="0.35">
      <c r="A223" s="3">
        <v>4872</v>
      </c>
      <c r="B223" s="3" t="s">
        <v>213</v>
      </c>
      <c r="C223" s="3" t="s">
        <v>160</v>
      </c>
      <c r="D223" s="3" t="s">
        <v>161</v>
      </c>
      <c r="E223" s="11" t="s">
        <v>198</v>
      </c>
      <c r="F223" s="2">
        <v>45746</v>
      </c>
      <c r="G223" s="2">
        <v>45755</v>
      </c>
      <c r="H223" s="2">
        <v>45798</v>
      </c>
      <c r="I223" s="3" t="s">
        <v>163</v>
      </c>
      <c r="J223" s="3">
        <v>27</v>
      </c>
      <c r="K223" s="2">
        <v>45838</v>
      </c>
      <c r="L223" s="16">
        <f t="shared" si="4"/>
        <v>45900</v>
      </c>
    </row>
    <row r="224" spans="1:12" ht="14.25" customHeight="1" x14ac:dyDescent="0.35">
      <c r="A224" s="3">
        <v>4882</v>
      </c>
      <c r="B224" s="3" t="s">
        <v>127</v>
      </c>
      <c r="C224" s="3" t="s">
        <v>160</v>
      </c>
      <c r="D224" s="3" t="s">
        <v>176</v>
      </c>
      <c r="E224" s="11" t="s">
        <v>198</v>
      </c>
      <c r="F224" s="2">
        <v>45746</v>
      </c>
      <c r="G224" s="2">
        <v>45756</v>
      </c>
      <c r="H224" s="2">
        <v>45860</v>
      </c>
      <c r="I224" s="3" t="s">
        <v>163</v>
      </c>
      <c r="J224" s="3">
        <v>25</v>
      </c>
      <c r="K224" s="2">
        <v>45838</v>
      </c>
      <c r="L224" s="16">
        <f t="shared" si="4"/>
        <v>45900</v>
      </c>
    </row>
    <row r="225" spans="1:12" ht="14.25" customHeight="1" x14ac:dyDescent="0.35">
      <c r="A225" s="3">
        <v>3625</v>
      </c>
      <c r="B225" s="3" t="s">
        <v>209</v>
      </c>
      <c r="C225" s="3" t="s">
        <v>172</v>
      </c>
      <c r="D225" s="3" t="s">
        <v>161</v>
      </c>
      <c r="E225" s="11" t="s">
        <v>198</v>
      </c>
      <c r="F225" s="2">
        <v>45749</v>
      </c>
      <c r="G225" s="2">
        <v>45771</v>
      </c>
      <c r="H225" s="2">
        <v>45749</v>
      </c>
      <c r="I225" s="3" t="s">
        <v>163</v>
      </c>
      <c r="J225" s="3">
        <v>95</v>
      </c>
      <c r="K225" s="2">
        <v>45838</v>
      </c>
      <c r="L225" s="16">
        <f t="shared" si="4"/>
        <v>45900</v>
      </c>
    </row>
    <row r="226" spans="1:12" ht="14.25" customHeight="1" x14ac:dyDescent="0.35">
      <c r="A226" s="3">
        <v>3626</v>
      </c>
      <c r="B226" s="3" t="s">
        <v>27</v>
      </c>
      <c r="C226" s="3" t="s">
        <v>172</v>
      </c>
      <c r="D226" s="3" t="s">
        <v>161</v>
      </c>
      <c r="E226" s="11" t="s">
        <v>198</v>
      </c>
      <c r="F226" s="2">
        <v>45749</v>
      </c>
      <c r="G226" s="2">
        <v>45793</v>
      </c>
      <c r="H226" s="2">
        <v>45750</v>
      </c>
      <c r="I226" s="3" t="s">
        <v>163</v>
      </c>
      <c r="J226" s="3">
        <v>120</v>
      </c>
      <c r="K226" s="2">
        <v>45869</v>
      </c>
      <c r="L226" s="16">
        <f t="shared" si="4"/>
        <v>45930</v>
      </c>
    </row>
    <row r="227" spans="1:12" ht="14.25" customHeight="1" x14ac:dyDescent="0.35">
      <c r="A227" s="3">
        <v>3627</v>
      </c>
      <c r="B227" s="3" t="s">
        <v>215</v>
      </c>
      <c r="C227" s="3" t="s">
        <v>172</v>
      </c>
      <c r="D227" s="3" t="s">
        <v>161</v>
      </c>
      <c r="E227" s="11" t="s">
        <v>210</v>
      </c>
      <c r="F227" s="2">
        <v>45749</v>
      </c>
      <c r="G227" s="2">
        <v>45769</v>
      </c>
      <c r="H227" s="2">
        <v>45752</v>
      </c>
      <c r="I227" s="3" t="s">
        <v>163</v>
      </c>
      <c r="J227" s="3">
        <v>75</v>
      </c>
      <c r="K227" s="2">
        <v>45838</v>
      </c>
      <c r="L227" s="16">
        <f t="shared" si="4"/>
        <v>45900</v>
      </c>
    </row>
    <row r="228" spans="1:12" ht="25.5" customHeight="1" x14ac:dyDescent="0.35">
      <c r="A228" s="3">
        <v>4864</v>
      </c>
      <c r="B228" s="3" t="s">
        <v>27</v>
      </c>
      <c r="C228" s="3" t="s">
        <v>160</v>
      </c>
      <c r="D228" s="3" t="s">
        <v>161</v>
      </c>
      <c r="E228" s="11" t="s">
        <v>193</v>
      </c>
      <c r="F228" s="2">
        <v>45749</v>
      </c>
      <c r="G228" s="2">
        <v>45793</v>
      </c>
      <c r="H228" s="2">
        <v>45771</v>
      </c>
      <c r="I228" s="3" t="s">
        <v>163</v>
      </c>
      <c r="J228" s="3">
        <v>91</v>
      </c>
      <c r="K228" s="2">
        <v>45869</v>
      </c>
      <c r="L228" s="16">
        <f t="shared" si="4"/>
        <v>45930</v>
      </c>
    </row>
    <row r="229" spans="1:12" ht="14.25" customHeight="1" x14ac:dyDescent="0.35">
      <c r="A229" s="3">
        <v>4873</v>
      </c>
      <c r="B229" s="3" t="s">
        <v>215</v>
      </c>
      <c r="C229" s="3" t="s">
        <v>160</v>
      </c>
      <c r="D229" s="3" t="s">
        <v>176</v>
      </c>
      <c r="E229" s="11" t="s">
        <v>210</v>
      </c>
      <c r="F229" s="2">
        <v>45749</v>
      </c>
      <c r="G229" s="2">
        <v>45769</v>
      </c>
      <c r="H229" s="2">
        <v>45798</v>
      </c>
      <c r="I229" s="3" t="s">
        <v>163</v>
      </c>
      <c r="J229" s="3">
        <v>41</v>
      </c>
      <c r="K229" s="2">
        <v>45838</v>
      </c>
      <c r="L229" s="16">
        <f t="shared" si="4"/>
        <v>45900</v>
      </c>
    </row>
    <row r="230" spans="1:12" ht="14.25" customHeight="1" x14ac:dyDescent="0.35">
      <c r="A230" s="3">
        <v>4878</v>
      </c>
      <c r="B230" s="3" t="s">
        <v>209</v>
      </c>
      <c r="C230" s="3" t="s">
        <v>160</v>
      </c>
      <c r="D230" s="3" t="s">
        <v>161</v>
      </c>
      <c r="E230" s="11" t="s">
        <v>198</v>
      </c>
      <c r="F230" s="2">
        <v>45749</v>
      </c>
      <c r="G230" s="2">
        <v>45771</v>
      </c>
      <c r="H230" s="2">
        <v>45827</v>
      </c>
      <c r="I230" s="3" t="s">
        <v>163</v>
      </c>
      <c r="J230" s="3">
        <v>30</v>
      </c>
      <c r="K230" s="2">
        <v>45838</v>
      </c>
      <c r="L230" s="16">
        <f t="shared" si="4"/>
        <v>45900</v>
      </c>
    </row>
    <row r="231" spans="1:12" ht="14.25" customHeight="1" x14ac:dyDescent="0.35">
      <c r="A231" s="3">
        <v>5579</v>
      </c>
      <c r="B231" s="3" t="s">
        <v>140</v>
      </c>
      <c r="C231" s="3" t="s">
        <v>180</v>
      </c>
      <c r="D231" s="3" t="s">
        <v>181</v>
      </c>
      <c r="E231" s="11" t="s">
        <v>360</v>
      </c>
      <c r="F231" s="2">
        <v>45764</v>
      </c>
      <c r="G231" s="3"/>
      <c r="H231" s="2">
        <v>45765</v>
      </c>
      <c r="I231" s="3" t="s">
        <v>163</v>
      </c>
      <c r="J231" s="3">
        <v>1</v>
      </c>
      <c r="K231" s="3"/>
      <c r="L231" s="16" t="str">
        <f t="shared" si="4"/>
        <v/>
      </c>
    </row>
    <row r="232" spans="1:12" ht="14.25" customHeight="1" x14ac:dyDescent="0.35">
      <c r="A232" s="3">
        <v>5580</v>
      </c>
      <c r="B232" s="3" t="s">
        <v>274</v>
      </c>
      <c r="C232" s="3" t="s">
        <v>180</v>
      </c>
      <c r="D232" s="3" t="s">
        <v>181</v>
      </c>
      <c r="E232" s="11" t="s">
        <v>361</v>
      </c>
      <c r="F232" s="2">
        <v>45765</v>
      </c>
      <c r="G232" s="3"/>
      <c r="H232" s="2">
        <v>45767</v>
      </c>
      <c r="I232" s="3" t="s">
        <v>163</v>
      </c>
      <c r="J232" s="3">
        <v>1</v>
      </c>
      <c r="K232" s="3"/>
      <c r="L232" s="16" t="str">
        <f t="shared" si="4"/>
        <v/>
      </c>
    </row>
    <row r="233" spans="1:12" ht="14.25" customHeight="1" x14ac:dyDescent="0.35">
      <c r="A233" s="3">
        <v>5581</v>
      </c>
      <c r="B233" s="3" t="s">
        <v>362</v>
      </c>
      <c r="C233" s="3" t="s">
        <v>180</v>
      </c>
      <c r="D233" s="3" t="s">
        <v>181</v>
      </c>
      <c r="E233" s="11" t="s">
        <v>363</v>
      </c>
      <c r="F233" s="2">
        <v>45769</v>
      </c>
      <c r="G233" s="3"/>
      <c r="H233" s="2">
        <v>45771</v>
      </c>
      <c r="I233" s="3" t="s">
        <v>163</v>
      </c>
      <c r="J233" s="3">
        <v>1</v>
      </c>
      <c r="K233" s="3"/>
      <c r="L233" s="16" t="str">
        <f t="shared" si="4"/>
        <v/>
      </c>
    </row>
    <row r="234" spans="1:12" ht="14.25" customHeight="1" x14ac:dyDescent="0.35">
      <c r="A234" s="3">
        <v>4876</v>
      </c>
      <c r="B234" s="3" t="s">
        <v>213</v>
      </c>
      <c r="C234" s="3" t="s">
        <v>160</v>
      </c>
      <c r="D234" s="3" t="s">
        <v>161</v>
      </c>
      <c r="E234" s="11" t="s">
        <v>198</v>
      </c>
      <c r="F234" s="2">
        <v>45776</v>
      </c>
      <c r="G234" s="2">
        <v>45776</v>
      </c>
      <c r="H234" s="2">
        <v>45817</v>
      </c>
      <c r="I234" s="3" t="s">
        <v>163</v>
      </c>
      <c r="J234" s="3">
        <v>6</v>
      </c>
      <c r="K234" s="2">
        <v>45838</v>
      </c>
      <c r="L234" s="16">
        <f t="shared" si="4"/>
        <v>45900</v>
      </c>
    </row>
    <row r="235" spans="1:12" ht="14.25" customHeight="1" x14ac:dyDescent="0.35">
      <c r="A235" s="3">
        <v>5582</v>
      </c>
      <c r="B235" s="3" t="s">
        <v>274</v>
      </c>
      <c r="C235" s="3" t="s">
        <v>180</v>
      </c>
      <c r="D235" s="3" t="s">
        <v>181</v>
      </c>
      <c r="E235" s="11" t="s">
        <v>364</v>
      </c>
      <c r="F235" s="2">
        <v>45779</v>
      </c>
      <c r="G235" s="3"/>
      <c r="H235" s="2">
        <v>45780</v>
      </c>
      <c r="I235" s="3" t="s">
        <v>163</v>
      </c>
      <c r="J235" s="3">
        <v>1</v>
      </c>
      <c r="K235" s="3"/>
      <c r="L235" s="16" t="str">
        <f t="shared" si="4"/>
        <v/>
      </c>
    </row>
    <row r="236" spans="1:12" ht="14.25" customHeight="1" x14ac:dyDescent="0.35">
      <c r="A236" s="3">
        <v>5583</v>
      </c>
      <c r="B236" s="3" t="s">
        <v>223</v>
      </c>
      <c r="C236" s="3" t="s">
        <v>180</v>
      </c>
      <c r="D236" s="3" t="s">
        <v>181</v>
      </c>
      <c r="E236" s="11" t="s">
        <v>365</v>
      </c>
      <c r="F236" s="2">
        <v>45789</v>
      </c>
      <c r="G236" s="2">
        <v>45797</v>
      </c>
      <c r="H236" s="2">
        <v>45791</v>
      </c>
      <c r="I236" s="3" t="s">
        <v>163</v>
      </c>
      <c r="J236" s="3">
        <v>1</v>
      </c>
      <c r="K236" s="2">
        <v>45869</v>
      </c>
      <c r="L236" s="16">
        <f t="shared" si="4"/>
        <v>45930</v>
      </c>
    </row>
    <row r="237" spans="1:12" ht="14.25" customHeight="1" x14ac:dyDescent="0.35">
      <c r="A237" s="3">
        <v>5584</v>
      </c>
      <c r="B237" s="3" t="s">
        <v>216</v>
      </c>
      <c r="C237" s="3" t="s">
        <v>180</v>
      </c>
      <c r="D237" s="3" t="s">
        <v>181</v>
      </c>
      <c r="E237" s="11" t="s">
        <v>366</v>
      </c>
      <c r="F237" s="2">
        <v>45791</v>
      </c>
      <c r="G237" s="2">
        <v>45797</v>
      </c>
      <c r="H237" s="2">
        <v>45791</v>
      </c>
      <c r="I237" s="3" t="s">
        <v>163</v>
      </c>
      <c r="J237" s="3">
        <v>1</v>
      </c>
      <c r="K237" s="2">
        <v>45869</v>
      </c>
      <c r="L237" s="16">
        <f t="shared" si="4"/>
        <v>45930</v>
      </c>
    </row>
    <row r="238" spans="1:12" ht="14.25" customHeight="1" x14ac:dyDescent="0.35">
      <c r="A238" s="3">
        <v>4875</v>
      </c>
      <c r="B238" s="3" t="s">
        <v>27</v>
      </c>
      <c r="C238" s="3" t="s">
        <v>160</v>
      </c>
      <c r="D238" s="3" t="s">
        <v>161</v>
      </c>
      <c r="E238" s="11" t="s">
        <v>204</v>
      </c>
      <c r="F238" s="2">
        <v>45793</v>
      </c>
      <c r="G238" s="2">
        <v>45794</v>
      </c>
      <c r="H238" s="2">
        <v>45800</v>
      </c>
      <c r="I238" s="3" t="s">
        <v>163</v>
      </c>
      <c r="J238" s="3">
        <v>39</v>
      </c>
      <c r="K238" s="2">
        <v>45869</v>
      </c>
      <c r="L238" s="16">
        <f t="shared" si="4"/>
        <v>45930</v>
      </c>
    </row>
    <row r="239" spans="1:12" ht="14.25" customHeight="1" x14ac:dyDescent="0.35">
      <c r="A239" s="3">
        <v>4877</v>
      </c>
      <c r="B239" s="3" t="s">
        <v>213</v>
      </c>
      <c r="C239" s="3" t="s">
        <v>160</v>
      </c>
      <c r="D239" s="3" t="s">
        <v>161</v>
      </c>
      <c r="E239" s="11" t="s">
        <v>198</v>
      </c>
      <c r="F239" s="2">
        <v>45793</v>
      </c>
      <c r="G239" s="2">
        <v>45793</v>
      </c>
      <c r="H239" s="2">
        <v>45817</v>
      </c>
      <c r="I239" s="3" t="s">
        <v>163</v>
      </c>
      <c r="J239" s="3">
        <v>3</v>
      </c>
      <c r="K239" s="2">
        <v>45869</v>
      </c>
      <c r="L239" s="16">
        <f t="shared" si="4"/>
        <v>45930</v>
      </c>
    </row>
    <row r="240" spans="1:12" ht="14.25" customHeight="1" x14ac:dyDescent="0.35">
      <c r="A240" s="3">
        <v>4883</v>
      </c>
      <c r="B240" s="3" t="s">
        <v>164</v>
      </c>
      <c r="C240" s="3" t="s">
        <v>160</v>
      </c>
      <c r="D240" s="3" t="s">
        <v>161</v>
      </c>
      <c r="E240" s="11" t="s">
        <v>198</v>
      </c>
      <c r="F240" s="2">
        <v>45795</v>
      </c>
      <c r="G240" s="2">
        <v>45796</v>
      </c>
      <c r="H240" s="2">
        <v>45860</v>
      </c>
      <c r="I240" s="3" t="s">
        <v>163</v>
      </c>
      <c r="J240" s="3">
        <v>11</v>
      </c>
      <c r="K240" s="2">
        <v>45869</v>
      </c>
      <c r="L240" s="16">
        <f t="shared" si="4"/>
        <v>45930</v>
      </c>
    </row>
    <row r="241" spans="1:12" ht="14.25" customHeight="1" x14ac:dyDescent="0.35">
      <c r="A241" s="3">
        <v>4887</v>
      </c>
      <c r="B241" s="3" t="s">
        <v>208</v>
      </c>
      <c r="C241" s="3" t="s">
        <v>160</v>
      </c>
      <c r="D241" s="3" t="s">
        <v>176</v>
      </c>
      <c r="E241" s="11" t="s">
        <v>225</v>
      </c>
      <c r="F241" s="2">
        <v>45795</v>
      </c>
      <c r="G241" s="2">
        <v>45799</v>
      </c>
      <c r="H241" s="2">
        <v>45911</v>
      </c>
      <c r="I241" s="3" t="s">
        <v>163</v>
      </c>
      <c r="J241" s="3">
        <v>1</v>
      </c>
      <c r="K241" s="2">
        <v>45869</v>
      </c>
      <c r="L241" s="16">
        <f t="shared" si="4"/>
        <v>45930</v>
      </c>
    </row>
    <row r="242" spans="1:12" ht="14.25" customHeight="1" x14ac:dyDescent="0.35">
      <c r="A242" s="3">
        <v>5585</v>
      </c>
      <c r="B242" s="3" t="s">
        <v>216</v>
      </c>
      <c r="C242" s="3" t="s">
        <v>180</v>
      </c>
      <c r="D242" s="3" t="s">
        <v>181</v>
      </c>
      <c r="E242" s="11" t="s">
        <v>367</v>
      </c>
      <c r="F242" s="2">
        <v>45798</v>
      </c>
      <c r="G242" s="2">
        <v>45804</v>
      </c>
      <c r="H242" s="2">
        <v>45799</v>
      </c>
      <c r="I242" s="3" t="s">
        <v>163</v>
      </c>
      <c r="J242" s="3">
        <v>1</v>
      </c>
      <c r="K242" s="2">
        <v>45869</v>
      </c>
      <c r="L242" s="16">
        <f t="shared" si="4"/>
        <v>45930</v>
      </c>
    </row>
    <row r="243" spans="1:12" ht="14.25" customHeight="1" x14ac:dyDescent="0.35">
      <c r="A243" s="3">
        <v>4885</v>
      </c>
      <c r="B243" s="3" t="s">
        <v>213</v>
      </c>
      <c r="C243" s="3" t="s">
        <v>160</v>
      </c>
      <c r="D243" s="3" t="s">
        <v>161</v>
      </c>
      <c r="E243" s="11" t="s">
        <v>168</v>
      </c>
      <c r="F243" s="2">
        <v>45800</v>
      </c>
      <c r="G243" s="2">
        <v>45803</v>
      </c>
      <c r="H243" s="2">
        <v>45860</v>
      </c>
      <c r="I243" s="3" t="s">
        <v>163</v>
      </c>
      <c r="J243" s="3">
        <v>5</v>
      </c>
      <c r="K243" s="2">
        <v>45869</v>
      </c>
      <c r="L243" s="16">
        <f t="shared" si="4"/>
        <v>45930</v>
      </c>
    </row>
    <row r="244" spans="1:12" ht="14.25" customHeight="1" x14ac:dyDescent="0.35">
      <c r="A244" s="3">
        <v>4891</v>
      </c>
      <c r="B244" s="3" t="s">
        <v>164</v>
      </c>
      <c r="C244" s="3" t="s">
        <v>160</v>
      </c>
      <c r="D244" s="3" t="s">
        <v>161</v>
      </c>
      <c r="E244" s="11" t="s">
        <v>198</v>
      </c>
      <c r="F244" s="2">
        <v>45811</v>
      </c>
      <c r="G244" s="2">
        <v>45815</v>
      </c>
      <c r="H244" s="2">
        <v>45911</v>
      </c>
      <c r="I244" s="3" t="s">
        <v>163</v>
      </c>
      <c r="J244" s="3">
        <v>16</v>
      </c>
      <c r="K244" s="2">
        <v>45900</v>
      </c>
      <c r="L244" s="16">
        <f t="shared" si="4"/>
        <v>45961</v>
      </c>
    </row>
    <row r="245" spans="1:12" ht="14.25" customHeight="1" x14ac:dyDescent="0.35">
      <c r="A245" s="3">
        <v>5586</v>
      </c>
      <c r="B245" s="3" t="s">
        <v>218</v>
      </c>
      <c r="C245" s="3" t="s">
        <v>180</v>
      </c>
      <c r="D245" s="3" t="s">
        <v>181</v>
      </c>
      <c r="E245" s="11" t="s">
        <v>368</v>
      </c>
      <c r="F245" s="2">
        <v>45818</v>
      </c>
      <c r="G245" s="2">
        <v>45820</v>
      </c>
      <c r="H245" s="2">
        <v>45818</v>
      </c>
      <c r="I245" s="3" t="s">
        <v>163</v>
      </c>
      <c r="J245" s="3">
        <v>1</v>
      </c>
      <c r="K245" s="2">
        <v>45900</v>
      </c>
      <c r="L245" s="16">
        <f t="shared" si="4"/>
        <v>45961</v>
      </c>
    </row>
    <row r="246" spans="1:12" ht="14.25" customHeight="1" x14ac:dyDescent="0.35">
      <c r="A246" s="3">
        <v>5587</v>
      </c>
      <c r="B246" s="3" t="s">
        <v>174</v>
      </c>
      <c r="C246" s="3" t="s">
        <v>180</v>
      </c>
      <c r="D246" s="3" t="s">
        <v>181</v>
      </c>
      <c r="E246" s="11" t="s">
        <v>369</v>
      </c>
      <c r="F246" s="2">
        <v>45819</v>
      </c>
      <c r="G246" s="2">
        <v>45827</v>
      </c>
      <c r="H246" s="2">
        <v>45819</v>
      </c>
      <c r="I246" s="3" t="s">
        <v>163</v>
      </c>
      <c r="J246" s="3">
        <v>1</v>
      </c>
      <c r="K246" s="2">
        <v>45900</v>
      </c>
      <c r="L246" s="16">
        <f t="shared" si="4"/>
        <v>45961</v>
      </c>
    </row>
    <row r="247" spans="1:12" ht="14.25" customHeight="1" x14ac:dyDescent="0.35">
      <c r="A247" s="3">
        <v>4890</v>
      </c>
      <c r="B247" s="3" t="s">
        <v>224</v>
      </c>
      <c r="C247" s="3" t="s">
        <v>160</v>
      </c>
      <c r="D247" s="3" t="s">
        <v>176</v>
      </c>
      <c r="E247" s="11" t="s">
        <v>177</v>
      </c>
      <c r="F247" s="2">
        <v>45820</v>
      </c>
      <c r="G247" s="2">
        <v>45824</v>
      </c>
      <c r="H247" s="2">
        <v>45911</v>
      </c>
      <c r="I247" s="3" t="s">
        <v>163</v>
      </c>
      <c r="J247" s="3">
        <v>1</v>
      </c>
      <c r="K247" s="2">
        <v>45900</v>
      </c>
      <c r="L247" s="16">
        <f t="shared" si="4"/>
        <v>45961</v>
      </c>
    </row>
    <row r="248" spans="1:12" ht="25.5" customHeight="1" x14ac:dyDescent="0.35">
      <c r="A248" s="3">
        <v>4884</v>
      </c>
      <c r="B248" s="3" t="s">
        <v>192</v>
      </c>
      <c r="C248" s="3" t="s">
        <v>160</v>
      </c>
      <c r="D248" s="3" t="s">
        <v>176</v>
      </c>
      <c r="E248" s="11" t="s">
        <v>327</v>
      </c>
      <c r="F248" s="2">
        <v>45822</v>
      </c>
      <c r="G248" s="2">
        <v>45823</v>
      </c>
      <c r="H248" s="2">
        <v>45860</v>
      </c>
      <c r="I248" s="3" t="s">
        <v>163</v>
      </c>
      <c r="J248" s="3">
        <v>2</v>
      </c>
      <c r="K248" s="2">
        <v>45900</v>
      </c>
      <c r="L248" s="16">
        <f t="shared" si="4"/>
        <v>45961</v>
      </c>
    </row>
    <row r="249" spans="1:12" ht="14.25" customHeight="1" x14ac:dyDescent="0.35">
      <c r="A249" s="3">
        <v>5588</v>
      </c>
      <c r="B249" s="3" t="s">
        <v>140</v>
      </c>
      <c r="C249" s="3" t="s">
        <v>180</v>
      </c>
      <c r="D249" s="3" t="s">
        <v>181</v>
      </c>
      <c r="E249" s="11" t="s">
        <v>370</v>
      </c>
      <c r="F249" s="2">
        <v>45824</v>
      </c>
      <c r="G249" s="2">
        <v>45851</v>
      </c>
      <c r="H249" s="2">
        <v>45824</v>
      </c>
      <c r="I249" s="3" t="s">
        <v>163</v>
      </c>
      <c r="J249" s="3">
        <v>1</v>
      </c>
      <c r="K249" s="2">
        <v>45930</v>
      </c>
      <c r="L249" s="16">
        <f t="shared" si="4"/>
        <v>45991</v>
      </c>
    </row>
    <row r="250" spans="1:12" ht="14.25" customHeight="1" x14ac:dyDescent="0.35">
      <c r="A250" s="3">
        <v>5589</v>
      </c>
      <c r="B250" s="3" t="s">
        <v>174</v>
      </c>
      <c r="C250" s="3" t="s">
        <v>180</v>
      </c>
      <c r="D250" s="3" t="s">
        <v>181</v>
      </c>
      <c r="E250" s="11" t="s">
        <v>371</v>
      </c>
      <c r="F250" s="2">
        <v>45824</v>
      </c>
      <c r="G250" s="2">
        <v>45830</v>
      </c>
      <c r="H250" s="2">
        <v>45825</v>
      </c>
      <c r="I250" s="3" t="s">
        <v>163</v>
      </c>
      <c r="J250" s="3">
        <v>1</v>
      </c>
      <c r="K250" s="2">
        <v>45900</v>
      </c>
      <c r="L250" s="16">
        <f t="shared" si="4"/>
        <v>45961</v>
      </c>
    </row>
    <row r="251" spans="1:12" ht="14.25" customHeight="1" x14ac:dyDescent="0.35">
      <c r="A251" s="3">
        <v>5590</v>
      </c>
      <c r="B251" s="3" t="s">
        <v>174</v>
      </c>
      <c r="C251" s="3" t="s">
        <v>180</v>
      </c>
      <c r="D251" s="3" t="s">
        <v>181</v>
      </c>
      <c r="E251" s="11" t="s">
        <v>372</v>
      </c>
      <c r="F251" s="2">
        <v>45826</v>
      </c>
      <c r="G251" s="2">
        <v>45829</v>
      </c>
      <c r="H251" s="2">
        <v>45826</v>
      </c>
      <c r="I251" s="3" t="s">
        <v>163</v>
      </c>
      <c r="J251" s="3">
        <v>1</v>
      </c>
      <c r="K251" s="2">
        <v>45900</v>
      </c>
      <c r="L251" s="16">
        <f t="shared" si="4"/>
        <v>45961</v>
      </c>
    </row>
    <row r="252" spans="1:12" ht="14.25" customHeight="1" x14ac:dyDescent="0.35">
      <c r="A252" s="3">
        <v>5591</v>
      </c>
      <c r="B252" s="3" t="s">
        <v>92</v>
      </c>
      <c r="C252" s="3" t="s">
        <v>180</v>
      </c>
      <c r="D252" s="3" t="s">
        <v>181</v>
      </c>
      <c r="E252" s="11" t="s">
        <v>373</v>
      </c>
      <c r="F252" s="2">
        <v>45827</v>
      </c>
      <c r="G252" s="2">
        <v>45856</v>
      </c>
      <c r="H252" s="2">
        <v>45828</v>
      </c>
      <c r="I252" s="3" t="s">
        <v>163</v>
      </c>
      <c r="J252" s="3">
        <v>1</v>
      </c>
      <c r="K252" s="2">
        <v>45930</v>
      </c>
      <c r="L252" s="16">
        <f t="shared" si="4"/>
        <v>45991</v>
      </c>
    </row>
    <row r="253" spans="1:12" ht="14.25" customHeight="1" x14ac:dyDescent="0.35">
      <c r="A253" s="3">
        <v>4888</v>
      </c>
      <c r="B253" s="3" t="s">
        <v>309</v>
      </c>
      <c r="C253" s="3" t="s">
        <v>160</v>
      </c>
      <c r="D253" s="3" t="s">
        <v>161</v>
      </c>
      <c r="E253" s="11" t="s">
        <v>374</v>
      </c>
      <c r="F253" s="2">
        <v>45828</v>
      </c>
      <c r="G253" s="2">
        <v>45829</v>
      </c>
      <c r="H253" s="2">
        <v>45911</v>
      </c>
      <c r="I253" s="3" t="s">
        <v>163</v>
      </c>
      <c r="J253" s="3">
        <v>19</v>
      </c>
      <c r="K253" s="2">
        <v>45900</v>
      </c>
      <c r="L253" s="16">
        <f t="shared" si="4"/>
        <v>45961</v>
      </c>
    </row>
    <row r="254" spans="1:12" ht="14.25" customHeight="1" x14ac:dyDescent="0.35">
      <c r="A254" s="3">
        <v>5592</v>
      </c>
      <c r="B254" s="3" t="s">
        <v>218</v>
      </c>
      <c r="C254" s="3" t="s">
        <v>180</v>
      </c>
      <c r="D254" s="3" t="s">
        <v>181</v>
      </c>
      <c r="E254" s="11" t="s">
        <v>375</v>
      </c>
      <c r="F254" s="2">
        <v>45828</v>
      </c>
      <c r="G254" s="2">
        <v>45832</v>
      </c>
      <c r="H254" s="2">
        <v>45828</v>
      </c>
      <c r="I254" s="3" t="s">
        <v>163</v>
      </c>
      <c r="J254" s="3">
        <v>1</v>
      </c>
      <c r="K254" s="2">
        <v>45900</v>
      </c>
      <c r="L254" s="16">
        <f t="shared" si="4"/>
        <v>45961</v>
      </c>
    </row>
    <row r="255" spans="1:12" ht="14.25" customHeight="1" x14ac:dyDescent="0.35">
      <c r="A255" s="3">
        <v>4894</v>
      </c>
      <c r="B255" s="3" t="s">
        <v>223</v>
      </c>
      <c r="C255" s="3" t="s">
        <v>160</v>
      </c>
      <c r="D255" s="3" t="s">
        <v>256</v>
      </c>
      <c r="E255" s="11" t="s">
        <v>376</v>
      </c>
      <c r="F255" s="2">
        <v>45829</v>
      </c>
      <c r="G255" s="2">
        <v>45829</v>
      </c>
      <c r="H255" s="2">
        <v>45952</v>
      </c>
      <c r="I255" s="3" t="s">
        <v>163</v>
      </c>
      <c r="J255" s="3">
        <v>1</v>
      </c>
      <c r="K255" s="2">
        <v>45900</v>
      </c>
      <c r="L255" s="16">
        <f t="shared" si="4"/>
        <v>45961</v>
      </c>
    </row>
    <row r="256" spans="1:12" ht="14.25" customHeight="1" x14ac:dyDescent="0.35">
      <c r="A256" s="3">
        <v>5593</v>
      </c>
      <c r="B256" s="3" t="s">
        <v>140</v>
      </c>
      <c r="C256" s="3" t="s">
        <v>180</v>
      </c>
      <c r="D256" s="3" t="s">
        <v>181</v>
      </c>
      <c r="E256" s="11" t="s">
        <v>377</v>
      </c>
      <c r="F256" s="2">
        <v>45829</v>
      </c>
      <c r="G256" s="2">
        <v>45866</v>
      </c>
      <c r="H256" s="2">
        <v>45829</v>
      </c>
      <c r="I256" s="3" t="s">
        <v>163</v>
      </c>
      <c r="J256" s="3">
        <v>1</v>
      </c>
      <c r="K256" s="2">
        <v>45930</v>
      </c>
      <c r="L256" s="16">
        <f t="shared" si="4"/>
        <v>45991</v>
      </c>
    </row>
    <row r="257" spans="1:12" ht="14.25" customHeight="1" x14ac:dyDescent="0.35">
      <c r="A257" s="3">
        <v>5596</v>
      </c>
      <c r="B257" s="3" t="s">
        <v>275</v>
      </c>
      <c r="C257" s="3" t="s">
        <v>180</v>
      </c>
      <c r="D257" s="3" t="s">
        <v>181</v>
      </c>
      <c r="E257" s="11" t="s">
        <v>378</v>
      </c>
      <c r="F257" s="2">
        <v>45829</v>
      </c>
      <c r="G257" s="2">
        <v>45834</v>
      </c>
      <c r="H257" s="2">
        <v>45831</v>
      </c>
      <c r="I257" s="3" t="s">
        <v>163</v>
      </c>
      <c r="J257" s="3">
        <v>1</v>
      </c>
      <c r="K257" s="2">
        <v>45900</v>
      </c>
      <c r="L257" s="16">
        <f t="shared" si="4"/>
        <v>45961</v>
      </c>
    </row>
    <row r="258" spans="1:12" ht="14.25" customHeight="1" x14ac:dyDescent="0.35">
      <c r="A258" s="3">
        <v>5594</v>
      </c>
      <c r="B258" s="3" t="s">
        <v>140</v>
      </c>
      <c r="C258" s="3" t="s">
        <v>180</v>
      </c>
      <c r="D258" s="3" t="s">
        <v>181</v>
      </c>
      <c r="E258" s="11" t="s">
        <v>379</v>
      </c>
      <c r="F258" s="2">
        <v>45830</v>
      </c>
      <c r="G258" s="2">
        <v>45866</v>
      </c>
      <c r="H258" s="2">
        <v>45830</v>
      </c>
      <c r="I258" s="3" t="s">
        <v>163</v>
      </c>
      <c r="J258" s="3">
        <v>1</v>
      </c>
      <c r="K258" s="2">
        <v>45930</v>
      </c>
      <c r="L258" s="16">
        <f t="shared" ref="L258:L321" si="5">IF(K258="","",EOMONTH(K258,2))</f>
        <v>45991</v>
      </c>
    </row>
    <row r="259" spans="1:12" ht="14.25" customHeight="1" x14ac:dyDescent="0.35">
      <c r="A259" s="3">
        <v>5595</v>
      </c>
      <c r="B259" s="3" t="s">
        <v>275</v>
      </c>
      <c r="C259" s="3" t="s">
        <v>180</v>
      </c>
      <c r="D259" s="3" t="s">
        <v>181</v>
      </c>
      <c r="E259" s="11" t="s">
        <v>380</v>
      </c>
      <c r="F259" s="2">
        <v>45830</v>
      </c>
      <c r="G259" s="2">
        <v>45852</v>
      </c>
      <c r="H259" s="2">
        <v>45831</v>
      </c>
      <c r="I259" s="3" t="s">
        <v>163</v>
      </c>
      <c r="J259" s="3">
        <v>1</v>
      </c>
      <c r="K259" s="2">
        <v>45930</v>
      </c>
      <c r="L259" s="16">
        <f t="shared" si="5"/>
        <v>45991</v>
      </c>
    </row>
    <row r="260" spans="1:12" ht="14.25" customHeight="1" x14ac:dyDescent="0.35">
      <c r="A260" s="3">
        <v>3628</v>
      </c>
      <c r="B260" s="3" t="s">
        <v>140</v>
      </c>
      <c r="C260" s="3" t="s">
        <v>172</v>
      </c>
      <c r="D260" s="3" t="s">
        <v>176</v>
      </c>
      <c r="E260" s="11" t="s">
        <v>201</v>
      </c>
      <c r="F260" s="2">
        <v>45831</v>
      </c>
      <c r="G260" s="2">
        <v>45874</v>
      </c>
      <c r="H260" s="2">
        <v>45848</v>
      </c>
      <c r="I260" s="3" t="s">
        <v>163</v>
      </c>
      <c r="J260" s="3">
        <v>4</v>
      </c>
      <c r="K260" s="2">
        <v>45961</v>
      </c>
      <c r="L260" s="16">
        <f t="shared" si="5"/>
        <v>46022</v>
      </c>
    </row>
    <row r="261" spans="1:12" ht="14.25" customHeight="1" x14ac:dyDescent="0.35">
      <c r="A261" s="3">
        <v>4886</v>
      </c>
      <c r="B261" s="3" t="s">
        <v>140</v>
      </c>
      <c r="C261" s="3" t="s">
        <v>160</v>
      </c>
      <c r="D261" s="3" t="s">
        <v>176</v>
      </c>
      <c r="E261" s="11" t="s">
        <v>201</v>
      </c>
      <c r="F261" s="2">
        <v>45831</v>
      </c>
      <c r="G261" s="2">
        <v>45874</v>
      </c>
      <c r="H261" s="2">
        <v>45860</v>
      </c>
      <c r="I261" s="3" t="s">
        <v>163</v>
      </c>
      <c r="J261" s="3">
        <v>4</v>
      </c>
      <c r="K261" s="2">
        <v>45961</v>
      </c>
      <c r="L261" s="16">
        <f t="shared" si="5"/>
        <v>46022</v>
      </c>
    </row>
    <row r="262" spans="1:12" ht="14.25" customHeight="1" x14ac:dyDescent="0.35">
      <c r="A262" s="3">
        <v>4879</v>
      </c>
      <c r="B262" s="3" t="s">
        <v>179</v>
      </c>
      <c r="C262" s="3" t="s">
        <v>160</v>
      </c>
      <c r="D262" s="3" t="s">
        <v>176</v>
      </c>
      <c r="E262" s="11" t="s">
        <v>225</v>
      </c>
      <c r="F262" s="2">
        <v>45840</v>
      </c>
      <c r="G262" s="2">
        <v>45856</v>
      </c>
      <c r="H262" s="2">
        <v>45844</v>
      </c>
      <c r="I262" s="3" t="s">
        <v>163</v>
      </c>
      <c r="J262" s="3">
        <v>23</v>
      </c>
      <c r="K262" s="2">
        <v>45930</v>
      </c>
      <c r="L262" s="16">
        <f t="shared" si="5"/>
        <v>45991</v>
      </c>
    </row>
    <row r="263" spans="1:12" ht="14.25" customHeight="1" x14ac:dyDescent="0.35">
      <c r="A263" s="3">
        <v>5597</v>
      </c>
      <c r="B263" s="3" t="s">
        <v>275</v>
      </c>
      <c r="C263" s="3" t="s">
        <v>180</v>
      </c>
      <c r="D263" s="3" t="s">
        <v>181</v>
      </c>
      <c r="E263" s="11" t="s">
        <v>381</v>
      </c>
      <c r="F263" s="2">
        <v>45842</v>
      </c>
      <c r="G263" s="2">
        <v>45861</v>
      </c>
      <c r="H263" s="2">
        <v>45844</v>
      </c>
      <c r="I263" s="3" t="s">
        <v>163</v>
      </c>
      <c r="J263" s="3">
        <v>2</v>
      </c>
      <c r="K263" s="2">
        <v>45930</v>
      </c>
      <c r="L263" s="16">
        <f t="shared" si="5"/>
        <v>45991</v>
      </c>
    </row>
    <row r="264" spans="1:12" ht="14.25" customHeight="1" x14ac:dyDescent="0.35">
      <c r="A264" s="3">
        <v>4889</v>
      </c>
      <c r="B264" s="3" t="s">
        <v>274</v>
      </c>
      <c r="C264" s="3" t="s">
        <v>160</v>
      </c>
      <c r="D264" s="3" t="s">
        <v>382</v>
      </c>
      <c r="E264" s="11" t="s">
        <v>383</v>
      </c>
      <c r="F264" s="2">
        <v>45844</v>
      </c>
      <c r="G264" s="2">
        <v>45845</v>
      </c>
      <c r="H264" s="2">
        <v>45911</v>
      </c>
      <c r="I264" s="3" t="s">
        <v>163</v>
      </c>
      <c r="J264" s="3">
        <v>7</v>
      </c>
      <c r="K264" s="2">
        <v>45930</v>
      </c>
      <c r="L264" s="16">
        <f t="shared" si="5"/>
        <v>45991</v>
      </c>
    </row>
    <row r="265" spans="1:12" ht="14.25" customHeight="1" x14ac:dyDescent="0.35">
      <c r="A265" s="3">
        <v>5598</v>
      </c>
      <c r="B265" s="3" t="s">
        <v>92</v>
      </c>
      <c r="C265" s="3" t="s">
        <v>180</v>
      </c>
      <c r="D265" s="3" t="s">
        <v>181</v>
      </c>
      <c r="E265" s="11" t="s">
        <v>384</v>
      </c>
      <c r="F265" s="2">
        <v>45848</v>
      </c>
      <c r="G265" s="2">
        <v>45880</v>
      </c>
      <c r="H265" s="2">
        <v>45850</v>
      </c>
      <c r="I265" s="3" t="s">
        <v>163</v>
      </c>
      <c r="J265" s="3">
        <v>1</v>
      </c>
      <c r="K265" s="2">
        <v>45961</v>
      </c>
      <c r="L265" s="16">
        <f t="shared" si="5"/>
        <v>46022</v>
      </c>
    </row>
    <row r="266" spans="1:12" ht="14.25" customHeight="1" x14ac:dyDescent="0.35">
      <c r="A266" s="3">
        <v>5599</v>
      </c>
      <c r="B266" s="3" t="s">
        <v>174</v>
      </c>
      <c r="C266" s="3" t="s">
        <v>180</v>
      </c>
      <c r="D266" s="3" t="s">
        <v>181</v>
      </c>
      <c r="E266" s="11" t="s">
        <v>385</v>
      </c>
      <c r="F266" s="2">
        <v>45850</v>
      </c>
      <c r="G266" s="2">
        <v>45858</v>
      </c>
      <c r="H266" s="2">
        <v>45851</v>
      </c>
      <c r="I266" s="3" t="s">
        <v>163</v>
      </c>
      <c r="J266" s="3">
        <v>1</v>
      </c>
      <c r="K266" s="2">
        <v>45930</v>
      </c>
      <c r="L266" s="16">
        <f t="shared" si="5"/>
        <v>45991</v>
      </c>
    </row>
    <row r="267" spans="1:12" ht="14.25" customHeight="1" x14ac:dyDescent="0.35">
      <c r="A267" s="3">
        <v>5600</v>
      </c>
      <c r="B267" s="3" t="s">
        <v>92</v>
      </c>
      <c r="C267" s="3" t="s">
        <v>180</v>
      </c>
      <c r="D267" s="3" t="s">
        <v>181</v>
      </c>
      <c r="E267" s="11" t="s">
        <v>386</v>
      </c>
      <c r="F267" s="2">
        <v>45851</v>
      </c>
      <c r="G267" s="2">
        <v>45892</v>
      </c>
      <c r="H267" s="2">
        <v>45854</v>
      </c>
      <c r="I267" s="3" t="s">
        <v>163</v>
      </c>
      <c r="J267" s="3">
        <v>2</v>
      </c>
      <c r="K267" s="2">
        <v>45961</v>
      </c>
      <c r="L267" s="16">
        <f t="shared" si="5"/>
        <v>46022</v>
      </c>
    </row>
    <row r="268" spans="1:12" ht="14.25" customHeight="1" x14ac:dyDescent="0.35">
      <c r="A268" s="3">
        <v>4897</v>
      </c>
      <c r="B268" s="3" t="s">
        <v>164</v>
      </c>
      <c r="C268" s="3" t="s">
        <v>160</v>
      </c>
      <c r="D268" s="3" t="s">
        <v>161</v>
      </c>
      <c r="E268" s="11" t="s">
        <v>225</v>
      </c>
      <c r="F268" s="2">
        <v>45855</v>
      </c>
      <c r="G268" s="2">
        <v>45860</v>
      </c>
      <c r="H268" s="2">
        <v>46010</v>
      </c>
      <c r="I268" s="3" t="s">
        <v>163</v>
      </c>
      <c r="J268" s="3">
        <v>12</v>
      </c>
      <c r="K268" s="2">
        <v>45930</v>
      </c>
      <c r="L268" s="16">
        <f t="shared" si="5"/>
        <v>45991</v>
      </c>
    </row>
    <row r="269" spans="1:12" ht="14.25" customHeight="1" x14ac:dyDescent="0.35">
      <c r="A269" s="3">
        <v>5601</v>
      </c>
      <c r="B269" s="3" t="s">
        <v>159</v>
      </c>
      <c r="C269" s="3" t="s">
        <v>180</v>
      </c>
      <c r="D269" s="3" t="s">
        <v>181</v>
      </c>
      <c r="E269" s="11" t="s">
        <v>387</v>
      </c>
      <c r="F269" s="2">
        <v>45856</v>
      </c>
      <c r="G269" s="2">
        <v>45872</v>
      </c>
      <c r="H269" s="2">
        <v>45857</v>
      </c>
      <c r="I269" s="3" t="s">
        <v>163</v>
      </c>
      <c r="J269" s="3">
        <v>1</v>
      </c>
      <c r="K269" s="2">
        <v>45961</v>
      </c>
      <c r="L269" s="16">
        <f t="shared" si="5"/>
        <v>46022</v>
      </c>
    </row>
    <row r="270" spans="1:12" ht="14.25" customHeight="1" x14ac:dyDescent="0.35">
      <c r="A270" s="3">
        <v>5602</v>
      </c>
      <c r="B270" s="3" t="s">
        <v>218</v>
      </c>
      <c r="C270" s="3" t="s">
        <v>180</v>
      </c>
      <c r="D270" s="3" t="s">
        <v>181</v>
      </c>
      <c r="E270" s="11" t="s">
        <v>388</v>
      </c>
      <c r="F270" s="2">
        <v>45871</v>
      </c>
      <c r="G270" s="2">
        <v>45873</v>
      </c>
      <c r="H270" s="2">
        <v>45871</v>
      </c>
      <c r="I270" s="3" t="s">
        <v>163</v>
      </c>
      <c r="J270" s="3">
        <v>1</v>
      </c>
      <c r="K270" s="2">
        <v>45961</v>
      </c>
      <c r="L270" s="16">
        <f t="shared" si="5"/>
        <v>46022</v>
      </c>
    </row>
    <row r="271" spans="1:12" ht="14.25" customHeight="1" x14ac:dyDescent="0.35">
      <c r="A271" s="3">
        <v>5603</v>
      </c>
      <c r="B271" s="3" t="s">
        <v>263</v>
      </c>
      <c r="C271" s="3" t="s">
        <v>180</v>
      </c>
      <c r="D271" s="3" t="s">
        <v>181</v>
      </c>
      <c r="E271" s="11" t="s">
        <v>389</v>
      </c>
      <c r="F271" s="2">
        <v>45871</v>
      </c>
      <c r="G271" s="3"/>
      <c r="H271" s="2">
        <v>45875</v>
      </c>
      <c r="I271" s="3" t="s">
        <v>163</v>
      </c>
      <c r="J271" s="3">
        <v>1</v>
      </c>
      <c r="K271" s="3"/>
      <c r="L271" s="16" t="str">
        <f t="shared" si="5"/>
        <v/>
      </c>
    </row>
    <row r="272" spans="1:12" ht="14.25" customHeight="1" x14ac:dyDescent="0.35">
      <c r="A272" s="3">
        <v>5604</v>
      </c>
      <c r="B272" s="3" t="s">
        <v>263</v>
      </c>
      <c r="C272" s="3" t="s">
        <v>180</v>
      </c>
      <c r="D272" s="3" t="s">
        <v>181</v>
      </c>
      <c r="E272" s="11" t="s">
        <v>306</v>
      </c>
      <c r="F272" s="2">
        <v>45871</v>
      </c>
      <c r="G272" s="3"/>
      <c r="H272" s="2">
        <v>45875</v>
      </c>
      <c r="I272" s="3" t="s">
        <v>163</v>
      </c>
      <c r="J272" s="3">
        <v>1</v>
      </c>
      <c r="K272" s="3"/>
      <c r="L272" s="16" t="str">
        <f t="shared" si="5"/>
        <v/>
      </c>
    </row>
    <row r="273" spans="1:12" ht="14.25" customHeight="1" x14ac:dyDescent="0.35">
      <c r="A273" s="3">
        <v>4895</v>
      </c>
      <c r="B273" s="3" t="s">
        <v>309</v>
      </c>
      <c r="C273" s="3" t="s">
        <v>160</v>
      </c>
      <c r="D273" s="3" t="s">
        <v>161</v>
      </c>
      <c r="E273" s="11" t="s">
        <v>204</v>
      </c>
      <c r="F273" s="2">
        <v>45876</v>
      </c>
      <c r="G273" s="2">
        <v>45877</v>
      </c>
      <c r="H273" s="2">
        <v>45952</v>
      </c>
      <c r="I273" s="3" t="s">
        <v>163</v>
      </c>
      <c r="J273" s="3">
        <v>7</v>
      </c>
      <c r="K273" s="2">
        <v>45961</v>
      </c>
      <c r="L273" s="16">
        <f t="shared" si="5"/>
        <v>46022</v>
      </c>
    </row>
    <row r="274" spans="1:12" ht="14.25" customHeight="1" x14ac:dyDescent="0.35">
      <c r="A274" s="3">
        <v>5605</v>
      </c>
      <c r="B274" s="3" t="s">
        <v>114</v>
      </c>
      <c r="C274" s="3" t="s">
        <v>180</v>
      </c>
      <c r="D274" s="3" t="s">
        <v>181</v>
      </c>
      <c r="E274" s="11" t="s">
        <v>390</v>
      </c>
      <c r="F274" s="2">
        <v>45876</v>
      </c>
      <c r="G274" s="3"/>
      <c r="H274" s="2">
        <v>45877</v>
      </c>
      <c r="I274" s="3" t="s">
        <v>163</v>
      </c>
      <c r="J274" s="3">
        <v>1</v>
      </c>
      <c r="K274" s="3"/>
      <c r="L274" s="16" t="str">
        <f t="shared" si="5"/>
        <v/>
      </c>
    </row>
    <row r="275" spans="1:12" ht="14.25" customHeight="1" x14ac:dyDescent="0.35">
      <c r="A275" s="3">
        <v>4896</v>
      </c>
      <c r="B275" s="3" t="s">
        <v>195</v>
      </c>
      <c r="C275" s="3" t="s">
        <v>160</v>
      </c>
      <c r="D275" s="3" t="s">
        <v>161</v>
      </c>
      <c r="E275" s="11" t="s">
        <v>225</v>
      </c>
      <c r="F275" s="2">
        <v>45877</v>
      </c>
      <c r="G275" s="2">
        <v>45879</v>
      </c>
      <c r="H275" s="2">
        <v>45952</v>
      </c>
      <c r="I275" s="3" t="s">
        <v>163</v>
      </c>
      <c r="J275" s="3">
        <v>12</v>
      </c>
      <c r="K275" s="2">
        <v>45961</v>
      </c>
      <c r="L275" s="16">
        <f t="shared" si="5"/>
        <v>46022</v>
      </c>
    </row>
    <row r="276" spans="1:12" ht="14.25" customHeight="1" x14ac:dyDescent="0.35">
      <c r="A276" s="3">
        <v>4892</v>
      </c>
      <c r="B276" s="3" t="s">
        <v>391</v>
      </c>
      <c r="C276" s="3" t="s">
        <v>160</v>
      </c>
      <c r="D276" s="3" t="s">
        <v>176</v>
      </c>
      <c r="E276" s="11" t="s">
        <v>392</v>
      </c>
      <c r="F276" s="2">
        <v>45878</v>
      </c>
      <c r="G276" s="2">
        <v>45881</v>
      </c>
      <c r="H276" s="2">
        <v>45911</v>
      </c>
      <c r="I276" s="3" t="s">
        <v>163</v>
      </c>
      <c r="J276" s="3">
        <v>3</v>
      </c>
      <c r="K276" s="2">
        <v>45961</v>
      </c>
      <c r="L276" s="16">
        <f t="shared" si="5"/>
        <v>46022</v>
      </c>
    </row>
    <row r="277" spans="1:12" ht="14.25" customHeight="1" x14ac:dyDescent="0.35">
      <c r="A277" s="3">
        <v>5606</v>
      </c>
      <c r="B277" s="3" t="s">
        <v>263</v>
      </c>
      <c r="C277" s="3" t="s">
        <v>180</v>
      </c>
      <c r="D277" s="3" t="s">
        <v>181</v>
      </c>
      <c r="E277" s="11" t="s">
        <v>393</v>
      </c>
      <c r="F277" s="2">
        <v>45879</v>
      </c>
      <c r="G277" s="3"/>
      <c r="H277" s="2">
        <v>45880</v>
      </c>
      <c r="I277" s="3" t="s">
        <v>163</v>
      </c>
      <c r="J277" s="3">
        <v>1</v>
      </c>
      <c r="K277" s="3"/>
      <c r="L277" s="16" t="str">
        <f t="shared" si="5"/>
        <v/>
      </c>
    </row>
    <row r="278" spans="1:12" ht="14.25" customHeight="1" x14ac:dyDescent="0.35">
      <c r="A278" s="3">
        <v>5607</v>
      </c>
      <c r="B278" s="3" t="s">
        <v>202</v>
      </c>
      <c r="C278" s="3" t="s">
        <v>180</v>
      </c>
      <c r="D278" s="3" t="s">
        <v>181</v>
      </c>
      <c r="E278" s="11" t="s">
        <v>394</v>
      </c>
      <c r="F278" s="2">
        <v>45883</v>
      </c>
      <c r="G278" s="2">
        <v>45901</v>
      </c>
      <c r="H278" s="2">
        <v>45884</v>
      </c>
      <c r="I278" s="3" t="s">
        <v>163</v>
      </c>
      <c r="J278" s="3">
        <v>1</v>
      </c>
      <c r="K278" s="2">
        <v>45991</v>
      </c>
      <c r="L278" s="16">
        <f t="shared" si="5"/>
        <v>46053</v>
      </c>
    </row>
    <row r="279" spans="1:12" ht="14.25" customHeight="1" x14ac:dyDescent="0.35">
      <c r="A279" s="3">
        <v>5608</v>
      </c>
      <c r="B279" s="3" t="s">
        <v>95</v>
      </c>
      <c r="C279" s="3" t="s">
        <v>180</v>
      </c>
      <c r="D279" s="3" t="s">
        <v>181</v>
      </c>
      <c r="E279" s="11" t="s">
        <v>395</v>
      </c>
      <c r="F279" s="2">
        <v>45884</v>
      </c>
      <c r="G279" s="3"/>
      <c r="H279" s="2">
        <v>45884</v>
      </c>
      <c r="I279" s="3" t="s">
        <v>163</v>
      </c>
      <c r="J279" s="3">
        <v>1</v>
      </c>
      <c r="K279" s="3"/>
      <c r="L279" s="16" t="str">
        <f t="shared" si="5"/>
        <v/>
      </c>
    </row>
    <row r="280" spans="1:12" ht="14.25" customHeight="1" x14ac:dyDescent="0.35">
      <c r="A280" s="3">
        <v>5609</v>
      </c>
      <c r="B280" s="3" t="s">
        <v>200</v>
      </c>
      <c r="C280" s="3" t="s">
        <v>180</v>
      </c>
      <c r="D280" s="3" t="s">
        <v>181</v>
      </c>
      <c r="E280" s="11" t="s">
        <v>396</v>
      </c>
      <c r="F280" s="2">
        <v>45888</v>
      </c>
      <c r="G280" s="2">
        <v>45892</v>
      </c>
      <c r="H280" s="2">
        <v>45888</v>
      </c>
      <c r="I280" s="3" t="s">
        <v>163</v>
      </c>
      <c r="J280" s="3">
        <v>1</v>
      </c>
      <c r="K280" s="2">
        <v>45961</v>
      </c>
      <c r="L280" s="16">
        <f t="shared" si="5"/>
        <v>46022</v>
      </c>
    </row>
    <row r="281" spans="1:12" ht="14.25" customHeight="1" x14ac:dyDescent="0.35">
      <c r="A281" s="3">
        <v>5610</v>
      </c>
      <c r="B281" s="3" t="s">
        <v>174</v>
      </c>
      <c r="C281" s="3" t="s">
        <v>180</v>
      </c>
      <c r="D281" s="3" t="s">
        <v>181</v>
      </c>
      <c r="E281" s="11" t="s">
        <v>397</v>
      </c>
      <c r="F281" s="2">
        <v>45891</v>
      </c>
      <c r="G281" s="2">
        <v>45905</v>
      </c>
      <c r="H281" s="2">
        <v>45892</v>
      </c>
      <c r="I281" s="3" t="s">
        <v>163</v>
      </c>
      <c r="J281" s="3">
        <v>2</v>
      </c>
      <c r="K281" s="2">
        <v>45991</v>
      </c>
      <c r="L281" s="16">
        <f t="shared" si="5"/>
        <v>46053</v>
      </c>
    </row>
    <row r="282" spans="1:12" ht="14.25" customHeight="1" x14ac:dyDescent="0.35">
      <c r="A282" s="3">
        <v>5611</v>
      </c>
      <c r="B282" s="3" t="s">
        <v>208</v>
      </c>
      <c r="C282" s="3" t="s">
        <v>180</v>
      </c>
      <c r="D282" s="3" t="s">
        <v>181</v>
      </c>
      <c r="E282" s="11" t="s">
        <v>398</v>
      </c>
      <c r="F282" s="2">
        <v>45895</v>
      </c>
      <c r="G282" s="2">
        <v>45919</v>
      </c>
      <c r="H282" s="2">
        <v>45895</v>
      </c>
      <c r="I282" s="3" t="s">
        <v>163</v>
      </c>
      <c r="J282" s="3">
        <v>1</v>
      </c>
      <c r="K282" s="2">
        <v>45991</v>
      </c>
      <c r="L282" s="16">
        <f t="shared" si="5"/>
        <v>46053</v>
      </c>
    </row>
    <row r="283" spans="1:12" ht="14.25" customHeight="1" x14ac:dyDescent="0.35">
      <c r="A283" s="3">
        <v>5612</v>
      </c>
      <c r="B283" s="3" t="s">
        <v>114</v>
      </c>
      <c r="C283" s="3" t="s">
        <v>180</v>
      </c>
      <c r="D283" s="3" t="s">
        <v>181</v>
      </c>
      <c r="E283" s="11" t="s">
        <v>399</v>
      </c>
      <c r="F283" s="2">
        <v>45902</v>
      </c>
      <c r="G283" s="3"/>
      <c r="H283" s="2">
        <v>45903</v>
      </c>
      <c r="I283" s="3" t="s">
        <v>163</v>
      </c>
      <c r="J283" s="3">
        <v>1</v>
      </c>
      <c r="K283" s="3"/>
      <c r="L283" s="16" t="str">
        <f t="shared" si="5"/>
        <v/>
      </c>
    </row>
    <row r="284" spans="1:12" ht="14.25" customHeight="1" x14ac:dyDescent="0.35">
      <c r="A284" s="3">
        <v>5613</v>
      </c>
      <c r="B284" s="3" t="s">
        <v>200</v>
      </c>
      <c r="C284" s="3" t="s">
        <v>180</v>
      </c>
      <c r="D284" s="3" t="s">
        <v>181</v>
      </c>
      <c r="E284" s="11" t="s">
        <v>400</v>
      </c>
      <c r="F284" s="2">
        <v>45923</v>
      </c>
      <c r="G284" s="2">
        <v>45923</v>
      </c>
      <c r="H284" s="2">
        <v>45923</v>
      </c>
      <c r="I284" s="3" t="s">
        <v>163</v>
      </c>
      <c r="J284" s="3">
        <v>1</v>
      </c>
      <c r="K284" s="2">
        <v>45991</v>
      </c>
      <c r="L284" s="16">
        <f t="shared" si="5"/>
        <v>46053</v>
      </c>
    </row>
    <row r="285" spans="1:12" ht="14.25" customHeight="1" x14ac:dyDescent="0.35">
      <c r="A285" s="3">
        <v>5614</v>
      </c>
      <c r="B285" s="3" t="s">
        <v>159</v>
      </c>
      <c r="C285" s="3" t="s">
        <v>180</v>
      </c>
      <c r="D285" s="3" t="s">
        <v>181</v>
      </c>
      <c r="E285" s="11" t="s">
        <v>401</v>
      </c>
      <c r="F285" s="2">
        <v>45925</v>
      </c>
      <c r="G285" s="2">
        <v>45940</v>
      </c>
      <c r="H285" s="2">
        <v>45926</v>
      </c>
      <c r="I285" s="3" t="s">
        <v>163</v>
      </c>
      <c r="J285" s="3">
        <v>1</v>
      </c>
      <c r="K285" s="2">
        <v>46022</v>
      </c>
      <c r="L285" s="16">
        <f t="shared" si="5"/>
        <v>46081</v>
      </c>
    </row>
    <row r="286" spans="1:12" ht="14.25" customHeight="1" x14ac:dyDescent="0.35">
      <c r="A286" s="3">
        <v>4918</v>
      </c>
      <c r="B286" s="3" t="s">
        <v>140</v>
      </c>
      <c r="C286" s="3" t="s">
        <v>160</v>
      </c>
      <c r="D286" s="3" t="s">
        <v>161</v>
      </c>
      <c r="E286" s="11" t="s">
        <v>168</v>
      </c>
      <c r="F286" s="2">
        <v>45928</v>
      </c>
      <c r="G286" s="2">
        <v>45929</v>
      </c>
      <c r="H286" s="2">
        <v>46203</v>
      </c>
      <c r="I286" s="3" t="s">
        <v>163</v>
      </c>
      <c r="J286" s="3">
        <v>1</v>
      </c>
      <c r="K286" s="2">
        <v>45991</v>
      </c>
      <c r="L286" s="16">
        <f t="shared" si="5"/>
        <v>46053</v>
      </c>
    </row>
    <row r="287" spans="1:12" ht="14.25" customHeight="1" x14ac:dyDescent="0.35">
      <c r="A287" s="3">
        <v>4893</v>
      </c>
      <c r="B287" s="3" t="s">
        <v>275</v>
      </c>
      <c r="C287" s="3" t="s">
        <v>160</v>
      </c>
      <c r="D287" s="3" t="s">
        <v>176</v>
      </c>
      <c r="E287" s="11" t="s">
        <v>402</v>
      </c>
      <c r="F287" s="2">
        <v>45938</v>
      </c>
      <c r="G287" s="2">
        <v>45943</v>
      </c>
      <c r="H287" s="2">
        <v>45952</v>
      </c>
      <c r="I287" s="3" t="s">
        <v>163</v>
      </c>
      <c r="J287" s="3">
        <v>10</v>
      </c>
      <c r="K287" s="2">
        <v>46022</v>
      </c>
      <c r="L287" s="16">
        <f t="shared" si="5"/>
        <v>46081</v>
      </c>
    </row>
    <row r="288" spans="1:12" ht="14.25" customHeight="1" x14ac:dyDescent="0.35">
      <c r="A288" s="3">
        <v>4912</v>
      </c>
      <c r="B288" s="3" t="s">
        <v>275</v>
      </c>
      <c r="C288" s="3" t="s">
        <v>160</v>
      </c>
      <c r="D288" s="3" t="s">
        <v>176</v>
      </c>
      <c r="E288" s="11" t="s">
        <v>402</v>
      </c>
      <c r="F288" s="2">
        <v>45938</v>
      </c>
      <c r="G288" s="2">
        <v>45943</v>
      </c>
      <c r="H288" s="2">
        <v>46171</v>
      </c>
      <c r="I288" s="3" t="s">
        <v>163</v>
      </c>
      <c r="J288" s="3">
        <v>1</v>
      </c>
      <c r="K288" s="2">
        <v>46022</v>
      </c>
      <c r="L288" s="16">
        <f t="shared" si="5"/>
        <v>46081</v>
      </c>
    </row>
    <row r="289" spans="1:12" ht="14.25" customHeight="1" x14ac:dyDescent="0.35">
      <c r="A289" s="3">
        <v>4911</v>
      </c>
      <c r="B289" s="3" t="s">
        <v>216</v>
      </c>
      <c r="C289" s="3" t="s">
        <v>160</v>
      </c>
      <c r="D289" s="3" t="s">
        <v>161</v>
      </c>
      <c r="E289" s="11" t="s">
        <v>168</v>
      </c>
      <c r="F289" s="2">
        <v>45940</v>
      </c>
      <c r="G289" s="2">
        <v>45943</v>
      </c>
      <c r="H289" s="2">
        <v>46171</v>
      </c>
      <c r="I289" s="3" t="s">
        <v>163</v>
      </c>
      <c r="J289" s="3">
        <v>1</v>
      </c>
      <c r="K289" s="2">
        <v>46022</v>
      </c>
      <c r="L289" s="16">
        <f t="shared" si="5"/>
        <v>46081</v>
      </c>
    </row>
    <row r="290" spans="1:12" ht="25.5" customHeight="1" x14ac:dyDescent="0.35">
      <c r="A290" s="3">
        <v>4906</v>
      </c>
      <c r="B290" s="3" t="s">
        <v>159</v>
      </c>
      <c r="C290" s="3" t="s">
        <v>160</v>
      </c>
      <c r="D290" s="3" t="s">
        <v>176</v>
      </c>
      <c r="E290" s="11" t="s">
        <v>327</v>
      </c>
      <c r="F290" s="2">
        <v>45996</v>
      </c>
      <c r="G290" s="2">
        <v>46010</v>
      </c>
      <c r="H290" s="2">
        <v>46119</v>
      </c>
      <c r="I290" s="3" t="s">
        <v>163</v>
      </c>
      <c r="J290" s="3">
        <v>49</v>
      </c>
      <c r="K290" s="2">
        <v>46081</v>
      </c>
      <c r="L290" s="16">
        <f t="shared" si="5"/>
        <v>46142</v>
      </c>
    </row>
    <row r="291" spans="1:12" ht="14.25" customHeight="1" x14ac:dyDescent="0.35">
      <c r="A291" s="3">
        <v>4904</v>
      </c>
      <c r="B291" s="3" t="s">
        <v>275</v>
      </c>
      <c r="C291" s="3" t="s">
        <v>160</v>
      </c>
      <c r="D291" s="3" t="s">
        <v>165</v>
      </c>
      <c r="E291" s="11" t="s">
        <v>403</v>
      </c>
      <c r="F291" s="2">
        <v>45997</v>
      </c>
      <c r="G291" s="2">
        <v>46000</v>
      </c>
      <c r="H291" s="2">
        <v>46119</v>
      </c>
      <c r="I291" s="3" t="s">
        <v>163</v>
      </c>
      <c r="J291" s="3">
        <v>1</v>
      </c>
      <c r="K291" s="2">
        <v>46081</v>
      </c>
      <c r="L291" s="16">
        <f t="shared" si="5"/>
        <v>46142</v>
      </c>
    </row>
    <row r="292" spans="1:12" ht="25.5" customHeight="1" x14ac:dyDescent="0.35">
      <c r="A292" s="3">
        <v>3629</v>
      </c>
      <c r="B292" s="3" t="s">
        <v>159</v>
      </c>
      <c r="C292" s="3" t="s">
        <v>172</v>
      </c>
      <c r="D292" s="3" t="s">
        <v>176</v>
      </c>
      <c r="E292" s="11" t="s">
        <v>327</v>
      </c>
      <c r="F292" s="2">
        <v>46000</v>
      </c>
      <c r="G292" s="2">
        <v>46010</v>
      </c>
      <c r="H292" s="2">
        <v>46003</v>
      </c>
      <c r="I292" s="3" t="s">
        <v>163</v>
      </c>
      <c r="J292" s="3">
        <v>17</v>
      </c>
      <c r="K292" s="2">
        <v>46081</v>
      </c>
      <c r="L292" s="16">
        <f t="shared" si="5"/>
        <v>46142</v>
      </c>
    </row>
    <row r="293" spans="1:12" ht="14.25" customHeight="1" x14ac:dyDescent="0.35">
      <c r="A293" s="3">
        <v>4901</v>
      </c>
      <c r="B293" s="3" t="s">
        <v>208</v>
      </c>
      <c r="C293" s="3" t="s">
        <v>160</v>
      </c>
      <c r="D293" s="3" t="s">
        <v>176</v>
      </c>
      <c r="E293" s="11" t="s">
        <v>168</v>
      </c>
      <c r="F293" s="2">
        <v>46000</v>
      </c>
      <c r="G293" s="2">
        <v>46002</v>
      </c>
      <c r="H293" s="2">
        <v>46119</v>
      </c>
      <c r="I293" s="3" t="s">
        <v>163</v>
      </c>
      <c r="J293" s="3">
        <v>1</v>
      </c>
      <c r="K293" s="2">
        <v>46081</v>
      </c>
      <c r="L293" s="16">
        <f t="shared" si="5"/>
        <v>46142</v>
      </c>
    </row>
    <row r="294" spans="1:12" ht="14.25" customHeight="1" x14ac:dyDescent="0.35">
      <c r="A294" s="3">
        <v>3630</v>
      </c>
      <c r="B294" s="3" t="s">
        <v>208</v>
      </c>
      <c r="C294" s="3" t="s">
        <v>172</v>
      </c>
      <c r="D294" s="3" t="s">
        <v>176</v>
      </c>
      <c r="E294" s="11" t="s">
        <v>168</v>
      </c>
      <c r="F294" s="2">
        <v>46001</v>
      </c>
      <c r="G294" s="2">
        <v>46002</v>
      </c>
      <c r="H294" s="2">
        <v>46010</v>
      </c>
      <c r="I294" s="3" t="s">
        <v>163</v>
      </c>
      <c r="J294" s="3">
        <v>3</v>
      </c>
      <c r="K294" s="2">
        <v>46081</v>
      </c>
      <c r="L294" s="16">
        <f t="shared" si="5"/>
        <v>46142</v>
      </c>
    </row>
    <row r="295" spans="1:12" ht="25.5" customHeight="1" x14ac:dyDescent="0.35">
      <c r="A295" s="3">
        <v>4907</v>
      </c>
      <c r="B295" s="3" t="s">
        <v>174</v>
      </c>
      <c r="C295" s="3" t="s">
        <v>160</v>
      </c>
      <c r="D295" s="3" t="s">
        <v>161</v>
      </c>
      <c r="E295" s="11" t="s">
        <v>327</v>
      </c>
      <c r="F295" s="2">
        <v>46006</v>
      </c>
      <c r="G295" s="2">
        <v>46012</v>
      </c>
      <c r="H295" s="2">
        <v>46119</v>
      </c>
      <c r="I295" s="3" t="s">
        <v>163</v>
      </c>
      <c r="J295" s="3">
        <v>11</v>
      </c>
      <c r="K295" s="2">
        <v>46081</v>
      </c>
      <c r="L295" s="16">
        <f t="shared" si="5"/>
        <v>46142</v>
      </c>
    </row>
    <row r="296" spans="1:12" ht="14.25" customHeight="1" x14ac:dyDescent="0.35">
      <c r="A296" s="3">
        <v>4905</v>
      </c>
      <c r="B296" s="3" t="s">
        <v>202</v>
      </c>
      <c r="C296" s="3" t="s">
        <v>160</v>
      </c>
      <c r="D296" s="3" t="s">
        <v>256</v>
      </c>
      <c r="E296" s="11" t="s">
        <v>257</v>
      </c>
      <c r="F296" s="2">
        <v>46007</v>
      </c>
      <c r="G296" s="2">
        <v>46009</v>
      </c>
      <c r="H296" s="2">
        <v>46119</v>
      </c>
      <c r="I296" s="3" t="s">
        <v>163</v>
      </c>
      <c r="J296" s="3">
        <v>10</v>
      </c>
      <c r="K296" s="2">
        <v>46081</v>
      </c>
      <c r="L296" s="16">
        <f t="shared" si="5"/>
        <v>46142</v>
      </c>
    </row>
    <row r="297" spans="1:12" ht="14.25" customHeight="1" x14ac:dyDescent="0.35">
      <c r="A297" s="3">
        <v>4902</v>
      </c>
      <c r="B297" s="3" t="s">
        <v>208</v>
      </c>
      <c r="C297" s="3" t="s">
        <v>160</v>
      </c>
      <c r="D297" s="3" t="s">
        <v>256</v>
      </c>
      <c r="E297" s="11" t="s">
        <v>196</v>
      </c>
      <c r="F297" s="2">
        <v>46008</v>
      </c>
      <c r="G297" s="2">
        <v>46009</v>
      </c>
      <c r="H297" s="2">
        <v>46119</v>
      </c>
      <c r="I297" s="3" t="s">
        <v>163</v>
      </c>
      <c r="J297" s="3">
        <v>32</v>
      </c>
      <c r="K297" s="2">
        <v>46081</v>
      </c>
      <c r="L297" s="16">
        <f t="shared" si="5"/>
        <v>46142</v>
      </c>
    </row>
    <row r="298" spans="1:12" ht="14.25" customHeight="1" x14ac:dyDescent="0.35">
      <c r="A298" s="3">
        <v>4903</v>
      </c>
      <c r="B298" s="3" t="s">
        <v>224</v>
      </c>
      <c r="C298" s="3" t="s">
        <v>160</v>
      </c>
      <c r="D298" s="3" t="s">
        <v>256</v>
      </c>
      <c r="E298" s="11" t="s">
        <v>257</v>
      </c>
      <c r="F298" s="2">
        <v>46008</v>
      </c>
      <c r="G298" s="2">
        <v>46009</v>
      </c>
      <c r="H298" s="2">
        <v>46119</v>
      </c>
      <c r="I298" s="3" t="s">
        <v>163</v>
      </c>
      <c r="J298" s="3">
        <v>3</v>
      </c>
      <c r="K298" s="2">
        <v>46081</v>
      </c>
      <c r="L298" s="16">
        <f t="shared" si="5"/>
        <v>46142</v>
      </c>
    </row>
    <row r="299" spans="1:12" ht="14.25" customHeight="1" x14ac:dyDescent="0.35">
      <c r="A299" s="3">
        <v>4914</v>
      </c>
      <c r="B299" s="3" t="s">
        <v>208</v>
      </c>
      <c r="C299" s="3" t="s">
        <v>160</v>
      </c>
      <c r="D299" s="3" t="s">
        <v>165</v>
      </c>
      <c r="E299" s="11" t="s">
        <v>196</v>
      </c>
      <c r="F299" s="2">
        <v>46008</v>
      </c>
      <c r="G299" s="2">
        <v>46009</v>
      </c>
      <c r="H299" s="2">
        <v>46171</v>
      </c>
      <c r="I299" s="3" t="s">
        <v>163</v>
      </c>
      <c r="J299" s="3">
        <v>1</v>
      </c>
      <c r="K299" s="2">
        <v>46081</v>
      </c>
      <c r="L299" s="16">
        <f t="shared" si="5"/>
        <v>46142</v>
      </c>
    </row>
    <row r="300" spans="1:12" ht="14.25" customHeight="1" x14ac:dyDescent="0.35">
      <c r="A300" s="3">
        <v>4915</v>
      </c>
      <c r="B300" s="3" t="s">
        <v>208</v>
      </c>
      <c r="C300" s="3" t="s">
        <v>160</v>
      </c>
      <c r="D300" s="3" t="s">
        <v>256</v>
      </c>
      <c r="E300" s="11" t="s">
        <v>196</v>
      </c>
      <c r="F300" s="2">
        <v>46008</v>
      </c>
      <c r="G300" s="2">
        <v>46010</v>
      </c>
      <c r="H300" s="2">
        <v>46171</v>
      </c>
      <c r="I300" s="3" t="s">
        <v>163</v>
      </c>
      <c r="J300" s="3">
        <v>1</v>
      </c>
      <c r="K300" s="2">
        <v>46081</v>
      </c>
      <c r="L300" s="16">
        <f t="shared" si="5"/>
        <v>46142</v>
      </c>
    </row>
    <row r="301" spans="1:12" ht="14.25" customHeight="1" x14ac:dyDescent="0.35">
      <c r="A301" s="3">
        <v>5615</v>
      </c>
      <c r="B301" s="3" t="s">
        <v>184</v>
      </c>
      <c r="C301" s="3" t="s">
        <v>180</v>
      </c>
      <c r="D301" s="3" t="s">
        <v>181</v>
      </c>
      <c r="E301" s="11" t="s">
        <v>404</v>
      </c>
      <c r="F301" s="2">
        <v>46010</v>
      </c>
      <c r="G301" s="2">
        <v>46021</v>
      </c>
      <c r="H301" s="2">
        <v>46010</v>
      </c>
      <c r="I301" s="3" t="s">
        <v>163</v>
      </c>
      <c r="J301" s="3">
        <v>1</v>
      </c>
      <c r="K301" s="2">
        <v>46081</v>
      </c>
      <c r="L301" s="16">
        <f t="shared" si="5"/>
        <v>46142</v>
      </c>
    </row>
    <row r="302" spans="1:12" ht="14.25" customHeight="1" x14ac:dyDescent="0.35">
      <c r="A302" s="3">
        <v>3643</v>
      </c>
      <c r="B302" s="3" t="s">
        <v>405</v>
      </c>
      <c r="C302" s="3" t="s">
        <v>172</v>
      </c>
      <c r="D302" s="3" t="s">
        <v>406</v>
      </c>
      <c r="E302" s="11" t="s">
        <v>407</v>
      </c>
      <c r="F302" s="2">
        <v>46041</v>
      </c>
      <c r="G302" s="2">
        <v>46095</v>
      </c>
      <c r="H302" s="2">
        <v>46073</v>
      </c>
      <c r="I302" s="3" t="s">
        <v>163</v>
      </c>
      <c r="J302" s="3">
        <v>1</v>
      </c>
      <c r="K302" s="2">
        <v>46173</v>
      </c>
      <c r="L302" s="16">
        <f t="shared" si="5"/>
        <v>46234</v>
      </c>
    </row>
    <row r="303" spans="1:12" ht="14.25" customHeight="1" x14ac:dyDescent="0.35">
      <c r="A303" s="3">
        <v>3632</v>
      </c>
      <c r="B303" s="3" t="s">
        <v>271</v>
      </c>
      <c r="C303" s="3" t="s">
        <v>172</v>
      </c>
      <c r="D303" s="3" t="s">
        <v>165</v>
      </c>
      <c r="E303" s="11" t="s">
        <v>166</v>
      </c>
      <c r="F303" s="2">
        <v>46043</v>
      </c>
      <c r="G303" s="2">
        <v>46049</v>
      </c>
      <c r="H303" s="2">
        <v>46045</v>
      </c>
      <c r="I303" s="3" t="s">
        <v>163</v>
      </c>
      <c r="J303" s="3">
        <v>47</v>
      </c>
      <c r="K303" s="2">
        <v>46112</v>
      </c>
      <c r="L303" s="16">
        <f t="shared" si="5"/>
        <v>46173</v>
      </c>
    </row>
    <row r="304" spans="1:12" ht="14.25" customHeight="1" x14ac:dyDescent="0.35">
      <c r="A304" s="3">
        <v>3637</v>
      </c>
      <c r="B304" s="3" t="s">
        <v>274</v>
      </c>
      <c r="C304" s="3" t="s">
        <v>172</v>
      </c>
      <c r="D304" s="3" t="s">
        <v>165</v>
      </c>
      <c r="E304" s="11" t="s">
        <v>166</v>
      </c>
      <c r="F304" s="2">
        <v>46043</v>
      </c>
      <c r="G304" s="2">
        <v>46049</v>
      </c>
      <c r="H304" s="2">
        <v>46046</v>
      </c>
      <c r="I304" s="3" t="s">
        <v>163</v>
      </c>
      <c r="J304" s="3">
        <v>102</v>
      </c>
      <c r="K304" s="2">
        <v>46112</v>
      </c>
      <c r="L304" s="16">
        <f t="shared" si="5"/>
        <v>46173</v>
      </c>
    </row>
    <row r="305" spans="1:12" ht="14.25" customHeight="1" x14ac:dyDescent="0.35">
      <c r="A305" s="3">
        <v>4908</v>
      </c>
      <c r="B305" s="3" t="s">
        <v>271</v>
      </c>
      <c r="C305" s="3" t="s">
        <v>160</v>
      </c>
      <c r="D305" s="3" t="s">
        <v>165</v>
      </c>
      <c r="E305" s="11" t="s">
        <v>166</v>
      </c>
      <c r="F305" s="2">
        <v>46043</v>
      </c>
      <c r="G305" s="2">
        <v>46049</v>
      </c>
      <c r="H305" s="2">
        <v>46119</v>
      </c>
      <c r="I305" s="3" t="s">
        <v>163</v>
      </c>
      <c r="J305" s="3">
        <v>3</v>
      </c>
      <c r="K305" s="2">
        <v>46112</v>
      </c>
      <c r="L305" s="16">
        <f t="shared" si="5"/>
        <v>46173</v>
      </c>
    </row>
    <row r="306" spans="1:12" ht="14.25" customHeight="1" x14ac:dyDescent="0.35">
      <c r="A306" s="3">
        <v>3631</v>
      </c>
      <c r="B306" s="3" t="s">
        <v>98</v>
      </c>
      <c r="C306" s="3" t="s">
        <v>172</v>
      </c>
      <c r="D306" s="3" t="s">
        <v>165</v>
      </c>
      <c r="E306" s="11" t="s">
        <v>166</v>
      </c>
      <c r="F306" s="2">
        <v>46044</v>
      </c>
      <c r="G306" s="2">
        <v>46049</v>
      </c>
      <c r="H306" s="2">
        <v>46045</v>
      </c>
      <c r="I306" s="3" t="s">
        <v>163</v>
      </c>
      <c r="J306" s="3">
        <v>135</v>
      </c>
      <c r="K306" s="2">
        <v>46112</v>
      </c>
      <c r="L306" s="16">
        <f t="shared" si="5"/>
        <v>46173</v>
      </c>
    </row>
    <row r="307" spans="1:12" ht="14.25" customHeight="1" x14ac:dyDescent="0.35">
      <c r="A307" s="3">
        <v>3635</v>
      </c>
      <c r="B307" s="3" t="s">
        <v>209</v>
      </c>
      <c r="C307" s="3" t="s">
        <v>172</v>
      </c>
      <c r="D307" s="3" t="s">
        <v>165</v>
      </c>
      <c r="E307" s="11" t="s">
        <v>166</v>
      </c>
      <c r="F307" s="2">
        <v>46044</v>
      </c>
      <c r="G307" s="2">
        <v>46049</v>
      </c>
      <c r="H307" s="2">
        <v>46046</v>
      </c>
      <c r="I307" s="3" t="s">
        <v>163</v>
      </c>
      <c r="J307" s="3">
        <v>95</v>
      </c>
      <c r="K307" s="2">
        <v>46112</v>
      </c>
      <c r="L307" s="16">
        <f t="shared" si="5"/>
        <v>46173</v>
      </c>
    </row>
    <row r="308" spans="1:12" ht="14.25" customHeight="1" x14ac:dyDescent="0.35">
      <c r="A308" s="3">
        <v>3642</v>
      </c>
      <c r="B308" s="3" t="s">
        <v>272</v>
      </c>
      <c r="C308" s="3" t="s">
        <v>172</v>
      </c>
      <c r="D308" s="3" t="s">
        <v>165</v>
      </c>
      <c r="E308" s="11" t="s">
        <v>166</v>
      </c>
      <c r="F308" s="2">
        <v>46044</v>
      </c>
      <c r="G308" s="2">
        <v>46049</v>
      </c>
      <c r="H308" s="2">
        <v>46046</v>
      </c>
      <c r="I308" s="3" t="s">
        <v>163</v>
      </c>
      <c r="J308" s="3">
        <v>112</v>
      </c>
      <c r="K308" s="2">
        <v>46112</v>
      </c>
      <c r="L308" s="16">
        <f t="shared" si="5"/>
        <v>46173</v>
      </c>
    </row>
    <row r="309" spans="1:12" ht="14.25" customHeight="1" x14ac:dyDescent="0.35">
      <c r="A309" s="3">
        <v>4898</v>
      </c>
      <c r="B309" s="3" t="s">
        <v>209</v>
      </c>
      <c r="C309" s="3" t="s">
        <v>160</v>
      </c>
      <c r="D309" s="3" t="s">
        <v>165</v>
      </c>
      <c r="E309" s="11" t="s">
        <v>166</v>
      </c>
      <c r="F309" s="2">
        <v>46044</v>
      </c>
      <c r="G309" s="2">
        <v>46049</v>
      </c>
      <c r="H309" s="2">
        <v>46059</v>
      </c>
      <c r="I309" s="3" t="s">
        <v>163</v>
      </c>
      <c r="J309" s="3">
        <v>95</v>
      </c>
      <c r="K309" s="2">
        <v>46112</v>
      </c>
      <c r="L309" s="16">
        <f t="shared" si="5"/>
        <v>46173</v>
      </c>
    </row>
    <row r="310" spans="1:12" ht="14.25" customHeight="1" x14ac:dyDescent="0.35">
      <c r="A310" s="3">
        <v>3633</v>
      </c>
      <c r="B310" s="3" t="s">
        <v>27</v>
      </c>
      <c r="C310" s="3" t="s">
        <v>172</v>
      </c>
      <c r="D310" s="3" t="s">
        <v>165</v>
      </c>
      <c r="E310" s="11" t="s">
        <v>166</v>
      </c>
      <c r="F310" s="2">
        <v>46045</v>
      </c>
      <c r="G310" s="2">
        <v>46049</v>
      </c>
      <c r="H310" s="2">
        <v>46046</v>
      </c>
      <c r="I310" s="3" t="s">
        <v>163</v>
      </c>
      <c r="J310" s="3">
        <v>120</v>
      </c>
      <c r="K310" s="2">
        <v>46112</v>
      </c>
      <c r="L310" s="16">
        <f t="shared" si="5"/>
        <v>46173</v>
      </c>
    </row>
    <row r="311" spans="1:12" ht="14.25" customHeight="1" x14ac:dyDescent="0.35">
      <c r="A311" s="3">
        <v>3634</v>
      </c>
      <c r="B311" s="3" t="s">
        <v>408</v>
      </c>
      <c r="C311" s="3" t="s">
        <v>172</v>
      </c>
      <c r="D311" s="3" t="s">
        <v>165</v>
      </c>
      <c r="E311" s="11" t="s">
        <v>166</v>
      </c>
      <c r="F311" s="2">
        <v>46045</v>
      </c>
      <c r="G311" s="2">
        <v>46049</v>
      </c>
      <c r="H311" s="2">
        <v>46046</v>
      </c>
      <c r="I311" s="3" t="s">
        <v>163</v>
      </c>
      <c r="J311" s="3">
        <v>24</v>
      </c>
      <c r="K311" s="2">
        <v>46112</v>
      </c>
      <c r="L311" s="16">
        <f t="shared" si="5"/>
        <v>46173</v>
      </c>
    </row>
    <row r="312" spans="1:12" ht="14.25" customHeight="1" x14ac:dyDescent="0.35">
      <c r="A312" s="3">
        <v>3636</v>
      </c>
      <c r="B312" s="3" t="s">
        <v>215</v>
      </c>
      <c r="C312" s="3" t="s">
        <v>172</v>
      </c>
      <c r="D312" s="3" t="s">
        <v>165</v>
      </c>
      <c r="E312" s="11" t="s">
        <v>166</v>
      </c>
      <c r="F312" s="2">
        <v>46045</v>
      </c>
      <c r="G312" s="2">
        <v>46049</v>
      </c>
      <c r="H312" s="2">
        <v>46046</v>
      </c>
      <c r="I312" s="3" t="s">
        <v>163</v>
      </c>
      <c r="J312" s="3">
        <v>75</v>
      </c>
      <c r="K312" s="2">
        <v>46112</v>
      </c>
      <c r="L312" s="16">
        <f t="shared" si="5"/>
        <v>46173</v>
      </c>
    </row>
    <row r="313" spans="1:12" ht="14.25" customHeight="1" x14ac:dyDescent="0.35">
      <c r="A313" s="3">
        <v>3638</v>
      </c>
      <c r="B313" s="3" t="s">
        <v>294</v>
      </c>
      <c r="C313" s="3" t="s">
        <v>172</v>
      </c>
      <c r="D313" s="3" t="s">
        <v>165</v>
      </c>
      <c r="E313" s="11" t="s">
        <v>166</v>
      </c>
      <c r="F313" s="2">
        <v>46045</v>
      </c>
      <c r="G313" s="2">
        <v>46049</v>
      </c>
      <c r="H313" s="2">
        <v>46046</v>
      </c>
      <c r="I313" s="3" t="s">
        <v>163</v>
      </c>
      <c r="J313" s="3">
        <v>64</v>
      </c>
      <c r="K313" s="2">
        <v>46112</v>
      </c>
      <c r="L313" s="16">
        <f t="shared" si="5"/>
        <v>46173</v>
      </c>
    </row>
    <row r="314" spans="1:12" ht="14.25" customHeight="1" x14ac:dyDescent="0.35">
      <c r="A314" s="3">
        <v>3639</v>
      </c>
      <c r="B314" s="3" t="s">
        <v>192</v>
      </c>
      <c r="C314" s="3" t="s">
        <v>172</v>
      </c>
      <c r="D314" s="3" t="s">
        <v>165</v>
      </c>
      <c r="E314" s="11" t="s">
        <v>166</v>
      </c>
      <c r="F314" s="2">
        <v>46045</v>
      </c>
      <c r="G314" s="2">
        <v>46049</v>
      </c>
      <c r="H314" s="2">
        <v>46046</v>
      </c>
      <c r="I314" s="3" t="s">
        <v>163</v>
      </c>
      <c r="J314" s="3">
        <v>55</v>
      </c>
      <c r="K314" s="2">
        <v>46112</v>
      </c>
      <c r="L314" s="16">
        <f t="shared" si="5"/>
        <v>46173</v>
      </c>
    </row>
    <row r="315" spans="1:12" ht="14.25" customHeight="1" x14ac:dyDescent="0.35">
      <c r="A315" s="3">
        <v>3640</v>
      </c>
      <c r="B315" s="3" t="s">
        <v>24</v>
      </c>
      <c r="C315" s="3" t="s">
        <v>172</v>
      </c>
      <c r="D315" s="3" t="s">
        <v>165</v>
      </c>
      <c r="E315" s="11" t="s">
        <v>409</v>
      </c>
      <c r="F315" s="2">
        <v>46045</v>
      </c>
      <c r="G315" s="2">
        <v>46049</v>
      </c>
      <c r="H315" s="2">
        <v>46046</v>
      </c>
      <c r="I315" s="3" t="s">
        <v>163</v>
      </c>
      <c r="J315" s="3">
        <v>83</v>
      </c>
      <c r="K315" s="2">
        <v>46112</v>
      </c>
      <c r="L315" s="16">
        <f t="shared" si="5"/>
        <v>46173</v>
      </c>
    </row>
    <row r="316" spans="1:12" ht="14.25" customHeight="1" x14ac:dyDescent="0.35">
      <c r="A316" s="3">
        <v>3641</v>
      </c>
      <c r="B316" s="3" t="s">
        <v>127</v>
      </c>
      <c r="C316" s="3" t="s">
        <v>172</v>
      </c>
      <c r="D316" s="3" t="s">
        <v>165</v>
      </c>
      <c r="E316" s="11" t="s">
        <v>166</v>
      </c>
      <c r="F316" s="2">
        <v>46045</v>
      </c>
      <c r="G316" s="2">
        <v>46049</v>
      </c>
      <c r="H316" s="2">
        <v>46046</v>
      </c>
      <c r="I316" s="3" t="s">
        <v>163</v>
      </c>
      <c r="J316" s="3">
        <v>92</v>
      </c>
      <c r="K316" s="2">
        <v>46112</v>
      </c>
      <c r="L316" s="16">
        <f t="shared" si="5"/>
        <v>46173</v>
      </c>
    </row>
    <row r="317" spans="1:12" ht="14.25" customHeight="1" x14ac:dyDescent="0.35">
      <c r="A317" s="3">
        <v>4899</v>
      </c>
      <c r="B317" s="3" t="s">
        <v>24</v>
      </c>
      <c r="C317" s="3" t="s">
        <v>160</v>
      </c>
      <c r="D317" s="3" t="s">
        <v>165</v>
      </c>
      <c r="E317" s="11" t="s">
        <v>166</v>
      </c>
      <c r="F317" s="2">
        <v>46045</v>
      </c>
      <c r="G317" s="2">
        <v>46049</v>
      </c>
      <c r="H317" s="2">
        <v>46059</v>
      </c>
      <c r="I317" s="3" t="s">
        <v>163</v>
      </c>
      <c r="J317" s="3">
        <v>83</v>
      </c>
      <c r="K317" s="2">
        <v>46112</v>
      </c>
      <c r="L317" s="16">
        <f t="shared" si="5"/>
        <v>46173</v>
      </c>
    </row>
    <row r="318" spans="1:12" ht="14.25" customHeight="1" x14ac:dyDescent="0.35">
      <c r="A318" s="3">
        <v>4900</v>
      </c>
      <c r="B318" s="3" t="s">
        <v>294</v>
      </c>
      <c r="C318" s="3" t="s">
        <v>160</v>
      </c>
      <c r="D318" s="3" t="s">
        <v>165</v>
      </c>
      <c r="E318" s="11" t="s">
        <v>166</v>
      </c>
      <c r="F318" s="2">
        <v>46045</v>
      </c>
      <c r="G318" s="2">
        <v>46049</v>
      </c>
      <c r="H318" s="2">
        <v>46071</v>
      </c>
      <c r="I318" s="3" t="s">
        <v>163</v>
      </c>
      <c r="J318" s="3">
        <v>18</v>
      </c>
      <c r="K318" s="2">
        <v>46112</v>
      </c>
      <c r="L318" s="16">
        <f t="shared" si="5"/>
        <v>46173</v>
      </c>
    </row>
    <row r="319" spans="1:12" ht="14.25" customHeight="1" x14ac:dyDescent="0.35">
      <c r="A319" s="3">
        <v>4913</v>
      </c>
      <c r="B319" s="3" t="s">
        <v>27</v>
      </c>
      <c r="C319" s="3" t="s">
        <v>160</v>
      </c>
      <c r="D319" s="3" t="s">
        <v>165</v>
      </c>
      <c r="E319" s="11" t="s">
        <v>166</v>
      </c>
      <c r="F319" s="2">
        <v>46045</v>
      </c>
      <c r="G319" s="2">
        <v>46049</v>
      </c>
      <c r="H319" s="2">
        <v>46171</v>
      </c>
      <c r="I319" s="3" t="s">
        <v>163</v>
      </c>
      <c r="J319" s="3">
        <v>21</v>
      </c>
      <c r="K319" s="2">
        <v>46112</v>
      </c>
      <c r="L319" s="16">
        <f t="shared" si="5"/>
        <v>46173</v>
      </c>
    </row>
    <row r="320" spans="1:12" ht="14.25" customHeight="1" x14ac:dyDescent="0.35">
      <c r="A320" s="3">
        <v>5616</v>
      </c>
      <c r="B320" s="3" t="s">
        <v>184</v>
      </c>
      <c r="C320" s="3" t="s">
        <v>180</v>
      </c>
      <c r="D320" s="3" t="s">
        <v>181</v>
      </c>
      <c r="E320" s="11" t="s">
        <v>410</v>
      </c>
      <c r="F320" s="2">
        <v>46070</v>
      </c>
      <c r="G320" s="2">
        <v>46076</v>
      </c>
      <c r="H320" s="2">
        <v>46070</v>
      </c>
      <c r="I320" s="3" t="s">
        <v>163</v>
      </c>
      <c r="J320" s="3">
        <v>2</v>
      </c>
      <c r="K320" s="2">
        <v>46142</v>
      </c>
      <c r="L320" s="16">
        <f t="shared" si="5"/>
        <v>46203</v>
      </c>
    </row>
    <row r="321" spans="1:12" ht="14.25" customHeight="1" x14ac:dyDescent="0.35">
      <c r="A321" s="3">
        <v>5617</v>
      </c>
      <c r="B321" s="3" t="s">
        <v>184</v>
      </c>
      <c r="C321" s="3" t="s">
        <v>180</v>
      </c>
      <c r="D321" s="3" t="s">
        <v>181</v>
      </c>
      <c r="E321" s="11" t="s">
        <v>411</v>
      </c>
      <c r="F321" s="2">
        <v>46070</v>
      </c>
      <c r="G321" s="2">
        <v>46077</v>
      </c>
      <c r="H321" s="2">
        <v>46070</v>
      </c>
      <c r="I321" s="3" t="s">
        <v>163</v>
      </c>
      <c r="J321" s="3">
        <v>1</v>
      </c>
      <c r="K321" s="2">
        <v>46142</v>
      </c>
      <c r="L321" s="16">
        <f t="shared" si="5"/>
        <v>46203</v>
      </c>
    </row>
    <row r="322" spans="1:12" ht="14.25" customHeight="1" x14ac:dyDescent="0.35">
      <c r="A322" s="3">
        <v>5618</v>
      </c>
      <c r="B322" s="3" t="s">
        <v>184</v>
      </c>
      <c r="C322" s="3" t="s">
        <v>180</v>
      </c>
      <c r="D322" s="3" t="s">
        <v>181</v>
      </c>
      <c r="E322" s="11" t="s">
        <v>412</v>
      </c>
      <c r="F322" s="2">
        <v>46070</v>
      </c>
      <c r="G322" s="2">
        <v>46075</v>
      </c>
      <c r="H322" s="2">
        <v>46070</v>
      </c>
      <c r="I322" s="3" t="s">
        <v>163</v>
      </c>
      <c r="J322" s="3">
        <v>1</v>
      </c>
      <c r="K322" s="2">
        <v>46142</v>
      </c>
      <c r="L322" s="16">
        <f t="shared" ref="L322:L385" si="6">IF(K322="","",EOMONTH(K322,2))</f>
        <v>46203</v>
      </c>
    </row>
    <row r="323" spans="1:12" ht="14.25" customHeight="1" x14ac:dyDescent="0.35">
      <c r="A323" s="3">
        <v>5619</v>
      </c>
      <c r="B323" s="3" t="s">
        <v>179</v>
      </c>
      <c r="C323" s="3" t="s">
        <v>180</v>
      </c>
      <c r="D323" s="3" t="s">
        <v>181</v>
      </c>
      <c r="E323" s="11" t="s">
        <v>413</v>
      </c>
      <c r="F323" s="2">
        <v>46070</v>
      </c>
      <c r="G323" s="3"/>
      <c r="H323" s="2">
        <v>46071</v>
      </c>
      <c r="I323" s="3" t="s">
        <v>163</v>
      </c>
      <c r="J323" s="3">
        <v>2</v>
      </c>
      <c r="K323" s="3"/>
      <c r="L323" s="16" t="str">
        <f t="shared" si="6"/>
        <v/>
      </c>
    </row>
    <row r="324" spans="1:12" ht="14.25" customHeight="1" x14ac:dyDescent="0.35">
      <c r="A324" s="3">
        <v>5620</v>
      </c>
      <c r="B324" s="3" t="s">
        <v>184</v>
      </c>
      <c r="C324" s="3" t="s">
        <v>180</v>
      </c>
      <c r="D324" s="3" t="s">
        <v>181</v>
      </c>
      <c r="E324" s="11" t="s">
        <v>414</v>
      </c>
      <c r="F324" s="2">
        <v>46072</v>
      </c>
      <c r="G324" s="2">
        <v>46075</v>
      </c>
      <c r="H324" s="2">
        <v>46072</v>
      </c>
      <c r="I324" s="3" t="s">
        <v>163</v>
      </c>
      <c r="J324" s="3">
        <v>1</v>
      </c>
      <c r="K324" s="2">
        <v>46142</v>
      </c>
      <c r="L324" s="16">
        <f t="shared" si="6"/>
        <v>46203</v>
      </c>
    </row>
    <row r="325" spans="1:12" ht="14.25" customHeight="1" x14ac:dyDescent="0.35">
      <c r="A325" s="3">
        <v>5621</v>
      </c>
      <c r="B325" s="3" t="s">
        <v>184</v>
      </c>
      <c r="C325" s="3" t="s">
        <v>180</v>
      </c>
      <c r="D325" s="3" t="s">
        <v>181</v>
      </c>
      <c r="E325" s="11" t="s">
        <v>415</v>
      </c>
      <c r="F325" s="2">
        <v>46072</v>
      </c>
      <c r="G325" s="2">
        <v>46079</v>
      </c>
      <c r="H325" s="2">
        <v>46072</v>
      </c>
      <c r="I325" s="3" t="s">
        <v>163</v>
      </c>
      <c r="J325" s="3">
        <v>2</v>
      </c>
      <c r="K325" s="2">
        <v>46142</v>
      </c>
      <c r="L325" s="16">
        <f t="shared" si="6"/>
        <v>46203</v>
      </c>
    </row>
    <row r="326" spans="1:12" ht="14.25" customHeight="1" x14ac:dyDescent="0.35">
      <c r="A326" s="3">
        <v>4916</v>
      </c>
      <c r="B326" s="3" t="s">
        <v>130</v>
      </c>
      <c r="C326" s="3" t="s">
        <v>160</v>
      </c>
      <c r="D326" s="3" t="s">
        <v>165</v>
      </c>
      <c r="E326" s="11" t="s">
        <v>166</v>
      </c>
      <c r="F326" s="2">
        <v>46075</v>
      </c>
      <c r="G326" s="2">
        <v>46076</v>
      </c>
      <c r="H326" s="2">
        <v>46171</v>
      </c>
      <c r="I326" s="3" t="s">
        <v>163</v>
      </c>
      <c r="J326" s="3">
        <v>2</v>
      </c>
      <c r="K326" s="2">
        <v>46142</v>
      </c>
      <c r="L326" s="16">
        <f t="shared" si="6"/>
        <v>46203</v>
      </c>
    </row>
    <row r="327" spans="1:12" ht="14.25" customHeight="1" x14ac:dyDescent="0.35">
      <c r="A327" s="3">
        <v>4919</v>
      </c>
      <c r="B327" s="3" t="s">
        <v>43</v>
      </c>
      <c r="C327" s="3" t="s">
        <v>160</v>
      </c>
      <c r="D327" s="3" t="s">
        <v>165</v>
      </c>
      <c r="E327" s="11" t="s">
        <v>416</v>
      </c>
      <c r="F327" s="2">
        <v>46075</v>
      </c>
      <c r="G327" s="2">
        <v>46076</v>
      </c>
      <c r="H327" s="2">
        <v>46203</v>
      </c>
      <c r="I327" s="3" t="s">
        <v>163</v>
      </c>
      <c r="J327" s="3">
        <v>1</v>
      </c>
      <c r="K327" s="2">
        <v>46142</v>
      </c>
      <c r="L327" s="16">
        <f t="shared" si="6"/>
        <v>46203</v>
      </c>
    </row>
    <row r="328" spans="1:12" ht="14.25" customHeight="1" x14ac:dyDescent="0.35">
      <c r="A328" s="3">
        <v>4909</v>
      </c>
      <c r="B328" s="3" t="s">
        <v>200</v>
      </c>
      <c r="C328" s="3" t="s">
        <v>160</v>
      </c>
      <c r="D328" s="3" t="s">
        <v>176</v>
      </c>
      <c r="E328" s="11" t="s">
        <v>199</v>
      </c>
      <c r="F328" s="2">
        <v>46091</v>
      </c>
      <c r="G328" s="2">
        <v>46105</v>
      </c>
      <c r="H328" s="2">
        <v>46119</v>
      </c>
      <c r="I328" s="3" t="s">
        <v>163</v>
      </c>
      <c r="J328" s="3">
        <v>3</v>
      </c>
      <c r="K328" s="2">
        <v>46173</v>
      </c>
      <c r="L328" s="16">
        <f t="shared" si="6"/>
        <v>46234</v>
      </c>
    </row>
    <row r="329" spans="1:12" ht="25.5" customHeight="1" x14ac:dyDescent="0.35">
      <c r="A329" s="3">
        <v>4917</v>
      </c>
      <c r="B329" s="3" t="s">
        <v>202</v>
      </c>
      <c r="C329" s="3" t="s">
        <v>160</v>
      </c>
      <c r="D329" s="3" t="s">
        <v>161</v>
      </c>
      <c r="E329" s="11" t="s">
        <v>327</v>
      </c>
      <c r="F329" s="2">
        <v>46092</v>
      </c>
      <c r="G329" s="2">
        <v>46096</v>
      </c>
      <c r="H329" s="2">
        <v>46203</v>
      </c>
      <c r="I329" s="3" t="s">
        <v>163</v>
      </c>
      <c r="J329" s="3">
        <v>6</v>
      </c>
      <c r="K329" s="2">
        <v>46173</v>
      </c>
      <c r="L329" s="16">
        <f t="shared" si="6"/>
        <v>46234</v>
      </c>
    </row>
    <row r="330" spans="1:12" ht="14.25" customHeight="1" x14ac:dyDescent="0.35">
      <c r="A330" s="3">
        <v>4920</v>
      </c>
      <c r="B330" s="3" t="s">
        <v>195</v>
      </c>
      <c r="C330" s="3" t="s">
        <v>160</v>
      </c>
      <c r="D330" s="3" t="s">
        <v>181</v>
      </c>
      <c r="E330" s="11" t="s">
        <v>229</v>
      </c>
      <c r="F330" s="2">
        <v>46093</v>
      </c>
      <c r="G330" s="2">
        <v>46114</v>
      </c>
      <c r="H330" s="2">
        <v>46203</v>
      </c>
      <c r="I330" s="3" t="s">
        <v>163</v>
      </c>
      <c r="J330" s="3">
        <v>5</v>
      </c>
      <c r="K330" s="2">
        <v>46203</v>
      </c>
      <c r="L330" s="16">
        <f t="shared" si="6"/>
        <v>46265</v>
      </c>
    </row>
    <row r="331" spans="1:12" ht="14.25" customHeight="1" x14ac:dyDescent="0.35">
      <c r="A331" s="3">
        <v>5622</v>
      </c>
      <c r="B331" s="3" t="s">
        <v>224</v>
      </c>
      <c r="C331" s="3" t="s">
        <v>180</v>
      </c>
      <c r="D331" s="3" t="s">
        <v>181</v>
      </c>
      <c r="E331" s="11" t="s">
        <v>417</v>
      </c>
      <c r="F331" s="2">
        <v>46093</v>
      </c>
      <c r="G331" s="3"/>
      <c r="H331" s="2">
        <v>46094</v>
      </c>
      <c r="I331" s="3" t="s">
        <v>163</v>
      </c>
      <c r="J331" s="3">
        <v>1</v>
      </c>
      <c r="K331" s="3"/>
      <c r="L331" s="16" t="str">
        <f t="shared" si="6"/>
        <v/>
      </c>
    </row>
    <row r="332" spans="1:12" ht="14.25" customHeight="1" x14ac:dyDescent="0.35">
      <c r="A332" s="3">
        <v>5623</v>
      </c>
      <c r="B332" s="3" t="s">
        <v>195</v>
      </c>
      <c r="C332" s="3" t="s">
        <v>180</v>
      </c>
      <c r="D332" s="3" t="s">
        <v>181</v>
      </c>
      <c r="E332" s="11" t="s">
        <v>418</v>
      </c>
      <c r="F332" s="2">
        <v>46093</v>
      </c>
      <c r="G332" s="2">
        <v>46108</v>
      </c>
      <c r="H332" s="2">
        <v>46094</v>
      </c>
      <c r="I332" s="3" t="s">
        <v>163</v>
      </c>
      <c r="J332" s="3">
        <v>7</v>
      </c>
      <c r="K332" s="2">
        <v>46173</v>
      </c>
      <c r="L332" s="16">
        <f t="shared" si="6"/>
        <v>46234</v>
      </c>
    </row>
    <row r="333" spans="1:12" ht="14.25" customHeight="1" x14ac:dyDescent="0.35">
      <c r="A333" s="3">
        <v>5624</v>
      </c>
      <c r="B333" s="3" t="s">
        <v>184</v>
      </c>
      <c r="C333" s="3" t="s">
        <v>180</v>
      </c>
      <c r="D333" s="3" t="s">
        <v>181</v>
      </c>
      <c r="E333" s="11" t="s">
        <v>419</v>
      </c>
      <c r="F333" s="2">
        <v>46096</v>
      </c>
      <c r="G333" s="2">
        <v>46097</v>
      </c>
      <c r="H333" s="2">
        <v>46096</v>
      </c>
      <c r="I333" s="3" t="s">
        <v>163</v>
      </c>
      <c r="J333" s="3">
        <v>1</v>
      </c>
      <c r="K333" s="2">
        <v>46173</v>
      </c>
      <c r="L333" s="16">
        <f t="shared" si="6"/>
        <v>46234</v>
      </c>
    </row>
    <row r="334" spans="1:12" ht="14.25" customHeight="1" x14ac:dyDescent="0.35">
      <c r="A334" s="3">
        <v>5625</v>
      </c>
      <c r="B334" s="3" t="s">
        <v>179</v>
      </c>
      <c r="C334" s="3" t="s">
        <v>180</v>
      </c>
      <c r="D334" s="3" t="s">
        <v>181</v>
      </c>
      <c r="E334" s="11" t="s">
        <v>420</v>
      </c>
      <c r="F334" s="2">
        <v>46096</v>
      </c>
      <c r="G334" s="3"/>
      <c r="H334" s="2">
        <v>46096</v>
      </c>
      <c r="I334" s="3" t="s">
        <v>163</v>
      </c>
      <c r="J334" s="3">
        <v>1</v>
      </c>
      <c r="K334" s="3"/>
      <c r="L334" s="16" t="str">
        <f t="shared" si="6"/>
        <v/>
      </c>
    </row>
    <row r="335" spans="1:12" ht="14.25" customHeight="1" x14ac:dyDescent="0.35">
      <c r="A335" s="3">
        <v>5626</v>
      </c>
      <c r="B335" s="3" t="s">
        <v>184</v>
      </c>
      <c r="C335" s="3" t="s">
        <v>180</v>
      </c>
      <c r="D335" s="3" t="s">
        <v>181</v>
      </c>
      <c r="E335" s="11" t="s">
        <v>421</v>
      </c>
      <c r="F335" s="2">
        <v>46100</v>
      </c>
      <c r="G335" s="3"/>
      <c r="H335" s="2">
        <v>46100</v>
      </c>
      <c r="I335" s="3" t="s">
        <v>163</v>
      </c>
      <c r="J335" s="3">
        <v>1</v>
      </c>
      <c r="K335" s="3"/>
      <c r="L335" s="16" t="str">
        <f t="shared" si="6"/>
        <v/>
      </c>
    </row>
    <row r="336" spans="1:12" ht="14.25" customHeight="1" x14ac:dyDescent="0.35">
      <c r="A336" s="3">
        <v>5627</v>
      </c>
      <c r="B336" s="3" t="s">
        <v>184</v>
      </c>
      <c r="C336" s="3" t="s">
        <v>180</v>
      </c>
      <c r="D336" s="3" t="s">
        <v>181</v>
      </c>
      <c r="E336" s="11" t="s">
        <v>422</v>
      </c>
      <c r="F336" s="2">
        <v>46103</v>
      </c>
      <c r="G336" s="3"/>
      <c r="H336" s="2">
        <v>46103</v>
      </c>
      <c r="I336" s="3" t="s">
        <v>163</v>
      </c>
      <c r="J336" s="3">
        <v>1</v>
      </c>
      <c r="K336" s="3"/>
      <c r="L336" s="16" t="str">
        <f t="shared" si="6"/>
        <v/>
      </c>
    </row>
    <row r="337" spans="1:12" ht="14.25" customHeight="1" x14ac:dyDescent="0.35">
      <c r="A337" s="3">
        <v>5628</v>
      </c>
      <c r="B337" s="3" t="s">
        <v>184</v>
      </c>
      <c r="C337" s="3" t="s">
        <v>180</v>
      </c>
      <c r="D337" s="3" t="s">
        <v>181</v>
      </c>
      <c r="E337" s="11" t="s">
        <v>423</v>
      </c>
      <c r="F337" s="2">
        <v>46103</v>
      </c>
      <c r="G337" s="3"/>
      <c r="H337" s="2">
        <v>46103</v>
      </c>
      <c r="I337" s="3" t="s">
        <v>163</v>
      </c>
      <c r="J337" s="3">
        <v>1</v>
      </c>
      <c r="K337" s="3"/>
      <c r="L337" s="16" t="str">
        <f t="shared" si="6"/>
        <v/>
      </c>
    </row>
    <row r="338" spans="1:12" ht="14.25" customHeight="1" x14ac:dyDescent="0.35">
      <c r="A338" s="3">
        <v>4925</v>
      </c>
      <c r="B338" s="3" t="s">
        <v>358</v>
      </c>
      <c r="C338" s="3" t="s">
        <v>160</v>
      </c>
      <c r="D338" s="3" t="s">
        <v>176</v>
      </c>
      <c r="E338" s="11" t="s">
        <v>210</v>
      </c>
      <c r="F338" s="2">
        <v>46122</v>
      </c>
      <c r="G338" s="2">
        <v>46133</v>
      </c>
      <c r="H338" s="2">
        <v>46203</v>
      </c>
      <c r="I338" s="3" t="s">
        <v>163</v>
      </c>
      <c r="J338" s="3">
        <v>36</v>
      </c>
      <c r="K338" s="2">
        <v>46203</v>
      </c>
      <c r="L338" s="16">
        <f t="shared" si="6"/>
        <v>46265</v>
      </c>
    </row>
    <row r="339" spans="1:12" ht="14.25" customHeight="1" x14ac:dyDescent="0.35">
      <c r="A339" s="3">
        <v>3644</v>
      </c>
      <c r="B339" s="3" t="s">
        <v>424</v>
      </c>
      <c r="C339" s="3" t="s">
        <v>172</v>
      </c>
      <c r="D339" s="3" t="s">
        <v>266</v>
      </c>
      <c r="E339" s="11" t="s">
        <v>425</v>
      </c>
      <c r="F339" s="2">
        <v>46123</v>
      </c>
      <c r="G339" s="2">
        <v>46130</v>
      </c>
      <c r="H339" s="2">
        <v>46123</v>
      </c>
      <c r="I339" s="3" t="s">
        <v>163</v>
      </c>
      <c r="J339" s="3">
        <v>1</v>
      </c>
      <c r="K339" s="2">
        <v>46203</v>
      </c>
      <c r="L339" s="16">
        <f t="shared" si="6"/>
        <v>46265</v>
      </c>
    </row>
    <row r="340" spans="1:12" ht="14.25" customHeight="1" x14ac:dyDescent="0.35">
      <c r="A340" s="3">
        <v>3645</v>
      </c>
      <c r="B340" s="3" t="s">
        <v>426</v>
      </c>
      <c r="C340" s="3" t="s">
        <v>172</v>
      </c>
      <c r="D340" s="3" t="s">
        <v>266</v>
      </c>
      <c r="E340" s="11" t="s">
        <v>425</v>
      </c>
      <c r="F340" s="2">
        <v>46123</v>
      </c>
      <c r="G340" s="2">
        <v>46130</v>
      </c>
      <c r="H340" s="2">
        <v>46123</v>
      </c>
      <c r="I340" s="3" t="s">
        <v>163</v>
      </c>
      <c r="J340" s="3">
        <v>5</v>
      </c>
      <c r="K340" s="2">
        <v>46203</v>
      </c>
      <c r="L340" s="16">
        <f t="shared" si="6"/>
        <v>46265</v>
      </c>
    </row>
    <row r="341" spans="1:12" ht="14.25" customHeight="1" x14ac:dyDescent="0.35">
      <c r="A341" s="3">
        <v>4910</v>
      </c>
      <c r="B341" s="3" t="s">
        <v>426</v>
      </c>
      <c r="C341" s="3" t="s">
        <v>160</v>
      </c>
      <c r="D341" s="3" t="s">
        <v>235</v>
      </c>
      <c r="E341" s="11" t="s">
        <v>427</v>
      </c>
      <c r="F341" s="2">
        <v>46123</v>
      </c>
      <c r="G341" s="2">
        <v>46130</v>
      </c>
      <c r="H341" s="2">
        <v>46135</v>
      </c>
      <c r="I341" s="3" t="s">
        <v>163</v>
      </c>
      <c r="J341" s="3">
        <v>5</v>
      </c>
      <c r="K341" s="2">
        <v>46203</v>
      </c>
      <c r="L341" s="16">
        <f t="shared" si="6"/>
        <v>46265</v>
      </c>
    </row>
    <row r="342" spans="1:12" ht="14.25" customHeight="1" x14ac:dyDescent="0.35">
      <c r="A342" s="3">
        <v>4921</v>
      </c>
      <c r="B342" s="3" t="s">
        <v>424</v>
      </c>
      <c r="C342" s="3" t="s">
        <v>160</v>
      </c>
      <c r="D342" s="3" t="s">
        <v>428</v>
      </c>
      <c r="E342" s="11" t="s">
        <v>427</v>
      </c>
      <c r="F342" s="2">
        <v>46123</v>
      </c>
      <c r="G342" s="2">
        <v>46130</v>
      </c>
      <c r="H342" s="2">
        <v>46203</v>
      </c>
      <c r="I342" s="3" t="s">
        <v>163</v>
      </c>
      <c r="J342" s="3">
        <v>1</v>
      </c>
      <c r="K342" s="2">
        <v>46203</v>
      </c>
      <c r="L342" s="16">
        <f t="shared" si="6"/>
        <v>46265</v>
      </c>
    </row>
    <row r="343" spans="1:12" ht="14.25" customHeight="1" x14ac:dyDescent="0.35">
      <c r="A343" s="3">
        <v>4923</v>
      </c>
      <c r="B343" s="3" t="s">
        <v>391</v>
      </c>
      <c r="C343" s="3" t="s">
        <v>160</v>
      </c>
      <c r="D343" s="3" t="s">
        <v>176</v>
      </c>
      <c r="E343" s="11" t="s">
        <v>210</v>
      </c>
      <c r="F343" s="2">
        <v>46125</v>
      </c>
      <c r="G343" s="2">
        <v>46135</v>
      </c>
      <c r="H343" s="2">
        <v>46203</v>
      </c>
      <c r="I343" s="3" t="s">
        <v>163</v>
      </c>
      <c r="J343" s="3">
        <v>22</v>
      </c>
      <c r="K343" s="2">
        <v>46203</v>
      </c>
      <c r="L343" s="16">
        <f t="shared" si="6"/>
        <v>46265</v>
      </c>
    </row>
    <row r="344" spans="1:12" ht="14.25" customHeight="1" x14ac:dyDescent="0.35">
      <c r="A344" s="3">
        <v>5629</v>
      </c>
      <c r="B344" s="3" t="s">
        <v>272</v>
      </c>
      <c r="C344" s="3" t="s">
        <v>180</v>
      </c>
      <c r="D344" s="3" t="s">
        <v>181</v>
      </c>
      <c r="E344" s="11" t="s">
        <v>429</v>
      </c>
      <c r="F344" s="2">
        <v>46130</v>
      </c>
      <c r="G344" s="3"/>
      <c r="H344" s="2">
        <v>46133</v>
      </c>
      <c r="I344" s="3" t="s">
        <v>163</v>
      </c>
      <c r="J344" s="3">
        <v>2</v>
      </c>
      <c r="K344" s="3"/>
      <c r="L344" s="16" t="str">
        <f t="shared" si="6"/>
        <v/>
      </c>
    </row>
    <row r="345" spans="1:12" ht="14.25" customHeight="1" x14ac:dyDescent="0.35">
      <c r="A345" s="3">
        <v>5631</v>
      </c>
      <c r="B345" s="3" t="s">
        <v>211</v>
      </c>
      <c r="C345" s="3" t="s">
        <v>180</v>
      </c>
      <c r="D345" s="3" t="s">
        <v>181</v>
      </c>
      <c r="E345" s="11" t="s">
        <v>430</v>
      </c>
      <c r="F345" s="2">
        <v>46131</v>
      </c>
      <c r="G345" s="3"/>
      <c r="H345" s="2">
        <v>46134</v>
      </c>
      <c r="I345" s="3" t="s">
        <v>163</v>
      </c>
      <c r="J345" s="3">
        <v>2</v>
      </c>
      <c r="K345" s="3"/>
      <c r="L345" s="16" t="str">
        <f t="shared" si="6"/>
        <v/>
      </c>
    </row>
    <row r="346" spans="1:12" ht="14.25" customHeight="1" x14ac:dyDescent="0.35">
      <c r="A346" s="3">
        <v>5630</v>
      </c>
      <c r="B346" s="3" t="s">
        <v>272</v>
      </c>
      <c r="C346" s="3" t="s">
        <v>180</v>
      </c>
      <c r="D346" s="3" t="s">
        <v>181</v>
      </c>
      <c r="E346" s="11" t="s">
        <v>431</v>
      </c>
      <c r="F346" s="2">
        <v>46132</v>
      </c>
      <c r="G346" s="3"/>
      <c r="H346" s="2">
        <v>46134</v>
      </c>
      <c r="I346" s="3" t="s">
        <v>163</v>
      </c>
      <c r="J346" s="3">
        <v>1</v>
      </c>
      <c r="K346" s="3"/>
      <c r="L346" s="16" t="str">
        <f t="shared" si="6"/>
        <v/>
      </c>
    </row>
    <row r="347" spans="1:12" ht="14.25" customHeight="1" x14ac:dyDescent="0.35">
      <c r="A347" s="3">
        <v>5632</v>
      </c>
      <c r="B347" s="3" t="s">
        <v>211</v>
      </c>
      <c r="C347" s="3" t="s">
        <v>180</v>
      </c>
      <c r="D347" s="3" t="s">
        <v>181</v>
      </c>
      <c r="E347" s="11" t="s">
        <v>432</v>
      </c>
      <c r="F347" s="2">
        <v>46133</v>
      </c>
      <c r="G347" s="3"/>
      <c r="H347" s="2">
        <v>46135</v>
      </c>
      <c r="I347" s="3" t="s">
        <v>163</v>
      </c>
      <c r="J347" s="3">
        <v>1</v>
      </c>
      <c r="K347" s="3"/>
      <c r="L347" s="16" t="str">
        <f t="shared" si="6"/>
        <v/>
      </c>
    </row>
    <row r="348" spans="1:12" ht="14.25" customHeight="1" x14ac:dyDescent="0.35">
      <c r="A348" s="3">
        <v>4924</v>
      </c>
      <c r="B348" s="3" t="s">
        <v>213</v>
      </c>
      <c r="C348" s="3" t="s">
        <v>160</v>
      </c>
      <c r="D348" s="3" t="s">
        <v>161</v>
      </c>
      <c r="E348" s="11" t="s">
        <v>210</v>
      </c>
      <c r="F348" s="2">
        <v>46135</v>
      </c>
      <c r="G348" s="2">
        <v>46140</v>
      </c>
      <c r="H348" s="2">
        <v>46203</v>
      </c>
      <c r="I348" s="3" t="s">
        <v>163</v>
      </c>
      <c r="J348" s="3">
        <v>10</v>
      </c>
      <c r="K348" s="2">
        <v>46203</v>
      </c>
      <c r="L348" s="16">
        <f t="shared" si="6"/>
        <v>46265</v>
      </c>
    </row>
    <row r="349" spans="1:12" ht="14.25" customHeight="1" x14ac:dyDescent="0.35">
      <c r="A349" s="3">
        <v>4926</v>
      </c>
      <c r="B349" s="3" t="s">
        <v>164</v>
      </c>
      <c r="C349" s="3" t="s">
        <v>160</v>
      </c>
      <c r="D349" s="3" t="s">
        <v>161</v>
      </c>
      <c r="E349" s="11" t="s">
        <v>198</v>
      </c>
      <c r="F349" s="2">
        <v>46138</v>
      </c>
      <c r="G349" s="2">
        <v>46139</v>
      </c>
      <c r="H349" s="2">
        <v>46203</v>
      </c>
      <c r="I349" s="3" t="s">
        <v>163</v>
      </c>
      <c r="J349" s="3">
        <v>5</v>
      </c>
      <c r="K349" s="2">
        <v>46203</v>
      </c>
      <c r="L349" s="16">
        <f t="shared" si="6"/>
        <v>46265</v>
      </c>
    </row>
    <row r="350" spans="1:12" ht="14.25" customHeight="1" x14ac:dyDescent="0.35">
      <c r="A350" s="3">
        <v>4922</v>
      </c>
      <c r="B350" s="3" t="s">
        <v>24</v>
      </c>
      <c r="C350" s="3" t="s">
        <v>160</v>
      </c>
      <c r="D350" s="3" t="s">
        <v>161</v>
      </c>
      <c r="E350" s="11" t="s">
        <v>198</v>
      </c>
      <c r="F350" s="2">
        <v>46148</v>
      </c>
      <c r="G350" s="2">
        <v>46149</v>
      </c>
      <c r="H350" s="2">
        <v>46203</v>
      </c>
      <c r="I350" s="3" t="s">
        <v>163</v>
      </c>
      <c r="J350" s="3">
        <v>5</v>
      </c>
      <c r="K350" s="2">
        <v>46234</v>
      </c>
      <c r="L350" s="16">
        <f t="shared" si="6"/>
        <v>46295</v>
      </c>
    </row>
    <row r="351" spans="1:12" ht="14.25" customHeight="1" x14ac:dyDescent="0.35">
      <c r="A351" s="3">
        <v>5633</v>
      </c>
      <c r="B351" s="3" t="s">
        <v>179</v>
      </c>
      <c r="C351" s="3" t="s">
        <v>180</v>
      </c>
      <c r="D351" s="3" t="s">
        <v>181</v>
      </c>
      <c r="E351" s="11" t="s">
        <v>433</v>
      </c>
      <c r="F351" s="2">
        <v>46156</v>
      </c>
      <c r="G351" s="2">
        <v>46161</v>
      </c>
      <c r="H351" s="2">
        <v>46156</v>
      </c>
      <c r="I351" s="3" t="s">
        <v>163</v>
      </c>
      <c r="J351" s="3">
        <v>1</v>
      </c>
      <c r="K351" s="2">
        <v>46234</v>
      </c>
      <c r="L351" s="16">
        <f t="shared" si="6"/>
        <v>46295</v>
      </c>
    </row>
    <row r="352" spans="1:12" ht="14.25" customHeight="1" x14ac:dyDescent="0.35">
      <c r="A352" s="3">
        <v>5634</v>
      </c>
      <c r="B352" s="3" t="s">
        <v>179</v>
      </c>
      <c r="C352" s="3" t="s">
        <v>180</v>
      </c>
      <c r="D352" s="3" t="s">
        <v>181</v>
      </c>
      <c r="E352" s="11" t="s">
        <v>434</v>
      </c>
      <c r="F352" s="2">
        <v>46160</v>
      </c>
      <c r="G352" s="2">
        <v>46163</v>
      </c>
      <c r="H352" s="2">
        <v>46160</v>
      </c>
      <c r="I352" s="3" t="s">
        <v>163</v>
      </c>
      <c r="J352" s="3">
        <v>1</v>
      </c>
      <c r="K352" s="2">
        <v>46234</v>
      </c>
      <c r="L352" s="16">
        <f t="shared" si="6"/>
        <v>46295</v>
      </c>
    </row>
    <row r="353" spans="1:12" ht="14.25" customHeight="1" x14ac:dyDescent="0.35">
      <c r="A353" s="3">
        <v>5635</v>
      </c>
      <c r="B353" s="3" t="s">
        <v>114</v>
      </c>
      <c r="C353" s="3" t="s">
        <v>180</v>
      </c>
      <c r="D353" s="3" t="s">
        <v>181</v>
      </c>
      <c r="E353" s="11" t="s">
        <v>435</v>
      </c>
      <c r="F353" s="2">
        <v>46160</v>
      </c>
      <c r="G353" s="3"/>
      <c r="H353" s="2">
        <v>46160</v>
      </c>
      <c r="I353" s="3" t="s">
        <v>163</v>
      </c>
      <c r="J353" s="3">
        <v>1</v>
      </c>
      <c r="K353" s="3"/>
      <c r="L353" s="16" t="str">
        <f t="shared" si="6"/>
        <v/>
      </c>
    </row>
    <row r="354" spans="1:12" ht="14.25" customHeight="1" x14ac:dyDescent="0.35">
      <c r="A354" s="3">
        <v>5636</v>
      </c>
      <c r="B354" s="3" t="s">
        <v>114</v>
      </c>
      <c r="C354" s="3" t="s">
        <v>180</v>
      </c>
      <c r="D354" s="3" t="s">
        <v>181</v>
      </c>
      <c r="E354" s="11" t="s">
        <v>436</v>
      </c>
      <c r="F354" s="2">
        <v>46161</v>
      </c>
      <c r="G354" s="3"/>
      <c r="H354" s="2">
        <v>46162</v>
      </c>
      <c r="I354" s="3" t="s">
        <v>163</v>
      </c>
      <c r="J354" s="3">
        <v>1</v>
      </c>
      <c r="K354" s="3"/>
      <c r="L354" s="16" t="str">
        <f t="shared" si="6"/>
        <v/>
      </c>
    </row>
    <row r="355" spans="1:12" ht="14.25" customHeight="1" x14ac:dyDescent="0.35">
      <c r="A355" s="3">
        <v>3646</v>
      </c>
      <c r="B355" s="3" t="s">
        <v>114</v>
      </c>
      <c r="C355" s="3" t="s">
        <v>172</v>
      </c>
      <c r="D355" s="3" t="s">
        <v>437</v>
      </c>
      <c r="E355" s="11" t="s">
        <v>438</v>
      </c>
      <c r="F355" s="2">
        <v>46163</v>
      </c>
      <c r="G355" s="2">
        <v>46171</v>
      </c>
      <c r="H355" s="2">
        <v>46167</v>
      </c>
      <c r="I355" s="3" t="s">
        <v>163</v>
      </c>
      <c r="J355" s="3">
        <v>1</v>
      </c>
      <c r="K355" s="2">
        <v>46234</v>
      </c>
      <c r="L355" s="16">
        <f t="shared" si="6"/>
        <v>46295</v>
      </c>
    </row>
  </sheetData>
  <autoFilter ref="A1:K355"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642"/>
  <sheetViews>
    <sheetView zoomScaleNormal="100" workbookViewId="0">
      <pane ySplit="1" topLeftCell="A13" activePane="bottomLeft" state="frozen"/>
      <selection pane="bottomLeft" activeCell="I1" sqref="I1:L1"/>
    </sheetView>
  </sheetViews>
  <sheetFormatPr defaultColWidth="8.6328125" defaultRowHeight="14.5" x14ac:dyDescent="0.35"/>
  <cols>
    <col min="1" max="1" width="16" customWidth="1"/>
    <col min="2" max="2" width="14" customWidth="1"/>
    <col min="3" max="3" width="11" customWidth="1"/>
    <col min="4" max="4" width="13" customWidth="1"/>
    <col min="5" max="5" width="7" customWidth="1"/>
    <col min="6" max="6" width="40" customWidth="1"/>
    <col min="7" max="8" width="60" customWidth="1"/>
    <col min="9" max="9" width="45" customWidth="1"/>
    <col min="10" max="10" width="18" customWidth="1"/>
    <col min="11" max="11" width="10" customWidth="1"/>
    <col min="12" max="12" width="48" customWidth="1"/>
  </cols>
  <sheetData>
    <row r="1" spans="1:12" ht="14.25" customHeight="1" x14ac:dyDescent="0.35">
      <c r="A1" s="1" t="s">
        <v>439</v>
      </c>
      <c r="B1" s="1" t="s">
        <v>440</v>
      </c>
      <c r="C1" s="1" t="s">
        <v>441</v>
      </c>
      <c r="D1" s="1" t="s">
        <v>442</v>
      </c>
      <c r="E1" s="1" t="s">
        <v>443</v>
      </c>
      <c r="F1" s="1" t="s">
        <v>444</v>
      </c>
      <c r="G1" s="1" t="s">
        <v>151</v>
      </c>
      <c r="H1" s="1" t="s">
        <v>445</v>
      </c>
      <c r="I1" s="1" t="s">
        <v>446</v>
      </c>
      <c r="J1" s="1" t="s">
        <v>447</v>
      </c>
      <c r="K1" s="1" t="s">
        <v>448</v>
      </c>
      <c r="L1" s="1" t="s">
        <v>449</v>
      </c>
    </row>
    <row r="2" spans="1:12" ht="14.25" hidden="1" customHeight="1" x14ac:dyDescent="0.35">
      <c r="A2" s="4" t="s">
        <v>450</v>
      </c>
      <c r="B2" s="4" t="s">
        <v>451</v>
      </c>
      <c r="C2" s="18">
        <v>45293</v>
      </c>
      <c r="D2" s="4"/>
      <c r="E2" s="4">
        <v>0</v>
      </c>
      <c r="F2" s="4"/>
      <c r="G2" s="4" t="s">
        <v>452</v>
      </c>
      <c r="H2" s="4" t="s">
        <v>453</v>
      </c>
      <c r="I2" s="4" t="s">
        <v>454</v>
      </c>
      <c r="J2" s="4" t="s">
        <v>455</v>
      </c>
      <c r="K2" s="4"/>
      <c r="L2" s="4"/>
    </row>
    <row r="3" spans="1:12" ht="14.25" hidden="1" customHeight="1" x14ac:dyDescent="0.35">
      <c r="A3" s="4" t="s">
        <v>456</v>
      </c>
      <c r="B3" s="4" t="s">
        <v>451</v>
      </c>
      <c r="C3" s="18">
        <v>45300</v>
      </c>
      <c r="D3" s="4"/>
      <c r="E3" s="4">
        <v>0</v>
      </c>
      <c r="F3" s="4"/>
      <c r="G3" s="4" t="s">
        <v>457</v>
      </c>
      <c r="H3" s="4" t="s">
        <v>458</v>
      </c>
      <c r="I3" s="4" t="s">
        <v>459</v>
      </c>
      <c r="J3" s="4" t="s">
        <v>455</v>
      </c>
      <c r="K3" s="4"/>
      <c r="L3" s="4"/>
    </row>
    <row r="4" spans="1:12" ht="14.25" hidden="1" customHeight="1" x14ac:dyDescent="0.35">
      <c r="A4" s="4" t="s">
        <v>460</v>
      </c>
      <c r="B4" s="4" t="s">
        <v>451</v>
      </c>
      <c r="C4" s="18">
        <v>45301</v>
      </c>
      <c r="D4" s="4"/>
      <c r="E4" s="4">
        <v>0</v>
      </c>
      <c r="F4" s="4"/>
      <c r="G4" s="4" t="s">
        <v>461</v>
      </c>
      <c r="H4" s="4" t="s">
        <v>462</v>
      </c>
      <c r="I4" s="4" t="s">
        <v>463</v>
      </c>
      <c r="J4" s="4" t="s">
        <v>455</v>
      </c>
      <c r="K4" s="4"/>
      <c r="L4" s="4"/>
    </row>
    <row r="5" spans="1:12" ht="14.25" hidden="1" customHeight="1" x14ac:dyDescent="0.35">
      <c r="A5" s="4" t="s">
        <v>464</v>
      </c>
      <c r="B5" s="4" t="s">
        <v>451</v>
      </c>
      <c r="C5" s="18">
        <v>45302</v>
      </c>
      <c r="D5" s="4"/>
      <c r="E5" s="4">
        <v>1</v>
      </c>
      <c r="F5" s="4" t="s">
        <v>465</v>
      </c>
      <c r="G5" s="4" t="s">
        <v>466</v>
      </c>
      <c r="H5" s="4" t="s">
        <v>467</v>
      </c>
      <c r="I5" s="4" t="s">
        <v>468</v>
      </c>
      <c r="J5" s="4" t="s">
        <v>455</v>
      </c>
      <c r="K5" s="4" t="s">
        <v>469</v>
      </c>
      <c r="L5" s="4" t="s">
        <v>470</v>
      </c>
    </row>
    <row r="6" spans="1:12" ht="14.25" hidden="1" customHeight="1" x14ac:dyDescent="0.35">
      <c r="A6" s="4" t="s">
        <v>471</v>
      </c>
      <c r="B6" s="4" t="s">
        <v>451</v>
      </c>
      <c r="C6" s="18">
        <v>45307</v>
      </c>
      <c r="D6" s="4"/>
      <c r="E6" s="4">
        <v>1</v>
      </c>
      <c r="F6" s="4" t="s">
        <v>472</v>
      </c>
      <c r="G6" s="4" t="s">
        <v>466</v>
      </c>
      <c r="H6" s="4" t="s">
        <v>473</v>
      </c>
      <c r="I6" s="4" t="s">
        <v>474</v>
      </c>
      <c r="J6" s="4" t="s">
        <v>455</v>
      </c>
      <c r="K6" s="4" t="s">
        <v>469</v>
      </c>
      <c r="L6" s="4" t="s">
        <v>470</v>
      </c>
    </row>
    <row r="7" spans="1:12" ht="14.25" hidden="1" customHeight="1" x14ac:dyDescent="0.35">
      <c r="A7" s="4" t="s">
        <v>475</v>
      </c>
      <c r="B7" s="4" t="s">
        <v>451</v>
      </c>
      <c r="C7" s="18">
        <v>45309</v>
      </c>
      <c r="D7" s="4"/>
      <c r="E7" s="4">
        <v>1</v>
      </c>
      <c r="F7" s="4" t="s">
        <v>476</v>
      </c>
      <c r="G7" s="4" t="s">
        <v>466</v>
      </c>
      <c r="H7" s="4" t="s">
        <v>473</v>
      </c>
      <c r="I7" s="4" t="s">
        <v>477</v>
      </c>
      <c r="J7" s="4" t="s">
        <v>455</v>
      </c>
      <c r="K7" s="4" t="s">
        <v>469</v>
      </c>
      <c r="L7" s="4" t="s">
        <v>470</v>
      </c>
    </row>
    <row r="8" spans="1:12" ht="14.25" hidden="1" customHeight="1" x14ac:dyDescent="0.35">
      <c r="A8" s="4" t="s">
        <v>478</v>
      </c>
      <c r="B8" s="4" t="s">
        <v>479</v>
      </c>
      <c r="C8" s="18">
        <v>45313</v>
      </c>
      <c r="D8" s="18">
        <v>45233</v>
      </c>
      <c r="E8" s="4">
        <v>0</v>
      </c>
      <c r="F8" s="4"/>
      <c r="G8" s="4" t="s">
        <v>480</v>
      </c>
      <c r="H8" s="4" t="s">
        <v>481</v>
      </c>
      <c r="I8" s="4" t="s">
        <v>482</v>
      </c>
      <c r="J8" s="4" t="s">
        <v>455</v>
      </c>
      <c r="K8" s="4"/>
      <c r="L8" s="4"/>
    </row>
    <row r="9" spans="1:12" ht="14.25" hidden="1" customHeight="1" x14ac:dyDescent="0.35">
      <c r="A9" s="4" t="s">
        <v>483</v>
      </c>
      <c r="B9" s="4" t="s">
        <v>451</v>
      </c>
      <c r="C9" s="18">
        <v>45316</v>
      </c>
      <c r="D9" s="4"/>
      <c r="E9" s="4">
        <v>1</v>
      </c>
      <c r="F9" s="4" t="s">
        <v>484</v>
      </c>
      <c r="G9" s="4" t="s">
        <v>466</v>
      </c>
      <c r="H9" s="4" t="s">
        <v>467</v>
      </c>
      <c r="I9" s="4" t="s">
        <v>485</v>
      </c>
      <c r="J9" s="4" t="s">
        <v>455</v>
      </c>
      <c r="K9" s="4" t="s">
        <v>469</v>
      </c>
      <c r="L9" s="4" t="s">
        <v>470</v>
      </c>
    </row>
    <row r="10" spans="1:12" ht="14.25" hidden="1" customHeight="1" x14ac:dyDescent="0.35">
      <c r="A10" s="4" t="s">
        <v>486</v>
      </c>
      <c r="B10" s="4" t="s">
        <v>451</v>
      </c>
      <c r="C10" s="18">
        <v>45317</v>
      </c>
      <c r="D10" s="4"/>
      <c r="E10" s="4">
        <v>1</v>
      </c>
      <c r="F10" s="4" t="s">
        <v>487</v>
      </c>
      <c r="G10" s="4" t="s">
        <v>461</v>
      </c>
      <c r="H10" s="4" t="s">
        <v>488</v>
      </c>
      <c r="I10" s="4" t="s">
        <v>489</v>
      </c>
      <c r="J10" s="4" t="s">
        <v>455</v>
      </c>
      <c r="K10" s="4" t="s">
        <v>469</v>
      </c>
      <c r="L10" s="4" t="s">
        <v>470</v>
      </c>
    </row>
    <row r="11" spans="1:12" ht="14.25" hidden="1" customHeight="1" x14ac:dyDescent="0.35">
      <c r="A11" s="4" t="s">
        <v>490</v>
      </c>
      <c r="B11" s="4" t="s">
        <v>451</v>
      </c>
      <c r="C11" s="18">
        <v>45320</v>
      </c>
      <c r="D11" s="4"/>
      <c r="E11" s="4">
        <v>1</v>
      </c>
      <c r="F11" s="4" t="s">
        <v>491</v>
      </c>
      <c r="G11" s="4" t="s">
        <v>461</v>
      </c>
      <c r="H11" s="4" t="s">
        <v>462</v>
      </c>
      <c r="I11" s="4" t="s">
        <v>492</v>
      </c>
      <c r="J11" s="4" t="s">
        <v>455</v>
      </c>
      <c r="K11" s="4" t="s">
        <v>469</v>
      </c>
      <c r="L11" s="4" t="s">
        <v>470</v>
      </c>
    </row>
    <row r="12" spans="1:12" ht="14.25" hidden="1" customHeight="1" x14ac:dyDescent="0.35">
      <c r="A12" s="4" t="s">
        <v>493</v>
      </c>
      <c r="B12" s="4" t="s">
        <v>451</v>
      </c>
      <c r="C12" s="18">
        <v>45321</v>
      </c>
      <c r="D12" s="4"/>
      <c r="E12" s="4">
        <v>1</v>
      </c>
      <c r="F12" s="4" t="s">
        <v>494</v>
      </c>
      <c r="G12" s="4" t="s">
        <v>495</v>
      </c>
      <c r="H12" s="4" t="s">
        <v>496</v>
      </c>
      <c r="I12" s="4" t="s">
        <v>497</v>
      </c>
      <c r="J12" s="4" t="s">
        <v>455</v>
      </c>
      <c r="K12" s="4" t="s">
        <v>469</v>
      </c>
      <c r="L12" s="4" t="s">
        <v>498</v>
      </c>
    </row>
    <row r="13" spans="1:12" ht="14.25" customHeight="1" x14ac:dyDescent="0.35">
      <c r="A13" s="3" t="s">
        <v>499</v>
      </c>
      <c r="B13" s="3" t="s">
        <v>500</v>
      </c>
      <c r="C13" s="19">
        <v>45330</v>
      </c>
      <c r="D13" s="19">
        <v>45390</v>
      </c>
      <c r="E13" s="3">
        <v>1</v>
      </c>
      <c r="F13" s="3" t="s">
        <v>501</v>
      </c>
      <c r="G13" s="3" t="s">
        <v>502</v>
      </c>
      <c r="H13" s="3" t="s">
        <v>503</v>
      </c>
      <c r="I13" s="3" t="s">
        <v>504</v>
      </c>
      <c r="J13" s="3" t="s">
        <v>455</v>
      </c>
      <c r="K13" s="3" t="s">
        <v>505</v>
      </c>
      <c r="L13" s="3" t="s">
        <v>506</v>
      </c>
    </row>
    <row r="14" spans="1:12" ht="14.25" hidden="1" customHeight="1" x14ac:dyDescent="0.35">
      <c r="A14" s="4" t="s">
        <v>507</v>
      </c>
      <c r="B14" s="4" t="s">
        <v>500</v>
      </c>
      <c r="C14" s="18">
        <v>45322</v>
      </c>
      <c r="D14" s="18">
        <v>45322</v>
      </c>
      <c r="E14" s="4">
        <v>0</v>
      </c>
      <c r="F14" s="4"/>
      <c r="G14" s="4" t="s">
        <v>508</v>
      </c>
      <c r="H14" s="4" t="s">
        <v>509</v>
      </c>
      <c r="I14" s="4" t="s">
        <v>510</v>
      </c>
      <c r="J14" s="4" t="s">
        <v>455</v>
      </c>
      <c r="K14" s="4"/>
      <c r="L14" s="4"/>
    </row>
    <row r="15" spans="1:12" ht="14.25" hidden="1" customHeight="1" x14ac:dyDescent="0.35">
      <c r="A15" s="4" t="s">
        <v>511</v>
      </c>
      <c r="B15" s="4" t="s">
        <v>451</v>
      </c>
      <c r="C15" s="18">
        <v>45322</v>
      </c>
      <c r="D15" s="4"/>
      <c r="E15" s="4">
        <v>0</v>
      </c>
      <c r="F15" s="4"/>
      <c r="G15" s="4" t="s">
        <v>461</v>
      </c>
      <c r="H15" s="4" t="s">
        <v>462</v>
      </c>
      <c r="I15" s="4" t="s">
        <v>512</v>
      </c>
      <c r="J15" s="4" t="s">
        <v>455</v>
      </c>
      <c r="K15" s="4"/>
      <c r="L15" s="4"/>
    </row>
    <row r="16" spans="1:12" ht="14.25" hidden="1" customHeight="1" x14ac:dyDescent="0.35">
      <c r="A16" s="4" t="s">
        <v>513</v>
      </c>
      <c r="B16" s="4" t="s">
        <v>500</v>
      </c>
      <c r="C16" s="18">
        <v>45323</v>
      </c>
      <c r="D16" s="18">
        <v>45318</v>
      </c>
      <c r="E16" s="4">
        <v>0</v>
      </c>
      <c r="F16" s="4"/>
      <c r="G16" s="4" t="s">
        <v>514</v>
      </c>
      <c r="H16" s="4" t="s">
        <v>515</v>
      </c>
      <c r="I16" s="4" t="s">
        <v>516</v>
      </c>
      <c r="J16" s="4" t="s">
        <v>455</v>
      </c>
      <c r="K16" s="4"/>
      <c r="L16" s="4"/>
    </row>
    <row r="17" spans="1:12" ht="14.25" hidden="1" customHeight="1" x14ac:dyDescent="0.35">
      <c r="A17" s="4" t="s">
        <v>517</v>
      </c>
      <c r="B17" s="4" t="s">
        <v>451</v>
      </c>
      <c r="C17" s="18">
        <v>45324</v>
      </c>
      <c r="D17" s="4"/>
      <c r="E17" s="4">
        <v>1</v>
      </c>
      <c r="F17" s="4" t="s">
        <v>518</v>
      </c>
      <c r="G17" s="4" t="s">
        <v>461</v>
      </c>
      <c r="H17" s="4" t="s">
        <v>462</v>
      </c>
      <c r="I17" s="4" t="s">
        <v>519</v>
      </c>
      <c r="J17" s="4" t="s">
        <v>455</v>
      </c>
      <c r="K17" s="4" t="s">
        <v>469</v>
      </c>
      <c r="L17" s="4" t="s">
        <v>470</v>
      </c>
    </row>
    <row r="18" spans="1:12" ht="14.25" hidden="1" customHeight="1" x14ac:dyDescent="0.35">
      <c r="A18" s="4" t="s">
        <v>520</v>
      </c>
      <c r="B18" s="4" t="s">
        <v>451</v>
      </c>
      <c r="C18" s="18">
        <v>45327</v>
      </c>
      <c r="D18" s="4"/>
      <c r="E18" s="4">
        <v>0</v>
      </c>
      <c r="F18" s="4"/>
      <c r="G18" s="4" t="s">
        <v>461</v>
      </c>
      <c r="H18" s="4" t="s">
        <v>521</v>
      </c>
      <c r="I18" s="4" t="s">
        <v>522</v>
      </c>
      <c r="J18" s="4" t="s">
        <v>455</v>
      </c>
      <c r="K18" s="4"/>
      <c r="L18" s="4"/>
    </row>
    <row r="19" spans="1:12" ht="14.25" hidden="1" customHeight="1" x14ac:dyDescent="0.35">
      <c r="A19" s="4" t="s">
        <v>523</v>
      </c>
      <c r="B19" s="4" t="s">
        <v>451</v>
      </c>
      <c r="C19" s="18">
        <v>45328</v>
      </c>
      <c r="D19" s="4"/>
      <c r="E19" s="4">
        <v>1</v>
      </c>
      <c r="F19" s="4" t="s">
        <v>524</v>
      </c>
      <c r="G19" s="4" t="s">
        <v>466</v>
      </c>
      <c r="H19" s="4" t="s">
        <v>467</v>
      </c>
      <c r="I19" s="4" t="s">
        <v>525</v>
      </c>
      <c r="J19" s="4" t="s">
        <v>455</v>
      </c>
      <c r="K19" s="4" t="s">
        <v>469</v>
      </c>
      <c r="L19" s="4" t="s">
        <v>470</v>
      </c>
    </row>
    <row r="20" spans="1:12" ht="14.25" hidden="1" customHeight="1" x14ac:dyDescent="0.35">
      <c r="A20" s="4" t="s">
        <v>526</v>
      </c>
      <c r="B20" s="4" t="s">
        <v>451</v>
      </c>
      <c r="C20" s="18">
        <v>45328</v>
      </c>
      <c r="D20" s="4"/>
      <c r="E20" s="4">
        <v>0</v>
      </c>
      <c r="F20" s="4"/>
      <c r="G20" s="4" t="s">
        <v>527</v>
      </c>
      <c r="H20" s="4" t="s">
        <v>528</v>
      </c>
      <c r="I20" s="4" t="s">
        <v>529</v>
      </c>
      <c r="J20" s="4" t="s">
        <v>455</v>
      </c>
      <c r="K20" s="4"/>
      <c r="L20" s="4"/>
    </row>
    <row r="21" spans="1:12" ht="14.25" hidden="1" customHeight="1" x14ac:dyDescent="0.35">
      <c r="A21" s="4" t="s">
        <v>530</v>
      </c>
      <c r="B21" s="4" t="s">
        <v>451</v>
      </c>
      <c r="C21" s="18">
        <v>45329</v>
      </c>
      <c r="D21" s="4"/>
      <c r="E21" s="4">
        <v>1</v>
      </c>
      <c r="F21" s="4" t="s">
        <v>531</v>
      </c>
      <c r="G21" s="4" t="s">
        <v>461</v>
      </c>
      <c r="H21" s="4" t="s">
        <v>488</v>
      </c>
      <c r="I21" s="4" t="s">
        <v>532</v>
      </c>
      <c r="J21" s="4" t="s">
        <v>455</v>
      </c>
      <c r="K21" s="4" t="s">
        <v>469</v>
      </c>
      <c r="L21" s="4" t="s">
        <v>470</v>
      </c>
    </row>
    <row r="22" spans="1:12" ht="14.25" hidden="1" customHeight="1" x14ac:dyDescent="0.35">
      <c r="A22" s="4" t="s">
        <v>533</v>
      </c>
      <c r="B22" s="4" t="s">
        <v>451</v>
      </c>
      <c r="C22" s="18">
        <v>45329</v>
      </c>
      <c r="D22" s="4"/>
      <c r="E22" s="4">
        <v>0</v>
      </c>
      <c r="F22" s="4"/>
      <c r="G22" s="4" t="s">
        <v>466</v>
      </c>
      <c r="H22" s="4" t="s">
        <v>473</v>
      </c>
      <c r="I22" s="4" t="s">
        <v>534</v>
      </c>
      <c r="J22" s="4" t="s">
        <v>455</v>
      </c>
      <c r="K22" s="4"/>
      <c r="L22" s="4"/>
    </row>
    <row r="23" spans="1:12" ht="14.25" customHeight="1" x14ac:dyDescent="0.35">
      <c r="A23" s="3" t="s">
        <v>535</v>
      </c>
      <c r="B23" s="3" t="s">
        <v>500</v>
      </c>
      <c r="C23" s="19">
        <v>45405</v>
      </c>
      <c r="D23" s="19">
        <v>45446</v>
      </c>
      <c r="E23" s="3">
        <v>1</v>
      </c>
      <c r="F23" s="3" t="s">
        <v>536</v>
      </c>
      <c r="G23" s="3" t="s">
        <v>537</v>
      </c>
      <c r="H23" s="3" t="s">
        <v>538</v>
      </c>
      <c r="I23" s="20" t="s">
        <v>75</v>
      </c>
      <c r="J23" s="3" t="s">
        <v>455</v>
      </c>
      <c r="K23" s="3" t="s">
        <v>505</v>
      </c>
      <c r="L23" s="3" t="s">
        <v>539</v>
      </c>
    </row>
    <row r="24" spans="1:12" ht="14.25" hidden="1" customHeight="1" x14ac:dyDescent="0.35">
      <c r="A24" s="4" t="s">
        <v>540</v>
      </c>
      <c r="B24" s="4" t="s">
        <v>500</v>
      </c>
      <c r="C24" s="18">
        <v>45331</v>
      </c>
      <c r="D24" s="18">
        <v>45331</v>
      </c>
      <c r="E24" s="4">
        <v>0</v>
      </c>
      <c r="F24" s="4"/>
      <c r="G24" s="4" t="s">
        <v>541</v>
      </c>
      <c r="H24" s="4" t="s">
        <v>542</v>
      </c>
      <c r="I24" s="4" t="s">
        <v>543</v>
      </c>
      <c r="J24" s="4" t="s">
        <v>455</v>
      </c>
      <c r="K24" s="4"/>
      <c r="L24" s="4"/>
    </row>
    <row r="25" spans="1:12" ht="14.25" hidden="1" customHeight="1" x14ac:dyDescent="0.35">
      <c r="A25" s="4" t="s">
        <v>544</v>
      </c>
      <c r="B25" s="4" t="s">
        <v>451</v>
      </c>
      <c r="C25" s="18">
        <v>45331</v>
      </c>
      <c r="D25" s="4"/>
      <c r="E25" s="4">
        <v>0</v>
      </c>
      <c r="F25" s="4"/>
      <c r="G25" s="4" t="s">
        <v>461</v>
      </c>
      <c r="H25" s="4" t="s">
        <v>462</v>
      </c>
      <c r="I25" s="4" t="s">
        <v>545</v>
      </c>
      <c r="J25" s="4" t="s">
        <v>455</v>
      </c>
      <c r="K25" s="4"/>
      <c r="L25" s="4"/>
    </row>
    <row r="26" spans="1:12" ht="14.25" hidden="1" customHeight="1" x14ac:dyDescent="0.35">
      <c r="A26" s="4" t="s">
        <v>546</v>
      </c>
      <c r="B26" s="4" t="s">
        <v>500</v>
      </c>
      <c r="C26" s="18">
        <v>45334</v>
      </c>
      <c r="D26" s="18">
        <v>45334</v>
      </c>
      <c r="E26" s="4">
        <v>1</v>
      </c>
      <c r="F26" s="4" t="s">
        <v>484</v>
      </c>
      <c r="G26" s="4" t="s">
        <v>547</v>
      </c>
      <c r="H26" s="4" t="s">
        <v>548</v>
      </c>
      <c r="I26" s="4" t="s">
        <v>549</v>
      </c>
      <c r="J26" s="4" t="s">
        <v>455</v>
      </c>
      <c r="K26" s="4" t="s">
        <v>469</v>
      </c>
      <c r="L26" s="4" t="s">
        <v>550</v>
      </c>
    </row>
    <row r="27" spans="1:12" ht="14.25" hidden="1" customHeight="1" x14ac:dyDescent="0.35">
      <c r="A27" s="4" t="s">
        <v>551</v>
      </c>
      <c r="B27" s="4" t="s">
        <v>479</v>
      </c>
      <c r="C27" s="18">
        <v>45337</v>
      </c>
      <c r="D27" s="4"/>
      <c r="E27" s="4">
        <v>0</v>
      </c>
      <c r="F27" s="4"/>
      <c r="G27" s="4" t="s">
        <v>552</v>
      </c>
      <c r="H27" s="4" t="s">
        <v>553</v>
      </c>
      <c r="I27" s="4" t="s">
        <v>554</v>
      </c>
      <c r="J27" s="4" t="s">
        <v>455</v>
      </c>
      <c r="K27" s="4"/>
      <c r="L27" s="4"/>
    </row>
    <row r="28" spans="1:12" ht="14.25" hidden="1" customHeight="1" x14ac:dyDescent="0.35">
      <c r="A28" s="4" t="s">
        <v>555</v>
      </c>
      <c r="B28" s="4" t="s">
        <v>451</v>
      </c>
      <c r="C28" s="18">
        <v>45338</v>
      </c>
      <c r="D28" s="4"/>
      <c r="E28" s="4">
        <v>0</v>
      </c>
      <c r="F28" s="4"/>
      <c r="G28" s="4" t="s">
        <v>461</v>
      </c>
      <c r="H28" s="4" t="s">
        <v>462</v>
      </c>
      <c r="I28" s="4" t="s">
        <v>556</v>
      </c>
      <c r="J28" s="4" t="s">
        <v>455</v>
      </c>
      <c r="K28" s="4"/>
      <c r="L28" s="4"/>
    </row>
    <row r="29" spans="1:12" ht="14.25" hidden="1" customHeight="1" x14ac:dyDescent="0.35">
      <c r="A29" s="4" t="s">
        <v>557</v>
      </c>
      <c r="B29" s="4" t="s">
        <v>451</v>
      </c>
      <c r="C29" s="18">
        <v>45342</v>
      </c>
      <c r="D29" s="4"/>
      <c r="E29" s="4">
        <v>1</v>
      </c>
      <c r="F29" s="4" t="s">
        <v>558</v>
      </c>
      <c r="G29" s="4" t="s">
        <v>466</v>
      </c>
      <c r="H29" s="4" t="s">
        <v>467</v>
      </c>
      <c r="I29" s="4" t="s">
        <v>559</v>
      </c>
      <c r="J29" s="4" t="s">
        <v>455</v>
      </c>
      <c r="K29" s="4" t="s">
        <v>469</v>
      </c>
      <c r="L29" s="4" t="s">
        <v>470</v>
      </c>
    </row>
    <row r="30" spans="1:12" ht="14.25" hidden="1" customHeight="1" x14ac:dyDescent="0.35">
      <c r="A30" s="4" t="s">
        <v>560</v>
      </c>
      <c r="B30" s="4" t="s">
        <v>451</v>
      </c>
      <c r="C30" s="18">
        <v>45342</v>
      </c>
      <c r="D30" s="4"/>
      <c r="E30" s="4">
        <v>0</v>
      </c>
      <c r="F30" s="4"/>
      <c r="G30" s="4" t="s">
        <v>461</v>
      </c>
      <c r="H30" s="4" t="s">
        <v>462</v>
      </c>
      <c r="I30" s="4" t="s">
        <v>561</v>
      </c>
      <c r="J30" s="4" t="s">
        <v>455</v>
      </c>
      <c r="K30" s="4"/>
      <c r="L30" s="4"/>
    </row>
    <row r="31" spans="1:12" ht="14.25" hidden="1" customHeight="1" x14ac:dyDescent="0.35">
      <c r="A31" s="4" t="s">
        <v>562</v>
      </c>
      <c r="B31" s="4" t="s">
        <v>451</v>
      </c>
      <c r="C31" s="18">
        <v>45342</v>
      </c>
      <c r="D31" s="4"/>
      <c r="E31" s="4">
        <v>0</v>
      </c>
      <c r="F31" s="4"/>
      <c r="G31" s="4" t="s">
        <v>466</v>
      </c>
      <c r="H31" s="4" t="s">
        <v>467</v>
      </c>
      <c r="I31" s="4" t="s">
        <v>563</v>
      </c>
      <c r="J31" s="4" t="s">
        <v>455</v>
      </c>
      <c r="K31" s="4"/>
      <c r="L31" s="4"/>
    </row>
    <row r="32" spans="1:12" ht="14.25" hidden="1" customHeight="1" x14ac:dyDescent="0.35">
      <c r="A32" s="4" t="s">
        <v>564</v>
      </c>
      <c r="B32" s="4" t="s">
        <v>451</v>
      </c>
      <c r="C32" s="18">
        <v>45343</v>
      </c>
      <c r="D32" s="4"/>
      <c r="E32" s="4">
        <v>0</v>
      </c>
      <c r="F32" s="4"/>
      <c r="G32" s="4" t="s">
        <v>466</v>
      </c>
      <c r="H32" s="4" t="s">
        <v>473</v>
      </c>
      <c r="I32" s="4" t="s">
        <v>565</v>
      </c>
      <c r="J32" s="4" t="s">
        <v>455</v>
      </c>
      <c r="K32" s="4"/>
      <c r="L32" s="4"/>
    </row>
    <row r="33" spans="1:12" ht="14.25" hidden="1" customHeight="1" x14ac:dyDescent="0.35">
      <c r="A33" s="4" t="s">
        <v>566</v>
      </c>
      <c r="B33" s="4" t="s">
        <v>500</v>
      </c>
      <c r="C33" s="18">
        <v>45345</v>
      </c>
      <c r="D33" s="18">
        <v>45405</v>
      </c>
      <c r="E33" s="4">
        <v>1</v>
      </c>
      <c r="F33" s="4" t="s">
        <v>567</v>
      </c>
      <c r="G33" s="4" t="s">
        <v>568</v>
      </c>
      <c r="H33" s="4" t="s">
        <v>569</v>
      </c>
      <c r="I33" s="4" t="s">
        <v>570</v>
      </c>
      <c r="J33" s="4" t="s">
        <v>455</v>
      </c>
      <c r="K33" s="4" t="s">
        <v>469</v>
      </c>
      <c r="L33" s="4" t="s">
        <v>550</v>
      </c>
    </row>
    <row r="34" spans="1:12" ht="14.25" hidden="1" customHeight="1" x14ac:dyDescent="0.35">
      <c r="A34" s="4" t="s">
        <v>571</v>
      </c>
      <c r="B34" s="4" t="s">
        <v>451</v>
      </c>
      <c r="C34" s="18">
        <v>45345</v>
      </c>
      <c r="D34" s="4"/>
      <c r="E34" s="4">
        <v>0</v>
      </c>
      <c r="F34" s="4"/>
      <c r="G34" s="4" t="s">
        <v>466</v>
      </c>
      <c r="H34" s="4" t="s">
        <v>473</v>
      </c>
      <c r="I34" s="4" t="s">
        <v>572</v>
      </c>
      <c r="J34" s="4" t="s">
        <v>455</v>
      </c>
      <c r="K34" s="4"/>
      <c r="L34" s="4"/>
    </row>
    <row r="35" spans="1:12" ht="14.25" hidden="1" customHeight="1" x14ac:dyDescent="0.35">
      <c r="A35" s="4" t="s">
        <v>573</v>
      </c>
      <c r="B35" s="4" t="s">
        <v>451</v>
      </c>
      <c r="C35" s="18">
        <v>45345</v>
      </c>
      <c r="D35" s="4"/>
      <c r="E35" s="4">
        <v>0</v>
      </c>
      <c r="F35" s="4"/>
      <c r="G35" s="4" t="s">
        <v>461</v>
      </c>
      <c r="H35" s="4" t="s">
        <v>462</v>
      </c>
      <c r="I35" s="4" t="s">
        <v>574</v>
      </c>
      <c r="J35" s="4" t="s">
        <v>455</v>
      </c>
      <c r="K35" s="4"/>
      <c r="L35" s="4"/>
    </row>
    <row r="36" spans="1:12" ht="14.25" hidden="1" customHeight="1" x14ac:dyDescent="0.35">
      <c r="A36" s="4" t="s">
        <v>575</v>
      </c>
      <c r="B36" s="4" t="s">
        <v>451</v>
      </c>
      <c r="C36" s="18">
        <v>45348</v>
      </c>
      <c r="D36" s="4"/>
      <c r="E36" s="4">
        <v>0</v>
      </c>
      <c r="F36" s="4"/>
      <c r="G36" s="4" t="s">
        <v>576</v>
      </c>
      <c r="H36" s="4" t="s">
        <v>577</v>
      </c>
      <c r="I36" s="4" t="s">
        <v>578</v>
      </c>
      <c r="J36" s="4" t="s">
        <v>455</v>
      </c>
      <c r="K36" s="4"/>
      <c r="L36" s="4"/>
    </row>
    <row r="37" spans="1:12" ht="14.25" hidden="1" customHeight="1" x14ac:dyDescent="0.35">
      <c r="A37" s="4" t="s">
        <v>579</v>
      </c>
      <c r="B37" s="4" t="s">
        <v>451</v>
      </c>
      <c r="C37" s="18">
        <v>45348</v>
      </c>
      <c r="D37" s="4"/>
      <c r="E37" s="4">
        <v>0</v>
      </c>
      <c r="F37" s="4"/>
      <c r="G37" s="4" t="s">
        <v>466</v>
      </c>
      <c r="H37" s="4" t="s">
        <v>467</v>
      </c>
      <c r="I37" s="4" t="s">
        <v>580</v>
      </c>
      <c r="J37" s="4" t="s">
        <v>455</v>
      </c>
      <c r="K37" s="4"/>
      <c r="L37" s="4"/>
    </row>
    <row r="38" spans="1:12" ht="14.25" hidden="1" customHeight="1" x14ac:dyDescent="0.35">
      <c r="A38" s="4" t="s">
        <v>581</v>
      </c>
      <c r="B38" s="4" t="s">
        <v>451</v>
      </c>
      <c r="C38" s="18">
        <v>45351</v>
      </c>
      <c r="D38" s="4"/>
      <c r="E38" s="4">
        <v>0</v>
      </c>
      <c r="F38" s="4"/>
      <c r="G38" s="4" t="s">
        <v>461</v>
      </c>
      <c r="H38" s="4" t="s">
        <v>488</v>
      </c>
      <c r="I38" s="4" t="s">
        <v>582</v>
      </c>
      <c r="J38" s="4" t="s">
        <v>455</v>
      </c>
      <c r="K38" s="4"/>
      <c r="L38" s="4"/>
    </row>
    <row r="39" spans="1:12" ht="14.25" hidden="1" customHeight="1" x14ac:dyDescent="0.35">
      <c r="A39" s="4" t="s">
        <v>583</v>
      </c>
      <c r="B39" s="4" t="s">
        <v>451</v>
      </c>
      <c r="C39" s="18">
        <v>45351</v>
      </c>
      <c r="D39" s="4"/>
      <c r="E39" s="4">
        <v>1</v>
      </c>
      <c r="F39" s="4" t="s">
        <v>584</v>
      </c>
      <c r="G39" s="4" t="s">
        <v>461</v>
      </c>
      <c r="H39" s="4" t="s">
        <v>462</v>
      </c>
      <c r="I39" s="4" t="s">
        <v>585</v>
      </c>
      <c r="J39" s="4" t="s">
        <v>455</v>
      </c>
      <c r="K39" s="4" t="s">
        <v>469</v>
      </c>
      <c r="L39" s="4" t="s">
        <v>470</v>
      </c>
    </row>
    <row r="40" spans="1:12" ht="14.25" hidden="1" customHeight="1" x14ac:dyDescent="0.35">
      <c r="A40" s="4" t="s">
        <v>586</v>
      </c>
      <c r="B40" s="4" t="s">
        <v>451</v>
      </c>
      <c r="C40" s="18">
        <v>45352</v>
      </c>
      <c r="D40" s="4"/>
      <c r="E40" s="4">
        <v>1</v>
      </c>
      <c r="F40" s="4" t="s">
        <v>587</v>
      </c>
      <c r="G40" s="4" t="s">
        <v>466</v>
      </c>
      <c r="H40" s="4" t="s">
        <v>467</v>
      </c>
      <c r="I40" s="4" t="s">
        <v>588</v>
      </c>
      <c r="J40" s="4" t="s">
        <v>455</v>
      </c>
      <c r="K40" s="4" t="s">
        <v>469</v>
      </c>
      <c r="L40" s="4" t="s">
        <v>470</v>
      </c>
    </row>
    <row r="41" spans="1:12" ht="14.25" hidden="1" customHeight="1" x14ac:dyDescent="0.35">
      <c r="A41" s="4" t="s">
        <v>589</v>
      </c>
      <c r="B41" s="4" t="s">
        <v>451</v>
      </c>
      <c r="C41" s="18">
        <v>45355</v>
      </c>
      <c r="D41" s="4"/>
      <c r="E41" s="4">
        <v>1</v>
      </c>
      <c r="F41" s="4" t="s">
        <v>590</v>
      </c>
      <c r="G41" s="4" t="s">
        <v>591</v>
      </c>
      <c r="H41" s="4" t="s">
        <v>592</v>
      </c>
      <c r="I41" s="4" t="s">
        <v>593</v>
      </c>
      <c r="J41" s="4" t="s">
        <v>455</v>
      </c>
      <c r="K41" s="4" t="s">
        <v>469</v>
      </c>
      <c r="L41" s="4" t="s">
        <v>594</v>
      </c>
    </row>
    <row r="42" spans="1:12" ht="14.25" hidden="1" customHeight="1" x14ac:dyDescent="0.35">
      <c r="A42" s="4" t="s">
        <v>595</v>
      </c>
      <c r="B42" s="4" t="s">
        <v>500</v>
      </c>
      <c r="C42" s="18">
        <v>45356</v>
      </c>
      <c r="D42" s="18">
        <v>45356</v>
      </c>
      <c r="E42" s="4">
        <v>0</v>
      </c>
      <c r="F42" s="4"/>
      <c r="G42" s="4" t="s">
        <v>514</v>
      </c>
      <c r="H42" s="4" t="s">
        <v>515</v>
      </c>
      <c r="I42" s="4" t="s">
        <v>596</v>
      </c>
      <c r="J42" s="4" t="s">
        <v>455</v>
      </c>
      <c r="K42" s="4"/>
      <c r="L42" s="4"/>
    </row>
    <row r="43" spans="1:12" ht="14.25" hidden="1" customHeight="1" x14ac:dyDescent="0.35">
      <c r="A43" s="4" t="s">
        <v>597</v>
      </c>
      <c r="B43" s="4" t="s">
        <v>451</v>
      </c>
      <c r="C43" s="18">
        <v>45356</v>
      </c>
      <c r="D43" s="4"/>
      <c r="E43" s="4">
        <v>0</v>
      </c>
      <c r="F43" s="4"/>
      <c r="G43" s="4" t="s">
        <v>466</v>
      </c>
      <c r="H43" s="4" t="s">
        <v>473</v>
      </c>
      <c r="I43" s="4" t="s">
        <v>598</v>
      </c>
      <c r="J43" s="4" t="s">
        <v>455</v>
      </c>
      <c r="K43" s="4"/>
      <c r="L43" s="4"/>
    </row>
    <row r="44" spans="1:12" ht="14.25" hidden="1" customHeight="1" x14ac:dyDescent="0.35">
      <c r="A44" s="4" t="s">
        <v>599</v>
      </c>
      <c r="B44" s="4" t="s">
        <v>451</v>
      </c>
      <c r="C44" s="18">
        <v>45357</v>
      </c>
      <c r="D44" s="18">
        <v>45357</v>
      </c>
      <c r="E44" s="4">
        <v>0</v>
      </c>
      <c r="F44" s="4"/>
      <c r="G44" s="4" t="s">
        <v>600</v>
      </c>
      <c r="H44" s="4" t="s">
        <v>601</v>
      </c>
      <c r="I44" s="4" t="s">
        <v>602</v>
      </c>
      <c r="J44" s="4" t="s">
        <v>455</v>
      </c>
      <c r="K44" s="4"/>
      <c r="L44" s="4"/>
    </row>
    <row r="45" spans="1:12" ht="14.25" hidden="1" customHeight="1" x14ac:dyDescent="0.35">
      <c r="A45" s="4" t="s">
        <v>603</v>
      </c>
      <c r="B45" s="4" t="s">
        <v>451</v>
      </c>
      <c r="C45" s="18">
        <v>45358</v>
      </c>
      <c r="D45" s="4"/>
      <c r="E45" s="4">
        <v>0</v>
      </c>
      <c r="F45" s="4"/>
      <c r="G45" s="4" t="s">
        <v>461</v>
      </c>
      <c r="H45" s="4" t="s">
        <v>462</v>
      </c>
      <c r="I45" s="4" t="s">
        <v>604</v>
      </c>
      <c r="J45" s="4" t="s">
        <v>455</v>
      </c>
      <c r="K45" s="4"/>
      <c r="L45" s="4"/>
    </row>
    <row r="46" spans="1:12" ht="14.25" hidden="1" customHeight="1" x14ac:dyDescent="0.35">
      <c r="A46" s="4" t="s">
        <v>605</v>
      </c>
      <c r="B46" s="4" t="s">
        <v>500</v>
      </c>
      <c r="C46" s="18">
        <v>45362</v>
      </c>
      <c r="D46" s="4"/>
      <c r="E46" s="4">
        <v>0</v>
      </c>
      <c r="F46" s="4"/>
      <c r="G46" s="4" t="s">
        <v>606</v>
      </c>
      <c r="H46" s="4"/>
      <c r="I46" s="4" t="s">
        <v>607</v>
      </c>
      <c r="J46" s="4" t="s">
        <v>455</v>
      </c>
      <c r="K46" s="4"/>
      <c r="L46" s="4"/>
    </row>
    <row r="47" spans="1:12" ht="14.25" hidden="1" customHeight="1" x14ac:dyDescent="0.35">
      <c r="A47" s="4" t="s">
        <v>608</v>
      </c>
      <c r="B47" s="4" t="s">
        <v>451</v>
      </c>
      <c r="C47" s="18">
        <v>45364</v>
      </c>
      <c r="D47" s="4"/>
      <c r="E47" s="4">
        <v>1</v>
      </c>
      <c r="F47" s="4" t="s">
        <v>609</v>
      </c>
      <c r="G47" s="4" t="s">
        <v>461</v>
      </c>
      <c r="H47" s="4" t="s">
        <v>488</v>
      </c>
      <c r="I47" s="4" t="s">
        <v>610</v>
      </c>
      <c r="J47" s="4" t="s">
        <v>455</v>
      </c>
      <c r="K47" s="4" t="s">
        <v>469</v>
      </c>
      <c r="L47" s="4" t="s">
        <v>470</v>
      </c>
    </row>
    <row r="48" spans="1:12" ht="14.25" hidden="1" customHeight="1" x14ac:dyDescent="0.35">
      <c r="A48" s="4" t="s">
        <v>611</v>
      </c>
      <c r="B48" s="4" t="s">
        <v>451</v>
      </c>
      <c r="C48" s="18">
        <v>45364</v>
      </c>
      <c r="D48" s="4"/>
      <c r="E48" s="4">
        <v>0</v>
      </c>
      <c r="F48" s="4"/>
      <c r="G48" s="4" t="s">
        <v>461</v>
      </c>
      <c r="H48" s="4" t="s">
        <v>488</v>
      </c>
      <c r="I48" s="4" t="s">
        <v>612</v>
      </c>
      <c r="J48" s="4" t="s">
        <v>455</v>
      </c>
      <c r="K48" s="4"/>
      <c r="L48" s="4"/>
    </row>
    <row r="49" spans="1:12" ht="14.25" hidden="1" customHeight="1" x14ac:dyDescent="0.35">
      <c r="A49" s="4" t="s">
        <v>613</v>
      </c>
      <c r="B49" s="4" t="s">
        <v>451</v>
      </c>
      <c r="C49" s="18">
        <v>45369</v>
      </c>
      <c r="D49" s="4"/>
      <c r="E49" s="4">
        <v>0</v>
      </c>
      <c r="F49" s="4"/>
      <c r="G49" s="4" t="s">
        <v>466</v>
      </c>
      <c r="H49" s="4" t="s">
        <v>473</v>
      </c>
      <c r="I49" s="4" t="s">
        <v>614</v>
      </c>
      <c r="J49" s="4" t="s">
        <v>455</v>
      </c>
      <c r="K49" s="4"/>
      <c r="L49" s="4"/>
    </row>
    <row r="50" spans="1:12" ht="14.25" hidden="1" customHeight="1" x14ac:dyDescent="0.35">
      <c r="A50" s="4" t="s">
        <v>615</v>
      </c>
      <c r="B50" s="4" t="s">
        <v>451</v>
      </c>
      <c r="C50" s="18">
        <v>45369</v>
      </c>
      <c r="D50" s="4"/>
      <c r="E50" s="4">
        <v>0</v>
      </c>
      <c r="F50" s="4"/>
      <c r="G50" s="4" t="s">
        <v>461</v>
      </c>
      <c r="H50" s="4" t="s">
        <v>488</v>
      </c>
      <c r="I50" s="4" t="s">
        <v>616</v>
      </c>
      <c r="J50" s="4" t="s">
        <v>455</v>
      </c>
      <c r="K50" s="4"/>
      <c r="L50" s="4"/>
    </row>
    <row r="51" spans="1:12" ht="14.25" hidden="1" customHeight="1" x14ac:dyDescent="0.35">
      <c r="A51" s="4" t="s">
        <v>617</v>
      </c>
      <c r="B51" s="4" t="s">
        <v>451</v>
      </c>
      <c r="C51" s="18">
        <v>45369</v>
      </c>
      <c r="D51" s="4"/>
      <c r="E51" s="4">
        <v>1</v>
      </c>
      <c r="F51" s="4" t="s">
        <v>618</v>
      </c>
      <c r="G51" s="4" t="s">
        <v>466</v>
      </c>
      <c r="H51" s="4" t="s">
        <v>473</v>
      </c>
      <c r="I51" s="4" t="s">
        <v>619</v>
      </c>
      <c r="J51" s="4" t="s">
        <v>455</v>
      </c>
      <c r="K51" s="4" t="s">
        <v>469</v>
      </c>
      <c r="L51" s="4" t="s">
        <v>470</v>
      </c>
    </row>
    <row r="52" spans="1:12" ht="14.25" hidden="1" customHeight="1" x14ac:dyDescent="0.35">
      <c r="A52" s="4" t="s">
        <v>620</v>
      </c>
      <c r="B52" s="4" t="s">
        <v>451</v>
      </c>
      <c r="C52" s="18">
        <v>45369</v>
      </c>
      <c r="D52" s="4"/>
      <c r="E52" s="4">
        <v>0</v>
      </c>
      <c r="F52" s="4"/>
      <c r="G52" s="4" t="s">
        <v>457</v>
      </c>
      <c r="H52" s="4" t="s">
        <v>458</v>
      </c>
      <c r="I52" s="4" t="s">
        <v>621</v>
      </c>
      <c r="J52" s="4" t="s">
        <v>455</v>
      </c>
      <c r="K52" s="4"/>
      <c r="L52" s="4"/>
    </row>
    <row r="53" spans="1:12" ht="14.25" hidden="1" customHeight="1" x14ac:dyDescent="0.35">
      <c r="A53" s="4" t="s">
        <v>622</v>
      </c>
      <c r="B53" s="4" t="s">
        <v>451</v>
      </c>
      <c r="C53" s="18">
        <v>45373</v>
      </c>
      <c r="D53" s="18">
        <v>45378</v>
      </c>
      <c r="E53" s="4">
        <v>0</v>
      </c>
      <c r="F53" s="4"/>
      <c r="G53" s="4" t="s">
        <v>623</v>
      </c>
      <c r="H53" s="4" t="s">
        <v>624</v>
      </c>
      <c r="I53" s="4" t="s">
        <v>625</v>
      </c>
      <c r="J53" s="4" t="s">
        <v>455</v>
      </c>
      <c r="K53" s="4"/>
      <c r="L53" s="4"/>
    </row>
    <row r="54" spans="1:12" ht="14.25" hidden="1" customHeight="1" x14ac:dyDescent="0.35">
      <c r="A54" s="4" t="s">
        <v>626</v>
      </c>
      <c r="B54" s="4" t="s">
        <v>451</v>
      </c>
      <c r="C54" s="18">
        <v>45376</v>
      </c>
      <c r="D54" s="4"/>
      <c r="E54" s="4">
        <v>0</v>
      </c>
      <c r="F54" s="4"/>
      <c r="G54" s="4" t="s">
        <v>627</v>
      </c>
      <c r="H54" s="4" t="s">
        <v>628</v>
      </c>
      <c r="I54" s="4" t="s">
        <v>629</v>
      </c>
      <c r="J54" s="4" t="s">
        <v>455</v>
      </c>
      <c r="K54" s="4"/>
      <c r="L54" s="4"/>
    </row>
    <row r="55" spans="1:12" ht="14.25" hidden="1" customHeight="1" x14ac:dyDescent="0.35">
      <c r="A55" s="4" t="s">
        <v>630</v>
      </c>
      <c r="B55" s="4" t="s">
        <v>451</v>
      </c>
      <c r="C55" s="18">
        <v>45376</v>
      </c>
      <c r="D55" s="4"/>
      <c r="E55" s="4">
        <v>1</v>
      </c>
      <c r="F55" s="4" t="s">
        <v>631</v>
      </c>
      <c r="G55" s="4" t="s">
        <v>461</v>
      </c>
      <c r="H55" s="4" t="s">
        <v>462</v>
      </c>
      <c r="I55" s="4" t="s">
        <v>632</v>
      </c>
      <c r="J55" s="4" t="s">
        <v>455</v>
      </c>
      <c r="K55" s="4" t="s">
        <v>469</v>
      </c>
      <c r="L55" s="4" t="s">
        <v>470</v>
      </c>
    </row>
    <row r="56" spans="1:12" ht="14.25" hidden="1" customHeight="1" x14ac:dyDescent="0.35">
      <c r="A56" s="4" t="s">
        <v>633</v>
      </c>
      <c r="B56" s="4" t="s">
        <v>451</v>
      </c>
      <c r="C56" s="18">
        <v>45377</v>
      </c>
      <c r="D56" s="4"/>
      <c r="E56" s="4">
        <v>0</v>
      </c>
      <c r="F56" s="4"/>
      <c r="G56" s="4" t="s">
        <v>634</v>
      </c>
      <c r="H56" s="4" t="s">
        <v>635</v>
      </c>
      <c r="I56" s="4" t="s">
        <v>636</v>
      </c>
      <c r="J56" s="4" t="s">
        <v>455</v>
      </c>
      <c r="K56" s="4"/>
      <c r="L56" s="4"/>
    </row>
    <row r="57" spans="1:12" ht="14.25" hidden="1" customHeight="1" x14ac:dyDescent="0.35">
      <c r="A57" s="4" t="s">
        <v>637</v>
      </c>
      <c r="B57" s="4" t="s">
        <v>451</v>
      </c>
      <c r="C57" s="18">
        <v>45378</v>
      </c>
      <c r="D57" s="4"/>
      <c r="E57" s="4">
        <v>0</v>
      </c>
      <c r="F57" s="4"/>
      <c r="G57" s="4" t="s">
        <v>466</v>
      </c>
      <c r="H57" s="4" t="s">
        <v>473</v>
      </c>
      <c r="I57" s="4" t="s">
        <v>638</v>
      </c>
      <c r="J57" s="4" t="s">
        <v>455</v>
      </c>
      <c r="K57" s="4"/>
      <c r="L57" s="4"/>
    </row>
    <row r="58" spans="1:12" ht="14.25" hidden="1" customHeight="1" x14ac:dyDescent="0.35">
      <c r="A58" s="4" t="s">
        <v>639</v>
      </c>
      <c r="B58" s="4" t="s">
        <v>451</v>
      </c>
      <c r="C58" s="18">
        <v>45379</v>
      </c>
      <c r="D58" s="4"/>
      <c r="E58" s="4">
        <v>0</v>
      </c>
      <c r="F58" s="4"/>
      <c r="G58" s="4" t="s">
        <v>461</v>
      </c>
      <c r="H58" s="4" t="s">
        <v>488</v>
      </c>
      <c r="I58" s="4" t="s">
        <v>640</v>
      </c>
      <c r="J58" s="4" t="s">
        <v>455</v>
      </c>
      <c r="K58" s="4"/>
      <c r="L58" s="4"/>
    </row>
    <row r="59" spans="1:12" ht="14.25" hidden="1" customHeight="1" x14ac:dyDescent="0.35">
      <c r="A59" s="4" t="s">
        <v>641</v>
      </c>
      <c r="B59" s="4" t="s">
        <v>451</v>
      </c>
      <c r="C59" s="18">
        <v>45379</v>
      </c>
      <c r="D59" s="4"/>
      <c r="E59" s="4">
        <v>0</v>
      </c>
      <c r="F59" s="4"/>
      <c r="G59" s="4" t="s">
        <v>466</v>
      </c>
      <c r="H59" s="4" t="s">
        <v>473</v>
      </c>
      <c r="I59" s="4" t="s">
        <v>642</v>
      </c>
      <c r="J59" s="4" t="s">
        <v>455</v>
      </c>
      <c r="K59" s="4"/>
      <c r="L59" s="4"/>
    </row>
    <row r="60" spans="1:12" ht="14.25" hidden="1" customHeight="1" x14ac:dyDescent="0.35">
      <c r="A60" s="4" t="s">
        <v>643</v>
      </c>
      <c r="B60" s="4" t="s">
        <v>479</v>
      </c>
      <c r="C60" s="18">
        <v>45380</v>
      </c>
      <c r="D60" s="4"/>
      <c r="E60" s="4">
        <v>1</v>
      </c>
      <c r="F60" s="4" t="s">
        <v>644</v>
      </c>
      <c r="G60" s="4" t="s">
        <v>645</v>
      </c>
      <c r="H60" s="4" t="s">
        <v>646</v>
      </c>
      <c r="I60" s="4" t="s">
        <v>647</v>
      </c>
      <c r="J60" s="4" t="s">
        <v>455</v>
      </c>
      <c r="K60" s="4" t="s">
        <v>469</v>
      </c>
      <c r="L60" s="4" t="s">
        <v>550</v>
      </c>
    </row>
    <row r="61" spans="1:12" ht="14.25" hidden="1" customHeight="1" x14ac:dyDescent="0.35">
      <c r="A61" s="4" t="s">
        <v>648</v>
      </c>
      <c r="B61" s="4" t="s">
        <v>451</v>
      </c>
      <c r="C61" s="18">
        <v>45383</v>
      </c>
      <c r="D61" s="18">
        <v>45383</v>
      </c>
      <c r="E61" s="4">
        <v>0</v>
      </c>
      <c r="F61" s="4"/>
      <c r="G61" s="4" t="s">
        <v>649</v>
      </c>
      <c r="H61" s="4" t="s">
        <v>650</v>
      </c>
      <c r="I61" s="4" t="s">
        <v>651</v>
      </c>
      <c r="J61" s="4" t="s">
        <v>455</v>
      </c>
      <c r="K61" s="4"/>
      <c r="L61" s="4"/>
    </row>
    <row r="62" spans="1:12" ht="14.25" customHeight="1" x14ac:dyDescent="0.35">
      <c r="A62" s="3" t="s">
        <v>652</v>
      </c>
      <c r="B62" s="3" t="s">
        <v>479</v>
      </c>
      <c r="C62" s="19">
        <v>45636</v>
      </c>
      <c r="D62" s="3"/>
      <c r="E62" s="3">
        <v>1</v>
      </c>
      <c r="F62" s="3" t="s">
        <v>653</v>
      </c>
      <c r="G62" s="3" t="s">
        <v>654</v>
      </c>
      <c r="H62" s="3" t="s">
        <v>655</v>
      </c>
      <c r="I62" s="20" t="s">
        <v>656</v>
      </c>
      <c r="J62" s="3" t="s">
        <v>455</v>
      </c>
      <c r="K62" s="3" t="s">
        <v>505</v>
      </c>
      <c r="L62" s="3" t="s">
        <v>657</v>
      </c>
    </row>
    <row r="63" spans="1:12" ht="14.25" hidden="1" customHeight="1" x14ac:dyDescent="0.35">
      <c r="A63" s="4" t="s">
        <v>658</v>
      </c>
      <c r="B63" s="4" t="s">
        <v>479</v>
      </c>
      <c r="C63" s="18">
        <v>45385</v>
      </c>
      <c r="D63" s="4"/>
      <c r="E63" s="4">
        <v>1</v>
      </c>
      <c r="F63" s="4" t="s">
        <v>659</v>
      </c>
      <c r="G63" s="4" t="s">
        <v>660</v>
      </c>
      <c r="H63" s="4" t="s">
        <v>661</v>
      </c>
      <c r="I63" s="4" t="s">
        <v>662</v>
      </c>
      <c r="J63" s="4" t="s">
        <v>455</v>
      </c>
      <c r="K63" s="4" t="s">
        <v>469</v>
      </c>
      <c r="L63" s="4" t="s">
        <v>550</v>
      </c>
    </row>
    <row r="64" spans="1:12" ht="14.25" hidden="1" customHeight="1" x14ac:dyDescent="0.35">
      <c r="A64" s="4" t="s">
        <v>663</v>
      </c>
      <c r="B64" s="4" t="s">
        <v>479</v>
      </c>
      <c r="C64" s="18">
        <v>45385</v>
      </c>
      <c r="D64" s="4"/>
      <c r="E64" s="4">
        <v>1</v>
      </c>
      <c r="F64" s="4" t="s">
        <v>664</v>
      </c>
      <c r="G64" s="4" t="s">
        <v>665</v>
      </c>
      <c r="H64" s="4" t="s">
        <v>666</v>
      </c>
      <c r="I64" s="4" t="s">
        <v>667</v>
      </c>
      <c r="J64" s="4" t="s">
        <v>455</v>
      </c>
      <c r="K64" s="4" t="s">
        <v>469</v>
      </c>
      <c r="L64" s="4" t="s">
        <v>550</v>
      </c>
    </row>
    <row r="65" spans="1:12" ht="14.25" hidden="1" customHeight="1" x14ac:dyDescent="0.35">
      <c r="A65" s="4" t="s">
        <v>668</v>
      </c>
      <c r="B65" s="4" t="s">
        <v>479</v>
      </c>
      <c r="C65" s="18">
        <v>45386</v>
      </c>
      <c r="D65" s="4"/>
      <c r="E65" s="4">
        <v>1</v>
      </c>
      <c r="F65" s="4" t="s">
        <v>669</v>
      </c>
      <c r="G65" s="4" t="s">
        <v>670</v>
      </c>
      <c r="H65" s="4" t="s">
        <v>671</v>
      </c>
      <c r="I65" s="4" t="s">
        <v>672</v>
      </c>
      <c r="J65" s="4" t="s">
        <v>455</v>
      </c>
      <c r="K65" s="4" t="s">
        <v>469</v>
      </c>
      <c r="L65" s="4" t="s">
        <v>550</v>
      </c>
    </row>
    <row r="66" spans="1:12" ht="14.25" hidden="1" customHeight="1" x14ac:dyDescent="0.35">
      <c r="A66" s="4" t="s">
        <v>673</v>
      </c>
      <c r="B66" s="4" t="s">
        <v>451</v>
      </c>
      <c r="C66" s="18">
        <v>45386</v>
      </c>
      <c r="D66" s="4"/>
      <c r="E66" s="4">
        <v>0</v>
      </c>
      <c r="F66" s="4"/>
      <c r="G66" s="4" t="s">
        <v>461</v>
      </c>
      <c r="H66" s="4" t="s">
        <v>462</v>
      </c>
      <c r="I66" s="4" t="s">
        <v>674</v>
      </c>
      <c r="J66" s="4" t="s">
        <v>455</v>
      </c>
      <c r="K66" s="4"/>
      <c r="L66" s="4"/>
    </row>
    <row r="67" spans="1:12" ht="14.25" hidden="1" customHeight="1" x14ac:dyDescent="0.35">
      <c r="A67" s="4" t="s">
        <v>675</v>
      </c>
      <c r="B67" s="4" t="s">
        <v>451</v>
      </c>
      <c r="C67" s="18">
        <v>45387</v>
      </c>
      <c r="D67" s="4"/>
      <c r="E67" s="4">
        <v>1</v>
      </c>
      <c r="F67" s="4" t="s">
        <v>676</v>
      </c>
      <c r="G67" s="4" t="s">
        <v>461</v>
      </c>
      <c r="H67" s="4" t="s">
        <v>462</v>
      </c>
      <c r="I67" s="4" t="s">
        <v>677</v>
      </c>
      <c r="J67" s="4" t="s">
        <v>455</v>
      </c>
      <c r="K67" s="4" t="s">
        <v>469</v>
      </c>
      <c r="L67" s="4" t="s">
        <v>470</v>
      </c>
    </row>
    <row r="68" spans="1:12" ht="14.25" hidden="1" customHeight="1" x14ac:dyDescent="0.35">
      <c r="A68" s="4" t="s">
        <v>678</v>
      </c>
      <c r="B68" s="4" t="s">
        <v>451</v>
      </c>
      <c r="C68" s="18">
        <v>45390</v>
      </c>
      <c r="D68" s="4"/>
      <c r="E68" s="4">
        <v>0</v>
      </c>
      <c r="F68" s="4"/>
      <c r="G68" s="4" t="s">
        <v>466</v>
      </c>
      <c r="H68" s="4" t="s">
        <v>467</v>
      </c>
      <c r="I68" s="4" t="s">
        <v>679</v>
      </c>
      <c r="J68" s="4" t="s">
        <v>455</v>
      </c>
      <c r="K68" s="4"/>
      <c r="L68" s="4"/>
    </row>
    <row r="69" spans="1:12" ht="14.25" hidden="1" customHeight="1" x14ac:dyDescent="0.35">
      <c r="A69" s="4" t="s">
        <v>680</v>
      </c>
      <c r="B69" s="4" t="s">
        <v>451</v>
      </c>
      <c r="C69" s="18">
        <v>45390</v>
      </c>
      <c r="D69" s="4"/>
      <c r="E69" s="4">
        <v>0</v>
      </c>
      <c r="F69" s="4"/>
      <c r="G69" s="4" t="s">
        <v>466</v>
      </c>
      <c r="H69" s="4" t="s">
        <v>473</v>
      </c>
      <c r="I69" s="4" t="s">
        <v>681</v>
      </c>
      <c r="J69" s="4" t="s">
        <v>455</v>
      </c>
      <c r="K69" s="4"/>
      <c r="L69" s="4"/>
    </row>
    <row r="70" spans="1:12" ht="14.25" hidden="1" customHeight="1" x14ac:dyDescent="0.35">
      <c r="A70" s="4" t="s">
        <v>682</v>
      </c>
      <c r="B70" s="4" t="s">
        <v>451</v>
      </c>
      <c r="C70" s="18">
        <v>45390</v>
      </c>
      <c r="D70" s="4"/>
      <c r="E70" s="4">
        <v>1</v>
      </c>
      <c r="F70" s="4" t="s">
        <v>683</v>
      </c>
      <c r="G70" s="4" t="s">
        <v>466</v>
      </c>
      <c r="H70" s="4" t="s">
        <v>467</v>
      </c>
      <c r="I70" s="4" t="s">
        <v>684</v>
      </c>
      <c r="J70" s="4" t="s">
        <v>455</v>
      </c>
      <c r="K70" s="4" t="s">
        <v>469</v>
      </c>
      <c r="L70" s="4" t="s">
        <v>470</v>
      </c>
    </row>
    <row r="71" spans="1:12" ht="14.25" hidden="1" customHeight="1" x14ac:dyDescent="0.35">
      <c r="A71" s="4" t="s">
        <v>685</v>
      </c>
      <c r="B71" s="4" t="s">
        <v>500</v>
      </c>
      <c r="C71" s="18">
        <v>45392</v>
      </c>
      <c r="D71" s="18">
        <v>45392</v>
      </c>
      <c r="E71" s="4">
        <v>0</v>
      </c>
      <c r="F71" s="4"/>
      <c r="G71" s="4" t="s">
        <v>686</v>
      </c>
      <c r="H71" s="4" t="s">
        <v>687</v>
      </c>
      <c r="I71" s="4" t="s">
        <v>688</v>
      </c>
      <c r="J71" s="4" t="s">
        <v>455</v>
      </c>
      <c r="K71" s="4"/>
      <c r="L71" s="4"/>
    </row>
    <row r="72" spans="1:12" ht="14.25" hidden="1" customHeight="1" x14ac:dyDescent="0.35">
      <c r="A72" s="4" t="s">
        <v>689</v>
      </c>
      <c r="B72" s="4" t="s">
        <v>451</v>
      </c>
      <c r="C72" s="18">
        <v>45394</v>
      </c>
      <c r="D72" s="4"/>
      <c r="E72" s="4">
        <v>1</v>
      </c>
      <c r="F72" s="4" t="s">
        <v>690</v>
      </c>
      <c r="G72" s="4" t="s">
        <v>461</v>
      </c>
      <c r="H72" s="4" t="s">
        <v>488</v>
      </c>
      <c r="I72" s="4" t="s">
        <v>691</v>
      </c>
      <c r="J72" s="4" t="s">
        <v>455</v>
      </c>
      <c r="K72" s="4" t="s">
        <v>469</v>
      </c>
      <c r="L72" s="4" t="s">
        <v>470</v>
      </c>
    </row>
    <row r="73" spans="1:12" ht="14.25" customHeight="1" x14ac:dyDescent="0.35">
      <c r="A73" s="3" t="s">
        <v>692</v>
      </c>
      <c r="B73" s="3" t="s">
        <v>500</v>
      </c>
      <c r="C73" s="19">
        <v>45762</v>
      </c>
      <c r="D73" s="19">
        <v>45811</v>
      </c>
      <c r="E73" s="3">
        <v>1</v>
      </c>
      <c r="F73" s="3" t="s">
        <v>693</v>
      </c>
      <c r="G73" s="3" t="s">
        <v>654</v>
      </c>
      <c r="H73" s="3" t="s">
        <v>694</v>
      </c>
      <c r="I73" s="20" t="s">
        <v>695</v>
      </c>
      <c r="J73" s="3" t="s">
        <v>455</v>
      </c>
      <c r="K73" s="3" t="s">
        <v>505</v>
      </c>
      <c r="L73" s="3" t="s">
        <v>696</v>
      </c>
    </row>
    <row r="74" spans="1:12" ht="14.25" hidden="1" customHeight="1" x14ac:dyDescent="0.35">
      <c r="A74" s="4" t="s">
        <v>697</v>
      </c>
      <c r="B74" s="4" t="s">
        <v>451</v>
      </c>
      <c r="C74" s="18">
        <v>45397</v>
      </c>
      <c r="D74" s="18">
        <v>45405</v>
      </c>
      <c r="E74" s="4">
        <v>0</v>
      </c>
      <c r="F74" s="4"/>
      <c r="G74" s="4" t="s">
        <v>698</v>
      </c>
      <c r="H74" s="4" t="s">
        <v>699</v>
      </c>
      <c r="I74" s="4" t="s">
        <v>700</v>
      </c>
      <c r="J74" s="4" t="s">
        <v>455</v>
      </c>
      <c r="K74" s="4"/>
      <c r="L74" s="4"/>
    </row>
    <row r="75" spans="1:12" ht="14.25" hidden="1" customHeight="1" x14ac:dyDescent="0.35">
      <c r="A75" s="4" t="s">
        <v>701</v>
      </c>
      <c r="B75" s="4" t="s">
        <v>451</v>
      </c>
      <c r="C75" s="18">
        <v>45398</v>
      </c>
      <c r="D75" s="4"/>
      <c r="E75" s="4">
        <v>0</v>
      </c>
      <c r="F75" s="4"/>
      <c r="G75" s="4" t="s">
        <v>702</v>
      </c>
      <c r="H75" s="4" t="s">
        <v>703</v>
      </c>
      <c r="I75" s="4" t="s">
        <v>704</v>
      </c>
      <c r="J75" s="4" t="s">
        <v>455</v>
      </c>
      <c r="K75" s="4"/>
      <c r="L75" s="4"/>
    </row>
    <row r="76" spans="1:12" ht="14.25" hidden="1" customHeight="1" x14ac:dyDescent="0.35">
      <c r="A76" s="4" t="s">
        <v>705</v>
      </c>
      <c r="B76" s="4" t="s">
        <v>451</v>
      </c>
      <c r="C76" s="18">
        <v>45398</v>
      </c>
      <c r="D76" s="4"/>
      <c r="E76" s="4">
        <v>0</v>
      </c>
      <c r="F76" s="4"/>
      <c r="G76" s="4" t="s">
        <v>706</v>
      </c>
      <c r="H76" s="4" t="s">
        <v>707</v>
      </c>
      <c r="I76" s="4" t="s">
        <v>708</v>
      </c>
      <c r="J76" s="4" t="s">
        <v>455</v>
      </c>
      <c r="K76" s="4"/>
      <c r="L76" s="4"/>
    </row>
    <row r="77" spans="1:12" ht="14.25" hidden="1" customHeight="1" x14ac:dyDescent="0.35">
      <c r="A77" s="4" t="s">
        <v>709</v>
      </c>
      <c r="B77" s="4" t="s">
        <v>451</v>
      </c>
      <c r="C77" s="18">
        <v>45398</v>
      </c>
      <c r="D77" s="4"/>
      <c r="E77" s="4">
        <v>0</v>
      </c>
      <c r="F77" s="4"/>
      <c r="G77" s="4" t="s">
        <v>461</v>
      </c>
      <c r="H77" s="4" t="s">
        <v>488</v>
      </c>
      <c r="I77" s="4" t="s">
        <v>710</v>
      </c>
      <c r="J77" s="4" t="s">
        <v>455</v>
      </c>
      <c r="K77" s="4"/>
      <c r="L77" s="4"/>
    </row>
    <row r="78" spans="1:12" ht="14.25" hidden="1" customHeight="1" x14ac:dyDescent="0.35">
      <c r="A78" s="4" t="s">
        <v>711</v>
      </c>
      <c r="B78" s="4" t="s">
        <v>451</v>
      </c>
      <c r="C78" s="18">
        <v>45399</v>
      </c>
      <c r="D78" s="4"/>
      <c r="E78" s="4">
        <v>0</v>
      </c>
      <c r="F78" s="4"/>
      <c r="G78" s="4" t="s">
        <v>466</v>
      </c>
      <c r="H78" s="4" t="s">
        <v>467</v>
      </c>
      <c r="I78" s="4" t="s">
        <v>712</v>
      </c>
      <c r="J78" s="4" t="s">
        <v>455</v>
      </c>
      <c r="K78" s="4"/>
      <c r="L78" s="4"/>
    </row>
    <row r="79" spans="1:12" ht="14.25" hidden="1" customHeight="1" x14ac:dyDescent="0.35">
      <c r="A79" s="4" t="s">
        <v>713</v>
      </c>
      <c r="B79" s="4" t="s">
        <v>451</v>
      </c>
      <c r="C79" s="18">
        <v>45400</v>
      </c>
      <c r="D79" s="4"/>
      <c r="E79" s="4">
        <v>1</v>
      </c>
      <c r="F79" s="4" t="s">
        <v>659</v>
      </c>
      <c r="G79" s="4" t="s">
        <v>461</v>
      </c>
      <c r="H79" s="4" t="s">
        <v>462</v>
      </c>
      <c r="I79" s="4" t="s">
        <v>714</v>
      </c>
      <c r="J79" s="4" t="s">
        <v>455</v>
      </c>
      <c r="K79" s="4" t="s">
        <v>469</v>
      </c>
      <c r="L79" s="4" t="s">
        <v>470</v>
      </c>
    </row>
    <row r="80" spans="1:12" ht="14.25" hidden="1" customHeight="1" x14ac:dyDescent="0.35">
      <c r="A80" s="4" t="s">
        <v>715</v>
      </c>
      <c r="B80" s="4" t="s">
        <v>451</v>
      </c>
      <c r="C80" s="18">
        <v>45404</v>
      </c>
      <c r="D80" s="4"/>
      <c r="E80" s="4">
        <v>0</v>
      </c>
      <c r="F80" s="4"/>
      <c r="G80" s="4" t="s">
        <v>716</v>
      </c>
      <c r="H80" s="4" t="s">
        <v>717</v>
      </c>
      <c r="I80" s="4" t="s">
        <v>718</v>
      </c>
      <c r="J80" s="4" t="s">
        <v>455</v>
      </c>
      <c r="K80" s="4"/>
      <c r="L80" s="4"/>
    </row>
    <row r="81" spans="1:12" ht="14.25" customHeight="1" x14ac:dyDescent="0.35">
      <c r="A81" s="3" t="s">
        <v>719</v>
      </c>
      <c r="B81" s="3" t="s">
        <v>500</v>
      </c>
      <c r="C81" s="19">
        <v>45919</v>
      </c>
      <c r="D81" s="19">
        <v>45978</v>
      </c>
      <c r="E81" s="3">
        <v>1</v>
      </c>
      <c r="F81" s="3" t="s">
        <v>720</v>
      </c>
      <c r="G81" s="3" t="s">
        <v>721</v>
      </c>
      <c r="H81" s="3" t="s">
        <v>722</v>
      </c>
      <c r="I81" s="3" t="s">
        <v>107</v>
      </c>
      <c r="J81" s="3" t="s">
        <v>455</v>
      </c>
      <c r="K81" s="3" t="s">
        <v>505</v>
      </c>
      <c r="L81" s="3" t="s">
        <v>723</v>
      </c>
    </row>
    <row r="82" spans="1:12" ht="14.25" hidden="1" customHeight="1" x14ac:dyDescent="0.35">
      <c r="A82" s="4" t="s">
        <v>724</v>
      </c>
      <c r="B82" s="4" t="s">
        <v>451</v>
      </c>
      <c r="C82" s="18">
        <v>45405</v>
      </c>
      <c r="D82" s="4"/>
      <c r="E82" s="4">
        <v>0</v>
      </c>
      <c r="F82" s="4"/>
      <c r="G82" s="4" t="s">
        <v>466</v>
      </c>
      <c r="H82" s="4" t="s">
        <v>521</v>
      </c>
      <c r="I82" s="4" t="s">
        <v>725</v>
      </c>
      <c r="J82" s="4" t="s">
        <v>455</v>
      </c>
      <c r="K82" s="4"/>
      <c r="L82" s="4"/>
    </row>
    <row r="83" spans="1:12" ht="14.25" hidden="1" customHeight="1" x14ac:dyDescent="0.35">
      <c r="A83" s="4" t="s">
        <v>726</v>
      </c>
      <c r="B83" s="4" t="s">
        <v>451</v>
      </c>
      <c r="C83" s="18">
        <v>45407</v>
      </c>
      <c r="D83" s="18">
        <v>45407</v>
      </c>
      <c r="E83" s="4">
        <v>0</v>
      </c>
      <c r="F83" s="4"/>
      <c r="G83" s="4" t="s">
        <v>727</v>
      </c>
      <c r="H83" s="4" t="s">
        <v>728</v>
      </c>
      <c r="I83" s="4" t="s">
        <v>729</v>
      </c>
      <c r="J83" s="4" t="s">
        <v>455</v>
      </c>
      <c r="K83" s="4"/>
      <c r="L83" s="4"/>
    </row>
    <row r="84" spans="1:12" ht="14.25" hidden="1" customHeight="1" x14ac:dyDescent="0.35">
      <c r="A84" s="4" t="s">
        <v>730</v>
      </c>
      <c r="B84" s="4" t="s">
        <v>451</v>
      </c>
      <c r="C84" s="18">
        <v>45407</v>
      </c>
      <c r="D84" s="4"/>
      <c r="E84" s="4">
        <v>1</v>
      </c>
      <c r="F84" s="4" t="s">
        <v>531</v>
      </c>
      <c r="G84" s="4" t="s">
        <v>466</v>
      </c>
      <c r="H84" s="4" t="s">
        <v>473</v>
      </c>
      <c r="I84" s="4" t="s">
        <v>731</v>
      </c>
      <c r="J84" s="4" t="s">
        <v>455</v>
      </c>
      <c r="K84" s="4" t="s">
        <v>469</v>
      </c>
      <c r="L84" s="4" t="s">
        <v>470</v>
      </c>
    </row>
    <row r="85" spans="1:12" ht="14.25" hidden="1" customHeight="1" x14ac:dyDescent="0.35">
      <c r="A85" s="4" t="s">
        <v>732</v>
      </c>
      <c r="B85" s="4" t="s">
        <v>451</v>
      </c>
      <c r="C85" s="18">
        <v>45408</v>
      </c>
      <c r="D85" s="4"/>
      <c r="E85" s="4">
        <v>0</v>
      </c>
      <c r="F85" s="4"/>
      <c r="G85" s="4" t="s">
        <v>461</v>
      </c>
      <c r="H85" s="4" t="s">
        <v>462</v>
      </c>
      <c r="I85" s="4" t="s">
        <v>733</v>
      </c>
      <c r="J85" s="4" t="s">
        <v>455</v>
      </c>
      <c r="K85" s="4"/>
      <c r="L85" s="4"/>
    </row>
    <row r="86" spans="1:12" ht="14.25" hidden="1" customHeight="1" x14ac:dyDescent="0.35">
      <c r="A86" s="4" t="s">
        <v>734</v>
      </c>
      <c r="B86" s="4" t="s">
        <v>451</v>
      </c>
      <c r="C86" s="18">
        <v>45408</v>
      </c>
      <c r="D86" s="4"/>
      <c r="E86" s="4">
        <v>0</v>
      </c>
      <c r="F86" s="4"/>
      <c r="G86" s="4" t="s">
        <v>461</v>
      </c>
      <c r="H86" s="4" t="s">
        <v>488</v>
      </c>
      <c r="I86" s="4" t="s">
        <v>735</v>
      </c>
      <c r="J86" s="4" t="s">
        <v>455</v>
      </c>
      <c r="K86" s="4"/>
      <c r="L86" s="4"/>
    </row>
    <row r="87" spans="1:12" ht="14.25" hidden="1" customHeight="1" x14ac:dyDescent="0.35">
      <c r="A87" s="4" t="s">
        <v>736</v>
      </c>
      <c r="B87" s="4" t="s">
        <v>451</v>
      </c>
      <c r="C87" s="18">
        <v>45408</v>
      </c>
      <c r="D87" s="4"/>
      <c r="E87" s="4">
        <v>0</v>
      </c>
      <c r="F87" s="4"/>
      <c r="G87" s="4" t="s">
        <v>461</v>
      </c>
      <c r="H87" s="4" t="s">
        <v>488</v>
      </c>
      <c r="I87" s="4" t="s">
        <v>737</v>
      </c>
      <c r="J87" s="4" t="s">
        <v>455</v>
      </c>
      <c r="K87" s="4"/>
      <c r="L87" s="4"/>
    </row>
    <row r="88" spans="1:12" ht="14.25" hidden="1" customHeight="1" x14ac:dyDescent="0.35">
      <c r="A88" s="4" t="s">
        <v>738</v>
      </c>
      <c r="B88" s="4" t="s">
        <v>451</v>
      </c>
      <c r="C88" s="18">
        <v>45408</v>
      </c>
      <c r="D88" s="4"/>
      <c r="E88" s="4">
        <v>0</v>
      </c>
      <c r="F88" s="4"/>
      <c r="G88" s="4" t="s">
        <v>739</v>
      </c>
      <c r="H88" s="4" t="s">
        <v>740</v>
      </c>
      <c r="I88" s="4" t="s">
        <v>741</v>
      </c>
      <c r="J88" s="4" t="s">
        <v>455</v>
      </c>
      <c r="K88" s="4"/>
      <c r="L88" s="4"/>
    </row>
    <row r="89" spans="1:12" ht="14.25" hidden="1" customHeight="1" x14ac:dyDescent="0.35">
      <c r="A89" s="4" t="s">
        <v>742</v>
      </c>
      <c r="B89" s="4" t="s">
        <v>451</v>
      </c>
      <c r="C89" s="18">
        <v>45411</v>
      </c>
      <c r="D89" s="4"/>
      <c r="E89" s="4">
        <v>0</v>
      </c>
      <c r="F89" s="4"/>
      <c r="G89" s="4" t="s">
        <v>743</v>
      </c>
      <c r="H89" s="4" t="s">
        <v>496</v>
      </c>
      <c r="I89" s="4" t="s">
        <v>744</v>
      </c>
      <c r="J89" s="4" t="s">
        <v>455</v>
      </c>
      <c r="K89" s="4"/>
      <c r="L89" s="4"/>
    </row>
    <row r="90" spans="1:12" ht="14.25" hidden="1" customHeight="1" x14ac:dyDescent="0.35">
      <c r="A90" s="4" t="s">
        <v>745</v>
      </c>
      <c r="B90" s="4" t="s">
        <v>451</v>
      </c>
      <c r="C90" s="18">
        <v>45411</v>
      </c>
      <c r="D90" s="4"/>
      <c r="E90" s="4">
        <v>0</v>
      </c>
      <c r="F90" s="4"/>
      <c r="G90" s="4" t="s">
        <v>746</v>
      </c>
      <c r="H90" s="4" t="s">
        <v>747</v>
      </c>
      <c r="I90" s="4" t="s">
        <v>748</v>
      </c>
      <c r="J90" s="4" t="s">
        <v>455</v>
      </c>
      <c r="K90" s="4"/>
      <c r="L90" s="4"/>
    </row>
    <row r="91" spans="1:12" ht="14.25" hidden="1" customHeight="1" x14ac:dyDescent="0.35">
      <c r="A91" s="4" t="s">
        <v>749</v>
      </c>
      <c r="B91" s="4" t="s">
        <v>451</v>
      </c>
      <c r="C91" s="18">
        <v>45412</v>
      </c>
      <c r="D91" s="4"/>
      <c r="E91" s="4">
        <v>0</v>
      </c>
      <c r="F91" s="4"/>
      <c r="G91" s="4" t="s">
        <v>750</v>
      </c>
      <c r="H91" s="4" t="s">
        <v>751</v>
      </c>
      <c r="I91" s="4" t="s">
        <v>752</v>
      </c>
      <c r="J91" s="4" t="s">
        <v>455</v>
      </c>
      <c r="K91" s="4"/>
      <c r="L91" s="4"/>
    </row>
    <row r="92" spans="1:12" ht="14.25" hidden="1" customHeight="1" x14ac:dyDescent="0.35">
      <c r="A92" s="4" t="s">
        <v>753</v>
      </c>
      <c r="B92" s="4" t="s">
        <v>451</v>
      </c>
      <c r="C92" s="18">
        <v>45412</v>
      </c>
      <c r="D92" s="4"/>
      <c r="E92" s="4">
        <v>0</v>
      </c>
      <c r="F92" s="4"/>
      <c r="G92" s="4" t="s">
        <v>466</v>
      </c>
      <c r="H92" s="4" t="s">
        <v>473</v>
      </c>
      <c r="I92" s="4" t="s">
        <v>754</v>
      </c>
      <c r="J92" s="4" t="s">
        <v>455</v>
      </c>
      <c r="K92" s="4"/>
      <c r="L92" s="4"/>
    </row>
    <row r="93" spans="1:12" ht="14.25" hidden="1" customHeight="1" x14ac:dyDescent="0.35">
      <c r="A93" s="4" t="s">
        <v>755</v>
      </c>
      <c r="B93" s="4" t="s">
        <v>451</v>
      </c>
      <c r="C93" s="18">
        <v>45413</v>
      </c>
      <c r="D93" s="4"/>
      <c r="E93" s="4">
        <v>0</v>
      </c>
      <c r="F93" s="4"/>
      <c r="G93" s="4" t="s">
        <v>756</v>
      </c>
      <c r="H93" s="4" t="s">
        <v>757</v>
      </c>
      <c r="I93" s="4" t="s">
        <v>758</v>
      </c>
      <c r="J93" s="4" t="s">
        <v>455</v>
      </c>
      <c r="K93" s="4"/>
      <c r="L93" s="4"/>
    </row>
    <row r="94" spans="1:12" ht="14.25" hidden="1" customHeight="1" x14ac:dyDescent="0.35">
      <c r="A94" s="4" t="s">
        <v>759</v>
      </c>
      <c r="B94" s="4" t="s">
        <v>479</v>
      </c>
      <c r="C94" s="18">
        <v>45414</v>
      </c>
      <c r="D94" s="4"/>
      <c r="E94" s="4">
        <v>1</v>
      </c>
      <c r="F94" s="4" t="s">
        <v>760</v>
      </c>
      <c r="G94" s="4" t="s">
        <v>761</v>
      </c>
      <c r="H94" s="4" t="s">
        <v>762</v>
      </c>
      <c r="I94" s="4" t="s">
        <v>763</v>
      </c>
      <c r="J94" s="4" t="s">
        <v>455</v>
      </c>
      <c r="K94" s="4" t="s">
        <v>469</v>
      </c>
      <c r="L94" s="4" t="s">
        <v>550</v>
      </c>
    </row>
    <row r="95" spans="1:12" ht="14.25" hidden="1" customHeight="1" x14ac:dyDescent="0.35">
      <c r="A95" s="4" t="s">
        <v>764</v>
      </c>
      <c r="B95" s="4" t="s">
        <v>451</v>
      </c>
      <c r="C95" s="18">
        <v>45415</v>
      </c>
      <c r="D95" s="4"/>
      <c r="E95" s="4">
        <v>1</v>
      </c>
      <c r="F95" s="4" t="s">
        <v>765</v>
      </c>
      <c r="G95" s="4" t="s">
        <v>461</v>
      </c>
      <c r="H95" s="4" t="s">
        <v>462</v>
      </c>
      <c r="I95" s="4" t="s">
        <v>766</v>
      </c>
      <c r="J95" s="4" t="s">
        <v>455</v>
      </c>
      <c r="K95" s="4" t="s">
        <v>469</v>
      </c>
      <c r="L95" s="4" t="s">
        <v>470</v>
      </c>
    </row>
    <row r="96" spans="1:12" ht="14.25" customHeight="1" x14ac:dyDescent="0.35">
      <c r="A96" s="3" t="s">
        <v>767</v>
      </c>
      <c r="B96" s="3" t="s">
        <v>479</v>
      </c>
      <c r="C96" s="19">
        <v>45989</v>
      </c>
      <c r="D96" s="3"/>
      <c r="E96" s="3">
        <v>1</v>
      </c>
      <c r="F96" s="3" t="s">
        <v>768</v>
      </c>
      <c r="G96" s="3" t="s">
        <v>769</v>
      </c>
      <c r="H96" s="3" t="s">
        <v>770</v>
      </c>
      <c r="I96" s="20" t="s">
        <v>771</v>
      </c>
      <c r="J96" s="3" t="s">
        <v>455</v>
      </c>
      <c r="K96" s="3" t="s">
        <v>505</v>
      </c>
      <c r="L96" s="3" t="s">
        <v>772</v>
      </c>
    </row>
    <row r="97" spans="1:12" ht="14.25" hidden="1" customHeight="1" x14ac:dyDescent="0.35">
      <c r="A97" s="4" t="s">
        <v>773</v>
      </c>
      <c r="B97" s="4" t="s">
        <v>451</v>
      </c>
      <c r="C97" s="18">
        <v>45418</v>
      </c>
      <c r="D97" s="4"/>
      <c r="E97" s="4">
        <v>0</v>
      </c>
      <c r="F97" s="4"/>
      <c r="G97" s="4" t="s">
        <v>461</v>
      </c>
      <c r="H97" s="4" t="s">
        <v>462</v>
      </c>
      <c r="I97" s="4" t="s">
        <v>774</v>
      </c>
      <c r="J97" s="4" t="s">
        <v>455</v>
      </c>
      <c r="K97" s="4"/>
      <c r="L97" s="4"/>
    </row>
    <row r="98" spans="1:12" ht="14.25" hidden="1" customHeight="1" x14ac:dyDescent="0.35">
      <c r="A98" s="4" t="s">
        <v>775</v>
      </c>
      <c r="B98" s="4" t="s">
        <v>451</v>
      </c>
      <c r="C98" s="18">
        <v>45418</v>
      </c>
      <c r="D98" s="4"/>
      <c r="E98" s="4">
        <v>0</v>
      </c>
      <c r="F98" s="4"/>
      <c r="G98" s="4" t="s">
        <v>776</v>
      </c>
      <c r="H98" s="4" t="s">
        <v>777</v>
      </c>
      <c r="I98" s="4" t="s">
        <v>778</v>
      </c>
      <c r="J98" s="4" t="s">
        <v>455</v>
      </c>
      <c r="K98" s="4"/>
      <c r="L98" s="4"/>
    </row>
    <row r="99" spans="1:12" ht="14.25" hidden="1" customHeight="1" x14ac:dyDescent="0.35">
      <c r="A99" s="4" t="s">
        <v>779</v>
      </c>
      <c r="B99" s="4" t="s">
        <v>451</v>
      </c>
      <c r="C99" s="18">
        <v>45418</v>
      </c>
      <c r="D99" s="4"/>
      <c r="E99" s="4">
        <v>1</v>
      </c>
      <c r="F99" s="4" t="s">
        <v>780</v>
      </c>
      <c r="G99" s="4" t="s">
        <v>461</v>
      </c>
      <c r="H99" s="4" t="s">
        <v>462</v>
      </c>
      <c r="I99" s="4" t="s">
        <v>781</v>
      </c>
      <c r="J99" s="4" t="s">
        <v>455</v>
      </c>
      <c r="K99" s="4" t="s">
        <v>469</v>
      </c>
      <c r="L99" s="4" t="s">
        <v>470</v>
      </c>
    </row>
    <row r="100" spans="1:12" ht="14.25" customHeight="1" x14ac:dyDescent="0.35">
      <c r="A100" s="3" t="s">
        <v>782</v>
      </c>
      <c r="B100" s="3" t="s">
        <v>500</v>
      </c>
      <c r="C100" s="19">
        <v>46118</v>
      </c>
      <c r="D100" s="19">
        <v>46174</v>
      </c>
      <c r="E100" s="3">
        <v>1</v>
      </c>
      <c r="F100" s="3" t="s">
        <v>783</v>
      </c>
      <c r="G100" s="3" t="s">
        <v>784</v>
      </c>
      <c r="H100" s="3" t="s">
        <v>785</v>
      </c>
      <c r="I100" s="3" t="s">
        <v>786</v>
      </c>
      <c r="J100" s="3" t="s">
        <v>455</v>
      </c>
      <c r="K100" s="3" t="s">
        <v>505</v>
      </c>
      <c r="L100" s="3" t="s">
        <v>787</v>
      </c>
    </row>
    <row r="101" spans="1:12" ht="14.25" hidden="1" customHeight="1" x14ac:dyDescent="0.35">
      <c r="A101" s="4" t="s">
        <v>788</v>
      </c>
      <c r="B101" s="4" t="s">
        <v>451</v>
      </c>
      <c r="C101" s="18">
        <v>45420</v>
      </c>
      <c r="D101" s="4"/>
      <c r="E101" s="4">
        <v>0</v>
      </c>
      <c r="F101" s="4"/>
      <c r="G101" s="4" t="s">
        <v>466</v>
      </c>
      <c r="H101" s="4" t="s">
        <v>473</v>
      </c>
      <c r="I101" s="4" t="s">
        <v>789</v>
      </c>
      <c r="J101" s="4" t="s">
        <v>455</v>
      </c>
      <c r="K101" s="4"/>
      <c r="L101" s="4"/>
    </row>
    <row r="102" spans="1:12" ht="14.25" customHeight="1" x14ac:dyDescent="0.35">
      <c r="A102" s="3" t="s">
        <v>790</v>
      </c>
      <c r="B102" s="3" t="s">
        <v>479</v>
      </c>
      <c r="C102" s="19">
        <v>46126</v>
      </c>
      <c r="D102" s="3"/>
      <c r="E102" s="3">
        <v>1</v>
      </c>
      <c r="F102" s="3" t="s">
        <v>791</v>
      </c>
      <c r="G102" s="3" t="s">
        <v>792</v>
      </c>
      <c r="H102" s="3" t="s">
        <v>793</v>
      </c>
      <c r="I102" s="3" t="s">
        <v>794</v>
      </c>
      <c r="J102" s="3" t="s">
        <v>455</v>
      </c>
      <c r="K102" s="3" t="s">
        <v>505</v>
      </c>
      <c r="L102" s="3" t="s">
        <v>795</v>
      </c>
    </row>
    <row r="103" spans="1:12" ht="14.25" hidden="1" customHeight="1" x14ac:dyDescent="0.35">
      <c r="A103" s="4" t="s">
        <v>796</v>
      </c>
      <c r="B103" s="4" t="s">
        <v>500</v>
      </c>
      <c r="C103" s="18">
        <v>45422</v>
      </c>
      <c r="D103" s="18">
        <v>45464</v>
      </c>
      <c r="E103" s="4">
        <v>0</v>
      </c>
      <c r="F103" s="4"/>
      <c r="G103" s="4" t="s">
        <v>797</v>
      </c>
      <c r="H103" s="4" t="s">
        <v>798</v>
      </c>
      <c r="I103" s="4" t="s">
        <v>799</v>
      </c>
      <c r="J103" s="4" t="s">
        <v>455</v>
      </c>
      <c r="K103" s="4"/>
      <c r="L103" s="4"/>
    </row>
    <row r="104" spans="1:12" ht="14.25" customHeight="1" x14ac:dyDescent="0.35">
      <c r="A104" s="3" t="s">
        <v>800</v>
      </c>
      <c r="B104" s="3" t="s">
        <v>500</v>
      </c>
      <c r="C104" s="19">
        <v>45397</v>
      </c>
      <c r="D104" s="19">
        <v>45447</v>
      </c>
      <c r="E104" s="3">
        <v>1</v>
      </c>
      <c r="F104" s="3" t="s">
        <v>801</v>
      </c>
      <c r="G104" s="3" t="s">
        <v>802</v>
      </c>
      <c r="H104" s="3" t="s">
        <v>803</v>
      </c>
      <c r="I104" s="3" t="s">
        <v>804</v>
      </c>
      <c r="J104" s="3" t="s">
        <v>455</v>
      </c>
      <c r="K104" s="3" t="s">
        <v>805</v>
      </c>
      <c r="L104" s="3" t="s">
        <v>806</v>
      </c>
    </row>
    <row r="105" spans="1:12" ht="14.25" hidden="1" customHeight="1" x14ac:dyDescent="0.35">
      <c r="A105" s="4" t="s">
        <v>807</v>
      </c>
      <c r="B105" s="4" t="s">
        <v>451</v>
      </c>
      <c r="C105" s="18">
        <v>45422</v>
      </c>
      <c r="D105" s="18">
        <v>45490</v>
      </c>
      <c r="E105" s="4">
        <v>0</v>
      </c>
      <c r="F105" s="4"/>
      <c r="G105" s="4" t="s">
        <v>808</v>
      </c>
      <c r="H105" s="4" t="s">
        <v>809</v>
      </c>
      <c r="I105" s="4" t="s">
        <v>810</v>
      </c>
      <c r="J105" s="4" t="s">
        <v>455</v>
      </c>
      <c r="K105" s="4"/>
      <c r="L105" s="4"/>
    </row>
    <row r="106" spans="1:12" ht="14.25" hidden="1" customHeight="1" x14ac:dyDescent="0.35">
      <c r="A106" s="4" t="s">
        <v>811</v>
      </c>
      <c r="B106" s="4" t="s">
        <v>451</v>
      </c>
      <c r="C106" s="18">
        <v>45422</v>
      </c>
      <c r="D106" s="4"/>
      <c r="E106" s="4">
        <v>0</v>
      </c>
      <c r="F106" s="4"/>
      <c r="G106" s="4" t="s">
        <v>466</v>
      </c>
      <c r="H106" s="4" t="s">
        <v>473</v>
      </c>
      <c r="I106" s="4" t="s">
        <v>812</v>
      </c>
      <c r="J106" s="4" t="s">
        <v>455</v>
      </c>
      <c r="K106" s="4"/>
      <c r="L106" s="4"/>
    </row>
    <row r="107" spans="1:12" ht="14.25" hidden="1" customHeight="1" x14ac:dyDescent="0.35">
      <c r="A107" s="4" t="s">
        <v>813</v>
      </c>
      <c r="B107" s="4" t="s">
        <v>451</v>
      </c>
      <c r="C107" s="18">
        <v>45422</v>
      </c>
      <c r="D107" s="4"/>
      <c r="E107" s="4">
        <v>1</v>
      </c>
      <c r="F107" s="4" t="s">
        <v>669</v>
      </c>
      <c r="G107" s="4" t="s">
        <v>461</v>
      </c>
      <c r="H107" s="4" t="s">
        <v>488</v>
      </c>
      <c r="I107" s="4" t="s">
        <v>814</v>
      </c>
      <c r="J107" s="4" t="s">
        <v>455</v>
      </c>
      <c r="K107" s="4" t="s">
        <v>469</v>
      </c>
      <c r="L107" s="4" t="s">
        <v>470</v>
      </c>
    </row>
    <row r="108" spans="1:12" ht="14.25" hidden="1" customHeight="1" x14ac:dyDescent="0.35">
      <c r="A108" s="4" t="s">
        <v>815</v>
      </c>
      <c r="B108" s="4" t="s">
        <v>500</v>
      </c>
      <c r="C108" s="18">
        <v>45425</v>
      </c>
      <c r="D108" s="18">
        <v>45516</v>
      </c>
      <c r="E108" s="4">
        <v>0</v>
      </c>
      <c r="F108" s="4"/>
      <c r="G108" s="4" t="s">
        <v>816</v>
      </c>
      <c r="H108" s="4" t="s">
        <v>817</v>
      </c>
      <c r="I108" s="4" t="s">
        <v>818</v>
      </c>
      <c r="J108" s="4" t="s">
        <v>455</v>
      </c>
      <c r="K108" s="4"/>
      <c r="L108" s="4"/>
    </row>
    <row r="109" spans="1:12" ht="14.25" hidden="1" customHeight="1" x14ac:dyDescent="0.35">
      <c r="A109" s="4" t="s">
        <v>819</v>
      </c>
      <c r="B109" s="4" t="s">
        <v>451</v>
      </c>
      <c r="C109" s="18">
        <v>45426</v>
      </c>
      <c r="D109" s="4"/>
      <c r="E109" s="4">
        <v>0</v>
      </c>
      <c r="F109" s="4"/>
      <c r="G109" s="4" t="s">
        <v>466</v>
      </c>
      <c r="H109" s="4" t="s">
        <v>473</v>
      </c>
      <c r="I109" s="4" t="s">
        <v>820</v>
      </c>
      <c r="J109" s="4" t="s">
        <v>455</v>
      </c>
      <c r="K109" s="4"/>
      <c r="L109" s="4"/>
    </row>
    <row r="110" spans="1:12" ht="14.25" hidden="1" customHeight="1" x14ac:dyDescent="0.35">
      <c r="A110" s="4" t="s">
        <v>821</v>
      </c>
      <c r="B110" s="4" t="s">
        <v>451</v>
      </c>
      <c r="C110" s="18">
        <v>45426</v>
      </c>
      <c r="D110" s="4"/>
      <c r="E110" s="4">
        <v>0</v>
      </c>
      <c r="F110" s="4"/>
      <c r="G110" s="4" t="s">
        <v>461</v>
      </c>
      <c r="H110" s="4" t="s">
        <v>488</v>
      </c>
      <c r="I110" s="4" t="s">
        <v>822</v>
      </c>
      <c r="J110" s="4" t="s">
        <v>455</v>
      </c>
      <c r="K110" s="4"/>
      <c r="L110" s="4"/>
    </row>
    <row r="111" spans="1:12" ht="14.25" hidden="1" customHeight="1" x14ac:dyDescent="0.35">
      <c r="A111" s="4" t="s">
        <v>823</v>
      </c>
      <c r="B111" s="4" t="s">
        <v>451</v>
      </c>
      <c r="C111" s="18">
        <v>45428</v>
      </c>
      <c r="D111" s="4"/>
      <c r="E111" s="4">
        <v>0</v>
      </c>
      <c r="F111" s="4"/>
      <c r="G111" s="4" t="s">
        <v>461</v>
      </c>
      <c r="H111" s="4" t="s">
        <v>462</v>
      </c>
      <c r="I111" s="4" t="s">
        <v>824</v>
      </c>
      <c r="J111" s="4" t="s">
        <v>455</v>
      </c>
      <c r="K111" s="4"/>
      <c r="L111" s="4"/>
    </row>
    <row r="112" spans="1:12" ht="14.25" hidden="1" customHeight="1" x14ac:dyDescent="0.35">
      <c r="A112" s="4" t="s">
        <v>825</v>
      </c>
      <c r="B112" s="4" t="s">
        <v>451</v>
      </c>
      <c r="C112" s="18">
        <v>45428</v>
      </c>
      <c r="D112" s="4"/>
      <c r="E112" s="4">
        <v>0</v>
      </c>
      <c r="F112" s="4"/>
      <c r="G112" s="4" t="s">
        <v>466</v>
      </c>
      <c r="H112" s="4" t="s">
        <v>467</v>
      </c>
      <c r="I112" s="4" t="s">
        <v>826</v>
      </c>
      <c r="J112" s="4" t="s">
        <v>455</v>
      </c>
      <c r="K112" s="4"/>
      <c r="L112" s="4"/>
    </row>
    <row r="113" spans="1:12" ht="14.25" hidden="1" customHeight="1" x14ac:dyDescent="0.35">
      <c r="A113" s="4" t="s">
        <v>827</v>
      </c>
      <c r="B113" s="4" t="s">
        <v>479</v>
      </c>
      <c r="C113" s="18">
        <v>45429</v>
      </c>
      <c r="D113" s="4"/>
      <c r="E113" s="4">
        <v>1</v>
      </c>
      <c r="F113" s="4" t="s">
        <v>828</v>
      </c>
      <c r="G113" s="4" t="s">
        <v>829</v>
      </c>
      <c r="H113" s="4" t="s">
        <v>830</v>
      </c>
      <c r="I113" s="4" t="s">
        <v>831</v>
      </c>
      <c r="J113" s="4" t="s">
        <v>455</v>
      </c>
      <c r="K113" s="4" t="s">
        <v>469</v>
      </c>
      <c r="L113" s="4" t="s">
        <v>550</v>
      </c>
    </row>
    <row r="114" spans="1:12" ht="14.25" hidden="1" customHeight="1" x14ac:dyDescent="0.35">
      <c r="A114" s="4" t="s">
        <v>832</v>
      </c>
      <c r="B114" s="4" t="s">
        <v>451</v>
      </c>
      <c r="C114" s="18">
        <v>45429</v>
      </c>
      <c r="D114" s="4"/>
      <c r="E114" s="4">
        <v>0</v>
      </c>
      <c r="F114" s="4"/>
      <c r="G114" s="4" t="s">
        <v>461</v>
      </c>
      <c r="H114" s="4" t="s">
        <v>488</v>
      </c>
      <c r="I114" s="4" t="s">
        <v>833</v>
      </c>
      <c r="J114" s="4" t="s">
        <v>455</v>
      </c>
      <c r="K114" s="4"/>
      <c r="L114" s="4"/>
    </row>
    <row r="115" spans="1:12" ht="14.25" hidden="1" customHeight="1" x14ac:dyDescent="0.35">
      <c r="A115" s="4" t="s">
        <v>834</v>
      </c>
      <c r="B115" s="4" t="s">
        <v>451</v>
      </c>
      <c r="C115" s="18">
        <v>45433</v>
      </c>
      <c r="D115" s="4"/>
      <c r="E115" s="4">
        <v>0</v>
      </c>
      <c r="F115" s="4"/>
      <c r="G115" s="4" t="s">
        <v>461</v>
      </c>
      <c r="H115" s="4" t="s">
        <v>488</v>
      </c>
      <c r="I115" s="4" t="s">
        <v>835</v>
      </c>
      <c r="J115" s="4" t="s">
        <v>455</v>
      </c>
      <c r="K115" s="4"/>
      <c r="L115" s="4"/>
    </row>
    <row r="116" spans="1:12" ht="14.25" hidden="1" customHeight="1" x14ac:dyDescent="0.35">
      <c r="A116" s="4" t="s">
        <v>836</v>
      </c>
      <c r="B116" s="4" t="s">
        <v>451</v>
      </c>
      <c r="C116" s="18">
        <v>45433</v>
      </c>
      <c r="D116" s="4"/>
      <c r="E116" s="4">
        <v>0</v>
      </c>
      <c r="F116" s="4"/>
      <c r="G116" s="4" t="s">
        <v>461</v>
      </c>
      <c r="H116" s="4" t="s">
        <v>462</v>
      </c>
      <c r="I116" s="4" t="s">
        <v>837</v>
      </c>
      <c r="J116" s="4" t="s">
        <v>455</v>
      </c>
      <c r="K116" s="4"/>
      <c r="L116" s="4"/>
    </row>
    <row r="117" spans="1:12" ht="14.25" hidden="1" customHeight="1" x14ac:dyDescent="0.35">
      <c r="A117" s="4" t="s">
        <v>838</v>
      </c>
      <c r="B117" s="4" t="s">
        <v>451</v>
      </c>
      <c r="C117" s="18">
        <v>45435</v>
      </c>
      <c r="D117" s="4"/>
      <c r="E117" s="4">
        <v>0</v>
      </c>
      <c r="F117" s="4"/>
      <c r="G117" s="4" t="s">
        <v>466</v>
      </c>
      <c r="H117" s="4" t="s">
        <v>473</v>
      </c>
      <c r="I117" s="4" t="s">
        <v>839</v>
      </c>
      <c r="J117" s="4" t="s">
        <v>455</v>
      </c>
      <c r="K117" s="4"/>
      <c r="L117" s="4"/>
    </row>
    <row r="118" spans="1:12" ht="14.25" hidden="1" customHeight="1" x14ac:dyDescent="0.35">
      <c r="A118" s="4" t="s">
        <v>840</v>
      </c>
      <c r="B118" s="4" t="s">
        <v>451</v>
      </c>
      <c r="C118" s="18">
        <v>45435</v>
      </c>
      <c r="D118" s="4"/>
      <c r="E118" s="4">
        <v>0</v>
      </c>
      <c r="F118" s="4"/>
      <c r="G118" s="4" t="s">
        <v>841</v>
      </c>
      <c r="H118" s="4" t="s">
        <v>842</v>
      </c>
      <c r="I118" s="4" t="s">
        <v>843</v>
      </c>
      <c r="J118" s="4" t="s">
        <v>455</v>
      </c>
      <c r="K118" s="4"/>
      <c r="L118" s="4"/>
    </row>
    <row r="119" spans="1:12" ht="14.25" hidden="1" customHeight="1" x14ac:dyDescent="0.35">
      <c r="A119" s="4" t="s">
        <v>844</v>
      </c>
      <c r="B119" s="4" t="s">
        <v>451</v>
      </c>
      <c r="C119" s="18">
        <v>45436</v>
      </c>
      <c r="D119" s="4"/>
      <c r="E119" s="4">
        <v>1</v>
      </c>
      <c r="F119" s="4" t="s">
        <v>845</v>
      </c>
      <c r="G119" s="4" t="s">
        <v>466</v>
      </c>
      <c r="H119" s="4" t="s">
        <v>467</v>
      </c>
      <c r="I119" s="4" t="s">
        <v>846</v>
      </c>
      <c r="J119" s="4" t="s">
        <v>455</v>
      </c>
      <c r="K119" s="4" t="s">
        <v>469</v>
      </c>
      <c r="L119" s="4" t="s">
        <v>470</v>
      </c>
    </row>
    <row r="120" spans="1:12" ht="14.25" hidden="1" customHeight="1" x14ac:dyDescent="0.35">
      <c r="A120" s="4" t="s">
        <v>847</v>
      </c>
      <c r="B120" s="4" t="s">
        <v>451</v>
      </c>
      <c r="C120" s="18">
        <v>45436</v>
      </c>
      <c r="D120" s="4"/>
      <c r="E120" s="4">
        <v>0</v>
      </c>
      <c r="F120" s="4"/>
      <c r="G120" s="4" t="s">
        <v>848</v>
      </c>
      <c r="H120" s="4" t="s">
        <v>849</v>
      </c>
      <c r="I120" s="4" t="s">
        <v>850</v>
      </c>
      <c r="J120" s="4" t="s">
        <v>455</v>
      </c>
      <c r="K120" s="4"/>
      <c r="L120" s="4"/>
    </row>
    <row r="121" spans="1:12" ht="14.25" hidden="1" customHeight="1" x14ac:dyDescent="0.35">
      <c r="A121" s="4" t="s">
        <v>851</v>
      </c>
      <c r="B121" s="4" t="s">
        <v>451</v>
      </c>
      <c r="C121" s="18">
        <v>45436</v>
      </c>
      <c r="D121" s="4"/>
      <c r="E121" s="4">
        <v>0</v>
      </c>
      <c r="F121" s="4"/>
      <c r="G121" s="4" t="s">
        <v>852</v>
      </c>
      <c r="H121" s="4" t="s">
        <v>635</v>
      </c>
      <c r="I121" s="4" t="s">
        <v>853</v>
      </c>
      <c r="J121" s="4" t="s">
        <v>455</v>
      </c>
      <c r="K121" s="4"/>
      <c r="L121" s="4"/>
    </row>
    <row r="122" spans="1:12" ht="14.25" hidden="1" customHeight="1" x14ac:dyDescent="0.35">
      <c r="A122" s="4" t="s">
        <v>854</v>
      </c>
      <c r="B122" s="4" t="s">
        <v>451</v>
      </c>
      <c r="C122" s="18">
        <v>45440</v>
      </c>
      <c r="D122" s="4"/>
      <c r="E122" s="4">
        <v>1</v>
      </c>
      <c r="F122" s="4" t="s">
        <v>855</v>
      </c>
      <c r="G122" s="4" t="s">
        <v>466</v>
      </c>
      <c r="H122" s="4" t="s">
        <v>473</v>
      </c>
      <c r="I122" s="4" t="s">
        <v>856</v>
      </c>
      <c r="J122" s="4" t="s">
        <v>455</v>
      </c>
      <c r="K122" s="4" t="s">
        <v>469</v>
      </c>
      <c r="L122" s="4" t="s">
        <v>470</v>
      </c>
    </row>
    <row r="123" spans="1:12" ht="14.25" hidden="1" customHeight="1" x14ac:dyDescent="0.35">
      <c r="A123" s="4" t="s">
        <v>857</v>
      </c>
      <c r="B123" s="4" t="s">
        <v>451</v>
      </c>
      <c r="C123" s="18">
        <v>45441</v>
      </c>
      <c r="D123" s="4"/>
      <c r="E123" s="4">
        <v>0</v>
      </c>
      <c r="F123" s="4"/>
      <c r="G123" s="4" t="s">
        <v>466</v>
      </c>
      <c r="H123" s="4" t="s">
        <v>473</v>
      </c>
      <c r="I123" s="4" t="s">
        <v>858</v>
      </c>
      <c r="J123" s="4" t="s">
        <v>455</v>
      </c>
      <c r="K123" s="4"/>
      <c r="L123" s="4"/>
    </row>
    <row r="124" spans="1:12" ht="14.25" hidden="1" customHeight="1" x14ac:dyDescent="0.35">
      <c r="A124" s="4" t="s">
        <v>859</v>
      </c>
      <c r="B124" s="4" t="s">
        <v>451</v>
      </c>
      <c r="C124" s="18">
        <v>45443</v>
      </c>
      <c r="D124" s="4"/>
      <c r="E124" s="4">
        <v>0</v>
      </c>
      <c r="F124" s="4"/>
      <c r="G124" s="4" t="s">
        <v>466</v>
      </c>
      <c r="H124" s="4" t="s">
        <v>467</v>
      </c>
      <c r="I124" s="4" t="s">
        <v>860</v>
      </c>
      <c r="J124" s="4" t="s">
        <v>455</v>
      </c>
      <c r="K124" s="4"/>
      <c r="L124" s="4"/>
    </row>
    <row r="125" spans="1:12" ht="14.25" hidden="1" customHeight="1" x14ac:dyDescent="0.35">
      <c r="A125" s="4" t="s">
        <v>861</v>
      </c>
      <c r="B125" s="4" t="s">
        <v>451</v>
      </c>
      <c r="C125" s="18">
        <v>45446</v>
      </c>
      <c r="D125" s="4"/>
      <c r="E125" s="4">
        <v>1</v>
      </c>
      <c r="F125" s="4" t="s">
        <v>491</v>
      </c>
      <c r="G125" s="4" t="s">
        <v>466</v>
      </c>
      <c r="H125" s="4" t="s">
        <v>467</v>
      </c>
      <c r="I125" s="4" t="s">
        <v>862</v>
      </c>
      <c r="J125" s="4" t="s">
        <v>455</v>
      </c>
      <c r="K125" s="4" t="s">
        <v>469</v>
      </c>
      <c r="L125" s="4" t="s">
        <v>470</v>
      </c>
    </row>
    <row r="126" spans="1:12" ht="14.25" hidden="1" customHeight="1" x14ac:dyDescent="0.35">
      <c r="A126" s="4" t="s">
        <v>863</v>
      </c>
      <c r="B126" s="4" t="s">
        <v>451</v>
      </c>
      <c r="C126" s="18">
        <v>45447</v>
      </c>
      <c r="D126" s="4"/>
      <c r="E126" s="4">
        <v>0</v>
      </c>
      <c r="F126" s="4"/>
      <c r="G126" s="4" t="s">
        <v>461</v>
      </c>
      <c r="H126" s="4" t="s">
        <v>462</v>
      </c>
      <c r="I126" s="4" t="s">
        <v>864</v>
      </c>
      <c r="J126" s="4" t="s">
        <v>455</v>
      </c>
      <c r="K126" s="4"/>
      <c r="L126" s="4"/>
    </row>
    <row r="127" spans="1:12" ht="14.25" hidden="1" customHeight="1" x14ac:dyDescent="0.35">
      <c r="A127" s="4" t="s">
        <v>865</v>
      </c>
      <c r="B127" s="4" t="s">
        <v>479</v>
      </c>
      <c r="C127" s="18">
        <v>45447</v>
      </c>
      <c r="D127" s="4"/>
      <c r="E127" s="4">
        <v>0</v>
      </c>
      <c r="F127" s="4"/>
      <c r="G127" s="4" t="s">
        <v>866</v>
      </c>
      <c r="H127" s="4" t="s">
        <v>867</v>
      </c>
      <c r="I127" s="4" t="s">
        <v>868</v>
      </c>
      <c r="J127" s="4" t="s">
        <v>455</v>
      </c>
      <c r="K127" s="4"/>
      <c r="L127" s="4"/>
    </row>
    <row r="128" spans="1:12" ht="14.25" hidden="1" customHeight="1" x14ac:dyDescent="0.35">
      <c r="A128" s="4" t="s">
        <v>869</v>
      </c>
      <c r="B128" s="4" t="s">
        <v>451</v>
      </c>
      <c r="C128" s="18">
        <v>45450</v>
      </c>
      <c r="D128" s="4"/>
      <c r="E128" s="4">
        <v>0</v>
      </c>
      <c r="F128" s="4"/>
      <c r="G128" s="4" t="s">
        <v>870</v>
      </c>
      <c r="H128" s="4" t="s">
        <v>871</v>
      </c>
      <c r="I128" s="4" t="s">
        <v>872</v>
      </c>
      <c r="J128" s="4" t="s">
        <v>455</v>
      </c>
      <c r="K128" s="4"/>
      <c r="L128" s="4"/>
    </row>
    <row r="129" spans="1:12" ht="14.25" hidden="1" customHeight="1" x14ac:dyDescent="0.35">
      <c r="A129" s="4" t="s">
        <v>873</v>
      </c>
      <c r="B129" s="4" t="s">
        <v>451</v>
      </c>
      <c r="C129" s="18">
        <v>45453</v>
      </c>
      <c r="D129" s="4"/>
      <c r="E129" s="4">
        <v>1</v>
      </c>
      <c r="F129" s="4" t="s">
        <v>531</v>
      </c>
      <c r="G129" s="4" t="s">
        <v>461</v>
      </c>
      <c r="H129" s="4" t="s">
        <v>488</v>
      </c>
      <c r="I129" s="4" t="s">
        <v>874</v>
      </c>
      <c r="J129" s="4" t="s">
        <v>455</v>
      </c>
      <c r="K129" s="4" t="s">
        <v>469</v>
      </c>
      <c r="L129" s="4" t="s">
        <v>470</v>
      </c>
    </row>
    <row r="130" spans="1:12" ht="14.25" hidden="1" customHeight="1" x14ac:dyDescent="0.35">
      <c r="A130" s="4" t="s">
        <v>875</v>
      </c>
      <c r="B130" s="4" t="s">
        <v>451</v>
      </c>
      <c r="C130" s="18">
        <v>45453</v>
      </c>
      <c r="D130" s="4"/>
      <c r="E130" s="4">
        <v>1</v>
      </c>
      <c r="F130" s="4" t="s">
        <v>876</v>
      </c>
      <c r="G130" s="4" t="s">
        <v>466</v>
      </c>
      <c r="H130" s="4" t="s">
        <v>467</v>
      </c>
      <c r="I130" s="4" t="s">
        <v>877</v>
      </c>
      <c r="J130" s="4" t="s">
        <v>455</v>
      </c>
      <c r="K130" s="4" t="s">
        <v>469</v>
      </c>
      <c r="L130" s="4" t="s">
        <v>470</v>
      </c>
    </row>
    <row r="131" spans="1:12" ht="14.25" hidden="1" customHeight="1" x14ac:dyDescent="0.35">
      <c r="A131" s="4" t="s">
        <v>878</v>
      </c>
      <c r="B131" s="4" t="s">
        <v>451</v>
      </c>
      <c r="C131" s="18">
        <v>45453</v>
      </c>
      <c r="D131" s="4"/>
      <c r="E131" s="4">
        <v>0</v>
      </c>
      <c r="F131" s="4"/>
      <c r="G131" s="4" t="s">
        <v>461</v>
      </c>
      <c r="H131" s="4" t="s">
        <v>462</v>
      </c>
      <c r="I131" s="4" t="s">
        <v>879</v>
      </c>
      <c r="J131" s="4" t="s">
        <v>455</v>
      </c>
      <c r="K131" s="4"/>
      <c r="L131" s="4"/>
    </row>
    <row r="132" spans="1:12" ht="14.25" hidden="1" customHeight="1" x14ac:dyDescent="0.35">
      <c r="A132" s="4" t="s">
        <v>880</v>
      </c>
      <c r="B132" s="4" t="s">
        <v>451</v>
      </c>
      <c r="C132" s="18">
        <v>45454</v>
      </c>
      <c r="D132" s="4"/>
      <c r="E132" s="4">
        <v>0</v>
      </c>
      <c r="F132" s="4"/>
      <c r="G132" s="4" t="s">
        <v>466</v>
      </c>
      <c r="H132" s="4" t="s">
        <v>467</v>
      </c>
      <c r="I132" s="4" t="s">
        <v>881</v>
      </c>
      <c r="J132" s="4" t="s">
        <v>455</v>
      </c>
      <c r="K132" s="4"/>
      <c r="L132" s="4"/>
    </row>
    <row r="133" spans="1:12" ht="14.25" hidden="1" customHeight="1" x14ac:dyDescent="0.35">
      <c r="A133" s="4" t="s">
        <v>882</v>
      </c>
      <c r="B133" s="4" t="s">
        <v>451</v>
      </c>
      <c r="C133" s="18">
        <v>45456</v>
      </c>
      <c r="D133" s="4"/>
      <c r="E133" s="4">
        <v>0</v>
      </c>
      <c r="F133" s="4"/>
      <c r="G133" s="4" t="s">
        <v>883</v>
      </c>
      <c r="H133" s="4" t="s">
        <v>884</v>
      </c>
      <c r="I133" s="4" t="s">
        <v>885</v>
      </c>
      <c r="J133" s="4" t="s">
        <v>455</v>
      </c>
      <c r="K133" s="4"/>
      <c r="L133" s="4"/>
    </row>
    <row r="134" spans="1:12" ht="14.25" hidden="1" customHeight="1" x14ac:dyDescent="0.35">
      <c r="A134" s="4" t="s">
        <v>886</v>
      </c>
      <c r="B134" s="4" t="s">
        <v>451</v>
      </c>
      <c r="C134" s="18">
        <v>45456</v>
      </c>
      <c r="D134" s="4"/>
      <c r="E134" s="4">
        <v>0</v>
      </c>
      <c r="F134" s="4"/>
      <c r="G134" s="4" t="s">
        <v>887</v>
      </c>
      <c r="H134" s="4" t="s">
        <v>888</v>
      </c>
      <c r="I134" s="4" t="s">
        <v>889</v>
      </c>
      <c r="J134" s="4" t="s">
        <v>455</v>
      </c>
      <c r="K134" s="4"/>
      <c r="L134" s="4"/>
    </row>
    <row r="135" spans="1:12" ht="14.25" hidden="1" customHeight="1" x14ac:dyDescent="0.35">
      <c r="A135" s="4" t="s">
        <v>890</v>
      </c>
      <c r="B135" s="4" t="s">
        <v>451</v>
      </c>
      <c r="C135" s="18">
        <v>45456</v>
      </c>
      <c r="D135" s="4"/>
      <c r="E135" s="4">
        <v>0</v>
      </c>
      <c r="F135" s="4"/>
      <c r="G135" s="4" t="s">
        <v>461</v>
      </c>
      <c r="H135" s="4" t="s">
        <v>488</v>
      </c>
      <c r="I135" s="4" t="s">
        <v>891</v>
      </c>
      <c r="J135" s="4" t="s">
        <v>455</v>
      </c>
      <c r="K135" s="4"/>
      <c r="L135" s="4"/>
    </row>
    <row r="136" spans="1:12" ht="14.25" hidden="1" customHeight="1" x14ac:dyDescent="0.35">
      <c r="A136" s="4" t="s">
        <v>892</v>
      </c>
      <c r="B136" s="4" t="s">
        <v>451</v>
      </c>
      <c r="C136" s="18">
        <v>45456</v>
      </c>
      <c r="D136" s="4"/>
      <c r="E136" s="4">
        <v>0</v>
      </c>
      <c r="F136" s="4"/>
      <c r="G136" s="4" t="s">
        <v>461</v>
      </c>
      <c r="H136" s="4" t="s">
        <v>521</v>
      </c>
      <c r="I136" s="4" t="s">
        <v>893</v>
      </c>
      <c r="J136" s="4" t="s">
        <v>455</v>
      </c>
      <c r="K136" s="4"/>
      <c r="L136" s="4"/>
    </row>
    <row r="137" spans="1:12" ht="14.25" hidden="1" customHeight="1" x14ac:dyDescent="0.35">
      <c r="A137" s="4" t="s">
        <v>894</v>
      </c>
      <c r="B137" s="4" t="s">
        <v>451</v>
      </c>
      <c r="C137" s="18">
        <v>45457</v>
      </c>
      <c r="D137" s="4"/>
      <c r="E137" s="4">
        <v>0</v>
      </c>
      <c r="F137" s="4"/>
      <c r="G137" s="4" t="s">
        <v>466</v>
      </c>
      <c r="H137" s="4" t="s">
        <v>473</v>
      </c>
      <c r="I137" s="4" t="s">
        <v>895</v>
      </c>
      <c r="J137" s="4" t="s">
        <v>455</v>
      </c>
      <c r="K137" s="4"/>
      <c r="L137" s="4"/>
    </row>
    <row r="138" spans="1:12" ht="14.25" hidden="1" customHeight="1" x14ac:dyDescent="0.35">
      <c r="A138" s="4" t="s">
        <v>896</v>
      </c>
      <c r="B138" s="4" t="s">
        <v>451</v>
      </c>
      <c r="C138" s="18">
        <v>45457</v>
      </c>
      <c r="D138" s="4"/>
      <c r="E138" s="4">
        <v>0</v>
      </c>
      <c r="F138" s="4"/>
      <c r="G138" s="4" t="s">
        <v>461</v>
      </c>
      <c r="H138" s="4" t="s">
        <v>488</v>
      </c>
      <c r="I138" s="4" t="s">
        <v>897</v>
      </c>
      <c r="J138" s="4" t="s">
        <v>455</v>
      </c>
      <c r="K138" s="4"/>
      <c r="L138" s="4"/>
    </row>
    <row r="139" spans="1:12" ht="14.25" hidden="1" customHeight="1" x14ac:dyDescent="0.35">
      <c r="A139" s="4" t="s">
        <v>898</v>
      </c>
      <c r="B139" s="4" t="s">
        <v>451</v>
      </c>
      <c r="C139" s="18">
        <v>45457</v>
      </c>
      <c r="D139" s="4"/>
      <c r="E139" s="4">
        <v>0</v>
      </c>
      <c r="F139" s="4"/>
      <c r="G139" s="4" t="s">
        <v>461</v>
      </c>
      <c r="H139" s="4" t="s">
        <v>462</v>
      </c>
      <c r="I139" s="4" t="s">
        <v>899</v>
      </c>
      <c r="J139" s="4" t="s">
        <v>455</v>
      </c>
      <c r="K139" s="4"/>
      <c r="L139" s="4"/>
    </row>
    <row r="140" spans="1:12" ht="14.25" hidden="1" customHeight="1" x14ac:dyDescent="0.35">
      <c r="A140" s="4" t="s">
        <v>900</v>
      </c>
      <c r="B140" s="4" t="s">
        <v>451</v>
      </c>
      <c r="C140" s="18">
        <v>45457</v>
      </c>
      <c r="D140" s="4"/>
      <c r="E140" s="4">
        <v>0</v>
      </c>
      <c r="F140" s="4"/>
      <c r="G140" s="4" t="s">
        <v>466</v>
      </c>
      <c r="H140" s="4" t="s">
        <v>467</v>
      </c>
      <c r="I140" s="4" t="s">
        <v>901</v>
      </c>
      <c r="J140" s="4" t="s">
        <v>455</v>
      </c>
      <c r="K140" s="4"/>
      <c r="L140" s="4"/>
    </row>
    <row r="141" spans="1:12" ht="14.25" customHeight="1" x14ac:dyDescent="0.35">
      <c r="A141" s="3" t="s">
        <v>902</v>
      </c>
      <c r="B141" s="3" t="s">
        <v>500</v>
      </c>
      <c r="C141" s="19">
        <v>45418</v>
      </c>
      <c r="D141" s="19">
        <v>45478</v>
      </c>
      <c r="E141" s="3">
        <v>1</v>
      </c>
      <c r="F141" s="3" t="s">
        <v>903</v>
      </c>
      <c r="G141" s="3" t="s">
        <v>904</v>
      </c>
      <c r="H141" s="3" t="s">
        <v>905</v>
      </c>
      <c r="I141" s="3" t="s">
        <v>906</v>
      </c>
      <c r="J141" s="3" t="s">
        <v>455</v>
      </c>
      <c r="K141" s="3" t="s">
        <v>805</v>
      </c>
      <c r="L141" s="3" t="s">
        <v>907</v>
      </c>
    </row>
    <row r="142" spans="1:12" ht="14.25" hidden="1" customHeight="1" x14ac:dyDescent="0.35">
      <c r="A142" s="4" t="s">
        <v>908</v>
      </c>
      <c r="B142" s="4" t="s">
        <v>451</v>
      </c>
      <c r="C142" s="18">
        <v>45467</v>
      </c>
      <c r="D142" s="4"/>
      <c r="E142" s="4">
        <v>0</v>
      </c>
      <c r="F142" s="4"/>
      <c r="G142" s="4" t="s">
        <v>909</v>
      </c>
      <c r="H142" s="4" t="s">
        <v>910</v>
      </c>
      <c r="I142" s="4" t="s">
        <v>911</v>
      </c>
      <c r="J142" s="4" t="s">
        <v>455</v>
      </c>
      <c r="K142" s="4"/>
      <c r="L142" s="4"/>
    </row>
    <row r="143" spans="1:12" ht="14.25" hidden="1" customHeight="1" x14ac:dyDescent="0.35">
      <c r="A143" s="4" t="s">
        <v>912</v>
      </c>
      <c r="B143" s="4" t="s">
        <v>500</v>
      </c>
      <c r="C143" s="18">
        <v>45467</v>
      </c>
      <c r="D143" s="18">
        <v>45482</v>
      </c>
      <c r="E143" s="4">
        <v>0</v>
      </c>
      <c r="F143" s="4"/>
      <c r="G143" s="4" t="s">
        <v>913</v>
      </c>
      <c r="H143" s="4" t="s">
        <v>914</v>
      </c>
      <c r="I143" s="4" t="s">
        <v>915</v>
      </c>
      <c r="J143" s="4" t="s">
        <v>455</v>
      </c>
      <c r="K143" s="4"/>
      <c r="L143" s="4"/>
    </row>
    <row r="144" spans="1:12" ht="14.25" hidden="1" customHeight="1" x14ac:dyDescent="0.35">
      <c r="A144" s="4" t="s">
        <v>916</v>
      </c>
      <c r="B144" s="4" t="s">
        <v>500</v>
      </c>
      <c r="C144" s="18">
        <v>45467</v>
      </c>
      <c r="D144" s="18">
        <v>45464</v>
      </c>
      <c r="E144" s="4">
        <v>0</v>
      </c>
      <c r="F144" s="4"/>
      <c r="G144" s="4" t="s">
        <v>917</v>
      </c>
      <c r="H144" s="4" t="s">
        <v>918</v>
      </c>
      <c r="I144" s="4" t="s">
        <v>919</v>
      </c>
      <c r="J144" s="4" t="s">
        <v>455</v>
      </c>
      <c r="K144" s="4"/>
      <c r="L144" s="4"/>
    </row>
    <row r="145" spans="1:12" ht="14.25" hidden="1" customHeight="1" x14ac:dyDescent="0.35">
      <c r="A145" s="4" t="s">
        <v>920</v>
      </c>
      <c r="B145" s="4" t="s">
        <v>451</v>
      </c>
      <c r="C145" s="18">
        <v>45468</v>
      </c>
      <c r="D145" s="4"/>
      <c r="E145" s="4">
        <v>1</v>
      </c>
      <c r="F145" s="4" t="s">
        <v>921</v>
      </c>
      <c r="G145" s="4" t="s">
        <v>466</v>
      </c>
      <c r="H145" s="4" t="s">
        <v>473</v>
      </c>
      <c r="I145" s="4" t="s">
        <v>922</v>
      </c>
      <c r="J145" s="4" t="s">
        <v>455</v>
      </c>
      <c r="K145" s="4" t="s">
        <v>469</v>
      </c>
      <c r="L145" s="4" t="s">
        <v>470</v>
      </c>
    </row>
    <row r="146" spans="1:12" ht="14.25" hidden="1" customHeight="1" x14ac:dyDescent="0.35">
      <c r="A146" s="4" t="s">
        <v>923</v>
      </c>
      <c r="B146" s="4" t="s">
        <v>451</v>
      </c>
      <c r="C146" s="18">
        <v>45468</v>
      </c>
      <c r="D146" s="4"/>
      <c r="E146" s="4">
        <v>0</v>
      </c>
      <c r="F146" s="4"/>
      <c r="G146" s="4" t="s">
        <v>461</v>
      </c>
      <c r="H146" s="4" t="s">
        <v>488</v>
      </c>
      <c r="I146" s="4" t="s">
        <v>924</v>
      </c>
      <c r="J146" s="4" t="s">
        <v>455</v>
      </c>
      <c r="K146" s="4"/>
      <c r="L146" s="4"/>
    </row>
    <row r="147" spans="1:12" ht="14.25" hidden="1" customHeight="1" x14ac:dyDescent="0.35">
      <c r="A147" s="4" t="s">
        <v>925</v>
      </c>
      <c r="B147" s="4" t="s">
        <v>500</v>
      </c>
      <c r="C147" s="18">
        <v>45470</v>
      </c>
      <c r="D147" s="18">
        <v>45482</v>
      </c>
      <c r="E147" s="4">
        <v>0</v>
      </c>
      <c r="F147" s="4"/>
      <c r="G147" s="4" t="s">
        <v>926</v>
      </c>
      <c r="H147" s="4" t="s">
        <v>927</v>
      </c>
      <c r="I147" s="4" t="s">
        <v>928</v>
      </c>
      <c r="J147" s="4" t="s">
        <v>455</v>
      </c>
      <c r="K147" s="4"/>
      <c r="L147" s="4"/>
    </row>
    <row r="148" spans="1:12" ht="14.25" hidden="1" customHeight="1" x14ac:dyDescent="0.35">
      <c r="A148" s="4" t="s">
        <v>929</v>
      </c>
      <c r="B148" s="4" t="s">
        <v>451</v>
      </c>
      <c r="C148" s="18">
        <v>45470</v>
      </c>
      <c r="D148" s="4"/>
      <c r="E148" s="4">
        <v>0</v>
      </c>
      <c r="F148" s="4"/>
      <c r="G148" s="4" t="s">
        <v>461</v>
      </c>
      <c r="H148" s="4" t="s">
        <v>462</v>
      </c>
      <c r="I148" s="4" t="s">
        <v>930</v>
      </c>
      <c r="J148" s="4" t="s">
        <v>455</v>
      </c>
      <c r="K148" s="4"/>
      <c r="L148" s="4"/>
    </row>
    <row r="149" spans="1:12" ht="14.25" hidden="1" customHeight="1" x14ac:dyDescent="0.35">
      <c r="A149" s="4" t="s">
        <v>931</v>
      </c>
      <c r="B149" s="4" t="s">
        <v>451</v>
      </c>
      <c r="C149" s="18">
        <v>45470</v>
      </c>
      <c r="D149" s="4"/>
      <c r="E149" s="4">
        <v>0</v>
      </c>
      <c r="F149" s="4"/>
      <c r="G149" s="4" t="s">
        <v>932</v>
      </c>
      <c r="H149" s="4" t="s">
        <v>933</v>
      </c>
      <c r="I149" s="4" t="s">
        <v>934</v>
      </c>
      <c r="J149" s="4" t="s">
        <v>455</v>
      </c>
      <c r="K149" s="4"/>
      <c r="L149" s="4"/>
    </row>
    <row r="150" spans="1:12" ht="14.25" hidden="1" customHeight="1" x14ac:dyDescent="0.35">
      <c r="A150" s="4" t="s">
        <v>935</v>
      </c>
      <c r="B150" s="4" t="s">
        <v>451</v>
      </c>
      <c r="C150" s="18">
        <v>45471</v>
      </c>
      <c r="D150" s="4"/>
      <c r="E150" s="4">
        <v>0</v>
      </c>
      <c r="F150" s="4"/>
      <c r="G150" s="4" t="s">
        <v>461</v>
      </c>
      <c r="H150" s="4" t="s">
        <v>488</v>
      </c>
      <c r="I150" s="4" t="s">
        <v>936</v>
      </c>
      <c r="J150" s="4" t="s">
        <v>455</v>
      </c>
      <c r="K150" s="4"/>
      <c r="L150" s="4"/>
    </row>
    <row r="151" spans="1:12" ht="14.25" customHeight="1" x14ac:dyDescent="0.35">
      <c r="A151" s="3" t="s">
        <v>937</v>
      </c>
      <c r="B151" s="3" t="s">
        <v>500</v>
      </c>
      <c r="C151" s="19">
        <v>45422</v>
      </c>
      <c r="D151" s="19">
        <v>45482</v>
      </c>
      <c r="E151" s="3">
        <v>1</v>
      </c>
      <c r="F151" s="3" t="s">
        <v>938</v>
      </c>
      <c r="G151" s="3" t="s">
        <v>939</v>
      </c>
      <c r="H151" s="3" t="s">
        <v>940</v>
      </c>
      <c r="I151" s="3" t="s">
        <v>941</v>
      </c>
      <c r="J151" s="3" t="s">
        <v>455</v>
      </c>
      <c r="K151" s="3" t="s">
        <v>805</v>
      </c>
      <c r="L151" s="3" t="s">
        <v>942</v>
      </c>
    </row>
    <row r="152" spans="1:12" ht="14.25" hidden="1" customHeight="1" x14ac:dyDescent="0.35">
      <c r="A152" s="4" t="s">
        <v>943</v>
      </c>
      <c r="B152" s="4" t="s">
        <v>451</v>
      </c>
      <c r="C152" s="18">
        <v>45475</v>
      </c>
      <c r="D152" s="4"/>
      <c r="E152" s="4">
        <v>0</v>
      </c>
      <c r="F152" s="4"/>
      <c r="G152" s="4" t="s">
        <v>461</v>
      </c>
      <c r="H152" s="4" t="s">
        <v>488</v>
      </c>
      <c r="I152" s="4" t="s">
        <v>944</v>
      </c>
      <c r="J152" s="4" t="s">
        <v>455</v>
      </c>
      <c r="K152" s="4"/>
      <c r="L152" s="4"/>
    </row>
    <row r="153" spans="1:12" ht="14.25" hidden="1" customHeight="1" x14ac:dyDescent="0.35">
      <c r="A153" s="4" t="s">
        <v>945</v>
      </c>
      <c r="B153" s="4" t="s">
        <v>451</v>
      </c>
      <c r="C153" s="18">
        <v>45475</v>
      </c>
      <c r="D153" s="4"/>
      <c r="E153" s="4">
        <v>1</v>
      </c>
      <c r="F153" s="4" t="s">
        <v>946</v>
      </c>
      <c r="G153" s="4" t="s">
        <v>461</v>
      </c>
      <c r="H153" s="4" t="s">
        <v>488</v>
      </c>
      <c r="I153" s="4" t="s">
        <v>947</v>
      </c>
      <c r="J153" s="4" t="s">
        <v>455</v>
      </c>
      <c r="K153" s="4" t="s">
        <v>469</v>
      </c>
      <c r="L153" s="4" t="s">
        <v>470</v>
      </c>
    </row>
    <row r="154" spans="1:12" ht="14.25" hidden="1" customHeight="1" x14ac:dyDescent="0.35">
      <c r="A154" s="4" t="s">
        <v>948</v>
      </c>
      <c r="B154" s="4" t="s">
        <v>479</v>
      </c>
      <c r="C154" s="18">
        <v>45476</v>
      </c>
      <c r="D154" s="4"/>
      <c r="E154" s="4">
        <v>1</v>
      </c>
      <c r="F154" s="4" t="s">
        <v>949</v>
      </c>
      <c r="G154" s="4" t="s">
        <v>950</v>
      </c>
      <c r="H154" s="4" t="s">
        <v>951</v>
      </c>
      <c r="I154" s="4" t="s">
        <v>952</v>
      </c>
      <c r="J154" s="4" t="s">
        <v>455</v>
      </c>
      <c r="K154" s="4" t="s">
        <v>469</v>
      </c>
      <c r="L154" s="4" t="s">
        <v>550</v>
      </c>
    </row>
    <row r="155" spans="1:12" ht="14.25" customHeight="1" x14ac:dyDescent="0.35">
      <c r="A155" s="3" t="s">
        <v>953</v>
      </c>
      <c r="B155" s="3" t="s">
        <v>500</v>
      </c>
      <c r="C155" s="19">
        <v>45422</v>
      </c>
      <c r="D155" s="19">
        <v>45482</v>
      </c>
      <c r="E155" s="3">
        <v>1</v>
      </c>
      <c r="F155" s="3" t="s">
        <v>954</v>
      </c>
      <c r="G155" s="3" t="s">
        <v>955</v>
      </c>
      <c r="H155" s="3" t="s">
        <v>956</v>
      </c>
      <c r="I155" s="3" t="s">
        <v>957</v>
      </c>
      <c r="J155" s="3" t="s">
        <v>455</v>
      </c>
      <c r="K155" s="3" t="s">
        <v>805</v>
      </c>
      <c r="L155" s="3" t="s">
        <v>958</v>
      </c>
    </row>
    <row r="156" spans="1:12" ht="14.25" hidden="1" customHeight="1" x14ac:dyDescent="0.35">
      <c r="A156" s="4" t="s">
        <v>959</v>
      </c>
      <c r="B156" s="4" t="s">
        <v>451</v>
      </c>
      <c r="C156" s="18">
        <v>45476</v>
      </c>
      <c r="D156" s="4"/>
      <c r="E156" s="4">
        <v>0</v>
      </c>
      <c r="F156" s="4"/>
      <c r="G156" s="4" t="s">
        <v>466</v>
      </c>
      <c r="H156" s="4" t="s">
        <v>467</v>
      </c>
      <c r="I156" s="4" t="s">
        <v>960</v>
      </c>
      <c r="J156" s="4" t="s">
        <v>455</v>
      </c>
      <c r="K156" s="4"/>
      <c r="L156" s="4"/>
    </row>
    <row r="157" spans="1:12" ht="14.25" hidden="1" customHeight="1" x14ac:dyDescent="0.35">
      <c r="A157" s="4" t="s">
        <v>961</v>
      </c>
      <c r="B157" s="4" t="s">
        <v>479</v>
      </c>
      <c r="C157" s="18">
        <v>45478</v>
      </c>
      <c r="D157" s="4"/>
      <c r="E157" s="4">
        <v>1</v>
      </c>
      <c r="F157" s="4" t="s">
        <v>962</v>
      </c>
      <c r="G157" s="4" t="s">
        <v>963</v>
      </c>
      <c r="H157" s="4" t="s">
        <v>964</v>
      </c>
      <c r="I157" s="4" t="s">
        <v>965</v>
      </c>
      <c r="J157" s="4" t="s">
        <v>455</v>
      </c>
      <c r="K157" s="4" t="s">
        <v>469</v>
      </c>
      <c r="L157" s="4" t="s">
        <v>550</v>
      </c>
    </row>
    <row r="158" spans="1:12" ht="14.25" hidden="1" customHeight="1" x14ac:dyDescent="0.35">
      <c r="A158" s="4" t="s">
        <v>966</v>
      </c>
      <c r="B158" s="4" t="s">
        <v>451</v>
      </c>
      <c r="C158" s="18">
        <v>45481</v>
      </c>
      <c r="D158" s="4"/>
      <c r="E158" s="4">
        <v>0</v>
      </c>
      <c r="F158" s="4"/>
      <c r="G158" s="4" t="s">
        <v>967</v>
      </c>
      <c r="H158" s="4" t="s">
        <v>968</v>
      </c>
      <c r="I158" s="4" t="s">
        <v>969</v>
      </c>
      <c r="J158" s="4" t="s">
        <v>455</v>
      </c>
      <c r="K158" s="4"/>
      <c r="L158" s="4"/>
    </row>
    <row r="159" spans="1:12" ht="14.25" hidden="1" customHeight="1" x14ac:dyDescent="0.35">
      <c r="A159" s="4" t="s">
        <v>970</v>
      </c>
      <c r="B159" s="4" t="s">
        <v>451</v>
      </c>
      <c r="C159" s="18">
        <v>45481</v>
      </c>
      <c r="D159" s="4"/>
      <c r="E159" s="4">
        <v>1</v>
      </c>
      <c r="F159" s="4" t="s">
        <v>971</v>
      </c>
      <c r="G159" s="4" t="s">
        <v>461</v>
      </c>
      <c r="H159" s="4" t="s">
        <v>488</v>
      </c>
      <c r="I159" s="4" t="s">
        <v>972</v>
      </c>
      <c r="J159" s="4" t="s">
        <v>455</v>
      </c>
      <c r="K159" s="4" t="s">
        <v>469</v>
      </c>
      <c r="L159" s="4" t="s">
        <v>470</v>
      </c>
    </row>
    <row r="160" spans="1:12" ht="14.25" hidden="1" customHeight="1" x14ac:dyDescent="0.35">
      <c r="A160" s="4" t="s">
        <v>973</v>
      </c>
      <c r="B160" s="4" t="s">
        <v>451</v>
      </c>
      <c r="C160" s="18">
        <v>45482</v>
      </c>
      <c r="D160" s="4"/>
      <c r="E160" s="4">
        <v>0</v>
      </c>
      <c r="F160" s="4"/>
      <c r="G160" s="4" t="s">
        <v>461</v>
      </c>
      <c r="H160" s="4" t="s">
        <v>462</v>
      </c>
      <c r="I160" s="4" t="s">
        <v>974</v>
      </c>
      <c r="J160" s="4" t="s">
        <v>455</v>
      </c>
      <c r="K160" s="4"/>
      <c r="L160" s="4"/>
    </row>
    <row r="161" spans="1:12" ht="14.25" hidden="1" customHeight="1" x14ac:dyDescent="0.35">
      <c r="A161" s="4" t="s">
        <v>975</v>
      </c>
      <c r="B161" s="4" t="s">
        <v>451</v>
      </c>
      <c r="C161" s="18">
        <v>45482</v>
      </c>
      <c r="D161" s="4"/>
      <c r="E161" s="4">
        <v>0</v>
      </c>
      <c r="F161" s="4"/>
      <c r="G161" s="4" t="s">
        <v>466</v>
      </c>
      <c r="H161" s="4" t="s">
        <v>467</v>
      </c>
      <c r="I161" s="4" t="s">
        <v>976</v>
      </c>
      <c r="J161" s="4" t="s">
        <v>455</v>
      </c>
      <c r="K161" s="4"/>
      <c r="L161" s="4"/>
    </row>
    <row r="162" spans="1:12" ht="14.25" hidden="1" customHeight="1" x14ac:dyDescent="0.35">
      <c r="A162" s="4" t="s">
        <v>977</v>
      </c>
      <c r="B162" s="4" t="s">
        <v>451</v>
      </c>
      <c r="C162" s="18">
        <v>45483</v>
      </c>
      <c r="D162" s="4"/>
      <c r="E162" s="4">
        <v>0</v>
      </c>
      <c r="F162" s="4"/>
      <c r="G162" s="4" t="s">
        <v>978</v>
      </c>
      <c r="H162" s="4" t="s">
        <v>979</v>
      </c>
      <c r="I162" s="4" t="s">
        <v>980</v>
      </c>
      <c r="J162" s="4" t="s">
        <v>455</v>
      </c>
      <c r="K162" s="4"/>
      <c r="L162" s="4"/>
    </row>
    <row r="163" spans="1:12" ht="14.25" hidden="1" customHeight="1" x14ac:dyDescent="0.35">
      <c r="A163" s="4" t="s">
        <v>981</v>
      </c>
      <c r="B163" s="4" t="s">
        <v>451</v>
      </c>
      <c r="C163" s="18">
        <v>45483</v>
      </c>
      <c r="D163" s="4"/>
      <c r="E163" s="4">
        <v>0</v>
      </c>
      <c r="F163" s="4"/>
      <c r="G163" s="4" t="s">
        <v>466</v>
      </c>
      <c r="H163" s="4" t="s">
        <v>473</v>
      </c>
      <c r="I163" s="4" t="s">
        <v>982</v>
      </c>
      <c r="J163" s="4" t="s">
        <v>455</v>
      </c>
      <c r="K163" s="4"/>
      <c r="L163" s="4"/>
    </row>
    <row r="164" spans="1:12" ht="14.25" hidden="1" customHeight="1" x14ac:dyDescent="0.35">
      <c r="A164" s="4" t="s">
        <v>983</v>
      </c>
      <c r="B164" s="4" t="s">
        <v>451</v>
      </c>
      <c r="C164" s="18">
        <v>45483</v>
      </c>
      <c r="D164" s="4"/>
      <c r="E164" s="4">
        <v>1</v>
      </c>
      <c r="F164" s="4" t="s">
        <v>984</v>
      </c>
      <c r="G164" s="4" t="s">
        <v>461</v>
      </c>
      <c r="H164" s="4" t="s">
        <v>462</v>
      </c>
      <c r="I164" s="4" t="s">
        <v>985</v>
      </c>
      <c r="J164" s="4" t="s">
        <v>455</v>
      </c>
      <c r="K164" s="4" t="s">
        <v>469</v>
      </c>
      <c r="L164" s="4" t="s">
        <v>470</v>
      </c>
    </row>
    <row r="165" spans="1:12" ht="14.25" hidden="1" customHeight="1" x14ac:dyDescent="0.35">
      <c r="A165" s="4" t="s">
        <v>986</v>
      </c>
      <c r="B165" s="4" t="s">
        <v>451</v>
      </c>
      <c r="C165" s="18">
        <v>45484</v>
      </c>
      <c r="D165" s="4"/>
      <c r="E165" s="4">
        <v>0</v>
      </c>
      <c r="F165" s="4"/>
      <c r="G165" s="4" t="s">
        <v>987</v>
      </c>
      <c r="H165" s="4" t="s">
        <v>988</v>
      </c>
      <c r="I165" s="4" t="s">
        <v>989</v>
      </c>
      <c r="J165" s="4" t="s">
        <v>455</v>
      </c>
      <c r="K165" s="4"/>
      <c r="L165" s="4"/>
    </row>
    <row r="166" spans="1:12" ht="14.25" hidden="1" customHeight="1" x14ac:dyDescent="0.35">
      <c r="A166" s="4" t="s">
        <v>990</v>
      </c>
      <c r="B166" s="4" t="s">
        <v>451</v>
      </c>
      <c r="C166" s="18">
        <v>45488</v>
      </c>
      <c r="D166" s="4"/>
      <c r="E166" s="4">
        <v>0</v>
      </c>
      <c r="F166" s="4"/>
      <c r="G166" s="4" t="s">
        <v>991</v>
      </c>
      <c r="H166" s="4" t="s">
        <v>992</v>
      </c>
      <c r="I166" s="4" t="s">
        <v>993</v>
      </c>
      <c r="J166" s="4" t="s">
        <v>455</v>
      </c>
      <c r="K166" s="4"/>
      <c r="L166" s="4"/>
    </row>
    <row r="167" spans="1:12" ht="14.25" hidden="1" customHeight="1" x14ac:dyDescent="0.35">
      <c r="A167" s="4" t="s">
        <v>994</v>
      </c>
      <c r="B167" s="4" t="s">
        <v>451</v>
      </c>
      <c r="C167" s="18">
        <v>45488</v>
      </c>
      <c r="D167" s="4"/>
      <c r="E167" s="4">
        <v>0</v>
      </c>
      <c r="F167" s="4"/>
      <c r="G167" s="4" t="s">
        <v>466</v>
      </c>
      <c r="H167" s="4" t="s">
        <v>473</v>
      </c>
      <c r="I167" s="4" t="s">
        <v>995</v>
      </c>
      <c r="J167" s="4" t="s">
        <v>455</v>
      </c>
      <c r="K167" s="4"/>
      <c r="L167" s="4"/>
    </row>
    <row r="168" spans="1:12" ht="14.25" hidden="1" customHeight="1" x14ac:dyDescent="0.35">
      <c r="A168" s="4" t="s">
        <v>996</v>
      </c>
      <c r="B168" s="4" t="s">
        <v>451</v>
      </c>
      <c r="C168" s="18">
        <v>45489</v>
      </c>
      <c r="D168" s="4"/>
      <c r="E168" s="4">
        <v>0</v>
      </c>
      <c r="F168" s="4"/>
      <c r="G168" s="4" t="s">
        <v>997</v>
      </c>
      <c r="H168" s="4" t="s">
        <v>998</v>
      </c>
      <c r="I168" s="4" t="s">
        <v>999</v>
      </c>
      <c r="J168" s="4" t="s">
        <v>455</v>
      </c>
      <c r="K168" s="4"/>
      <c r="L168" s="4"/>
    </row>
    <row r="169" spans="1:12" ht="14.25" hidden="1" customHeight="1" x14ac:dyDescent="0.35">
      <c r="A169" s="4" t="s">
        <v>1000</v>
      </c>
      <c r="B169" s="4" t="s">
        <v>451</v>
      </c>
      <c r="C169" s="18">
        <v>45489</v>
      </c>
      <c r="D169" s="4"/>
      <c r="E169" s="4">
        <v>1</v>
      </c>
      <c r="F169" s="4" t="s">
        <v>494</v>
      </c>
      <c r="G169" s="4" t="s">
        <v>466</v>
      </c>
      <c r="H169" s="4" t="s">
        <v>467</v>
      </c>
      <c r="I169" s="4" t="s">
        <v>1001</v>
      </c>
      <c r="J169" s="4" t="s">
        <v>455</v>
      </c>
      <c r="K169" s="4" t="s">
        <v>469</v>
      </c>
      <c r="L169" s="4" t="s">
        <v>470</v>
      </c>
    </row>
    <row r="170" spans="1:12" ht="14.25" hidden="1" customHeight="1" x14ac:dyDescent="0.35">
      <c r="A170" s="4" t="s">
        <v>1002</v>
      </c>
      <c r="B170" s="4" t="s">
        <v>500</v>
      </c>
      <c r="C170" s="18">
        <v>45490</v>
      </c>
      <c r="D170" s="4"/>
      <c r="E170" s="4">
        <v>0</v>
      </c>
      <c r="F170" s="4"/>
      <c r="G170" s="4" t="s">
        <v>1003</v>
      </c>
      <c r="H170" s="4" t="s">
        <v>1004</v>
      </c>
      <c r="I170" s="4" t="s">
        <v>1005</v>
      </c>
      <c r="J170" s="4" t="s">
        <v>455</v>
      </c>
      <c r="K170" s="4"/>
      <c r="L170" s="4"/>
    </row>
    <row r="171" spans="1:12" ht="14.25" hidden="1" customHeight="1" x14ac:dyDescent="0.35">
      <c r="A171" s="4" t="s">
        <v>1006</v>
      </c>
      <c r="B171" s="4" t="s">
        <v>451</v>
      </c>
      <c r="C171" s="18">
        <v>45491</v>
      </c>
      <c r="D171" s="4"/>
      <c r="E171" s="4">
        <v>0</v>
      </c>
      <c r="F171" s="4"/>
      <c r="G171" s="4" t="s">
        <v>1007</v>
      </c>
      <c r="H171" s="4" t="s">
        <v>1008</v>
      </c>
      <c r="I171" s="4" t="s">
        <v>1009</v>
      </c>
      <c r="J171" s="4" t="s">
        <v>455</v>
      </c>
      <c r="K171" s="4"/>
      <c r="L171" s="4"/>
    </row>
    <row r="172" spans="1:12" ht="14.25" hidden="1" customHeight="1" x14ac:dyDescent="0.35">
      <c r="A172" s="4" t="s">
        <v>1010</v>
      </c>
      <c r="B172" s="4" t="s">
        <v>451</v>
      </c>
      <c r="C172" s="18">
        <v>45492</v>
      </c>
      <c r="D172" s="4"/>
      <c r="E172" s="4">
        <v>0</v>
      </c>
      <c r="F172" s="4"/>
      <c r="G172" s="4" t="s">
        <v>457</v>
      </c>
      <c r="H172" s="4" t="s">
        <v>458</v>
      </c>
      <c r="I172" s="4" t="s">
        <v>1011</v>
      </c>
      <c r="J172" s="4" t="s">
        <v>455</v>
      </c>
      <c r="K172" s="4"/>
      <c r="L172" s="4"/>
    </row>
    <row r="173" spans="1:12" ht="14.25" hidden="1" customHeight="1" x14ac:dyDescent="0.35">
      <c r="A173" s="4" t="s">
        <v>1012</v>
      </c>
      <c r="B173" s="4" t="s">
        <v>479</v>
      </c>
      <c r="C173" s="18">
        <v>45495</v>
      </c>
      <c r="D173" s="4"/>
      <c r="E173" s="4">
        <v>1</v>
      </c>
      <c r="F173" s="4" t="s">
        <v>1013</v>
      </c>
      <c r="G173" s="4" t="s">
        <v>1014</v>
      </c>
      <c r="H173" s="4" t="s">
        <v>1015</v>
      </c>
      <c r="I173" s="4" t="s">
        <v>1016</v>
      </c>
      <c r="J173" s="4" t="s">
        <v>455</v>
      </c>
      <c r="K173" s="4" t="s">
        <v>469</v>
      </c>
      <c r="L173" s="4" t="s">
        <v>550</v>
      </c>
    </row>
    <row r="174" spans="1:12" ht="14.25" hidden="1" customHeight="1" x14ac:dyDescent="0.35">
      <c r="A174" s="4" t="s">
        <v>1017</v>
      </c>
      <c r="B174" s="4" t="s">
        <v>451</v>
      </c>
      <c r="C174" s="18">
        <v>45495</v>
      </c>
      <c r="D174" s="4"/>
      <c r="E174" s="4">
        <v>0</v>
      </c>
      <c r="F174" s="4"/>
      <c r="G174" s="4" t="s">
        <v>1018</v>
      </c>
      <c r="H174" s="4" t="s">
        <v>496</v>
      </c>
      <c r="I174" s="4" t="s">
        <v>1019</v>
      </c>
      <c r="J174" s="4" t="s">
        <v>455</v>
      </c>
      <c r="K174" s="4"/>
      <c r="L174" s="4"/>
    </row>
    <row r="175" spans="1:12" ht="14.25" hidden="1" customHeight="1" x14ac:dyDescent="0.35">
      <c r="A175" s="4" t="s">
        <v>1020</v>
      </c>
      <c r="B175" s="4" t="s">
        <v>451</v>
      </c>
      <c r="C175" s="18">
        <v>45497</v>
      </c>
      <c r="D175" s="4"/>
      <c r="E175" s="4">
        <v>0</v>
      </c>
      <c r="F175" s="4"/>
      <c r="G175" s="4" t="s">
        <v>457</v>
      </c>
      <c r="H175" s="4" t="s">
        <v>458</v>
      </c>
      <c r="I175" s="4" t="s">
        <v>1021</v>
      </c>
      <c r="J175" s="4" t="s">
        <v>455</v>
      </c>
      <c r="K175" s="4"/>
      <c r="L175" s="4"/>
    </row>
    <row r="176" spans="1:12" ht="14.25" hidden="1" customHeight="1" x14ac:dyDescent="0.35">
      <c r="A176" s="4" t="s">
        <v>1022</v>
      </c>
      <c r="B176" s="4" t="s">
        <v>451</v>
      </c>
      <c r="C176" s="18">
        <v>45498</v>
      </c>
      <c r="D176" s="4"/>
      <c r="E176" s="4">
        <v>0</v>
      </c>
      <c r="F176" s="4"/>
      <c r="G176" s="4" t="s">
        <v>466</v>
      </c>
      <c r="H176" s="4" t="s">
        <v>473</v>
      </c>
      <c r="I176" s="4" t="s">
        <v>1023</v>
      </c>
      <c r="J176" s="4" t="s">
        <v>455</v>
      </c>
      <c r="K176" s="4"/>
      <c r="L176" s="4"/>
    </row>
    <row r="177" spans="1:12" ht="14.25" hidden="1" customHeight="1" x14ac:dyDescent="0.35">
      <c r="A177" s="4" t="s">
        <v>1024</v>
      </c>
      <c r="B177" s="4" t="s">
        <v>451</v>
      </c>
      <c r="C177" s="18">
        <v>45499</v>
      </c>
      <c r="D177" s="4"/>
      <c r="E177" s="4">
        <v>0</v>
      </c>
      <c r="F177" s="4"/>
      <c r="G177" s="4" t="s">
        <v>461</v>
      </c>
      <c r="H177" s="4" t="s">
        <v>462</v>
      </c>
      <c r="I177" s="4" t="s">
        <v>1025</v>
      </c>
      <c r="J177" s="4" t="s">
        <v>455</v>
      </c>
      <c r="K177" s="4"/>
      <c r="L177" s="4"/>
    </row>
    <row r="178" spans="1:12" ht="14.25" hidden="1" customHeight="1" x14ac:dyDescent="0.35">
      <c r="A178" s="4" t="s">
        <v>1026</v>
      </c>
      <c r="B178" s="4" t="s">
        <v>451</v>
      </c>
      <c r="C178" s="18">
        <v>45499</v>
      </c>
      <c r="D178" s="4"/>
      <c r="E178" s="4">
        <v>0</v>
      </c>
      <c r="F178" s="4"/>
      <c r="G178" s="4" t="s">
        <v>466</v>
      </c>
      <c r="H178" s="4" t="s">
        <v>467</v>
      </c>
      <c r="I178" s="4" t="s">
        <v>1027</v>
      </c>
      <c r="J178" s="4" t="s">
        <v>455</v>
      </c>
      <c r="K178" s="4"/>
      <c r="L178" s="4"/>
    </row>
    <row r="179" spans="1:12" ht="14.25" hidden="1" customHeight="1" x14ac:dyDescent="0.35">
      <c r="A179" s="4" t="s">
        <v>1028</v>
      </c>
      <c r="B179" s="4" t="s">
        <v>451</v>
      </c>
      <c r="C179" s="18">
        <v>45499</v>
      </c>
      <c r="D179" s="4"/>
      <c r="E179" s="4">
        <v>0</v>
      </c>
      <c r="F179" s="4"/>
      <c r="G179" s="4" t="s">
        <v>461</v>
      </c>
      <c r="H179" s="4" t="s">
        <v>462</v>
      </c>
      <c r="I179" s="4" t="s">
        <v>1029</v>
      </c>
      <c r="J179" s="4" t="s">
        <v>455</v>
      </c>
      <c r="K179" s="4"/>
      <c r="L179" s="4"/>
    </row>
    <row r="180" spans="1:12" ht="14.25" hidden="1" customHeight="1" x14ac:dyDescent="0.35">
      <c r="A180" s="4" t="s">
        <v>1030</v>
      </c>
      <c r="B180" s="4" t="s">
        <v>451</v>
      </c>
      <c r="C180" s="18">
        <v>45503</v>
      </c>
      <c r="D180" s="4"/>
      <c r="E180" s="4">
        <v>0</v>
      </c>
      <c r="F180" s="4"/>
      <c r="G180" s="4" t="s">
        <v>457</v>
      </c>
      <c r="H180" s="4" t="s">
        <v>458</v>
      </c>
      <c r="I180" s="4" t="s">
        <v>1031</v>
      </c>
      <c r="J180" s="4" t="s">
        <v>455</v>
      </c>
      <c r="K180" s="4"/>
      <c r="L180" s="4"/>
    </row>
    <row r="181" spans="1:12" ht="14.25" hidden="1" customHeight="1" x14ac:dyDescent="0.35">
      <c r="A181" s="4" t="s">
        <v>1032</v>
      </c>
      <c r="B181" s="4" t="s">
        <v>451</v>
      </c>
      <c r="C181" s="18">
        <v>45503</v>
      </c>
      <c r="D181" s="4"/>
      <c r="E181" s="4">
        <v>0</v>
      </c>
      <c r="F181" s="4"/>
      <c r="G181" s="4" t="s">
        <v>461</v>
      </c>
      <c r="H181" s="4" t="s">
        <v>462</v>
      </c>
      <c r="I181" s="4" t="s">
        <v>1033</v>
      </c>
      <c r="J181" s="4" t="s">
        <v>455</v>
      </c>
      <c r="K181" s="4"/>
      <c r="L181" s="4"/>
    </row>
    <row r="182" spans="1:12" ht="14.25" hidden="1" customHeight="1" x14ac:dyDescent="0.35">
      <c r="A182" s="4" t="s">
        <v>1034</v>
      </c>
      <c r="B182" s="4" t="s">
        <v>451</v>
      </c>
      <c r="C182" s="18">
        <v>45503</v>
      </c>
      <c r="D182" s="4"/>
      <c r="E182" s="4">
        <v>0</v>
      </c>
      <c r="F182" s="4"/>
      <c r="G182" s="4" t="s">
        <v>466</v>
      </c>
      <c r="H182" s="4" t="s">
        <v>467</v>
      </c>
      <c r="I182" s="4" t="s">
        <v>1035</v>
      </c>
      <c r="J182" s="4" t="s">
        <v>455</v>
      </c>
      <c r="K182" s="4"/>
      <c r="L182" s="4"/>
    </row>
    <row r="183" spans="1:12" ht="14.25" hidden="1" customHeight="1" x14ac:dyDescent="0.35">
      <c r="A183" s="4" t="s">
        <v>1036</v>
      </c>
      <c r="B183" s="4" t="s">
        <v>479</v>
      </c>
      <c r="C183" s="18">
        <v>45504</v>
      </c>
      <c r="D183" s="4"/>
      <c r="E183" s="4">
        <v>1</v>
      </c>
      <c r="F183" s="4" t="s">
        <v>1037</v>
      </c>
      <c r="G183" s="4" t="s">
        <v>1038</v>
      </c>
      <c r="H183" s="4" t="s">
        <v>1039</v>
      </c>
      <c r="I183" s="4" t="s">
        <v>1040</v>
      </c>
      <c r="J183" s="4" t="s">
        <v>455</v>
      </c>
      <c r="K183" s="4" t="s">
        <v>469</v>
      </c>
      <c r="L183" s="4" t="s">
        <v>550</v>
      </c>
    </row>
    <row r="184" spans="1:12" ht="14.25" hidden="1" customHeight="1" x14ac:dyDescent="0.35">
      <c r="A184" s="4" t="s">
        <v>1041</v>
      </c>
      <c r="B184" s="4" t="s">
        <v>500</v>
      </c>
      <c r="C184" s="18">
        <v>45510</v>
      </c>
      <c r="D184" s="18">
        <v>45566</v>
      </c>
      <c r="E184" s="4">
        <v>1</v>
      </c>
      <c r="F184" s="4" t="s">
        <v>1042</v>
      </c>
      <c r="G184" s="4" t="s">
        <v>665</v>
      </c>
      <c r="H184" s="4" t="s">
        <v>1043</v>
      </c>
      <c r="I184" s="4" t="s">
        <v>1044</v>
      </c>
      <c r="J184" s="4" t="s">
        <v>455</v>
      </c>
      <c r="K184" s="4" t="s">
        <v>469</v>
      </c>
      <c r="L184" s="4" t="s">
        <v>550</v>
      </c>
    </row>
    <row r="185" spans="1:12" ht="14.25" hidden="1" customHeight="1" x14ac:dyDescent="0.35">
      <c r="A185" s="4" t="s">
        <v>1045</v>
      </c>
      <c r="B185" s="4" t="s">
        <v>500</v>
      </c>
      <c r="C185" s="18">
        <v>45510</v>
      </c>
      <c r="D185" s="18">
        <v>45566</v>
      </c>
      <c r="E185" s="4">
        <v>1</v>
      </c>
      <c r="F185" s="4" t="s">
        <v>494</v>
      </c>
      <c r="G185" s="4" t="s">
        <v>670</v>
      </c>
      <c r="H185" s="4" t="s">
        <v>1046</v>
      </c>
      <c r="I185" s="4" t="s">
        <v>1047</v>
      </c>
      <c r="J185" s="4" t="s">
        <v>455</v>
      </c>
      <c r="K185" s="4" t="s">
        <v>469</v>
      </c>
      <c r="L185" s="4" t="s">
        <v>550</v>
      </c>
    </row>
    <row r="186" spans="1:12" ht="14.25" hidden="1" customHeight="1" x14ac:dyDescent="0.35">
      <c r="A186" s="4" t="s">
        <v>1048</v>
      </c>
      <c r="B186" s="4" t="s">
        <v>500</v>
      </c>
      <c r="C186" s="18">
        <v>45510</v>
      </c>
      <c r="D186" s="18">
        <v>45566</v>
      </c>
      <c r="E186" s="4">
        <v>1</v>
      </c>
      <c r="F186" s="4" t="s">
        <v>1049</v>
      </c>
      <c r="G186" s="4" t="s">
        <v>645</v>
      </c>
      <c r="H186" s="4" t="s">
        <v>1050</v>
      </c>
      <c r="I186" s="4" t="s">
        <v>1051</v>
      </c>
      <c r="J186" s="4" t="s">
        <v>455</v>
      </c>
      <c r="K186" s="4" t="s">
        <v>469</v>
      </c>
      <c r="L186" s="4" t="s">
        <v>550</v>
      </c>
    </row>
    <row r="187" spans="1:12" ht="14.25" customHeight="1" x14ac:dyDescent="0.35">
      <c r="A187" s="3" t="s">
        <v>1052</v>
      </c>
      <c r="B187" s="3" t="s">
        <v>500</v>
      </c>
      <c r="C187" s="19">
        <v>45510</v>
      </c>
      <c r="D187" s="19">
        <v>45510</v>
      </c>
      <c r="E187" s="3">
        <v>1</v>
      </c>
      <c r="F187" s="3" t="s">
        <v>1053</v>
      </c>
      <c r="G187" s="3" t="s">
        <v>1054</v>
      </c>
      <c r="H187" s="3" t="s">
        <v>1055</v>
      </c>
      <c r="I187" s="3" t="s">
        <v>1056</v>
      </c>
      <c r="J187" s="3" t="s">
        <v>455</v>
      </c>
      <c r="K187" s="3" t="s">
        <v>805</v>
      </c>
      <c r="L187" s="3" t="s">
        <v>1057</v>
      </c>
    </row>
    <row r="188" spans="1:12" ht="14.25" hidden="1" customHeight="1" x14ac:dyDescent="0.35">
      <c r="A188" s="4" t="s">
        <v>1058</v>
      </c>
      <c r="B188" s="4" t="s">
        <v>451</v>
      </c>
      <c r="C188" s="18">
        <v>45510</v>
      </c>
      <c r="D188" s="4"/>
      <c r="E188" s="4">
        <v>1</v>
      </c>
      <c r="F188" s="4" t="s">
        <v>1059</v>
      </c>
      <c r="G188" s="4" t="s">
        <v>466</v>
      </c>
      <c r="H188" s="4" t="s">
        <v>473</v>
      </c>
      <c r="I188" s="4" t="s">
        <v>1060</v>
      </c>
      <c r="J188" s="4" t="s">
        <v>455</v>
      </c>
      <c r="K188" s="4" t="s">
        <v>469</v>
      </c>
      <c r="L188" s="4" t="s">
        <v>470</v>
      </c>
    </row>
    <row r="189" spans="1:12" ht="14.25" hidden="1" customHeight="1" x14ac:dyDescent="0.35">
      <c r="A189" s="4" t="s">
        <v>1061</v>
      </c>
      <c r="B189" s="4" t="s">
        <v>451</v>
      </c>
      <c r="C189" s="18">
        <v>45510</v>
      </c>
      <c r="D189" s="4"/>
      <c r="E189" s="4">
        <v>0</v>
      </c>
      <c r="F189" s="4"/>
      <c r="G189" s="4" t="s">
        <v>461</v>
      </c>
      <c r="H189" s="4" t="s">
        <v>488</v>
      </c>
      <c r="I189" s="4" t="s">
        <v>1062</v>
      </c>
      <c r="J189" s="4" t="s">
        <v>455</v>
      </c>
      <c r="K189" s="4"/>
      <c r="L189" s="4"/>
    </row>
    <row r="190" spans="1:12" ht="14.25" hidden="1" customHeight="1" x14ac:dyDescent="0.35">
      <c r="A190" s="4" t="s">
        <v>1063</v>
      </c>
      <c r="B190" s="4" t="s">
        <v>500</v>
      </c>
      <c r="C190" s="18">
        <v>45511</v>
      </c>
      <c r="D190" s="18">
        <v>45566</v>
      </c>
      <c r="E190" s="4">
        <v>1</v>
      </c>
      <c r="F190" s="4" t="s">
        <v>669</v>
      </c>
      <c r="G190" s="4" t="s">
        <v>660</v>
      </c>
      <c r="H190" s="4" t="s">
        <v>1064</v>
      </c>
      <c r="I190" s="4" t="s">
        <v>1065</v>
      </c>
      <c r="J190" s="4" t="s">
        <v>455</v>
      </c>
      <c r="K190" s="4" t="s">
        <v>469</v>
      </c>
      <c r="L190" s="4" t="s">
        <v>550</v>
      </c>
    </row>
    <row r="191" spans="1:12" ht="14.25" hidden="1" customHeight="1" x14ac:dyDescent="0.35">
      <c r="A191" s="4" t="s">
        <v>1066</v>
      </c>
      <c r="B191" s="4" t="s">
        <v>451</v>
      </c>
      <c r="C191" s="18">
        <v>45511</v>
      </c>
      <c r="D191" s="4"/>
      <c r="E191" s="4">
        <v>0</v>
      </c>
      <c r="F191" s="4"/>
      <c r="G191" s="4" t="s">
        <v>466</v>
      </c>
      <c r="H191" s="4" t="s">
        <v>467</v>
      </c>
      <c r="I191" s="4" t="s">
        <v>1067</v>
      </c>
      <c r="J191" s="4" t="s">
        <v>455</v>
      </c>
      <c r="K191" s="4"/>
      <c r="L191" s="4"/>
    </row>
    <row r="192" spans="1:12" ht="14.25" hidden="1" customHeight="1" x14ac:dyDescent="0.35">
      <c r="A192" s="4" t="s">
        <v>1068</v>
      </c>
      <c r="B192" s="4" t="s">
        <v>451</v>
      </c>
      <c r="C192" s="18">
        <v>45511</v>
      </c>
      <c r="D192" s="4"/>
      <c r="E192" s="4">
        <v>1</v>
      </c>
      <c r="F192" s="4" t="s">
        <v>1069</v>
      </c>
      <c r="G192" s="4" t="s">
        <v>461</v>
      </c>
      <c r="H192" s="4" t="s">
        <v>462</v>
      </c>
      <c r="I192" s="4" t="s">
        <v>1070</v>
      </c>
      <c r="J192" s="4" t="s">
        <v>455</v>
      </c>
      <c r="K192" s="4" t="s">
        <v>469</v>
      </c>
      <c r="L192" s="4" t="s">
        <v>470</v>
      </c>
    </row>
    <row r="193" spans="1:12" ht="14.25" hidden="1" customHeight="1" x14ac:dyDescent="0.35">
      <c r="A193" s="4" t="s">
        <v>1071</v>
      </c>
      <c r="B193" s="4" t="s">
        <v>451</v>
      </c>
      <c r="C193" s="18">
        <v>45511</v>
      </c>
      <c r="D193" s="4"/>
      <c r="E193" s="4">
        <v>1</v>
      </c>
      <c r="F193" s="4" t="s">
        <v>1072</v>
      </c>
      <c r="G193" s="4" t="s">
        <v>466</v>
      </c>
      <c r="H193" s="4" t="s">
        <v>467</v>
      </c>
      <c r="I193" s="4" t="s">
        <v>1073</v>
      </c>
      <c r="J193" s="4" t="s">
        <v>455</v>
      </c>
      <c r="K193" s="4" t="s">
        <v>469</v>
      </c>
      <c r="L193" s="4" t="s">
        <v>470</v>
      </c>
    </row>
    <row r="194" spans="1:12" ht="14.25" hidden="1" customHeight="1" x14ac:dyDescent="0.35">
      <c r="A194" s="4" t="s">
        <v>1074</v>
      </c>
      <c r="B194" s="4" t="s">
        <v>451</v>
      </c>
      <c r="C194" s="18">
        <v>45511</v>
      </c>
      <c r="D194" s="4"/>
      <c r="E194" s="4">
        <v>0</v>
      </c>
      <c r="F194" s="4"/>
      <c r="G194" s="4" t="s">
        <v>461</v>
      </c>
      <c r="H194" s="4" t="s">
        <v>488</v>
      </c>
      <c r="I194" s="4" t="s">
        <v>1075</v>
      </c>
      <c r="J194" s="4" t="s">
        <v>455</v>
      </c>
      <c r="K194" s="4"/>
      <c r="L194" s="4"/>
    </row>
    <row r="195" spans="1:12" ht="14.25" hidden="1" customHeight="1" x14ac:dyDescent="0.35">
      <c r="A195" s="4" t="s">
        <v>1076</v>
      </c>
      <c r="B195" s="4" t="s">
        <v>451</v>
      </c>
      <c r="C195" s="18">
        <v>45513</v>
      </c>
      <c r="D195" s="4"/>
      <c r="E195" s="4">
        <v>1</v>
      </c>
      <c r="F195" s="4" t="s">
        <v>1077</v>
      </c>
      <c r="G195" s="4" t="s">
        <v>461</v>
      </c>
      <c r="H195" s="4" t="s">
        <v>488</v>
      </c>
      <c r="I195" s="4" t="s">
        <v>1078</v>
      </c>
      <c r="J195" s="4" t="s">
        <v>455</v>
      </c>
      <c r="K195" s="4" t="s">
        <v>469</v>
      </c>
      <c r="L195" s="4" t="s">
        <v>470</v>
      </c>
    </row>
    <row r="196" spans="1:12" ht="14.25" customHeight="1" x14ac:dyDescent="0.35">
      <c r="A196" s="3" t="s">
        <v>1079</v>
      </c>
      <c r="B196" s="3" t="s">
        <v>451</v>
      </c>
      <c r="C196" s="19">
        <v>45610</v>
      </c>
      <c r="D196" s="19">
        <v>45658</v>
      </c>
      <c r="E196" s="3">
        <v>1</v>
      </c>
      <c r="F196" s="3" t="s">
        <v>1080</v>
      </c>
      <c r="G196" s="3" t="s">
        <v>1081</v>
      </c>
      <c r="H196" s="3" t="s">
        <v>1082</v>
      </c>
      <c r="I196" s="3" t="s">
        <v>67</v>
      </c>
      <c r="J196" s="3" t="s">
        <v>455</v>
      </c>
      <c r="K196" s="3" t="s">
        <v>805</v>
      </c>
      <c r="L196" s="3" t="s">
        <v>1083</v>
      </c>
    </row>
    <row r="197" spans="1:12" ht="14.25" hidden="1" customHeight="1" x14ac:dyDescent="0.35">
      <c r="A197" s="4" t="s">
        <v>1084</v>
      </c>
      <c r="B197" s="4" t="s">
        <v>451</v>
      </c>
      <c r="C197" s="18">
        <v>45517</v>
      </c>
      <c r="D197" s="4"/>
      <c r="E197" s="4">
        <v>0</v>
      </c>
      <c r="F197" s="4"/>
      <c r="G197" s="4" t="s">
        <v>466</v>
      </c>
      <c r="H197" s="4" t="s">
        <v>473</v>
      </c>
      <c r="I197" s="4" t="s">
        <v>1085</v>
      </c>
      <c r="J197" s="4" t="s">
        <v>455</v>
      </c>
      <c r="K197" s="4"/>
      <c r="L197" s="4"/>
    </row>
    <row r="198" spans="1:12" ht="14.25" hidden="1" customHeight="1" x14ac:dyDescent="0.35">
      <c r="A198" s="4" t="s">
        <v>1086</v>
      </c>
      <c r="B198" s="4" t="s">
        <v>451</v>
      </c>
      <c r="C198" s="18">
        <v>45517</v>
      </c>
      <c r="D198" s="4"/>
      <c r="E198" s="4">
        <v>0</v>
      </c>
      <c r="F198" s="4"/>
      <c r="G198" s="4" t="s">
        <v>461</v>
      </c>
      <c r="H198" s="4" t="s">
        <v>462</v>
      </c>
      <c r="I198" s="4" t="s">
        <v>1087</v>
      </c>
      <c r="J198" s="4" t="s">
        <v>455</v>
      </c>
      <c r="K198" s="4"/>
      <c r="L198" s="4"/>
    </row>
    <row r="199" spans="1:12" ht="14.25" hidden="1" customHeight="1" x14ac:dyDescent="0.35">
      <c r="A199" s="4" t="s">
        <v>1088</v>
      </c>
      <c r="B199" s="4" t="s">
        <v>451</v>
      </c>
      <c r="C199" s="18">
        <v>45524</v>
      </c>
      <c r="D199" s="4"/>
      <c r="E199" s="4">
        <v>0</v>
      </c>
      <c r="F199" s="4"/>
      <c r="G199" s="4" t="s">
        <v>466</v>
      </c>
      <c r="H199" s="4" t="s">
        <v>473</v>
      </c>
      <c r="I199" s="4" t="s">
        <v>1089</v>
      </c>
      <c r="J199" s="4" t="s">
        <v>455</v>
      </c>
      <c r="K199" s="4"/>
      <c r="L199" s="4"/>
    </row>
    <row r="200" spans="1:12" ht="14.25" hidden="1" customHeight="1" x14ac:dyDescent="0.35">
      <c r="A200" s="4" t="s">
        <v>1090</v>
      </c>
      <c r="B200" s="4" t="s">
        <v>451</v>
      </c>
      <c r="C200" s="18">
        <v>45524</v>
      </c>
      <c r="D200" s="4"/>
      <c r="E200" s="4">
        <v>0</v>
      </c>
      <c r="F200" s="4"/>
      <c r="G200" s="4" t="s">
        <v>461</v>
      </c>
      <c r="H200" s="4" t="s">
        <v>488</v>
      </c>
      <c r="I200" s="4" t="s">
        <v>1091</v>
      </c>
      <c r="J200" s="4" t="s">
        <v>455</v>
      </c>
      <c r="K200" s="4"/>
      <c r="L200" s="4"/>
    </row>
    <row r="201" spans="1:12" ht="14.25" hidden="1" customHeight="1" x14ac:dyDescent="0.35">
      <c r="A201" s="4" t="s">
        <v>1092</v>
      </c>
      <c r="B201" s="4" t="s">
        <v>451</v>
      </c>
      <c r="C201" s="18">
        <v>45525</v>
      </c>
      <c r="D201" s="4"/>
      <c r="E201" s="4">
        <v>0</v>
      </c>
      <c r="F201" s="4"/>
      <c r="G201" s="4" t="s">
        <v>634</v>
      </c>
      <c r="H201" s="4" t="s">
        <v>1093</v>
      </c>
      <c r="I201" s="4" t="s">
        <v>1094</v>
      </c>
      <c r="J201" s="4" t="s">
        <v>455</v>
      </c>
      <c r="K201" s="4"/>
      <c r="L201" s="4"/>
    </row>
    <row r="202" spans="1:12" ht="14.25" hidden="1" customHeight="1" x14ac:dyDescent="0.35">
      <c r="A202" s="4" t="s">
        <v>1095</v>
      </c>
      <c r="B202" s="4" t="s">
        <v>451</v>
      </c>
      <c r="C202" s="18">
        <v>45525</v>
      </c>
      <c r="D202" s="4"/>
      <c r="E202" s="4">
        <v>0</v>
      </c>
      <c r="F202" s="4"/>
      <c r="G202" s="4" t="s">
        <v>466</v>
      </c>
      <c r="H202" s="4" t="s">
        <v>473</v>
      </c>
      <c r="I202" s="4" t="s">
        <v>1096</v>
      </c>
      <c r="J202" s="4" t="s">
        <v>455</v>
      </c>
      <c r="K202" s="4"/>
      <c r="L202" s="4"/>
    </row>
    <row r="203" spans="1:12" ht="14.25" hidden="1" customHeight="1" x14ac:dyDescent="0.35">
      <c r="A203" s="4" t="s">
        <v>1097</v>
      </c>
      <c r="B203" s="4" t="s">
        <v>451</v>
      </c>
      <c r="C203" s="18">
        <v>45526</v>
      </c>
      <c r="D203" s="4"/>
      <c r="E203" s="4">
        <v>0</v>
      </c>
      <c r="F203" s="4"/>
      <c r="G203" s="4" t="s">
        <v>461</v>
      </c>
      <c r="H203" s="4" t="s">
        <v>488</v>
      </c>
      <c r="I203" s="4" t="s">
        <v>1098</v>
      </c>
      <c r="J203" s="4" t="s">
        <v>455</v>
      </c>
      <c r="K203" s="4"/>
      <c r="L203" s="4"/>
    </row>
    <row r="204" spans="1:12" ht="14.25" hidden="1" customHeight="1" x14ac:dyDescent="0.35">
      <c r="A204" s="4" t="s">
        <v>1099</v>
      </c>
      <c r="B204" s="4" t="s">
        <v>451</v>
      </c>
      <c r="C204" s="18">
        <v>45526</v>
      </c>
      <c r="D204" s="4"/>
      <c r="E204" s="4">
        <v>1</v>
      </c>
      <c r="F204" s="4" t="s">
        <v>669</v>
      </c>
      <c r="G204" s="4" t="s">
        <v>466</v>
      </c>
      <c r="H204" s="4" t="s">
        <v>473</v>
      </c>
      <c r="I204" s="4" t="s">
        <v>1100</v>
      </c>
      <c r="J204" s="4" t="s">
        <v>455</v>
      </c>
      <c r="K204" s="4" t="s">
        <v>469</v>
      </c>
      <c r="L204" s="4" t="s">
        <v>470</v>
      </c>
    </row>
    <row r="205" spans="1:12" ht="14.25" hidden="1" customHeight="1" x14ac:dyDescent="0.35">
      <c r="A205" s="4" t="s">
        <v>1101</v>
      </c>
      <c r="B205" s="4" t="s">
        <v>451</v>
      </c>
      <c r="C205" s="18">
        <v>45531</v>
      </c>
      <c r="D205" s="4"/>
      <c r="E205" s="4">
        <v>0</v>
      </c>
      <c r="F205" s="4"/>
      <c r="G205" s="4" t="s">
        <v>466</v>
      </c>
      <c r="H205" s="4" t="s">
        <v>473</v>
      </c>
      <c r="I205" s="4" t="s">
        <v>1102</v>
      </c>
      <c r="J205" s="4" t="s">
        <v>455</v>
      </c>
      <c r="K205" s="4"/>
      <c r="L205" s="4"/>
    </row>
    <row r="206" spans="1:12" ht="14.25" hidden="1" customHeight="1" x14ac:dyDescent="0.35">
      <c r="A206" s="4" t="s">
        <v>1103</v>
      </c>
      <c r="B206" s="4" t="s">
        <v>451</v>
      </c>
      <c r="C206" s="18">
        <v>45531</v>
      </c>
      <c r="D206" s="4"/>
      <c r="E206" s="4">
        <v>0</v>
      </c>
      <c r="F206" s="4"/>
      <c r="G206" s="4" t="s">
        <v>466</v>
      </c>
      <c r="H206" s="4" t="s">
        <v>473</v>
      </c>
      <c r="I206" s="4" t="s">
        <v>1104</v>
      </c>
      <c r="J206" s="4" t="s">
        <v>455</v>
      </c>
      <c r="K206" s="4"/>
      <c r="L206" s="4"/>
    </row>
    <row r="207" spans="1:12" ht="14.25" hidden="1" customHeight="1" x14ac:dyDescent="0.35">
      <c r="A207" s="4" t="s">
        <v>1105</v>
      </c>
      <c r="B207" s="4" t="s">
        <v>451</v>
      </c>
      <c r="C207" s="18">
        <v>45531</v>
      </c>
      <c r="D207" s="4"/>
      <c r="E207" s="4">
        <v>0</v>
      </c>
      <c r="F207" s="4"/>
      <c r="G207" s="4" t="s">
        <v>466</v>
      </c>
      <c r="H207" s="4" t="s">
        <v>521</v>
      </c>
      <c r="I207" s="4" t="s">
        <v>1106</v>
      </c>
      <c r="J207" s="4" t="s">
        <v>455</v>
      </c>
      <c r="K207" s="4"/>
      <c r="L207" s="4"/>
    </row>
    <row r="208" spans="1:12" ht="14.25" hidden="1" customHeight="1" x14ac:dyDescent="0.35">
      <c r="A208" s="4" t="s">
        <v>1107</v>
      </c>
      <c r="B208" s="4" t="s">
        <v>500</v>
      </c>
      <c r="C208" s="18">
        <v>45532</v>
      </c>
      <c r="D208" s="18">
        <v>45566</v>
      </c>
      <c r="E208" s="4">
        <v>1</v>
      </c>
      <c r="F208" s="4" t="s">
        <v>1108</v>
      </c>
      <c r="G208" s="4" t="s">
        <v>761</v>
      </c>
      <c r="H208" s="4" t="s">
        <v>1109</v>
      </c>
      <c r="I208" s="4" t="s">
        <v>1110</v>
      </c>
      <c r="J208" s="4" t="s">
        <v>455</v>
      </c>
      <c r="K208" s="4" t="s">
        <v>469</v>
      </c>
      <c r="L208" s="4" t="s">
        <v>550</v>
      </c>
    </row>
    <row r="209" spans="1:12" ht="14.25" hidden="1" customHeight="1" x14ac:dyDescent="0.35">
      <c r="A209" s="4" t="s">
        <v>1111</v>
      </c>
      <c r="B209" s="4" t="s">
        <v>451</v>
      </c>
      <c r="C209" s="18">
        <v>45533</v>
      </c>
      <c r="D209" s="4"/>
      <c r="E209" s="4">
        <v>0</v>
      </c>
      <c r="F209" s="4"/>
      <c r="G209" s="4" t="s">
        <v>466</v>
      </c>
      <c r="H209" s="4" t="s">
        <v>467</v>
      </c>
      <c r="I209" s="4" t="s">
        <v>1112</v>
      </c>
      <c r="J209" s="4" t="s">
        <v>455</v>
      </c>
      <c r="K209" s="4"/>
      <c r="L209" s="4"/>
    </row>
    <row r="210" spans="1:12" ht="14.25" hidden="1" customHeight="1" x14ac:dyDescent="0.35">
      <c r="A210" s="4" t="s">
        <v>1113</v>
      </c>
      <c r="B210" s="4" t="s">
        <v>451</v>
      </c>
      <c r="C210" s="18">
        <v>45534</v>
      </c>
      <c r="D210" s="4"/>
      <c r="E210" s="4">
        <v>0</v>
      </c>
      <c r="F210" s="4"/>
      <c r="G210" s="4" t="s">
        <v>466</v>
      </c>
      <c r="H210" s="4" t="s">
        <v>467</v>
      </c>
      <c r="I210" s="4" t="s">
        <v>1114</v>
      </c>
      <c r="J210" s="4" t="s">
        <v>455</v>
      </c>
      <c r="K210" s="4"/>
      <c r="L210" s="4"/>
    </row>
    <row r="211" spans="1:12" ht="14.25" hidden="1" customHeight="1" x14ac:dyDescent="0.35">
      <c r="A211" s="4" t="s">
        <v>1115</v>
      </c>
      <c r="B211" s="4" t="s">
        <v>451</v>
      </c>
      <c r="C211" s="18">
        <v>45538</v>
      </c>
      <c r="D211" s="4"/>
      <c r="E211" s="4">
        <v>0</v>
      </c>
      <c r="F211" s="4"/>
      <c r="G211" s="4" t="s">
        <v>1116</v>
      </c>
      <c r="H211" s="4" t="s">
        <v>1117</v>
      </c>
      <c r="I211" s="4" t="s">
        <v>1118</v>
      </c>
      <c r="J211" s="4" t="s">
        <v>455</v>
      </c>
      <c r="K211" s="4"/>
      <c r="L211" s="4"/>
    </row>
    <row r="212" spans="1:12" ht="14.25" hidden="1" customHeight="1" x14ac:dyDescent="0.35">
      <c r="A212" s="4" t="s">
        <v>1119</v>
      </c>
      <c r="B212" s="4" t="s">
        <v>451</v>
      </c>
      <c r="C212" s="18">
        <v>45538</v>
      </c>
      <c r="D212" s="4"/>
      <c r="E212" s="4">
        <v>0</v>
      </c>
      <c r="F212" s="4"/>
      <c r="G212" s="4" t="s">
        <v>466</v>
      </c>
      <c r="H212" s="4" t="s">
        <v>473</v>
      </c>
      <c r="I212" s="4" t="s">
        <v>1120</v>
      </c>
      <c r="J212" s="4" t="s">
        <v>455</v>
      </c>
      <c r="K212" s="4"/>
      <c r="L212" s="4"/>
    </row>
    <row r="213" spans="1:12" ht="14.25" hidden="1" customHeight="1" x14ac:dyDescent="0.35">
      <c r="A213" s="4" t="s">
        <v>1121</v>
      </c>
      <c r="B213" s="4" t="s">
        <v>451</v>
      </c>
      <c r="C213" s="18">
        <v>45540</v>
      </c>
      <c r="D213" s="4"/>
      <c r="E213" s="4">
        <v>0</v>
      </c>
      <c r="F213" s="4"/>
      <c r="G213" s="4" t="s">
        <v>466</v>
      </c>
      <c r="H213" s="4" t="s">
        <v>467</v>
      </c>
      <c r="I213" s="4" t="s">
        <v>1122</v>
      </c>
      <c r="J213" s="4" t="s">
        <v>455</v>
      </c>
      <c r="K213" s="4"/>
      <c r="L213" s="4"/>
    </row>
    <row r="214" spans="1:12" ht="14.25" hidden="1" customHeight="1" x14ac:dyDescent="0.35">
      <c r="A214" s="4" t="s">
        <v>1123</v>
      </c>
      <c r="B214" s="4" t="s">
        <v>451</v>
      </c>
      <c r="C214" s="18">
        <v>45540</v>
      </c>
      <c r="D214" s="4"/>
      <c r="E214" s="4">
        <v>0</v>
      </c>
      <c r="F214" s="4"/>
      <c r="G214" s="4" t="s">
        <v>461</v>
      </c>
      <c r="H214" s="4" t="s">
        <v>462</v>
      </c>
      <c r="I214" s="4" t="s">
        <v>1124</v>
      </c>
      <c r="J214" s="4" t="s">
        <v>455</v>
      </c>
      <c r="K214" s="4"/>
      <c r="L214" s="4"/>
    </row>
    <row r="215" spans="1:12" ht="14.25" customHeight="1" x14ac:dyDescent="0.35">
      <c r="A215" s="3" t="s">
        <v>1125</v>
      </c>
      <c r="B215" s="3" t="s">
        <v>451</v>
      </c>
      <c r="C215" s="19">
        <v>45980</v>
      </c>
      <c r="D215" s="3"/>
      <c r="E215" s="3">
        <v>1</v>
      </c>
      <c r="F215" s="3" t="s">
        <v>1080</v>
      </c>
      <c r="G215" s="3" t="s">
        <v>1126</v>
      </c>
      <c r="H215" s="3" t="s">
        <v>1127</v>
      </c>
      <c r="I215" s="3" t="s">
        <v>117</v>
      </c>
      <c r="J215" s="3" t="s">
        <v>455</v>
      </c>
      <c r="K215" s="3" t="s">
        <v>805</v>
      </c>
      <c r="L215" s="3" t="s">
        <v>1083</v>
      </c>
    </row>
    <row r="216" spans="1:12" ht="14.25" hidden="1" customHeight="1" x14ac:dyDescent="0.35">
      <c r="A216" s="4" t="s">
        <v>1128</v>
      </c>
      <c r="B216" s="4" t="s">
        <v>451</v>
      </c>
      <c r="C216" s="18">
        <v>45544</v>
      </c>
      <c r="D216" s="4"/>
      <c r="E216" s="4">
        <v>0</v>
      </c>
      <c r="F216" s="4"/>
      <c r="G216" s="4" t="s">
        <v>466</v>
      </c>
      <c r="H216" s="4" t="s">
        <v>467</v>
      </c>
      <c r="I216" s="4" t="s">
        <v>1129</v>
      </c>
      <c r="J216" s="4" t="s">
        <v>455</v>
      </c>
      <c r="K216" s="4"/>
      <c r="L216" s="4"/>
    </row>
    <row r="217" spans="1:12" ht="14.25" hidden="1" customHeight="1" x14ac:dyDescent="0.35">
      <c r="A217" s="4" t="s">
        <v>1130</v>
      </c>
      <c r="B217" s="4" t="s">
        <v>451</v>
      </c>
      <c r="C217" s="18">
        <v>45545</v>
      </c>
      <c r="D217" s="4"/>
      <c r="E217" s="4">
        <v>1</v>
      </c>
      <c r="F217" s="4" t="s">
        <v>1131</v>
      </c>
      <c r="G217" s="4" t="s">
        <v>461</v>
      </c>
      <c r="H217" s="4" t="s">
        <v>462</v>
      </c>
      <c r="I217" s="4" t="s">
        <v>1132</v>
      </c>
      <c r="J217" s="4" t="s">
        <v>455</v>
      </c>
      <c r="K217" s="4" t="s">
        <v>469</v>
      </c>
      <c r="L217" s="4" t="s">
        <v>470</v>
      </c>
    </row>
    <row r="218" spans="1:12" ht="14.25" hidden="1" customHeight="1" x14ac:dyDescent="0.35">
      <c r="A218" s="4" t="s">
        <v>1133</v>
      </c>
      <c r="B218" s="4" t="s">
        <v>451</v>
      </c>
      <c r="C218" s="18">
        <v>45546</v>
      </c>
      <c r="D218" s="4"/>
      <c r="E218" s="4">
        <v>0</v>
      </c>
      <c r="F218" s="4"/>
      <c r="G218" s="4" t="s">
        <v>466</v>
      </c>
      <c r="H218" s="4" t="s">
        <v>473</v>
      </c>
      <c r="I218" s="4" t="s">
        <v>1134</v>
      </c>
      <c r="J218" s="4" t="s">
        <v>455</v>
      </c>
      <c r="K218" s="4"/>
      <c r="L218" s="4"/>
    </row>
    <row r="219" spans="1:12" ht="14.25" hidden="1" customHeight="1" x14ac:dyDescent="0.35">
      <c r="A219" s="4" t="s">
        <v>1135</v>
      </c>
      <c r="B219" s="4" t="s">
        <v>451</v>
      </c>
      <c r="C219" s="18">
        <v>45548</v>
      </c>
      <c r="D219" s="4"/>
      <c r="E219" s="4">
        <v>0</v>
      </c>
      <c r="F219" s="4"/>
      <c r="G219" s="4" t="s">
        <v>1136</v>
      </c>
      <c r="H219" s="4" t="s">
        <v>1137</v>
      </c>
      <c r="I219" s="4" t="s">
        <v>1138</v>
      </c>
      <c r="J219" s="4" t="s">
        <v>455</v>
      </c>
      <c r="K219" s="4"/>
      <c r="L219" s="4"/>
    </row>
    <row r="220" spans="1:12" ht="14.25" hidden="1" customHeight="1" x14ac:dyDescent="0.35">
      <c r="A220" s="4" t="s">
        <v>1139</v>
      </c>
      <c r="B220" s="4" t="s">
        <v>451</v>
      </c>
      <c r="C220" s="18">
        <v>45552</v>
      </c>
      <c r="D220" s="4"/>
      <c r="E220" s="4">
        <v>0</v>
      </c>
      <c r="F220" s="4"/>
      <c r="G220" s="4" t="s">
        <v>1140</v>
      </c>
      <c r="H220" s="4" t="s">
        <v>1141</v>
      </c>
      <c r="I220" s="4" t="s">
        <v>1142</v>
      </c>
      <c r="J220" s="4" t="s">
        <v>455</v>
      </c>
      <c r="K220" s="4"/>
      <c r="L220" s="4"/>
    </row>
    <row r="221" spans="1:12" ht="14.25" hidden="1" customHeight="1" x14ac:dyDescent="0.35">
      <c r="A221" s="4" t="s">
        <v>1143</v>
      </c>
      <c r="B221" s="4" t="s">
        <v>451</v>
      </c>
      <c r="C221" s="18">
        <v>45552</v>
      </c>
      <c r="D221" s="4"/>
      <c r="E221" s="4">
        <v>0</v>
      </c>
      <c r="F221" s="4"/>
      <c r="G221" s="4" t="s">
        <v>461</v>
      </c>
      <c r="H221" s="4" t="s">
        <v>462</v>
      </c>
      <c r="I221" s="4" t="s">
        <v>1144</v>
      </c>
      <c r="J221" s="4" t="s">
        <v>455</v>
      </c>
      <c r="K221" s="4"/>
      <c r="L221" s="4"/>
    </row>
    <row r="222" spans="1:12" ht="14.25" hidden="1" customHeight="1" x14ac:dyDescent="0.35">
      <c r="A222" s="4" t="s">
        <v>1145</v>
      </c>
      <c r="B222" s="4" t="s">
        <v>451</v>
      </c>
      <c r="C222" s="18">
        <v>45552</v>
      </c>
      <c r="D222" s="4"/>
      <c r="E222" s="4">
        <v>1</v>
      </c>
      <c r="F222" s="4" t="s">
        <v>531</v>
      </c>
      <c r="G222" s="4" t="s">
        <v>466</v>
      </c>
      <c r="H222" s="4" t="s">
        <v>467</v>
      </c>
      <c r="I222" s="4" t="s">
        <v>1146</v>
      </c>
      <c r="J222" s="4" t="s">
        <v>455</v>
      </c>
      <c r="K222" s="4" t="s">
        <v>469</v>
      </c>
      <c r="L222" s="4" t="s">
        <v>470</v>
      </c>
    </row>
    <row r="223" spans="1:12" ht="14.25" hidden="1" customHeight="1" x14ac:dyDescent="0.35">
      <c r="A223" s="4" t="s">
        <v>1147</v>
      </c>
      <c r="B223" s="4" t="s">
        <v>451</v>
      </c>
      <c r="C223" s="18">
        <v>45553</v>
      </c>
      <c r="D223" s="18">
        <v>45560</v>
      </c>
      <c r="E223" s="4">
        <v>0</v>
      </c>
      <c r="F223" s="4"/>
      <c r="G223" s="4" t="s">
        <v>750</v>
      </c>
      <c r="H223" s="4" t="s">
        <v>1148</v>
      </c>
      <c r="I223" s="4" t="s">
        <v>1149</v>
      </c>
      <c r="J223" s="4" t="s">
        <v>455</v>
      </c>
      <c r="K223" s="4"/>
      <c r="L223" s="4"/>
    </row>
    <row r="224" spans="1:12" ht="14.25" hidden="1" customHeight="1" x14ac:dyDescent="0.35">
      <c r="A224" s="4" t="s">
        <v>1150</v>
      </c>
      <c r="B224" s="4" t="s">
        <v>451</v>
      </c>
      <c r="C224" s="18">
        <v>45554</v>
      </c>
      <c r="D224" s="4"/>
      <c r="E224" s="4">
        <v>0</v>
      </c>
      <c r="F224" s="4"/>
      <c r="G224" s="4" t="s">
        <v>1151</v>
      </c>
      <c r="H224" s="4" t="s">
        <v>1152</v>
      </c>
      <c r="I224" s="4" t="s">
        <v>1153</v>
      </c>
      <c r="J224" s="4" t="s">
        <v>455</v>
      </c>
      <c r="K224" s="4"/>
      <c r="L224" s="4"/>
    </row>
    <row r="225" spans="1:12" ht="14.25" hidden="1" customHeight="1" x14ac:dyDescent="0.35">
      <c r="A225" s="4" t="s">
        <v>1154</v>
      </c>
      <c r="B225" s="4" t="s">
        <v>451</v>
      </c>
      <c r="C225" s="18">
        <v>45554</v>
      </c>
      <c r="D225" s="18">
        <v>45561</v>
      </c>
      <c r="E225" s="4">
        <v>0</v>
      </c>
      <c r="F225" s="4"/>
      <c r="G225" s="4" t="s">
        <v>1155</v>
      </c>
      <c r="H225" s="4" t="s">
        <v>1156</v>
      </c>
      <c r="I225" s="4" t="s">
        <v>1157</v>
      </c>
      <c r="J225" s="4" t="s">
        <v>455</v>
      </c>
      <c r="K225" s="4"/>
      <c r="L225" s="4"/>
    </row>
    <row r="226" spans="1:12" ht="14.25" hidden="1" customHeight="1" x14ac:dyDescent="0.35">
      <c r="A226" s="4" t="s">
        <v>1158</v>
      </c>
      <c r="B226" s="4" t="s">
        <v>451</v>
      </c>
      <c r="C226" s="18">
        <v>45554</v>
      </c>
      <c r="D226" s="18">
        <v>45563</v>
      </c>
      <c r="E226" s="4">
        <v>0</v>
      </c>
      <c r="F226" s="4"/>
      <c r="G226" s="4" t="s">
        <v>1159</v>
      </c>
      <c r="H226" s="4" t="s">
        <v>1160</v>
      </c>
      <c r="I226" s="4" t="s">
        <v>1161</v>
      </c>
      <c r="J226" s="4" t="s">
        <v>455</v>
      </c>
      <c r="K226" s="4"/>
      <c r="L226" s="4"/>
    </row>
    <row r="227" spans="1:12" ht="14.25" hidden="1" customHeight="1" x14ac:dyDescent="0.35">
      <c r="A227" s="4" t="s">
        <v>1162</v>
      </c>
      <c r="B227" s="4" t="s">
        <v>451</v>
      </c>
      <c r="C227" s="18">
        <v>45554</v>
      </c>
      <c r="D227" s="4"/>
      <c r="E227" s="4">
        <v>0</v>
      </c>
      <c r="F227" s="4"/>
      <c r="G227" s="4" t="s">
        <v>466</v>
      </c>
      <c r="H227" s="4" t="s">
        <v>467</v>
      </c>
      <c r="I227" s="4" t="s">
        <v>1163</v>
      </c>
      <c r="J227" s="4" t="s">
        <v>455</v>
      </c>
      <c r="K227" s="4"/>
      <c r="L227" s="4"/>
    </row>
    <row r="228" spans="1:12" ht="14.25" hidden="1" customHeight="1" x14ac:dyDescent="0.35">
      <c r="A228" s="4" t="s">
        <v>1164</v>
      </c>
      <c r="B228" s="4" t="s">
        <v>451</v>
      </c>
      <c r="C228" s="18">
        <v>45558</v>
      </c>
      <c r="D228" s="4"/>
      <c r="E228" s="4">
        <v>1</v>
      </c>
      <c r="F228" s="4" t="s">
        <v>659</v>
      </c>
      <c r="G228" s="4" t="s">
        <v>466</v>
      </c>
      <c r="H228" s="4" t="s">
        <v>473</v>
      </c>
      <c r="I228" s="4" t="s">
        <v>1165</v>
      </c>
      <c r="J228" s="4" t="s">
        <v>455</v>
      </c>
      <c r="K228" s="4" t="s">
        <v>469</v>
      </c>
      <c r="L228" s="4" t="s">
        <v>470</v>
      </c>
    </row>
    <row r="229" spans="1:12" ht="14.25" hidden="1" customHeight="1" x14ac:dyDescent="0.35">
      <c r="A229" s="4" t="s">
        <v>1166</v>
      </c>
      <c r="B229" s="4" t="s">
        <v>451</v>
      </c>
      <c r="C229" s="18">
        <v>45559</v>
      </c>
      <c r="D229" s="4"/>
      <c r="E229" s="4">
        <v>0</v>
      </c>
      <c r="F229" s="4"/>
      <c r="G229" s="4" t="s">
        <v>466</v>
      </c>
      <c r="H229" s="4" t="s">
        <v>467</v>
      </c>
      <c r="I229" s="4" t="s">
        <v>1167</v>
      </c>
      <c r="J229" s="4" t="s">
        <v>455</v>
      </c>
      <c r="K229" s="4"/>
      <c r="L229" s="4"/>
    </row>
    <row r="230" spans="1:12" ht="14.25" customHeight="1" x14ac:dyDescent="0.35">
      <c r="A230" s="3" t="s">
        <v>1168</v>
      </c>
      <c r="B230" s="3" t="s">
        <v>479</v>
      </c>
      <c r="C230" s="19">
        <v>46080</v>
      </c>
      <c r="D230" s="3"/>
      <c r="E230" s="3">
        <v>1</v>
      </c>
      <c r="F230" s="3" t="s">
        <v>1169</v>
      </c>
      <c r="G230" s="3" t="s">
        <v>1170</v>
      </c>
      <c r="H230" s="3" t="s">
        <v>1171</v>
      </c>
      <c r="I230" s="3" t="s">
        <v>1172</v>
      </c>
      <c r="J230" s="3" t="s">
        <v>455</v>
      </c>
      <c r="K230" s="3" t="s">
        <v>805</v>
      </c>
      <c r="L230" s="3" t="s">
        <v>1173</v>
      </c>
    </row>
    <row r="231" spans="1:12" ht="14.25" hidden="1" customHeight="1" x14ac:dyDescent="0.35">
      <c r="A231" s="4" t="s">
        <v>1174</v>
      </c>
      <c r="B231" s="4" t="s">
        <v>451</v>
      </c>
      <c r="C231" s="18">
        <v>45561</v>
      </c>
      <c r="D231" s="4"/>
      <c r="E231" s="4">
        <v>0</v>
      </c>
      <c r="F231" s="4"/>
      <c r="G231" s="4" t="s">
        <v>461</v>
      </c>
      <c r="H231" s="4" t="s">
        <v>488</v>
      </c>
      <c r="I231" s="4" t="s">
        <v>1175</v>
      </c>
      <c r="J231" s="4" t="s">
        <v>455</v>
      </c>
      <c r="K231" s="4"/>
      <c r="L231" s="4"/>
    </row>
    <row r="232" spans="1:12" ht="14.25" hidden="1" customHeight="1" x14ac:dyDescent="0.35">
      <c r="A232" s="4" t="s">
        <v>1176</v>
      </c>
      <c r="B232" s="4" t="s">
        <v>451</v>
      </c>
      <c r="C232" s="18">
        <v>45561</v>
      </c>
      <c r="D232" s="4"/>
      <c r="E232" s="4">
        <v>0</v>
      </c>
      <c r="F232" s="4"/>
      <c r="G232" s="4" t="s">
        <v>466</v>
      </c>
      <c r="H232" s="4" t="s">
        <v>473</v>
      </c>
      <c r="I232" s="4" t="s">
        <v>1177</v>
      </c>
      <c r="J232" s="4" t="s">
        <v>455</v>
      </c>
      <c r="K232" s="4"/>
      <c r="L232" s="4"/>
    </row>
    <row r="233" spans="1:12" ht="14.25" customHeight="1" x14ac:dyDescent="0.35">
      <c r="A233" s="3" t="s">
        <v>1178</v>
      </c>
      <c r="B233" s="3" t="s">
        <v>500</v>
      </c>
      <c r="C233" s="19">
        <v>46162</v>
      </c>
      <c r="D233" s="19">
        <v>46223</v>
      </c>
      <c r="E233" s="3">
        <v>1</v>
      </c>
      <c r="F233" s="3" t="s">
        <v>1179</v>
      </c>
      <c r="G233" s="3" t="s">
        <v>1180</v>
      </c>
      <c r="H233" s="3" t="s">
        <v>1181</v>
      </c>
      <c r="I233" s="3" t="s">
        <v>1182</v>
      </c>
      <c r="J233" s="3" t="s">
        <v>455</v>
      </c>
      <c r="K233" s="3" t="s">
        <v>805</v>
      </c>
      <c r="L233" s="3" t="s">
        <v>1183</v>
      </c>
    </row>
    <row r="234" spans="1:12" ht="14.25" hidden="1" customHeight="1" x14ac:dyDescent="0.35">
      <c r="A234" s="4" t="s">
        <v>1184</v>
      </c>
      <c r="B234" s="4" t="s">
        <v>451</v>
      </c>
      <c r="C234" s="18">
        <v>45562</v>
      </c>
      <c r="D234" s="18">
        <v>45658</v>
      </c>
      <c r="E234" s="4">
        <v>1</v>
      </c>
      <c r="F234" s="4" t="s">
        <v>1185</v>
      </c>
      <c r="G234" s="4" t="s">
        <v>1186</v>
      </c>
      <c r="H234" s="4" t="s">
        <v>1187</v>
      </c>
      <c r="I234" s="4" t="s">
        <v>1188</v>
      </c>
      <c r="J234" s="4" t="s">
        <v>455</v>
      </c>
      <c r="K234" s="4" t="s">
        <v>469</v>
      </c>
      <c r="L234" s="4" t="s">
        <v>1189</v>
      </c>
    </row>
    <row r="235" spans="1:12" ht="14.25" customHeight="1" x14ac:dyDescent="0.35">
      <c r="A235" s="3" t="s">
        <v>1190</v>
      </c>
      <c r="B235" s="3" t="s">
        <v>451</v>
      </c>
      <c r="C235" s="19">
        <v>45321</v>
      </c>
      <c r="D235" s="3"/>
      <c r="E235" s="3">
        <v>1</v>
      </c>
      <c r="F235" s="3" t="s">
        <v>1191</v>
      </c>
      <c r="G235" s="3" t="s">
        <v>1192</v>
      </c>
      <c r="H235" s="3" t="s">
        <v>1193</v>
      </c>
      <c r="I235" s="3" t="s">
        <v>1194</v>
      </c>
      <c r="J235" s="3" t="s">
        <v>455</v>
      </c>
      <c r="K235" s="3" t="s">
        <v>1195</v>
      </c>
      <c r="L235" s="3" t="s">
        <v>1196</v>
      </c>
    </row>
    <row r="236" spans="1:12" ht="14.25" hidden="1" customHeight="1" x14ac:dyDescent="0.35">
      <c r="A236" s="4" t="s">
        <v>1197</v>
      </c>
      <c r="B236" s="4" t="s">
        <v>451</v>
      </c>
      <c r="C236" s="18">
        <v>45565</v>
      </c>
      <c r="D236" s="4"/>
      <c r="E236" s="4">
        <v>0</v>
      </c>
      <c r="F236" s="4"/>
      <c r="G236" s="4" t="s">
        <v>466</v>
      </c>
      <c r="H236" s="4" t="s">
        <v>473</v>
      </c>
      <c r="I236" s="4" t="s">
        <v>1198</v>
      </c>
      <c r="J236" s="4" t="s">
        <v>455</v>
      </c>
      <c r="K236" s="4"/>
      <c r="L236" s="4"/>
    </row>
    <row r="237" spans="1:12" ht="14.25" hidden="1" customHeight="1" x14ac:dyDescent="0.35">
      <c r="A237" s="4" t="s">
        <v>1199</v>
      </c>
      <c r="B237" s="4" t="s">
        <v>451</v>
      </c>
      <c r="C237" s="18">
        <v>45565</v>
      </c>
      <c r="D237" s="4"/>
      <c r="E237" s="4">
        <v>0</v>
      </c>
      <c r="F237" s="4"/>
      <c r="G237" s="4" t="s">
        <v>461</v>
      </c>
      <c r="H237" s="4" t="s">
        <v>488</v>
      </c>
      <c r="I237" s="4" t="s">
        <v>1200</v>
      </c>
      <c r="J237" s="4" t="s">
        <v>455</v>
      </c>
      <c r="K237" s="4"/>
      <c r="L237" s="4"/>
    </row>
    <row r="238" spans="1:12" ht="14.25" hidden="1" customHeight="1" x14ac:dyDescent="0.35">
      <c r="A238" s="4" t="s">
        <v>1201</v>
      </c>
      <c r="B238" s="4" t="s">
        <v>500</v>
      </c>
      <c r="C238" s="18">
        <v>45566</v>
      </c>
      <c r="D238" s="18">
        <v>45566</v>
      </c>
      <c r="E238" s="4">
        <v>0</v>
      </c>
      <c r="F238" s="4"/>
      <c r="G238" s="4" t="s">
        <v>1202</v>
      </c>
      <c r="H238" s="4" t="s">
        <v>1203</v>
      </c>
      <c r="I238" s="4" t="s">
        <v>1204</v>
      </c>
      <c r="J238" s="4" t="s">
        <v>455</v>
      </c>
      <c r="K238" s="4"/>
      <c r="L238" s="4"/>
    </row>
    <row r="239" spans="1:12" ht="14.25" hidden="1" customHeight="1" x14ac:dyDescent="0.35">
      <c r="A239" s="4" t="s">
        <v>1205</v>
      </c>
      <c r="B239" s="4" t="s">
        <v>451</v>
      </c>
      <c r="C239" s="18">
        <v>45566</v>
      </c>
      <c r="D239" s="4"/>
      <c r="E239" s="4">
        <v>0</v>
      </c>
      <c r="F239" s="4"/>
      <c r="G239" s="4" t="s">
        <v>461</v>
      </c>
      <c r="H239" s="4" t="s">
        <v>488</v>
      </c>
      <c r="I239" s="4" t="s">
        <v>1206</v>
      </c>
      <c r="J239" s="4" t="s">
        <v>455</v>
      </c>
      <c r="K239" s="4"/>
      <c r="L239" s="4"/>
    </row>
    <row r="240" spans="1:12" ht="14.25" hidden="1" customHeight="1" x14ac:dyDescent="0.35">
      <c r="A240" s="4" t="s">
        <v>1207</v>
      </c>
      <c r="B240" s="4" t="s">
        <v>500</v>
      </c>
      <c r="C240" s="18">
        <v>45567</v>
      </c>
      <c r="D240" s="18">
        <v>45566</v>
      </c>
      <c r="E240" s="4">
        <v>0</v>
      </c>
      <c r="F240" s="4"/>
      <c r="G240" s="4" t="s">
        <v>1208</v>
      </c>
      <c r="H240" s="4" t="s">
        <v>1209</v>
      </c>
      <c r="I240" s="4" t="s">
        <v>1210</v>
      </c>
      <c r="J240" s="4" t="s">
        <v>455</v>
      </c>
      <c r="K240" s="4"/>
      <c r="L240" s="4"/>
    </row>
    <row r="241" spans="1:12" ht="14.25" hidden="1" customHeight="1" x14ac:dyDescent="0.35">
      <c r="A241" s="4" t="s">
        <v>1211</v>
      </c>
      <c r="B241" s="4" t="s">
        <v>500</v>
      </c>
      <c r="C241" s="18">
        <v>45567</v>
      </c>
      <c r="D241" s="18">
        <v>45566</v>
      </c>
      <c r="E241" s="4">
        <v>0</v>
      </c>
      <c r="F241" s="4"/>
      <c r="G241" s="4" t="s">
        <v>1212</v>
      </c>
      <c r="H241" s="4" t="s">
        <v>1213</v>
      </c>
      <c r="I241" s="4" t="s">
        <v>1214</v>
      </c>
      <c r="J241" s="4" t="s">
        <v>455</v>
      </c>
      <c r="K241" s="4"/>
      <c r="L241" s="4"/>
    </row>
    <row r="242" spans="1:12" ht="14.25" hidden="1" customHeight="1" x14ac:dyDescent="0.35">
      <c r="A242" s="4" t="s">
        <v>1215</v>
      </c>
      <c r="B242" s="4" t="s">
        <v>500</v>
      </c>
      <c r="C242" s="18">
        <v>45567</v>
      </c>
      <c r="D242" s="18">
        <v>45566</v>
      </c>
      <c r="E242" s="4">
        <v>0</v>
      </c>
      <c r="F242" s="4"/>
      <c r="G242" s="4" t="s">
        <v>866</v>
      </c>
      <c r="H242" s="4" t="s">
        <v>1216</v>
      </c>
      <c r="I242" s="4" t="s">
        <v>1217</v>
      </c>
      <c r="J242" s="4" t="s">
        <v>455</v>
      </c>
      <c r="K242" s="4"/>
      <c r="L242" s="4"/>
    </row>
    <row r="243" spans="1:12" ht="14.25" hidden="1" customHeight="1" x14ac:dyDescent="0.35">
      <c r="A243" s="4" t="s">
        <v>1218</v>
      </c>
      <c r="B243" s="4" t="s">
        <v>500</v>
      </c>
      <c r="C243" s="18">
        <v>45567</v>
      </c>
      <c r="D243" s="18">
        <v>45566</v>
      </c>
      <c r="E243" s="4">
        <v>0</v>
      </c>
      <c r="F243" s="4"/>
      <c r="G243" s="4" t="s">
        <v>1219</v>
      </c>
      <c r="H243" s="4" t="s">
        <v>1220</v>
      </c>
      <c r="I243" s="4" t="s">
        <v>1221</v>
      </c>
      <c r="J243" s="4" t="s">
        <v>455</v>
      </c>
      <c r="K243" s="4"/>
      <c r="L243" s="4"/>
    </row>
    <row r="244" spans="1:12" ht="14.25" hidden="1" customHeight="1" x14ac:dyDescent="0.35">
      <c r="A244" s="4" t="s">
        <v>1222</v>
      </c>
      <c r="B244" s="4" t="s">
        <v>451</v>
      </c>
      <c r="C244" s="18">
        <v>45567</v>
      </c>
      <c r="D244" s="4"/>
      <c r="E244" s="4">
        <v>1</v>
      </c>
      <c r="F244" s="4" t="s">
        <v>765</v>
      </c>
      <c r="G244" s="4" t="s">
        <v>466</v>
      </c>
      <c r="H244" s="4" t="s">
        <v>473</v>
      </c>
      <c r="I244" s="4" t="s">
        <v>1223</v>
      </c>
      <c r="J244" s="4" t="s">
        <v>455</v>
      </c>
      <c r="K244" s="4" t="s">
        <v>469</v>
      </c>
      <c r="L244" s="4" t="s">
        <v>470</v>
      </c>
    </row>
    <row r="245" spans="1:12" ht="14.25" hidden="1" customHeight="1" x14ac:dyDescent="0.35">
      <c r="A245" s="4" t="s">
        <v>1224</v>
      </c>
      <c r="B245" s="4" t="s">
        <v>500</v>
      </c>
      <c r="C245" s="18">
        <v>45568</v>
      </c>
      <c r="D245" s="18">
        <v>45565</v>
      </c>
      <c r="E245" s="4">
        <v>0</v>
      </c>
      <c r="F245" s="4"/>
      <c r="G245" s="4" t="s">
        <v>1225</v>
      </c>
      <c r="H245" s="4" t="s">
        <v>1226</v>
      </c>
      <c r="I245" s="4" t="s">
        <v>1227</v>
      </c>
      <c r="J245" s="4" t="s">
        <v>455</v>
      </c>
      <c r="K245" s="4"/>
      <c r="L245" s="4"/>
    </row>
    <row r="246" spans="1:12" ht="14.25" hidden="1" customHeight="1" x14ac:dyDescent="0.35">
      <c r="A246" s="4" t="s">
        <v>1228</v>
      </c>
      <c r="B246" s="4" t="s">
        <v>451</v>
      </c>
      <c r="C246" s="18">
        <v>45569</v>
      </c>
      <c r="D246" s="4"/>
      <c r="E246" s="4">
        <v>0</v>
      </c>
      <c r="F246" s="4"/>
      <c r="G246" s="4" t="s">
        <v>461</v>
      </c>
      <c r="H246" s="4" t="s">
        <v>488</v>
      </c>
      <c r="I246" s="4" t="s">
        <v>1229</v>
      </c>
      <c r="J246" s="4" t="s">
        <v>455</v>
      </c>
      <c r="K246" s="4"/>
      <c r="L246" s="4"/>
    </row>
    <row r="247" spans="1:12" ht="14.25" hidden="1" customHeight="1" x14ac:dyDescent="0.35">
      <c r="A247" s="4" t="s">
        <v>1230</v>
      </c>
      <c r="B247" s="4" t="s">
        <v>451</v>
      </c>
      <c r="C247" s="18">
        <v>45573</v>
      </c>
      <c r="D247" s="4"/>
      <c r="E247" s="4">
        <v>0</v>
      </c>
      <c r="F247" s="4"/>
      <c r="G247" s="4" t="s">
        <v>466</v>
      </c>
      <c r="H247" s="4" t="s">
        <v>473</v>
      </c>
      <c r="I247" s="4" t="s">
        <v>1231</v>
      </c>
      <c r="J247" s="4" t="s">
        <v>455</v>
      </c>
      <c r="K247" s="4"/>
      <c r="L247" s="4"/>
    </row>
    <row r="248" spans="1:12" ht="14.25" hidden="1" customHeight="1" x14ac:dyDescent="0.35">
      <c r="A248" s="4" t="s">
        <v>1232</v>
      </c>
      <c r="B248" s="4" t="s">
        <v>451</v>
      </c>
      <c r="C248" s="18">
        <v>45574</v>
      </c>
      <c r="D248" s="4"/>
      <c r="E248" s="4">
        <v>1</v>
      </c>
      <c r="F248" s="4" t="s">
        <v>1233</v>
      </c>
      <c r="G248" s="4" t="s">
        <v>461</v>
      </c>
      <c r="H248" s="4" t="s">
        <v>462</v>
      </c>
      <c r="I248" s="4" t="s">
        <v>1234</v>
      </c>
      <c r="J248" s="4" t="s">
        <v>455</v>
      </c>
      <c r="K248" s="4" t="s">
        <v>469</v>
      </c>
      <c r="L248" s="4" t="s">
        <v>470</v>
      </c>
    </row>
    <row r="249" spans="1:12" ht="14.25" customHeight="1" x14ac:dyDescent="0.35">
      <c r="A249" s="3" t="s">
        <v>1235</v>
      </c>
      <c r="B249" s="3" t="s">
        <v>500</v>
      </c>
      <c r="C249" s="19">
        <v>45384</v>
      </c>
      <c r="D249" s="19">
        <v>45446</v>
      </c>
      <c r="E249" s="3">
        <v>1</v>
      </c>
      <c r="F249" s="3" t="s">
        <v>1236</v>
      </c>
      <c r="G249" s="3" t="s">
        <v>1237</v>
      </c>
      <c r="H249" s="3" t="s">
        <v>1238</v>
      </c>
      <c r="I249" s="3" t="s">
        <v>1239</v>
      </c>
      <c r="J249" s="3" t="s">
        <v>455</v>
      </c>
      <c r="K249" s="3" t="s">
        <v>1195</v>
      </c>
      <c r="L249" s="3" t="s">
        <v>1240</v>
      </c>
    </row>
    <row r="250" spans="1:12" ht="14.25" hidden="1" customHeight="1" x14ac:dyDescent="0.35">
      <c r="A250" s="4" t="s">
        <v>1241</v>
      </c>
      <c r="B250" s="4" t="s">
        <v>451</v>
      </c>
      <c r="C250" s="18">
        <v>45575</v>
      </c>
      <c r="D250" s="4"/>
      <c r="E250" s="4">
        <v>0</v>
      </c>
      <c r="F250" s="4"/>
      <c r="G250" s="4" t="s">
        <v>1242</v>
      </c>
      <c r="H250" s="4" t="s">
        <v>1243</v>
      </c>
      <c r="I250" s="4" t="s">
        <v>1244</v>
      </c>
      <c r="J250" s="4" t="s">
        <v>455</v>
      </c>
      <c r="K250" s="4"/>
      <c r="L250" s="4"/>
    </row>
    <row r="251" spans="1:12" ht="14.25" customHeight="1" x14ac:dyDescent="0.35">
      <c r="A251" s="3" t="s">
        <v>1245</v>
      </c>
      <c r="B251" s="3" t="s">
        <v>500</v>
      </c>
      <c r="C251" s="19">
        <v>45420</v>
      </c>
      <c r="D251" s="19">
        <v>45597</v>
      </c>
      <c r="E251" s="3">
        <v>1</v>
      </c>
      <c r="F251" s="3" t="s">
        <v>1246</v>
      </c>
      <c r="G251" s="3" t="s">
        <v>1247</v>
      </c>
      <c r="H251" s="3" t="s">
        <v>1248</v>
      </c>
      <c r="I251" s="3" t="s">
        <v>1249</v>
      </c>
      <c r="J251" s="3" t="s">
        <v>455</v>
      </c>
      <c r="K251" s="3" t="s">
        <v>1195</v>
      </c>
      <c r="L251" s="3" t="s">
        <v>1250</v>
      </c>
    </row>
    <row r="252" spans="1:12" ht="14.25" hidden="1" customHeight="1" x14ac:dyDescent="0.35">
      <c r="A252" s="4" t="s">
        <v>1251</v>
      </c>
      <c r="B252" s="4" t="s">
        <v>451</v>
      </c>
      <c r="C252" s="18">
        <v>45580</v>
      </c>
      <c r="D252" s="4"/>
      <c r="E252" s="4">
        <v>0</v>
      </c>
      <c r="F252" s="4"/>
      <c r="G252" s="4" t="s">
        <v>466</v>
      </c>
      <c r="H252" s="4" t="s">
        <v>467</v>
      </c>
      <c r="I252" s="4" t="s">
        <v>1252</v>
      </c>
      <c r="J252" s="4" t="s">
        <v>455</v>
      </c>
      <c r="K252" s="4"/>
      <c r="L252" s="4"/>
    </row>
    <row r="253" spans="1:12" ht="14.25" hidden="1" customHeight="1" x14ac:dyDescent="0.35">
      <c r="A253" s="4" t="s">
        <v>1253</v>
      </c>
      <c r="B253" s="4" t="s">
        <v>451</v>
      </c>
      <c r="C253" s="18">
        <v>45582</v>
      </c>
      <c r="D253" s="4"/>
      <c r="E253" s="4">
        <v>0</v>
      </c>
      <c r="F253" s="4"/>
      <c r="G253" s="4" t="s">
        <v>1254</v>
      </c>
      <c r="H253" s="4" t="s">
        <v>1255</v>
      </c>
      <c r="I253" s="4" t="s">
        <v>1256</v>
      </c>
      <c r="J253" s="4" t="s">
        <v>455</v>
      </c>
      <c r="K253" s="4"/>
      <c r="L253" s="4"/>
    </row>
    <row r="254" spans="1:12" ht="14.25" hidden="1" customHeight="1" x14ac:dyDescent="0.35">
      <c r="A254" s="4" t="s">
        <v>1257</v>
      </c>
      <c r="B254" s="4" t="s">
        <v>451</v>
      </c>
      <c r="C254" s="18">
        <v>45586</v>
      </c>
      <c r="D254" s="4"/>
      <c r="E254" s="4">
        <v>1</v>
      </c>
      <c r="F254" s="4" t="s">
        <v>1059</v>
      </c>
      <c r="G254" s="4" t="s">
        <v>466</v>
      </c>
      <c r="H254" s="4" t="s">
        <v>473</v>
      </c>
      <c r="I254" s="4" t="s">
        <v>1258</v>
      </c>
      <c r="J254" s="4" t="s">
        <v>455</v>
      </c>
      <c r="K254" s="4" t="s">
        <v>469</v>
      </c>
      <c r="L254" s="4" t="s">
        <v>470</v>
      </c>
    </row>
    <row r="255" spans="1:12" ht="14.25" hidden="1" customHeight="1" x14ac:dyDescent="0.35">
      <c r="A255" s="4" t="s">
        <v>1259</v>
      </c>
      <c r="B255" s="4" t="s">
        <v>451</v>
      </c>
      <c r="C255" s="18">
        <v>45586</v>
      </c>
      <c r="D255" s="4"/>
      <c r="E255" s="4">
        <v>1</v>
      </c>
      <c r="F255" s="4" t="s">
        <v>1260</v>
      </c>
      <c r="G255" s="4" t="s">
        <v>461</v>
      </c>
      <c r="H255" s="4" t="s">
        <v>488</v>
      </c>
      <c r="I255" s="4" t="s">
        <v>1261</v>
      </c>
      <c r="J255" s="4" t="s">
        <v>455</v>
      </c>
      <c r="K255" s="4" t="s">
        <v>469</v>
      </c>
      <c r="L255" s="4" t="s">
        <v>470</v>
      </c>
    </row>
    <row r="256" spans="1:12" ht="14.25" customHeight="1" x14ac:dyDescent="0.35">
      <c r="A256" s="3" t="s">
        <v>1262</v>
      </c>
      <c r="B256" s="3" t="s">
        <v>500</v>
      </c>
      <c r="C256" s="19">
        <v>45460</v>
      </c>
      <c r="D256" s="19">
        <v>45490</v>
      </c>
      <c r="E256" s="3">
        <v>1</v>
      </c>
      <c r="F256" s="3" t="s">
        <v>1263</v>
      </c>
      <c r="G256" s="3" t="s">
        <v>1264</v>
      </c>
      <c r="H256" s="3" t="s">
        <v>1265</v>
      </c>
      <c r="I256" s="3" t="s">
        <v>1266</v>
      </c>
      <c r="J256" s="3" t="s">
        <v>455</v>
      </c>
      <c r="K256" s="3" t="s">
        <v>1195</v>
      </c>
      <c r="L256" s="3" t="s">
        <v>1267</v>
      </c>
    </row>
    <row r="257" spans="1:12" ht="14.25" hidden="1" customHeight="1" x14ac:dyDescent="0.35">
      <c r="A257" s="4" t="s">
        <v>1268</v>
      </c>
      <c r="B257" s="4" t="s">
        <v>500</v>
      </c>
      <c r="C257" s="18">
        <v>45593</v>
      </c>
      <c r="D257" s="18">
        <v>45593</v>
      </c>
      <c r="E257" s="4">
        <v>0</v>
      </c>
      <c r="F257" s="4"/>
      <c r="G257" s="4" t="s">
        <v>1269</v>
      </c>
      <c r="H257" s="4" t="s">
        <v>1270</v>
      </c>
      <c r="I257" s="4" t="s">
        <v>1271</v>
      </c>
      <c r="J257" s="4" t="s">
        <v>455</v>
      </c>
      <c r="K257" s="4"/>
      <c r="L257" s="4"/>
    </row>
    <row r="258" spans="1:12" ht="14.25" hidden="1" customHeight="1" x14ac:dyDescent="0.35">
      <c r="A258" s="4" t="s">
        <v>1272</v>
      </c>
      <c r="B258" s="4" t="s">
        <v>451</v>
      </c>
      <c r="C258" s="18">
        <v>45593</v>
      </c>
      <c r="D258" s="4"/>
      <c r="E258" s="4">
        <v>1</v>
      </c>
      <c r="F258" s="4" t="s">
        <v>765</v>
      </c>
      <c r="G258" s="4" t="s">
        <v>461</v>
      </c>
      <c r="H258" s="4" t="s">
        <v>488</v>
      </c>
      <c r="I258" s="4" t="s">
        <v>1273</v>
      </c>
      <c r="J258" s="4" t="s">
        <v>455</v>
      </c>
      <c r="K258" s="4" t="s">
        <v>469</v>
      </c>
      <c r="L258" s="4" t="s">
        <v>470</v>
      </c>
    </row>
    <row r="259" spans="1:12" ht="14.25" hidden="1" customHeight="1" x14ac:dyDescent="0.35">
      <c r="A259" s="4" t="s">
        <v>1274</v>
      </c>
      <c r="B259" s="4" t="s">
        <v>451</v>
      </c>
      <c r="C259" s="18">
        <v>45593</v>
      </c>
      <c r="D259" s="4"/>
      <c r="E259" s="4">
        <v>1</v>
      </c>
      <c r="F259" s="4" t="s">
        <v>484</v>
      </c>
      <c r="G259" s="4" t="s">
        <v>466</v>
      </c>
      <c r="H259" s="4" t="s">
        <v>473</v>
      </c>
      <c r="I259" s="4" t="s">
        <v>1275</v>
      </c>
      <c r="J259" s="4" t="s">
        <v>455</v>
      </c>
      <c r="K259" s="4" t="s">
        <v>469</v>
      </c>
      <c r="L259" s="4" t="s">
        <v>470</v>
      </c>
    </row>
    <row r="260" spans="1:12" ht="14.25" hidden="1" customHeight="1" x14ac:dyDescent="0.35">
      <c r="A260" s="4" t="s">
        <v>1276</v>
      </c>
      <c r="B260" s="4" t="s">
        <v>451</v>
      </c>
      <c r="C260" s="18">
        <v>45593</v>
      </c>
      <c r="D260" s="4"/>
      <c r="E260" s="4">
        <v>0</v>
      </c>
      <c r="F260" s="4"/>
      <c r="G260" s="4" t="s">
        <v>1277</v>
      </c>
      <c r="H260" s="4" t="s">
        <v>1278</v>
      </c>
      <c r="I260" s="4" t="s">
        <v>1279</v>
      </c>
      <c r="J260" s="4" t="s">
        <v>455</v>
      </c>
      <c r="K260" s="4"/>
      <c r="L260" s="4"/>
    </row>
    <row r="261" spans="1:12" ht="14.25" hidden="1" customHeight="1" x14ac:dyDescent="0.35">
      <c r="A261" s="4" t="s">
        <v>1280</v>
      </c>
      <c r="B261" s="4" t="s">
        <v>451</v>
      </c>
      <c r="C261" s="18">
        <v>45595</v>
      </c>
      <c r="D261" s="4"/>
      <c r="E261" s="4">
        <v>0</v>
      </c>
      <c r="F261" s="4"/>
      <c r="G261" s="4" t="s">
        <v>461</v>
      </c>
      <c r="H261" s="4" t="s">
        <v>488</v>
      </c>
      <c r="I261" s="4" t="s">
        <v>1281</v>
      </c>
      <c r="J261" s="4" t="s">
        <v>455</v>
      </c>
      <c r="K261" s="4"/>
      <c r="L261" s="4"/>
    </row>
    <row r="262" spans="1:12" ht="14.25" hidden="1" customHeight="1" x14ac:dyDescent="0.35">
      <c r="A262" s="4" t="s">
        <v>1282</v>
      </c>
      <c r="B262" s="4" t="s">
        <v>451</v>
      </c>
      <c r="C262" s="18">
        <v>45596</v>
      </c>
      <c r="D262" s="4"/>
      <c r="E262" s="4">
        <v>0</v>
      </c>
      <c r="F262" s="4"/>
      <c r="G262" s="4" t="s">
        <v>466</v>
      </c>
      <c r="H262" s="4" t="s">
        <v>473</v>
      </c>
      <c r="I262" s="4" t="s">
        <v>1283</v>
      </c>
      <c r="J262" s="4" t="s">
        <v>455</v>
      </c>
      <c r="K262" s="4"/>
      <c r="L262" s="4"/>
    </row>
    <row r="263" spans="1:12" ht="14.25" hidden="1" customHeight="1" x14ac:dyDescent="0.35">
      <c r="A263" s="4" t="s">
        <v>1284</v>
      </c>
      <c r="B263" s="4" t="s">
        <v>451</v>
      </c>
      <c r="C263" s="18">
        <v>45596</v>
      </c>
      <c r="D263" s="4"/>
      <c r="E263" s="4">
        <v>1</v>
      </c>
      <c r="F263" s="4" t="s">
        <v>465</v>
      </c>
      <c r="G263" s="4" t="s">
        <v>466</v>
      </c>
      <c r="H263" s="4" t="s">
        <v>473</v>
      </c>
      <c r="I263" s="4" t="s">
        <v>1285</v>
      </c>
      <c r="J263" s="4" t="s">
        <v>455</v>
      </c>
      <c r="K263" s="4" t="s">
        <v>469</v>
      </c>
      <c r="L263" s="4" t="s">
        <v>470</v>
      </c>
    </row>
    <row r="264" spans="1:12" ht="14.25" hidden="1" customHeight="1" x14ac:dyDescent="0.35">
      <c r="A264" s="4" t="s">
        <v>1286</v>
      </c>
      <c r="B264" s="4" t="s">
        <v>451</v>
      </c>
      <c r="C264" s="18">
        <v>45597</v>
      </c>
      <c r="D264" s="4"/>
      <c r="E264" s="4">
        <v>0</v>
      </c>
      <c r="F264" s="4"/>
      <c r="G264" s="4" t="s">
        <v>457</v>
      </c>
      <c r="H264" s="4" t="s">
        <v>458</v>
      </c>
      <c r="I264" s="4" t="s">
        <v>1287</v>
      </c>
      <c r="J264" s="4" t="s">
        <v>455</v>
      </c>
      <c r="K264" s="4"/>
      <c r="L264" s="4"/>
    </row>
    <row r="265" spans="1:12" ht="14.25" hidden="1" customHeight="1" x14ac:dyDescent="0.35">
      <c r="A265" s="4" t="s">
        <v>1288</v>
      </c>
      <c r="B265" s="4" t="s">
        <v>451</v>
      </c>
      <c r="C265" s="18">
        <v>45597</v>
      </c>
      <c r="D265" s="4"/>
      <c r="E265" s="4">
        <v>0</v>
      </c>
      <c r="F265" s="4"/>
      <c r="G265" s="4" t="s">
        <v>461</v>
      </c>
      <c r="H265" s="4" t="s">
        <v>462</v>
      </c>
      <c r="I265" s="4" t="s">
        <v>1289</v>
      </c>
      <c r="J265" s="4" t="s">
        <v>455</v>
      </c>
      <c r="K265" s="4"/>
      <c r="L265" s="4"/>
    </row>
    <row r="266" spans="1:12" ht="14.25" hidden="1" customHeight="1" x14ac:dyDescent="0.35">
      <c r="A266" s="4" t="s">
        <v>1290</v>
      </c>
      <c r="B266" s="4" t="s">
        <v>451</v>
      </c>
      <c r="C266" s="18">
        <v>45601</v>
      </c>
      <c r="D266" s="4"/>
      <c r="E266" s="4">
        <v>0</v>
      </c>
      <c r="F266" s="4"/>
      <c r="G266" s="4" t="s">
        <v>457</v>
      </c>
      <c r="H266" s="4" t="s">
        <v>458</v>
      </c>
      <c r="I266" s="4" t="s">
        <v>1291</v>
      </c>
      <c r="J266" s="4" t="s">
        <v>455</v>
      </c>
      <c r="K266" s="4"/>
      <c r="L266" s="4"/>
    </row>
    <row r="267" spans="1:12" ht="14.25" hidden="1" customHeight="1" x14ac:dyDescent="0.35">
      <c r="A267" s="4" t="s">
        <v>1292</v>
      </c>
      <c r="B267" s="4" t="s">
        <v>451</v>
      </c>
      <c r="C267" s="18">
        <v>45602</v>
      </c>
      <c r="D267" s="4"/>
      <c r="E267" s="4">
        <v>0</v>
      </c>
      <c r="F267" s="4"/>
      <c r="G267" s="4" t="s">
        <v>466</v>
      </c>
      <c r="H267" s="4" t="s">
        <v>467</v>
      </c>
      <c r="I267" s="4" t="s">
        <v>1293</v>
      </c>
      <c r="J267" s="4" t="s">
        <v>455</v>
      </c>
      <c r="K267" s="4"/>
      <c r="L267" s="4"/>
    </row>
    <row r="268" spans="1:12" ht="14.25" hidden="1" customHeight="1" x14ac:dyDescent="0.35">
      <c r="A268" s="4" t="s">
        <v>1294</v>
      </c>
      <c r="B268" s="4" t="s">
        <v>451</v>
      </c>
      <c r="C268" s="18">
        <v>45602</v>
      </c>
      <c r="D268" s="4"/>
      <c r="E268" s="4">
        <v>0</v>
      </c>
      <c r="F268" s="4"/>
      <c r="G268" s="4" t="s">
        <v>466</v>
      </c>
      <c r="H268" s="4" t="s">
        <v>473</v>
      </c>
      <c r="I268" s="4" t="s">
        <v>1295</v>
      </c>
      <c r="J268" s="4" t="s">
        <v>455</v>
      </c>
      <c r="K268" s="4"/>
      <c r="L268" s="4"/>
    </row>
    <row r="269" spans="1:12" ht="14.25" hidden="1" customHeight="1" x14ac:dyDescent="0.35">
      <c r="A269" s="4" t="s">
        <v>1296</v>
      </c>
      <c r="B269" s="4" t="s">
        <v>451</v>
      </c>
      <c r="C269" s="18">
        <v>45602</v>
      </c>
      <c r="D269" s="4"/>
      <c r="E269" s="4">
        <v>1</v>
      </c>
      <c r="F269" s="4" t="s">
        <v>484</v>
      </c>
      <c r="G269" s="4" t="s">
        <v>461</v>
      </c>
      <c r="H269" s="4" t="s">
        <v>462</v>
      </c>
      <c r="I269" s="4" t="s">
        <v>1297</v>
      </c>
      <c r="J269" s="4" t="s">
        <v>455</v>
      </c>
      <c r="K269" s="4" t="s">
        <v>469</v>
      </c>
      <c r="L269" s="4" t="s">
        <v>470</v>
      </c>
    </row>
    <row r="270" spans="1:12" ht="14.25" hidden="1" customHeight="1" x14ac:dyDescent="0.35">
      <c r="A270" s="4" t="s">
        <v>1298</v>
      </c>
      <c r="B270" s="4" t="s">
        <v>500</v>
      </c>
      <c r="C270" s="18">
        <v>45603</v>
      </c>
      <c r="D270" s="18">
        <v>45658</v>
      </c>
      <c r="E270" s="4">
        <v>1</v>
      </c>
      <c r="F270" s="4" t="s">
        <v>1299</v>
      </c>
      <c r="G270" s="4" t="s">
        <v>950</v>
      </c>
      <c r="H270" s="4" t="s">
        <v>1300</v>
      </c>
      <c r="I270" s="4" t="s">
        <v>1301</v>
      </c>
      <c r="J270" s="4" t="s">
        <v>455</v>
      </c>
      <c r="K270" s="4" t="s">
        <v>469</v>
      </c>
      <c r="L270" s="4" t="s">
        <v>550</v>
      </c>
    </row>
    <row r="271" spans="1:12" ht="14.25" hidden="1" customHeight="1" x14ac:dyDescent="0.35">
      <c r="A271" s="4" t="s">
        <v>1302</v>
      </c>
      <c r="B271" s="4" t="s">
        <v>451</v>
      </c>
      <c r="C271" s="18">
        <v>45603</v>
      </c>
      <c r="D271" s="4"/>
      <c r="E271" s="4">
        <v>0</v>
      </c>
      <c r="F271" s="4"/>
      <c r="G271" s="4" t="s">
        <v>1303</v>
      </c>
      <c r="H271" s="4" t="s">
        <v>496</v>
      </c>
      <c r="I271" s="4" t="s">
        <v>1304</v>
      </c>
      <c r="J271" s="4" t="s">
        <v>455</v>
      </c>
      <c r="K271" s="4"/>
      <c r="L271" s="4"/>
    </row>
    <row r="272" spans="1:12" ht="14.25" hidden="1" customHeight="1" x14ac:dyDescent="0.35">
      <c r="A272" s="4" t="s">
        <v>1305</v>
      </c>
      <c r="B272" s="4" t="s">
        <v>451</v>
      </c>
      <c r="C272" s="18">
        <v>45604</v>
      </c>
      <c r="D272" s="4"/>
      <c r="E272" s="4">
        <v>0</v>
      </c>
      <c r="F272" s="4"/>
      <c r="G272" s="4" t="s">
        <v>1306</v>
      </c>
      <c r="H272" s="4" t="s">
        <v>1307</v>
      </c>
      <c r="I272" s="4" t="s">
        <v>1308</v>
      </c>
      <c r="J272" s="4" t="s">
        <v>455</v>
      </c>
      <c r="K272" s="4"/>
      <c r="L272" s="4"/>
    </row>
    <row r="273" spans="1:12" ht="14.25" hidden="1" customHeight="1" x14ac:dyDescent="0.35">
      <c r="A273" s="4" t="s">
        <v>1309</v>
      </c>
      <c r="B273" s="4" t="s">
        <v>451</v>
      </c>
      <c r="C273" s="18">
        <v>45604</v>
      </c>
      <c r="D273" s="4"/>
      <c r="E273" s="4">
        <v>1</v>
      </c>
      <c r="F273" s="4" t="s">
        <v>644</v>
      </c>
      <c r="G273" s="4" t="s">
        <v>466</v>
      </c>
      <c r="H273" s="4" t="s">
        <v>467</v>
      </c>
      <c r="I273" s="4" t="s">
        <v>1310</v>
      </c>
      <c r="J273" s="4" t="s">
        <v>455</v>
      </c>
      <c r="K273" s="4" t="s">
        <v>469</v>
      </c>
      <c r="L273" s="4" t="s">
        <v>470</v>
      </c>
    </row>
    <row r="274" spans="1:12" ht="14.25" hidden="1" customHeight="1" x14ac:dyDescent="0.35">
      <c r="A274" s="4" t="s">
        <v>1311</v>
      </c>
      <c r="B274" s="4" t="s">
        <v>500</v>
      </c>
      <c r="C274" s="18">
        <v>45608</v>
      </c>
      <c r="D274" s="18">
        <v>45658</v>
      </c>
      <c r="E274" s="4">
        <v>1</v>
      </c>
      <c r="F274" s="4" t="s">
        <v>1312</v>
      </c>
      <c r="G274" s="4" t="s">
        <v>963</v>
      </c>
      <c r="H274" s="4" t="s">
        <v>1313</v>
      </c>
      <c r="I274" s="4" t="s">
        <v>1314</v>
      </c>
      <c r="J274" s="4" t="s">
        <v>455</v>
      </c>
      <c r="K274" s="4" t="s">
        <v>469</v>
      </c>
      <c r="L274" s="4" t="s">
        <v>550</v>
      </c>
    </row>
    <row r="275" spans="1:12" ht="14.25" hidden="1" customHeight="1" x14ac:dyDescent="0.35">
      <c r="A275" s="4" t="s">
        <v>1315</v>
      </c>
      <c r="B275" s="4" t="s">
        <v>451</v>
      </c>
      <c r="C275" s="18">
        <v>45608</v>
      </c>
      <c r="D275" s="4"/>
      <c r="E275" s="4">
        <v>0</v>
      </c>
      <c r="F275" s="4"/>
      <c r="G275" s="4" t="s">
        <v>1316</v>
      </c>
      <c r="H275" s="4" t="s">
        <v>1317</v>
      </c>
      <c r="I275" s="4" t="s">
        <v>1318</v>
      </c>
      <c r="J275" s="4" t="s">
        <v>455</v>
      </c>
      <c r="K275" s="4"/>
      <c r="L275" s="4"/>
    </row>
    <row r="276" spans="1:12" ht="14.25" hidden="1" customHeight="1" x14ac:dyDescent="0.35">
      <c r="A276" s="4" t="s">
        <v>1319</v>
      </c>
      <c r="B276" s="4" t="s">
        <v>451</v>
      </c>
      <c r="C276" s="18">
        <v>45608</v>
      </c>
      <c r="D276" s="4"/>
      <c r="E276" s="4">
        <v>0</v>
      </c>
      <c r="F276" s="4"/>
      <c r="G276" s="4" t="s">
        <v>1320</v>
      </c>
      <c r="H276" s="4" t="s">
        <v>1321</v>
      </c>
      <c r="I276" s="4" t="s">
        <v>1322</v>
      </c>
      <c r="J276" s="4" t="s">
        <v>455</v>
      </c>
      <c r="K276" s="4"/>
      <c r="L276" s="4"/>
    </row>
    <row r="277" spans="1:12" ht="14.25" hidden="1" customHeight="1" x14ac:dyDescent="0.35">
      <c r="A277" s="4" t="s">
        <v>1323</v>
      </c>
      <c r="B277" s="4" t="s">
        <v>451</v>
      </c>
      <c r="C277" s="18">
        <v>45610</v>
      </c>
      <c r="D277" s="18">
        <v>45658</v>
      </c>
      <c r="E277" s="4">
        <v>0</v>
      </c>
      <c r="F277" s="4"/>
      <c r="G277" s="4" t="s">
        <v>1324</v>
      </c>
      <c r="H277" s="4" t="s">
        <v>1325</v>
      </c>
      <c r="I277" s="4" t="s">
        <v>1326</v>
      </c>
      <c r="J277" s="4" t="s">
        <v>455</v>
      </c>
      <c r="K277" s="4"/>
      <c r="L277" s="4"/>
    </row>
    <row r="278" spans="1:12" ht="14.25" hidden="1" customHeight="1" x14ac:dyDescent="0.35">
      <c r="A278" s="4" t="s">
        <v>1327</v>
      </c>
      <c r="B278" s="4" t="s">
        <v>451</v>
      </c>
      <c r="C278" s="18">
        <v>45610</v>
      </c>
      <c r="D278" s="18">
        <v>45658</v>
      </c>
      <c r="E278" s="4">
        <v>0</v>
      </c>
      <c r="F278" s="4"/>
      <c r="G278" s="4" t="s">
        <v>1328</v>
      </c>
      <c r="H278" s="4" t="s">
        <v>1329</v>
      </c>
      <c r="I278" s="4" t="s">
        <v>1330</v>
      </c>
      <c r="J278" s="4" t="s">
        <v>455</v>
      </c>
      <c r="K278" s="4"/>
      <c r="L278" s="4"/>
    </row>
    <row r="279" spans="1:12" ht="14.25" customHeight="1" x14ac:dyDescent="0.35">
      <c r="A279" s="3" t="s">
        <v>1331</v>
      </c>
      <c r="B279" s="3" t="s">
        <v>500</v>
      </c>
      <c r="C279" s="19">
        <v>45474</v>
      </c>
      <c r="D279" s="19">
        <v>45504</v>
      </c>
      <c r="E279" s="3">
        <v>1</v>
      </c>
      <c r="F279" s="3" t="s">
        <v>1332</v>
      </c>
      <c r="G279" s="3" t="s">
        <v>1333</v>
      </c>
      <c r="H279" s="3" t="s">
        <v>1334</v>
      </c>
      <c r="I279" s="3" t="s">
        <v>1335</v>
      </c>
      <c r="J279" s="3" t="s">
        <v>455</v>
      </c>
      <c r="K279" s="3" t="s">
        <v>1195</v>
      </c>
      <c r="L279" s="3" t="s">
        <v>1336</v>
      </c>
    </row>
    <row r="280" spans="1:12" ht="14.25" hidden="1" customHeight="1" x14ac:dyDescent="0.35">
      <c r="A280" s="4" t="s">
        <v>1337</v>
      </c>
      <c r="B280" s="4" t="s">
        <v>451</v>
      </c>
      <c r="C280" s="18">
        <v>45614</v>
      </c>
      <c r="D280" s="4"/>
      <c r="E280" s="4">
        <v>0</v>
      </c>
      <c r="F280" s="4"/>
      <c r="G280" s="4" t="s">
        <v>457</v>
      </c>
      <c r="H280" s="4" t="s">
        <v>458</v>
      </c>
      <c r="I280" s="4" t="s">
        <v>1338</v>
      </c>
      <c r="J280" s="4" t="s">
        <v>455</v>
      </c>
      <c r="K280" s="4"/>
      <c r="L280" s="4"/>
    </row>
    <row r="281" spans="1:12" ht="14.25" hidden="1" customHeight="1" x14ac:dyDescent="0.35">
      <c r="A281" s="4" t="s">
        <v>1339</v>
      </c>
      <c r="B281" s="4" t="s">
        <v>451</v>
      </c>
      <c r="C281" s="18">
        <v>45616</v>
      </c>
      <c r="D281" s="4"/>
      <c r="E281" s="4">
        <v>0</v>
      </c>
      <c r="F281" s="4"/>
      <c r="G281" s="4" t="s">
        <v>461</v>
      </c>
      <c r="H281" s="4" t="s">
        <v>462</v>
      </c>
      <c r="I281" s="4" t="s">
        <v>1340</v>
      </c>
      <c r="J281" s="4" t="s">
        <v>455</v>
      </c>
      <c r="K281" s="4"/>
      <c r="L281" s="4"/>
    </row>
    <row r="282" spans="1:12" ht="14.25" hidden="1" customHeight="1" x14ac:dyDescent="0.35">
      <c r="A282" s="4" t="s">
        <v>1341</v>
      </c>
      <c r="B282" s="4" t="s">
        <v>451</v>
      </c>
      <c r="C282" s="18">
        <v>45618</v>
      </c>
      <c r="D282" s="4"/>
      <c r="E282" s="4">
        <v>1</v>
      </c>
      <c r="F282" s="4" t="s">
        <v>1342</v>
      </c>
      <c r="G282" s="4" t="s">
        <v>461</v>
      </c>
      <c r="H282" s="4" t="s">
        <v>462</v>
      </c>
      <c r="I282" s="4" t="s">
        <v>1343</v>
      </c>
      <c r="J282" s="4" t="s">
        <v>455</v>
      </c>
      <c r="K282" s="4" t="s">
        <v>469</v>
      </c>
      <c r="L282" s="4" t="s">
        <v>470</v>
      </c>
    </row>
    <row r="283" spans="1:12" ht="14.25" hidden="1" customHeight="1" x14ac:dyDescent="0.35">
      <c r="A283" s="4" t="s">
        <v>1344</v>
      </c>
      <c r="B283" s="4" t="s">
        <v>451</v>
      </c>
      <c r="C283" s="18">
        <v>45618</v>
      </c>
      <c r="D283" s="4"/>
      <c r="E283" s="4">
        <v>0</v>
      </c>
      <c r="F283" s="4"/>
      <c r="G283" s="4" t="s">
        <v>466</v>
      </c>
      <c r="H283" s="4" t="s">
        <v>467</v>
      </c>
      <c r="I283" s="4" t="s">
        <v>1345</v>
      </c>
      <c r="J283" s="4" t="s">
        <v>455</v>
      </c>
      <c r="K283" s="4"/>
      <c r="L283" s="4"/>
    </row>
    <row r="284" spans="1:12" ht="14.25" hidden="1" customHeight="1" x14ac:dyDescent="0.35">
      <c r="A284" s="4" t="s">
        <v>1346</v>
      </c>
      <c r="B284" s="4" t="s">
        <v>451</v>
      </c>
      <c r="C284" s="18">
        <v>45621</v>
      </c>
      <c r="D284" s="4"/>
      <c r="E284" s="4">
        <v>1</v>
      </c>
      <c r="F284" s="4" t="s">
        <v>946</v>
      </c>
      <c r="G284" s="4" t="s">
        <v>466</v>
      </c>
      <c r="H284" s="4" t="s">
        <v>467</v>
      </c>
      <c r="I284" s="4" t="s">
        <v>1347</v>
      </c>
      <c r="J284" s="4" t="s">
        <v>455</v>
      </c>
      <c r="K284" s="4" t="s">
        <v>469</v>
      </c>
      <c r="L284" s="4" t="s">
        <v>470</v>
      </c>
    </row>
    <row r="285" spans="1:12" ht="14.25" hidden="1" customHeight="1" x14ac:dyDescent="0.35">
      <c r="A285" s="4" t="s">
        <v>1348</v>
      </c>
      <c r="B285" s="4" t="s">
        <v>451</v>
      </c>
      <c r="C285" s="18">
        <v>45621</v>
      </c>
      <c r="D285" s="4"/>
      <c r="E285" s="4">
        <v>0</v>
      </c>
      <c r="F285" s="4"/>
      <c r="G285" s="4" t="s">
        <v>461</v>
      </c>
      <c r="H285" s="4" t="s">
        <v>462</v>
      </c>
      <c r="I285" s="4" t="s">
        <v>1349</v>
      </c>
      <c r="J285" s="4" t="s">
        <v>455</v>
      </c>
      <c r="K285" s="4"/>
      <c r="L285" s="4"/>
    </row>
    <row r="286" spans="1:12" ht="14.25" hidden="1" customHeight="1" x14ac:dyDescent="0.35">
      <c r="A286" s="4" t="s">
        <v>1350</v>
      </c>
      <c r="B286" s="4" t="s">
        <v>500</v>
      </c>
      <c r="C286" s="18">
        <v>45623</v>
      </c>
      <c r="D286" s="18">
        <v>45658</v>
      </c>
      <c r="E286" s="4">
        <v>1</v>
      </c>
      <c r="F286" s="4" t="s">
        <v>1351</v>
      </c>
      <c r="G286" s="4" t="s">
        <v>1014</v>
      </c>
      <c r="H286" s="4" t="s">
        <v>1352</v>
      </c>
      <c r="I286" s="4" t="s">
        <v>1353</v>
      </c>
      <c r="J286" s="4" t="s">
        <v>455</v>
      </c>
      <c r="K286" s="4" t="s">
        <v>469</v>
      </c>
      <c r="L286" s="4" t="s">
        <v>550</v>
      </c>
    </row>
    <row r="287" spans="1:12" ht="14.25" hidden="1" customHeight="1" x14ac:dyDescent="0.35">
      <c r="A287" s="4" t="s">
        <v>1354</v>
      </c>
      <c r="B287" s="4" t="s">
        <v>451</v>
      </c>
      <c r="C287" s="18">
        <v>45623</v>
      </c>
      <c r="D287" s="4"/>
      <c r="E287" s="4">
        <v>0</v>
      </c>
      <c r="F287" s="4"/>
      <c r="G287" s="4" t="s">
        <v>1355</v>
      </c>
      <c r="H287" s="4" t="s">
        <v>1356</v>
      </c>
      <c r="I287" s="4" t="s">
        <v>1357</v>
      </c>
      <c r="J287" s="4" t="s">
        <v>455</v>
      </c>
      <c r="K287" s="4"/>
      <c r="L287" s="4"/>
    </row>
    <row r="288" spans="1:12" ht="14.25" hidden="1" customHeight="1" x14ac:dyDescent="0.35">
      <c r="A288" s="4" t="s">
        <v>1358</v>
      </c>
      <c r="B288" s="4" t="s">
        <v>451</v>
      </c>
      <c r="C288" s="18">
        <v>45623</v>
      </c>
      <c r="D288" s="4"/>
      <c r="E288" s="4">
        <v>1</v>
      </c>
      <c r="F288" s="4" t="s">
        <v>659</v>
      </c>
      <c r="G288" s="4" t="s">
        <v>466</v>
      </c>
      <c r="H288" s="4" t="s">
        <v>473</v>
      </c>
      <c r="I288" s="4" t="s">
        <v>1359</v>
      </c>
      <c r="J288" s="4" t="s">
        <v>455</v>
      </c>
      <c r="K288" s="4" t="s">
        <v>469</v>
      </c>
      <c r="L288" s="4" t="s">
        <v>470</v>
      </c>
    </row>
    <row r="289" spans="1:12" ht="14.25" hidden="1" customHeight="1" x14ac:dyDescent="0.35">
      <c r="A289" s="4" t="s">
        <v>1360</v>
      </c>
      <c r="B289" s="4" t="s">
        <v>451</v>
      </c>
      <c r="C289" s="18">
        <v>45625</v>
      </c>
      <c r="D289" s="4"/>
      <c r="E289" s="4">
        <v>0</v>
      </c>
      <c r="F289" s="4"/>
      <c r="G289" s="4" t="s">
        <v>466</v>
      </c>
      <c r="H289" s="4" t="s">
        <v>473</v>
      </c>
      <c r="I289" s="4" t="s">
        <v>1361</v>
      </c>
      <c r="J289" s="4" t="s">
        <v>455</v>
      </c>
      <c r="K289" s="4"/>
      <c r="L289" s="4"/>
    </row>
    <row r="290" spans="1:12" ht="14.25" hidden="1" customHeight="1" x14ac:dyDescent="0.35">
      <c r="A290" s="4" t="s">
        <v>1362</v>
      </c>
      <c r="B290" s="4" t="s">
        <v>451</v>
      </c>
      <c r="C290" s="18">
        <v>45628</v>
      </c>
      <c r="D290" s="4"/>
      <c r="E290" s="4">
        <v>0</v>
      </c>
      <c r="F290" s="4"/>
      <c r="G290" s="4" t="s">
        <v>461</v>
      </c>
      <c r="H290" s="4" t="s">
        <v>462</v>
      </c>
      <c r="I290" s="4" t="s">
        <v>1363</v>
      </c>
      <c r="J290" s="4" t="s">
        <v>455</v>
      </c>
      <c r="K290" s="4"/>
      <c r="L290" s="4"/>
    </row>
    <row r="291" spans="1:12" ht="14.25" hidden="1" customHeight="1" x14ac:dyDescent="0.35">
      <c r="A291" s="4" t="s">
        <v>1364</v>
      </c>
      <c r="B291" s="4" t="s">
        <v>451</v>
      </c>
      <c r="C291" s="18">
        <v>45628</v>
      </c>
      <c r="D291" s="18">
        <v>45658</v>
      </c>
      <c r="E291" s="4">
        <v>0</v>
      </c>
      <c r="F291" s="4"/>
      <c r="G291" s="4" t="s">
        <v>1365</v>
      </c>
      <c r="H291" s="4" t="s">
        <v>1366</v>
      </c>
      <c r="I291" s="4" t="s">
        <v>1367</v>
      </c>
      <c r="J291" s="4" t="s">
        <v>455</v>
      </c>
      <c r="K291" s="4"/>
      <c r="L291" s="4"/>
    </row>
    <row r="292" spans="1:12" ht="14.25" hidden="1" customHeight="1" x14ac:dyDescent="0.35">
      <c r="A292" s="4" t="s">
        <v>1368</v>
      </c>
      <c r="B292" s="4" t="s">
        <v>451</v>
      </c>
      <c r="C292" s="18">
        <v>45629</v>
      </c>
      <c r="D292" s="4"/>
      <c r="E292" s="4">
        <v>0</v>
      </c>
      <c r="F292" s="4"/>
      <c r="G292" s="4" t="s">
        <v>466</v>
      </c>
      <c r="H292" s="4" t="s">
        <v>467</v>
      </c>
      <c r="I292" s="4" t="s">
        <v>1369</v>
      </c>
      <c r="J292" s="4" t="s">
        <v>455</v>
      </c>
      <c r="K292" s="4"/>
      <c r="L292" s="4"/>
    </row>
    <row r="293" spans="1:12" ht="14.25" hidden="1" customHeight="1" x14ac:dyDescent="0.35">
      <c r="A293" s="4" t="s">
        <v>1370</v>
      </c>
      <c r="B293" s="4" t="s">
        <v>500</v>
      </c>
      <c r="C293" s="18">
        <v>45630</v>
      </c>
      <c r="D293" s="18">
        <v>45660</v>
      </c>
      <c r="E293" s="4">
        <v>1</v>
      </c>
      <c r="F293" s="4" t="s">
        <v>1371</v>
      </c>
      <c r="G293" s="4" t="s">
        <v>829</v>
      </c>
      <c r="H293" s="4" t="s">
        <v>1372</v>
      </c>
      <c r="I293" s="4" t="s">
        <v>1373</v>
      </c>
      <c r="J293" s="4" t="s">
        <v>455</v>
      </c>
      <c r="K293" s="4" t="s">
        <v>469</v>
      </c>
      <c r="L293" s="4" t="s">
        <v>550</v>
      </c>
    </row>
    <row r="294" spans="1:12" ht="14.25" hidden="1" customHeight="1" x14ac:dyDescent="0.35">
      <c r="A294" s="4" t="s">
        <v>1374</v>
      </c>
      <c r="B294" s="4" t="s">
        <v>451</v>
      </c>
      <c r="C294" s="18">
        <v>45631</v>
      </c>
      <c r="D294" s="4"/>
      <c r="E294" s="4">
        <v>1</v>
      </c>
      <c r="F294" s="4" t="s">
        <v>494</v>
      </c>
      <c r="G294" s="4" t="s">
        <v>461</v>
      </c>
      <c r="H294" s="4" t="s">
        <v>462</v>
      </c>
      <c r="I294" s="4" t="s">
        <v>1375</v>
      </c>
      <c r="J294" s="4" t="s">
        <v>455</v>
      </c>
      <c r="K294" s="4" t="s">
        <v>469</v>
      </c>
      <c r="L294" s="4" t="s">
        <v>470</v>
      </c>
    </row>
    <row r="295" spans="1:12" ht="14.25" hidden="1" customHeight="1" x14ac:dyDescent="0.35">
      <c r="A295" s="4" t="s">
        <v>1376</v>
      </c>
      <c r="B295" s="4" t="s">
        <v>451</v>
      </c>
      <c r="C295" s="18">
        <v>45632</v>
      </c>
      <c r="D295" s="4"/>
      <c r="E295" s="4">
        <v>1</v>
      </c>
      <c r="F295" s="4" t="s">
        <v>669</v>
      </c>
      <c r="G295" s="4" t="s">
        <v>466</v>
      </c>
      <c r="H295" s="4" t="s">
        <v>467</v>
      </c>
      <c r="I295" s="4" t="s">
        <v>1377</v>
      </c>
      <c r="J295" s="4" t="s">
        <v>455</v>
      </c>
      <c r="K295" s="4" t="s">
        <v>469</v>
      </c>
      <c r="L295" s="4" t="s">
        <v>470</v>
      </c>
    </row>
    <row r="296" spans="1:12" ht="14.25" hidden="1" customHeight="1" x14ac:dyDescent="0.35">
      <c r="A296" s="4" t="s">
        <v>1378</v>
      </c>
      <c r="B296" s="4" t="s">
        <v>451</v>
      </c>
      <c r="C296" s="18">
        <v>45632</v>
      </c>
      <c r="D296" s="4"/>
      <c r="E296" s="4">
        <v>0</v>
      </c>
      <c r="F296" s="4"/>
      <c r="G296" s="4" t="s">
        <v>457</v>
      </c>
      <c r="H296" s="4" t="s">
        <v>458</v>
      </c>
      <c r="I296" s="4" t="s">
        <v>1379</v>
      </c>
      <c r="J296" s="4" t="s">
        <v>455</v>
      </c>
      <c r="K296" s="4"/>
      <c r="L296" s="4"/>
    </row>
    <row r="297" spans="1:12" ht="14.25" hidden="1" customHeight="1" x14ac:dyDescent="0.35">
      <c r="A297" s="4" t="s">
        <v>1380</v>
      </c>
      <c r="B297" s="4" t="s">
        <v>500</v>
      </c>
      <c r="C297" s="18">
        <v>45635</v>
      </c>
      <c r="D297" s="18">
        <v>45658</v>
      </c>
      <c r="E297" s="4">
        <v>1</v>
      </c>
      <c r="F297" s="4" t="s">
        <v>1381</v>
      </c>
      <c r="G297" s="4" t="s">
        <v>1038</v>
      </c>
      <c r="H297" s="4" t="s">
        <v>1382</v>
      </c>
      <c r="I297" s="4" t="s">
        <v>1383</v>
      </c>
      <c r="J297" s="4" t="s">
        <v>455</v>
      </c>
      <c r="K297" s="4" t="s">
        <v>469</v>
      </c>
      <c r="L297" s="4" t="s">
        <v>550</v>
      </c>
    </row>
    <row r="298" spans="1:12" ht="14.25" hidden="1" customHeight="1" x14ac:dyDescent="0.35">
      <c r="A298" s="4" t="s">
        <v>1384</v>
      </c>
      <c r="B298" s="4" t="s">
        <v>451</v>
      </c>
      <c r="C298" s="18">
        <v>45635</v>
      </c>
      <c r="D298" s="4"/>
      <c r="E298" s="4">
        <v>0</v>
      </c>
      <c r="F298" s="4"/>
      <c r="G298" s="4" t="s">
        <v>466</v>
      </c>
      <c r="H298" s="4" t="s">
        <v>467</v>
      </c>
      <c r="I298" s="4" t="s">
        <v>1385</v>
      </c>
      <c r="J298" s="4" t="s">
        <v>455</v>
      </c>
      <c r="K298" s="4"/>
      <c r="L298" s="4"/>
    </row>
    <row r="299" spans="1:12" ht="14.25" customHeight="1" x14ac:dyDescent="0.35">
      <c r="A299" s="3" t="s">
        <v>1386</v>
      </c>
      <c r="B299" s="3" t="s">
        <v>479</v>
      </c>
      <c r="C299" s="19">
        <v>45476</v>
      </c>
      <c r="D299" s="3"/>
      <c r="E299" s="3">
        <v>1</v>
      </c>
      <c r="F299" s="3" t="s">
        <v>1387</v>
      </c>
      <c r="G299" s="3" t="s">
        <v>1388</v>
      </c>
      <c r="H299" s="3" t="s">
        <v>1389</v>
      </c>
      <c r="I299" s="3" t="s">
        <v>1390</v>
      </c>
      <c r="J299" s="3" t="s">
        <v>455</v>
      </c>
      <c r="K299" s="3" t="s">
        <v>1195</v>
      </c>
      <c r="L299" s="3" t="s">
        <v>1336</v>
      </c>
    </row>
    <row r="300" spans="1:12" ht="14.25" hidden="1" customHeight="1" x14ac:dyDescent="0.35">
      <c r="A300" s="4" t="s">
        <v>1391</v>
      </c>
      <c r="B300" s="4" t="s">
        <v>451</v>
      </c>
      <c r="C300" s="18">
        <v>45637</v>
      </c>
      <c r="D300" s="4"/>
      <c r="E300" s="4">
        <v>0</v>
      </c>
      <c r="F300" s="4"/>
      <c r="G300" s="4" t="s">
        <v>461</v>
      </c>
      <c r="H300" s="4" t="s">
        <v>488</v>
      </c>
      <c r="I300" s="4" t="s">
        <v>1392</v>
      </c>
      <c r="J300" s="4" t="s">
        <v>455</v>
      </c>
      <c r="K300" s="4"/>
      <c r="L300" s="4"/>
    </row>
    <row r="301" spans="1:12" ht="14.25" hidden="1" customHeight="1" x14ac:dyDescent="0.35">
      <c r="A301" s="4" t="s">
        <v>1393</v>
      </c>
      <c r="B301" s="4" t="s">
        <v>451</v>
      </c>
      <c r="C301" s="18">
        <v>45637</v>
      </c>
      <c r="D301" s="4"/>
      <c r="E301" s="4">
        <v>0</v>
      </c>
      <c r="F301" s="4"/>
      <c r="G301" s="4" t="s">
        <v>1394</v>
      </c>
      <c r="H301" s="4" t="s">
        <v>1395</v>
      </c>
      <c r="I301" s="4" t="s">
        <v>1396</v>
      </c>
      <c r="J301" s="4" t="s">
        <v>455</v>
      </c>
      <c r="K301" s="4"/>
      <c r="L301" s="4"/>
    </row>
    <row r="302" spans="1:12" ht="14.25" hidden="1" customHeight="1" x14ac:dyDescent="0.35">
      <c r="A302" s="4" t="s">
        <v>1397</v>
      </c>
      <c r="B302" s="4" t="s">
        <v>451</v>
      </c>
      <c r="C302" s="18">
        <v>45638</v>
      </c>
      <c r="D302" s="4"/>
      <c r="E302" s="4">
        <v>0</v>
      </c>
      <c r="F302" s="4"/>
      <c r="G302" s="4" t="s">
        <v>1398</v>
      </c>
      <c r="H302" s="4" t="s">
        <v>1399</v>
      </c>
      <c r="I302" s="4" t="s">
        <v>1400</v>
      </c>
      <c r="J302" s="4" t="s">
        <v>455</v>
      </c>
      <c r="K302" s="4"/>
      <c r="L302" s="4"/>
    </row>
    <row r="303" spans="1:12" ht="14.25" hidden="1" customHeight="1" x14ac:dyDescent="0.35">
      <c r="A303" s="4" t="s">
        <v>1401</v>
      </c>
      <c r="B303" s="4" t="s">
        <v>451</v>
      </c>
      <c r="C303" s="18">
        <v>45639</v>
      </c>
      <c r="D303" s="4"/>
      <c r="E303" s="4">
        <v>1</v>
      </c>
      <c r="F303" s="4" t="s">
        <v>669</v>
      </c>
      <c r="G303" s="4" t="s">
        <v>466</v>
      </c>
      <c r="H303" s="4" t="s">
        <v>473</v>
      </c>
      <c r="I303" s="4" t="s">
        <v>1402</v>
      </c>
      <c r="J303" s="4" t="s">
        <v>455</v>
      </c>
      <c r="K303" s="4" t="s">
        <v>469</v>
      </c>
      <c r="L303" s="4" t="s">
        <v>470</v>
      </c>
    </row>
    <row r="304" spans="1:12" ht="14.25" hidden="1" customHeight="1" x14ac:dyDescent="0.35">
      <c r="A304" s="4" t="s">
        <v>1403</v>
      </c>
      <c r="B304" s="4" t="s">
        <v>451</v>
      </c>
      <c r="C304" s="18">
        <v>45639</v>
      </c>
      <c r="D304" s="4"/>
      <c r="E304" s="4">
        <v>0</v>
      </c>
      <c r="F304" s="4"/>
      <c r="G304" s="4" t="s">
        <v>457</v>
      </c>
      <c r="H304" s="4" t="s">
        <v>458</v>
      </c>
      <c r="I304" s="4" t="s">
        <v>1404</v>
      </c>
      <c r="J304" s="4" t="s">
        <v>455</v>
      </c>
      <c r="K304" s="4"/>
      <c r="L304" s="4"/>
    </row>
    <row r="305" spans="1:12" ht="14.25" hidden="1" customHeight="1" x14ac:dyDescent="0.35">
      <c r="A305" s="4" t="s">
        <v>1405</v>
      </c>
      <c r="B305" s="4" t="s">
        <v>451</v>
      </c>
      <c r="C305" s="18">
        <v>45639</v>
      </c>
      <c r="D305" s="4"/>
      <c r="E305" s="4">
        <v>0</v>
      </c>
      <c r="F305" s="4"/>
      <c r="G305" s="4" t="s">
        <v>461</v>
      </c>
      <c r="H305" s="4" t="s">
        <v>462</v>
      </c>
      <c r="I305" s="4" t="s">
        <v>1406</v>
      </c>
      <c r="J305" s="4" t="s">
        <v>455</v>
      </c>
      <c r="K305" s="4"/>
      <c r="L305" s="4"/>
    </row>
    <row r="306" spans="1:12" ht="14.25" hidden="1" customHeight="1" x14ac:dyDescent="0.35">
      <c r="A306" s="4" t="s">
        <v>1407</v>
      </c>
      <c r="B306" s="4" t="s">
        <v>451</v>
      </c>
      <c r="C306" s="18">
        <v>45642</v>
      </c>
      <c r="D306" s="4"/>
      <c r="E306" s="4">
        <v>1</v>
      </c>
      <c r="F306" s="4" t="s">
        <v>1072</v>
      </c>
      <c r="G306" s="4" t="s">
        <v>461</v>
      </c>
      <c r="H306" s="4" t="s">
        <v>462</v>
      </c>
      <c r="I306" s="4" t="s">
        <v>1408</v>
      </c>
      <c r="J306" s="4" t="s">
        <v>455</v>
      </c>
      <c r="K306" s="4" t="s">
        <v>469</v>
      </c>
      <c r="L306" s="4" t="s">
        <v>470</v>
      </c>
    </row>
    <row r="307" spans="1:12" ht="14.25" hidden="1" customHeight="1" x14ac:dyDescent="0.35">
      <c r="A307" s="4" t="s">
        <v>1409</v>
      </c>
      <c r="B307" s="4" t="s">
        <v>451</v>
      </c>
      <c r="C307" s="18">
        <v>45643</v>
      </c>
      <c r="D307" s="4"/>
      <c r="E307" s="4">
        <v>0</v>
      </c>
      <c r="F307" s="4"/>
      <c r="G307" s="4" t="s">
        <v>461</v>
      </c>
      <c r="H307" s="4" t="s">
        <v>488</v>
      </c>
      <c r="I307" s="4" t="s">
        <v>1410</v>
      </c>
      <c r="J307" s="4" t="s">
        <v>455</v>
      </c>
      <c r="K307" s="4"/>
      <c r="L307" s="4"/>
    </row>
    <row r="308" spans="1:12" ht="14.25" hidden="1" customHeight="1" x14ac:dyDescent="0.35">
      <c r="A308" s="4" t="s">
        <v>1411</v>
      </c>
      <c r="B308" s="4" t="s">
        <v>451</v>
      </c>
      <c r="C308" s="18">
        <v>45643</v>
      </c>
      <c r="D308" s="4"/>
      <c r="E308" s="4">
        <v>0</v>
      </c>
      <c r="F308" s="4"/>
      <c r="G308" s="4" t="s">
        <v>967</v>
      </c>
      <c r="H308" s="4" t="s">
        <v>1412</v>
      </c>
      <c r="I308" s="4" t="s">
        <v>1413</v>
      </c>
      <c r="J308" s="4" t="s">
        <v>455</v>
      </c>
      <c r="K308" s="4"/>
      <c r="L308" s="4"/>
    </row>
    <row r="309" spans="1:12" ht="14.25" hidden="1" customHeight="1" x14ac:dyDescent="0.35">
      <c r="A309" s="4" t="s">
        <v>1414</v>
      </c>
      <c r="B309" s="4" t="s">
        <v>451</v>
      </c>
      <c r="C309" s="18">
        <v>45645</v>
      </c>
      <c r="D309" s="4"/>
      <c r="E309" s="4">
        <v>0</v>
      </c>
      <c r="F309" s="4"/>
      <c r="G309" s="4" t="s">
        <v>461</v>
      </c>
      <c r="H309" s="4" t="s">
        <v>462</v>
      </c>
      <c r="I309" s="4" t="s">
        <v>1415</v>
      </c>
      <c r="J309" s="4" t="s">
        <v>455</v>
      </c>
      <c r="K309" s="4"/>
      <c r="L309" s="4"/>
    </row>
    <row r="310" spans="1:12" ht="14.25" hidden="1" customHeight="1" x14ac:dyDescent="0.35">
      <c r="A310" s="4" t="s">
        <v>1416</v>
      </c>
      <c r="B310" s="4" t="s">
        <v>500</v>
      </c>
      <c r="C310" s="18">
        <v>45646</v>
      </c>
      <c r="D310" s="18">
        <v>45658</v>
      </c>
      <c r="E310" s="4">
        <v>0</v>
      </c>
      <c r="F310" s="4"/>
      <c r="G310" s="4" t="s">
        <v>1417</v>
      </c>
      <c r="H310" s="4" t="s">
        <v>1418</v>
      </c>
      <c r="I310" s="4" t="s">
        <v>1419</v>
      </c>
      <c r="J310" s="4" t="s">
        <v>455</v>
      </c>
      <c r="K310" s="4"/>
      <c r="L310" s="4"/>
    </row>
    <row r="311" spans="1:12" ht="14.25" hidden="1" customHeight="1" x14ac:dyDescent="0.35">
      <c r="A311" s="4" t="s">
        <v>1420</v>
      </c>
      <c r="B311" s="4" t="s">
        <v>451</v>
      </c>
      <c r="C311" s="18">
        <v>45646</v>
      </c>
      <c r="D311" s="4"/>
      <c r="E311" s="4">
        <v>1</v>
      </c>
      <c r="F311" s="4" t="s">
        <v>531</v>
      </c>
      <c r="G311" s="4" t="s">
        <v>466</v>
      </c>
      <c r="H311" s="4" t="s">
        <v>473</v>
      </c>
      <c r="I311" s="4" t="s">
        <v>1421</v>
      </c>
      <c r="J311" s="4" t="s">
        <v>455</v>
      </c>
      <c r="K311" s="4" t="s">
        <v>469</v>
      </c>
      <c r="L311" s="4" t="s">
        <v>470</v>
      </c>
    </row>
    <row r="312" spans="1:12" ht="14.25" hidden="1" customHeight="1" x14ac:dyDescent="0.35">
      <c r="A312" s="4" t="s">
        <v>1422</v>
      </c>
      <c r="B312" s="4" t="s">
        <v>451</v>
      </c>
      <c r="C312" s="18">
        <v>45649</v>
      </c>
      <c r="D312" s="4"/>
      <c r="E312" s="4">
        <v>0</v>
      </c>
      <c r="F312" s="4"/>
      <c r="G312" s="4" t="s">
        <v>461</v>
      </c>
      <c r="H312" s="4" t="s">
        <v>462</v>
      </c>
      <c r="I312" s="4" t="s">
        <v>1423</v>
      </c>
      <c r="J312" s="4" t="s">
        <v>455</v>
      </c>
      <c r="K312" s="4"/>
      <c r="L312" s="4"/>
    </row>
    <row r="313" spans="1:12" ht="14.25" hidden="1" customHeight="1" x14ac:dyDescent="0.35">
      <c r="A313" s="4" t="s">
        <v>1424</v>
      </c>
      <c r="B313" s="4" t="s">
        <v>451</v>
      </c>
      <c r="C313" s="18">
        <v>45649</v>
      </c>
      <c r="D313" s="4"/>
      <c r="E313" s="4">
        <v>0</v>
      </c>
      <c r="F313" s="4"/>
      <c r="G313" s="4" t="s">
        <v>841</v>
      </c>
      <c r="H313" s="4" t="s">
        <v>1425</v>
      </c>
      <c r="I313" s="4" t="s">
        <v>1426</v>
      </c>
      <c r="J313" s="4" t="s">
        <v>455</v>
      </c>
      <c r="K313" s="4"/>
      <c r="L313" s="4"/>
    </row>
    <row r="314" spans="1:12" ht="14.25" hidden="1" customHeight="1" x14ac:dyDescent="0.35">
      <c r="A314" s="4" t="s">
        <v>1427</v>
      </c>
      <c r="B314" s="4" t="s">
        <v>451</v>
      </c>
      <c r="C314" s="18">
        <v>45649</v>
      </c>
      <c r="D314" s="4"/>
      <c r="E314" s="4">
        <v>1</v>
      </c>
      <c r="F314" s="4" t="s">
        <v>1428</v>
      </c>
      <c r="G314" s="4" t="s">
        <v>466</v>
      </c>
      <c r="H314" s="4" t="s">
        <v>467</v>
      </c>
      <c r="I314" s="4" t="s">
        <v>1429</v>
      </c>
      <c r="J314" s="4" t="s">
        <v>455</v>
      </c>
      <c r="K314" s="4" t="s">
        <v>469</v>
      </c>
      <c r="L314" s="4" t="s">
        <v>470</v>
      </c>
    </row>
    <row r="315" spans="1:12" ht="14.25" hidden="1" customHeight="1" x14ac:dyDescent="0.35">
      <c r="A315" s="4" t="s">
        <v>1430</v>
      </c>
      <c r="B315" s="4" t="s">
        <v>451</v>
      </c>
      <c r="C315" s="18">
        <v>45649</v>
      </c>
      <c r="D315" s="4"/>
      <c r="E315" s="4">
        <v>0</v>
      </c>
      <c r="F315" s="4"/>
      <c r="G315" s="4" t="s">
        <v>461</v>
      </c>
      <c r="H315" s="4" t="s">
        <v>462</v>
      </c>
      <c r="I315" s="4" t="s">
        <v>1431</v>
      </c>
      <c r="J315" s="4" t="s">
        <v>455</v>
      </c>
      <c r="K315" s="4"/>
      <c r="L315" s="4"/>
    </row>
    <row r="316" spans="1:12" ht="14.25" hidden="1" customHeight="1" x14ac:dyDescent="0.35">
      <c r="A316" s="4" t="s">
        <v>1432</v>
      </c>
      <c r="B316" s="4" t="s">
        <v>451</v>
      </c>
      <c r="C316" s="18">
        <v>45652</v>
      </c>
      <c r="D316" s="4"/>
      <c r="E316" s="4">
        <v>0</v>
      </c>
      <c r="F316" s="4"/>
      <c r="G316" s="4" t="s">
        <v>1433</v>
      </c>
      <c r="H316" s="4" t="s">
        <v>1434</v>
      </c>
      <c r="I316" s="4" t="s">
        <v>1435</v>
      </c>
      <c r="J316" s="4" t="s">
        <v>455</v>
      </c>
      <c r="K316" s="4"/>
      <c r="L316" s="4"/>
    </row>
    <row r="317" spans="1:12" ht="14.25" hidden="1" customHeight="1" x14ac:dyDescent="0.35">
      <c r="A317" s="4" t="s">
        <v>1436</v>
      </c>
      <c r="B317" s="4" t="s">
        <v>451</v>
      </c>
      <c r="C317" s="18">
        <v>45653</v>
      </c>
      <c r="D317" s="4"/>
      <c r="E317" s="4">
        <v>0</v>
      </c>
      <c r="F317" s="4"/>
      <c r="G317" s="4" t="s">
        <v>461</v>
      </c>
      <c r="H317" s="4" t="s">
        <v>462</v>
      </c>
      <c r="I317" s="4" t="s">
        <v>1437</v>
      </c>
      <c r="J317" s="4" t="s">
        <v>455</v>
      </c>
      <c r="K317" s="4"/>
      <c r="L317" s="4"/>
    </row>
    <row r="318" spans="1:12" ht="14.25" hidden="1" customHeight="1" x14ac:dyDescent="0.35">
      <c r="A318" s="4" t="s">
        <v>1438</v>
      </c>
      <c r="B318" s="4" t="s">
        <v>500</v>
      </c>
      <c r="C318" s="18">
        <v>45656</v>
      </c>
      <c r="D318" s="18">
        <v>45656</v>
      </c>
      <c r="E318" s="4">
        <v>0</v>
      </c>
      <c r="F318" s="4"/>
      <c r="G318" s="4" t="s">
        <v>1439</v>
      </c>
      <c r="H318" s="4" t="s">
        <v>1440</v>
      </c>
      <c r="I318" s="4" t="s">
        <v>1441</v>
      </c>
      <c r="J318" s="4" t="s">
        <v>455</v>
      </c>
      <c r="K318" s="4"/>
      <c r="L318" s="4"/>
    </row>
    <row r="319" spans="1:12" ht="14.25" hidden="1" customHeight="1" x14ac:dyDescent="0.35">
      <c r="A319" s="4" t="s">
        <v>1442</v>
      </c>
      <c r="B319" s="4" t="s">
        <v>451</v>
      </c>
      <c r="C319" s="18">
        <v>45660</v>
      </c>
      <c r="D319" s="4"/>
      <c r="E319" s="4">
        <v>0</v>
      </c>
      <c r="F319" s="4"/>
      <c r="G319" s="4" t="s">
        <v>461</v>
      </c>
      <c r="H319" s="4" t="s">
        <v>462</v>
      </c>
      <c r="I319" s="4" t="s">
        <v>1443</v>
      </c>
      <c r="J319" s="4" t="s">
        <v>455</v>
      </c>
      <c r="K319" s="4"/>
      <c r="L319" s="4"/>
    </row>
    <row r="320" spans="1:12" ht="14.25" hidden="1" customHeight="1" x14ac:dyDescent="0.35">
      <c r="A320" s="4" t="s">
        <v>1444</v>
      </c>
      <c r="B320" s="4" t="s">
        <v>451</v>
      </c>
      <c r="C320" s="18">
        <v>45660</v>
      </c>
      <c r="D320" s="4"/>
      <c r="E320" s="4">
        <v>1</v>
      </c>
      <c r="F320" s="4" t="s">
        <v>1445</v>
      </c>
      <c r="G320" s="4" t="s">
        <v>461</v>
      </c>
      <c r="H320" s="4" t="s">
        <v>462</v>
      </c>
      <c r="I320" s="4" t="s">
        <v>1446</v>
      </c>
      <c r="J320" s="4" t="s">
        <v>455</v>
      </c>
      <c r="K320" s="4" t="s">
        <v>469</v>
      </c>
      <c r="L320" s="4" t="s">
        <v>470</v>
      </c>
    </row>
    <row r="321" spans="1:12" ht="14.25" hidden="1" customHeight="1" x14ac:dyDescent="0.35">
      <c r="A321" s="4" t="s">
        <v>1447</v>
      </c>
      <c r="B321" s="4" t="s">
        <v>451</v>
      </c>
      <c r="C321" s="18">
        <v>45664</v>
      </c>
      <c r="D321" s="4"/>
      <c r="E321" s="4">
        <v>0</v>
      </c>
      <c r="F321" s="4"/>
      <c r="G321" s="4" t="s">
        <v>466</v>
      </c>
      <c r="H321" s="4"/>
      <c r="I321" s="4" t="s">
        <v>1448</v>
      </c>
      <c r="J321" s="4" t="s">
        <v>455</v>
      </c>
      <c r="K321" s="4"/>
      <c r="L321" s="4"/>
    </row>
    <row r="322" spans="1:12" ht="14.25" hidden="1" customHeight="1" x14ac:dyDescent="0.35">
      <c r="A322" s="4" t="s">
        <v>1449</v>
      </c>
      <c r="B322" s="4" t="s">
        <v>451</v>
      </c>
      <c r="C322" s="18">
        <v>45667</v>
      </c>
      <c r="D322" s="4"/>
      <c r="E322" s="4">
        <v>0</v>
      </c>
      <c r="F322" s="4"/>
      <c r="G322" s="4" t="s">
        <v>852</v>
      </c>
      <c r="H322" s="4" t="s">
        <v>1450</v>
      </c>
      <c r="I322" s="4" t="s">
        <v>1451</v>
      </c>
      <c r="J322" s="4" t="s">
        <v>455</v>
      </c>
      <c r="K322" s="4"/>
      <c r="L322" s="4"/>
    </row>
    <row r="323" spans="1:12" ht="14.25" hidden="1" customHeight="1" x14ac:dyDescent="0.35">
      <c r="A323" s="4" t="s">
        <v>1452</v>
      </c>
      <c r="B323" s="4" t="s">
        <v>451</v>
      </c>
      <c r="C323" s="18">
        <v>45667</v>
      </c>
      <c r="D323" s="4"/>
      <c r="E323" s="4">
        <v>0</v>
      </c>
      <c r="F323" s="4"/>
      <c r="G323" s="4" t="s">
        <v>461</v>
      </c>
      <c r="H323" s="4" t="s">
        <v>462</v>
      </c>
      <c r="I323" s="4" t="s">
        <v>1453</v>
      </c>
      <c r="J323" s="4" t="s">
        <v>455</v>
      </c>
      <c r="K323" s="4"/>
      <c r="L323" s="4"/>
    </row>
    <row r="324" spans="1:12" ht="14.25" hidden="1" customHeight="1" x14ac:dyDescent="0.35">
      <c r="A324" s="4" t="s">
        <v>1454</v>
      </c>
      <c r="B324" s="4" t="s">
        <v>500</v>
      </c>
      <c r="C324" s="18">
        <v>45670</v>
      </c>
      <c r="D324" s="18">
        <v>45665</v>
      </c>
      <c r="E324" s="4">
        <v>0</v>
      </c>
      <c r="F324" s="4"/>
      <c r="G324" s="4" t="s">
        <v>1455</v>
      </c>
      <c r="H324" s="4" t="s">
        <v>1456</v>
      </c>
      <c r="I324" s="4" t="s">
        <v>1457</v>
      </c>
      <c r="J324" s="4" t="s">
        <v>455</v>
      </c>
      <c r="K324" s="4"/>
      <c r="L324" s="4"/>
    </row>
    <row r="325" spans="1:12" ht="14.25" hidden="1" customHeight="1" x14ac:dyDescent="0.35">
      <c r="A325" s="4" t="s">
        <v>1458</v>
      </c>
      <c r="B325" s="4" t="s">
        <v>451</v>
      </c>
      <c r="C325" s="18">
        <v>45670</v>
      </c>
      <c r="D325" s="4"/>
      <c r="E325" s="4">
        <v>0</v>
      </c>
      <c r="F325" s="4"/>
      <c r="G325" s="4" t="s">
        <v>1459</v>
      </c>
      <c r="H325" s="4" t="s">
        <v>1460</v>
      </c>
      <c r="I325" s="4" t="s">
        <v>1461</v>
      </c>
      <c r="J325" s="4" t="s">
        <v>455</v>
      </c>
      <c r="K325" s="4"/>
      <c r="L325" s="4"/>
    </row>
    <row r="326" spans="1:12" ht="14.25" hidden="1" customHeight="1" x14ac:dyDescent="0.35">
      <c r="A326" s="4" t="s">
        <v>1462</v>
      </c>
      <c r="B326" s="4" t="s">
        <v>451</v>
      </c>
      <c r="C326" s="18">
        <v>45671</v>
      </c>
      <c r="D326" s="4"/>
      <c r="E326" s="4">
        <v>0</v>
      </c>
      <c r="F326" s="4"/>
      <c r="G326" s="4" t="s">
        <v>1463</v>
      </c>
      <c r="H326" s="4" t="s">
        <v>1464</v>
      </c>
      <c r="I326" s="4" t="s">
        <v>1465</v>
      </c>
      <c r="J326" s="4" t="s">
        <v>455</v>
      </c>
      <c r="K326" s="4"/>
      <c r="L326" s="4"/>
    </row>
    <row r="327" spans="1:12" ht="14.25" hidden="1" customHeight="1" x14ac:dyDescent="0.35">
      <c r="A327" s="4" t="s">
        <v>1466</v>
      </c>
      <c r="B327" s="4" t="s">
        <v>451</v>
      </c>
      <c r="C327" s="18">
        <v>45671</v>
      </c>
      <c r="D327" s="4"/>
      <c r="E327" s="4">
        <v>1</v>
      </c>
      <c r="F327" s="4" t="s">
        <v>669</v>
      </c>
      <c r="G327" s="4" t="s">
        <v>466</v>
      </c>
      <c r="H327" s="4" t="s">
        <v>467</v>
      </c>
      <c r="I327" s="4" t="s">
        <v>1467</v>
      </c>
      <c r="J327" s="4" t="s">
        <v>455</v>
      </c>
      <c r="K327" s="4" t="s">
        <v>469</v>
      </c>
      <c r="L327" s="4" t="s">
        <v>470</v>
      </c>
    </row>
    <row r="328" spans="1:12" ht="14.25" hidden="1" customHeight="1" x14ac:dyDescent="0.35">
      <c r="A328" s="4" t="s">
        <v>1468</v>
      </c>
      <c r="B328" s="4" t="s">
        <v>451</v>
      </c>
      <c r="C328" s="18">
        <v>45671</v>
      </c>
      <c r="D328" s="4"/>
      <c r="E328" s="4">
        <v>0</v>
      </c>
      <c r="F328" s="4"/>
      <c r="G328" s="4" t="s">
        <v>461</v>
      </c>
      <c r="H328" s="4" t="s">
        <v>462</v>
      </c>
      <c r="I328" s="4" t="s">
        <v>1469</v>
      </c>
      <c r="J328" s="4" t="s">
        <v>455</v>
      </c>
      <c r="K328" s="4"/>
      <c r="L328" s="4"/>
    </row>
    <row r="329" spans="1:12" ht="14.25" hidden="1" customHeight="1" x14ac:dyDescent="0.35">
      <c r="A329" s="4" t="s">
        <v>1470</v>
      </c>
      <c r="B329" s="4" t="s">
        <v>451</v>
      </c>
      <c r="C329" s="18">
        <v>45672</v>
      </c>
      <c r="D329" s="4"/>
      <c r="E329" s="4">
        <v>0</v>
      </c>
      <c r="F329" s="4"/>
      <c r="G329" s="4" t="s">
        <v>461</v>
      </c>
      <c r="H329" s="4" t="s">
        <v>488</v>
      </c>
      <c r="I329" s="4" t="s">
        <v>1471</v>
      </c>
      <c r="J329" s="4" t="s">
        <v>455</v>
      </c>
      <c r="K329" s="4"/>
      <c r="L329" s="4"/>
    </row>
    <row r="330" spans="1:12" ht="14.25" hidden="1" customHeight="1" x14ac:dyDescent="0.35">
      <c r="A330" s="4" t="s">
        <v>1472</v>
      </c>
      <c r="B330" s="4" t="s">
        <v>451</v>
      </c>
      <c r="C330" s="18">
        <v>45672</v>
      </c>
      <c r="D330" s="4"/>
      <c r="E330" s="4">
        <v>0</v>
      </c>
      <c r="F330" s="4"/>
      <c r="G330" s="4" t="s">
        <v>466</v>
      </c>
      <c r="H330" s="4" t="s">
        <v>473</v>
      </c>
      <c r="I330" s="4" t="s">
        <v>1473</v>
      </c>
      <c r="J330" s="4" t="s">
        <v>455</v>
      </c>
      <c r="K330" s="4"/>
      <c r="L330" s="4"/>
    </row>
    <row r="331" spans="1:12" ht="14.25" hidden="1" customHeight="1" x14ac:dyDescent="0.35">
      <c r="A331" s="4" t="s">
        <v>1474</v>
      </c>
      <c r="B331" s="4" t="s">
        <v>451</v>
      </c>
      <c r="C331" s="18">
        <v>45673</v>
      </c>
      <c r="D331" s="4"/>
      <c r="E331" s="4">
        <v>0</v>
      </c>
      <c r="F331" s="4"/>
      <c r="G331" s="4" t="s">
        <v>457</v>
      </c>
      <c r="H331" s="4" t="s">
        <v>458</v>
      </c>
      <c r="I331" s="4" t="s">
        <v>1475</v>
      </c>
      <c r="J331" s="4" t="s">
        <v>455</v>
      </c>
      <c r="K331" s="4"/>
      <c r="L331" s="4"/>
    </row>
    <row r="332" spans="1:12" ht="14.25" hidden="1" customHeight="1" x14ac:dyDescent="0.35">
      <c r="A332" s="4" t="s">
        <v>1476</v>
      </c>
      <c r="B332" s="4" t="s">
        <v>451</v>
      </c>
      <c r="C332" s="18">
        <v>45674</v>
      </c>
      <c r="D332" s="4"/>
      <c r="E332" s="4">
        <v>0</v>
      </c>
      <c r="F332" s="4"/>
      <c r="G332" s="4" t="s">
        <v>461</v>
      </c>
      <c r="H332" s="4" t="s">
        <v>462</v>
      </c>
      <c r="I332" s="4" t="s">
        <v>1477</v>
      </c>
      <c r="J332" s="4" t="s">
        <v>455</v>
      </c>
      <c r="K332" s="4"/>
      <c r="L332" s="4"/>
    </row>
    <row r="333" spans="1:12" ht="14.25" hidden="1" customHeight="1" x14ac:dyDescent="0.35">
      <c r="A333" s="4" t="s">
        <v>1478</v>
      </c>
      <c r="B333" s="4" t="s">
        <v>451</v>
      </c>
      <c r="C333" s="18">
        <v>45691</v>
      </c>
      <c r="D333" s="4"/>
      <c r="E333" s="4">
        <v>0</v>
      </c>
      <c r="F333" s="4"/>
      <c r="G333" s="4" t="s">
        <v>466</v>
      </c>
      <c r="H333" s="4" t="s">
        <v>473</v>
      </c>
      <c r="I333" s="4" t="s">
        <v>1479</v>
      </c>
      <c r="J333" s="4" t="s">
        <v>455</v>
      </c>
      <c r="K333" s="4"/>
      <c r="L333" s="4"/>
    </row>
    <row r="334" spans="1:12" ht="14.25" hidden="1" customHeight="1" x14ac:dyDescent="0.35">
      <c r="A334" s="4" t="s">
        <v>1480</v>
      </c>
      <c r="B334" s="4" t="s">
        <v>451</v>
      </c>
      <c r="C334" s="18">
        <v>45692</v>
      </c>
      <c r="D334" s="4"/>
      <c r="E334" s="4">
        <v>0</v>
      </c>
      <c r="F334" s="4"/>
      <c r="G334" s="4" t="s">
        <v>1481</v>
      </c>
      <c r="H334" s="4" t="s">
        <v>1482</v>
      </c>
      <c r="I334" s="4" t="s">
        <v>1483</v>
      </c>
      <c r="J334" s="4" t="s">
        <v>455</v>
      </c>
      <c r="K334" s="4"/>
      <c r="L334" s="4"/>
    </row>
    <row r="335" spans="1:12" ht="14.25" hidden="1" customHeight="1" x14ac:dyDescent="0.35">
      <c r="A335" s="4" t="s">
        <v>1484</v>
      </c>
      <c r="B335" s="4" t="s">
        <v>451</v>
      </c>
      <c r="C335" s="18">
        <v>45699</v>
      </c>
      <c r="D335" s="4"/>
      <c r="E335" s="4">
        <v>0</v>
      </c>
      <c r="F335" s="4"/>
      <c r="G335" s="4" t="s">
        <v>1485</v>
      </c>
      <c r="H335" s="4" t="s">
        <v>1486</v>
      </c>
      <c r="I335" s="4" t="s">
        <v>1487</v>
      </c>
      <c r="J335" s="4" t="s">
        <v>455</v>
      </c>
      <c r="K335" s="4"/>
      <c r="L335" s="4"/>
    </row>
    <row r="336" spans="1:12" ht="14.25" hidden="1" customHeight="1" x14ac:dyDescent="0.35">
      <c r="A336" s="4" t="s">
        <v>1488</v>
      </c>
      <c r="B336" s="4" t="s">
        <v>451</v>
      </c>
      <c r="C336" s="18">
        <v>45699</v>
      </c>
      <c r="D336" s="4"/>
      <c r="E336" s="4">
        <v>0</v>
      </c>
      <c r="F336" s="4"/>
      <c r="G336" s="4" t="s">
        <v>1489</v>
      </c>
      <c r="H336" s="4" t="s">
        <v>1490</v>
      </c>
      <c r="I336" s="4" t="s">
        <v>1491</v>
      </c>
      <c r="J336" s="4" t="s">
        <v>455</v>
      </c>
      <c r="K336" s="4"/>
      <c r="L336" s="4"/>
    </row>
    <row r="337" spans="1:12" ht="14.25" hidden="1" customHeight="1" x14ac:dyDescent="0.35">
      <c r="A337" s="4" t="s">
        <v>1492</v>
      </c>
      <c r="B337" s="4" t="s">
        <v>451</v>
      </c>
      <c r="C337" s="18">
        <v>45707</v>
      </c>
      <c r="D337" s="4"/>
      <c r="E337" s="4">
        <v>1</v>
      </c>
      <c r="F337" s="4" t="s">
        <v>669</v>
      </c>
      <c r="G337" s="4" t="s">
        <v>1493</v>
      </c>
      <c r="H337" s="4" t="s">
        <v>496</v>
      </c>
      <c r="I337" s="4" t="s">
        <v>1494</v>
      </c>
      <c r="J337" s="4" t="s">
        <v>455</v>
      </c>
      <c r="K337" s="4" t="s">
        <v>469</v>
      </c>
      <c r="L337" s="4" t="s">
        <v>498</v>
      </c>
    </row>
    <row r="338" spans="1:12" ht="14.25" hidden="1" customHeight="1" x14ac:dyDescent="0.35">
      <c r="A338" s="4" t="s">
        <v>1495</v>
      </c>
      <c r="B338" s="4" t="s">
        <v>451</v>
      </c>
      <c r="C338" s="18">
        <v>45709</v>
      </c>
      <c r="D338" s="4"/>
      <c r="E338" s="4">
        <v>0</v>
      </c>
      <c r="F338" s="4"/>
      <c r="G338" s="4" t="s">
        <v>1496</v>
      </c>
      <c r="H338" s="4" t="s">
        <v>1497</v>
      </c>
      <c r="I338" s="4" t="s">
        <v>1498</v>
      </c>
      <c r="J338" s="4" t="s">
        <v>455</v>
      </c>
      <c r="K338" s="4"/>
      <c r="L338" s="4"/>
    </row>
    <row r="339" spans="1:12" ht="14.25" hidden="1" customHeight="1" x14ac:dyDescent="0.35">
      <c r="A339" s="4" t="s">
        <v>1499</v>
      </c>
      <c r="B339" s="4" t="s">
        <v>451</v>
      </c>
      <c r="C339" s="18">
        <v>45709</v>
      </c>
      <c r="D339" s="4"/>
      <c r="E339" s="4">
        <v>0</v>
      </c>
      <c r="F339" s="4"/>
      <c r="G339" s="4" t="s">
        <v>1500</v>
      </c>
      <c r="H339" s="4" t="s">
        <v>1501</v>
      </c>
      <c r="I339" s="4" t="s">
        <v>1502</v>
      </c>
      <c r="J339" s="4" t="s">
        <v>455</v>
      </c>
      <c r="K339" s="4"/>
      <c r="L339" s="4"/>
    </row>
    <row r="340" spans="1:12" ht="14.25" hidden="1" customHeight="1" x14ac:dyDescent="0.35">
      <c r="A340" s="4" t="s">
        <v>1503</v>
      </c>
      <c r="B340" s="4" t="s">
        <v>451</v>
      </c>
      <c r="C340" s="18">
        <v>45712</v>
      </c>
      <c r="D340" s="4"/>
      <c r="E340" s="4">
        <v>0</v>
      </c>
      <c r="F340" s="4"/>
      <c r="G340" s="4" t="s">
        <v>1504</v>
      </c>
      <c r="H340" s="4" t="s">
        <v>1505</v>
      </c>
      <c r="I340" s="4" t="s">
        <v>1506</v>
      </c>
      <c r="J340" s="4" t="s">
        <v>455</v>
      </c>
      <c r="K340" s="4"/>
      <c r="L340" s="4"/>
    </row>
    <row r="341" spans="1:12" ht="14.25" hidden="1" customHeight="1" x14ac:dyDescent="0.35">
      <c r="A341" s="4" t="s">
        <v>1507</v>
      </c>
      <c r="B341" s="4" t="s">
        <v>451</v>
      </c>
      <c r="C341" s="18">
        <v>45737</v>
      </c>
      <c r="D341" s="4"/>
      <c r="E341" s="4">
        <v>1</v>
      </c>
      <c r="F341" s="4" t="s">
        <v>1508</v>
      </c>
      <c r="G341" s="4" t="s">
        <v>466</v>
      </c>
      <c r="H341" s="4" t="s">
        <v>467</v>
      </c>
      <c r="I341" s="4" t="s">
        <v>1509</v>
      </c>
      <c r="J341" s="4" t="s">
        <v>455</v>
      </c>
      <c r="K341" s="4" t="s">
        <v>469</v>
      </c>
      <c r="L341" s="4" t="s">
        <v>470</v>
      </c>
    </row>
    <row r="342" spans="1:12" ht="14.25" hidden="1" customHeight="1" x14ac:dyDescent="0.35">
      <c r="A342" s="4" t="s">
        <v>1510</v>
      </c>
      <c r="B342" s="4" t="s">
        <v>451</v>
      </c>
      <c r="C342" s="18">
        <v>45737</v>
      </c>
      <c r="D342" s="4"/>
      <c r="E342" s="4">
        <v>1</v>
      </c>
      <c r="F342" s="4" t="s">
        <v>1511</v>
      </c>
      <c r="G342" s="4" t="s">
        <v>461</v>
      </c>
      <c r="H342" s="4" t="s">
        <v>488</v>
      </c>
      <c r="I342" s="4" t="s">
        <v>1512</v>
      </c>
      <c r="J342" s="4" t="s">
        <v>455</v>
      </c>
      <c r="K342" s="4" t="s">
        <v>469</v>
      </c>
      <c r="L342" s="4" t="s">
        <v>470</v>
      </c>
    </row>
    <row r="343" spans="1:12" ht="14.25" hidden="1" customHeight="1" x14ac:dyDescent="0.35">
      <c r="A343" s="4" t="s">
        <v>1513</v>
      </c>
      <c r="B343" s="4" t="s">
        <v>451</v>
      </c>
      <c r="C343" s="18">
        <v>45742</v>
      </c>
      <c r="D343" s="4"/>
      <c r="E343" s="4">
        <v>0</v>
      </c>
      <c r="F343" s="4"/>
      <c r="G343" s="4" t="s">
        <v>461</v>
      </c>
      <c r="H343" s="4" t="s">
        <v>462</v>
      </c>
      <c r="I343" s="4" t="s">
        <v>1514</v>
      </c>
      <c r="J343" s="4" t="s">
        <v>455</v>
      </c>
      <c r="K343" s="4"/>
      <c r="L343" s="4"/>
    </row>
    <row r="344" spans="1:12" ht="14.25" hidden="1" customHeight="1" x14ac:dyDescent="0.35">
      <c r="A344" s="4" t="s">
        <v>1515</v>
      </c>
      <c r="B344" s="4" t="s">
        <v>451</v>
      </c>
      <c r="C344" s="18">
        <v>45748</v>
      </c>
      <c r="D344" s="4"/>
      <c r="E344" s="4">
        <v>1</v>
      </c>
      <c r="F344" s="4" t="s">
        <v>765</v>
      </c>
      <c r="G344" s="4" t="s">
        <v>466</v>
      </c>
      <c r="H344" s="4" t="s">
        <v>473</v>
      </c>
      <c r="I344" s="4" t="s">
        <v>1516</v>
      </c>
      <c r="J344" s="4" t="s">
        <v>455</v>
      </c>
      <c r="K344" s="4" t="s">
        <v>469</v>
      </c>
      <c r="L344" s="4" t="s">
        <v>470</v>
      </c>
    </row>
    <row r="345" spans="1:12" ht="14.25" customHeight="1" x14ac:dyDescent="0.35">
      <c r="A345" s="3" t="s">
        <v>1517</v>
      </c>
      <c r="B345" s="3" t="s">
        <v>451</v>
      </c>
      <c r="C345" s="19">
        <v>45516</v>
      </c>
      <c r="D345" s="19">
        <v>45516</v>
      </c>
      <c r="E345" s="3">
        <v>1</v>
      </c>
      <c r="F345" s="3" t="s">
        <v>494</v>
      </c>
      <c r="G345" s="3" t="s">
        <v>1518</v>
      </c>
      <c r="H345" s="3" t="s">
        <v>1519</v>
      </c>
      <c r="I345" s="3" t="s">
        <v>1520</v>
      </c>
      <c r="J345" s="3" t="s">
        <v>455</v>
      </c>
      <c r="K345" s="3" t="s">
        <v>1195</v>
      </c>
      <c r="L345" s="3" t="s">
        <v>1336</v>
      </c>
    </row>
    <row r="346" spans="1:12" ht="14.25" hidden="1" customHeight="1" x14ac:dyDescent="0.35">
      <c r="A346" s="4" t="s">
        <v>1521</v>
      </c>
      <c r="B346" s="4" t="s">
        <v>451</v>
      </c>
      <c r="C346" s="18">
        <v>45763</v>
      </c>
      <c r="D346" s="4"/>
      <c r="E346" s="4">
        <v>0</v>
      </c>
      <c r="F346" s="4"/>
      <c r="G346" s="4" t="s">
        <v>457</v>
      </c>
      <c r="H346" s="4" t="s">
        <v>458</v>
      </c>
      <c r="I346" s="4" t="s">
        <v>1522</v>
      </c>
      <c r="J346" s="4" t="s">
        <v>455</v>
      </c>
      <c r="K346" s="4"/>
      <c r="L346" s="4"/>
    </row>
    <row r="347" spans="1:12" ht="14.25" hidden="1" customHeight="1" x14ac:dyDescent="0.35">
      <c r="A347" s="4" t="s">
        <v>1523</v>
      </c>
      <c r="B347" s="4" t="s">
        <v>451</v>
      </c>
      <c r="C347" s="18">
        <v>45768</v>
      </c>
      <c r="D347" s="4"/>
      <c r="E347" s="4">
        <v>0</v>
      </c>
      <c r="F347" s="4"/>
      <c r="G347" s="4" t="s">
        <v>1524</v>
      </c>
      <c r="H347" s="4" t="s">
        <v>1525</v>
      </c>
      <c r="I347" s="4" t="s">
        <v>1526</v>
      </c>
      <c r="J347" s="4" t="s">
        <v>455</v>
      </c>
      <c r="K347" s="4"/>
      <c r="L347" s="4"/>
    </row>
    <row r="348" spans="1:12" ht="14.25" hidden="1" customHeight="1" x14ac:dyDescent="0.35">
      <c r="A348" s="4" t="s">
        <v>1527</v>
      </c>
      <c r="B348" s="4" t="s">
        <v>451</v>
      </c>
      <c r="C348" s="18">
        <v>45768</v>
      </c>
      <c r="D348" s="4"/>
      <c r="E348" s="4">
        <v>0</v>
      </c>
      <c r="F348" s="4"/>
      <c r="G348" s="4" t="s">
        <v>1528</v>
      </c>
      <c r="H348" s="4" t="s">
        <v>1529</v>
      </c>
      <c r="I348" s="4" t="s">
        <v>1530</v>
      </c>
      <c r="J348" s="4" t="s">
        <v>455</v>
      </c>
      <c r="K348" s="4"/>
      <c r="L348" s="4"/>
    </row>
    <row r="349" spans="1:12" ht="14.25" hidden="1" customHeight="1" x14ac:dyDescent="0.35">
      <c r="A349" s="4" t="s">
        <v>1531</v>
      </c>
      <c r="B349" s="4" t="s">
        <v>451</v>
      </c>
      <c r="C349" s="18">
        <v>45768</v>
      </c>
      <c r="D349" s="4"/>
      <c r="E349" s="4">
        <v>1</v>
      </c>
      <c r="F349" s="4" t="s">
        <v>1532</v>
      </c>
      <c r="G349" s="4" t="s">
        <v>461</v>
      </c>
      <c r="H349" s="4" t="s">
        <v>488</v>
      </c>
      <c r="I349" s="4" t="s">
        <v>1533</v>
      </c>
      <c r="J349" s="4" t="s">
        <v>455</v>
      </c>
      <c r="K349" s="4" t="s">
        <v>469</v>
      </c>
      <c r="L349" s="4" t="s">
        <v>470</v>
      </c>
    </row>
    <row r="350" spans="1:12" ht="14.25" hidden="1" customHeight="1" x14ac:dyDescent="0.35">
      <c r="A350" s="4" t="s">
        <v>1534</v>
      </c>
      <c r="B350" s="4" t="s">
        <v>451</v>
      </c>
      <c r="C350" s="18">
        <v>45768</v>
      </c>
      <c r="D350" s="4"/>
      <c r="E350" s="4">
        <v>0</v>
      </c>
      <c r="F350" s="4"/>
      <c r="G350" s="4" t="s">
        <v>1535</v>
      </c>
      <c r="H350" s="4" t="s">
        <v>1536</v>
      </c>
      <c r="I350" s="4" t="s">
        <v>1537</v>
      </c>
      <c r="J350" s="4" t="s">
        <v>455</v>
      </c>
      <c r="K350" s="4"/>
      <c r="L350" s="4"/>
    </row>
    <row r="351" spans="1:12" ht="14.25" hidden="1" customHeight="1" x14ac:dyDescent="0.35">
      <c r="A351" s="4" t="s">
        <v>1538</v>
      </c>
      <c r="B351" s="4" t="s">
        <v>451</v>
      </c>
      <c r="C351" s="18">
        <v>45775</v>
      </c>
      <c r="D351" s="4"/>
      <c r="E351" s="4">
        <v>0</v>
      </c>
      <c r="F351" s="4"/>
      <c r="G351" s="4" t="s">
        <v>1539</v>
      </c>
      <c r="H351" s="4" t="s">
        <v>1540</v>
      </c>
      <c r="I351" s="4" t="s">
        <v>1541</v>
      </c>
      <c r="J351" s="4" t="s">
        <v>455</v>
      </c>
      <c r="K351" s="4"/>
      <c r="L351" s="4"/>
    </row>
    <row r="352" spans="1:12" ht="14.25" hidden="1" customHeight="1" x14ac:dyDescent="0.35">
      <c r="A352" s="4" t="s">
        <v>1542</v>
      </c>
      <c r="B352" s="4" t="s">
        <v>451</v>
      </c>
      <c r="C352" s="18">
        <v>45775</v>
      </c>
      <c r="D352" s="4"/>
      <c r="E352" s="4">
        <v>0</v>
      </c>
      <c r="F352" s="4"/>
      <c r="G352" s="4" t="s">
        <v>1543</v>
      </c>
      <c r="H352" s="4" t="s">
        <v>1544</v>
      </c>
      <c r="I352" s="4" t="s">
        <v>1545</v>
      </c>
      <c r="J352" s="4" t="s">
        <v>455</v>
      </c>
      <c r="K352" s="4"/>
      <c r="L352" s="4"/>
    </row>
    <row r="353" spans="1:12" ht="14.25" hidden="1" customHeight="1" x14ac:dyDescent="0.35">
      <c r="A353" s="4" t="s">
        <v>1546</v>
      </c>
      <c r="B353" s="4" t="s">
        <v>451</v>
      </c>
      <c r="C353" s="18">
        <v>45775</v>
      </c>
      <c r="D353" s="4"/>
      <c r="E353" s="4">
        <v>0</v>
      </c>
      <c r="F353" s="4"/>
      <c r="G353" s="4" t="s">
        <v>466</v>
      </c>
      <c r="H353" s="4" t="s">
        <v>473</v>
      </c>
      <c r="I353" s="4" t="s">
        <v>1547</v>
      </c>
      <c r="J353" s="4" t="s">
        <v>455</v>
      </c>
      <c r="K353" s="4"/>
      <c r="L353" s="4"/>
    </row>
    <row r="354" spans="1:12" ht="14.25" hidden="1" customHeight="1" x14ac:dyDescent="0.35">
      <c r="A354" s="4" t="s">
        <v>1548</v>
      </c>
      <c r="B354" s="4" t="s">
        <v>479</v>
      </c>
      <c r="C354" s="18">
        <v>45777</v>
      </c>
      <c r="D354" s="4"/>
      <c r="E354" s="4">
        <v>1</v>
      </c>
      <c r="F354" s="4" t="s">
        <v>1549</v>
      </c>
      <c r="G354" s="4" t="s">
        <v>1550</v>
      </c>
      <c r="H354" s="4" t="s">
        <v>1551</v>
      </c>
      <c r="I354" s="4" t="s">
        <v>1552</v>
      </c>
      <c r="J354" s="4" t="s">
        <v>455</v>
      </c>
      <c r="K354" s="4" t="s">
        <v>469</v>
      </c>
      <c r="L354" s="4" t="s">
        <v>550</v>
      </c>
    </row>
    <row r="355" spans="1:12" ht="14.25" hidden="1" customHeight="1" x14ac:dyDescent="0.35">
      <c r="A355" s="4" t="s">
        <v>1553</v>
      </c>
      <c r="B355" s="4" t="s">
        <v>479</v>
      </c>
      <c r="C355" s="18">
        <v>45777</v>
      </c>
      <c r="D355" s="4"/>
      <c r="E355" s="4">
        <v>0</v>
      </c>
      <c r="F355" s="4"/>
      <c r="G355" s="4" t="s">
        <v>1554</v>
      </c>
      <c r="H355" s="4" t="s">
        <v>1555</v>
      </c>
      <c r="I355" s="4" t="s">
        <v>1556</v>
      </c>
      <c r="J355" s="4" t="s">
        <v>455</v>
      </c>
      <c r="K355" s="4"/>
      <c r="L355" s="4"/>
    </row>
    <row r="356" spans="1:12" ht="14.25" hidden="1" customHeight="1" x14ac:dyDescent="0.35">
      <c r="A356" s="4" t="s">
        <v>1557</v>
      </c>
      <c r="B356" s="4" t="s">
        <v>479</v>
      </c>
      <c r="C356" s="18">
        <v>45777</v>
      </c>
      <c r="D356" s="4"/>
      <c r="E356" s="4">
        <v>0</v>
      </c>
      <c r="F356" s="4"/>
      <c r="G356" s="4" t="s">
        <v>1558</v>
      </c>
      <c r="H356" s="4" t="s">
        <v>1559</v>
      </c>
      <c r="I356" s="4" t="s">
        <v>1560</v>
      </c>
      <c r="J356" s="4" t="s">
        <v>455</v>
      </c>
      <c r="K356" s="4"/>
      <c r="L356" s="4"/>
    </row>
    <row r="357" spans="1:12" ht="14.25" hidden="1" customHeight="1" x14ac:dyDescent="0.35">
      <c r="A357" s="4" t="s">
        <v>1561</v>
      </c>
      <c r="B357" s="4" t="s">
        <v>479</v>
      </c>
      <c r="C357" s="18">
        <v>45777</v>
      </c>
      <c r="D357" s="4"/>
      <c r="E357" s="4">
        <v>1</v>
      </c>
      <c r="F357" s="4" t="s">
        <v>1562</v>
      </c>
      <c r="G357" s="4" t="s">
        <v>1563</v>
      </c>
      <c r="H357" s="4" t="s">
        <v>1564</v>
      </c>
      <c r="I357" s="4" t="s">
        <v>1565</v>
      </c>
      <c r="J357" s="4" t="s">
        <v>455</v>
      </c>
      <c r="K357" s="4" t="s">
        <v>469</v>
      </c>
      <c r="L357" s="4" t="s">
        <v>550</v>
      </c>
    </row>
    <row r="358" spans="1:12" ht="14.25" hidden="1" customHeight="1" x14ac:dyDescent="0.35">
      <c r="A358" s="4" t="s">
        <v>1566</v>
      </c>
      <c r="B358" s="4" t="s">
        <v>479</v>
      </c>
      <c r="C358" s="18">
        <v>45777</v>
      </c>
      <c r="D358" s="4"/>
      <c r="E358" s="4">
        <v>0</v>
      </c>
      <c r="F358" s="4"/>
      <c r="G358" s="4" t="s">
        <v>1567</v>
      </c>
      <c r="H358" s="4" t="s">
        <v>1568</v>
      </c>
      <c r="I358" s="4" t="s">
        <v>1569</v>
      </c>
      <c r="J358" s="4" t="s">
        <v>455</v>
      </c>
      <c r="K358" s="4"/>
      <c r="L358" s="4"/>
    </row>
    <row r="359" spans="1:12" ht="14.25" hidden="1" customHeight="1" x14ac:dyDescent="0.35">
      <c r="A359" s="4" t="s">
        <v>1570</v>
      </c>
      <c r="B359" s="4" t="s">
        <v>451</v>
      </c>
      <c r="C359" s="18">
        <v>45784</v>
      </c>
      <c r="D359" s="4"/>
      <c r="E359" s="4">
        <v>0</v>
      </c>
      <c r="F359" s="4"/>
      <c r="G359" s="4" t="s">
        <v>1571</v>
      </c>
      <c r="H359" s="4" t="s">
        <v>1572</v>
      </c>
      <c r="I359" s="4" t="s">
        <v>1573</v>
      </c>
      <c r="J359" s="4" t="s">
        <v>455</v>
      </c>
      <c r="K359" s="4"/>
      <c r="L359" s="4"/>
    </row>
    <row r="360" spans="1:12" ht="14.25" hidden="1" customHeight="1" x14ac:dyDescent="0.35">
      <c r="A360" s="4" t="s">
        <v>1574</v>
      </c>
      <c r="B360" s="4" t="s">
        <v>451</v>
      </c>
      <c r="C360" s="18">
        <v>45789</v>
      </c>
      <c r="D360" s="4"/>
      <c r="E360" s="4">
        <v>1</v>
      </c>
      <c r="F360" s="4" t="s">
        <v>1575</v>
      </c>
      <c r="G360" s="4" t="s">
        <v>466</v>
      </c>
      <c r="H360" s="4" t="s">
        <v>473</v>
      </c>
      <c r="I360" s="4" t="s">
        <v>1576</v>
      </c>
      <c r="J360" s="4" t="s">
        <v>455</v>
      </c>
      <c r="K360" s="4" t="s">
        <v>469</v>
      </c>
      <c r="L360" s="4" t="s">
        <v>470</v>
      </c>
    </row>
    <row r="361" spans="1:12" ht="14.25" hidden="1" customHeight="1" x14ac:dyDescent="0.35">
      <c r="A361" s="4" t="s">
        <v>1577</v>
      </c>
      <c r="B361" s="4" t="s">
        <v>451</v>
      </c>
      <c r="C361" s="18">
        <v>45790</v>
      </c>
      <c r="D361" s="4"/>
      <c r="E361" s="4">
        <v>1</v>
      </c>
      <c r="F361" s="4" t="s">
        <v>1578</v>
      </c>
      <c r="G361" s="4" t="s">
        <v>461</v>
      </c>
      <c r="H361" s="4" t="s">
        <v>488</v>
      </c>
      <c r="I361" s="4" t="s">
        <v>1579</v>
      </c>
      <c r="J361" s="4" t="s">
        <v>455</v>
      </c>
      <c r="K361" s="4" t="s">
        <v>469</v>
      </c>
      <c r="L361" s="4" t="s">
        <v>470</v>
      </c>
    </row>
    <row r="362" spans="1:12" ht="14.25" hidden="1" customHeight="1" x14ac:dyDescent="0.35">
      <c r="A362" s="4" t="s">
        <v>1580</v>
      </c>
      <c r="B362" s="4" t="s">
        <v>451</v>
      </c>
      <c r="C362" s="18">
        <v>45790</v>
      </c>
      <c r="D362" s="4"/>
      <c r="E362" s="4">
        <v>1</v>
      </c>
      <c r="F362" s="4" t="s">
        <v>1260</v>
      </c>
      <c r="G362" s="4" t="s">
        <v>461</v>
      </c>
      <c r="H362" s="4" t="s">
        <v>462</v>
      </c>
      <c r="I362" s="4" t="s">
        <v>1581</v>
      </c>
      <c r="J362" s="4" t="s">
        <v>455</v>
      </c>
      <c r="K362" s="4" t="s">
        <v>469</v>
      </c>
      <c r="L362" s="4" t="s">
        <v>470</v>
      </c>
    </row>
    <row r="363" spans="1:12" ht="14.25" customHeight="1" x14ac:dyDescent="0.35">
      <c r="A363" s="3" t="s">
        <v>1582</v>
      </c>
      <c r="B363" s="3" t="s">
        <v>500</v>
      </c>
      <c r="C363" s="19">
        <v>45544</v>
      </c>
      <c r="D363" s="19">
        <v>45544</v>
      </c>
      <c r="E363" s="3">
        <v>1</v>
      </c>
      <c r="F363" s="3" t="s">
        <v>659</v>
      </c>
      <c r="G363" s="3" t="s">
        <v>1583</v>
      </c>
      <c r="H363" s="3" t="s">
        <v>1584</v>
      </c>
      <c r="I363" s="3" t="s">
        <v>1585</v>
      </c>
      <c r="J363" s="3" t="s">
        <v>455</v>
      </c>
      <c r="K363" s="3" t="s">
        <v>1195</v>
      </c>
      <c r="L363" s="3" t="s">
        <v>1250</v>
      </c>
    </row>
    <row r="364" spans="1:12" ht="14.25" hidden="1" customHeight="1" x14ac:dyDescent="0.35">
      <c r="A364" s="4" t="s">
        <v>1586</v>
      </c>
      <c r="B364" s="4" t="s">
        <v>451</v>
      </c>
      <c r="C364" s="18">
        <v>45792</v>
      </c>
      <c r="D364" s="4"/>
      <c r="E364" s="4">
        <v>0</v>
      </c>
      <c r="F364" s="4"/>
      <c r="G364" s="4" t="s">
        <v>1587</v>
      </c>
      <c r="H364" s="4" t="s">
        <v>1588</v>
      </c>
      <c r="I364" s="4" t="s">
        <v>1589</v>
      </c>
      <c r="J364" s="4" t="s">
        <v>455</v>
      </c>
      <c r="K364" s="4"/>
      <c r="L364" s="4"/>
    </row>
    <row r="365" spans="1:12" ht="14.25" hidden="1" customHeight="1" x14ac:dyDescent="0.35">
      <c r="A365" s="4" t="s">
        <v>1590</v>
      </c>
      <c r="B365" s="4" t="s">
        <v>500</v>
      </c>
      <c r="C365" s="18">
        <v>45793</v>
      </c>
      <c r="D365" s="18">
        <v>45793</v>
      </c>
      <c r="E365" s="4">
        <v>1</v>
      </c>
      <c r="F365" s="4" t="s">
        <v>1591</v>
      </c>
      <c r="G365" s="4" t="s">
        <v>1592</v>
      </c>
      <c r="H365" s="4" t="s">
        <v>1593</v>
      </c>
      <c r="I365" s="4" t="s">
        <v>1594</v>
      </c>
      <c r="J365" s="4" t="s">
        <v>455</v>
      </c>
      <c r="K365" s="4" t="s">
        <v>469</v>
      </c>
      <c r="L365" s="4" t="s">
        <v>550</v>
      </c>
    </row>
    <row r="366" spans="1:12" ht="14.25" customHeight="1" x14ac:dyDescent="0.35">
      <c r="A366" s="3" t="s">
        <v>1595</v>
      </c>
      <c r="B366" s="3" t="s">
        <v>500</v>
      </c>
      <c r="C366" s="19">
        <v>45561</v>
      </c>
      <c r="D366" s="19">
        <v>45615</v>
      </c>
      <c r="E366" s="3">
        <v>1</v>
      </c>
      <c r="F366" s="3" t="s">
        <v>1596</v>
      </c>
      <c r="G366" s="3" t="s">
        <v>1597</v>
      </c>
      <c r="H366" s="3" t="s">
        <v>1598</v>
      </c>
      <c r="I366" s="3" t="s">
        <v>1599</v>
      </c>
      <c r="J366" s="3" t="s">
        <v>455</v>
      </c>
      <c r="K366" s="3" t="s">
        <v>1195</v>
      </c>
      <c r="L366" s="3" t="s">
        <v>1336</v>
      </c>
    </row>
    <row r="367" spans="1:12" ht="14.25" hidden="1" customHeight="1" x14ac:dyDescent="0.35">
      <c r="A367" s="4" t="s">
        <v>1600</v>
      </c>
      <c r="B367" s="4" t="s">
        <v>451</v>
      </c>
      <c r="C367" s="18">
        <v>45793</v>
      </c>
      <c r="D367" s="4"/>
      <c r="E367" s="4">
        <v>1</v>
      </c>
      <c r="F367" s="4" t="s">
        <v>1387</v>
      </c>
      <c r="G367" s="4" t="s">
        <v>1601</v>
      </c>
      <c r="H367" s="4" t="s">
        <v>1602</v>
      </c>
      <c r="I367" s="4" t="s">
        <v>1603</v>
      </c>
      <c r="J367" s="4" t="s">
        <v>455</v>
      </c>
      <c r="K367" s="4" t="s">
        <v>469</v>
      </c>
      <c r="L367" s="4" t="s">
        <v>1604</v>
      </c>
    </row>
    <row r="368" spans="1:12" ht="14.25" hidden="1" customHeight="1" x14ac:dyDescent="0.35">
      <c r="A368" s="4" t="s">
        <v>1605</v>
      </c>
      <c r="B368" s="4" t="s">
        <v>451</v>
      </c>
      <c r="C368" s="18">
        <v>45793</v>
      </c>
      <c r="D368" s="4"/>
      <c r="E368" s="4">
        <v>1</v>
      </c>
      <c r="F368" s="4" t="s">
        <v>669</v>
      </c>
      <c r="G368" s="4" t="s">
        <v>1606</v>
      </c>
      <c r="H368" s="4" t="s">
        <v>1607</v>
      </c>
      <c r="I368" s="4" t="s">
        <v>1608</v>
      </c>
      <c r="J368" s="4" t="s">
        <v>455</v>
      </c>
      <c r="K368" s="4" t="s">
        <v>469</v>
      </c>
      <c r="L368" s="4" t="s">
        <v>498</v>
      </c>
    </row>
    <row r="369" spans="1:12" ht="14.25" hidden="1" customHeight="1" x14ac:dyDescent="0.35">
      <c r="A369" s="4" t="s">
        <v>1609</v>
      </c>
      <c r="B369" s="4" t="s">
        <v>451</v>
      </c>
      <c r="C369" s="18">
        <v>45798</v>
      </c>
      <c r="D369" s="4"/>
      <c r="E369" s="4">
        <v>1</v>
      </c>
      <c r="F369" s="4" t="s">
        <v>1610</v>
      </c>
      <c r="G369" s="4" t="s">
        <v>461</v>
      </c>
      <c r="H369" s="4" t="s">
        <v>488</v>
      </c>
      <c r="I369" s="4" t="s">
        <v>1611</v>
      </c>
      <c r="J369" s="4" t="s">
        <v>455</v>
      </c>
      <c r="K369" s="4" t="s">
        <v>469</v>
      </c>
      <c r="L369" s="4" t="s">
        <v>470</v>
      </c>
    </row>
    <row r="370" spans="1:12" ht="14.25" hidden="1" customHeight="1" x14ac:dyDescent="0.35">
      <c r="A370" s="4" t="s">
        <v>1612</v>
      </c>
      <c r="B370" s="4" t="s">
        <v>451</v>
      </c>
      <c r="C370" s="18">
        <v>45798</v>
      </c>
      <c r="D370" s="4"/>
      <c r="E370" s="4">
        <v>1</v>
      </c>
      <c r="F370" s="4" t="s">
        <v>494</v>
      </c>
      <c r="G370" s="4" t="s">
        <v>466</v>
      </c>
      <c r="H370" s="4" t="s">
        <v>473</v>
      </c>
      <c r="I370" s="4" t="s">
        <v>1613</v>
      </c>
      <c r="J370" s="4" t="s">
        <v>455</v>
      </c>
      <c r="K370" s="4" t="s">
        <v>469</v>
      </c>
      <c r="L370" s="4" t="s">
        <v>470</v>
      </c>
    </row>
    <row r="371" spans="1:12" ht="14.25" hidden="1" customHeight="1" x14ac:dyDescent="0.35">
      <c r="A371" s="4" t="s">
        <v>1614</v>
      </c>
      <c r="B371" s="4" t="s">
        <v>479</v>
      </c>
      <c r="C371" s="18">
        <v>45798</v>
      </c>
      <c r="D371" s="4"/>
      <c r="E371" s="4">
        <v>0</v>
      </c>
      <c r="F371" s="4"/>
      <c r="G371" s="4" t="s">
        <v>1558</v>
      </c>
      <c r="H371" s="4"/>
      <c r="I371" s="4" t="s">
        <v>1615</v>
      </c>
      <c r="J371" s="4" t="s">
        <v>455</v>
      </c>
      <c r="K371" s="4"/>
      <c r="L371" s="4"/>
    </row>
    <row r="372" spans="1:12" ht="14.25" hidden="1" customHeight="1" x14ac:dyDescent="0.35">
      <c r="A372" s="4" t="s">
        <v>1616</v>
      </c>
      <c r="B372" s="4" t="s">
        <v>479</v>
      </c>
      <c r="C372" s="18">
        <v>45798</v>
      </c>
      <c r="D372" s="4"/>
      <c r="E372" s="4">
        <v>0</v>
      </c>
      <c r="F372" s="4"/>
      <c r="G372" s="4" t="s">
        <v>1567</v>
      </c>
      <c r="H372" s="4"/>
      <c r="I372" s="4" t="s">
        <v>1617</v>
      </c>
      <c r="J372" s="4" t="s">
        <v>455</v>
      </c>
      <c r="K372" s="4"/>
      <c r="L372" s="4"/>
    </row>
    <row r="373" spans="1:12" ht="14.25" hidden="1" customHeight="1" x14ac:dyDescent="0.35">
      <c r="A373" s="4" t="s">
        <v>1618</v>
      </c>
      <c r="B373" s="4" t="s">
        <v>451</v>
      </c>
      <c r="C373" s="18">
        <v>45805</v>
      </c>
      <c r="D373" s="4"/>
      <c r="E373" s="4">
        <v>1</v>
      </c>
      <c r="F373" s="4" t="s">
        <v>587</v>
      </c>
      <c r="G373" s="4" t="s">
        <v>461</v>
      </c>
      <c r="H373" s="4" t="s">
        <v>488</v>
      </c>
      <c r="I373" s="4" t="s">
        <v>1619</v>
      </c>
      <c r="J373" s="4" t="s">
        <v>455</v>
      </c>
      <c r="K373" s="4" t="s">
        <v>469</v>
      </c>
      <c r="L373" s="4" t="s">
        <v>470</v>
      </c>
    </row>
    <row r="374" spans="1:12" ht="14.25" hidden="1" customHeight="1" x14ac:dyDescent="0.35">
      <c r="A374" s="4" t="s">
        <v>1620</v>
      </c>
      <c r="B374" s="4" t="s">
        <v>451</v>
      </c>
      <c r="C374" s="18">
        <v>45805</v>
      </c>
      <c r="D374" s="4"/>
      <c r="E374" s="4">
        <v>0</v>
      </c>
      <c r="F374" s="4"/>
      <c r="G374" s="4" t="s">
        <v>466</v>
      </c>
      <c r="H374" s="4" t="s">
        <v>467</v>
      </c>
      <c r="I374" s="4" t="s">
        <v>1621</v>
      </c>
      <c r="J374" s="4" t="s">
        <v>455</v>
      </c>
      <c r="K374" s="4"/>
      <c r="L374" s="4"/>
    </row>
    <row r="375" spans="1:12" ht="14.25" customHeight="1" x14ac:dyDescent="0.35">
      <c r="A375" s="3" t="s">
        <v>1622</v>
      </c>
      <c r="B375" s="3" t="s">
        <v>500</v>
      </c>
      <c r="C375" s="19">
        <v>45562</v>
      </c>
      <c r="D375" s="19">
        <v>45580</v>
      </c>
      <c r="E375" s="3">
        <v>1</v>
      </c>
      <c r="F375" s="3" t="s">
        <v>1387</v>
      </c>
      <c r="G375" s="3" t="s">
        <v>1388</v>
      </c>
      <c r="H375" s="3" t="s">
        <v>1623</v>
      </c>
      <c r="I375" s="3" t="s">
        <v>1624</v>
      </c>
      <c r="J375" s="3" t="s">
        <v>455</v>
      </c>
      <c r="K375" s="3" t="s">
        <v>1195</v>
      </c>
      <c r="L375" s="3" t="s">
        <v>1336</v>
      </c>
    </row>
    <row r="376" spans="1:12" ht="14.25" hidden="1" customHeight="1" x14ac:dyDescent="0.35">
      <c r="A376" s="4" t="s">
        <v>1625</v>
      </c>
      <c r="B376" s="4" t="s">
        <v>451</v>
      </c>
      <c r="C376" s="18">
        <v>45807</v>
      </c>
      <c r="D376" s="4"/>
      <c r="E376" s="4">
        <v>1</v>
      </c>
      <c r="F376" s="4" t="s">
        <v>1246</v>
      </c>
      <c r="G376" s="4" t="s">
        <v>466</v>
      </c>
      <c r="H376" s="4" t="s">
        <v>473</v>
      </c>
      <c r="I376" s="4" t="s">
        <v>1626</v>
      </c>
      <c r="J376" s="4" t="s">
        <v>455</v>
      </c>
      <c r="K376" s="4" t="s">
        <v>469</v>
      </c>
      <c r="L376" s="4" t="s">
        <v>470</v>
      </c>
    </row>
    <row r="377" spans="1:12" ht="14.25" hidden="1" customHeight="1" x14ac:dyDescent="0.35">
      <c r="A377" s="4" t="s">
        <v>1627</v>
      </c>
      <c r="B377" s="4" t="s">
        <v>451</v>
      </c>
      <c r="C377" s="18">
        <v>45810</v>
      </c>
      <c r="D377" s="4"/>
      <c r="E377" s="4">
        <v>0</v>
      </c>
      <c r="F377" s="4"/>
      <c r="G377" s="4" t="s">
        <v>1628</v>
      </c>
      <c r="H377" s="4" t="s">
        <v>1629</v>
      </c>
      <c r="I377" s="4" t="s">
        <v>1630</v>
      </c>
      <c r="J377" s="4" t="s">
        <v>455</v>
      </c>
      <c r="K377" s="4"/>
      <c r="L377" s="4"/>
    </row>
    <row r="378" spans="1:12" ht="14.25" hidden="1" customHeight="1" x14ac:dyDescent="0.35">
      <c r="A378" s="4" t="s">
        <v>1631</v>
      </c>
      <c r="B378" s="4" t="s">
        <v>451</v>
      </c>
      <c r="C378" s="18">
        <v>45812</v>
      </c>
      <c r="D378" s="4"/>
      <c r="E378" s="4">
        <v>0</v>
      </c>
      <c r="F378" s="4"/>
      <c r="G378" s="4" t="s">
        <v>461</v>
      </c>
      <c r="H378" s="4" t="s">
        <v>488</v>
      </c>
      <c r="I378" s="4" t="s">
        <v>1632</v>
      </c>
      <c r="J378" s="4" t="s">
        <v>455</v>
      </c>
      <c r="K378" s="4"/>
      <c r="L378" s="4"/>
    </row>
    <row r="379" spans="1:12" ht="14.25" hidden="1" customHeight="1" x14ac:dyDescent="0.35">
      <c r="A379" s="4" t="s">
        <v>1633</v>
      </c>
      <c r="B379" s="4" t="s">
        <v>479</v>
      </c>
      <c r="C379" s="18">
        <v>45813</v>
      </c>
      <c r="D379" s="4"/>
      <c r="E379" s="4">
        <v>0</v>
      </c>
      <c r="F379" s="4"/>
      <c r="G379" s="4" t="s">
        <v>1634</v>
      </c>
      <c r="H379" s="4" t="s">
        <v>1635</v>
      </c>
      <c r="I379" s="4" t="s">
        <v>1636</v>
      </c>
      <c r="J379" s="4" t="s">
        <v>455</v>
      </c>
      <c r="K379" s="4"/>
      <c r="L379" s="4"/>
    </row>
    <row r="380" spans="1:12" ht="14.25" hidden="1" customHeight="1" x14ac:dyDescent="0.35">
      <c r="A380" s="4" t="s">
        <v>1637</v>
      </c>
      <c r="B380" s="4" t="s">
        <v>451</v>
      </c>
      <c r="C380" s="18">
        <v>45817</v>
      </c>
      <c r="D380" s="4"/>
      <c r="E380" s="4">
        <v>0</v>
      </c>
      <c r="F380" s="4"/>
      <c r="G380" s="4" t="s">
        <v>1638</v>
      </c>
      <c r="H380" s="4" t="s">
        <v>1639</v>
      </c>
      <c r="I380" s="4" t="s">
        <v>1640</v>
      </c>
      <c r="J380" s="4" t="s">
        <v>455</v>
      </c>
      <c r="K380" s="4"/>
      <c r="L380" s="4"/>
    </row>
    <row r="381" spans="1:12" ht="14.25" hidden="1" customHeight="1" x14ac:dyDescent="0.35">
      <c r="A381" s="4" t="s">
        <v>1641</v>
      </c>
      <c r="B381" s="4" t="s">
        <v>451</v>
      </c>
      <c r="C381" s="18">
        <v>45819</v>
      </c>
      <c r="D381" s="4"/>
      <c r="E381" s="4">
        <v>0</v>
      </c>
      <c r="F381" s="4"/>
      <c r="G381" s="4" t="s">
        <v>466</v>
      </c>
      <c r="H381" s="4" t="s">
        <v>1642</v>
      </c>
      <c r="I381" s="4" t="s">
        <v>1643</v>
      </c>
      <c r="J381" s="4" t="s">
        <v>455</v>
      </c>
      <c r="K381" s="4"/>
      <c r="L381" s="4"/>
    </row>
    <row r="382" spans="1:12" ht="14.25" hidden="1" customHeight="1" x14ac:dyDescent="0.35">
      <c r="A382" s="4" t="s">
        <v>1644</v>
      </c>
      <c r="B382" s="4" t="s">
        <v>451</v>
      </c>
      <c r="C382" s="18">
        <v>45819</v>
      </c>
      <c r="D382" s="4"/>
      <c r="E382" s="4">
        <v>1</v>
      </c>
      <c r="F382" s="4" t="s">
        <v>1645</v>
      </c>
      <c r="G382" s="4" t="s">
        <v>466</v>
      </c>
      <c r="H382" s="4" t="s">
        <v>473</v>
      </c>
      <c r="I382" s="4" t="s">
        <v>1646</v>
      </c>
      <c r="J382" s="4" t="s">
        <v>455</v>
      </c>
      <c r="K382" s="4" t="s">
        <v>469</v>
      </c>
      <c r="L382" s="4" t="s">
        <v>470</v>
      </c>
    </row>
    <row r="383" spans="1:12" ht="14.25" hidden="1" customHeight="1" x14ac:dyDescent="0.35">
      <c r="A383" s="4" t="s">
        <v>1647</v>
      </c>
      <c r="B383" s="4" t="s">
        <v>451</v>
      </c>
      <c r="C383" s="18">
        <v>45819</v>
      </c>
      <c r="D383" s="4"/>
      <c r="E383" s="4">
        <v>0</v>
      </c>
      <c r="F383" s="4"/>
      <c r="G383" s="4" t="s">
        <v>461</v>
      </c>
      <c r="H383" s="4" t="s">
        <v>488</v>
      </c>
      <c r="I383" s="4" t="s">
        <v>1648</v>
      </c>
      <c r="J383" s="4" t="s">
        <v>455</v>
      </c>
      <c r="K383" s="4"/>
      <c r="L383" s="4"/>
    </row>
    <row r="384" spans="1:12" ht="14.25" hidden="1" customHeight="1" x14ac:dyDescent="0.35">
      <c r="A384" s="4" t="s">
        <v>1649</v>
      </c>
      <c r="B384" s="4" t="s">
        <v>451</v>
      </c>
      <c r="C384" s="18">
        <v>45820</v>
      </c>
      <c r="D384" s="4"/>
      <c r="E384" s="4">
        <v>0</v>
      </c>
      <c r="F384" s="4"/>
      <c r="G384" s="4" t="s">
        <v>461</v>
      </c>
      <c r="H384" s="4" t="s">
        <v>488</v>
      </c>
      <c r="I384" s="4" t="s">
        <v>1650</v>
      </c>
      <c r="J384" s="4" t="s">
        <v>455</v>
      </c>
      <c r="K384" s="4"/>
      <c r="L384" s="4"/>
    </row>
    <row r="385" spans="1:12" ht="14.25" hidden="1" customHeight="1" x14ac:dyDescent="0.35">
      <c r="A385" s="4" t="s">
        <v>1651</v>
      </c>
      <c r="B385" s="4" t="s">
        <v>451</v>
      </c>
      <c r="C385" s="18">
        <v>45820</v>
      </c>
      <c r="D385" s="4"/>
      <c r="E385" s="4">
        <v>0</v>
      </c>
      <c r="F385" s="4"/>
      <c r="G385" s="4" t="s">
        <v>457</v>
      </c>
      <c r="H385" s="4" t="s">
        <v>458</v>
      </c>
      <c r="I385" s="4" t="s">
        <v>1652</v>
      </c>
      <c r="J385" s="4" t="s">
        <v>455</v>
      </c>
      <c r="K385" s="4"/>
      <c r="L385" s="4"/>
    </row>
    <row r="386" spans="1:12" ht="14.25" hidden="1" customHeight="1" x14ac:dyDescent="0.35">
      <c r="A386" s="4" t="s">
        <v>1653</v>
      </c>
      <c r="B386" s="4" t="s">
        <v>451</v>
      </c>
      <c r="C386" s="18">
        <v>45821</v>
      </c>
      <c r="D386" s="4"/>
      <c r="E386" s="4">
        <v>0</v>
      </c>
      <c r="F386" s="4"/>
      <c r="G386" s="4" t="s">
        <v>466</v>
      </c>
      <c r="H386" s="4" t="s">
        <v>473</v>
      </c>
      <c r="I386" s="4" t="s">
        <v>1654</v>
      </c>
      <c r="J386" s="4" t="s">
        <v>455</v>
      </c>
      <c r="K386" s="4"/>
      <c r="L386" s="4"/>
    </row>
    <row r="387" spans="1:12" ht="14.25" hidden="1" customHeight="1" x14ac:dyDescent="0.35">
      <c r="A387" s="4" t="s">
        <v>1655</v>
      </c>
      <c r="B387" s="4" t="s">
        <v>451</v>
      </c>
      <c r="C387" s="18">
        <v>45821</v>
      </c>
      <c r="D387" s="4"/>
      <c r="E387" s="4">
        <v>0</v>
      </c>
      <c r="F387" s="4"/>
      <c r="G387" s="4" t="s">
        <v>457</v>
      </c>
      <c r="H387" s="4" t="s">
        <v>458</v>
      </c>
      <c r="I387" s="4" t="s">
        <v>1656</v>
      </c>
      <c r="J387" s="4" t="s">
        <v>455</v>
      </c>
      <c r="K387" s="4"/>
      <c r="L387" s="4"/>
    </row>
    <row r="388" spans="1:12" ht="14.25" hidden="1" customHeight="1" x14ac:dyDescent="0.35">
      <c r="A388" s="4" t="s">
        <v>1657</v>
      </c>
      <c r="B388" s="4" t="s">
        <v>451</v>
      </c>
      <c r="C388" s="18">
        <v>45825</v>
      </c>
      <c r="D388" s="4"/>
      <c r="E388" s="4">
        <v>0</v>
      </c>
      <c r="F388" s="4"/>
      <c r="G388" s="4" t="s">
        <v>466</v>
      </c>
      <c r="H388" s="4" t="s">
        <v>473</v>
      </c>
      <c r="I388" s="4" t="s">
        <v>1658</v>
      </c>
      <c r="J388" s="4" t="s">
        <v>455</v>
      </c>
      <c r="K388" s="4"/>
      <c r="L388" s="4"/>
    </row>
    <row r="389" spans="1:12" ht="14.25" hidden="1" customHeight="1" x14ac:dyDescent="0.35">
      <c r="A389" s="4" t="s">
        <v>1659</v>
      </c>
      <c r="B389" s="4" t="s">
        <v>451</v>
      </c>
      <c r="C389" s="18">
        <v>45828</v>
      </c>
      <c r="D389" s="4"/>
      <c r="E389" s="4">
        <v>1</v>
      </c>
      <c r="F389" s="4" t="s">
        <v>1059</v>
      </c>
      <c r="G389" s="4" t="s">
        <v>461</v>
      </c>
      <c r="H389" s="4" t="s">
        <v>488</v>
      </c>
      <c r="I389" s="4" t="s">
        <v>1660</v>
      </c>
      <c r="J389" s="4" t="s">
        <v>455</v>
      </c>
      <c r="K389" s="4" t="s">
        <v>469</v>
      </c>
      <c r="L389" s="4" t="s">
        <v>470</v>
      </c>
    </row>
    <row r="390" spans="1:12" ht="14.25" hidden="1" customHeight="1" x14ac:dyDescent="0.35">
      <c r="A390" s="4" t="s">
        <v>1661</v>
      </c>
      <c r="B390" s="4" t="s">
        <v>451</v>
      </c>
      <c r="C390" s="18">
        <v>45831</v>
      </c>
      <c r="D390" s="4"/>
      <c r="E390" s="4">
        <v>1</v>
      </c>
      <c r="F390" s="4" t="s">
        <v>1662</v>
      </c>
      <c r="G390" s="4" t="s">
        <v>466</v>
      </c>
      <c r="H390" s="4" t="s">
        <v>473</v>
      </c>
      <c r="I390" s="4" t="s">
        <v>1663</v>
      </c>
      <c r="J390" s="4" t="s">
        <v>455</v>
      </c>
      <c r="K390" s="4" t="s">
        <v>469</v>
      </c>
      <c r="L390" s="4" t="s">
        <v>470</v>
      </c>
    </row>
    <row r="391" spans="1:12" ht="14.25" hidden="1" customHeight="1" x14ac:dyDescent="0.35">
      <c r="A391" s="4" t="s">
        <v>1664</v>
      </c>
      <c r="B391" s="4" t="s">
        <v>451</v>
      </c>
      <c r="C391" s="18">
        <v>45831</v>
      </c>
      <c r="D391" s="4"/>
      <c r="E391" s="4">
        <v>0</v>
      </c>
      <c r="F391" s="4"/>
      <c r="G391" s="4" t="s">
        <v>461</v>
      </c>
      <c r="H391" s="4" t="s">
        <v>488</v>
      </c>
      <c r="I391" s="4" t="s">
        <v>1665</v>
      </c>
      <c r="J391" s="4" t="s">
        <v>455</v>
      </c>
      <c r="K391" s="4"/>
      <c r="L391" s="4"/>
    </row>
    <row r="392" spans="1:12" ht="14.25" hidden="1" customHeight="1" x14ac:dyDescent="0.35">
      <c r="A392" s="4" t="s">
        <v>1666</v>
      </c>
      <c r="B392" s="4" t="s">
        <v>451</v>
      </c>
      <c r="C392" s="18">
        <v>45831</v>
      </c>
      <c r="D392" s="18">
        <v>45853</v>
      </c>
      <c r="E392" s="4">
        <v>0</v>
      </c>
      <c r="F392" s="4"/>
      <c r="G392" s="4" t="s">
        <v>1667</v>
      </c>
      <c r="H392" s="4" t="s">
        <v>1668</v>
      </c>
      <c r="I392" s="4" t="s">
        <v>1669</v>
      </c>
      <c r="J392" s="4" t="s">
        <v>455</v>
      </c>
      <c r="K392" s="4"/>
      <c r="L392" s="4"/>
    </row>
    <row r="393" spans="1:12" ht="14.25" hidden="1" customHeight="1" x14ac:dyDescent="0.35">
      <c r="A393" s="4" t="s">
        <v>1670</v>
      </c>
      <c r="B393" s="4" t="s">
        <v>451</v>
      </c>
      <c r="C393" s="18">
        <v>45832</v>
      </c>
      <c r="D393" s="4"/>
      <c r="E393" s="4">
        <v>0</v>
      </c>
      <c r="F393" s="4"/>
      <c r="G393" s="4" t="s">
        <v>1671</v>
      </c>
      <c r="H393" s="4" t="s">
        <v>1672</v>
      </c>
      <c r="I393" s="4" t="s">
        <v>1673</v>
      </c>
      <c r="J393" s="4" t="s">
        <v>455</v>
      </c>
      <c r="K393" s="4"/>
      <c r="L393" s="4"/>
    </row>
    <row r="394" spans="1:12" ht="14.25" hidden="1" customHeight="1" x14ac:dyDescent="0.35">
      <c r="A394" s="4" t="s">
        <v>1674</v>
      </c>
      <c r="B394" s="4" t="s">
        <v>451</v>
      </c>
      <c r="C394" s="18">
        <v>45833</v>
      </c>
      <c r="D394" s="4"/>
      <c r="E394" s="4">
        <v>0</v>
      </c>
      <c r="F394" s="4"/>
      <c r="G394" s="4" t="s">
        <v>1675</v>
      </c>
      <c r="H394" s="4" t="s">
        <v>1676</v>
      </c>
      <c r="I394" s="4" t="s">
        <v>1677</v>
      </c>
      <c r="J394" s="4" t="s">
        <v>455</v>
      </c>
      <c r="K394" s="4"/>
      <c r="L394" s="4"/>
    </row>
    <row r="395" spans="1:12" ht="14.25" hidden="1" customHeight="1" x14ac:dyDescent="0.35">
      <c r="A395" s="4" t="s">
        <v>1678</v>
      </c>
      <c r="B395" s="4" t="s">
        <v>451</v>
      </c>
      <c r="C395" s="18">
        <v>45835</v>
      </c>
      <c r="D395" s="4"/>
      <c r="E395" s="4">
        <v>0</v>
      </c>
      <c r="F395" s="4"/>
      <c r="G395" s="4" t="s">
        <v>1679</v>
      </c>
      <c r="H395" s="4" t="s">
        <v>1680</v>
      </c>
      <c r="I395" s="4" t="s">
        <v>1681</v>
      </c>
      <c r="J395" s="4" t="s">
        <v>455</v>
      </c>
      <c r="K395" s="4"/>
      <c r="L395" s="4"/>
    </row>
    <row r="396" spans="1:12" ht="14.25" hidden="1" customHeight="1" x14ac:dyDescent="0.35">
      <c r="A396" s="4" t="s">
        <v>1682</v>
      </c>
      <c r="B396" s="4" t="s">
        <v>451</v>
      </c>
      <c r="C396" s="18">
        <v>45835</v>
      </c>
      <c r="D396" s="4"/>
      <c r="E396" s="4">
        <v>0</v>
      </c>
      <c r="F396" s="4"/>
      <c r="G396" s="4" t="s">
        <v>466</v>
      </c>
      <c r="H396" s="4" t="s">
        <v>473</v>
      </c>
      <c r="I396" s="4" t="s">
        <v>1683</v>
      </c>
      <c r="J396" s="4" t="s">
        <v>455</v>
      </c>
      <c r="K396" s="4"/>
      <c r="L396" s="4"/>
    </row>
    <row r="397" spans="1:12" ht="14.25" hidden="1" customHeight="1" x14ac:dyDescent="0.35">
      <c r="A397" s="4" t="s">
        <v>1684</v>
      </c>
      <c r="B397" s="4" t="s">
        <v>451</v>
      </c>
      <c r="C397" s="18">
        <v>45835</v>
      </c>
      <c r="D397" s="4"/>
      <c r="E397" s="4">
        <v>1</v>
      </c>
      <c r="F397" s="4" t="s">
        <v>946</v>
      </c>
      <c r="G397" s="4" t="s">
        <v>461</v>
      </c>
      <c r="H397" s="4" t="s">
        <v>488</v>
      </c>
      <c r="I397" s="4" t="s">
        <v>1685</v>
      </c>
      <c r="J397" s="4" t="s">
        <v>455</v>
      </c>
      <c r="K397" s="4" t="s">
        <v>469</v>
      </c>
      <c r="L397" s="4" t="s">
        <v>470</v>
      </c>
    </row>
    <row r="398" spans="1:12" ht="14.25" hidden="1" customHeight="1" x14ac:dyDescent="0.35">
      <c r="A398" s="4" t="s">
        <v>1686</v>
      </c>
      <c r="B398" s="4" t="s">
        <v>451</v>
      </c>
      <c r="C398" s="18">
        <v>45838</v>
      </c>
      <c r="D398" s="4"/>
      <c r="E398" s="4">
        <v>1</v>
      </c>
      <c r="F398" s="4" t="s">
        <v>946</v>
      </c>
      <c r="G398" s="4" t="s">
        <v>461</v>
      </c>
      <c r="H398" s="4" t="s">
        <v>488</v>
      </c>
      <c r="I398" s="4" t="s">
        <v>1687</v>
      </c>
      <c r="J398" s="4" t="s">
        <v>455</v>
      </c>
      <c r="K398" s="4" t="s">
        <v>469</v>
      </c>
      <c r="L398" s="4" t="s">
        <v>470</v>
      </c>
    </row>
    <row r="399" spans="1:12" ht="14.25" hidden="1" customHeight="1" x14ac:dyDescent="0.35">
      <c r="A399" s="4" t="s">
        <v>1688</v>
      </c>
      <c r="B399" s="4" t="s">
        <v>451</v>
      </c>
      <c r="C399" s="18">
        <v>45838</v>
      </c>
      <c r="D399" s="4"/>
      <c r="E399" s="4">
        <v>0</v>
      </c>
      <c r="F399" s="4"/>
      <c r="G399" s="4" t="s">
        <v>461</v>
      </c>
      <c r="H399" s="4" t="s">
        <v>488</v>
      </c>
      <c r="I399" s="4" t="s">
        <v>1689</v>
      </c>
      <c r="J399" s="4" t="s">
        <v>455</v>
      </c>
      <c r="K399" s="4"/>
      <c r="L399" s="4"/>
    </row>
    <row r="400" spans="1:12" ht="14.25" customHeight="1" x14ac:dyDescent="0.35">
      <c r="A400" s="3" t="s">
        <v>1690</v>
      </c>
      <c r="B400" s="3" t="s">
        <v>500</v>
      </c>
      <c r="C400" s="19">
        <v>45565</v>
      </c>
      <c r="D400" s="19">
        <v>45565</v>
      </c>
      <c r="E400" s="3">
        <v>1</v>
      </c>
      <c r="F400" s="3" t="s">
        <v>1691</v>
      </c>
      <c r="G400" s="3" t="s">
        <v>1054</v>
      </c>
      <c r="H400" s="3" t="s">
        <v>1055</v>
      </c>
      <c r="I400" s="3" t="s">
        <v>1692</v>
      </c>
      <c r="J400" s="3" t="s">
        <v>455</v>
      </c>
      <c r="K400" s="3" t="s">
        <v>1195</v>
      </c>
      <c r="L400" s="3" t="s">
        <v>1693</v>
      </c>
    </row>
    <row r="401" spans="1:12" ht="14.25" hidden="1" customHeight="1" x14ac:dyDescent="0.35">
      <c r="A401" s="4" t="s">
        <v>1694</v>
      </c>
      <c r="B401" s="4" t="s">
        <v>451</v>
      </c>
      <c r="C401" s="18">
        <v>45839</v>
      </c>
      <c r="D401" s="4"/>
      <c r="E401" s="4">
        <v>0</v>
      </c>
      <c r="F401" s="4"/>
      <c r="G401" s="4" t="s">
        <v>461</v>
      </c>
      <c r="H401" s="4" t="s">
        <v>488</v>
      </c>
      <c r="I401" s="4" t="s">
        <v>1695</v>
      </c>
      <c r="J401" s="4" t="s">
        <v>455</v>
      </c>
      <c r="K401" s="4"/>
      <c r="L401" s="4"/>
    </row>
    <row r="402" spans="1:12" ht="14.25" hidden="1" customHeight="1" x14ac:dyDescent="0.35">
      <c r="A402" s="4" t="s">
        <v>1696</v>
      </c>
      <c r="B402" s="4" t="s">
        <v>479</v>
      </c>
      <c r="C402" s="18">
        <v>45840</v>
      </c>
      <c r="D402" s="4"/>
      <c r="E402" s="4">
        <v>1</v>
      </c>
      <c r="F402" s="4" t="s">
        <v>949</v>
      </c>
      <c r="G402" s="4" t="s">
        <v>1697</v>
      </c>
      <c r="H402" s="4" t="s">
        <v>1698</v>
      </c>
      <c r="I402" s="4" t="s">
        <v>1699</v>
      </c>
      <c r="J402" s="4" t="s">
        <v>455</v>
      </c>
      <c r="K402" s="4" t="s">
        <v>469</v>
      </c>
      <c r="L402" s="4" t="s">
        <v>550</v>
      </c>
    </row>
    <row r="403" spans="1:12" ht="14.25" hidden="1" customHeight="1" x14ac:dyDescent="0.35">
      <c r="A403" s="4" t="s">
        <v>1700</v>
      </c>
      <c r="B403" s="4" t="s">
        <v>479</v>
      </c>
      <c r="C403" s="18">
        <v>45840</v>
      </c>
      <c r="D403" s="4"/>
      <c r="E403" s="4">
        <v>1</v>
      </c>
      <c r="F403" s="4" t="s">
        <v>1701</v>
      </c>
      <c r="G403" s="4" t="s">
        <v>1702</v>
      </c>
      <c r="H403" s="4" t="s">
        <v>1703</v>
      </c>
      <c r="I403" s="4" t="s">
        <v>1704</v>
      </c>
      <c r="J403" s="4" t="s">
        <v>455</v>
      </c>
      <c r="K403" s="4" t="s">
        <v>469</v>
      </c>
      <c r="L403" s="4" t="s">
        <v>550</v>
      </c>
    </row>
    <row r="404" spans="1:12" ht="14.25" hidden="1" customHeight="1" x14ac:dyDescent="0.35">
      <c r="A404" s="4" t="s">
        <v>1705</v>
      </c>
      <c r="B404" s="4" t="s">
        <v>451</v>
      </c>
      <c r="C404" s="18">
        <v>45841</v>
      </c>
      <c r="D404" s="4"/>
      <c r="E404" s="4">
        <v>0</v>
      </c>
      <c r="F404" s="4"/>
      <c r="G404" s="4" t="s">
        <v>466</v>
      </c>
      <c r="H404" s="4" t="s">
        <v>473</v>
      </c>
      <c r="I404" s="4" t="s">
        <v>1706</v>
      </c>
      <c r="J404" s="4" t="s">
        <v>455</v>
      </c>
      <c r="K404" s="4"/>
      <c r="L404" s="4"/>
    </row>
    <row r="405" spans="1:12" ht="14.25" hidden="1" customHeight="1" x14ac:dyDescent="0.35">
      <c r="A405" s="4" t="s">
        <v>1707</v>
      </c>
      <c r="B405" s="4" t="s">
        <v>451</v>
      </c>
      <c r="C405" s="18">
        <v>45841</v>
      </c>
      <c r="D405" s="4"/>
      <c r="E405" s="4">
        <v>0</v>
      </c>
      <c r="F405" s="4"/>
      <c r="G405" s="4" t="s">
        <v>461</v>
      </c>
      <c r="H405" s="4" t="s">
        <v>488</v>
      </c>
      <c r="I405" s="4" t="s">
        <v>1708</v>
      </c>
      <c r="J405" s="4" t="s">
        <v>455</v>
      </c>
      <c r="K405" s="4"/>
      <c r="L405" s="4"/>
    </row>
    <row r="406" spans="1:12" ht="14.25" hidden="1" customHeight="1" x14ac:dyDescent="0.35">
      <c r="A406" s="4" t="s">
        <v>1709</v>
      </c>
      <c r="B406" s="4" t="s">
        <v>451</v>
      </c>
      <c r="C406" s="18">
        <v>45845</v>
      </c>
      <c r="D406" s="4"/>
      <c r="E406" s="4">
        <v>0</v>
      </c>
      <c r="F406" s="4"/>
      <c r="G406" s="4" t="s">
        <v>967</v>
      </c>
      <c r="H406" s="4" t="s">
        <v>1710</v>
      </c>
      <c r="I406" s="4" t="s">
        <v>1711</v>
      </c>
      <c r="J406" s="4" t="s">
        <v>455</v>
      </c>
      <c r="K406" s="4"/>
      <c r="L406" s="4"/>
    </row>
    <row r="407" spans="1:12" ht="14.25" hidden="1" customHeight="1" x14ac:dyDescent="0.35">
      <c r="A407" s="4" t="s">
        <v>1712</v>
      </c>
      <c r="B407" s="4" t="s">
        <v>451</v>
      </c>
      <c r="C407" s="18">
        <v>45845</v>
      </c>
      <c r="D407" s="4"/>
      <c r="E407" s="4">
        <v>0</v>
      </c>
      <c r="F407" s="4"/>
      <c r="G407" s="4" t="s">
        <v>1713</v>
      </c>
      <c r="H407" s="4" t="s">
        <v>1714</v>
      </c>
      <c r="I407" s="4" t="s">
        <v>1715</v>
      </c>
      <c r="J407" s="4" t="s">
        <v>455</v>
      </c>
      <c r="K407" s="4"/>
      <c r="L407" s="4"/>
    </row>
    <row r="408" spans="1:12" ht="14.25" hidden="1" customHeight="1" x14ac:dyDescent="0.35">
      <c r="A408" s="4" t="s">
        <v>1716</v>
      </c>
      <c r="B408" s="4" t="s">
        <v>451</v>
      </c>
      <c r="C408" s="18">
        <v>45845</v>
      </c>
      <c r="D408" s="4"/>
      <c r="E408" s="4">
        <v>0</v>
      </c>
      <c r="F408" s="4"/>
      <c r="G408" s="4" t="s">
        <v>461</v>
      </c>
      <c r="H408" s="4" t="s">
        <v>488</v>
      </c>
      <c r="I408" s="4" t="s">
        <v>1717</v>
      </c>
      <c r="J408" s="4" t="s">
        <v>455</v>
      </c>
      <c r="K408" s="4"/>
      <c r="L408" s="4"/>
    </row>
    <row r="409" spans="1:12" ht="14.25" hidden="1" customHeight="1" x14ac:dyDescent="0.35">
      <c r="A409" s="4" t="s">
        <v>1718</v>
      </c>
      <c r="B409" s="4" t="s">
        <v>479</v>
      </c>
      <c r="C409" s="18">
        <v>45847</v>
      </c>
      <c r="D409" s="4"/>
      <c r="E409" s="4">
        <v>0</v>
      </c>
      <c r="F409" s="4"/>
      <c r="G409" s="4" t="s">
        <v>1697</v>
      </c>
      <c r="H409" s="4"/>
      <c r="I409" s="4" t="s">
        <v>1719</v>
      </c>
      <c r="J409" s="4" t="s">
        <v>455</v>
      </c>
      <c r="K409" s="4"/>
      <c r="L409" s="4"/>
    </row>
    <row r="410" spans="1:12" ht="14.25" hidden="1" customHeight="1" x14ac:dyDescent="0.35">
      <c r="A410" s="4" t="s">
        <v>1720</v>
      </c>
      <c r="B410" s="4" t="s">
        <v>451</v>
      </c>
      <c r="C410" s="18">
        <v>45849</v>
      </c>
      <c r="D410" s="4"/>
      <c r="E410" s="4">
        <v>0</v>
      </c>
      <c r="F410" s="4"/>
      <c r="G410" s="4" t="s">
        <v>461</v>
      </c>
      <c r="H410" s="4" t="s">
        <v>488</v>
      </c>
      <c r="I410" s="4" t="s">
        <v>1721</v>
      </c>
      <c r="J410" s="4" t="s">
        <v>455</v>
      </c>
      <c r="K410" s="4"/>
      <c r="L410" s="4"/>
    </row>
    <row r="411" spans="1:12" ht="14.25" hidden="1" customHeight="1" x14ac:dyDescent="0.35">
      <c r="A411" s="4" t="s">
        <v>1722</v>
      </c>
      <c r="B411" s="4" t="s">
        <v>451</v>
      </c>
      <c r="C411" s="18">
        <v>45849</v>
      </c>
      <c r="D411" s="4"/>
      <c r="E411" s="4">
        <v>1</v>
      </c>
      <c r="F411" s="4" t="s">
        <v>1723</v>
      </c>
      <c r="G411" s="4" t="s">
        <v>466</v>
      </c>
      <c r="H411" s="4" t="s">
        <v>473</v>
      </c>
      <c r="I411" s="4" t="s">
        <v>1724</v>
      </c>
      <c r="J411" s="4" t="s">
        <v>455</v>
      </c>
      <c r="K411" s="4" t="s">
        <v>469</v>
      </c>
      <c r="L411" s="4" t="s">
        <v>470</v>
      </c>
    </row>
    <row r="412" spans="1:12" ht="14.25" hidden="1" customHeight="1" x14ac:dyDescent="0.35">
      <c r="A412" s="4" t="s">
        <v>1725</v>
      </c>
      <c r="B412" s="4" t="s">
        <v>451</v>
      </c>
      <c r="C412" s="18">
        <v>45849</v>
      </c>
      <c r="D412" s="18">
        <v>45849</v>
      </c>
      <c r="E412" s="4">
        <v>0</v>
      </c>
      <c r="F412" s="4"/>
      <c r="G412" s="4" t="s">
        <v>1726</v>
      </c>
      <c r="H412" s="4" t="s">
        <v>1727</v>
      </c>
      <c r="I412" s="4" t="s">
        <v>1728</v>
      </c>
      <c r="J412" s="4" t="s">
        <v>455</v>
      </c>
      <c r="K412" s="4"/>
      <c r="L412" s="4"/>
    </row>
    <row r="413" spans="1:12" ht="14.25" hidden="1" customHeight="1" x14ac:dyDescent="0.35">
      <c r="A413" s="4" t="s">
        <v>1729</v>
      </c>
      <c r="B413" s="4" t="s">
        <v>479</v>
      </c>
      <c r="C413" s="18">
        <v>45849</v>
      </c>
      <c r="D413" s="4"/>
      <c r="E413" s="4">
        <v>0</v>
      </c>
      <c r="F413" s="4"/>
      <c r="G413" s="4" t="s">
        <v>1697</v>
      </c>
      <c r="H413" s="4"/>
      <c r="I413" s="4" t="s">
        <v>1730</v>
      </c>
      <c r="J413" s="4" t="s">
        <v>455</v>
      </c>
      <c r="K413" s="4"/>
      <c r="L413" s="4"/>
    </row>
    <row r="414" spans="1:12" ht="14.25" hidden="1" customHeight="1" x14ac:dyDescent="0.35">
      <c r="A414" s="4" t="s">
        <v>1731</v>
      </c>
      <c r="B414" s="4" t="s">
        <v>451</v>
      </c>
      <c r="C414" s="18">
        <v>45852</v>
      </c>
      <c r="D414" s="4"/>
      <c r="E414" s="4">
        <v>0</v>
      </c>
      <c r="F414" s="4"/>
      <c r="G414" s="4" t="s">
        <v>461</v>
      </c>
      <c r="H414" s="4" t="s">
        <v>488</v>
      </c>
      <c r="I414" s="4" t="s">
        <v>1732</v>
      </c>
      <c r="J414" s="4" t="s">
        <v>455</v>
      </c>
      <c r="K414" s="4"/>
      <c r="L414" s="4"/>
    </row>
    <row r="415" spans="1:12" ht="14.25" hidden="1" customHeight="1" x14ac:dyDescent="0.35">
      <c r="A415" s="4" t="s">
        <v>1733</v>
      </c>
      <c r="B415" s="4" t="s">
        <v>451</v>
      </c>
      <c r="C415" s="18">
        <v>45852</v>
      </c>
      <c r="D415" s="4"/>
      <c r="E415" s="4">
        <v>1</v>
      </c>
      <c r="F415" s="4" t="s">
        <v>765</v>
      </c>
      <c r="G415" s="4" t="s">
        <v>466</v>
      </c>
      <c r="H415" s="4" t="s">
        <v>473</v>
      </c>
      <c r="I415" s="4" t="s">
        <v>1734</v>
      </c>
      <c r="J415" s="4" t="s">
        <v>455</v>
      </c>
      <c r="K415" s="4" t="s">
        <v>469</v>
      </c>
      <c r="L415" s="4" t="s">
        <v>470</v>
      </c>
    </row>
    <row r="416" spans="1:12" ht="14.25" hidden="1" customHeight="1" x14ac:dyDescent="0.35">
      <c r="A416" s="4" t="s">
        <v>1735</v>
      </c>
      <c r="B416" s="4" t="s">
        <v>479</v>
      </c>
      <c r="C416" s="18">
        <v>45854</v>
      </c>
      <c r="D416" s="4"/>
      <c r="E416" s="4">
        <v>1</v>
      </c>
      <c r="F416" s="4" t="s">
        <v>1736</v>
      </c>
      <c r="G416" s="4" t="s">
        <v>1737</v>
      </c>
      <c r="H416" s="4" t="s">
        <v>1738</v>
      </c>
      <c r="I416" s="4" t="s">
        <v>1739</v>
      </c>
      <c r="J416" s="4" t="s">
        <v>455</v>
      </c>
      <c r="K416" s="4" t="s">
        <v>469</v>
      </c>
      <c r="L416" s="4" t="s">
        <v>550</v>
      </c>
    </row>
    <row r="417" spans="1:12" ht="14.25" hidden="1" customHeight="1" x14ac:dyDescent="0.35">
      <c r="A417" s="4" t="s">
        <v>1740</v>
      </c>
      <c r="B417" s="4" t="s">
        <v>479</v>
      </c>
      <c r="C417" s="18">
        <v>45855</v>
      </c>
      <c r="D417" s="4"/>
      <c r="E417" s="4">
        <v>1</v>
      </c>
      <c r="F417" s="4" t="s">
        <v>1741</v>
      </c>
      <c r="G417" s="4" t="s">
        <v>1742</v>
      </c>
      <c r="H417" s="4" t="s">
        <v>1743</v>
      </c>
      <c r="I417" s="4" t="s">
        <v>1744</v>
      </c>
      <c r="J417" s="4" t="s">
        <v>455</v>
      </c>
      <c r="K417" s="4" t="s">
        <v>469</v>
      </c>
      <c r="L417" s="4" t="s">
        <v>550</v>
      </c>
    </row>
    <row r="418" spans="1:12" ht="14.25" hidden="1" customHeight="1" x14ac:dyDescent="0.35">
      <c r="A418" s="4" t="s">
        <v>1745</v>
      </c>
      <c r="B418" s="4" t="s">
        <v>451</v>
      </c>
      <c r="C418" s="18">
        <v>45855</v>
      </c>
      <c r="D418" s="4"/>
      <c r="E418" s="4">
        <v>0</v>
      </c>
      <c r="F418" s="4"/>
      <c r="G418" s="4" t="s">
        <v>1746</v>
      </c>
      <c r="H418" s="4" t="s">
        <v>1747</v>
      </c>
      <c r="I418" s="4" t="s">
        <v>1748</v>
      </c>
      <c r="J418" s="4" t="s">
        <v>455</v>
      </c>
      <c r="K418" s="4"/>
      <c r="L418" s="4"/>
    </row>
    <row r="419" spans="1:12" ht="14.25" hidden="1" customHeight="1" x14ac:dyDescent="0.35">
      <c r="A419" s="4" t="s">
        <v>1749</v>
      </c>
      <c r="B419" s="4" t="s">
        <v>451</v>
      </c>
      <c r="C419" s="18">
        <v>45859</v>
      </c>
      <c r="D419" s="4"/>
      <c r="E419" s="4">
        <v>0</v>
      </c>
      <c r="F419" s="4"/>
      <c r="G419" s="4" t="s">
        <v>466</v>
      </c>
      <c r="H419" s="4" t="s">
        <v>473</v>
      </c>
      <c r="I419" s="4" t="s">
        <v>1750</v>
      </c>
      <c r="J419" s="4" t="s">
        <v>455</v>
      </c>
      <c r="K419" s="4"/>
      <c r="L419" s="4"/>
    </row>
    <row r="420" spans="1:12" ht="14.25" hidden="1" customHeight="1" x14ac:dyDescent="0.35">
      <c r="A420" s="4" t="s">
        <v>1751</v>
      </c>
      <c r="B420" s="4" t="s">
        <v>451</v>
      </c>
      <c r="C420" s="18">
        <v>45859</v>
      </c>
      <c r="D420" s="4"/>
      <c r="E420" s="4">
        <v>0</v>
      </c>
      <c r="F420" s="4"/>
      <c r="G420" s="4" t="s">
        <v>461</v>
      </c>
      <c r="H420" s="4" t="s">
        <v>488</v>
      </c>
      <c r="I420" s="4" t="s">
        <v>1752</v>
      </c>
      <c r="J420" s="4" t="s">
        <v>455</v>
      </c>
      <c r="K420" s="4"/>
      <c r="L420" s="4"/>
    </row>
    <row r="421" spans="1:12" ht="14.25" hidden="1" customHeight="1" x14ac:dyDescent="0.35">
      <c r="A421" s="4" t="s">
        <v>1753</v>
      </c>
      <c r="B421" s="4" t="s">
        <v>451</v>
      </c>
      <c r="C421" s="18">
        <v>45861</v>
      </c>
      <c r="D421" s="4"/>
      <c r="E421" s="4">
        <v>0</v>
      </c>
      <c r="F421" s="4"/>
      <c r="G421" s="4" t="s">
        <v>1754</v>
      </c>
      <c r="H421" s="4" t="s">
        <v>1755</v>
      </c>
      <c r="I421" s="4" t="s">
        <v>1756</v>
      </c>
      <c r="J421" s="4" t="s">
        <v>455</v>
      </c>
      <c r="K421" s="4"/>
      <c r="L421" s="4"/>
    </row>
    <row r="422" spans="1:12" ht="14.25" hidden="1" customHeight="1" x14ac:dyDescent="0.35">
      <c r="A422" s="4" t="s">
        <v>1757</v>
      </c>
      <c r="B422" s="4" t="s">
        <v>451</v>
      </c>
      <c r="C422" s="18">
        <v>45866</v>
      </c>
      <c r="D422" s="4"/>
      <c r="E422" s="4">
        <v>1</v>
      </c>
      <c r="F422" s="4" t="s">
        <v>1758</v>
      </c>
      <c r="G422" s="4" t="s">
        <v>466</v>
      </c>
      <c r="H422" s="4" t="s">
        <v>473</v>
      </c>
      <c r="I422" s="4" t="s">
        <v>1759</v>
      </c>
      <c r="J422" s="4" t="s">
        <v>455</v>
      </c>
      <c r="K422" s="4" t="s">
        <v>469</v>
      </c>
      <c r="L422" s="4" t="s">
        <v>470</v>
      </c>
    </row>
    <row r="423" spans="1:12" ht="14.25" hidden="1" customHeight="1" x14ac:dyDescent="0.35">
      <c r="A423" s="4" t="s">
        <v>1760</v>
      </c>
      <c r="B423" s="4" t="s">
        <v>451</v>
      </c>
      <c r="C423" s="18">
        <v>45868</v>
      </c>
      <c r="D423" s="4"/>
      <c r="E423" s="4">
        <v>0</v>
      </c>
      <c r="F423" s="4"/>
      <c r="G423" s="4" t="s">
        <v>1003</v>
      </c>
      <c r="H423" s="4" t="s">
        <v>1761</v>
      </c>
      <c r="I423" s="4" t="s">
        <v>1762</v>
      </c>
      <c r="J423" s="4" t="s">
        <v>455</v>
      </c>
      <c r="K423" s="4"/>
      <c r="L423" s="4"/>
    </row>
    <row r="424" spans="1:12" ht="14.25" hidden="1" customHeight="1" x14ac:dyDescent="0.35">
      <c r="A424" s="4" t="s">
        <v>1763</v>
      </c>
      <c r="B424" s="4" t="s">
        <v>451</v>
      </c>
      <c r="C424" s="18">
        <v>45869</v>
      </c>
      <c r="D424" s="4"/>
      <c r="E424" s="4">
        <v>1</v>
      </c>
      <c r="F424" s="4" t="s">
        <v>1764</v>
      </c>
      <c r="G424" s="4" t="s">
        <v>461</v>
      </c>
      <c r="H424" s="4" t="s">
        <v>488</v>
      </c>
      <c r="I424" s="4" t="s">
        <v>1765</v>
      </c>
      <c r="J424" s="4" t="s">
        <v>455</v>
      </c>
      <c r="K424" s="4" t="s">
        <v>469</v>
      </c>
      <c r="L424" s="4" t="s">
        <v>470</v>
      </c>
    </row>
    <row r="425" spans="1:12" ht="14.25" hidden="1" customHeight="1" x14ac:dyDescent="0.35">
      <c r="A425" s="4" t="s">
        <v>1766</v>
      </c>
      <c r="B425" s="4" t="s">
        <v>451</v>
      </c>
      <c r="C425" s="18">
        <v>45870</v>
      </c>
      <c r="D425" s="4"/>
      <c r="E425" s="4">
        <v>0</v>
      </c>
      <c r="F425" s="4"/>
      <c r="G425" s="4" t="s">
        <v>461</v>
      </c>
      <c r="H425" s="4" t="s">
        <v>488</v>
      </c>
      <c r="I425" s="4" t="s">
        <v>1767</v>
      </c>
      <c r="J425" s="4" t="s">
        <v>455</v>
      </c>
      <c r="K425" s="4"/>
      <c r="L425" s="4"/>
    </row>
    <row r="426" spans="1:12" ht="14.25" hidden="1" customHeight="1" x14ac:dyDescent="0.35">
      <c r="A426" s="4" t="s">
        <v>1768</v>
      </c>
      <c r="B426" s="4" t="s">
        <v>451</v>
      </c>
      <c r="C426" s="18">
        <v>45870</v>
      </c>
      <c r="D426" s="4"/>
      <c r="E426" s="4">
        <v>1</v>
      </c>
      <c r="F426" s="4" t="s">
        <v>946</v>
      </c>
      <c r="G426" s="4" t="s">
        <v>967</v>
      </c>
      <c r="H426" s="4" t="s">
        <v>1769</v>
      </c>
      <c r="I426" s="4" t="s">
        <v>1770</v>
      </c>
      <c r="J426" s="4" t="s">
        <v>455</v>
      </c>
      <c r="K426" s="4" t="s">
        <v>469</v>
      </c>
      <c r="L426" s="4" t="s">
        <v>470</v>
      </c>
    </row>
    <row r="427" spans="1:12" ht="14.25" hidden="1" customHeight="1" x14ac:dyDescent="0.35">
      <c r="A427" s="4" t="s">
        <v>1771</v>
      </c>
      <c r="B427" s="4" t="s">
        <v>500</v>
      </c>
      <c r="C427" s="18">
        <v>45873</v>
      </c>
      <c r="D427" s="18">
        <v>45931</v>
      </c>
      <c r="E427" s="4">
        <v>1</v>
      </c>
      <c r="F427" s="4" t="s">
        <v>1772</v>
      </c>
      <c r="G427" s="4" t="s">
        <v>1567</v>
      </c>
      <c r="H427" s="4" t="s">
        <v>1773</v>
      </c>
      <c r="I427" s="4" t="s">
        <v>1774</v>
      </c>
      <c r="J427" s="4" t="s">
        <v>455</v>
      </c>
      <c r="K427" s="4" t="s">
        <v>469</v>
      </c>
      <c r="L427" s="4" t="s">
        <v>550</v>
      </c>
    </row>
    <row r="428" spans="1:12" ht="14.25" hidden="1" customHeight="1" x14ac:dyDescent="0.35">
      <c r="A428" s="4" t="s">
        <v>1775</v>
      </c>
      <c r="B428" s="4" t="s">
        <v>500</v>
      </c>
      <c r="C428" s="18">
        <v>45873</v>
      </c>
      <c r="D428" s="18">
        <v>45931</v>
      </c>
      <c r="E428" s="4">
        <v>1</v>
      </c>
      <c r="F428" s="4" t="s">
        <v>1776</v>
      </c>
      <c r="G428" s="4" t="s">
        <v>1777</v>
      </c>
      <c r="H428" s="4" t="s">
        <v>1778</v>
      </c>
      <c r="I428" s="4" t="s">
        <v>1779</v>
      </c>
      <c r="J428" s="4" t="s">
        <v>455</v>
      </c>
      <c r="K428" s="4" t="s">
        <v>469</v>
      </c>
      <c r="L428" s="4" t="s">
        <v>550</v>
      </c>
    </row>
    <row r="429" spans="1:12" ht="14.25" hidden="1" customHeight="1" x14ac:dyDescent="0.35">
      <c r="A429" s="4" t="s">
        <v>1780</v>
      </c>
      <c r="B429" s="4" t="s">
        <v>500</v>
      </c>
      <c r="C429" s="18">
        <v>45874</v>
      </c>
      <c r="D429" s="18">
        <v>45931</v>
      </c>
      <c r="E429" s="4">
        <v>1</v>
      </c>
      <c r="F429" s="4" t="s">
        <v>1781</v>
      </c>
      <c r="G429" s="4" t="s">
        <v>1563</v>
      </c>
      <c r="H429" s="4" t="s">
        <v>1782</v>
      </c>
      <c r="I429" s="4" t="s">
        <v>1783</v>
      </c>
      <c r="J429" s="4" t="s">
        <v>455</v>
      </c>
      <c r="K429" s="4" t="s">
        <v>469</v>
      </c>
      <c r="L429" s="4" t="s">
        <v>550</v>
      </c>
    </row>
    <row r="430" spans="1:12" ht="14.25" hidden="1" customHeight="1" x14ac:dyDescent="0.35">
      <c r="A430" s="4" t="s">
        <v>1784</v>
      </c>
      <c r="B430" s="4" t="s">
        <v>500</v>
      </c>
      <c r="C430" s="18">
        <v>45874</v>
      </c>
      <c r="D430" s="18">
        <v>45931</v>
      </c>
      <c r="E430" s="4">
        <v>1</v>
      </c>
      <c r="F430" s="4" t="s">
        <v>1785</v>
      </c>
      <c r="G430" s="4" t="s">
        <v>1554</v>
      </c>
      <c r="H430" s="4" t="s">
        <v>1786</v>
      </c>
      <c r="I430" s="4" t="s">
        <v>1787</v>
      </c>
      <c r="J430" s="4" t="s">
        <v>455</v>
      </c>
      <c r="K430" s="4" t="s">
        <v>469</v>
      </c>
      <c r="L430" s="4" t="s">
        <v>550</v>
      </c>
    </row>
    <row r="431" spans="1:12" ht="14.25" hidden="1" customHeight="1" x14ac:dyDescent="0.35">
      <c r="A431" s="4" t="s">
        <v>1788</v>
      </c>
      <c r="B431" s="4" t="s">
        <v>500</v>
      </c>
      <c r="C431" s="18">
        <v>45874</v>
      </c>
      <c r="D431" s="18">
        <v>45931</v>
      </c>
      <c r="E431" s="4">
        <v>1</v>
      </c>
      <c r="F431" s="4" t="s">
        <v>1789</v>
      </c>
      <c r="G431" s="4" t="s">
        <v>1558</v>
      </c>
      <c r="H431" s="4" t="s">
        <v>1790</v>
      </c>
      <c r="I431" s="4" t="s">
        <v>1791</v>
      </c>
      <c r="J431" s="4" t="s">
        <v>455</v>
      </c>
      <c r="K431" s="4" t="s">
        <v>469</v>
      </c>
      <c r="L431" s="4" t="s">
        <v>550</v>
      </c>
    </row>
    <row r="432" spans="1:12" ht="14.25" hidden="1" customHeight="1" x14ac:dyDescent="0.35">
      <c r="A432" s="4" t="s">
        <v>1792</v>
      </c>
      <c r="B432" s="4" t="s">
        <v>451</v>
      </c>
      <c r="C432" s="18">
        <v>45874</v>
      </c>
      <c r="D432" s="4"/>
      <c r="E432" s="4">
        <v>0</v>
      </c>
      <c r="F432" s="4"/>
      <c r="G432" s="4" t="s">
        <v>1793</v>
      </c>
      <c r="H432" s="4" t="s">
        <v>1607</v>
      </c>
      <c r="I432" s="4" t="s">
        <v>1794</v>
      </c>
      <c r="J432" s="4" t="s">
        <v>455</v>
      </c>
      <c r="K432" s="4"/>
      <c r="L432" s="4"/>
    </row>
    <row r="433" spans="1:12" ht="14.25" hidden="1" customHeight="1" x14ac:dyDescent="0.35">
      <c r="A433" s="4" t="s">
        <v>1795</v>
      </c>
      <c r="B433" s="4" t="s">
        <v>451</v>
      </c>
      <c r="C433" s="18">
        <v>45874</v>
      </c>
      <c r="D433" s="4"/>
      <c r="E433" s="4">
        <v>0</v>
      </c>
      <c r="F433" s="4"/>
      <c r="G433" s="4" t="s">
        <v>461</v>
      </c>
      <c r="H433" s="4" t="s">
        <v>488</v>
      </c>
      <c r="I433" s="4" t="s">
        <v>1796</v>
      </c>
      <c r="J433" s="4" t="s">
        <v>455</v>
      </c>
      <c r="K433" s="4"/>
      <c r="L433" s="4"/>
    </row>
    <row r="434" spans="1:12" ht="14.25" hidden="1" customHeight="1" x14ac:dyDescent="0.35">
      <c r="A434" s="4" t="s">
        <v>1797</v>
      </c>
      <c r="B434" s="4" t="s">
        <v>451</v>
      </c>
      <c r="C434" s="18">
        <v>45874</v>
      </c>
      <c r="D434" s="4"/>
      <c r="E434" s="4">
        <v>0</v>
      </c>
      <c r="F434" s="4"/>
      <c r="G434" s="4" t="s">
        <v>466</v>
      </c>
      <c r="H434" s="4" t="s">
        <v>473</v>
      </c>
      <c r="I434" s="4" t="s">
        <v>1798</v>
      </c>
      <c r="J434" s="4" t="s">
        <v>455</v>
      </c>
      <c r="K434" s="4"/>
      <c r="L434" s="4"/>
    </row>
    <row r="435" spans="1:12" ht="14.25" hidden="1" customHeight="1" x14ac:dyDescent="0.35">
      <c r="A435" s="4" t="s">
        <v>1799</v>
      </c>
      <c r="B435" s="4" t="s">
        <v>451</v>
      </c>
      <c r="C435" s="18">
        <v>45882</v>
      </c>
      <c r="D435" s="4"/>
      <c r="E435" s="4">
        <v>1</v>
      </c>
      <c r="F435" s="4" t="s">
        <v>1260</v>
      </c>
      <c r="G435" s="4" t="s">
        <v>466</v>
      </c>
      <c r="H435" s="4" t="s">
        <v>473</v>
      </c>
      <c r="I435" s="4" t="s">
        <v>1800</v>
      </c>
      <c r="J435" s="4" t="s">
        <v>455</v>
      </c>
      <c r="K435" s="4" t="s">
        <v>469</v>
      </c>
      <c r="L435" s="4" t="s">
        <v>470</v>
      </c>
    </row>
    <row r="436" spans="1:12" ht="14.25" hidden="1" customHeight="1" x14ac:dyDescent="0.35">
      <c r="A436" s="4" t="s">
        <v>1801</v>
      </c>
      <c r="B436" s="4" t="s">
        <v>479</v>
      </c>
      <c r="C436" s="18">
        <v>45883</v>
      </c>
      <c r="D436" s="4"/>
      <c r="E436" s="4">
        <v>0</v>
      </c>
      <c r="F436" s="4"/>
      <c r="G436" s="4" t="s">
        <v>1802</v>
      </c>
      <c r="H436" s="4" t="s">
        <v>1803</v>
      </c>
      <c r="I436" s="4" t="s">
        <v>1804</v>
      </c>
      <c r="J436" s="4" t="s">
        <v>455</v>
      </c>
      <c r="K436" s="4"/>
      <c r="L436" s="4"/>
    </row>
    <row r="437" spans="1:12" ht="14.25" hidden="1" customHeight="1" x14ac:dyDescent="0.35">
      <c r="A437" s="4" t="s">
        <v>1805</v>
      </c>
      <c r="B437" s="4" t="s">
        <v>451</v>
      </c>
      <c r="C437" s="18">
        <v>45887</v>
      </c>
      <c r="D437" s="4"/>
      <c r="E437" s="4">
        <v>0</v>
      </c>
      <c r="F437" s="4"/>
      <c r="G437" s="4" t="s">
        <v>461</v>
      </c>
      <c r="H437" s="4" t="s">
        <v>488</v>
      </c>
      <c r="I437" s="4" t="s">
        <v>1806</v>
      </c>
      <c r="J437" s="4" t="s">
        <v>455</v>
      </c>
      <c r="K437" s="4"/>
      <c r="L437" s="4"/>
    </row>
    <row r="438" spans="1:12" ht="14.25" hidden="1" customHeight="1" x14ac:dyDescent="0.35">
      <c r="A438" s="4" t="s">
        <v>1807</v>
      </c>
      <c r="B438" s="4" t="s">
        <v>451</v>
      </c>
      <c r="C438" s="18">
        <v>45890</v>
      </c>
      <c r="D438" s="4"/>
      <c r="E438" s="4">
        <v>0</v>
      </c>
      <c r="F438" s="4"/>
      <c r="G438" s="4" t="s">
        <v>466</v>
      </c>
      <c r="H438" s="4" t="s">
        <v>473</v>
      </c>
      <c r="I438" s="4" t="s">
        <v>1808</v>
      </c>
      <c r="J438" s="4" t="s">
        <v>455</v>
      </c>
      <c r="K438" s="4"/>
      <c r="L438" s="4"/>
    </row>
    <row r="439" spans="1:12" ht="14.25" hidden="1" customHeight="1" x14ac:dyDescent="0.35">
      <c r="A439" s="4" t="s">
        <v>1809</v>
      </c>
      <c r="B439" s="4" t="s">
        <v>451</v>
      </c>
      <c r="C439" s="18">
        <v>45890</v>
      </c>
      <c r="D439" s="4"/>
      <c r="E439" s="4">
        <v>0</v>
      </c>
      <c r="F439" s="4"/>
      <c r="G439" s="4" t="s">
        <v>461</v>
      </c>
      <c r="H439" s="4" t="s">
        <v>488</v>
      </c>
      <c r="I439" s="4" t="s">
        <v>1810</v>
      </c>
      <c r="J439" s="4" t="s">
        <v>455</v>
      </c>
      <c r="K439" s="4"/>
      <c r="L439" s="4"/>
    </row>
    <row r="440" spans="1:12" ht="14.25" hidden="1" customHeight="1" x14ac:dyDescent="0.35">
      <c r="A440" s="4" t="s">
        <v>1811</v>
      </c>
      <c r="B440" s="4" t="s">
        <v>451</v>
      </c>
      <c r="C440" s="18">
        <v>45894</v>
      </c>
      <c r="D440" s="4"/>
      <c r="E440" s="4">
        <v>0</v>
      </c>
      <c r="F440" s="4"/>
      <c r="G440" s="4" t="s">
        <v>457</v>
      </c>
      <c r="H440" s="4" t="s">
        <v>458</v>
      </c>
      <c r="I440" s="4" t="s">
        <v>1812</v>
      </c>
      <c r="J440" s="4" t="s">
        <v>455</v>
      </c>
      <c r="K440" s="4"/>
      <c r="L440" s="4"/>
    </row>
    <row r="441" spans="1:12" ht="14.25" hidden="1" customHeight="1" x14ac:dyDescent="0.35">
      <c r="A441" s="4" t="s">
        <v>1813</v>
      </c>
      <c r="B441" s="4" t="s">
        <v>451</v>
      </c>
      <c r="C441" s="18">
        <v>45895</v>
      </c>
      <c r="D441" s="4"/>
      <c r="E441" s="4">
        <v>0</v>
      </c>
      <c r="F441" s="4"/>
      <c r="G441" s="4" t="s">
        <v>457</v>
      </c>
      <c r="H441" s="4" t="s">
        <v>458</v>
      </c>
      <c r="I441" s="4" t="s">
        <v>1814</v>
      </c>
      <c r="J441" s="4" t="s">
        <v>455</v>
      </c>
      <c r="K441" s="4"/>
      <c r="L441" s="4"/>
    </row>
    <row r="442" spans="1:12" ht="14.25" hidden="1" customHeight="1" x14ac:dyDescent="0.35">
      <c r="A442" s="4" t="s">
        <v>1815</v>
      </c>
      <c r="B442" s="4" t="s">
        <v>451</v>
      </c>
      <c r="C442" s="18">
        <v>45897</v>
      </c>
      <c r="D442" s="4"/>
      <c r="E442" s="4">
        <v>0</v>
      </c>
      <c r="F442" s="4"/>
      <c r="G442" s="4" t="s">
        <v>466</v>
      </c>
      <c r="H442" s="4" t="s">
        <v>473</v>
      </c>
      <c r="I442" s="4" t="s">
        <v>1816</v>
      </c>
      <c r="J442" s="4" t="s">
        <v>455</v>
      </c>
      <c r="K442" s="4"/>
      <c r="L442" s="4"/>
    </row>
    <row r="443" spans="1:12" ht="14.25" hidden="1" customHeight="1" x14ac:dyDescent="0.35">
      <c r="A443" s="4" t="s">
        <v>1817</v>
      </c>
      <c r="B443" s="4" t="s">
        <v>479</v>
      </c>
      <c r="C443" s="18">
        <v>45897</v>
      </c>
      <c r="D443" s="4"/>
      <c r="E443" s="4">
        <v>0</v>
      </c>
      <c r="F443" s="4"/>
      <c r="G443" s="4" t="s">
        <v>1697</v>
      </c>
      <c r="H443" s="4"/>
      <c r="I443" s="4" t="s">
        <v>1818</v>
      </c>
      <c r="J443" s="4" t="s">
        <v>455</v>
      </c>
      <c r="K443" s="4"/>
      <c r="L443" s="4"/>
    </row>
    <row r="444" spans="1:12" ht="14.25" hidden="1" customHeight="1" x14ac:dyDescent="0.35">
      <c r="A444" s="4" t="s">
        <v>1819</v>
      </c>
      <c r="B444" s="4" t="s">
        <v>451</v>
      </c>
      <c r="C444" s="18">
        <v>45898</v>
      </c>
      <c r="D444" s="4"/>
      <c r="E444" s="4">
        <v>0</v>
      </c>
      <c r="F444" s="4"/>
      <c r="G444" s="4" t="s">
        <v>461</v>
      </c>
      <c r="H444" s="4" t="s">
        <v>1820</v>
      </c>
      <c r="I444" s="4" t="s">
        <v>1821</v>
      </c>
      <c r="J444" s="4" t="s">
        <v>455</v>
      </c>
      <c r="K444" s="4"/>
      <c r="L444" s="4"/>
    </row>
    <row r="445" spans="1:12" ht="14.25" hidden="1" customHeight="1" x14ac:dyDescent="0.35">
      <c r="A445" s="4" t="s">
        <v>1822</v>
      </c>
      <c r="B445" s="4" t="s">
        <v>451</v>
      </c>
      <c r="C445" s="18">
        <v>45898</v>
      </c>
      <c r="D445" s="4"/>
      <c r="E445" s="4">
        <v>0</v>
      </c>
      <c r="F445" s="4"/>
      <c r="G445" s="4" t="s">
        <v>461</v>
      </c>
      <c r="H445" s="4" t="s">
        <v>488</v>
      </c>
      <c r="I445" s="4" t="s">
        <v>1823</v>
      </c>
      <c r="J445" s="4" t="s">
        <v>455</v>
      </c>
      <c r="K445" s="4"/>
      <c r="L445" s="4"/>
    </row>
    <row r="446" spans="1:12" ht="14.25" hidden="1" customHeight="1" x14ac:dyDescent="0.35">
      <c r="A446" s="4" t="s">
        <v>1824</v>
      </c>
      <c r="B446" s="4" t="s">
        <v>451</v>
      </c>
      <c r="C446" s="18">
        <v>45902</v>
      </c>
      <c r="D446" s="4"/>
      <c r="E446" s="4">
        <v>0</v>
      </c>
      <c r="F446" s="4"/>
      <c r="G446" s="4" t="s">
        <v>466</v>
      </c>
      <c r="H446" s="4" t="s">
        <v>473</v>
      </c>
      <c r="I446" s="4" t="s">
        <v>1825</v>
      </c>
      <c r="J446" s="4" t="s">
        <v>455</v>
      </c>
      <c r="K446" s="4"/>
      <c r="L446" s="4"/>
    </row>
    <row r="447" spans="1:12" ht="14.25" hidden="1" customHeight="1" x14ac:dyDescent="0.35">
      <c r="A447" s="4" t="s">
        <v>1826</v>
      </c>
      <c r="B447" s="4" t="s">
        <v>451</v>
      </c>
      <c r="C447" s="18">
        <v>45903</v>
      </c>
      <c r="D447" s="4"/>
      <c r="E447" s="4">
        <v>0</v>
      </c>
      <c r="F447" s="4"/>
      <c r="G447" s="4" t="s">
        <v>461</v>
      </c>
      <c r="H447" s="4" t="s">
        <v>488</v>
      </c>
      <c r="I447" s="4" t="s">
        <v>1827</v>
      </c>
      <c r="J447" s="4" t="s">
        <v>455</v>
      </c>
      <c r="K447" s="4"/>
      <c r="L447" s="4"/>
    </row>
    <row r="448" spans="1:12" ht="14.25" hidden="1" customHeight="1" x14ac:dyDescent="0.35">
      <c r="A448" s="4" t="s">
        <v>1828</v>
      </c>
      <c r="B448" s="4" t="s">
        <v>500</v>
      </c>
      <c r="C448" s="18">
        <v>45904</v>
      </c>
      <c r="D448" s="18">
        <v>45931</v>
      </c>
      <c r="E448" s="4">
        <v>0</v>
      </c>
      <c r="F448" s="4"/>
      <c r="G448" s="4" t="s">
        <v>1829</v>
      </c>
      <c r="H448" s="4" t="s">
        <v>1830</v>
      </c>
      <c r="I448" s="4" t="s">
        <v>1831</v>
      </c>
      <c r="J448" s="4" t="s">
        <v>455</v>
      </c>
      <c r="K448" s="4"/>
      <c r="L448" s="4"/>
    </row>
    <row r="449" spans="1:12" ht="14.25" hidden="1" customHeight="1" x14ac:dyDescent="0.35">
      <c r="A449" s="4" t="s">
        <v>1832</v>
      </c>
      <c r="B449" s="4" t="s">
        <v>451</v>
      </c>
      <c r="C449" s="18">
        <v>45905</v>
      </c>
      <c r="D449" s="4"/>
      <c r="E449" s="4">
        <v>1</v>
      </c>
      <c r="F449" s="4" t="s">
        <v>1246</v>
      </c>
      <c r="G449" s="4" t="s">
        <v>461</v>
      </c>
      <c r="H449" s="4" t="s">
        <v>488</v>
      </c>
      <c r="I449" s="4" t="s">
        <v>1833</v>
      </c>
      <c r="J449" s="4" t="s">
        <v>455</v>
      </c>
      <c r="K449" s="4" t="s">
        <v>469</v>
      </c>
      <c r="L449" s="4" t="s">
        <v>470</v>
      </c>
    </row>
    <row r="450" spans="1:12" ht="14.25" hidden="1" customHeight="1" x14ac:dyDescent="0.35">
      <c r="A450" s="4" t="s">
        <v>1834</v>
      </c>
      <c r="B450" s="4" t="s">
        <v>451</v>
      </c>
      <c r="C450" s="18">
        <v>45905</v>
      </c>
      <c r="D450" s="4"/>
      <c r="E450" s="4">
        <v>1</v>
      </c>
      <c r="F450" s="4" t="s">
        <v>1835</v>
      </c>
      <c r="G450" s="4" t="s">
        <v>466</v>
      </c>
      <c r="H450" s="4" t="s">
        <v>473</v>
      </c>
      <c r="I450" s="4" t="s">
        <v>1836</v>
      </c>
      <c r="J450" s="4" t="s">
        <v>455</v>
      </c>
      <c r="K450" s="4" t="s">
        <v>469</v>
      </c>
      <c r="L450" s="4" t="s">
        <v>470</v>
      </c>
    </row>
    <row r="451" spans="1:12" ht="14.25" hidden="1" customHeight="1" x14ac:dyDescent="0.35">
      <c r="A451" s="4" t="s">
        <v>1837</v>
      </c>
      <c r="B451" s="4" t="s">
        <v>451</v>
      </c>
      <c r="C451" s="18">
        <v>45905</v>
      </c>
      <c r="D451" s="18">
        <v>45943</v>
      </c>
      <c r="E451" s="4">
        <v>1</v>
      </c>
      <c r="F451" s="4" t="s">
        <v>1838</v>
      </c>
      <c r="G451" s="4" t="s">
        <v>1839</v>
      </c>
      <c r="H451" s="4" t="s">
        <v>1840</v>
      </c>
      <c r="I451" s="4" t="s">
        <v>1841</v>
      </c>
      <c r="J451" s="4" t="s">
        <v>455</v>
      </c>
      <c r="K451" s="4" t="s">
        <v>469</v>
      </c>
      <c r="L451" s="4" t="s">
        <v>1604</v>
      </c>
    </row>
    <row r="452" spans="1:12" ht="14.25" hidden="1" customHeight="1" x14ac:dyDescent="0.35">
      <c r="A452" s="4" t="s">
        <v>1842</v>
      </c>
      <c r="B452" s="4" t="s">
        <v>451</v>
      </c>
      <c r="C452" s="18">
        <v>45908</v>
      </c>
      <c r="D452" s="4"/>
      <c r="E452" s="4">
        <v>0</v>
      </c>
      <c r="F452" s="4"/>
      <c r="G452" s="4" t="s">
        <v>457</v>
      </c>
      <c r="H452" s="4" t="s">
        <v>458</v>
      </c>
      <c r="I452" s="4" t="s">
        <v>1843</v>
      </c>
      <c r="J452" s="4" t="s">
        <v>455</v>
      </c>
      <c r="K452" s="4"/>
      <c r="L452" s="4"/>
    </row>
    <row r="453" spans="1:12" ht="14.25" hidden="1" customHeight="1" x14ac:dyDescent="0.35">
      <c r="A453" s="4" t="s">
        <v>1844</v>
      </c>
      <c r="B453" s="4" t="s">
        <v>451</v>
      </c>
      <c r="C453" s="18">
        <v>45908</v>
      </c>
      <c r="D453" s="4"/>
      <c r="E453" s="4">
        <v>0</v>
      </c>
      <c r="F453" s="4"/>
      <c r="G453" s="4" t="s">
        <v>1845</v>
      </c>
      <c r="H453" s="4" t="s">
        <v>1846</v>
      </c>
      <c r="I453" s="4" t="s">
        <v>1847</v>
      </c>
      <c r="J453" s="4" t="s">
        <v>455</v>
      </c>
      <c r="K453" s="4"/>
      <c r="L453" s="4"/>
    </row>
    <row r="454" spans="1:12" ht="14.25" hidden="1" customHeight="1" x14ac:dyDescent="0.35">
      <c r="A454" s="4" t="s">
        <v>1848</v>
      </c>
      <c r="B454" s="4" t="s">
        <v>451</v>
      </c>
      <c r="C454" s="18">
        <v>45908</v>
      </c>
      <c r="D454" s="4"/>
      <c r="E454" s="4">
        <v>0</v>
      </c>
      <c r="F454" s="4"/>
      <c r="G454" s="4" t="s">
        <v>461</v>
      </c>
      <c r="H454" s="4" t="s">
        <v>488</v>
      </c>
      <c r="I454" s="4" t="s">
        <v>1849</v>
      </c>
      <c r="J454" s="4" t="s">
        <v>455</v>
      </c>
      <c r="K454" s="4"/>
      <c r="L454" s="4"/>
    </row>
    <row r="455" spans="1:12" ht="14.25" hidden="1" customHeight="1" x14ac:dyDescent="0.35">
      <c r="A455" s="4" t="s">
        <v>1850</v>
      </c>
      <c r="B455" s="4" t="s">
        <v>451</v>
      </c>
      <c r="C455" s="18">
        <v>45910</v>
      </c>
      <c r="D455" s="4"/>
      <c r="E455" s="4">
        <v>0</v>
      </c>
      <c r="F455" s="4"/>
      <c r="G455" s="4" t="s">
        <v>1851</v>
      </c>
      <c r="H455" s="4" t="s">
        <v>1852</v>
      </c>
      <c r="I455" s="4" t="s">
        <v>1853</v>
      </c>
      <c r="J455" s="4" t="s">
        <v>455</v>
      </c>
      <c r="K455" s="4"/>
      <c r="L455" s="4"/>
    </row>
    <row r="456" spans="1:12" ht="14.25" hidden="1" customHeight="1" x14ac:dyDescent="0.35">
      <c r="A456" s="4" t="s">
        <v>1854</v>
      </c>
      <c r="B456" s="4" t="s">
        <v>451</v>
      </c>
      <c r="C456" s="18">
        <v>45912</v>
      </c>
      <c r="D456" s="4"/>
      <c r="E456" s="4">
        <v>0</v>
      </c>
      <c r="F456" s="4"/>
      <c r="G456" s="4" t="s">
        <v>466</v>
      </c>
      <c r="H456" s="4" t="s">
        <v>473</v>
      </c>
      <c r="I456" s="4" t="s">
        <v>1855</v>
      </c>
      <c r="J456" s="4" t="s">
        <v>455</v>
      </c>
      <c r="K456" s="4"/>
      <c r="L456" s="4"/>
    </row>
    <row r="457" spans="1:12" ht="14.25" hidden="1" customHeight="1" x14ac:dyDescent="0.35">
      <c r="A457" s="4" t="s">
        <v>1856</v>
      </c>
      <c r="B457" s="4" t="s">
        <v>451</v>
      </c>
      <c r="C457" s="18">
        <v>45912</v>
      </c>
      <c r="D457" s="4"/>
      <c r="E457" s="4">
        <v>0</v>
      </c>
      <c r="F457" s="4"/>
      <c r="G457" s="4" t="s">
        <v>461</v>
      </c>
      <c r="H457" s="4" t="s">
        <v>488</v>
      </c>
      <c r="I457" s="4" t="s">
        <v>1857</v>
      </c>
      <c r="J457" s="4" t="s">
        <v>455</v>
      </c>
      <c r="K457" s="4"/>
      <c r="L457" s="4"/>
    </row>
    <row r="458" spans="1:12" ht="14.25" hidden="1" customHeight="1" x14ac:dyDescent="0.35">
      <c r="A458" s="4" t="s">
        <v>1858</v>
      </c>
      <c r="B458" s="4" t="s">
        <v>451</v>
      </c>
      <c r="C458" s="18">
        <v>45919</v>
      </c>
      <c r="D458" s="4"/>
      <c r="E458" s="4">
        <v>1</v>
      </c>
      <c r="F458" s="4" t="s">
        <v>765</v>
      </c>
      <c r="G458" s="4" t="s">
        <v>461</v>
      </c>
      <c r="H458" s="4" t="s">
        <v>488</v>
      </c>
      <c r="I458" s="4" t="s">
        <v>1859</v>
      </c>
      <c r="J458" s="4" t="s">
        <v>455</v>
      </c>
      <c r="K458" s="4" t="s">
        <v>469</v>
      </c>
      <c r="L458" s="4" t="s">
        <v>470</v>
      </c>
    </row>
    <row r="459" spans="1:12" ht="14.25" hidden="1" customHeight="1" x14ac:dyDescent="0.35">
      <c r="A459" s="4" t="s">
        <v>1860</v>
      </c>
      <c r="B459" s="4" t="s">
        <v>451</v>
      </c>
      <c r="C459" s="18">
        <v>45919</v>
      </c>
      <c r="D459" s="4"/>
      <c r="E459" s="4">
        <v>0</v>
      </c>
      <c r="F459" s="4"/>
      <c r="G459" s="4" t="s">
        <v>466</v>
      </c>
      <c r="H459" s="4" t="s">
        <v>473</v>
      </c>
      <c r="I459" s="4" t="s">
        <v>1861</v>
      </c>
      <c r="J459" s="4" t="s">
        <v>455</v>
      </c>
      <c r="K459" s="4"/>
      <c r="L459" s="4"/>
    </row>
    <row r="460" spans="1:12" ht="14.25" customHeight="1" x14ac:dyDescent="0.35">
      <c r="A460" s="3" t="s">
        <v>1862</v>
      </c>
      <c r="B460" s="3" t="s">
        <v>479</v>
      </c>
      <c r="C460" s="19">
        <v>45575</v>
      </c>
      <c r="D460" s="3"/>
      <c r="E460" s="3">
        <v>1</v>
      </c>
      <c r="F460" s="3" t="s">
        <v>1785</v>
      </c>
      <c r="G460" s="3" t="s">
        <v>1863</v>
      </c>
      <c r="H460" s="3" t="s">
        <v>1864</v>
      </c>
      <c r="I460" s="3" t="s">
        <v>1865</v>
      </c>
      <c r="J460" s="3" t="s">
        <v>455</v>
      </c>
      <c r="K460" s="3" t="s">
        <v>1195</v>
      </c>
      <c r="L460" s="3" t="s">
        <v>1866</v>
      </c>
    </row>
    <row r="461" spans="1:12" ht="14.25" hidden="1" customHeight="1" x14ac:dyDescent="0.35">
      <c r="A461" s="4" t="s">
        <v>1867</v>
      </c>
      <c r="B461" s="4" t="s">
        <v>451</v>
      </c>
      <c r="C461" s="18">
        <v>45923</v>
      </c>
      <c r="D461" s="4"/>
      <c r="E461" s="4">
        <v>0</v>
      </c>
      <c r="F461" s="4"/>
      <c r="G461" s="4" t="s">
        <v>461</v>
      </c>
      <c r="H461" s="4" t="s">
        <v>488</v>
      </c>
      <c r="I461" s="4" t="s">
        <v>1868</v>
      </c>
      <c r="J461" s="4" t="s">
        <v>455</v>
      </c>
      <c r="K461" s="4"/>
      <c r="L461" s="4"/>
    </row>
    <row r="462" spans="1:12" ht="14.25" hidden="1" customHeight="1" x14ac:dyDescent="0.35">
      <c r="A462" s="4" t="s">
        <v>1869</v>
      </c>
      <c r="B462" s="4" t="s">
        <v>451</v>
      </c>
      <c r="C462" s="18">
        <v>45924</v>
      </c>
      <c r="D462" s="4"/>
      <c r="E462" s="4">
        <v>1</v>
      </c>
      <c r="F462" s="4" t="s">
        <v>1870</v>
      </c>
      <c r="G462" s="4" t="s">
        <v>461</v>
      </c>
      <c r="H462" s="4" t="s">
        <v>488</v>
      </c>
      <c r="I462" s="4" t="s">
        <v>1871</v>
      </c>
      <c r="J462" s="4" t="s">
        <v>455</v>
      </c>
      <c r="K462" s="4" t="s">
        <v>469</v>
      </c>
      <c r="L462" s="4" t="s">
        <v>470</v>
      </c>
    </row>
    <row r="463" spans="1:12" ht="14.25" hidden="1" customHeight="1" x14ac:dyDescent="0.35">
      <c r="A463" s="4" t="s">
        <v>1872</v>
      </c>
      <c r="B463" s="4" t="s">
        <v>451</v>
      </c>
      <c r="C463" s="18">
        <v>45924</v>
      </c>
      <c r="D463" s="4"/>
      <c r="E463" s="4">
        <v>0</v>
      </c>
      <c r="F463" s="4"/>
      <c r="G463" s="4" t="s">
        <v>466</v>
      </c>
      <c r="H463" s="4" t="s">
        <v>473</v>
      </c>
      <c r="I463" s="4" t="s">
        <v>1873</v>
      </c>
      <c r="J463" s="4" t="s">
        <v>455</v>
      </c>
      <c r="K463" s="4"/>
      <c r="L463" s="4"/>
    </row>
    <row r="464" spans="1:12" ht="14.25" hidden="1" customHeight="1" x14ac:dyDescent="0.35">
      <c r="A464" s="4" t="s">
        <v>1874</v>
      </c>
      <c r="B464" s="4" t="s">
        <v>451</v>
      </c>
      <c r="C464" s="18">
        <v>45925</v>
      </c>
      <c r="D464" s="4"/>
      <c r="E464" s="4">
        <v>0</v>
      </c>
      <c r="F464" s="4"/>
      <c r="G464" s="4" t="s">
        <v>461</v>
      </c>
      <c r="H464" s="4" t="s">
        <v>488</v>
      </c>
      <c r="I464" s="4" t="s">
        <v>1875</v>
      </c>
      <c r="J464" s="4" t="s">
        <v>455</v>
      </c>
      <c r="K464" s="4"/>
      <c r="L464" s="4"/>
    </row>
    <row r="465" spans="1:12" ht="14.25" hidden="1" customHeight="1" x14ac:dyDescent="0.35">
      <c r="A465" s="4" t="s">
        <v>1876</v>
      </c>
      <c r="B465" s="4" t="s">
        <v>451</v>
      </c>
      <c r="C465" s="18">
        <v>45925</v>
      </c>
      <c r="D465" s="4"/>
      <c r="E465" s="4">
        <v>0</v>
      </c>
      <c r="F465" s="4"/>
      <c r="G465" s="4" t="s">
        <v>461</v>
      </c>
      <c r="H465" s="4" t="s">
        <v>488</v>
      </c>
      <c r="I465" s="4" t="s">
        <v>1877</v>
      </c>
      <c r="J465" s="4" t="s">
        <v>455</v>
      </c>
      <c r="K465" s="4"/>
      <c r="L465" s="4"/>
    </row>
    <row r="466" spans="1:12" ht="14.25" hidden="1" customHeight="1" x14ac:dyDescent="0.35">
      <c r="A466" s="4" t="s">
        <v>1878</v>
      </c>
      <c r="B466" s="4" t="s">
        <v>451</v>
      </c>
      <c r="C466" s="18">
        <v>45929</v>
      </c>
      <c r="D466" s="4"/>
      <c r="E466" s="4">
        <v>0</v>
      </c>
      <c r="F466" s="4"/>
      <c r="G466" s="4" t="s">
        <v>1879</v>
      </c>
      <c r="H466" s="4"/>
      <c r="I466" s="4" t="s">
        <v>1880</v>
      </c>
      <c r="J466" s="4" t="s">
        <v>455</v>
      </c>
      <c r="K466" s="4"/>
      <c r="L466" s="4"/>
    </row>
    <row r="467" spans="1:12" ht="14.25" hidden="1" customHeight="1" x14ac:dyDescent="0.35">
      <c r="A467" s="4" t="s">
        <v>1881</v>
      </c>
      <c r="B467" s="4" t="s">
        <v>451</v>
      </c>
      <c r="C467" s="18">
        <v>45930</v>
      </c>
      <c r="D467" s="4"/>
      <c r="E467" s="4">
        <v>1</v>
      </c>
      <c r="F467" s="4" t="s">
        <v>1260</v>
      </c>
      <c r="G467" s="4" t="s">
        <v>466</v>
      </c>
      <c r="H467" s="4" t="s">
        <v>473</v>
      </c>
      <c r="I467" s="4" t="s">
        <v>1882</v>
      </c>
      <c r="J467" s="4" t="s">
        <v>455</v>
      </c>
      <c r="K467" s="4" t="s">
        <v>469</v>
      </c>
      <c r="L467" s="4" t="s">
        <v>470</v>
      </c>
    </row>
    <row r="468" spans="1:12" ht="14.25" hidden="1" customHeight="1" x14ac:dyDescent="0.35">
      <c r="A468" s="4" t="s">
        <v>1883</v>
      </c>
      <c r="B468" s="4" t="s">
        <v>451</v>
      </c>
      <c r="C468" s="18">
        <v>45932</v>
      </c>
      <c r="D468" s="4"/>
      <c r="E468" s="4">
        <v>1</v>
      </c>
      <c r="F468" s="4" t="s">
        <v>587</v>
      </c>
      <c r="G468" s="4" t="s">
        <v>466</v>
      </c>
      <c r="H468" s="4" t="s">
        <v>473</v>
      </c>
      <c r="I468" s="4" t="s">
        <v>1884</v>
      </c>
      <c r="J468" s="4" t="s">
        <v>455</v>
      </c>
      <c r="K468" s="4" t="s">
        <v>469</v>
      </c>
      <c r="L468" s="4" t="s">
        <v>470</v>
      </c>
    </row>
    <row r="469" spans="1:12" ht="14.25" hidden="1" customHeight="1" x14ac:dyDescent="0.35">
      <c r="A469" s="4" t="s">
        <v>1885</v>
      </c>
      <c r="B469" s="4" t="s">
        <v>500</v>
      </c>
      <c r="C469" s="18">
        <v>45966</v>
      </c>
      <c r="D469" s="18">
        <v>46023</v>
      </c>
      <c r="E469" s="4">
        <v>1</v>
      </c>
      <c r="F469" s="4" t="s">
        <v>1886</v>
      </c>
      <c r="G469" s="4" t="s">
        <v>1737</v>
      </c>
      <c r="H469" s="4" t="s">
        <v>1887</v>
      </c>
      <c r="I469" s="4" t="s">
        <v>1888</v>
      </c>
      <c r="J469" s="4" t="s">
        <v>455</v>
      </c>
      <c r="K469" s="4" t="s">
        <v>469</v>
      </c>
      <c r="L469" s="4" t="s">
        <v>550</v>
      </c>
    </row>
    <row r="470" spans="1:12" ht="14.25" hidden="1" customHeight="1" x14ac:dyDescent="0.35">
      <c r="A470" s="4" t="s">
        <v>1889</v>
      </c>
      <c r="B470" s="4" t="s">
        <v>451</v>
      </c>
      <c r="C470" s="18">
        <v>45979</v>
      </c>
      <c r="D470" s="4"/>
      <c r="E470" s="4">
        <v>0</v>
      </c>
      <c r="F470" s="4"/>
      <c r="G470" s="4" t="s">
        <v>841</v>
      </c>
      <c r="H470" s="4" t="s">
        <v>1890</v>
      </c>
      <c r="I470" s="4" t="s">
        <v>1891</v>
      </c>
      <c r="J470" s="4" t="s">
        <v>455</v>
      </c>
      <c r="K470" s="4"/>
      <c r="L470" s="4"/>
    </row>
    <row r="471" spans="1:12" ht="14.25" hidden="1" customHeight="1" x14ac:dyDescent="0.35">
      <c r="A471" s="4" t="s">
        <v>1892</v>
      </c>
      <c r="B471" s="4" t="s">
        <v>451</v>
      </c>
      <c r="C471" s="18">
        <v>45979</v>
      </c>
      <c r="D471" s="4"/>
      <c r="E471" s="4">
        <v>0</v>
      </c>
      <c r="F471" s="4"/>
      <c r="G471" s="4" t="s">
        <v>466</v>
      </c>
      <c r="H471" s="4" t="s">
        <v>473</v>
      </c>
      <c r="I471" s="4" t="s">
        <v>1893</v>
      </c>
      <c r="J471" s="4" t="s">
        <v>455</v>
      </c>
      <c r="K471" s="4"/>
      <c r="L471" s="4"/>
    </row>
    <row r="472" spans="1:12" ht="14.25" hidden="1" customHeight="1" x14ac:dyDescent="0.35">
      <c r="A472" s="4" t="s">
        <v>1894</v>
      </c>
      <c r="B472" s="4" t="s">
        <v>451</v>
      </c>
      <c r="C472" s="18">
        <v>45980</v>
      </c>
      <c r="D472" s="18">
        <v>46023</v>
      </c>
      <c r="E472" s="4">
        <v>0</v>
      </c>
      <c r="F472" s="4"/>
      <c r="G472" s="4" t="s">
        <v>1895</v>
      </c>
      <c r="H472" s="4" t="s">
        <v>1896</v>
      </c>
      <c r="I472" s="4" t="s">
        <v>1897</v>
      </c>
      <c r="J472" s="4" t="s">
        <v>455</v>
      </c>
      <c r="K472" s="4"/>
      <c r="L472" s="4"/>
    </row>
    <row r="473" spans="1:12" ht="14.25" hidden="1" customHeight="1" x14ac:dyDescent="0.35">
      <c r="A473" s="4" t="s">
        <v>1898</v>
      </c>
      <c r="B473" s="4" t="s">
        <v>451</v>
      </c>
      <c r="C473" s="18">
        <v>45980</v>
      </c>
      <c r="D473" s="18">
        <v>46023</v>
      </c>
      <c r="E473" s="4">
        <v>0</v>
      </c>
      <c r="F473" s="4"/>
      <c r="G473" s="4" t="s">
        <v>1899</v>
      </c>
      <c r="H473" s="4" t="s">
        <v>1900</v>
      </c>
      <c r="I473" s="4" t="s">
        <v>1901</v>
      </c>
      <c r="J473" s="4" t="s">
        <v>455</v>
      </c>
      <c r="K473" s="4"/>
      <c r="L473" s="4"/>
    </row>
    <row r="474" spans="1:12" ht="14.25" customHeight="1" x14ac:dyDescent="0.35">
      <c r="A474" s="3" t="s">
        <v>1902</v>
      </c>
      <c r="B474" s="3" t="s">
        <v>500</v>
      </c>
      <c r="C474" s="19">
        <v>45580</v>
      </c>
      <c r="D474" s="19">
        <v>45576</v>
      </c>
      <c r="E474" s="3">
        <v>1</v>
      </c>
      <c r="F474" s="3" t="s">
        <v>1903</v>
      </c>
      <c r="G474" s="3" t="s">
        <v>1904</v>
      </c>
      <c r="H474" s="3" t="s">
        <v>1905</v>
      </c>
      <c r="I474" s="3" t="s">
        <v>1906</v>
      </c>
      <c r="J474" s="3" t="s">
        <v>455</v>
      </c>
      <c r="K474" s="3" t="s">
        <v>1195</v>
      </c>
      <c r="L474" s="3" t="s">
        <v>1907</v>
      </c>
    </row>
    <row r="475" spans="1:12" ht="14.25" hidden="1" customHeight="1" x14ac:dyDescent="0.35">
      <c r="A475" s="4" t="s">
        <v>1908</v>
      </c>
      <c r="B475" s="4" t="s">
        <v>451</v>
      </c>
      <c r="C475" s="18">
        <v>45980</v>
      </c>
      <c r="D475" s="4"/>
      <c r="E475" s="4">
        <v>0</v>
      </c>
      <c r="F475" s="4"/>
      <c r="G475" s="4" t="s">
        <v>461</v>
      </c>
      <c r="H475" s="4" t="s">
        <v>488</v>
      </c>
      <c r="I475" s="4" t="s">
        <v>1909</v>
      </c>
      <c r="J475" s="4" t="s">
        <v>455</v>
      </c>
      <c r="K475" s="4"/>
      <c r="L475" s="4"/>
    </row>
    <row r="476" spans="1:12" ht="14.25" hidden="1" customHeight="1" x14ac:dyDescent="0.35">
      <c r="A476" s="4" t="s">
        <v>1910</v>
      </c>
      <c r="B476" s="4" t="s">
        <v>451</v>
      </c>
      <c r="C476" s="18">
        <v>45980</v>
      </c>
      <c r="D476" s="18">
        <v>45980</v>
      </c>
      <c r="E476" s="4">
        <v>0</v>
      </c>
      <c r="F476" s="4"/>
      <c r="G476" s="4" t="s">
        <v>1911</v>
      </c>
      <c r="H476" s="4" t="s">
        <v>1912</v>
      </c>
      <c r="I476" s="4" t="s">
        <v>1913</v>
      </c>
      <c r="J476" s="4" t="s">
        <v>455</v>
      </c>
      <c r="K476" s="4"/>
      <c r="L476" s="4"/>
    </row>
    <row r="477" spans="1:12" ht="14.25" hidden="1" customHeight="1" x14ac:dyDescent="0.35">
      <c r="A477" s="4" t="s">
        <v>1914</v>
      </c>
      <c r="B477" s="4" t="s">
        <v>451</v>
      </c>
      <c r="C477" s="18">
        <v>45980</v>
      </c>
      <c r="D477" s="18">
        <v>45980</v>
      </c>
      <c r="E477" s="4">
        <v>0</v>
      </c>
      <c r="F477" s="4"/>
      <c r="G477" s="4" t="s">
        <v>1915</v>
      </c>
      <c r="H477" s="4" t="s">
        <v>1916</v>
      </c>
      <c r="I477" s="4" t="s">
        <v>1917</v>
      </c>
      <c r="J477" s="4" t="s">
        <v>455</v>
      </c>
      <c r="K477" s="4"/>
      <c r="L477" s="4"/>
    </row>
    <row r="478" spans="1:12" ht="14.25" hidden="1" customHeight="1" x14ac:dyDescent="0.35">
      <c r="A478" s="4" t="s">
        <v>1918</v>
      </c>
      <c r="B478" s="4" t="s">
        <v>451</v>
      </c>
      <c r="C478" s="18">
        <v>45980</v>
      </c>
      <c r="D478" s="4"/>
      <c r="E478" s="4">
        <v>0</v>
      </c>
      <c r="F478" s="4"/>
      <c r="G478" s="4" t="s">
        <v>1919</v>
      </c>
      <c r="H478" s="4" t="s">
        <v>1920</v>
      </c>
      <c r="I478" s="4" t="s">
        <v>1921</v>
      </c>
      <c r="J478" s="4" t="s">
        <v>455</v>
      </c>
      <c r="K478" s="4"/>
      <c r="L478" s="4"/>
    </row>
    <row r="479" spans="1:12" ht="14.25" hidden="1" customHeight="1" x14ac:dyDescent="0.35">
      <c r="A479" s="4" t="s">
        <v>1922</v>
      </c>
      <c r="B479" s="4" t="s">
        <v>451</v>
      </c>
      <c r="C479" s="18">
        <v>45981</v>
      </c>
      <c r="D479" s="4"/>
      <c r="E479" s="4">
        <v>1</v>
      </c>
      <c r="F479" s="4" t="s">
        <v>1923</v>
      </c>
      <c r="G479" s="4" t="s">
        <v>461</v>
      </c>
      <c r="H479" s="4" t="s">
        <v>488</v>
      </c>
      <c r="I479" s="4" t="s">
        <v>1924</v>
      </c>
      <c r="J479" s="4" t="s">
        <v>455</v>
      </c>
      <c r="K479" s="4" t="s">
        <v>469</v>
      </c>
      <c r="L479" s="4" t="s">
        <v>470</v>
      </c>
    </row>
    <row r="480" spans="1:12" ht="14.25" hidden="1" customHeight="1" x14ac:dyDescent="0.35">
      <c r="A480" s="4" t="s">
        <v>1925</v>
      </c>
      <c r="B480" s="4" t="s">
        <v>451</v>
      </c>
      <c r="C480" s="18">
        <v>45981</v>
      </c>
      <c r="D480" s="4"/>
      <c r="E480" s="4">
        <v>0</v>
      </c>
      <c r="F480" s="4"/>
      <c r="G480" s="4" t="s">
        <v>466</v>
      </c>
      <c r="H480" s="4" t="s">
        <v>473</v>
      </c>
      <c r="I480" s="4" t="s">
        <v>1926</v>
      </c>
      <c r="J480" s="4" t="s">
        <v>455</v>
      </c>
      <c r="K480" s="4"/>
      <c r="L480" s="4"/>
    </row>
    <row r="481" spans="1:12" ht="14.25" hidden="1" customHeight="1" x14ac:dyDescent="0.35">
      <c r="A481" s="4" t="s">
        <v>1927</v>
      </c>
      <c r="B481" s="4" t="s">
        <v>451</v>
      </c>
      <c r="C481" s="18">
        <v>45981</v>
      </c>
      <c r="D481" s="4"/>
      <c r="E481" s="4">
        <v>0</v>
      </c>
      <c r="F481" s="4"/>
      <c r="G481" s="4" t="s">
        <v>466</v>
      </c>
      <c r="H481" s="4" t="s">
        <v>473</v>
      </c>
      <c r="I481" s="4" t="s">
        <v>1928</v>
      </c>
      <c r="J481" s="4" t="s">
        <v>455</v>
      </c>
      <c r="K481" s="4"/>
      <c r="L481" s="4"/>
    </row>
    <row r="482" spans="1:12" ht="14.25" hidden="1" customHeight="1" x14ac:dyDescent="0.35">
      <c r="A482" s="4" t="s">
        <v>1929</v>
      </c>
      <c r="B482" s="4" t="s">
        <v>451</v>
      </c>
      <c r="C482" s="18">
        <v>45982</v>
      </c>
      <c r="D482" s="4"/>
      <c r="E482" s="4">
        <v>0</v>
      </c>
      <c r="F482" s="4"/>
      <c r="G482" s="4" t="s">
        <v>466</v>
      </c>
      <c r="H482" s="4" t="s">
        <v>473</v>
      </c>
      <c r="I482" s="4" t="s">
        <v>1930</v>
      </c>
      <c r="J482" s="4" t="s">
        <v>455</v>
      </c>
      <c r="K482" s="4"/>
      <c r="L482" s="4"/>
    </row>
    <row r="483" spans="1:12" ht="14.25" hidden="1" customHeight="1" x14ac:dyDescent="0.35">
      <c r="A483" s="4" t="s">
        <v>1931</v>
      </c>
      <c r="B483" s="4" t="s">
        <v>500</v>
      </c>
      <c r="C483" s="18">
        <v>45985</v>
      </c>
      <c r="D483" s="18">
        <v>46023</v>
      </c>
      <c r="E483" s="4">
        <v>1</v>
      </c>
      <c r="F483" s="4" t="s">
        <v>1932</v>
      </c>
      <c r="G483" s="4" t="s">
        <v>1702</v>
      </c>
      <c r="H483" s="4" t="s">
        <v>1933</v>
      </c>
      <c r="I483" s="4" t="s">
        <v>1934</v>
      </c>
      <c r="J483" s="4" t="s">
        <v>455</v>
      </c>
      <c r="K483" s="4" t="s">
        <v>469</v>
      </c>
      <c r="L483" s="4" t="s">
        <v>550</v>
      </c>
    </row>
    <row r="484" spans="1:12" ht="14.25" hidden="1" customHeight="1" x14ac:dyDescent="0.35">
      <c r="A484" s="4" t="s">
        <v>1935</v>
      </c>
      <c r="B484" s="4" t="s">
        <v>451</v>
      </c>
      <c r="C484" s="18">
        <v>45985</v>
      </c>
      <c r="D484" s="4"/>
      <c r="E484" s="4">
        <v>0</v>
      </c>
      <c r="F484" s="4"/>
      <c r="G484" s="4" t="s">
        <v>466</v>
      </c>
      <c r="H484" s="4" t="s">
        <v>473</v>
      </c>
      <c r="I484" s="4" t="s">
        <v>1936</v>
      </c>
      <c r="J484" s="4" t="s">
        <v>455</v>
      </c>
      <c r="K484" s="4"/>
      <c r="L484" s="4"/>
    </row>
    <row r="485" spans="1:12" ht="14.25" hidden="1" customHeight="1" x14ac:dyDescent="0.35">
      <c r="A485" s="4" t="s">
        <v>1937</v>
      </c>
      <c r="B485" s="4" t="s">
        <v>451</v>
      </c>
      <c r="C485" s="18">
        <v>45985</v>
      </c>
      <c r="D485" s="4"/>
      <c r="E485" s="4">
        <v>1</v>
      </c>
      <c r="F485" s="4" t="s">
        <v>946</v>
      </c>
      <c r="G485" s="4" t="s">
        <v>466</v>
      </c>
      <c r="H485" s="4" t="s">
        <v>473</v>
      </c>
      <c r="I485" s="4" t="s">
        <v>1938</v>
      </c>
      <c r="J485" s="4" t="s">
        <v>455</v>
      </c>
      <c r="K485" s="4" t="s">
        <v>469</v>
      </c>
      <c r="L485" s="4" t="s">
        <v>470</v>
      </c>
    </row>
    <row r="486" spans="1:12" ht="14.25" hidden="1" customHeight="1" x14ac:dyDescent="0.35">
      <c r="A486" s="4" t="s">
        <v>1939</v>
      </c>
      <c r="B486" s="4" t="s">
        <v>451</v>
      </c>
      <c r="C486" s="18">
        <v>45985</v>
      </c>
      <c r="D486" s="4"/>
      <c r="E486" s="4">
        <v>1</v>
      </c>
      <c r="F486" s="4" t="s">
        <v>1940</v>
      </c>
      <c r="G486" s="4" t="s">
        <v>461</v>
      </c>
      <c r="H486" s="4" t="s">
        <v>488</v>
      </c>
      <c r="I486" s="4" t="s">
        <v>1941</v>
      </c>
      <c r="J486" s="4" t="s">
        <v>455</v>
      </c>
      <c r="K486" s="4" t="s">
        <v>469</v>
      </c>
      <c r="L486" s="4" t="s">
        <v>470</v>
      </c>
    </row>
    <row r="487" spans="1:12" ht="14.25" hidden="1" customHeight="1" x14ac:dyDescent="0.35">
      <c r="A487" s="4" t="s">
        <v>1942</v>
      </c>
      <c r="B487" s="4" t="s">
        <v>500</v>
      </c>
      <c r="C487" s="18">
        <v>45986</v>
      </c>
      <c r="D487" s="18">
        <v>46023</v>
      </c>
      <c r="E487" s="4">
        <v>1</v>
      </c>
      <c r="F487" s="4" t="s">
        <v>1943</v>
      </c>
      <c r="G487" s="4" t="s">
        <v>1944</v>
      </c>
      <c r="H487" s="4" t="s">
        <v>1945</v>
      </c>
      <c r="I487" s="4" t="s">
        <v>1946</v>
      </c>
      <c r="J487" s="4" t="s">
        <v>455</v>
      </c>
      <c r="K487" s="4" t="s">
        <v>469</v>
      </c>
      <c r="L487" s="4" t="s">
        <v>550</v>
      </c>
    </row>
    <row r="488" spans="1:12" ht="14.25" hidden="1" customHeight="1" x14ac:dyDescent="0.35">
      <c r="A488" s="4" t="s">
        <v>1947</v>
      </c>
      <c r="B488" s="4" t="s">
        <v>451</v>
      </c>
      <c r="C488" s="18">
        <v>45986</v>
      </c>
      <c r="D488" s="4"/>
      <c r="E488" s="4">
        <v>0</v>
      </c>
      <c r="F488" s="4"/>
      <c r="G488" s="4" t="s">
        <v>1948</v>
      </c>
      <c r="H488" s="4" t="s">
        <v>1949</v>
      </c>
      <c r="I488" s="4" t="s">
        <v>1950</v>
      </c>
      <c r="J488" s="4" t="s">
        <v>455</v>
      </c>
      <c r="K488" s="4"/>
      <c r="L488" s="4"/>
    </row>
    <row r="489" spans="1:12" ht="14.25" hidden="1" customHeight="1" x14ac:dyDescent="0.35">
      <c r="A489" s="4" t="s">
        <v>1951</v>
      </c>
      <c r="B489" s="4" t="s">
        <v>451</v>
      </c>
      <c r="C489" s="18">
        <v>45987</v>
      </c>
      <c r="D489" s="4"/>
      <c r="E489" s="4">
        <v>0</v>
      </c>
      <c r="F489" s="4"/>
      <c r="G489" s="4" t="s">
        <v>461</v>
      </c>
      <c r="H489" s="4" t="s">
        <v>488</v>
      </c>
      <c r="I489" s="4" t="s">
        <v>1952</v>
      </c>
      <c r="J489" s="4" t="s">
        <v>455</v>
      </c>
      <c r="K489" s="4"/>
      <c r="L489" s="4"/>
    </row>
    <row r="490" spans="1:12" ht="14.25" hidden="1" customHeight="1" x14ac:dyDescent="0.35">
      <c r="A490" s="4" t="s">
        <v>1953</v>
      </c>
      <c r="B490" s="4" t="s">
        <v>451</v>
      </c>
      <c r="C490" s="18">
        <v>45987</v>
      </c>
      <c r="D490" s="4"/>
      <c r="E490" s="4">
        <v>0</v>
      </c>
      <c r="F490" s="4"/>
      <c r="G490" s="4" t="s">
        <v>457</v>
      </c>
      <c r="H490" s="4" t="s">
        <v>458</v>
      </c>
      <c r="I490" s="4" t="s">
        <v>1954</v>
      </c>
      <c r="J490" s="4" t="s">
        <v>455</v>
      </c>
      <c r="K490" s="4"/>
      <c r="L490" s="4"/>
    </row>
    <row r="491" spans="1:12" ht="14.25" hidden="1" customHeight="1" x14ac:dyDescent="0.35">
      <c r="A491" s="4" t="s">
        <v>1955</v>
      </c>
      <c r="B491" s="4" t="s">
        <v>451</v>
      </c>
      <c r="C491" s="18">
        <v>45987</v>
      </c>
      <c r="D491" s="4"/>
      <c r="E491" s="4">
        <v>0</v>
      </c>
      <c r="F491" s="4"/>
      <c r="G491" s="4" t="s">
        <v>466</v>
      </c>
      <c r="H491" s="4" t="s">
        <v>473</v>
      </c>
      <c r="I491" s="4" t="s">
        <v>1956</v>
      </c>
      <c r="J491" s="4" t="s">
        <v>455</v>
      </c>
      <c r="K491" s="4"/>
      <c r="L491" s="4"/>
    </row>
    <row r="492" spans="1:12" ht="14.25" hidden="1" customHeight="1" x14ac:dyDescent="0.35">
      <c r="A492" s="4" t="s">
        <v>1957</v>
      </c>
      <c r="B492" s="4" t="s">
        <v>451</v>
      </c>
      <c r="C492" s="18">
        <v>45989</v>
      </c>
      <c r="D492" s="4"/>
      <c r="E492" s="4">
        <v>0</v>
      </c>
      <c r="F492" s="4"/>
      <c r="G492" s="4" t="s">
        <v>1958</v>
      </c>
      <c r="H492" s="4" t="s">
        <v>1959</v>
      </c>
      <c r="I492" s="4" t="s">
        <v>1960</v>
      </c>
      <c r="J492" s="4" t="s">
        <v>455</v>
      </c>
      <c r="K492" s="4"/>
      <c r="L492" s="4"/>
    </row>
    <row r="493" spans="1:12" ht="14.25" hidden="1" customHeight="1" x14ac:dyDescent="0.35">
      <c r="A493" s="4" t="s">
        <v>1961</v>
      </c>
      <c r="B493" s="4" t="s">
        <v>451</v>
      </c>
      <c r="C493" s="18">
        <v>45989</v>
      </c>
      <c r="D493" s="4"/>
      <c r="E493" s="4">
        <v>1</v>
      </c>
      <c r="F493" s="4" t="s">
        <v>465</v>
      </c>
      <c r="G493" s="4" t="s">
        <v>466</v>
      </c>
      <c r="H493" s="4" t="s">
        <v>473</v>
      </c>
      <c r="I493" s="4" t="s">
        <v>1962</v>
      </c>
      <c r="J493" s="4" t="s">
        <v>455</v>
      </c>
      <c r="K493" s="4" t="s">
        <v>469</v>
      </c>
      <c r="L493" s="4" t="s">
        <v>470</v>
      </c>
    </row>
    <row r="494" spans="1:12" ht="14.25" hidden="1" customHeight="1" x14ac:dyDescent="0.35">
      <c r="A494" s="4" t="s">
        <v>1963</v>
      </c>
      <c r="B494" s="4" t="s">
        <v>451</v>
      </c>
      <c r="C494" s="18">
        <v>45989</v>
      </c>
      <c r="D494" s="4"/>
      <c r="E494" s="4">
        <v>1</v>
      </c>
      <c r="F494" s="4" t="s">
        <v>1964</v>
      </c>
      <c r="G494" s="4" t="s">
        <v>461</v>
      </c>
      <c r="H494" s="4" t="s">
        <v>488</v>
      </c>
      <c r="I494" s="4" t="s">
        <v>1965</v>
      </c>
      <c r="J494" s="4" t="s">
        <v>455</v>
      </c>
      <c r="K494" s="4" t="s">
        <v>469</v>
      </c>
      <c r="L494" s="4" t="s">
        <v>470</v>
      </c>
    </row>
    <row r="495" spans="1:12" ht="14.25" customHeight="1" x14ac:dyDescent="0.35">
      <c r="A495" s="3" t="s">
        <v>1966</v>
      </c>
      <c r="B495" s="3" t="s">
        <v>500</v>
      </c>
      <c r="C495" s="19">
        <v>45590</v>
      </c>
      <c r="D495" s="19">
        <v>45590</v>
      </c>
      <c r="E495" s="3">
        <v>1</v>
      </c>
      <c r="F495" s="3" t="s">
        <v>1785</v>
      </c>
      <c r="G495" s="3" t="s">
        <v>1967</v>
      </c>
      <c r="H495" s="3" t="s">
        <v>1968</v>
      </c>
      <c r="I495" s="3" t="s">
        <v>1969</v>
      </c>
      <c r="J495" s="3" t="s">
        <v>455</v>
      </c>
      <c r="K495" s="3" t="s">
        <v>1195</v>
      </c>
      <c r="L495" s="3" t="s">
        <v>1866</v>
      </c>
    </row>
    <row r="496" spans="1:12" ht="14.25" hidden="1" customHeight="1" x14ac:dyDescent="0.35">
      <c r="A496" s="4" t="s">
        <v>1970</v>
      </c>
      <c r="B496" s="4" t="s">
        <v>500</v>
      </c>
      <c r="C496" s="18">
        <v>45989</v>
      </c>
      <c r="D496" s="18">
        <v>45989</v>
      </c>
      <c r="E496" s="4">
        <v>0</v>
      </c>
      <c r="F496" s="4"/>
      <c r="G496" s="4" t="s">
        <v>1802</v>
      </c>
      <c r="H496" s="4" t="s">
        <v>1971</v>
      </c>
      <c r="I496" s="4" t="s">
        <v>1972</v>
      </c>
      <c r="J496" s="4" t="s">
        <v>455</v>
      </c>
      <c r="K496" s="4"/>
      <c r="L496" s="4"/>
    </row>
    <row r="497" spans="1:12" ht="14.25" hidden="1" customHeight="1" x14ac:dyDescent="0.35">
      <c r="A497" s="4" t="s">
        <v>1973</v>
      </c>
      <c r="B497" s="4" t="s">
        <v>451</v>
      </c>
      <c r="C497" s="18">
        <v>45989</v>
      </c>
      <c r="D497" s="4"/>
      <c r="E497" s="4">
        <v>0</v>
      </c>
      <c r="F497" s="4"/>
      <c r="G497" s="4" t="s">
        <v>1974</v>
      </c>
      <c r="H497" s="4" t="s">
        <v>1975</v>
      </c>
      <c r="I497" s="4" t="s">
        <v>1976</v>
      </c>
      <c r="J497" s="4" t="s">
        <v>455</v>
      </c>
      <c r="K497" s="4"/>
      <c r="L497" s="4"/>
    </row>
    <row r="498" spans="1:12" ht="14.25" hidden="1" customHeight="1" x14ac:dyDescent="0.35">
      <c r="A498" s="4" t="s">
        <v>1977</v>
      </c>
      <c r="B498" s="4" t="s">
        <v>451</v>
      </c>
      <c r="C498" s="18">
        <v>45992</v>
      </c>
      <c r="D498" s="4"/>
      <c r="E498" s="4">
        <v>0</v>
      </c>
      <c r="F498" s="4"/>
      <c r="G498" s="4" t="s">
        <v>1978</v>
      </c>
      <c r="H498" s="4" t="s">
        <v>1607</v>
      </c>
      <c r="I498" s="4" t="s">
        <v>1979</v>
      </c>
      <c r="J498" s="4" t="s">
        <v>455</v>
      </c>
      <c r="K498" s="4"/>
      <c r="L498" s="4"/>
    </row>
    <row r="499" spans="1:12" ht="14.25" hidden="1" customHeight="1" x14ac:dyDescent="0.35">
      <c r="A499" s="4" t="s">
        <v>1980</v>
      </c>
      <c r="B499" s="4" t="s">
        <v>451</v>
      </c>
      <c r="C499" s="18">
        <v>45992</v>
      </c>
      <c r="D499" s="4"/>
      <c r="E499" s="4">
        <v>0</v>
      </c>
      <c r="F499" s="4"/>
      <c r="G499" s="4" t="s">
        <v>466</v>
      </c>
      <c r="H499" s="4" t="s">
        <v>473</v>
      </c>
      <c r="I499" s="4" t="s">
        <v>1981</v>
      </c>
      <c r="J499" s="4" t="s">
        <v>455</v>
      </c>
      <c r="K499" s="4"/>
      <c r="L499" s="4"/>
    </row>
    <row r="500" spans="1:12" ht="14.25" hidden="1" customHeight="1" x14ac:dyDescent="0.35">
      <c r="A500" s="4" t="s">
        <v>1982</v>
      </c>
      <c r="B500" s="4" t="s">
        <v>500</v>
      </c>
      <c r="C500" s="18">
        <v>45993</v>
      </c>
      <c r="D500" s="18">
        <v>46023</v>
      </c>
      <c r="E500" s="4">
        <v>1</v>
      </c>
      <c r="F500" s="4" t="s">
        <v>1983</v>
      </c>
      <c r="G500" s="4" t="s">
        <v>1697</v>
      </c>
      <c r="H500" s="4" t="s">
        <v>1984</v>
      </c>
      <c r="I500" s="4" t="s">
        <v>1985</v>
      </c>
      <c r="J500" s="4" t="s">
        <v>455</v>
      </c>
      <c r="K500" s="4" t="s">
        <v>469</v>
      </c>
      <c r="L500" s="4" t="s">
        <v>550</v>
      </c>
    </row>
    <row r="501" spans="1:12" ht="14.25" hidden="1" customHeight="1" x14ac:dyDescent="0.35">
      <c r="A501" s="4" t="s">
        <v>1986</v>
      </c>
      <c r="B501" s="4" t="s">
        <v>500</v>
      </c>
      <c r="C501" s="18">
        <v>45994</v>
      </c>
      <c r="D501" s="18">
        <v>46055</v>
      </c>
      <c r="E501" s="4">
        <v>0</v>
      </c>
      <c r="F501" s="4"/>
      <c r="G501" s="4" t="s">
        <v>1987</v>
      </c>
      <c r="H501" s="4" t="s">
        <v>1988</v>
      </c>
      <c r="I501" s="4" t="s">
        <v>1989</v>
      </c>
      <c r="J501" s="4" t="s">
        <v>455</v>
      </c>
      <c r="K501" s="4"/>
      <c r="L501" s="4"/>
    </row>
    <row r="502" spans="1:12" ht="14.25" hidden="1" customHeight="1" x14ac:dyDescent="0.35">
      <c r="A502" s="4" t="s">
        <v>1990</v>
      </c>
      <c r="B502" s="4" t="s">
        <v>451</v>
      </c>
      <c r="C502" s="18">
        <v>45994</v>
      </c>
      <c r="D502" s="18">
        <v>46023</v>
      </c>
      <c r="E502" s="4">
        <v>0</v>
      </c>
      <c r="F502" s="4"/>
      <c r="G502" s="4" t="s">
        <v>1991</v>
      </c>
      <c r="H502" s="4" t="s">
        <v>1992</v>
      </c>
      <c r="I502" s="4" t="s">
        <v>1993</v>
      </c>
      <c r="J502" s="4" t="s">
        <v>455</v>
      </c>
      <c r="K502" s="4"/>
      <c r="L502" s="4"/>
    </row>
    <row r="503" spans="1:12" ht="14.25" hidden="1" customHeight="1" x14ac:dyDescent="0.35">
      <c r="A503" s="4" t="s">
        <v>1994</v>
      </c>
      <c r="B503" s="4" t="s">
        <v>451</v>
      </c>
      <c r="C503" s="18">
        <v>45995</v>
      </c>
      <c r="D503" s="18">
        <v>46023</v>
      </c>
      <c r="E503" s="4">
        <v>1</v>
      </c>
      <c r="F503" s="4" t="s">
        <v>1995</v>
      </c>
      <c r="G503" s="4" t="s">
        <v>1996</v>
      </c>
      <c r="H503" s="4" t="s">
        <v>1997</v>
      </c>
      <c r="I503" s="4" t="s">
        <v>1998</v>
      </c>
      <c r="J503" s="4" t="s">
        <v>455</v>
      </c>
      <c r="K503" s="4" t="s">
        <v>469</v>
      </c>
      <c r="L503" s="4" t="s">
        <v>1189</v>
      </c>
    </row>
    <row r="504" spans="1:12" ht="14.25" hidden="1" customHeight="1" x14ac:dyDescent="0.35">
      <c r="A504" s="4" t="s">
        <v>1999</v>
      </c>
      <c r="B504" s="4" t="s">
        <v>451</v>
      </c>
      <c r="C504" s="18">
        <v>45996</v>
      </c>
      <c r="D504" s="4"/>
      <c r="E504" s="4">
        <v>0</v>
      </c>
      <c r="F504" s="4"/>
      <c r="G504" s="4" t="s">
        <v>461</v>
      </c>
      <c r="H504" s="4" t="s">
        <v>488</v>
      </c>
      <c r="I504" s="4" t="s">
        <v>2000</v>
      </c>
      <c r="J504" s="4" t="s">
        <v>455</v>
      </c>
      <c r="K504" s="4"/>
      <c r="L504" s="4"/>
    </row>
    <row r="505" spans="1:12" ht="14.25" hidden="1" customHeight="1" x14ac:dyDescent="0.35">
      <c r="A505" s="4" t="s">
        <v>2001</v>
      </c>
      <c r="B505" s="4" t="s">
        <v>451</v>
      </c>
      <c r="C505" s="18">
        <v>45999</v>
      </c>
      <c r="D505" s="4"/>
      <c r="E505" s="4">
        <v>1</v>
      </c>
      <c r="F505" s="4" t="s">
        <v>1246</v>
      </c>
      <c r="G505" s="4" t="s">
        <v>466</v>
      </c>
      <c r="H505" s="4" t="s">
        <v>473</v>
      </c>
      <c r="I505" s="4" t="s">
        <v>2002</v>
      </c>
      <c r="J505" s="4" t="s">
        <v>455</v>
      </c>
      <c r="K505" s="4" t="s">
        <v>469</v>
      </c>
      <c r="L505" s="4" t="s">
        <v>470</v>
      </c>
    </row>
    <row r="506" spans="1:12" ht="14.25" hidden="1" customHeight="1" x14ac:dyDescent="0.35">
      <c r="A506" s="4" t="s">
        <v>2003</v>
      </c>
      <c r="B506" s="4" t="s">
        <v>451</v>
      </c>
      <c r="C506" s="18">
        <v>45999</v>
      </c>
      <c r="D506" s="4"/>
      <c r="E506" s="4">
        <v>0</v>
      </c>
      <c r="F506" s="4"/>
      <c r="G506" s="4" t="s">
        <v>457</v>
      </c>
      <c r="H506" s="4" t="s">
        <v>458</v>
      </c>
      <c r="I506" s="4" t="s">
        <v>2004</v>
      </c>
      <c r="J506" s="4" t="s">
        <v>455</v>
      </c>
      <c r="K506" s="4"/>
      <c r="L506" s="4"/>
    </row>
    <row r="507" spans="1:12" ht="14.25" hidden="1" customHeight="1" x14ac:dyDescent="0.35">
      <c r="A507" s="4" t="s">
        <v>2005</v>
      </c>
      <c r="B507" s="4" t="s">
        <v>451</v>
      </c>
      <c r="C507" s="18">
        <v>45999</v>
      </c>
      <c r="D507" s="4"/>
      <c r="E507" s="4">
        <v>0</v>
      </c>
      <c r="F507" s="4"/>
      <c r="G507" s="4" t="s">
        <v>2006</v>
      </c>
      <c r="H507" s="4" t="s">
        <v>2007</v>
      </c>
      <c r="I507" s="4" t="s">
        <v>2008</v>
      </c>
      <c r="J507" s="4" t="s">
        <v>455</v>
      </c>
      <c r="K507" s="4"/>
      <c r="L507" s="4"/>
    </row>
    <row r="508" spans="1:12" ht="14.25" hidden="1" customHeight="1" x14ac:dyDescent="0.35">
      <c r="A508" s="4" t="s">
        <v>2009</v>
      </c>
      <c r="B508" s="4" t="s">
        <v>451</v>
      </c>
      <c r="C508" s="18">
        <v>45999</v>
      </c>
      <c r="D508" s="4"/>
      <c r="E508" s="4">
        <v>0</v>
      </c>
      <c r="F508" s="4"/>
      <c r="G508" s="4" t="s">
        <v>461</v>
      </c>
      <c r="H508" s="4" t="s">
        <v>488</v>
      </c>
      <c r="I508" s="4" t="s">
        <v>2010</v>
      </c>
      <c r="J508" s="4" t="s">
        <v>455</v>
      </c>
      <c r="K508" s="4"/>
      <c r="L508" s="4"/>
    </row>
    <row r="509" spans="1:12" ht="14.25" hidden="1" customHeight="1" x14ac:dyDescent="0.35">
      <c r="A509" s="4" t="s">
        <v>2011</v>
      </c>
      <c r="B509" s="4" t="s">
        <v>451</v>
      </c>
      <c r="C509" s="18">
        <v>45999</v>
      </c>
      <c r="D509" s="4"/>
      <c r="E509" s="4">
        <v>0</v>
      </c>
      <c r="F509" s="4"/>
      <c r="G509" s="4" t="s">
        <v>2012</v>
      </c>
      <c r="H509" s="4" t="s">
        <v>2013</v>
      </c>
      <c r="I509" s="4" t="s">
        <v>2014</v>
      </c>
      <c r="J509" s="4" t="s">
        <v>455</v>
      </c>
      <c r="K509" s="4"/>
      <c r="L509" s="4"/>
    </row>
    <row r="510" spans="1:12" ht="14.25" hidden="1" customHeight="1" x14ac:dyDescent="0.35">
      <c r="A510" s="4" t="s">
        <v>2015</v>
      </c>
      <c r="B510" s="4" t="s">
        <v>451</v>
      </c>
      <c r="C510" s="18">
        <v>45999</v>
      </c>
      <c r="D510" s="4"/>
      <c r="E510" s="4">
        <v>0</v>
      </c>
      <c r="F510" s="4"/>
      <c r="G510" s="4" t="s">
        <v>2016</v>
      </c>
      <c r="H510" s="4" t="s">
        <v>2017</v>
      </c>
      <c r="I510" s="4" t="s">
        <v>2018</v>
      </c>
      <c r="J510" s="4" t="s">
        <v>455</v>
      </c>
      <c r="K510" s="4"/>
      <c r="L510" s="4"/>
    </row>
    <row r="511" spans="1:12" ht="14.25" hidden="1" customHeight="1" x14ac:dyDescent="0.35">
      <c r="A511" s="4" t="s">
        <v>2019</v>
      </c>
      <c r="B511" s="4" t="s">
        <v>451</v>
      </c>
      <c r="C511" s="18">
        <v>46001</v>
      </c>
      <c r="D511" s="4"/>
      <c r="E511" s="4">
        <v>0</v>
      </c>
      <c r="F511" s="4"/>
      <c r="G511" s="4" t="s">
        <v>461</v>
      </c>
      <c r="H511" s="4" t="s">
        <v>488</v>
      </c>
      <c r="I511" s="4" t="s">
        <v>2020</v>
      </c>
      <c r="J511" s="4" t="s">
        <v>455</v>
      </c>
      <c r="K511" s="4"/>
      <c r="L511" s="4"/>
    </row>
    <row r="512" spans="1:12" ht="14.25" hidden="1" customHeight="1" x14ac:dyDescent="0.35">
      <c r="A512" s="4" t="s">
        <v>2021</v>
      </c>
      <c r="B512" s="4" t="s">
        <v>451</v>
      </c>
      <c r="C512" s="18">
        <v>46002</v>
      </c>
      <c r="D512" s="4"/>
      <c r="E512" s="4">
        <v>1</v>
      </c>
      <c r="F512" s="4" t="s">
        <v>631</v>
      </c>
      <c r="G512" s="4" t="s">
        <v>461</v>
      </c>
      <c r="H512" s="4" t="s">
        <v>488</v>
      </c>
      <c r="I512" s="4" t="s">
        <v>2022</v>
      </c>
      <c r="J512" s="4" t="s">
        <v>455</v>
      </c>
      <c r="K512" s="4" t="s">
        <v>469</v>
      </c>
      <c r="L512" s="4" t="s">
        <v>470</v>
      </c>
    </row>
    <row r="513" spans="1:12" ht="14.25" hidden="1" customHeight="1" x14ac:dyDescent="0.35">
      <c r="A513" s="4" t="s">
        <v>2023</v>
      </c>
      <c r="B513" s="4" t="s">
        <v>451</v>
      </c>
      <c r="C513" s="18">
        <v>46002</v>
      </c>
      <c r="D513" s="4"/>
      <c r="E513" s="4">
        <v>0</v>
      </c>
      <c r="F513" s="4"/>
      <c r="G513" s="4" t="s">
        <v>466</v>
      </c>
      <c r="H513" s="4" t="s">
        <v>473</v>
      </c>
      <c r="I513" s="4" t="s">
        <v>2024</v>
      </c>
      <c r="J513" s="4" t="s">
        <v>455</v>
      </c>
      <c r="K513" s="4"/>
      <c r="L513" s="4"/>
    </row>
    <row r="514" spans="1:12" ht="14.25" hidden="1" customHeight="1" x14ac:dyDescent="0.35">
      <c r="A514" s="4" t="s">
        <v>2025</v>
      </c>
      <c r="B514" s="4" t="s">
        <v>479</v>
      </c>
      <c r="C514" s="18">
        <v>46002</v>
      </c>
      <c r="D514" s="4"/>
      <c r="E514" s="4">
        <v>1</v>
      </c>
      <c r="F514" s="4" t="s">
        <v>2026</v>
      </c>
      <c r="G514" s="4" t="s">
        <v>829</v>
      </c>
      <c r="H514" s="4" t="s">
        <v>2027</v>
      </c>
      <c r="I514" s="4" t="s">
        <v>2028</v>
      </c>
      <c r="J514" s="4" t="s">
        <v>455</v>
      </c>
      <c r="K514" s="4" t="s">
        <v>469</v>
      </c>
      <c r="L514" s="4" t="s">
        <v>550</v>
      </c>
    </row>
    <row r="515" spans="1:12" ht="14.25" hidden="1" customHeight="1" x14ac:dyDescent="0.35">
      <c r="A515" s="4" t="s">
        <v>2029</v>
      </c>
      <c r="B515" s="4" t="s">
        <v>451</v>
      </c>
      <c r="C515" s="18">
        <v>46007</v>
      </c>
      <c r="D515" s="4"/>
      <c r="E515" s="4">
        <v>1</v>
      </c>
      <c r="F515" s="4" t="s">
        <v>2030</v>
      </c>
      <c r="G515" s="4" t="s">
        <v>466</v>
      </c>
      <c r="H515" s="4" t="s">
        <v>473</v>
      </c>
      <c r="I515" s="4" t="s">
        <v>2031</v>
      </c>
      <c r="J515" s="4" t="s">
        <v>455</v>
      </c>
      <c r="K515" s="4" t="s">
        <v>469</v>
      </c>
      <c r="L515" s="4" t="s">
        <v>470</v>
      </c>
    </row>
    <row r="516" spans="1:12" ht="14.25" hidden="1" customHeight="1" x14ac:dyDescent="0.35">
      <c r="A516" s="4" t="s">
        <v>2032</v>
      </c>
      <c r="B516" s="4" t="s">
        <v>451</v>
      </c>
      <c r="C516" s="18">
        <v>46007</v>
      </c>
      <c r="D516" s="4"/>
      <c r="E516" s="4">
        <v>0</v>
      </c>
      <c r="F516" s="4"/>
      <c r="G516" s="4" t="s">
        <v>461</v>
      </c>
      <c r="H516" s="4" t="s">
        <v>488</v>
      </c>
      <c r="I516" s="4" t="s">
        <v>2033</v>
      </c>
      <c r="J516" s="4" t="s">
        <v>455</v>
      </c>
      <c r="K516" s="4"/>
      <c r="L516" s="4"/>
    </row>
    <row r="517" spans="1:12" ht="14.25" hidden="1" customHeight="1" x14ac:dyDescent="0.35">
      <c r="A517" s="4" t="s">
        <v>2034</v>
      </c>
      <c r="B517" s="4" t="s">
        <v>500</v>
      </c>
      <c r="C517" s="18">
        <v>46008</v>
      </c>
      <c r="D517" s="18">
        <v>46008</v>
      </c>
      <c r="E517" s="4">
        <v>0</v>
      </c>
      <c r="F517" s="4"/>
      <c r="G517" s="4" t="s">
        <v>2035</v>
      </c>
      <c r="H517" s="4" t="s">
        <v>2036</v>
      </c>
      <c r="I517" s="4" t="s">
        <v>2037</v>
      </c>
      <c r="J517" s="4" t="s">
        <v>455</v>
      </c>
      <c r="K517" s="4"/>
      <c r="L517" s="4"/>
    </row>
    <row r="518" spans="1:12" ht="14.25" hidden="1" customHeight="1" x14ac:dyDescent="0.35">
      <c r="A518" s="4" t="s">
        <v>2038</v>
      </c>
      <c r="B518" s="4" t="s">
        <v>451</v>
      </c>
      <c r="C518" s="18">
        <v>46008</v>
      </c>
      <c r="D518" s="4"/>
      <c r="E518" s="4">
        <v>1</v>
      </c>
      <c r="F518" s="4" t="s">
        <v>946</v>
      </c>
      <c r="G518" s="4" t="s">
        <v>466</v>
      </c>
      <c r="H518" s="4" t="s">
        <v>473</v>
      </c>
      <c r="I518" s="4" t="s">
        <v>2039</v>
      </c>
      <c r="J518" s="4" t="s">
        <v>455</v>
      </c>
      <c r="K518" s="4" t="s">
        <v>469</v>
      </c>
      <c r="L518" s="4" t="s">
        <v>470</v>
      </c>
    </row>
    <row r="519" spans="1:12" ht="14.25" hidden="1" customHeight="1" x14ac:dyDescent="0.35">
      <c r="A519" s="4" t="s">
        <v>2040</v>
      </c>
      <c r="B519" s="4" t="s">
        <v>451</v>
      </c>
      <c r="C519" s="18">
        <v>46010</v>
      </c>
      <c r="D519" s="4"/>
      <c r="E519" s="4">
        <v>0</v>
      </c>
      <c r="F519" s="4"/>
      <c r="G519" s="4" t="s">
        <v>2041</v>
      </c>
      <c r="H519" s="4" t="s">
        <v>2042</v>
      </c>
      <c r="I519" s="4" t="s">
        <v>2043</v>
      </c>
      <c r="J519" s="4" t="s">
        <v>455</v>
      </c>
      <c r="K519" s="4"/>
      <c r="L519" s="4"/>
    </row>
    <row r="520" spans="1:12" ht="14.25" hidden="1" customHeight="1" x14ac:dyDescent="0.35">
      <c r="A520" s="4" t="s">
        <v>2044</v>
      </c>
      <c r="B520" s="4" t="s">
        <v>479</v>
      </c>
      <c r="C520" s="18">
        <v>46010</v>
      </c>
      <c r="D520" s="4"/>
      <c r="E520" s="4">
        <v>0</v>
      </c>
      <c r="F520" s="4"/>
      <c r="G520" s="4" t="s">
        <v>2045</v>
      </c>
      <c r="H520" s="4" t="s">
        <v>2046</v>
      </c>
      <c r="I520" s="4" t="s">
        <v>2047</v>
      </c>
      <c r="J520" s="4" t="s">
        <v>455</v>
      </c>
      <c r="K520" s="4"/>
      <c r="L520" s="4"/>
    </row>
    <row r="521" spans="1:12" ht="14.25" hidden="1" customHeight="1" x14ac:dyDescent="0.35">
      <c r="A521" s="4" t="s">
        <v>2048</v>
      </c>
      <c r="B521" s="4" t="s">
        <v>479</v>
      </c>
      <c r="C521" s="18">
        <v>46010</v>
      </c>
      <c r="D521" s="4"/>
      <c r="E521" s="4">
        <v>0</v>
      </c>
      <c r="F521" s="4"/>
      <c r="G521" s="4" t="s">
        <v>2049</v>
      </c>
      <c r="H521" s="4" t="s">
        <v>2050</v>
      </c>
      <c r="I521" s="4" t="s">
        <v>2051</v>
      </c>
      <c r="J521" s="4" t="s">
        <v>455</v>
      </c>
      <c r="K521" s="4"/>
      <c r="L521" s="4"/>
    </row>
    <row r="522" spans="1:12" ht="14.25" hidden="1" customHeight="1" x14ac:dyDescent="0.35">
      <c r="A522" s="4" t="s">
        <v>2052</v>
      </c>
      <c r="B522" s="4" t="s">
        <v>451</v>
      </c>
      <c r="C522" s="18">
        <v>46013</v>
      </c>
      <c r="D522" s="4"/>
      <c r="E522" s="4">
        <v>0</v>
      </c>
      <c r="F522" s="4"/>
      <c r="G522" s="4" t="s">
        <v>466</v>
      </c>
      <c r="H522" s="4" t="s">
        <v>473</v>
      </c>
      <c r="I522" s="4" t="s">
        <v>2053</v>
      </c>
      <c r="J522" s="4" t="s">
        <v>455</v>
      </c>
      <c r="K522" s="4"/>
      <c r="L522" s="4"/>
    </row>
    <row r="523" spans="1:12" ht="14.25" hidden="1" customHeight="1" x14ac:dyDescent="0.35">
      <c r="A523" s="4" t="s">
        <v>2054</v>
      </c>
      <c r="B523" s="4" t="s">
        <v>451</v>
      </c>
      <c r="C523" s="18">
        <v>46013</v>
      </c>
      <c r="D523" s="4"/>
      <c r="E523" s="4">
        <v>0</v>
      </c>
      <c r="F523" s="4"/>
      <c r="G523" s="4" t="s">
        <v>461</v>
      </c>
      <c r="H523" s="4" t="s">
        <v>488</v>
      </c>
      <c r="I523" s="4" t="s">
        <v>2055</v>
      </c>
      <c r="J523" s="4" t="s">
        <v>455</v>
      </c>
      <c r="K523" s="4"/>
      <c r="L523" s="4"/>
    </row>
    <row r="524" spans="1:12" ht="14.25" hidden="1" customHeight="1" x14ac:dyDescent="0.35">
      <c r="A524" s="4" t="s">
        <v>2056</v>
      </c>
      <c r="B524" s="4" t="s">
        <v>451</v>
      </c>
      <c r="C524" s="18">
        <v>46013</v>
      </c>
      <c r="D524" s="4"/>
      <c r="E524" s="4">
        <v>1</v>
      </c>
      <c r="F524" s="4" t="s">
        <v>2057</v>
      </c>
      <c r="G524" s="4" t="s">
        <v>461</v>
      </c>
      <c r="H524" s="4" t="s">
        <v>488</v>
      </c>
      <c r="I524" s="4" t="s">
        <v>2058</v>
      </c>
      <c r="J524" s="4" t="s">
        <v>455</v>
      </c>
      <c r="K524" s="4" t="s">
        <v>469</v>
      </c>
      <c r="L524" s="4" t="s">
        <v>470</v>
      </c>
    </row>
    <row r="525" spans="1:12" ht="14.25" hidden="1" customHeight="1" x14ac:dyDescent="0.35">
      <c r="A525" s="4" t="s">
        <v>2059</v>
      </c>
      <c r="B525" s="4" t="s">
        <v>451</v>
      </c>
      <c r="C525" s="18">
        <v>46013</v>
      </c>
      <c r="D525" s="18">
        <v>46009</v>
      </c>
      <c r="E525" s="4">
        <v>0</v>
      </c>
      <c r="F525" s="4"/>
      <c r="G525" s="4" t="s">
        <v>2060</v>
      </c>
      <c r="H525" s="4" t="s">
        <v>2061</v>
      </c>
      <c r="I525" s="4" t="s">
        <v>2062</v>
      </c>
      <c r="J525" s="4" t="s">
        <v>455</v>
      </c>
      <c r="K525" s="4"/>
      <c r="L525" s="4"/>
    </row>
    <row r="526" spans="1:12" ht="14.25" customHeight="1" x14ac:dyDescent="0.35">
      <c r="A526" s="3" t="s">
        <v>2063</v>
      </c>
      <c r="B526" s="3" t="s">
        <v>479</v>
      </c>
      <c r="C526" s="19">
        <v>45792</v>
      </c>
      <c r="D526" s="3"/>
      <c r="E526" s="3">
        <v>1</v>
      </c>
      <c r="F526" s="3" t="s">
        <v>484</v>
      </c>
      <c r="G526" s="3" t="s">
        <v>2064</v>
      </c>
      <c r="H526" s="3" t="s">
        <v>2065</v>
      </c>
      <c r="I526" s="3" t="s">
        <v>2066</v>
      </c>
      <c r="J526" s="3" t="s">
        <v>455</v>
      </c>
      <c r="K526" s="3" t="s">
        <v>1195</v>
      </c>
      <c r="L526" s="3" t="s">
        <v>1336</v>
      </c>
    </row>
    <row r="527" spans="1:12" ht="14.25" customHeight="1" x14ac:dyDescent="0.35">
      <c r="A527" s="3" t="s">
        <v>2067</v>
      </c>
      <c r="B527" s="3" t="s">
        <v>451</v>
      </c>
      <c r="C527" s="19">
        <v>45793</v>
      </c>
      <c r="D527" s="3"/>
      <c r="E527" s="3">
        <v>1</v>
      </c>
      <c r="F527" s="3" t="s">
        <v>1940</v>
      </c>
      <c r="G527" s="3" t="s">
        <v>2068</v>
      </c>
      <c r="H527" s="3" t="s">
        <v>2069</v>
      </c>
      <c r="I527" s="3" t="s">
        <v>2070</v>
      </c>
      <c r="J527" s="3" t="s">
        <v>455</v>
      </c>
      <c r="K527" s="3" t="s">
        <v>1195</v>
      </c>
      <c r="L527" s="3" t="s">
        <v>1240</v>
      </c>
    </row>
    <row r="528" spans="1:12" ht="14.25" hidden="1" customHeight="1" x14ac:dyDescent="0.35">
      <c r="A528" s="4" t="s">
        <v>2071</v>
      </c>
      <c r="B528" s="4" t="s">
        <v>451</v>
      </c>
      <c r="C528" s="18">
        <v>46021</v>
      </c>
      <c r="D528" s="4"/>
      <c r="E528" s="4">
        <v>0</v>
      </c>
      <c r="F528" s="4"/>
      <c r="G528" s="4" t="s">
        <v>466</v>
      </c>
      <c r="H528" s="4" t="s">
        <v>473</v>
      </c>
      <c r="I528" s="4" t="s">
        <v>2072</v>
      </c>
      <c r="J528" s="4" t="s">
        <v>455</v>
      </c>
      <c r="K528" s="4"/>
      <c r="L528" s="4"/>
    </row>
    <row r="529" spans="1:12" ht="14.25" hidden="1" customHeight="1" x14ac:dyDescent="0.35">
      <c r="A529" s="4" t="s">
        <v>2073</v>
      </c>
      <c r="B529" s="4" t="s">
        <v>451</v>
      </c>
      <c r="C529" s="18">
        <v>46021</v>
      </c>
      <c r="D529" s="4"/>
      <c r="E529" s="4">
        <v>0</v>
      </c>
      <c r="F529" s="4"/>
      <c r="G529" s="4" t="s">
        <v>466</v>
      </c>
      <c r="H529" s="4" t="s">
        <v>2074</v>
      </c>
      <c r="I529" s="4" t="s">
        <v>2075</v>
      </c>
      <c r="J529" s="4" t="s">
        <v>455</v>
      </c>
      <c r="K529" s="4"/>
      <c r="L529" s="4"/>
    </row>
    <row r="530" spans="1:12" ht="14.25" hidden="1" customHeight="1" x14ac:dyDescent="0.35">
      <c r="A530" s="4" t="s">
        <v>2076</v>
      </c>
      <c r="B530" s="4" t="s">
        <v>500</v>
      </c>
      <c r="C530" s="18">
        <v>46035</v>
      </c>
      <c r="D530" s="18">
        <v>46125</v>
      </c>
      <c r="E530" s="4">
        <v>0</v>
      </c>
      <c r="F530" s="4"/>
      <c r="G530" s="4" t="s">
        <v>2077</v>
      </c>
      <c r="H530" s="4" t="s">
        <v>817</v>
      </c>
      <c r="I530" s="4" t="s">
        <v>2078</v>
      </c>
      <c r="J530" s="4" t="s">
        <v>455</v>
      </c>
      <c r="K530" s="4"/>
      <c r="L530" s="4"/>
    </row>
    <row r="531" spans="1:12" ht="14.25" hidden="1" customHeight="1" x14ac:dyDescent="0.35">
      <c r="A531" s="4" t="s">
        <v>2079</v>
      </c>
      <c r="B531" s="4" t="s">
        <v>451</v>
      </c>
      <c r="C531" s="18">
        <v>46036</v>
      </c>
      <c r="D531" s="4"/>
      <c r="E531" s="4">
        <v>0</v>
      </c>
      <c r="F531" s="4"/>
      <c r="G531" s="4" t="s">
        <v>2080</v>
      </c>
      <c r="H531" s="4"/>
      <c r="I531" s="4" t="s">
        <v>2081</v>
      </c>
      <c r="J531" s="4" t="s">
        <v>455</v>
      </c>
      <c r="K531" s="4"/>
      <c r="L531" s="4"/>
    </row>
    <row r="532" spans="1:12" ht="14.25" hidden="1" customHeight="1" x14ac:dyDescent="0.35">
      <c r="A532" s="4" t="s">
        <v>2082</v>
      </c>
      <c r="B532" s="4" t="s">
        <v>451</v>
      </c>
      <c r="C532" s="18">
        <v>46042</v>
      </c>
      <c r="D532" s="4"/>
      <c r="E532" s="4">
        <v>0</v>
      </c>
      <c r="F532" s="4"/>
      <c r="G532" s="4" t="s">
        <v>461</v>
      </c>
      <c r="H532" s="4" t="s">
        <v>488</v>
      </c>
      <c r="I532" s="4" t="s">
        <v>2083</v>
      </c>
      <c r="J532" s="4" t="s">
        <v>455</v>
      </c>
      <c r="K532" s="4"/>
      <c r="L532" s="4"/>
    </row>
    <row r="533" spans="1:12" ht="14.25" hidden="1" customHeight="1" x14ac:dyDescent="0.35">
      <c r="A533" s="4" t="s">
        <v>2084</v>
      </c>
      <c r="B533" s="4" t="s">
        <v>451</v>
      </c>
      <c r="C533" s="18">
        <v>46042</v>
      </c>
      <c r="D533" s="4"/>
      <c r="E533" s="4">
        <v>0</v>
      </c>
      <c r="F533" s="4"/>
      <c r="G533" s="4" t="s">
        <v>466</v>
      </c>
      <c r="H533" s="4" t="s">
        <v>473</v>
      </c>
      <c r="I533" s="4" t="s">
        <v>2085</v>
      </c>
      <c r="J533" s="4" t="s">
        <v>455</v>
      </c>
      <c r="K533" s="4"/>
      <c r="L533" s="4"/>
    </row>
    <row r="534" spans="1:12" ht="14.25" hidden="1" customHeight="1" x14ac:dyDescent="0.35">
      <c r="A534" s="4" t="s">
        <v>2086</v>
      </c>
      <c r="B534" s="4" t="s">
        <v>451</v>
      </c>
      <c r="C534" s="18">
        <v>46043</v>
      </c>
      <c r="D534" s="4"/>
      <c r="E534" s="4">
        <v>0</v>
      </c>
      <c r="F534" s="4"/>
      <c r="G534" s="4" t="s">
        <v>466</v>
      </c>
      <c r="H534" s="4" t="s">
        <v>473</v>
      </c>
      <c r="I534" s="4" t="s">
        <v>2087</v>
      </c>
      <c r="J534" s="4" t="s">
        <v>455</v>
      </c>
      <c r="K534" s="4"/>
      <c r="L534" s="4"/>
    </row>
    <row r="535" spans="1:12" ht="14.25" hidden="1" customHeight="1" x14ac:dyDescent="0.35">
      <c r="A535" s="4" t="s">
        <v>2088</v>
      </c>
      <c r="B535" s="4" t="s">
        <v>451</v>
      </c>
      <c r="C535" s="18">
        <v>46043</v>
      </c>
      <c r="D535" s="4"/>
      <c r="E535" s="4">
        <v>0</v>
      </c>
      <c r="F535" s="4"/>
      <c r="G535" s="4" t="s">
        <v>466</v>
      </c>
      <c r="H535" s="4" t="s">
        <v>2074</v>
      </c>
      <c r="I535" s="4" t="s">
        <v>2089</v>
      </c>
      <c r="J535" s="4" t="s">
        <v>455</v>
      </c>
      <c r="K535" s="4"/>
      <c r="L535" s="4"/>
    </row>
    <row r="536" spans="1:12" ht="14.25" hidden="1" customHeight="1" x14ac:dyDescent="0.35">
      <c r="A536" s="4" t="s">
        <v>2090</v>
      </c>
      <c r="B536" s="4" t="s">
        <v>451</v>
      </c>
      <c r="C536" s="18">
        <v>46044</v>
      </c>
      <c r="D536" s="4"/>
      <c r="E536" s="4">
        <v>0</v>
      </c>
      <c r="F536" s="4"/>
      <c r="G536" s="4" t="s">
        <v>461</v>
      </c>
      <c r="H536" s="4" t="s">
        <v>488</v>
      </c>
      <c r="I536" s="4" t="s">
        <v>2091</v>
      </c>
      <c r="J536" s="4" t="s">
        <v>455</v>
      </c>
      <c r="K536" s="4"/>
      <c r="L536" s="4"/>
    </row>
    <row r="537" spans="1:12" ht="14.25" hidden="1" customHeight="1" x14ac:dyDescent="0.35">
      <c r="A537" s="4" t="s">
        <v>2092</v>
      </c>
      <c r="B537" s="4" t="s">
        <v>451</v>
      </c>
      <c r="C537" s="18">
        <v>46045</v>
      </c>
      <c r="D537" s="4"/>
      <c r="E537" s="4">
        <v>0</v>
      </c>
      <c r="F537" s="4"/>
      <c r="G537" s="4" t="s">
        <v>461</v>
      </c>
      <c r="H537" s="4" t="s">
        <v>488</v>
      </c>
      <c r="I537" s="4" t="s">
        <v>2093</v>
      </c>
      <c r="J537" s="4" t="s">
        <v>455</v>
      </c>
      <c r="K537" s="4"/>
      <c r="L537" s="4"/>
    </row>
    <row r="538" spans="1:12" ht="14.25" hidden="1" customHeight="1" x14ac:dyDescent="0.35">
      <c r="A538" s="4" t="s">
        <v>2094</v>
      </c>
      <c r="B538" s="4" t="s">
        <v>451</v>
      </c>
      <c r="C538" s="18">
        <v>46049</v>
      </c>
      <c r="D538" s="4"/>
      <c r="E538" s="4">
        <v>0</v>
      </c>
      <c r="F538" s="4"/>
      <c r="G538" s="4" t="s">
        <v>461</v>
      </c>
      <c r="H538" s="4" t="s">
        <v>488</v>
      </c>
      <c r="I538" s="4" t="s">
        <v>2095</v>
      </c>
      <c r="J538" s="4" t="s">
        <v>455</v>
      </c>
      <c r="K538" s="4"/>
      <c r="L538" s="4"/>
    </row>
    <row r="539" spans="1:12" ht="14.25" hidden="1" customHeight="1" x14ac:dyDescent="0.35">
      <c r="A539" s="4" t="s">
        <v>2096</v>
      </c>
      <c r="B539" s="4" t="s">
        <v>479</v>
      </c>
      <c r="C539" s="18">
        <v>46051</v>
      </c>
      <c r="D539" s="4"/>
      <c r="E539" s="4">
        <v>0</v>
      </c>
      <c r="F539" s="4"/>
      <c r="G539" s="4" t="s">
        <v>2097</v>
      </c>
      <c r="H539" s="4" t="s">
        <v>2098</v>
      </c>
      <c r="I539" s="4" t="s">
        <v>2099</v>
      </c>
      <c r="J539" s="4" t="s">
        <v>455</v>
      </c>
      <c r="K539" s="4"/>
      <c r="L539" s="4"/>
    </row>
    <row r="540" spans="1:12" ht="14.25" hidden="1" customHeight="1" x14ac:dyDescent="0.35">
      <c r="A540" s="4" t="s">
        <v>2100</v>
      </c>
      <c r="B540" s="4" t="s">
        <v>451</v>
      </c>
      <c r="C540" s="18">
        <v>46051</v>
      </c>
      <c r="D540" s="4"/>
      <c r="E540" s="4">
        <v>1</v>
      </c>
      <c r="F540" s="4" t="s">
        <v>1940</v>
      </c>
      <c r="G540" s="4" t="s">
        <v>466</v>
      </c>
      <c r="H540" s="4" t="s">
        <v>473</v>
      </c>
      <c r="I540" s="4" t="s">
        <v>2101</v>
      </c>
      <c r="J540" s="4" t="s">
        <v>455</v>
      </c>
      <c r="K540" s="4" t="s">
        <v>469</v>
      </c>
      <c r="L540" s="4" t="s">
        <v>470</v>
      </c>
    </row>
    <row r="541" spans="1:12" ht="14.25" hidden="1" customHeight="1" x14ac:dyDescent="0.35">
      <c r="A541" s="4" t="s">
        <v>2102</v>
      </c>
      <c r="B541" s="4" t="s">
        <v>479</v>
      </c>
      <c r="C541" s="18">
        <v>46052</v>
      </c>
      <c r="D541" s="4"/>
      <c r="E541" s="4">
        <v>0</v>
      </c>
      <c r="F541" s="4"/>
      <c r="G541" s="4" t="s">
        <v>2103</v>
      </c>
      <c r="H541" s="4" t="s">
        <v>2104</v>
      </c>
      <c r="I541" s="4" t="s">
        <v>2105</v>
      </c>
      <c r="J541" s="4" t="s">
        <v>455</v>
      </c>
      <c r="K541" s="4"/>
      <c r="L541" s="4"/>
    </row>
    <row r="542" spans="1:12" ht="14.25" customHeight="1" x14ac:dyDescent="0.35">
      <c r="A542" s="3" t="s">
        <v>2106</v>
      </c>
      <c r="B542" s="3" t="s">
        <v>500</v>
      </c>
      <c r="C542" s="19">
        <v>45806</v>
      </c>
      <c r="D542" s="19">
        <v>45806</v>
      </c>
      <c r="E542" s="3">
        <v>1</v>
      </c>
      <c r="F542" s="3" t="s">
        <v>484</v>
      </c>
      <c r="G542" s="3" t="s">
        <v>2107</v>
      </c>
      <c r="H542" s="3" t="s">
        <v>2108</v>
      </c>
      <c r="I542" s="3" t="s">
        <v>2109</v>
      </c>
      <c r="J542" s="3" t="s">
        <v>455</v>
      </c>
      <c r="K542" s="3" t="s">
        <v>1195</v>
      </c>
      <c r="L542" s="3" t="s">
        <v>1336</v>
      </c>
    </row>
    <row r="543" spans="1:12" ht="14.25" hidden="1" customHeight="1" x14ac:dyDescent="0.35">
      <c r="A543" s="4" t="s">
        <v>2110</v>
      </c>
      <c r="B543" s="4" t="s">
        <v>451</v>
      </c>
      <c r="C543" s="18">
        <v>46056</v>
      </c>
      <c r="D543" s="4"/>
      <c r="E543" s="4">
        <v>0</v>
      </c>
      <c r="F543" s="4"/>
      <c r="G543" s="4" t="s">
        <v>457</v>
      </c>
      <c r="H543" s="4" t="s">
        <v>458</v>
      </c>
      <c r="I543" s="4" t="s">
        <v>2111</v>
      </c>
      <c r="J543" s="4" t="s">
        <v>455</v>
      </c>
      <c r="K543" s="4"/>
      <c r="L543" s="4"/>
    </row>
    <row r="544" spans="1:12" ht="14.25" hidden="1" customHeight="1" x14ac:dyDescent="0.35">
      <c r="A544" s="4" t="s">
        <v>2112</v>
      </c>
      <c r="B544" s="4" t="s">
        <v>451</v>
      </c>
      <c r="C544" s="18">
        <v>46056</v>
      </c>
      <c r="D544" s="4"/>
      <c r="E544" s="4">
        <v>1</v>
      </c>
      <c r="F544" s="4" t="s">
        <v>531</v>
      </c>
      <c r="G544" s="4" t="s">
        <v>466</v>
      </c>
      <c r="H544" s="4" t="s">
        <v>473</v>
      </c>
      <c r="I544" s="4" t="s">
        <v>2113</v>
      </c>
      <c r="J544" s="4" t="s">
        <v>455</v>
      </c>
      <c r="K544" s="4" t="s">
        <v>469</v>
      </c>
      <c r="L544" s="4" t="s">
        <v>470</v>
      </c>
    </row>
    <row r="545" spans="1:12" ht="14.25" hidden="1" customHeight="1" x14ac:dyDescent="0.35">
      <c r="A545" s="4" t="s">
        <v>2114</v>
      </c>
      <c r="B545" s="4" t="s">
        <v>451</v>
      </c>
      <c r="C545" s="18">
        <v>46056</v>
      </c>
      <c r="D545" s="4"/>
      <c r="E545" s="4">
        <v>0</v>
      </c>
      <c r="F545" s="4"/>
      <c r="G545" s="4" t="s">
        <v>461</v>
      </c>
      <c r="H545" s="4" t="s">
        <v>488</v>
      </c>
      <c r="I545" s="4" t="s">
        <v>2115</v>
      </c>
      <c r="J545" s="4" t="s">
        <v>455</v>
      </c>
      <c r="K545" s="4"/>
      <c r="L545" s="4"/>
    </row>
    <row r="546" spans="1:12" ht="14.25" hidden="1" customHeight="1" x14ac:dyDescent="0.35">
      <c r="A546" s="4" t="s">
        <v>2116</v>
      </c>
      <c r="B546" s="4" t="s">
        <v>451</v>
      </c>
      <c r="C546" s="18">
        <v>46057</v>
      </c>
      <c r="D546" s="4"/>
      <c r="E546" s="4">
        <v>0</v>
      </c>
      <c r="F546" s="4"/>
      <c r="G546" s="4" t="s">
        <v>461</v>
      </c>
      <c r="H546" s="4" t="s">
        <v>488</v>
      </c>
      <c r="I546" s="4" t="s">
        <v>2117</v>
      </c>
      <c r="J546" s="4" t="s">
        <v>455</v>
      </c>
      <c r="K546" s="4"/>
      <c r="L546" s="4"/>
    </row>
    <row r="547" spans="1:12" ht="14.25" hidden="1" customHeight="1" x14ac:dyDescent="0.35">
      <c r="A547" s="4" t="s">
        <v>2118</v>
      </c>
      <c r="B547" s="4" t="s">
        <v>451</v>
      </c>
      <c r="C547" s="18">
        <v>46059</v>
      </c>
      <c r="D547" s="4"/>
      <c r="E547" s="4">
        <v>0</v>
      </c>
      <c r="F547" s="4"/>
      <c r="G547" s="4" t="s">
        <v>466</v>
      </c>
      <c r="H547" s="4" t="s">
        <v>473</v>
      </c>
      <c r="I547" s="4" t="s">
        <v>2119</v>
      </c>
      <c r="J547" s="4" t="s">
        <v>455</v>
      </c>
      <c r="K547" s="4"/>
      <c r="L547" s="4"/>
    </row>
    <row r="548" spans="1:12" ht="14.25" hidden="1" customHeight="1" x14ac:dyDescent="0.35">
      <c r="A548" s="4" t="s">
        <v>2120</v>
      </c>
      <c r="B548" s="4" t="s">
        <v>451</v>
      </c>
      <c r="C548" s="18">
        <v>46059</v>
      </c>
      <c r="D548" s="4"/>
      <c r="E548" s="4">
        <v>0</v>
      </c>
      <c r="F548" s="4"/>
      <c r="G548" s="4" t="s">
        <v>461</v>
      </c>
      <c r="H548" s="4" t="s">
        <v>488</v>
      </c>
      <c r="I548" s="4" t="s">
        <v>2121</v>
      </c>
      <c r="J548" s="4" t="s">
        <v>455</v>
      </c>
      <c r="K548" s="4"/>
      <c r="L548" s="4"/>
    </row>
    <row r="549" spans="1:12" ht="14.25" hidden="1" customHeight="1" x14ac:dyDescent="0.35">
      <c r="A549" s="4" t="s">
        <v>2122</v>
      </c>
      <c r="B549" s="4" t="s">
        <v>451</v>
      </c>
      <c r="C549" s="18">
        <v>46062</v>
      </c>
      <c r="D549" s="4"/>
      <c r="E549" s="4">
        <v>0</v>
      </c>
      <c r="F549" s="4"/>
      <c r="G549" s="4" t="s">
        <v>841</v>
      </c>
      <c r="H549" s="4" t="s">
        <v>2123</v>
      </c>
      <c r="I549" s="4" t="s">
        <v>2124</v>
      </c>
      <c r="J549" s="4" t="s">
        <v>455</v>
      </c>
      <c r="K549" s="4"/>
      <c r="L549" s="4"/>
    </row>
    <row r="550" spans="1:12" ht="14.25" hidden="1" customHeight="1" x14ac:dyDescent="0.35">
      <c r="A550" s="4" t="s">
        <v>2125</v>
      </c>
      <c r="B550" s="4" t="s">
        <v>451</v>
      </c>
      <c r="C550" s="18">
        <v>46063</v>
      </c>
      <c r="D550" s="4"/>
      <c r="E550" s="4">
        <v>1</v>
      </c>
      <c r="F550" s="4" t="s">
        <v>2126</v>
      </c>
      <c r="G550" s="4" t="s">
        <v>461</v>
      </c>
      <c r="H550" s="4" t="s">
        <v>488</v>
      </c>
      <c r="I550" s="4" t="s">
        <v>2127</v>
      </c>
      <c r="J550" s="4" t="s">
        <v>455</v>
      </c>
      <c r="K550" s="4" t="s">
        <v>469</v>
      </c>
      <c r="L550" s="4" t="s">
        <v>470</v>
      </c>
    </row>
    <row r="551" spans="1:12" ht="14.25" customHeight="1" x14ac:dyDescent="0.35">
      <c r="A551" s="3" t="s">
        <v>2128</v>
      </c>
      <c r="B551" s="3" t="s">
        <v>451</v>
      </c>
      <c r="C551" s="19">
        <v>45839</v>
      </c>
      <c r="D551" s="19">
        <v>46023</v>
      </c>
      <c r="E551" s="3">
        <v>1</v>
      </c>
      <c r="F551" s="3" t="s">
        <v>669</v>
      </c>
      <c r="G551" s="3" t="s">
        <v>2129</v>
      </c>
      <c r="H551" s="3" t="s">
        <v>2130</v>
      </c>
      <c r="I551" s="3" t="s">
        <v>2131</v>
      </c>
      <c r="J551" s="3" t="s">
        <v>455</v>
      </c>
      <c r="K551" s="3" t="s">
        <v>1195</v>
      </c>
      <c r="L551" s="3" t="s">
        <v>1240</v>
      </c>
    </row>
    <row r="552" spans="1:12" ht="14.25" hidden="1" customHeight="1" x14ac:dyDescent="0.35">
      <c r="A552" s="4" t="s">
        <v>2132</v>
      </c>
      <c r="B552" s="4" t="s">
        <v>451</v>
      </c>
      <c r="C552" s="18">
        <v>46066</v>
      </c>
      <c r="D552" s="4"/>
      <c r="E552" s="4">
        <v>0</v>
      </c>
      <c r="F552" s="4"/>
      <c r="G552" s="4" t="s">
        <v>466</v>
      </c>
      <c r="H552" s="4" t="s">
        <v>2074</v>
      </c>
      <c r="I552" s="4" t="s">
        <v>2133</v>
      </c>
      <c r="J552" s="4" t="s">
        <v>455</v>
      </c>
      <c r="K552" s="4"/>
      <c r="L552" s="4"/>
    </row>
    <row r="553" spans="1:12" ht="14.25" hidden="1" customHeight="1" x14ac:dyDescent="0.35">
      <c r="A553" s="4" t="s">
        <v>2134</v>
      </c>
      <c r="B553" s="4" t="s">
        <v>451</v>
      </c>
      <c r="C553" s="18">
        <v>46066</v>
      </c>
      <c r="D553" s="4"/>
      <c r="E553" s="4">
        <v>0</v>
      </c>
      <c r="F553" s="4"/>
      <c r="G553" s="4" t="s">
        <v>466</v>
      </c>
      <c r="H553" s="4" t="s">
        <v>473</v>
      </c>
      <c r="I553" s="4" t="s">
        <v>2135</v>
      </c>
      <c r="J553" s="4" t="s">
        <v>455</v>
      </c>
      <c r="K553" s="4"/>
      <c r="L553" s="4"/>
    </row>
    <row r="554" spans="1:12" ht="14.25" hidden="1" customHeight="1" x14ac:dyDescent="0.35">
      <c r="A554" s="4" t="s">
        <v>2136</v>
      </c>
      <c r="B554" s="4" t="s">
        <v>451</v>
      </c>
      <c r="C554" s="18">
        <v>46066</v>
      </c>
      <c r="D554" s="4"/>
      <c r="E554" s="4">
        <v>0</v>
      </c>
      <c r="F554" s="4"/>
      <c r="G554" s="4" t="s">
        <v>466</v>
      </c>
      <c r="H554" s="4" t="s">
        <v>2074</v>
      </c>
      <c r="I554" s="4" t="s">
        <v>2137</v>
      </c>
      <c r="J554" s="4" t="s">
        <v>455</v>
      </c>
      <c r="K554" s="4"/>
      <c r="L554" s="4"/>
    </row>
    <row r="555" spans="1:12" ht="14.25" hidden="1" customHeight="1" x14ac:dyDescent="0.35">
      <c r="A555" s="4" t="s">
        <v>2138</v>
      </c>
      <c r="B555" s="4" t="s">
        <v>451</v>
      </c>
      <c r="C555" s="18">
        <v>46066</v>
      </c>
      <c r="D555" s="4"/>
      <c r="E555" s="4">
        <v>1</v>
      </c>
      <c r="F555" s="4" t="s">
        <v>2139</v>
      </c>
      <c r="G555" s="4" t="s">
        <v>466</v>
      </c>
      <c r="H555" s="4" t="s">
        <v>473</v>
      </c>
      <c r="I555" s="4" t="s">
        <v>2140</v>
      </c>
      <c r="J555" s="4" t="s">
        <v>455</v>
      </c>
      <c r="K555" s="4" t="s">
        <v>469</v>
      </c>
      <c r="L555" s="4" t="s">
        <v>470</v>
      </c>
    </row>
    <row r="556" spans="1:12" ht="14.25" hidden="1" customHeight="1" x14ac:dyDescent="0.35">
      <c r="A556" s="4" t="s">
        <v>2141</v>
      </c>
      <c r="B556" s="4" t="s">
        <v>451</v>
      </c>
      <c r="C556" s="18">
        <v>46071</v>
      </c>
      <c r="D556" s="4"/>
      <c r="E556" s="4">
        <v>0</v>
      </c>
      <c r="F556" s="4"/>
      <c r="G556" s="4" t="s">
        <v>2142</v>
      </c>
      <c r="H556" s="4" t="s">
        <v>2007</v>
      </c>
      <c r="I556" s="4" t="s">
        <v>2143</v>
      </c>
      <c r="J556" s="4" t="s">
        <v>455</v>
      </c>
      <c r="K556" s="4"/>
      <c r="L556" s="4"/>
    </row>
    <row r="557" spans="1:12" ht="14.25" hidden="1" customHeight="1" x14ac:dyDescent="0.35">
      <c r="A557" s="4" t="s">
        <v>2144</v>
      </c>
      <c r="B557" s="4" t="s">
        <v>451</v>
      </c>
      <c r="C557" s="18">
        <v>46071</v>
      </c>
      <c r="D557" s="4"/>
      <c r="E557" s="4">
        <v>0</v>
      </c>
      <c r="F557" s="4"/>
      <c r="G557" s="4" t="s">
        <v>2145</v>
      </c>
      <c r="H557" s="4" t="s">
        <v>2007</v>
      </c>
      <c r="I557" s="4" t="s">
        <v>2146</v>
      </c>
      <c r="J557" s="4" t="s">
        <v>455</v>
      </c>
      <c r="K557" s="4"/>
      <c r="L557" s="4"/>
    </row>
    <row r="558" spans="1:12" ht="14.25" hidden="1" customHeight="1" x14ac:dyDescent="0.35">
      <c r="A558" s="4" t="s">
        <v>2147</v>
      </c>
      <c r="B558" s="4" t="s">
        <v>451</v>
      </c>
      <c r="C558" s="18">
        <v>46071</v>
      </c>
      <c r="D558" s="4"/>
      <c r="E558" s="4">
        <v>0</v>
      </c>
      <c r="F558" s="4"/>
      <c r="G558" s="4" t="s">
        <v>466</v>
      </c>
      <c r="H558" s="4" t="s">
        <v>473</v>
      </c>
      <c r="I558" s="4" t="s">
        <v>2148</v>
      </c>
      <c r="J558" s="4" t="s">
        <v>455</v>
      </c>
      <c r="K558" s="4"/>
      <c r="L558" s="4"/>
    </row>
    <row r="559" spans="1:12" ht="14.25" hidden="1" customHeight="1" x14ac:dyDescent="0.35">
      <c r="A559" s="4" t="s">
        <v>2149</v>
      </c>
      <c r="B559" s="4" t="s">
        <v>451</v>
      </c>
      <c r="C559" s="18">
        <v>46071</v>
      </c>
      <c r="D559" s="4"/>
      <c r="E559" s="4">
        <v>0</v>
      </c>
      <c r="F559" s="4"/>
      <c r="G559" s="4" t="s">
        <v>2150</v>
      </c>
      <c r="H559" s="4" t="s">
        <v>2007</v>
      </c>
      <c r="I559" s="4" t="s">
        <v>2151</v>
      </c>
      <c r="J559" s="4" t="s">
        <v>455</v>
      </c>
      <c r="K559" s="4"/>
      <c r="L559" s="4"/>
    </row>
    <row r="560" spans="1:12" ht="14.25" hidden="1" customHeight="1" x14ac:dyDescent="0.35">
      <c r="A560" s="4" t="s">
        <v>2152</v>
      </c>
      <c r="B560" s="4" t="s">
        <v>451</v>
      </c>
      <c r="C560" s="18">
        <v>46072</v>
      </c>
      <c r="D560" s="4"/>
      <c r="E560" s="4">
        <v>0</v>
      </c>
      <c r="F560" s="4"/>
      <c r="G560" s="4" t="s">
        <v>2153</v>
      </c>
      <c r="H560" s="4" t="s">
        <v>2007</v>
      </c>
      <c r="I560" s="4" t="s">
        <v>2154</v>
      </c>
      <c r="J560" s="4" t="s">
        <v>455</v>
      </c>
      <c r="K560" s="4"/>
      <c r="L560" s="4"/>
    </row>
    <row r="561" spans="1:12" ht="14.25" hidden="1" customHeight="1" x14ac:dyDescent="0.35">
      <c r="A561" s="4" t="s">
        <v>2155</v>
      </c>
      <c r="B561" s="4" t="s">
        <v>451</v>
      </c>
      <c r="C561" s="18">
        <v>46072</v>
      </c>
      <c r="D561" s="4"/>
      <c r="E561" s="4">
        <v>0</v>
      </c>
      <c r="F561" s="4"/>
      <c r="G561" s="4" t="s">
        <v>2156</v>
      </c>
      <c r="H561" s="4" t="s">
        <v>2007</v>
      </c>
      <c r="I561" s="4" t="s">
        <v>2157</v>
      </c>
      <c r="J561" s="4" t="s">
        <v>455</v>
      </c>
      <c r="K561" s="4"/>
      <c r="L561" s="4"/>
    </row>
    <row r="562" spans="1:12" ht="14.25" hidden="1" customHeight="1" x14ac:dyDescent="0.35">
      <c r="A562" s="4" t="s">
        <v>2158</v>
      </c>
      <c r="B562" s="4" t="s">
        <v>451</v>
      </c>
      <c r="C562" s="18">
        <v>46076</v>
      </c>
      <c r="D562" s="4"/>
      <c r="E562" s="4">
        <v>0</v>
      </c>
      <c r="F562" s="4"/>
      <c r="G562" s="4" t="s">
        <v>2159</v>
      </c>
      <c r="H562" s="4" t="s">
        <v>1607</v>
      </c>
      <c r="I562" s="4" t="s">
        <v>2160</v>
      </c>
      <c r="J562" s="4" t="s">
        <v>455</v>
      </c>
      <c r="K562" s="4"/>
      <c r="L562" s="4"/>
    </row>
    <row r="563" spans="1:12" ht="14.25" hidden="1" customHeight="1" x14ac:dyDescent="0.35">
      <c r="A563" s="4" t="s">
        <v>2161</v>
      </c>
      <c r="B563" s="4" t="s">
        <v>451</v>
      </c>
      <c r="C563" s="18">
        <v>46076</v>
      </c>
      <c r="D563" s="4"/>
      <c r="E563" s="4">
        <v>1</v>
      </c>
      <c r="F563" s="4" t="s">
        <v>2162</v>
      </c>
      <c r="G563" s="4" t="s">
        <v>466</v>
      </c>
      <c r="H563" s="4" t="s">
        <v>2074</v>
      </c>
      <c r="I563" s="4" t="s">
        <v>2163</v>
      </c>
      <c r="J563" s="4" t="s">
        <v>455</v>
      </c>
      <c r="K563" s="4" t="s">
        <v>469</v>
      </c>
      <c r="L563" s="4" t="s">
        <v>470</v>
      </c>
    </row>
    <row r="564" spans="1:12" ht="14.25" hidden="1" customHeight="1" x14ac:dyDescent="0.35">
      <c r="A564" s="4" t="s">
        <v>2164</v>
      </c>
      <c r="B564" s="4" t="s">
        <v>500</v>
      </c>
      <c r="C564" s="18">
        <v>46076</v>
      </c>
      <c r="D564" s="18">
        <v>46076</v>
      </c>
      <c r="E564" s="4">
        <v>0</v>
      </c>
      <c r="F564" s="4"/>
      <c r="G564" s="4" t="s">
        <v>2165</v>
      </c>
      <c r="H564" s="4" t="s">
        <v>2166</v>
      </c>
      <c r="I564" s="4" t="s">
        <v>2167</v>
      </c>
      <c r="J564" s="4" t="s">
        <v>455</v>
      </c>
      <c r="K564" s="4"/>
      <c r="L564" s="4"/>
    </row>
    <row r="565" spans="1:12" ht="14.25" hidden="1" customHeight="1" x14ac:dyDescent="0.35">
      <c r="A565" s="4" t="s">
        <v>2168</v>
      </c>
      <c r="B565" s="4" t="s">
        <v>500</v>
      </c>
      <c r="C565" s="18">
        <v>46078</v>
      </c>
      <c r="D565" s="4"/>
      <c r="E565" s="4">
        <v>0</v>
      </c>
      <c r="F565" s="4"/>
      <c r="G565" s="4" t="s">
        <v>2169</v>
      </c>
      <c r="H565" s="4"/>
      <c r="I565" s="4" t="s">
        <v>2170</v>
      </c>
      <c r="J565" s="4" t="s">
        <v>455</v>
      </c>
      <c r="K565" s="4"/>
      <c r="L565" s="4"/>
    </row>
    <row r="566" spans="1:12" ht="14.25" hidden="1" customHeight="1" x14ac:dyDescent="0.35">
      <c r="A566" s="4" t="s">
        <v>2171</v>
      </c>
      <c r="B566" s="4" t="s">
        <v>451</v>
      </c>
      <c r="C566" s="18">
        <v>46079</v>
      </c>
      <c r="D566" s="4"/>
      <c r="E566" s="4">
        <v>1</v>
      </c>
      <c r="F566" s="4" t="s">
        <v>2172</v>
      </c>
      <c r="G566" s="4" t="s">
        <v>466</v>
      </c>
      <c r="H566" s="4" t="s">
        <v>473</v>
      </c>
      <c r="I566" s="4" t="s">
        <v>2173</v>
      </c>
      <c r="J566" s="4" t="s">
        <v>455</v>
      </c>
      <c r="K566" s="4" t="s">
        <v>469</v>
      </c>
      <c r="L566" s="4" t="s">
        <v>470</v>
      </c>
    </row>
    <row r="567" spans="1:12" ht="14.25" customHeight="1" x14ac:dyDescent="0.35">
      <c r="A567" s="3" t="s">
        <v>2174</v>
      </c>
      <c r="B567" s="3" t="s">
        <v>479</v>
      </c>
      <c r="C567" s="19">
        <v>46014</v>
      </c>
      <c r="D567" s="3"/>
      <c r="E567" s="3">
        <v>1</v>
      </c>
      <c r="F567" s="3" t="s">
        <v>2175</v>
      </c>
      <c r="G567" s="3" t="s">
        <v>2176</v>
      </c>
      <c r="H567" s="3" t="s">
        <v>2177</v>
      </c>
      <c r="I567" s="3" t="s">
        <v>2178</v>
      </c>
      <c r="J567" s="3" t="s">
        <v>455</v>
      </c>
      <c r="K567" s="3" t="s">
        <v>1195</v>
      </c>
      <c r="L567" s="3" t="s">
        <v>1196</v>
      </c>
    </row>
    <row r="568" spans="1:12" ht="14.25" hidden="1" customHeight="1" x14ac:dyDescent="0.35">
      <c r="A568" s="4" t="s">
        <v>2179</v>
      </c>
      <c r="B568" s="4" t="s">
        <v>451</v>
      </c>
      <c r="C568" s="18">
        <v>46080</v>
      </c>
      <c r="D568" s="18">
        <v>46080</v>
      </c>
      <c r="E568" s="4">
        <v>0</v>
      </c>
      <c r="F568" s="4"/>
      <c r="G568" s="4" t="s">
        <v>2180</v>
      </c>
      <c r="H568" s="4" t="s">
        <v>2181</v>
      </c>
      <c r="I568" s="4" t="s">
        <v>2182</v>
      </c>
      <c r="J568" s="4" t="s">
        <v>455</v>
      </c>
      <c r="K568" s="4"/>
      <c r="L568" s="4"/>
    </row>
    <row r="569" spans="1:12" ht="14.25" hidden="1" customHeight="1" x14ac:dyDescent="0.35">
      <c r="A569" s="4" t="s">
        <v>2183</v>
      </c>
      <c r="B569" s="4" t="s">
        <v>451</v>
      </c>
      <c r="C569" s="18">
        <v>46083</v>
      </c>
      <c r="D569" s="4"/>
      <c r="E569" s="4">
        <v>0</v>
      </c>
      <c r="F569" s="4"/>
      <c r="G569" s="4" t="s">
        <v>466</v>
      </c>
      <c r="H569" s="4" t="s">
        <v>473</v>
      </c>
      <c r="I569" s="4" t="s">
        <v>2184</v>
      </c>
      <c r="J569" s="4" t="s">
        <v>455</v>
      </c>
      <c r="K569" s="4"/>
      <c r="L569" s="4"/>
    </row>
    <row r="570" spans="1:12" ht="14.25" hidden="1" customHeight="1" x14ac:dyDescent="0.35">
      <c r="A570" s="4" t="s">
        <v>2185</v>
      </c>
      <c r="B570" s="4" t="s">
        <v>451</v>
      </c>
      <c r="C570" s="18">
        <v>46083</v>
      </c>
      <c r="D570" s="4"/>
      <c r="E570" s="4">
        <v>0</v>
      </c>
      <c r="F570" s="4"/>
      <c r="G570" s="4" t="s">
        <v>466</v>
      </c>
      <c r="H570" s="4" t="s">
        <v>473</v>
      </c>
      <c r="I570" s="4" t="s">
        <v>2186</v>
      </c>
      <c r="J570" s="4" t="s">
        <v>455</v>
      </c>
      <c r="K570" s="4"/>
      <c r="L570" s="4"/>
    </row>
    <row r="571" spans="1:12" ht="14.25" hidden="1" customHeight="1" x14ac:dyDescent="0.35">
      <c r="A571" s="4" t="s">
        <v>2187</v>
      </c>
      <c r="B571" s="4" t="s">
        <v>479</v>
      </c>
      <c r="C571" s="18">
        <v>46087</v>
      </c>
      <c r="D571" s="18">
        <v>46087</v>
      </c>
      <c r="E571" s="4">
        <v>0</v>
      </c>
      <c r="F571" s="4"/>
      <c r="G571" s="4" t="s">
        <v>2188</v>
      </c>
      <c r="H571" s="4" t="s">
        <v>2189</v>
      </c>
      <c r="I571" s="4" t="s">
        <v>2190</v>
      </c>
      <c r="J571" s="4" t="s">
        <v>455</v>
      </c>
      <c r="K571" s="4"/>
      <c r="L571" s="4"/>
    </row>
    <row r="572" spans="1:12" ht="14.25" hidden="1" customHeight="1" x14ac:dyDescent="0.35">
      <c r="A572" s="4" t="s">
        <v>2191</v>
      </c>
      <c r="B572" s="4" t="s">
        <v>451</v>
      </c>
      <c r="C572" s="18">
        <v>46090</v>
      </c>
      <c r="D572" s="4"/>
      <c r="E572" s="4">
        <v>0</v>
      </c>
      <c r="F572" s="4"/>
      <c r="G572" s="4" t="s">
        <v>466</v>
      </c>
      <c r="H572" s="4" t="s">
        <v>473</v>
      </c>
      <c r="I572" s="4" t="s">
        <v>2192</v>
      </c>
      <c r="J572" s="4" t="s">
        <v>455</v>
      </c>
      <c r="K572" s="4"/>
      <c r="L572" s="4"/>
    </row>
    <row r="573" spans="1:12" ht="14.25" hidden="1" customHeight="1" x14ac:dyDescent="0.35">
      <c r="A573" s="4" t="s">
        <v>2193</v>
      </c>
      <c r="B573" s="4" t="s">
        <v>451</v>
      </c>
      <c r="C573" s="18">
        <v>46090</v>
      </c>
      <c r="D573" s="4"/>
      <c r="E573" s="4">
        <v>0</v>
      </c>
      <c r="F573" s="4"/>
      <c r="G573" s="4" t="s">
        <v>2194</v>
      </c>
      <c r="H573" s="4" t="s">
        <v>2195</v>
      </c>
      <c r="I573" s="4" t="s">
        <v>2196</v>
      </c>
      <c r="J573" s="4" t="s">
        <v>455</v>
      </c>
      <c r="K573" s="4"/>
      <c r="L573" s="4"/>
    </row>
    <row r="574" spans="1:12" ht="14.25" hidden="1" customHeight="1" x14ac:dyDescent="0.35">
      <c r="A574" s="4" t="s">
        <v>2197</v>
      </c>
      <c r="B574" s="4" t="s">
        <v>451</v>
      </c>
      <c r="C574" s="18">
        <v>46091</v>
      </c>
      <c r="D574" s="4"/>
      <c r="E574" s="4">
        <v>1</v>
      </c>
      <c r="F574" s="4" t="s">
        <v>2198</v>
      </c>
      <c r="G574" s="4" t="s">
        <v>2199</v>
      </c>
      <c r="H574" s="4" t="s">
        <v>2200</v>
      </c>
      <c r="I574" s="4" t="s">
        <v>2201</v>
      </c>
      <c r="J574" s="4" t="s">
        <v>455</v>
      </c>
      <c r="K574" s="4" t="s">
        <v>469</v>
      </c>
      <c r="L574" s="4" t="s">
        <v>1604</v>
      </c>
    </row>
    <row r="575" spans="1:12" ht="14.25" hidden="1" customHeight="1" x14ac:dyDescent="0.35">
      <c r="A575" s="4" t="s">
        <v>2202</v>
      </c>
      <c r="B575" s="4" t="s">
        <v>451</v>
      </c>
      <c r="C575" s="18">
        <v>46091</v>
      </c>
      <c r="D575" s="4"/>
      <c r="E575" s="4">
        <v>0</v>
      </c>
      <c r="F575" s="4"/>
      <c r="G575" s="4" t="s">
        <v>2203</v>
      </c>
      <c r="H575" s="4" t="s">
        <v>2204</v>
      </c>
      <c r="I575" s="4" t="s">
        <v>2205</v>
      </c>
      <c r="J575" s="4" t="s">
        <v>455</v>
      </c>
      <c r="K575" s="4"/>
      <c r="L575" s="4"/>
    </row>
    <row r="576" spans="1:12" ht="14.25" hidden="1" customHeight="1" x14ac:dyDescent="0.35">
      <c r="A576" s="4" t="s">
        <v>2206</v>
      </c>
      <c r="B576" s="4" t="s">
        <v>451</v>
      </c>
      <c r="C576" s="18">
        <v>46091</v>
      </c>
      <c r="D576" s="4"/>
      <c r="E576" s="4">
        <v>1</v>
      </c>
      <c r="F576" s="4" t="s">
        <v>2207</v>
      </c>
      <c r="G576" s="4" t="s">
        <v>461</v>
      </c>
      <c r="H576" s="4" t="s">
        <v>488</v>
      </c>
      <c r="I576" s="4" t="s">
        <v>2208</v>
      </c>
      <c r="J576" s="4" t="s">
        <v>455</v>
      </c>
      <c r="K576" s="4" t="s">
        <v>469</v>
      </c>
      <c r="L576" s="4" t="s">
        <v>470</v>
      </c>
    </row>
    <row r="577" spans="1:12" ht="14.25" hidden="1" customHeight="1" x14ac:dyDescent="0.35">
      <c r="A577" s="4" t="s">
        <v>2209</v>
      </c>
      <c r="B577" s="4" t="s">
        <v>451</v>
      </c>
      <c r="C577" s="18">
        <v>46092</v>
      </c>
      <c r="D577" s="4"/>
      <c r="E577" s="4">
        <v>0</v>
      </c>
      <c r="F577" s="4"/>
      <c r="G577" s="4" t="s">
        <v>461</v>
      </c>
      <c r="H577" s="4" t="s">
        <v>488</v>
      </c>
      <c r="I577" s="4" t="s">
        <v>2210</v>
      </c>
      <c r="J577" s="4" t="s">
        <v>455</v>
      </c>
      <c r="K577" s="4"/>
      <c r="L577" s="4"/>
    </row>
    <row r="578" spans="1:12" ht="14.25" hidden="1" customHeight="1" x14ac:dyDescent="0.35">
      <c r="A578" s="4" t="s">
        <v>2211</v>
      </c>
      <c r="B578" s="4" t="s">
        <v>500</v>
      </c>
      <c r="C578" s="18">
        <v>46093</v>
      </c>
      <c r="D578" s="18">
        <v>46093</v>
      </c>
      <c r="E578" s="4">
        <v>1</v>
      </c>
      <c r="F578" s="4" t="s">
        <v>2212</v>
      </c>
      <c r="G578" s="4" t="s">
        <v>1802</v>
      </c>
      <c r="H578" s="4" t="s">
        <v>2213</v>
      </c>
      <c r="I578" s="4" t="s">
        <v>2214</v>
      </c>
      <c r="J578" s="4" t="s">
        <v>455</v>
      </c>
      <c r="K578" s="4" t="s">
        <v>469</v>
      </c>
      <c r="L578" s="4" t="s">
        <v>550</v>
      </c>
    </row>
    <row r="579" spans="1:12" ht="14.25" hidden="1" customHeight="1" x14ac:dyDescent="0.35">
      <c r="A579" s="4" t="s">
        <v>2215</v>
      </c>
      <c r="B579" s="4" t="s">
        <v>451</v>
      </c>
      <c r="C579" s="18">
        <v>46098</v>
      </c>
      <c r="D579" s="4"/>
      <c r="E579" s="4">
        <v>0</v>
      </c>
      <c r="F579" s="4"/>
      <c r="G579" s="4" t="s">
        <v>461</v>
      </c>
      <c r="H579" s="4" t="s">
        <v>488</v>
      </c>
      <c r="I579" s="4" t="s">
        <v>2216</v>
      </c>
      <c r="J579" s="4" t="s">
        <v>455</v>
      </c>
      <c r="K579" s="4"/>
      <c r="L579" s="4"/>
    </row>
    <row r="580" spans="1:12" ht="14.25" hidden="1" customHeight="1" x14ac:dyDescent="0.35">
      <c r="A580" s="4" t="s">
        <v>2217</v>
      </c>
      <c r="B580" s="4" t="s">
        <v>451</v>
      </c>
      <c r="C580" s="18">
        <v>46098</v>
      </c>
      <c r="D580" s="4"/>
      <c r="E580" s="4">
        <v>0</v>
      </c>
      <c r="F580" s="4"/>
      <c r="G580" s="4" t="s">
        <v>466</v>
      </c>
      <c r="H580" s="4" t="s">
        <v>473</v>
      </c>
      <c r="I580" s="4" t="s">
        <v>2218</v>
      </c>
      <c r="J580" s="4" t="s">
        <v>455</v>
      </c>
      <c r="K580" s="4"/>
      <c r="L580" s="4"/>
    </row>
    <row r="581" spans="1:12" ht="14.25" hidden="1" customHeight="1" x14ac:dyDescent="0.35">
      <c r="A581" s="4" t="s">
        <v>2219</v>
      </c>
      <c r="B581" s="4" t="s">
        <v>451</v>
      </c>
      <c r="C581" s="18">
        <v>46099</v>
      </c>
      <c r="D581" s="4"/>
      <c r="E581" s="4">
        <v>1</v>
      </c>
      <c r="F581" s="4" t="s">
        <v>2220</v>
      </c>
      <c r="G581" s="4" t="s">
        <v>461</v>
      </c>
      <c r="H581" s="4" t="s">
        <v>488</v>
      </c>
      <c r="I581" s="4" t="s">
        <v>2221</v>
      </c>
      <c r="J581" s="4" t="s">
        <v>455</v>
      </c>
      <c r="K581" s="4" t="s">
        <v>469</v>
      </c>
      <c r="L581" s="4" t="s">
        <v>470</v>
      </c>
    </row>
    <row r="582" spans="1:12" ht="14.25" hidden="1" customHeight="1" x14ac:dyDescent="0.35">
      <c r="A582" s="4" t="s">
        <v>2222</v>
      </c>
      <c r="B582" s="4" t="s">
        <v>451</v>
      </c>
      <c r="C582" s="18">
        <v>46099</v>
      </c>
      <c r="D582" s="4"/>
      <c r="E582" s="4">
        <v>0</v>
      </c>
      <c r="F582" s="4"/>
      <c r="G582" s="4" t="s">
        <v>466</v>
      </c>
      <c r="H582" s="4" t="s">
        <v>473</v>
      </c>
      <c r="I582" s="4" t="s">
        <v>2223</v>
      </c>
      <c r="J582" s="4" t="s">
        <v>455</v>
      </c>
      <c r="K582" s="4"/>
      <c r="L582" s="4"/>
    </row>
    <row r="583" spans="1:12" ht="14.25" hidden="1" customHeight="1" x14ac:dyDescent="0.35">
      <c r="A583" s="4" t="s">
        <v>2224</v>
      </c>
      <c r="B583" s="4" t="s">
        <v>451</v>
      </c>
      <c r="C583" s="18">
        <v>46106</v>
      </c>
      <c r="D583" s="4"/>
      <c r="E583" s="4">
        <v>1</v>
      </c>
      <c r="F583" s="4" t="s">
        <v>484</v>
      </c>
      <c r="G583" s="4" t="s">
        <v>466</v>
      </c>
      <c r="H583" s="4" t="s">
        <v>473</v>
      </c>
      <c r="I583" s="4" t="s">
        <v>2225</v>
      </c>
      <c r="J583" s="4" t="s">
        <v>455</v>
      </c>
      <c r="K583" s="4" t="s">
        <v>469</v>
      </c>
      <c r="L583" s="4" t="s">
        <v>470</v>
      </c>
    </row>
    <row r="584" spans="1:12" ht="14.25" hidden="1" customHeight="1" x14ac:dyDescent="0.35">
      <c r="A584" s="4" t="s">
        <v>2226</v>
      </c>
      <c r="B584" s="4" t="s">
        <v>451</v>
      </c>
      <c r="C584" s="18">
        <v>46107</v>
      </c>
      <c r="D584" s="4"/>
      <c r="E584" s="4">
        <v>0</v>
      </c>
      <c r="F584" s="4"/>
      <c r="G584" s="4" t="s">
        <v>466</v>
      </c>
      <c r="H584" s="4" t="s">
        <v>473</v>
      </c>
      <c r="I584" s="4" t="s">
        <v>2227</v>
      </c>
      <c r="J584" s="4" t="s">
        <v>455</v>
      </c>
      <c r="K584" s="4"/>
      <c r="L584" s="4"/>
    </row>
    <row r="585" spans="1:12" ht="14.25" hidden="1" customHeight="1" x14ac:dyDescent="0.35">
      <c r="A585" s="4" t="s">
        <v>2228</v>
      </c>
      <c r="B585" s="4" t="s">
        <v>451</v>
      </c>
      <c r="C585" s="18">
        <v>46108</v>
      </c>
      <c r="D585" s="4"/>
      <c r="E585" s="4">
        <v>0</v>
      </c>
      <c r="F585" s="4"/>
      <c r="G585" s="4" t="s">
        <v>461</v>
      </c>
      <c r="H585" s="4" t="s">
        <v>488</v>
      </c>
      <c r="I585" s="4" t="s">
        <v>2229</v>
      </c>
      <c r="J585" s="4" t="s">
        <v>455</v>
      </c>
      <c r="K585" s="4"/>
      <c r="L585" s="4"/>
    </row>
    <row r="586" spans="1:12" ht="14.25" hidden="1" customHeight="1" x14ac:dyDescent="0.35">
      <c r="A586" s="4" t="s">
        <v>2230</v>
      </c>
      <c r="B586" s="4" t="s">
        <v>451</v>
      </c>
      <c r="C586" s="18">
        <v>46112</v>
      </c>
      <c r="D586" s="4"/>
      <c r="E586" s="4">
        <v>0</v>
      </c>
      <c r="F586" s="4"/>
      <c r="G586" s="4" t="s">
        <v>461</v>
      </c>
      <c r="H586" s="4" t="s">
        <v>488</v>
      </c>
      <c r="I586" s="4" t="s">
        <v>2231</v>
      </c>
      <c r="J586" s="4" t="s">
        <v>455</v>
      </c>
      <c r="K586" s="4"/>
      <c r="L586" s="4"/>
    </row>
    <row r="587" spans="1:12" ht="14.25" hidden="1" customHeight="1" x14ac:dyDescent="0.35">
      <c r="A587" s="4" t="s">
        <v>2232</v>
      </c>
      <c r="B587" s="4" t="s">
        <v>451</v>
      </c>
      <c r="C587" s="18">
        <v>46115</v>
      </c>
      <c r="D587" s="4"/>
      <c r="E587" s="4">
        <v>0</v>
      </c>
      <c r="F587" s="4"/>
      <c r="G587" s="4" t="s">
        <v>2233</v>
      </c>
      <c r="H587" s="4" t="s">
        <v>2234</v>
      </c>
      <c r="I587" s="4" t="s">
        <v>2235</v>
      </c>
      <c r="J587" s="4" t="s">
        <v>455</v>
      </c>
      <c r="K587" s="4"/>
      <c r="L587" s="4"/>
    </row>
    <row r="588" spans="1:12" ht="14.25" hidden="1" customHeight="1" x14ac:dyDescent="0.35">
      <c r="A588" s="4" t="s">
        <v>2236</v>
      </c>
      <c r="B588" s="4" t="s">
        <v>451</v>
      </c>
      <c r="C588" s="18">
        <v>46115</v>
      </c>
      <c r="D588" s="4"/>
      <c r="E588" s="4">
        <v>0</v>
      </c>
      <c r="F588" s="4"/>
      <c r="G588" s="4" t="s">
        <v>2237</v>
      </c>
      <c r="H588" s="4" t="s">
        <v>2238</v>
      </c>
      <c r="I588" s="4" t="s">
        <v>2239</v>
      </c>
      <c r="J588" s="4" t="s">
        <v>455</v>
      </c>
      <c r="K588" s="4"/>
      <c r="L588" s="4"/>
    </row>
    <row r="589" spans="1:12" ht="14.25" hidden="1" customHeight="1" x14ac:dyDescent="0.35">
      <c r="A589" s="4" t="s">
        <v>2240</v>
      </c>
      <c r="B589" s="4" t="s">
        <v>451</v>
      </c>
      <c r="C589" s="18">
        <v>46115</v>
      </c>
      <c r="D589" s="4"/>
      <c r="E589" s="4">
        <v>0</v>
      </c>
      <c r="F589" s="4"/>
      <c r="G589" s="4" t="s">
        <v>2241</v>
      </c>
      <c r="H589" s="4" t="s">
        <v>2242</v>
      </c>
      <c r="I589" s="4" t="s">
        <v>2243</v>
      </c>
      <c r="J589" s="4" t="s">
        <v>455</v>
      </c>
      <c r="K589" s="4"/>
      <c r="L589" s="4"/>
    </row>
    <row r="590" spans="1:12" ht="14.25" hidden="1" customHeight="1" x14ac:dyDescent="0.35">
      <c r="A590" s="4" t="s">
        <v>2244</v>
      </c>
      <c r="B590" s="4" t="s">
        <v>451</v>
      </c>
      <c r="C590" s="18">
        <v>46118</v>
      </c>
      <c r="D590" s="4"/>
      <c r="E590" s="4">
        <v>0</v>
      </c>
      <c r="F590" s="4"/>
      <c r="G590" s="4" t="s">
        <v>466</v>
      </c>
      <c r="H590" s="4" t="s">
        <v>473</v>
      </c>
      <c r="I590" s="4" t="s">
        <v>2245</v>
      </c>
      <c r="J590" s="4" t="s">
        <v>455</v>
      </c>
      <c r="K590" s="4"/>
      <c r="L590" s="4"/>
    </row>
    <row r="591" spans="1:12" ht="14.25" hidden="1" customHeight="1" x14ac:dyDescent="0.35">
      <c r="A591" s="4" t="s">
        <v>2246</v>
      </c>
      <c r="B591" s="4" t="s">
        <v>451</v>
      </c>
      <c r="C591" s="18">
        <v>46118</v>
      </c>
      <c r="D591" s="4"/>
      <c r="E591" s="4">
        <v>0</v>
      </c>
      <c r="F591" s="4"/>
      <c r="G591" s="4" t="s">
        <v>461</v>
      </c>
      <c r="H591" s="4" t="s">
        <v>488</v>
      </c>
      <c r="I591" s="4" t="s">
        <v>2247</v>
      </c>
      <c r="J591" s="4" t="s">
        <v>455</v>
      </c>
      <c r="K591" s="4"/>
      <c r="L591" s="4"/>
    </row>
    <row r="592" spans="1:12" ht="14.25" customHeight="1" x14ac:dyDescent="0.35">
      <c r="A592" s="3" t="s">
        <v>2248</v>
      </c>
      <c r="B592" s="3" t="s">
        <v>479</v>
      </c>
      <c r="C592" s="19">
        <v>46014</v>
      </c>
      <c r="D592" s="3"/>
      <c r="E592" s="3">
        <v>1</v>
      </c>
      <c r="F592" s="3" t="s">
        <v>2249</v>
      </c>
      <c r="G592" s="3" t="s">
        <v>2250</v>
      </c>
      <c r="H592" s="3" t="s">
        <v>2251</v>
      </c>
      <c r="I592" s="3" t="s">
        <v>2252</v>
      </c>
      <c r="J592" s="3" t="s">
        <v>455</v>
      </c>
      <c r="K592" s="3" t="s">
        <v>1195</v>
      </c>
      <c r="L592" s="3" t="s">
        <v>2253</v>
      </c>
    </row>
    <row r="593" spans="1:12" ht="14.25" hidden="1" customHeight="1" x14ac:dyDescent="0.35">
      <c r="A593" s="4" t="s">
        <v>2254</v>
      </c>
      <c r="B593" s="4" t="s">
        <v>479</v>
      </c>
      <c r="C593" s="18">
        <v>46118</v>
      </c>
      <c r="D593" s="4"/>
      <c r="E593" s="4">
        <v>1</v>
      </c>
      <c r="F593" s="4" t="s">
        <v>2255</v>
      </c>
      <c r="G593" s="4" t="s">
        <v>2256</v>
      </c>
      <c r="H593" s="4" t="s">
        <v>2257</v>
      </c>
      <c r="I593" s="4" t="s">
        <v>2258</v>
      </c>
      <c r="J593" s="4" t="s">
        <v>455</v>
      </c>
      <c r="K593" s="4" t="s">
        <v>469</v>
      </c>
      <c r="L593" s="4" t="s">
        <v>550</v>
      </c>
    </row>
    <row r="594" spans="1:12" ht="14.25" hidden="1" customHeight="1" x14ac:dyDescent="0.35">
      <c r="A594" s="4" t="s">
        <v>2259</v>
      </c>
      <c r="B594" s="4" t="s">
        <v>451</v>
      </c>
      <c r="C594" s="18">
        <v>46118</v>
      </c>
      <c r="D594" s="18">
        <v>46118</v>
      </c>
      <c r="E594" s="4">
        <v>0</v>
      </c>
      <c r="F594" s="4"/>
      <c r="G594" s="4" t="s">
        <v>2260</v>
      </c>
      <c r="H594" s="4" t="s">
        <v>2261</v>
      </c>
      <c r="I594" s="4" t="s">
        <v>2262</v>
      </c>
      <c r="J594" s="4" t="s">
        <v>455</v>
      </c>
      <c r="K594" s="4"/>
      <c r="L594" s="4"/>
    </row>
    <row r="595" spans="1:12" ht="14.25" hidden="1" customHeight="1" x14ac:dyDescent="0.35">
      <c r="A595" s="4" t="s">
        <v>2263</v>
      </c>
      <c r="B595" s="4" t="s">
        <v>451</v>
      </c>
      <c r="C595" s="18">
        <v>46118</v>
      </c>
      <c r="D595" s="18">
        <v>46118</v>
      </c>
      <c r="E595" s="4">
        <v>0</v>
      </c>
      <c r="F595" s="4"/>
      <c r="G595" s="4" t="s">
        <v>2264</v>
      </c>
      <c r="H595" s="4" t="s">
        <v>2265</v>
      </c>
      <c r="I595" s="4" t="s">
        <v>2266</v>
      </c>
      <c r="J595" s="4" t="s">
        <v>455</v>
      </c>
      <c r="K595" s="4"/>
      <c r="L595" s="4"/>
    </row>
    <row r="596" spans="1:12" ht="14.25" hidden="1" customHeight="1" x14ac:dyDescent="0.35">
      <c r="A596" s="4" t="s">
        <v>2267</v>
      </c>
      <c r="B596" s="4" t="s">
        <v>451</v>
      </c>
      <c r="C596" s="18">
        <v>46118</v>
      </c>
      <c r="D596" s="4"/>
      <c r="E596" s="4">
        <v>1</v>
      </c>
      <c r="F596" s="4" t="s">
        <v>659</v>
      </c>
      <c r="G596" s="4" t="s">
        <v>2268</v>
      </c>
      <c r="H596" s="4" t="s">
        <v>2269</v>
      </c>
      <c r="I596" s="4" t="s">
        <v>2270</v>
      </c>
      <c r="J596" s="4" t="s">
        <v>455</v>
      </c>
      <c r="K596" s="4" t="s">
        <v>469</v>
      </c>
      <c r="L596" s="4" t="s">
        <v>2271</v>
      </c>
    </row>
    <row r="597" spans="1:12" ht="14.25" hidden="1" customHeight="1" x14ac:dyDescent="0.35">
      <c r="A597" s="4" t="s">
        <v>2272</v>
      </c>
      <c r="B597" s="4" t="s">
        <v>479</v>
      </c>
      <c r="C597" s="18">
        <v>46118</v>
      </c>
      <c r="D597" s="4"/>
      <c r="E597" s="4">
        <v>0</v>
      </c>
      <c r="F597" s="4"/>
      <c r="G597" s="4" t="s">
        <v>2273</v>
      </c>
      <c r="H597" s="4" t="s">
        <v>2274</v>
      </c>
      <c r="I597" s="4" t="s">
        <v>2275</v>
      </c>
      <c r="J597" s="4" t="s">
        <v>455</v>
      </c>
      <c r="K597" s="4"/>
      <c r="L597" s="4"/>
    </row>
    <row r="598" spans="1:12" ht="14.25" hidden="1" customHeight="1" x14ac:dyDescent="0.35">
      <c r="A598" s="4" t="s">
        <v>2276</v>
      </c>
      <c r="B598" s="4" t="s">
        <v>479</v>
      </c>
      <c r="C598" s="18">
        <v>46119</v>
      </c>
      <c r="D598" s="4"/>
      <c r="E598" s="4">
        <v>1</v>
      </c>
      <c r="F598" s="4" t="s">
        <v>2277</v>
      </c>
      <c r="G598" s="4" t="s">
        <v>2278</v>
      </c>
      <c r="H598" s="4" t="s">
        <v>2279</v>
      </c>
      <c r="I598" s="4" t="s">
        <v>2280</v>
      </c>
      <c r="J598" s="4" t="s">
        <v>455</v>
      </c>
      <c r="K598" s="4" t="s">
        <v>469</v>
      </c>
      <c r="L598" s="4" t="s">
        <v>550</v>
      </c>
    </row>
    <row r="599" spans="1:12" ht="14.25" hidden="1" customHeight="1" x14ac:dyDescent="0.35">
      <c r="A599" s="4" t="s">
        <v>2281</v>
      </c>
      <c r="B599" s="4" t="s">
        <v>479</v>
      </c>
      <c r="C599" s="18">
        <v>46119</v>
      </c>
      <c r="D599" s="4"/>
      <c r="E599" s="4">
        <v>1</v>
      </c>
      <c r="F599" s="4" t="s">
        <v>567</v>
      </c>
      <c r="G599" s="4" t="s">
        <v>2282</v>
      </c>
      <c r="H599" s="4" t="s">
        <v>2283</v>
      </c>
      <c r="I599" s="4" t="s">
        <v>2284</v>
      </c>
      <c r="J599" s="4" t="s">
        <v>455</v>
      </c>
      <c r="K599" s="4" t="s">
        <v>469</v>
      </c>
      <c r="L599" s="4" t="s">
        <v>550</v>
      </c>
    </row>
    <row r="600" spans="1:12" ht="14.25" hidden="1" customHeight="1" x14ac:dyDescent="0.35">
      <c r="A600" s="4" t="s">
        <v>2285</v>
      </c>
      <c r="B600" s="4" t="s">
        <v>451</v>
      </c>
      <c r="C600" s="18">
        <v>46119</v>
      </c>
      <c r="D600" s="4"/>
      <c r="E600" s="4">
        <v>0</v>
      </c>
      <c r="F600" s="4"/>
      <c r="G600" s="4" t="s">
        <v>466</v>
      </c>
      <c r="H600" s="4" t="s">
        <v>473</v>
      </c>
      <c r="I600" s="4" t="s">
        <v>2286</v>
      </c>
      <c r="J600" s="4" t="s">
        <v>455</v>
      </c>
      <c r="K600" s="4"/>
      <c r="L600" s="4"/>
    </row>
    <row r="601" spans="1:12" ht="14.25" hidden="1" customHeight="1" x14ac:dyDescent="0.35">
      <c r="A601" s="4" t="s">
        <v>2287</v>
      </c>
      <c r="B601" s="4" t="s">
        <v>451</v>
      </c>
      <c r="C601" s="18">
        <v>46121</v>
      </c>
      <c r="D601" s="4"/>
      <c r="E601" s="4">
        <v>0</v>
      </c>
      <c r="F601" s="4"/>
      <c r="G601" s="4" t="s">
        <v>2288</v>
      </c>
      <c r="H601" s="4" t="s">
        <v>2289</v>
      </c>
      <c r="I601" s="4" t="s">
        <v>2290</v>
      </c>
      <c r="J601" s="4" t="s">
        <v>455</v>
      </c>
      <c r="K601" s="4"/>
      <c r="L601" s="4"/>
    </row>
    <row r="602" spans="1:12" ht="14.25" hidden="1" customHeight="1" x14ac:dyDescent="0.35">
      <c r="A602" s="4" t="s">
        <v>2291</v>
      </c>
      <c r="B602" s="4" t="s">
        <v>451</v>
      </c>
      <c r="C602" s="18">
        <v>46122</v>
      </c>
      <c r="D602" s="4"/>
      <c r="E602" s="4">
        <v>0</v>
      </c>
      <c r="F602" s="4"/>
      <c r="G602" s="4" t="s">
        <v>461</v>
      </c>
      <c r="H602" s="4" t="s">
        <v>488</v>
      </c>
      <c r="I602" s="4" t="s">
        <v>2292</v>
      </c>
      <c r="J602" s="4" t="s">
        <v>455</v>
      </c>
      <c r="K602" s="4"/>
      <c r="L602" s="4"/>
    </row>
    <row r="603" spans="1:12" ht="14.25" hidden="1" customHeight="1" x14ac:dyDescent="0.35">
      <c r="A603" s="4" t="s">
        <v>2293</v>
      </c>
      <c r="B603" s="4" t="s">
        <v>451</v>
      </c>
      <c r="C603" s="18">
        <v>46122</v>
      </c>
      <c r="D603" s="4"/>
      <c r="E603" s="4">
        <v>0</v>
      </c>
      <c r="F603" s="4"/>
      <c r="G603" s="4" t="s">
        <v>461</v>
      </c>
      <c r="H603" s="4" t="s">
        <v>488</v>
      </c>
      <c r="I603" s="4" t="s">
        <v>2294</v>
      </c>
      <c r="J603" s="4" t="s">
        <v>455</v>
      </c>
      <c r="K603" s="4"/>
      <c r="L603" s="4"/>
    </row>
    <row r="604" spans="1:12" ht="14.25" hidden="1" customHeight="1" x14ac:dyDescent="0.35">
      <c r="A604" s="4" t="s">
        <v>2295</v>
      </c>
      <c r="B604" s="4" t="s">
        <v>479</v>
      </c>
      <c r="C604" s="18">
        <v>46126</v>
      </c>
      <c r="D604" s="4"/>
      <c r="E604" s="4">
        <v>1</v>
      </c>
      <c r="F604" s="4" t="s">
        <v>2296</v>
      </c>
      <c r="G604" s="4" t="s">
        <v>2297</v>
      </c>
      <c r="H604" s="4" t="s">
        <v>1551</v>
      </c>
      <c r="I604" s="4" t="s">
        <v>2298</v>
      </c>
      <c r="J604" s="4" t="s">
        <v>455</v>
      </c>
      <c r="K604" s="4" t="s">
        <v>469</v>
      </c>
      <c r="L604" s="4" t="s">
        <v>550</v>
      </c>
    </row>
    <row r="605" spans="1:12" ht="14.25" customHeight="1" x14ac:dyDescent="0.35">
      <c r="A605" s="3" t="s">
        <v>2299</v>
      </c>
      <c r="B605" s="3" t="s">
        <v>500</v>
      </c>
      <c r="C605" s="19">
        <v>46055</v>
      </c>
      <c r="D605" s="19">
        <v>46115</v>
      </c>
      <c r="E605" s="3">
        <v>1</v>
      </c>
      <c r="F605" s="3" t="s">
        <v>876</v>
      </c>
      <c r="G605" s="3" t="s">
        <v>2300</v>
      </c>
      <c r="H605" s="3" t="s">
        <v>2301</v>
      </c>
      <c r="I605" s="3" t="s">
        <v>2302</v>
      </c>
      <c r="J605" s="3" t="s">
        <v>455</v>
      </c>
      <c r="K605" s="3" t="s">
        <v>1195</v>
      </c>
      <c r="L605" s="3" t="s">
        <v>1336</v>
      </c>
    </row>
    <row r="606" spans="1:12" ht="14.25" hidden="1" customHeight="1" x14ac:dyDescent="0.35">
      <c r="A606" s="4" t="s">
        <v>2303</v>
      </c>
      <c r="B606" s="4" t="s">
        <v>451</v>
      </c>
      <c r="C606" s="18">
        <v>46126</v>
      </c>
      <c r="D606" s="4"/>
      <c r="E606" s="4">
        <v>0</v>
      </c>
      <c r="F606" s="4"/>
      <c r="G606" s="4" t="s">
        <v>2304</v>
      </c>
      <c r="H606" s="4" t="s">
        <v>2305</v>
      </c>
      <c r="I606" s="4" t="s">
        <v>2306</v>
      </c>
      <c r="J606" s="4" t="s">
        <v>455</v>
      </c>
      <c r="K606" s="4"/>
      <c r="L606" s="4"/>
    </row>
    <row r="607" spans="1:12" ht="14.25" hidden="1" customHeight="1" x14ac:dyDescent="0.35">
      <c r="A607" s="4" t="s">
        <v>2307</v>
      </c>
      <c r="B607" s="4" t="s">
        <v>451</v>
      </c>
      <c r="C607" s="18">
        <v>46128</v>
      </c>
      <c r="D607" s="4"/>
      <c r="E607" s="4">
        <v>0</v>
      </c>
      <c r="F607" s="4"/>
      <c r="G607" s="4" t="s">
        <v>466</v>
      </c>
      <c r="H607" s="4" t="s">
        <v>473</v>
      </c>
      <c r="I607" s="4" t="s">
        <v>2308</v>
      </c>
      <c r="J607" s="4" t="s">
        <v>455</v>
      </c>
      <c r="K607" s="4"/>
      <c r="L607" s="4"/>
    </row>
    <row r="608" spans="1:12" ht="14.25" hidden="1" customHeight="1" x14ac:dyDescent="0.35">
      <c r="A608" s="4" t="s">
        <v>2309</v>
      </c>
      <c r="B608" s="4" t="s">
        <v>451</v>
      </c>
      <c r="C608" s="18">
        <v>46128</v>
      </c>
      <c r="D608" s="4"/>
      <c r="E608" s="4">
        <v>0</v>
      </c>
      <c r="F608" s="4"/>
      <c r="G608" s="4" t="s">
        <v>457</v>
      </c>
      <c r="H608" s="4" t="s">
        <v>458</v>
      </c>
      <c r="I608" s="4" t="s">
        <v>2310</v>
      </c>
      <c r="J608" s="4" t="s">
        <v>455</v>
      </c>
      <c r="K608" s="4"/>
      <c r="L608" s="4"/>
    </row>
    <row r="609" spans="1:12" ht="14.25" hidden="1" customHeight="1" x14ac:dyDescent="0.35">
      <c r="A609" s="4" t="s">
        <v>2311</v>
      </c>
      <c r="B609" s="4" t="s">
        <v>479</v>
      </c>
      <c r="C609" s="18">
        <v>46128</v>
      </c>
      <c r="D609" s="4"/>
      <c r="E609" s="4">
        <v>0</v>
      </c>
      <c r="F609" s="4"/>
      <c r="G609" s="4" t="s">
        <v>2312</v>
      </c>
      <c r="H609" s="4" t="s">
        <v>2313</v>
      </c>
      <c r="I609" s="4" t="s">
        <v>2314</v>
      </c>
      <c r="J609" s="4" t="s">
        <v>455</v>
      </c>
      <c r="K609" s="4"/>
      <c r="L609" s="4"/>
    </row>
    <row r="610" spans="1:12" ht="14.25" hidden="1" customHeight="1" x14ac:dyDescent="0.35">
      <c r="A610" s="4" t="s">
        <v>2315</v>
      </c>
      <c r="B610" s="4" t="s">
        <v>451</v>
      </c>
      <c r="C610" s="18">
        <v>46132</v>
      </c>
      <c r="D610" s="4"/>
      <c r="E610" s="4">
        <v>0</v>
      </c>
      <c r="F610" s="4"/>
      <c r="G610" s="4" t="s">
        <v>461</v>
      </c>
      <c r="H610" s="4" t="s">
        <v>488</v>
      </c>
      <c r="I610" s="4" t="s">
        <v>2316</v>
      </c>
      <c r="J610" s="4" t="s">
        <v>455</v>
      </c>
      <c r="K610" s="4"/>
      <c r="L610" s="4"/>
    </row>
    <row r="611" spans="1:12" ht="14.25" hidden="1" customHeight="1" x14ac:dyDescent="0.35">
      <c r="A611" s="4" t="s">
        <v>2317</v>
      </c>
      <c r="B611" s="4" t="s">
        <v>451</v>
      </c>
      <c r="C611" s="18">
        <v>46132</v>
      </c>
      <c r="D611" s="4"/>
      <c r="E611" s="4">
        <v>0</v>
      </c>
      <c r="F611" s="4"/>
      <c r="G611" s="4" t="s">
        <v>466</v>
      </c>
      <c r="H611" s="4" t="s">
        <v>473</v>
      </c>
      <c r="I611" s="4" t="s">
        <v>2318</v>
      </c>
      <c r="J611" s="4" t="s">
        <v>455</v>
      </c>
      <c r="K611" s="4"/>
      <c r="L611" s="4"/>
    </row>
    <row r="612" spans="1:12" ht="14.25" hidden="1" customHeight="1" x14ac:dyDescent="0.35">
      <c r="A612" s="4" t="s">
        <v>2319</v>
      </c>
      <c r="B612" s="4" t="s">
        <v>451</v>
      </c>
      <c r="C612" s="18">
        <v>46134</v>
      </c>
      <c r="D612" s="4"/>
      <c r="E612" s="4">
        <v>0</v>
      </c>
      <c r="F612" s="4"/>
      <c r="G612" s="4" t="s">
        <v>457</v>
      </c>
      <c r="H612" s="4" t="s">
        <v>458</v>
      </c>
      <c r="I612" s="4" t="s">
        <v>2320</v>
      </c>
      <c r="J612" s="4" t="s">
        <v>455</v>
      </c>
      <c r="K612" s="4"/>
      <c r="L612" s="4"/>
    </row>
    <row r="613" spans="1:12" ht="14.25" hidden="1" customHeight="1" x14ac:dyDescent="0.35">
      <c r="A613" s="4" t="s">
        <v>2321</v>
      </c>
      <c r="B613" s="4" t="s">
        <v>451</v>
      </c>
      <c r="C613" s="18">
        <v>46134</v>
      </c>
      <c r="D613" s="4"/>
      <c r="E613" s="4">
        <v>0</v>
      </c>
      <c r="F613" s="4"/>
      <c r="G613" s="4" t="s">
        <v>457</v>
      </c>
      <c r="H613" s="4" t="s">
        <v>458</v>
      </c>
      <c r="I613" s="4" t="s">
        <v>2322</v>
      </c>
      <c r="J613" s="4" t="s">
        <v>455</v>
      </c>
      <c r="K613" s="4"/>
      <c r="L613" s="4"/>
    </row>
    <row r="614" spans="1:12" ht="14.25" hidden="1" customHeight="1" x14ac:dyDescent="0.35">
      <c r="A614" s="4" t="s">
        <v>2323</v>
      </c>
      <c r="B614" s="4" t="s">
        <v>451</v>
      </c>
      <c r="C614" s="18">
        <v>46134</v>
      </c>
      <c r="D614" s="4"/>
      <c r="E614" s="4">
        <v>0</v>
      </c>
      <c r="F614" s="4"/>
      <c r="G614" s="4" t="s">
        <v>461</v>
      </c>
      <c r="H614" s="4" t="s">
        <v>488</v>
      </c>
      <c r="I614" s="4" t="s">
        <v>2324</v>
      </c>
      <c r="J614" s="4" t="s">
        <v>455</v>
      </c>
      <c r="K614" s="4"/>
      <c r="L614" s="4"/>
    </row>
    <row r="615" spans="1:12" ht="14.25" hidden="1" customHeight="1" x14ac:dyDescent="0.35">
      <c r="A615" s="4" t="s">
        <v>2325</v>
      </c>
      <c r="B615" s="4" t="s">
        <v>451</v>
      </c>
      <c r="C615" s="18">
        <v>46134</v>
      </c>
      <c r="D615" s="4"/>
      <c r="E615" s="4">
        <v>0</v>
      </c>
      <c r="F615" s="4"/>
      <c r="G615" s="4" t="s">
        <v>466</v>
      </c>
      <c r="H615" s="4" t="s">
        <v>473</v>
      </c>
      <c r="I615" s="4" t="s">
        <v>2326</v>
      </c>
      <c r="J615" s="4" t="s">
        <v>455</v>
      </c>
      <c r="K615" s="4"/>
      <c r="L615" s="4"/>
    </row>
    <row r="616" spans="1:12" ht="14.25" hidden="1" customHeight="1" x14ac:dyDescent="0.35">
      <c r="A616" s="4" t="s">
        <v>2327</v>
      </c>
      <c r="B616" s="4" t="s">
        <v>451</v>
      </c>
      <c r="C616" s="18">
        <v>46136</v>
      </c>
      <c r="D616" s="4"/>
      <c r="E616" s="4">
        <v>0</v>
      </c>
      <c r="F616" s="4"/>
      <c r="G616" s="4" t="s">
        <v>466</v>
      </c>
      <c r="H616" s="4" t="s">
        <v>473</v>
      </c>
      <c r="I616" s="4" t="s">
        <v>2328</v>
      </c>
      <c r="J616" s="4" t="s">
        <v>455</v>
      </c>
      <c r="K616" s="4"/>
      <c r="L616" s="4"/>
    </row>
    <row r="617" spans="1:12" ht="14.25" hidden="1" customHeight="1" x14ac:dyDescent="0.35">
      <c r="A617" s="4" t="s">
        <v>2329</v>
      </c>
      <c r="B617" s="4" t="s">
        <v>451</v>
      </c>
      <c r="C617" s="18">
        <v>46139</v>
      </c>
      <c r="D617" s="4"/>
      <c r="E617" s="4">
        <v>0</v>
      </c>
      <c r="F617" s="4"/>
      <c r="G617" s="4" t="s">
        <v>466</v>
      </c>
      <c r="H617" s="4" t="s">
        <v>473</v>
      </c>
      <c r="I617" s="4" t="s">
        <v>2330</v>
      </c>
      <c r="J617" s="4" t="s">
        <v>455</v>
      </c>
      <c r="K617" s="4"/>
      <c r="L617" s="4"/>
    </row>
    <row r="618" spans="1:12" ht="14.25" hidden="1" customHeight="1" x14ac:dyDescent="0.35">
      <c r="A618" s="4" t="s">
        <v>2331</v>
      </c>
      <c r="B618" s="4" t="s">
        <v>451</v>
      </c>
      <c r="C618" s="18">
        <v>46139</v>
      </c>
      <c r="D618" s="4"/>
      <c r="E618" s="4">
        <v>0</v>
      </c>
      <c r="F618" s="4"/>
      <c r="G618" s="4" t="s">
        <v>461</v>
      </c>
      <c r="H618" s="4" t="s">
        <v>488</v>
      </c>
      <c r="I618" s="4" t="s">
        <v>2332</v>
      </c>
      <c r="J618" s="4" t="s">
        <v>455</v>
      </c>
      <c r="K618" s="4"/>
      <c r="L618" s="4"/>
    </row>
    <row r="619" spans="1:12" ht="14.25" hidden="1" customHeight="1" x14ac:dyDescent="0.35">
      <c r="A619" s="4" t="s">
        <v>2333</v>
      </c>
      <c r="B619" s="4" t="s">
        <v>451</v>
      </c>
      <c r="C619" s="18">
        <v>46140</v>
      </c>
      <c r="D619" s="4"/>
      <c r="E619" s="4">
        <v>0</v>
      </c>
      <c r="F619" s="4"/>
      <c r="G619" s="4" t="s">
        <v>2334</v>
      </c>
      <c r="H619" s="4" t="s">
        <v>2335</v>
      </c>
      <c r="I619" s="4" t="s">
        <v>2336</v>
      </c>
      <c r="J619" s="4" t="s">
        <v>455</v>
      </c>
      <c r="K619" s="4"/>
      <c r="L619" s="4"/>
    </row>
    <row r="620" spans="1:12" ht="14.25" hidden="1" customHeight="1" x14ac:dyDescent="0.35">
      <c r="A620" s="4" t="s">
        <v>2337</v>
      </c>
      <c r="B620" s="4" t="s">
        <v>451</v>
      </c>
      <c r="C620" s="18">
        <v>46141</v>
      </c>
      <c r="D620" s="4"/>
      <c r="E620" s="4">
        <v>0</v>
      </c>
      <c r="F620" s="4"/>
      <c r="G620" s="4" t="s">
        <v>2338</v>
      </c>
      <c r="H620" s="4"/>
      <c r="I620" s="4" t="s">
        <v>2339</v>
      </c>
      <c r="J620" s="4" t="s">
        <v>455</v>
      </c>
      <c r="K620" s="4"/>
      <c r="L620" s="4"/>
    </row>
    <row r="621" spans="1:12" ht="14.25" hidden="1" customHeight="1" x14ac:dyDescent="0.35">
      <c r="A621" s="4" t="s">
        <v>2340</v>
      </c>
      <c r="B621" s="4" t="s">
        <v>451</v>
      </c>
      <c r="C621" s="18">
        <v>46142</v>
      </c>
      <c r="D621" s="4"/>
      <c r="E621" s="4">
        <v>0</v>
      </c>
      <c r="F621" s="4"/>
      <c r="G621" s="4" t="s">
        <v>466</v>
      </c>
      <c r="H621" s="4" t="s">
        <v>473</v>
      </c>
      <c r="I621" s="4" t="s">
        <v>2341</v>
      </c>
      <c r="J621" s="4" t="s">
        <v>455</v>
      </c>
      <c r="K621" s="4"/>
      <c r="L621" s="4"/>
    </row>
    <row r="622" spans="1:12" ht="14.25" hidden="1" customHeight="1" x14ac:dyDescent="0.35">
      <c r="A622" s="4" t="s">
        <v>2342</v>
      </c>
      <c r="B622" s="4" t="s">
        <v>451</v>
      </c>
      <c r="C622" s="18">
        <v>46142</v>
      </c>
      <c r="D622" s="4"/>
      <c r="E622" s="4">
        <v>0</v>
      </c>
      <c r="F622" s="4"/>
      <c r="G622" s="4" t="s">
        <v>461</v>
      </c>
      <c r="H622" s="4" t="s">
        <v>488</v>
      </c>
      <c r="I622" s="4" t="s">
        <v>2343</v>
      </c>
      <c r="J622" s="4" t="s">
        <v>455</v>
      </c>
      <c r="K622" s="4"/>
      <c r="L622" s="4"/>
    </row>
    <row r="623" spans="1:12" ht="14.25" hidden="1" customHeight="1" x14ac:dyDescent="0.35">
      <c r="A623" s="4" t="s">
        <v>2344</v>
      </c>
      <c r="B623" s="4" t="s">
        <v>451</v>
      </c>
      <c r="C623" s="18">
        <v>46143</v>
      </c>
      <c r="D623" s="4"/>
      <c r="E623" s="4">
        <v>0</v>
      </c>
      <c r="F623" s="4"/>
      <c r="G623" s="4" t="s">
        <v>2345</v>
      </c>
      <c r="H623" s="4" t="s">
        <v>2346</v>
      </c>
      <c r="I623" s="4" t="s">
        <v>2347</v>
      </c>
      <c r="J623" s="4" t="s">
        <v>455</v>
      </c>
      <c r="K623" s="4"/>
      <c r="L623" s="4"/>
    </row>
    <row r="624" spans="1:12" ht="14.25" hidden="1" customHeight="1" x14ac:dyDescent="0.35">
      <c r="A624" s="4" t="s">
        <v>2348</v>
      </c>
      <c r="B624" s="4" t="s">
        <v>451</v>
      </c>
      <c r="C624" s="18">
        <v>46143</v>
      </c>
      <c r="D624" s="4"/>
      <c r="E624" s="4">
        <v>0</v>
      </c>
      <c r="F624" s="4"/>
      <c r="G624" s="4" t="s">
        <v>2349</v>
      </c>
      <c r="H624" s="4" t="s">
        <v>2350</v>
      </c>
      <c r="I624" s="4" t="s">
        <v>2351</v>
      </c>
      <c r="J624" s="4" t="s">
        <v>455</v>
      </c>
      <c r="K624" s="4"/>
      <c r="L624" s="4"/>
    </row>
    <row r="625" spans="1:12" ht="14.25" hidden="1" customHeight="1" x14ac:dyDescent="0.35">
      <c r="A625" s="4" t="s">
        <v>2352</v>
      </c>
      <c r="B625" s="4" t="s">
        <v>451</v>
      </c>
      <c r="C625" s="18">
        <v>46143</v>
      </c>
      <c r="D625" s="4"/>
      <c r="E625" s="4">
        <v>0</v>
      </c>
      <c r="F625" s="4"/>
      <c r="G625" s="4" t="s">
        <v>2353</v>
      </c>
      <c r="H625" s="4" t="s">
        <v>2354</v>
      </c>
      <c r="I625" s="4" t="s">
        <v>2355</v>
      </c>
      <c r="J625" s="4" t="s">
        <v>455</v>
      </c>
      <c r="K625" s="4"/>
      <c r="L625" s="4"/>
    </row>
    <row r="626" spans="1:12" ht="14.25" hidden="1" customHeight="1" x14ac:dyDescent="0.35">
      <c r="A626" s="4" t="s">
        <v>2356</v>
      </c>
      <c r="B626" s="4" t="s">
        <v>451</v>
      </c>
      <c r="C626" s="18">
        <v>46143</v>
      </c>
      <c r="D626" s="4"/>
      <c r="E626" s="4">
        <v>0</v>
      </c>
      <c r="F626" s="4"/>
      <c r="G626" s="4" t="s">
        <v>466</v>
      </c>
      <c r="H626" s="4" t="s">
        <v>473</v>
      </c>
      <c r="I626" s="4" t="s">
        <v>2357</v>
      </c>
      <c r="J626" s="4" t="s">
        <v>455</v>
      </c>
      <c r="K626" s="4"/>
      <c r="L626" s="4"/>
    </row>
    <row r="627" spans="1:12" ht="14.25" hidden="1" customHeight="1" x14ac:dyDescent="0.35">
      <c r="A627" s="4" t="s">
        <v>2358</v>
      </c>
      <c r="B627" s="4" t="s">
        <v>451</v>
      </c>
      <c r="C627" s="18">
        <v>46149</v>
      </c>
      <c r="D627" s="4"/>
      <c r="E627" s="4">
        <v>0</v>
      </c>
      <c r="F627" s="4"/>
      <c r="G627" s="4" t="s">
        <v>461</v>
      </c>
      <c r="H627" s="4" t="s">
        <v>488</v>
      </c>
      <c r="I627" s="4" t="s">
        <v>2359</v>
      </c>
      <c r="J627" s="4" t="s">
        <v>455</v>
      </c>
      <c r="K627" s="4"/>
      <c r="L627" s="4"/>
    </row>
    <row r="628" spans="1:12" ht="14.25" hidden="1" customHeight="1" x14ac:dyDescent="0.35">
      <c r="A628" s="4" t="s">
        <v>2360</v>
      </c>
      <c r="B628" s="4" t="s">
        <v>451</v>
      </c>
      <c r="C628" s="18">
        <v>46150</v>
      </c>
      <c r="D628" s="4"/>
      <c r="E628" s="4">
        <v>0</v>
      </c>
      <c r="F628" s="4"/>
      <c r="G628" s="4" t="s">
        <v>466</v>
      </c>
      <c r="H628" s="4" t="s">
        <v>473</v>
      </c>
      <c r="I628" s="4" t="s">
        <v>2361</v>
      </c>
      <c r="J628" s="4" t="s">
        <v>455</v>
      </c>
      <c r="K628" s="4"/>
      <c r="L628" s="4"/>
    </row>
    <row r="629" spans="1:12" ht="14.25" hidden="1" customHeight="1" x14ac:dyDescent="0.35">
      <c r="A629" s="4" t="s">
        <v>2362</v>
      </c>
      <c r="B629" s="4" t="s">
        <v>451</v>
      </c>
      <c r="C629" s="18">
        <v>46154</v>
      </c>
      <c r="D629" s="4"/>
      <c r="E629" s="4">
        <v>0</v>
      </c>
      <c r="F629" s="4"/>
      <c r="G629" s="4" t="s">
        <v>2363</v>
      </c>
      <c r="H629" s="4" t="s">
        <v>2364</v>
      </c>
      <c r="I629" s="4" t="s">
        <v>2365</v>
      </c>
      <c r="J629" s="4" t="s">
        <v>455</v>
      </c>
      <c r="K629" s="4"/>
      <c r="L629" s="4"/>
    </row>
    <row r="630" spans="1:12" ht="14.25" hidden="1" customHeight="1" x14ac:dyDescent="0.35">
      <c r="A630" s="4" t="s">
        <v>2366</v>
      </c>
      <c r="B630" s="4" t="s">
        <v>451</v>
      </c>
      <c r="C630" s="18">
        <v>46154</v>
      </c>
      <c r="D630" s="4"/>
      <c r="E630" s="4">
        <v>1</v>
      </c>
      <c r="F630" s="4" t="s">
        <v>2367</v>
      </c>
      <c r="G630" s="4" t="s">
        <v>466</v>
      </c>
      <c r="H630" s="4" t="s">
        <v>473</v>
      </c>
      <c r="I630" s="4" t="s">
        <v>2368</v>
      </c>
      <c r="J630" s="4" t="s">
        <v>455</v>
      </c>
      <c r="K630" s="4" t="s">
        <v>469</v>
      </c>
      <c r="L630" s="4" t="s">
        <v>470</v>
      </c>
    </row>
    <row r="631" spans="1:12" ht="14.25" hidden="1" customHeight="1" x14ac:dyDescent="0.35">
      <c r="A631" s="4" t="s">
        <v>2369</v>
      </c>
      <c r="B631" s="4" t="s">
        <v>451</v>
      </c>
      <c r="C631" s="18">
        <v>46155</v>
      </c>
      <c r="D631" s="4"/>
      <c r="E631" s="4">
        <v>0</v>
      </c>
      <c r="F631" s="4"/>
      <c r="G631" s="4" t="s">
        <v>2370</v>
      </c>
      <c r="H631" s="4" t="s">
        <v>2371</v>
      </c>
      <c r="I631" s="4" t="s">
        <v>2372</v>
      </c>
      <c r="J631" s="4" t="s">
        <v>455</v>
      </c>
      <c r="K631" s="4"/>
      <c r="L631" s="4"/>
    </row>
    <row r="632" spans="1:12" ht="14.25" hidden="1" customHeight="1" x14ac:dyDescent="0.35">
      <c r="A632" s="4" t="s">
        <v>2373</v>
      </c>
      <c r="B632" s="4" t="s">
        <v>451</v>
      </c>
      <c r="C632" s="18">
        <v>46156</v>
      </c>
      <c r="D632" s="4"/>
      <c r="E632" s="4">
        <v>0</v>
      </c>
      <c r="F632" s="4"/>
      <c r="G632" s="4" t="s">
        <v>2374</v>
      </c>
      <c r="H632" s="4" t="s">
        <v>1607</v>
      </c>
      <c r="I632" s="4" t="s">
        <v>2375</v>
      </c>
      <c r="J632" s="4" t="s">
        <v>455</v>
      </c>
      <c r="K632" s="4"/>
      <c r="L632" s="4"/>
    </row>
    <row r="633" spans="1:12" ht="14.25" hidden="1" customHeight="1" x14ac:dyDescent="0.35">
      <c r="A633" s="4" t="s">
        <v>2376</v>
      </c>
      <c r="B633" s="4" t="s">
        <v>451</v>
      </c>
      <c r="C633" s="18">
        <v>46157</v>
      </c>
      <c r="D633" s="18">
        <v>46155</v>
      </c>
      <c r="E633" s="4">
        <v>0</v>
      </c>
      <c r="F633" s="4"/>
      <c r="G633" s="4" t="s">
        <v>2377</v>
      </c>
      <c r="H633" s="4" t="s">
        <v>2378</v>
      </c>
      <c r="I633" s="4" t="s">
        <v>2379</v>
      </c>
      <c r="J633" s="4" t="s">
        <v>455</v>
      </c>
      <c r="K633" s="4"/>
      <c r="L633" s="4"/>
    </row>
    <row r="634" spans="1:12" ht="14.25" hidden="1" customHeight="1" x14ac:dyDescent="0.35">
      <c r="A634" s="4" t="s">
        <v>2380</v>
      </c>
      <c r="B634" s="4" t="s">
        <v>451</v>
      </c>
      <c r="C634" s="18">
        <v>46157</v>
      </c>
      <c r="D634" s="18">
        <v>46155</v>
      </c>
      <c r="E634" s="4">
        <v>0</v>
      </c>
      <c r="F634" s="4"/>
      <c r="G634" s="4" t="s">
        <v>2381</v>
      </c>
      <c r="H634" s="4" t="s">
        <v>2382</v>
      </c>
      <c r="I634" s="4" t="s">
        <v>2383</v>
      </c>
      <c r="J634" s="4" t="s">
        <v>455</v>
      </c>
      <c r="K634" s="4"/>
      <c r="L634" s="4"/>
    </row>
    <row r="635" spans="1:12" ht="14.25" hidden="1" customHeight="1" x14ac:dyDescent="0.35">
      <c r="A635" s="4" t="s">
        <v>2384</v>
      </c>
      <c r="B635" s="4" t="s">
        <v>451</v>
      </c>
      <c r="C635" s="18">
        <v>46157</v>
      </c>
      <c r="D635" s="4"/>
      <c r="E635" s="4">
        <v>0</v>
      </c>
      <c r="F635" s="4"/>
      <c r="G635" s="4" t="s">
        <v>461</v>
      </c>
      <c r="H635" s="4" t="s">
        <v>488</v>
      </c>
      <c r="I635" s="4" t="s">
        <v>2385</v>
      </c>
      <c r="J635" s="4" t="s">
        <v>455</v>
      </c>
      <c r="K635" s="4"/>
      <c r="L635" s="4"/>
    </row>
    <row r="636" spans="1:12" ht="14.25" hidden="1" customHeight="1" x14ac:dyDescent="0.35">
      <c r="A636" s="4" t="s">
        <v>2386</v>
      </c>
      <c r="B636" s="4" t="s">
        <v>451</v>
      </c>
      <c r="C636" s="18">
        <v>46160</v>
      </c>
      <c r="D636" s="4"/>
      <c r="E636" s="4">
        <v>0</v>
      </c>
      <c r="F636" s="4"/>
      <c r="G636" s="4" t="s">
        <v>461</v>
      </c>
      <c r="H636" s="4" t="s">
        <v>488</v>
      </c>
      <c r="I636" s="4" t="s">
        <v>2387</v>
      </c>
      <c r="J636" s="4" t="s">
        <v>455</v>
      </c>
      <c r="K636" s="4"/>
      <c r="L636" s="4"/>
    </row>
    <row r="637" spans="1:12" ht="14.25" customHeight="1" x14ac:dyDescent="0.35">
      <c r="A637" s="3" t="s">
        <v>2388</v>
      </c>
      <c r="B637" s="3" t="s">
        <v>479</v>
      </c>
      <c r="C637" s="19">
        <v>46064</v>
      </c>
      <c r="D637" s="3"/>
      <c r="E637" s="3">
        <v>1</v>
      </c>
      <c r="F637" s="3" t="s">
        <v>2389</v>
      </c>
      <c r="G637" s="3" t="s">
        <v>1180</v>
      </c>
      <c r="H637" s="3" t="s">
        <v>2390</v>
      </c>
      <c r="I637" s="3" t="s">
        <v>2391</v>
      </c>
      <c r="J637" s="3" t="s">
        <v>455</v>
      </c>
      <c r="K637" s="3" t="s">
        <v>1195</v>
      </c>
      <c r="L637" s="3" t="s">
        <v>1907</v>
      </c>
    </row>
    <row r="638" spans="1:12" ht="14.25" hidden="1" customHeight="1" x14ac:dyDescent="0.35">
      <c r="A638" s="4" t="s">
        <v>2392</v>
      </c>
      <c r="B638" s="4" t="s">
        <v>451</v>
      </c>
      <c r="C638" s="18">
        <v>46162</v>
      </c>
      <c r="D638" s="4"/>
      <c r="E638" s="4">
        <v>0</v>
      </c>
      <c r="F638" s="4"/>
      <c r="G638" s="4" t="s">
        <v>457</v>
      </c>
      <c r="H638" s="4" t="s">
        <v>458</v>
      </c>
      <c r="I638" s="4" t="s">
        <v>2393</v>
      </c>
      <c r="J638" s="4" t="s">
        <v>455</v>
      </c>
      <c r="K638" s="4"/>
      <c r="L638" s="4"/>
    </row>
    <row r="639" spans="1:12" ht="14.25" hidden="1" customHeight="1" x14ac:dyDescent="0.35">
      <c r="A639" s="4" t="s">
        <v>2394</v>
      </c>
      <c r="B639" s="4" t="s">
        <v>451</v>
      </c>
      <c r="C639" s="18">
        <v>46162</v>
      </c>
      <c r="D639" s="4"/>
      <c r="E639" s="4">
        <v>0</v>
      </c>
      <c r="F639" s="4"/>
      <c r="G639" s="4" t="s">
        <v>461</v>
      </c>
      <c r="H639" s="4" t="s">
        <v>488</v>
      </c>
      <c r="I639" s="4" t="s">
        <v>2395</v>
      </c>
      <c r="J639" s="4" t="s">
        <v>455</v>
      </c>
      <c r="K639" s="4"/>
      <c r="L639" s="4"/>
    </row>
    <row r="640" spans="1:12" ht="14.25" hidden="1" customHeight="1" x14ac:dyDescent="0.35">
      <c r="A640" s="4" t="s">
        <v>2396</v>
      </c>
      <c r="B640" s="4" t="s">
        <v>479</v>
      </c>
      <c r="C640" s="18">
        <v>46164</v>
      </c>
      <c r="D640" s="4"/>
      <c r="E640" s="4">
        <v>0</v>
      </c>
      <c r="F640" s="4"/>
      <c r="G640" s="4" t="s">
        <v>2312</v>
      </c>
      <c r="H640" s="4" t="s">
        <v>2397</v>
      </c>
      <c r="I640" s="4" t="s">
        <v>2398</v>
      </c>
      <c r="J640" s="4" t="s">
        <v>455</v>
      </c>
      <c r="K640" s="4"/>
      <c r="L640" s="4"/>
    </row>
    <row r="641" spans="1:12" ht="14.25" customHeight="1" x14ac:dyDescent="0.35">
      <c r="A641" s="3" t="s">
        <v>2399</v>
      </c>
      <c r="B641" s="3" t="s">
        <v>479</v>
      </c>
      <c r="C641" s="19">
        <v>46164</v>
      </c>
      <c r="D641" s="3"/>
      <c r="E641" s="3">
        <v>1</v>
      </c>
      <c r="F641" s="3" t="s">
        <v>669</v>
      </c>
      <c r="G641" s="3" t="s">
        <v>2400</v>
      </c>
      <c r="H641" s="3" t="s">
        <v>2401</v>
      </c>
      <c r="I641" s="3" t="s">
        <v>2402</v>
      </c>
      <c r="J641" s="3" t="s">
        <v>455</v>
      </c>
      <c r="K641" s="3" t="s">
        <v>1195</v>
      </c>
      <c r="L641" s="3" t="s">
        <v>1240</v>
      </c>
    </row>
    <row r="642" spans="1:12" ht="14.25" hidden="1" customHeight="1" x14ac:dyDescent="0.35">
      <c r="A642" s="4" t="s">
        <v>2403</v>
      </c>
      <c r="B642" s="4" t="s">
        <v>451</v>
      </c>
      <c r="C642" s="18">
        <v>46171</v>
      </c>
      <c r="D642" s="4"/>
      <c r="E642" s="4">
        <v>0</v>
      </c>
      <c r="F642" s="4"/>
      <c r="G642" s="4" t="s">
        <v>466</v>
      </c>
      <c r="H642" s="4" t="s">
        <v>473</v>
      </c>
      <c r="I642" s="4" t="s">
        <v>2404</v>
      </c>
      <c r="J642" s="4" t="s">
        <v>455</v>
      </c>
      <c r="K642" s="4"/>
      <c r="L642" s="4"/>
    </row>
  </sheetData>
  <autoFilter ref="A1:L642" xr:uid="{00000000-0009-0000-0000-000003000000}">
    <filterColumn colId="4">
      <filters>
        <filter val="1"/>
      </filters>
    </filterColumn>
    <filterColumn colId="10">
      <filters>
        <filter val="HIGH"/>
        <filter val="LOW"/>
        <filter val="MEDIUM"/>
      </filters>
    </filterColumn>
    <sortState xmlns:xlrd2="http://schemas.microsoft.com/office/spreadsheetml/2017/richdata2" ref="A2:L642">
      <sortCondition descending="1" ref="A2:A642" customList="LOW,MEDIUM,HIGH"/>
    </sortState>
  </autoFilter>
  <hyperlinks>
    <hyperlink ref="I23" r:id="rId1" xr:uid="{00000000-0004-0000-0300-000000000000}"/>
    <hyperlink ref="I62" r:id="rId2" xr:uid="{00000000-0004-0000-0300-000001000000}"/>
    <hyperlink ref="I73" r:id="rId3" xr:uid="{00000000-0004-0000-0300-000002000000}"/>
    <hyperlink ref="I96" r:id="rId4" xr:uid="{00000000-0004-0000-0300-000003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4ABD1-3761-4EC1-9BA7-283C820C3BEA}">
  <dimension ref="A1:C54"/>
  <sheetViews>
    <sheetView topLeftCell="A14" zoomScaleNormal="100" workbookViewId="0">
      <selection activeCell="B49" sqref="B49"/>
    </sheetView>
  </sheetViews>
  <sheetFormatPr defaultColWidth="8.6328125" defaultRowHeight="14.5" x14ac:dyDescent="0.35"/>
  <cols>
    <col min="1" max="1" width="28" customWidth="1"/>
    <col min="2" max="2" width="110" style="6" customWidth="1"/>
  </cols>
  <sheetData>
    <row r="1" spans="1:3" ht="15" customHeight="1" x14ac:dyDescent="0.35">
      <c r="A1" s="31" t="s">
        <v>2465</v>
      </c>
      <c r="B1" s="21"/>
    </row>
    <row r="2" spans="1:3" ht="26" x14ac:dyDescent="0.35">
      <c r="A2" s="30" t="s">
        <v>2464</v>
      </c>
      <c r="B2" s="29" t="s">
        <v>2463</v>
      </c>
      <c r="C2" s="15"/>
    </row>
    <row r="3" spans="1:3" x14ac:dyDescent="0.35">
      <c r="A3" s="30" t="s">
        <v>2462</v>
      </c>
      <c r="B3" s="29" t="s">
        <v>2461</v>
      </c>
      <c r="C3" s="15"/>
    </row>
    <row r="4" spans="1:3" ht="26" x14ac:dyDescent="0.35">
      <c r="A4" s="30" t="s">
        <v>2460</v>
      </c>
      <c r="B4" s="29" t="s">
        <v>2459</v>
      </c>
      <c r="C4" s="15"/>
    </row>
    <row r="5" spans="1:3" ht="25.5" customHeight="1" x14ac:dyDescent="0.35">
      <c r="A5" s="30" t="s">
        <v>2458</v>
      </c>
      <c r="B5" s="29" t="s">
        <v>2457</v>
      </c>
      <c r="C5" s="15"/>
    </row>
    <row r="6" spans="1:3" ht="26" x14ac:dyDescent="0.35">
      <c r="A6" s="30" t="s">
        <v>2456</v>
      </c>
      <c r="B6" s="29" t="s">
        <v>2455</v>
      </c>
    </row>
    <row r="7" spans="1:3" ht="23.25" customHeight="1" x14ac:dyDescent="0.35">
      <c r="A7" s="30"/>
      <c r="B7" s="29"/>
    </row>
    <row r="8" spans="1:3" ht="15" customHeight="1" x14ac:dyDescent="0.35">
      <c r="A8" s="31" t="s">
        <v>2454</v>
      </c>
      <c r="B8" s="11"/>
    </row>
    <row r="9" spans="1:3" x14ac:dyDescent="0.35">
      <c r="A9" s="30" t="s">
        <v>0</v>
      </c>
      <c r="B9" s="29" t="s">
        <v>2453</v>
      </c>
    </row>
    <row r="10" spans="1:3" x14ac:dyDescent="0.35">
      <c r="A10" s="30" t="s">
        <v>2452</v>
      </c>
      <c r="B10" s="29" t="s">
        <v>2451</v>
      </c>
    </row>
    <row r="11" spans="1:3" ht="26" x14ac:dyDescent="0.35">
      <c r="A11" s="30" t="s">
        <v>4</v>
      </c>
      <c r="B11" s="29" t="s">
        <v>2450</v>
      </c>
    </row>
    <row r="12" spans="1:3" ht="26" x14ac:dyDescent="0.35">
      <c r="A12" s="30" t="s">
        <v>5</v>
      </c>
      <c r="B12" s="29" t="s">
        <v>2466</v>
      </c>
    </row>
    <row r="13" spans="1:3" ht="52" x14ac:dyDescent="0.35">
      <c r="A13" s="30" t="s">
        <v>6</v>
      </c>
      <c r="B13" s="29" t="s">
        <v>2467</v>
      </c>
    </row>
    <row r="14" spans="1:3" ht="15" customHeight="1" x14ac:dyDescent="0.35">
      <c r="A14" s="30" t="s">
        <v>7</v>
      </c>
      <c r="B14" s="29" t="s">
        <v>2449</v>
      </c>
    </row>
    <row r="15" spans="1:3" ht="15" customHeight="1" x14ac:dyDescent="0.35">
      <c r="A15" s="30" t="s">
        <v>8</v>
      </c>
      <c r="B15" s="29" t="s">
        <v>2448</v>
      </c>
    </row>
    <row r="16" spans="1:3" x14ac:dyDescent="0.35">
      <c r="A16" s="30" t="s">
        <v>2447</v>
      </c>
      <c r="B16" s="29" t="s">
        <v>2446</v>
      </c>
    </row>
    <row r="17" spans="1:3" ht="14.25" customHeight="1" x14ac:dyDescent="0.35">
      <c r="A17" s="30"/>
      <c r="B17" s="29"/>
    </row>
    <row r="18" spans="1:3" ht="14.25" customHeight="1" x14ac:dyDescent="0.35">
      <c r="A18" s="31" t="s">
        <v>2445</v>
      </c>
      <c r="B18" s="7"/>
    </row>
    <row r="19" spans="1:3" ht="14.25" customHeight="1" x14ac:dyDescent="0.35">
      <c r="A19" s="30" t="s">
        <v>0</v>
      </c>
      <c r="B19" s="29" t="s">
        <v>2444</v>
      </c>
    </row>
    <row r="20" spans="1:3" ht="39" x14ac:dyDescent="0.35">
      <c r="A20" s="30" t="s">
        <v>9</v>
      </c>
      <c r="B20" s="29" t="s">
        <v>2443</v>
      </c>
    </row>
    <row r="21" spans="1:3" x14ac:dyDescent="0.35">
      <c r="A21" s="30" t="s">
        <v>10</v>
      </c>
      <c r="B21" s="29" t="s">
        <v>2468</v>
      </c>
    </row>
    <row r="22" spans="1:3" ht="26" x14ac:dyDescent="0.35">
      <c r="A22" s="30" t="s">
        <v>11</v>
      </c>
      <c r="B22" s="29" t="s">
        <v>2442</v>
      </c>
    </row>
    <row r="23" spans="1:3" ht="26" x14ac:dyDescent="0.35">
      <c r="A23" s="30" t="s">
        <v>12</v>
      </c>
      <c r="B23" s="29" t="s">
        <v>2441</v>
      </c>
    </row>
    <row r="24" spans="1:3" ht="14.25" customHeight="1" x14ac:dyDescent="0.35">
      <c r="A24" s="30" t="s">
        <v>13</v>
      </c>
      <c r="B24" s="29" t="s">
        <v>2440</v>
      </c>
    </row>
    <row r="25" spans="1:3" x14ac:dyDescent="0.35">
      <c r="A25" s="30" t="s">
        <v>14</v>
      </c>
      <c r="B25" s="29" t="s">
        <v>2439</v>
      </c>
    </row>
    <row r="26" spans="1:3" ht="14.25" customHeight="1" x14ac:dyDescent="0.35">
      <c r="A26" s="30" t="s">
        <v>15</v>
      </c>
      <c r="B26" s="29" t="s">
        <v>2438</v>
      </c>
      <c r="C26" s="17"/>
    </row>
    <row r="27" spans="1:3" ht="23.25" customHeight="1" x14ac:dyDescent="0.35">
      <c r="A27" s="30"/>
      <c r="B27" s="29"/>
      <c r="C27" s="17"/>
    </row>
    <row r="28" spans="1:3" ht="14.25" customHeight="1" x14ac:dyDescent="0.35">
      <c r="A28" s="31" t="s">
        <v>2437</v>
      </c>
      <c r="B28" s="22"/>
      <c r="C28" s="17"/>
    </row>
    <row r="29" spans="1:3" ht="26" x14ac:dyDescent="0.35">
      <c r="A29" s="30" t="s">
        <v>22</v>
      </c>
      <c r="B29" s="29" t="s">
        <v>2436</v>
      </c>
      <c r="C29" s="17"/>
    </row>
    <row r="30" spans="1:3" ht="26" x14ac:dyDescent="0.35">
      <c r="A30" s="30" t="s">
        <v>41</v>
      </c>
      <c r="B30" s="29" t="s">
        <v>2435</v>
      </c>
      <c r="C30" s="17"/>
    </row>
    <row r="31" spans="1:3" x14ac:dyDescent="0.35">
      <c r="A31" s="30" t="s">
        <v>28</v>
      </c>
      <c r="B31" s="29" t="s">
        <v>2434</v>
      </c>
      <c r="C31" s="17"/>
    </row>
    <row r="32" spans="1:3" x14ac:dyDescent="0.35">
      <c r="A32" s="30" t="s">
        <v>46</v>
      </c>
      <c r="B32" s="29" t="s">
        <v>2433</v>
      </c>
      <c r="C32" s="17"/>
    </row>
    <row r="33" spans="1:3" x14ac:dyDescent="0.35">
      <c r="A33" s="30" t="s">
        <v>50</v>
      </c>
      <c r="B33" s="29" t="s">
        <v>2405</v>
      </c>
      <c r="C33" s="17"/>
    </row>
    <row r="34" spans="1:3" x14ac:dyDescent="0.35">
      <c r="A34" s="30" t="s">
        <v>58</v>
      </c>
      <c r="B34" s="29" t="s">
        <v>2432</v>
      </c>
    </row>
    <row r="35" spans="1:3" ht="26" x14ac:dyDescent="0.35">
      <c r="A35" s="30" t="s">
        <v>34</v>
      </c>
      <c r="B35" s="29" t="s">
        <v>2431</v>
      </c>
    </row>
    <row r="36" spans="1:3" x14ac:dyDescent="0.35">
      <c r="A36" s="30"/>
      <c r="B36" s="29"/>
    </row>
    <row r="37" spans="1:3" x14ac:dyDescent="0.35">
      <c r="A37" s="31" t="s">
        <v>2430</v>
      </c>
    </row>
    <row r="38" spans="1:3" ht="26" x14ac:dyDescent="0.35">
      <c r="A38" s="30" t="s">
        <v>13</v>
      </c>
      <c r="B38" s="29" t="s">
        <v>2469</v>
      </c>
    </row>
    <row r="39" spans="1:3" x14ac:dyDescent="0.35">
      <c r="A39" s="30" t="s">
        <v>2429</v>
      </c>
      <c r="B39" s="29" t="s">
        <v>2428</v>
      </c>
    </row>
    <row r="40" spans="1:3" x14ac:dyDescent="0.35">
      <c r="A40" s="30" t="s">
        <v>149</v>
      </c>
      <c r="B40" s="29" t="s">
        <v>2427</v>
      </c>
    </row>
    <row r="41" spans="1:3" x14ac:dyDescent="0.35">
      <c r="A41" s="30" t="s">
        <v>150</v>
      </c>
      <c r="B41" s="29" t="s">
        <v>2426</v>
      </c>
    </row>
    <row r="42" spans="1:3" x14ac:dyDescent="0.35">
      <c r="A42" s="30" t="s">
        <v>2425</v>
      </c>
      <c r="B42" s="29" t="s">
        <v>2424</v>
      </c>
    </row>
    <row r="43" spans="1:3" x14ac:dyDescent="0.35">
      <c r="A43" s="30" t="s">
        <v>155</v>
      </c>
      <c r="B43" s="29" t="s">
        <v>2470</v>
      </c>
    </row>
    <row r="44" spans="1:3" x14ac:dyDescent="0.35">
      <c r="A44" s="30" t="s">
        <v>156</v>
      </c>
      <c r="B44" s="29" t="s">
        <v>2423</v>
      </c>
    </row>
    <row r="45" spans="1:3" ht="39" x14ac:dyDescent="0.35">
      <c r="A45" s="30" t="s">
        <v>2422</v>
      </c>
      <c r="B45" s="29" t="s">
        <v>2421</v>
      </c>
    </row>
    <row r="46" spans="1:3" x14ac:dyDescent="0.35">
      <c r="A46" s="30"/>
      <c r="B46" s="29"/>
    </row>
    <row r="47" spans="1:3" x14ac:dyDescent="0.35">
      <c r="A47" s="31" t="s">
        <v>2420</v>
      </c>
    </row>
    <row r="48" spans="1:3" ht="26" x14ac:dyDescent="0.35">
      <c r="A48" s="30" t="s">
        <v>13</v>
      </c>
      <c r="B48" s="29" t="s">
        <v>2471</v>
      </c>
    </row>
    <row r="49" spans="1:2" x14ac:dyDescent="0.35">
      <c r="A49" s="30" t="s">
        <v>2419</v>
      </c>
      <c r="B49" s="29" t="s">
        <v>2418</v>
      </c>
    </row>
    <row r="50" spans="1:2" ht="26" x14ac:dyDescent="0.35">
      <c r="A50" s="30" t="s">
        <v>2417</v>
      </c>
      <c r="B50" s="29" t="s">
        <v>2416</v>
      </c>
    </row>
    <row r="51" spans="1:2" x14ac:dyDescent="0.35">
      <c r="A51" s="30" t="s">
        <v>2415</v>
      </c>
      <c r="B51" s="29" t="s">
        <v>2414</v>
      </c>
    </row>
    <row r="52" spans="1:2" x14ac:dyDescent="0.35">
      <c r="A52" s="30" t="s">
        <v>2413</v>
      </c>
      <c r="B52" s="29" t="s">
        <v>2412</v>
      </c>
    </row>
    <row r="53" spans="1:2" ht="52" x14ac:dyDescent="0.35">
      <c r="A53" s="30" t="s">
        <v>448</v>
      </c>
      <c r="B53" s="29" t="s">
        <v>2411</v>
      </c>
    </row>
    <row r="54" spans="1:2" x14ac:dyDescent="0.35">
      <c r="A54" s="30" t="s">
        <v>449</v>
      </c>
      <c r="B54" s="29" t="s">
        <v>2410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Grid</vt:lpstr>
      <vt:lpstr>Events</vt:lpstr>
      <vt:lpstr>FEMA Disasters</vt:lpstr>
      <vt:lpstr>Fed Register</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Alicia Jin</cp:lastModifiedBy>
  <cp:revision>0</cp:revision>
  <cp:lastPrinted>2026-07-15T16:29:53Z</cp:lastPrinted>
  <dcterms:created xsi:type="dcterms:W3CDTF">2026-07-14T19:03:06Z</dcterms:created>
  <dcterms:modified xsi:type="dcterms:W3CDTF">2026-07-15T19:56:33Z</dcterms:modified>
  <dc:language>en-US</dc:language>
</cp:coreProperties>
</file>