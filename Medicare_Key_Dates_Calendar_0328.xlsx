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Grid" sheetId="1" state="visible" r:id="rId3"/>
    <sheet name="Events" sheetId="2" state="visible" r:id="rId4"/>
    <sheet name="FEMA Disasters" sheetId="3" state="visible" r:id="rId5"/>
    <sheet name="Fed Register" sheetId="4" state="visible" r:id="rId6"/>
    <sheet name="Legend" sheetId="5" state="visible" r:id="rId7"/>
  </sheets>
  <definedNames>
    <definedName function="false" hidden="true" localSheetId="0" name="_xlnm._FilterDatabase" vbProcedure="false">'Daily Grid'!$A$1:$I$883</definedName>
    <definedName function="false" hidden="true" localSheetId="1" name="_xlnm._FilterDatabase" vbProcedure="false">Events!$A$1:$F$397</definedName>
    <definedName function="false" hidden="true" localSheetId="3" name="_xlnm._FilterDatabase" vbProcedure="false">'Fed Register'!$A$1:$L$642</definedName>
    <definedName function="false" hidden="true" localSheetId="2" name="_xlnm._FilterDatabase" vbProcedure="false">'FEMA Disasters'!$A$1:$K$355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<sst xmlns="http://schemas.openxmlformats.org/spreadsheetml/2006/main" count="6653" uniqueCount="2451">
  <si>
    <t xml:space="preserve">Date</t>
  </si>
  <si>
    <t xml:space="preserve">Year</t>
  </si>
  <si>
    <t xml:space="preserve">Month</t>
  </si>
  <si>
    <t xml:space="preserve">Weekday</t>
  </si>
  <si>
    <t xml:space="preserve">AEP</t>
  </si>
  <si>
    <t xml:space="preserve">MA_OEP / GEP</t>
  </si>
  <si>
    <t xml:space="preserve">SEP_Notes</t>
  </si>
  <si>
    <t xml:space="preserve">Has_Event</t>
  </si>
  <si>
    <t xml:space="preserve">Event_Detail</t>
  </si>
  <si>
    <t xml:space="preserve">Event_Type</t>
  </si>
  <si>
    <t xml:space="preserve">Affects</t>
  </si>
  <si>
    <t xml:space="preserve">Date_Type</t>
  </si>
  <si>
    <t xml:space="preserve">Description</t>
  </si>
  <si>
    <t xml:space="preserve">Source</t>
  </si>
  <si>
    <t xml:space="preserve">States</t>
  </si>
  <si>
    <t xml:space="preserve">Value_Mechanism</t>
  </si>
  <si>
    <t xml:space="preserve">Legislation</t>
  </si>
  <si>
    <t xml:space="preserve">Part D</t>
  </si>
  <si>
    <t xml:space="preserve">Effective</t>
  </si>
  <si>
    <t xml:space="preserve">IRA phase-in: 5% coinsurance in Part D catastrophic phase eliminated; full Low-Income Subsidy (Extra Help) expanded to 150% FPL</t>
  </si>
  <si>
    <t xml:space="preserve">https://www.cms.gov/newsroom/fact-sheets/2024-medicare-advantage-and-part-d-final-rule-cms-4201-f</t>
  </si>
  <si>
    <t xml:space="preserve">National</t>
  </si>
  <si>
    <t xml:space="preserve">Benefit/Cost Value</t>
  </si>
  <si>
    <t xml:space="preserve">State Regulation</t>
  </si>
  <si>
    <t xml:space="preserve">MS</t>
  </si>
  <si>
    <t xml:space="preserve">Kentucky Medigap birthday rule takes effect (2023 HB 345, Ch. 182; KRS 304.14-525): enrollees may switch to another insurer's same-letter policy within 60 days after their birthday, no medical underwriting; law also added under-65 open enrollment protections</t>
  </si>
  <si>
    <t xml:space="preserve">https://insurance.ky.gov/ppc/Documents/2024.01.24%20Medicare%20Supplement%20Enrollment%20Changes.pdf</t>
  </si>
  <si>
    <t xml:space="preserve">KY</t>
  </si>
  <si>
    <t xml:space="preserve">Switching Window</t>
  </si>
  <si>
    <t xml:space="preserve">CMS Rule</t>
  </si>
  <si>
    <t xml:space="preserve">MA / Part D</t>
  </si>
  <si>
    <t xml:space="preserve">Announced</t>
  </si>
  <si>
    <t xml:space="preserve">CY2025 Advance Notice released: proposed +3.70% avg payment; year 2 of 3-year phase-in of 2024 CMS-HCC (V28) risk model at 67/33 blend; comments due 3/1/2024</t>
  </si>
  <si>
    <t xml:space="preserve">https://www.cms.gov/newsroom/fact-sheets/2025-medicare-advantage-part-d-advance-notice-fact-sheet</t>
  </si>
  <si>
    <t xml:space="preserve">Forward Signal</t>
  </si>
  <si>
    <t xml:space="preserve">Rate Announcement</t>
  </si>
  <si>
    <t xml:space="preserve">CY2025 Rate Announcement: final MA capitation rates (+3.70% avg) and Part C/D payment policies</t>
  </si>
  <si>
    <t xml:space="preserve">https://www.cms.gov/newsroom/fact-sheets/2026-medicare-advantage-part-d-rate-announcement </t>
  </si>
  <si>
    <t xml:space="preserve">MA / Part D / D-SNP / MS / C-SNP</t>
  </si>
  <si>
    <t xml:space="preserve">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t>
  </si>
  <si>
    <t xml:space="preserve">https://www.cms.gov/newsroom/fact-sheets/contract-year-2025-medicare-advantage-part-d-final-rule-cms-4205-f ; https://www.federalregister.gov/documents/2024/04/23/2024-07105/medicare-program-changes-to-the-medicare-advantage-and-the-medicare-prescription-drug-benefit</t>
  </si>
  <si>
    <t xml:space="preserve">Plan Rules/Structure</t>
  </si>
  <si>
    <t xml:space="preserve">Litigation</t>
  </si>
  <si>
    <t xml:space="preserve">MA</t>
  </si>
  <si>
    <t xml:space="preserve">D.D.C. rules for SCAN Health Plan: CMS's 2024 Star Ratings methodology (guardrail/Tukey sequencing) violated the APA; SCAN's rating ordered recalculated; Elevance won a parallel case ~6/11</t>
  </si>
  <si>
    <t xml:space="preserve">https://www.scanhealthplan.com/about-scan/press-release-archive/scan-health-plan-prevails-in-2024-star-ratings-lawsuit-against-cms</t>
  </si>
  <si>
    <t xml:space="preserve">Quality Ratings</t>
  </si>
  <si>
    <t xml:space="preserve">MA / MS</t>
  </si>
  <si>
    <t xml:space="preserve">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</si>
  <si>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 xml:space="preserve">https://www.fiercehealthcare.com/payers/court-stops-cms-broker-compensation-rule-medicare-advantage-plans</t>
  </si>
  <si>
    <t xml:space="preserve">Distribution/Commission</t>
  </si>
  <si>
    <t xml:space="preserve">Following SCAN/Elevance rulings, CMS recalculates 2024 Star Ratings industry-wide: 60+ plans across 40 insurers upgraded, ~$1.4B in additional quality bonus payments (date approximate - recalc rolled out late June/early July)</t>
  </si>
  <si>
    <t xml:space="preserve">https://www.beckerspayer.com/payer/unitedhealthcare-beats-cms-in-medicare-advantage-star-ratings/</t>
  </si>
  <si>
    <t xml:space="preserve">CMS publishes negotiated maximum fair prices (MFPs) for the first 10 Part D drugs (effective 1/1/2026)</t>
  </si>
  <si>
    <t xml:space="preserve">https://www.cms.gov/files/document/10522-inflation-reduction-act-timeline.pdf</t>
  </si>
  <si>
    <t xml:space="preserve">Enrollment Milestone</t>
  </si>
  <si>
    <t xml:space="preserve">Deadline</t>
  </si>
  <si>
    <t xml:space="preserve">ANOC delivery deadline: every MA/MA-PD/PDP enrollee must receive their plan's Annual Notice of Change by 9/30 - the day enrollees are actually notified of their plan's CY2025 premium, benefit, and cost-sharing changes ahead of AEP. Not a policy change itself, but a synchronized mass-notification shock (~34M MA members); CY2025 ANOCs carried the post-IRA changes ($2,000 OOP cap, Prescription Payment Plan, supplemental-benefit trims), making this the date the 2025 benefit-cut news reached consumers</t>
  </si>
  <si>
    <t xml:space="preserve">https://www.cms.gov/medicare/health-drug-plans/managed-care-marketing/models-standard-documents-educational-materials</t>
  </si>
  <si>
    <t xml:space="preserve">Shopping Cycle</t>
  </si>
  <si>
    <t xml:space="preserve">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t>
  </si>
  <si>
    <t xml:space="preserve">https://www.cms.gov/newsroom/fact-sheets/contract-year-2025-medicare-advantage-part-d-final-rule-cms-4205-f</t>
  </si>
  <si>
    <t xml:space="preserve">Plan Landscape Release</t>
  </si>
  <si>
    <t xml:space="preserve">MA / Part D / MS</t>
  </si>
  <si>
    <t xml:space="preserve">2025 Star Ratings published on Medicare Plan Finder: sharp industry decline - only 7 MA-PD contracts earned 5 stars (vs 38 for 2024); avg rating fell to ~3.92; drives 2026 quality bonus payments</t>
  </si>
  <si>
    <t xml:space="preserve">https://www.cms.gov/newsroom/fact-sheets/2025-medicare-advantage-part-d-star-ratings</t>
  </si>
  <si>
    <t xml:space="preserve">All</t>
  </si>
  <si>
    <t xml:space="preserve">CY2025 Part B premium set: standard $185.00/mo (+$10.30) and deductible $257; baseline cost every enrolle pays regardless of plan type (affects cost math for MA vs Medigap shoppers during AEP)</t>
  </si>
  <si>
    <t xml:space="preserve">https://www.federalregister.gov/documents/2024/11/14/2024-26474/medicare-program-medicare-part-b-monthly-actuarial-rates-premium-rates-and-annual-deductible</t>
  </si>
  <si>
    <t xml:space="preserve">E.D. Tex. orders CMS to recalculate UnitedHealthcare's 2025 Star Ratings over one disputed test call and immediately republish in Medicare Plan Finder - a mid-AEP ratings change for the largest MA carrier, 15 days before the enrollment deadline</t>
  </si>
  <si>
    <t xml:space="preserve">https://www.fiercehealthcare.com/payers/unitedhealthcare-wins-star-ratings-lawsuit-requiring-cms-recalculate-results</t>
  </si>
  <si>
    <t xml:space="preserve">MA / Part D / D-SNP</t>
  </si>
  <si>
    <t xml:space="preserve">CY2026 Proposed Rule (CMS-4208-P): proposed anti-obesity med coverage in Part D, AI guardrails, prior-auth/UM limits (published in Federal Register 12/10/2024; comments due 1/27/2025; several proposals later NOT finalized)</t>
  </si>
  <si>
    <t xml:space="preserve">https://www.cms.gov/newsroom/fact-sheets/contract-year-2026-policy-and-technical-changes-medicare-advantage-program-medicare-prescription ; https://www.federalregister.gov/documents/2024/12/10/2024-27939/medicare-and-medicaid-programs-contract-year-2026-policy-and-technical-changes-to-the-medicare</t>
  </si>
  <si>
    <t xml:space="preserve">D-SNP / MA / Part D / C-SNP</t>
  </si>
  <si>
    <t xml:space="preserve">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t>
  </si>
  <si>
    <t xml:space="preserve">https://www.federalregister.gov/documents/2024/04/23/2024-07105/medicare-program-changes-to-the-medicare-advantage-and-the-medicare-prescription-drug-benefit</t>
  </si>
  <si>
    <t xml:space="preserve">D-SNP / C-SNP</t>
  </si>
  <si>
    <t xml:space="preserve">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t>
  </si>
  <si>
    <t xml:space="preserve">Part D / MA / D-SNP / MS / C-SNP</t>
  </si>
  <si>
    <t xml:space="preserve">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t>
  </si>
  <si>
    <t xml:space="preserve">https://www.cms.gov/newsroom/fact-sheets/2025-medicare-advantage-part-d-advance-notice-fact-sheet ; https://www.cms.gov/newsroom/fact-sheets/contract-year-2025-medicare-advantage-part-d-final-rule-cms-4205-f</t>
  </si>
  <si>
    <t xml:space="preserve">CY2026 Advance Notice released: proposed +4.33% avg payment (~$21B); final year of V28 risk model phase-in; comments due 2/10/2025</t>
  </si>
  <si>
    <t xml:space="preserve">https://www.cms.gov/newsroom/fact-sheets/2026-medicare-advantage-part-d-advance-notice-fact-sheet</t>
  </si>
  <si>
    <t xml:space="preserve">CMS announces 15 additional Part D drugs selected for negotiation round 2 (effective 1/1/2027)</t>
  </si>
  <si>
    <t xml:space="preserve">MA / Part D / D-SNP / C-SNP</t>
  </si>
  <si>
    <t xml:space="preserve">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t>
  </si>
  <si>
    <t xml:space="preserve">https://www.cms.gov/newsroom/fact-sheets/contract-year-2026-policy-and-technical-changes-medicare-advantage-program-medicare-prescription-final ; https://www.federalregister.gov/documents/2025/04/15/2025-06008/medicare-and-medicaid-programs-contract-year-2026-policy-and-technical-changes-to-the-medicare</t>
  </si>
  <si>
    <t xml:space="preserve">MA / Part D / C-SNP</t>
  </si>
  <si>
    <t xml:space="preserve">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t>
  </si>
  <si>
    <t xml:space="preserve">https://www.cms.gov/newsroom/fact-sheets/2026-medicare-advantage-part-d-rate-announcement</t>
  </si>
  <si>
    <t xml:space="preserve">Utah Medigap birthday rule takes effect (HB 258, enacted 3/26/2025): 60-day window from birthday to switch to an equal-or-lesser plan with the current insurer only, no underwriting</t>
  </si>
  <si>
    <t xml:space="preserve">https://legiscan.com/UT/bill/HB0258/2025</t>
  </si>
  <si>
    <t xml:space="preserve">UT</t>
  </si>
  <si>
    <t xml:space="preserve">Wyoming Medigap birthday rule takes effect - adopted as a Wyoming Department of Insurance rule (proposed late 2024, public comment through 2/19/2025, signed by Governor), not a statute: 63-day post-birthday window, same-or-lesser benefits, carrier switching allowed, no underwriting</t>
  </si>
  <si>
    <t xml:space="preserve">https://states.aarp.org/wyoming/what-is-the-birthday-rule-and-why-can-it-help-wyomings-medigap-policyholders</t>
  </si>
  <si>
    <t xml:space="preserve">WY</t>
  </si>
  <si>
    <t xml:space="preserve">Virginia Medigap birthday rule takes effect (SB 1199 / HB 2100, enacted 3/24/2025): 60-day open enrollment from birthday to switch to any Medigap policy with the same benefits from any insurer, no underwriting; insurers must send advance written notice of the window</t>
  </si>
  <si>
    <t xml:space="preserve">https://www.scc.virginia.gov/consumers/insurance/health-insurance-consumer/tips,-guides-publications/medigap-birthday-rule/</t>
  </si>
  <si>
    <t xml:space="preserve">VA</t>
  </si>
  <si>
    <t xml:space="preserve">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</si>
  <si>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 xml:space="preserve">https://ohic.ri.gov/sites/g/files/xkgbur736/files/2025-09/OHIC%20Bulletin%202025-05%20Medicare%20Supplement.pdf</t>
  </si>
  <si>
    <t xml:space="preserve">RI</t>
  </si>
  <si>
    <t xml:space="preserve">D-SNP / MS / MA / C-SNP</t>
  </si>
  <si>
    <t xml:space="preserve">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t>
  </si>
  <si>
    <t xml:space="preserve">https://www.kff.org/medicaid/the-impact-of-h-r-1-on-two-medicaid-eligibility-rules/</t>
  </si>
  <si>
    <t xml:space="preserve">N.D. Tex. vacates the CY2025 rule's fixed-fee and FMO contract-terms provisions outright (upholds the beneficiary data-consent restriction) - broker-compensation reform dead, not just paused, heading into AEP 2026 (ruling week of 8/18/2025)</t>
  </si>
  <si>
    <t xml:space="preserve">https://www.risehealth.org/insights-articles/regulatory-roundup-judge-vacates-cms-regulation-to-limit-ma-broker-agent-pay-caps-elevance-health-loses-star-ratings-case-and-more/</t>
  </si>
  <si>
    <t xml:space="preserve">Provider directory rule (CMS-4208-F2): MA plans must submit provider directory data to CMS for publication in Mediare Plan Finder, with 30 day update requirements and annual accurancy attestations (target "ghost networks"; effective 11/17/2025; applicable plan years begin 1/1/2026)</t>
  </si>
  <si>
    <t xml:space="preserve">https://www.federalregister.gov/documents/2025/09/19/2025-18236/medicare-and-medicaid-programs-contract-year-2026-policy-and-technical-changes-to-the-medicare</t>
  </si>
  <si>
    <t xml:space="preserve">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Not a policy change itself, but the synchronized mass-notification shock preceding AEP 2026</t>
  </si>
  <si>
    <t xml:space="preserve">CY2026 plan marketing begins; plans notify enrollees of 2026 changes; 2026 landscape released ahead of AEP</t>
  </si>
  <si>
    <t xml:space="preserve">https://www.cms.gov/files/document/2026-ma-part-d-landscape-state-state-fact-sheet.pdf</t>
  </si>
  <si>
    <t xml:space="preserve">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</si>
  <si>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 xml:space="preserve">https://www.cms.gov/files/document/2026-star-ratings-fact-sheet.pdf ; https://www.healthscape.com/insights/early-look-2026-medicare-advantage-stars-ratings-stabilize-without-meaningful-improvement</t>
  </si>
  <si>
    <t xml:space="preserve">AEP opens with California's new Medi-Medi (exclusively aligned D-SNP) plans available for enrollment statewide for 1/1/2026 coverage start || C-SNP: CA's closure of non-aligned D-SNP enrollment creates steering pressure toward C-SNPs for duals not in aligned plans (largest state market).</t>
  </si>
  <si>
    <t xml:space="preserve">https://www.dhcs.ca.gov/providers-partners/dual-eligible-special-needs-plans-in-california/</t>
  </si>
  <si>
    <t xml:space="preserve">CA</t>
  </si>
  <si>
    <t xml:space="preserve">First Rhode Island annual Medigap guaranteed-issue window opens with the AEP (RIGL 27-18.2-3(h); OHIC Bulletin 2025-05, effective 9/26/2025): continuous-coverage enrollees may switch to any Medigap plan, and MA enrollees gain a guaranteed off-ramp to Medigap, without underwriting</t>
  </si>
  <si>
    <t xml:space="preserve">CY2026 Part B premium set: standard premium $202.90/mo, up 9.7% ($17.90) from $185, deductible $283 (+$26); press release 11/14/2025, FR notice 11/19/2025. Mid AEP, second largest dollar jump on record.</t>
  </si>
  <si>
    <t xml:space="preserve">https://www.federalregister.gov/documents/2025/11/19/2025-20251/medicare-program-medicare-part-b-monthly-actuarial-rates-premium-rates-and-annual-deductible</t>
  </si>
  <si>
    <t xml:space="preserve">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t>
  </si>
  <si>
    <t xml:space="preserve">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</si>
  <si>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 xml:space="preserve">CMS publishes MFPs for the 15 rounds-2 drugs (statutory deadline; effective 1/1/2027)</t>
  </si>
  <si>
    <t xml:space="preserve">Part D / MA / D-SNP / C-SNP</t>
  </si>
  <si>
    <t xml:space="preserve">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t>
  </si>
  <si>
    <t xml:space="preserve">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</si>
  <si>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 xml:space="preserve">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t>
  </si>
  <si>
    <t xml:space="preserve">Indiana Medigap birthday rule takes effect (HB 1226, enacted April 2025): window from ~1 month before to ~1 month after birthday to switch to any insurer's version of the current same-letter policy, no underwriting</t>
  </si>
  <si>
    <t xml:space="preserve">https://legiscan.com/IN/bill/HB1226/2025</t>
  </si>
  <si>
    <t xml:space="preserve">IN</t>
  </si>
  <si>
    <t xml:space="preserve">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</si>
  <si>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 xml:space="preserve">https://www.legis.delaware.gov/BillDetail/141935</t>
  </si>
  <si>
    <t xml:space="preserve">DE</t>
  </si>
  <si>
    <t xml:space="preserve">Illinois birthday-rule expansion takes effect (SB 56 / P.A. 103-0747, enacted 8/2/2024): during the 45-day post-birthday window (ages 65-75), enrollees may purchase an equal-or-lesser Medigap policy from the same issuer OR any authorized affiliate - previously same-issuer only</t>
  </si>
  <si>
    <t xml:space="preserve">https://www.ilga.gov/documents/legislation/103/SB/PDF/10300SB0056.pdf</t>
  </si>
  <si>
    <t xml:space="preserve">IL</t>
  </si>
  <si>
    <t xml:space="preserve">Rhode Island Medigap community rating mandate takes effect (SB 610): issuers may no longer use gender, attained-age, or issue-age as rating factors - restructures Medigap premium schedules statewide</t>
  </si>
  <si>
    <t xml:space="preserve">https://legiscan.com/RI/text/S0610/id/3156115/Rhode_Island-2025-S0610-Introduced.pdf</t>
  </si>
  <si>
    <t xml:space="preserve">CY2027 Advance Notice released: proposed only +0.09% base update (~$700M) - far below prior years; proposed excluding unlinked chart-review and audio-only diagnoses from risk scores; comments due 2/25/2026</t>
  </si>
  <si>
    <t xml:space="preserve">https://www.cms.gov/files/document/2027-advance-notice.pdf ; https://www.mcdermottplus.com/blog/regs-eggs/cms-issues-cy-2027-medicare-advantage-and-part-d-rate-notice/</t>
  </si>
  <si>
    <t xml:space="preserve">CMS announces 15 round-3 drugs (first round eligible to include Part B drugs; effective 2028)</t>
  </si>
  <si>
    <t xml:space="preserve">New Mexico SB21 'Medicare Supplement Open Enrollment' signed by Governor (Chapter 10): creates a birthday-rule guaranteed-issue window of 60+ days from the first day of the birth month, equal-or-lesser plans - effective 1/1/2027 (outside data window; signing is the in-window event)</t>
  </si>
  <si>
    <t xml:space="preserve">https://legiscan.com/NM/bill/SB21/2026</t>
  </si>
  <si>
    <t xml:space="preserve">NM</t>
  </si>
  <si>
    <t xml:space="preserve">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t>
  </si>
  <si>
    <t xml:space="preserve">https://www.cms.gov/newsroom/fact-sheets/contract-year-2027-medicare-advantage-part-d-final-rule ; https://www.federalregister.gov/documents/2026/04/06/2026-06600/medicare-program-contract-year-2027-and-certain-contract-year-2026-policy-and-technical-changes-to</t>
  </si>
  <si>
    <t xml:space="preserve">CY2027 Rate Announcement: finalized +2.48% avg payment (~$13B, sharply up from proposed 0.09% after industry lobbying); kept 2024 (V28) risk model instead of proposed update; finalized exclusion of unlinked chart-review diagnoses from risk scores</t>
  </si>
  <si>
    <t xml:space="preserve">https://www.cms.gov/files/document/2027-announcement.pdf ; https://www.aha.org/news/headline/2026-04-06-cms-finalizes-medicare-advantage-rates-cy-2027</t>
  </si>
  <si>
    <t xml:space="preserve">Clover v. HHS: federal court in Georgia finds CMS improperly used two groups of 10 measures in calculating Clover's 2026 Star Rating - the ruling that triggered CMS's June 2026 industry-wide recalculation (recalc itself is post-window)</t>
  </si>
  <si>
    <t xml:space="preserve">https://www.healthcarefinancenews.com/news/scan-alignment-sue-cms-over-medicare-advantage-star-ratings</t>
  </si>
  <si>
    <t xml:space="preserve">Disaster_Num</t>
  </si>
  <si>
    <t xml:space="preserve">State</t>
  </si>
  <si>
    <t xml:space="preserve">Decl_Type</t>
  </si>
  <si>
    <t xml:space="preserve">Incident_Type</t>
  </si>
  <si>
    <t xml:space="preserve">Title</t>
  </si>
  <si>
    <t xml:space="preserve">Incident_Begin</t>
  </si>
  <si>
    <t xml:space="preserve">Incident_End</t>
  </si>
  <si>
    <t xml:space="preserve">Declaration_Date</t>
  </si>
  <si>
    <t xml:space="preserve">IA_Declared</t>
  </si>
  <si>
    <t xml:space="preserve">Designated_Areas</t>
  </si>
  <si>
    <t xml:space="preserve">SEP_Start</t>
  </si>
  <si>
    <t xml:space="preserve">SEP_End</t>
  </si>
  <si>
    <t xml:space="preserve">WA</t>
  </si>
  <si>
    <t xml:space="preserve">DR</t>
  </si>
  <si>
    <t xml:space="preserve">Severe Storm</t>
  </si>
  <si>
    <t xml:space="preserve">SEVERE WINTER STORMS, STRAIGHT-LINE WINDS, FLOODING, LANDSLIDES, AND MUDSLIDES</t>
  </si>
  <si>
    <t xml:space="preserve">FALSE</t>
  </si>
  <si>
    <t xml:space="preserve">KS</t>
  </si>
  <si>
    <t xml:space="preserve">Winter Storm</t>
  </si>
  <si>
    <t xml:space="preserve">SEVERE WINTER STORM</t>
  </si>
  <si>
    <t xml:space="preserve">ME</t>
  </si>
  <si>
    <t xml:space="preserve">SEVERE STORMS AND FLOODING</t>
  </si>
  <si>
    <t xml:space="preserve">VT</t>
  </si>
  <si>
    <t xml:space="preserve">NH</t>
  </si>
  <si>
    <t xml:space="preserve">CT</t>
  </si>
  <si>
    <t xml:space="preserve">EM</t>
  </si>
  <si>
    <t xml:space="preserve">SEVERE STORMS, FLOODING, AND A POTENTIAL DAM BREACH</t>
  </si>
  <si>
    <t xml:space="preserve">OR</t>
  </si>
  <si>
    <t xml:space="preserve">SEVERE WINTER STORMS, STRAIGHT-LINE WINDS, LANDSLIDES, AND MUDSLIDES</t>
  </si>
  <si>
    <t xml:space="preserve">Flood</t>
  </si>
  <si>
    <t xml:space="preserve">SEVERE STORM AND FLOODING</t>
  </si>
  <si>
    <t xml:space="preserve">SEVERE WINTER STORMS, TORNADOES, FLOODING, LANDSLIDES, AND MUDSLIDES</t>
  </si>
  <si>
    <t xml:space="preserve">TX</t>
  </si>
  <si>
    <t xml:space="preserve">FM</t>
  </si>
  <si>
    <t xml:space="preserve">Fire</t>
  </si>
  <si>
    <t xml:space="preserve">WINDY DEUCE FIRE</t>
  </si>
  <si>
    <t xml:space="preserve">SMOKEHOUSE CREEK FIRE</t>
  </si>
  <si>
    <t xml:space="preserve">OK</t>
  </si>
  <si>
    <t xml:space="preserve">CATESBY FIRE</t>
  </si>
  <si>
    <t xml:space="preserve">HAPPY JACK FIRE</t>
  </si>
  <si>
    <t xml:space="preserve">OH</t>
  </si>
  <si>
    <t xml:space="preserve">Tornado</t>
  </si>
  <si>
    <t xml:space="preserve">TORNADOES</t>
  </si>
  <si>
    <t xml:space="preserve">SEVERE STORMS</t>
  </si>
  <si>
    <t xml:space="preserve">SEVERE STORMS, STRAIGHT-LINE WINDS, TORNADOES, LANDSLIDES, AND MUDSLIDES</t>
  </si>
  <si>
    <t xml:space="preserve">WV</t>
  </si>
  <si>
    <t xml:space="preserve">SEVERE STORMS, STRAIGHT-LINE WINDS, TORNADOES, FLOODING, LANDSLIDES, AND MUDSLIDES</t>
  </si>
  <si>
    <t xml:space="preserve">SEVERE WINTER STORM AND FLOODING</t>
  </si>
  <si>
    <t xml:space="preserve">NE</t>
  </si>
  <si>
    <t xml:space="preserve">SEVERE WINTER STORM AND STRAIGHT-LINE WINDS</t>
  </si>
  <si>
    <t xml:space="preserve">57 FIRE</t>
  </si>
  <si>
    <t xml:space="preserve">SEVERE STORMS, STRAIGHT-LINE WINDS, TORNADOES, AND FLOODING</t>
  </si>
  <si>
    <t xml:space="preserve">SEVERE STORMS, FLOODING, LANDSLIDES, AND MUDSLIDES</t>
  </si>
  <si>
    <t xml:space="preserve">HI</t>
  </si>
  <si>
    <t xml:space="preserve">SEVERE STORMS, FLOODING, AND LANDSLIDES</t>
  </si>
  <si>
    <t xml:space="preserve">ID</t>
  </si>
  <si>
    <t xml:space="preserve">SEVERE STORM, FLOODING, LANDSLIDES, AND MUDSLIDES</t>
  </si>
  <si>
    <t xml:space="preserve">SEVERE STORMS, STRAIGHT-LINE WINDS, AND TORNADOES</t>
  </si>
  <si>
    <t xml:space="preserve">IA</t>
  </si>
  <si>
    <t xml:space="preserve">SEVERE STORMS AND TORNADOES</t>
  </si>
  <si>
    <t xml:space="preserve">PR</t>
  </si>
  <si>
    <t xml:space="preserve">MT</t>
  </si>
  <si>
    <t xml:space="preserve">TN</t>
  </si>
  <si>
    <t xml:space="preserve">SEVERE STORMS, TORNADOES, AND FLOODING</t>
  </si>
  <si>
    <t xml:space="preserve">FL</t>
  </si>
  <si>
    <t xml:space="preserve">BLUE 2 FIRE </t>
  </si>
  <si>
    <t xml:space="preserve">MO</t>
  </si>
  <si>
    <t xml:space="preserve">SEVERE STORM, STRAIGHT-LINE WINDS, TORNADOES, AND FLOODING</t>
  </si>
  <si>
    <t xml:space="preserve">AR</t>
  </si>
  <si>
    <t xml:space="preserve">AZ</t>
  </si>
  <si>
    <t xml:space="preserve">SIMMONS FIRE</t>
  </si>
  <si>
    <t xml:space="preserve">NV</t>
  </si>
  <si>
    <t xml:space="preserve">TRAIL FIRE</t>
  </si>
  <si>
    <t xml:space="preserve">SULLIVAN FIRE</t>
  </si>
  <si>
    <t xml:space="preserve">ROSE FIRE</t>
  </si>
  <si>
    <t xml:space="preserve">SEVERE STORMS, FLOODING, STRAIGHT-LINE WINDS, AND TORNADOES</t>
  </si>
  <si>
    <t xml:space="preserve">MN</t>
  </si>
  <si>
    <t xml:space="preserve">SD</t>
  </si>
  <si>
    <t xml:space="preserve">SEVERE STORMS, STRAIGHT-LINE WINDS, AND FLOODING</t>
  </si>
  <si>
    <t xml:space="preserve">SOUTH FORK FIRE, SALT FIRE, AND FLOODING</t>
  </si>
  <si>
    <t xml:space="preserve">SOUTH FORK FIRE</t>
  </si>
  <si>
    <t xml:space="preserve">SALT FIRE</t>
  </si>
  <si>
    <t xml:space="preserve">WILDFIRES</t>
  </si>
  <si>
    <t xml:space="preserve">SLIDE RANCH FIRE</t>
  </si>
  <si>
    <t xml:space="preserve">DARLENE 3 FIRE</t>
  </si>
  <si>
    <t xml:space="preserve">BOULDER VIEW FIRE</t>
  </si>
  <si>
    <t xml:space="preserve">THOMPSON FIRE</t>
  </si>
  <si>
    <t xml:space="preserve">FRENCH FIRE</t>
  </si>
  <si>
    <t xml:space="preserve">Hurricane</t>
  </si>
  <si>
    <t xml:space="preserve">HURRICANE BERYL </t>
  </si>
  <si>
    <t xml:space="preserve">SILVER KING FIRE</t>
  </si>
  <si>
    <t xml:space="preserve">SHAKE FIRE</t>
  </si>
  <si>
    <t xml:space="preserve">HORSE GULCH FIRE</t>
  </si>
  <si>
    <t xml:space="preserve">NY</t>
  </si>
  <si>
    <t xml:space="preserve">SEVERE STORM, TORNADOES, AND FLOODING</t>
  </si>
  <si>
    <t xml:space="preserve">WATCH FIRE</t>
  </si>
  <si>
    <t xml:space="preserve">LARCH CREEK FIRE</t>
  </si>
  <si>
    <t xml:space="preserve">SEVERE STORMS, TORNADOES, STRAIGHT-LINE WINDS, AND FLOODNG</t>
  </si>
  <si>
    <t xml:space="preserve">SEVERE STORM, STRAIGHT-LINE WINDS, AND FLOODING</t>
  </si>
  <si>
    <t xml:space="preserve">TEXAS FIRE</t>
  </si>
  <si>
    <t xml:space="preserve">SPRING VALLEY FIRE</t>
  </si>
  <si>
    <t xml:space="preserve">LONE ROCK FIRE</t>
  </si>
  <si>
    <t xml:space="preserve">SWAWILLA FIRE </t>
  </si>
  <si>
    <t xml:space="preserve">FALLS FIRE</t>
  </si>
  <si>
    <t xml:space="preserve">BONEYARD FIRE</t>
  </si>
  <si>
    <t xml:space="preserve">BATTLE MOUNTAIN FIRE COMPLEX</t>
  </si>
  <si>
    <t xml:space="preserve">HAWARDEN FIRE</t>
  </si>
  <si>
    <t xml:space="preserve">DURKEE FIRE</t>
  </si>
  <si>
    <t xml:space="preserve">WEST WHITE SWAN FIRE</t>
  </si>
  <si>
    <t xml:space="preserve">Straight-Line Winds</t>
  </si>
  <si>
    <t xml:space="preserve">STRAIGHT-LINE WINDS</t>
  </si>
  <si>
    <t xml:space="preserve">PARK FIRE</t>
  </si>
  <si>
    <t xml:space="preserve">GWEN FIRE</t>
  </si>
  <si>
    <t xml:space="preserve">RETREAT FIRE</t>
  </si>
  <si>
    <t xml:space="preserve">BOREL FIRE</t>
  </si>
  <si>
    <t xml:space="preserve">PLEASANT VALLEY FIRE</t>
  </si>
  <si>
    <t xml:space="preserve">CO</t>
  </si>
  <si>
    <t xml:space="preserve">STONE MOUNTAIN FIRE</t>
  </si>
  <si>
    <t xml:space="preserve">ALEXANDER MOUNTAIN FIRE</t>
  </si>
  <si>
    <t xml:space="preserve">Tropical Storm</t>
  </si>
  <si>
    <t xml:space="preserve">TROPICAL STORM DEBBY</t>
  </si>
  <si>
    <t xml:space="preserve">HURRICANE DEBBY</t>
  </si>
  <si>
    <t xml:space="preserve">QUARRY FIRE</t>
  </si>
  <si>
    <t xml:space="preserve">MILE MARKER 132 FIRE</t>
  </si>
  <si>
    <t xml:space="preserve">SC</t>
  </si>
  <si>
    <t xml:space="preserve">GA</t>
  </si>
  <si>
    <t xml:space="preserve">ELK LANE FIRE</t>
  </si>
  <si>
    <t xml:space="preserve">NC</t>
  </si>
  <si>
    <t xml:space="preserve">AK</t>
  </si>
  <si>
    <t xml:space="preserve">FLOODING</t>
  </si>
  <si>
    <t xml:space="preserve">SEVERE STORM AND STRAIGHT-LINE WINDS</t>
  </si>
  <si>
    <t xml:space="preserve">TROPICAL DEPRESSION DEBBY</t>
  </si>
  <si>
    <t xml:space="preserve">REMNANTS OF TROPICAL STORM DEBBY</t>
  </si>
  <si>
    <t xml:space="preserve">LEE FALLS FIRE</t>
  </si>
  <si>
    <t xml:space="preserve">PA</t>
  </si>
  <si>
    <t xml:space="preserve">GOLD RANCH FIRE</t>
  </si>
  <si>
    <t xml:space="preserve">TROPICAL STORM ERNESTO</t>
  </si>
  <si>
    <t xml:space="preserve">VI</t>
  </si>
  <si>
    <t xml:space="preserve">TROPICAL STORM ERNESTO </t>
  </si>
  <si>
    <t xml:space="preserve">HOUSE DRAW FIRE</t>
  </si>
  <si>
    <t xml:space="preserve">Mud/Landslide</t>
  </si>
  <si>
    <t xml:space="preserve">LANDSLIDES</t>
  </si>
  <si>
    <t xml:space="preserve">COPPERFIELD FIRE</t>
  </si>
  <si>
    <t xml:space="preserve">RAIL RIDGE FIRE</t>
  </si>
  <si>
    <t xml:space="preserve">DAVIS FIRE</t>
  </si>
  <si>
    <t xml:space="preserve">LINE FIRE</t>
  </si>
  <si>
    <t xml:space="preserve">BOYLES FIRE</t>
  </si>
  <si>
    <t xml:space="preserve">LA</t>
  </si>
  <si>
    <t xml:space="preserve">HURRICANE FRANCINE</t>
  </si>
  <si>
    <t xml:space="preserve">TROPICAL STORM FRANCINE</t>
  </si>
  <si>
    <t xml:space="preserve">BRIDGE FIRE</t>
  </si>
  <si>
    <t xml:space="preserve">AIRPORT FIRE</t>
  </si>
  <si>
    <t xml:space="preserve">POTENTIAL TROPICAL CYCLONE EIGHT</t>
  </si>
  <si>
    <t xml:space="preserve">AL</t>
  </si>
  <si>
    <t xml:space="preserve">HURRICANE HELENE</t>
  </si>
  <si>
    <t xml:space="preserve">TROPICAL STORM HELENE</t>
  </si>
  <si>
    <t xml:space="preserve">POST-TROPICAL CYCLONE HELENE</t>
  </si>
  <si>
    <t xml:space="preserve">POST-TROPICAL STORM HELENE</t>
  </si>
  <si>
    <t xml:space="preserve">REMNANTS OF HURRICANE HELENE</t>
  </si>
  <si>
    <t xml:space="preserve">ELK FIRE</t>
  </si>
  <si>
    <t xml:space="preserve">HURRICANE MILTON</t>
  </si>
  <si>
    <t xml:space="preserve">HURRICANE MILTON </t>
  </si>
  <si>
    <t xml:space="preserve">ND</t>
  </si>
  <si>
    <t xml:space="preserve">WILDFIRES AND STRAIGHT-LINE WINDS</t>
  </si>
  <si>
    <t xml:space="preserve">BEAR DEN FIRE</t>
  </si>
  <si>
    <t xml:space="preserve">ELK HORN FIRE</t>
  </si>
  <si>
    <t xml:space="preserve">SEVERE STORM AND FLOODING </t>
  </si>
  <si>
    <t xml:space="preserve">HAWTHORNE FIRE </t>
  </si>
  <si>
    <t xml:space="preserve">EUCHEE CREEK FIRE</t>
  </si>
  <si>
    <t xml:space="preserve">NORTH ROAD FIRE</t>
  </si>
  <si>
    <t xml:space="preserve">SEVERE STORMS, TORNADOES, STRAIGHT-LINE WINDS, AND FLOODING</t>
  </si>
  <si>
    <t xml:space="preserve">MOUNTAIN FIRE</t>
  </si>
  <si>
    <t xml:space="preserve">JENNINGS CREEK FIRE</t>
  </si>
  <si>
    <t xml:space="preserve">CALLAHAN FIRE</t>
  </si>
  <si>
    <t xml:space="preserve">FRANKLIN FIRE</t>
  </si>
  <si>
    <t xml:space="preserve">PALISADES FIRE</t>
  </si>
  <si>
    <t xml:space="preserve">EATON FIRE</t>
  </si>
  <si>
    <t xml:space="preserve">HURST FIRE</t>
  </si>
  <si>
    <t xml:space="preserve">SEVERE WINTER STORMS AND FLOODING</t>
  </si>
  <si>
    <t xml:space="preserve">SEVERE STORMS, STRAIGHT-LINE WINDS, FLOODING, AND LANDSLIDES</t>
  </si>
  <si>
    <t xml:space="preserve">SEVERE STORMS, STRAIGHT-LINE WINDS, FLOODING, LANDSLIDES, AND MUDSLIDES</t>
  </si>
  <si>
    <t xml:space="preserve">SEVERE STORM, STRAIGHT-LINE WINDS, FLOODING, LANDSLIDES, AND MUDSLIDES</t>
  </si>
  <si>
    <t xml:space="preserve">COVINGTON DRIVE FIRE</t>
  </si>
  <si>
    <t xml:space="preserve">WELDER FIRE</t>
  </si>
  <si>
    <t xml:space="preserve">DUKE FIRE</t>
  </si>
  <si>
    <t xml:space="preserve">SEVERE STORMS, STRAIGHT-LINE WINDS, TORNADOES, AND WILDFIRES</t>
  </si>
  <si>
    <t xml:space="preserve">SEVERE WINTER STORM, STRAIGHT-LINE WINDS, FLOODING, AND WILDFIRES</t>
  </si>
  <si>
    <t xml:space="preserve">REST AREA FIRE</t>
  </si>
  <si>
    <t xml:space="preserve">YATES CENTER FIRE</t>
  </si>
  <si>
    <t xml:space="preserve">840 ROAD FIRE</t>
  </si>
  <si>
    <t xml:space="preserve">STILLWATER FIRE</t>
  </si>
  <si>
    <t xml:space="preserve">CHANDLER FIRE</t>
  </si>
  <si>
    <t xml:space="preserve">LITTLE SALT CREEK FIRE</t>
  </si>
  <si>
    <t xml:space="preserve">LOGAN FIRE</t>
  </si>
  <si>
    <t xml:space="preserve">LUTHER FIRE</t>
  </si>
  <si>
    <t xml:space="preserve">EAST THUNDERBIRD FIRE</t>
  </si>
  <si>
    <t xml:space="preserve">WILDHORSE FIRE</t>
  </si>
  <si>
    <t xml:space="preserve">CLEAR POND FIRE</t>
  </si>
  <si>
    <t xml:space="preserve">UNDERWOOD FIRE</t>
  </si>
  <si>
    <t xml:space="preserve">KEYSTONE FIRE</t>
  </si>
  <si>
    <t xml:space="preserve">BARN FIRE</t>
  </si>
  <si>
    <t xml:space="preserve">NORGE FIRE</t>
  </si>
  <si>
    <t xml:space="preserve">CRABAPPLE FIRE</t>
  </si>
  <si>
    <t xml:space="preserve">DOUBLE S FIRE</t>
  </si>
  <si>
    <t xml:space="preserve">328 FIRE</t>
  </si>
  <si>
    <t xml:space="preserve">PAULINE ROAD FIRE</t>
  </si>
  <si>
    <t xml:space="preserve">BLACK COVE FIRE COMPLEX</t>
  </si>
  <si>
    <t xml:space="preserve">TABLE ROCK FIRE </t>
  </si>
  <si>
    <t xml:space="preserve">TABLE ROCK FIRE COMPLEX</t>
  </si>
  <si>
    <t xml:space="preserve">ALARKA FIRE </t>
  </si>
  <si>
    <t xml:space="preserve">TABLE ROCK FIRE</t>
  </si>
  <si>
    <t xml:space="preserve">MI</t>
  </si>
  <si>
    <t xml:space="preserve">Severe Ice Storm</t>
  </si>
  <si>
    <t xml:space="preserve">RIO GRANDE FIRE</t>
  </si>
  <si>
    <t xml:space="preserve">SAM DAVIS ROAD FIRE</t>
  </si>
  <si>
    <t xml:space="preserve">NJ</t>
  </si>
  <si>
    <t xml:space="preserve">JONES ROAD FIRE</t>
  </si>
  <si>
    <t xml:space="preserve">SUNSET DRIVE FIRE </t>
  </si>
  <si>
    <t xml:space="preserve">MUNGER SHAW FIRE</t>
  </si>
  <si>
    <t xml:space="preserve">GREER FIRE</t>
  </si>
  <si>
    <t xml:space="preserve">CODY FIRE</t>
  </si>
  <si>
    <t xml:space="preserve">MARIE FIRE</t>
  </si>
  <si>
    <t xml:space="preserve">ROWENA FIRE </t>
  </si>
  <si>
    <t xml:space="preserve">TROUT FIRE</t>
  </si>
  <si>
    <t xml:space="preserve">ALDER SPRINGS FIRE</t>
  </si>
  <si>
    <t xml:space="preserve">UPPER APPLEGATE ROAD FIRE </t>
  </si>
  <si>
    <t xml:space="preserve">FORSYTH FIRE</t>
  </si>
  <si>
    <t xml:space="preserve">SEVERE STORM, TORNADOES, AND STRAIGHT-LINE WINDS</t>
  </si>
  <si>
    <t xml:space="preserve">CONNER FIRE</t>
  </si>
  <si>
    <t xml:space="preserve">SEVERE STORMS AND STRAIGHT-LINE WINDS</t>
  </si>
  <si>
    <t xml:space="preserve">DESERT WILLOW FIRE COMPLEX</t>
  </si>
  <si>
    <t xml:space="preserve">HIMALAYA ROAD FIRE </t>
  </si>
  <si>
    <t xml:space="preserve">COTTON 2 FIRE</t>
  </si>
  <si>
    <t xml:space="preserve">BEAR CREEK FIRE </t>
  </si>
  <si>
    <t xml:space="preserve">NENANA RIDGE COMPLEX</t>
  </si>
  <si>
    <t xml:space="preserve">Tropical Depression</t>
  </si>
  <si>
    <t xml:space="preserve">TROPICAL DEPRESSION CHANTAL</t>
  </si>
  <si>
    <t xml:space="preserve">DEER CREEK FIRE</t>
  </si>
  <si>
    <t xml:space="preserve">HIGHLAND FIRE</t>
  </si>
  <si>
    <t xml:space="preserve">MONROE CANYON FIRE</t>
  </si>
  <si>
    <t xml:space="preserve">BURDOIN FIRE</t>
  </si>
  <si>
    <t xml:space="preserve">PEAVINE FIRE</t>
  </si>
  <si>
    <t xml:space="preserve">LEE FIRE</t>
  </si>
  <si>
    <t xml:space="preserve">CANYON FIRE</t>
  </si>
  <si>
    <t xml:space="preserve">WI</t>
  </si>
  <si>
    <t xml:space="preserve">SEVERE STORMS, STRAIGHT-LINE WINDS, FLOODING, AND MUDSLIDES</t>
  </si>
  <si>
    <t xml:space="preserve">OAK FIRE</t>
  </si>
  <si>
    <t xml:space="preserve">SUNSET FIRE</t>
  </si>
  <si>
    <t xml:space="preserve">RED CANYON FIRE</t>
  </si>
  <si>
    <t xml:space="preserve">KUNIA ROAD FIRE</t>
  </si>
  <si>
    <t xml:space="preserve"> FLAT FIRE </t>
  </si>
  <si>
    <t xml:space="preserve">WINDY ROCK FIRE</t>
  </si>
  <si>
    <t xml:space="preserve">2-7 FIRE</t>
  </si>
  <si>
    <t xml:space="preserve">HOLOMUA FIRE</t>
  </si>
  <si>
    <t xml:space="preserve">LOWER SUGARLOAF FIRE</t>
  </si>
  <si>
    <t xml:space="preserve">SEVERE STORMS, FLOODING, AND REMNANTS OF TYPHOON HALONG</t>
  </si>
  <si>
    <t xml:space="preserve">SEVERE STORM</t>
  </si>
  <si>
    <t xml:space="preserve">SUNNY FIRE</t>
  </si>
  <si>
    <t xml:space="preserve">DC</t>
  </si>
  <si>
    <t xml:space="preserve">Other</t>
  </si>
  <si>
    <t xml:space="preserve">SEWER LINE COLLAPSE </t>
  </si>
  <si>
    <t xml:space="preserve">MD</t>
  </si>
  <si>
    <t xml:space="preserve">SEVERE WINTER STORM </t>
  </si>
  <si>
    <t xml:space="preserve">STEVENS FIRE</t>
  </si>
  <si>
    <t xml:space="preserve">RANGER ROAD FIRE</t>
  </si>
  <si>
    <t xml:space="preserve">43 FIRE</t>
  </si>
  <si>
    <t xml:space="preserve">8 BALL FIRE</t>
  </si>
  <si>
    <t xml:space="preserve">HOSPITAL ROAD FIRE</t>
  </si>
  <si>
    <t xml:space="preserve">RATTLESNAKE FIRE</t>
  </si>
  <si>
    <t xml:space="preserve">SEVERE WINTER STORM AND SNOWSTORM</t>
  </si>
  <si>
    <t xml:space="preserve">QURY FIRE</t>
  </si>
  <si>
    <t xml:space="preserve">MORRILL-COTTONWOOD FIRE</t>
  </si>
  <si>
    <t xml:space="preserve">1170 ROAD FIRE</t>
  </si>
  <si>
    <t xml:space="preserve">CORNER POCKET FIRE</t>
  </si>
  <si>
    <t xml:space="preserve">BUCK HORN FIRE</t>
  </si>
  <si>
    <t xml:space="preserve">DIBBLE CREEK FIRE</t>
  </si>
  <si>
    <t xml:space="preserve">JUMPING JUNIPER FIRE</t>
  </si>
  <si>
    <t xml:space="preserve">GU</t>
  </si>
  <si>
    <t xml:space="preserve">TYPHOON SINLAKU</t>
  </si>
  <si>
    <t xml:space="preserve">MP</t>
  </si>
  <si>
    <t xml:space="preserve">SUPER TYPHOON SINLAKU</t>
  </si>
  <si>
    <t xml:space="preserve">Typhoon</t>
  </si>
  <si>
    <t xml:space="preserve">PINELAND ROAD FIRE</t>
  </si>
  <si>
    <t xml:space="preserve">RAILROAD COMPLEX FIRE</t>
  </si>
  <si>
    <t xml:space="preserve">HIGHWAY 82 FIRE</t>
  </si>
  <si>
    <t xml:space="preserve">COW CREEK FIRE</t>
  </si>
  <si>
    <t xml:space="preserve">HUNGGATE FIRE</t>
  </si>
  <si>
    <t xml:space="preserve">STINKY FIRE</t>
  </si>
  <si>
    <t xml:space="preserve">SANDY FIRE</t>
  </si>
  <si>
    <t xml:space="preserve">BAIN FIRE</t>
  </si>
  <si>
    <t xml:space="preserve">Chemical</t>
  </si>
  <si>
    <t xml:space="preserve">CHEMICAL RELEASE</t>
  </si>
  <si>
    <t xml:space="preserve">Doc_Number</t>
  </si>
  <si>
    <t xml:space="preserve">Type</t>
  </si>
  <si>
    <t xml:space="preserve">Pub_Date</t>
  </si>
  <si>
    <t xml:space="preserve">Effective_Date</t>
  </si>
  <si>
    <t xml:space="preserve">Match</t>
  </si>
  <si>
    <t xml:space="preserve">Matched_Keywords</t>
  </si>
  <si>
    <t xml:space="preserve">Abstract</t>
  </si>
  <si>
    <t xml:space="preserve">URL</t>
  </si>
  <si>
    <t xml:space="preserve">Full_Text_Scanned</t>
  </si>
  <si>
    <t xml:space="preserve">Priority</t>
  </si>
  <si>
    <t xml:space="preserve">Trim_Note</t>
  </si>
  <si>
    <t xml:space="preserve">2023-28831</t>
  </si>
  <si>
    <t xml:space="preserve">Notice</t>
  </si>
  <si>
    <t xml:space="preserve">Medicare and Medicaid Programs; Application from the Community Health Accreditation Program (CHAP) for Continued Approval of Its Home Health Agency Accreditation Program</t>
  </si>
  <si>
    <t xml:space="preserve">This notice announces our decision to approve the Community Health Accreditation Program (CHAP) for continued recognition as a national accrediting organization for home health agencies (HHAs) that wish to participate in the Medicare or Medicaid programs.</t>
  </si>
  <si>
    <t xml:space="preserve">https://www.federalregister.gov/documents/2024/01/02/2023-28831/medicare-and-medicaid-programs-application-from-the-community-health-accreditation-program-chap-for</t>
  </si>
  <si>
    <t xml:space="preserve">Y</t>
  </si>
  <si>
    <t xml:space="preserve">2024-00205</t>
  </si>
  <si>
    <t xml:space="preserve">Medicaid and Children's Health Insurance Program (CHIP) Generic Information Collection Activities: Proposed Collection; Comment Request</t>
  </si>
  <si>
    <t xml:space="preserve">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</si>
  <si>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 xml:space="preserve">https://www.federalregister.gov/documents/2024/01/09/2024-00205/medicaid-and-childrens-health-insurance-program-chip-generic-information-collection-activities</t>
  </si>
  <si>
    <t xml:space="preserve">2024-00270</t>
  </si>
  <si>
    <t xml:space="preserve">Agency Information Collection Activities: Proposed Collection;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</si>
  <si>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</si>
  <si>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https://www.federalregister.gov/documents/2024/01/10/2024-00270/agency-information-collection-activities-proposed-collection-comment-request</t>
  </si>
  <si>
    <t xml:space="preserve">2024-00474</t>
  </si>
  <si>
    <t xml:space="preserve">part d(4); medicare advantage(1)</t>
  </si>
  <si>
    <t xml:space="preserve">Agency Information Collection Activities: Submission for OMB Review;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</si>
  <si>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</si>
  <si>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https://www.federalregister.gov/documents/2024/01/11/2024-00474/agency-information-collection-activities-submission-for-omb-review-comment-request</t>
  </si>
  <si>
    <t xml:space="preserve">SKIP</t>
  </si>
  <si>
    <t xml:space="preserve">PRA paperwork notice</t>
  </si>
  <si>
    <t xml:space="preserve">2024-00657</t>
  </si>
  <si>
    <t xml:space="preserve">dual eligible(3)</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</si>
  <si>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</si>
  <si>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https://www.federalregister.gov/documents/2024/01/16/2024-00657/agency-information-collection-activities-submission-for-omb-review-comment-request</t>
  </si>
  <si>
    <t xml:space="preserve">2024-00897</t>
  </si>
  <si>
    <t xml:space="preserve">ma organization(6); part c(1)</t>
  </si>
  <si>
    <t xml:space="preserve">https://www.federalregister.gov/documents/2024/01/18/2024-00897/agency-information-collection-activities-submission-for-omb-review-comment-request</t>
  </si>
  <si>
    <t xml:space="preserve">2024-01072</t>
  </si>
  <si>
    <t xml:space="preserve">Proposed Rule</t>
  </si>
  <si>
    <t xml:space="preserve">Federal Independent Dispute Resolution Operations; Reopening of Comment Period</t>
  </si>
  <si>
    <t xml:space="preserve">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</si>
  <si>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 xml:space="preserve">https://www.federalregister.gov/documents/2024/01/22/2024-01072/federal-independent-dispute-resolution-operations-reopening-of-comment-period</t>
  </si>
  <si>
    <t xml:space="preserve">2024-01383</t>
  </si>
  <si>
    <t xml:space="preserve">medicare advantage(2)</t>
  </si>
  <si>
    <t xml:space="preserve">https://www.federalregister.gov/documents/2024/01/25/2024-01383/agency-information-collection-activities-submission-for-omb-review-comment-request</t>
  </si>
  <si>
    <t xml:space="preserve">2024-01582</t>
  </si>
  <si>
    <t xml:space="preserve">part d(8); medicare advantage(4); part c(2)</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</si>
  <si>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</si>
  <si>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https://www.federalregister.gov/documents/2024/01/26/2024-01582/agency-information-collection-activities-proposed-collection-comment-request</t>
  </si>
  <si>
    <t xml:space="preserve">2024-01723</t>
  </si>
  <si>
    <t xml:space="preserve">part d(10)</t>
  </si>
  <si>
    <t xml:space="preserve">https://www.federalregister.gov/documents/2024/01/29/2024-01723/agency-information-collection-activities-proposed-collection-comment-request</t>
  </si>
  <si>
    <t xml:space="preserve">2024-01785</t>
  </si>
  <si>
    <t xml:space="preserve">medicare advantage(2); part d(1)</t>
  </si>
  <si>
    <t xml:space="preserve">Medicare and Medicaid Programs; Quarterly Listing of Program Issuances-October Through December 2023</t>
  </si>
  <si>
    <t xml:space="preserve">This quarterly notice lists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</si>
  <si>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https://www.federalregister.gov/documents/2024/01/30/2024-01785/medicare-and-medicaid-programs-quarterly-listing-of-program-issuances-october-through-december-2023</t>
  </si>
  <si>
    <t xml:space="preserve">catalog of issuances</t>
  </si>
  <si>
    <t xml:space="preserve">2024-00895</t>
  </si>
  <si>
    <t xml:space="preserve">Rule</t>
  </si>
  <si>
    <t xml:space="preserve">ma organization(237); part d(26); medicare advantage(15); d-snp(11); part c(9); special needs plan(4); dual eligible(2)</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</si>
  <si>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</si>
  <si>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 xml:space="preserve">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</si>
  <si>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 xml:space="preserve">https://www.federalregister.gov/documents/2024/02/08/2024-00895/medicare-and-medicaid-programs-patient-protection-and-affordable-care-act-advancing-interoperability</t>
  </si>
  <si>
    <t xml:space="preserve">HIGH</t>
  </si>
  <si>
    <t xml:space="preserve">core MA/Part D policy doc (strong kw=269)</t>
  </si>
  <si>
    <t xml:space="preserve">2024-01094</t>
  </si>
  <si>
    <t xml:space="preserve">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</si>
  <si>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 xml:space="preserve">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</si>
  <si>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 xml:space="preserve">https://www.federalregister.gov/documents/2024/01/31/2024-01094/medicare-program-calendar-year-cy-2024-home-health-hh-prospective-payment-system-rate-update-hh</t>
  </si>
  <si>
    <t xml:space="preserve">2024-01831</t>
  </si>
  <si>
    <t xml:space="preserve">https://www.federalregister.gov/documents/2024/01/31/2024-01831/agency-information-collection-activities-proposed-collection-comment-request</t>
  </si>
  <si>
    <t xml:space="preserve">2024-01942</t>
  </si>
  <si>
    <t xml:space="preserve">Clinical Laboratory Improvement Amendments of 1988 (CLIA) Fees; Histocompatibility, Personnel, and Alternative Sanctions for Certificate of Waiver Laboratories; Correction</t>
  </si>
  <si>
    <t xml:space="preserve">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</si>
  <si>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 xml:space="preserve">https://www.federalregister.gov/documents/2024/02/01/2024-01942/clinical-laboratory-improvement-amendments-of-1988-clia-fees-histocompatibility-personnel-and</t>
  </si>
  <si>
    <t xml:space="preserve">2024-02095</t>
  </si>
  <si>
    <t xml:space="preserve">part d(5); part c(1)</t>
  </si>
  <si>
    <t xml:space="preserve">https://www.federalregister.gov/documents/2024/02/02/2024-02095/agency-information-collection-activities-proposed-collection-comment-request</t>
  </si>
  <si>
    <t xml:space="preserve">2024-02243</t>
  </si>
  <si>
    <t xml:space="preserve">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</si>
  <si>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 xml:space="preserve">https://www.federalregister.gov/documents/2024/02/05/2024-02243/agency-information-collection-activities-proposed-collection-comment-request</t>
  </si>
  <si>
    <t xml:space="preserve">2024-02306</t>
  </si>
  <si>
    <t xml:space="preserve">ma organization(2)</t>
  </si>
  <si>
    <t xml:space="preserve">https://www.federalregister.gov/documents/2024/02/06/2024-02306/agency-information-collection-activities-submission-for-omb-review-comment-request</t>
  </si>
  <si>
    <t xml:space="preserve">2024-02342</t>
  </si>
  <si>
    <t xml:space="preserve">Medicare and Medicaid Programs; Application by DNV Healthcare USA Inc. (DNV) for Continued CMS Approval of Its Psychiatric Hospital Accreditation Program</t>
  </si>
  <si>
    <t xml:space="preserve">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</si>
  <si>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 xml:space="preserve">https://www.federalregister.gov/documents/2024/02/06/2024-02342/medicare-and-medicaid-programs-application-by-dnv-healthcare-usa-inc-dnv-for-continued-cms-approval</t>
  </si>
  <si>
    <t xml:space="preserve">2024-02444</t>
  </si>
  <si>
    <t xml:space="preserve">medicare advantage(2); part d(2)</t>
  </si>
  <si>
    <t xml:space="preserve">https://www.federalregister.gov/documents/2024/02/07/2024-02444/agency-information-collection-activities-proposed-collection-comment-request</t>
  </si>
  <si>
    <t xml:space="preserve">2024-02445</t>
  </si>
  <si>
    <t xml:space="preserve">https://www.federalregister.gov/documents/2024/02/07/2024-02445/agency-information-collection-activities-submission-for-omb-review-comment-request</t>
  </si>
  <si>
    <t xml:space="preserve">2024-07105</t>
  </si>
  <si>
    <t xml:space="preserve">part d(1594); d-snp(1275); ma organization(1179); c-snp(230); part c(202); medicare advantage(128); special needs plan(76); dual eligible(62); medigap(10); medicare supplement(2)</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</si>
  <si>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</si>
  <si>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</si>
  <si>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 xml:space="preserve">core MA/Part D policy doc (strong kw=2962)</t>
  </si>
  <si>
    <t xml:space="preserve">2024-02631</t>
  </si>
  <si>
    <t xml:space="preserve">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</si>
  <si>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 xml:space="preserve">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</si>
  <si>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 xml:space="preserve">https://www.federalregister.gov/documents/2024/02/09/2024-02631/medicare-program-hospital-outpatient-prospective-payment-and-ambulatory-surgical-center-payment</t>
  </si>
  <si>
    <t xml:space="preserve">2024-02662</t>
  </si>
  <si>
    <t xml:space="preserve">https://www.federalregister.gov/documents/2024/02/09/2024-02662/agency-information-collection-activities-proposed-collection-comment-request</t>
  </si>
  <si>
    <t xml:space="preserve">2024-02705</t>
  </si>
  <si>
    <t xml:space="preserve">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</si>
  <si>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 xml:space="preserve">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</si>
  <si>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 xml:space="preserve">https://www.federalregister.gov/documents/2024/02/12/2024-02705/medicare-and-medicaid-programs-cy-2024-payment-policies-under-the-physician-fee-schedule-and-other</t>
  </si>
  <si>
    <t xml:space="preserve">provider payment rule (MA mentions incidental)</t>
  </si>
  <si>
    <t xml:space="preserve">2024-02137</t>
  </si>
  <si>
    <t xml:space="preserve">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</si>
  <si>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</si>
  <si>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 xml:space="preserve">https://www.federalregister.gov/documents/2024/02/15/2024-02137/medicare-program-strengthening-oversight-of-accrediting-organizations-aos-and-preventing-ao-conflict</t>
  </si>
  <si>
    <t xml:space="preserve">2024-03294</t>
  </si>
  <si>
    <t xml:space="preserve">https://www.federalregister.gov/documents/2024/02/16/2024-03294/agency-information-collection-activities-proposed-collection-comment-request</t>
  </si>
  <si>
    <t xml:space="preserve">2024-03344</t>
  </si>
  <si>
    <t xml:space="preserve">medicare advantage(3); part c(3)</t>
  </si>
  <si>
    <t xml:space="preserve">https://www.federalregister.gov/documents/2024/02/20/2024-03344/agency-information-collection-activities-submission-for-omb-review-comment-request</t>
  </si>
  <si>
    <t xml:space="preserve">2024-03348</t>
  </si>
  <si>
    <t xml:space="preserve">https://www.federalregister.gov/documents/2024/02/20/2024-03348/agency-information-collection-activities-proposed-collection-comment-request</t>
  </si>
  <si>
    <t xml:space="preserve">2024-03363</t>
  </si>
  <si>
    <t xml:space="preserve">https://www.federalregister.gov/documents/2024/02/20/2024-03363/agency-information-collection-activities-submission-for-omb-review-comment-request</t>
  </si>
  <si>
    <t xml:space="preserve">2024-03476</t>
  </si>
  <si>
    <t xml:space="preserve">https://www.federalregister.gov/documents/2024/02/21/2024-03476/agency-information-collection-activities-submission-for-omb-review-comment-request</t>
  </si>
  <si>
    <t xml:space="preserve">2024-03542</t>
  </si>
  <si>
    <t xml:space="preserve">dual eligible(1)</t>
  </si>
  <si>
    <t xml:space="preserve">Medicaid Program; Disproportionate Share Hospital Third-Party Payer Rule</t>
  </si>
  <si>
    <t xml:space="preserve">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</si>
  <si>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 xml:space="preserve">https://www.federalregister.gov/documents/2024/02/23/2024-03542/medicaid-program-disproportionate-share-hospital-third-party-payer-rule</t>
  </si>
  <si>
    <t xml:space="preserve">2024-03675</t>
  </si>
  <si>
    <t xml:space="preserve">https://www.federalregister.gov/documents/2024/02/23/2024-03675/agency-information-collection-activities-submission-for-omb-review-comment-request</t>
  </si>
  <si>
    <t xml:space="preserve">2024-03676</t>
  </si>
  <si>
    <t xml:space="preserve">https://www.federalregister.gov/documents/2024/02/23/2024-03676/agency-information-collection-activities-proposed-collection-comment-request</t>
  </si>
  <si>
    <t xml:space="preserve">2024-03821</t>
  </si>
  <si>
    <t xml:space="preserve">Medicare and Medicaid Programs; Application From the Joint Commission for Continued CMS-Approval of Its Ambulatory Surgical Center Accreditation Program</t>
  </si>
  <si>
    <t xml:space="preserve">This notice acknowledges the receipt of an application from the Joint Commission for continued recognition as a national accrediting organization for Ambulatory Surgical Centers that wish to participate in the Medicare or Medicaid programs.</t>
  </si>
  <si>
    <t xml:space="preserve">https://www.federalregister.gov/documents/2024/02/26/2024-03821/medicare-and-medicaid-programs-application-from-the-joint-commission-for-continued-cms-approval-of</t>
  </si>
  <si>
    <t xml:space="preserve">2024-03866</t>
  </si>
  <si>
    <t xml:space="preserve">https://www.federalregister.gov/documents/2024/02/26/2024-03866/agency-information-collection-activities-submission-for-omb-review-comment-request</t>
  </si>
  <si>
    <t xml:space="preserve">2024-04151</t>
  </si>
  <si>
    <t xml:space="preserve">https://www.federalregister.gov/documents/2024/02/29/2024-04151/agency-information-collection-activities-proposed-collection-comment-request</t>
  </si>
  <si>
    <t xml:space="preserve">2024-04302</t>
  </si>
  <si>
    <t xml:space="preserve">part d(4); medicare advantage(2); part c(2); ma organization(1)</t>
  </si>
  <si>
    <t xml:space="preserve">https://www.federalregister.gov/documents/2024/02/29/2024-04302/agency-information-collection-activities-proposed-collection-comment-request</t>
  </si>
  <si>
    <t xml:space="preserve">2024-04341</t>
  </si>
  <si>
    <t xml:space="preserve">part d(5)</t>
  </si>
  <si>
    <t xml:space="preserve">https://www.federalregister.gov/documents/2024/03/01/2024-04341/agency-information-collection-activities-submission-for-omb-review-comment-request</t>
  </si>
  <si>
    <t xml:space="preserve">2024-04517</t>
  </si>
  <si>
    <t xml:space="preserve">part c(2)</t>
  </si>
  <si>
    <t xml:space="preserve">National Plan and Provider Enumeration System (NPPES) Data Changes</t>
  </si>
  <si>
    <t xml:space="preserve">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</si>
  <si>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 xml:space="preserve">https://www.federalregister.gov/documents/2024/03/04/2024-04517/national-plan-and-provider-enumeration-system-nppes-data-changes</t>
  </si>
  <si>
    <t xml:space="preserve">admin systems notice</t>
  </si>
  <si>
    <t xml:space="preserve">2024-04590</t>
  </si>
  <si>
    <t xml:space="preserve">https://www.federalregister.gov/documents/2024/03/05/2024-04590/clinical-laboratory-improvement-amendments-of-1988-clia-fees-histocompatibility-personnel-and</t>
  </si>
  <si>
    <t xml:space="preserve">2024-04591</t>
  </si>
  <si>
    <t xml:space="preserve">https://www.federalregister.gov/documents/2024/03/05/2024-04591/agency-information-collection-activities-submission-for-omb-review-comment-request</t>
  </si>
  <si>
    <t xml:space="preserve">2024-04674</t>
  </si>
  <si>
    <t xml:space="preserve">Medicare Program; Announcement of the Re-Approval of COLA Under the Clinical Laboratory Improvement Amendments of 1988</t>
  </si>
  <si>
    <t xml:space="preserve">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</si>
  <si>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 xml:space="preserve">https://www.federalregister.gov/documents/2024/03/06/2024-04674/medicare-program-announcement-of-the-re-approval-of-cola-under-the-clinical-laboratory-improvement</t>
  </si>
  <si>
    <t xml:space="preserve">2024-04878</t>
  </si>
  <si>
    <t xml:space="preserve">https://www.federalregister.gov/documents/2024/03/07/2024-04878/agency-information-collection-activities-proposed-collection-comment-request</t>
  </si>
  <si>
    <t xml:space="preserve">2024-05210</t>
  </si>
  <si>
    <t xml:space="preserve">Principles of Reasonable Cost Reimbursement; Payment for End-Stage Renal Disease Services; Prospectively Determined Payment Rates for Skilled Nursing Facilities; Payment for Acute Kidney Injury Dialysis</t>
  </si>
  <si>
    <t xml:space="preserve">https://www.federalregister.gov/documents/2024/03/11/2024-05210/principles-of-reasonable-cost-reimbursement-payment-for-end-stage-renal-disease-services</t>
  </si>
  <si>
    <t xml:space="preserve">2024-05291</t>
  </si>
  <si>
    <t xml:space="preserve">medicare advantage(3); part d(1)</t>
  </si>
  <si>
    <t xml:space="preserve">https://www.federalregister.gov/documents/2024/03/13/2024-05291/agency-information-collection-activities-proposed-collection-comment-request</t>
  </si>
  <si>
    <t xml:space="preserve">2024-05332</t>
  </si>
  <si>
    <t xml:space="preserve">https://www.federalregister.gov/documents/2024/03/13/2024-05332/agency-information-collection-activities-proposed-collection-comment-request</t>
  </si>
  <si>
    <t xml:space="preserve">2024-05622</t>
  </si>
  <si>
    <t xml:space="preserve">https://www.federalregister.gov/documents/2024/03/18/2024-05622/agency-information-collection-activities-submission-for-omb-review-comment-request</t>
  </si>
  <si>
    <t xml:space="preserve">2024-05710</t>
  </si>
  <si>
    <t xml:space="preserve">https://www.federalregister.gov/documents/2024/03/18/2024-05710/agency-information-collection-activities-proposed-collection-comment-request</t>
  </si>
  <si>
    <t xml:space="preserve">2024-05712</t>
  </si>
  <si>
    <t xml:space="preserve">ma organization(5); part d(2)</t>
  </si>
  <si>
    <t xml:space="preserve">https://www.federalregister.gov/documents/2024/03/18/2024-05712/agency-information-collection-activities-submission-for-omb-review-comment-request</t>
  </si>
  <si>
    <t xml:space="preserve">2024-05722</t>
  </si>
  <si>
    <t xml:space="preserve">https://www.federalregister.gov/documents/2024/03/18/2024-05722/medicaid-and-childrens-health-insurance-program-chip-generic-information-collection-activities</t>
  </si>
  <si>
    <t xml:space="preserve">2024-06144</t>
  </si>
  <si>
    <t xml:space="preserve">Medicare Program; Application by the Utilization Review Accreditation Commission (URAC) for Continued CMS Approval of Its Home Infusion Therapy (HIT) Accreditation Program</t>
  </si>
  <si>
    <t xml:space="preserve">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</si>
  <si>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 xml:space="preserve">https://www.federalregister.gov/documents/2024/03/22/2024-06144/medicare-program-application-by-the-utilization-review-accreditation-commission-urac-for-continued</t>
  </si>
  <si>
    <t xml:space="preserve">2024-06148</t>
  </si>
  <si>
    <t xml:space="preserve">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</si>
  <si>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</si>
  <si>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 xml:space="preserve">https://www.federalregister.gov/documents/2024/03/25/2024-06148/medicare-program-virtual-meeting-of-the-medicare-evidence-development-and-coverage-advisory</t>
  </si>
  <si>
    <t xml:space="preserve">2024-06239</t>
  </si>
  <si>
    <t xml:space="preserve">medicare advantage(2); ma organization(1)</t>
  </si>
  <si>
    <t xml:space="preserve">https://www.federalregister.gov/documents/2024/03/25/2024-06239/agency-information-collection-activities-proposed-collection-comment-request</t>
  </si>
  <si>
    <t xml:space="preserve">2024-06424</t>
  </si>
  <si>
    <t xml:space="preserve">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</si>
  <si>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</si>
  <si>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 xml:space="preserve">https://www.federalregister.gov/documents/2024/03/26/2024-06424/announcement-of-the-advisory-panel-on-outreach-and-education-apoe-in-person-meeting</t>
  </si>
  <si>
    <t xml:space="preserve">2024-06439</t>
  </si>
  <si>
    <t xml:space="preserve">https://www.federalregister.gov/documents/2024/03/27/2024-06439/agency-information-collection-activities-submission-for-omb-review-comment-request</t>
  </si>
  <si>
    <t xml:space="preserve">2024-06645</t>
  </si>
  <si>
    <t xml:space="preserve">https://www.federalregister.gov/documents/2024/03/28/2024-06645/agency-information-collection-activities-proposed-collection-comment-request</t>
  </si>
  <si>
    <t xml:space="preserve">2024-06647</t>
  </si>
  <si>
    <t xml:space="preserve">https://www.federalregister.gov/documents/2024/03/28/2024-06647/agency-information-collection-activities-submission-for-omb-review-comment-request</t>
  </si>
  <si>
    <t xml:space="preserve">2024-06550</t>
  </si>
  <si>
    <t xml:space="preserve">part c(2); medicare advantage(1)</t>
  </si>
  <si>
    <t xml:space="preserve">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</si>
  <si>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</si>
  <si>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 xml:space="preserve">https://www.federalregister.gov/documents/2024/03/29/2024-06550/medicare-program-inpatient-rehabilitation-facility-prospective-payment-system-for-federal-fiscal</t>
  </si>
  <si>
    <t xml:space="preserve">2024-06802</t>
  </si>
  <si>
    <t xml:space="preserve">Medicare, Medicaid, and CLIA Programs; Clinical Laboratory Improvement Amendments of 1988 Exemption of Laboratories Licensed by the State of Washington</t>
  </si>
  <si>
    <t xml:space="preserve">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</si>
  <si>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 xml:space="preserve">https://www.federalregister.gov/documents/2024/04/01/2024-06802/medicare-medicaid-and-clia-programs-clinical-laboratory-improvement-amendments-of-1988-exemption-of</t>
  </si>
  <si>
    <t xml:space="preserve">2024-27939</t>
  </si>
  <si>
    <t xml:space="preserve">part d(1832); ma organization(684); d-snp(147); medicare advantage(96); part c(84); medigap(54); special needs plan(17); dual eligible(13); medicare supplement(2); c-snp(1)</t>
  </si>
  <si>
    <t xml:space="preserve">Medicare and Medicaid Programs; Contract Year 2026 Policy and Technical Changes to the Medicare Advantage Program, Medicare Prescription Drug Benefit Program, Medicare Cost Plan Program, and Programs of All-Inclusive Care for the Elderly</t>
  </si>
  <si>
    <t xml:space="preserve">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</si>
  <si>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 xml:space="preserve">https://www.federalregister.gov/documents/2024/12/10/2024-27939/medicare-and-medicaid-programs-contract-year-2026-policy-and-technical-changes-to-the-medicare</t>
  </si>
  <si>
    <t xml:space="preserve">core MA/Part D policy doc (strong kw=1014)</t>
  </si>
  <si>
    <t xml:space="preserve">2024-06764</t>
  </si>
  <si>
    <t xml:space="preserve">part d(1)</t>
  </si>
  <si>
    <t xml:space="preserve">Medicare Program; FY 2025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</si>
  <si>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</si>
  <si>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 xml:space="preserve">https://www.federalregister.gov/documents/2024/04/03/2024-06764/medicare-program-fy-2025-inpatient-psychiatric-facilities-prospective-payment-system-rate-update</t>
  </si>
  <si>
    <t xml:space="preserve">2024-06812</t>
  </si>
  <si>
    <t xml:space="preserve">dual eligible(13); part d(5); part c(2)</t>
  </si>
  <si>
    <t xml:space="preserve">Medicare Program; Prospective Payment System and Consolidated Billing for Skilled Nursing Facilities; Updates to the Quality Reporting Program and Value-Based Purchasing Program for Federal Fiscal Year 2025</t>
  </si>
  <si>
    <t xml:space="preserve">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</si>
  <si>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 xml:space="preserve">https://www.federalregister.gov/documents/2024/04/03/2024-06812/medicare-program-prospective-payment-system-and-consolidated-billing-for-skilled-nursing-facilities</t>
  </si>
  <si>
    <t xml:space="preserve">2024-06921</t>
  </si>
  <si>
    <t xml:space="preserve">medicare advantage(1)</t>
  </si>
  <si>
    <t xml:space="preserve">Medicare Program; FY 2025 Hospice Wage Index and Payment Rate Update, Hospice Conditions of Participation Updates, and Hospice Quality Reporting Program Requirements</t>
  </si>
  <si>
    <t xml:space="preserve">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</si>
  <si>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 xml:space="preserve">https://www.federalregister.gov/documents/2024/04/04/2024-06921/medicare-program-fy-2025-hospice-wage-index-and-payment-rate-update-hospice-conditions-of</t>
  </si>
  <si>
    <t xml:space="preserve">2024-07162</t>
  </si>
  <si>
    <t xml:space="preserve">https://www.federalregister.gov/documents/2024/04/04/2024-07162/agency-information-collection-activities-proposed-collection-comment-request</t>
  </si>
  <si>
    <t xml:space="preserve">2024-07202</t>
  </si>
  <si>
    <t xml:space="preserve">medicare advantage(2); part c(2); part d(2)</t>
  </si>
  <si>
    <t xml:space="preserve">https://www.federalregister.gov/documents/2024/04/05/2024-07202/agency-information-collection-activities-proposed-collection-comment-request</t>
  </si>
  <si>
    <t xml:space="preserve">2024-07393</t>
  </si>
  <si>
    <t xml:space="preserve">https://www.federalregister.gov/documents/2024/04/08/2024-07393/agency-information-collection-activities-submission-for-omb-review-comment-request</t>
  </si>
  <si>
    <t xml:space="preserve">2024-07415</t>
  </si>
  <si>
    <t xml:space="preserve">https://www.federalregister.gov/documents/2024/04/08/2024-07415/agency-information-collection-activities-submission-for-omb-review-comment-request</t>
  </si>
  <si>
    <t xml:space="preserve">2024-07429</t>
  </si>
  <si>
    <t xml:space="preserve">part d(7); medicare advantage(2); part c(1)</t>
  </si>
  <si>
    <t xml:space="preserve">https://www.federalregister.gov/documents/2024/04/08/2024-07429/agency-information-collection-activities-submission-for-omb-review-comment-request</t>
  </si>
  <si>
    <t xml:space="preserve">2024-07522</t>
  </si>
  <si>
    <t xml:space="preserve">Medicare Program; Prospective Payment System and Consolidated Billing for Skilled Nursing Facilities; Updates to the Quality Reporting Program and Value-Based Purchasing Program for Federal Fiscal Year 2024; Corrections</t>
  </si>
  <si>
    <t xml:space="preserve">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</si>
  <si>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 xml:space="preserve">https://www.federalregister.gov/documents/2024/04/10/2024-07522/medicare-program-prospective-payment-system-and-consolidated-billing-for-skilled-nursing-facilities</t>
  </si>
  <si>
    <t xml:space="preserve">2024-07790</t>
  </si>
  <si>
    <t xml:space="preserve">part d(7)</t>
  </si>
  <si>
    <t xml:space="preserve">https://www.federalregister.gov/documents/2024/04/12/2024-07790/agency-information-collection-activities-proposed-collection-comment-request</t>
  </si>
  <si>
    <t xml:space="preserve">2025-06008</t>
  </si>
  <si>
    <t xml:space="preserve">part d(1225); ma organization(418); d-snp(175); part c(69); medicare advantage(38); dual eligible(14); special needs plan(13); c-snp(7); medicare supplement(1)</t>
  </si>
  <si>
    <t xml:space="preserve">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</si>
  <si>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 xml:space="preserve">https://www.federalregister.gov/documents/2025/04/15/2025-06008/medicare-and-medicaid-programs-contract-year-2026-policy-and-technical-changes-to-the-medicare</t>
  </si>
  <si>
    <t xml:space="preserve">core MA/Part D policy doc (strong kw=666)</t>
  </si>
  <si>
    <t xml:space="preserve">2024-07884</t>
  </si>
  <si>
    <t xml:space="preserve">Medicare Program; Application by the Accreditation Commission for Health Care (ACHC) for Continued CMS Approval of Its Home Infusion Therapy (HIT) Accreditation Program</t>
  </si>
  <si>
    <t xml:space="preserve">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</si>
  <si>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 xml:space="preserve">https://www.federalregister.gov/documents/2024/04/15/2024-07884/medicare-program-application-by-the-accreditation-commission-for-health-care-achc-for-continued-cms</t>
  </si>
  <si>
    <t xml:space="preserve">2024-08005</t>
  </si>
  <si>
    <t xml:space="preserve">Public Meeting on June 25, 2024 Regarding New and Reconsidered Clinical Diagnostic Laboratory Test Codes for the Clinical Laboratory Fee Schedule for Calendar Year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</si>
  <si>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</si>
  <si>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 xml:space="preserve">https://www.federalregister.gov/documents/2024/04/16/2024-08005/public-meeting-on-june-25-2024-regarding-new-and-reconsidered-clinical-diagnostic-laboratory-test</t>
  </si>
  <si>
    <t xml:space="preserve">2024-08008</t>
  </si>
  <si>
    <t xml:space="preserve">Medicare Program; Meeting Announcement for the Medicare Advisory Panel on Clinical Diagnostic Laboratory Tests, July 25-26, 2024</t>
  </si>
  <si>
    <t xml:space="preserve">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</si>
  <si>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https://www.federalregister.gov/documents/2024/04/16/2024-08008/medicare-program-meeting-announcement-for-the-medicare-advisory-panel-on-clinical-diagnostic</t>
  </si>
  <si>
    <t xml:space="preserve">2024-08011</t>
  </si>
  <si>
    <t xml:space="preserve">https://www.federalregister.gov/documents/2024/04/16/2024-08011/agency-information-collection-activities-proposed-collection-comment-request</t>
  </si>
  <si>
    <t xml:space="preserve">2024-08164</t>
  </si>
  <si>
    <t xml:space="preserve">https://www.federalregister.gov/documents/2024/04/17/2024-08164/agency-information-collection-activities-submission-for-omb-review-comment-request</t>
  </si>
  <si>
    <t xml:space="preserve">2024-08223</t>
  </si>
  <si>
    <t xml:space="preserve">https://www.federalregister.gov/documents/2024/04/18/2024-08223/agency-information-collection-activities-proposed-collection-comment-request</t>
  </si>
  <si>
    <t xml:space="preserve">2024-08551</t>
  </si>
  <si>
    <t xml:space="preserve">Medicare Program Public Meeting for New Revisions to the Healthcare Common Procedure Coding System (HCPCS) Coding-May 28-30, 2024</t>
  </si>
  <si>
    <t xml:space="preserve">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</si>
  <si>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https://www.federalregister.gov/documents/2024/04/22/2024-08551/medicare-program-public-meeting-for-new-revisions-to-the-healthcare-common-procedure-coding-system</t>
  </si>
  <si>
    <t xml:space="preserve">2025-18236</t>
  </si>
  <si>
    <t xml:space="preserve">ma organization(92); medicare advantage(9); part d(2); part c(1)</t>
  </si>
  <si>
    <t xml:space="preserve">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</si>
  <si>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 xml:space="preserve">This final rule implements Medicare Advantage disclosure requirement changes.</t>
  </si>
  <si>
    <t xml:space="preserve">core MA/Part D policy doc (strong kw=101)</t>
  </si>
  <si>
    <t xml:space="preserve">2024-08658</t>
  </si>
  <si>
    <t xml:space="preserve">https://www.federalregister.gov/documents/2024/04/23/2024-08658/agency-information-collection-activities-submission-for-omb-review-comment-request</t>
  </si>
  <si>
    <t xml:space="preserve">2024-08809</t>
  </si>
  <si>
    <t xml:space="preserve">Announcement of the Re-Approval of AABB (Association for the Advancement of Blood and Biotherapies) as an Accreditation Organization Under the Clinical Laboratory Improvement Amendments of 1988</t>
  </si>
  <si>
    <t xml:space="preserve">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</si>
  <si>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 xml:space="preserve">https://www.federalregister.gov/documents/2024/04/25/2024-08809/announcement-of-the-re-approval-of-aabb-association-for-the-advancement-of-blood-and-biotherapies-as</t>
  </si>
  <si>
    <t xml:space="preserve">2024-08828</t>
  </si>
  <si>
    <t xml:space="preserve">https://www.federalregister.gov/documents/2024/04/25/2024-08828/agency-information-collection-activities-submission-for-omb-review-comment-request</t>
  </si>
  <si>
    <t xml:space="preserve">2024-08921</t>
  </si>
  <si>
    <t xml:space="preserve">https://www.federalregister.gov/documents/2024/04/26/2024-08921/agency-information-collection-activities-proposed-collection-comment-request</t>
  </si>
  <si>
    <t xml:space="preserve">2024-09040</t>
  </si>
  <si>
    <t xml:space="preserve">https://www.federalregister.gov/documents/2024/04/26/2024-09040/agency-information-collection-activities-proposed-collection-comment-request</t>
  </si>
  <si>
    <t xml:space="preserve">2024-09041</t>
  </si>
  <si>
    <t xml:space="preserve">https://www.federalregister.gov/documents/2024/04/26/2024-09041/agency-information-collection-activities-proposed-collection-comment-request</t>
  </si>
  <si>
    <t xml:space="preserve">2024-09044</t>
  </si>
  <si>
    <t xml:space="preserve">Medicare Program; Application by the National Association of Boards of Pharmacy (NABP) for Continued CMS Approval of its Home Infusion Therapy (HIT) Accreditation Program</t>
  </si>
  <si>
    <t xml:space="preserve">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</si>
  <si>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 xml:space="preserve">https://www.federalregister.gov/documents/2024/04/26/2024-09044/medicare-program-application-by-the-national-association-of-boards-of-pharmacy-nabp-for-continued</t>
  </si>
  <si>
    <t xml:space="preserve">2024-09165</t>
  </si>
  <si>
    <t xml:space="preserve">Medicare and Medicaid Programs; Quarterly Listing of Program Issuances-January through March 2024</t>
  </si>
  <si>
    <t xml:space="preserve">https://www.federalregister.gov/documents/2024/04/29/2024-09165/medicare-and-medicaid-programs-quarterly-listing-of-program-issuances-january-through-march-2024</t>
  </si>
  <si>
    <t xml:space="preserve">2024-09172</t>
  </si>
  <si>
    <t xml:space="preserve">Medicare Program; Application by The Compliance Team (TCT) for Continued CMS Approval of its Home Infusion Therapy (HIT) Accreditation Program</t>
  </si>
  <si>
    <t xml:space="preserve">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</si>
  <si>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 xml:space="preserve">https://www.federalregister.gov/documents/2024/04/29/2024-09172/medicare-program-application-by-the-compliance-team-tct-for-continued-cms-approval-of-its-home</t>
  </si>
  <si>
    <t xml:space="preserve">2024-09176</t>
  </si>
  <si>
    <t xml:space="preserve">Medicare Program; Application by the Community Health Accreditation Partner (CHAP) for Continued CMS Approval of Its Home Infusion Therapy (HIT) Accreditation Program</t>
  </si>
  <si>
    <t xml:space="preserve">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</si>
  <si>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 xml:space="preserve">https://www.federalregister.gov/documents/2024/04/30/2024-09176/medicare-program-application-by-the-community-health-accreditation-partner-chap-for-continued-cms</t>
  </si>
  <si>
    <t xml:space="preserve">2024-09314</t>
  </si>
  <si>
    <t xml:space="preserve">https://www.federalregister.gov/documents/2024/04/30/2024-09314/agency-information-collection-activities-submission-for-omb-review-comment-request</t>
  </si>
  <si>
    <t xml:space="preserve">2024-09426</t>
  </si>
  <si>
    <t xml:space="preserve">Medicare and Medicaid Programs: Application From the Joint Commission for Initial CMS-Approval of Its Rural Health Clinic (RHC) Accreditation Program</t>
  </si>
  <si>
    <t xml:space="preserve">This final notice announces our decision to approve The Joint Commission (TJC) for initial recognition as a national accrediting organization (AO) for rural health clinics (RHCs) that wish to participate in the Medicare or Medicaid programs.</t>
  </si>
  <si>
    <t xml:space="preserve">https://www.federalregister.gov/documents/2024/05/01/2024-09426/medicare-and-medicaid-programs-application-from-the-joint-commission-for-initial-cms-approval-of-its</t>
  </si>
  <si>
    <t xml:space="preserve">2024-07567</t>
  </si>
  <si>
    <t xml:space="preserve">medicare advantage(25); part d(16); dual eligible(4); part c(1)</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</si>
  <si>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</si>
  <si>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</si>
  <si>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 xml:space="preserve">https://www.federalregister.gov/documents/2024/05/02/2024-07567/medicare-and-medicaid-programs-and-the-childrens-health-insurance-program-hospital-inpatient</t>
  </si>
  <si>
    <t xml:space="preserve">2024-09699</t>
  </si>
  <si>
    <t xml:space="preserve">part d(3)</t>
  </si>
  <si>
    <t xml:space="preserve">https://www.federalregister.gov/documents/2024/05/03/2024-09699/agency-information-collection-activities-proposed-collection-comment-request</t>
  </si>
  <si>
    <t xml:space="preserve">2025-21456</t>
  </si>
  <si>
    <t xml:space="preserve">part d(1031); d-snp(307); ma organization(250); c-snp(118); medicare advantage(88); part c(74); dual eligible(27); special needs plan(21); medigap(4); medicare supplement(3)</t>
  </si>
  <si>
    <t xml:space="preserve">Medicare Program; Contract Year 2027 Policy and Technical Changes to the Medicare Advantage Program, Medicare Prescription Drug Benefit Program, and Medicare Cost Plan Program</t>
  </si>
  <si>
    <t xml:space="preserve">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</si>
  <si>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https://www.federalregister.gov/documents/2025/11/28/2025-21456/medicare-program-contract-year-2027-policy-and-technical-changes-to-the-medicare-advantage-program</t>
  </si>
  <si>
    <t xml:space="preserve">core MA/Part D policy doc (strong kw=818)</t>
  </si>
  <si>
    <t xml:space="preserve">2024-09745</t>
  </si>
  <si>
    <t xml:space="preserve">https://www.federalregister.gov/documents/2024/05/06/2024-09745/agency-information-collection-activities-proposed-collection-comment-request</t>
  </si>
  <si>
    <t xml:space="preserve">2024-09750</t>
  </si>
  <si>
    <t xml:space="preserve">Inflation Reduction Act (IRA) Medicare Drug Price Negotiation Program Draft Guidance; Comment Request</t>
  </si>
  <si>
    <t xml:space="preserve">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</si>
  <si>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 xml:space="preserve">https://www.federalregister.gov/documents/2024/05/06/2024-09750/inflation-reduction-act-ira-medicare-drug-price-negotiation-program-draft-guidance-comment-request</t>
  </si>
  <si>
    <t xml:space="preserve">2024-09812</t>
  </si>
  <si>
    <t xml:space="preserve">part d(9); medicare advantage(2)</t>
  </si>
  <si>
    <t xml:space="preserve">https://www.federalregister.gov/documents/2024/05/06/2024-09812/agency-information-collection-activities-proposed-collection-comment-request</t>
  </si>
  <si>
    <t xml:space="preserve">2026-06600</t>
  </si>
  <si>
    <t xml:space="preserve">part d(1204); d-snp(543); ma organization(435); medicare advantage(108); part c(104); c-snp(46); dual eligible(30); special needs plan(23); medicare supplement(2)</t>
  </si>
  <si>
    <t xml:space="preserve">Medicare Program; Contract Year 2027 and Certain Contract Year 2026 Policy and Technical Changes to the Medicare Advantage Program, Medicare Prescription Drug Benefit Program, and Medicare Cost Plan Program</t>
  </si>
  <si>
    <t xml:space="preserve">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</si>
  <si>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https://www.federalregister.gov/documents/2026/04/06/2026-06600/medicare-program-contract-year-2027-and-certain-contract-year-2026-policy-and-technical-changes-to</t>
  </si>
  <si>
    <t xml:space="preserve">core MA/Part D policy doc (strong kw=1187)</t>
  </si>
  <si>
    <t xml:space="preserve">2024-09998</t>
  </si>
  <si>
    <t xml:space="preserve">https://www.federalregister.gov/documents/2024/05/08/2024-09998/agency-information-collection-activities-submission-for-omb-review-comment-request</t>
  </si>
  <si>
    <t xml:space="preserve">2026-07205</t>
  </si>
  <si>
    <t xml:space="preserve">ma organization(199); part d(86); medicare advantage(19); part c(18); special needs plan(2); d-snp(2); dual eligible(2); medigap(2); medicare supplement(1)</t>
  </si>
  <si>
    <t xml:space="preserve">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</si>
  <si>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</si>
  <si>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 xml:space="preserve">https://www.federalregister.gov/documents/2026/04/14/2026-07205/medicare-and-medicaid-programs-patient-protection-and-affordable-care-act-interoperability-standards</t>
  </si>
  <si>
    <t xml:space="preserve">core MA/Part D policy doc (strong kw=227)</t>
  </si>
  <si>
    <t xml:space="preserve">2024-08273</t>
  </si>
  <si>
    <t xml:space="preserve">Medicare and Medicaid Programs; Minimum Staffing Standards for Long-Term Care Facilities and Medicaid Institutional Payment Transparency Reporting</t>
  </si>
  <si>
    <t xml:space="preserve">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</si>
  <si>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 xml:space="preserve">https://www.federalregister.gov/documents/2024/05/10/2024-08273/medicare-and-medicaid-programs-minimum-staffing-standards-for-long-term-care-facilities-and-medicaid</t>
  </si>
  <si>
    <t xml:space="preserve">2024-07274</t>
  </si>
  <si>
    <t xml:space="preserve">medicare advantage(33); part c(10); part d(7)</t>
  </si>
  <si>
    <t xml:space="preserve">Patient Protection and Affordable Care Act, HHS Notice of Benefit and Payment Parameters for 2025; Updating Section 1332 Waiver Public Notice Procedures; Medicaid; Consumer Operated and Oriented Plan (CO-OP) Program; and Basic Health Program</t>
  </si>
  <si>
    <t xml:space="preserve">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</si>
  <si>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 xml:space="preserve">https://www.federalregister.gov/documents/2024/04/15/2024-07274/patient-protection-and-affordable-care-act-hhs-notice-of-benefit-and-payment-parameters-for-2025</t>
  </si>
  <si>
    <t xml:space="preserve">MEDIUM</t>
  </si>
  <si>
    <t xml:space="preserve">skim - moderate MA/SNP relevance (strong kw=33)</t>
  </si>
  <si>
    <t xml:space="preserve">2024-10250</t>
  </si>
  <si>
    <t xml:space="preserve">Medicare and Medicaid Programs: Application From The Compliance Team (TCT) for Continued Approval of Its Rural Health Clinic (RHC) Accreditation Program</t>
  </si>
  <si>
    <t xml:space="preserve">This final notice announces our decision to approve The Compliance Team (TCT) for continued recognition as a national accrediting organization (AO) for Rural Health Clinics (RHCs) that wish to participate in the Medicare or Medicaid programs.</t>
  </si>
  <si>
    <t xml:space="preserve">https://www.federalregister.gov/documents/2024/05/10/2024-10250/medicare-and-medicaid-programs-application-from-the-compliance-team-tct-for-continued-approval-of</t>
  </si>
  <si>
    <t xml:space="preserve">2024-10255</t>
  </si>
  <si>
    <t xml:space="preserve">https://www.federalregister.gov/documents/2024/05/10/2024-10255/agency-information-collection-activities-submission-for-omb-review-comment-request</t>
  </si>
  <si>
    <t xml:space="preserve">2024-10256</t>
  </si>
  <si>
    <t xml:space="preserve">https://www.federalregister.gov/documents/2024/05/10/2024-10256/agency-information-collection-activities-proposed-collection-comment-request</t>
  </si>
  <si>
    <t xml:space="preserve">2024-10356</t>
  </si>
  <si>
    <t xml:space="preserve">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</si>
  <si>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 xml:space="preserve">This document announces the updated Healthcare Common Procedure Coding System (HCPCS) codes on the Master List. It also announces updates to the HCPCS codes on the Required Face-to-Face and Written Order Prior to Delivery List and the Required Prior Authorization List.</t>
  </si>
  <si>
    <t xml:space="preserve">https://www.federalregister.gov/documents/2024/05/13/2024-10356/medicare-program-updates-to-the-master-list-of-items-potentially-subject-to-face-to-face-encounter</t>
  </si>
  <si>
    <t xml:space="preserve">2024-10541</t>
  </si>
  <si>
    <t xml:space="preserve">https://www.federalregister.gov/documents/2024/05/14/2024-10541/agency-information-collection-activities-submission-for-omb-review-comment-request</t>
  </si>
  <si>
    <t xml:space="preserve">2024-10545</t>
  </si>
  <si>
    <t xml:space="preserve">https://www.federalregister.gov/documents/2024/05/14/2024-10545/agency-information-collection-activities-proposed-collection-comment-request</t>
  </si>
  <si>
    <t xml:space="preserve">2024-10771</t>
  </si>
  <si>
    <t xml:space="preserve">https://www.federalregister.gov/documents/2024/05/16/2024-10771/agency-information-collection-activities-proposed-collection-comment-request</t>
  </si>
  <si>
    <t xml:space="preserve">2024-10784</t>
  </si>
  <si>
    <t xml:space="preserve">https://www.federalregister.gov/documents/2024/05/16/2024-10784/agency-information-collection-activities-submission-for-omb-review-comment-request</t>
  </si>
  <si>
    <t xml:space="preserve">2024-09989</t>
  </si>
  <si>
    <t xml:space="preserve">part d(70); medicare advantage(1); dual eligible(1); medigap(1)</t>
  </si>
  <si>
    <t xml:space="preserve">Medicare Program; Alternative Payment Model Updates and the Increasing Organ Transplant Access (IOTA) Model</t>
  </si>
  <si>
    <t xml:space="preserve">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</si>
  <si>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 xml:space="preserve">https://www.federalregister.gov/documents/2024/05/17/2024-09989/medicare-program-alternative-payment-model-updates-and-the-increasing-organ-transplant-access-iota</t>
  </si>
  <si>
    <t xml:space="preserve">2024-10900</t>
  </si>
  <si>
    <t xml:space="preserve">https://www.federalregister.gov/documents/2024/05/17/2024-10900/agency-information-collection-activities-proposed-collection-comment-request</t>
  </si>
  <si>
    <t xml:space="preserve">2024-11041</t>
  </si>
  <si>
    <t xml:space="preserve">https://www.federalregister.gov/documents/2024/05/21/2024-11041/agency-information-collection-activities-proposed-collection-comment-request</t>
  </si>
  <si>
    <t xml:space="preserve">2024-11131</t>
  </si>
  <si>
    <t xml:space="preserve">https://www.federalregister.gov/documents/2024/05/21/2024-11131/agency-information-collection-activities-proposed-collection-comment-request</t>
  </si>
  <si>
    <t xml:space="preserve">2024-11291</t>
  </si>
  <si>
    <t xml:space="preserve">https://www.federalregister.gov/documents/2024/05/23/2024-11291/agency-information-collection-activities-submission-for-omb-review-comment-request</t>
  </si>
  <si>
    <t xml:space="preserve">2024-11351</t>
  </si>
  <si>
    <t xml:space="preserve">Privacy Act of 1974; Matching Program</t>
  </si>
  <si>
    <t xml:space="preserve">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</si>
  <si>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 xml:space="preserve">https://www.federalregister.gov/documents/2024/05/23/2024-11351/privacy-act-of-1974-matching-program</t>
  </si>
  <si>
    <t xml:space="preserve">2024-11397</t>
  </si>
  <si>
    <t xml:space="preserve">part d(4); part c(1)</t>
  </si>
  <si>
    <t xml:space="preserve">https://www.federalregister.gov/documents/2024/05/24/2024-11397/agency-information-collection-activities-submission-for-omb-review-comment-request</t>
  </si>
  <si>
    <t xml:space="preserve">2024-11421</t>
  </si>
  <si>
    <t xml:space="preserve">Medicare Program; Announcement of the Re-Approval of the Joint Commission as an Accreditation Organization Under the Clinical Laboratory Improvement Amendments of 1988</t>
  </si>
  <si>
    <t xml:space="preserve">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</si>
  <si>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 xml:space="preserve">https://www.federalregister.gov/documents/2024/05/24/2024-11421/medicare-program-announcement-of-the-re-approval-of-the-joint-commission-as-an-accreditation</t>
  </si>
  <si>
    <t xml:space="preserve">2024-11473</t>
  </si>
  <si>
    <t xml:space="preserve">Announcement of the Advisory Panel on Outreach and Education (APOE) Virtual Meeting</t>
  </si>
  <si>
    <t xml:space="preserve">https://www.federalregister.gov/documents/2024/05/24/2024-11473/announcement-of-the-advisory-panel-on-outreach-and-education-apoe-virtual-meeting</t>
  </si>
  <si>
    <t xml:space="preserve">2024-11676</t>
  </si>
  <si>
    <t xml:space="preserve">part d(3); medicare advantage(1); ma organization(1); part c(1)</t>
  </si>
  <si>
    <t xml:space="preserve">https://www.federalregister.gov/documents/2024/05/28/2024-11676/agency-information-collection-activities-submission-for-omb-review-comment-request</t>
  </si>
  <si>
    <t xml:space="preserve">2024-11741</t>
  </si>
  <si>
    <t xml:space="preserve">https://www.federalregister.gov/documents/2024/05/29/2024-11741/agency-information-collection-activities-submission-for-omb-review-comment-request</t>
  </si>
  <si>
    <t xml:space="preserve">2024-11978</t>
  </si>
  <si>
    <t xml:space="preserve">https://www.federalregister.gov/documents/2024/05/31/2024-11978/agency-information-collection-activities-submission-for-omb-review-comment-request</t>
  </si>
  <si>
    <t xml:space="preserve">2024-12122</t>
  </si>
  <si>
    <t xml:space="preserve">https://www.federalregister.gov/documents/2024/06/03/2024-12122/agency-information-collection-activities-submission-for-omb-review-comment-request</t>
  </si>
  <si>
    <t xml:space="preserve">2024-12157</t>
  </si>
  <si>
    <t xml:space="preserve">https://www.federalregister.gov/documents/2024/06/04/2024-12157/agency-information-collection-activities-proposed-collection-comment-request</t>
  </si>
  <si>
    <t xml:space="preserve">2024-12164</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</si>
  <si>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</si>
  <si>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 xml:space="preserve">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</si>
  <si>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https://www.federalregister.gov/documents/2024/06/04/2024-12164/medicare-and-medicaid-programs-and-the-childrens-health-insurance-program-hospital-inpatient</t>
  </si>
  <si>
    <t xml:space="preserve">2024-12495</t>
  </si>
  <si>
    <t xml:space="preserve">Medicare and Medicaid Programs: Application by the Community Health Accreditation Partner (CHAP) Inc. for Continued CMS-Approval of Its Hospice Accreditation Program</t>
  </si>
  <si>
    <t xml:space="preserve">This notice acknowledges the receipt of an application from the Community Health Accreditation Partner for continued recognition as a national accrediting organization for hospices that wish to participate in the Medicare or Medicaid programs.</t>
  </si>
  <si>
    <t xml:space="preserve">https://www.federalregister.gov/documents/2024/06/07/2024-12495/medicare-and-medicaid-programs-application-by-the-community-health-accreditation-partner-chap-inc</t>
  </si>
  <si>
    <t xml:space="preserve">2024-12583</t>
  </si>
  <si>
    <t xml:space="preserve">https://www.federalregister.gov/documents/2024/06/10/2024-12583/agency-information-collection-activities-proposed-collection-comment-request</t>
  </si>
  <si>
    <t xml:space="preserve">2024-12585</t>
  </si>
  <si>
    <t xml:space="preserve">medicare advantage(1); ma organization(1)</t>
  </si>
  <si>
    <t xml:space="preserve">https://www.federalregister.gov/documents/2024/06/10/2024-12585/agency-information-collection-activities-submission-for-omb-review-comment-request</t>
  </si>
  <si>
    <t xml:space="preserve">2024-12637</t>
  </si>
  <si>
    <t xml:space="preserve">https://www.federalregister.gov/documents/2024/06/10/2024-12637/agency-information-collection-activities-proposed-collection-comment-request</t>
  </si>
  <si>
    <t xml:space="preserve">2024-12774</t>
  </si>
  <si>
    <t xml:space="preserve">https://www.federalregister.gov/documents/2024/06/11/2024-12774/agency-information-collection-activities-submission-for-omb-review-comment-request</t>
  </si>
  <si>
    <t xml:space="preserve">2024-12994</t>
  </si>
  <si>
    <t xml:space="preserve">Medicare and Medicaid Programs: Application by the American Association for Accreditation of Ambulatory Surgery Facilities dba QUAD A for Continued CMS Approval of Its Ambulatory Surgical Center (ASC) Accreditation Program</t>
  </si>
  <si>
    <t xml:space="preserve">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</si>
  <si>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https://www.federalregister.gov/documents/2024/06/13/2024-12994/medicare-and-medicaid-programs-application-by-the-american-association-for-accreditation-of</t>
  </si>
  <si>
    <t xml:space="preserve">2024-12995</t>
  </si>
  <si>
    <t xml:space="preserve">Medicare and Medicaid Programs: Application by the DNV Healthcare USA, Inc. for Continued CMS-Approval of Its Critical Access Hospital Accreditation Program</t>
  </si>
  <si>
    <t xml:space="preserve">This notice acknowledges the receipt of an application from the DNV Healthcare USA, Inc. for continued recognition as a national accrediting organization for critical access hospitals that wish to participate in the Medicare or Medicaid programs.</t>
  </si>
  <si>
    <t xml:space="preserve">https://www.federalregister.gov/documents/2024/06/13/2024-12995/medicare-and-medicaid-programs-application-by-the-dnv-healthcare-usa-inc-for-continued-cms-approval</t>
  </si>
  <si>
    <t xml:space="preserve">2024-13032</t>
  </si>
  <si>
    <t xml:space="preserve">https://www.federalregister.gov/documents/2024/06/13/2024-13032/agency-information-collection-activities-proposed-collection-comment-request</t>
  </si>
  <si>
    <t xml:space="preserve">2024-13127</t>
  </si>
  <si>
    <t xml:space="preserve">https://www.federalregister.gov/documents/2024/06/13/2024-13127/agency-information-collection-activities-proposed-collection-comment-request</t>
  </si>
  <si>
    <t xml:space="preserve">2024-13067</t>
  </si>
  <si>
    <t xml:space="preserve">https://www.federalregister.gov/documents/2024/06/14/2024-13067/agency-information-collection-activities-submission-for-omb-review-comment-request</t>
  </si>
  <si>
    <t xml:space="preserve">2024-13123</t>
  </si>
  <si>
    <t xml:space="preserve">https://www.federalregister.gov/documents/2024/06/14/2024-13123/agency-information-collection-activities-proposed-collection-comment-request</t>
  </si>
  <si>
    <t xml:space="preserve">2024-13129</t>
  </si>
  <si>
    <t xml:space="preserve">https://www.federalregister.gov/documents/2024/06/14/2024-13129/agency-information-collection-activities-proposed-collection-comment-request</t>
  </si>
  <si>
    <t xml:space="preserve">2024-13130</t>
  </si>
  <si>
    <t xml:space="preserve">https://www.federalregister.gov/documents/2024/06/14/2024-13130/agency-information-collection-activities-submission-for-omb-review-comment-request</t>
  </si>
  <si>
    <t xml:space="preserve">2024-08711</t>
  </si>
  <si>
    <t xml:space="preserve">medigap(51); medicare advantage(24); part d(18); medicare supplement(5); part c(3); ma organization(1); special needs plan(1); dual eligible(1)</t>
  </si>
  <si>
    <t xml:space="preserve">Nondiscrimination in Health Programs and Activities</t>
  </si>
  <si>
    <t xml:space="preserve">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</si>
  <si>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 xml:space="preserve">https://www.federalregister.gov/documents/2024/05/06/2024-08711/nondiscrimination-in-health-programs-and-activities</t>
  </si>
  <si>
    <t xml:space="preserve">skim - moderate MA/SNP relevance (strong kw=83)</t>
  </si>
  <si>
    <t xml:space="preserve">2024-13696</t>
  </si>
  <si>
    <t xml:space="preserve">Performance Review Board Membership</t>
  </si>
  <si>
    <t xml:space="preserve">The U.S. Code of Federal Regulations requires each agency to establish, in accordance with regulations prescribed by the Office of Personnel Management, one or more Senior Executive Service (SES) Performance Review Boards (PRBs).</t>
  </si>
  <si>
    <t xml:space="preserve">https://www.federalregister.gov/documents/2024/06/24/2024-13696/performance-review-board-membership</t>
  </si>
  <si>
    <t xml:space="preserve">2024-13712</t>
  </si>
  <si>
    <t xml:space="preserve">Medicaid Program; Medicaid and Children's Health Insurance Program (CHIP) Managed Care Access, Finance, and Quality; Correction</t>
  </si>
  <si>
    <t xml:space="preserve">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</si>
  <si>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 xml:space="preserve">https://www.federalregister.gov/documents/2024/06/24/2024-13712/medicaid-program-medicaid-and-childrens-health-insurance-program-chip-managed-care-access-finance</t>
  </si>
  <si>
    <t xml:space="preserve">2024-13795</t>
  </si>
  <si>
    <t xml:space="preserve">Medicare and Medicaid Programs; Minimum Staffing Standards for Long-Term Care Facilities and Medicaid Institutional Payment Transparency Reporting; Correction</t>
  </si>
  <si>
    <t xml:space="preserve">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</si>
  <si>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 xml:space="preserve">https://www.federalregister.gov/documents/2024/06/24/2024-13795/medicare-and-medicaid-programs-minimum-staffing-standards-for-long-term-care-facilities-and-medicaid</t>
  </si>
  <si>
    <t xml:space="preserve">2024-13891</t>
  </si>
  <si>
    <t xml:space="preserve">part c(2); medicare advantage(1); part d(1)</t>
  </si>
  <si>
    <t xml:space="preserve">https://www.federalregister.gov/documents/2024/06/25/2024-13891/agency-information-collection-activities-submission-for-omb-review-comment-request</t>
  </si>
  <si>
    <t xml:space="preserve">2024-13892</t>
  </si>
  <si>
    <t xml:space="preserve">https://www.federalregister.gov/documents/2024/06/25/2024-13892/agency-information-collection-activities-proposed-collection-comment-request</t>
  </si>
  <si>
    <t xml:space="preserve">2024-14030</t>
  </si>
  <si>
    <t xml:space="preserve">Medicaid Program; Ensuring Access to Medicaid Services; Correction</t>
  </si>
  <si>
    <t xml:space="preserve">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</si>
  <si>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 xml:space="preserve">https://www.federalregister.gov/documents/2024/06/27/2024-14030/medicaid-program-ensuring-access-to-medicaid-services-correction</t>
  </si>
  <si>
    <t xml:space="preserve">2024-14124</t>
  </si>
  <si>
    <t xml:space="preserve">https://www.federalregister.gov/documents/2024/06/27/2024-14124/agency-information-collection-activities-proposed-collection-comment-request</t>
  </si>
  <si>
    <t xml:space="preserve">2024-14137</t>
  </si>
  <si>
    <t xml:space="preserve">Medicare and Medicaid Programs: Application by the Accreditation Association for Ambulatory Health Care for Continued CMS-Approval of Ambulatory Surgical Center Accreditation Program</t>
  </si>
  <si>
    <t xml:space="preserve">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</si>
  <si>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 xml:space="preserve">https://www.federalregister.gov/documents/2024/06/27/2024-14137/medicare-and-medicaid-programs-application-by-the-accreditation-association-for-ambulatory-health</t>
  </si>
  <si>
    <t xml:space="preserve">2024-14338</t>
  </si>
  <si>
    <t xml:space="preserve">https://www.federalregister.gov/documents/2024/06/28/2024-14338/agency-information-collection-activities-proposed-collection-comment-request</t>
  </si>
  <si>
    <t xml:space="preserve">2024-08085</t>
  </si>
  <si>
    <t xml:space="preserve">medicare advantage(44); part d(43); d-snp(24); ma organization(13); dual eligible(10); part c(6); special needs plan(6)</t>
  </si>
  <si>
    <t xml:space="preserve">Medicaid Program; Medicaid and Children's Health Insurance Program (CHIP) Managed Care Access, Finance, and Quality</t>
  </si>
  <si>
    <t xml:space="preserve">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</si>
  <si>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 xml:space="preserve">https://www.federalregister.gov/documents/2024/05/10/2024-08085/medicaid-program-medicaid-and-childrens-health-insurance-program-chip-managed-care-access-finance</t>
  </si>
  <si>
    <t xml:space="preserve">skim - moderate MA/SNP relevance (strong kw=97)</t>
  </si>
  <si>
    <t xml:space="preserve">2024-14581</t>
  </si>
  <si>
    <t xml:space="preserve">https://www.federalregister.gov/documents/2024/07/02/2024-14581/agency-information-collection-activities-proposed-collection-comment-request</t>
  </si>
  <si>
    <t xml:space="preserve">2024-14582</t>
  </si>
  <si>
    <t xml:space="preserve">part d(2)</t>
  </si>
  <si>
    <t xml:space="preserve">https://www.federalregister.gov/documents/2024/07/02/2024-14582/agency-information-collection-activities-proposed-collection-comment-request</t>
  </si>
  <si>
    <t xml:space="preserve">2024-14254</t>
  </si>
  <si>
    <t xml:space="preserve">dual eligible(5); medicare advantage(1)</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</si>
  <si>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</si>
  <si>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</si>
  <si>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 xml:space="preserve">https://www.federalregister.gov/documents/2024/07/03/2024-14254/medicare-program-calendar-year-cy-2025-home-health-prospective-payment-system-hh-pps-rate-update-hh</t>
  </si>
  <si>
    <t xml:space="preserve">2024-08363</t>
  </si>
  <si>
    <t xml:space="preserve">dual eligible(9); medicare advantage(8); special needs plan(6); d-snp(6)</t>
  </si>
  <si>
    <t xml:space="preserve">Medicaid Program; Ensuring Access to Medicaid Services</t>
  </si>
  <si>
    <t xml:space="preserve">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</si>
  <si>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 xml:space="preserve">https://www.federalregister.gov/documents/2024/05/10/2024-08363/medicaid-program-ensuring-access-to-medicaid-services</t>
  </si>
  <si>
    <t xml:space="preserve">skim - moderate MA/SNP relevance (strong kw=29)</t>
  </si>
  <si>
    <t xml:space="preserve">2024-14637</t>
  </si>
  <si>
    <t xml:space="preserve">https://www.federalregister.gov/documents/2024/07/03/2024-14637/agency-information-collection-activities-submission-for-omb-review-comment-request</t>
  </si>
  <si>
    <t xml:space="preserve">2024-14359</t>
  </si>
  <si>
    <t xml:space="preserve">part d(18); dual eligible(4); medicare advantage(3)</t>
  </si>
  <si>
    <t xml:space="preserve">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</si>
  <si>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 xml:space="preserve">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</si>
  <si>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 xml:space="preserve">https://www.federalregister.gov/documents/2024/07/05/2024-14359/medicare-program-end-stage-renal-disease-prospective-payment-system-payment-for-renal-dialysis</t>
  </si>
  <si>
    <t xml:space="preserve">2024-14772</t>
  </si>
  <si>
    <t xml:space="preserve">Agency Information Collection Activities: Submission for OMB Review; Comment Request; Correction</t>
  </si>
  <si>
    <t xml:space="preserve">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</si>
  <si>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 xml:space="preserve">https://www.federalregister.gov/documents/2024/07/08/2024-14772/agency-information-collection-activities-submission-for-omb-review-comment-request-correction</t>
  </si>
  <si>
    <t xml:space="preserve">2024-14825</t>
  </si>
  <si>
    <t xml:space="preserve">part d(5); medicare advantage(1)</t>
  </si>
  <si>
    <t xml:space="preserve">https://www.federalregister.gov/documents/2024/07/08/2024-14825/agency-information-collection-activities-proposed-collection-comment-request</t>
  </si>
  <si>
    <t xml:space="preserve">2024-14955</t>
  </si>
  <si>
    <t xml:space="preserve">https://www.federalregister.gov/documents/2024/07/09/2024-14955/agency-information-collection-activities-proposed-collection-comment-request</t>
  </si>
  <si>
    <t xml:space="preserve">2024-14956</t>
  </si>
  <si>
    <t xml:space="preserve">https://www.federalregister.gov/documents/2024/07/09/2024-14956/agency-information-collection-activities-submission-for-omb-review-comment-request</t>
  </si>
  <si>
    <t xml:space="preserve">2024-15097</t>
  </si>
  <si>
    <t xml:space="preserve">Agency Information Collection Activities: Proposed Collection; Comment Request; Withdrawal</t>
  </si>
  <si>
    <t xml:space="preserve">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</si>
  <si>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 xml:space="preserve">https://www.federalregister.gov/documents/2024/07/10/2024-15097/agency-information-collection-activities-proposed-collection-comment-request-withdrawal</t>
  </si>
  <si>
    <t xml:space="preserve">2024-15137</t>
  </si>
  <si>
    <t xml:space="preserve">https://www.federalregister.gov/documents/2024/07/10/2024-15137/agency-information-collection-activities-submission-for-omb-review-comment-request</t>
  </si>
  <si>
    <t xml:space="preserve">2024-15152</t>
  </si>
  <si>
    <t xml:space="preserve">medicare advantage(3); part c(2)</t>
  </si>
  <si>
    <t xml:space="preserve">https://www.federalregister.gov/documents/2024/07/10/2024-15152/agency-information-collection-activities-proposed-collection-comment-request</t>
  </si>
  <si>
    <t xml:space="preserve">2024-15185</t>
  </si>
  <si>
    <t xml:space="preserve">Emergency Reinstatement: Public Information Collection Requirements Submitted to the Office of Management and Budget (OMB)</t>
  </si>
  <si>
    <t xml:space="preserve">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</si>
  <si>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 xml:space="preserve">https://www.federalregister.gov/documents/2024/07/11/2024-15185/emergency-reinstatement-public-information-collection-requirements-submitted-to-the-office-of</t>
  </si>
  <si>
    <t xml:space="preserve">2024-15393</t>
  </si>
  <si>
    <t xml:space="preserve">Medicare Program; Announcement of the Advisory Panel on Hospital Outpatient Payment Meeting-August 26-27, 2024</t>
  </si>
  <si>
    <t xml:space="preserve">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</si>
  <si>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 xml:space="preserve">https://www.federalregister.gov/documents/2024/07/15/2024-15393/medicare-program-announcement-of-the-advisory-panel-on-hospital-outpatient-payment-meeting-august</t>
  </si>
  <si>
    <t xml:space="preserve">2024-15473</t>
  </si>
  <si>
    <t xml:space="preserve">https://www.federalregister.gov/documents/2024/07/15/2024-15473/agency-information-collection-activities-submission-for-omb-review-comment-request</t>
  </si>
  <si>
    <t xml:space="preserve">2024-15519</t>
  </si>
  <si>
    <t xml:space="preserve">Medicare and Medicaid Programs: Application by DNV Healthcare USA Inc. for Continued CMS Approval of Its Psychiatric Hospital Accreditation Program</t>
  </si>
  <si>
    <t xml:space="preserve">This notice acknowledges the approval of an application from DNV Healthcare USA Inc. for continued CMS approval as a national accrediting organization for its psychiatric hospitals that wish to participate in the Medicare or Medicaid programs.</t>
  </si>
  <si>
    <t xml:space="preserve">https://www.federalregister.gov/documents/2024/07/16/2024-15519/medicare-and-medicaid-programs-application-by-dnv-healthcare-usa-inc-for-continued-cms-approval-of</t>
  </si>
  <si>
    <t xml:space="preserve">2024-15581</t>
  </si>
  <si>
    <t xml:space="preserve">https://www.federalregister.gov/documents/2024/07/16/2024-15581/agency-information-collection-activities-submission-for-omb-review-comment-request</t>
  </si>
  <si>
    <t xml:space="preserve">2024-15644</t>
  </si>
  <si>
    <t xml:space="preserve">Medicare Program; Alternative Payment Model (APM) Incentive Payment Advisory for Clinicians-Request for Current Billing Information for Qualifying APM Participants</t>
  </si>
  <si>
    <t xml:space="preserve">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</si>
  <si>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https://www.federalregister.gov/documents/2024/07/17/2024-15644/medicare-program-alternative-payment-model-apm-incentive-payment-advisory-for-clinicians-request-for</t>
  </si>
  <si>
    <t xml:space="preserve">2024-15816</t>
  </si>
  <si>
    <t xml:space="preserve">Medicare and Medicaid Programs: Application From The Joint Commission for Continued Approval of Its Ambulatory Surgical Center (ASC) Accreditation Program</t>
  </si>
  <si>
    <t xml:space="preserve">This notice announces our decision to approve The Joint Commission for continued recognition as a national accrediting organization for Ambulatory Surgical Centers that wish to participate in the Medicare or Medicaid programs.</t>
  </si>
  <si>
    <t xml:space="preserve">https://www.federalregister.gov/documents/2024/07/18/2024-15816/medicare-and-medicaid-programs-application-from-the-joint-commission-for-continued-approval-of-its</t>
  </si>
  <si>
    <t xml:space="preserve">2024-15882</t>
  </si>
  <si>
    <t xml:space="preserve">https://www.federalregister.gov/documents/2024/07/19/2024-15882/medicaid-and-childrens-health-insurance-program-chip-generic-information-collection-activities</t>
  </si>
  <si>
    <t xml:space="preserve">2024-15087</t>
  </si>
  <si>
    <t xml:space="preserve">medicare advantage(6); dual eligible(2); part d(1)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</si>
  <si>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</si>
  <si>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 xml:space="preserve">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</si>
  <si>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 xml:space="preserve">https://www.federalregister.gov/documents/2024/07/22/2024-15087/medicare-and-medicaid-programs-hospital-outpatient-prospective-payment-and-ambulatory-surgical</t>
  </si>
  <si>
    <t xml:space="preserve">2024-16040</t>
  </si>
  <si>
    <t xml:space="preserve">Medicare and Medicaid Programs; Quarterly Listing of Program Issuances-April Through June 2024</t>
  </si>
  <si>
    <t xml:space="preserve">https://www.federalregister.gov/documents/2024/07/22/2024-16040/medicare-and-medicaid-programs-quarterly-listing-of-program-issuances-april-through-june-2024</t>
  </si>
  <si>
    <t xml:space="preserve">2024-16205</t>
  </si>
  <si>
    <t xml:space="preserve">https://www.federalregister.gov/documents/2024/07/24/2024-16205/medicaid-and-childrens-health-insurance-program-chip-generic-information-collection-activities</t>
  </si>
  <si>
    <t xml:space="preserve">2024-16398</t>
  </si>
  <si>
    <t xml:space="preserve">https://www.federalregister.gov/documents/2024/07/25/2024-16398/agency-information-collection-activities-submission-for-omb-review-comment-request</t>
  </si>
  <si>
    <t xml:space="preserve">2024-16425</t>
  </si>
  <si>
    <t xml:space="preserve">https://www.federalregister.gov/documents/2024/07/26/2024-16425/agency-information-collection-activities-proposed-collection-comment-request</t>
  </si>
  <si>
    <t xml:space="preserve">2024-16426</t>
  </si>
  <si>
    <t xml:space="preserve">https://www.federalregister.gov/documents/2024/07/26/2024-16426/agency-information-collection-activities-submission-for-omb-review-comment-request</t>
  </si>
  <si>
    <t xml:space="preserve">2024-16513</t>
  </si>
  <si>
    <t xml:space="preserve">https://www.federalregister.gov/documents/2024/07/26/2024-16513/agency-information-collection-activities-proposed-collection-comment-request</t>
  </si>
  <si>
    <t xml:space="preserve">2024-16735</t>
  </si>
  <si>
    <t xml:space="preserve">https://www.federalregister.gov/documents/2024/07/30/2024-16735/medicaid-and-childrens-health-insurance-program-chip-generic-information-collection-activities</t>
  </si>
  <si>
    <t xml:space="preserve">2024-16736</t>
  </si>
  <si>
    <t xml:space="preserve">https://www.federalregister.gov/documents/2024/07/30/2024-16736/agency-information-collection-activities-proposed-collection-comment-request</t>
  </si>
  <si>
    <t xml:space="preserve">2024-16738</t>
  </si>
  <si>
    <t xml:space="preserve">https://www.federalregister.gov/documents/2024/07/30/2024-16738/agency-information-collection-activities-submission-for-omb-review-comment-request</t>
  </si>
  <si>
    <t xml:space="preserve">2024-14828</t>
  </si>
  <si>
    <t xml:space="preserve">part d(720); dual eligible(34); medicare advantage(25); part c(5); ma organization(2)</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</si>
  <si>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</si>
  <si>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</si>
  <si>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 xml:space="preserve">https://www.federalregister.gov/documents/2024/07/31/2024-14828/medicare-and-medicaid-programs-cy-2025-payment-policies-under-the-physician-fee-schedule-and-other</t>
  </si>
  <si>
    <t xml:space="preserve">2024-16907</t>
  </si>
  <si>
    <t xml:space="preserve">dual eligible(14); part d(5); part c(2); medicare advantage(1)</t>
  </si>
  <si>
    <t xml:space="preserve">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</si>
  <si>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 xml:space="preserve">https://www.federalregister.gov/documents/2024/08/06/2024-16907/medicare-program-prospective-payment-system-and-consolidated-billing-for-skilled-nursing-facilities</t>
  </si>
  <si>
    <t xml:space="preserve">2024-16910</t>
  </si>
  <si>
    <t xml:space="preserve">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</si>
  <si>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 xml:space="preserve">https://www.federalregister.gov/documents/2024/08/06/2024-16910/medicare-program-fy-2025-hospice-wage-index-and-payment-rate-update-hospice-conditions-of</t>
  </si>
  <si>
    <t xml:space="preserve">2024-16911</t>
  </si>
  <si>
    <t xml:space="preserve">medicare advantage(5); part c(2)</t>
  </si>
  <si>
    <t xml:space="preserve">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</si>
  <si>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 xml:space="preserve">https://www.federalregister.gov/documents/2024/08/06/2024-16911/medicare-program-inpatient-rehabilitation-facility-prospective-payment-system-for-federal-fiscal</t>
  </si>
  <si>
    <t xml:space="preserve">2024-17024</t>
  </si>
  <si>
    <t xml:space="preserve">medicare advantage(7); part d(7); ma organization(6); part c(1); special needs plan(1); d-snp(1)</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</si>
  <si>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</si>
  <si>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 xml:space="preserve">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</si>
  <si>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 xml:space="preserve">https://www.federalregister.gov/documents/2024/08/06/2024-17024/medicare-program-changes-to-the-medicare-advantage-and-the-medicare-prescription-drug-benefit</t>
  </si>
  <si>
    <t xml:space="preserve">skim - moderate MA/SNP relevance (strong kw=15)</t>
  </si>
  <si>
    <t xml:space="preserve">2024-17301</t>
  </si>
  <si>
    <t xml:space="preserve">part d(6)</t>
  </si>
  <si>
    <t xml:space="preserve">https://www.federalregister.gov/documents/2024/08/06/2024-17301/agency-information-collection-activities-submission-for-omb-review-comment-request</t>
  </si>
  <si>
    <t xml:space="preserve">2024-17303</t>
  </si>
  <si>
    <t xml:space="preserve">https://www.federalregister.gov/documents/2024/08/06/2024-17303/agency-information-collection-activities-proposed-collection-comment-request</t>
  </si>
  <si>
    <t xml:space="preserve">2024-16909</t>
  </si>
  <si>
    <t xml:space="preserve">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</si>
  <si>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 xml:space="preserve">https://www.federalregister.gov/documents/2024/08/07/2024-16909/medicare-program-fy-2025-inpatient-psychiatric-facilities-prospective-payment-system-rate-update</t>
  </si>
  <si>
    <t xml:space="preserve">2024-17411</t>
  </si>
  <si>
    <t xml:space="preserve">https://www.federalregister.gov/documents/2024/08/07/2024-17411/agency-information-collection-activities-submission-for-omb-review-comment-request</t>
  </si>
  <si>
    <t xml:space="preserve">2024-17467</t>
  </si>
  <si>
    <t xml:space="preserve">part c(4); medicare advantage(3)</t>
  </si>
  <si>
    <t xml:space="preserve">https://www.federalregister.gov/documents/2024/08/07/2024-17467/agency-information-collection-activities-proposed-collection-comment-request</t>
  </si>
  <si>
    <t xml:space="preserve">2024-17468</t>
  </si>
  <si>
    <t xml:space="preserve">part d(8)</t>
  </si>
  <si>
    <t xml:space="preserve">https://www.federalregister.gov/documents/2024/08/07/2024-17468/agency-information-collection-activities-submission-for-omb-review-comment-request</t>
  </si>
  <si>
    <t xml:space="preserve">2024-17484</t>
  </si>
  <si>
    <t xml:space="preserve">https://www.federalregister.gov/documents/2024/08/07/2024-17484/agency-information-collection-activities-proposed-collection-comment-request</t>
  </si>
  <si>
    <t xml:space="preserve">2024-17773</t>
  </si>
  <si>
    <t xml:space="preserve">part d(6); part c(1)</t>
  </si>
  <si>
    <t xml:space="preserve">https://www.federalregister.gov/documents/2024/08/09/2024-17773/agency-information-collection-activities-proposed-collection-comment-request</t>
  </si>
  <si>
    <t xml:space="preserve">2024-26474</t>
  </si>
  <si>
    <t xml:space="preserve">medicare supplement(2)</t>
  </si>
  <si>
    <t xml:space="preserve">Medicare Program; Medicare Part B Monthly Actuarial Rates, Premium Rates, and Annual Deductible Beginning January 1, 2025</t>
  </si>
  <si>
    <t xml:space="preserve">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</si>
  <si>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 xml:space="preserve">annual Part B premium/deductible notice - consumer-visible</t>
  </si>
  <si>
    <t xml:space="preserve">2024-17969</t>
  </si>
  <si>
    <t xml:space="preserve">https://www.federalregister.gov/documents/2024/08/13/2024-17969/agency-information-collection-activities-submission-for-omb-review-comment-request</t>
  </si>
  <si>
    <t xml:space="preserve">2024-18031</t>
  </si>
  <si>
    <t xml:space="preserve">https://www.federalregister.gov/documents/2024/08/13/2024-18031/agency-information-collection-activities-proposed-collection-comment-request</t>
  </si>
  <si>
    <t xml:space="preserve">2024-18654</t>
  </si>
  <si>
    <t xml:space="preserve">https://www.federalregister.gov/documents/2024/08/20/2024-18654/agency-information-collection-activities-submission-for-omb-review-comment-request</t>
  </si>
  <si>
    <t xml:space="preserve">2024-18655</t>
  </si>
  <si>
    <t xml:space="preserve">https://www.federalregister.gov/documents/2024/08/20/2024-18655/agency-information-collection-activities-proposed-collection-comment-request</t>
  </si>
  <si>
    <t xml:space="preserve">2024-18691</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</si>
  <si>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</si>
  <si>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 xml:space="preserve">https://www.federalregister.gov/documents/2024/08/21/2024-18691/announcement-of-the-advisory-panel-on-outreach-and-education-apoe-in-person-meeting</t>
  </si>
  <si>
    <t xml:space="preserve">2024-18745</t>
  </si>
  <si>
    <t xml:space="preserve">https://www.federalregister.gov/documents/2024/08/21/2024-18745/agency-information-collection-activities-submission-for-omb-review-comment-request</t>
  </si>
  <si>
    <t xml:space="preserve">2024-18866</t>
  </si>
  <si>
    <t xml:space="preserve">https://www.federalregister.gov/documents/2024/08/22/2024-18866/agency-information-collection-activities-proposed-collection-comment-request</t>
  </si>
  <si>
    <t xml:space="preserve">2024-18868</t>
  </si>
  <si>
    <t xml:space="preserve">https://www.federalregister.gov/documents/2024/08/22/2024-18868/agency-information-collection-activities-submission-for-omb-review-comment-request</t>
  </si>
  <si>
    <t xml:space="preserve">2024-19184</t>
  </si>
  <si>
    <t xml:space="preserve">https://www.federalregister.gov/documents/2024/08/27/2024-19184/agency-information-collection-activities-submission-for-omb-review-comment-request</t>
  </si>
  <si>
    <t xml:space="preserve">2024-19220</t>
  </si>
  <si>
    <t xml:space="preserve">https://www.federalregister.gov/documents/2024/08/27/2024-19220/agency-information-collection-activities-submission-for-omb-review-comment-request</t>
  </si>
  <si>
    <t xml:space="preserve">2024-19228</t>
  </si>
  <si>
    <t xml:space="preserve">https://www.federalregister.gov/documents/2024/08/27/2024-19228/agency-information-collection-activities-submission-for-omb-review-comment-request</t>
  </si>
  <si>
    <t xml:space="preserve">2024-17021</t>
  </si>
  <si>
    <t xml:space="preserve">medicare advantage(58); part d(21); dual eligible(8); part c(2)</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</si>
  <si>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</si>
  <si>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 xml:space="preserve">https://www.federalregister.gov/documents/2024/08/28/2024-17021/medicare-and-medicaid-programs-and-the-childrens-health-insurance-program-hospital-inpatient</t>
  </si>
  <si>
    <t xml:space="preserve">2024-19404</t>
  </si>
  <si>
    <t xml:space="preserve">https://www.federalregister.gov/documents/2024/08/29/2024-19404/agency-information-collection-activities-submission-for-omb-review-comment-request</t>
  </si>
  <si>
    <t xml:space="preserve">2024-19558</t>
  </si>
  <si>
    <t xml:space="preserve">https://www.federalregister.gov/documents/2024/08/30/2024-19558/agency-information-collection-activities-submission-for-omb-review-comment-request</t>
  </si>
  <si>
    <t xml:space="preserve">2024-19479</t>
  </si>
  <si>
    <t xml:space="preserve">Secretarial Review and Publication of the Consensus Based Entity Report of 2023 Activities to Congress and the Secretary of the Department of Health and Human Services</t>
  </si>
  <si>
    <t xml:space="preserve">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</si>
  <si>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 xml:space="preserve">https://www.federalregister.gov/documents/2024/09/03/2024-19479/secretarial-review-and-publication-of-the-consensus-based-entity-report-of-2023-activities-to</t>
  </si>
  <si>
    <t xml:space="preserve">2024-19733</t>
  </si>
  <si>
    <t xml:space="preserve">https://www.federalregister.gov/documents/2024/09/03/2024-19733/agency-information-collection-activities-submission-for-omb-review-comment-request</t>
  </si>
  <si>
    <t xml:space="preserve">2024-19863</t>
  </si>
  <si>
    <t xml:space="preserve">https://www.federalregister.gov/documents/2024/09/05/2024-19863/agency-information-collection-activities-submission-for-omb-review-comment-request</t>
  </si>
  <si>
    <t xml:space="preserve">2024-19867</t>
  </si>
  <si>
    <t xml:space="preserve">https://www.federalregister.gov/documents/2024/09/05/2024-19867/agency-information-collection-activities-proposed-collection-comment-request</t>
  </si>
  <si>
    <t xml:space="preserve">2025-20251</t>
  </si>
  <si>
    <t xml:space="preserve">Medicare Program; Medicare Part B Monthly Actuarial Rates, Premium Rates, and Annual Deductible Beginning January 1, 2026</t>
  </si>
  <si>
    <t xml:space="preserve">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</si>
  <si>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 xml:space="preserve">2024-20236</t>
  </si>
  <si>
    <t xml:space="preserve">https://www.federalregister.gov/documents/2024/09/09/2024-20236/agency-information-collection-activities-submission-for-omb-review-comment-request</t>
  </si>
  <si>
    <t xml:space="preserve">2024-20400</t>
  </si>
  <si>
    <t xml:space="preserve">ma organization(3); part c(2)</t>
  </si>
  <si>
    <t xml:space="preserve">https://www.federalregister.gov/documents/2024/09/10/2024-20400/agency-information-collection-activities-proposed-collection-comment-request</t>
  </si>
  <si>
    <t xml:space="preserve">2024-20527</t>
  </si>
  <si>
    <t xml:space="preserve">https://www.federalregister.gov/documents/2024/09/11/2024-20527/agency-information-collection-activities-submission-for-omb-review-comment-request</t>
  </si>
  <si>
    <t xml:space="preserve">2024-20791</t>
  </si>
  <si>
    <t xml:space="preserve">Medicare Program; Town Hall Meeting on the Fiscal Year 2026 Applications for New Medical Services and Technologies Add-On Payments</t>
  </si>
  <si>
    <t xml:space="preserve">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</si>
  <si>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 xml:space="preserve">https://www.federalregister.gov/documents/2024/09/13/2024-20791/medicare-program-town-hall-meeting-on-the-fiscal-year-2026-applications-for-new-medical-services-and</t>
  </si>
  <si>
    <t xml:space="preserve">2024-21014</t>
  </si>
  <si>
    <t xml:space="preserve">Medicare and Medicaid Programs; Application From the Accreditation Commission for Health Care, Inc. (ACHC) for Continued Approval of Its Home Health Agency Accreditation Program</t>
  </si>
  <si>
    <t xml:space="preserve">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</si>
  <si>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 xml:space="preserve">https://www.federalregister.gov/documents/2024/09/17/2024-21014/medicare-and-medicaid-programs-application-from-the-accreditation-commission-for-health-care-inc</t>
  </si>
  <si>
    <t xml:space="preserve">2024-21055</t>
  </si>
  <si>
    <t xml:space="preserve">https://www.federalregister.gov/documents/2024/09/17/2024-21055/agency-information-collection-activities-proposed-collection-comment-request</t>
  </si>
  <si>
    <t xml:space="preserve">2024-21063</t>
  </si>
  <si>
    <t xml:space="preserve">https://www.federalregister.gov/documents/2024/09/17/2024-21063/agency-information-collection-activities-submission-for-omb-review-comment-request</t>
  </si>
  <si>
    <t xml:space="preserve">2024-21084</t>
  </si>
  <si>
    <t xml:space="preserve">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</si>
  <si>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 xml:space="preserve">https://www.federalregister.gov/documents/2024/09/18/2024-21084/medicare-program-application-by-the-community-health-accreditation-partner-chap-for-continued-cms</t>
  </si>
  <si>
    <t xml:space="preserve">2024-21297</t>
  </si>
  <si>
    <t xml:space="preserve">Medicare Program; Public Meeting for New Revisions to the Healthcare Common Procedure Coding System (HCPCS) Coding-November 6-8, 2024</t>
  </si>
  <si>
    <t xml:space="preserve">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</si>
  <si>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https://www.federalregister.gov/documents/2024/09/19/2024-21297/medicare-program-public-meeting-for-new-revisions-to-the-healthcare-common-procedure-coding-system</t>
  </si>
  <si>
    <t xml:space="preserve">2024-21409</t>
  </si>
  <si>
    <t xml:space="preserve">Medicare Program; Application by the National Association of Boards of Pharmacy (NABP) for Continued CMS Approval of Its Home Infusion Therapy (HIT) Accreditation Program</t>
  </si>
  <si>
    <t xml:space="preserve">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</si>
  <si>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 xml:space="preserve">https://www.federalregister.gov/documents/2024/09/19/2024-21409/medicare-program-application-by-the-national-association-of-boards-of-pharmacy-nabp-for-continued</t>
  </si>
  <si>
    <t xml:space="preserve">2024-21410</t>
  </si>
  <si>
    <t xml:space="preserve">Medicare Program; Application by The Compliance Team (TCT) for Continued CMS Approval of Its Home Infusion Therapy (HIT) Accreditation Program</t>
  </si>
  <si>
    <t xml:space="preserve">This final notice announces our decision to approve The Compliance Team (TCT) for continued recognition as a national accrediting organization that accredits suppliers of home infusion therapy (HIT) services that wish to participate in the Medicare or Medicaid programs.</t>
  </si>
  <si>
    <t xml:space="preserve">https://www.federalregister.gov/documents/2024/09/19/2024-21410/medicare-program-application-by-the-compliance-team-tct-for-continued-cms-approval-of-its-home</t>
  </si>
  <si>
    <t xml:space="preserve">2024-21444</t>
  </si>
  <si>
    <t xml:space="preserve">https://www.federalregister.gov/documents/2024/09/19/2024-21444/agency-information-collection-activities-submission-for-omb-review-comment-request</t>
  </si>
  <si>
    <t xml:space="preserve">2024-21631</t>
  </si>
  <si>
    <t xml:space="preserve">https://www.federalregister.gov/documents/2024/09/23/2024-21631/agency-information-collection-activities-submission-for-omb-review-comment-request</t>
  </si>
  <si>
    <t xml:space="preserve">2024-21732</t>
  </si>
  <si>
    <t xml:space="preserve">https://www.federalregister.gov/documents/2024/09/24/2024-21732/agency-information-collection-activities-submission-for-omb-review-comment-request</t>
  </si>
  <si>
    <t xml:space="preserve">2026-03968</t>
  </si>
  <si>
    <t xml:space="preserve">ma organization(8); medicare advantage(5); part d(3); part c(1)</t>
  </si>
  <si>
    <t xml:space="preserve">Request for Information (RFI) Related to Comprehensive Regulations To Uncover Suspicious Healthcare (CRUSH)</t>
  </si>
  <si>
    <t xml:space="preserve">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</si>
  <si>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 xml:space="preserve">https://www.federalregister.gov/documents/2026/02/27/2026-03968/request-for-information-rfi-related-to-comprehensive-regulations-to-uncover-suspicious-healthcare</t>
  </si>
  <si>
    <t xml:space="preserve">skim - moderate MA/SNP relevance (strong kw=13)</t>
  </si>
  <si>
    <t xml:space="preserve">2024-21978</t>
  </si>
  <si>
    <t xml:space="preserve">https://www.federalregister.gov/documents/2024/09/26/2024-21978/agency-information-collection-activities-proposed-collection-comment-request</t>
  </si>
  <si>
    <t xml:space="preserve">2024-21982</t>
  </si>
  <si>
    <t xml:space="preserve">https://www.federalregister.gov/documents/2024/09/26/2024-21982/agency-information-collection-activities-submission-for-omb-review-comment-request</t>
  </si>
  <si>
    <t xml:space="preserve">2026-10050</t>
  </si>
  <si>
    <t xml:space="preserve">medicare advantage(8); part d(4); medigap(3)</t>
  </si>
  <si>
    <t xml:space="preserve">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</si>
  <si>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</si>
  <si>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 xml:space="preserve">https://www.federalregister.gov/documents/2026/05/20/2026-10050/patient-protection-and-affordable-care-act-hhs-notice-of-benefit-and-payment-parameters-for-2027-and</t>
  </si>
  <si>
    <t xml:space="preserve">skim - moderate MA/SNP relevance (strong kw=11)</t>
  </si>
  <si>
    <t xml:space="preserve">2024-22142</t>
  </si>
  <si>
    <t xml:space="preserve">part d(9); part c(6); ma organization(3); medicare advantage(1)</t>
  </si>
  <si>
    <t xml:space="preserve">Medicare Program; Medicare Appeals; Adjustment to the Amount in Controversy Threshold Amounts for Calendar Year 2025</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</si>
  <si>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</si>
  <si>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 xml:space="preserve">https://www.federalregister.gov/documents/2024/09/27/2024-22142/medicare-program-medicare-appeals-adjustment-to-the-amount-in-controversy-threshold-amounts-for</t>
  </si>
  <si>
    <t xml:space="preserve">appeals threshold housekeeping</t>
  </si>
  <si>
    <t xml:space="preserve">2024-01832</t>
  </si>
  <si>
    <t xml:space="preserve">medicare advantage(8); part c(2); part d(2)</t>
  </si>
  <si>
    <t xml:space="preserve">Medicare Program; Request for Information on Medicare Advantage Data</t>
  </si>
  <si>
    <t xml:space="preserve">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</si>
  <si>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 xml:space="preserve">https://www.federalregister.gov/documents/2024/01/30/2024-01832/medicare-program-request-for-information-on-medicare-advantage-data</t>
  </si>
  <si>
    <t xml:space="preserve">LOW</t>
  </si>
  <si>
    <t xml:space="preserve">marginal (strong kw=8)</t>
  </si>
  <si>
    <t xml:space="preserve">2024-22345</t>
  </si>
  <si>
    <t xml:space="preserve">https://www.federalregister.gov/documents/2024/09/30/2024-22345/agency-information-collection-activities-submission-for-omb-review-comment-request</t>
  </si>
  <si>
    <t xml:space="preserve">2024-22355</t>
  </si>
  <si>
    <t xml:space="preserve">https://www.federalregister.gov/documents/2024/09/30/2024-22355/agency-information-collection-activities-proposed-collection-comment-request</t>
  </si>
  <si>
    <t xml:space="preserve">2024-22495</t>
  </si>
  <si>
    <t xml:space="preserve">Medicare Program; FY 2025 Hospice Wage Index and Payment Rate Update, Hospice Conditions of Participation Updates, and Hospice Quality Reporting Program Requirements; Correction</t>
  </si>
  <si>
    <t xml:space="preserve">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</si>
  <si>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 xml:space="preserve">https://www.federalregister.gov/documents/2024/10/01/2024-22495/medicare-program-fy-2025-hospice-wage-index-and-payment-rate-update-hospice-conditions-of</t>
  </si>
  <si>
    <t xml:space="preserve">2024-22536</t>
  </si>
  <si>
    <t xml:space="preserve">https://www.federalregister.gov/documents/2024/10/01/2024-22536/agency-information-collection-activities-proposed-collection-comment-request</t>
  </si>
  <si>
    <t xml:space="preserve">2024-22496</t>
  </si>
  <si>
    <t xml:space="preserve">Medicare Program; FY 2025 Inpatient Psychiatric Facilities Prospective Payment System-Rate Update; Correction</t>
  </si>
  <si>
    <t xml:space="preserve">This document corrects technical errors in the final action that appeared in the August 7, 2024 Federal Register titled "Medicare Program; FY 2025 Inpatient Psychiatric Facilities Prospective Payment System--Rate Update".</t>
  </si>
  <si>
    <t xml:space="preserve">https://www.federalregister.gov/documents/2024/10/02/2024-22496/medicare-program-fy-2025-inpatient-psychiatric-facilities-prospective-payment-system-rate-update</t>
  </si>
  <si>
    <t xml:space="preserve">2024-22497</t>
  </si>
  <si>
    <t xml:space="preserve">Medicare Program; Inpatient Rehabilitation Facility Prospective Payment System for Federal Fiscal Year 2025 and Updates to the IRF Quality Reporting Program; Correction</t>
  </si>
  <si>
    <t xml:space="preserve">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</si>
  <si>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 xml:space="preserve">https://www.federalregister.gov/documents/2024/10/02/2024-22497/medicare-program-inpatient-rehabilitation-facility-prospective-payment-system-for-federal-fiscal</t>
  </si>
  <si>
    <t xml:space="preserve">2024-22501</t>
  </si>
  <si>
    <t xml:space="preserve">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</si>
  <si>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 xml:space="preserve">https://www.federalregister.gov/documents/2024/10/02/2024-22501/medicare-and-medicaid-programs-and-the-childrens-health-insurance-program-hospital-inpatient</t>
  </si>
  <si>
    <t xml:space="preserve">2024-22504</t>
  </si>
  <si>
    <t xml:space="preserve">Medicare Program; Prospective Payment System and Consolidated Billing for Skilled Nursing Facilities; Updates to the Quality Reporting Program and Value-Based Purchasing Program for Federal Fiscal Year 2025; Correction</t>
  </si>
  <si>
    <t xml:space="preserve">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</si>
  <si>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 xml:space="preserve">https://www.federalregister.gov/documents/2024/10/02/2024-22504/medicare-program-prospective-payment-system-and-consolidated-billing-for-skilled-nursing-facilities</t>
  </si>
  <si>
    <t xml:space="preserve">2024-22547</t>
  </si>
  <si>
    <t xml:space="preserve">https://www.federalregister.gov/documents/2024/10/02/2024-22547/agency-information-collection-activities-submission-for-omb-review-comment-request</t>
  </si>
  <si>
    <t xml:space="preserve">2024-22765</t>
  </si>
  <si>
    <t xml:space="preserve">Medicare Program; Changes to the Fiscal Year 2025 Hospital Inpatient Prospective Payment System (IPPS) Rates Due to Court Decision</t>
  </si>
  <si>
    <t xml:space="preserve">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</si>
  <si>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 xml:space="preserve">https://www.federalregister.gov/documents/2024/10/03/2024-22765/medicare-program-changes-to-the-fiscal-year-2025-hospital-inpatient-prospective-payment-system-ipps</t>
  </si>
  <si>
    <t xml:space="preserve">2024-23008</t>
  </si>
  <si>
    <t xml:space="preserve">https://www.federalregister.gov/documents/2024/10/04/2024-23008/agency-information-collection-activities-proposed-collection-comment-request</t>
  </si>
  <si>
    <t xml:space="preserve">2024-23261</t>
  </si>
  <si>
    <t xml:space="preserve">https://www.federalregister.gov/documents/2024/10/08/2024-23261/agency-information-collection-activities-submission-for-omb-review-comment-request</t>
  </si>
  <si>
    <t xml:space="preserve">2024-23395</t>
  </si>
  <si>
    <t xml:space="preserve">medicare advantage(4); part d(2)</t>
  </si>
  <si>
    <t xml:space="preserve">https://www.federalregister.gov/documents/2024/10/09/2024-23395/agency-information-collection-activities-proposed-collection-comment-request</t>
  </si>
  <si>
    <t xml:space="preserve">2024-06566</t>
  </si>
  <si>
    <t xml:space="preserve">part d(3); dual eligible(1)</t>
  </si>
  <si>
    <t xml:space="preserve">Medicaid Program; Streamlining the Medicaid, Children's Health Insurance Program, and Basic Health Program Application, Eligibility Determination, Enrollment, and Renewal Processes</t>
  </si>
  <si>
    <t xml:space="preserve">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</si>
  <si>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 xml:space="preserve">https://www.federalregister.gov/documents/2024/04/02/2024-06566/medicaid-program-streamlining-the-medicaid-childrens-health-insurance-program-and-basic-health</t>
  </si>
  <si>
    <t xml:space="preserve">marginal (strong kw=1)</t>
  </si>
  <si>
    <t xml:space="preserve">2024-23418</t>
  </si>
  <si>
    <t xml:space="preserve">Inflation Reduction Act (IRA) Medicare Drug Price Negotiation Program Final Guidance</t>
  </si>
  <si>
    <t xml:space="preserve">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</si>
  <si>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 xml:space="preserve">https://www.federalregister.gov/documents/2024/10/10/2024-23418/inflation-reduction-act-ira-medicare-drug-price-negotiation-program-final-guidance</t>
  </si>
  <si>
    <t xml:space="preserve">2024-09661</t>
  </si>
  <si>
    <t xml:space="preserve">part c(1)</t>
  </si>
  <si>
    <t xml:space="preserve">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</si>
  <si>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</si>
  <si>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 xml:space="preserve">https://www.federalregister.gov/documents/2024/05/08/2024-09661/clarifying-the-eligibility-of-deferred-action-for-childhood-arrivals-daca-recipients-and-certain</t>
  </si>
  <si>
    <t xml:space="preserve">marginal (strong kw=0)</t>
  </si>
  <si>
    <t xml:space="preserve">2024-23737</t>
  </si>
  <si>
    <t xml:space="preserve">https://www.federalregister.gov/documents/2024/10/15/2024-23737/agency-information-collection-activities-submission-for-omb-review-comment-request</t>
  </si>
  <si>
    <t xml:space="preserve">2024-23930</t>
  </si>
  <si>
    <t xml:space="preserve">Medicare and Medicaid Programs: Application From the American Association for Accreditation of Ambulatory Surgery Facilities dba QUAD A for Continued CMS-Approval of Its Outpatient Physical Therapy (OPT) Accreditation Program</t>
  </si>
  <si>
    <t xml:space="preserve">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</si>
  <si>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 xml:space="preserve">https://www.federalregister.gov/documents/2024/10/17/2024-23930/medicare-and-medicaid-programs-application-from-the-american-association-for-accreditation-of</t>
  </si>
  <si>
    <t xml:space="preserve">2024-24264</t>
  </si>
  <si>
    <t xml:space="preserve">https://www.federalregister.gov/documents/2024/10/21/2024-24264/agency-information-collection-activities-submission-for-omb-review-comment-request</t>
  </si>
  <si>
    <t xml:space="preserve">2024-24266</t>
  </si>
  <si>
    <t xml:space="preserve">part d(4)</t>
  </si>
  <si>
    <t xml:space="preserve">https://www.federalregister.gov/documents/2024/10/21/2024-24266/agency-information-collection-activities-proposed-collection-comment-request</t>
  </si>
  <si>
    <t xml:space="preserve">2024-12842</t>
  </si>
  <si>
    <t xml:space="preserve">part d(201); medicare advantage(7)</t>
  </si>
  <si>
    <t xml:space="preserve">Medicare Program; Medicare Prescription Drug Benefit Program; Health Information Technology Standards and Implementation Specifications</t>
  </si>
  <si>
    <t xml:space="preserve">This final rule will revise the Medicare Prescription Drug Benefit (Part D) and ONC regulations to implement changes related to required standards for electronic prescribing and adoption of health information technology (IT) standards for HHS use.</t>
  </si>
  <si>
    <t xml:space="preserve">https://www.federalregister.gov/documents/2024/06/17/2024-12842/medicare-program-medicare-prescription-drug-benefit-program-health-information-technology-standards</t>
  </si>
  <si>
    <t xml:space="preserve">marginal (strong kw=7)</t>
  </si>
  <si>
    <t xml:space="preserve">2024-24910</t>
  </si>
  <si>
    <t xml:space="preserve">Patient Protection and Affordable Care Act, HHS Notice of Benefit and Payment Parameters for 2025; Updating Section 1332 Waiver Public Notice Procedures; Medicaid; Consumer Operated and Oriented Plan (CO-OP) Program; and Basic Health Program; Correcting Amendment</t>
  </si>
  <si>
    <t xml:space="preserve">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</si>
  <si>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 xml:space="preserve">https://www.federalregister.gov/documents/2024/10/28/2024-24910/patient-protection-and-affordable-care-act-hhs-notice-of-benefit-and-payment-parameters-for-2025</t>
  </si>
  <si>
    <t xml:space="preserve">2024-25009</t>
  </si>
  <si>
    <t xml:space="preserve">https://www.federalregister.gov/documents/2024/10/28/2024-25009/agency-information-collection-activities-proposed-collection-comment-request</t>
  </si>
  <si>
    <t xml:space="preserve">2024-25015</t>
  </si>
  <si>
    <t xml:space="preserve">https://www.federalregister.gov/documents/2024/10/28/2024-25015/agency-information-collection-activities-submission-for-omb-review-comment-request</t>
  </si>
  <si>
    <t xml:space="preserve">2024-25019</t>
  </si>
  <si>
    <t xml:space="preserve">Agency Information Collection Activities: Submission for OMB Review; Comment Request; Withdrawal</t>
  </si>
  <si>
    <t xml:space="preserve">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</si>
  <si>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 xml:space="preserve">https://www.federalregister.gov/documents/2024/10/28/2024-25019/agency-information-collection-activities-submission-for-omb-review-comment-request-withdrawal</t>
  </si>
  <si>
    <t xml:space="preserve">2024-25148</t>
  </si>
  <si>
    <t xml:space="preserve">https://www.federalregister.gov/documents/2024/10/30/2024-25148/agency-information-collection-activities-proposed-collection-comment-request</t>
  </si>
  <si>
    <t xml:space="preserve">2024-25331</t>
  </si>
  <si>
    <t xml:space="preserve">https://www.federalregister.gov/documents/2024/10/31/2024-25331/agency-information-collection-activities-submission-for-omb-review-comment-request</t>
  </si>
  <si>
    <t xml:space="preserve">2024-25380</t>
  </si>
  <si>
    <t xml:space="preserve">https://www.federalregister.gov/documents/2024/10/31/2024-25380/agency-information-collection-activities-submission-for-omb-review-comment-request</t>
  </si>
  <si>
    <t xml:space="preserve">2024-25503</t>
  </si>
  <si>
    <t xml:space="preserve">https://www.federalregister.gov/documents/2024/11/01/2024-25503/medicaid-and-childrens-health-insurance-program-chip-generic-information-collection-activities</t>
  </si>
  <si>
    <t xml:space="preserve">2024-25505</t>
  </si>
  <si>
    <t xml:space="preserve">https://www.federalregister.gov/documents/2024/11/01/2024-25505/agency-information-collection-activities-proposed-collection-comment-request</t>
  </si>
  <si>
    <t xml:space="preserve">2024-25646</t>
  </si>
  <si>
    <t xml:space="preserve">https://www.federalregister.gov/documents/2024/11/05/2024-25646/medicaid-and-childrens-health-insurance-program-chip-generic-information-collection-activities</t>
  </si>
  <si>
    <t xml:space="preserve">2024-25738</t>
  </si>
  <si>
    <t xml:space="preserve">https://www.federalregister.gov/documents/2024/11/06/2024-25738/agency-information-collection-activities-submission-for-omb-review-comment-request</t>
  </si>
  <si>
    <t xml:space="preserve">2024-25791</t>
  </si>
  <si>
    <t xml:space="preserve">https://www.federalregister.gov/documents/2024/11/06/2024-25791/agency-information-collection-activities-submission-for-omb-review-comment-request</t>
  </si>
  <si>
    <t xml:space="preserve">2024-25792</t>
  </si>
  <si>
    <t xml:space="preserve">https://www.federalregister.gov/documents/2024/11/06/2024-25792/agency-information-collection-activities-proposed-collection-comment-request</t>
  </si>
  <si>
    <t xml:space="preserve">2024-25441</t>
  </si>
  <si>
    <t xml:space="preserve">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</si>
  <si>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</si>
  <si>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 xml:space="preserve">https://www.federalregister.gov/documents/2024/11/07/2024-25441/medicare-program-calendar-year-cy-2025-home-health-prospective-payment-system-hh-pps-rate-update-hh</t>
  </si>
  <si>
    <t xml:space="preserve">2024-25874</t>
  </si>
  <si>
    <t xml:space="preserve">Medicare and Medicaid Programs; Quarterly Listing of Program Issuances-July through September 2024</t>
  </si>
  <si>
    <t xml:space="preserve">https://www.federalregister.gov/documents/2024/11/07/2024-25874/medicare-and-medicaid-programs-quarterly-listing-of-program-issuances-july-through-september-2024</t>
  </si>
  <si>
    <t xml:space="preserve">2024-25966</t>
  </si>
  <si>
    <t xml:space="preserve">Medicare, Medicaid, Children's Health Insurance Program, Private Health Insurance Program; Health Equity Advisory Committee; Establishment &amp; Nomination Request</t>
  </si>
  <si>
    <t xml:space="preserve">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</si>
  <si>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 xml:space="preserve">https://www.federalregister.gov/documents/2024/11/08/2024-25966/medicare-medicaid-childrens-health-insurance-program-private-health-insurance-program-health-equity</t>
  </si>
  <si>
    <t xml:space="preserve">2024-26018</t>
  </si>
  <si>
    <t xml:space="preserve">https://www.federalregister.gov/documents/2024/11/08/2024-26018/agency-information-collection-activities-submission-for-omb-review-comment-request</t>
  </si>
  <si>
    <t xml:space="preserve">2024-25486</t>
  </si>
  <si>
    <t xml:space="preserve">part d(57); medicare advantage(10); dual eligible(4)</t>
  </si>
  <si>
    <t xml:space="preserve">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</si>
  <si>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 xml:space="preserve">https://www.federalregister.gov/documents/2024/11/12/2024-25486/medicare-program-end-stage-renal-disease-prospective-payment-system-payment-for-renal-dialysis</t>
  </si>
  <si>
    <t xml:space="preserve">2024-26123</t>
  </si>
  <si>
    <t xml:space="preserve">Medicare and Medicaid Programs; Approval of Application by Community Health Accreditation Partner (CHAP) Inc. for Continued CMS-Approval of Its Hospice Accreditation Program</t>
  </si>
  <si>
    <t xml:space="preserve">This notice acknowledges the approval of an application by Community Health Accreditation Partner Inc., for continued CMS-approval as a national accrediting organization for its hospice programs that wish to participate in the Medicare or Medicaid programs.</t>
  </si>
  <si>
    <t xml:space="preserve">https://www.federalregister.gov/documents/2024/11/12/2024-26123/medicare-and-medicaid-programs-approval-of-application-by-community-health-accreditation-partner</t>
  </si>
  <si>
    <t xml:space="preserve">2024-26124</t>
  </si>
  <si>
    <t xml:space="preserve">Medicare and Medicaid Programs; Approval of Application by the American Association for Accreditation of Ambulatory Surgery Facilities, dba QUAD A, for Continued CMS-Approval of Its Ambulatory Surgical Center (ASC) Accreditation Program</t>
  </si>
  <si>
    <t xml:space="preserve">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</si>
  <si>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https://www.federalregister.gov/documents/2024/11/12/2024-26124/medicare-and-medicaid-programs-approval-of-application-by-the-american-association-for-accreditation</t>
  </si>
  <si>
    <t xml:space="preserve">2024-26472</t>
  </si>
  <si>
    <t xml:space="preserve">Medicare Program; CY 2025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</si>
  <si>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</si>
  <si>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 xml:space="preserve">https://www.federalregister.gov/documents/2024/11/14/2024-26472/medicare-program-cy-2025-inpatient-hospital-deductible-and-hospital-and-extended-care-services</t>
  </si>
  <si>
    <t xml:space="preserve">2024-26473</t>
  </si>
  <si>
    <t xml:space="preserve">Medicare Program; CY 2025 Part A Premiums for the Uninsured Aged and for Certain Disabled Individuals Who Have Exhausted Other Entitlement</t>
  </si>
  <si>
    <t xml:space="preserve">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</si>
  <si>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 xml:space="preserve">https://www.federalregister.gov/documents/2024/11/14/2024-26473/medicare-program-cy-2025-part-a-premiums-for-the-uninsured-aged-and-for-certain-disabled-individuals</t>
  </si>
  <si>
    <t xml:space="preserve">2024-13793</t>
  </si>
  <si>
    <t xml:space="preserve">medicare advantage(1); dual eligible(1)</t>
  </si>
  <si>
    <t xml:space="preserve">21st Century Cures Act: Establishment of Disincentives for Health Care Providers That Have Committed Information Blocking</t>
  </si>
  <si>
    <t xml:space="preserve">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</si>
  <si>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 xml:space="preserve">https://www.federalregister.gov/documents/2024/07/01/2024-13793/21st-century-cures-act-establishment-of-disincentives-for-health-care-providers-that-have-committed</t>
  </si>
  <si>
    <t xml:space="preserve">marginal (strong kw=2)</t>
  </si>
  <si>
    <t xml:space="preserve">2024-26713</t>
  </si>
  <si>
    <t xml:space="preserve">https://www.federalregister.gov/documents/2024/11/18/2024-26713/medicaid-and-childrens-health-insurance-program-chip-generic-information-collection-activities</t>
  </si>
  <si>
    <t xml:space="preserve">2024-27052</t>
  </si>
  <si>
    <t xml:space="preserve">https://www.federalregister.gov/documents/2024/11/20/2024-27052/agency-information-collection-activities-proposed-collection-comment-request</t>
  </si>
  <si>
    <t xml:space="preserve">2024-27358</t>
  </si>
  <si>
    <t xml:space="preserve">d-snp(5); special needs plan(3); ma organization(2); dual eligible(2); medicare advantage(1)</t>
  </si>
  <si>
    <t xml:space="preserve">https://www.federalregister.gov/documents/2024/11/22/2024-27358/agency-information-collection-activities-proposed-collection-comment-request</t>
  </si>
  <si>
    <t xml:space="preserve">2024-27359</t>
  </si>
  <si>
    <t xml:space="preserve">https://www.federalregister.gov/documents/2024/11/22/2024-27359/agency-information-collection-activities-submission-for-omb-review-comment-request</t>
  </si>
  <si>
    <t xml:space="preserve">2024-27490</t>
  </si>
  <si>
    <t xml:space="preserve">https://www.federalregister.gov/documents/2024/11/25/2024-27490/agency-information-collection-activities-submission-for-omb-review-comment-request</t>
  </si>
  <si>
    <t xml:space="preserve">2024-27522</t>
  </si>
  <si>
    <t xml:space="preserve">https://www.federalregister.gov/documents/2024/11/25/2024-27522/agency-information-collection-activities-proposed-collection-comment-request</t>
  </si>
  <si>
    <t xml:space="preserve">2024-25521</t>
  </si>
  <si>
    <t xml:space="preserve">medicare advantage(19); part d(8); dual eligible(2)</t>
  </si>
  <si>
    <t xml:space="preserve">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</si>
  <si>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 xml:space="preserve">https://www.federalregister.gov/documents/2024/11/27/2024-25521/medicare-and-medicaid-programs-hospital-outpatient-prospective-payment-and-ambulatory-surgical</t>
  </si>
  <si>
    <t xml:space="preserve">2024-27740</t>
  </si>
  <si>
    <t xml:space="preserve">Medicare Program; Public Meeting for Air Ambulance Quality &amp; Patient Safety Advisory Committee-December 12, 2024, February 18, 2025, and May 8, 2025</t>
  </si>
  <si>
    <t xml:space="preserve">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</si>
  <si>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https://www.federalregister.gov/documents/2024/11/27/2024-27740/medicare-program-public-meeting-for-air-ambulance-quality-and-patient-safety-advisory</t>
  </si>
  <si>
    <t xml:space="preserve">2024-27871</t>
  </si>
  <si>
    <t xml:space="preserve">https://www.federalregister.gov/documents/2024/11/27/2024-27871/agency-information-collection-activities-submission-for-omb-review-comment-request</t>
  </si>
  <si>
    <t xml:space="preserve">2024-28077</t>
  </si>
  <si>
    <t xml:space="preserve">https://www.federalregister.gov/documents/2024/11/29/2024-28077/agency-information-collection-activities-submission-for-omb-review-comment-request</t>
  </si>
  <si>
    <t xml:space="preserve">2024-28083</t>
  </si>
  <si>
    <t xml:space="preserve">https://www.federalregister.gov/documents/2024/12/02/2024-28083/agency-information-collection-activities-proposed-collection-comment-request</t>
  </si>
  <si>
    <t xml:space="preserve">2024-28127</t>
  </si>
  <si>
    <t xml:space="preserve">Medicare, Medicaid, and Children's Health Insurance Programs; Provider Enrollment Application Fee Amount for Calendar Year 2025</t>
  </si>
  <si>
    <t xml:space="preserve">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</si>
  <si>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 xml:space="preserve">https://www.federalregister.gov/documents/2024/12/02/2024-28127/medicare-medicaid-and-childrens-health-insurance-programs-provider-enrollment-application-fee-amount</t>
  </si>
  <si>
    <t xml:space="preserve">2024-28308</t>
  </si>
  <si>
    <t xml:space="preserve">https://www.federalregister.gov/documents/2024/12/03/2024-28308/agency-information-collection-activities-submission-for-omb-review-comment-request</t>
  </si>
  <si>
    <t xml:space="preserve">2024-27841</t>
  </si>
  <si>
    <t xml:space="preserve">part d(82); medicare advantage(10); dual eligible(2); medigap(1)</t>
  </si>
  <si>
    <t xml:space="preserve">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</si>
  <si>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 xml:space="preserve">https://www.federalregister.gov/documents/2024/12/04/2024-27841/medicare-program-alternative-payment-model-updates-and-the-increasing-organ-transplant-access-iota</t>
  </si>
  <si>
    <t xml:space="preserve">2024-28458</t>
  </si>
  <si>
    <t xml:space="preserve">https://www.federalregister.gov/documents/2024/12/05/2024-28458/agency-information-collection-activities-proposed-collection-comment-request</t>
  </si>
  <si>
    <t xml:space="preserve">2024-28515</t>
  </si>
  <si>
    <t xml:space="preserve">https://www.federalregister.gov/documents/2024/12/06/2024-28515/agency-information-collection-activities-submission-for-omb-review-comment-request</t>
  </si>
  <si>
    <t xml:space="preserve">2024-28699</t>
  </si>
  <si>
    <t xml:space="preserve">https://www.federalregister.gov/documents/2024/12/06/2024-28699/medicaid-and-childrens-health-insurance-program-chip-generic-information-collection-activities</t>
  </si>
  <si>
    <t xml:space="preserve">2024-25382</t>
  </si>
  <si>
    <t xml:space="preserve">part d(1049); dual eligible(39); medicare advantage(37); part c(9); ma organization(8); d-snp(6); special needs plan(2)</t>
  </si>
  <si>
    <t xml:space="preserve">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</si>
  <si>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 xml:space="preserve">https://www.federalregister.gov/documents/2024/12/09/2024-25382/medicare-and-medicaid-programs-cy-2025-payment-policies-under-the-physician-fee-schedule-and-other</t>
  </si>
  <si>
    <t xml:space="preserve">2024-28857</t>
  </si>
  <si>
    <t xml:space="preserve">https://www.federalregister.gov/documents/2024/12/09/2024-28857/agency-information-collection-activities-submission-for-omb-review-comment-request</t>
  </si>
  <si>
    <t xml:space="preserve">2024-14601</t>
  </si>
  <si>
    <t xml:space="preserve">medicare advantage(2); part c(1); part d(1)</t>
  </si>
  <si>
    <t xml:space="preserve">Medicare Program: Mitigating the Impact of Significant, Anomalous, and Highly Suspect Billing Activity on Medicare Shared Savings Program Financial Calculations in Calendar Year 2023</t>
  </si>
  <si>
    <t xml:space="preserve">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</si>
  <si>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 xml:space="preserve">https://www.federalregister.gov/documents/2024/07/03/2024-14601/medicare-program-mitigating-the-impact-of-significant-anomalous-and-highly-suspect-billing-activity</t>
  </si>
  <si>
    <t xml:space="preserve">2024-29002</t>
  </si>
  <si>
    <t xml:space="preserve">https://www.federalregister.gov/documents/2024/12/11/2024-29002/agency-information-collection-activities-proposed-collection-comment-request</t>
  </si>
  <si>
    <t xml:space="preserve">2024-29075</t>
  </si>
  <si>
    <t xml:space="preserve">Medicare and Medicaid Programs: Approval of Application by the DNV Healthcare USA, Inc. for Continued CMS-Approval of Its Critical Access Hospital Accreditation Program</t>
  </si>
  <si>
    <t xml:space="preserve">This notice acknowledges the approval of an application by the DNV Healthcare USA, Inc., for continued recognition as a national accrediting organization for Critical Access Hospitals that wish to participate in the Medicare or Medicaid programs.</t>
  </si>
  <si>
    <t xml:space="preserve">https://www.federalregister.gov/documents/2024/12/11/2024-29075/medicare-and-medicaid-programs-approval-of-application-by-the-dnv-healthcare-usa-inc-for-continued</t>
  </si>
  <si>
    <t xml:space="preserve">2024-29152</t>
  </si>
  <si>
    <t xml:space="preserve">Medicare and Medicaid Programs; Approval of Application by the Accreditation Association for Ambulatory Healthcare for Continued CMS-Approval of Its Ambulatory Surgical Center Accreditation Program</t>
  </si>
  <si>
    <t xml:space="preserve">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</si>
  <si>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 xml:space="preserve">https://www.federalregister.gov/documents/2024/12/12/2024-29152/medicare-and-medicaid-programs-approval-of-application-by-the-accreditation-association-for</t>
  </si>
  <si>
    <t xml:space="preserve">2024-29382</t>
  </si>
  <si>
    <t xml:space="preserve">https://www.federalregister.gov/documents/2024/12/13/2024-29382/agency-information-collection-activities-submission-for-omb-review-comment-request</t>
  </si>
  <si>
    <t xml:space="preserve">2024-29386</t>
  </si>
  <si>
    <t xml:space="preserve">https://www.federalregister.gov/documents/2024/12/13/2024-29386/medicaid-and-childrens-health-insurance-program-chip-generic-information-collection-activities</t>
  </si>
  <si>
    <t xml:space="preserve">2024-29392</t>
  </si>
  <si>
    <t xml:space="preserve">https://www.federalregister.gov/documents/2024/12/13/2024-29392/agency-information-collection-activities-proposed-collection-comment-request</t>
  </si>
  <si>
    <t xml:space="preserve">2024-29458</t>
  </si>
  <si>
    <t xml:space="preserve">https://www.federalregister.gov/documents/2024/12/16/2024-29458/agency-information-collection-activities-proposed-collection-comment-request</t>
  </si>
  <si>
    <t xml:space="preserve">2024-29638</t>
  </si>
  <si>
    <t xml:space="preserve">https://www.federalregister.gov/documents/2024/12/17/2024-29638/agency-information-collection-activities-proposed-collection-comment-request</t>
  </si>
  <si>
    <t xml:space="preserve">2024-29754</t>
  </si>
  <si>
    <t xml:space="preserve">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</si>
  <si>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 xml:space="preserve">https://www.federalregister.gov/documents/2024/12/17/2024-29754/agency-information-collection-activities-submission-for-omb-review-comment-request-correction</t>
  </si>
  <si>
    <t xml:space="preserve">2024-30202</t>
  </si>
  <si>
    <t xml:space="preserve">https://www.federalregister.gov/documents/2024/12/19/2024-30202/agency-information-collection-activities-proposed-collection-comment-request</t>
  </si>
  <si>
    <t xml:space="preserve">2024-30169</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</si>
  <si>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</si>
  <si>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 xml:space="preserve">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</si>
  <si>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https://www.federalregister.gov/documents/2024/12/20/2024-30169/medicare-program-calendar-year-cy-2025-home-health-prospective-payment-system-hh-pps-rate-update-hh</t>
  </si>
  <si>
    <t xml:space="preserve">2024-30444</t>
  </si>
  <si>
    <t xml:space="preserve">https://www.federalregister.gov/documents/2024/12/20/2024-30444/agency-information-collection-activities-submission-for-omb-review-comment-request</t>
  </si>
  <si>
    <t xml:space="preserve">2024-30502</t>
  </si>
  <si>
    <t xml:space="preserve">https://www.federalregister.gov/documents/2024/12/23/2024-30502/agency-information-collection-activities-proposed-collection-comment-request</t>
  </si>
  <si>
    <t xml:space="preserve">2024-30522</t>
  </si>
  <si>
    <t xml:space="preserve">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</si>
  <si>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 xml:space="preserve">https://www.federalregister.gov/documents/2024/12/23/2024-30522/privacy-act-of-1974-matching-program</t>
  </si>
  <si>
    <t xml:space="preserve">2024-30619</t>
  </si>
  <si>
    <t xml:space="preserve">ma organization(3); part c(1)</t>
  </si>
  <si>
    <t xml:space="preserve">https://www.federalregister.gov/documents/2024/12/23/2024-30619/agency-information-collection-activities-submission-for-omb-review-comment-request</t>
  </si>
  <si>
    <t xml:space="preserve">2024-30620</t>
  </si>
  <si>
    <t xml:space="preserve">https://www.federalregister.gov/documents/2024/12/23/2024-30620/agency-information-collection-activities-proposed-collection-comment-request</t>
  </si>
  <si>
    <t xml:space="preserve">2024-30719</t>
  </si>
  <si>
    <t xml:space="preserve">Medicare Program; Rural Community Hospital Disemonstration Program: Solicitation of Additional Participants</t>
  </si>
  <si>
    <t xml:space="preserve">This notice announces a solicitation for up to 10 additional eligible hospitals to participate in the Rural Community Hospital Demonstration program, to run through June 30, 2028.</t>
  </si>
  <si>
    <t xml:space="preserve">https://www.federalregister.gov/documents/2024/12/26/2024-30719/medicare-program-rural-community-hospital-disemonstration-program-solicitation-of-additional</t>
  </si>
  <si>
    <t xml:space="preserve">2024-30853</t>
  </si>
  <si>
    <t xml:space="preserve">https://www.federalregister.gov/documents/2024/12/27/2024-30853/agency-information-collection-activities-proposed-collection-comment-request</t>
  </si>
  <si>
    <t xml:space="preserve">2024-31146</t>
  </si>
  <si>
    <t xml:space="preserve">Medicare Program: Appeal Rights for Certain Changes in Patient Status and Changes to the Medicare Claims and Medicare Prescription Drug Coverage Determination Appeals Procedures; Correcting Amendment</t>
  </si>
  <si>
    <t xml:space="preserve">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</si>
  <si>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 xml:space="preserve">https://www.federalregister.gov/documents/2024/12/30/2024-31146/medicare-program-appeal-rights-for-certain-changes-in-patient-status-and-changes-to-the-medicare</t>
  </si>
  <si>
    <t xml:space="preserve">2024-31553</t>
  </si>
  <si>
    <t xml:space="preserve">https://www.federalregister.gov/documents/2025/01/03/2024-31553/agency-information-collection-activities-proposed-collection-comment-request</t>
  </si>
  <si>
    <t xml:space="preserve">2024-31567</t>
  </si>
  <si>
    <t xml:space="preserve">c-snp(2); medicare advantage(1)</t>
  </si>
  <si>
    <t xml:space="preserve">https://www.federalregister.gov/documents/2025/01/03/2024-31567/agency-information-collection-activities-proposed-collection-comment-request</t>
  </si>
  <si>
    <t xml:space="preserve">C1-2024-30444</t>
  </si>
  <si>
    <t xml:space="preserve">https://www.federalregister.gov/documents/2025/01/07/C1-2024-30444/agency-information-collection-activities-submission-for-omb-review-comment-request</t>
  </si>
  <si>
    <t xml:space="preserve">2025-00385</t>
  </si>
  <si>
    <t xml:space="preserve">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</si>
  <si>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 xml:space="preserve">https://www.federalregister.gov/documents/2025/01/10/2025-00385/announcement-of-the-advisory-panel-on-outreach-and-education-apoe-virtual-meeting</t>
  </si>
  <si>
    <t xml:space="preserve">2025-00399</t>
  </si>
  <si>
    <t xml:space="preserve">https://www.federalregister.gov/documents/2025/01/10/2025-00399/agency-information-collection-activities-proposed-collection-comment-request</t>
  </si>
  <si>
    <t xml:space="preserve">2025-00081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</si>
  <si>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</si>
  <si>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 xml:space="preserve">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</si>
  <si>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 xml:space="preserve">https://www.federalregister.gov/documents/2025/01/13/2025-00081/medicare-and-medicaid-programs-hospital-outpatient-prospective-payment-and-ambulatory-surgical</t>
  </si>
  <si>
    <t xml:space="preserve">2025-00448</t>
  </si>
  <si>
    <t xml:space="preserve">Medicare and Medicaid Programs: Application From The Joint Commission for Continued Approval of its Hospice Accreditation Program</t>
  </si>
  <si>
    <t xml:space="preserve">This proposed notice acknowledges the receipt of an application from The Joint Commission for continued recognition as a national accrediting organization for hospices that wish to participate in the Medicare or Medicaid programs.</t>
  </si>
  <si>
    <t xml:space="preserve">https://www.federalregister.gov/documents/2025/01/13/2025-00448/medicare-and-medicaid-programs-application-from-the-joint-commission-for-continued-approval-of-its</t>
  </si>
  <si>
    <t xml:space="preserve">2025-00391</t>
  </si>
  <si>
    <t xml:space="preserve">Medicare Program; Request for Nominations for Members for the Medicare Evidence Development &amp; Coverage Advisory Committee</t>
  </si>
  <si>
    <t xml:space="preserve">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</si>
  <si>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 xml:space="preserve">https://www.federalregister.gov/documents/2025/01/14/2025-00391/medicare-program-request-for-nominations-for-members-for-the-medicare-evidence-development-and</t>
  </si>
  <si>
    <t xml:space="preserve">2025-00589</t>
  </si>
  <si>
    <t xml:space="preserve">https://www.federalregister.gov/documents/2025/01/14/2025-00589/agency-information-collection-activities-submission-for-omb-review-comment-request</t>
  </si>
  <si>
    <t xml:space="preserve">2025-00593</t>
  </si>
  <si>
    <t xml:space="preserve">https://www.federalregister.gov/documents/2025/01/14/2025-00593/agency-information-collection-activities-proposed-collection-comment-request</t>
  </si>
  <si>
    <t xml:space="preserve">2025-00695</t>
  </si>
  <si>
    <t xml:space="preserve">https://www.federalregister.gov/documents/2025/01/15/2025-00695/agency-information-collection-activities-proposed-collection-comment-request</t>
  </si>
  <si>
    <t xml:space="preserve">2025-00696</t>
  </si>
  <si>
    <t xml:space="preserve">https://www.federalregister.gov/documents/2025/01/15/2025-00696/agency-information-collection-activities-submission-for-omb-review-comment-request</t>
  </si>
  <si>
    <t xml:space="preserve">2025-01022</t>
  </si>
  <si>
    <t xml:space="preserve">https://www.federalregister.gov/documents/2025/01/16/2025-01022/medicaid-and-childrens-health-insurance-program-chip-generic-information-collection-activities</t>
  </si>
  <si>
    <t xml:space="preserve">2025-01242</t>
  </si>
  <si>
    <t xml:space="preserve">https://www.federalregister.gov/documents/2025/01/17/2025-01242/agency-information-collection-activities-proposed-collection-comment-request</t>
  </si>
  <si>
    <t xml:space="preserve">2025-02168</t>
  </si>
  <si>
    <t xml:space="preserve">https://www.federalregister.gov/documents/2025/02/03/2025-02168/agency-information-collection-activities-submission-for-omb-review-comment-request</t>
  </si>
  <si>
    <t xml:space="preserve">2025-02215</t>
  </si>
  <si>
    <t xml:space="preserve">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</si>
  <si>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</si>
  <si>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 xml:space="preserve">https://www.federalregister.gov/documents/2025/02/04/2025-02215/announcement-of-the-advisory-panel-on-outreach-and-education-apoe-virtual-meeting-cancellation-of</t>
  </si>
  <si>
    <t xml:space="preserve">2025-02436</t>
  </si>
  <si>
    <t xml:space="preserve">Medicare and Medicaid Programs: Application From The Joint Commission for Continued CMS-Approval of Its Hospital Accreditation Program</t>
  </si>
  <si>
    <t xml:space="preserve">This proposed notice acknowledges the receipt of an application from The Joint Commission for continued recognition as a national accrediting organization for hospitals that wish to participate in the Medicare or Medicaid programs.</t>
  </si>
  <si>
    <t xml:space="preserve">https://www.federalregister.gov/documents/2025/02/11/2025-02436/medicare-and-medicaid-programs-application-from-the-joint-commission-for-continued-cms-approval-of</t>
  </si>
  <si>
    <t xml:space="preserve">2025-02441</t>
  </si>
  <si>
    <t xml:space="preserve">Medicare Program; Announcement of Request for an Exception From the Prohibition on Expansion of Facility Capacity Under the Hospital Ownership and Rural Provider Exceptions to the Physician Self-Referral Prohibition</t>
  </si>
  <si>
    <t xml:space="preserve">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</si>
  <si>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 xml:space="preserve">https://www.federalregister.gov/documents/2025/02/11/2025-02441/medicare-program-announcement-of-request-for-an-exception-from-the-prohibition-on-expansion-of</t>
  </si>
  <si>
    <t xml:space="preserve">2025-02787</t>
  </si>
  <si>
    <t xml:space="preserve">Medicare and Medicaid Programs; Quarterly Listing of Program Issuances-October Through December 2024</t>
  </si>
  <si>
    <t xml:space="preserve">https://www.federalregister.gov/documents/2025/02/19/2025-02787/medicare-and-medicaid-programs-quarterly-listing-of-program-issuances-october-through-december-2024</t>
  </si>
  <si>
    <t xml:space="preserve">2025-02914</t>
  </si>
  <si>
    <t xml:space="preserve">Medicare and Medicaid Programs: Approval of Application From the American Association for Accreditation of Ambulatory Surgery Facilities dba QUAD A for Continued CMS-Approval of Its Outpatient Physical Therapy (OPT) Accreditation Program</t>
  </si>
  <si>
    <t xml:space="preserve">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</si>
  <si>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 xml:space="preserve">https://www.federalregister.gov/documents/2025/02/21/2025-02914/medicare-and-medicaid-programs-approval-of-application-from-the-american-association-for</t>
  </si>
  <si>
    <t xml:space="preserve">2025-02918</t>
  </si>
  <si>
    <t xml:space="preserve">Medicare and Medicaid Programs; Application From the Accreditation Commission for Health Care Inc. for Continued Approval of Its Home Health Agency Accreditation Program</t>
  </si>
  <si>
    <t xml:space="preserve">This notice announces our decision to approve the Accreditation Commission for Health Care Inc. (ACHC) for continued recognition as a national accrediting organization for home health agencies (HHAs) that wish to participate in the Medicare or Medicaid programs.</t>
  </si>
  <si>
    <t xml:space="preserve">https://www.federalregister.gov/documents/2025/02/21/2025-02918/medicare-and-medicaid-programs-application-from-the-accreditation-commission-for-health-care-inc-for</t>
  </si>
  <si>
    <t xml:space="preserve">2025-02938</t>
  </si>
  <si>
    <t xml:space="preserve">Notice of Hearing: Reconsideration of Disapproval Idaho Medicaid State Plan Amendment (SPA) 24-0015</t>
  </si>
  <si>
    <t xml:space="preserve">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</si>
  <si>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 xml:space="preserve">https://www.federalregister.gov/documents/2025/02/24/2025-02938/notice-of-hearing-reconsideration-of-disapproval-idaho-medicaid-state-plan-amendment-spa-24-0015</t>
  </si>
  <si>
    <t xml:space="preserve">2025-04887</t>
  </si>
  <si>
    <t xml:space="preserve">d-snp(4); medicare advantage(3); ma organization(2); special needs plan(2); dual eligible(1)</t>
  </si>
  <si>
    <t xml:space="preserve">https://www.federalregister.gov/documents/2025/03/21/2025-04887/agency-information-collection-activities-submission-for-omb-review-comment-request</t>
  </si>
  <si>
    <t xml:space="preserve">2025-04890</t>
  </si>
  <si>
    <t xml:space="preserve">d-snp(6); part c(3); ma organization(2)</t>
  </si>
  <si>
    <t xml:space="preserve">https://www.federalregister.gov/documents/2025/03/21/2025-04890/agency-information-collection-activities-proposed-collection-comment-request</t>
  </si>
  <si>
    <t xml:space="preserve">2025-05089</t>
  </si>
  <si>
    <t xml:space="preserve">https://www.federalregister.gov/documents/2025/03/26/2025-05089/agency-information-collection-activities-proposed-collection-comment-request</t>
  </si>
  <si>
    <t xml:space="preserve">2025-05530</t>
  </si>
  <si>
    <t xml:space="preserve">https://www.federalregister.gov/documents/2025/04/01/2025-05530/agency-information-collection-activities-submission-for-omb-review-comment-request</t>
  </si>
  <si>
    <t xml:space="preserve">2024-17603</t>
  </si>
  <si>
    <t xml:space="preserve">Medicare Program; Transitional Coverage for Emerging Technologies</t>
  </si>
  <si>
    <t xml:space="preserve">This final notice finalizes the process and procedures for the Transitional Coverage for Emerging Technologies (TCET) pathway and provides our responses to the public comments received.</t>
  </si>
  <si>
    <t xml:space="preserve">https://www.federalregister.gov/documents/2024/08/12/2024-17603/medicare-program-transitional-coverage-for-emerging-technologies</t>
  </si>
  <si>
    <t xml:space="preserve">2025-06400</t>
  </si>
  <si>
    <t xml:space="preserve">https://www.federalregister.gov/documents/2025/04/16/2025-06400/medicaid-and-childrens-health-insurance-program-chip-generic-information-collection-activities</t>
  </si>
  <si>
    <t xml:space="preserve">2025-06756</t>
  </si>
  <si>
    <t xml:space="preserve">Medicare Program: Public Meeting Regarding New and Reconsidered Clinical Diagnostic Laboratory Test Codes for the Clinical Laboratory Fee Schedule for Calendar Year 2026-June 27,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</si>
  <si>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</si>
  <si>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 xml:space="preserve">https://www.federalregister.gov/documents/2025/04/21/2025-06756/medicare-program-public-meeting-regarding-new-and-reconsidered-clinical-diagnostic-laboratory-test</t>
  </si>
  <si>
    <t xml:space="preserve">2025-06758</t>
  </si>
  <si>
    <t xml:space="preserve">Medicare Program: Meeting Announcement for the Medicare Advisory Panel on Clinical Diagnostic Laboratory Tests, July 23-24, 2025</t>
  </si>
  <si>
    <t xml:space="preserve">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</si>
  <si>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https://www.federalregister.gov/documents/2025/04/21/2025-06758/medicare-program-meeting-announcement-for-the-medicare-advisory-panel-on-clinical-diagnostic</t>
  </si>
  <si>
    <t xml:space="preserve">2025-06760</t>
  </si>
  <si>
    <t xml:space="preserve">part d(3); medigap(1)</t>
  </si>
  <si>
    <t xml:space="preserve">https://www.federalregister.gov/documents/2025/04/21/2025-06760/agency-information-collection-activities-proposed-collection-comment-request</t>
  </si>
  <si>
    <t xml:space="preserve">2025-06834</t>
  </si>
  <si>
    <t xml:space="preserve">Medicare Program; Virtual Meeting of the Medicare Evidence Development and Coverage Advisory Committee</t>
  </si>
  <si>
    <t xml:space="preserve">This notice announces a virtual public meeting of the Medicare Evidence Development &amp; Coverage Advisory Committee (MEDCAC) ("Committee") will be held on Wednesday, June 25, 2025.</t>
  </si>
  <si>
    <t xml:space="preserve">https://www.federalregister.gov/documents/2025/04/21/2025-06834/medicare-program-virtual-meeting-of-the-medicare-evidence-development-and-coverage-advisory</t>
  </si>
  <si>
    <t xml:space="preserve">2025-07247</t>
  </si>
  <si>
    <t xml:space="preserve">Medicare and Medicaid Programs: Application From DNV Healthcare, Inc. for Initial CMS-Approval of Its Ambulatory Surgical Center (ASC) Accreditation Program</t>
  </si>
  <si>
    <t xml:space="preserve">This notice acknowledges the receipt of an application from DNV Healthcare Inc. for initial recognition as a national accrediting organization for Ambulatory Surgical Centers that wish to participate in the Medicare or Medicaid programs.</t>
  </si>
  <si>
    <t xml:space="preserve">https://www.federalregister.gov/documents/2025/04/28/2025-07247/medicare-and-medicaid-programs-application-from-dnv-healthcare-inc-for-initial-cms-approval-of-its</t>
  </si>
  <si>
    <t xml:space="preserve">2025-07294</t>
  </si>
  <si>
    <t xml:space="preserve">Medicare Program; Announcement of Request for an Exception From the Prohibition on Expansion of Facility Capacity Under the Hospital Ownership and Rural Provider Exceptions to the Physician Self-Referral Prohibition; Recission</t>
  </si>
  <si>
    <t xml:space="preserve">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</si>
  <si>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 xml:space="preserve">https://www.federalregister.gov/documents/2025/04/28/2025-07294/medicare-program-announcement-of-request-for-an-exception-from-the-prohibition-on-expansion-of</t>
  </si>
  <si>
    <t xml:space="preserve">2025-07302</t>
  </si>
  <si>
    <t xml:space="preserve">https://www.federalregister.gov/documents/2025/04/28/2025-07302/agency-information-collection-activities-submission-for-omb-review-comment-request</t>
  </si>
  <si>
    <t xml:space="preserve">2025-06271</t>
  </si>
  <si>
    <t xml:space="preserve">medicare advantage(28); dual eligible(6); part c(4); part d(2); special needs plan(1)</t>
  </si>
  <si>
    <t xml:space="preserve">Medicare Program; Hospital Inpatient Prospective Payment Systems for Acute Care Hospitals and the Long-Term Care Hospital Prospective Payment System and Policy Changes and Fiscal Year 2026 Rates; Requirements for Quality Programs;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</si>
  <si>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</si>
  <si>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 xml:space="preserve">https://www.federalregister.gov/documents/2025/04/30/2025-06271/medicare-program-hospital-inpatient-prospective-payment-systems-for-acute-care-hospitals-and-the</t>
  </si>
  <si>
    <t xml:space="preserve">2025-06298</t>
  </si>
  <si>
    <t xml:space="preserve">Medicare Program; FY 2026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</si>
  <si>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</si>
  <si>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 xml:space="preserve">https://www.federalregister.gov/documents/2025/04/30/2025-06298/medicare-program-fy-2026-inpatient-psychiatric-facilities-prospective-payment-system-rate-update</t>
  </si>
  <si>
    <t xml:space="preserve">2025-06317</t>
  </si>
  <si>
    <t xml:space="preserve">Medicare Program; FY 2026 Hospice Wage Index and Payment Rate Update and Hospice Quality Reporting Program Requirements</t>
  </si>
  <si>
    <t xml:space="preserve">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</si>
  <si>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 xml:space="preserve">https://www.federalregister.gov/documents/2025/04/30/2025-06317/medicare-program-fy-2026-hospice-wage-index-and-payment-rate-update-and-hospice-quality-reporting</t>
  </si>
  <si>
    <t xml:space="preserve">2025-06336</t>
  </si>
  <si>
    <t xml:space="preserve">medicare advantage(1); part c(1)</t>
  </si>
  <si>
    <t xml:space="preserve">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</si>
  <si>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</si>
  <si>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 xml:space="preserve">https://www.federalregister.gov/documents/2025/04/30/2025-06336/medicare-program-inpatient-rehabilitation-facility-prospective-payment-system-for-federal-fiscal</t>
  </si>
  <si>
    <t xml:space="preserve">2025-06348</t>
  </si>
  <si>
    <t xml:space="preserve">Medicare Program; Prospective Payment System and Consolidated Billing for Skilled Nursing Facilities; Updates to the Quality Reporting Program for Federal Fiscal Year 2026</t>
  </si>
  <si>
    <t xml:space="preserve">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</si>
  <si>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 xml:space="preserve">https://www.federalregister.gov/documents/2025/04/30/2025-06348/medicare-program-prospective-payment-system-and-consolidated-billing-for-skilled-nursing-facilities</t>
  </si>
  <si>
    <t xml:space="preserve">2025-07943</t>
  </si>
  <si>
    <t xml:space="preserve">Medicare Program; Public Meeting for New Revisions to the Healthcare Common Procedure Coding System (HCPCS) Coding</t>
  </si>
  <si>
    <t xml:space="preserve">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</si>
  <si>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 xml:space="preserve">https://www.federalregister.gov/documents/2025/05/07/2025-07943/medicare-program-public-meeting-for-new-revisions-to-the-healthcare-common-procedure-coding-system</t>
  </si>
  <si>
    <t xml:space="preserve">2025-08307</t>
  </si>
  <si>
    <t xml:space="preserve">part d(11)</t>
  </si>
  <si>
    <t xml:space="preserve">https://www.federalregister.gov/documents/2025/05/12/2025-08307/agency-information-collection-activities-submission-for-omb-review-comment-request</t>
  </si>
  <si>
    <t xml:space="preserve">2025-08348</t>
  </si>
  <si>
    <t xml:space="preserve">part d(9); part c(2); ma organization(1)</t>
  </si>
  <si>
    <t xml:space="preserve">https://www.federalregister.gov/documents/2025/05/13/2025-08348/agency-information-collection-activities-proposed-collection-comment-request</t>
  </si>
  <si>
    <t xml:space="preserve">2025-08423</t>
  </si>
  <si>
    <t xml:space="preserve">https://www.federalregister.gov/documents/2025/05/13/2025-08423/agency-information-collection-activities-proposed-collection-comment-request</t>
  </si>
  <si>
    <t xml:space="preserve">2024-20174</t>
  </si>
  <si>
    <t xml:space="preserve">Medicare Program; Medicare Prescription Drug Benefit Program; Health Information Technology Standards and Implementation Specifications; Correction</t>
  </si>
  <si>
    <t xml:space="preserve">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</si>
  <si>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 xml:space="preserve">https://www.federalregister.gov/documents/2024/09/09/2024-20174/medicare-program-medicare-prescription-drug-benefit-program-health-information-technology-standards</t>
  </si>
  <si>
    <t xml:space="preserve">2025-08607</t>
  </si>
  <si>
    <t xml:space="preserve">Medicare Program; Inflation Reduction Act (IRA) Medicare Drug Price Negotiation Program Draft Guidance; Comment Request</t>
  </si>
  <si>
    <t xml:space="preserve">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</si>
  <si>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 xml:space="preserve">https://www.federalregister.gov/documents/2025/05/15/2025-08607/medicare-program-inflation-reduction-act-ira-medicare-drug-price-negotiation-program-draft-guidance</t>
  </si>
  <si>
    <t xml:space="preserve">2025-08676</t>
  </si>
  <si>
    <t xml:space="preserve">part d(34)</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</si>
  <si>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</si>
  <si>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 xml:space="preserve">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</si>
  <si>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 xml:space="preserve">https://www.federalregister.gov/documents/2025/05/16/2025-08676/medicare-and-medicaid-programs-cy-2025-payment-policies-under-the-physician-fee-schedule-and-other</t>
  </si>
  <si>
    <t xml:space="preserve">2024-21254</t>
  </si>
  <si>
    <t xml:space="preserve">part d(14); medicare advantage(1); dual eligible(1)</t>
  </si>
  <si>
    <t xml:space="preserve">Medicaid Program; Misclassification of Drugs, Program Administration and Program Integrity Updates Under the Medicaid Drug Rebate Program</t>
  </si>
  <si>
    <t xml:space="preserve">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</si>
  <si>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 xml:space="preserve">https://www.federalregister.gov/documents/2024/09/26/2024-21254/medicaid-program-misclassification-of-drugs-program-administration-and-program-integrity-updates</t>
  </si>
  <si>
    <t xml:space="preserve">2025-08722</t>
  </si>
  <si>
    <t xml:space="preserve">Medicare Program; Request for Renewal of Deeming Authority of the Utilization Review Accreditation Commission (URAC) for Medicare Advantage Health Maintenance Organizations and Preferred Provider Organizations</t>
  </si>
  <si>
    <t xml:space="preserve">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</si>
  <si>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 xml:space="preserve">https://www.federalregister.gov/documents/2025/05/16/2025-08722/medicare-program-request-for-renewal-of-deeming-authority-of-the-utilization-review-accreditation</t>
  </si>
  <si>
    <t xml:space="preserve">accreditor approval</t>
  </si>
  <si>
    <t xml:space="preserve">2025-08753</t>
  </si>
  <si>
    <t xml:space="preserve">Medicare and Medicaid Programs; Quarterly Listing of Program Issuances-January Through March 2025</t>
  </si>
  <si>
    <t xml:space="preserve">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</si>
  <si>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https://www.federalregister.gov/documents/2025/05/16/2025-08753/medicare-and-medicaid-programs-quarterly-listing-of-program-issuances-january-through-march-2025</t>
  </si>
  <si>
    <t xml:space="preserve">2025-09138</t>
  </si>
  <si>
    <t xml:space="preserve">part d(7); part c(6); medicare advantage(1)</t>
  </si>
  <si>
    <t xml:space="preserve">https://www.federalregister.gov/documents/2025/05/21/2025-09138/agency-information-collection-activities-proposed-collection-comment-request</t>
  </si>
  <si>
    <t xml:space="preserve">2025-09144</t>
  </si>
  <si>
    <t xml:space="preserve">https://www.federalregister.gov/documents/2025/05/21/2025-09144/agency-information-collection-activities-submission-for-omb-review-comment-request</t>
  </si>
  <si>
    <t xml:space="preserve">C1-2025-06317</t>
  </si>
  <si>
    <t xml:space="preserve">https://www.federalregister.gov/documents/2025/05/21/C1-2025-06317/medicare-program-fy-2026-hospice-wage-index-and-payment-rate-update-and-hospice-quality-reporting</t>
  </si>
  <si>
    <t xml:space="preserve">C1-2025-06348</t>
  </si>
  <si>
    <t xml:space="preserve">https://www.federalregister.gov/documents/2025/05/21/C1-2025-06348/medicare-program-prospective-payment-system-and-consolidated-billing-for-skilled-nursing-facilities</t>
  </si>
  <si>
    <t xml:space="preserve">2025-09495</t>
  </si>
  <si>
    <t xml:space="preserve">https://www.federalregister.gov/documents/2025/05/28/2025-09495/agency-information-collection-activities-proposed-collection-comment-request</t>
  </si>
  <si>
    <t xml:space="preserve">2025-09496</t>
  </si>
  <si>
    <t xml:space="preserve">https://www.federalregister.gov/documents/2025/05/28/2025-09496/agency-information-collection-activities-submission-for-omb-review-comment-request</t>
  </si>
  <si>
    <t xml:space="preserve">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</si>
  <si>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</si>
  <si>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 xml:space="preserve">https://www.federalregister.gov/documents/2024/09/27/2024-22054/medicare-program-mitigating-the-impact-of-significant-anomalous-and-highly-suspect-billing-activity</t>
  </si>
  <si>
    <t xml:space="preserve">2025-09813</t>
  </si>
  <si>
    <t xml:space="preserve">https://www.federalregister.gov/documents/2025/05/30/2025-09813/agency-information-collection-activities-submission-for-omb-review-comment-request</t>
  </si>
  <si>
    <t xml:space="preserve">2025-09870</t>
  </si>
  <si>
    <t xml:space="preserve">Medicare and Medicaid Programs; Application From The Joint Commission for Continued Approval of its Hospice Accreditation Program</t>
  </si>
  <si>
    <t xml:space="preserve">This notice announces our decision to approve The Joint Commission for continued recognition as a national accrediting organization for hospices that wish to participate in the Medicare or Medicaid programs.</t>
  </si>
  <si>
    <t xml:space="preserve">https://www.federalregister.gov/documents/2025/06/02/2025-09870/medicare-and-medicaid-programs-application-from-the-joint-commission-for-continued-approval-of-its</t>
  </si>
  <si>
    <t xml:space="preserve">2025-10112</t>
  </si>
  <si>
    <t xml:space="preserve">https://www.federalregister.gov/documents/2025/06/04/2025-10112/agency-information-collection-activities-proposed-collection-comment-request</t>
  </si>
  <si>
    <t xml:space="preserve">2025-10261</t>
  </si>
  <si>
    <t xml:space="preserve">Medicare Program; Hospital Inpatient Prospective Payment Systems for Acute Care Hospitals and the Long-Term Care Hospital Prospective Payment System and Policy Changes and Fiscal Year 2026 Rates; Requirements for Quality Programs; and Other Policy Changes; Correction</t>
  </si>
  <si>
    <t xml:space="preserve">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</si>
  <si>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 xml:space="preserve">https://www.federalregister.gov/documents/2025/06/05/2025-10261/medicare-program-hospital-inpatient-prospective-payment-systems-for-acute-care-hospitals-and-the</t>
  </si>
  <si>
    <t xml:space="preserve">2025-10401</t>
  </si>
  <si>
    <t xml:space="preserve">Medicare Program; Public Meeting for Air Ambulance Quality &amp; Patient Safety Advisory Committee Notice of Public Meeting-July 10, 2025</t>
  </si>
  <si>
    <t xml:space="preserve">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</si>
  <si>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https://www.federalregister.gov/documents/2025/06/09/2025-10401/medicare-program-public-meeting-for-air-ambulance-quality-and-patient-safety-advisory-committee</t>
  </si>
  <si>
    <t xml:space="preserve">2025-10521</t>
  </si>
  <si>
    <t xml:space="preserve">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</si>
  <si>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 xml:space="preserve">https://www.federalregister.gov/documents/2025/06/11/2025-10521/agency-information-collection-activities-submission-for-omb-review-comment-request</t>
  </si>
  <si>
    <t xml:space="preserve">2025-10533</t>
  </si>
  <si>
    <t xml:space="preserve">d-snp(4); part c(3); ma organization(2)</t>
  </si>
  <si>
    <t xml:space="preserve">https://www.federalregister.gov/documents/2025/06/11/2025-10533/agency-information-collection-activities-submission-for-omb-review-comment-request</t>
  </si>
  <si>
    <t xml:space="preserve">2025-10534</t>
  </si>
  <si>
    <t xml:space="preserve">https://www.federalregister.gov/documents/2025/06/11/2025-10534/agency-information-collection-activities-proposed-collection-comment-request</t>
  </si>
  <si>
    <t xml:space="preserve">2025-10650</t>
  </si>
  <si>
    <t xml:space="preserve">https://www.federalregister.gov/documents/2025/06/12/2025-10650/agency-information-collection-activities-proposed-collection-comment-request</t>
  </si>
  <si>
    <t xml:space="preserve">2025-10730</t>
  </si>
  <si>
    <t xml:space="preserve">https://www.federalregister.gov/documents/2025/06/12/2025-10730/medicaid-and-childrens-health-insurance-program-chip-generic-information-collection-activities</t>
  </si>
  <si>
    <t xml:space="preserve">2025-10820</t>
  </si>
  <si>
    <t xml:space="preserve">https://www.federalregister.gov/documents/2025/06/13/2025-10820/agency-information-collection-activities-submission-for-omb-review-comment-request</t>
  </si>
  <si>
    <t xml:space="preserve">2025-10824</t>
  </si>
  <si>
    <t xml:space="preserve">https://www.federalregister.gov/documents/2025/06/13/2025-10824/medicaid-and-childrens-health-insurance-program-chip-generic-information-collection-activities</t>
  </si>
  <si>
    <t xml:space="preserve">2025-11157</t>
  </si>
  <si>
    <t xml:space="preserve">https://www.federalregister.gov/documents/2025/06/17/2025-11157/agency-information-collection-activities-submission-for-omb-review-comment-request</t>
  </si>
  <si>
    <t xml:space="preserve">2025-11324</t>
  </si>
  <si>
    <t xml:space="preserve">https://www.federalregister.gov/documents/2025/06/20/2025-11324/agency-information-collection-activities-proposed-collection-comment-request</t>
  </si>
  <si>
    <t xml:space="preserve">2025-11408</t>
  </si>
  <si>
    <t xml:space="preserve">c-snp(2)</t>
  </si>
  <si>
    <t xml:space="preserve">https://www.federalregister.gov/documents/2025/06/23/2025-11408/agency-information-collection-activities-submission-for-omb-review-comment-request</t>
  </si>
  <si>
    <t xml:space="preserve">2025-11411</t>
  </si>
  <si>
    <t xml:space="preserve">https://www.federalregister.gov/documents/2025/06/23/2025-11411/agency-information-collection-activities-proposed-collection-comment-request</t>
  </si>
  <si>
    <t xml:space="preserve">2025-11451</t>
  </si>
  <si>
    <t xml:space="preserve">Medicare and Medicaid Programs; Application From The Joint Commission for Continued CMS Approval of its Hospital Accreditation Program</t>
  </si>
  <si>
    <t xml:space="preserve">This final notice announces our decision to approve The Joint Commission for continued CMS-recognition as a national accrediting organization for hospitals that wish to participate in the Medicare or Medicaid programs.</t>
  </si>
  <si>
    <t xml:space="preserve">https://www.federalregister.gov/documents/2025/06/23/2025-11451/medicare-and-medicaid-programs-application-from-the-joint-commission-for-continued-cms-approval-of</t>
  </si>
  <si>
    <t xml:space="preserve">2025-11519</t>
  </si>
  <si>
    <t xml:space="preserve">Medicaid and Children's Health Insurance Program (CHIP) Generic Information Collection Activities: Proposed Collection; Extension of Comment Period</t>
  </si>
  <si>
    <t xml:space="preserve">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</si>
  <si>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 xml:space="preserve">https://www.federalregister.gov/documents/2025/06/24/2025-11519/medicaid-and-childrens-health-insurance-program-chip-generic-information-collection-activities</t>
  </si>
  <si>
    <t xml:space="preserve">2025-11701</t>
  </si>
  <si>
    <t xml:space="preserve">Medicare and Medicaid Programs: Application From the Accreditation Commission for Health Care (ACHC) for Continued Approval of Its Hospice Accreditation Program</t>
  </si>
  <si>
    <t xml:space="preserve">This proposed notice acknowledges the receipt of an application from the Accreditation Commission for Health Care, for continued recognition as a national accrediting organization for hospices that wish to participate in the Medicare or Medicaid programs.</t>
  </si>
  <si>
    <t xml:space="preserve">https://www.federalregister.gov/documents/2025/06/25/2025-11701/medicare-and-medicaid-programs-application-from-the-accreditation-commission-for-health-care-achc</t>
  </si>
  <si>
    <t xml:space="preserve">2025-11865</t>
  </si>
  <si>
    <t xml:space="preserve">Secretarial Comments on the CBE's (Battelle Memorial Institute) 2024 Activities: Report to Congress and the Secretary of the Department of Health and Human Services</t>
  </si>
  <si>
    <t xml:space="preserve">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</si>
  <si>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 xml:space="preserve">https://www.federalregister.gov/documents/2025/06/27/2025-11865/secretarial-comments-on-the-cbes-battelle-memorial-institute-2024-activities-report-to-congress-and</t>
  </si>
  <si>
    <t xml:space="preserve">2025-11900</t>
  </si>
  <si>
    <t xml:space="preserve">https://www.federalregister.gov/documents/2025/06/27/2025-11900/agency-information-collection-activities-submission-for-omb-review-comment-request</t>
  </si>
  <si>
    <t xml:space="preserve">2025-11980</t>
  </si>
  <si>
    <t xml:space="preserve">https://www.federalregister.gov/documents/2025/06/27/2025-11980/agency-information-collection-activities-proposed-collection-comment-request</t>
  </si>
  <si>
    <t xml:space="preserve">2025-11979</t>
  </si>
  <si>
    <t xml:space="preserve">https://www.federalregister.gov/documents/2025/06/30/2025-11979/agency-information-collection-activities-proposed-collection-comment-request</t>
  </si>
  <si>
    <t xml:space="preserve">2025-12149</t>
  </si>
  <si>
    <t xml:space="preserve">https://www.federalregister.gov/documents/2025/06/30/2025-12149/agency-information-collection-activities-proposed-collection-comment-request</t>
  </si>
  <si>
    <t xml:space="preserve">2024-22203</t>
  </si>
  <si>
    <t xml:space="preserve">medicare advantage(8); part c(1); part d(1); d-snp(1)</t>
  </si>
  <si>
    <t xml:space="preserve">https://www.federalregister.gov/documents/2024/09/30/2024-22203/medicare-program-changes-to-the-medicare-advantage-and-the-medicare-prescription-drug-benefit</t>
  </si>
  <si>
    <t xml:space="preserve">marginal (strong kw=9)</t>
  </si>
  <si>
    <t xml:space="preserve">2025-12281</t>
  </si>
  <si>
    <t xml:space="preserve">https://www.federalregister.gov/documents/2025/07/01/2025-12281/agency-information-collection-activities-proposed-collection-comment-request</t>
  </si>
  <si>
    <t xml:space="preserve">2025-12347</t>
  </si>
  <si>
    <t xml:space="preserve">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</si>
  <si>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 xml:space="preserve">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</si>
  <si>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 xml:space="preserve">https://www.federalregister.gov/documents/2025/07/02/2025-12347/medicare-and-medicaid-programs-calendar-year-2026-home-health-prospective-payment-system-hh-pps-rate</t>
  </si>
  <si>
    <t xml:space="preserve">2025-12368</t>
  </si>
  <si>
    <t xml:space="preserve">dual eligible(4); part d(1)</t>
  </si>
  <si>
    <t xml:space="preserve">Medicare Program; End-Stage Renal Disease Prospective Payment System, Payment for Renal Dialysis Services Furnished to Individuals With Acute Kidney Injury, End-Stage Renal Disease Quality Incentive Program, and End-Stage Renal Disease Treatment Choices Model</t>
  </si>
  <si>
    <t xml:space="preserve">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</si>
  <si>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 xml:space="preserve">https://www.federalregister.gov/documents/2025/07/02/2025-12368/medicare-program-end-stage-renal-disease-prospective-payment-system-payment-for-renal-dialysis</t>
  </si>
  <si>
    <t xml:space="preserve">2025-12399</t>
  </si>
  <si>
    <t xml:space="preserve">https://www.federalregister.gov/documents/2025/07/03/2025-12399/agency-information-collection-activities-submission-for-omb-review-comment-request</t>
  </si>
  <si>
    <t xml:space="preserve">2025-12402</t>
  </si>
  <si>
    <t xml:space="preserve">https://www.federalregister.gov/documents/2025/07/03/2025-12402/agency-information-collection-activities-proposed-collection-comment-request</t>
  </si>
  <si>
    <t xml:space="preserve">2025-12566</t>
  </si>
  <si>
    <t xml:space="preserve">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</si>
  <si>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 xml:space="preserve">https://www.federalregister.gov/documents/2025/07/07/2025-12566/agency-information-collection-activities-submission-for-omb-review-comment-request-correction</t>
  </si>
  <si>
    <t xml:space="preserve">2025-12567</t>
  </si>
  <si>
    <t xml:space="preserve">Agency Information Collection Activities: Proposed Collection; Comment Request; Correction</t>
  </si>
  <si>
    <t xml:space="preserve">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</si>
  <si>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 xml:space="preserve">https://www.federalregister.gov/documents/2025/07/07/2025-12567/agency-information-collection-activities-proposed-collection-comment-request-correction</t>
  </si>
  <si>
    <t xml:space="preserve">2025-12585</t>
  </si>
  <si>
    <t xml:space="preserve">https://www.federalregister.gov/documents/2025/07/07/2025-12585/agency-information-collection-activities-proposed-collection-comment-request</t>
  </si>
  <si>
    <t xml:space="preserve">C1-2025-12347</t>
  </si>
  <si>
    <t xml:space="preserve">https://www.federalregister.gov/documents/2025/07/09/C1-2025-12347/medicare-and-medicaid-programs-calendar-year-2026-home-health-prospective-payment-system-hh-pps-rate</t>
  </si>
  <si>
    <t xml:space="preserve">2025-12982</t>
  </si>
  <si>
    <t xml:space="preserve">https://www.federalregister.gov/documents/2025/07/11/2025-12982/agency-information-collection-activities-proposed-collection-comment-request</t>
  </si>
  <si>
    <t xml:space="preserve">2025-12983</t>
  </si>
  <si>
    <t xml:space="preserve">medigap(1)</t>
  </si>
  <si>
    <t xml:space="preserve">https://www.federalregister.gov/documents/2025/07/11/2025-12983/agency-information-collection-activities-submission-for-omb-review-comment-request</t>
  </si>
  <si>
    <t xml:space="preserve">2025-13004</t>
  </si>
  <si>
    <t xml:space="preserve">Privacy Act of 1974; System of Records</t>
  </si>
  <si>
    <t xml:space="preserve">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</si>
  <si>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 xml:space="preserve">https://www.federalregister.gov/documents/2025/07/11/2025-13004/privacy-act-of-1974-system-of-records</t>
  </si>
  <si>
    <t xml:space="preserve">C2-2025-12347</t>
  </si>
  <si>
    <t xml:space="preserve">https://www.federalregister.gov/documents/2025/07/11/C2-2025-12347/medicare-and-medicaid-programs-calendar-year-2026-home-health-prospective-payment-system-hh-pps-rate</t>
  </si>
  <si>
    <t xml:space="preserve">2025-13042</t>
  </si>
  <si>
    <t xml:space="preserve">https://www.federalregister.gov/documents/2025/07/14/2025-13042/agency-information-collection-activities-proposed-collection-comment-request</t>
  </si>
  <si>
    <t xml:space="preserve">2025-13055</t>
  </si>
  <si>
    <t xml:space="preserve">https://www.federalregister.gov/documents/2025/07/14/2025-13055/agency-information-collection-activities-submission-for-omb-review-comment-request</t>
  </si>
  <si>
    <t xml:space="preserve">2025-13271</t>
  </si>
  <si>
    <t xml:space="preserve">part d(145); dual eligible(14); medicare advantage(7)</t>
  </si>
  <si>
    <t xml:space="preserve">Medicare and Medicaid Programs; CY 2026 Payment Policies Under the Physician Fee Schedule and Other Changes to Part B Payment and Coverage Policies; Medicare Shared Savings Program Requirements; and Medicare Prescription Drug Inflation Rebate Program</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</si>
  <si>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</si>
  <si>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 xml:space="preserve">https://www.federalregister.gov/documents/2025/07/16/2025-13271/medicare-and-medicaid-programs-cy-2026-payment-policies-under-the-physician-fee-schedule-and-other</t>
  </si>
  <si>
    <t xml:space="preserve">2025-13360</t>
  </si>
  <si>
    <t xml:space="preserve">medicare advantage(5); ma organization(4); dual eligible(1)</t>
  </si>
  <si>
    <t xml:space="preserve">Medicare and Medicaid Programs: Hospital Outpatient Prospective Payment and Ambulatory Surgical Center Payment Systems; Quality Reporting Programs; Overall Hospital Quality Star Ratings; and Hospital Price Transparency</t>
  </si>
  <si>
    <t xml:space="preserve">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</si>
  <si>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 xml:space="preserve">https://www.federalregister.gov/documents/2025/07/17/2025-13360/medicare-and-medicaid-programs-hospital-outpatient-prospective-payment-and-ambulatory-surgical</t>
  </si>
  <si>
    <t xml:space="preserve">2025-13428</t>
  </si>
  <si>
    <t xml:space="preserve">Medicare Program; Announcement of the Advisory Panel on Hospital Outpatient Payment Meeting-August 25, 2025</t>
  </si>
  <si>
    <t xml:space="preserve">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</si>
  <si>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 xml:space="preserve">https://www.federalregister.gov/documents/2025/07/17/2025-13428/medicare-program-announcement-of-the-advisory-panel-on-hospital-outpatient-payment-meeting-august-25</t>
  </si>
  <si>
    <t xml:space="preserve">2025-13673</t>
  </si>
  <si>
    <t xml:space="preserve">https://www.federalregister.gov/documents/2025/07/21/2025-13673/agency-information-collection-activities-submission-for-omb-review-comment-request</t>
  </si>
  <si>
    <t xml:space="preserve">2025-13676</t>
  </si>
  <si>
    <t xml:space="preserve">https://www.federalregister.gov/documents/2025/07/21/2025-13676/agency-information-collection-activities-proposed-collection-comment-request</t>
  </si>
  <si>
    <t xml:space="preserve">2025-13824</t>
  </si>
  <si>
    <t xml:space="preserve">Medicare and Medicaid Programs: Application From the Accreditation Commission for Health Care for Continued Approval of Its Critical Access Hospital Accreditation Program</t>
  </si>
  <si>
    <t xml:space="preserve">This notice acknowledges the receipt of an application from the Accreditation Commission for Health Care for continued recognition as a national accrediting organization for critical access hospitals that wish to participate in the Medicare or Medicaid programs.</t>
  </si>
  <si>
    <t xml:space="preserve">https://www.federalregister.gov/documents/2025/07/23/2025-13824/medicare-and-medicaid-programs-application-from-the-accreditation-commission-for-health-care-for</t>
  </si>
  <si>
    <t xml:space="preserve">2025-14210</t>
  </si>
  <si>
    <t xml:space="preserve">part d(8); d-snp(2); ma organization(1); part c(1)</t>
  </si>
  <si>
    <t xml:space="preserve">https://www.federalregister.gov/documents/2025/07/28/2025-14210/agency-information-collection-activities-submission-for-omb-review-comment-request</t>
  </si>
  <si>
    <t xml:space="preserve">2025-14434</t>
  </si>
  <si>
    <t xml:space="preserve">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</si>
  <si>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https://www.federalregister.gov/documents/2025/07/30/2025-14434/medicare-program-alternative-payment-model-apm-incentive-payment-advisory-for-clinicians-request-for</t>
  </si>
  <si>
    <t xml:space="preserve">2025-14479</t>
  </si>
  <si>
    <t xml:space="preserve">part d(7); ma organization(2); d-snp(2); medicare advantage(1); special needs plan(1); dual eligible(1)</t>
  </si>
  <si>
    <t xml:space="preserve">https://www.federalregister.gov/documents/2025/07/31/2025-14479/agency-information-collection-activities-proposed-collection-comment-request</t>
  </si>
  <si>
    <t xml:space="preserve">2025-14524</t>
  </si>
  <si>
    <t xml:space="preserve">https://www.federalregister.gov/documents/2025/08/01/2025-14524/agency-information-collection-activities-proposed-collection-comment-request</t>
  </si>
  <si>
    <t xml:space="preserve">2025-14525</t>
  </si>
  <si>
    <t xml:space="preserve">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</si>
  <si>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 xml:space="preserve">https://www.federalregister.gov/documents/2025/08/01/2025-14525/agency-information-collection-activities-submission-for-omb-review-comment-request-correction</t>
  </si>
  <si>
    <t xml:space="preserve">2025-14679</t>
  </si>
  <si>
    <t xml:space="preserve">dual eligible(5)</t>
  </si>
  <si>
    <t xml:space="preserve">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</si>
  <si>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 xml:space="preserve">https://www.federalregister.gov/documents/2025/08/04/2025-14679/medicare-program-prospective-payment-system-and-consolidated-billing-for-skilled-nursing-facilities</t>
  </si>
  <si>
    <t xml:space="preserve">2025-14681</t>
  </si>
  <si>
    <t xml:space="preserve">part d(114); medicare advantage(50); part c(8); dual eligible(7); ma organization(2); special needs plan(2)</t>
  </si>
  <si>
    <t xml:space="preserve">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</si>
  <si>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</si>
  <si>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 xml:space="preserve">https://www.federalregister.gov/documents/2025/08/04/2025-14681/medicare-program-hospital-inpatient-prospective-payment-systems-for-acute-care-hospitals-ipps-and</t>
  </si>
  <si>
    <t xml:space="preserve">2025-14780</t>
  </si>
  <si>
    <t xml:space="preserve">medicare advantage(2); part c(1)</t>
  </si>
  <si>
    <t xml:space="preserve">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</si>
  <si>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 xml:space="preserve">https://www.federalregister.gov/documents/2025/08/05/2025-14780/medicare-program-inpatient-rehabilitation-facility-prospective-payment-system-for-federal-fiscal</t>
  </si>
  <si>
    <t xml:space="preserve">2025-14781</t>
  </si>
  <si>
    <t xml:space="preserve">medicare advantage(3)</t>
  </si>
  <si>
    <t xml:space="preserve">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</si>
  <si>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 xml:space="preserve">https://www.federalregister.gov/documents/2025/08/05/2025-14781/medicare-program-fy-2026-inpatient-psychiatric-facilities-prospective-payment-system-rate-update</t>
  </si>
  <si>
    <t xml:space="preserve">2025-14782</t>
  </si>
  <si>
    <t xml:space="preserve">medicare advantage(2); dual eligible(2)</t>
  </si>
  <si>
    <t xml:space="preserve">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</si>
  <si>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 xml:space="preserve">https://www.federalregister.gov/documents/2025/08/05/2025-14782/medicare-program-fy-2026-hospice-wage-index-and-payment-rate-update-and-hospice-quality-reporting</t>
  </si>
  <si>
    <t xml:space="preserve">2025-14822</t>
  </si>
  <si>
    <t xml:space="preserve">Medicare and Medicaid Programs; Quarterly Listing of Program Issuances-April Through June 2025</t>
  </si>
  <si>
    <t xml:space="preserve">https://www.federalregister.gov/documents/2025/08/05/2025-14822/medicare-and-medicaid-programs-quarterly-listing-of-program-issuances-april-through-june-2025</t>
  </si>
  <si>
    <t xml:space="preserve">2025-14828</t>
  </si>
  <si>
    <t xml:space="preserve">https://www.federalregister.gov/documents/2025/08/05/2025-14828/agency-information-collection-activities-proposed-collection-comment-request</t>
  </si>
  <si>
    <t xml:space="preserve">2025-14829</t>
  </si>
  <si>
    <t xml:space="preserve">https://www.federalregister.gov/documents/2025/08/05/2025-14829/agency-information-collection-activities-submission-for-omb-review-comment-request</t>
  </si>
  <si>
    <t xml:space="preserve">2025-15386</t>
  </si>
  <si>
    <t xml:space="preserve">https://www.federalregister.gov/documents/2025/08/13/2025-15386/agency-information-collection-activities-submission-for-omb-review-comment-request</t>
  </si>
  <si>
    <t xml:space="preserve">2025-15492</t>
  </si>
  <si>
    <t xml:space="preserve">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</si>
  <si>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</si>
  <si>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 xml:space="preserve">https://www.federalregister.gov/documents/2025/08/14/2025-15492/medicare-and-medicaid-programs-cy-2026-payment-policies-under-the-physician-fee-schedule-and-other</t>
  </si>
  <si>
    <t xml:space="preserve">2025-15616</t>
  </si>
  <si>
    <t xml:space="preserve">https://www.federalregister.gov/documents/2025/08/18/2025-15616/agency-information-collection-activities-proposed-collection-comment-request</t>
  </si>
  <si>
    <t xml:space="preserve">2025-15935</t>
  </si>
  <si>
    <t xml:space="preserve">https://www.federalregister.gov/documents/2025/08/21/2025-15935/agency-information-collection-activities-submission-for-omb-review-comment-request</t>
  </si>
  <si>
    <t xml:space="preserve">2025-15981</t>
  </si>
  <si>
    <t xml:space="preserve">https://www.federalregister.gov/documents/2025/08/21/2025-15981/agency-information-collection-activities-proposed-collection-comment-request</t>
  </si>
  <si>
    <t xml:space="preserve">2025-16171</t>
  </si>
  <si>
    <t xml:space="preserve">https://www.federalregister.gov/documents/2025/08/25/2025-16171/medicaid-and-childrens-health-insurance-program-chip-generic-information-collection-activities</t>
  </si>
  <si>
    <t xml:space="preserve">2025-16343</t>
  </si>
  <si>
    <t xml:space="preserve">https://www.federalregister.gov/documents/2025/08/26/2025-16343/medicaid-and-childrens-health-insurance-program-chip-generic-information-collection-activities</t>
  </si>
  <si>
    <t xml:space="preserve">2025-16488</t>
  </si>
  <si>
    <t xml:space="preserve">https://www.federalregister.gov/documents/2025/08/28/2025-16488/agency-information-collection-activities-submission-for-omb-review-comment-request</t>
  </si>
  <si>
    <t xml:space="preserve">C3-2025-12347</t>
  </si>
  <si>
    <t xml:space="preserve">https://www.federalregister.gov/documents/2025/08/28/C3-2025-12347/medicare-and-medicaid-programs-calendar-year-2026-home-health-prospective-payment-system-hh-pps-rate</t>
  </si>
  <si>
    <t xml:space="preserve">2025-16572</t>
  </si>
  <si>
    <t xml:space="preserve">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</si>
  <si>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 xml:space="preserve">https://www.federalregister.gov/documents/2025/08/29/2025-16572/agency-information-collection-activities-proposed-collection-comment-request</t>
  </si>
  <si>
    <t xml:space="preserve">2025-16589</t>
  </si>
  <si>
    <t xml:space="preserve">https://www.federalregister.gov/documents/2025/08/29/2025-16589/agency-information-collection-activities-proposed-collection-comment-request</t>
  </si>
  <si>
    <t xml:space="preserve">2025-16789</t>
  </si>
  <si>
    <t xml:space="preserve">https://www.federalregister.gov/documents/2025/09/02/2025-16789/agency-information-collection-activities-submission-for-omb-review-comment-request</t>
  </si>
  <si>
    <t xml:space="preserve">2025-16803</t>
  </si>
  <si>
    <t xml:space="preserve">https://www.federalregister.gov/documents/2025/09/03/2025-16803/agency-information-collection-activities-proposed-collection-comment-request</t>
  </si>
  <si>
    <t xml:space="preserve">2025-16960</t>
  </si>
  <si>
    <t xml:space="preserve">Medicare Program; FY 2026 Hospice Wage Index and Payment Rate Update and Hospice Quality Reporting Program Requirements; Correction</t>
  </si>
  <si>
    <t xml:space="preserve">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</si>
  <si>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 xml:space="preserve">https://www.federalregister.gov/documents/2025/09/04/2025-16960/medicare-program-fy-2026-hospice-wage-index-and-payment-rate-update-and-hospice-quality-reporting</t>
  </si>
  <si>
    <t xml:space="preserve">2025-16983</t>
  </si>
  <si>
    <t xml:space="preserve">https://www.federalregister.gov/documents/2025/09/05/2025-16983/agency-information-collection-activities-proposed-collection-comment-request</t>
  </si>
  <si>
    <t xml:space="preserve">2025-17019</t>
  </si>
  <si>
    <t xml:space="preserve">part d(6); part c(5); medicare advantage(1)</t>
  </si>
  <si>
    <t xml:space="preserve">https://www.federalregister.gov/documents/2025/09/05/2025-17019/agency-information-collection-activities-submission-for-omb-review-comment-request</t>
  </si>
  <si>
    <t xml:space="preserve">2025-17037</t>
  </si>
  <si>
    <t xml:space="preserve">medicare advantage(3); part c(1); part d(1)</t>
  </si>
  <si>
    <t xml:space="preserve">Medicare Program; Approved Renewal of Deeming Authority of the Utilization Review Accreditation Commission (URAC) for Medicare Advantage Health Maintenance Organizations and Local Preferred Provider Organizations</t>
  </si>
  <si>
    <t xml:space="preserve">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</si>
  <si>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 xml:space="preserve">https://www.federalregister.gov/documents/2025/09/05/2025-17037/medicare-program-approved-renewal-of-deeming-authority-of-the-utilization-review-accreditation</t>
  </si>
  <si>
    <t xml:space="preserve">2025-17121</t>
  </si>
  <si>
    <t xml:space="preserve">https://www.federalregister.gov/documents/2025/09/08/2025-17121/medicaid-and-childrens-health-insurance-program-chip-generic-information-collection-activities</t>
  </si>
  <si>
    <t xml:space="preserve">2025-17202</t>
  </si>
  <si>
    <t xml:space="preserve">Agency Information Collection Activities: Proposed Collection; Extension of Comment Period</t>
  </si>
  <si>
    <t xml:space="preserve">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</si>
  <si>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 xml:space="preserve">https://www.federalregister.gov/documents/2025/09/08/2025-17202/agency-information-collection-activities-proposed-collection-extension-of-comment-period</t>
  </si>
  <si>
    <t xml:space="preserve">2025-17203</t>
  </si>
  <si>
    <t xml:space="preserve">https://www.federalregister.gov/documents/2025/09/08/2025-17203/agency-information-collection-activities-proposed-collection-comment-request</t>
  </si>
  <si>
    <t xml:space="preserve">2025-17401</t>
  </si>
  <si>
    <t xml:space="preserve">Medicare Program; Town Hall Meeting on the Fiscal Year 2027 Applications for New Technology Add-On Payments</t>
  </si>
  <si>
    <t xml:space="preserve">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</si>
  <si>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 xml:space="preserve">https://www.federalregister.gov/documents/2025/09/10/2025-17401/medicare-program-town-hall-meeting-on-the-fiscal-year-2027-applications-for-new-technology-add-on</t>
  </si>
  <si>
    <t xml:space="preserve">2025-17660</t>
  </si>
  <si>
    <t xml:space="preserve">https://www.federalregister.gov/documents/2025/09/12/2025-17660/agency-information-collection-activities-submission-for-omb-review-comment-request</t>
  </si>
  <si>
    <t xml:space="preserve">2025-17686</t>
  </si>
  <si>
    <t xml:space="preserve">https://www.federalregister.gov/documents/2025/09/12/2025-17686/agency-information-collection-activities-proposed-collection-comment-request</t>
  </si>
  <si>
    <t xml:space="preserve">2025-18216</t>
  </si>
  <si>
    <t xml:space="preserve">https://www.federalregister.gov/documents/2025/09/19/2025-18216/agency-information-collection-activities-proposed-collection-comment-request</t>
  </si>
  <si>
    <t xml:space="preserve">2025-18219</t>
  </si>
  <si>
    <t xml:space="preserve">https://www.federalregister.gov/documents/2025/09/19/2025-18219/agency-information-collection-activities-submission-for-omb-review-comment-request</t>
  </si>
  <si>
    <t xml:space="preserve">2024-23103</t>
  </si>
  <si>
    <t xml:space="preserve">Patient Protection and Affordable Care Act; HHS Notice of Benefit and Payment Parameters for 2026; and Basic Health Program</t>
  </si>
  <si>
    <t xml:space="preserve">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</si>
  <si>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 xml:space="preserve">https://www.federalregister.gov/documents/2024/10/10/2024-23103/patient-protection-and-affordable-care-act-hhs-notice-of-benefit-and-payment-parameters-for-2026-and</t>
  </si>
  <si>
    <t xml:space="preserve">marginal (strong kw=3)</t>
  </si>
  <si>
    <t xml:space="preserve">2025-18433</t>
  </si>
  <si>
    <t xml:space="preserve">https://www.federalregister.gov/documents/2025/09/23/2025-18433/agency-information-collection-activities-proposed-collection-comment-request</t>
  </si>
  <si>
    <t xml:space="preserve">2025-18448</t>
  </si>
  <si>
    <t xml:space="preserve">part d(5); medicare advantage(3); ma organization(1)</t>
  </si>
  <si>
    <t xml:space="preserve">https://www.federalregister.gov/documents/2025/09/24/2025-18448/agency-information-collection-activities-proposed-collection-comment-request</t>
  </si>
  <si>
    <t xml:space="preserve">2025-18506</t>
  </si>
  <si>
    <t xml:space="preserve">https://www.federalregister.gov/documents/2025/09/24/2025-18506/agency-information-collection-activities-submission-for-omb-review-comment-request</t>
  </si>
  <si>
    <t xml:space="preserve">2025-18533</t>
  </si>
  <si>
    <t xml:space="preserve">https://www.federalregister.gov/documents/2025/09/25/2025-18533/agency-information-collection-activities-proposed-collection-comment-request</t>
  </si>
  <si>
    <t xml:space="preserve">2025-18649</t>
  </si>
  <si>
    <t xml:space="preserve">https://www.federalregister.gov/documents/2025/09/25/2025-18649/agency-information-collection-activities-proposed-collection-comment-request</t>
  </si>
  <si>
    <t xml:space="preserve">2025-18826</t>
  </si>
  <si>
    <t xml:space="preserve">Agency Information Collection Activities: Proposed Collection; 30-Day Emergency Extension Request</t>
  </si>
  <si>
    <t xml:space="preserve">https://www.federalregister.gov/documents/2025/09/29/2025-18826/agency-information-collection-activities-proposed-collection-30-day-emergency-extension-request</t>
  </si>
  <si>
    <t xml:space="preserve">2025-18979</t>
  </si>
  <si>
    <t xml:space="preserve">https://www.federalregister.gov/documents/2025/09/30/2025-18979/agency-information-collection-activities-submission-for-omb-review-comment-request</t>
  </si>
  <si>
    <t xml:space="preserve">2025-19284</t>
  </si>
  <si>
    <t xml:space="preserve">https://www.federalregister.gov/documents/2025/10/02/2025-19284/agency-information-collection-activities-submission-for-omb-review-comment-request</t>
  </si>
  <si>
    <t xml:space="preserve">2025-19787</t>
  </si>
  <si>
    <t xml:space="preserve">part d(297); dual eligible(33); medicare advantage(14); part c(1)</t>
  </si>
  <si>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</si>
  <si>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 xml:space="preserve">https://www.federalregister.gov/documents/2025/11/05/2025-19787/medicare-and-medicaid-programs-cy-2026-payment-policies-under-the-physician-fee-schedule-and-other</t>
  </si>
  <si>
    <t xml:space="preserve">2025-20058</t>
  </si>
  <si>
    <t xml:space="preserve">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</si>
  <si>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 xml:space="preserve">https://www.federalregister.gov/documents/2025/11/18/2025-20058/privacy-act-of-1974-matching-program</t>
  </si>
  <si>
    <t xml:space="preserve">2025-20073</t>
  </si>
  <si>
    <t xml:space="preserve">https://www.federalregister.gov/documents/2025/11/18/2025-20073/agency-information-collection-activities-submission-for-omb-review-comment-request</t>
  </si>
  <si>
    <t xml:space="preserve">2025-20249</t>
  </si>
  <si>
    <t xml:space="preserve">Medicare Program; CY 2026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</si>
  <si>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</si>
  <si>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 xml:space="preserve">https://www.federalregister.gov/documents/2025/11/19/2025-20249/medicare-program-cy-2026-inpatient-hospital-deductible-and-hospital-and-extended-care-services</t>
  </si>
  <si>
    <t xml:space="preserve">2025-20250</t>
  </si>
  <si>
    <t xml:space="preserve">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</si>
  <si>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</si>
  <si>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 xml:space="preserve">https://www.federalregister.gov/documents/2025/11/19/2025-20250/medicare-program-cy-2026-part-a-premiums-for-the-uninsured-aged-and-for-certain-disabled-individuals</t>
  </si>
  <si>
    <t xml:space="preserve">2024-23195</t>
  </si>
  <si>
    <t xml:space="preserve">medicare supplement(3); medicare advantage(1); ma organization(1); part c(1)</t>
  </si>
  <si>
    <t xml:space="preserve">Medicare Program: Appeal Rights for Certain Changes in Patient Status</t>
  </si>
  <si>
    <t xml:space="preserve">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</si>
  <si>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 xml:space="preserve">https://www.federalregister.gov/documents/2024/10/15/2024-23195/medicare-program-appeal-rights-for-certain-changes-in-patient-status</t>
  </si>
  <si>
    <t xml:space="preserve">marginal (strong kw=5)</t>
  </si>
  <si>
    <t xml:space="preserve">2025-20279</t>
  </si>
  <si>
    <t xml:space="preserve">https://www.federalregister.gov/documents/2025/11/19/2025-20279/agency-information-collection-activities-proposed-collection-comment-request</t>
  </si>
  <si>
    <t xml:space="preserve">2025-20328</t>
  </si>
  <si>
    <t xml:space="preserve">Medicare Program; Announcement of the Re-Approval of COLA Under the Clinical Laboratory Improvement Amendments of 1988; Correction</t>
  </si>
  <si>
    <t xml:space="preserve">This document corrects technical errors that appeared in the notice published in the March 6, 2024 Federal Register titled "Medicare Program; Announcement of the Re-Approval of COLA Under the Clinical Laboratory Improvement Amendments of 1988."</t>
  </si>
  <si>
    <t xml:space="preserve">https://www.federalregister.gov/documents/2025/11/19/2025-20328/medicare-program-announcement-of-the-re-approval-of-cola-under-the-clinical-laboratory-improvement</t>
  </si>
  <si>
    <t xml:space="preserve">2025-20329</t>
  </si>
  <si>
    <t xml:space="preserve">Medicare Program; Announcement of the Re-Approval of the Joint Commission as an Accreditation Organization Under the Clinical Laboratory Improvement Amendments of 1988; Correction</t>
  </si>
  <si>
    <t xml:space="preserve">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</si>
  <si>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 xml:space="preserve">https://www.federalregister.gov/documents/2025/11/19/2025-20329/medicare-program-announcement-of-the-re-approval-of-the-joint-commission-as-an-accreditation</t>
  </si>
  <si>
    <t xml:space="preserve">2025-20330</t>
  </si>
  <si>
    <t xml:space="preserve">Medicare Program; Public Meeting for New Revisions to the Healthcare Common Procedure Coding System (HCPCS) Coding-December 17, 2025, With an Overflow Date of December 18, 2025</t>
  </si>
  <si>
    <t xml:space="preserve">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</si>
  <si>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https://www.federalregister.gov/documents/2025/11/19/2025-20330/medicare-program-public-meeting-for-new-revisions-to-the-healthcare-common-procedure-coding-system</t>
  </si>
  <si>
    <t xml:space="preserve">2025-20367</t>
  </si>
  <si>
    <t xml:space="preserve">part d(3); medicare advantage(2)</t>
  </si>
  <si>
    <t xml:space="preserve">https://www.federalregister.gov/documents/2025/11/20/2025-20367/agency-information-collection-activities-proposed-collection-comment-request</t>
  </si>
  <si>
    <t xml:space="preserve">2025-20368</t>
  </si>
  <si>
    <t xml:space="preserve">https://www.federalregister.gov/documents/2025/11/20/2025-20368/agency-information-collection-activities-submission-for-omb-review-comment-request</t>
  </si>
  <si>
    <t xml:space="preserve">2025-20395</t>
  </si>
  <si>
    <t xml:space="preserve">https://www.federalregister.gov/documents/2025/11/20/2025-20395/agency-information-collection-activities-submission-for-omb-review-comment-request</t>
  </si>
  <si>
    <t xml:space="preserve">2025-20486</t>
  </si>
  <si>
    <t xml:space="preserve">https://www.federalregister.gov/documents/2025/11/21/2025-20486/agency-information-collection-activities-submission-for-omb-review-comment-request</t>
  </si>
  <si>
    <t xml:space="preserve">2025-20681</t>
  </si>
  <si>
    <t xml:space="preserve">part d(6); dual eligible(4); medicare advantage(1)</t>
  </si>
  <si>
    <t xml:space="preserve">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</si>
  <si>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 xml:space="preserve">https://www.federalregister.gov/documents/2025/11/24/2025-20681/medicare-program-end-stage-renal-disease-prospective-payment-system-payment-for-renal-dialysis</t>
  </si>
  <si>
    <t xml:space="preserve">2025-20705</t>
  </si>
  <si>
    <t xml:space="preserve">https://www.federalregister.gov/documents/2025/11/24/2025-20705/agency-information-collection-activities-submission-for-omb-review-comment-request</t>
  </si>
  <si>
    <t xml:space="preserve">2025-20748</t>
  </si>
  <si>
    <t xml:space="preserve">https://www.federalregister.gov/documents/2025/11/24/2025-20748/agency-information-collection-activities-submission-for-omb-review-comment-request</t>
  </si>
  <si>
    <t xml:space="preserve">2025-20787</t>
  </si>
  <si>
    <t xml:space="preserve">ma organization(1)</t>
  </si>
  <si>
    <t xml:space="preserve">https://www.federalregister.gov/documents/2025/11/24/2025-20787/agency-information-collection-activities-proposed-collection-comment-request</t>
  </si>
  <si>
    <t xml:space="preserve">2025-20907</t>
  </si>
  <si>
    <t xml:space="preserve">ma organization(27); medicare advantage(18); dual eligible(2)</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</si>
  <si>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</si>
  <si>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 xml:space="preserve">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</si>
  <si>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 xml:space="preserve">https://www.federalregister.gov/documents/2025/11/25/2025-20907/medicare-program-hospital-outpatient-prospective-payment-and-ambulatory-surgical-center-payment</t>
  </si>
  <si>
    <t xml:space="preserve">2025-20911</t>
  </si>
  <si>
    <t xml:space="preserve">Notice of Medicaid Information Sharing Between the Centers for Medicare &amp; Medicaid Services and the Department of Homeland Security</t>
  </si>
  <si>
    <t xml:space="preserve">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</si>
  <si>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 xml:space="preserve">https://www.federalregister.gov/documents/2025/11/25/2025-20911/notice-of-medicaid-information-sharing-between-the-centers-for-medicare-and-medicaid-services-and</t>
  </si>
  <si>
    <t xml:space="preserve">2025-21121</t>
  </si>
  <si>
    <t xml:space="preserve">https://www.federalregister.gov/documents/2025/11/26/2025-21121/agency-information-collection-activities-proposed-collection-comment-request</t>
  </si>
  <si>
    <t xml:space="preserve">2025-21124</t>
  </si>
  <si>
    <t xml:space="preserve">https://www.federalregister.gov/documents/2025/11/26/2025-21124/medicaid-and-childrens-health-insurance-program-chip-generic-information-collection-activities</t>
  </si>
  <si>
    <t xml:space="preserve">2025-21210</t>
  </si>
  <si>
    <t xml:space="preserve">https://www.federalregister.gov/documents/2025/11/26/2025-21210/agency-information-collection-activities-submission-for-omb-review-comment-request</t>
  </si>
  <si>
    <t xml:space="preserve">2025-21394</t>
  </si>
  <si>
    <t xml:space="preserve">Privacy Act of 1974; Matching Program; Correction</t>
  </si>
  <si>
    <t xml:space="preserve">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</si>
  <si>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 xml:space="preserve">https://www.federalregister.gov/documents/2025/11/28/2025-21394/privacy-act-of-1974-matching-program-correction</t>
  </si>
  <si>
    <t xml:space="preserve">2025-21433</t>
  </si>
  <si>
    <t xml:space="preserve">https://www.federalregister.gov/documents/2025/11/28/2025-21433/agency-information-collection-activities-submission-for-omb-review-comment-request</t>
  </si>
  <si>
    <t xml:space="preserve">2025-21435</t>
  </si>
  <si>
    <t xml:space="preserve">part d(6); dual eligible(1)</t>
  </si>
  <si>
    <t xml:space="preserve">https://www.federalregister.gov/documents/2025/11/28/2025-21435/agency-information-collection-activities-proposed-collection-comment-request</t>
  </si>
  <si>
    <t xml:space="preserve">2024-24801</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</si>
  <si>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</si>
  <si>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 xml:space="preserve">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</si>
  <si>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 xml:space="preserve">https://www.federalregister.gov/documents/2024/10/25/2024-24801/medicare-and-medicaid-programs-patient-protection-and-affordable-care-act-advancing-interoperability</t>
  </si>
  <si>
    <t xml:space="preserve">2025-21458</t>
  </si>
  <si>
    <t xml:space="preserve">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</si>
  <si>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 xml:space="preserve">https://www.federalregister.gov/documents/2025/11/28/2025-21458/medicare-and-medicaid-programs-cy-2026-payment-policies-under-the-physician-fee-schedule-and-other</t>
  </si>
  <si>
    <t xml:space="preserve">2025-21501</t>
  </si>
  <si>
    <t xml:space="preserve">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</si>
  <si>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</si>
  <si>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 xml:space="preserve">https://www.federalregister.gov/documents/2025/11/28/2025-21501/medicare-program-inflation-reduction-act-ira-medicare-drug-price-negotiation-program-final-guidance</t>
  </si>
  <si>
    <t xml:space="preserve">2025-21622</t>
  </si>
  <si>
    <t xml:space="preserve">Medicare and Medicaid Programs; Quarterly Listing of Program Issuances-July through September 2025</t>
  </si>
  <si>
    <t xml:space="preserve">https://www.federalregister.gov/documents/2025/12/01/2025-21622/medicare-and-medicaid-programs-quarterly-listing-of-program-issuances-july-through-september-2025</t>
  </si>
  <si>
    <t xml:space="preserve">2025-21690</t>
  </si>
  <si>
    <t xml:space="preserve">https://www.federalregister.gov/documents/2025/12/01/2025-21690/agency-information-collection-activities-submission-for-omb-review-comment-request</t>
  </si>
  <si>
    <t xml:space="preserve">2025-21767</t>
  </si>
  <si>
    <t xml:space="preserve">dual eligible(7); medicare advantage(3)</t>
  </si>
  <si>
    <t xml:space="preserve">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</si>
  <si>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 xml:space="preserve">https://www.federalregister.gov/documents/2025/12/02/2025-21767/medicare-and-medicaid-programs-calendar-year-2026-home-health-prospective-payment-system-hh-pps-rate</t>
  </si>
  <si>
    <t xml:space="preserve">2025-21792</t>
  </si>
  <si>
    <t xml:space="preserve">Medicare and Medicaid Programs; Repeal of Minimum Staffing Standards for Long-Term Care Facilities</t>
  </si>
  <si>
    <t xml:space="preserve">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</si>
  <si>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 xml:space="preserve">https://www.federalregister.gov/documents/2025/12/03/2025-21792/medicare-and-medicaid-programs-repeal-of-minimum-staffing-standards-for-long-term-care-facilities</t>
  </si>
  <si>
    <t xml:space="preserve">2025-21877</t>
  </si>
  <si>
    <t xml:space="preserve">Medicare, Medicaid, and Children's Health Insurance Programs; Provider Enrollment Application Fee Amount for Calendar Year 2026</t>
  </si>
  <si>
    <t xml:space="preserve">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</si>
  <si>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 xml:space="preserve">https://www.federalregister.gov/documents/2025/12/03/2025-21877/medicare-medicaid-and-childrens-health-insurance-programs-provider-enrollment-application-fee-amount</t>
  </si>
  <si>
    <t xml:space="preserve">2025-21879</t>
  </si>
  <si>
    <t xml:space="preserve">part d(8); part c(6); ma organization(3); medicare advantage(1)</t>
  </si>
  <si>
    <t xml:space="preserve">Medicare Program; Medicare Appeals; Adjustment to the Amount in Controversy Threshold Amounts for Calendar Year 2026</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</si>
  <si>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</si>
  <si>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 xml:space="preserve">https://www.federalregister.gov/documents/2025/12/04/2025-21879/medicare-program-medicare-appeals-adjustment-to-the-amount-in-controversy-threshold-amounts-for</t>
  </si>
  <si>
    <t xml:space="preserve">2025-21978</t>
  </si>
  <si>
    <t xml:space="preserve">https://www.federalregister.gov/documents/2025/12/05/2025-21978/agency-information-collection-activities-proposed-collection-comment-request</t>
  </si>
  <si>
    <t xml:space="preserve">2025-22138</t>
  </si>
  <si>
    <t xml:space="preserve">https://www.federalregister.gov/documents/2025/12/08/2025-22138/agency-information-collection-activities-submission-for-omb-review-comment-request</t>
  </si>
  <si>
    <t xml:space="preserve">2025-22184</t>
  </si>
  <si>
    <t xml:space="preserve">https://www.federalregister.gov/documents/2025/12/08/2025-22184/medicaid-and-childrens-health-insurance-program-chip-generic-information-collection-activities</t>
  </si>
  <si>
    <t xml:space="preserve">2025-22187</t>
  </si>
  <si>
    <t xml:space="preserve">Medicare and Medicaid Programs; Announcement of Application From a Hospital Requesting Waiver for Organ Procurement Service Area</t>
  </si>
  <si>
    <t xml:space="preserve">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</si>
  <si>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 xml:space="preserve">https://www.federalregister.gov/documents/2025/12/08/2025-22187/medicare-and-medicaid-programs-announcement-of-application-from-a-hospital-requesting-waiver-for</t>
  </si>
  <si>
    <t xml:space="preserve">2025-22188</t>
  </si>
  <si>
    <t xml:space="preserve">https://www.federalregister.gov/documents/2025/12/08/2025-22188/agency-information-collection-activities-proposed-collection-comment-request</t>
  </si>
  <si>
    <t xml:space="preserve">2025-22203</t>
  </si>
  <si>
    <t xml:space="preserve">Medicare and Medicaid Programs: Approval of Application by DNV Healthcare, Inc. for Initial CMS Approval of Its Ambulatory Surgical Center (ASC) Accreditation Program</t>
  </si>
  <si>
    <t xml:space="preserve">This notice acknowledges the approval of an application from DNV Healthcare, Inc. for initial CMS approval of its Ambulatory Surgical Centers as a national accrediting organization that wishes to participate in the Medicare or Medicaid programs.</t>
  </si>
  <si>
    <t xml:space="preserve">https://www.federalregister.gov/documents/2025/12/08/2025-22203/medicare-and-medicaid-programs-approval-of-application-by-dnv-healthcare-inc-for-initial-cms</t>
  </si>
  <si>
    <t xml:space="preserve">2025-22219</t>
  </si>
  <si>
    <t xml:space="preserve">Medicare and Medicaid Programs; Continued Approval of the American Association for Accreditation of Ambulatory Surgery Facilities' Rural Health Clinic Accreditation Program</t>
  </si>
  <si>
    <t xml:space="preserve">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</si>
  <si>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 xml:space="preserve">https://www.federalregister.gov/documents/2025/12/08/2025-22219/medicare-and-medicaid-programs-continued-approval-of-the-american-association-for-accreditation-of</t>
  </si>
  <si>
    <t xml:space="preserve">2025-22426</t>
  </si>
  <si>
    <t xml:space="preserve">https://www.federalregister.gov/documents/2025/12/10/2025-22426/agency-information-collection-activities-proposed-collection-comment-request</t>
  </si>
  <si>
    <t xml:space="preserve">2025-22478</t>
  </si>
  <si>
    <t xml:space="preserve">https://www.federalregister.gov/documents/2025/12/11/2025-22478/agency-information-collection-activities-proposed-collection-comment-request</t>
  </si>
  <si>
    <t xml:space="preserve">2025-22482</t>
  </si>
  <si>
    <t xml:space="preserve">https://www.federalregister.gov/documents/2025/12/11/2025-22482/agency-information-collection-activities-submission-for-omb-review-comment-request</t>
  </si>
  <si>
    <t xml:space="preserve">2025-22543</t>
  </si>
  <si>
    <t xml:space="preserve">medicare advantage(4); part c(2); dual eligible(2); ma organization(1); part d(1)</t>
  </si>
  <si>
    <t xml:space="preserve">This proposed rule would update and revise the Increasing Organ Transplant Access (IOTA) Model for Performance Year (PY) 2.</t>
  </si>
  <si>
    <t xml:space="preserve">https://www.federalregister.gov/documents/2025/12/11/2025-22543/medicare-program-alternative-payment-model-updates-and-the-increasing-organ-transplant-access-iota</t>
  </si>
  <si>
    <t xml:space="preserve">2025-22974</t>
  </si>
  <si>
    <t xml:space="preserve">part d(5); ma organization(2); d-snp(2); medicare advantage(1); special needs plan(1); dual eligible(1)</t>
  </si>
  <si>
    <t xml:space="preserve">https://www.federalregister.gov/documents/2025/12/16/2025-22974/agency-information-collection-activities-submission-for-omb-review-comment-request</t>
  </si>
  <si>
    <t xml:space="preserve">2025-22975</t>
  </si>
  <si>
    <t xml:space="preserve">https://www.federalregister.gov/documents/2025/12/16/2025-22975/agency-information-collection-activities-proposed-collection-comment-request</t>
  </si>
  <si>
    <t xml:space="preserve">2025-23081</t>
  </si>
  <si>
    <t xml:space="preserve">Medicare Program; Inpatient Rehabilitation Facility Prospective Payment System for Federal Fiscal Year 2026 and Updates to the IRF Quality Reporting Program; Correction</t>
  </si>
  <si>
    <t xml:space="preserve">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</si>
  <si>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 xml:space="preserve">https://www.federalregister.gov/documents/2025/12/17/2025-23081/medicare-program-inpatient-rehabilitation-facility-prospective-payment-system-for-federal-fiscal</t>
  </si>
  <si>
    <t xml:space="preserve">2025-23116</t>
  </si>
  <si>
    <t xml:space="preserve">https://www.federalregister.gov/documents/2025/12/17/2025-23116/agency-information-collection-activities-submission-for-omb-review-comment-request</t>
  </si>
  <si>
    <t xml:space="preserve">2025-23434</t>
  </si>
  <si>
    <t xml:space="preserve">Announcement of the Approval of COLA as an Accreditation Organization for the Specialties of Clinical Cytogenetics and Radiobioassay Under the Clinical Laboratory Improvement Amendments of 1988</t>
  </si>
  <si>
    <t xml:space="preserve">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</si>
  <si>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 xml:space="preserve">https://www.federalregister.gov/documents/2025/12/19/2025-23434/announcement-of-the-approval-of-cola-as-an-accreditation-organization-for-the-specialties-of</t>
  </si>
  <si>
    <t xml:space="preserve">2025-23464</t>
  </si>
  <si>
    <t xml:space="preserve">Medicaid Program; Prohibition on Federal Medicaid and Children's Health Insurance Program Funding for Sex-Rejecting Procedures Furnished to Children</t>
  </si>
  <si>
    <t xml:space="preserve">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</si>
  <si>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 xml:space="preserve">https://www.federalregister.gov/documents/2025/12/19/2025-23464/medicaid-program-prohibition-on-federal-medicaid-and-childrens-health-insurance-program-funding-for</t>
  </si>
  <si>
    <t xml:space="preserve">2025-23465</t>
  </si>
  <si>
    <t xml:space="preserve">Medicare and Medicaid Programs; Hospital Condition of Participation: Prohibiting Sex-Rejecting Procedures for Children</t>
  </si>
  <si>
    <t xml:space="preserve">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</si>
  <si>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 xml:space="preserve">https://www.federalregister.gov/documents/2025/12/19/2025-23465/medicare-and-medicaid-programs-hospital-condition-of-participation-prohibiting-sex-rejecting</t>
  </si>
  <si>
    <t xml:space="preserve">2025-23506</t>
  </si>
  <si>
    <t xml:space="preserve">https://www.federalregister.gov/documents/2025/12/22/2025-23506/agency-information-collection-activities-submission-for-omb-review-comment-request</t>
  </si>
  <si>
    <t xml:space="preserve">2025-23507</t>
  </si>
  <si>
    <t xml:space="preserve">https://www.federalregister.gov/documents/2025/12/22/2025-23507/agency-information-collection-activities-proposed-collection-comment-request</t>
  </si>
  <si>
    <t xml:space="preserve">2025-23582</t>
  </si>
  <si>
    <t xml:space="preserve">medicare advantage(3); part d(3); part c(2)</t>
  </si>
  <si>
    <t xml:space="preserve">https://www.federalregister.gov/documents/2025/12/22/2025-23582/agency-information-collection-activities-proposed-collection-comment-request</t>
  </si>
  <si>
    <t xml:space="preserve">2025-23588</t>
  </si>
  <si>
    <t xml:space="preserve">Statement of Organization, Functions, and Delegations of Authority</t>
  </si>
  <si>
    <t xml:space="preserve">The Centers for Medicare &amp; Medicaid Services (CMS), Center for Medicaid and CHIP Services, Office of Rural Health Transformation, has been established.</t>
  </si>
  <si>
    <t xml:space="preserve">https://www.federalregister.gov/documents/2025/12/22/2025-23588/statement-of-organization-functions-and-delegations-of-authority</t>
  </si>
  <si>
    <t xml:space="preserve">2025-08566</t>
  </si>
  <si>
    <t xml:space="preserve">Medicaid Program; Preserving Medicaid Funding for Vulnerable Populations-Closing a Health Care-Related Tax Loophole Proposed Rule</t>
  </si>
  <si>
    <t xml:space="preserve">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</si>
  <si>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 xml:space="preserve">https://www.federalregister.gov/documents/2025/05/15/2025-08566/medicaid-program-preserving-medicaid-funding-for-vulnerable-populations-closing-a-health</t>
  </si>
  <si>
    <t xml:space="preserve">2025-08701</t>
  </si>
  <si>
    <t xml:space="preserve">Request for Information; Health Technology Ecosystem</t>
  </si>
  <si>
    <t xml:space="preserve">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</si>
  <si>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 xml:space="preserve">https://www.federalregister.gov/documents/2025/05/16/2025-08701/request-for-information-health-technology-ecosystem</t>
  </si>
  <si>
    <t xml:space="preserve">2025-23923</t>
  </si>
  <si>
    <t xml:space="preserve">https://www.federalregister.gov/documents/2025/12/30/2025-23923/agency-information-collection-activities-submission-for-omb-review-comment-request</t>
  </si>
  <si>
    <t xml:space="preserve">2025-23924</t>
  </si>
  <si>
    <t xml:space="preserve">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</si>
  <si>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 xml:space="preserve">https://www.federalregister.gov/documents/2025/12/30/2025-23924/agency-information-collection-activities-submission-for-omb-review-comment-request</t>
  </si>
  <si>
    <t xml:space="preserve">2026-00487</t>
  </si>
  <si>
    <t xml:space="preserve">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</si>
  <si>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 xml:space="preserve">https://www.federalregister.gov/documents/2026/01/13/2026-00487/medicare-program-updates-to-the-master-list-of-items-potentially-subject-to-face-to-face-encounter</t>
  </si>
  <si>
    <t xml:space="preserve">2026-00512</t>
  </si>
  <si>
    <t xml:space="preserve">Notice of Opportunity for Hearing on Compliance of Minnesota State Plan Provisions Concerning Program Integrity and Fraud, Waste, and Abuse With Title XIX (Medicaid) of the Social Security Act</t>
  </si>
  <si>
    <t xml:space="preserve">https://www.federalregister.gov/documents/2026/01/14/2026-00512/notice-of-opportunity-for-hearing-on-compliance-of-minnesota-state-plan-provisions-concerning</t>
  </si>
  <si>
    <t xml:space="preserve">2026-00888</t>
  </si>
  <si>
    <t xml:space="preserve">https://www.federalregister.gov/documents/2026/01/20/2026-00888/agency-information-collection-activities-proposed-collection-comment-request</t>
  </si>
  <si>
    <t xml:space="preserve">2026-00896</t>
  </si>
  <si>
    <t xml:space="preserve">https://www.federalregister.gov/documents/2026/01/20/2026-00896/agency-information-collection-activities-submission-for-omb-review-comment-request</t>
  </si>
  <si>
    <t xml:space="preserve">2026-01005</t>
  </si>
  <si>
    <t xml:space="preserve">https://www.federalregister.gov/documents/2026/01/21/2026-01005/agency-information-collection-activities-submission-for-omb-review-comment-request</t>
  </si>
  <si>
    <t xml:space="preserve">2026-01008</t>
  </si>
  <si>
    <t xml:space="preserve">https://www.federalregister.gov/documents/2026/01/21/2026-01008/agency-information-collection-activities-submission-for-omb-review-comment-request</t>
  </si>
  <si>
    <t xml:space="preserve">2026-01196</t>
  </si>
  <si>
    <t xml:space="preserve">https://www.federalregister.gov/documents/2026/01/22/2026-01196/agency-information-collection-activities-proposed-collection-comment-request</t>
  </si>
  <si>
    <t xml:space="preserve">2026-01310</t>
  </si>
  <si>
    <t xml:space="preserve">https://www.federalregister.gov/documents/2026/01/23/2026-01310/agency-information-collection-activities-proposed-collection-comment-request</t>
  </si>
  <si>
    <t xml:space="preserve">2026-01562</t>
  </si>
  <si>
    <t xml:space="preserve">https://www.federalregister.gov/documents/2026/01/27/2026-01562/agency-information-collection-activities-proposed-collection-comment-request</t>
  </si>
  <si>
    <t xml:space="preserve">2026-01730</t>
  </si>
  <si>
    <t xml:space="preserve">Medicare Program; Ensuring Safety Through Domestic Security With Made in America Personal Protective Equipment (PPE) and Essential Medicine Procurement by Medicare Participating Hospitals</t>
  </si>
  <si>
    <t xml:space="preserve">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</si>
  <si>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 xml:space="preserve">https://www.federalregister.gov/documents/2026/01/29/2026-01730/medicare-program-ensuring-safety-through-domestic-security-with-made-in-america-personal-protective</t>
  </si>
  <si>
    <t xml:space="preserve">2026-01780</t>
  </si>
  <si>
    <t xml:space="preserve">https://www.federalregister.gov/documents/2026/01/29/2026-01780/agency-information-collection-activities-submission-for-omb-review-comment-request</t>
  </si>
  <si>
    <t xml:space="preserve">2026-01833</t>
  </si>
  <si>
    <t xml:space="preserve">Medicare and Medicaid Programs; Organ Procurement Organizations Conditions for Coverage: Revisions to the Conditions for Coverage</t>
  </si>
  <si>
    <t xml:space="preserve">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</si>
  <si>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 xml:space="preserve">https://www.federalregister.gov/documents/2026/01/30/2026-01833/medicare-and-medicaid-programs-organ-procurement-organizations-conditions-for-coverage-revisions-to</t>
  </si>
  <si>
    <t xml:space="preserve">2025-09695</t>
  </si>
  <si>
    <t xml:space="preserve">Medicare and Medicaid Programs; Contract Year 2026 Policy and Technical Changes to the Medicare Advantage Program, Medicare Prescription Drug Benefit Program, Medicare Cost Plan Program, and Programs of All-Inclusive Care for the Elderly; Correction</t>
  </si>
  <si>
    <t xml:space="preserve">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</si>
  <si>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 xml:space="preserve">https://www.federalregister.gov/documents/2025/05/29/2025-09695/medicare-and-medicaid-programs-contract-year-2026-policy-and-technical-changes-to-the-medicare</t>
  </si>
  <si>
    <t xml:space="preserve">2026-02187</t>
  </si>
  <si>
    <t xml:space="preserve">https://www.federalregister.gov/documents/2026/02/03/2026-02187/medicaid-and-childrens-health-insurance-program-chip-generic-information-collection-activities</t>
  </si>
  <si>
    <t xml:space="preserve">2026-02190</t>
  </si>
  <si>
    <t xml:space="preserve">https://www.federalregister.gov/documents/2026/02/03/2026-02190/agency-information-collection-activities-submission-for-omb-review-comment-request</t>
  </si>
  <si>
    <t xml:space="preserve">2026-02191</t>
  </si>
  <si>
    <t xml:space="preserve">https://www.federalregister.gov/documents/2026/02/03/2026-02191/agency-information-collection-activities-proposed-collection-comment-request</t>
  </si>
  <si>
    <t xml:space="preserve">2026-02215</t>
  </si>
  <si>
    <t xml:space="preserve">https://www.federalregister.gov/documents/2026/02/04/2026-02215/agency-information-collection-activities-proposed-collection-comment-request</t>
  </si>
  <si>
    <t xml:space="preserve">2026-02371</t>
  </si>
  <si>
    <t xml:space="preserve">https://www.federalregister.gov/documents/2026/02/06/2026-02371/agency-information-collection-activities-submission-for-omb-review-comment-request</t>
  </si>
  <si>
    <t xml:space="preserve">2026-02430</t>
  </si>
  <si>
    <t xml:space="preserve">https://www.federalregister.gov/documents/2026/02/06/2026-02430/agency-information-collection-activities-proposed-collection-comment-request</t>
  </si>
  <si>
    <t xml:space="preserve">2026-02472</t>
  </si>
  <si>
    <t xml:space="preserve">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</si>
  <si>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 xml:space="preserve">https://www.federalregister.gov/documents/2026/02/09/2026-02472/privacy-act-of-1974-matching-program</t>
  </si>
  <si>
    <t xml:space="preserve">2026-02603</t>
  </si>
  <si>
    <t xml:space="preserve">part d(4); medicare advantage(2); ma organization(1)</t>
  </si>
  <si>
    <t xml:space="preserve">https://www.federalregister.gov/documents/2026/02/10/2026-02603/agency-information-collection-activities-proposed-collection-comment-request</t>
  </si>
  <si>
    <t xml:space="preserve">2025-12195</t>
  </si>
  <si>
    <t xml:space="preserve">Medicare Program; Implementation of Prior Authorization for Select Services for the Wasteful and Inappropriate Services Reduction (WISeR) Model</t>
  </si>
  <si>
    <t xml:space="preserve">This notice announces a 6-year model focused on reducing fraud, waste (including low-value care), and abuse in Medicare fee-for- service (FFS) via the implementation of technology-enabled prior authorization processes for select services.</t>
  </si>
  <si>
    <t xml:space="preserve">https://www.federalregister.gov/documents/2025/07/01/2025-12195/medicare-program-implementation-of-prior-authorization-for-select-services-for-the-wasteful-and</t>
  </si>
  <si>
    <t xml:space="preserve">2026-02871</t>
  </si>
  <si>
    <t xml:space="preserve">https://www.federalregister.gov/documents/2026/02/13/2026-02871/agency-information-collection-activities-submission-for-omb-review-comment-request</t>
  </si>
  <si>
    <t xml:space="preserve">2026-02874</t>
  </si>
  <si>
    <t xml:space="preserve">https://www.federalregister.gov/documents/2026/02/13/2026-02874/agency-information-collection-activities-submission-for-omb-review-comment-request</t>
  </si>
  <si>
    <t xml:space="preserve">2026-02966</t>
  </si>
  <si>
    <t xml:space="preserve">https://www.federalregister.gov/documents/2026/02/13/2026-02966/agency-information-collection-activities-submission-for-omb-review-comment-request</t>
  </si>
  <si>
    <t xml:space="preserve">2026-02967</t>
  </si>
  <si>
    <t xml:space="preserve">part d(9); medicare advantage(1); ma organization(1); dual eligible(1)</t>
  </si>
  <si>
    <t xml:space="preserve">https://www.federalregister.gov/documents/2026/02/13/2026-02967/agency-information-collection-activities-submission-for-omb-review-comment-request</t>
  </si>
  <si>
    <t xml:space="preserve">2026-03110</t>
  </si>
  <si>
    <t xml:space="preserve">Medicare and Medicaid Programs; Announcement of Application From a Hospital Requesting Waiver for Organ Procurement Service Area (High Point Regional Health)</t>
  </si>
  <si>
    <t xml:space="preserve">https://www.federalregister.gov/documents/2026/02/18/2026-03110/medicare-and-medicaid-programs-announcement-of-application-from-a-hospital-requesting-waiver-for</t>
  </si>
  <si>
    <t xml:space="preserve">2026-03111</t>
  </si>
  <si>
    <t xml:space="preserve">Medicare and Medicaid Programs; Announcement of Application From a Hospital Requesting Waiver for Organ Procurement Service Area (WRMC Hospital Operating Corporation)</t>
  </si>
  <si>
    <t xml:space="preserve">https://www.federalregister.gov/documents/2026/02/18/2026-03111/medicare-and-medicaid-programs-announcement-of-application-from-a-hospital-requesting-waiver-for</t>
  </si>
  <si>
    <t xml:space="preserve">2026-03118</t>
  </si>
  <si>
    <t xml:space="preserve">https://www.federalregister.gov/documents/2026/02/18/2026-03118/agency-information-collection-activities-submission-for-omb-review-comment-request</t>
  </si>
  <si>
    <t xml:space="preserve">2026-03119</t>
  </si>
  <si>
    <t xml:space="preserve">Medicare and Medicaid Programs; Announcement of Application From a Hospital Requesting Waiver for Organ Procurement Service Area (Alleghany County Memorial Hospital, Inc.)</t>
  </si>
  <si>
    <t xml:space="preserve">https://www.federalregister.gov/documents/2026/02/18/2026-03119/medicare-and-medicaid-programs-announcement-of-application-from-a-hospital-requesting-waiver-for</t>
  </si>
  <si>
    <t xml:space="preserve">2026-03277</t>
  </si>
  <si>
    <t xml:space="preserve">Medicare and Medicaid Programs; Announcement of Application From a Hospital Requesting Waiver for Organ Procurement Service Area (Lexington Medical Center)</t>
  </si>
  <si>
    <t xml:space="preserve">https://www.federalregister.gov/documents/2026/02/19/2026-03277/medicare-and-medicaid-programs-announcement-of-application-from-a-hospital-requesting-waiver-for</t>
  </si>
  <si>
    <t xml:space="preserve">2026-03278</t>
  </si>
  <si>
    <t xml:space="preserve">Medicare and Medicaid Programs; Announcement of Application From a Hospital Requesting Waiver for Organ Procurement Service Area (Hugh Chatham Memorial Hospital, Inc.)</t>
  </si>
  <si>
    <t xml:space="preserve">https://www.federalregister.gov/documents/2026/02/19/2026-03278/medicare-and-medicaid-programs-announcement-of-application-from-a-hospital-requesting-waiver-for</t>
  </si>
  <si>
    <t xml:space="preserve">2026-03437</t>
  </si>
  <si>
    <t xml:space="preserve">Medicare and Medicaid Programs; Quarterly Listing of Program Issuances-October Through December 2025</t>
  </si>
  <si>
    <t xml:space="preserve">https://www.federalregister.gov/documents/2026/02/23/2026-03437/medicare-and-medicaid-programs-quarterly-listing-of-program-issuances-october-through-december-2025</t>
  </si>
  <si>
    <t xml:space="preserve">2026-03542</t>
  </si>
  <si>
    <t xml:space="preserve">ma organization(4); medicare advantage(1); dual eligible(1)</t>
  </si>
  <si>
    <t xml:space="preserve">https://www.federalregister.gov/documents/2026/02/23/2026-03542/agency-information-collection-activities-submission-for-omb-review-comment-request</t>
  </si>
  <si>
    <t xml:space="preserve">2026-03578</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</si>
  <si>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</si>
  <si>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 xml:space="preserve">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</si>
  <si>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 xml:space="preserve">https://www.federalregister.gov/documents/2026/02/23/2026-03578/medicare-program-hospital-outpatient-prospective-payment-and-ambulatory-surgical-center-payment</t>
  </si>
  <si>
    <t xml:space="preserve">2026-03779</t>
  </si>
  <si>
    <t xml:space="preserve">Managed Care</t>
  </si>
  <si>
    <t xml:space="preserve">https://www.federalregister.gov/documents/2026/02/25/2026-03779/managed-care</t>
  </si>
  <si>
    <t xml:space="preserve">2026-03810</t>
  </si>
  <si>
    <t xml:space="preserve">medicare advantage(2); ma organization(1); part d(1)</t>
  </si>
  <si>
    <t xml:space="preserve">https://www.federalregister.gov/documents/2026/02/26/2026-03810/agency-information-collection-activities-submission-for-omb-review-comment-request</t>
  </si>
  <si>
    <t xml:space="preserve">2025-23702</t>
  </si>
  <si>
    <t xml:space="preserve">part d(8); medicare advantage(5); ma organization(1); dual eligible(1); medigap(1)</t>
  </si>
  <si>
    <t xml:space="preserve">Global Benchmark for Efficient Drug Pricing (GLOBE) Model</t>
  </si>
  <si>
    <t xml:space="preserve">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</si>
  <si>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 xml:space="preserve">https://www.federalregister.gov/documents/2025/12/23/2025-23702/global-benchmark-for-efficient-drug-pricing-globe-model</t>
  </si>
  <si>
    <t xml:space="preserve">2026-03971</t>
  </si>
  <si>
    <t xml:space="preserve">Medicare, Medicaid, and Children's Health Insurance Programs: Announcement of Nationwide Temporary Moratoria on Enrollment of Durable Medical Equipment, Prosthetics, Orthotics, and Supplies (DMEPOS) Supplier Medical Supply Companies</t>
  </si>
  <si>
    <t xml:space="preserve">This notice announces the imposition of a 6-month nationwide moratorium on the Medicare enrollment of DMEPOS supplier medical supply companies.</t>
  </si>
  <si>
    <t xml:space="preserve">https://www.federalregister.gov/documents/2026/02/27/2026-03971/medicare-medicaid-and-childrens-health-insurance-programs-announcement-of-nationwide-temporary</t>
  </si>
  <si>
    <t xml:space="preserve">2026-04004</t>
  </si>
  <si>
    <t xml:space="preserve">https://www.federalregister.gov/documents/2026/03/02/2026-04004/agency-information-collection-activities-submission-for-omb-review-comment-request</t>
  </si>
  <si>
    <t xml:space="preserve">2026-04133</t>
  </si>
  <si>
    <t xml:space="preserve">https://www.federalregister.gov/documents/2026/03/02/2026-04133/agency-information-collection-activities-submission-for-omb-review-comment-request</t>
  </si>
  <si>
    <t xml:space="preserve">2026-04467</t>
  </si>
  <si>
    <t xml:space="preserve">Patient Protection and Affordable Care Act, HHS Notice of Benefit and Payment Parameters for 2027; and Basic Health Program; Correction</t>
  </si>
  <si>
    <t xml:space="preserve">This document corrects technical errors in the proposed rule that appeared in the February 11, 2026, Federal Register titled "Patient Protection and Affordable Care Act, HHS Notice of Benefit and Payment Parameters for 2027; and Basic Health Program."</t>
  </si>
  <si>
    <t xml:space="preserve">https://www.federalregister.gov/documents/2026/03/06/2026-04467/patient-protection-and-affordable-care-act-hhs-notice-of-benefit-and-payment-parameters-for-2027-and</t>
  </si>
  <si>
    <t xml:space="preserve">2026-04518</t>
  </si>
  <si>
    <t xml:space="preserve">https://www.federalregister.gov/documents/2026/03/09/2026-04518/agency-information-collection-activities-submission-for-omb-review-comment-request</t>
  </si>
  <si>
    <t xml:space="preserve">2026-04544</t>
  </si>
  <si>
    <t xml:space="preserve">Medicare and Medicaid Programs; Announcement of Applications From 12 Hospitals Requesting Waivers for Organ Procurement Service Area</t>
  </si>
  <si>
    <t xml:space="preserve">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</si>
  <si>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 xml:space="preserve">https://www.federalregister.gov/documents/2026/03/09/2026-04544/medicare-and-medicaid-programs-announcement-of-applications-from-12-hospitals-requesting-waivers-for</t>
  </si>
  <si>
    <t xml:space="preserve">2026-04593</t>
  </si>
  <si>
    <t xml:space="preserve">medicare advantage(4); part c(1); part d(1)</t>
  </si>
  <si>
    <t xml:space="preserve">Medicare Program; Request for Renewal of Deeming Authority of the National Committee for Quality Assurance (NCQA) for Medicare Advantage Health Maintenance Organizations and Preferred Provider Organizations</t>
  </si>
  <si>
    <t xml:space="preserve">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</si>
  <si>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 xml:space="preserve">https://www.federalregister.gov/documents/2026/03/10/2026-04593/medicare-program-request-for-renewal-of-deeming-authority-of-the-national-committee-for-quality</t>
  </si>
  <si>
    <t xml:space="preserve">2026-04595</t>
  </si>
  <si>
    <t xml:space="preserve">Medicare and Medicaid Programs: Application From the American Association for Accreditation of Ambulatory Surgery Facilities for Continued CMS-Approval of its Rural Health Clinic (RHC) Accreditation Program</t>
  </si>
  <si>
    <t xml:space="preserve">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</si>
  <si>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 xml:space="preserve">https://www.federalregister.gov/documents/2026/03/10/2026-04595/medicare-and-medicaid-programs-application-from-the-american-association-for-accreditation-of</t>
  </si>
  <si>
    <t xml:space="preserve">2026-04605</t>
  </si>
  <si>
    <t xml:space="preserve">part d(3); part c(2)</t>
  </si>
  <si>
    <t xml:space="preserve">https://www.federalregister.gov/documents/2026/03/10/2026-04605/agency-information-collection-activities-proposed-collection-comment-request</t>
  </si>
  <si>
    <t xml:space="preserve">2026-04745</t>
  </si>
  <si>
    <t xml:space="preserve">https://www.federalregister.gov/documents/2026/03/11/2026-04745/agency-information-collection-activities-proposed-collection-comment-request</t>
  </si>
  <si>
    <t xml:space="preserve">2026-04797</t>
  </si>
  <si>
    <t xml:space="preserve">part d(1); dual eligible(1)</t>
  </si>
  <si>
    <t xml:space="preserve">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</si>
  <si>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 xml:space="preserve">https://www.federalregister.gov/documents/2026/03/12/2026-04797/medicare-and-medicaid-programs-cy-2026-payment-policies-under-the-physician-fee-schedule-and-other</t>
  </si>
  <si>
    <t xml:space="preserve">2026-05199</t>
  </si>
  <si>
    <t xml:space="preserve">https://www.federalregister.gov/documents/2026/03/17/2026-05199/agency-information-collection-activities-proposed-collection-comment-request</t>
  </si>
  <si>
    <t xml:space="preserve">2026-05203</t>
  </si>
  <si>
    <t xml:space="preserve">https://www.federalregister.gov/documents/2026/03/17/2026-05203/agency-information-collection-activities-submission-for-omb-review-comment-request</t>
  </si>
  <si>
    <t xml:space="preserve">2026-05217</t>
  </si>
  <si>
    <t xml:space="preserve">ma organization(2); part d(1)</t>
  </si>
  <si>
    <t xml:space="preserve">https://www.federalregister.gov/documents/2026/03/18/2026-05217/agency-information-collection-activities-proposed-collection-comment-request</t>
  </si>
  <si>
    <t xml:space="preserve">2026-05218</t>
  </si>
  <si>
    <t xml:space="preserve">https://www.federalregister.gov/documents/2026/03/18/2026-05218/agency-information-collection-activities-submission-for-omb-review-comment-request</t>
  </si>
  <si>
    <t xml:space="preserve">2026-05743</t>
  </si>
  <si>
    <t xml:space="preserve">https://www.federalregister.gov/documents/2026/03/25/2026-05743/agency-information-collection-activities-submission-for-omb-review-comment-request</t>
  </si>
  <si>
    <t xml:space="preserve">2026-05915</t>
  </si>
  <si>
    <t xml:space="preserve">https://www.federalregister.gov/documents/2026/03/26/2026-05915/agency-information-collection-activities-submission-for-omb-review-comment-request</t>
  </si>
  <si>
    <t xml:space="preserve">2026-06018</t>
  </si>
  <si>
    <t xml:space="preserve">https://www.federalregister.gov/documents/2026/03/27/2026-06018/agency-information-collection-activities-proposed-collection-comment-request</t>
  </si>
  <si>
    <t xml:space="preserve">2026-06170</t>
  </si>
  <si>
    <t xml:space="preserve">https://www.federalregister.gov/documents/2026/03/31/2026-06170/agency-information-collection-activities-proposed-collection-comment-request</t>
  </si>
  <si>
    <t xml:space="preserve">2026-06499</t>
  </si>
  <si>
    <t xml:space="preserve">Medicare and Medicaid Programs: Application From the Accreditation Commission for Health Care Inc. (ACHC) for Continued Approval of Its Critical Access Hospital Accreditation Program</t>
  </si>
  <si>
    <t xml:space="preserve">This notice announces our decision to approve the Accreditation Commission for Health Care Inc. (ACHC) for continued recognition as a national accrediting organization for critical access hospitals that wish to participate in the Medicare or Medicaid programs.</t>
  </si>
  <si>
    <t xml:space="preserve">https://www.federalregister.gov/documents/2026/04/03/2026-06499/medicare-and-medicaid-programs-application-from-the-accreditation-commission-for-health-care-inc</t>
  </si>
  <si>
    <t xml:space="preserve">2026-06500</t>
  </si>
  <si>
    <t xml:space="preserve">Medicare and Medicaid Programs; Approval of Application by the Accreditation Commission for Health Care Inc. (ACHC) for Continued CMS-Approval of its Hospice Accreditation Program</t>
  </si>
  <si>
    <t xml:space="preserve">This notice acknowledges the approval of an application from the Accreditation Commission for Health Care Inc., for continued CMS approval as a national accrediting organization for hospice programs that wish to participate in the Medicare or Medicaid programs.</t>
  </si>
  <si>
    <t xml:space="preserve">https://www.federalregister.gov/documents/2026/04/03/2026-06500/medicare-and-medicaid-programs-approval-of-application-by-the-accreditation-commission-for-health</t>
  </si>
  <si>
    <t xml:space="preserve">2026-06508</t>
  </si>
  <si>
    <t xml:space="preserve">Medicare and Medicaid Programs; Application From Joint Commission (JC) for Continued CMS-Approval of Its Home Health Agency (HHA) Accreditation Program</t>
  </si>
  <si>
    <t xml:space="preserve">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</si>
  <si>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 xml:space="preserve">https://www.federalregister.gov/documents/2026/04/03/2026-06508/medicare-and-medicaid-programs-application-from-joint-commission-jc-for-continued-cms-approval-of</t>
  </si>
  <si>
    <t xml:space="preserve">2026-06570</t>
  </si>
  <si>
    <t xml:space="preserve">https://www.federalregister.gov/documents/2026/04/06/2026-06570/agency-information-collection-activities-submission-for-omb-review-comment-request</t>
  </si>
  <si>
    <t xml:space="preserve">2026-06573</t>
  </si>
  <si>
    <t xml:space="preserve">https://www.federalregister.gov/documents/2026/04/06/2026-06573/agency-information-collection-activities-proposed-collection-comment-request</t>
  </si>
  <si>
    <t xml:space="preserve">2025-23705</t>
  </si>
  <si>
    <t xml:space="preserve">part d(638); medicare advantage(6); part c(1)</t>
  </si>
  <si>
    <t xml:space="preserve">Guarding U.S. Medicare Against Rising Drug Costs (GUARD) Model</t>
  </si>
  <si>
    <t xml:space="preserve">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</si>
  <si>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 xml:space="preserve">https://www.federalregister.gov/documents/2025/12/23/2025-23705/guarding-us-medicare-against-rising-drug-costs-guard-model</t>
  </si>
  <si>
    <t xml:space="preserve">marginal (strong kw=6)</t>
  </si>
  <si>
    <t xml:space="preserve">2026-06604</t>
  </si>
  <si>
    <t xml:space="preserve">part d(28)</t>
  </si>
  <si>
    <t xml:space="preserve">Medicare Program; FY 2027 Hospice Wage Index and Payment Rate Update and Hospice Quality Reporting Program Requirements</t>
  </si>
  <si>
    <t xml:space="preserve">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</si>
  <si>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 xml:space="preserve">https://www.federalregister.gov/documents/2026/04/06/2026-06604/medicare-program-fy-2027-hospice-wage-index-and-payment-rate-update-and-hospice-quality-reporting</t>
  </si>
  <si>
    <t xml:space="preserve">2026-06616</t>
  </si>
  <si>
    <t xml:space="preserve">Medicare Program; Delayed Implementation of Certain Prior Authorization for Select Services for the Wasteful and Inappropriate Services Reduction (WISeR) Model</t>
  </si>
  <si>
    <t xml:space="preserve">This notice announces a delay in the implementation of two services from the list of Wasteful and Inappropriate Services Reduction (WISeR) model items and services.</t>
  </si>
  <si>
    <t xml:space="preserve">https://www.federalregister.gov/documents/2026/04/06/2026-06616/medicare-program-delayed-implementation-of-certain-prior-authorization-for-select-services-for-the</t>
  </si>
  <si>
    <t xml:space="preserve">2026-06617</t>
  </si>
  <si>
    <t xml:space="preserve">Medicare Program; Implementation of Prior Authorization for Select Services for the Wasteful and Inappropriate Services Reduction (WISeR) Model; Correction</t>
  </si>
  <si>
    <t xml:space="preserve">This document corrects typographical and technical errors in the notice that appeared in the July 1, 2025, Federal Register titled "Medicare Program; Implementation of Prior Authorization for Select Services for the Wasteful and Inappropriate Services Reduction (WISeR) Model".</t>
  </si>
  <si>
    <t xml:space="preserve">https://www.federalregister.gov/documents/2026/04/06/2026-06617/medicare-program-implementation-of-prior-authorization-for-select-services-for-the-wasteful-and</t>
  </si>
  <si>
    <t xml:space="preserve">2026-06618</t>
  </si>
  <si>
    <t xml:space="preserve">Notice of Public Data Asset Release Under the Open, Public, Electronic, and Necessary (OPEN) Government Data Act</t>
  </si>
  <si>
    <t xml:space="preserve">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</si>
  <si>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 xml:space="preserve">https://www.federalregister.gov/documents/2026/04/06/2026-06618/notice-of-public-data-asset-release-under-the-open-public-electronic-and-necessary-open-government</t>
  </si>
  <si>
    <t xml:space="preserve">data release notice</t>
  </si>
  <si>
    <t xml:space="preserve">2026-06642</t>
  </si>
  <si>
    <t xml:space="preserve">Medicare Program; Inpatient Rehabilitation Facility Prospective Payment System for Federal Fiscal Year 2027 and Updates to the IRF Quality Reporting Program</t>
  </si>
  <si>
    <t xml:space="preserve">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</si>
  <si>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 xml:space="preserve">https://www.federalregister.gov/documents/2026/04/06/2026-06642/medicare-program-inpatient-rehabilitation-facility-prospective-payment-system-for-federal-fiscal</t>
  </si>
  <si>
    <t xml:space="preserve">2026-06674</t>
  </si>
  <si>
    <t xml:space="preserve">medicare advantage(3); special needs plan(2); ma organization(1)</t>
  </si>
  <si>
    <t xml:space="preserve">Medicare Program; Prospective Payment System and Consolidated Billing for Skilled Nursing Facilities; Updates to the Quality Reporting Program for Federal Fiscal Year 2027</t>
  </si>
  <si>
    <t xml:space="preserve">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</si>
  <si>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 xml:space="preserve">https://www.federalregister.gov/documents/2026/04/07/2026-06674/medicare-program-prospective-payment-system-and-consolidated-billing-for-skilled-nursing-facilities</t>
  </si>
  <si>
    <t xml:space="preserve">2026-06675</t>
  </si>
  <si>
    <t xml:space="preserve">Medicare Program; FY 2027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</si>
  <si>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</si>
  <si>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 xml:space="preserve">https://www.federalregister.gov/documents/2026/04/07/2026-06675/medicare-program-fy-2027-inpatient-psychiatric-facilities-prospective-payment-system-rate-update</t>
  </si>
  <si>
    <t xml:space="preserve">2026-06725</t>
  </si>
  <si>
    <t xml:space="preserve">https://www.federalregister.gov/documents/2026/04/07/2026-06725/agency-information-collection-activities-submission-for-omb-review-comment-request</t>
  </si>
  <si>
    <t xml:space="preserve">2026-06861</t>
  </si>
  <si>
    <t xml:space="preserve">Medicare and Medicaid Programs: Application From DNV Healthcare USA Inc. for Continued CMS-Approval of Its Hospital Accreditation Program</t>
  </si>
  <si>
    <t xml:space="preserve">This notice acknowledges the receipt of an application from DNV Healthcare USA Inc. (DNV) for continued recognition as a national accrediting organization for its hospital accreditation program to participate in the Medicare or Medicaid programs.</t>
  </si>
  <si>
    <t xml:space="preserve">https://www.federalregister.gov/documents/2026/04/09/2026-06861/medicare-and-medicaid-programs-application-from-dnv-healthcare-usa-inc-for-continued-cms-approval-of</t>
  </si>
  <si>
    <t xml:space="preserve">2026-06946</t>
  </si>
  <si>
    <t xml:space="preserve">https://www.federalregister.gov/documents/2026/04/10/2026-06946/agency-information-collection-activities-proposed-collection-comment-request</t>
  </si>
  <si>
    <t xml:space="preserve">2026-07016</t>
  </si>
  <si>
    <t xml:space="preserve">https://www.federalregister.gov/documents/2026/04/10/2026-07016/agency-information-collection-activities-proposed-collection-comment-request</t>
  </si>
  <si>
    <t xml:space="preserve">2026-07203</t>
  </si>
  <si>
    <t xml:space="preserve">medicare advantage(71); dual eligible(6); part d(3); part c(2); ma organization(1)</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</si>
  <si>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</si>
  <si>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https://www.federalregister.gov/documents/2026/04/14/2026-07203/medicare-program-hospital-inpatient-prospective-payment-systems-for-acute-care-hospitals-ipps-and</t>
  </si>
  <si>
    <t xml:space="preserve">2026-02040</t>
  </si>
  <si>
    <t xml:space="preserve">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</si>
  <si>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</si>
  <si>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 xml:space="preserve">https://www.federalregister.gov/documents/2026/02/02/2026-02040/medicaid-program-preserving-medicaid-funding-for-vulnerable-populations-closing-a-health</t>
  </si>
  <si>
    <t xml:space="preserve">2026-07226</t>
  </si>
  <si>
    <t xml:space="preserve">Medicare Program; Public Meeting for New Revisions to the Healthcare Common Procedure Coding System (HCPCS) Level II Coding</t>
  </si>
  <si>
    <t xml:space="preserve">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</si>
  <si>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https://www.federalregister.gov/documents/2026/04/14/2026-07226/medicare-program-public-meeting-for-new-revisions-to-the-healthcare-common-procedure-coding-system</t>
  </si>
  <si>
    <t xml:space="preserve">2026-07401</t>
  </si>
  <si>
    <t xml:space="preserve">https://www.federalregister.gov/documents/2026/04/16/2026-07401/agency-information-collection-activities-submission-for-omb-review-comment-request</t>
  </si>
  <si>
    <t xml:space="preserve">2026-07440</t>
  </si>
  <si>
    <t xml:space="preserve">https://www.federalregister.gov/documents/2026/04/16/2026-07440/medicaid-and-childrens-health-insurance-program-chip-generic-information-collection-activities</t>
  </si>
  <si>
    <t xml:space="preserve">2026-07470</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</si>
  <si>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 Correction</t>
  </si>
  <si>
    <t xml:space="preserve">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</si>
  <si>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https://www.federalregister.gov/documents/2026/04/16/2026-07470/medicare-program-hospital-inpatient-prospective-payment-systems-for-acute-care-hospitals-ipps-and</t>
  </si>
  <si>
    <t xml:space="preserve">2026-07583</t>
  </si>
  <si>
    <t xml:space="preserve">https://www.federalregister.gov/documents/2026/04/20/2026-07583/agency-information-collection-activities-proposed-collection-comment-request</t>
  </si>
  <si>
    <t xml:space="preserve">2026-07634</t>
  </si>
  <si>
    <t xml:space="preserve">https://www.federalregister.gov/documents/2026/04/20/2026-07634/agency-information-collection-activities-submission-for-omb-review-comment-request</t>
  </si>
  <si>
    <t xml:space="preserve">2026-07802</t>
  </si>
  <si>
    <t xml:space="preserve">https://www.federalregister.gov/documents/2026/04/22/2026-07802/medicaid-and-childrens-health-insurance-program-chip-generic-information-collection-activities</t>
  </si>
  <si>
    <t xml:space="preserve">2026-07803</t>
  </si>
  <si>
    <t xml:space="preserve">https://www.federalregister.gov/documents/2026/04/22/2026-07803/medicaid-and-childrens-health-insurance-program-chip-generic-information-collection-activities</t>
  </si>
  <si>
    <t xml:space="preserve">2026-07850</t>
  </si>
  <si>
    <t xml:space="preserve">https://www.federalregister.gov/documents/2026/04/22/2026-07850/agency-information-collection-activities-proposed-collection-comment-request</t>
  </si>
  <si>
    <t xml:space="preserve">2026-07851</t>
  </si>
  <si>
    <t xml:space="preserve">https://www.federalregister.gov/documents/2026/04/22/2026-07851/agency-information-collection-activities-submission-for-omb-review-comment-request</t>
  </si>
  <si>
    <t xml:space="preserve">2026-08025</t>
  </si>
  <si>
    <t xml:space="preserve">https://www.federalregister.gov/documents/2026/04/24/2026-08025/agency-information-collection-activities-submission-for-omb-review-comment-request</t>
  </si>
  <si>
    <t xml:space="preserve">2026-08156</t>
  </si>
  <si>
    <t xml:space="preserve">https://www.federalregister.gov/documents/2026/04/27/2026-08156/agency-information-collection-activities-submission-for-omb-review-comment-request</t>
  </si>
  <si>
    <t xml:space="preserve">2026-08160</t>
  </si>
  <si>
    <t xml:space="preserve">https://www.federalregister.gov/documents/2026/04/27/2026-08160/agency-information-collection-activities-proposed-collection-comment-request</t>
  </si>
  <si>
    <t xml:space="preserve">2026-08190</t>
  </si>
  <si>
    <t xml:space="preserve">Medicaid Program; 2028 Medicaid Home and Community-Based Services Quality Measure Set</t>
  </si>
  <si>
    <t xml:space="preserve">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</si>
  <si>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 xml:space="preserve">https://www.federalregister.gov/documents/2026/04/28/2026-08190/medicaid-program-2028-medicaid-home-and-community-based-services-quality-measure-set</t>
  </si>
  <si>
    <t xml:space="preserve">2026-08337</t>
  </si>
  <si>
    <t xml:space="preserve">Statement of Delegation of Authority</t>
  </si>
  <si>
    <t xml:space="preserve">https://www.federalregister.gov/documents/2026/04/29/2026-08337/statement-of-delegation-of-authority</t>
  </si>
  <si>
    <t xml:space="preserve">2026-08421</t>
  </si>
  <si>
    <t xml:space="preserve">https://www.federalregister.gov/documents/2026/04/30/2026-08421/agency-information-collection-activities-submission-for-omb-review-comment-request</t>
  </si>
  <si>
    <t xml:space="preserve">2026-08460</t>
  </si>
  <si>
    <t xml:space="preserve">https://www.federalregister.gov/documents/2026/04/30/2026-08460/agency-information-collection-activities-proposed-collection-comment-request</t>
  </si>
  <si>
    <t xml:space="preserve">2026-08511</t>
  </si>
  <si>
    <t xml:space="preserve">Medicare Program: Public Meeting Regarding New and Reconsidered Clinical Diagnostic Laboratory Test Codes for the Clinical Laboratory Fee Schedule for Calendar Year 2027</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</si>
  <si>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</si>
  <si>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 xml:space="preserve">https://www.federalregister.gov/documents/2026/05/01/2026-08511/medicare-program-public-meeting-regarding-new-and-reconsidered-clinical-diagnostic-laboratory-test</t>
  </si>
  <si>
    <t xml:space="preserve">2026-08512</t>
  </si>
  <si>
    <t xml:space="preserve">Medicare Program: Rechartering, Membership, and Meeting Announcement for the Medicare Advisory Panel on Clinical Diagnostic Laboratory Tests</t>
  </si>
  <si>
    <t xml:space="preserve">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</si>
  <si>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https://www.federalregister.gov/documents/2026/05/01/2026-08512/medicare-program-rechartering-membership-and-meeting-announcement-for-the-medicare-advisory-panel-on</t>
  </si>
  <si>
    <t xml:space="preserve">2026-08513</t>
  </si>
  <si>
    <t xml:space="preserve">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</si>
  <si>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</si>
  <si>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 xml:space="preserve">https://www.federalregister.gov/documents/2026/05/01/2026-08513/medicare-program-meeting-announcement-for-the-public-and-the-medicare-advisory-panel-on-clinical</t>
  </si>
  <si>
    <t xml:space="preserve">2026-08542</t>
  </si>
  <si>
    <t xml:space="preserve">https://www.federalregister.gov/documents/2026/05/01/2026-08542/agency-information-collection-activities-submission-for-omb-review-comment-request</t>
  </si>
  <si>
    <t xml:space="preserve">2026-09096</t>
  </si>
  <si>
    <t xml:space="preserve">https://www.federalregister.gov/documents/2026/05/07/2026-09096/agency-information-collection-activities-proposed-collection-comment-request</t>
  </si>
  <si>
    <t xml:space="preserve">2026-09167</t>
  </si>
  <si>
    <t xml:space="preserve">https://www.federalregister.gov/documents/2026/05/08/2026-09167/agency-information-collection-activities-submission-for-omb-review-comment-request</t>
  </si>
  <si>
    <t xml:space="preserve">2026-09329</t>
  </si>
  <si>
    <t xml:space="preserve">Medicaid and Children's Health Insurance Program (CHIP) Generic Information Collection Activities: Proposed Collection; Reopening of Comment Period</t>
  </si>
  <si>
    <t xml:space="preserve">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</si>
  <si>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 xml:space="preserve">https://www.federalregister.gov/documents/2026/05/12/2026-09329/medicaid-and-childrens-health-insurance-program-chip-generic-information-collection-activities</t>
  </si>
  <si>
    <t xml:space="preserve">2026-09330</t>
  </si>
  <si>
    <t xml:space="preserve">ma organization(5); part d(4); medicare advantage(3); dual eligible(1)</t>
  </si>
  <si>
    <t xml:space="preserve">https://www.federalregister.gov/documents/2026/05/12/2026-09330/agency-information-collection-activities-submission-for-omb-review-comment-request</t>
  </si>
  <si>
    <t xml:space="preserve">2026-09444</t>
  </si>
  <si>
    <t xml:space="preserve">Healthcare Advisory Committee (HAC); Announcement of the HAC Meeting-May 18, 2026</t>
  </si>
  <si>
    <t xml:space="preserve">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</si>
  <si>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 xml:space="preserve">https://www.federalregister.gov/documents/2026/05/13/2026-09444/healthcare-advisory-committee-hac-announcement-of-the-hac-meeting-may-18-2026</t>
  </si>
  <si>
    <t xml:space="preserve">2026-09630</t>
  </si>
  <si>
    <t xml:space="preserve">Medicare and Medicaid Programs; Quarterly Listing of Program Issuances-January through March 2026</t>
  </si>
  <si>
    <t xml:space="preserve">https://www.federalregister.gov/documents/2026/05/14/2026-09630/medicare-and-medicaid-programs-quarterly-listing-of-program-issuances-january-through-march-2026</t>
  </si>
  <si>
    <t xml:space="preserve">2026-09717</t>
  </si>
  <si>
    <t xml:space="preserve">Medicare, Medicaid, and Children's Health Insurance Programs: Announcement of Nationwide Temporary Moratoria on Enrollment of Home Health Agencies (HHAs)</t>
  </si>
  <si>
    <t xml:space="preserve">This notice announces the imposition of a 6-month nationwide moratorium on the Medicare enrollment of home health agencies (HHAs).</t>
  </si>
  <si>
    <t xml:space="preserve">https://www.federalregister.gov/documents/2026/05/15/2026-09717/medicare-medicaid-and-childrens-health-insurance-programs-announcement-of-nationwide-temporary</t>
  </si>
  <si>
    <t xml:space="preserve">2026-09718</t>
  </si>
  <si>
    <t xml:space="preserve">Medicare, Medicaid, and Children's Health Insurance Programs: Announcement of Nationwide Temporary Moratorium on Enrollment of Hospices</t>
  </si>
  <si>
    <t xml:space="preserve">This notice announces the imposition of a 6-month nationwide moratorium on the Medicare enrollment of hospices.</t>
  </si>
  <si>
    <t xml:space="preserve">https://www.federalregister.gov/documents/2026/05/15/2026-09718/medicare-medicaid-and-childrens-health-insurance-programs-announcement-of-nationwide-temporary</t>
  </si>
  <si>
    <t xml:space="preserve">2026-09747</t>
  </si>
  <si>
    <t xml:space="preserve">https://www.federalregister.gov/documents/2026/05/15/2026-09747/agency-information-collection-activities-proposed-collection-comment-request</t>
  </si>
  <si>
    <t xml:space="preserve">2026-09832</t>
  </si>
  <si>
    <t xml:space="preserve">https://www.federalregister.gov/documents/2026/05/18/2026-09832/agency-information-collection-activities-proposed-collection-comment-request</t>
  </si>
  <si>
    <t xml:space="preserve">2026-02769</t>
  </si>
  <si>
    <t xml:space="preserve">medigap(3); medicare advantage(2); part d(2)</t>
  </si>
  <si>
    <t xml:space="preserve">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</si>
  <si>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 xml:space="preserve">https://www.federalregister.gov/documents/2026/02/11/2026-02769/patient-protection-and-affordable-care-act-hhs-notice-of-benefit-and-payment-parameters-for-2027-and</t>
  </si>
  <si>
    <t xml:space="preserve">2026-10097</t>
  </si>
  <si>
    <t xml:space="preserve">https://www.federalregister.gov/documents/2026/05/20/2026-10097/medicaid-and-childrens-health-insurance-program-chip-generic-information-collection-activities</t>
  </si>
  <si>
    <t xml:space="preserve">2026-10102</t>
  </si>
  <si>
    <t xml:space="preserve">https://www.federalregister.gov/documents/2026/05/20/2026-10102/agency-information-collection-activities-proposed-collection-comment-request</t>
  </si>
  <si>
    <t xml:space="preserve">2026-10276</t>
  </si>
  <si>
    <t xml:space="preserve">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</si>
  <si>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https://www.federalregister.gov/documents/2026/05/22/2026-10276/medicare-program-hospital-inpatient-prospective-payment-systems-for-acute-care-hospitals-ipps-and</t>
  </si>
  <si>
    <t xml:space="preserve">2026-10292</t>
  </si>
  <si>
    <t xml:space="preserve">Medicaid Program; Medicaid Managed Care State Directed Payments and Medicaid Fee-for-Service Targeted Medicaid Practitioner Payments</t>
  </si>
  <si>
    <t xml:space="preserve">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</si>
  <si>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 xml:space="preserve">https://www.federalregister.gov/documents/2026/05/22/2026-10292/medicaid-program-medicaid-managed-care-state-directed-payments-and-medicaid-fee-for-service-targeted</t>
  </si>
  <si>
    <t xml:space="preserve">2026-10777</t>
  </si>
  <si>
    <t xml:space="preserve">https://www.federalregister.gov/documents/2026/05/29/2026-10777/agency-information-collection-activities-submission-for-omb-review-comment-request</t>
  </si>
  <si>
    <t xml:space="preserve">AEP </t>
  </si>
  <si>
    <t xml:space="preserve">Equals 1 during the Annual Enrollment Period (Oct 15 - Dec 7 each year). Row highlights blue.</t>
  </si>
  <si>
    <t xml:space="preserve">Anyone with medicare change/switch between Original Medicare and Medicare Advantage, or alter prescription drug plans.</t>
  </si>
  <si>
    <t xml:space="preserve">MA_OEP </t>
  </si>
  <si>
    <t xml:space="preserve">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</si>
  <si>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</si>
  <si>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 xml:space="preserve">GEP</t>
  </si>
  <si>
    <t xml:space="preserve">Equals 1 during General Enrollment Period, Same as MA_OEP, same column. Row highlights green.</t>
  </si>
  <si>
    <t xml:space="preserve">For individuals who missed their Initial Enrollment Period when first elligible, allowing to sign up for Part A and/or Part B.</t>
  </si>
  <si>
    <t xml:space="preserve">Use for date-bound SEPs (e.g., disaster SEPs by state). Included disaster type, affected states, incident start date, incident end date, and SEP open date (60 calendar days after incident end date.)</t>
  </si>
  <si>
    <t xml:space="preserve">For individuals with special life events to outside standard windows.</t>
  </si>
  <si>
    <t xml:space="preserve">Has_Event / Event_Detail</t>
  </si>
  <si>
    <t xml:space="preserve">Policy/Market/Legislative event. Event counts, and event detail.</t>
  </si>
  <si>
    <t xml:space="preserve">Events tab</t>
  </si>
  <si>
    <t xml:space="preserve">One row per policy/market event. National Impact</t>
  </si>
  <si>
    <t xml:space="preserve">Announced' = the day the rule/notice was published (matters for market/search reaction). 'Effective' = the day the policy actually changes plan value. </t>
  </si>
  <si>
    <t xml:space="preserve">Color key</t>
  </si>
  <si>
    <t xml:space="preserve">Orange = policy event day | Blue = AEP | Green = MA OEP / GEP </t>
  </si>
  <si>
    <t xml:space="preserve">Fed Register Priority Classification Logic</t>
  </si>
  <si>
    <t xml:space="preserve">Scope</t>
  </si>
  <si>
    <t xml:space="preserve">Priority only assigned to documents with Match=1</t>
  </si>
  <si>
    <t xml:space="preserve">Strong keyword count</t>
  </si>
  <si>
    <t xml:space="preserve">[Medicare advantage; MA organization, MA, D-SNP, C-SNP, special needs plan, dual eligible, medigap, medicare supplement]</t>
  </si>
  <si>
    <t xml:space="preserve">Classified by title, procedural/adminitrative notices (agency information collection, privacy act records notice, quarterly listeings of issuance, accreditor deeming-authority approvals, appeals amount-in-controversy adjustments), provider enumeration system notices, public data releases, meeting/town hall notices), and annual provider payment rules (sets reimbursement rates, not consumer-facing plan features, does not affect sales). *Exception*: if strong keyword count &gt;= 200, in case a payment rule carries major MA policy.</t>
  </si>
  <si>
    <t xml:space="preserve">Strong keyword count &lt;= 10. Marginal relevance, check matched keywords before review/dismiss.</t>
  </si>
  <si>
    <t xml:space="preserve">Strong keyword count 10-99. Reviewed for relevance. </t>
  </si>
  <si>
    <t xml:space="preserve">Strong keyword count &gt;= 100. Core MA/Part D policy documents.</t>
  </si>
  <si>
    <t xml:space="preserve">States (Events)</t>
  </si>
  <si>
    <t xml:space="preserve">State scope of each event: 'National' or semicolon-delimited postal codes. Event_Detail on the Daily Grid appends codes for non-national events.</t>
  </si>
  <si>
    <t xml:space="preserve">State Regulation (Event_Type)</t>
  </si>
  <si>
    <t xml:space="preserve">State-level policy: Medigap birthday/guaranteed-issue rules, state D-SNP integration mandates (e.g., CalAIM).</t>
  </si>
  <si>
    <t xml:space="preserve">Litigation (Event_Type)</t>
  </si>
  <si>
    <t xml:space="preserve">Court actions that changed which policy was in effect (stays, vacaturs, ordered Star Ratings recalculations).</t>
  </si>
  <si>
    <t xml:space="preserve">Value_Mechanism (Events)</t>
  </si>
  <si>
    <t xml:space="preserve">How the event changes plan value for MA/MS/D-SNP/C-SNP:</t>
  </si>
  <si>
    <t xml:space="preserve">Directly changes benefits, premiums, or out-of-pocket costs (IRA milestones, Rate Announcements funding benefits, Part B premium, MFPs effective, MS rating changes).</t>
  </si>
  <si>
    <t xml:space="preserve">Changes what plans can exist or who can enroll where (look-alike thresholds, SEP restructure, FIDE/HIDE, CalAIM, OBBBA eligibility pipeline).</t>
  </si>
  <si>
    <t xml:space="preserve">Creates/opens a guaranteed-issue or switching right on a date (MS birthday rules, RI annual window).</t>
  </si>
  <si>
    <t xml:space="preserve">Changes displayed Star Ratings or quality bonus economics (annual publications, ratings litigation/recalcs).</t>
  </si>
  <si>
    <t xml:space="preserve">Changes broker/agent compensation or steering economics.</t>
  </si>
  <si>
    <t xml:space="preserve">Structures when/how beneficiaries shop (marketing starts, plan-finder information rules).</t>
  </si>
  <si>
    <t xml:space="preserve">Announced policy whose value impact lands after the event date (proposed rules, advance notices, drug-negotiation selections, bill signings ahead of effective dates) - expect search/news reaction, not sales-value change, on the date itself.</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</si>
</sst>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Calibri"/>
      <family val="2"/>
      <charset val="1"/>
    </font>
    <font>
      <sz val="10"/>
      <name val="Calibri"/>
      <family val="2"/>
      <charset val="1"/>
    </font>
    <font>
      <sz val="10"/>
      <name val="Arial"/>
      <family val="2"/>
      <charset val="1"/>
    </font>
    <font>
      <sz val="10"/>
      <color theme="1"/>
      <name val="Calibri"/>
      <family val="2"/>
      <charset val="1"/>
    </font>
    <font>
      <b val="true"/>
      <sz val="10"/>
      <name val="Calibri"/>
      <family val="2"/>
      <charset val="1"/>
    </font>
    <font>
      <u val="single"/>
      <sz val="11"/>
      <color theme="10"/>
      <name val="Calibri"/>
      <family val="2"/>
      <charset val="1"/>
    </font>
    <font>
      <b val="true"/>
      <sz val="10"/>
      <name val="Arial"/>
      <family val="2"/>
      <charset val="1"/>
    </font>
    <font>
      <b val="true"/>
      <sz val="11"/>
      <name val="Calibri"/>
      <family val="2"/>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bgColor rgb="FFF8CBAD"/>
        </patternFill>
      </fill>
    </dxf>
    <dxf>
      <fill>
        <patternFill>
          <bgColor rgb="FFBDD7EE"/>
        </patternFill>
      </fill>
    </dxf>
    <dxf>
      <fill>
        <patternFill>
          <bgColor rgb="FFC6E0B4"/>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federalregister.gov/documents/2024/04/23/2024-07105/medicare-program-changes-to-the-medicare-advantage-and-the-medicare-prescription-drug-benefit"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3" Type="http://schemas.openxmlformats.org/officeDocument/2006/relationships/hyperlink" Target="https://www.federalregister.gov/documents/2025/04/15/2025-06008/medicare-and-medicaid-programs-contract-year-2026-policy-and-technical-changes-to-the-medicare"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 Id="rId5"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77" activePane="bottomLeft" state="frozen"/>
      <selection pane="topLeft" activeCell="A1" activeCellId="0" sqref="A1"/>
      <selection pane="bottomLeft" activeCell="A92" activeCellId="0" sqref="A92"/>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3" min="2" style="1" width="7"/>
    <col collapsed="false" customWidth="true" hidden="false" outlineLevel="0" max="4" min="4" style="1" width="9"/>
    <col collapsed="false" customWidth="true" hidden="false" outlineLevel="0" max="5" min="5" style="1" width="6"/>
    <col collapsed="false" customWidth="true" hidden="false" outlineLevel="0" max="6" min="6" style="1" width="8"/>
    <col collapsed="false" customWidth="true" hidden="false" outlineLevel="0" max="7" min="7" style="1" width="64.54"/>
    <col collapsed="false" customWidth="true" hidden="false" outlineLevel="0" max="8" min="8" style="1" width="10"/>
    <col collapsed="false" customWidth="true" hidden="false" outlineLevel="0" max="9" min="9" style="1" width="30.54"/>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17.25" hidden="false" customHeight="true" outlineLevel="0" collapsed="false">
      <c r="A2" s="3" t="n">
        <v>45292</v>
      </c>
      <c r="B2" s="4" t="n">
        <f aca="false">YEAR($A2)</f>
        <v>2024</v>
      </c>
      <c r="C2" s="4" t="n">
        <f aca="false">MONTH($A2)</f>
        <v>1</v>
      </c>
      <c r="D2" s="4" t="str">
        <f aca="false">TEXT($A2,"ddd")</f>
        <v>Mon</v>
      </c>
      <c r="E2" s="4" t="n">
        <f aca="false">IF(OR(AND(MONTH($A2)=10,DAY($A2)&gt;=15),MONTH($A2)=11,AND(MONTH($A2)=12,DAY($A2)&lt;=7)),1,0)</f>
        <v>0</v>
      </c>
      <c r="F2" s="4" t="n">
        <f aca="false">IF(MONTH($A2)&lt;=3,1,0)</f>
        <v>1</v>
      </c>
      <c r="G2" s="4" t="str">
        <f aca="false" t="array" ref="G2: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4" t="n">
        <f aca="false">COUNTIF(Events!$A$2:$A$397,$A2)</f>
        <v>2</v>
      </c>
      <c r="I2" s="5" t="str">
        <f aca="false" t="array" ref="I2:I2">_xlfn.TEXTJOIN(" | ",TRUE(),IF(Events!$A$2:$A$397=$A2,Events!$E$2:$E$397&amp;IF(Events!$G$2:$G$397="National",""," ["&amp;Events!$G$2:$G$397&amp;"]"),""))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customFormat="false" ht="15" hidden="false" customHeight="true" outlineLevel="0" collapsed="false">
      <c r="A3" s="3" t="n">
        <v>45293</v>
      </c>
      <c r="B3" s="4" t="n">
        <f aca="false">YEAR($A3)</f>
        <v>2024</v>
      </c>
      <c r="C3" s="4" t="n">
        <f aca="false">MONTH($A3)</f>
        <v>1</v>
      </c>
      <c r="D3" s="4" t="str">
        <f aca="false">TEXT($A3,"ddd")</f>
        <v>Tue</v>
      </c>
      <c r="E3" s="4" t="n">
        <f aca="false">IF(OR(AND(MONTH($A3)=10,DAY($A3)&gt;=15),MONTH($A3)=11,AND(MONTH($A3)=12,DAY($A3)&lt;=7)),1,0)</f>
        <v>0</v>
      </c>
      <c r="F3" s="4" t="n">
        <f aca="false">IF(MONTH($A3)&lt;=3,1,0)</f>
        <v>1</v>
      </c>
      <c r="G3" s="4" t="str">
        <f aca="false" t="array" ref="G3: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4" t="n">
        <f aca="false">COUNTIF(Events!$A$2:$A$397,$A3)</f>
        <v>0</v>
      </c>
      <c r="I3" s="6" t="str">
        <f aca="false" t="array" ref="I3:I3">_xlfn.TEXTJOIN(" | ",TRUE(),IF(Events!$A$2:$A$397=$A3,Events!$E$2:$E$397&amp;IF(Events!$G$2:$G$397="National",""," ["&amp;Events!$G$2:$G$397&amp;"]"),""))</f>
        <v/>
      </c>
    </row>
    <row r="4" customFormat="false" ht="15" hidden="false" customHeight="true" outlineLevel="0" collapsed="false">
      <c r="A4" s="3" t="n">
        <v>45294</v>
      </c>
      <c r="B4" s="4" t="n">
        <f aca="false">YEAR($A4)</f>
        <v>2024</v>
      </c>
      <c r="C4" s="4" t="n">
        <f aca="false">MONTH($A4)</f>
        <v>1</v>
      </c>
      <c r="D4" s="4" t="str">
        <f aca="false">TEXT($A4,"ddd")</f>
        <v>Wed</v>
      </c>
      <c r="E4" s="4" t="n">
        <f aca="false">IF(OR(AND(MONTH($A4)=10,DAY($A4)&gt;=15),MONTH($A4)=11,AND(MONTH($A4)=12,DAY($A4)&lt;=7)),1,0)</f>
        <v>0</v>
      </c>
      <c r="F4" s="4" t="n">
        <f aca="false">IF(MONTH($A4)&lt;=3,1,0)</f>
        <v>1</v>
      </c>
      <c r="G4" s="4" t="str">
        <f aca="false" t="array" ref="G4: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4" t="n">
        <f aca="false">COUNTIF(Events!$A$2:$A$397,$A4)</f>
        <v>0</v>
      </c>
      <c r="I4" s="6" t="str">
        <f aca="false" t="array" ref="I4:I4">_xlfn.TEXTJOIN(" | ",TRUE(),IF(Events!$A$2:$A$397=$A4,Events!$E$2:$E$397&amp;IF(Events!$G$2:$G$397="National",""," ["&amp;Events!$G$2:$G$397&amp;"]"),""))</f>
        <v/>
      </c>
    </row>
    <row r="5" customFormat="false" ht="15" hidden="false" customHeight="true" outlineLevel="0" collapsed="false">
      <c r="A5" s="3" t="n">
        <v>45295</v>
      </c>
      <c r="B5" s="4" t="n">
        <f aca="false">YEAR($A5)</f>
        <v>2024</v>
      </c>
      <c r="C5" s="4" t="n">
        <f aca="false">MONTH($A5)</f>
        <v>1</v>
      </c>
      <c r="D5" s="4" t="str">
        <f aca="false">TEXT($A5,"ddd")</f>
        <v>Thu</v>
      </c>
      <c r="E5" s="4" t="n">
        <f aca="false">IF(OR(AND(MONTH($A5)=10,DAY($A5)&gt;=15),MONTH($A5)=11,AND(MONTH($A5)=12,DAY($A5)&lt;=7)),1,0)</f>
        <v>0</v>
      </c>
      <c r="F5" s="4" t="n">
        <f aca="false">IF(MONTH($A5)&lt;=3,1,0)</f>
        <v>1</v>
      </c>
      <c r="G5" s="4" t="str">
        <f aca="false" t="array" ref="G5: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4" t="n">
        <f aca="false">COUNTIF(Events!$A$2:$A$397,$A5)</f>
        <v>0</v>
      </c>
      <c r="I5" s="6" t="str">
        <f aca="false" t="array" ref="I5:I5">_xlfn.TEXTJOIN(" | ",TRUE(),IF(Events!$A$2:$A$397=$A5,Events!$E$2:$E$397&amp;IF(Events!$G$2:$G$397="National",""," ["&amp;Events!$G$2:$G$397&amp;"]"),""))</f>
        <v/>
      </c>
    </row>
    <row r="6" customFormat="false" ht="15" hidden="false" customHeight="true" outlineLevel="0" collapsed="false">
      <c r="A6" s="3" t="n">
        <v>45296</v>
      </c>
      <c r="B6" s="4" t="n">
        <f aca="false">YEAR($A6)</f>
        <v>2024</v>
      </c>
      <c r="C6" s="4" t="n">
        <f aca="false">MONTH($A6)</f>
        <v>1</v>
      </c>
      <c r="D6" s="4" t="str">
        <f aca="false">TEXT($A6,"ddd")</f>
        <v>Fri</v>
      </c>
      <c r="E6" s="4" t="n">
        <f aca="false">IF(OR(AND(MONTH($A6)=10,DAY($A6)&gt;=15),MONTH($A6)=11,AND(MONTH($A6)=12,DAY($A6)&lt;=7)),1,0)</f>
        <v>0</v>
      </c>
      <c r="F6" s="4" t="n">
        <f aca="false">IF(MONTH($A6)&lt;=3,1,0)</f>
        <v>1</v>
      </c>
      <c r="G6" s="4" t="str">
        <f aca="false" t="array" ref="G6: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 | Disaster SEP opens: Severe Storm [WA] DR-4775</v>
      </c>
      <c r="H6" s="4" t="n">
        <f aca="false">COUNTIF(Events!$A$2:$A$397,$A6)</f>
        <v>0</v>
      </c>
      <c r="I6" s="6" t="str">
        <f aca="false" t="array" ref="I6:I6">_xlfn.TEXTJOIN(" | ",TRUE(),IF(Events!$A$2:$A$397=$A6,Events!$E$2:$E$397&amp;IF(Events!$G$2:$G$397="National",""," ["&amp;Events!$G$2:$G$397&amp;"]"),""))</f>
        <v/>
      </c>
    </row>
    <row r="7" customFormat="false" ht="15" hidden="false" customHeight="true" outlineLevel="0" collapsed="false">
      <c r="A7" s="3" t="n">
        <v>45297</v>
      </c>
      <c r="B7" s="4" t="n">
        <f aca="false">YEAR($A7)</f>
        <v>2024</v>
      </c>
      <c r="C7" s="4" t="n">
        <f aca="false">MONTH($A7)</f>
        <v>1</v>
      </c>
      <c r="D7" s="4" t="str">
        <f aca="false">TEXT($A7,"ddd")</f>
        <v>Sat</v>
      </c>
      <c r="E7" s="4" t="n">
        <f aca="false">IF(OR(AND(MONTH($A7)=10,DAY($A7)&gt;=15),MONTH($A7)=11,AND(MONTH($A7)=12,DAY($A7)&lt;=7)),1,0)</f>
        <v>0</v>
      </c>
      <c r="F7" s="4" t="n">
        <f aca="false">IF(MONTH($A7)&lt;=3,1,0)</f>
        <v>1</v>
      </c>
      <c r="G7" s="4" t="str">
        <f aca="false" t="array" ref="G7: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4" t="n">
        <f aca="false">COUNTIF(Events!$A$2:$A$397,$A7)</f>
        <v>0</v>
      </c>
      <c r="I7" s="6" t="str">
        <f aca="false" t="array" ref="I7:I7">_xlfn.TEXTJOIN(" | ",TRUE(),IF(Events!$A$2:$A$397=$A7,Events!$E$2:$E$397&amp;IF(Events!$G$2:$G$397="National",""," ["&amp;Events!$G$2:$G$397&amp;"]"),""))</f>
        <v/>
      </c>
    </row>
    <row r="8" customFormat="false" ht="15" hidden="false" customHeight="true" outlineLevel="0" collapsed="false">
      <c r="A8" s="3" t="n">
        <v>45298</v>
      </c>
      <c r="B8" s="4" t="n">
        <f aca="false">YEAR($A8)</f>
        <v>2024</v>
      </c>
      <c r="C8" s="4" t="n">
        <f aca="false">MONTH($A8)</f>
        <v>1</v>
      </c>
      <c r="D8" s="4" t="str">
        <f aca="false">TEXT($A8,"ddd")</f>
        <v>Sun</v>
      </c>
      <c r="E8" s="4" t="n">
        <f aca="false">IF(OR(AND(MONTH($A8)=10,DAY($A8)&gt;=15),MONTH($A8)=11,AND(MONTH($A8)=12,DAY($A8)&lt;=7)),1,0)</f>
        <v>0</v>
      </c>
      <c r="F8" s="4" t="n">
        <f aca="false">IF(MONTH($A8)&lt;=3,1,0)</f>
        <v>1</v>
      </c>
      <c r="G8" s="4" t="str">
        <f aca="false" t="array" ref="G8: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4" t="n">
        <f aca="false">COUNTIF(Events!$A$2:$A$397,$A8)</f>
        <v>0</v>
      </c>
      <c r="I8" s="6" t="str">
        <f aca="false" t="array" ref="I8:I8">_xlfn.TEXTJOIN(" | ",TRUE(),IF(Events!$A$2:$A$397=$A8,Events!$E$2:$E$397&amp;IF(Events!$G$2:$G$397="National",""," ["&amp;Events!$G$2:$G$397&amp;"]"),""))</f>
        <v/>
      </c>
    </row>
    <row r="9" customFormat="false" ht="14.25" hidden="false" customHeight="true" outlineLevel="0" collapsed="false">
      <c r="A9" s="3" t="n">
        <v>45299</v>
      </c>
      <c r="B9" s="4" t="n">
        <f aca="false">YEAR($A9)</f>
        <v>2024</v>
      </c>
      <c r="C9" s="4" t="n">
        <f aca="false">MONTH($A9)</f>
        <v>1</v>
      </c>
      <c r="D9" s="4" t="str">
        <f aca="false">TEXT($A9,"ddd")</f>
        <v>Mon</v>
      </c>
      <c r="E9" s="4" t="n">
        <f aca="false">IF(OR(AND(MONTH($A9)=10,DAY($A9)&gt;=15),MONTH($A9)=11,AND(MONTH($A9)=12,DAY($A9)&lt;=7)),1,0)</f>
        <v>0</v>
      </c>
      <c r="F9" s="4" t="n">
        <f aca="false">IF(MONTH($A9)&lt;=3,1,0)</f>
        <v>1</v>
      </c>
      <c r="G9" s="4" t="str">
        <f aca="false" t="array" ref="G9: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 | Disaster SEP opens: Winter Storm [KS] DR-4774</v>
      </c>
      <c r="H9" s="4" t="n">
        <f aca="false">COUNTIF(Events!$A$2:$A$397,$A9)</f>
        <v>0</v>
      </c>
      <c r="I9" s="6" t="str">
        <f aca="false" t="array" ref="I9:I9">_xlfn.TEXTJOIN(" | ",TRUE(),IF(Events!$A$2:$A$397=$A9,Events!$E$2:$E$397&amp;IF(Events!$G$2:$G$397="National",""," ["&amp;Events!$G$2:$G$397&amp;"]"),""))</f>
        <v/>
      </c>
    </row>
    <row r="10" customFormat="false" ht="14.25" hidden="false" customHeight="true" outlineLevel="0" collapsed="false">
      <c r="A10" s="3" t="n">
        <v>45300</v>
      </c>
      <c r="B10" s="4" t="n">
        <f aca="false">YEAR($A10)</f>
        <v>2024</v>
      </c>
      <c r="C10" s="4" t="n">
        <f aca="false">MONTH($A10)</f>
        <v>1</v>
      </c>
      <c r="D10" s="4" t="str">
        <f aca="false">TEXT($A10,"ddd")</f>
        <v>Tue</v>
      </c>
      <c r="E10" s="4" t="n">
        <f aca="false">IF(OR(AND(MONTH($A10)=10,DAY($A10)&gt;=15),MONTH($A10)=11,AND(MONTH($A10)=12,DAY($A10)&lt;=7)),1,0)</f>
        <v>0</v>
      </c>
      <c r="F10" s="4" t="n">
        <f aca="false">IF(MONTH($A10)&lt;=3,1,0)</f>
        <v>1</v>
      </c>
      <c r="G10" s="4" t="str">
        <f aca="false" t="array" ref="G10: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 | Disaster SEP opens: Severe Storm [ME] DR-4764 | Disaster SEP opens: Severe Storm [RI] DR-4766 | Disaster SEP opens: Severe Storm [VT] DR-4770 | Disaster SEP opens: Severe Storm [NH] DR-4771</v>
      </c>
      <c r="H10" s="4" t="n">
        <f aca="false">COUNTIF(Events!$A$2:$A$397,$A10)</f>
        <v>0</v>
      </c>
      <c r="I10" s="6" t="str">
        <f aca="false" t="array" ref="I10:I10">_xlfn.TEXTJOIN(" | ",TRUE(),IF(Events!$A$2:$A$397=$A10,Events!$E$2:$E$397&amp;IF(Events!$G$2:$G$397="National",""," ["&amp;Events!$G$2:$G$397&amp;"]"),""))</f>
        <v/>
      </c>
    </row>
    <row r="11" customFormat="false" ht="14.25" hidden="false" customHeight="true" outlineLevel="0" collapsed="false">
      <c r="A11" s="3" t="n">
        <v>45301</v>
      </c>
      <c r="B11" s="4" t="n">
        <f aca="false">YEAR($A11)</f>
        <v>2024</v>
      </c>
      <c r="C11" s="4" t="n">
        <f aca="false">MONTH($A11)</f>
        <v>1</v>
      </c>
      <c r="D11" s="4" t="str">
        <f aca="false">TEXT($A11,"ddd")</f>
        <v>Wed</v>
      </c>
      <c r="E11" s="4" t="n">
        <f aca="false">IF(OR(AND(MONTH($A11)=10,DAY($A11)&gt;=15),MONTH($A11)=11,AND(MONTH($A11)=12,DAY($A11)&lt;=7)),1,0)</f>
        <v>0</v>
      </c>
      <c r="F11" s="4" t="n">
        <f aca="false">IF(MONTH($A11)&lt;=3,1,0)</f>
        <v>1</v>
      </c>
      <c r="G11" s="4" t="str">
        <f aca="false" t="array" ref="G11: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 | Disaster SEP opens: Severe Storm [CT] EM-3604 | Disaster SEP opens: Severe Storm [OR] DR-4768</v>
      </c>
      <c r="H11" s="4" t="n">
        <f aca="false">COUNTIF(Events!$A$2:$A$397,$A11)</f>
        <v>0</v>
      </c>
      <c r="I11" s="6" t="str">
        <f aca="false" t="array" ref="I11:I11">_xlfn.TEXTJOIN(" | ",TRUE(),IF(Events!$A$2:$A$397=$A11,Events!$E$2:$E$397&amp;IF(Events!$G$2:$G$397="National",""," ["&amp;Events!$G$2:$G$397&amp;"]"),""))</f>
        <v/>
      </c>
    </row>
    <row r="12" customFormat="false" ht="15" hidden="false" customHeight="true" outlineLevel="0" collapsed="false">
      <c r="A12" s="3" t="n">
        <v>45302</v>
      </c>
      <c r="B12" s="4" t="n">
        <f aca="false">YEAR($A12)</f>
        <v>2024</v>
      </c>
      <c r="C12" s="4" t="n">
        <f aca="false">MONTH($A12)</f>
        <v>1</v>
      </c>
      <c r="D12" s="4" t="str">
        <f aca="false">TEXT($A12,"ddd")</f>
        <v>Thu</v>
      </c>
      <c r="E12" s="4" t="n">
        <f aca="false">IF(OR(AND(MONTH($A12)=10,DAY($A12)&gt;=15),MONTH($A12)=11,AND(MONTH($A12)=12,DAY($A12)&lt;=7)),1,0)</f>
        <v>0</v>
      </c>
      <c r="F12" s="4" t="n">
        <f aca="false">IF(MONTH($A12)&lt;=3,1,0)</f>
        <v>1</v>
      </c>
      <c r="G12" s="4" t="str">
        <f aca="false" t="array" ref="G12: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4" t="n">
        <f aca="false">COUNTIF(Events!$A$2:$A$397,$A12)</f>
        <v>0</v>
      </c>
      <c r="I12" s="6" t="str">
        <f aca="false" t="array" ref="I12:I12">_xlfn.TEXTJOIN(" | ",TRUE(),IF(Events!$A$2:$A$397=$A12,Events!$E$2:$E$397&amp;IF(Events!$G$2:$G$397="National",""," ["&amp;Events!$G$2:$G$397&amp;"]"),""))</f>
        <v/>
      </c>
    </row>
    <row r="13" customFormat="false" ht="15" hidden="false" customHeight="true" outlineLevel="0" collapsed="false">
      <c r="A13" s="3" t="n">
        <v>45303</v>
      </c>
      <c r="B13" s="4" t="n">
        <f aca="false">YEAR($A13)</f>
        <v>2024</v>
      </c>
      <c r="C13" s="4" t="n">
        <f aca="false">MONTH($A13)</f>
        <v>1</v>
      </c>
      <c r="D13" s="4" t="str">
        <f aca="false">TEXT($A13,"ddd")</f>
        <v>Fri</v>
      </c>
      <c r="E13" s="4" t="n">
        <f aca="false">IF(OR(AND(MONTH($A13)=10,DAY($A13)&gt;=15),MONTH($A13)=11,AND(MONTH($A13)=12,DAY($A13)&lt;=7)),1,0)</f>
        <v>0</v>
      </c>
      <c r="F13" s="4" t="n">
        <f aca="false">IF(MONTH($A13)&lt;=3,1,0)</f>
        <v>1</v>
      </c>
      <c r="G13" s="4" t="str">
        <f aca="false" t="array" ref="G13: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4" t="n">
        <f aca="false">COUNTIF(Events!$A$2:$A$397,$A13)</f>
        <v>0</v>
      </c>
      <c r="I13" s="6" t="str">
        <f aca="false" t="array" ref="I13:I13">_xlfn.TEXTJOIN(" | ",TRUE(),IF(Events!$A$2:$A$397=$A13,Events!$E$2:$E$397&amp;IF(Events!$G$2:$G$397="National",""," ["&amp;Events!$G$2:$G$397&amp;"]"),""))</f>
        <v/>
      </c>
    </row>
    <row r="14" customFormat="false" ht="15" hidden="false" customHeight="true" outlineLevel="0" collapsed="false">
      <c r="A14" s="3" t="n">
        <v>45304</v>
      </c>
      <c r="B14" s="4" t="n">
        <f aca="false">YEAR($A14)</f>
        <v>2024</v>
      </c>
      <c r="C14" s="4" t="n">
        <f aca="false">MONTH($A14)</f>
        <v>1</v>
      </c>
      <c r="D14" s="4" t="str">
        <f aca="false">TEXT($A14,"ddd")</f>
        <v>Sat</v>
      </c>
      <c r="E14" s="4" t="n">
        <f aca="false">IF(OR(AND(MONTH($A14)=10,DAY($A14)&gt;=15),MONTH($A14)=11,AND(MONTH($A14)=12,DAY($A14)&lt;=7)),1,0)</f>
        <v>0</v>
      </c>
      <c r="F14" s="4" t="n">
        <f aca="false">IF(MONTH($A14)&lt;=3,1,0)</f>
        <v>1</v>
      </c>
      <c r="G14" s="4" t="str">
        <f aca="false" t="array" ref="G14: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4" t="n">
        <f aca="false">COUNTIF(Events!$A$2:$A$397,$A14)</f>
        <v>0</v>
      </c>
      <c r="I14" s="6" t="str">
        <f aca="false" t="array" ref="I14:I14">_xlfn.TEXTJOIN(" | ",TRUE(),IF(Events!$A$2:$A$397=$A14,Events!$E$2:$E$397&amp;IF(Events!$G$2:$G$397="National",""," ["&amp;Events!$G$2:$G$397&amp;"]"),""))</f>
        <v/>
      </c>
    </row>
    <row r="15" customFormat="false" ht="15" hidden="false" customHeight="true" outlineLevel="0" collapsed="false">
      <c r="A15" s="3" t="n">
        <v>45305</v>
      </c>
      <c r="B15" s="4" t="n">
        <f aca="false">YEAR($A15)</f>
        <v>2024</v>
      </c>
      <c r="C15" s="4" t="n">
        <f aca="false">MONTH($A15)</f>
        <v>1</v>
      </c>
      <c r="D15" s="4" t="str">
        <f aca="false">TEXT($A15,"ddd")</f>
        <v>Sun</v>
      </c>
      <c r="E15" s="4" t="n">
        <f aca="false">IF(OR(AND(MONTH($A15)=10,DAY($A15)&gt;=15),MONTH($A15)=11,AND(MONTH($A15)=12,DAY($A15)&lt;=7)),1,0)</f>
        <v>0</v>
      </c>
      <c r="F15" s="4" t="n">
        <f aca="false">IF(MONTH($A15)&lt;=3,1,0)</f>
        <v>1</v>
      </c>
      <c r="G15" s="4" t="str">
        <f aca="false" t="array" ref="G15: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v>
      </c>
      <c r="H15" s="4" t="n">
        <f aca="false">COUNTIF(Events!$A$2:$A$397,$A15)</f>
        <v>0</v>
      </c>
      <c r="I15" s="6" t="str">
        <f aca="false" t="array" ref="I15:I15">_xlfn.TEXTJOIN(" | ",TRUE(),IF(Events!$A$2:$A$397=$A15,Events!$E$2:$E$397&amp;IF(Events!$G$2:$G$397="National",""," ["&amp;Events!$G$2:$G$397&amp;"]"),""))</f>
        <v/>
      </c>
    </row>
    <row r="16" customFormat="false" ht="15" hidden="false" customHeight="true" outlineLevel="0" collapsed="false">
      <c r="A16" s="3" t="n">
        <v>45306</v>
      </c>
      <c r="B16" s="4" t="n">
        <f aca="false">YEAR($A16)</f>
        <v>2024</v>
      </c>
      <c r="C16" s="4" t="n">
        <f aca="false">MONTH($A16)</f>
        <v>1</v>
      </c>
      <c r="D16" s="4" t="str">
        <f aca="false">TEXT($A16,"ddd")</f>
        <v>Mon</v>
      </c>
      <c r="E16" s="4" t="n">
        <f aca="false">IF(OR(AND(MONTH($A16)=10,DAY($A16)&gt;=15),MONTH($A16)=11,AND(MONTH($A16)=12,DAY($A16)&lt;=7)),1,0)</f>
        <v>0</v>
      </c>
      <c r="F16" s="4" t="n">
        <f aca="false">IF(MONTH($A16)&lt;=3,1,0)</f>
        <v>1</v>
      </c>
      <c r="G16" s="4" t="str">
        <f aca="false" t="array" ref="G16: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
      </c>
      <c r="H16" s="4" t="n">
        <f aca="false">COUNTIF(Events!$A$2:$A$397,$A16)</f>
        <v>0</v>
      </c>
      <c r="I16" s="6" t="str">
        <f aca="false" t="array" ref="I16:I16">_xlfn.TEXTJOIN(" | ",TRUE(),IF(Events!$A$2:$A$397=$A16,Events!$E$2:$E$397&amp;IF(Events!$G$2:$G$397="National",""," ["&amp;Events!$G$2:$G$397&amp;"]"),""))</f>
        <v/>
      </c>
    </row>
    <row r="17" customFormat="false" ht="15" hidden="false" customHeight="true" outlineLevel="0" collapsed="false">
      <c r="A17" s="3" t="n">
        <v>45307</v>
      </c>
      <c r="B17" s="4" t="n">
        <f aca="false">YEAR($A17)</f>
        <v>2024</v>
      </c>
      <c r="C17" s="4" t="n">
        <f aca="false">MONTH($A17)</f>
        <v>1</v>
      </c>
      <c r="D17" s="4" t="str">
        <f aca="false">TEXT($A17,"ddd")</f>
        <v>Tue</v>
      </c>
      <c r="E17" s="4" t="n">
        <f aca="false">IF(OR(AND(MONTH($A17)=10,DAY($A17)&gt;=15),MONTH($A17)=11,AND(MONTH($A17)=12,DAY($A17)&lt;=7)),1,0)</f>
        <v>0</v>
      </c>
      <c r="F17" s="4" t="n">
        <f aca="false">IF(MONTH($A17)&lt;=3,1,0)</f>
        <v>1</v>
      </c>
      <c r="G17" s="4" t="str">
        <f aca="false" t="array" ref="G17: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4" t="n">
        <f aca="false">COUNTIF(Events!$A$2:$A$397,$A17)</f>
        <v>0</v>
      </c>
      <c r="I17" s="6" t="str">
        <f aca="false" t="array" ref="I17:I17">_xlfn.TEXTJOIN(" | ",TRUE(),IF(Events!$A$2:$A$397=$A17,Events!$E$2:$E$397&amp;IF(Events!$G$2:$G$397="National",""," ["&amp;Events!$G$2:$G$397&amp;"]"),""))</f>
        <v/>
      </c>
    </row>
    <row r="18" customFormat="false" ht="15" hidden="false" customHeight="true" outlineLevel="0" collapsed="false">
      <c r="A18" s="3" t="n">
        <v>45308</v>
      </c>
      <c r="B18" s="4" t="n">
        <f aca="false">YEAR($A18)</f>
        <v>2024</v>
      </c>
      <c r="C18" s="4" t="n">
        <f aca="false">MONTH($A18)</f>
        <v>1</v>
      </c>
      <c r="D18" s="4" t="str">
        <f aca="false">TEXT($A18,"ddd")</f>
        <v>Wed</v>
      </c>
      <c r="E18" s="4" t="n">
        <f aca="false">IF(OR(AND(MONTH($A18)=10,DAY($A18)&gt;=15),MONTH($A18)=11,AND(MONTH($A18)=12,DAY($A18)&lt;=7)),1,0)</f>
        <v>0</v>
      </c>
      <c r="F18" s="4" t="n">
        <f aca="false">IF(MONTH($A18)&lt;=3,1,0)</f>
        <v>1</v>
      </c>
      <c r="G18" s="4" t="str">
        <f aca="false" t="array" ref="G18: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
      </c>
      <c r="H18" s="4" t="n">
        <f aca="false">COUNTIF(Events!$A$2:$A$397,$A18)</f>
        <v>0</v>
      </c>
      <c r="I18" s="6" t="str">
        <f aca="false" t="array" ref="I18:I18">_xlfn.TEXTJOIN(" | ",TRUE(),IF(Events!$A$2:$A$397=$A18,Events!$E$2:$E$397&amp;IF(Events!$G$2:$G$397="National",""," ["&amp;Events!$G$2:$G$397&amp;"]"),""))</f>
        <v/>
      </c>
    </row>
    <row r="19" customFormat="false" ht="15" hidden="false" customHeight="true" outlineLevel="0" collapsed="false">
      <c r="A19" s="3" t="n">
        <v>45309</v>
      </c>
      <c r="B19" s="4" t="n">
        <f aca="false">YEAR($A19)</f>
        <v>2024</v>
      </c>
      <c r="C19" s="4" t="n">
        <f aca="false">MONTH($A19)</f>
        <v>1</v>
      </c>
      <c r="D19" s="4" t="str">
        <f aca="false">TEXT($A19,"ddd")</f>
        <v>Thu</v>
      </c>
      <c r="E19" s="4" t="n">
        <f aca="false">IF(OR(AND(MONTH($A19)=10,DAY($A19)&gt;=15),MONTH($A19)=11,AND(MONTH($A19)=12,DAY($A19)&lt;=7)),1,0)</f>
        <v>0</v>
      </c>
      <c r="F19" s="4" t="n">
        <f aca="false">IF(MONTH($A19)&lt;=3,1,0)</f>
        <v>1</v>
      </c>
      <c r="G19" s="4" t="str">
        <f aca="false" t="array" ref="G19: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4" t="n">
        <f aca="false">COUNTIF(Events!$A$2:$A$397,$A19)</f>
        <v>0</v>
      </c>
      <c r="I19" s="6" t="str">
        <f aca="false" t="array" ref="I19:I19">_xlfn.TEXTJOIN(" | ",TRUE(),IF(Events!$A$2:$A$397=$A19,Events!$E$2:$E$397&amp;IF(Events!$G$2:$G$397="National",""," ["&amp;Events!$G$2:$G$397&amp;"]"),""))</f>
        <v/>
      </c>
    </row>
    <row r="20" customFormat="false" ht="15" hidden="false" customHeight="true" outlineLevel="0" collapsed="false">
      <c r="A20" s="3" t="n">
        <v>45310</v>
      </c>
      <c r="B20" s="4" t="n">
        <f aca="false">YEAR($A20)</f>
        <v>2024</v>
      </c>
      <c r="C20" s="4" t="n">
        <f aca="false">MONTH($A20)</f>
        <v>1</v>
      </c>
      <c r="D20" s="4" t="str">
        <f aca="false">TEXT($A20,"ddd")</f>
        <v>Fri</v>
      </c>
      <c r="E20" s="4" t="n">
        <f aca="false">IF(OR(AND(MONTH($A20)=10,DAY($A20)&gt;=15),MONTH($A20)=11,AND(MONTH($A20)=12,DAY($A20)&lt;=7)),1,0)</f>
        <v>0</v>
      </c>
      <c r="F20" s="4" t="n">
        <f aca="false">IF(MONTH($A20)&lt;=3,1,0)</f>
        <v>1</v>
      </c>
      <c r="G20" s="4" t="str">
        <f aca="false" t="array" ref="G20: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4" t="n">
        <f aca="false">COUNTIF(Events!$A$2:$A$397,$A20)</f>
        <v>0</v>
      </c>
      <c r="I20" s="6" t="str">
        <f aca="false" t="array" ref="I20:I20">_xlfn.TEXTJOIN(" | ",TRUE(),IF(Events!$A$2:$A$397=$A20,Events!$E$2:$E$397&amp;IF(Events!$G$2:$G$397="National",""," ["&amp;Events!$G$2:$G$397&amp;"]"),""))</f>
        <v/>
      </c>
    </row>
    <row r="21" customFormat="false" ht="15" hidden="false" customHeight="true" outlineLevel="0" collapsed="false">
      <c r="A21" s="3" t="n">
        <v>45311</v>
      </c>
      <c r="B21" s="4" t="n">
        <f aca="false">YEAR($A21)</f>
        <v>2024</v>
      </c>
      <c r="C21" s="4" t="n">
        <f aca="false">MONTH($A21)</f>
        <v>1</v>
      </c>
      <c r="D21" s="4" t="str">
        <f aca="false">TEXT($A21,"ddd")</f>
        <v>Sat</v>
      </c>
      <c r="E21" s="4" t="n">
        <f aca="false">IF(OR(AND(MONTH($A21)=10,DAY($A21)&gt;=15),MONTH($A21)=11,AND(MONTH($A21)=12,DAY($A21)&lt;=7)),1,0)</f>
        <v>0</v>
      </c>
      <c r="F21" s="4" t="n">
        <f aca="false">IF(MONTH($A21)&lt;=3,1,0)</f>
        <v>1</v>
      </c>
      <c r="G21" s="4" t="str">
        <f aca="false" t="array" ref="G21: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4" t="n">
        <f aca="false">COUNTIF(Events!$A$2:$A$397,$A21)</f>
        <v>0</v>
      </c>
      <c r="I21" s="6" t="str">
        <f aca="false" t="array" ref="I21:I21">_xlfn.TEXTJOIN(" | ",TRUE(),IF(Events!$A$2:$A$397=$A21,Events!$E$2:$E$397&amp;IF(Events!$G$2:$G$397="National",""," ["&amp;Events!$G$2:$G$397&amp;"]"),""))</f>
        <v/>
      </c>
    </row>
    <row r="22" customFormat="false" ht="15" hidden="false" customHeight="true" outlineLevel="0" collapsed="false">
      <c r="A22" s="3" t="n">
        <v>45312</v>
      </c>
      <c r="B22" s="4" t="n">
        <f aca="false">YEAR($A22)</f>
        <v>2024</v>
      </c>
      <c r="C22" s="4" t="n">
        <f aca="false">MONTH($A22)</f>
        <v>1</v>
      </c>
      <c r="D22" s="4" t="str">
        <f aca="false">TEXT($A22,"ddd")</f>
        <v>Sun</v>
      </c>
      <c r="E22" s="4" t="n">
        <f aca="false">IF(OR(AND(MONTH($A22)=10,DAY($A22)&gt;=15),MONTH($A22)=11,AND(MONTH($A22)=12,DAY($A22)&lt;=7)),1,0)</f>
        <v>0</v>
      </c>
      <c r="F22" s="4" t="n">
        <f aca="false">IF(MONTH($A22)&lt;=3,1,0)</f>
        <v>1</v>
      </c>
      <c r="G22" s="4" t="str">
        <f aca="false" t="array" ref="G22: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 | Disaster SEP opens: Flood [CA] DR-4758</v>
      </c>
      <c r="H22" s="4" t="n">
        <f aca="false">COUNTIF(Events!$A$2:$A$397,$A22)</f>
        <v>0</v>
      </c>
      <c r="I22" s="6" t="str">
        <f aca="false" t="array" ref="I22:I22">_xlfn.TEXTJOIN(" | ",TRUE(),IF(Events!$A$2:$A$397=$A22,Events!$E$2:$E$397&amp;IF(Events!$G$2:$G$397="National",""," ["&amp;Events!$G$2:$G$397&amp;"]"),""))</f>
        <v/>
      </c>
    </row>
    <row r="23" customFormat="false" ht="15" hidden="false" customHeight="true" outlineLevel="0" collapsed="false">
      <c r="A23" s="3" t="n">
        <v>45313</v>
      </c>
      <c r="B23" s="4" t="n">
        <f aca="false">YEAR($A23)</f>
        <v>2024</v>
      </c>
      <c r="C23" s="4" t="n">
        <f aca="false">MONTH($A23)</f>
        <v>1</v>
      </c>
      <c r="D23" s="4" t="str">
        <f aca="false">TEXT($A23,"ddd")</f>
        <v>Mon</v>
      </c>
      <c r="E23" s="4" t="n">
        <f aca="false">IF(OR(AND(MONTH($A23)=10,DAY($A23)&gt;=15),MONTH($A23)=11,AND(MONTH($A23)=12,DAY($A23)&lt;=7)),1,0)</f>
        <v>0</v>
      </c>
      <c r="F23" s="4" t="n">
        <f aca="false">IF(MONTH($A23)&lt;=3,1,0)</f>
        <v>1</v>
      </c>
      <c r="G23" s="4" t="str">
        <f aca="false" t="array" ref="G23: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4" t="n">
        <f aca="false">COUNTIF(Events!$A$2:$A$397,$A23)</f>
        <v>0</v>
      </c>
      <c r="I23" s="6" t="str">
        <f aca="false" t="array" ref="I23:I23">_xlfn.TEXTJOIN(" | ",TRUE(),IF(Events!$A$2:$A$397=$A23,Events!$E$2:$E$397&amp;IF(Events!$G$2:$G$397="National",""," ["&amp;Events!$G$2:$G$397&amp;"]"),""))</f>
        <v/>
      </c>
    </row>
    <row r="24" customFormat="false" ht="15" hidden="false" customHeight="true" outlineLevel="0" collapsed="false">
      <c r="A24" s="3" t="n">
        <v>45314</v>
      </c>
      <c r="B24" s="4" t="n">
        <f aca="false">YEAR($A24)</f>
        <v>2024</v>
      </c>
      <c r="C24" s="4" t="n">
        <f aca="false">MONTH($A24)</f>
        <v>1</v>
      </c>
      <c r="D24" s="4" t="str">
        <f aca="false">TEXT($A24,"ddd")</f>
        <v>Tue</v>
      </c>
      <c r="E24" s="4" t="n">
        <f aca="false">IF(OR(AND(MONTH($A24)=10,DAY($A24)&gt;=15),MONTH($A24)=11,AND(MONTH($A24)=12,DAY($A24)&lt;=7)),1,0)</f>
        <v>0</v>
      </c>
      <c r="F24" s="4" t="n">
        <f aca="false">IF(MONTH($A24)&lt;=3,1,0)</f>
        <v>1</v>
      </c>
      <c r="G24" s="4" t="str">
        <f aca="false" t="array" ref="G24: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v>
      </c>
      <c r="H24" s="4" t="n">
        <f aca="false">COUNTIF(Events!$A$2:$A$397,$A24)</f>
        <v>0</v>
      </c>
      <c r="I24" s="6" t="str">
        <f aca="false" t="array" ref="I24:I24">_xlfn.TEXTJOIN(" | ",TRUE(),IF(Events!$A$2:$A$397=$A24,Events!$E$2:$E$397&amp;IF(Events!$G$2:$G$397="National",""," ["&amp;Events!$G$2:$G$397&amp;"]"),""))</f>
        <v/>
      </c>
    </row>
    <row r="25" customFormat="false" ht="15" hidden="false" customHeight="true" outlineLevel="0" collapsed="false">
      <c r="A25" s="3" t="n">
        <v>45315</v>
      </c>
      <c r="B25" s="4" t="n">
        <f aca="false">YEAR($A25)</f>
        <v>2024</v>
      </c>
      <c r="C25" s="4" t="n">
        <f aca="false">MONTH($A25)</f>
        <v>1</v>
      </c>
      <c r="D25" s="4" t="str">
        <f aca="false">TEXT($A25,"ddd")</f>
        <v>Wed</v>
      </c>
      <c r="E25" s="4" t="n">
        <f aca="false">IF(OR(AND(MONTH($A25)=10,DAY($A25)&gt;=15),MONTH($A25)=11,AND(MONTH($A25)=12,DAY($A25)&lt;=7)),1,0)</f>
        <v>0</v>
      </c>
      <c r="F25" s="4" t="n">
        <f aca="false">IF(MONTH($A25)&lt;=3,1,0)</f>
        <v>1</v>
      </c>
      <c r="G25" s="4" t="str">
        <f aca="false" t="array" ref="G25: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
      </c>
      <c r="H25" s="4" t="n">
        <f aca="false">COUNTIF(Events!$A$2:$A$397,$A25)</f>
        <v>0</v>
      </c>
      <c r="I25" s="6" t="str">
        <f aca="false" t="array" ref="I25:I25">_xlfn.TEXTJOIN(" | ",TRUE(),IF(Events!$A$2:$A$397=$A25,Events!$E$2:$E$397&amp;IF(Events!$G$2:$G$397="National",""," ["&amp;Events!$G$2:$G$397&amp;"]"),""))</f>
        <v/>
      </c>
    </row>
    <row r="26" customFormat="false" ht="15" hidden="false" customHeight="true" outlineLevel="0" collapsed="false">
      <c r="A26" s="3" t="n">
        <v>45316</v>
      </c>
      <c r="B26" s="4" t="n">
        <f aca="false">YEAR($A26)</f>
        <v>2024</v>
      </c>
      <c r="C26" s="4" t="n">
        <f aca="false">MONTH($A26)</f>
        <v>1</v>
      </c>
      <c r="D26" s="4" t="str">
        <f aca="false">TEXT($A26,"ddd")</f>
        <v>Thu</v>
      </c>
      <c r="E26" s="4" t="n">
        <f aca="false">IF(OR(AND(MONTH($A26)=10,DAY($A26)&gt;=15),MONTH($A26)=11,AND(MONTH($A26)=12,DAY($A26)&lt;=7)),1,0)</f>
        <v>0</v>
      </c>
      <c r="F26" s="4" t="n">
        <f aca="false">IF(MONTH($A26)&lt;=3,1,0)</f>
        <v>1</v>
      </c>
      <c r="G26" s="4" t="str">
        <f aca="false" t="array" ref="G26: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4" t="n">
        <f aca="false">COUNTIF(Events!$A$2:$A$397,$A26)</f>
        <v>0</v>
      </c>
      <c r="I26" s="6" t="str">
        <f aca="false" t="array" ref="I26:I26">_xlfn.TEXTJOIN(" | ",TRUE(),IF(Events!$A$2:$A$397=$A26,Events!$E$2:$E$397&amp;IF(Events!$G$2:$G$397="National",""," ["&amp;Events!$G$2:$G$397&amp;"]"),""))</f>
        <v/>
      </c>
    </row>
    <row r="27" customFormat="false" ht="15" hidden="false" customHeight="true" outlineLevel="0" collapsed="false">
      <c r="A27" s="3" t="n">
        <v>45317</v>
      </c>
      <c r="B27" s="4" t="n">
        <f aca="false">YEAR($A27)</f>
        <v>2024</v>
      </c>
      <c r="C27" s="4" t="n">
        <f aca="false">MONTH($A27)</f>
        <v>1</v>
      </c>
      <c r="D27" s="4" t="str">
        <f aca="false">TEXT($A27,"ddd")</f>
        <v>Fri</v>
      </c>
      <c r="E27" s="4" t="n">
        <f aca="false">IF(OR(AND(MONTH($A27)=10,DAY($A27)&gt;=15),MONTH($A27)=11,AND(MONTH($A27)=12,DAY($A27)&lt;=7)),1,0)</f>
        <v>0</v>
      </c>
      <c r="F27" s="4" t="n">
        <f aca="false">IF(MONTH($A27)&lt;=3,1,0)</f>
        <v>1</v>
      </c>
      <c r="G27" s="4" t="str">
        <f aca="false" t="array" ref="G27: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4" t="n">
        <f aca="false">COUNTIF(Events!$A$2:$A$397,$A27)</f>
        <v>0</v>
      </c>
      <c r="I27" s="6" t="str">
        <f aca="false" t="array" ref="I27:I27">_xlfn.TEXTJOIN(" | ",TRUE(),IF(Events!$A$2:$A$397=$A27,Events!$E$2:$E$397&amp;IF(Events!$G$2:$G$397="National",""," ["&amp;Events!$G$2:$G$397&amp;"]"),""))</f>
        <v/>
      </c>
    </row>
    <row r="28" customFormat="false" ht="15" hidden="false" customHeight="true" outlineLevel="0" collapsed="false">
      <c r="A28" s="3" t="n">
        <v>45318</v>
      </c>
      <c r="B28" s="4" t="n">
        <f aca="false">YEAR($A28)</f>
        <v>2024</v>
      </c>
      <c r="C28" s="4" t="n">
        <f aca="false">MONTH($A28)</f>
        <v>1</v>
      </c>
      <c r="D28" s="4" t="str">
        <f aca="false">TEXT($A28,"ddd")</f>
        <v>Sat</v>
      </c>
      <c r="E28" s="4" t="n">
        <f aca="false">IF(OR(AND(MONTH($A28)=10,DAY($A28)&gt;=15),MONTH($A28)=11,AND(MONTH($A28)=12,DAY($A28)&lt;=7)),1,0)</f>
        <v>0</v>
      </c>
      <c r="F28" s="4" t="n">
        <f aca="false">IF(MONTH($A28)&lt;=3,1,0)</f>
        <v>1</v>
      </c>
      <c r="G28" s="4" t="str">
        <f aca="false" t="array" ref="G28: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4" t="n">
        <f aca="false">COUNTIF(Events!$A$2:$A$397,$A28)</f>
        <v>0</v>
      </c>
      <c r="I28" s="6" t="str">
        <f aca="false" t="array" ref="I28:I28">_xlfn.TEXTJOIN(" | ",TRUE(),IF(Events!$A$2:$A$397=$A28,Events!$E$2:$E$397&amp;IF(Events!$G$2:$G$397="National",""," ["&amp;Events!$G$2:$G$397&amp;"]"),""))</f>
        <v/>
      </c>
    </row>
    <row r="29" customFormat="false" ht="15" hidden="false" customHeight="true" outlineLevel="0" collapsed="false">
      <c r="A29" s="3" t="n">
        <v>45319</v>
      </c>
      <c r="B29" s="4" t="n">
        <f aca="false">YEAR($A29)</f>
        <v>2024</v>
      </c>
      <c r="C29" s="4" t="n">
        <f aca="false">MONTH($A29)</f>
        <v>1</v>
      </c>
      <c r="D29" s="4" t="str">
        <f aca="false">TEXT($A29,"ddd")</f>
        <v>Sun</v>
      </c>
      <c r="E29" s="4" t="n">
        <f aca="false">IF(OR(AND(MONTH($A29)=10,DAY($A29)&gt;=15),MONTH($A29)=11,AND(MONTH($A29)=12,DAY($A29)&lt;=7)),1,0)</f>
        <v>0</v>
      </c>
      <c r="F29" s="4" t="n">
        <f aca="false">IF(MONTH($A29)&lt;=3,1,0)</f>
        <v>1</v>
      </c>
      <c r="G29" s="4" t="str">
        <f aca="false" t="array" ref="G29: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4" t="n">
        <f aca="false">COUNTIF(Events!$A$2:$A$397,$A29)</f>
        <v>0</v>
      </c>
      <c r="I29" s="6" t="str">
        <f aca="false" t="array" ref="I29:I29">_xlfn.TEXTJOIN(" | ",TRUE(),IF(Events!$A$2:$A$397=$A29,Events!$E$2:$E$397&amp;IF(Events!$G$2:$G$397="National",""," ["&amp;Events!$G$2:$G$397&amp;"]"),""))</f>
        <v/>
      </c>
    </row>
    <row r="30" customFormat="false" ht="15" hidden="false" customHeight="true" outlineLevel="0" collapsed="false">
      <c r="A30" s="3" t="n">
        <v>45320</v>
      </c>
      <c r="B30" s="4" t="n">
        <f aca="false">YEAR($A30)</f>
        <v>2024</v>
      </c>
      <c r="C30" s="4" t="n">
        <f aca="false">MONTH($A30)</f>
        <v>1</v>
      </c>
      <c r="D30" s="4" t="str">
        <f aca="false">TEXT($A30,"ddd")</f>
        <v>Mon</v>
      </c>
      <c r="E30" s="4" t="n">
        <f aca="false">IF(OR(AND(MONTH($A30)=10,DAY($A30)&gt;=15),MONTH($A30)=11,AND(MONTH($A30)=12,DAY($A30)&lt;=7)),1,0)</f>
        <v>0</v>
      </c>
      <c r="F30" s="4" t="n">
        <f aca="false">IF(MONTH($A30)&lt;=3,1,0)</f>
        <v>1</v>
      </c>
      <c r="G30" s="4" t="str">
        <f aca="false" t="array" ref="G30: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4" t="n">
        <f aca="false">COUNTIF(Events!$A$2:$A$397,$A30)</f>
        <v>0</v>
      </c>
      <c r="I30" s="6" t="str">
        <f aca="false" t="array" ref="I30:I30">_xlfn.TEXTJOIN(" | ",TRUE(),IF(Events!$A$2:$A$397=$A30,Events!$E$2:$E$397&amp;IF(Events!$G$2:$G$397="National",""," ["&amp;Events!$G$2:$G$397&amp;"]"),""))</f>
        <v/>
      </c>
    </row>
    <row r="31" customFormat="false" ht="15" hidden="false" customHeight="true" outlineLevel="0" collapsed="false">
      <c r="A31" s="3" t="n">
        <v>45321</v>
      </c>
      <c r="B31" s="4" t="n">
        <f aca="false">YEAR($A31)</f>
        <v>2024</v>
      </c>
      <c r="C31" s="4" t="n">
        <f aca="false">MONTH($A31)</f>
        <v>1</v>
      </c>
      <c r="D31" s="4" t="str">
        <f aca="false">TEXT($A31,"ddd")</f>
        <v>Tue</v>
      </c>
      <c r="E31" s="4" t="n">
        <f aca="false">IF(OR(AND(MONTH($A31)=10,DAY($A31)&gt;=15),MONTH($A31)=11,AND(MONTH($A31)=12,DAY($A31)&lt;=7)),1,0)</f>
        <v>0</v>
      </c>
      <c r="F31" s="4" t="n">
        <f aca="false">IF(MONTH($A31)&lt;=3,1,0)</f>
        <v>1</v>
      </c>
      <c r="G31" s="4" t="str">
        <f aca="false" t="array" ref="G31: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[CA] DR-4773</v>
      </c>
      <c r="H31" s="4" t="n">
        <f aca="false">COUNTIF(Events!$A$2:$A$397,$A31)</f>
        <v>0</v>
      </c>
      <c r="I31" s="6" t="str">
        <f aca="false" t="array" ref="I31:I31">_xlfn.TEXTJOIN(" | ",TRUE(),IF(Events!$A$2:$A$397=$A31,Events!$E$2:$E$397&amp;IF(Events!$G$2:$G$397="National",""," ["&amp;Events!$G$2:$G$397&amp;"]"),""))</f>
        <v/>
      </c>
    </row>
    <row r="32" customFormat="false" ht="15" hidden="false" customHeight="true" outlineLevel="0" collapsed="false">
      <c r="A32" s="3" t="n">
        <v>45322</v>
      </c>
      <c r="B32" s="4" t="n">
        <f aca="false">YEAR($A32)</f>
        <v>2024</v>
      </c>
      <c r="C32" s="4" t="n">
        <f aca="false">MONTH($A32)</f>
        <v>1</v>
      </c>
      <c r="D32" s="4" t="str">
        <f aca="false">TEXT($A32,"ddd")</f>
        <v>Wed</v>
      </c>
      <c r="E32" s="4" t="n">
        <f aca="false">IF(OR(AND(MONTH($A32)=10,DAY($A32)&gt;=15),MONTH($A32)=11,AND(MONTH($A32)=12,DAY($A32)&lt;=7)),1,0)</f>
        <v>0</v>
      </c>
      <c r="F32" s="4" t="n">
        <f aca="false">IF(MONTH($A32)&lt;=3,1,0)</f>
        <v>1</v>
      </c>
      <c r="G32" s="4" t="str">
        <f aca="false" t="array" ref="G32: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 | Disaster SEP opens: Severe Storm [CA] DR-4769 | Disaster SEP opens: Severe Storm [CA] DR-4772</v>
      </c>
      <c r="H32" s="4" t="n">
        <f aca="false">COUNTIF(Events!$A$2:$A$397,$A32)</f>
        <v>1</v>
      </c>
      <c r="I32" s="6" t="str">
        <f aca="false" t="array" ref="I32:I32">_xlfn.TEXTJOIN(" | ",TRUE(),IF(Events!$A$2:$A$397=$A32,Events!$E$2:$E$397&amp;IF(Events!$G$2:$G$397="National",""," ["&amp;Events!$G$2:$G$397&amp;"]"),""))</f>
        <v>CY2025 Advance Notice released: proposed +3.70% avg payment; year 2 of 3-year phase-in of 2024 CMS-HCC (V28) risk model at 67/33 blend; comments due 3/1/2024</v>
      </c>
    </row>
    <row r="33" customFormat="false" ht="15" hidden="false" customHeight="true" outlineLevel="0" collapsed="false">
      <c r="A33" s="3" t="n">
        <v>45323</v>
      </c>
      <c r="B33" s="4" t="n">
        <f aca="false">YEAR($A33)</f>
        <v>2024</v>
      </c>
      <c r="C33" s="4" t="n">
        <f aca="false">MONTH($A33)</f>
        <v>2</v>
      </c>
      <c r="D33" s="4" t="str">
        <f aca="false">TEXT($A33,"ddd")</f>
        <v>Thu</v>
      </c>
      <c r="E33" s="4" t="n">
        <f aca="false">IF(OR(AND(MONTH($A33)=10,DAY($A33)&gt;=15),MONTH($A33)=11,AND(MONTH($A33)=12,DAY($A33)&lt;=7)),1,0)</f>
        <v>0</v>
      </c>
      <c r="F33" s="4" t="n">
        <f aca="false">IF(MONTH($A33)&lt;=3,1,0)</f>
        <v>1</v>
      </c>
      <c r="G33" s="4" t="str">
        <f aca="false" t="array" ref="G33: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
      </c>
      <c r="H33" s="4" t="n">
        <f aca="false">COUNTIF(Events!$A$2:$A$397,$A33)</f>
        <v>0</v>
      </c>
      <c r="I33" s="6" t="str">
        <f aca="false" t="array" ref="I33:I33">_xlfn.TEXTJOIN(" | ",TRUE(),IF(Events!$A$2:$A$397=$A33,Events!$E$2:$E$397&amp;IF(Events!$G$2:$G$397="National",""," ["&amp;Events!$G$2:$G$397&amp;"]"),""))</f>
        <v/>
      </c>
    </row>
    <row r="34" customFormat="false" ht="15" hidden="false" customHeight="true" outlineLevel="0" collapsed="false">
      <c r="A34" s="3" t="n">
        <v>45324</v>
      </c>
      <c r="B34" s="4" t="n">
        <f aca="false">YEAR($A34)</f>
        <v>2024</v>
      </c>
      <c r="C34" s="4" t="n">
        <f aca="false">MONTH($A34)</f>
        <v>2</v>
      </c>
      <c r="D34" s="4" t="str">
        <f aca="false">TEXT($A34,"ddd")</f>
        <v>Fri</v>
      </c>
      <c r="E34" s="4" t="n">
        <f aca="false">IF(OR(AND(MONTH($A34)=10,DAY($A34)&gt;=15),MONTH($A34)=11,AND(MONTH($A34)=12,DAY($A34)&lt;=7)),1,0)</f>
        <v>0</v>
      </c>
      <c r="F34" s="4" t="n">
        <f aca="false">IF(MONTH($A34)&lt;=3,1,0)</f>
        <v>1</v>
      </c>
      <c r="G34" s="4" t="str">
        <f aca="false" t="array" ref="G34: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4" t="n">
        <f aca="false">COUNTIF(Events!$A$2:$A$397,$A34)</f>
        <v>0</v>
      </c>
      <c r="I34" s="6" t="str">
        <f aca="false" t="array" ref="I34:I34">_xlfn.TEXTJOIN(" | ",TRUE(),IF(Events!$A$2:$A$397=$A34,Events!$E$2:$E$397&amp;IF(Events!$G$2:$G$397="National",""," ["&amp;Events!$G$2:$G$397&amp;"]"),""))</f>
        <v/>
      </c>
    </row>
    <row r="35" customFormat="false" ht="15" hidden="false" customHeight="true" outlineLevel="0" collapsed="false">
      <c r="A35" s="3" t="n">
        <v>45325</v>
      </c>
      <c r="B35" s="4" t="n">
        <f aca="false">YEAR($A35)</f>
        <v>2024</v>
      </c>
      <c r="C35" s="4" t="n">
        <f aca="false">MONTH($A35)</f>
        <v>2</v>
      </c>
      <c r="D35" s="4" t="str">
        <f aca="false">TEXT($A35,"ddd")</f>
        <v>Sat</v>
      </c>
      <c r="E35" s="4" t="n">
        <f aca="false">IF(OR(AND(MONTH($A35)=10,DAY($A35)&gt;=15),MONTH($A35)=11,AND(MONTH($A35)=12,DAY($A35)&lt;=7)),1,0)</f>
        <v>0</v>
      </c>
      <c r="F35" s="4" t="n">
        <f aca="false">IF(MONTH($A35)&lt;=3,1,0)</f>
        <v>1</v>
      </c>
      <c r="G35" s="4" t="str">
        <f aca="false" t="array" ref="G35: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4" t="n">
        <f aca="false">COUNTIF(Events!$A$2:$A$397,$A35)</f>
        <v>0</v>
      </c>
      <c r="I35" s="6" t="str">
        <f aca="false" t="array" ref="I35:I35">_xlfn.TEXTJOIN(" | ",TRUE(),IF(Events!$A$2:$A$397=$A35,Events!$E$2:$E$397&amp;IF(Events!$G$2:$G$397="National",""," ["&amp;Events!$G$2:$G$397&amp;"]"),""))</f>
        <v/>
      </c>
    </row>
    <row r="36" customFormat="false" ht="15" hidden="false" customHeight="true" outlineLevel="0" collapsed="false">
      <c r="A36" s="3" t="n">
        <v>45326</v>
      </c>
      <c r="B36" s="4" t="n">
        <f aca="false">YEAR($A36)</f>
        <v>2024</v>
      </c>
      <c r="C36" s="4" t="n">
        <f aca="false">MONTH($A36)</f>
        <v>2</v>
      </c>
      <c r="D36" s="4" t="str">
        <f aca="false">TEXT($A36,"ddd")</f>
        <v>Sun</v>
      </c>
      <c r="E36" s="4" t="n">
        <f aca="false">IF(OR(AND(MONTH($A36)=10,DAY($A36)&gt;=15),MONTH($A36)=11,AND(MONTH($A36)=12,DAY($A36)&lt;=7)),1,0)</f>
        <v>0</v>
      </c>
      <c r="F36" s="4" t="n">
        <f aca="false">IF(MONTH($A36)&lt;=3,1,0)</f>
        <v>1</v>
      </c>
      <c r="G36" s="4" t="str">
        <f aca="false" t="array" ref="G36: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4" t="n">
        <f aca="false">COUNTIF(Events!$A$2:$A$397,$A36)</f>
        <v>0</v>
      </c>
      <c r="I36" s="6" t="str">
        <f aca="false" t="array" ref="I36:I36">_xlfn.TEXTJOIN(" | ",TRUE(),IF(Events!$A$2:$A$397=$A36,Events!$E$2:$E$397&amp;IF(Events!$G$2:$G$397="National",""," ["&amp;Events!$G$2:$G$397&amp;"]"),""))</f>
        <v/>
      </c>
    </row>
    <row r="37" customFormat="false" ht="15" hidden="false" customHeight="true" outlineLevel="0" collapsed="false">
      <c r="A37" s="3" t="n">
        <v>45327</v>
      </c>
      <c r="B37" s="4" t="n">
        <f aca="false">YEAR($A37)</f>
        <v>2024</v>
      </c>
      <c r="C37" s="4" t="n">
        <f aca="false">MONTH($A37)</f>
        <v>2</v>
      </c>
      <c r="D37" s="4" t="str">
        <f aca="false">TEXT($A37,"ddd")</f>
        <v>Mon</v>
      </c>
      <c r="E37" s="4" t="n">
        <f aca="false">IF(OR(AND(MONTH($A37)=10,DAY($A37)&gt;=15),MONTH($A37)=11,AND(MONTH($A37)=12,DAY($A37)&lt;=7)),1,0)</f>
        <v>0</v>
      </c>
      <c r="F37" s="4" t="n">
        <f aca="false">IF(MONTH($A37)&lt;=3,1,0)</f>
        <v>1</v>
      </c>
      <c r="G37" s="4" t="str">
        <f aca="false" t="array" ref="G37: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4" t="n">
        <f aca="false">COUNTIF(Events!$A$2:$A$397,$A37)</f>
        <v>0</v>
      </c>
      <c r="I37" s="6" t="str">
        <f aca="false" t="array" ref="I37:I37">_xlfn.TEXTJOIN(" | ",TRUE(),IF(Events!$A$2:$A$397=$A37,Events!$E$2:$E$397&amp;IF(Events!$G$2:$G$397="National",""," ["&amp;Events!$G$2:$G$397&amp;"]"),""))</f>
        <v/>
      </c>
    </row>
    <row r="38" customFormat="false" ht="15" hidden="false" customHeight="true" outlineLevel="0" collapsed="false">
      <c r="A38" s="3" t="n">
        <v>45328</v>
      </c>
      <c r="B38" s="4" t="n">
        <f aca="false">YEAR($A38)</f>
        <v>2024</v>
      </c>
      <c r="C38" s="4" t="n">
        <f aca="false">MONTH($A38)</f>
        <v>2</v>
      </c>
      <c r="D38" s="4" t="str">
        <f aca="false">TEXT($A38,"ddd")</f>
        <v>Tue</v>
      </c>
      <c r="E38" s="4" t="n">
        <f aca="false">IF(OR(AND(MONTH($A38)=10,DAY($A38)&gt;=15),MONTH($A38)=11,AND(MONTH($A38)=12,DAY($A38)&lt;=7)),1,0)</f>
        <v>0</v>
      </c>
      <c r="F38" s="4" t="n">
        <f aca="false">IF(MONTH($A38)&lt;=3,1,0)</f>
        <v>1</v>
      </c>
      <c r="G38" s="4" t="str">
        <f aca="false" t="array" ref="G38: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4" t="n">
        <f aca="false">COUNTIF(Events!$A$2:$A$397,$A38)</f>
        <v>0</v>
      </c>
      <c r="I38" s="6" t="str">
        <f aca="false" t="array" ref="I38:I38">_xlfn.TEXTJOIN(" | ",TRUE(),IF(Events!$A$2:$A$397=$A38,Events!$E$2:$E$397&amp;IF(Events!$G$2:$G$397="National",""," ["&amp;Events!$G$2:$G$397&amp;"]"),""))</f>
        <v/>
      </c>
    </row>
    <row r="39" customFormat="false" ht="15" hidden="false" customHeight="true" outlineLevel="0" collapsed="false">
      <c r="A39" s="3" t="n">
        <v>45329</v>
      </c>
      <c r="B39" s="4" t="n">
        <f aca="false">YEAR($A39)</f>
        <v>2024</v>
      </c>
      <c r="C39" s="4" t="n">
        <f aca="false">MONTH($A39)</f>
        <v>2</v>
      </c>
      <c r="D39" s="4" t="str">
        <f aca="false">TEXT($A39,"ddd")</f>
        <v>Wed</v>
      </c>
      <c r="E39" s="4" t="n">
        <f aca="false">IF(OR(AND(MONTH($A39)=10,DAY($A39)&gt;=15),MONTH($A39)=11,AND(MONTH($A39)=12,DAY($A39)&lt;=7)),1,0)</f>
        <v>0</v>
      </c>
      <c r="F39" s="4" t="n">
        <f aca="false">IF(MONTH($A39)&lt;=3,1,0)</f>
        <v>1</v>
      </c>
      <c r="G39" s="4" t="str">
        <f aca="false" t="array" ref="G39: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4" t="n">
        <f aca="false">COUNTIF(Events!$A$2:$A$397,$A39)</f>
        <v>0</v>
      </c>
      <c r="I39" s="6" t="str">
        <f aca="false" t="array" ref="I39:I39">_xlfn.TEXTJOIN(" | ",TRUE(),IF(Events!$A$2:$A$397=$A39,Events!$E$2:$E$397&amp;IF(Events!$G$2:$G$397="National",""," ["&amp;Events!$G$2:$G$397&amp;"]"),""))</f>
        <v/>
      </c>
    </row>
    <row r="40" customFormat="false" ht="15" hidden="false" customHeight="true" outlineLevel="0" collapsed="false">
      <c r="A40" s="3" t="n">
        <v>45330</v>
      </c>
      <c r="B40" s="4" t="n">
        <f aca="false">YEAR($A40)</f>
        <v>2024</v>
      </c>
      <c r="C40" s="4" t="n">
        <f aca="false">MONTH($A40)</f>
        <v>2</v>
      </c>
      <c r="D40" s="4" t="str">
        <f aca="false">TEXT($A40,"ddd")</f>
        <v>Thu</v>
      </c>
      <c r="E40" s="4" t="n">
        <f aca="false">IF(OR(AND(MONTH($A40)=10,DAY($A40)&gt;=15),MONTH($A40)=11,AND(MONTH($A40)=12,DAY($A40)&lt;=7)),1,0)</f>
        <v>0</v>
      </c>
      <c r="F40" s="4" t="n">
        <f aca="false">IF(MONTH($A40)&lt;=3,1,0)</f>
        <v>1</v>
      </c>
      <c r="G40" s="4" t="str">
        <f aca="false" t="array" ref="G40: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4" t="n">
        <f aca="false">COUNTIF(Events!$A$2:$A$397,$A40)</f>
        <v>0</v>
      </c>
      <c r="I40" s="6" t="str">
        <f aca="false" t="array" ref="I40:I40">_xlfn.TEXTJOIN(" | ",TRUE(),IF(Events!$A$2:$A$397=$A40,Events!$E$2:$E$397&amp;IF(Events!$G$2:$G$397="National",""," ["&amp;Events!$G$2:$G$397&amp;"]"),""))</f>
        <v/>
      </c>
    </row>
    <row r="41" customFormat="false" ht="15" hidden="false" customHeight="true" outlineLevel="0" collapsed="false">
      <c r="A41" s="3" t="n">
        <v>45331</v>
      </c>
      <c r="B41" s="4" t="n">
        <f aca="false">YEAR($A41)</f>
        <v>2024</v>
      </c>
      <c r="C41" s="4" t="n">
        <f aca="false">MONTH($A41)</f>
        <v>2</v>
      </c>
      <c r="D41" s="4" t="str">
        <f aca="false">TEXT($A41,"ddd")</f>
        <v>Fri</v>
      </c>
      <c r="E41" s="4" t="n">
        <f aca="false">IF(OR(AND(MONTH($A41)=10,DAY($A41)&gt;=15),MONTH($A41)=11,AND(MONTH($A41)=12,DAY($A41)&lt;=7)),1,0)</f>
        <v>0</v>
      </c>
      <c r="F41" s="4" t="n">
        <f aca="false">IF(MONTH($A41)&lt;=3,1,0)</f>
        <v>1</v>
      </c>
      <c r="G41" s="4" t="str">
        <f aca="false" t="array" ref="G41: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4" t="n">
        <f aca="false">COUNTIF(Events!$A$2:$A$397,$A41)</f>
        <v>0</v>
      </c>
      <c r="I41" s="6" t="str">
        <f aca="false" t="array" ref="I41:I41">_xlfn.TEXTJOIN(" | ",TRUE(),IF(Events!$A$2:$A$397=$A41,Events!$E$2:$E$397&amp;IF(Events!$G$2:$G$397="National",""," ["&amp;Events!$G$2:$G$397&amp;"]"),""))</f>
        <v/>
      </c>
    </row>
    <row r="42" customFormat="false" ht="15" hidden="false" customHeight="true" outlineLevel="0" collapsed="false">
      <c r="A42" s="3" t="n">
        <v>45332</v>
      </c>
      <c r="B42" s="4" t="n">
        <f aca="false">YEAR($A42)</f>
        <v>2024</v>
      </c>
      <c r="C42" s="4" t="n">
        <f aca="false">MONTH($A42)</f>
        <v>2</v>
      </c>
      <c r="D42" s="4" t="str">
        <f aca="false">TEXT($A42,"ddd")</f>
        <v>Sat</v>
      </c>
      <c r="E42" s="4" t="n">
        <f aca="false">IF(OR(AND(MONTH($A42)=10,DAY($A42)&gt;=15),MONTH($A42)=11,AND(MONTH($A42)=12,DAY($A42)&lt;=7)),1,0)</f>
        <v>0</v>
      </c>
      <c r="F42" s="4" t="n">
        <f aca="false">IF(MONTH($A42)&lt;=3,1,0)</f>
        <v>1</v>
      </c>
      <c r="G42" s="4" t="str">
        <f aca="false" t="array" ref="G42: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
      </c>
      <c r="H42" s="4" t="n">
        <f aca="false">COUNTIF(Events!$A$2:$A$397,$A42)</f>
        <v>0</v>
      </c>
      <c r="I42" s="6" t="str">
        <f aca="false" t="array" ref="I42:I42">_xlfn.TEXTJOIN(" | ",TRUE(),IF(Events!$A$2:$A$397=$A42,Events!$E$2:$E$397&amp;IF(Events!$G$2:$G$397="National",""," ["&amp;Events!$G$2:$G$397&amp;"]"),""))</f>
        <v/>
      </c>
    </row>
    <row r="43" customFormat="false" ht="15" hidden="false" customHeight="true" outlineLevel="0" collapsed="false">
      <c r="A43" s="3" t="n">
        <v>45333</v>
      </c>
      <c r="B43" s="4" t="n">
        <f aca="false">YEAR($A43)</f>
        <v>2024</v>
      </c>
      <c r="C43" s="4" t="n">
        <f aca="false">MONTH($A43)</f>
        <v>2</v>
      </c>
      <c r="D43" s="4" t="str">
        <f aca="false">TEXT($A43,"ddd")</f>
        <v>Sun</v>
      </c>
      <c r="E43" s="4" t="n">
        <f aca="false">IF(OR(AND(MONTH($A43)=10,DAY($A43)&gt;=15),MONTH($A43)=11,AND(MONTH($A43)=12,DAY($A43)&lt;=7)),1,0)</f>
        <v>0</v>
      </c>
      <c r="F43" s="4" t="n">
        <f aca="false">IF(MONTH($A43)&lt;=3,1,0)</f>
        <v>1</v>
      </c>
      <c r="G43" s="4" t="str">
        <f aca="false" t="array" ref="G43: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4" t="n">
        <f aca="false">COUNTIF(Events!$A$2:$A$397,$A43)</f>
        <v>0</v>
      </c>
      <c r="I43" s="6" t="str">
        <f aca="false" t="array" ref="I43:I43">_xlfn.TEXTJOIN(" | ",TRUE(),IF(Events!$A$2:$A$397=$A43,Events!$E$2:$E$397&amp;IF(Events!$G$2:$G$397="National",""," ["&amp;Events!$G$2:$G$397&amp;"]"),""))</f>
        <v/>
      </c>
    </row>
    <row r="44" customFormat="false" ht="15" hidden="false" customHeight="true" outlineLevel="0" collapsed="false">
      <c r="A44" s="3" t="n">
        <v>45334</v>
      </c>
      <c r="B44" s="4" t="n">
        <f aca="false">YEAR($A44)</f>
        <v>2024</v>
      </c>
      <c r="C44" s="4" t="n">
        <f aca="false">MONTH($A44)</f>
        <v>2</v>
      </c>
      <c r="D44" s="4" t="str">
        <f aca="false">TEXT($A44,"ddd")</f>
        <v>Mon</v>
      </c>
      <c r="E44" s="4" t="n">
        <f aca="false">IF(OR(AND(MONTH($A44)=10,DAY($A44)&gt;=15),MONTH($A44)=11,AND(MONTH($A44)=12,DAY($A44)&lt;=7)),1,0)</f>
        <v>0</v>
      </c>
      <c r="F44" s="4" t="n">
        <f aca="false">IF(MONTH($A44)&lt;=3,1,0)</f>
        <v>1</v>
      </c>
      <c r="G44" s="4" t="str">
        <f aca="false" t="array" ref="G44: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4" t="n">
        <f aca="false">COUNTIF(Events!$A$2:$A$397,$A44)</f>
        <v>0</v>
      </c>
      <c r="I44" s="6" t="str">
        <f aca="false" t="array" ref="I44:I44">_xlfn.TEXTJOIN(" | ",TRUE(),IF(Events!$A$2:$A$397=$A44,Events!$E$2:$E$397&amp;IF(Events!$G$2:$G$397="National",""," ["&amp;Events!$G$2:$G$397&amp;"]"),""))</f>
        <v/>
      </c>
    </row>
    <row r="45" customFormat="false" ht="15" hidden="false" customHeight="true" outlineLevel="0" collapsed="false">
      <c r="A45" s="3" t="n">
        <v>45335</v>
      </c>
      <c r="B45" s="4" t="n">
        <f aca="false">YEAR($A45)</f>
        <v>2024</v>
      </c>
      <c r="C45" s="4" t="n">
        <f aca="false">MONTH($A45)</f>
        <v>2</v>
      </c>
      <c r="D45" s="4" t="str">
        <f aca="false">TEXT($A45,"ddd")</f>
        <v>Tue</v>
      </c>
      <c r="E45" s="4" t="n">
        <f aca="false">IF(OR(AND(MONTH($A45)=10,DAY($A45)&gt;=15),MONTH($A45)=11,AND(MONTH($A45)=12,DAY($A45)&lt;=7)),1,0)</f>
        <v>0</v>
      </c>
      <c r="F45" s="4" t="n">
        <f aca="false">IF(MONTH($A45)&lt;=3,1,0)</f>
        <v>1</v>
      </c>
      <c r="G45" s="4" t="str">
        <f aca="false" t="array" ref="G45: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4" t="n">
        <f aca="false">COUNTIF(Events!$A$2:$A$397,$A45)</f>
        <v>0</v>
      </c>
      <c r="I45" s="6" t="str">
        <f aca="false" t="array" ref="I45:I45">_xlfn.TEXTJOIN(" | ",TRUE(),IF(Events!$A$2:$A$397=$A45,Events!$E$2:$E$397&amp;IF(Events!$G$2:$G$397="National",""," ["&amp;Events!$G$2:$G$397&amp;"]"),""))</f>
        <v/>
      </c>
    </row>
    <row r="46" customFormat="false" ht="15" hidden="false" customHeight="true" outlineLevel="0" collapsed="false">
      <c r="A46" s="3" t="n">
        <v>45336</v>
      </c>
      <c r="B46" s="4" t="n">
        <f aca="false">YEAR($A46)</f>
        <v>2024</v>
      </c>
      <c r="C46" s="4" t="n">
        <f aca="false">MONTH($A46)</f>
        <v>2</v>
      </c>
      <c r="D46" s="4" t="str">
        <f aca="false">TEXT($A46,"ddd")</f>
        <v>Wed</v>
      </c>
      <c r="E46" s="4" t="n">
        <f aca="false">IF(OR(AND(MONTH($A46)=10,DAY($A46)&gt;=15),MONTH($A46)=11,AND(MONTH($A46)=12,DAY($A46)&lt;=7)),1,0)</f>
        <v>0</v>
      </c>
      <c r="F46" s="4" t="n">
        <f aca="false">IF(MONTH($A46)&lt;=3,1,0)</f>
        <v>1</v>
      </c>
      <c r="G46" s="4" t="str">
        <f aca="false" t="array" ref="G46: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4" t="n">
        <f aca="false">COUNTIF(Events!$A$2:$A$397,$A46)</f>
        <v>0</v>
      </c>
      <c r="I46" s="6" t="str">
        <f aca="false" t="array" ref="I46:I46">_xlfn.TEXTJOIN(" | ",TRUE(),IF(Events!$A$2:$A$397=$A46,Events!$E$2:$E$397&amp;IF(Events!$G$2:$G$397="National",""," ["&amp;Events!$G$2:$G$397&amp;"]"),""))</f>
        <v/>
      </c>
    </row>
    <row r="47" customFormat="false" ht="15" hidden="false" customHeight="true" outlineLevel="0" collapsed="false">
      <c r="A47" s="3" t="n">
        <v>45337</v>
      </c>
      <c r="B47" s="4" t="n">
        <f aca="false">YEAR($A47)</f>
        <v>2024</v>
      </c>
      <c r="C47" s="4" t="n">
        <f aca="false">MONTH($A47)</f>
        <v>2</v>
      </c>
      <c r="D47" s="4" t="str">
        <f aca="false">TEXT($A47,"ddd")</f>
        <v>Thu</v>
      </c>
      <c r="E47" s="4" t="n">
        <f aca="false">IF(OR(AND(MONTH($A47)=10,DAY($A47)&gt;=15),MONTH($A47)=11,AND(MONTH($A47)=12,DAY($A47)&lt;=7)),1,0)</f>
        <v>0</v>
      </c>
      <c r="F47" s="4" t="n">
        <f aca="false">IF(MONTH($A47)&lt;=3,1,0)</f>
        <v>1</v>
      </c>
      <c r="G47" s="4" t="str">
        <f aca="false" t="array" ref="G47: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4" t="n">
        <f aca="false">COUNTIF(Events!$A$2:$A$397,$A47)</f>
        <v>0</v>
      </c>
      <c r="I47" s="6" t="str">
        <f aca="false" t="array" ref="I47:I47">_xlfn.TEXTJOIN(" | ",TRUE(),IF(Events!$A$2:$A$397=$A47,Events!$E$2:$E$397&amp;IF(Events!$G$2:$G$397="National",""," ["&amp;Events!$G$2:$G$397&amp;"]"),""))</f>
        <v/>
      </c>
    </row>
    <row r="48" customFormat="false" ht="15" hidden="false" customHeight="true" outlineLevel="0" collapsed="false">
      <c r="A48" s="3" t="n">
        <v>45338</v>
      </c>
      <c r="B48" s="4" t="n">
        <f aca="false">YEAR($A48)</f>
        <v>2024</v>
      </c>
      <c r="C48" s="4" t="n">
        <f aca="false">MONTH($A48)</f>
        <v>2</v>
      </c>
      <c r="D48" s="4" t="str">
        <f aca="false">TEXT($A48,"ddd")</f>
        <v>Fri</v>
      </c>
      <c r="E48" s="4" t="n">
        <f aca="false">IF(OR(AND(MONTH($A48)=10,DAY($A48)&gt;=15),MONTH($A48)=11,AND(MONTH($A48)=12,DAY($A48)&lt;=7)),1,0)</f>
        <v>0</v>
      </c>
      <c r="F48" s="4" t="n">
        <f aca="false">IF(MONTH($A48)&lt;=3,1,0)</f>
        <v>1</v>
      </c>
      <c r="G48" s="4" t="str">
        <f aca="false" t="array" ref="G48: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4" t="n">
        <f aca="false">COUNTIF(Events!$A$2:$A$397,$A48)</f>
        <v>0</v>
      </c>
      <c r="I48" s="6" t="str">
        <f aca="false" t="array" ref="I48:I48">_xlfn.TEXTJOIN(" | ",TRUE(),IF(Events!$A$2:$A$397=$A48,Events!$E$2:$E$397&amp;IF(Events!$G$2:$G$397="National",""," ["&amp;Events!$G$2:$G$397&amp;"]"),""))</f>
        <v/>
      </c>
    </row>
    <row r="49" customFormat="false" ht="15" hidden="false" customHeight="true" outlineLevel="0" collapsed="false">
      <c r="A49" s="3" t="n">
        <v>45339</v>
      </c>
      <c r="B49" s="4" t="n">
        <f aca="false">YEAR($A49)</f>
        <v>2024</v>
      </c>
      <c r="C49" s="4" t="n">
        <f aca="false">MONTH($A49)</f>
        <v>2</v>
      </c>
      <c r="D49" s="4" t="str">
        <f aca="false">TEXT($A49,"ddd")</f>
        <v>Sat</v>
      </c>
      <c r="E49" s="4" t="n">
        <f aca="false">IF(OR(AND(MONTH($A49)=10,DAY($A49)&gt;=15),MONTH($A49)=11,AND(MONTH($A49)=12,DAY($A49)&lt;=7)),1,0)</f>
        <v>0</v>
      </c>
      <c r="F49" s="4" t="n">
        <f aca="false">IF(MONTH($A49)&lt;=3,1,0)</f>
        <v>1</v>
      </c>
      <c r="G49" s="4" t="str">
        <f aca="false" t="array" ref="G49: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4" t="n">
        <f aca="false">COUNTIF(Events!$A$2:$A$397,$A49)</f>
        <v>0</v>
      </c>
      <c r="I49" s="6" t="str">
        <f aca="false" t="array" ref="I49:I49">_xlfn.TEXTJOIN(" | ",TRUE(),IF(Events!$A$2:$A$397=$A49,Events!$E$2:$E$397&amp;IF(Events!$G$2:$G$397="National",""," ["&amp;Events!$G$2:$G$397&amp;"]"),""))</f>
        <v/>
      </c>
    </row>
    <row r="50" customFormat="false" ht="15" hidden="false" customHeight="true" outlineLevel="0" collapsed="false">
      <c r="A50" s="3" t="n">
        <v>45340</v>
      </c>
      <c r="B50" s="4" t="n">
        <f aca="false">YEAR($A50)</f>
        <v>2024</v>
      </c>
      <c r="C50" s="4" t="n">
        <f aca="false">MONTH($A50)</f>
        <v>2</v>
      </c>
      <c r="D50" s="4" t="str">
        <f aca="false">TEXT($A50,"ddd")</f>
        <v>Sun</v>
      </c>
      <c r="E50" s="4" t="n">
        <f aca="false">IF(OR(AND(MONTH($A50)=10,DAY($A50)&gt;=15),MONTH($A50)=11,AND(MONTH($A50)=12,DAY($A50)&lt;=7)),1,0)</f>
        <v>0</v>
      </c>
      <c r="F50" s="4" t="n">
        <f aca="false">IF(MONTH($A50)&lt;=3,1,0)</f>
        <v>1</v>
      </c>
      <c r="G50" s="4" t="str">
        <f aca="false" t="array" ref="G50: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4" t="n">
        <f aca="false">COUNTIF(Events!$A$2:$A$397,$A50)</f>
        <v>0</v>
      </c>
      <c r="I50" s="6" t="str">
        <f aca="false" t="array" ref="I50:I50">_xlfn.TEXTJOIN(" | ",TRUE(),IF(Events!$A$2:$A$397=$A50,Events!$E$2:$E$397&amp;IF(Events!$G$2:$G$397="National",""," ["&amp;Events!$G$2:$G$397&amp;"]"),""))</f>
        <v/>
      </c>
    </row>
    <row r="51" customFormat="false" ht="15" hidden="false" customHeight="true" outlineLevel="0" collapsed="false">
      <c r="A51" s="3" t="n">
        <v>45341</v>
      </c>
      <c r="B51" s="4" t="n">
        <f aca="false">YEAR($A51)</f>
        <v>2024</v>
      </c>
      <c r="C51" s="4" t="n">
        <f aca="false">MONTH($A51)</f>
        <v>2</v>
      </c>
      <c r="D51" s="4" t="str">
        <f aca="false">TEXT($A51,"ddd")</f>
        <v>Mon</v>
      </c>
      <c r="E51" s="4" t="n">
        <f aca="false">IF(OR(AND(MONTH($A51)=10,DAY($A51)&gt;=15),MONTH($A51)=11,AND(MONTH($A51)=12,DAY($A51)&lt;=7)),1,0)</f>
        <v>0</v>
      </c>
      <c r="F51" s="4" t="n">
        <f aca="false">IF(MONTH($A51)&lt;=3,1,0)</f>
        <v>1</v>
      </c>
      <c r="G51" s="4" t="str">
        <f aca="false" t="array" ref="G51: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4" t="n">
        <f aca="false">COUNTIF(Events!$A$2:$A$397,$A51)</f>
        <v>0</v>
      </c>
      <c r="I51" s="6" t="str">
        <f aca="false" t="array" ref="I51:I51">_xlfn.TEXTJOIN(" | ",TRUE(),IF(Events!$A$2:$A$397=$A51,Events!$E$2:$E$397&amp;IF(Events!$G$2:$G$397="National",""," ["&amp;Events!$G$2:$G$397&amp;"]"),""))</f>
        <v/>
      </c>
    </row>
    <row r="52" customFormat="false" ht="15" hidden="false" customHeight="true" outlineLevel="0" collapsed="false">
      <c r="A52" s="3" t="n">
        <v>45342</v>
      </c>
      <c r="B52" s="4" t="n">
        <f aca="false">YEAR($A52)</f>
        <v>2024</v>
      </c>
      <c r="C52" s="4" t="n">
        <f aca="false">MONTH($A52)</f>
        <v>2</v>
      </c>
      <c r="D52" s="4" t="str">
        <f aca="false">TEXT($A52,"ddd")</f>
        <v>Tue</v>
      </c>
      <c r="E52" s="4" t="n">
        <f aca="false">IF(OR(AND(MONTH($A52)=10,DAY($A52)&gt;=15),MONTH($A52)=11,AND(MONTH($A52)=12,DAY($A52)&lt;=7)),1,0)</f>
        <v>0</v>
      </c>
      <c r="F52" s="4" t="n">
        <f aca="false">IF(MONTH($A52)&lt;=3,1,0)</f>
        <v>1</v>
      </c>
      <c r="G52" s="4" t="str">
        <f aca="false" t="array" ref="G52: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4" t="n">
        <f aca="false">COUNTIF(Events!$A$2:$A$397,$A52)</f>
        <v>0</v>
      </c>
      <c r="I52" s="6" t="str">
        <f aca="false" t="array" ref="I52:I52">_xlfn.TEXTJOIN(" | ",TRUE(),IF(Events!$A$2:$A$397=$A52,Events!$E$2:$E$397&amp;IF(Events!$G$2:$G$397="National",""," ["&amp;Events!$G$2:$G$397&amp;"]"),""))</f>
        <v/>
      </c>
    </row>
    <row r="53" customFormat="false" ht="15" hidden="false" customHeight="true" outlineLevel="0" collapsed="false">
      <c r="A53" s="3" t="n">
        <v>45343</v>
      </c>
      <c r="B53" s="4" t="n">
        <f aca="false">YEAR($A53)</f>
        <v>2024</v>
      </c>
      <c r="C53" s="4" t="n">
        <f aca="false">MONTH($A53)</f>
        <v>2</v>
      </c>
      <c r="D53" s="4" t="str">
        <f aca="false">TEXT($A53,"ddd")</f>
        <v>Wed</v>
      </c>
      <c r="E53" s="4" t="n">
        <f aca="false">IF(OR(AND(MONTH($A53)=10,DAY($A53)&gt;=15),MONTH($A53)=11,AND(MONTH($A53)=12,DAY($A53)&lt;=7)),1,0)</f>
        <v>0</v>
      </c>
      <c r="F53" s="4" t="n">
        <f aca="false">IF(MONTH($A53)&lt;=3,1,0)</f>
        <v>1</v>
      </c>
      <c r="G53" s="4" t="str">
        <f aca="false" t="array" ref="G53: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4" t="n">
        <f aca="false">COUNTIF(Events!$A$2:$A$397,$A53)</f>
        <v>0</v>
      </c>
      <c r="I53" s="6" t="str">
        <f aca="false" t="array" ref="I53:I53">_xlfn.TEXTJOIN(" | ",TRUE(),IF(Events!$A$2:$A$397=$A53,Events!$E$2:$E$397&amp;IF(Events!$G$2:$G$397="National",""," ["&amp;Events!$G$2:$G$397&amp;"]"),""))</f>
        <v/>
      </c>
    </row>
    <row r="54" customFormat="false" ht="15" hidden="false" customHeight="true" outlineLevel="0" collapsed="false">
      <c r="A54" s="3" t="n">
        <v>45344</v>
      </c>
      <c r="B54" s="4" t="n">
        <f aca="false">YEAR($A54)</f>
        <v>2024</v>
      </c>
      <c r="C54" s="4" t="n">
        <f aca="false">MONTH($A54)</f>
        <v>2</v>
      </c>
      <c r="D54" s="4" t="str">
        <f aca="false">TEXT($A54,"ddd")</f>
        <v>Thu</v>
      </c>
      <c r="E54" s="4" t="n">
        <f aca="false">IF(OR(AND(MONTH($A54)=10,DAY($A54)&gt;=15),MONTH($A54)=11,AND(MONTH($A54)=12,DAY($A54)&lt;=7)),1,0)</f>
        <v>0</v>
      </c>
      <c r="F54" s="4" t="n">
        <f aca="false">IF(MONTH($A54)&lt;=3,1,0)</f>
        <v>1</v>
      </c>
      <c r="G54" s="4" t="str">
        <f aca="false" t="array" ref="G54: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4" t="n">
        <f aca="false">COUNTIF(Events!$A$2:$A$397,$A54)</f>
        <v>0</v>
      </c>
      <c r="I54" s="6" t="str">
        <f aca="false" t="array" ref="I54:I54">_xlfn.TEXTJOIN(" | ",TRUE(),IF(Events!$A$2:$A$397=$A54,Events!$E$2:$E$397&amp;IF(Events!$G$2:$G$397="National",""," ["&amp;Events!$G$2:$G$397&amp;"]"),""))</f>
        <v/>
      </c>
    </row>
    <row r="55" customFormat="false" ht="15" hidden="false" customHeight="true" outlineLevel="0" collapsed="false">
      <c r="A55" s="3" t="n">
        <v>45345</v>
      </c>
      <c r="B55" s="4" t="n">
        <f aca="false">YEAR($A55)</f>
        <v>2024</v>
      </c>
      <c r="C55" s="4" t="n">
        <f aca="false">MONTH($A55)</f>
        <v>2</v>
      </c>
      <c r="D55" s="4" t="str">
        <f aca="false">TEXT($A55,"ddd")</f>
        <v>Fri</v>
      </c>
      <c r="E55" s="4" t="n">
        <f aca="false">IF(OR(AND(MONTH($A55)=10,DAY($A55)&gt;=15),MONTH($A55)=11,AND(MONTH($A55)=12,DAY($A55)&lt;=7)),1,0)</f>
        <v>0</v>
      </c>
      <c r="F55" s="4" t="n">
        <f aca="false">IF(MONTH($A55)&lt;=3,1,0)</f>
        <v>1</v>
      </c>
      <c r="G55" s="4" t="str">
        <f aca="false" t="array" ref="G55: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4" t="n">
        <f aca="false">COUNTIF(Events!$A$2:$A$397,$A55)</f>
        <v>0</v>
      </c>
      <c r="I55" s="6" t="str">
        <f aca="false" t="array" ref="I55:I55">_xlfn.TEXTJOIN(" | ",TRUE(),IF(Events!$A$2:$A$397=$A55,Events!$E$2:$E$397&amp;IF(Events!$G$2:$G$397="National",""," ["&amp;Events!$G$2:$G$397&amp;"]"),""))</f>
        <v/>
      </c>
    </row>
    <row r="56" customFormat="false" ht="15" hidden="false" customHeight="true" outlineLevel="0" collapsed="false">
      <c r="A56" s="3" t="n">
        <v>45346</v>
      </c>
      <c r="B56" s="4" t="n">
        <f aca="false">YEAR($A56)</f>
        <v>2024</v>
      </c>
      <c r="C56" s="4" t="n">
        <f aca="false">MONTH($A56)</f>
        <v>2</v>
      </c>
      <c r="D56" s="4" t="str">
        <f aca="false">TEXT($A56,"ddd")</f>
        <v>Sat</v>
      </c>
      <c r="E56" s="4" t="n">
        <f aca="false">IF(OR(AND(MONTH($A56)=10,DAY($A56)&gt;=15),MONTH($A56)=11,AND(MONTH($A56)=12,DAY($A56)&lt;=7)),1,0)</f>
        <v>0</v>
      </c>
      <c r="F56" s="4" t="n">
        <f aca="false">IF(MONTH($A56)&lt;=3,1,0)</f>
        <v>1</v>
      </c>
      <c r="G56" s="4" t="str">
        <f aca="false" t="array" ref="G56: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4" t="n">
        <f aca="false">COUNTIF(Events!$A$2:$A$397,$A56)</f>
        <v>0</v>
      </c>
      <c r="I56" s="6" t="str">
        <f aca="false" t="array" ref="I56:I56">_xlfn.TEXTJOIN(" | ",TRUE(),IF(Events!$A$2:$A$397=$A56,Events!$E$2:$E$397&amp;IF(Events!$G$2:$G$397="National",""," ["&amp;Events!$G$2:$G$397&amp;"]"),""))</f>
        <v/>
      </c>
    </row>
    <row r="57" customFormat="false" ht="15" hidden="false" customHeight="true" outlineLevel="0" collapsed="false">
      <c r="A57" s="3" t="n">
        <v>45347</v>
      </c>
      <c r="B57" s="4" t="n">
        <f aca="false">YEAR($A57)</f>
        <v>2024</v>
      </c>
      <c r="C57" s="4" t="n">
        <f aca="false">MONTH($A57)</f>
        <v>2</v>
      </c>
      <c r="D57" s="4" t="str">
        <f aca="false">TEXT($A57,"ddd")</f>
        <v>Sun</v>
      </c>
      <c r="E57" s="4" t="n">
        <f aca="false">IF(OR(AND(MONTH($A57)=10,DAY($A57)&gt;=15),MONTH($A57)=11,AND(MONTH($A57)=12,DAY($A57)&lt;=7)),1,0)</f>
        <v>0</v>
      </c>
      <c r="F57" s="4" t="n">
        <f aca="false">IF(MONTH($A57)&lt;=3,1,0)</f>
        <v>1</v>
      </c>
      <c r="G57" s="4" t="str">
        <f aca="false" t="array" ref="G57: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4" t="n">
        <f aca="false">COUNTIF(Events!$A$2:$A$397,$A57)</f>
        <v>0</v>
      </c>
      <c r="I57" s="6" t="str">
        <f aca="false" t="array" ref="I57:I57">_xlfn.TEXTJOIN(" | ",TRUE(),IF(Events!$A$2:$A$397=$A57,Events!$E$2:$E$397&amp;IF(Events!$G$2:$G$397="National",""," ["&amp;Events!$G$2:$G$397&amp;"]"),""))</f>
        <v/>
      </c>
    </row>
    <row r="58" customFormat="false" ht="15" hidden="false" customHeight="true" outlineLevel="0" collapsed="false">
      <c r="A58" s="3" t="n">
        <v>45348</v>
      </c>
      <c r="B58" s="4" t="n">
        <f aca="false">YEAR($A58)</f>
        <v>2024</v>
      </c>
      <c r="C58" s="4" t="n">
        <f aca="false">MONTH($A58)</f>
        <v>2</v>
      </c>
      <c r="D58" s="4" t="str">
        <f aca="false">TEXT($A58,"ddd")</f>
        <v>Mon</v>
      </c>
      <c r="E58" s="4" t="n">
        <f aca="false">IF(OR(AND(MONTH($A58)=10,DAY($A58)&gt;=15),MONTH($A58)=11,AND(MONTH($A58)=12,DAY($A58)&lt;=7)),1,0)</f>
        <v>0</v>
      </c>
      <c r="F58" s="4" t="n">
        <f aca="false">IF(MONTH($A58)&lt;=3,1,0)</f>
        <v>1</v>
      </c>
      <c r="G58" s="4" t="str">
        <f aca="false" t="array" ref="G58: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4" t="n">
        <f aca="false">COUNTIF(Events!$A$2:$A$397,$A58)</f>
        <v>0</v>
      </c>
      <c r="I58" s="6" t="str">
        <f aca="false" t="array" ref="I58:I58">_xlfn.TEXTJOIN(" | ",TRUE(),IF(Events!$A$2:$A$397=$A58,Events!$E$2:$E$397&amp;IF(Events!$G$2:$G$397="National",""," ["&amp;Events!$G$2:$G$397&amp;"]"),""))</f>
        <v/>
      </c>
    </row>
    <row r="59" customFormat="false" ht="15" hidden="false" customHeight="true" outlineLevel="0" collapsed="false">
      <c r="A59" s="3" t="n">
        <v>45349</v>
      </c>
      <c r="B59" s="4" t="n">
        <f aca="false">YEAR($A59)</f>
        <v>2024</v>
      </c>
      <c r="C59" s="4" t="n">
        <f aca="false">MONTH($A59)</f>
        <v>2</v>
      </c>
      <c r="D59" s="4" t="str">
        <f aca="false">TEXT($A59,"ddd")</f>
        <v>Tue</v>
      </c>
      <c r="E59" s="4" t="n">
        <f aca="false">IF(OR(AND(MONTH($A59)=10,DAY($A59)&gt;=15),MONTH($A59)=11,AND(MONTH($A59)=12,DAY($A59)&lt;=7)),1,0)</f>
        <v>0</v>
      </c>
      <c r="F59" s="4" t="n">
        <f aca="false">IF(MONTH($A59)&lt;=3,1,0)</f>
        <v>1</v>
      </c>
      <c r="G59" s="4" t="str">
        <f aca="false" t="array" ref="G59: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4" t="n">
        <f aca="false">COUNTIF(Events!$A$2:$A$397,$A59)</f>
        <v>0</v>
      </c>
      <c r="I59" s="6" t="str">
        <f aca="false" t="array" ref="I59:I59">_xlfn.TEXTJOIN(" | ",TRUE(),IF(Events!$A$2:$A$397=$A59,Events!$E$2:$E$397&amp;IF(Events!$G$2:$G$397="National",""," ["&amp;Events!$G$2:$G$397&amp;"]"),""))</f>
        <v/>
      </c>
    </row>
    <row r="60" customFormat="false" ht="15" hidden="false" customHeight="true" outlineLevel="0" collapsed="false">
      <c r="A60" s="3" t="n">
        <v>45350</v>
      </c>
      <c r="B60" s="4" t="n">
        <f aca="false">YEAR($A60)</f>
        <v>2024</v>
      </c>
      <c r="C60" s="4" t="n">
        <f aca="false">MONTH($A60)</f>
        <v>2</v>
      </c>
      <c r="D60" s="4" t="str">
        <f aca="false">TEXT($A60,"ddd")</f>
        <v>Wed</v>
      </c>
      <c r="E60" s="4" t="n">
        <f aca="false">IF(OR(AND(MONTH($A60)=10,DAY($A60)&gt;=15),MONTH($A60)=11,AND(MONTH($A60)=12,DAY($A60)&lt;=7)),1,0)</f>
        <v>0</v>
      </c>
      <c r="F60" s="4" t="n">
        <f aca="false">IF(MONTH($A60)&lt;=3,1,0)</f>
        <v>1</v>
      </c>
      <c r="G60" s="4" t="str">
        <f aca="false" t="array" ref="G60: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4" t="n">
        <f aca="false">COUNTIF(Events!$A$2:$A$397,$A60)</f>
        <v>0</v>
      </c>
      <c r="I60" s="6" t="str">
        <f aca="false" t="array" ref="I60:I60">_xlfn.TEXTJOIN(" | ",TRUE(),IF(Events!$A$2:$A$397=$A60,Events!$E$2:$E$397&amp;IF(Events!$G$2:$G$397="National",""," ["&amp;Events!$G$2:$G$397&amp;"]"),""))</f>
        <v/>
      </c>
    </row>
    <row r="61" customFormat="false" ht="15" hidden="false" customHeight="true" outlineLevel="0" collapsed="false">
      <c r="A61" s="3" t="n">
        <v>45351</v>
      </c>
      <c r="B61" s="4" t="n">
        <f aca="false">YEAR($A61)</f>
        <v>2024</v>
      </c>
      <c r="C61" s="4" t="n">
        <f aca="false">MONTH($A61)</f>
        <v>2</v>
      </c>
      <c r="D61" s="4" t="str">
        <f aca="false">TEXT($A61,"ddd")</f>
        <v>Thu</v>
      </c>
      <c r="E61" s="4" t="n">
        <f aca="false">IF(OR(AND(MONTH($A61)=10,DAY($A61)&gt;=15),MONTH($A61)=11,AND(MONTH($A61)=12,DAY($A61)&lt;=7)),1,0)</f>
        <v>0</v>
      </c>
      <c r="F61" s="4" t="n">
        <f aca="false">IF(MONTH($A61)&lt;=3,1,0)</f>
        <v>1</v>
      </c>
      <c r="G61" s="4" t="str">
        <f aca="false" t="array" ref="G61: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4" t="n">
        <f aca="false">COUNTIF(Events!$A$2:$A$397,$A61)</f>
        <v>0</v>
      </c>
      <c r="I61" s="6" t="str">
        <f aca="false" t="array" ref="I61:I61">_xlfn.TEXTJOIN(" | ",TRUE(),IF(Events!$A$2:$A$397=$A61,Events!$E$2:$E$397&amp;IF(Events!$G$2:$G$397="National",""," ["&amp;Events!$G$2:$G$397&amp;"]"),""))</f>
        <v/>
      </c>
    </row>
    <row r="62" customFormat="false" ht="15" hidden="false" customHeight="true" outlineLevel="0" collapsed="false">
      <c r="A62" s="3" t="n">
        <v>45352</v>
      </c>
      <c r="B62" s="4" t="n">
        <f aca="false">YEAR($A62)</f>
        <v>2024</v>
      </c>
      <c r="C62" s="4" t="n">
        <f aca="false">MONTH($A62)</f>
        <v>3</v>
      </c>
      <c r="D62" s="4" t="str">
        <f aca="false">TEXT($A62,"ddd")</f>
        <v>Fri</v>
      </c>
      <c r="E62" s="4" t="n">
        <f aca="false">IF(OR(AND(MONTH($A62)=10,DAY($A62)&gt;=15),MONTH($A62)=11,AND(MONTH($A62)=12,DAY($A62)&lt;=7)),1,0)</f>
        <v>0</v>
      </c>
      <c r="F62" s="4" t="n">
        <f aca="false">IF(MONTH($A62)&lt;=3,1,0)</f>
        <v>1</v>
      </c>
      <c r="G62" s="4" t="str">
        <f aca="false" t="array" ref="G62: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4" t="n">
        <f aca="false">COUNTIF(Events!$A$2:$A$397,$A62)</f>
        <v>0</v>
      </c>
      <c r="I62" s="6" t="str">
        <f aca="false" t="array" ref="I62:I62">_xlfn.TEXTJOIN(" | ",TRUE(),IF(Events!$A$2:$A$397=$A62,Events!$E$2:$E$397&amp;IF(Events!$G$2:$G$397="National",""," ["&amp;Events!$G$2:$G$397&amp;"]"),""))</f>
        <v/>
      </c>
    </row>
    <row r="63" customFormat="false" ht="15" hidden="false" customHeight="true" outlineLevel="0" collapsed="false">
      <c r="A63" s="3" t="n">
        <v>45353</v>
      </c>
      <c r="B63" s="4" t="n">
        <f aca="false">YEAR($A63)</f>
        <v>2024</v>
      </c>
      <c r="C63" s="4" t="n">
        <f aca="false">MONTH($A63)</f>
        <v>3</v>
      </c>
      <c r="D63" s="4" t="str">
        <f aca="false">TEXT($A63,"ddd")</f>
        <v>Sat</v>
      </c>
      <c r="E63" s="4" t="n">
        <f aca="false">IF(OR(AND(MONTH($A63)=10,DAY($A63)&gt;=15),MONTH($A63)=11,AND(MONTH($A63)=12,DAY($A63)&lt;=7)),1,0)</f>
        <v>0</v>
      </c>
      <c r="F63" s="4" t="n">
        <f aca="false">IF(MONTH($A63)&lt;=3,1,0)</f>
        <v>1</v>
      </c>
      <c r="G63" s="4" t="str">
        <f aca="false" t="array" ref="G63: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4" t="n">
        <f aca="false">COUNTIF(Events!$A$2:$A$397,$A63)</f>
        <v>0</v>
      </c>
      <c r="I63" s="6" t="str">
        <f aca="false" t="array" ref="I63:I63">_xlfn.TEXTJOIN(" | ",TRUE(),IF(Events!$A$2:$A$397=$A63,Events!$E$2:$E$397&amp;IF(Events!$G$2:$G$397="National",""," ["&amp;Events!$G$2:$G$397&amp;"]"),""))</f>
        <v/>
      </c>
    </row>
    <row r="64" customFormat="false" ht="15" hidden="false" customHeight="true" outlineLevel="0" collapsed="false">
      <c r="A64" s="3" t="n">
        <v>45354</v>
      </c>
      <c r="B64" s="4" t="n">
        <f aca="false">YEAR($A64)</f>
        <v>2024</v>
      </c>
      <c r="C64" s="4" t="n">
        <f aca="false">MONTH($A64)</f>
        <v>3</v>
      </c>
      <c r="D64" s="4" t="str">
        <f aca="false">TEXT($A64,"ddd")</f>
        <v>Sun</v>
      </c>
      <c r="E64" s="4" t="n">
        <f aca="false">IF(OR(AND(MONTH($A64)=10,DAY($A64)&gt;=15),MONTH($A64)=11,AND(MONTH($A64)=12,DAY($A64)&lt;=7)),1,0)</f>
        <v>0</v>
      </c>
      <c r="F64" s="4" t="n">
        <f aca="false">IF(MONTH($A64)&lt;=3,1,0)</f>
        <v>1</v>
      </c>
      <c r="G64" s="4" t="str">
        <f aca="false" t="array" ref="G64: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4" t="n">
        <f aca="false">COUNTIF(Events!$A$2:$A$397,$A64)</f>
        <v>0</v>
      </c>
      <c r="I64" s="6" t="str">
        <f aca="false" t="array" ref="I64:I64">_xlfn.TEXTJOIN(" | ",TRUE(),IF(Events!$A$2:$A$397=$A64,Events!$E$2:$E$397&amp;IF(Events!$G$2:$G$397="National",""," ["&amp;Events!$G$2:$G$397&amp;"]"),""))</f>
        <v/>
      </c>
    </row>
    <row r="65" customFormat="false" ht="15" hidden="false" customHeight="true" outlineLevel="0" collapsed="false">
      <c r="A65" s="3" t="n">
        <v>45355</v>
      </c>
      <c r="B65" s="4" t="n">
        <f aca="false">YEAR($A65)</f>
        <v>2024</v>
      </c>
      <c r="C65" s="4" t="n">
        <f aca="false">MONTH($A65)</f>
        <v>3</v>
      </c>
      <c r="D65" s="4" t="str">
        <f aca="false">TEXT($A65,"ddd")</f>
        <v>Mon</v>
      </c>
      <c r="E65" s="4" t="n">
        <f aca="false">IF(OR(AND(MONTH($A65)=10,DAY($A65)&gt;=15),MONTH($A65)=11,AND(MONTH($A65)=12,DAY($A65)&lt;=7)),1,0)</f>
        <v>0</v>
      </c>
      <c r="F65" s="4" t="n">
        <f aca="false">IF(MONTH($A65)&lt;=3,1,0)</f>
        <v>1</v>
      </c>
      <c r="G65" s="4" t="str">
        <f aca="false" t="array" ref="G65: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4" t="n">
        <f aca="false">COUNTIF(Events!$A$2:$A$397,$A65)</f>
        <v>0</v>
      </c>
      <c r="I65" s="6" t="str">
        <f aca="false" t="array" ref="I65:I65">_xlfn.TEXTJOIN(" | ",TRUE(),IF(Events!$A$2:$A$397=$A65,Events!$E$2:$E$397&amp;IF(Events!$G$2:$G$397="National",""," ["&amp;Events!$G$2:$G$397&amp;"]"),""))</f>
        <v/>
      </c>
    </row>
    <row r="66" customFormat="false" ht="15" hidden="false" customHeight="true" outlineLevel="0" collapsed="false">
      <c r="A66" s="3" t="n">
        <v>45356</v>
      </c>
      <c r="B66" s="4" t="n">
        <f aca="false">YEAR($A66)</f>
        <v>2024</v>
      </c>
      <c r="C66" s="4" t="n">
        <f aca="false">MONTH($A66)</f>
        <v>3</v>
      </c>
      <c r="D66" s="4" t="str">
        <f aca="false">TEXT($A66,"ddd")</f>
        <v>Tue</v>
      </c>
      <c r="E66" s="4" t="n">
        <f aca="false">IF(OR(AND(MONTH($A66)=10,DAY($A66)&gt;=15),MONTH($A66)=11,AND(MONTH($A66)=12,DAY($A66)&lt;=7)),1,0)</f>
        <v>0</v>
      </c>
      <c r="F66" s="4" t="n">
        <f aca="false">IF(MONTH($A66)&lt;=3,1,0)</f>
        <v>1</v>
      </c>
      <c r="G66" s="4" t="str">
        <f aca="false" t="array" ref="G66: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
      </c>
      <c r="H66" s="4" t="n">
        <f aca="false">COUNTIF(Events!$A$2:$A$397,$A66)</f>
        <v>0</v>
      </c>
      <c r="I66" s="6" t="str">
        <f aca="false" t="array" ref="I66:I66">_xlfn.TEXTJOIN(" | ",TRUE(),IF(Events!$A$2:$A$397=$A66,Events!$E$2:$E$397&amp;IF(Events!$G$2:$G$397="National",""," ["&amp;Events!$G$2:$G$397&amp;"]"),""))</f>
        <v/>
      </c>
    </row>
    <row r="67" customFormat="false" ht="15" hidden="false" customHeight="true" outlineLevel="0" collapsed="false">
      <c r="A67" s="3" t="n">
        <v>45357</v>
      </c>
      <c r="B67" s="4" t="n">
        <f aca="false">YEAR($A67)</f>
        <v>2024</v>
      </c>
      <c r="C67" s="4" t="n">
        <f aca="false">MONTH($A67)</f>
        <v>3</v>
      </c>
      <c r="D67" s="4" t="str">
        <f aca="false">TEXT($A67,"ddd")</f>
        <v>Wed</v>
      </c>
      <c r="E67" s="4" t="n">
        <f aca="false">IF(OR(AND(MONTH($A67)=10,DAY($A67)&gt;=15),MONTH($A67)=11,AND(MONTH($A67)=12,DAY($A67)&lt;=7)),1,0)</f>
        <v>0</v>
      </c>
      <c r="F67" s="4" t="n">
        <f aca="false">IF(MONTH($A67)&lt;=3,1,0)</f>
        <v>1</v>
      </c>
      <c r="G67" s="4" t="str">
        <f aca="false" t="array" ref="G67: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4" t="n">
        <f aca="false">COUNTIF(Events!$A$2:$A$397,$A67)</f>
        <v>0</v>
      </c>
      <c r="I67" s="6" t="str">
        <f aca="false" t="array" ref="I67:I67">_xlfn.TEXTJOIN(" | ",TRUE(),IF(Events!$A$2:$A$397=$A67,Events!$E$2:$E$397&amp;IF(Events!$G$2:$G$397="National",""," ["&amp;Events!$G$2:$G$397&amp;"]"),""))</f>
        <v/>
      </c>
    </row>
    <row r="68" customFormat="false" ht="15" hidden="false" customHeight="true" outlineLevel="0" collapsed="false">
      <c r="A68" s="3" t="n">
        <v>45358</v>
      </c>
      <c r="B68" s="4" t="n">
        <f aca="false">YEAR($A68)</f>
        <v>2024</v>
      </c>
      <c r="C68" s="4" t="n">
        <f aca="false">MONTH($A68)</f>
        <v>3</v>
      </c>
      <c r="D68" s="4" t="str">
        <f aca="false">TEXT($A68,"ddd")</f>
        <v>Thu</v>
      </c>
      <c r="E68" s="4" t="n">
        <f aca="false">IF(OR(AND(MONTH($A68)=10,DAY($A68)&gt;=15),MONTH($A68)=11,AND(MONTH($A68)=12,DAY($A68)&lt;=7)),1,0)</f>
        <v>0</v>
      </c>
      <c r="F68" s="4" t="n">
        <f aca="false">IF(MONTH($A68)&lt;=3,1,0)</f>
        <v>1</v>
      </c>
      <c r="G68" s="4" t="str">
        <f aca="false" t="array" ref="G68: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4" t="n">
        <f aca="false">COUNTIF(Events!$A$2:$A$397,$A68)</f>
        <v>0</v>
      </c>
      <c r="I68" s="6" t="str">
        <f aca="false" t="array" ref="I68:I68">_xlfn.TEXTJOIN(" | ",TRUE(),IF(Events!$A$2:$A$397=$A68,Events!$E$2:$E$397&amp;IF(Events!$G$2:$G$397="National",""," ["&amp;Events!$G$2:$G$397&amp;"]"),""))</f>
        <v/>
      </c>
    </row>
    <row r="69" customFormat="false" ht="15" hidden="false" customHeight="true" outlineLevel="0" collapsed="false">
      <c r="A69" s="3" t="n">
        <v>45359</v>
      </c>
      <c r="B69" s="4" t="n">
        <f aca="false">YEAR($A69)</f>
        <v>2024</v>
      </c>
      <c r="C69" s="4" t="n">
        <f aca="false">MONTH($A69)</f>
        <v>3</v>
      </c>
      <c r="D69" s="4" t="str">
        <f aca="false">TEXT($A69,"ddd")</f>
        <v>Fri</v>
      </c>
      <c r="E69" s="4" t="n">
        <f aca="false">IF(OR(AND(MONTH($A69)=10,DAY($A69)&gt;=15),MONTH($A69)=11,AND(MONTH($A69)=12,DAY($A69)&lt;=7)),1,0)</f>
        <v>0</v>
      </c>
      <c r="F69" s="4" t="n">
        <f aca="false">IF(MONTH($A69)&lt;=3,1,0)</f>
        <v>1</v>
      </c>
      <c r="G69" s="4" t="str">
        <f aca="false" t="array" ref="G69: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4" t="n">
        <f aca="false">COUNTIF(Events!$A$2:$A$397,$A69)</f>
        <v>0</v>
      </c>
      <c r="I69" s="6" t="str">
        <f aca="false" t="array" ref="I69:I69">_xlfn.TEXTJOIN(" | ",TRUE(),IF(Events!$A$2:$A$397=$A69,Events!$E$2:$E$397&amp;IF(Events!$G$2:$G$397="National",""," ["&amp;Events!$G$2:$G$397&amp;"]"),""))</f>
        <v/>
      </c>
    </row>
    <row r="70" customFormat="false" ht="15" hidden="false" customHeight="true" outlineLevel="0" collapsed="false">
      <c r="A70" s="3" t="n">
        <v>45360</v>
      </c>
      <c r="B70" s="4" t="n">
        <f aca="false">YEAR($A70)</f>
        <v>2024</v>
      </c>
      <c r="C70" s="4" t="n">
        <f aca="false">MONTH($A70)</f>
        <v>3</v>
      </c>
      <c r="D70" s="4" t="str">
        <f aca="false">TEXT($A70,"ddd")</f>
        <v>Sat</v>
      </c>
      <c r="E70" s="4" t="n">
        <f aca="false">IF(OR(AND(MONTH($A70)=10,DAY($A70)&gt;=15),MONTH($A70)=11,AND(MONTH($A70)=12,DAY($A70)&lt;=7)),1,0)</f>
        <v>0</v>
      </c>
      <c r="F70" s="4" t="n">
        <f aca="false">IF(MONTH($A70)&lt;=3,1,0)</f>
        <v>1</v>
      </c>
      <c r="G70" s="4" t="str">
        <f aca="false" t="array" ref="G70: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4" t="n">
        <f aca="false">COUNTIF(Events!$A$2:$A$397,$A70)</f>
        <v>0</v>
      </c>
      <c r="I70" s="6" t="str">
        <f aca="false" t="array" ref="I70:I70">_xlfn.TEXTJOIN(" | ",TRUE(),IF(Events!$A$2:$A$397=$A70,Events!$E$2:$E$397&amp;IF(Events!$G$2:$G$397="National",""," ["&amp;Events!$G$2:$G$397&amp;"]"),""))</f>
        <v/>
      </c>
    </row>
    <row r="71" customFormat="false" ht="15" hidden="false" customHeight="true" outlineLevel="0" collapsed="false">
      <c r="A71" s="3" t="n">
        <v>45361</v>
      </c>
      <c r="B71" s="4" t="n">
        <f aca="false">YEAR($A71)</f>
        <v>2024</v>
      </c>
      <c r="C71" s="4" t="n">
        <f aca="false">MONTH($A71)</f>
        <v>3</v>
      </c>
      <c r="D71" s="4" t="str">
        <f aca="false">TEXT($A71,"ddd")</f>
        <v>Sun</v>
      </c>
      <c r="E71" s="4" t="n">
        <f aca="false">IF(OR(AND(MONTH($A71)=10,DAY($A71)&gt;=15),MONTH($A71)=11,AND(MONTH($A71)=12,DAY($A71)&lt;=7)),1,0)</f>
        <v>0</v>
      </c>
      <c r="F71" s="4" t="n">
        <f aca="false">IF(MONTH($A71)&lt;=3,1,0)</f>
        <v>1</v>
      </c>
      <c r="G71" s="4" t="str">
        <f aca="false" t="array" ref="G71: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4" t="n">
        <f aca="false">COUNTIF(Events!$A$2:$A$397,$A71)</f>
        <v>0</v>
      </c>
      <c r="I71" s="6" t="str">
        <f aca="false" t="array" ref="I71:I71">_xlfn.TEXTJOIN(" | ",TRUE(),IF(Events!$A$2:$A$397=$A71,Events!$E$2:$E$397&amp;IF(Events!$G$2:$G$397="National",""," ["&amp;Events!$G$2:$G$397&amp;"]"),""))</f>
        <v/>
      </c>
    </row>
    <row r="72" customFormat="false" ht="15" hidden="false" customHeight="true" outlineLevel="0" collapsed="false">
      <c r="A72" s="3" t="n">
        <v>45362</v>
      </c>
      <c r="B72" s="4" t="n">
        <f aca="false">YEAR($A72)</f>
        <v>2024</v>
      </c>
      <c r="C72" s="4" t="n">
        <f aca="false">MONTH($A72)</f>
        <v>3</v>
      </c>
      <c r="D72" s="4" t="str">
        <f aca="false">TEXT($A72,"ddd")</f>
        <v>Mon</v>
      </c>
      <c r="E72" s="4" t="n">
        <f aca="false">IF(OR(AND(MONTH($A72)=10,DAY($A72)&gt;=15),MONTH($A72)=11,AND(MONTH($A72)=12,DAY($A72)&lt;=7)),1,0)</f>
        <v>0</v>
      </c>
      <c r="F72" s="4" t="n">
        <f aca="false">IF(MONTH($A72)&lt;=3,1,0)</f>
        <v>1</v>
      </c>
      <c r="G72" s="4" t="str">
        <f aca="false" t="array" ref="G72: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4" t="n">
        <f aca="false">COUNTIF(Events!$A$2:$A$397,$A72)</f>
        <v>0</v>
      </c>
      <c r="I72" s="6" t="str">
        <f aca="false" t="array" ref="I72:I72">_xlfn.TEXTJOIN(" | ",TRUE(),IF(Events!$A$2:$A$397=$A72,Events!$E$2:$E$397&amp;IF(Events!$G$2:$G$397="National",""," ["&amp;Events!$G$2:$G$397&amp;"]"),""))</f>
        <v/>
      </c>
    </row>
    <row r="73" customFormat="false" ht="15" hidden="false" customHeight="true" outlineLevel="0" collapsed="false">
      <c r="A73" s="3" t="n">
        <v>45363</v>
      </c>
      <c r="B73" s="4" t="n">
        <f aca="false">YEAR($A73)</f>
        <v>2024</v>
      </c>
      <c r="C73" s="4" t="n">
        <f aca="false">MONTH($A73)</f>
        <v>3</v>
      </c>
      <c r="D73" s="4" t="str">
        <f aca="false">TEXT($A73,"ddd")</f>
        <v>Tue</v>
      </c>
      <c r="E73" s="4" t="n">
        <f aca="false">IF(OR(AND(MONTH($A73)=10,DAY($A73)&gt;=15),MONTH($A73)=11,AND(MONTH($A73)=12,DAY($A73)&lt;=7)),1,0)</f>
        <v>0</v>
      </c>
      <c r="F73" s="4" t="n">
        <f aca="false">IF(MONTH($A73)&lt;=3,1,0)</f>
        <v>1</v>
      </c>
      <c r="G73" s="4" t="str">
        <f aca="false" t="array" ref="G73: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4" t="n">
        <f aca="false">COUNTIF(Events!$A$2:$A$397,$A73)</f>
        <v>0</v>
      </c>
      <c r="I73" s="6" t="str">
        <f aca="false" t="array" ref="I73:I73">_xlfn.TEXTJOIN(" | ",TRUE(),IF(Events!$A$2:$A$397=$A73,Events!$E$2:$E$397&amp;IF(Events!$G$2:$G$397="National",""," ["&amp;Events!$G$2:$G$397&amp;"]"),""))</f>
        <v/>
      </c>
    </row>
    <row r="74" customFormat="false" ht="15" hidden="false" customHeight="true" outlineLevel="0" collapsed="false">
      <c r="A74" s="3" t="n">
        <v>45364</v>
      </c>
      <c r="B74" s="4" t="n">
        <f aca="false">YEAR($A74)</f>
        <v>2024</v>
      </c>
      <c r="C74" s="4" t="n">
        <f aca="false">MONTH($A74)</f>
        <v>3</v>
      </c>
      <c r="D74" s="4" t="str">
        <f aca="false">TEXT($A74,"ddd")</f>
        <v>Wed</v>
      </c>
      <c r="E74" s="4" t="n">
        <f aca="false">IF(OR(AND(MONTH($A74)=10,DAY($A74)&gt;=15),MONTH($A74)=11,AND(MONTH($A74)=12,DAY($A74)&lt;=7)),1,0)</f>
        <v>0</v>
      </c>
      <c r="F74" s="4" t="n">
        <f aca="false">IF(MONTH($A74)&lt;=3,1,0)</f>
        <v>1</v>
      </c>
      <c r="G74" s="4" t="str">
        <f aca="false" t="array" ref="G74: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4" t="n">
        <f aca="false">COUNTIF(Events!$A$2:$A$397,$A74)</f>
        <v>0</v>
      </c>
      <c r="I74" s="6" t="str">
        <f aca="false" t="array" ref="I74:I74">_xlfn.TEXTJOIN(" | ",TRUE(),IF(Events!$A$2:$A$397=$A74,Events!$E$2:$E$397&amp;IF(Events!$G$2:$G$397="National",""," ["&amp;Events!$G$2:$G$397&amp;"]"),""))</f>
        <v/>
      </c>
    </row>
    <row r="75" customFormat="false" ht="15" hidden="false" customHeight="true" outlineLevel="0" collapsed="false">
      <c r="A75" s="3" t="n">
        <v>45365</v>
      </c>
      <c r="B75" s="4" t="n">
        <f aca="false">YEAR($A75)</f>
        <v>2024</v>
      </c>
      <c r="C75" s="4" t="n">
        <f aca="false">MONTH($A75)</f>
        <v>3</v>
      </c>
      <c r="D75" s="4" t="str">
        <f aca="false">TEXT($A75,"ddd")</f>
        <v>Thu</v>
      </c>
      <c r="E75" s="4" t="n">
        <f aca="false">IF(OR(AND(MONTH($A75)=10,DAY($A75)&gt;=15),MONTH($A75)=11,AND(MONTH($A75)=12,DAY($A75)&lt;=7)),1,0)</f>
        <v>0</v>
      </c>
      <c r="F75" s="4" t="n">
        <f aca="false">IF(MONTH($A75)&lt;=3,1,0)</f>
        <v>1</v>
      </c>
      <c r="G75" s="4" t="str">
        <f aca="false" t="array" ref="G75: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opens: Tornado [OH] DR-4777 | Disaster SEP opens: Severe Storm [OK] DR-4802</v>
      </c>
      <c r="H75" s="4" t="n">
        <f aca="false">COUNTIF(Events!$A$2:$A$397,$A75)</f>
        <v>0</v>
      </c>
      <c r="I75" s="6" t="str">
        <f aca="false" t="array" ref="I75:I75">_xlfn.TEXTJOIN(" | ",TRUE(),IF(Events!$A$2:$A$397=$A75,Events!$E$2:$E$397&amp;IF(Events!$G$2:$G$397="National",""," ["&amp;Events!$G$2:$G$397&amp;"]"),""))</f>
        <v/>
      </c>
    </row>
    <row r="76" customFormat="false" ht="15" hidden="false" customHeight="true" outlineLevel="0" collapsed="false">
      <c r="A76" s="3" t="n">
        <v>45366</v>
      </c>
      <c r="B76" s="4" t="n">
        <f aca="false">YEAR($A76)</f>
        <v>2024</v>
      </c>
      <c r="C76" s="4" t="n">
        <f aca="false">MONTH($A76)</f>
        <v>3</v>
      </c>
      <c r="D76" s="4" t="str">
        <f aca="false">TEXT($A76,"ddd")</f>
        <v>Fri</v>
      </c>
      <c r="E76" s="4" t="n">
        <f aca="false">IF(OR(AND(MONTH($A76)=10,DAY($A76)&gt;=15),MONTH($A76)=11,AND(MONTH($A76)=12,DAY($A76)&lt;=7)),1,0)</f>
        <v>0</v>
      </c>
      <c r="F76" s="4" t="n">
        <f aca="false">IF(MONTH($A76)&lt;=3,1,0)</f>
        <v>1</v>
      </c>
      <c r="G76" s="4" t="str">
        <f aca="false" t="array" ref="G76: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v>
      </c>
      <c r="H76" s="4" t="n">
        <f aca="false">COUNTIF(Events!$A$2:$A$397,$A76)</f>
        <v>0</v>
      </c>
      <c r="I76" s="6" t="str">
        <f aca="false" t="array" ref="I76:I76">_xlfn.TEXTJOIN(" | ",TRUE(),IF(Events!$A$2:$A$397=$A76,Events!$E$2:$E$397&amp;IF(Events!$G$2:$G$397="National",""," ["&amp;Events!$G$2:$G$397&amp;"]"),""))</f>
        <v/>
      </c>
    </row>
    <row r="77" customFormat="false" ht="15" hidden="false" customHeight="true" outlineLevel="0" collapsed="false">
      <c r="A77" s="3" t="n">
        <v>45367</v>
      </c>
      <c r="B77" s="4" t="n">
        <f aca="false">YEAR($A77)</f>
        <v>2024</v>
      </c>
      <c r="C77" s="4" t="n">
        <f aca="false">MONTH($A77)</f>
        <v>3</v>
      </c>
      <c r="D77" s="4" t="str">
        <f aca="false">TEXT($A77,"ddd")</f>
        <v>Sat</v>
      </c>
      <c r="E77" s="4" t="n">
        <f aca="false">IF(OR(AND(MONTH($A77)=10,DAY($A77)&gt;=15),MONTH($A77)=11,AND(MONTH($A77)=12,DAY($A77)&lt;=7)),1,0)</f>
        <v>0</v>
      </c>
      <c r="F77" s="4" t="n">
        <f aca="false">IF(MONTH($A77)&lt;=3,1,0)</f>
        <v>1</v>
      </c>
      <c r="G77" s="4" t="str">
        <f aca="false" t="array" ref="G77: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v>
      </c>
      <c r="H77" s="4" t="n">
        <f aca="false">COUNTIF(Events!$A$2:$A$397,$A77)</f>
        <v>0</v>
      </c>
      <c r="I77" s="6" t="str">
        <f aca="false" t="array" ref="I77:I77">_xlfn.TEXTJOIN(" | ",TRUE(),IF(Events!$A$2:$A$397=$A77,Events!$E$2:$E$397&amp;IF(Events!$G$2:$G$397="National",""," ["&amp;Events!$G$2:$G$397&amp;"]"),""))</f>
        <v/>
      </c>
    </row>
    <row r="78" customFormat="false" ht="15" hidden="false" customHeight="true" outlineLevel="0" collapsed="false">
      <c r="A78" s="3" t="n">
        <v>45368</v>
      </c>
      <c r="B78" s="4" t="n">
        <f aca="false">YEAR($A78)</f>
        <v>2024</v>
      </c>
      <c r="C78" s="4" t="n">
        <f aca="false">MONTH($A78)</f>
        <v>3</v>
      </c>
      <c r="D78" s="4" t="str">
        <f aca="false">TEXT($A78,"ddd")</f>
        <v>Sun</v>
      </c>
      <c r="E78" s="4" t="n">
        <f aca="false">IF(OR(AND(MONTH($A78)=10,DAY($A78)&gt;=15),MONTH($A78)=11,AND(MONTH($A78)=12,DAY($A78)&lt;=7)),1,0)</f>
        <v>0</v>
      </c>
      <c r="F78" s="4" t="n">
        <f aca="false">IF(MONTH($A78)&lt;=3,1,0)</f>
        <v>1</v>
      </c>
      <c r="G78" s="4" t="str">
        <f aca="false" t="array" ref="G78: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
      </c>
      <c r="H78" s="4" t="n">
        <f aca="false">COUNTIF(Events!$A$2:$A$397,$A78)</f>
        <v>0</v>
      </c>
      <c r="I78" s="6" t="str">
        <f aca="false" t="array" ref="I78:I78">_xlfn.TEXTJOIN(" | ",TRUE(),IF(Events!$A$2:$A$397=$A78,Events!$E$2:$E$397&amp;IF(Events!$G$2:$G$397="National",""," ["&amp;Events!$G$2:$G$397&amp;"]"),""))</f>
        <v/>
      </c>
    </row>
    <row r="79" customFormat="false" ht="15" hidden="false" customHeight="true" outlineLevel="0" collapsed="false">
      <c r="A79" s="3" t="n">
        <v>45369</v>
      </c>
      <c r="B79" s="4" t="n">
        <f aca="false">YEAR($A79)</f>
        <v>2024</v>
      </c>
      <c r="C79" s="4" t="n">
        <f aca="false">MONTH($A79)</f>
        <v>3</v>
      </c>
      <c r="D79" s="4" t="str">
        <f aca="false">TEXT($A79,"ddd")</f>
        <v>Mon</v>
      </c>
      <c r="E79" s="4" t="n">
        <f aca="false">IF(OR(AND(MONTH($A79)=10,DAY($A79)&gt;=15),MONTH($A79)=11,AND(MONTH($A79)=12,DAY($A79)&lt;=7)),1,0)</f>
        <v>0</v>
      </c>
      <c r="F79" s="4" t="n">
        <f aca="false">IF(MONTH($A79)&lt;=3,1,0)</f>
        <v>1</v>
      </c>
      <c r="G79" s="4" t="str">
        <f aca="false" t="array" ref="G79: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4" t="n">
        <f aca="false">COUNTIF(Events!$A$2:$A$397,$A79)</f>
        <v>0</v>
      </c>
      <c r="I79" s="6" t="str">
        <f aca="false" t="array" ref="I79:I79">_xlfn.TEXTJOIN(" | ",TRUE(),IF(Events!$A$2:$A$397=$A79,Events!$E$2:$E$397&amp;IF(Events!$G$2:$G$397="National",""," ["&amp;Events!$G$2:$G$397&amp;"]"),""))</f>
        <v/>
      </c>
    </row>
    <row r="80" customFormat="false" ht="15" hidden="false" customHeight="true" outlineLevel="0" collapsed="false">
      <c r="A80" s="3" t="n">
        <v>45370</v>
      </c>
      <c r="B80" s="4" t="n">
        <f aca="false">YEAR($A80)</f>
        <v>2024</v>
      </c>
      <c r="C80" s="4" t="n">
        <f aca="false">MONTH($A80)</f>
        <v>3</v>
      </c>
      <c r="D80" s="4" t="str">
        <f aca="false">TEXT($A80,"ddd")</f>
        <v>Tue</v>
      </c>
      <c r="E80" s="4" t="n">
        <f aca="false">IF(OR(AND(MONTH($A80)=10,DAY($A80)&gt;=15),MONTH($A80)=11,AND(MONTH($A80)=12,DAY($A80)&lt;=7)),1,0)</f>
        <v>0</v>
      </c>
      <c r="F80" s="4" t="n">
        <f aca="false">IF(MONTH($A80)&lt;=3,1,0)</f>
        <v>1</v>
      </c>
      <c r="G80" s="4" t="str">
        <f aca="false" t="array" ref="G80: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4" t="n">
        <f aca="false">COUNTIF(Events!$A$2:$A$397,$A80)</f>
        <v>0</v>
      </c>
      <c r="I80" s="6" t="str">
        <f aca="false" t="array" ref="I80:I80">_xlfn.TEXTJOIN(" | ",TRUE(),IF(Events!$A$2:$A$397=$A80,Events!$E$2:$E$397&amp;IF(Events!$G$2:$G$397="National",""," ["&amp;Events!$G$2:$G$397&amp;"]"),""))</f>
        <v/>
      </c>
    </row>
    <row r="81" customFormat="false" ht="15" hidden="false" customHeight="true" outlineLevel="0" collapsed="false">
      <c r="A81" s="3" t="n">
        <v>45371</v>
      </c>
      <c r="B81" s="4" t="n">
        <f aca="false">YEAR($A81)</f>
        <v>2024</v>
      </c>
      <c r="C81" s="4" t="n">
        <f aca="false">MONTH($A81)</f>
        <v>3</v>
      </c>
      <c r="D81" s="4" t="str">
        <f aca="false">TEXT($A81,"ddd")</f>
        <v>Wed</v>
      </c>
      <c r="E81" s="4" t="n">
        <f aca="false">IF(OR(AND(MONTH($A81)=10,DAY($A81)&gt;=15),MONTH($A81)=11,AND(MONTH($A81)=12,DAY($A81)&lt;=7)),1,0)</f>
        <v>0</v>
      </c>
      <c r="F81" s="4" t="n">
        <f aca="false">IF(MONTH($A81)&lt;=3,1,0)</f>
        <v>1</v>
      </c>
      <c r="G81" s="4" t="str">
        <f aca="false" t="array" ref="G81: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4" t="n">
        <f aca="false">COUNTIF(Events!$A$2:$A$397,$A81)</f>
        <v>0</v>
      </c>
      <c r="I81" s="6" t="str">
        <f aca="false" t="array" ref="I81:I81">_xlfn.TEXTJOIN(" | ",TRUE(),IF(Events!$A$2:$A$397=$A81,Events!$E$2:$E$397&amp;IF(Events!$G$2:$G$397="National",""," ["&amp;Events!$G$2:$G$397&amp;"]"),""))</f>
        <v/>
      </c>
    </row>
    <row r="82" customFormat="false" ht="15" hidden="false" customHeight="true" outlineLevel="0" collapsed="false">
      <c r="A82" s="3" t="n">
        <v>45372</v>
      </c>
      <c r="B82" s="4" t="n">
        <f aca="false">YEAR($A82)</f>
        <v>2024</v>
      </c>
      <c r="C82" s="4" t="n">
        <f aca="false">MONTH($A82)</f>
        <v>3</v>
      </c>
      <c r="D82" s="4" t="str">
        <f aca="false">TEXT($A82,"ddd")</f>
        <v>Thu</v>
      </c>
      <c r="E82" s="4" t="n">
        <f aca="false">IF(OR(AND(MONTH($A82)=10,DAY($A82)&gt;=15),MONTH($A82)=11,AND(MONTH($A82)=12,DAY($A82)&lt;=7)),1,0)</f>
        <v>0</v>
      </c>
      <c r="F82" s="4" t="n">
        <f aca="false">IF(MONTH($A82)&lt;=3,1,0)</f>
        <v>1</v>
      </c>
      <c r="G82" s="4" t="str">
        <f aca="false" t="array" ref="G82: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
      </c>
      <c r="H82" s="4" t="n">
        <f aca="false">COUNTIF(Events!$A$2:$A$397,$A82)</f>
        <v>0</v>
      </c>
      <c r="I82" s="6" t="str">
        <f aca="false" t="array" ref="I82:I82">_xlfn.TEXTJOIN(" | ",TRUE(),IF(Events!$A$2:$A$397=$A82,Events!$E$2:$E$397&amp;IF(Events!$G$2:$G$397="National",""," ["&amp;Events!$G$2:$G$397&amp;"]"),""))</f>
        <v/>
      </c>
    </row>
    <row r="83" customFormat="false" ht="15" hidden="false" customHeight="true" outlineLevel="0" collapsed="false">
      <c r="A83" s="3" t="n">
        <v>45373</v>
      </c>
      <c r="B83" s="4" t="n">
        <f aca="false">YEAR($A83)</f>
        <v>2024</v>
      </c>
      <c r="C83" s="4" t="n">
        <f aca="false">MONTH($A83)</f>
        <v>3</v>
      </c>
      <c r="D83" s="4" t="str">
        <f aca="false">TEXT($A83,"ddd")</f>
        <v>Fri</v>
      </c>
      <c r="E83" s="4" t="n">
        <f aca="false">IF(OR(AND(MONTH($A83)=10,DAY($A83)&gt;=15),MONTH($A83)=11,AND(MONTH($A83)=12,DAY($A83)&lt;=7)),1,0)</f>
        <v>0</v>
      </c>
      <c r="F83" s="4" t="n">
        <f aca="false">IF(MONTH($A83)&lt;=3,1,0)</f>
        <v>1</v>
      </c>
      <c r="G83" s="4" t="str">
        <f aca="false" t="array" ref="G83: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4" t="n">
        <f aca="false">COUNTIF(Events!$A$2:$A$397,$A83)</f>
        <v>0</v>
      </c>
      <c r="I83" s="6" t="str">
        <f aca="false" t="array" ref="I83:I83">_xlfn.TEXTJOIN(" | ",TRUE(),IF(Events!$A$2:$A$397=$A83,Events!$E$2:$E$397&amp;IF(Events!$G$2:$G$397="National",""," ["&amp;Events!$G$2:$G$397&amp;"]"),""))</f>
        <v/>
      </c>
    </row>
    <row r="84" customFormat="false" ht="15" hidden="false" customHeight="true" outlineLevel="0" collapsed="false">
      <c r="A84" s="3" t="n">
        <v>45374</v>
      </c>
      <c r="B84" s="4" t="n">
        <f aca="false">YEAR($A84)</f>
        <v>2024</v>
      </c>
      <c r="C84" s="4" t="n">
        <f aca="false">MONTH($A84)</f>
        <v>3</v>
      </c>
      <c r="D84" s="4" t="str">
        <f aca="false">TEXT($A84,"ddd")</f>
        <v>Sat</v>
      </c>
      <c r="E84" s="4" t="n">
        <f aca="false">IF(OR(AND(MONTH($A84)=10,DAY($A84)&gt;=15),MONTH($A84)=11,AND(MONTH($A84)=12,DAY($A84)&lt;=7)),1,0)</f>
        <v>0</v>
      </c>
      <c r="F84" s="4" t="n">
        <f aca="false">IF(MONTH($A84)&lt;=3,1,0)</f>
        <v>1</v>
      </c>
      <c r="G84" s="4" t="str">
        <f aca="false" t="array" ref="G84: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
      </c>
      <c r="H84" s="4" t="n">
        <f aca="false">COUNTIF(Events!$A$2:$A$397,$A84)</f>
        <v>0</v>
      </c>
      <c r="I84" s="6" t="str">
        <f aca="false" t="array" ref="I84:I84">_xlfn.TEXTJOIN(" | ",TRUE(),IF(Events!$A$2:$A$397=$A84,Events!$E$2:$E$397&amp;IF(Events!$G$2:$G$397="National",""," ["&amp;Events!$G$2:$G$397&amp;"]"),""))</f>
        <v/>
      </c>
    </row>
    <row r="85" customFormat="false" ht="15" hidden="false" customHeight="true" outlineLevel="0" collapsed="false">
      <c r="A85" s="3" t="n">
        <v>45375</v>
      </c>
      <c r="B85" s="4" t="n">
        <f aca="false">YEAR($A85)</f>
        <v>2024</v>
      </c>
      <c r="C85" s="4" t="n">
        <f aca="false">MONTH($A85)</f>
        <v>3</v>
      </c>
      <c r="D85" s="4" t="str">
        <f aca="false">TEXT($A85,"ddd")</f>
        <v>Sun</v>
      </c>
      <c r="E85" s="4" t="n">
        <f aca="false">IF(OR(AND(MONTH($A85)=10,DAY($A85)&gt;=15),MONTH($A85)=11,AND(MONTH($A85)=12,DAY($A85)&lt;=7)),1,0)</f>
        <v>0</v>
      </c>
      <c r="F85" s="4" t="n">
        <f aca="false">IF(MONTH($A85)&lt;=3,1,0)</f>
        <v>1</v>
      </c>
      <c r="G85" s="4" t="str">
        <f aca="false" t="array" ref="G85: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
      </c>
      <c r="H85" s="4" t="n">
        <f aca="false">COUNTIF(Events!$A$2:$A$397,$A85)</f>
        <v>0</v>
      </c>
      <c r="I85" s="6" t="str">
        <f aca="false" t="array" ref="I85:I85">_xlfn.TEXTJOIN(" | ",TRUE(),IF(Events!$A$2:$A$397=$A85,Events!$E$2:$E$397&amp;IF(Events!$G$2:$G$397="National",""," ["&amp;Events!$G$2:$G$397&amp;"]"),""))</f>
        <v/>
      </c>
    </row>
    <row r="86" customFormat="false" ht="15" hidden="false" customHeight="true" outlineLevel="0" collapsed="false">
      <c r="A86" s="3" t="n">
        <v>45376</v>
      </c>
      <c r="B86" s="4" t="n">
        <f aca="false">YEAR($A86)</f>
        <v>2024</v>
      </c>
      <c r="C86" s="4" t="n">
        <f aca="false">MONTH($A86)</f>
        <v>3</v>
      </c>
      <c r="D86" s="4" t="str">
        <f aca="false">TEXT($A86,"ddd")</f>
        <v>Mon</v>
      </c>
      <c r="E86" s="4" t="n">
        <f aca="false">IF(OR(AND(MONTH($A86)=10,DAY($A86)&gt;=15),MONTH($A86)=11,AND(MONTH($A86)=12,DAY($A86)&lt;=7)),1,0)</f>
        <v>0</v>
      </c>
      <c r="F86" s="4" t="n">
        <f aca="false">IF(MONTH($A86)&lt;=3,1,0)</f>
        <v>1</v>
      </c>
      <c r="G86" s="4" t="str">
        <f aca="false" t="array" ref="G86: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4" t="n">
        <f aca="false">COUNTIF(Events!$A$2:$A$397,$A86)</f>
        <v>0</v>
      </c>
      <c r="I86" s="6" t="str">
        <f aca="false" t="array" ref="I86:I86">_xlfn.TEXTJOIN(" | ",TRUE(),IF(Events!$A$2:$A$397=$A86,Events!$E$2:$E$397&amp;IF(Events!$G$2:$G$397="National",""," ["&amp;Events!$G$2:$G$397&amp;"]"),""))</f>
        <v/>
      </c>
    </row>
    <row r="87" customFormat="false" ht="15" hidden="false" customHeight="true" outlineLevel="0" collapsed="false">
      <c r="A87" s="3" t="n">
        <v>45377</v>
      </c>
      <c r="B87" s="4" t="n">
        <f aca="false">YEAR($A87)</f>
        <v>2024</v>
      </c>
      <c r="C87" s="4" t="n">
        <f aca="false">MONTH($A87)</f>
        <v>3</v>
      </c>
      <c r="D87" s="4" t="str">
        <f aca="false">TEXT($A87,"ddd")</f>
        <v>Tue</v>
      </c>
      <c r="E87" s="4" t="n">
        <f aca="false">IF(OR(AND(MONTH($A87)=10,DAY($A87)&gt;=15),MONTH($A87)=11,AND(MONTH($A87)=12,DAY($A87)&lt;=7)),1,0)</f>
        <v>0</v>
      </c>
      <c r="F87" s="4" t="n">
        <f aca="false">IF(MONTH($A87)&lt;=3,1,0)</f>
        <v>1</v>
      </c>
      <c r="G87" s="4" t="str">
        <f aca="false" t="array" ref="G87: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4" t="n">
        <f aca="false">COUNTIF(Events!$A$2:$A$397,$A87)</f>
        <v>0</v>
      </c>
      <c r="I87" s="6" t="str">
        <f aca="false" t="array" ref="I87:I87">_xlfn.TEXTJOIN(" | ",TRUE(),IF(Events!$A$2:$A$397=$A87,Events!$E$2:$E$397&amp;IF(Events!$G$2:$G$397="National",""," ["&amp;Events!$G$2:$G$397&amp;"]"),""))</f>
        <v/>
      </c>
    </row>
    <row r="88" customFormat="false" ht="15" hidden="false" customHeight="true" outlineLevel="0" collapsed="false">
      <c r="A88" s="3" t="n">
        <v>45378</v>
      </c>
      <c r="B88" s="4" t="n">
        <f aca="false">YEAR($A88)</f>
        <v>2024</v>
      </c>
      <c r="C88" s="4" t="n">
        <f aca="false">MONTH($A88)</f>
        <v>3</v>
      </c>
      <c r="D88" s="4" t="str">
        <f aca="false">TEXT($A88,"ddd")</f>
        <v>Wed</v>
      </c>
      <c r="E88" s="4" t="n">
        <f aca="false">IF(OR(AND(MONTH($A88)=10,DAY($A88)&gt;=15),MONTH($A88)=11,AND(MONTH($A88)=12,DAY($A88)&lt;=7)),1,0)</f>
        <v>0</v>
      </c>
      <c r="F88" s="4" t="n">
        <f aca="false">IF(MONTH($A88)&lt;=3,1,0)</f>
        <v>1</v>
      </c>
      <c r="G88" s="4" t="str">
        <f aca="false" t="array" ref="G88: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4" t="n">
        <f aca="false">COUNTIF(Events!$A$2:$A$397,$A88)</f>
        <v>0</v>
      </c>
      <c r="I88" s="6" t="str">
        <f aca="false" t="array" ref="I88:I88">_xlfn.TEXTJOIN(" | ",TRUE(),IF(Events!$A$2:$A$397=$A88,Events!$E$2:$E$397&amp;IF(Events!$G$2:$G$397="National",""," ["&amp;Events!$G$2:$G$397&amp;"]"),""))</f>
        <v/>
      </c>
    </row>
    <row r="89" customFormat="false" ht="15" hidden="false" customHeight="true" outlineLevel="0" collapsed="false">
      <c r="A89" s="3" t="n">
        <v>45379</v>
      </c>
      <c r="B89" s="4" t="n">
        <f aca="false">YEAR($A89)</f>
        <v>2024</v>
      </c>
      <c r="C89" s="4" t="n">
        <f aca="false">MONTH($A89)</f>
        <v>3</v>
      </c>
      <c r="D89" s="4" t="str">
        <f aca="false">TEXT($A89,"ddd")</f>
        <v>Thu</v>
      </c>
      <c r="E89" s="4" t="n">
        <f aca="false">IF(OR(AND(MONTH($A89)=10,DAY($A89)&gt;=15),MONTH($A89)=11,AND(MONTH($A89)=12,DAY($A89)&lt;=7)),1,0)</f>
        <v>0</v>
      </c>
      <c r="F89" s="4" t="n">
        <f aca="false">IF(MONTH($A89)&lt;=3,1,0)</f>
        <v>1</v>
      </c>
      <c r="G89" s="4" t="str">
        <f aca="false" t="array" ref="G89: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4" t="n">
        <f aca="false">COUNTIF(Events!$A$2:$A$397,$A89)</f>
        <v>0</v>
      </c>
      <c r="I89" s="6" t="str">
        <f aca="false" t="array" ref="I89:I89">_xlfn.TEXTJOIN(" | ",TRUE(),IF(Events!$A$2:$A$397=$A89,Events!$E$2:$E$397&amp;IF(Events!$G$2:$G$397="National",""," ["&amp;Events!$G$2:$G$397&amp;"]"),""))</f>
        <v/>
      </c>
    </row>
    <row r="90" customFormat="false" ht="15" hidden="false" customHeight="true" outlineLevel="0" collapsed="false">
      <c r="A90" s="3" t="n">
        <v>45380</v>
      </c>
      <c r="B90" s="4" t="n">
        <f aca="false">YEAR($A90)</f>
        <v>2024</v>
      </c>
      <c r="C90" s="4" t="n">
        <f aca="false">MONTH($A90)</f>
        <v>3</v>
      </c>
      <c r="D90" s="4" t="str">
        <f aca="false">TEXT($A90,"ddd")</f>
        <v>Fri</v>
      </c>
      <c r="E90" s="4" t="n">
        <f aca="false">IF(OR(AND(MONTH($A90)=10,DAY($A90)&gt;=15),MONTH($A90)=11,AND(MONTH($A90)=12,DAY($A90)&lt;=7)),1,0)</f>
        <v>0</v>
      </c>
      <c r="F90" s="4" t="n">
        <f aca="false">IF(MONTH($A90)&lt;=3,1,0)</f>
        <v>1</v>
      </c>
      <c r="G90" s="4" t="str">
        <f aca="false" t="array" ref="G90: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4" t="n">
        <f aca="false">COUNTIF(Events!$A$2:$A$397,$A90)</f>
        <v>0</v>
      </c>
      <c r="I90" s="6" t="str">
        <f aca="false" t="array" ref="I90:I90">_xlfn.TEXTJOIN(" | ",TRUE(),IF(Events!$A$2:$A$397=$A90,Events!$E$2:$E$397&amp;IF(Events!$G$2:$G$397="National",""," ["&amp;Events!$G$2:$G$397&amp;"]"),""))</f>
        <v/>
      </c>
    </row>
    <row r="91" customFormat="false" ht="15" hidden="false" customHeight="true" outlineLevel="0" collapsed="false">
      <c r="A91" s="3" t="n">
        <v>45381</v>
      </c>
      <c r="B91" s="4" t="n">
        <f aca="false">YEAR($A91)</f>
        <v>2024</v>
      </c>
      <c r="C91" s="4" t="n">
        <f aca="false">MONTH($A91)</f>
        <v>3</v>
      </c>
      <c r="D91" s="4" t="str">
        <f aca="false">TEXT($A91,"ddd")</f>
        <v>Sat</v>
      </c>
      <c r="E91" s="4" t="n">
        <f aca="false">IF(OR(AND(MONTH($A91)=10,DAY($A91)&gt;=15),MONTH($A91)=11,AND(MONTH($A91)=12,DAY($A91)&lt;=7)),1,0)</f>
        <v>0</v>
      </c>
      <c r="F91" s="4" t="n">
        <f aca="false">IF(MONTH($A91)&lt;=3,1,0)</f>
        <v>1</v>
      </c>
      <c r="G91" s="4" t="str">
        <f aca="false" t="array" ref="G91: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
      </c>
      <c r="H91" s="4" t="n">
        <f aca="false">COUNTIF(Events!$A$2:$A$397,$A91)</f>
        <v>0</v>
      </c>
      <c r="I91" s="6" t="str">
        <f aca="false" t="array" ref="I91:I91">_xlfn.TEXTJOIN(" | ",TRUE(),IF(Events!$A$2:$A$397=$A91,Events!$E$2:$E$397&amp;IF(Events!$G$2:$G$397="National",""," ["&amp;Events!$G$2:$G$397&amp;"]"),""))</f>
        <v/>
      </c>
    </row>
    <row r="92" customFormat="false" ht="14.25" hidden="false" customHeight="true" outlineLevel="0" collapsed="false">
      <c r="A92" s="3" t="n">
        <v>45382</v>
      </c>
      <c r="B92" s="4" t="n">
        <f aca="false">YEAR($A92)</f>
        <v>2024</v>
      </c>
      <c r="C92" s="4" t="n">
        <f aca="false">MONTH($A92)</f>
        <v>3</v>
      </c>
      <c r="D92" s="4" t="str">
        <f aca="false">TEXT($A92,"ddd")</f>
        <v>Sun</v>
      </c>
      <c r="E92" s="4" t="n">
        <f aca="false">IF(OR(AND(MONTH($A92)=10,DAY($A92)&gt;=15),MONTH($A92)=11,AND(MONTH($A92)=12,DAY($A92)&lt;=7)),1,0)</f>
        <v>0</v>
      </c>
      <c r="F92" s="4" t="n">
        <f aca="false">IF(MONTH($A92)&lt;=3,1,0)</f>
        <v>1</v>
      </c>
      <c r="G92" s="4" t="str">
        <f aca="false" t="array" ref="G92: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Disaster SEP ended: Severe Storm [WA] DR-4775 | Disaster SEP ended: Winter Storm [KS] DR-4774 | Disaster SEP ended: Severe Storm [ME] DR-4764 | Disaster SEP ended: Severe Storm [RI] DR-4766 | Disaster SEP ended: Severe Storm [VT] DR-4770 | Disaster SEP ended: Severe Storm [NH] DR-4771 | Disaster SEP ended: Severe Storm [CT] EM-3604 | Disaster SEP ended: Severe Storm [OR] DR-4768 | Disaster SEP ended: Flood [CA] DR-4758 | Disaster SEP ended: Severe Storm [CA] DR-4773 | Disaster SEP ended: Severe Storm [CA] DR-4769 | Disaster SEP ended: Severe Storm [CA] DR-4772</v>
      </c>
      <c r="H92" s="4" t="n">
        <f aca="false">COUNTIF(Events!$A$2:$A$397,$A92)</f>
        <v>0</v>
      </c>
      <c r="I92" s="6" t="str">
        <f aca="false" t="array" ref="I92:I92">_xlfn.TEXTJOIN(" | ",TRUE(),IF(Events!$A$2:$A$397=$A92,Events!$E$2:$E$397&amp;IF(Events!$G$2:$G$397="National",""," ["&amp;Events!$G$2:$G$397&amp;"]"),""))</f>
        <v/>
      </c>
    </row>
    <row r="93" customFormat="false" ht="15" hidden="false" customHeight="true" outlineLevel="0" collapsed="false">
      <c r="A93" s="3" t="n">
        <v>45383</v>
      </c>
      <c r="B93" s="4" t="n">
        <f aca="false">YEAR($A93)</f>
        <v>2024</v>
      </c>
      <c r="C93" s="4" t="n">
        <f aca="false">MONTH($A93)</f>
        <v>4</v>
      </c>
      <c r="D93" s="4" t="str">
        <f aca="false">TEXT($A93,"ddd")</f>
        <v>Mon</v>
      </c>
      <c r="E93" s="4" t="n">
        <f aca="false">IF(OR(AND(MONTH($A93)=10,DAY($A93)&gt;=15),MONTH($A93)=11,AND(MONTH($A93)=12,DAY($A93)&lt;=7)),1,0)</f>
        <v>0</v>
      </c>
      <c r="F93" s="4" t="n">
        <f aca="false">IF(MONTH($A93)&lt;=3,1,0)</f>
        <v>0</v>
      </c>
      <c r="G93" s="4" t="str">
        <f aca="false" t="array" ref="G93: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
      </c>
      <c r="H93" s="4" t="n">
        <f aca="false">COUNTIF(Events!$A$2:$A$397,$A93)</f>
        <v>1</v>
      </c>
      <c r="I93" s="6" t="str">
        <f aca="false" t="array" ref="I93:I93">_xlfn.TEXTJOIN(" | ",TRUE(),IF(Events!$A$2:$A$397=$A93,Events!$E$2:$E$397&amp;IF(Events!$G$2:$G$397="National",""," ["&amp;Events!$G$2:$G$397&amp;"]"),""))</f>
        <v>CY2025 Rate Announcement: final MA capitation rates (+3.70% avg) and Part C/D payment policies</v>
      </c>
    </row>
    <row r="94" customFormat="false" ht="15" hidden="false" customHeight="true" outlineLevel="0" collapsed="false">
      <c r="A94" s="3" t="n">
        <v>45384</v>
      </c>
      <c r="B94" s="4" t="n">
        <f aca="false">YEAR($A94)</f>
        <v>2024</v>
      </c>
      <c r="C94" s="4" t="n">
        <f aca="false">MONTH($A94)</f>
        <v>4</v>
      </c>
      <c r="D94" s="4" t="str">
        <f aca="false">TEXT($A94,"ddd")</f>
        <v>Tue</v>
      </c>
      <c r="E94" s="4" t="n">
        <f aca="false">IF(OR(AND(MONTH($A94)=10,DAY($A94)&gt;=15),MONTH($A94)=11,AND(MONTH($A94)=12,DAY($A94)&lt;=7)),1,0)</f>
        <v>0</v>
      </c>
      <c r="F94" s="4" t="n">
        <f aca="false">IF(MONTH($A94)&lt;=3,1,0)</f>
        <v>0</v>
      </c>
      <c r="G94" s="4" t="str">
        <f aca="false" t="array" ref="G94: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 | Disaster SEP opens: Severe Storm [KY] DR-4782 | Disaster SEP opens: Severe Storm [WV] DR-4783</v>
      </c>
      <c r="H94" s="4" t="n">
        <f aca="false">COUNTIF(Events!$A$2:$A$397,$A94)</f>
        <v>0</v>
      </c>
      <c r="I94" s="6" t="str">
        <f aca="false" t="array" ref="I94:I94">_xlfn.TEXTJOIN(" | ",TRUE(),IF(Events!$A$2:$A$397=$A94,Events!$E$2:$E$397&amp;IF(Events!$G$2:$G$397="National",""," ["&amp;Events!$G$2:$G$397&amp;"]"),""))</f>
        <v/>
      </c>
    </row>
    <row r="95" customFormat="false" ht="15" hidden="false" customHeight="true" outlineLevel="0" collapsed="false">
      <c r="A95" s="3" t="n">
        <v>45385</v>
      </c>
      <c r="B95" s="4" t="n">
        <f aca="false">YEAR($A95)</f>
        <v>2024</v>
      </c>
      <c r="C95" s="4" t="n">
        <f aca="false">MONTH($A95)</f>
        <v>4</v>
      </c>
      <c r="D95" s="4" t="str">
        <f aca="false">TEXT($A95,"ddd")</f>
        <v>Wed</v>
      </c>
      <c r="E95" s="4" t="n">
        <f aca="false">IF(OR(AND(MONTH($A95)=10,DAY($A95)&gt;=15),MONTH($A95)=11,AND(MONTH($A95)=12,DAY($A95)&lt;=7)),1,0)</f>
        <v>0</v>
      </c>
      <c r="F95" s="4" t="n">
        <f aca="false">IF(MONTH($A95)&lt;=3,1,0)</f>
        <v>0</v>
      </c>
      <c r="G95" s="4" t="str">
        <f aca="false" t="array" ref="G95: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Winter Storm [ME] DR-4785 | Disaster SEP opens: Winter Storm [NH] DR-4799</v>
      </c>
      <c r="H95" s="4" t="n">
        <f aca="false">COUNTIF(Events!$A$2:$A$397,$A95)</f>
        <v>0</v>
      </c>
      <c r="I95" s="6" t="str">
        <f aca="false" t="array" ref="I95:I95">_xlfn.TEXTJOIN(" | ",TRUE(),IF(Events!$A$2:$A$397=$A95,Events!$E$2:$E$397&amp;IF(Events!$G$2:$G$397="National",""," ["&amp;Events!$G$2:$G$397&amp;"]"),""))</f>
        <v/>
      </c>
    </row>
    <row r="96" customFormat="false" ht="15" hidden="false" customHeight="true" outlineLevel="0" collapsed="false">
      <c r="A96" s="3" t="n">
        <v>45386</v>
      </c>
      <c r="B96" s="4" t="n">
        <f aca="false">YEAR($A96)</f>
        <v>2024</v>
      </c>
      <c r="C96" s="4" t="n">
        <f aca="false">MONTH($A96)</f>
        <v>4</v>
      </c>
      <c r="D96" s="4" t="str">
        <f aca="false">TEXT($A96,"ddd")</f>
        <v>Thu</v>
      </c>
      <c r="E96" s="4" t="n">
        <f aca="false">IF(OR(AND(MONTH($A96)=10,DAY($A96)&gt;=15),MONTH($A96)=11,AND(MONTH($A96)=12,DAY($A96)&lt;=7)),1,0)</f>
        <v>0</v>
      </c>
      <c r="F96" s="4" t="n">
        <f aca="false">IF(MONTH($A96)&lt;=3,1,0)</f>
        <v>0</v>
      </c>
      <c r="G96" s="4" t="str">
        <f aca="false" t="array" ref="G96: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4" t="n">
        <f aca="false">COUNTIF(Events!$A$2:$A$397,$A96)</f>
        <v>1</v>
      </c>
      <c r="I96" s="6" t="str">
        <f aca="false" t="array" ref="I96:I96">_xlfn.TEXTJOIN(" | ",TRUE(),IF(Events!$A$2:$A$397=$A96,Events!$E$2:$E$397&amp;IF(Events!$G$2:$G$397="National",""," ["&amp;Events!$G$2:$G$397&amp;"]"),""))</f>
        <v>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v>
      </c>
    </row>
    <row r="97" customFormat="false" ht="15" hidden="false" customHeight="true" outlineLevel="0" collapsed="false">
      <c r="A97" s="3" t="n">
        <v>45387</v>
      </c>
      <c r="B97" s="4" t="n">
        <f aca="false">YEAR($A97)</f>
        <v>2024</v>
      </c>
      <c r="C97" s="4" t="n">
        <f aca="false">MONTH($A97)</f>
        <v>4</v>
      </c>
      <c r="D97" s="4" t="str">
        <f aca="false">TEXT($A97,"ddd")</f>
        <v>Fri</v>
      </c>
      <c r="E97" s="4" t="n">
        <f aca="false">IF(OR(AND(MONTH($A97)=10,DAY($A97)&gt;=15),MONTH($A97)=11,AND(MONTH($A97)=12,DAY($A97)&lt;=7)),1,0)</f>
        <v>0</v>
      </c>
      <c r="F97" s="4" t="n">
        <f aca="false">IF(MONTH($A97)&lt;=3,1,0)</f>
        <v>0</v>
      </c>
      <c r="G97" s="4" t="str">
        <f aca="false" t="array" ref="G97: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4" t="n">
        <f aca="false">COUNTIF(Events!$A$2:$A$397,$A97)</f>
        <v>0</v>
      </c>
      <c r="I97" s="6" t="str">
        <f aca="false" t="array" ref="I97:I97">_xlfn.TEXTJOIN(" | ",TRUE(),IF(Events!$A$2:$A$397=$A97,Events!$E$2:$E$397&amp;IF(Events!$G$2:$G$397="National",""," ["&amp;Events!$G$2:$G$397&amp;"]"),""))</f>
        <v/>
      </c>
    </row>
    <row r="98" customFormat="false" ht="15" hidden="false" customHeight="true" outlineLevel="0" collapsed="false">
      <c r="A98" s="3" t="n">
        <v>45388</v>
      </c>
      <c r="B98" s="4" t="n">
        <f aca="false">YEAR($A98)</f>
        <v>2024</v>
      </c>
      <c r="C98" s="4" t="n">
        <f aca="false">MONTH($A98)</f>
        <v>4</v>
      </c>
      <c r="D98" s="4" t="str">
        <f aca="false">TEXT($A98,"ddd")</f>
        <v>Sat</v>
      </c>
      <c r="E98" s="4" t="n">
        <f aca="false">IF(OR(AND(MONTH($A98)=10,DAY($A98)&gt;=15),MONTH($A98)=11,AND(MONTH($A98)=12,DAY($A98)&lt;=7)),1,0)</f>
        <v>0</v>
      </c>
      <c r="F98" s="4" t="n">
        <f aca="false">IF(MONTH($A98)&lt;=3,1,0)</f>
        <v>0</v>
      </c>
      <c r="G98" s="4" t="str">
        <f aca="false" t="array" ref="G98: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Severe Storm [NE] DR-4786</v>
      </c>
      <c r="H98" s="4" t="n">
        <f aca="false">COUNTIF(Events!$A$2:$A$397,$A98)</f>
        <v>0</v>
      </c>
      <c r="I98" s="6" t="str">
        <f aca="false" t="array" ref="I98:I98">_xlfn.TEXTJOIN(" | ",TRUE(),IF(Events!$A$2:$A$397=$A98,Events!$E$2:$E$397&amp;IF(Events!$G$2:$G$397="National",""," ["&amp;Events!$G$2:$G$397&amp;"]"),""))</f>
        <v/>
      </c>
    </row>
    <row r="99" customFormat="false" ht="15" hidden="false" customHeight="true" outlineLevel="0" collapsed="false">
      <c r="A99" s="3" t="n">
        <v>45389</v>
      </c>
      <c r="B99" s="4" t="n">
        <f aca="false">YEAR($A99)</f>
        <v>2024</v>
      </c>
      <c r="C99" s="4" t="n">
        <f aca="false">MONTH($A99)</f>
        <v>4</v>
      </c>
      <c r="D99" s="4" t="str">
        <f aca="false">TEXT($A99,"ddd")</f>
        <v>Sun</v>
      </c>
      <c r="E99" s="4" t="n">
        <f aca="false">IF(OR(AND(MONTH($A99)=10,DAY($A99)&gt;=15),MONTH($A99)=11,AND(MONTH($A99)=12,DAY($A99)&lt;=7)),1,0)</f>
        <v>0</v>
      </c>
      <c r="F99" s="4" t="n">
        <f aca="false">IF(MONTH($A99)&lt;=3,1,0)</f>
        <v>0</v>
      </c>
      <c r="G99" s="4" t="str">
        <f aca="false" t="array" ref="G99: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v>
      </c>
      <c r="H99" s="4" t="n">
        <f aca="false">COUNTIF(Events!$A$2:$A$397,$A99)</f>
        <v>0</v>
      </c>
      <c r="I99" s="6" t="str">
        <f aca="false" t="array" ref="I99:I99">_xlfn.TEXTJOIN(" | ",TRUE(),IF(Events!$A$2:$A$397=$A99,Events!$E$2:$E$397&amp;IF(Events!$G$2:$G$397="National",""," ["&amp;Events!$G$2:$G$397&amp;"]"),""))</f>
        <v/>
      </c>
    </row>
    <row r="100" customFormat="false" ht="15" hidden="false" customHeight="true" outlineLevel="0" collapsed="false">
      <c r="A100" s="3" t="n">
        <v>45390</v>
      </c>
      <c r="B100" s="4" t="n">
        <f aca="false">YEAR($A100)</f>
        <v>2024</v>
      </c>
      <c r="C100" s="4" t="n">
        <f aca="false">MONTH($A100)</f>
        <v>4</v>
      </c>
      <c r="D100" s="4" t="str">
        <f aca="false">TEXT($A100,"ddd")</f>
        <v>Mon</v>
      </c>
      <c r="E100" s="4" t="n">
        <f aca="false">IF(OR(AND(MONTH($A100)=10,DAY($A100)&gt;=15),MONTH($A100)=11,AND(MONTH($A100)=12,DAY($A100)&lt;=7)),1,0)</f>
        <v>0</v>
      </c>
      <c r="F100" s="4" t="n">
        <f aca="false">IF(MONTH($A100)&lt;=3,1,0)</f>
        <v>0</v>
      </c>
      <c r="G100" s="4" t="str">
        <f aca="false" t="array" ref="G100: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[MS] DR-4790</v>
      </c>
      <c r="H100" s="4" t="n">
        <f aca="false">COUNTIF(Events!$A$2:$A$397,$A100)</f>
        <v>0</v>
      </c>
      <c r="I100" s="6" t="str">
        <f aca="false" t="array" ref="I100:I100">_xlfn.TEXTJOIN(" | ",TRUE(),IF(Events!$A$2:$A$397=$A100,Events!$E$2:$E$397&amp;IF(Events!$G$2:$G$397="National",""," ["&amp;Events!$G$2:$G$397&amp;"]"),""))</f>
        <v/>
      </c>
    </row>
    <row r="101" customFormat="false" ht="15" hidden="false" customHeight="true" outlineLevel="0" collapsed="false">
      <c r="A101" s="3" t="n">
        <v>45391</v>
      </c>
      <c r="B101" s="4" t="n">
        <f aca="false">YEAR($A101)</f>
        <v>2024</v>
      </c>
      <c r="C101" s="4" t="n">
        <f aca="false">MONTH($A101)</f>
        <v>4</v>
      </c>
      <c r="D101" s="4" t="str">
        <f aca="false">TEXT($A101,"ddd")</f>
        <v>Tue</v>
      </c>
      <c r="E101" s="4" t="n">
        <f aca="false">IF(OR(AND(MONTH($A101)=10,DAY($A101)&gt;=15),MONTH($A101)=11,AND(MONTH($A101)=12,DAY($A101)&lt;=7)),1,0)</f>
        <v>0</v>
      </c>
      <c r="F101" s="4" t="n">
        <f aca="false">IF(MONTH($A101)&lt;=3,1,0)</f>
        <v>0</v>
      </c>
      <c r="G101" s="4" t="str">
        <f aca="false" t="array" ref="G101: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4" t="n">
        <f aca="false">COUNTIF(Events!$A$2:$A$397,$A101)</f>
        <v>0</v>
      </c>
      <c r="I101" s="6" t="str">
        <f aca="false" t="array" ref="I101:I101">_xlfn.TEXTJOIN(" | ",TRUE(),IF(Events!$A$2:$A$397=$A101,Events!$E$2:$E$397&amp;IF(Events!$G$2:$G$397="National",""," ["&amp;Events!$G$2:$G$397&amp;"]"),""))</f>
        <v/>
      </c>
    </row>
    <row r="102" customFormat="false" ht="15" hidden="false" customHeight="true" outlineLevel="0" collapsed="false">
      <c r="A102" s="3" t="n">
        <v>45392</v>
      </c>
      <c r="B102" s="4" t="n">
        <f aca="false">YEAR($A102)</f>
        <v>2024</v>
      </c>
      <c r="C102" s="4" t="n">
        <f aca="false">MONTH($A102)</f>
        <v>4</v>
      </c>
      <c r="D102" s="4" t="str">
        <f aca="false">TEXT($A102,"ddd")</f>
        <v>Wed</v>
      </c>
      <c r="E102" s="4" t="n">
        <f aca="false">IF(OR(AND(MONTH($A102)=10,DAY($A102)&gt;=15),MONTH($A102)=11,AND(MONTH($A102)=12,DAY($A102)&lt;=7)),1,0)</f>
        <v>0</v>
      </c>
      <c r="F102" s="4" t="n">
        <f aca="false">IF(MONTH($A102)&lt;=3,1,0)</f>
        <v>0</v>
      </c>
      <c r="G102" s="4" t="str">
        <f aca="false" t="array" ref="G102: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
      </c>
      <c r="H102" s="4" t="n">
        <f aca="false">COUNTIF(Events!$A$2:$A$397,$A102)</f>
        <v>0</v>
      </c>
      <c r="I102" s="6" t="str">
        <f aca="false" t="array" ref="I102:I102">_xlfn.TEXTJOIN(" | ",TRUE(),IF(Events!$A$2:$A$397=$A102,Events!$E$2:$E$397&amp;IF(Events!$G$2:$G$397="National",""," ["&amp;Events!$G$2:$G$397&amp;"]"),""))</f>
        <v/>
      </c>
    </row>
    <row r="103" customFormat="false" ht="15" hidden="false" customHeight="true" outlineLevel="0" collapsed="false">
      <c r="A103" s="3" t="n">
        <v>45393</v>
      </c>
      <c r="B103" s="4" t="n">
        <f aca="false">YEAR($A103)</f>
        <v>2024</v>
      </c>
      <c r="C103" s="4" t="n">
        <f aca="false">MONTH($A103)</f>
        <v>4</v>
      </c>
      <c r="D103" s="4" t="str">
        <f aca="false">TEXT($A103,"ddd")</f>
        <v>Thu</v>
      </c>
      <c r="E103" s="4" t="n">
        <f aca="false">IF(OR(AND(MONTH($A103)=10,DAY($A103)&gt;=15),MONTH($A103)=11,AND(MONTH($A103)=12,DAY($A103)&lt;=7)),1,0)</f>
        <v>0</v>
      </c>
      <c r="F103" s="4" t="n">
        <f aca="false">IF(MONTH($A103)&lt;=3,1,0)</f>
        <v>0</v>
      </c>
      <c r="G103" s="4" t="str">
        <f aca="false" t="array" ref="G103: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 | Disaster SEP opens: Flood [WV] DR-4787 | Disaster SEP opens: Flood [HI] DR-4793</v>
      </c>
      <c r="H103" s="4" t="n">
        <f aca="false">COUNTIF(Events!$A$2:$A$397,$A103)</f>
        <v>0</v>
      </c>
      <c r="I103" s="6" t="str">
        <f aca="false" t="array" ref="I103:I103">_xlfn.TEXTJOIN(" | ",TRUE(),IF(Events!$A$2:$A$397=$A103,Events!$E$2:$E$397&amp;IF(Events!$G$2:$G$397="National",""," ["&amp;Events!$G$2:$G$397&amp;"]"),""))</f>
        <v/>
      </c>
    </row>
    <row r="104" customFormat="false" ht="15" hidden="false" customHeight="true" outlineLevel="0" collapsed="false">
      <c r="A104" s="3" t="n">
        <v>45394</v>
      </c>
      <c r="B104" s="4" t="n">
        <f aca="false">YEAR($A104)</f>
        <v>2024</v>
      </c>
      <c r="C104" s="4" t="n">
        <f aca="false">MONTH($A104)</f>
        <v>4</v>
      </c>
      <c r="D104" s="4" t="str">
        <f aca="false">TEXT($A104,"ddd")</f>
        <v>Fri</v>
      </c>
      <c r="E104" s="4" t="n">
        <f aca="false">IF(OR(AND(MONTH($A104)=10,DAY($A104)&gt;=15),MONTH($A104)=11,AND(MONTH($A104)=12,DAY($A104)&lt;=7)),1,0)</f>
        <v>0</v>
      </c>
      <c r="F104" s="4" t="n">
        <f aca="false">IF(MONTH($A104)&lt;=3,1,0)</f>
        <v>0</v>
      </c>
      <c r="G104" s="4" t="str">
        <f aca="false" t="array" ref="G104: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v>
      </c>
      <c r="H104" s="4" t="n">
        <f aca="false">COUNTIF(Events!$A$2:$A$397,$A104)</f>
        <v>0</v>
      </c>
      <c r="I104" s="6" t="str">
        <f aca="false" t="array" ref="I104:I104">_xlfn.TEXTJOIN(" | ",TRUE(),IF(Events!$A$2:$A$397=$A104,Events!$E$2:$E$397&amp;IF(Events!$G$2:$G$397="National",""," ["&amp;Events!$G$2:$G$397&amp;"]"),""))</f>
        <v/>
      </c>
    </row>
    <row r="105" customFormat="false" ht="15" hidden="false" customHeight="true" outlineLevel="0" collapsed="false">
      <c r="A105" s="3" t="n">
        <v>45395</v>
      </c>
      <c r="B105" s="4" t="n">
        <f aca="false">YEAR($A105)</f>
        <v>2024</v>
      </c>
      <c r="C105" s="4" t="n">
        <f aca="false">MONTH($A105)</f>
        <v>4</v>
      </c>
      <c r="D105" s="4" t="str">
        <f aca="false">TEXT($A105,"ddd")</f>
        <v>Sat</v>
      </c>
      <c r="E105" s="4" t="n">
        <f aca="false">IF(OR(AND(MONTH($A105)=10,DAY($A105)&gt;=15),MONTH($A105)=11,AND(MONTH($A105)=12,DAY($A105)&lt;=7)),1,0)</f>
        <v>0</v>
      </c>
      <c r="F105" s="4" t="n">
        <f aca="false">IF(MONTH($A105)&lt;=3,1,0)</f>
        <v>0</v>
      </c>
      <c r="G105" s="4" t="str">
        <f aca="false" t="array" ref="G105: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
      </c>
      <c r="H105" s="4" t="n">
        <f aca="false">COUNTIF(Events!$A$2:$A$397,$A105)</f>
        <v>0</v>
      </c>
      <c r="I105" s="6" t="str">
        <f aca="false" t="array" ref="I105:I105">_xlfn.TEXTJOIN(" | ",TRUE(),IF(Events!$A$2:$A$397=$A105,Events!$E$2:$E$397&amp;IF(Events!$G$2:$G$397="National",""," ["&amp;Events!$G$2:$G$397&amp;"]"),""))</f>
        <v/>
      </c>
    </row>
    <row r="106" customFormat="false" ht="15" hidden="false" customHeight="true" outlineLevel="0" collapsed="false">
      <c r="A106" s="3" t="n">
        <v>45396</v>
      </c>
      <c r="B106" s="4" t="n">
        <f aca="false">YEAR($A106)</f>
        <v>2024</v>
      </c>
      <c r="C106" s="4" t="n">
        <f aca="false">MONTH($A106)</f>
        <v>4</v>
      </c>
      <c r="D106" s="4" t="str">
        <f aca="false">TEXT($A106,"ddd")</f>
        <v>Sun</v>
      </c>
      <c r="E106" s="4" t="n">
        <f aca="false">IF(OR(AND(MONTH($A106)=10,DAY($A106)&gt;=15),MONTH($A106)=11,AND(MONTH($A106)=12,DAY($A106)&lt;=7)),1,0)</f>
        <v>0</v>
      </c>
      <c r="F106" s="4" t="n">
        <f aca="false">IF(MONTH($A106)&lt;=3,1,0)</f>
        <v>0</v>
      </c>
      <c r="G106" s="4" t="str">
        <f aca="false" t="array" ref="G106: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 | Disaster SEP opens: Flood [ID] DR-4789</v>
      </c>
      <c r="H106" s="4" t="n">
        <f aca="false">COUNTIF(Events!$A$2:$A$397,$A106)</f>
        <v>0</v>
      </c>
      <c r="I106" s="6" t="str">
        <f aca="false" t="array" ref="I106:I106">_xlfn.TEXTJOIN(" | ",TRUE(),IF(Events!$A$2:$A$397=$A106,Events!$E$2:$E$397&amp;IF(Events!$G$2:$G$397="National",""," ["&amp;Events!$G$2:$G$397&amp;"]"),""))</f>
        <v/>
      </c>
    </row>
    <row r="107" customFormat="false" ht="15" hidden="false" customHeight="true" outlineLevel="0" collapsed="false">
      <c r="A107" s="3" t="n">
        <v>45397</v>
      </c>
      <c r="B107" s="4" t="n">
        <f aca="false">YEAR($A107)</f>
        <v>2024</v>
      </c>
      <c r="C107" s="4" t="n">
        <f aca="false">MONTH($A107)</f>
        <v>4</v>
      </c>
      <c r="D107" s="4" t="str">
        <f aca="false">TEXT($A107,"ddd")</f>
        <v>Mon</v>
      </c>
      <c r="E107" s="4" t="n">
        <f aca="false">IF(OR(AND(MONTH($A107)=10,DAY($A107)&gt;=15),MONTH($A107)=11,AND(MONTH($A107)=12,DAY($A107)&lt;=7)),1,0)</f>
        <v>0</v>
      </c>
      <c r="F107" s="4" t="n">
        <f aca="false">IF(MONTH($A107)&lt;=3,1,0)</f>
        <v>0</v>
      </c>
      <c r="G107" s="4" t="str">
        <f aca="false" t="array" ref="G107: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v>
      </c>
      <c r="H107" s="4" t="n">
        <f aca="false">COUNTIF(Events!$A$2:$A$397,$A107)</f>
        <v>0</v>
      </c>
      <c r="I107" s="6" t="str">
        <f aca="false" t="array" ref="I107:I107">_xlfn.TEXTJOIN(" | ",TRUE(),IF(Events!$A$2:$A$397=$A107,Events!$E$2:$E$397&amp;IF(Events!$G$2:$G$397="National",""," ["&amp;Events!$G$2:$G$397&amp;"]"),""))</f>
        <v/>
      </c>
    </row>
    <row r="108" customFormat="false" ht="15" hidden="false" customHeight="true" outlineLevel="0" collapsed="false">
      <c r="A108" s="3" t="n">
        <v>45398</v>
      </c>
      <c r="B108" s="4" t="n">
        <f aca="false">YEAR($A108)</f>
        <v>2024</v>
      </c>
      <c r="C108" s="4" t="n">
        <f aca="false">MONTH($A108)</f>
        <v>4</v>
      </c>
      <c r="D108" s="4" t="str">
        <f aca="false">TEXT($A108,"ddd")</f>
        <v>Tue</v>
      </c>
      <c r="E108" s="4" t="n">
        <f aca="false">IF(OR(AND(MONTH($A108)=10,DAY($A108)&gt;=15),MONTH($A108)=11,AND(MONTH($A108)=12,DAY($A108)&lt;=7)),1,0)</f>
        <v>0</v>
      </c>
      <c r="F108" s="4" t="n">
        <f aca="false">IF(MONTH($A108)&lt;=3,1,0)</f>
        <v>0</v>
      </c>
      <c r="G108" s="4" t="str">
        <f aca="false" t="array" ref="G108: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
      </c>
      <c r="H108" s="4" t="n">
        <f aca="false">COUNTIF(Events!$A$2:$A$397,$A108)</f>
        <v>0</v>
      </c>
      <c r="I108" s="6" t="str">
        <f aca="false" t="array" ref="I108:I108">_xlfn.TEXTJOIN(" | ",TRUE(),IF(Events!$A$2:$A$397=$A108,Events!$E$2:$E$397&amp;IF(Events!$G$2:$G$397="National",""," ["&amp;Events!$G$2:$G$397&amp;"]"),""))</f>
        <v/>
      </c>
    </row>
    <row r="109" customFormat="false" ht="15" hidden="false" customHeight="true" outlineLevel="0" collapsed="false">
      <c r="A109" s="3" t="n">
        <v>45399</v>
      </c>
      <c r="B109" s="4" t="n">
        <f aca="false">YEAR($A109)</f>
        <v>2024</v>
      </c>
      <c r="C109" s="4" t="n">
        <f aca="false">MONTH($A109)</f>
        <v>4</v>
      </c>
      <c r="D109" s="4" t="str">
        <f aca="false">TEXT($A109,"ddd")</f>
        <v>Wed</v>
      </c>
      <c r="E109" s="4" t="n">
        <f aca="false">IF(OR(AND(MONTH($A109)=10,DAY($A109)&gt;=15),MONTH($A109)=11,AND(MONTH($A109)=12,DAY($A109)&lt;=7)),1,0)</f>
        <v>0</v>
      </c>
      <c r="F109" s="4" t="n">
        <f aca="false">IF(MONTH($A109)&lt;=3,1,0)</f>
        <v>0</v>
      </c>
      <c r="G109" s="4" t="str">
        <f aca="false" t="array" ref="G109: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4" t="n">
        <f aca="false">COUNTIF(Events!$A$2:$A$397,$A109)</f>
        <v>0</v>
      </c>
      <c r="I109" s="6" t="str">
        <f aca="false" t="array" ref="I109:I109">_xlfn.TEXTJOIN(" | ",TRUE(),IF(Events!$A$2:$A$397=$A109,Events!$E$2:$E$397&amp;IF(Events!$G$2:$G$397="National",""," ["&amp;Events!$G$2:$G$397&amp;"]"),""))</f>
        <v/>
      </c>
    </row>
    <row r="110" customFormat="false" ht="15" hidden="false" customHeight="true" outlineLevel="0" collapsed="false">
      <c r="A110" s="3" t="n">
        <v>45400</v>
      </c>
      <c r="B110" s="4" t="n">
        <f aca="false">YEAR($A110)</f>
        <v>2024</v>
      </c>
      <c r="C110" s="4" t="n">
        <f aca="false">MONTH($A110)</f>
        <v>4</v>
      </c>
      <c r="D110" s="4" t="str">
        <f aca="false">TEXT($A110,"ddd")</f>
        <v>Thu</v>
      </c>
      <c r="E110" s="4" t="n">
        <f aca="false">IF(OR(AND(MONTH($A110)=10,DAY($A110)&gt;=15),MONTH($A110)=11,AND(MONTH($A110)=12,DAY($A110)&lt;=7)),1,0)</f>
        <v>0</v>
      </c>
      <c r="F110" s="4" t="n">
        <f aca="false">IF(MONTH($A110)&lt;=3,1,0)</f>
        <v>0</v>
      </c>
      <c r="G110" s="4" t="str">
        <f aca="false" t="array" ref="G110: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4" t="n">
        <f aca="false">COUNTIF(Events!$A$2:$A$397,$A110)</f>
        <v>0</v>
      </c>
      <c r="I110" s="6" t="str">
        <f aca="false" t="array" ref="I110:I110">_xlfn.TEXTJOIN(" | ",TRUE(),IF(Events!$A$2:$A$397=$A110,Events!$E$2:$E$397&amp;IF(Events!$G$2:$G$397="National",""," ["&amp;Events!$G$2:$G$397&amp;"]"),""))</f>
        <v/>
      </c>
    </row>
    <row r="111" customFormat="false" ht="15" hidden="false" customHeight="true" outlineLevel="0" collapsed="false">
      <c r="A111" s="3" t="n">
        <v>45401</v>
      </c>
      <c r="B111" s="4" t="n">
        <f aca="false">YEAR($A111)</f>
        <v>2024</v>
      </c>
      <c r="C111" s="4" t="n">
        <f aca="false">MONTH($A111)</f>
        <v>4</v>
      </c>
      <c r="D111" s="4" t="str">
        <f aca="false">TEXT($A111,"ddd")</f>
        <v>Fri</v>
      </c>
      <c r="E111" s="4" t="n">
        <f aca="false">IF(OR(AND(MONTH($A111)=10,DAY($A111)&gt;=15),MONTH($A111)=11,AND(MONTH($A111)=12,DAY($A111)&lt;=7)),1,0)</f>
        <v>0</v>
      </c>
      <c r="F111" s="4" t="n">
        <f aca="false">IF(MONTH($A111)&lt;=3,1,0)</f>
        <v>0</v>
      </c>
      <c r="G111" s="4" t="str">
        <f aca="false" t="array" ref="G111: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4" t="n">
        <f aca="false">COUNTIF(Events!$A$2:$A$397,$A111)</f>
        <v>0</v>
      </c>
      <c r="I111" s="6" t="str">
        <f aca="false" t="array" ref="I111:I111">_xlfn.TEXTJOIN(" | ",TRUE(),IF(Events!$A$2:$A$397=$A111,Events!$E$2:$E$397&amp;IF(Events!$G$2:$G$397="National",""," ["&amp;Events!$G$2:$G$397&amp;"]"),""))</f>
        <v/>
      </c>
    </row>
    <row r="112" customFormat="false" ht="15" hidden="false" customHeight="true" outlineLevel="0" collapsed="false">
      <c r="A112" s="3" t="n">
        <v>45402</v>
      </c>
      <c r="B112" s="4" t="n">
        <f aca="false">YEAR($A112)</f>
        <v>2024</v>
      </c>
      <c r="C112" s="4" t="n">
        <f aca="false">MONTH($A112)</f>
        <v>4</v>
      </c>
      <c r="D112" s="4" t="str">
        <f aca="false">TEXT($A112,"ddd")</f>
        <v>Sat</v>
      </c>
      <c r="E112" s="4" t="n">
        <f aca="false">IF(OR(AND(MONTH($A112)=10,DAY($A112)&gt;=15),MONTH($A112)=11,AND(MONTH($A112)=12,DAY($A112)&lt;=7)),1,0)</f>
        <v>0</v>
      </c>
      <c r="F112" s="4" t="n">
        <f aca="false">IF(MONTH($A112)&lt;=3,1,0)</f>
        <v>0</v>
      </c>
      <c r="G112" s="4" t="str">
        <f aca="false" t="array" ref="G112: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4" t="n">
        <f aca="false">COUNTIF(Events!$A$2:$A$397,$A112)</f>
        <v>0</v>
      </c>
      <c r="I112" s="6" t="str">
        <f aca="false" t="array" ref="I112:I112">_xlfn.TEXTJOIN(" | ",TRUE(),IF(Events!$A$2:$A$397=$A112,Events!$E$2:$E$397&amp;IF(Events!$G$2:$G$397="National",""," ["&amp;Events!$G$2:$G$397&amp;"]"),""))</f>
        <v/>
      </c>
    </row>
    <row r="113" customFormat="false" ht="15" hidden="false" customHeight="true" outlineLevel="0" collapsed="false">
      <c r="A113" s="3" t="n">
        <v>45403</v>
      </c>
      <c r="B113" s="4" t="n">
        <f aca="false">YEAR($A113)</f>
        <v>2024</v>
      </c>
      <c r="C113" s="4" t="n">
        <f aca="false">MONTH($A113)</f>
        <v>4</v>
      </c>
      <c r="D113" s="4" t="str">
        <f aca="false">TEXT($A113,"ddd")</f>
        <v>Sun</v>
      </c>
      <c r="E113" s="4" t="n">
        <f aca="false">IF(OR(AND(MONTH($A113)=10,DAY($A113)&gt;=15),MONTH($A113)=11,AND(MONTH($A113)=12,DAY($A113)&lt;=7)),1,0)</f>
        <v>0</v>
      </c>
      <c r="F113" s="4" t="n">
        <f aca="false">IF(MONTH($A113)&lt;=3,1,0)</f>
        <v>0</v>
      </c>
      <c r="G113" s="4" t="str">
        <f aca="false" t="array" ref="G113: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4" t="n">
        <f aca="false">COUNTIF(Events!$A$2:$A$397,$A113)</f>
        <v>0</v>
      </c>
      <c r="I113" s="6" t="str">
        <f aca="false" t="array" ref="I113:I113">_xlfn.TEXTJOIN(" | ",TRUE(),IF(Events!$A$2:$A$397=$A113,Events!$E$2:$E$397&amp;IF(Events!$G$2:$G$397="National",""," ["&amp;Events!$G$2:$G$397&amp;"]"),""))</f>
        <v/>
      </c>
    </row>
    <row r="114" customFormat="false" ht="15" hidden="false" customHeight="true" outlineLevel="0" collapsed="false">
      <c r="A114" s="3" t="n">
        <v>45404</v>
      </c>
      <c r="B114" s="4" t="n">
        <f aca="false">YEAR($A114)</f>
        <v>2024</v>
      </c>
      <c r="C114" s="4" t="n">
        <f aca="false">MONTH($A114)</f>
        <v>4</v>
      </c>
      <c r="D114" s="4" t="str">
        <f aca="false">TEXT($A114,"ddd")</f>
        <v>Mon</v>
      </c>
      <c r="E114" s="4" t="n">
        <f aca="false">IF(OR(AND(MONTH($A114)=10,DAY($A114)&gt;=15),MONTH($A114)=11,AND(MONTH($A114)=12,DAY($A114)&lt;=7)),1,0)</f>
        <v>0</v>
      </c>
      <c r="F114" s="4" t="n">
        <f aca="false">IF(MONTH($A114)&lt;=3,1,0)</f>
        <v>0</v>
      </c>
      <c r="G114" s="4" t="str">
        <f aca="false" t="array" ref="G114: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4" t="n">
        <f aca="false">COUNTIF(Events!$A$2:$A$397,$A114)</f>
        <v>0</v>
      </c>
      <c r="I114" s="6" t="str">
        <f aca="false" t="array" ref="I114:I114">_xlfn.TEXTJOIN(" | ",TRUE(),IF(Events!$A$2:$A$397=$A114,Events!$E$2:$E$397&amp;IF(Events!$G$2:$G$397="National",""," ["&amp;Events!$G$2:$G$397&amp;"]"),""))</f>
        <v/>
      </c>
    </row>
    <row r="115" customFormat="false" ht="15" hidden="false" customHeight="true" outlineLevel="0" collapsed="false">
      <c r="A115" s="3" t="n">
        <v>45405</v>
      </c>
      <c r="B115" s="4" t="n">
        <f aca="false">YEAR($A115)</f>
        <v>2024</v>
      </c>
      <c r="C115" s="4" t="n">
        <f aca="false">MONTH($A115)</f>
        <v>4</v>
      </c>
      <c r="D115" s="4" t="str">
        <f aca="false">TEXT($A115,"ddd")</f>
        <v>Tue</v>
      </c>
      <c r="E115" s="4" t="n">
        <f aca="false">IF(OR(AND(MONTH($A115)=10,DAY($A115)&gt;=15),MONTH($A115)=11,AND(MONTH($A115)=12,DAY($A115)&lt;=7)),1,0)</f>
        <v>0</v>
      </c>
      <c r="F115" s="4" t="n">
        <f aca="false">IF(MONTH($A115)&lt;=3,1,0)</f>
        <v>0</v>
      </c>
      <c r="G115" s="4" t="str">
        <f aca="false" t="array" ref="G115: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4" t="n">
        <f aca="false">COUNTIF(Events!$A$2:$A$397,$A115)</f>
        <v>0</v>
      </c>
      <c r="I115" s="6" t="str">
        <f aca="false" t="array" ref="I115:I115">_xlfn.TEXTJOIN(" | ",TRUE(),IF(Events!$A$2:$A$397=$A115,Events!$E$2:$E$397&amp;IF(Events!$G$2:$G$397="National",""," ["&amp;Events!$G$2:$G$397&amp;"]"),""))</f>
        <v/>
      </c>
    </row>
    <row r="116" customFormat="false" ht="15" hidden="false" customHeight="true" outlineLevel="0" collapsed="false">
      <c r="A116" s="3" t="n">
        <v>45406</v>
      </c>
      <c r="B116" s="4" t="n">
        <f aca="false">YEAR($A116)</f>
        <v>2024</v>
      </c>
      <c r="C116" s="4" t="n">
        <f aca="false">MONTH($A116)</f>
        <v>4</v>
      </c>
      <c r="D116" s="4" t="str">
        <f aca="false">TEXT($A116,"ddd")</f>
        <v>Wed</v>
      </c>
      <c r="E116" s="4" t="n">
        <f aca="false">IF(OR(AND(MONTH($A116)=10,DAY($A116)&gt;=15),MONTH($A116)=11,AND(MONTH($A116)=12,DAY($A116)&lt;=7)),1,0)</f>
        <v>0</v>
      </c>
      <c r="F116" s="4" t="n">
        <f aca="false">IF(MONTH($A116)&lt;=3,1,0)</f>
        <v>0</v>
      </c>
      <c r="G116" s="4" t="str">
        <f aca="false" t="array" ref="G116: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4" t="n">
        <f aca="false">COUNTIF(Events!$A$2:$A$397,$A116)</f>
        <v>0</v>
      </c>
      <c r="I116" s="6" t="str">
        <f aca="false" t="array" ref="I116:I116">_xlfn.TEXTJOIN(" | ",TRUE(),IF(Events!$A$2:$A$397=$A116,Events!$E$2:$E$397&amp;IF(Events!$G$2:$G$397="National",""," ["&amp;Events!$G$2:$G$397&amp;"]"),""))</f>
        <v/>
      </c>
    </row>
    <row r="117" customFormat="false" ht="15" hidden="false" customHeight="true" outlineLevel="0" collapsed="false">
      <c r="A117" s="3" t="n">
        <v>45407</v>
      </c>
      <c r="B117" s="4" t="n">
        <f aca="false">YEAR($A117)</f>
        <v>2024</v>
      </c>
      <c r="C117" s="4" t="n">
        <f aca="false">MONTH($A117)</f>
        <v>4</v>
      </c>
      <c r="D117" s="4" t="str">
        <f aca="false">TEXT($A117,"ddd")</f>
        <v>Thu</v>
      </c>
      <c r="E117" s="4" t="n">
        <f aca="false">IF(OR(AND(MONTH($A117)=10,DAY($A117)&gt;=15),MONTH($A117)=11,AND(MONTH($A117)=12,DAY($A117)&lt;=7)),1,0)</f>
        <v>0</v>
      </c>
      <c r="F117" s="4" t="n">
        <f aca="false">IF(MONTH($A117)&lt;=3,1,0)</f>
        <v>0</v>
      </c>
      <c r="G117" s="4" t="str">
        <f aca="false" t="array" ref="G117: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 | Disaster SEP opens: Tornado [OK] DR-4776 | Disaster SEP opens: Tornado [NE] DR-4778 | Disaster SEP opens: Severe Storm [KS] DR-4800</v>
      </c>
      <c r="H117" s="4" t="n">
        <f aca="false">COUNTIF(Events!$A$2:$A$397,$A117)</f>
        <v>0</v>
      </c>
      <c r="I117" s="6" t="str">
        <f aca="false" t="array" ref="I117:I117">_xlfn.TEXTJOIN(" | ",TRUE(),IF(Events!$A$2:$A$397=$A117,Events!$E$2:$E$397&amp;IF(Events!$G$2:$G$397="National",""," ["&amp;Events!$G$2:$G$397&amp;"]"),""))</f>
        <v/>
      </c>
    </row>
    <row r="118" customFormat="false" ht="15" hidden="false" customHeight="true" outlineLevel="0" collapsed="false">
      <c r="A118" s="3" t="n">
        <v>45408</v>
      </c>
      <c r="B118" s="4" t="n">
        <f aca="false">YEAR($A118)</f>
        <v>2024</v>
      </c>
      <c r="C118" s="4" t="n">
        <f aca="false">MONTH($A118)</f>
        <v>4</v>
      </c>
      <c r="D118" s="4" t="str">
        <f aca="false">TEXT($A118,"ddd")</f>
        <v>Fri</v>
      </c>
      <c r="E118" s="4" t="n">
        <f aca="false">IF(OR(AND(MONTH($A118)=10,DAY($A118)&gt;=15),MONTH($A118)=11,AND(MONTH($A118)=12,DAY($A118)&lt;=7)),1,0)</f>
        <v>0</v>
      </c>
      <c r="F118" s="4" t="n">
        <f aca="false">IF(MONTH($A118)&lt;=3,1,0)</f>
        <v>0</v>
      </c>
      <c r="G118" s="4" t="str">
        <f aca="false" t="array" ref="G118: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 | Disaster SEP opens: Tornado [IA] DR-4779 | Disaster SEP opens: Flood [TX] DR-4781</v>
      </c>
      <c r="H118" s="4" t="n">
        <f aca="false">COUNTIF(Events!$A$2:$A$397,$A118)</f>
        <v>0</v>
      </c>
      <c r="I118" s="6" t="str">
        <f aca="false" t="array" ref="I118:I118">_xlfn.TEXTJOIN(" | ",TRUE(),IF(Events!$A$2:$A$397=$A118,Events!$E$2:$E$397&amp;IF(Events!$G$2:$G$397="National",""," ["&amp;Events!$G$2:$G$397&amp;"]"),""))</f>
        <v/>
      </c>
    </row>
    <row r="119" customFormat="false" ht="15" hidden="false" customHeight="true" outlineLevel="0" collapsed="false">
      <c r="A119" s="3" t="n">
        <v>45409</v>
      </c>
      <c r="B119" s="4" t="n">
        <f aca="false">YEAR($A119)</f>
        <v>2024</v>
      </c>
      <c r="C119" s="4" t="n">
        <f aca="false">MONTH($A119)</f>
        <v>4</v>
      </c>
      <c r="D119" s="4" t="str">
        <f aca="false">TEXT($A119,"ddd")</f>
        <v>Sat</v>
      </c>
      <c r="E119" s="4" t="n">
        <f aca="false">IF(OR(AND(MONTH($A119)=10,DAY($A119)&gt;=15),MONTH($A119)=11,AND(MONTH($A119)=12,DAY($A119)&lt;=7)),1,0)</f>
        <v>0</v>
      </c>
      <c r="F119" s="4" t="n">
        <f aca="false">IF(MONTH($A119)&lt;=3,1,0)</f>
        <v>0</v>
      </c>
      <c r="G119" s="4" t="str">
        <f aca="false" t="array" ref="G119: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4" t="n">
        <f aca="false">COUNTIF(Events!$A$2:$A$397,$A119)</f>
        <v>0</v>
      </c>
      <c r="I119" s="6" t="str">
        <f aca="false" t="array" ref="I119:I119">_xlfn.TEXTJOIN(" | ",TRUE(),IF(Events!$A$2:$A$397=$A119,Events!$E$2:$E$397&amp;IF(Events!$G$2:$G$397="National",""," ["&amp;Events!$G$2:$G$397&amp;"]"),""))</f>
        <v/>
      </c>
    </row>
    <row r="120" customFormat="false" ht="15" hidden="false" customHeight="true" outlineLevel="0" collapsed="false">
      <c r="A120" s="3" t="n">
        <v>45410</v>
      </c>
      <c r="B120" s="4" t="n">
        <f aca="false">YEAR($A120)</f>
        <v>2024</v>
      </c>
      <c r="C120" s="4" t="n">
        <f aca="false">MONTH($A120)</f>
        <v>4</v>
      </c>
      <c r="D120" s="4" t="str">
        <f aca="false">TEXT($A120,"ddd")</f>
        <v>Sun</v>
      </c>
      <c r="E120" s="4" t="n">
        <f aca="false">IF(OR(AND(MONTH($A120)=10,DAY($A120)&gt;=15),MONTH($A120)=11,AND(MONTH($A120)=12,DAY($A120)&lt;=7)),1,0)</f>
        <v>0</v>
      </c>
      <c r="F120" s="4" t="n">
        <f aca="false">IF(MONTH($A120)&lt;=3,1,0)</f>
        <v>0</v>
      </c>
      <c r="G120" s="4" t="str">
        <f aca="false" t="array" ref="G120: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
      </c>
      <c r="H120" s="4" t="n">
        <f aca="false">COUNTIF(Events!$A$2:$A$397,$A120)</f>
        <v>0</v>
      </c>
      <c r="I120" s="6" t="str">
        <f aca="false" t="array" ref="I120:I120">_xlfn.TEXTJOIN(" | ",TRUE(),IF(Events!$A$2:$A$397=$A120,Events!$E$2:$E$397&amp;IF(Events!$G$2:$G$397="National",""," ["&amp;Events!$G$2:$G$397&amp;"]"),""))</f>
        <v/>
      </c>
    </row>
    <row r="121" customFormat="false" ht="15" hidden="false" customHeight="true" outlineLevel="0" collapsed="false">
      <c r="A121" s="3" t="n">
        <v>45411</v>
      </c>
      <c r="B121" s="4" t="n">
        <f aca="false">YEAR($A121)</f>
        <v>2024</v>
      </c>
      <c r="C121" s="4" t="n">
        <f aca="false">MONTH($A121)</f>
        <v>4</v>
      </c>
      <c r="D121" s="4" t="str">
        <f aca="false">TEXT($A121,"ddd")</f>
        <v>Mon</v>
      </c>
      <c r="E121" s="4" t="n">
        <f aca="false">IF(OR(AND(MONTH($A121)=10,DAY($A121)&gt;=15),MONTH($A121)=11,AND(MONTH($A121)=12,DAY($A121)&lt;=7)),1,0)</f>
        <v>0</v>
      </c>
      <c r="F121" s="4" t="n">
        <f aca="false">IF(MONTH($A121)&lt;=3,1,0)</f>
        <v>0</v>
      </c>
      <c r="G121" s="4" t="str">
        <f aca="false" t="array" ref="G121: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 | Disaster SEP opens: Flood [PR] DR-4805</v>
      </c>
      <c r="H121" s="4" t="n">
        <f aca="false">COUNTIF(Events!$A$2:$A$397,$A121)</f>
        <v>0</v>
      </c>
      <c r="I121" s="6" t="str">
        <f aca="false" t="array" ref="I121:I121">_xlfn.TEXTJOIN(" | ",TRUE(),IF(Events!$A$2:$A$397=$A121,Events!$E$2:$E$397&amp;IF(Events!$G$2:$G$397="National",""," ["&amp;Events!$G$2:$G$397&amp;"]"),""))</f>
        <v/>
      </c>
    </row>
    <row r="122" customFormat="false" ht="15" hidden="false" customHeight="true" outlineLevel="0" collapsed="false">
      <c r="A122" s="3" t="n">
        <v>45412</v>
      </c>
      <c r="B122" s="4" t="n">
        <f aca="false">YEAR($A122)</f>
        <v>2024</v>
      </c>
      <c r="C122" s="4" t="n">
        <f aca="false">MONTH($A122)</f>
        <v>4</v>
      </c>
      <c r="D122" s="4" t="str">
        <f aca="false">TEXT($A122,"ddd")</f>
        <v>Tue</v>
      </c>
      <c r="E122" s="4" t="n">
        <f aca="false">IF(OR(AND(MONTH($A122)=10,DAY($A122)&gt;=15),MONTH($A122)=11,AND(MONTH($A122)=12,DAY($A122)&lt;=7)),1,0)</f>
        <v>0</v>
      </c>
      <c r="F122" s="4" t="n">
        <f aca="false">IF(MONTH($A122)&lt;=3,1,0)</f>
        <v>0</v>
      </c>
      <c r="G122" s="4" t="str">
        <f aca="false" t="array" ref="G122: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4" t="n">
        <f aca="false">COUNTIF(Events!$A$2:$A$397,$A122)</f>
        <v>0</v>
      </c>
      <c r="I122" s="6" t="str">
        <f aca="false" t="array" ref="I122:I122">_xlfn.TEXTJOIN(" | ",TRUE(),IF(Events!$A$2:$A$397=$A122,Events!$E$2:$E$397&amp;IF(Events!$G$2:$G$397="National",""," ["&amp;Events!$G$2:$G$397&amp;"]"),""))</f>
        <v/>
      </c>
    </row>
    <row r="123" customFormat="false" ht="15" hidden="false" customHeight="true" outlineLevel="0" collapsed="false">
      <c r="A123" s="3" t="n">
        <v>45413</v>
      </c>
      <c r="B123" s="4" t="n">
        <f aca="false">YEAR($A123)</f>
        <v>2024</v>
      </c>
      <c r="C123" s="4" t="n">
        <f aca="false">MONTH($A123)</f>
        <v>5</v>
      </c>
      <c r="D123" s="4" t="str">
        <f aca="false">TEXT($A123,"ddd")</f>
        <v>Wed</v>
      </c>
      <c r="E123" s="4" t="n">
        <f aca="false">IF(OR(AND(MONTH($A123)=10,DAY($A123)&gt;=15),MONTH($A123)=11,AND(MONTH($A123)=12,DAY($A123)&lt;=7)),1,0)</f>
        <v>0</v>
      </c>
      <c r="F123" s="4" t="n">
        <f aca="false">IF(MONTH($A123)&lt;=3,1,0)</f>
        <v>0</v>
      </c>
      <c r="G123" s="4" t="str">
        <f aca="false" t="array" ref="G123: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
      </c>
      <c r="H123" s="4" t="n">
        <f aca="false">COUNTIF(Events!$A$2:$A$397,$A123)</f>
        <v>0</v>
      </c>
      <c r="I123" s="6" t="str">
        <f aca="false" t="array" ref="I123:I123">_xlfn.TEXTJOIN(" | ",TRUE(),IF(Events!$A$2:$A$397=$A123,Events!$E$2:$E$397&amp;IF(Events!$G$2:$G$397="National",""," ["&amp;Events!$G$2:$G$397&amp;"]"),""))</f>
        <v/>
      </c>
    </row>
    <row r="124" customFormat="false" ht="15" hidden="false" customHeight="true" outlineLevel="0" collapsed="false">
      <c r="A124" s="3" t="n">
        <v>45414</v>
      </c>
      <c r="B124" s="4" t="n">
        <f aca="false">YEAR($A124)</f>
        <v>2024</v>
      </c>
      <c r="C124" s="4" t="n">
        <f aca="false">MONTH($A124)</f>
        <v>5</v>
      </c>
      <c r="D124" s="4" t="str">
        <f aca="false">TEXT($A124,"ddd")</f>
        <v>Thu</v>
      </c>
      <c r="E124" s="4" t="n">
        <f aca="false">IF(OR(AND(MONTH($A124)=10,DAY($A124)&gt;=15),MONTH($A124)=11,AND(MONTH($A124)=12,DAY($A124)&lt;=7)),1,0)</f>
        <v>0</v>
      </c>
      <c r="F124" s="4" t="n">
        <f aca="false">IF(MONTH($A124)&lt;=3,1,0)</f>
        <v>0</v>
      </c>
      <c r="G124" s="4" t="str">
        <f aca="false" t="array" ref="G124: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4" t="n">
        <f aca="false">COUNTIF(Events!$A$2:$A$397,$A124)</f>
        <v>0</v>
      </c>
      <c r="I124" s="6" t="str">
        <f aca="false" t="array" ref="I124:I124">_xlfn.TEXTJOIN(" | ",TRUE(),IF(Events!$A$2:$A$397=$A124,Events!$E$2:$E$397&amp;IF(Events!$G$2:$G$397="National",""," ["&amp;Events!$G$2:$G$397&amp;"]"),""))</f>
        <v/>
      </c>
    </row>
    <row r="125" customFormat="false" ht="15" hidden="false" customHeight="true" outlineLevel="0" collapsed="false">
      <c r="A125" s="3" t="n">
        <v>45415</v>
      </c>
      <c r="B125" s="4" t="n">
        <f aca="false">YEAR($A125)</f>
        <v>2024</v>
      </c>
      <c r="C125" s="4" t="n">
        <f aca="false">MONTH($A125)</f>
        <v>5</v>
      </c>
      <c r="D125" s="4" t="str">
        <f aca="false">TEXT($A125,"ddd")</f>
        <v>Fri</v>
      </c>
      <c r="E125" s="4" t="n">
        <f aca="false">IF(OR(AND(MONTH($A125)=10,DAY($A125)&gt;=15),MONTH($A125)=11,AND(MONTH($A125)=12,DAY($A125)&lt;=7)),1,0)</f>
        <v>0</v>
      </c>
      <c r="F125" s="4" t="n">
        <f aca="false">IF(MONTH($A125)&lt;=3,1,0)</f>
        <v>0</v>
      </c>
      <c r="G125" s="4" t="str">
        <f aca="false" t="array" ref="G125: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4" t="n">
        <f aca="false">COUNTIF(Events!$A$2:$A$397,$A125)</f>
        <v>0</v>
      </c>
      <c r="I125" s="6" t="str">
        <f aca="false" t="array" ref="I125:I125">_xlfn.TEXTJOIN(" | ",TRUE(),IF(Events!$A$2:$A$397=$A125,Events!$E$2:$E$397&amp;IF(Events!$G$2:$G$397="National",""," ["&amp;Events!$G$2:$G$397&amp;"]"),""))</f>
        <v/>
      </c>
    </row>
    <row r="126" customFormat="false" ht="15" hidden="false" customHeight="true" outlineLevel="0" collapsed="false">
      <c r="A126" s="3" t="n">
        <v>45416</v>
      </c>
      <c r="B126" s="4" t="n">
        <f aca="false">YEAR($A126)</f>
        <v>2024</v>
      </c>
      <c r="C126" s="4" t="n">
        <f aca="false">MONTH($A126)</f>
        <v>5</v>
      </c>
      <c r="D126" s="4" t="str">
        <f aca="false">TEXT($A126,"ddd")</f>
        <v>Sat</v>
      </c>
      <c r="E126" s="4" t="n">
        <f aca="false">IF(OR(AND(MONTH($A126)=10,DAY($A126)&gt;=15),MONTH($A126)=11,AND(MONTH($A126)=12,DAY($A126)&lt;=7)),1,0)</f>
        <v>0</v>
      </c>
      <c r="F126" s="4" t="n">
        <f aca="false">IF(MONTH($A126)&lt;=3,1,0)</f>
        <v>0</v>
      </c>
      <c r="G126" s="4" t="str">
        <f aca="false" t="array" ref="G126: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
      </c>
      <c r="H126" s="4" t="n">
        <f aca="false">COUNTIF(Events!$A$2:$A$397,$A126)</f>
        <v>0</v>
      </c>
      <c r="I126" s="6" t="str">
        <f aca="false" t="array" ref="I126:I126">_xlfn.TEXTJOIN(" | ",TRUE(),IF(Events!$A$2:$A$397=$A126,Events!$E$2:$E$397&amp;IF(Events!$G$2:$G$397="National",""," ["&amp;Events!$G$2:$G$397&amp;"]"),""))</f>
        <v/>
      </c>
    </row>
    <row r="127" customFormat="false" ht="15" hidden="false" customHeight="true" outlineLevel="0" collapsed="false">
      <c r="A127" s="3" t="n">
        <v>45417</v>
      </c>
      <c r="B127" s="4" t="n">
        <f aca="false">YEAR($A127)</f>
        <v>2024</v>
      </c>
      <c r="C127" s="4" t="n">
        <f aca="false">MONTH($A127)</f>
        <v>5</v>
      </c>
      <c r="D127" s="4" t="str">
        <f aca="false">TEXT($A127,"ddd")</f>
        <v>Sun</v>
      </c>
      <c r="E127" s="4" t="n">
        <f aca="false">IF(OR(AND(MONTH($A127)=10,DAY($A127)&gt;=15),MONTH($A127)=11,AND(MONTH($A127)=12,DAY($A127)&lt;=7)),1,0)</f>
        <v>0</v>
      </c>
      <c r="F127" s="4" t="n">
        <f aca="false">IF(MONTH($A127)&lt;=3,1,0)</f>
        <v>0</v>
      </c>
      <c r="G127" s="4" t="str">
        <f aca="false" t="array" ref="G127: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4" t="n">
        <f aca="false">COUNTIF(Events!$A$2:$A$397,$A127)</f>
        <v>0</v>
      </c>
      <c r="I127" s="6" t="str">
        <f aca="false" t="array" ref="I127:I127">_xlfn.TEXTJOIN(" | ",TRUE(),IF(Events!$A$2:$A$397=$A127,Events!$E$2:$E$397&amp;IF(Events!$G$2:$G$397="National",""," ["&amp;Events!$G$2:$G$397&amp;"]"),""))</f>
        <v/>
      </c>
    </row>
    <row r="128" customFormat="false" ht="15" hidden="false" customHeight="true" outlineLevel="0" collapsed="false">
      <c r="A128" s="3" t="n">
        <v>45418</v>
      </c>
      <c r="B128" s="4" t="n">
        <f aca="false">YEAR($A128)</f>
        <v>2024</v>
      </c>
      <c r="C128" s="4" t="n">
        <f aca="false">MONTH($A128)</f>
        <v>5</v>
      </c>
      <c r="D128" s="4" t="str">
        <f aca="false">TEXT($A128,"ddd")</f>
        <v>Mon</v>
      </c>
      <c r="E128" s="4" t="n">
        <f aca="false">IF(OR(AND(MONTH($A128)=10,DAY($A128)&gt;=15),MONTH($A128)=11,AND(MONTH($A128)=12,DAY($A128)&lt;=7)),1,0)</f>
        <v>0</v>
      </c>
      <c r="F128" s="4" t="n">
        <f aca="false">IF(MONTH($A128)&lt;=3,1,0)</f>
        <v>0</v>
      </c>
      <c r="G128" s="4" t="str">
        <f aca="false" t="array" ref="G128: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 | Disaster SEP opens: Severe Storm [MT] DR-4801</v>
      </c>
      <c r="H128" s="4" t="n">
        <f aca="false">COUNTIF(Events!$A$2:$A$397,$A128)</f>
        <v>0</v>
      </c>
      <c r="I128" s="6" t="str">
        <f aca="false" t="array" ref="I128:I128">_xlfn.TEXTJOIN(" | ",TRUE(),IF(Events!$A$2:$A$397=$A128,Events!$E$2:$E$397&amp;IF(Events!$G$2:$G$397="National",""," ["&amp;Events!$G$2:$G$397&amp;"]"),""))</f>
        <v/>
      </c>
    </row>
    <row r="129" customFormat="false" ht="15" hidden="false" customHeight="true" outlineLevel="0" collapsed="false">
      <c r="A129" s="3" t="n">
        <v>45419</v>
      </c>
      <c r="B129" s="4" t="n">
        <f aca="false">YEAR($A129)</f>
        <v>2024</v>
      </c>
      <c r="C129" s="4" t="n">
        <f aca="false">MONTH($A129)</f>
        <v>5</v>
      </c>
      <c r="D129" s="4" t="str">
        <f aca="false">TEXT($A129,"ddd")</f>
        <v>Tue</v>
      </c>
      <c r="E129" s="4" t="n">
        <f aca="false">IF(OR(AND(MONTH($A129)=10,DAY($A129)&gt;=15),MONTH($A129)=11,AND(MONTH($A129)=12,DAY($A129)&lt;=7)),1,0)</f>
        <v>0</v>
      </c>
      <c r="F129" s="4" t="n">
        <f aca="false">IF(MONTH($A129)&lt;=3,1,0)</f>
        <v>0</v>
      </c>
      <c r="G129" s="4" t="str">
        <f aca="false" t="array" ref="G129: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4" t="n">
        <f aca="false">COUNTIF(Events!$A$2:$A$397,$A129)</f>
        <v>0</v>
      </c>
      <c r="I129" s="6" t="str">
        <f aca="false" t="array" ref="I129:I129">_xlfn.TEXTJOIN(" | ",TRUE(),IF(Events!$A$2:$A$397=$A129,Events!$E$2:$E$397&amp;IF(Events!$G$2:$G$397="National",""," ["&amp;Events!$G$2:$G$397&amp;"]"),""))</f>
        <v/>
      </c>
    </row>
    <row r="130" customFormat="false" ht="15" hidden="false" customHeight="true" outlineLevel="0" collapsed="false">
      <c r="A130" s="3" t="n">
        <v>45420</v>
      </c>
      <c r="B130" s="4" t="n">
        <f aca="false">YEAR($A130)</f>
        <v>2024</v>
      </c>
      <c r="C130" s="4" t="n">
        <f aca="false">MONTH($A130)</f>
        <v>5</v>
      </c>
      <c r="D130" s="4" t="str">
        <f aca="false">TEXT($A130,"ddd")</f>
        <v>Wed</v>
      </c>
      <c r="E130" s="4" t="n">
        <f aca="false">IF(OR(AND(MONTH($A130)=10,DAY($A130)&gt;=15),MONTH($A130)=11,AND(MONTH($A130)=12,DAY($A130)&lt;=7)),1,0)</f>
        <v>0</v>
      </c>
      <c r="F130" s="4" t="n">
        <f aca="false">IF(MONTH($A130)&lt;=3,1,0)</f>
        <v>0</v>
      </c>
      <c r="G130" s="4" t="str">
        <f aca="false" t="array" ref="G130: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 | Disaster SEP opens: Severe Storm [TN] DR-4792</v>
      </c>
      <c r="H130" s="4" t="n">
        <f aca="false">COUNTIF(Events!$A$2:$A$397,$A130)</f>
        <v>0</v>
      </c>
      <c r="I130" s="6" t="str">
        <f aca="false" t="array" ref="I130:I130">_xlfn.TEXTJOIN(" | ",TRUE(),IF(Events!$A$2:$A$397=$A130,Events!$E$2:$E$397&amp;IF(Events!$G$2:$G$397="National",""," ["&amp;Events!$G$2:$G$397&amp;"]"),""))</f>
        <v/>
      </c>
    </row>
    <row r="131" customFormat="false" ht="15" hidden="false" customHeight="true" outlineLevel="0" collapsed="false">
      <c r="A131" s="3" t="n">
        <v>45421</v>
      </c>
      <c r="B131" s="4" t="n">
        <f aca="false">YEAR($A131)</f>
        <v>2024</v>
      </c>
      <c r="C131" s="4" t="n">
        <f aca="false">MONTH($A131)</f>
        <v>5</v>
      </c>
      <c r="D131" s="4" t="str">
        <f aca="false">TEXT($A131,"ddd")</f>
        <v>Thu</v>
      </c>
      <c r="E131" s="4" t="n">
        <f aca="false">IF(OR(AND(MONTH($A131)=10,DAY($A131)&gt;=15),MONTH($A131)=11,AND(MONTH($A131)=12,DAY($A131)&lt;=7)),1,0)</f>
        <v>0</v>
      </c>
      <c r="F131" s="4" t="n">
        <f aca="false">IF(MONTH($A131)&lt;=3,1,0)</f>
        <v>0</v>
      </c>
      <c r="G131" s="4" t="str">
        <f aca="false" t="array" ref="G131: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4" t="n">
        <f aca="false">COUNTIF(Events!$A$2:$A$397,$A131)</f>
        <v>0</v>
      </c>
      <c r="I131" s="6" t="str">
        <f aca="false" t="array" ref="I131:I131">_xlfn.TEXTJOIN(" | ",TRUE(),IF(Events!$A$2:$A$397=$A131,Events!$E$2:$E$397&amp;IF(Events!$G$2:$G$397="National",""," ["&amp;Events!$G$2:$G$397&amp;"]"),""))</f>
        <v/>
      </c>
    </row>
    <row r="132" customFormat="false" ht="15" hidden="false" customHeight="true" outlineLevel="0" collapsed="false">
      <c r="A132" s="3" t="n">
        <v>45422</v>
      </c>
      <c r="B132" s="4" t="n">
        <f aca="false">YEAR($A132)</f>
        <v>2024</v>
      </c>
      <c r="C132" s="4" t="n">
        <f aca="false">MONTH($A132)</f>
        <v>5</v>
      </c>
      <c r="D132" s="4" t="str">
        <f aca="false">TEXT($A132,"ddd")</f>
        <v>Fri</v>
      </c>
      <c r="E132" s="4" t="n">
        <f aca="false">IF(OR(AND(MONTH($A132)=10,DAY($A132)&gt;=15),MONTH($A132)=11,AND(MONTH($A132)=12,DAY($A132)&lt;=7)),1,0)</f>
        <v>0</v>
      </c>
      <c r="F132" s="4" t="n">
        <f aca="false">IF(MONTH($A132)&lt;=3,1,0)</f>
        <v>0</v>
      </c>
      <c r="G132" s="4" t="str">
        <f aca="false" t="array" ref="G132: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Severe Storm [FL] DR-4794</v>
      </c>
      <c r="H132" s="4" t="n">
        <f aca="false">COUNTIF(Events!$A$2:$A$397,$A132)</f>
        <v>0</v>
      </c>
      <c r="I132" s="6" t="str">
        <f aca="false" t="array" ref="I132:I132">_xlfn.TEXTJOIN(" | ",TRUE(),IF(Events!$A$2:$A$397=$A132,Events!$E$2:$E$397&amp;IF(Events!$G$2:$G$397="National",""," ["&amp;Events!$G$2:$G$397&amp;"]"),""))</f>
        <v/>
      </c>
    </row>
    <row r="133" customFormat="false" ht="15" hidden="false" customHeight="true" outlineLevel="0" collapsed="false">
      <c r="A133" s="3" t="n">
        <v>45423</v>
      </c>
      <c r="B133" s="4" t="n">
        <f aca="false">YEAR($A133)</f>
        <v>2024</v>
      </c>
      <c r="C133" s="4" t="n">
        <f aca="false">MONTH($A133)</f>
        <v>5</v>
      </c>
      <c r="D133" s="4" t="str">
        <f aca="false">TEXT($A133,"ddd")</f>
        <v>Sat</v>
      </c>
      <c r="E133" s="4" t="n">
        <f aca="false">IF(OR(AND(MONTH($A133)=10,DAY($A133)&gt;=15),MONTH($A133)=11,AND(MONTH($A133)=12,DAY($A133)&lt;=7)),1,0)</f>
        <v>0</v>
      </c>
      <c r="F133" s="4" t="n">
        <f aca="false">IF(MONTH($A133)&lt;=3,1,0)</f>
        <v>0</v>
      </c>
      <c r="G133" s="4" t="str">
        <f aca="false" t="array" ref="G133: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
      </c>
      <c r="H133" s="4" t="n">
        <f aca="false">COUNTIF(Events!$A$2:$A$397,$A133)</f>
        <v>0</v>
      </c>
      <c r="I133" s="6" t="str">
        <f aca="false" t="array" ref="I133:I133">_xlfn.TEXTJOIN(" | ",TRUE(),IF(Events!$A$2:$A$397=$A133,Events!$E$2:$E$397&amp;IF(Events!$G$2:$G$397="National",""," ["&amp;Events!$G$2:$G$397&amp;"]"),""))</f>
        <v/>
      </c>
    </row>
    <row r="134" customFormat="false" ht="15" hidden="false" customHeight="true" outlineLevel="0" collapsed="false">
      <c r="A134" s="3" t="n">
        <v>45424</v>
      </c>
      <c r="B134" s="4" t="n">
        <f aca="false">YEAR($A134)</f>
        <v>2024</v>
      </c>
      <c r="C134" s="4" t="n">
        <f aca="false">MONTH($A134)</f>
        <v>5</v>
      </c>
      <c r="D134" s="4" t="str">
        <f aca="false">TEXT($A134,"ddd")</f>
        <v>Sun</v>
      </c>
      <c r="E134" s="4" t="n">
        <f aca="false">IF(OR(AND(MONTH($A134)=10,DAY($A134)&gt;=15),MONTH($A134)=11,AND(MONTH($A134)=12,DAY($A134)&lt;=7)),1,0)</f>
        <v>0</v>
      </c>
      <c r="F134" s="4" t="n">
        <f aca="false">IF(MONTH($A134)&lt;=3,1,0)</f>
        <v>0</v>
      </c>
      <c r="G134" s="4" t="str">
        <f aca="false" t="array" ref="G134: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4" t="n">
        <f aca="false">COUNTIF(Events!$A$2:$A$397,$A134)</f>
        <v>0</v>
      </c>
      <c r="I134" s="6" t="str">
        <f aca="false" t="array" ref="I134:I134">_xlfn.TEXTJOIN(" | ",TRUE(),IF(Events!$A$2:$A$397=$A134,Events!$E$2:$E$397&amp;IF(Events!$G$2:$G$397="National",""," ["&amp;Events!$G$2:$G$397&amp;"]"),""))</f>
        <v/>
      </c>
    </row>
    <row r="135" customFormat="false" ht="15" hidden="false" customHeight="true" outlineLevel="0" collapsed="false">
      <c r="A135" s="3" t="n">
        <v>45425</v>
      </c>
      <c r="B135" s="4" t="n">
        <f aca="false">YEAR($A135)</f>
        <v>2024</v>
      </c>
      <c r="C135" s="4" t="n">
        <f aca="false">MONTH($A135)</f>
        <v>5</v>
      </c>
      <c r="D135" s="4" t="str">
        <f aca="false">TEXT($A135,"ddd")</f>
        <v>Mon</v>
      </c>
      <c r="E135" s="4" t="n">
        <f aca="false">IF(OR(AND(MONTH($A135)=10,DAY($A135)&gt;=15),MONTH($A135)=11,AND(MONTH($A135)=12,DAY($A135)&lt;=7)),1,0)</f>
        <v>0</v>
      </c>
      <c r="F135" s="4" t="n">
        <f aca="false">IF(MONTH($A135)&lt;=3,1,0)</f>
        <v>0</v>
      </c>
      <c r="G135" s="4" t="str">
        <f aca="false" t="array" ref="G135: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4" t="n">
        <f aca="false">COUNTIF(Events!$A$2:$A$397,$A135)</f>
        <v>0</v>
      </c>
      <c r="I135" s="6" t="str">
        <f aca="false" t="array" ref="I135:I135">_xlfn.TEXTJOIN(" | ",TRUE(),IF(Events!$A$2:$A$397=$A135,Events!$E$2:$E$397&amp;IF(Events!$G$2:$G$397="National",""," ["&amp;Events!$G$2:$G$397&amp;"]"),""))</f>
        <v/>
      </c>
    </row>
    <row r="136" customFormat="false" ht="15" hidden="false" customHeight="true" outlineLevel="0" collapsed="false">
      <c r="A136" s="3" t="n">
        <v>45426</v>
      </c>
      <c r="B136" s="4" t="n">
        <f aca="false">YEAR($A136)</f>
        <v>2024</v>
      </c>
      <c r="C136" s="4" t="n">
        <f aca="false">MONTH($A136)</f>
        <v>5</v>
      </c>
      <c r="D136" s="4" t="str">
        <f aca="false">TEXT($A136,"ddd")</f>
        <v>Tue</v>
      </c>
      <c r="E136" s="4" t="n">
        <f aca="false">IF(OR(AND(MONTH($A136)=10,DAY($A136)&gt;=15),MONTH($A136)=11,AND(MONTH($A136)=12,DAY($A136)&lt;=7)),1,0)</f>
        <v>0</v>
      </c>
      <c r="F136" s="4" t="n">
        <f aca="false">IF(MONTH($A136)&lt;=3,1,0)</f>
        <v>0</v>
      </c>
      <c r="G136" s="4" t="str">
        <f aca="false" t="array" ref="G136: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
      </c>
      <c r="H136" s="4" t="n">
        <f aca="false">COUNTIF(Events!$A$2:$A$397,$A136)</f>
        <v>0</v>
      </c>
      <c r="I136" s="6" t="str">
        <f aca="false" t="array" ref="I136:I136">_xlfn.TEXTJOIN(" | ",TRUE(),IF(Events!$A$2:$A$397=$A136,Events!$E$2:$E$397&amp;IF(Events!$G$2:$G$397="National",""," ["&amp;Events!$G$2:$G$397&amp;"]"),""))</f>
        <v/>
      </c>
    </row>
    <row r="137" customFormat="false" ht="15" hidden="false" customHeight="true" outlineLevel="0" collapsed="false">
      <c r="A137" s="3" t="n">
        <v>45427</v>
      </c>
      <c r="B137" s="4" t="n">
        <f aca="false">YEAR($A137)</f>
        <v>2024</v>
      </c>
      <c r="C137" s="4" t="n">
        <f aca="false">MONTH($A137)</f>
        <v>5</v>
      </c>
      <c r="D137" s="4" t="str">
        <f aca="false">TEXT($A137,"ddd")</f>
        <v>Wed</v>
      </c>
      <c r="E137" s="4" t="n">
        <f aca="false">IF(OR(AND(MONTH($A137)=10,DAY($A137)&gt;=15),MONTH($A137)=11,AND(MONTH($A137)=12,DAY($A137)&lt;=7)),1,0)</f>
        <v>0</v>
      </c>
      <c r="F137" s="4" t="n">
        <f aca="false">IF(MONTH($A137)&lt;=3,1,0)</f>
        <v>0</v>
      </c>
      <c r="G137" s="4" t="str">
        <f aca="false" t="array" ref="G137: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
      </c>
      <c r="H137" s="4" t="n">
        <f aca="false">COUNTIF(Events!$A$2:$A$397,$A137)</f>
        <v>0</v>
      </c>
      <c r="I137" s="6" t="str">
        <f aca="false" t="array" ref="I137:I137">_xlfn.TEXTJOIN(" | ",TRUE(),IF(Events!$A$2:$A$397=$A137,Events!$E$2:$E$397&amp;IF(Events!$G$2:$G$397="National",""," ["&amp;Events!$G$2:$G$397&amp;"]"),""))</f>
        <v/>
      </c>
    </row>
    <row r="138" customFormat="false" ht="15" hidden="false" customHeight="true" outlineLevel="0" collapsed="false">
      <c r="A138" s="3" t="n">
        <v>45428</v>
      </c>
      <c r="B138" s="4" t="n">
        <f aca="false">YEAR($A138)</f>
        <v>2024</v>
      </c>
      <c r="C138" s="4" t="n">
        <f aca="false">MONTH($A138)</f>
        <v>5</v>
      </c>
      <c r="D138" s="4" t="str">
        <f aca="false">TEXT($A138,"ddd")</f>
        <v>Thu</v>
      </c>
      <c r="E138" s="4" t="n">
        <f aca="false">IF(OR(AND(MONTH($A138)=10,DAY($A138)&gt;=15),MONTH($A138)=11,AND(MONTH($A138)=12,DAY($A138)&lt;=7)),1,0)</f>
        <v>0</v>
      </c>
      <c r="F138" s="4" t="n">
        <f aca="false">IF(MONTH($A138)&lt;=3,1,0)</f>
        <v>0</v>
      </c>
      <c r="G138" s="4" t="str">
        <f aca="false" t="array" ref="G138: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v>
      </c>
      <c r="H138" s="4" t="n">
        <f aca="false">COUNTIF(Events!$A$2:$A$397,$A138)</f>
        <v>0</v>
      </c>
      <c r="I138" s="6" t="str">
        <f aca="false" t="array" ref="I138:I138">_xlfn.TEXTJOIN(" | ",TRUE(),IF(Events!$A$2:$A$397=$A138,Events!$E$2:$E$397&amp;IF(Events!$G$2:$G$397="National",""," ["&amp;Events!$G$2:$G$397&amp;"]"),""))</f>
        <v/>
      </c>
    </row>
    <row r="139" customFormat="false" ht="15" hidden="false" customHeight="true" outlineLevel="0" collapsed="false">
      <c r="A139" s="3" t="n">
        <v>45429</v>
      </c>
      <c r="B139" s="4" t="n">
        <f aca="false">YEAR($A139)</f>
        <v>2024</v>
      </c>
      <c r="C139" s="4" t="n">
        <f aca="false">MONTH($A139)</f>
        <v>5</v>
      </c>
      <c r="D139" s="4" t="str">
        <f aca="false">TEXT($A139,"ddd")</f>
        <v>Fri</v>
      </c>
      <c r="E139" s="4" t="n">
        <f aca="false">IF(OR(AND(MONTH($A139)=10,DAY($A139)&gt;=15),MONTH($A139)=11,AND(MONTH($A139)=12,DAY($A139)&lt;=7)),1,0)</f>
        <v>0</v>
      </c>
      <c r="F139" s="4" t="n">
        <f aca="false">IF(MONTH($A139)&lt;=3,1,0)</f>
        <v>0</v>
      </c>
      <c r="G139" s="4" t="str">
        <f aca="false" t="array" ref="G139: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4" t="n">
        <f aca="false">COUNTIF(Events!$A$2:$A$397,$A139)</f>
        <v>0</v>
      </c>
      <c r="I139" s="6" t="str">
        <f aca="false" t="array" ref="I139:I139">_xlfn.TEXTJOIN(" | ",TRUE(),IF(Events!$A$2:$A$397=$A139,Events!$E$2:$E$397&amp;IF(Events!$G$2:$G$397="National",""," ["&amp;Events!$G$2:$G$397&amp;"]"),""))</f>
        <v/>
      </c>
    </row>
    <row r="140" customFormat="false" ht="15" hidden="false" customHeight="true" outlineLevel="0" collapsed="false">
      <c r="A140" s="3" t="n">
        <v>45430</v>
      </c>
      <c r="B140" s="4" t="n">
        <f aca="false">YEAR($A140)</f>
        <v>2024</v>
      </c>
      <c r="C140" s="4" t="n">
        <f aca="false">MONTH($A140)</f>
        <v>5</v>
      </c>
      <c r="D140" s="4" t="str">
        <f aca="false">TEXT($A140,"ddd")</f>
        <v>Sat</v>
      </c>
      <c r="E140" s="4" t="n">
        <f aca="false">IF(OR(AND(MONTH($A140)=10,DAY($A140)&gt;=15),MONTH($A140)=11,AND(MONTH($A140)=12,DAY($A140)&lt;=7)),1,0)</f>
        <v>0</v>
      </c>
      <c r="F140" s="4" t="n">
        <f aca="false">IF(MONTH($A140)&lt;=3,1,0)</f>
        <v>0</v>
      </c>
      <c r="G140" s="4" t="str">
        <f aca="false" t="array" ref="G140: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4" t="n">
        <f aca="false">COUNTIF(Events!$A$2:$A$397,$A140)</f>
        <v>0</v>
      </c>
      <c r="I140" s="6" t="str">
        <f aca="false" t="array" ref="I140:I140">_xlfn.TEXTJOIN(" | ",TRUE(),IF(Events!$A$2:$A$397=$A140,Events!$E$2:$E$397&amp;IF(Events!$G$2:$G$397="National",""," ["&amp;Events!$G$2:$G$397&amp;"]"),""))</f>
        <v/>
      </c>
    </row>
    <row r="141" customFormat="false" ht="15" hidden="false" customHeight="true" outlineLevel="0" collapsed="false">
      <c r="A141" s="3" t="n">
        <v>45431</v>
      </c>
      <c r="B141" s="4" t="n">
        <f aca="false">YEAR($A141)</f>
        <v>2024</v>
      </c>
      <c r="C141" s="4" t="n">
        <f aca="false">MONTH($A141)</f>
        <v>5</v>
      </c>
      <c r="D141" s="4" t="str">
        <f aca="false">TEXT($A141,"ddd")</f>
        <v>Sun</v>
      </c>
      <c r="E141" s="4" t="n">
        <f aca="false">IF(OR(AND(MONTH($A141)=10,DAY($A141)&gt;=15),MONTH($A141)=11,AND(MONTH($A141)=12,DAY($A141)&lt;=7)),1,0)</f>
        <v>0</v>
      </c>
      <c r="F141" s="4" t="n">
        <f aca="false">IF(MONTH($A141)&lt;=3,1,0)</f>
        <v>0</v>
      </c>
      <c r="G141" s="4" t="str">
        <f aca="false" t="array" ref="G141: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4" t="n">
        <f aca="false">COUNTIF(Events!$A$2:$A$397,$A141)</f>
        <v>0</v>
      </c>
      <c r="I141" s="6" t="str">
        <f aca="false" t="array" ref="I141:I141">_xlfn.TEXTJOIN(" | ",TRUE(),IF(Events!$A$2:$A$397=$A141,Events!$E$2:$E$397&amp;IF(Events!$G$2:$G$397="National",""," ["&amp;Events!$G$2:$G$397&amp;"]"),""))</f>
        <v/>
      </c>
    </row>
    <row r="142" customFormat="false" ht="15" hidden="false" customHeight="true" outlineLevel="0" collapsed="false">
      <c r="A142" s="3" t="n">
        <v>45432</v>
      </c>
      <c r="B142" s="4" t="n">
        <f aca="false">YEAR($A142)</f>
        <v>2024</v>
      </c>
      <c r="C142" s="4" t="n">
        <f aca="false">MONTH($A142)</f>
        <v>5</v>
      </c>
      <c r="D142" s="4" t="str">
        <f aca="false">TEXT($A142,"ddd")</f>
        <v>Mon</v>
      </c>
      <c r="E142" s="4" t="n">
        <f aca="false">IF(OR(AND(MONTH($A142)=10,DAY($A142)&gt;=15),MONTH($A142)=11,AND(MONTH($A142)=12,DAY($A142)&lt;=7)),1,0)</f>
        <v>0</v>
      </c>
      <c r="F142" s="4" t="n">
        <f aca="false">IF(MONTH($A142)&lt;=3,1,0)</f>
        <v>0</v>
      </c>
      <c r="G142" s="4" t="str">
        <f aca="false" t="array" ref="G142: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v>
      </c>
      <c r="H142" s="4" t="n">
        <f aca="false">COUNTIF(Events!$A$2:$A$397,$A142)</f>
        <v>0</v>
      </c>
      <c r="I142" s="6" t="str">
        <f aca="false" t="array" ref="I142:I142">_xlfn.TEXTJOIN(" | ",TRUE(),IF(Events!$A$2:$A$397=$A142,Events!$E$2:$E$397&amp;IF(Events!$G$2:$G$397="National",""," ["&amp;Events!$G$2:$G$397&amp;"]"),""))</f>
        <v/>
      </c>
    </row>
    <row r="143" customFormat="false" ht="15" hidden="false" customHeight="true" outlineLevel="0" collapsed="false">
      <c r="A143" s="3" t="n">
        <v>45433</v>
      </c>
      <c r="B143" s="4" t="n">
        <f aca="false">YEAR($A143)</f>
        <v>2024</v>
      </c>
      <c r="C143" s="4" t="n">
        <f aca="false">MONTH($A143)</f>
        <v>5</v>
      </c>
      <c r="D143" s="4" t="str">
        <f aca="false">TEXT($A143,"ddd")</f>
        <v>Tue</v>
      </c>
      <c r="E143" s="4" t="n">
        <f aca="false">IF(OR(AND(MONTH($A143)=10,DAY($A143)&gt;=15),MONTH($A143)=11,AND(MONTH($A143)=12,DAY($A143)&lt;=7)),1,0)</f>
        <v>0</v>
      </c>
      <c r="F143" s="4" t="n">
        <f aca="false">IF(MONTH($A143)&lt;=3,1,0)</f>
        <v>0</v>
      </c>
      <c r="G143" s="4" t="str">
        <f aca="false" t="array" ref="G143: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4" t="n">
        <f aca="false">COUNTIF(Events!$A$2:$A$397,$A143)</f>
        <v>0</v>
      </c>
      <c r="I143" s="6" t="str">
        <f aca="false" t="array" ref="I143:I143">_xlfn.TEXTJOIN(" | ",TRUE(),IF(Events!$A$2:$A$397=$A143,Events!$E$2:$E$397&amp;IF(Events!$G$2:$G$397="National",""," ["&amp;Events!$G$2:$G$397&amp;"]"),""))</f>
        <v/>
      </c>
    </row>
    <row r="144" customFormat="false" ht="15" hidden="false" customHeight="true" outlineLevel="0" collapsed="false">
      <c r="A144" s="3" t="n">
        <v>45434</v>
      </c>
      <c r="B144" s="4" t="n">
        <f aca="false">YEAR($A144)</f>
        <v>2024</v>
      </c>
      <c r="C144" s="4" t="n">
        <f aca="false">MONTH($A144)</f>
        <v>5</v>
      </c>
      <c r="D144" s="4" t="str">
        <f aca="false">TEXT($A144,"ddd")</f>
        <v>Wed</v>
      </c>
      <c r="E144" s="4" t="n">
        <f aca="false">IF(OR(AND(MONTH($A144)=10,DAY($A144)&gt;=15),MONTH($A144)=11,AND(MONTH($A144)=12,DAY($A144)&lt;=7)),1,0)</f>
        <v>0</v>
      </c>
      <c r="F144" s="4" t="n">
        <f aca="false">IF(MONTH($A144)&lt;=3,1,0)</f>
        <v>0</v>
      </c>
      <c r="G144" s="4" t="str">
        <f aca="false" t="array" ref="G144: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4" t="n">
        <f aca="false">COUNTIF(Events!$A$2:$A$397,$A144)</f>
        <v>0</v>
      </c>
      <c r="I144" s="6" t="str">
        <f aca="false" t="array" ref="I144:I144">_xlfn.TEXTJOIN(" | ",TRUE(),IF(Events!$A$2:$A$397=$A144,Events!$E$2:$E$397&amp;IF(Events!$G$2:$G$397="National",""," ["&amp;Events!$G$2:$G$397&amp;"]"),""))</f>
        <v/>
      </c>
    </row>
    <row r="145" customFormat="false" ht="15" hidden="false" customHeight="true" outlineLevel="0" collapsed="false">
      <c r="A145" s="3" t="n">
        <v>45435</v>
      </c>
      <c r="B145" s="4" t="n">
        <f aca="false">YEAR($A145)</f>
        <v>2024</v>
      </c>
      <c r="C145" s="4" t="n">
        <f aca="false">MONTH($A145)</f>
        <v>5</v>
      </c>
      <c r="D145" s="4" t="str">
        <f aca="false">TEXT($A145,"ddd")</f>
        <v>Thu</v>
      </c>
      <c r="E145" s="4" t="n">
        <f aca="false">IF(OR(AND(MONTH($A145)=10,DAY($A145)&gt;=15),MONTH($A145)=11,AND(MONTH($A145)=12,DAY($A145)&lt;=7)),1,0)</f>
        <v>0</v>
      </c>
      <c r="F145" s="4" t="n">
        <f aca="false">IF(MONTH($A145)&lt;=3,1,0)</f>
        <v>0</v>
      </c>
      <c r="G145" s="4" t="str">
        <f aca="false" t="array" ref="G145: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4" t="n">
        <f aca="false">COUNTIF(Events!$A$2:$A$397,$A145)</f>
        <v>0</v>
      </c>
      <c r="I145" s="6" t="str">
        <f aca="false" t="array" ref="I145:I145">_xlfn.TEXTJOIN(" | ",TRUE(),IF(Events!$A$2:$A$397=$A145,Events!$E$2:$E$397&amp;IF(Events!$G$2:$G$397="National",""," ["&amp;Events!$G$2:$G$397&amp;"]"),""))</f>
        <v/>
      </c>
    </row>
    <row r="146" customFormat="false" ht="15" hidden="false" customHeight="true" outlineLevel="0" collapsed="false">
      <c r="A146" s="3" t="n">
        <v>45436</v>
      </c>
      <c r="B146" s="4" t="n">
        <f aca="false">YEAR($A146)</f>
        <v>2024</v>
      </c>
      <c r="C146" s="4" t="n">
        <f aca="false">MONTH($A146)</f>
        <v>5</v>
      </c>
      <c r="D146" s="4" t="str">
        <f aca="false">TEXT($A146,"ddd")</f>
        <v>Fri</v>
      </c>
      <c r="E146" s="4" t="n">
        <f aca="false">IF(OR(AND(MONTH($A146)=10,DAY($A146)&gt;=15),MONTH($A146)=11,AND(MONTH($A146)=12,DAY($A146)&lt;=7)),1,0)</f>
        <v>0</v>
      </c>
      <c r="F146" s="4" t="n">
        <f aca="false">IF(MONTH($A146)&lt;=3,1,0)</f>
        <v>0</v>
      </c>
      <c r="G146" s="4" t="str">
        <f aca="false" t="array" ref="G146: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4" t="n">
        <f aca="false">COUNTIF(Events!$A$2:$A$397,$A146)</f>
        <v>0</v>
      </c>
      <c r="I146" s="6" t="str">
        <f aca="false" t="array" ref="I146:I146">_xlfn.TEXTJOIN(" | ",TRUE(),IF(Events!$A$2:$A$397=$A146,Events!$E$2:$E$397&amp;IF(Events!$G$2:$G$397="National",""," ["&amp;Events!$G$2:$G$397&amp;"]"),""))</f>
        <v/>
      </c>
    </row>
    <row r="147" customFormat="false" ht="15" hidden="false" customHeight="true" outlineLevel="0" collapsed="false">
      <c r="A147" s="3" t="n">
        <v>45437</v>
      </c>
      <c r="B147" s="4" t="n">
        <f aca="false">YEAR($A147)</f>
        <v>2024</v>
      </c>
      <c r="C147" s="4" t="n">
        <f aca="false">MONTH($A147)</f>
        <v>5</v>
      </c>
      <c r="D147" s="4" t="str">
        <f aca="false">TEXT($A147,"ddd")</f>
        <v>Sat</v>
      </c>
      <c r="E147" s="4" t="n">
        <f aca="false">IF(OR(AND(MONTH($A147)=10,DAY($A147)&gt;=15),MONTH($A147)=11,AND(MONTH($A147)=12,DAY($A147)&lt;=7)),1,0)</f>
        <v>0</v>
      </c>
      <c r="F147" s="4" t="n">
        <f aca="false">IF(MONTH($A147)&lt;=3,1,0)</f>
        <v>0</v>
      </c>
      <c r="G147" s="4" t="str">
        <f aca="false" t="array" ref="G147: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4" t="n">
        <f aca="false">COUNTIF(Events!$A$2:$A$397,$A147)</f>
        <v>0</v>
      </c>
      <c r="I147" s="6" t="str">
        <f aca="false" t="array" ref="I147:I147">_xlfn.TEXTJOIN(" | ",TRUE(),IF(Events!$A$2:$A$397=$A147,Events!$E$2:$E$397&amp;IF(Events!$G$2:$G$397="National",""," ["&amp;Events!$G$2:$G$397&amp;"]"),""))</f>
        <v/>
      </c>
    </row>
    <row r="148" customFormat="false" ht="15" hidden="false" customHeight="true" outlineLevel="0" collapsed="false">
      <c r="A148" s="3" t="n">
        <v>45438</v>
      </c>
      <c r="B148" s="4" t="n">
        <f aca="false">YEAR($A148)</f>
        <v>2024</v>
      </c>
      <c r="C148" s="4" t="n">
        <f aca="false">MONTH($A148)</f>
        <v>5</v>
      </c>
      <c r="D148" s="4" t="str">
        <f aca="false">TEXT($A148,"ddd")</f>
        <v>Sun</v>
      </c>
      <c r="E148" s="4" t="n">
        <f aca="false">IF(OR(AND(MONTH($A148)=10,DAY($A148)&gt;=15),MONTH($A148)=11,AND(MONTH($A148)=12,DAY($A148)&lt;=7)),1,0)</f>
        <v>0</v>
      </c>
      <c r="F148" s="4" t="n">
        <f aca="false">IF(MONTH($A148)&lt;=3,1,0)</f>
        <v>0</v>
      </c>
      <c r="G148" s="4" t="str">
        <f aca="false" t="array" ref="G148: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4" t="n">
        <f aca="false">COUNTIF(Events!$A$2:$A$397,$A148)</f>
        <v>0</v>
      </c>
      <c r="I148" s="6" t="str">
        <f aca="false" t="array" ref="I148:I148">_xlfn.TEXTJOIN(" | ",TRUE(),IF(Events!$A$2:$A$397=$A148,Events!$E$2:$E$397&amp;IF(Events!$G$2:$G$397="National",""," ["&amp;Events!$G$2:$G$397&amp;"]"),""))</f>
        <v/>
      </c>
    </row>
    <row r="149" customFormat="false" ht="15" hidden="false" customHeight="true" outlineLevel="0" collapsed="false">
      <c r="A149" s="3" t="n">
        <v>45439</v>
      </c>
      <c r="B149" s="4" t="n">
        <f aca="false">YEAR($A149)</f>
        <v>2024</v>
      </c>
      <c r="C149" s="4" t="n">
        <f aca="false">MONTH($A149)</f>
        <v>5</v>
      </c>
      <c r="D149" s="4" t="str">
        <f aca="false">TEXT($A149,"ddd")</f>
        <v>Mon</v>
      </c>
      <c r="E149" s="4" t="n">
        <f aca="false">IF(OR(AND(MONTH($A149)=10,DAY($A149)&gt;=15),MONTH($A149)=11,AND(MONTH($A149)=12,DAY($A149)&lt;=7)),1,0)</f>
        <v>0</v>
      </c>
      <c r="F149" s="4" t="n">
        <f aca="false">IF(MONTH($A149)&lt;=3,1,0)</f>
        <v>0</v>
      </c>
      <c r="G149" s="4" t="str">
        <f aca="false" t="array" ref="G149: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4" t="n">
        <f aca="false">COUNTIF(Events!$A$2:$A$397,$A149)</f>
        <v>0</v>
      </c>
      <c r="I149" s="6" t="str">
        <f aca="false" t="array" ref="I149:I149">_xlfn.TEXTJOIN(" | ",TRUE(),IF(Events!$A$2:$A$397=$A149,Events!$E$2:$E$397&amp;IF(Events!$G$2:$G$397="National",""," ["&amp;Events!$G$2:$G$397&amp;"]"),""))</f>
        <v/>
      </c>
    </row>
    <row r="150" customFormat="false" ht="15" hidden="false" customHeight="true" outlineLevel="0" collapsed="false">
      <c r="A150" s="3" t="n">
        <v>45440</v>
      </c>
      <c r="B150" s="4" t="n">
        <f aca="false">YEAR($A150)</f>
        <v>2024</v>
      </c>
      <c r="C150" s="4" t="n">
        <f aca="false">MONTH($A150)</f>
        <v>5</v>
      </c>
      <c r="D150" s="4" t="str">
        <f aca="false">TEXT($A150,"ddd")</f>
        <v>Tue</v>
      </c>
      <c r="E150" s="4" t="n">
        <f aca="false">IF(OR(AND(MONTH($A150)=10,DAY($A150)&gt;=15),MONTH($A150)=11,AND(MONTH($A150)=12,DAY($A150)&lt;=7)),1,0)</f>
        <v>0</v>
      </c>
      <c r="F150" s="4" t="n">
        <f aca="false">IF(MONTH($A150)&lt;=3,1,0)</f>
        <v>0</v>
      </c>
      <c r="G150" s="4" t="str">
        <f aca="false" t="array" ref="G150: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4" t="n">
        <f aca="false">COUNTIF(Events!$A$2:$A$397,$A150)</f>
        <v>0</v>
      </c>
      <c r="I150" s="6" t="str">
        <f aca="false" t="array" ref="I150:I150">_xlfn.TEXTJOIN(" | ",TRUE(),IF(Events!$A$2:$A$397=$A150,Events!$E$2:$E$397&amp;IF(Events!$G$2:$G$397="National",""," ["&amp;Events!$G$2:$G$397&amp;"]"),""))</f>
        <v/>
      </c>
    </row>
    <row r="151" customFormat="false" ht="15" hidden="false" customHeight="true" outlineLevel="0" collapsed="false">
      <c r="A151" s="3" t="n">
        <v>45441</v>
      </c>
      <c r="B151" s="4" t="n">
        <f aca="false">YEAR($A151)</f>
        <v>2024</v>
      </c>
      <c r="C151" s="4" t="n">
        <f aca="false">MONTH($A151)</f>
        <v>5</v>
      </c>
      <c r="D151" s="4" t="str">
        <f aca="false">TEXT($A151,"ddd")</f>
        <v>Wed</v>
      </c>
      <c r="E151" s="4" t="n">
        <f aca="false">IF(OR(AND(MONTH($A151)=10,DAY($A151)&gt;=15),MONTH($A151)=11,AND(MONTH($A151)=12,DAY($A151)&lt;=7)),1,0)</f>
        <v>0</v>
      </c>
      <c r="F151" s="4" t="n">
        <f aca="false">IF(MONTH($A151)&lt;=3,1,0)</f>
        <v>0</v>
      </c>
      <c r="G151" s="4" t="str">
        <f aca="false" t="array" ref="G151: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4" t="n">
        <f aca="false">COUNTIF(Events!$A$2:$A$397,$A151)</f>
        <v>0</v>
      </c>
      <c r="I151" s="6" t="str">
        <f aca="false" t="array" ref="I151:I151">_xlfn.TEXTJOIN(" | ",TRUE(),IF(Events!$A$2:$A$397=$A151,Events!$E$2:$E$397&amp;IF(Events!$G$2:$G$397="National",""," ["&amp;Events!$G$2:$G$397&amp;"]"),""))</f>
        <v/>
      </c>
    </row>
    <row r="152" customFormat="false" ht="15" hidden="false" customHeight="true" outlineLevel="0" collapsed="false">
      <c r="A152" s="3" t="n">
        <v>45442</v>
      </c>
      <c r="B152" s="4" t="n">
        <f aca="false">YEAR($A152)</f>
        <v>2024</v>
      </c>
      <c r="C152" s="4" t="n">
        <f aca="false">MONTH($A152)</f>
        <v>5</v>
      </c>
      <c r="D152" s="4" t="str">
        <f aca="false">TEXT($A152,"ddd")</f>
        <v>Thu</v>
      </c>
      <c r="E152" s="4" t="n">
        <f aca="false">IF(OR(AND(MONTH($A152)=10,DAY($A152)&gt;=15),MONTH($A152)=11,AND(MONTH($A152)=12,DAY($A152)&lt;=7)),1,0)</f>
        <v>0</v>
      </c>
      <c r="F152" s="4" t="n">
        <f aca="false">IF(MONTH($A152)&lt;=3,1,0)</f>
        <v>0</v>
      </c>
      <c r="G152" s="4" t="str">
        <f aca="false" t="array" ref="G152: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4" t="n">
        <f aca="false">COUNTIF(Events!$A$2:$A$397,$A152)</f>
        <v>0</v>
      </c>
      <c r="I152" s="6" t="str">
        <f aca="false" t="array" ref="I152:I152">_xlfn.TEXTJOIN(" | ",TRUE(),IF(Events!$A$2:$A$397=$A152,Events!$E$2:$E$397&amp;IF(Events!$G$2:$G$397="National",""," ["&amp;Events!$G$2:$G$397&amp;"]"),""))</f>
        <v/>
      </c>
    </row>
    <row r="153" customFormat="false" ht="15" hidden="false" customHeight="true" outlineLevel="0" collapsed="false">
      <c r="A153" s="3" t="n">
        <v>45443</v>
      </c>
      <c r="B153" s="4" t="n">
        <f aca="false">YEAR($A153)</f>
        <v>2024</v>
      </c>
      <c r="C153" s="4" t="n">
        <f aca="false">MONTH($A153)</f>
        <v>5</v>
      </c>
      <c r="D153" s="4" t="str">
        <f aca="false">TEXT($A153,"ddd")</f>
        <v>Fri</v>
      </c>
      <c r="E153" s="4" t="n">
        <f aca="false">IF(OR(AND(MONTH($A153)=10,DAY($A153)&gt;=15),MONTH($A153)=11,AND(MONTH($A153)=12,DAY($A153)&lt;=7)),1,0)</f>
        <v>0</v>
      </c>
      <c r="F153" s="4" t="n">
        <f aca="false">IF(MONTH($A153)&lt;=3,1,0)</f>
        <v>0</v>
      </c>
      <c r="G153" s="4" t="str">
        <f aca="false" t="array" ref="G153: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 | Disaster SEP ended: Tornado [OH] DR-4777 | Disaster SEP ended: Severe Storm [OK] DR-4802</v>
      </c>
      <c r="H153" s="4" t="n">
        <f aca="false">COUNTIF(Events!$A$2:$A$397,$A153)</f>
        <v>0</v>
      </c>
      <c r="I153" s="6" t="str">
        <f aca="false" t="array" ref="I153:I153">_xlfn.TEXTJOIN(" | ",TRUE(),IF(Events!$A$2:$A$397=$A153,Events!$E$2:$E$397&amp;IF(Events!$G$2:$G$397="National",""," ["&amp;Events!$G$2:$G$397&amp;"]"),""))</f>
        <v/>
      </c>
    </row>
    <row r="154" customFormat="false" ht="15" hidden="false" customHeight="true" outlineLevel="0" collapsed="false">
      <c r="A154" s="3" t="n">
        <v>45444</v>
      </c>
      <c r="B154" s="4" t="n">
        <f aca="false">YEAR($A154)</f>
        <v>2024</v>
      </c>
      <c r="C154" s="4" t="n">
        <f aca="false">MONTH($A154)</f>
        <v>6</v>
      </c>
      <c r="D154" s="4" t="str">
        <f aca="false">TEXT($A154,"ddd")</f>
        <v>Sat</v>
      </c>
      <c r="E154" s="4" t="n">
        <f aca="false">IF(OR(AND(MONTH($A154)=10,DAY($A154)&gt;=15),MONTH($A154)=11,AND(MONTH($A154)=12,DAY($A154)&lt;=7)),1,0)</f>
        <v>0</v>
      </c>
      <c r="F154" s="4" t="n">
        <f aca="false">IF(MONTH($A154)&lt;=3,1,0)</f>
        <v>0</v>
      </c>
      <c r="G154" s="4" t="str">
        <f aca="false" t="array" ref="G154: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4" t="n">
        <f aca="false">COUNTIF(Events!$A$2:$A$397,$A154)</f>
        <v>0</v>
      </c>
      <c r="I154" s="6" t="str">
        <f aca="false" t="array" ref="I154:I154">_xlfn.TEXTJOIN(" | ",TRUE(),IF(Events!$A$2:$A$397=$A154,Events!$E$2:$E$397&amp;IF(Events!$G$2:$G$397="National",""," ["&amp;Events!$G$2:$G$397&amp;"]"),""))</f>
        <v/>
      </c>
    </row>
    <row r="155" customFormat="false" ht="15" hidden="false" customHeight="true" outlineLevel="0" collapsed="false">
      <c r="A155" s="3" t="n">
        <v>45445</v>
      </c>
      <c r="B155" s="4" t="n">
        <f aca="false">YEAR($A155)</f>
        <v>2024</v>
      </c>
      <c r="C155" s="4" t="n">
        <f aca="false">MONTH($A155)</f>
        <v>6</v>
      </c>
      <c r="D155" s="4" t="str">
        <f aca="false">TEXT($A155,"ddd")</f>
        <v>Sun</v>
      </c>
      <c r="E155" s="4" t="n">
        <f aca="false">IF(OR(AND(MONTH($A155)=10,DAY($A155)&gt;=15),MONTH($A155)=11,AND(MONTH($A155)=12,DAY($A155)&lt;=7)),1,0)</f>
        <v>0</v>
      </c>
      <c r="F155" s="4" t="n">
        <f aca="false">IF(MONTH($A155)&lt;=3,1,0)</f>
        <v>0</v>
      </c>
      <c r="G155" s="4" t="str">
        <f aca="false" t="array" ref="G155: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
      </c>
      <c r="H155" s="4" t="n">
        <f aca="false">COUNTIF(Events!$A$2:$A$397,$A155)</f>
        <v>0</v>
      </c>
      <c r="I155" s="6" t="str">
        <f aca="false" t="array" ref="I155:I155">_xlfn.TEXTJOIN(" | ",TRUE(),IF(Events!$A$2:$A$397=$A155,Events!$E$2:$E$397&amp;IF(Events!$G$2:$G$397="National",""," ["&amp;Events!$G$2:$G$397&amp;"]"),""))</f>
        <v/>
      </c>
    </row>
    <row r="156" customFormat="false" ht="15" hidden="false" customHeight="true" outlineLevel="0" collapsed="false">
      <c r="A156" s="3" t="n">
        <v>45446</v>
      </c>
      <c r="B156" s="4" t="n">
        <f aca="false">YEAR($A156)</f>
        <v>2024</v>
      </c>
      <c r="C156" s="4" t="n">
        <f aca="false">MONTH($A156)</f>
        <v>6</v>
      </c>
      <c r="D156" s="4" t="str">
        <f aca="false">TEXT($A156,"ddd")</f>
        <v>Mon</v>
      </c>
      <c r="E156" s="4" t="n">
        <f aca="false">IF(OR(AND(MONTH($A156)=10,DAY($A156)&gt;=15),MONTH($A156)=11,AND(MONTH($A156)=12,DAY($A156)&lt;=7)),1,0)</f>
        <v>0</v>
      </c>
      <c r="F156" s="4" t="n">
        <f aca="false">IF(MONTH($A156)&lt;=3,1,0)</f>
        <v>0</v>
      </c>
      <c r="G156" s="4" t="str">
        <f aca="false" t="array" ref="G156: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4" t="n">
        <f aca="false">COUNTIF(Events!$A$2:$A$397,$A156)</f>
        <v>1</v>
      </c>
      <c r="I156" s="6" t="str">
        <f aca="false" t="array" ref="I156:I156">_xlfn.TEXTJOIN(" | ",TRUE(),IF(Events!$A$2:$A$397=$A156,Events!$E$2:$E$397&amp;IF(Events!$G$2:$G$397="National",""," ["&amp;Events!$G$2:$G$397&amp;"]"),""))</f>
        <v>D.D.C. rules for SCAN Health Plan: CMS's 2024 Star Ratings methodology (guardrail/Tukey sequencing) violated the APA; SCAN's rating ordered recalculated; Elevance won a parallel case ~6/11</v>
      </c>
    </row>
    <row r="157" customFormat="false" ht="15" hidden="false" customHeight="true" outlineLevel="0" collapsed="false">
      <c r="A157" s="3" t="n">
        <v>45447</v>
      </c>
      <c r="B157" s="4" t="n">
        <f aca="false">YEAR($A157)</f>
        <v>2024</v>
      </c>
      <c r="C157" s="4" t="n">
        <f aca="false">MONTH($A157)</f>
        <v>6</v>
      </c>
      <c r="D157" s="4" t="str">
        <f aca="false">TEXT($A157,"ddd")</f>
        <v>Tue</v>
      </c>
      <c r="E157" s="4" t="n">
        <f aca="false">IF(OR(AND(MONTH($A157)=10,DAY($A157)&gt;=15),MONTH($A157)=11,AND(MONTH($A157)=12,DAY($A157)&lt;=7)),1,0)</f>
        <v>0</v>
      </c>
      <c r="F157" s="4" t="n">
        <f aca="false">IF(MONTH($A157)&lt;=3,1,0)</f>
        <v>0</v>
      </c>
      <c r="G157" s="4" t="str">
        <f aca="false" t="array" ref="G157: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4" t="n">
        <f aca="false">COUNTIF(Events!$A$2:$A$397,$A157)</f>
        <v>0</v>
      </c>
      <c r="I157" s="6" t="str">
        <f aca="false" t="array" ref="I157:I157">_xlfn.TEXTJOIN(" | ",TRUE(),IF(Events!$A$2:$A$397=$A157,Events!$E$2:$E$397&amp;IF(Events!$G$2:$G$397="National",""," ["&amp;Events!$G$2:$G$397&amp;"]"),""))</f>
        <v/>
      </c>
    </row>
    <row r="158" customFormat="false" ht="15" hidden="false" customHeight="true" outlineLevel="0" collapsed="false">
      <c r="A158" s="3" t="n">
        <v>45448</v>
      </c>
      <c r="B158" s="4" t="n">
        <f aca="false">YEAR($A158)</f>
        <v>2024</v>
      </c>
      <c r="C158" s="4" t="n">
        <f aca="false">MONTH($A158)</f>
        <v>6</v>
      </c>
      <c r="D158" s="4" t="str">
        <f aca="false">TEXT($A158,"ddd")</f>
        <v>Wed</v>
      </c>
      <c r="E158" s="4" t="n">
        <f aca="false">IF(OR(AND(MONTH($A158)=10,DAY($A158)&gt;=15),MONTH($A158)=11,AND(MONTH($A158)=12,DAY($A158)&lt;=7)),1,0)</f>
        <v>0</v>
      </c>
      <c r="F158" s="4" t="n">
        <f aca="false">IF(MONTH($A158)&lt;=3,1,0)</f>
        <v>0</v>
      </c>
      <c r="G158" s="4" t="str">
        <f aca="false" t="array" ref="G158: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v>
      </c>
      <c r="H158" s="4" t="n">
        <f aca="false">COUNTIF(Events!$A$2:$A$397,$A158)</f>
        <v>0</v>
      </c>
      <c r="I158" s="6" t="str">
        <f aca="false" t="array" ref="I158:I158">_xlfn.TEXTJOIN(" | ",TRUE(),IF(Events!$A$2:$A$397=$A158,Events!$E$2:$E$397&amp;IF(Events!$G$2:$G$397="National",""," ["&amp;Events!$G$2:$G$397&amp;"]"),""))</f>
        <v/>
      </c>
    </row>
    <row r="159" customFormat="false" ht="15" hidden="false" customHeight="true" outlineLevel="0" collapsed="false">
      <c r="A159" s="3" t="n">
        <v>45449</v>
      </c>
      <c r="B159" s="4" t="n">
        <f aca="false">YEAR($A159)</f>
        <v>2024</v>
      </c>
      <c r="C159" s="4" t="n">
        <f aca="false">MONTH($A159)</f>
        <v>6</v>
      </c>
      <c r="D159" s="4" t="str">
        <f aca="false">TEXT($A159,"ddd")</f>
        <v>Thu</v>
      </c>
      <c r="E159" s="4" t="n">
        <f aca="false">IF(OR(AND(MONTH($A159)=10,DAY($A159)&gt;=15),MONTH($A159)=11,AND(MONTH($A159)=12,DAY($A159)&lt;=7)),1,0)</f>
        <v>0</v>
      </c>
      <c r="F159" s="4" t="n">
        <f aca="false">IF(MONTH($A159)&lt;=3,1,0)</f>
        <v>0</v>
      </c>
      <c r="G159" s="4" t="str">
        <f aca="false" t="array" ref="G159: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
      </c>
      <c r="H159" s="4" t="n">
        <f aca="false">COUNTIF(Events!$A$2:$A$397,$A159)</f>
        <v>0</v>
      </c>
      <c r="I159" s="6" t="str">
        <f aca="false" t="array" ref="I159:I159">_xlfn.TEXTJOIN(" | ",TRUE(),IF(Events!$A$2:$A$397=$A159,Events!$E$2:$E$397&amp;IF(Events!$G$2:$G$397="National",""," ["&amp;Events!$G$2:$G$397&amp;"]"),""))</f>
        <v/>
      </c>
    </row>
    <row r="160" customFormat="false" ht="15" hidden="false" customHeight="true" outlineLevel="0" collapsed="false">
      <c r="A160" s="3" t="n">
        <v>45450</v>
      </c>
      <c r="B160" s="4" t="n">
        <f aca="false">YEAR($A160)</f>
        <v>2024</v>
      </c>
      <c r="C160" s="4" t="n">
        <f aca="false">MONTH($A160)</f>
        <v>6</v>
      </c>
      <c r="D160" s="4" t="str">
        <f aca="false">TEXT($A160,"ddd")</f>
        <v>Fri</v>
      </c>
      <c r="E160" s="4" t="n">
        <f aca="false">IF(OR(AND(MONTH($A160)=10,DAY($A160)&gt;=15),MONTH($A160)=11,AND(MONTH($A160)=12,DAY($A160)&lt;=7)),1,0)</f>
        <v>0</v>
      </c>
      <c r="F160" s="4" t="n">
        <f aca="false">IF(MONTH($A160)&lt;=3,1,0)</f>
        <v>0</v>
      </c>
      <c r="G160" s="4" t="str">
        <f aca="false" t="array" ref="G160: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
      </c>
      <c r="H160" s="4" t="n">
        <f aca="false">COUNTIF(Events!$A$2:$A$397,$A160)</f>
        <v>0</v>
      </c>
      <c r="I160" s="6" t="str">
        <f aca="false" t="array" ref="I160:I160">_xlfn.TEXTJOIN(" | ",TRUE(),IF(Events!$A$2:$A$397=$A160,Events!$E$2:$E$397&amp;IF(Events!$G$2:$G$397="National",""," ["&amp;Events!$G$2:$G$397&amp;"]"),""))</f>
        <v/>
      </c>
    </row>
    <row r="161" customFormat="false" ht="15" hidden="false" customHeight="true" outlineLevel="0" collapsed="false">
      <c r="A161" s="3" t="n">
        <v>45451</v>
      </c>
      <c r="B161" s="4" t="n">
        <f aca="false">YEAR($A161)</f>
        <v>2024</v>
      </c>
      <c r="C161" s="4" t="n">
        <f aca="false">MONTH($A161)</f>
        <v>6</v>
      </c>
      <c r="D161" s="4" t="str">
        <f aca="false">TEXT($A161,"ddd")</f>
        <v>Sat</v>
      </c>
      <c r="E161" s="4" t="n">
        <f aca="false">IF(OR(AND(MONTH($A161)=10,DAY($A161)&gt;=15),MONTH($A161)=11,AND(MONTH($A161)=12,DAY($A161)&lt;=7)),1,0)</f>
        <v>0</v>
      </c>
      <c r="F161" s="4" t="n">
        <f aca="false">IF(MONTH($A161)&lt;=3,1,0)</f>
        <v>0</v>
      </c>
      <c r="G161" s="4" t="str">
        <f aca="false" t="array" ref="G161: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4" t="n">
        <f aca="false">COUNTIF(Events!$A$2:$A$397,$A161)</f>
        <v>0</v>
      </c>
      <c r="I161" s="6" t="str">
        <f aca="false" t="array" ref="I161:I161">_xlfn.TEXTJOIN(" | ",TRUE(),IF(Events!$A$2:$A$397=$A161,Events!$E$2:$E$397&amp;IF(Events!$G$2:$G$397="National",""," ["&amp;Events!$G$2:$G$397&amp;"]"),""))</f>
        <v/>
      </c>
    </row>
    <row r="162" customFormat="false" ht="15" hidden="false" customHeight="true" outlineLevel="0" collapsed="false">
      <c r="A162" s="3" t="n">
        <v>45452</v>
      </c>
      <c r="B162" s="4" t="n">
        <f aca="false">YEAR($A162)</f>
        <v>2024</v>
      </c>
      <c r="C162" s="4" t="n">
        <f aca="false">MONTH($A162)</f>
        <v>6</v>
      </c>
      <c r="D162" s="4" t="str">
        <f aca="false">TEXT($A162,"ddd")</f>
        <v>Sun</v>
      </c>
      <c r="E162" s="4" t="n">
        <f aca="false">IF(OR(AND(MONTH($A162)=10,DAY($A162)&gt;=15),MONTH($A162)=11,AND(MONTH($A162)=12,DAY($A162)&lt;=7)),1,0)</f>
        <v>0</v>
      </c>
      <c r="F162" s="4" t="n">
        <f aca="false">IF(MONTH($A162)&lt;=3,1,0)</f>
        <v>0</v>
      </c>
      <c r="G162" s="4" t="str">
        <f aca="false" t="array" ref="G162: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4" t="n">
        <f aca="false">COUNTIF(Events!$A$2:$A$397,$A162)</f>
        <v>0</v>
      </c>
      <c r="I162" s="6" t="str">
        <f aca="false" t="array" ref="I162:I162">_xlfn.TEXTJOIN(" | ",TRUE(),IF(Events!$A$2:$A$397=$A162,Events!$E$2:$E$397&amp;IF(Events!$G$2:$G$397="National",""," ["&amp;Events!$G$2:$G$397&amp;"]"),""))</f>
        <v/>
      </c>
    </row>
    <row r="163" customFormat="false" ht="15" hidden="false" customHeight="true" outlineLevel="0" collapsed="false">
      <c r="A163" s="3" t="n">
        <v>45453</v>
      </c>
      <c r="B163" s="4" t="n">
        <f aca="false">YEAR($A163)</f>
        <v>2024</v>
      </c>
      <c r="C163" s="4" t="n">
        <f aca="false">MONTH($A163)</f>
        <v>6</v>
      </c>
      <c r="D163" s="4" t="str">
        <f aca="false">TEXT($A163,"ddd")</f>
        <v>Mon</v>
      </c>
      <c r="E163" s="4" t="n">
        <f aca="false">IF(OR(AND(MONTH($A163)=10,DAY($A163)&gt;=15),MONTH($A163)=11,AND(MONTH($A163)=12,DAY($A163)&lt;=7)),1,0)</f>
        <v>0</v>
      </c>
      <c r="F163" s="4" t="n">
        <f aca="false">IF(MONTH($A163)&lt;=3,1,0)</f>
        <v>0</v>
      </c>
      <c r="G163" s="4" t="str">
        <f aca="false" t="array" ref="G163: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4" t="n">
        <f aca="false">COUNTIF(Events!$A$2:$A$397,$A163)</f>
        <v>0</v>
      </c>
      <c r="I163" s="6" t="str">
        <f aca="false" t="array" ref="I163:I163">_xlfn.TEXTJOIN(" | ",TRUE(),IF(Events!$A$2:$A$397=$A163,Events!$E$2:$E$397&amp;IF(Events!$G$2:$G$397="National",""," ["&amp;Events!$G$2:$G$397&amp;"]"),""))</f>
        <v/>
      </c>
    </row>
    <row r="164" customFormat="false" ht="15" hidden="false" customHeight="true" outlineLevel="0" collapsed="false">
      <c r="A164" s="3" t="n">
        <v>45454</v>
      </c>
      <c r="B164" s="4" t="n">
        <f aca="false">YEAR($A164)</f>
        <v>2024</v>
      </c>
      <c r="C164" s="4" t="n">
        <f aca="false">MONTH($A164)</f>
        <v>6</v>
      </c>
      <c r="D164" s="4" t="str">
        <f aca="false">TEXT($A164,"ddd")</f>
        <v>Tue</v>
      </c>
      <c r="E164" s="4" t="n">
        <f aca="false">IF(OR(AND(MONTH($A164)=10,DAY($A164)&gt;=15),MONTH($A164)=11,AND(MONTH($A164)=12,DAY($A164)&lt;=7)),1,0)</f>
        <v>0</v>
      </c>
      <c r="F164" s="4" t="n">
        <f aca="false">IF(MONTH($A164)&lt;=3,1,0)</f>
        <v>0</v>
      </c>
      <c r="G164" s="4" t="str">
        <f aca="false" t="array" ref="G164: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v>
      </c>
      <c r="H164" s="4" t="n">
        <f aca="false">COUNTIF(Events!$A$2:$A$397,$A164)</f>
        <v>0</v>
      </c>
      <c r="I164" s="6" t="str">
        <f aca="false" t="array" ref="I164:I164">_xlfn.TEXTJOIN(" | ",TRUE(),IF(Events!$A$2:$A$397=$A164,Events!$E$2:$E$397&amp;IF(Events!$G$2:$G$397="National",""," ["&amp;Events!$G$2:$G$397&amp;"]"),""))</f>
        <v/>
      </c>
    </row>
    <row r="165" customFormat="false" ht="15" hidden="false" customHeight="true" outlineLevel="0" collapsed="false">
      <c r="A165" s="3" t="n">
        <v>45455</v>
      </c>
      <c r="B165" s="4" t="n">
        <f aca="false">YEAR($A165)</f>
        <v>2024</v>
      </c>
      <c r="C165" s="4" t="n">
        <f aca="false">MONTH($A165)</f>
        <v>6</v>
      </c>
      <c r="D165" s="4" t="str">
        <f aca="false">TEXT($A165,"ddd")</f>
        <v>Wed</v>
      </c>
      <c r="E165" s="4" t="n">
        <f aca="false">IF(OR(AND(MONTH($A165)=10,DAY($A165)&gt;=15),MONTH($A165)=11,AND(MONTH($A165)=12,DAY($A165)&lt;=7)),1,0)</f>
        <v>0</v>
      </c>
      <c r="F165" s="4" t="n">
        <f aca="false">IF(MONTH($A165)&lt;=3,1,0)</f>
        <v>0</v>
      </c>
      <c r="G165" s="4" t="str">
        <f aca="false" t="array" ref="G165: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v>
      </c>
      <c r="H165" s="4" t="n">
        <f aca="false">COUNTIF(Events!$A$2:$A$397,$A165)</f>
        <v>0</v>
      </c>
      <c r="I165" s="6" t="str">
        <f aca="false" t="array" ref="I165:I165">_xlfn.TEXTJOIN(" | ",TRUE(),IF(Events!$A$2:$A$397=$A165,Events!$E$2:$E$397&amp;IF(Events!$G$2:$G$397="National",""," ["&amp;Events!$G$2:$G$397&amp;"]"),""))</f>
        <v/>
      </c>
    </row>
    <row r="166" customFormat="false" ht="15" hidden="false" customHeight="true" outlineLevel="0" collapsed="false">
      <c r="A166" s="3" t="n">
        <v>45456</v>
      </c>
      <c r="B166" s="4" t="n">
        <f aca="false">YEAR($A166)</f>
        <v>2024</v>
      </c>
      <c r="C166" s="4" t="n">
        <f aca="false">MONTH($A166)</f>
        <v>6</v>
      </c>
      <c r="D166" s="4" t="str">
        <f aca="false">TEXT($A166,"ddd")</f>
        <v>Thu</v>
      </c>
      <c r="E166" s="4" t="n">
        <f aca="false">IF(OR(AND(MONTH($A166)=10,DAY($A166)&gt;=15),MONTH($A166)=11,AND(MONTH($A166)=12,DAY($A166)&lt;=7)),1,0)</f>
        <v>0</v>
      </c>
      <c r="F166" s="4" t="n">
        <f aca="false">IF(MONTH($A166)&lt;=3,1,0)</f>
        <v>0</v>
      </c>
      <c r="G166" s="4" t="str">
        <f aca="false" t="array" ref="G166: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4" t="n">
        <f aca="false">COUNTIF(Events!$A$2:$A$397,$A166)</f>
        <v>0</v>
      </c>
      <c r="I166" s="6" t="str">
        <f aca="false" t="array" ref="I166:I166">_xlfn.TEXTJOIN(" | ",TRUE(),IF(Events!$A$2:$A$397=$A166,Events!$E$2:$E$397&amp;IF(Events!$G$2:$G$397="National",""," ["&amp;Events!$G$2:$G$397&amp;"]"),""))</f>
        <v/>
      </c>
    </row>
    <row r="167" customFormat="false" ht="15" hidden="false" customHeight="true" outlineLevel="0" collapsed="false">
      <c r="A167" s="3" t="n">
        <v>45457</v>
      </c>
      <c r="B167" s="4" t="n">
        <f aca="false">YEAR($A167)</f>
        <v>2024</v>
      </c>
      <c r="C167" s="4" t="n">
        <f aca="false">MONTH($A167)</f>
        <v>6</v>
      </c>
      <c r="D167" s="4" t="str">
        <f aca="false">TEXT($A167,"ddd")</f>
        <v>Fri</v>
      </c>
      <c r="E167" s="4" t="n">
        <f aca="false">IF(OR(AND(MONTH($A167)=10,DAY($A167)&gt;=15),MONTH($A167)=11,AND(MONTH($A167)=12,DAY($A167)&lt;=7)),1,0)</f>
        <v>0</v>
      </c>
      <c r="F167" s="4" t="n">
        <f aca="false">IF(MONTH($A167)&lt;=3,1,0)</f>
        <v>0</v>
      </c>
      <c r="G167" s="4" t="str">
        <f aca="false" t="array" ref="G167: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v>
      </c>
      <c r="H167" s="4" t="n">
        <f aca="false">COUNTIF(Events!$A$2:$A$397,$A167)</f>
        <v>0</v>
      </c>
      <c r="I167" s="6" t="str">
        <f aca="false" t="array" ref="I167:I167">_xlfn.TEXTJOIN(" | ",TRUE(),IF(Events!$A$2:$A$397=$A167,Events!$E$2:$E$397&amp;IF(Events!$G$2:$G$397="National",""," ["&amp;Events!$G$2:$G$397&amp;"]"),""))</f>
        <v/>
      </c>
    </row>
    <row r="168" customFormat="false" ht="15" hidden="false" customHeight="true" outlineLevel="0" collapsed="false">
      <c r="A168" s="3" t="n">
        <v>45458</v>
      </c>
      <c r="B168" s="4" t="n">
        <f aca="false">YEAR($A168)</f>
        <v>2024</v>
      </c>
      <c r="C168" s="4" t="n">
        <f aca="false">MONTH($A168)</f>
        <v>6</v>
      </c>
      <c r="D168" s="4" t="str">
        <f aca="false">TEXT($A168,"ddd")</f>
        <v>Sat</v>
      </c>
      <c r="E168" s="4" t="n">
        <f aca="false">IF(OR(AND(MONTH($A168)=10,DAY($A168)&gt;=15),MONTH($A168)=11,AND(MONTH($A168)=12,DAY($A168)&lt;=7)),1,0)</f>
        <v>0</v>
      </c>
      <c r="F168" s="4" t="n">
        <f aca="false">IF(MONTH($A168)&lt;=3,1,0)</f>
        <v>0</v>
      </c>
      <c r="G168" s="4" t="str">
        <f aca="false" t="array" ref="G168: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
      </c>
      <c r="H168" s="4" t="n">
        <f aca="false">COUNTIF(Events!$A$2:$A$397,$A168)</f>
        <v>0</v>
      </c>
      <c r="I168" s="6" t="str">
        <f aca="false" t="array" ref="I168:I168">_xlfn.TEXTJOIN(" | ",TRUE(),IF(Events!$A$2:$A$397=$A168,Events!$E$2:$E$397&amp;IF(Events!$G$2:$G$397="National",""," ["&amp;Events!$G$2:$G$397&amp;"]"),""))</f>
        <v/>
      </c>
    </row>
    <row r="169" customFormat="false" ht="15" hidden="false" customHeight="true" outlineLevel="0" collapsed="false">
      <c r="A169" s="3" t="n">
        <v>45459</v>
      </c>
      <c r="B169" s="4" t="n">
        <f aca="false">YEAR($A169)</f>
        <v>2024</v>
      </c>
      <c r="C169" s="4" t="n">
        <f aca="false">MONTH($A169)</f>
        <v>6</v>
      </c>
      <c r="D169" s="4" t="str">
        <f aca="false">TEXT($A169,"ddd")</f>
        <v>Sun</v>
      </c>
      <c r="E169" s="4" t="n">
        <f aca="false">IF(OR(AND(MONTH($A169)=10,DAY($A169)&gt;=15),MONTH($A169)=11,AND(MONTH($A169)=12,DAY($A169)&lt;=7)),1,0)</f>
        <v>0</v>
      </c>
      <c r="F169" s="4" t="n">
        <f aca="false">IF(MONTH($A169)&lt;=3,1,0)</f>
        <v>0</v>
      </c>
      <c r="G169" s="4" t="str">
        <f aca="false" t="array" ref="G169: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4" t="n">
        <f aca="false">COUNTIF(Events!$A$2:$A$397,$A169)</f>
        <v>0</v>
      </c>
      <c r="I169" s="6" t="str">
        <f aca="false" t="array" ref="I169:I169">_xlfn.TEXTJOIN(" | ",TRUE(),IF(Events!$A$2:$A$397=$A169,Events!$E$2:$E$397&amp;IF(Events!$G$2:$G$397="National",""," ["&amp;Events!$G$2:$G$397&amp;"]"),""))</f>
        <v/>
      </c>
    </row>
    <row r="170" customFormat="false" ht="15" hidden="false" customHeight="true" outlineLevel="0" collapsed="false">
      <c r="A170" s="3" t="n">
        <v>45460</v>
      </c>
      <c r="B170" s="4" t="n">
        <f aca="false">YEAR($A170)</f>
        <v>2024</v>
      </c>
      <c r="C170" s="4" t="n">
        <f aca="false">MONTH($A170)</f>
        <v>6</v>
      </c>
      <c r="D170" s="4" t="str">
        <f aca="false">TEXT($A170,"ddd")</f>
        <v>Mon</v>
      </c>
      <c r="E170" s="4" t="n">
        <f aca="false">IF(OR(AND(MONTH($A170)=10,DAY($A170)&gt;=15),MONTH($A170)=11,AND(MONTH($A170)=12,DAY($A170)&lt;=7)),1,0)</f>
        <v>0</v>
      </c>
      <c r="F170" s="4" t="n">
        <f aca="false">IF(MONTH($A170)&lt;=3,1,0)</f>
        <v>0</v>
      </c>
      <c r="G170" s="4" t="str">
        <f aca="false" t="array" ref="G170: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4" t="n">
        <f aca="false">COUNTIF(Events!$A$2:$A$397,$A170)</f>
        <v>0</v>
      </c>
      <c r="I170" s="6" t="str">
        <f aca="false" t="array" ref="I170:I170">_xlfn.TEXTJOIN(" | ",TRUE(),IF(Events!$A$2:$A$397=$A170,Events!$E$2:$E$397&amp;IF(Events!$G$2:$G$397="National",""," ["&amp;Events!$G$2:$G$397&amp;"]"),""))</f>
        <v/>
      </c>
    </row>
    <row r="171" customFormat="false" ht="15" hidden="false" customHeight="true" outlineLevel="0" collapsed="false">
      <c r="A171" s="3" t="n">
        <v>45461</v>
      </c>
      <c r="B171" s="4" t="n">
        <f aca="false">YEAR($A171)</f>
        <v>2024</v>
      </c>
      <c r="C171" s="4" t="n">
        <f aca="false">MONTH($A171)</f>
        <v>6</v>
      </c>
      <c r="D171" s="4" t="str">
        <f aca="false">TEXT($A171,"ddd")</f>
        <v>Tue</v>
      </c>
      <c r="E171" s="4" t="n">
        <f aca="false">IF(OR(AND(MONTH($A171)=10,DAY($A171)&gt;=15),MONTH($A171)=11,AND(MONTH($A171)=12,DAY($A171)&lt;=7)),1,0)</f>
        <v>0</v>
      </c>
      <c r="F171" s="4" t="n">
        <f aca="false">IF(MONTH($A171)&lt;=3,1,0)</f>
        <v>0</v>
      </c>
      <c r="G171" s="4" t="str">
        <f aca="false" t="array" ref="G171: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4" t="n">
        <f aca="false">COUNTIF(Events!$A$2:$A$397,$A171)</f>
        <v>0</v>
      </c>
      <c r="I171" s="6" t="str">
        <f aca="false" t="array" ref="I171:I171">_xlfn.TEXTJOIN(" | ",TRUE(),IF(Events!$A$2:$A$397=$A171,Events!$E$2:$E$397&amp;IF(Events!$G$2:$G$397="National",""," ["&amp;Events!$G$2:$G$397&amp;"]"),""))</f>
        <v/>
      </c>
    </row>
    <row r="172" customFormat="false" ht="15" hidden="false" customHeight="true" outlineLevel="0" collapsed="false">
      <c r="A172" s="3" t="n">
        <v>45462</v>
      </c>
      <c r="B172" s="4" t="n">
        <f aca="false">YEAR($A172)</f>
        <v>2024</v>
      </c>
      <c r="C172" s="4" t="n">
        <f aca="false">MONTH($A172)</f>
        <v>6</v>
      </c>
      <c r="D172" s="4" t="str">
        <f aca="false">TEXT($A172,"ddd")</f>
        <v>Wed</v>
      </c>
      <c r="E172" s="4" t="n">
        <f aca="false">IF(OR(AND(MONTH($A172)=10,DAY($A172)&gt;=15),MONTH($A172)=11,AND(MONTH($A172)=12,DAY($A172)&lt;=7)),1,0)</f>
        <v>0</v>
      </c>
      <c r="F172" s="4" t="n">
        <f aca="false">IF(MONTH($A172)&lt;=3,1,0)</f>
        <v>0</v>
      </c>
      <c r="G172" s="4" t="str">
        <f aca="false" t="array" ref="G172: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4" t="n">
        <f aca="false">COUNTIF(Events!$A$2:$A$397,$A172)</f>
        <v>0</v>
      </c>
      <c r="I172" s="6" t="str">
        <f aca="false" t="array" ref="I172:I172">_xlfn.TEXTJOIN(" | ",TRUE(),IF(Events!$A$2:$A$397=$A172,Events!$E$2:$E$397&amp;IF(Events!$G$2:$G$397="National",""," ["&amp;Events!$G$2:$G$397&amp;"]"),""))</f>
        <v/>
      </c>
    </row>
    <row r="173" customFormat="false" ht="15" hidden="false" customHeight="true" outlineLevel="0" collapsed="false">
      <c r="A173" s="3" t="n">
        <v>45463</v>
      </c>
      <c r="B173" s="4" t="n">
        <f aca="false">YEAR($A173)</f>
        <v>2024</v>
      </c>
      <c r="C173" s="4" t="n">
        <f aca="false">MONTH($A173)</f>
        <v>6</v>
      </c>
      <c r="D173" s="4" t="str">
        <f aca="false">TEXT($A173,"ddd")</f>
        <v>Thu</v>
      </c>
      <c r="E173" s="4" t="n">
        <f aca="false">IF(OR(AND(MONTH($A173)=10,DAY($A173)&gt;=15),MONTH($A173)=11,AND(MONTH($A173)=12,DAY($A173)&lt;=7)),1,0)</f>
        <v>0</v>
      </c>
      <c r="F173" s="4" t="n">
        <f aca="false">IF(MONTH($A173)&lt;=3,1,0)</f>
        <v>0</v>
      </c>
      <c r="G173" s="4" t="str">
        <f aca="false" t="array" ref="G173: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4" t="n">
        <f aca="false">COUNTIF(Events!$A$2:$A$397,$A173)</f>
        <v>0</v>
      </c>
      <c r="I173" s="6" t="str">
        <f aca="false" t="array" ref="I173:I173">_xlfn.TEXTJOIN(" | ",TRUE(),IF(Events!$A$2:$A$397=$A173,Events!$E$2:$E$397&amp;IF(Events!$G$2:$G$397="National",""," ["&amp;Events!$G$2:$G$397&amp;"]"),""))</f>
        <v/>
      </c>
    </row>
    <row r="174" customFormat="false" ht="15" hidden="false" customHeight="true" outlineLevel="0" collapsed="false">
      <c r="A174" s="3" t="n">
        <v>45464</v>
      </c>
      <c r="B174" s="4" t="n">
        <f aca="false">YEAR($A174)</f>
        <v>2024</v>
      </c>
      <c r="C174" s="4" t="n">
        <f aca="false">MONTH($A174)</f>
        <v>6</v>
      </c>
      <c r="D174" s="4" t="str">
        <f aca="false">TEXT($A174,"ddd")</f>
        <v>Fri</v>
      </c>
      <c r="E174" s="4" t="n">
        <f aca="false">IF(OR(AND(MONTH($A174)=10,DAY($A174)&gt;=15),MONTH($A174)=11,AND(MONTH($A174)=12,DAY($A174)&lt;=7)),1,0)</f>
        <v>0</v>
      </c>
      <c r="F174" s="4" t="n">
        <f aca="false">IF(MONTH($A174)&lt;=3,1,0)</f>
        <v>0</v>
      </c>
      <c r="G174" s="4" t="str">
        <f aca="false" t="array" ref="G174: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4" t="n">
        <f aca="false">COUNTIF(Events!$A$2:$A$397,$A174)</f>
        <v>0</v>
      </c>
      <c r="I174" s="6" t="str">
        <f aca="false" t="array" ref="I174:I174">_xlfn.TEXTJOIN(" | ",TRUE(),IF(Events!$A$2:$A$397=$A174,Events!$E$2:$E$397&amp;IF(Events!$G$2:$G$397="National",""," ["&amp;Events!$G$2:$G$397&amp;"]"),""))</f>
        <v/>
      </c>
    </row>
    <row r="175" customFormat="false" ht="15" hidden="false" customHeight="true" outlineLevel="0" collapsed="false">
      <c r="A175" s="3" t="n">
        <v>45465</v>
      </c>
      <c r="B175" s="4" t="n">
        <f aca="false">YEAR($A175)</f>
        <v>2024</v>
      </c>
      <c r="C175" s="4" t="n">
        <f aca="false">MONTH($A175)</f>
        <v>6</v>
      </c>
      <c r="D175" s="4" t="str">
        <f aca="false">TEXT($A175,"ddd")</f>
        <v>Sat</v>
      </c>
      <c r="E175" s="4" t="n">
        <f aca="false">IF(OR(AND(MONTH($A175)=10,DAY($A175)&gt;=15),MONTH($A175)=11,AND(MONTH($A175)=12,DAY($A175)&lt;=7)),1,0)</f>
        <v>0</v>
      </c>
      <c r="F175" s="4" t="n">
        <f aca="false">IF(MONTH($A175)&lt;=3,1,0)</f>
        <v>0</v>
      </c>
      <c r="G175" s="4" t="str">
        <f aca="false" t="array" ref="G175: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4" t="n">
        <f aca="false">COUNTIF(Events!$A$2:$A$397,$A175)</f>
        <v>0</v>
      </c>
      <c r="I175" s="6" t="str">
        <f aca="false" t="array" ref="I175:I175">_xlfn.TEXTJOIN(" | ",TRUE(),IF(Events!$A$2:$A$397=$A175,Events!$E$2:$E$397&amp;IF(Events!$G$2:$G$397="National",""," ["&amp;Events!$G$2:$G$397&amp;"]"),""))</f>
        <v/>
      </c>
    </row>
    <row r="176" customFormat="false" ht="15" hidden="false" customHeight="true" outlineLevel="0" collapsed="false">
      <c r="A176" s="3" t="n">
        <v>45466</v>
      </c>
      <c r="B176" s="4" t="n">
        <f aca="false">YEAR($A176)</f>
        <v>2024</v>
      </c>
      <c r="C176" s="4" t="n">
        <f aca="false">MONTH($A176)</f>
        <v>6</v>
      </c>
      <c r="D176" s="4" t="str">
        <f aca="false">TEXT($A176,"ddd")</f>
        <v>Sun</v>
      </c>
      <c r="E176" s="4" t="n">
        <f aca="false">IF(OR(AND(MONTH($A176)=10,DAY($A176)&gt;=15),MONTH($A176)=11,AND(MONTH($A176)=12,DAY($A176)&lt;=7)),1,0)</f>
        <v>0</v>
      </c>
      <c r="F176" s="4" t="n">
        <f aca="false">IF(MONTH($A176)&lt;=3,1,0)</f>
        <v>0</v>
      </c>
      <c r="G176" s="4" t="str">
        <f aca="false" t="array" ref="G176: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4" t="n">
        <f aca="false">COUNTIF(Events!$A$2:$A$397,$A176)</f>
        <v>0</v>
      </c>
      <c r="I176" s="6" t="str">
        <f aca="false" t="array" ref="I176:I176">_xlfn.TEXTJOIN(" | ",TRUE(),IF(Events!$A$2:$A$397=$A176,Events!$E$2:$E$397&amp;IF(Events!$G$2:$G$397="National",""," ["&amp;Events!$G$2:$G$397&amp;"]"),""))</f>
        <v/>
      </c>
    </row>
    <row r="177" customFormat="false" ht="15" hidden="false" customHeight="true" outlineLevel="0" collapsed="false">
      <c r="A177" s="3" t="n">
        <v>45467</v>
      </c>
      <c r="B177" s="4" t="n">
        <f aca="false">YEAR($A177)</f>
        <v>2024</v>
      </c>
      <c r="C177" s="4" t="n">
        <f aca="false">MONTH($A177)</f>
        <v>6</v>
      </c>
      <c r="D177" s="4" t="str">
        <f aca="false">TEXT($A177,"ddd")</f>
        <v>Mon</v>
      </c>
      <c r="E177" s="4" t="n">
        <f aca="false">IF(OR(AND(MONTH($A177)=10,DAY($A177)&gt;=15),MONTH($A177)=11,AND(MONTH($A177)=12,DAY($A177)&lt;=7)),1,0)</f>
        <v>0</v>
      </c>
      <c r="F177" s="4" t="n">
        <f aca="false">IF(MONTH($A177)&lt;=3,1,0)</f>
        <v>0</v>
      </c>
      <c r="G177" s="4" t="str">
        <f aca="false" t="array" ref="G177: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4" t="n">
        <f aca="false">COUNTIF(Events!$A$2:$A$397,$A177)</f>
        <v>0</v>
      </c>
      <c r="I177" s="6" t="str">
        <f aca="false" t="array" ref="I177:I177">_xlfn.TEXTJOIN(" | ",TRUE(),IF(Events!$A$2:$A$397=$A177,Events!$E$2:$E$397&amp;IF(Events!$G$2:$G$397="National",""," ["&amp;Events!$G$2:$G$397&amp;"]"),""))</f>
        <v/>
      </c>
    </row>
    <row r="178" customFormat="false" ht="15" hidden="false" customHeight="true" outlineLevel="0" collapsed="false">
      <c r="A178" s="3" t="n">
        <v>45468</v>
      </c>
      <c r="B178" s="4" t="n">
        <f aca="false">YEAR($A178)</f>
        <v>2024</v>
      </c>
      <c r="C178" s="4" t="n">
        <f aca="false">MONTH($A178)</f>
        <v>6</v>
      </c>
      <c r="D178" s="4" t="str">
        <f aca="false">TEXT($A178,"ddd")</f>
        <v>Tue</v>
      </c>
      <c r="E178" s="4" t="n">
        <f aca="false">IF(OR(AND(MONTH($A178)=10,DAY($A178)&gt;=15),MONTH($A178)=11,AND(MONTH($A178)=12,DAY($A178)&lt;=7)),1,0)</f>
        <v>0</v>
      </c>
      <c r="F178" s="4" t="n">
        <f aca="false">IF(MONTH($A178)&lt;=3,1,0)</f>
        <v>0</v>
      </c>
      <c r="G178" s="4" t="str">
        <f aca="false" t="array" ref="G178: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4" t="n">
        <f aca="false">COUNTIF(Events!$A$2:$A$397,$A178)</f>
        <v>0</v>
      </c>
      <c r="I178" s="6" t="str">
        <f aca="false" t="array" ref="I178:I178">_xlfn.TEXTJOIN(" | ",TRUE(),IF(Events!$A$2:$A$397=$A178,Events!$E$2:$E$397&amp;IF(Events!$G$2:$G$397="National",""," ["&amp;Events!$G$2:$G$397&amp;"]"),""))</f>
        <v/>
      </c>
    </row>
    <row r="179" customFormat="false" ht="15" hidden="false" customHeight="true" outlineLevel="0" collapsed="false">
      <c r="A179" s="3" t="n">
        <v>45469</v>
      </c>
      <c r="B179" s="4" t="n">
        <f aca="false">YEAR($A179)</f>
        <v>2024</v>
      </c>
      <c r="C179" s="4" t="n">
        <f aca="false">MONTH($A179)</f>
        <v>6</v>
      </c>
      <c r="D179" s="4" t="str">
        <f aca="false">TEXT($A179,"ddd")</f>
        <v>Wed</v>
      </c>
      <c r="E179" s="4" t="n">
        <f aca="false">IF(OR(AND(MONTH($A179)=10,DAY($A179)&gt;=15),MONTH($A179)=11,AND(MONTH($A179)=12,DAY($A179)&lt;=7)),1,0)</f>
        <v>0</v>
      </c>
      <c r="F179" s="4" t="n">
        <f aca="false">IF(MONTH($A179)&lt;=3,1,0)</f>
        <v>0</v>
      </c>
      <c r="G179" s="4" t="str">
        <f aca="false" t="array" ref="G179: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4" t="n">
        <f aca="false">COUNTIF(Events!$A$2:$A$397,$A179)</f>
        <v>0</v>
      </c>
      <c r="I179" s="6" t="str">
        <f aca="false" t="array" ref="I179:I179">_xlfn.TEXTJOIN(" | ",TRUE(),IF(Events!$A$2:$A$397=$A179,Events!$E$2:$E$397&amp;IF(Events!$G$2:$G$397="National",""," ["&amp;Events!$G$2:$G$397&amp;"]"),""))</f>
        <v/>
      </c>
    </row>
    <row r="180" customFormat="false" ht="15" hidden="false" customHeight="true" outlineLevel="0" collapsed="false">
      <c r="A180" s="3" t="n">
        <v>45470</v>
      </c>
      <c r="B180" s="4" t="n">
        <f aca="false">YEAR($A180)</f>
        <v>2024</v>
      </c>
      <c r="C180" s="4" t="n">
        <f aca="false">MONTH($A180)</f>
        <v>6</v>
      </c>
      <c r="D180" s="4" t="str">
        <f aca="false">TEXT($A180,"ddd")</f>
        <v>Thu</v>
      </c>
      <c r="E180" s="4" t="n">
        <f aca="false">IF(OR(AND(MONTH($A180)=10,DAY($A180)&gt;=15),MONTH($A180)=11,AND(MONTH($A180)=12,DAY($A180)&lt;=7)),1,0)</f>
        <v>0</v>
      </c>
      <c r="F180" s="4" t="n">
        <f aca="false">IF(MONTH($A180)&lt;=3,1,0)</f>
        <v>0</v>
      </c>
      <c r="G180" s="4" t="str">
        <f aca="false" t="array" ref="G180: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
      </c>
      <c r="H180" s="4" t="n">
        <f aca="false">COUNTIF(Events!$A$2:$A$397,$A180)</f>
        <v>0</v>
      </c>
      <c r="I180" s="6" t="str">
        <f aca="false" t="array" ref="I180:I180">_xlfn.TEXTJOIN(" | ",TRUE(),IF(Events!$A$2:$A$397=$A180,Events!$E$2:$E$397&amp;IF(Events!$G$2:$G$397="National",""," ["&amp;Events!$G$2:$G$397&amp;"]"),""))</f>
        <v/>
      </c>
    </row>
    <row r="181" customFormat="false" ht="15" hidden="false" customHeight="true" outlineLevel="0" collapsed="false">
      <c r="A181" s="3" t="n">
        <v>45471</v>
      </c>
      <c r="B181" s="4" t="n">
        <f aca="false">YEAR($A181)</f>
        <v>2024</v>
      </c>
      <c r="C181" s="4" t="n">
        <f aca="false">MONTH($A181)</f>
        <v>6</v>
      </c>
      <c r="D181" s="4" t="str">
        <f aca="false">TEXT($A181,"ddd")</f>
        <v>Fri</v>
      </c>
      <c r="E181" s="4" t="n">
        <f aca="false">IF(OR(AND(MONTH($A181)=10,DAY($A181)&gt;=15),MONTH($A181)=11,AND(MONTH($A181)=12,DAY($A181)&lt;=7)),1,0)</f>
        <v>0</v>
      </c>
      <c r="F181" s="4" t="n">
        <f aca="false">IF(MONTH($A181)&lt;=3,1,0)</f>
        <v>0</v>
      </c>
      <c r="G181" s="4" t="str">
        <f aca="false" t="array" ref="G181: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4" t="n">
        <f aca="false">COUNTIF(Events!$A$2:$A$397,$A181)</f>
        <v>0</v>
      </c>
      <c r="I181" s="6" t="str">
        <f aca="false" t="array" ref="I181:I181">_xlfn.TEXTJOIN(" | ",TRUE(),IF(Events!$A$2:$A$397=$A181,Events!$E$2:$E$397&amp;IF(Events!$G$2:$G$397="National",""," ["&amp;Events!$G$2:$G$397&amp;"]"),""))</f>
        <v/>
      </c>
    </row>
    <row r="182" customFormat="false" ht="15" hidden="false" customHeight="true" outlineLevel="0" collapsed="false">
      <c r="A182" s="3" t="n">
        <v>45472</v>
      </c>
      <c r="B182" s="4" t="n">
        <f aca="false">YEAR($A182)</f>
        <v>2024</v>
      </c>
      <c r="C182" s="4" t="n">
        <f aca="false">MONTH($A182)</f>
        <v>6</v>
      </c>
      <c r="D182" s="4" t="str">
        <f aca="false">TEXT($A182,"ddd")</f>
        <v>Sat</v>
      </c>
      <c r="E182" s="4" t="n">
        <f aca="false">IF(OR(AND(MONTH($A182)=10,DAY($A182)&gt;=15),MONTH($A182)=11,AND(MONTH($A182)=12,DAY($A182)&lt;=7)),1,0)</f>
        <v>0</v>
      </c>
      <c r="F182" s="4" t="n">
        <f aca="false">IF(MONTH($A182)&lt;=3,1,0)</f>
        <v>0</v>
      </c>
      <c r="G182" s="4" t="str">
        <f aca="false" t="array" ref="G182: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4" t="n">
        <f aca="false">COUNTIF(Events!$A$2:$A$397,$A182)</f>
        <v>0</v>
      </c>
      <c r="I182" s="6" t="str">
        <f aca="false" t="array" ref="I182:I182">_xlfn.TEXTJOIN(" | ",TRUE(),IF(Events!$A$2:$A$397=$A182,Events!$E$2:$E$397&amp;IF(Events!$G$2:$G$397="National",""," ["&amp;Events!$G$2:$G$397&amp;"]"),""))</f>
        <v/>
      </c>
    </row>
    <row r="183" customFormat="false" ht="15" hidden="false" customHeight="true" outlineLevel="0" collapsed="false">
      <c r="A183" s="3" t="n">
        <v>45473</v>
      </c>
      <c r="B183" s="4" t="n">
        <f aca="false">YEAR($A183)</f>
        <v>2024</v>
      </c>
      <c r="C183" s="4" t="n">
        <f aca="false">MONTH($A183)</f>
        <v>6</v>
      </c>
      <c r="D183" s="4" t="str">
        <f aca="false">TEXT($A183,"ddd")</f>
        <v>Sun</v>
      </c>
      <c r="E183" s="4" t="n">
        <f aca="false">IF(OR(AND(MONTH($A183)=10,DAY($A183)&gt;=15),MONTH($A183)=11,AND(MONTH($A183)=12,DAY($A183)&lt;=7)),1,0)</f>
        <v>0</v>
      </c>
      <c r="F183" s="4" t="n">
        <f aca="false">IF(MONTH($A183)&lt;=3,1,0)</f>
        <v>0</v>
      </c>
      <c r="G183" s="4" t="str">
        <f aca="false" t="array" ref="G183: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[KY] DR-4782 | Disaster SEP ended: Severe Storm [WV] DR-4783 | Disaster SEP ended: Winter Storm [ME] DR-4785 | Disaster SEP ended: Winter Storm [NH] DR-4799 | Disaster SEP ended: Severe Storm [NE] DR-4786 | Disaster SEP ended: Severe Storm [MS] DR-4790 | Disaster SEP ended: Flood [WV] DR-4787 | Disaster SEP ended: Flood [HI] DR-4793 | Disaster SEP ended: Flood [ID] DR-4789 | Disaster SEP ended: Tornado [OK] DR-4776 | Disaster SEP ended: Tornado [NE] DR-4778 | Disaster SEP ended: Severe Storm [KS] DR-4800 | Disaster SEP ended: Tornado [IA] DR-4779 | Disaster SEP ended: Flood [TX] DR-4781 | Disaster SEP ended: Flood [PR] DR-4805</v>
      </c>
      <c r="H183" s="4" t="n">
        <f aca="false">COUNTIF(Events!$A$2:$A$397,$A183)</f>
        <v>0</v>
      </c>
      <c r="I183" s="6" t="str">
        <f aca="false" t="array" ref="I183:I183">_xlfn.TEXTJOIN(" | ",TRUE(),IF(Events!$A$2:$A$397=$A183,Events!$E$2:$E$397&amp;IF(Events!$G$2:$G$397="National",""," ["&amp;Events!$G$2:$G$397&amp;"]"),""))</f>
        <v/>
      </c>
    </row>
    <row r="184" customFormat="false" ht="15" hidden="false" customHeight="true" outlineLevel="0" collapsed="false">
      <c r="A184" s="3" t="n">
        <v>45474</v>
      </c>
      <c r="B184" s="4" t="n">
        <f aca="false">YEAR($A184)</f>
        <v>2024</v>
      </c>
      <c r="C184" s="4" t="n">
        <f aca="false">MONTH($A184)</f>
        <v>7</v>
      </c>
      <c r="D184" s="4" t="str">
        <f aca="false">TEXT($A184,"ddd")</f>
        <v>Mon</v>
      </c>
      <c r="E184" s="4" t="n">
        <f aca="false">IF(OR(AND(MONTH($A184)=10,DAY($A184)&gt;=15),MONTH($A184)=11,AND(MONTH($A184)=12,DAY($A184)&lt;=7)),1,0)</f>
        <v>0</v>
      </c>
      <c r="F184" s="4" t="n">
        <f aca="false">IF(MONTH($A184)&lt;=3,1,0)</f>
        <v>0</v>
      </c>
      <c r="G184" s="4" t="str">
        <f aca="false" t="array" ref="G184: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4" t="n">
        <f aca="false">COUNTIF(Events!$A$2:$A$397,$A184)</f>
        <v>0</v>
      </c>
      <c r="I184" s="6" t="str">
        <f aca="false" t="array" ref="I184:I184">_xlfn.TEXTJOIN(" | ",TRUE(),IF(Events!$A$2:$A$397=$A184,Events!$E$2:$E$397&amp;IF(Events!$G$2:$G$397="National",""," ["&amp;Events!$G$2:$G$397&amp;"]"),""))</f>
        <v/>
      </c>
    </row>
    <row r="185" customFormat="false" ht="15" hidden="false" customHeight="true" outlineLevel="0" collapsed="false">
      <c r="A185" s="3" t="n">
        <v>45475</v>
      </c>
      <c r="B185" s="4" t="n">
        <f aca="false">YEAR($A185)</f>
        <v>2024</v>
      </c>
      <c r="C185" s="4" t="n">
        <f aca="false">MONTH($A185)</f>
        <v>7</v>
      </c>
      <c r="D185" s="4" t="str">
        <f aca="false">TEXT($A185,"ddd")</f>
        <v>Tue</v>
      </c>
      <c r="E185" s="4" t="n">
        <f aca="false">IF(OR(AND(MONTH($A185)=10,DAY($A185)&gt;=15),MONTH($A185)=11,AND(MONTH($A185)=12,DAY($A185)&lt;=7)),1,0)</f>
        <v>0</v>
      </c>
      <c r="F185" s="4" t="n">
        <f aca="false">IF(MONTH($A185)&lt;=3,1,0)</f>
        <v>0</v>
      </c>
      <c r="G185" s="4" t="str">
        <f aca="false" t="array" ref="G185: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4" t="n">
        <f aca="false">COUNTIF(Events!$A$2:$A$397,$A185)</f>
        <v>0</v>
      </c>
      <c r="I185" s="6" t="str">
        <f aca="false" t="array" ref="I185:I185">_xlfn.TEXTJOIN(" | ",TRUE(),IF(Events!$A$2:$A$397=$A185,Events!$E$2:$E$397&amp;IF(Events!$G$2:$G$397="National",""," ["&amp;Events!$G$2:$G$397&amp;"]"),""))</f>
        <v/>
      </c>
    </row>
    <row r="186" customFormat="false" ht="15" hidden="false" customHeight="true" outlineLevel="0" collapsed="false">
      <c r="A186" s="3" t="n">
        <v>45476</v>
      </c>
      <c r="B186" s="4" t="n">
        <f aca="false">YEAR($A186)</f>
        <v>2024</v>
      </c>
      <c r="C186" s="4" t="n">
        <f aca="false">MONTH($A186)</f>
        <v>7</v>
      </c>
      <c r="D186" s="4" t="str">
        <f aca="false">TEXT($A186,"ddd")</f>
        <v>Wed</v>
      </c>
      <c r="E186" s="4" t="n">
        <f aca="false">IF(OR(AND(MONTH($A186)=10,DAY($A186)&gt;=15),MONTH($A186)=11,AND(MONTH($A186)=12,DAY($A186)&lt;=7)),1,0)</f>
        <v>0</v>
      </c>
      <c r="F186" s="4" t="n">
        <f aca="false">IF(MONTH($A186)&lt;=3,1,0)</f>
        <v>0</v>
      </c>
      <c r="G186" s="4" t="str">
        <f aca="false" t="array" ref="G186: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4" t="n">
        <f aca="false">COUNTIF(Events!$A$2:$A$397,$A186)</f>
        <v>1</v>
      </c>
      <c r="I186" s="6" t="str">
        <f aca="false" t="array" ref="I186:I186">_xlfn.TEXTJOIN(" | ",TRUE(),IF(Events!$A$2:$A$397=$A186,Events!$E$2:$E$397&amp;IF(Events!$G$2:$G$397="National",""," ["&amp;Events!$G$2:$G$397&amp;"]"),""))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customFormat="false" ht="15" hidden="false" customHeight="true" outlineLevel="0" collapsed="false">
      <c r="A187" s="3" t="n">
        <v>45477</v>
      </c>
      <c r="B187" s="4" t="n">
        <f aca="false">YEAR($A187)</f>
        <v>2024</v>
      </c>
      <c r="C187" s="4" t="n">
        <f aca="false">MONTH($A187)</f>
        <v>7</v>
      </c>
      <c r="D187" s="4" t="str">
        <f aca="false">TEXT($A187,"ddd")</f>
        <v>Thu</v>
      </c>
      <c r="E187" s="4" t="n">
        <f aca="false">IF(OR(AND(MONTH($A187)=10,DAY($A187)&gt;=15),MONTH($A187)=11,AND(MONTH($A187)=12,DAY($A187)&lt;=7)),1,0)</f>
        <v>0</v>
      </c>
      <c r="F187" s="4" t="n">
        <f aca="false">IF(MONTH($A187)&lt;=3,1,0)</f>
        <v>0</v>
      </c>
      <c r="G187" s="4" t="str">
        <f aca="false" t="array" ref="G187: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4" t="n">
        <f aca="false">COUNTIF(Events!$A$2:$A$397,$A187)</f>
        <v>0</v>
      </c>
      <c r="I187" s="6" t="str">
        <f aca="false" t="array" ref="I187:I187">_xlfn.TEXTJOIN(" | ",TRUE(),IF(Events!$A$2:$A$397=$A187,Events!$E$2:$E$397&amp;IF(Events!$G$2:$G$397="National",""," ["&amp;Events!$G$2:$G$397&amp;"]"),""))</f>
        <v/>
      </c>
    </row>
    <row r="188" customFormat="false" ht="15" hidden="false" customHeight="true" outlineLevel="0" collapsed="false">
      <c r="A188" s="3" t="n">
        <v>45478</v>
      </c>
      <c r="B188" s="4" t="n">
        <f aca="false">YEAR($A188)</f>
        <v>2024</v>
      </c>
      <c r="C188" s="4" t="n">
        <f aca="false">MONTH($A188)</f>
        <v>7</v>
      </c>
      <c r="D188" s="4" t="str">
        <f aca="false">TEXT($A188,"ddd")</f>
        <v>Fri</v>
      </c>
      <c r="E188" s="4" t="n">
        <f aca="false">IF(OR(AND(MONTH($A188)=10,DAY($A188)&gt;=15),MONTH($A188)=11,AND(MONTH($A188)=12,DAY($A188)&lt;=7)),1,0)</f>
        <v>0</v>
      </c>
      <c r="F188" s="4" t="n">
        <f aca="false">IF(MONTH($A188)&lt;=3,1,0)</f>
        <v>0</v>
      </c>
      <c r="G188" s="4" t="str">
        <f aca="false" t="array" ref="G188: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4" t="n">
        <f aca="false">COUNTIF(Events!$A$2:$A$397,$A188)</f>
        <v>0</v>
      </c>
      <c r="I188" s="6" t="str">
        <f aca="false" t="array" ref="I188:I188">_xlfn.TEXTJOIN(" | ",TRUE(),IF(Events!$A$2:$A$397=$A188,Events!$E$2:$E$397&amp;IF(Events!$G$2:$G$397="National",""," ["&amp;Events!$G$2:$G$397&amp;"]"),""))</f>
        <v/>
      </c>
    </row>
    <row r="189" customFormat="false" ht="15" hidden="false" customHeight="true" outlineLevel="0" collapsed="false">
      <c r="A189" s="3" t="n">
        <v>45479</v>
      </c>
      <c r="B189" s="4" t="n">
        <f aca="false">YEAR($A189)</f>
        <v>2024</v>
      </c>
      <c r="C189" s="4" t="n">
        <f aca="false">MONTH($A189)</f>
        <v>7</v>
      </c>
      <c r="D189" s="4" t="str">
        <f aca="false">TEXT($A189,"ddd")</f>
        <v>Sat</v>
      </c>
      <c r="E189" s="4" t="n">
        <f aca="false">IF(OR(AND(MONTH($A189)=10,DAY($A189)&gt;=15),MONTH($A189)=11,AND(MONTH($A189)=12,DAY($A189)&lt;=7)),1,0)</f>
        <v>0</v>
      </c>
      <c r="F189" s="4" t="n">
        <f aca="false">IF(MONTH($A189)&lt;=3,1,0)</f>
        <v>0</v>
      </c>
      <c r="G189" s="4" t="str">
        <f aca="false" t="array" ref="G189: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4" t="n">
        <f aca="false">COUNTIF(Events!$A$2:$A$397,$A189)</f>
        <v>0</v>
      </c>
      <c r="I189" s="6" t="str">
        <f aca="false" t="array" ref="I189:I189">_xlfn.TEXTJOIN(" | ",TRUE(),IF(Events!$A$2:$A$397=$A189,Events!$E$2:$E$397&amp;IF(Events!$G$2:$G$397="National",""," ["&amp;Events!$G$2:$G$397&amp;"]"),""))</f>
        <v/>
      </c>
    </row>
    <row r="190" customFormat="false" ht="15" hidden="false" customHeight="true" outlineLevel="0" collapsed="false">
      <c r="A190" s="3" t="n">
        <v>45480</v>
      </c>
      <c r="B190" s="4" t="n">
        <f aca="false">YEAR($A190)</f>
        <v>2024</v>
      </c>
      <c r="C190" s="4" t="n">
        <f aca="false">MONTH($A190)</f>
        <v>7</v>
      </c>
      <c r="D190" s="4" t="str">
        <f aca="false">TEXT($A190,"ddd")</f>
        <v>Sun</v>
      </c>
      <c r="E190" s="4" t="n">
        <f aca="false">IF(OR(AND(MONTH($A190)=10,DAY($A190)&gt;=15),MONTH($A190)=11,AND(MONTH($A190)=12,DAY($A190)&lt;=7)),1,0)</f>
        <v>0</v>
      </c>
      <c r="F190" s="4" t="n">
        <f aca="false">IF(MONTH($A190)&lt;=3,1,0)</f>
        <v>0</v>
      </c>
      <c r="G190" s="4" t="str">
        <f aca="false" t="array" ref="G190: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4" t="n">
        <f aca="false">COUNTIF(Events!$A$2:$A$397,$A190)</f>
        <v>0</v>
      </c>
      <c r="I190" s="6" t="str">
        <f aca="false" t="array" ref="I190:I190">_xlfn.TEXTJOIN(" | ",TRUE(),IF(Events!$A$2:$A$397=$A190,Events!$E$2:$E$397&amp;IF(Events!$G$2:$G$397="National",""," ["&amp;Events!$G$2:$G$397&amp;"]"),""))</f>
        <v/>
      </c>
    </row>
    <row r="191" customFormat="false" ht="15" hidden="false" customHeight="true" outlineLevel="0" collapsed="false">
      <c r="A191" s="3" t="n">
        <v>45481</v>
      </c>
      <c r="B191" s="4" t="n">
        <f aca="false">YEAR($A191)</f>
        <v>2024</v>
      </c>
      <c r="C191" s="4" t="n">
        <f aca="false">MONTH($A191)</f>
        <v>7</v>
      </c>
      <c r="D191" s="4" t="str">
        <f aca="false">TEXT($A191,"ddd")</f>
        <v>Mon</v>
      </c>
      <c r="E191" s="4" t="n">
        <f aca="false">IF(OR(AND(MONTH($A191)=10,DAY($A191)&gt;=15),MONTH($A191)=11,AND(MONTH($A191)=12,DAY($A191)&lt;=7)),1,0)</f>
        <v>0</v>
      </c>
      <c r="F191" s="4" t="n">
        <f aca="false">IF(MONTH($A191)&lt;=3,1,0)</f>
        <v>0</v>
      </c>
      <c r="G191" s="4" t="str">
        <f aca="false" t="array" ref="G191: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4" t="n">
        <f aca="false">COUNTIF(Events!$A$2:$A$397,$A191)</f>
        <v>0</v>
      </c>
      <c r="I191" s="6" t="str">
        <f aca="false" t="array" ref="I191:I191">_xlfn.TEXTJOIN(" | ",TRUE(),IF(Events!$A$2:$A$397=$A191,Events!$E$2:$E$397&amp;IF(Events!$G$2:$G$397="National",""," ["&amp;Events!$G$2:$G$397&amp;"]"),""))</f>
        <v/>
      </c>
    </row>
    <row r="192" customFormat="false" ht="15" hidden="false" customHeight="true" outlineLevel="0" collapsed="false">
      <c r="A192" s="3" t="n">
        <v>45482</v>
      </c>
      <c r="B192" s="4" t="n">
        <f aca="false">YEAR($A192)</f>
        <v>2024</v>
      </c>
      <c r="C192" s="4" t="n">
        <f aca="false">MONTH($A192)</f>
        <v>7</v>
      </c>
      <c r="D192" s="4" t="str">
        <f aca="false">TEXT($A192,"ddd")</f>
        <v>Tue</v>
      </c>
      <c r="E192" s="4" t="n">
        <f aca="false">IF(OR(AND(MONTH($A192)=10,DAY($A192)&gt;=15),MONTH($A192)=11,AND(MONTH($A192)=12,DAY($A192)&lt;=7)),1,0)</f>
        <v>0</v>
      </c>
      <c r="F192" s="4" t="n">
        <f aca="false">IF(MONTH($A192)&lt;=3,1,0)</f>
        <v>0</v>
      </c>
      <c r="G192" s="4" t="str">
        <f aca="false" t="array" ref="G192: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v>
      </c>
      <c r="H192" s="4" t="n">
        <f aca="false">COUNTIF(Events!$A$2:$A$397,$A192)</f>
        <v>1</v>
      </c>
      <c r="I192" s="6" t="str">
        <f aca="false" t="array" ref="I192:I192">_xlfn.TEXTJOIN(" | ",TRUE(),IF(Events!$A$2:$A$397=$A192,Events!$E$2:$E$397&amp;IF(Events!$G$2:$G$397="National",""," ["&amp;Events!$G$2:$G$397&amp;"]"),""))</f>
        <v>Following SCAN/Elevance rulings, CMS recalculates 2024 Star Ratings industry-wide: 60+ plans across 40 insurers upgraded, ~$1.4B in additional quality bonus payments (date approximate - recalc rolled out late June/early July)</v>
      </c>
    </row>
    <row r="193" customFormat="false" ht="15" hidden="false" customHeight="true" outlineLevel="0" collapsed="false">
      <c r="A193" s="3" t="n">
        <v>45483</v>
      </c>
      <c r="B193" s="4" t="n">
        <f aca="false">YEAR($A193)</f>
        <v>2024</v>
      </c>
      <c r="C193" s="4" t="n">
        <f aca="false">MONTH($A193)</f>
        <v>7</v>
      </c>
      <c r="D193" s="4" t="str">
        <f aca="false">TEXT($A193,"ddd")</f>
        <v>Wed</v>
      </c>
      <c r="E193" s="4" t="n">
        <f aca="false">IF(OR(AND(MONTH($A193)=10,DAY($A193)&gt;=15),MONTH($A193)=11,AND(MONTH($A193)=12,DAY($A193)&lt;=7)),1,0)</f>
        <v>0</v>
      </c>
      <c r="F193" s="4" t="n">
        <f aca="false">IF(MONTH($A193)&lt;=3,1,0)</f>
        <v>0</v>
      </c>
      <c r="G193" s="4" t="str">
        <f aca="false" t="array" ref="G193: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v>
      </c>
      <c r="H193" s="4" t="n">
        <f aca="false">COUNTIF(Events!$A$2:$A$397,$A193)</f>
        <v>0</v>
      </c>
      <c r="I193" s="6" t="str">
        <f aca="false" t="array" ref="I193:I193">_xlfn.TEXTJOIN(" | ",TRUE(),IF(Events!$A$2:$A$397=$A193,Events!$E$2:$E$397&amp;IF(Events!$G$2:$G$397="National",""," ["&amp;Events!$G$2:$G$397&amp;"]"),""))</f>
        <v/>
      </c>
    </row>
    <row r="194" customFormat="false" ht="15" hidden="false" customHeight="true" outlineLevel="0" collapsed="false">
      <c r="A194" s="3" t="n">
        <v>45484</v>
      </c>
      <c r="B194" s="4" t="n">
        <f aca="false">YEAR($A194)</f>
        <v>2024</v>
      </c>
      <c r="C194" s="4" t="n">
        <f aca="false">MONTH($A194)</f>
        <v>7</v>
      </c>
      <c r="D194" s="4" t="str">
        <f aca="false">TEXT($A194,"ddd")</f>
        <v>Thu</v>
      </c>
      <c r="E194" s="4" t="n">
        <f aca="false">IF(OR(AND(MONTH($A194)=10,DAY($A194)&gt;=15),MONTH($A194)=11,AND(MONTH($A194)=12,DAY($A194)&lt;=7)),1,0)</f>
        <v>0</v>
      </c>
      <c r="F194" s="4" t="n">
        <f aca="false">IF(MONTH($A194)&lt;=3,1,0)</f>
        <v>0</v>
      </c>
      <c r="G194" s="4" t="str">
        <f aca="false" t="array" ref="G194: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4" t="n">
        <f aca="false">COUNTIF(Events!$A$2:$A$397,$A194)</f>
        <v>0</v>
      </c>
      <c r="I194" s="6" t="str">
        <f aca="false" t="array" ref="I194:I194">_xlfn.TEXTJOIN(" | ",TRUE(),IF(Events!$A$2:$A$397=$A194,Events!$E$2:$E$397&amp;IF(Events!$G$2:$G$397="National",""," ["&amp;Events!$G$2:$G$397&amp;"]"),""))</f>
        <v/>
      </c>
    </row>
    <row r="195" customFormat="false" ht="15" hidden="false" customHeight="true" outlineLevel="0" collapsed="false">
      <c r="A195" s="3" t="n">
        <v>45485</v>
      </c>
      <c r="B195" s="4" t="n">
        <f aca="false">YEAR($A195)</f>
        <v>2024</v>
      </c>
      <c r="C195" s="4" t="n">
        <f aca="false">MONTH($A195)</f>
        <v>7</v>
      </c>
      <c r="D195" s="4" t="str">
        <f aca="false">TEXT($A195,"ddd")</f>
        <v>Fri</v>
      </c>
      <c r="E195" s="4" t="n">
        <f aca="false">IF(OR(AND(MONTH($A195)=10,DAY($A195)&gt;=15),MONTH($A195)=11,AND(MONTH($A195)=12,DAY($A195)&lt;=7)),1,0)</f>
        <v>0</v>
      </c>
      <c r="F195" s="4" t="n">
        <f aca="false">IF(MONTH($A195)&lt;=3,1,0)</f>
        <v>0</v>
      </c>
      <c r="G195" s="4" t="str">
        <f aca="false" t="array" ref="G195: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4" t="n">
        <f aca="false">COUNTIF(Events!$A$2:$A$397,$A195)</f>
        <v>0</v>
      </c>
      <c r="I195" s="6" t="str">
        <f aca="false" t="array" ref="I195:I195">_xlfn.TEXTJOIN(" | ",TRUE(),IF(Events!$A$2:$A$397=$A195,Events!$E$2:$E$397&amp;IF(Events!$G$2:$G$397="National",""," ["&amp;Events!$G$2:$G$397&amp;"]"),""))</f>
        <v/>
      </c>
    </row>
    <row r="196" customFormat="false" ht="15" hidden="false" customHeight="true" outlineLevel="0" collapsed="false">
      <c r="A196" s="3" t="n">
        <v>45486</v>
      </c>
      <c r="B196" s="4" t="n">
        <f aca="false">YEAR($A196)</f>
        <v>2024</v>
      </c>
      <c r="C196" s="4" t="n">
        <f aca="false">MONTH($A196)</f>
        <v>7</v>
      </c>
      <c r="D196" s="4" t="str">
        <f aca="false">TEXT($A196,"ddd")</f>
        <v>Sat</v>
      </c>
      <c r="E196" s="4" t="n">
        <f aca="false">IF(OR(AND(MONTH($A196)=10,DAY($A196)&gt;=15),MONTH($A196)=11,AND(MONTH($A196)=12,DAY($A196)&lt;=7)),1,0)</f>
        <v>0</v>
      </c>
      <c r="F196" s="4" t="n">
        <f aca="false">IF(MONTH($A196)&lt;=3,1,0)</f>
        <v>0</v>
      </c>
      <c r="G196" s="4" t="str">
        <f aca="false" t="array" ref="G196: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4" t="n">
        <f aca="false">COUNTIF(Events!$A$2:$A$397,$A196)</f>
        <v>0</v>
      </c>
      <c r="I196" s="6" t="str">
        <f aca="false" t="array" ref="I196:I196">_xlfn.TEXTJOIN(" | ",TRUE(),IF(Events!$A$2:$A$397=$A196,Events!$E$2:$E$397&amp;IF(Events!$G$2:$G$397="National",""," ["&amp;Events!$G$2:$G$397&amp;"]"),""))</f>
        <v/>
      </c>
    </row>
    <row r="197" customFormat="false" ht="15" hidden="false" customHeight="true" outlineLevel="0" collapsed="false">
      <c r="A197" s="3" t="n">
        <v>45487</v>
      </c>
      <c r="B197" s="4" t="n">
        <f aca="false">YEAR($A197)</f>
        <v>2024</v>
      </c>
      <c r="C197" s="4" t="n">
        <f aca="false">MONTH($A197)</f>
        <v>7</v>
      </c>
      <c r="D197" s="4" t="str">
        <f aca="false">TEXT($A197,"ddd")</f>
        <v>Sun</v>
      </c>
      <c r="E197" s="4" t="n">
        <f aca="false">IF(OR(AND(MONTH($A197)=10,DAY($A197)&gt;=15),MONTH($A197)=11,AND(MONTH($A197)=12,DAY($A197)&lt;=7)),1,0)</f>
        <v>0</v>
      </c>
      <c r="F197" s="4" t="n">
        <f aca="false">IF(MONTH($A197)&lt;=3,1,0)</f>
        <v>0</v>
      </c>
      <c r="G197" s="4" t="str">
        <f aca="false" t="array" ref="G197: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4" t="n">
        <f aca="false">COUNTIF(Events!$A$2:$A$397,$A197)</f>
        <v>0</v>
      </c>
      <c r="I197" s="6" t="str">
        <f aca="false" t="array" ref="I197:I197">_xlfn.TEXTJOIN(" | ",TRUE(),IF(Events!$A$2:$A$397=$A197,Events!$E$2:$E$397&amp;IF(Events!$G$2:$G$397="National",""," ["&amp;Events!$G$2:$G$397&amp;"]"),""))</f>
        <v/>
      </c>
    </row>
    <row r="198" customFormat="false" ht="15" hidden="false" customHeight="true" outlineLevel="0" collapsed="false">
      <c r="A198" s="3" t="n">
        <v>45488</v>
      </c>
      <c r="B198" s="4" t="n">
        <f aca="false">YEAR($A198)</f>
        <v>2024</v>
      </c>
      <c r="C198" s="4" t="n">
        <f aca="false">MONTH($A198)</f>
        <v>7</v>
      </c>
      <c r="D198" s="4" t="str">
        <f aca="false">TEXT($A198,"ddd")</f>
        <v>Mon</v>
      </c>
      <c r="E198" s="4" t="n">
        <f aca="false">IF(OR(AND(MONTH($A198)=10,DAY($A198)&gt;=15),MONTH($A198)=11,AND(MONTH($A198)=12,DAY($A198)&lt;=7)),1,0)</f>
        <v>0</v>
      </c>
      <c r="F198" s="4" t="n">
        <f aca="false">IF(MONTH($A198)&lt;=3,1,0)</f>
        <v>0</v>
      </c>
      <c r="G198" s="4" t="str">
        <f aca="false" t="array" ref="G198: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4" t="n">
        <f aca="false">COUNTIF(Events!$A$2:$A$397,$A198)</f>
        <v>0</v>
      </c>
      <c r="I198" s="6" t="str">
        <f aca="false" t="array" ref="I198:I198">_xlfn.TEXTJOIN(" | ",TRUE(),IF(Events!$A$2:$A$397=$A198,Events!$E$2:$E$397&amp;IF(Events!$G$2:$G$397="National",""," ["&amp;Events!$G$2:$G$397&amp;"]"),""))</f>
        <v/>
      </c>
    </row>
    <row r="199" customFormat="false" ht="15" hidden="false" customHeight="true" outlineLevel="0" collapsed="false">
      <c r="A199" s="3" t="n">
        <v>45489</v>
      </c>
      <c r="B199" s="4" t="n">
        <f aca="false">YEAR($A199)</f>
        <v>2024</v>
      </c>
      <c r="C199" s="4" t="n">
        <f aca="false">MONTH($A199)</f>
        <v>7</v>
      </c>
      <c r="D199" s="4" t="str">
        <f aca="false">TEXT($A199,"ddd")</f>
        <v>Tue</v>
      </c>
      <c r="E199" s="4" t="n">
        <f aca="false">IF(OR(AND(MONTH($A199)=10,DAY($A199)&gt;=15),MONTH($A199)=11,AND(MONTH($A199)=12,DAY($A199)&lt;=7)),1,0)</f>
        <v>0</v>
      </c>
      <c r="F199" s="4" t="n">
        <f aca="false">IF(MONTH($A199)&lt;=3,1,0)</f>
        <v>0</v>
      </c>
      <c r="G199" s="4" t="str">
        <f aca="false" t="array" ref="G199: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4" t="n">
        <f aca="false">COUNTIF(Events!$A$2:$A$397,$A199)</f>
        <v>0</v>
      </c>
      <c r="I199" s="6" t="str">
        <f aca="false" t="array" ref="I199:I199">_xlfn.TEXTJOIN(" | ",TRUE(),IF(Events!$A$2:$A$397=$A199,Events!$E$2:$E$397&amp;IF(Events!$G$2:$G$397="National",""," ["&amp;Events!$G$2:$G$397&amp;"]"),""))</f>
        <v/>
      </c>
    </row>
    <row r="200" customFormat="false" ht="15" hidden="false" customHeight="true" outlineLevel="0" collapsed="false">
      <c r="A200" s="3" t="n">
        <v>45490</v>
      </c>
      <c r="B200" s="4" t="n">
        <f aca="false">YEAR($A200)</f>
        <v>2024</v>
      </c>
      <c r="C200" s="4" t="n">
        <f aca="false">MONTH($A200)</f>
        <v>7</v>
      </c>
      <c r="D200" s="4" t="str">
        <f aca="false">TEXT($A200,"ddd")</f>
        <v>Wed</v>
      </c>
      <c r="E200" s="4" t="n">
        <f aca="false">IF(OR(AND(MONTH($A200)=10,DAY($A200)&gt;=15),MONTH($A200)=11,AND(MONTH($A200)=12,DAY($A200)&lt;=7)),1,0)</f>
        <v>0</v>
      </c>
      <c r="F200" s="4" t="n">
        <f aca="false">IF(MONTH($A200)&lt;=3,1,0)</f>
        <v>0</v>
      </c>
      <c r="G200" s="4" t="str">
        <f aca="false" t="array" ref="G200: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4" t="n">
        <f aca="false">COUNTIF(Events!$A$2:$A$397,$A200)</f>
        <v>0</v>
      </c>
      <c r="I200" s="6" t="str">
        <f aca="false" t="array" ref="I200:I200">_xlfn.TEXTJOIN(" | ",TRUE(),IF(Events!$A$2:$A$397=$A200,Events!$E$2:$E$397&amp;IF(Events!$G$2:$G$397="National",""," ["&amp;Events!$G$2:$G$397&amp;"]"),""))</f>
        <v/>
      </c>
    </row>
    <row r="201" customFormat="false" ht="15" hidden="false" customHeight="true" outlineLevel="0" collapsed="false">
      <c r="A201" s="3" t="n">
        <v>45491</v>
      </c>
      <c r="B201" s="4" t="n">
        <f aca="false">YEAR($A201)</f>
        <v>2024</v>
      </c>
      <c r="C201" s="4" t="n">
        <f aca="false">MONTH($A201)</f>
        <v>7</v>
      </c>
      <c r="D201" s="4" t="str">
        <f aca="false">TEXT($A201,"ddd")</f>
        <v>Thu</v>
      </c>
      <c r="E201" s="4" t="n">
        <f aca="false">IF(OR(AND(MONTH($A201)=10,DAY($A201)&gt;=15),MONTH($A201)=11,AND(MONTH($A201)=12,DAY($A201)&lt;=7)),1,0)</f>
        <v>0</v>
      </c>
      <c r="F201" s="4" t="n">
        <f aca="false">IF(MONTH($A201)&lt;=3,1,0)</f>
        <v>0</v>
      </c>
      <c r="G201" s="4" t="str">
        <f aca="false" t="array" ref="G201: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4" t="n">
        <f aca="false">COUNTIF(Events!$A$2:$A$397,$A201)</f>
        <v>0</v>
      </c>
      <c r="I201" s="6" t="str">
        <f aca="false" t="array" ref="I201:I201">_xlfn.TEXTJOIN(" | ",TRUE(),IF(Events!$A$2:$A$397=$A201,Events!$E$2:$E$397&amp;IF(Events!$G$2:$G$397="National",""," ["&amp;Events!$G$2:$G$397&amp;"]"),""))</f>
        <v/>
      </c>
    </row>
    <row r="202" customFormat="false" ht="15" hidden="false" customHeight="true" outlineLevel="0" collapsed="false">
      <c r="A202" s="3" t="n">
        <v>45492</v>
      </c>
      <c r="B202" s="4" t="n">
        <f aca="false">YEAR($A202)</f>
        <v>2024</v>
      </c>
      <c r="C202" s="4" t="n">
        <f aca="false">MONTH($A202)</f>
        <v>7</v>
      </c>
      <c r="D202" s="4" t="str">
        <f aca="false">TEXT($A202,"ddd")</f>
        <v>Fri</v>
      </c>
      <c r="E202" s="4" t="n">
        <f aca="false">IF(OR(AND(MONTH($A202)=10,DAY($A202)&gt;=15),MONTH($A202)=11,AND(MONTH($A202)=12,DAY($A202)&lt;=7)),1,0)</f>
        <v>0</v>
      </c>
      <c r="F202" s="4" t="n">
        <f aca="false">IF(MONTH($A202)&lt;=3,1,0)</f>
        <v>0</v>
      </c>
      <c r="G202" s="4" t="str">
        <f aca="false" t="array" ref="G202: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4" t="n">
        <f aca="false">COUNTIF(Events!$A$2:$A$397,$A202)</f>
        <v>0</v>
      </c>
      <c r="I202" s="6" t="str">
        <f aca="false" t="array" ref="I202:I202">_xlfn.TEXTJOIN(" | ",TRUE(),IF(Events!$A$2:$A$397=$A202,Events!$E$2:$E$397&amp;IF(Events!$G$2:$G$397="National",""," ["&amp;Events!$G$2:$G$397&amp;"]"),""))</f>
        <v/>
      </c>
    </row>
    <row r="203" customFormat="false" ht="15" hidden="false" customHeight="true" outlineLevel="0" collapsed="false">
      <c r="A203" s="3" t="n">
        <v>45493</v>
      </c>
      <c r="B203" s="4" t="n">
        <f aca="false">YEAR($A203)</f>
        <v>2024</v>
      </c>
      <c r="C203" s="4" t="n">
        <f aca="false">MONTH($A203)</f>
        <v>7</v>
      </c>
      <c r="D203" s="4" t="str">
        <f aca="false">TEXT($A203,"ddd")</f>
        <v>Sat</v>
      </c>
      <c r="E203" s="4" t="n">
        <f aca="false">IF(OR(AND(MONTH($A203)=10,DAY($A203)&gt;=15),MONTH($A203)=11,AND(MONTH($A203)=12,DAY($A203)&lt;=7)),1,0)</f>
        <v>0</v>
      </c>
      <c r="F203" s="4" t="n">
        <f aca="false">IF(MONTH($A203)&lt;=3,1,0)</f>
        <v>0</v>
      </c>
      <c r="G203" s="4" t="str">
        <f aca="false" t="array" ref="G203: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4" t="n">
        <f aca="false">COUNTIF(Events!$A$2:$A$397,$A203)</f>
        <v>0</v>
      </c>
      <c r="I203" s="6" t="str">
        <f aca="false" t="array" ref="I203:I203">_xlfn.TEXTJOIN(" | ",TRUE(),IF(Events!$A$2:$A$397=$A203,Events!$E$2:$E$397&amp;IF(Events!$G$2:$G$397="National",""," ["&amp;Events!$G$2:$G$397&amp;"]"),""))</f>
        <v/>
      </c>
    </row>
    <row r="204" customFormat="false" ht="15" hidden="false" customHeight="true" outlineLevel="0" collapsed="false">
      <c r="A204" s="3" t="n">
        <v>45494</v>
      </c>
      <c r="B204" s="4" t="n">
        <f aca="false">YEAR($A204)</f>
        <v>2024</v>
      </c>
      <c r="C204" s="4" t="n">
        <f aca="false">MONTH($A204)</f>
        <v>7</v>
      </c>
      <c r="D204" s="4" t="str">
        <f aca="false">TEXT($A204,"ddd")</f>
        <v>Sun</v>
      </c>
      <c r="E204" s="4" t="n">
        <f aca="false">IF(OR(AND(MONTH($A204)=10,DAY($A204)&gt;=15),MONTH($A204)=11,AND(MONTH($A204)=12,DAY($A204)&lt;=7)),1,0)</f>
        <v>0</v>
      </c>
      <c r="F204" s="4" t="n">
        <f aca="false">IF(MONTH($A204)&lt;=3,1,0)</f>
        <v>0</v>
      </c>
      <c r="G204" s="4" t="str">
        <f aca="false" t="array" ref="G204: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4" t="n">
        <f aca="false">COUNTIF(Events!$A$2:$A$397,$A204)</f>
        <v>0</v>
      </c>
      <c r="I204" s="6" t="str">
        <f aca="false" t="array" ref="I204:I204">_xlfn.TEXTJOIN(" | ",TRUE(),IF(Events!$A$2:$A$397=$A204,Events!$E$2:$E$397&amp;IF(Events!$G$2:$G$397="National",""," ["&amp;Events!$G$2:$G$397&amp;"]"),""))</f>
        <v/>
      </c>
    </row>
    <row r="205" customFormat="false" ht="15" hidden="false" customHeight="true" outlineLevel="0" collapsed="false">
      <c r="A205" s="3" t="n">
        <v>45495</v>
      </c>
      <c r="B205" s="4" t="n">
        <f aca="false">YEAR($A205)</f>
        <v>2024</v>
      </c>
      <c r="C205" s="4" t="n">
        <f aca="false">MONTH($A205)</f>
        <v>7</v>
      </c>
      <c r="D205" s="4" t="str">
        <f aca="false">TEXT($A205,"ddd")</f>
        <v>Mon</v>
      </c>
      <c r="E205" s="4" t="n">
        <f aca="false">IF(OR(AND(MONTH($A205)=10,DAY($A205)&gt;=15),MONTH($A205)=11,AND(MONTH($A205)=12,DAY($A205)&lt;=7)),1,0)</f>
        <v>0</v>
      </c>
      <c r="F205" s="4" t="n">
        <f aca="false">IF(MONTH($A205)&lt;=3,1,0)</f>
        <v>0</v>
      </c>
      <c r="G205" s="4" t="str">
        <f aca="false" t="array" ref="G205: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4" t="n">
        <f aca="false">COUNTIF(Events!$A$2:$A$397,$A205)</f>
        <v>0</v>
      </c>
      <c r="I205" s="6" t="str">
        <f aca="false" t="array" ref="I205:I205">_xlfn.TEXTJOIN(" | ",TRUE(),IF(Events!$A$2:$A$397=$A205,Events!$E$2:$E$397&amp;IF(Events!$G$2:$G$397="National",""," ["&amp;Events!$G$2:$G$397&amp;"]"),""))</f>
        <v/>
      </c>
    </row>
    <row r="206" customFormat="false" ht="15" hidden="false" customHeight="true" outlineLevel="0" collapsed="false">
      <c r="A206" s="3" t="n">
        <v>45496</v>
      </c>
      <c r="B206" s="4" t="n">
        <f aca="false">YEAR($A206)</f>
        <v>2024</v>
      </c>
      <c r="C206" s="4" t="n">
        <f aca="false">MONTH($A206)</f>
        <v>7</v>
      </c>
      <c r="D206" s="4" t="str">
        <f aca="false">TEXT($A206,"ddd")</f>
        <v>Tue</v>
      </c>
      <c r="E206" s="4" t="n">
        <f aca="false">IF(OR(AND(MONTH($A206)=10,DAY($A206)&gt;=15),MONTH($A206)=11,AND(MONTH($A206)=12,DAY($A206)&lt;=7)),1,0)</f>
        <v>0</v>
      </c>
      <c r="F206" s="4" t="n">
        <f aca="false">IF(MONTH($A206)&lt;=3,1,0)</f>
        <v>0</v>
      </c>
      <c r="G206" s="4" t="str">
        <f aca="false" t="array" ref="G206: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4" t="n">
        <f aca="false">COUNTIF(Events!$A$2:$A$397,$A206)</f>
        <v>0</v>
      </c>
      <c r="I206" s="6" t="str">
        <f aca="false" t="array" ref="I206:I206">_xlfn.TEXTJOIN(" | ",TRUE(),IF(Events!$A$2:$A$397=$A206,Events!$E$2:$E$397&amp;IF(Events!$G$2:$G$397="National",""," ["&amp;Events!$G$2:$G$397&amp;"]"),""))</f>
        <v/>
      </c>
    </row>
    <row r="207" customFormat="false" ht="15" hidden="false" customHeight="true" outlineLevel="0" collapsed="false">
      <c r="A207" s="3" t="n">
        <v>45497</v>
      </c>
      <c r="B207" s="4" t="n">
        <f aca="false">YEAR($A207)</f>
        <v>2024</v>
      </c>
      <c r="C207" s="4" t="n">
        <f aca="false">MONTH($A207)</f>
        <v>7</v>
      </c>
      <c r="D207" s="4" t="str">
        <f aca="false">TEXT($A207,"ddd")</f>
        <v>Wed</v>
      </c>
      <c r="E207" s="4" t="n">
        <f aca="false">IF(OR(AND(MONTH($A207)=10,DAY($A207)&gt;=15),MONTH($A207)=11,AND(MONTH($A207)=12,DAY($A207)&lt;=7)),1,0)</f>
        <v>0</v>
      </c>
      <c r="F207" s="4" t="n">
        <f aca="false">IF(MONTH($A207)&lt;=3,1,0)</f>
        <v>0</v>
      </c>
      <c r="G207" s="4" t="str">
        <f aca="false" t="array" ref="G207: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4" t="n">
        <f aca="false">COUNTIF(Events!$A$2:$A$397,$A207)</f>
        <v>0</v>
      </c>
      <c r="I207" s="6" t="str">
        <f aca="false" t="array" ref="I207:I207">_xlfn.TEXTJOIN(" | ",TRUE(),IF(Events!$A$2:$A$397=$A207,Events!$E$2:$E$397&amp;IF(Events!$G$2:$G$397="National",""," ["&amp;Events!$G$2:$G$397&amp;"]"),""))</f>
        <v/>
      </c>
    </row>
    <row r="208" customFormat="false" ht="15" hidden="false" customHeight="true" outlineLevel="0" collapsed="false">
      <c r="A208" s="3" t="n">
        <v>45498</v>
      </c>
      <c r="B208" s="4" t="n">
        <f aca="false">YEAR($A208)</f>
        <v>2024</v>
      </c>
      <c r="C208" s="4" t="n">
        <f aca="false">MONTH($A208)</f>
        <v>7</v>
      </c>
      <c r="D208" s="4" t="str">
        <f aca="false">TEXT($A208,"ddd")</f>
        <v>Thu</v>
      </c>
      <c r="E208" s="4" t="n">
        <f aca="false">IF(OR(AND(MONTH($A208)=10,DAY($A208)&gt;=15),MONTH($A208)=11,AND(MONTH($A208)=12,DAY($A208)&lt;=7)),1,0)</f>
        <v>0</v>
      </c>
      <c r="F208" s="4" t="n">
        <f aca="false">IF(MONTH($A208)&lt;=3,1,0)</f>
        <v>0</v>
      </c>
      <c r="G208" s="4" t="str">
        <f aca="false" t="array" ref="G208: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4" t="n">
        <f aca="false">COUNTIF(Events!$A$2:$A$397,$A208)</f>
        <v>0</v>
      </c>
      <c r="I208" s="6" t="str">
        <f aca="false" t="array" ref="I208:I208">_xlfn.TEXTJOIN(" | ",TRUE(),IF(Events!$A$2:$A$397=$A208,Events!$E$2:$E$397&amp;IF(Events!$G$2:$G$397="National",""," ["&amp;Events!$G$2:$G$397&amp;"]"),""))</f>
        <v/>
      </c>
    </row>
    <row r="209" customFormat="false" ht="15" hidden="false" customHeight="true" outlineLevel="0" collapsed="false">
      <c r="A209" s="3" t="n">
        <v>45499</v>
      </c>
      <c r="B209" s="4" t="n">
        <f aca="false">YEAR($A209)</f>
        <v>2024</v>
      </c>
      <c r="C209" s="4" t="n">
        <f aca="false">MONTH($A209)</f>
        <v>7</v>
      </c>
      <c r="D209" s="4" t="str">
        <f aca="false">TEXT($A209,"ddd")</f>
        <v>Fri</v>
      </c>
      <c r="E209" s="4" t="n">
        <f aca="false">IF(OR(AND(MONTH($A209)=10,DAY($A209)&gt;=15),MONTH($A209)=11,AND(MONTH($A209)=12,DAY($A209)&lt;=7)),1,0)</f>
        <v>0</v>
      </c>
      <c r="F209" s="4" t="n">
        <f aca="false">IF(MONTH($A209)&lt;=3,1,0)</f>
        <v>0</v>
      </c>
      <c r="G209" s="4" t="str">
        <f aca="false" t="array" ref="G209: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4" t="n">
        <f aca="false">COUNTIF(Events!$A$2:$A$397,$A209)</f>
        <v>0</v>
      </c>
      <c r="I209" s="6" t="str">
        <f aca="false" t="array" ref="I209:I209">_xlfn.TEXTJOIN(" | ",TRUE(),IF(Events!$A$2:$A$397=$A209,Events!$E$2:$E$397&amp;IF(Events!$G$2:$G$397="National",""," ["&amp;Events!$G$2:$G$397&amp;"]"),""))</f>
        <v/>
      </c>
    </row>
    <row r="210" customFormat="false" ht="15" hidden="false" customHeight="true" outlineLevel="0" collapsed="false">
      <c r="A210" s="3" t="n">
        <v>45500</v>
      </c>
      <c r="B210" s="4" t="n">
        <f aca="false">YEAR($A210)</f>
        <v>2024</v>
      </c>
      <c r="C210" s="4" t="n">
        <f aca="false">MONTH($A210)</f>
        <v>7</v>
      </c>
      <c r="D210" s="4" t="str">
        <f aca="false">TEXT($A210,"ddd")</f>
        <v>Sat</v>
      </c>
      <c r="E210" s="4" t="n">
        <f aca="false">IF(OR(AND(MONTH($A210)=10,DAY($A210)&gt;=15),MONTH($A210)=11,AND(MONTH($A210)=12,DAY($A210)&lt;=7)),1,0)</f>
        <v>0</v>
      </c>
      <c r="F210" s="4" t="n">
        <f aca="false">IF(MONTH($A210)&lt;=3,1,0)</f>
        <v>0</v>
      </c>
      <c r="G210" s="4" t="str">
        <f aca="false" t="array" ref="G210: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4" t="n">
        <f aca="false">COUNTIF(Events!$A$2:$A$397,$A210)</f>
        <v>0</v>
      </c>
      <c r="I210" s="6" t="str">
        <f aca="false" t="array" ref="I210:I210">_xlfn.TEXTJOIN(" | ",TRUE(),IF(Events!$A$2:$A$397=$A210,Events!$E$2:$E$397&amp;IF(Events!$G$2:$G$397="National",""," ["&amp;Events!$G$2:$G$397&amp;"]"),""))</f>
        <v/>
      </c>
    </row>
    <row r="211" customFormat="false" ht="15" hidden="false" customHeight="true" outlineLevel="0" collapsed="false">
      <c r="A211" s="3" t="n">
        <v>45501</v>
      </c>
      <c r="B211" s="4" t="n">
        <f aca="false">YEAR($A211)</f>
        <v>2024</v>
      </c>
      <c r="C211" s="4" t="n">
        <f aca="false">MONTH($A211)</f>
        <v>7</v>
      </c>
      <c r="D211" s="4" t="str">
        <f aca="false">TEXT($A211,"ddd")</f>
        <v>Sun</v>
      </c>
      <c r="E211" s="4" t="n">
        <f aca="false">IF(OR(AND(MONTH($A211)=10,DAY($A211)&gt;=15),MONTH($A211)=11,AND(MONTH($A211)=12,DAY($A211)&lt;=7)),1,0)</f>
        <v>0</v>
      </c>
      <c r="F211" s="4" t="n">
        <f aca="false">IF(MONTH($A211)&lt;=3,1,0)</f>
        <v>0</v>
      </c>
      <c r="G211" s="4" t="str">
        <f aca="false" t="array" ref="G211: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4" t="n">
        <f aca="false">COUNTIF(Events!$A$2:$A$397,$A211)</f>
        <v>0</v>
      </c>
      <c r="I211" s="6" t="str">
        <f aca="false" t="array" ref="I211:I211">_xlfn.TEXTJOIN(" | ",TRUE(),IF(Events!$A$2:$A$397=$A211,Events!$E$2:$E$397&amp;IF(Events!$G$2:$G$397="National",""," ["&amp;Events!$G$2:$G$397&amp;"]"),""))</f>
        <v/>
      </c>
    </row>
    <row r="212" customFormat="false" ht="15" hidden="false" customHeight="true" outlineLevel="0" collapsed="false">
      <c r="A212" s="3" t="n">
        <v>45502</v>
      </c>
      <c r="B212" s="4" t="n">
        <f aca="false">YEAR($A212)</f>
        <v>2024</v>
      </c>
      <c r="C212" s="4" t="n">
        <f aca="false">MONTH($A212)</f>
        <v>7</v>
      </c>
      <c r="D212" s="4" t="str">
        <f aca="false">TEXT($A212,"ddd")</f>
        <v>Mon</v>
      </c>
      <c r="E212" s="4" t="n">
        <f aca="false">IF(OR(AND(MONTH($A212)=10,DAY($A212)&gt;=15),MONTH($A212)=11,AND(MONTH($A212)=12,DAY($A212)&lt;=7)),1,0)</f>
        <v>0</v>
      </c>
      <c r="F212" s="4" t="n">
        <f aca="false">IF(MONTH($A212)&lt;=3,1,0)</f>
        <v>0</v>
      </c>
      <c r="G212" s="4" t="str">
        <f aca="false" t="array" ref="G212: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4" t="n">
        <f aca="false">COUNTIF(Events!$A$2:$A$397,$A212)</f>
        <v>0</v>
      </c>
      <c r="I212" s="6" t="str">
        <f aca="false" t="array" ref="I212:I212">_xlfn.TEXTJOIN(" | ",TRUE(),IF(Events!$A$2:$A$397=$A212,Events!$E$2:$E$397&amp;IF(Events!$G$2:$G$397="National",""," ["&amp;Events!$G$2:$G$397&amp;"]"),""))</f>
        <v/>
      </c>
    </row>
    <row r="213" customFormat="false" ht="15" hidden="false" customHeight="true" outlineLevel="0" collapsed="false">
      <c r="A213" s="3" t="n">
        <v>45503</v>
      </c>
      <c r="B213" s="4" t="n">
        <f aca="false">YEAR($A213)</f>
        <v>2024</v>
      </c>
      <c r="C213" s="4" t="n">
        <f aca="false">MONTH($A213)</f>
        <v>7</v>
      </c>
      <c r="D213" s="4" t="str">
        <f aca="false">TEXT($A213,"ddd")</f>
        <v>Tue</v>
      </c>
      <c r="E213" s="4" t="n">
        <f aca="false">IF(OR(AND(MONTH($A213)=10,DAY($A213)&gt;=15),MONTH($A213)=11,AND(MONTH($A213)=12,DAY($A213)&lt;=7)),1,0)</f>
        <v>0</v>
      </c>
      <c r="F213" s="4" t="n">
        <f aca="false">IF(MONTH($A213)&lt;=3,1,0)</f>
        <v>0</v>
      </c>
      <c r="G213" s="4" t="str">
        <f aca="false" t="array" ref="G213: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4" t="n">
        <f aca="false">COUNTIF(Events!$A$2:$A$397,$A213)</f>
        <v>0</v>
      </c>
      <c r="I213" s="6" t="str">
        <f aca="false" t="array" ref="I213:I213">_xlfn.TEXTJOIN(" | ",TRUE(),IF(Events!$A$2:$A$397=$A213,Events!$E$2:$E$397&amp;IF(Events!$G$2:$G$397="National",""," ["&amp;Events!$G$2:$G$397&amp;"]"),""))</f>
        <v/>
      </c>
    </row>
    <row r="214" customFormat="false" ht="15" hidden="false" customHeight="true" outlineLevel="0" collapsed="false">
      <c r="A214" s="3" t="n">
        <v>45504</v>
      </c>
      <c r="B214" s="4" t="n">
        <f aca="false">YEAR($A214)</f>
        <v>2024</v>
      </c>
      <c r="C214" s="4" t="n">
        <f aca="false">MONTH($A214)</f>
        <v>7</v>
      </c>
      <c r="D214" s="4" t="str">
        <f aca="false">TEXT($A214,"ddd")</f>
        <v>Wed</v>
      </c>
      <c r="E214" s="4" t="n">
        <f aca="false">IF(OR(AND(MONTH($A214)=10,DAY($A214)&gt;=15),MONTH($A214)=11,AND(MONTH($A214)=12,DAY($A214)&lt;=7)),1,0)</f>
        <v>0</v>
      </c>
      <c r="F214" s="4" t="n">
        <f aca="false">IF(MONTH($A214)&lt;=3,1,0)</f>
        <v>0</v>
      </c>
      <c r="G214" s="4" t="str">
        <f aca="false" t="array" ref="G214: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 | Disaster SEP ended: Severe Storm [MT] DR-4801 | Disaster SEP ended: Severe Storm [TN] DR-4792 | Disaster SEP ended: Severe Storm [FL] DR-4794</v>
      </c>
      <c r="H214" s="4" t="n">
        <f aca="false">COUNTIF(Events!$A$2:$A$397,$A214)</f>
        <v>0</v>
      </c>
      <c r="I214" s="6" t="str">
        <f aca="false" t="array" ref="I214:I214">_xlfn.TEXTJOIN(" | ",TRUE(),IF(Events!$A$2:$A$397=$A214,Events!$E$2:$E$397&amp;IF(Events!$G$2:$G$397="National",""," ["&amp;Events!$G$2:$G$397&amp;"]"),""))</f>
        <v/>
      </c>
    </row>
    <row r="215" customFormat="false" ht="15" hidden="false" customHeight="true" outlineLevel="0" collapsed="false">
      <c r="A215" s="3" t="n">
        <v>45505</v>
      </c>
      <c r="B215" s="4" t="n">
        <f aca="false">YEAR($A215)</f>
        <v>2024</v>
      </c>
      <c r="C215" s="4" t="n">
        <f aca="false">MONTH($A215)</f>
        <v>8</v>
      </c>
      <c r="D215" s="4" t="str">
        <f aca="false">TEXT($A215,"ddd")</f>
        <v>Thu</v>
      </c>
      <c r="E215" s="4" t="n">
        <f aca="false">IF(OR(AND(MONTH($A215)=10,DAY($A215)&gt;=15),MONTH($A215)=11,AND(MONTH($A215)=12,DAY($A215)&lt;=7)),1,0)</f>
        <v>0</v>
      </c>
      <c r="F215" s="4" t="n">
        <f aca="false">IF(MONTH($A215)&lt;=3,1,0)</f>
        <v>0</v>
      </c>
      <c r="G215" s="4" t="str">
        <f aca="false" t="array" ref="G215: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4" t="n">
        <f aca="false">COUNTIF(Events!$A$2:$A$397,$A215)</f>
        <v>0</v>
      </c>
      <c r="I215" s="6" t="str">
        <f aca="false" t="array" ref="I215:I215">_xlfn.TEXTJOIN(" | ",TRUE(),IF(Events!$A$2:$A$397=$A215,Events!$E$2:$E$397&amp;IF(Events!$G$2:$G$397="National",""," ["&amp;Events!$G$2:$G$397&amp;"]"),""))</f>
        <v/>
      </c>
    </row>
    <row r="216" customFormat="false" ht="15" hidden="false" customHeight="true" outlineLevel="0" collapsed="false">
      <c r="A216" s="3" t="n">
        <v>45506</v>
      </c>
      <c r="B216" s="4" t="n">
        <f aca="false">YEAR($A216)</f>
        <v>2024</v>
      </c>
      <c r="C216" s="4" t="n">
        <f aca="false">MONTH($A216)</f>
        <v>8</v>
      </c>
      <c r="D216" s="4" t="str">
        <f aca="false">TEXT($A216,"ddd")</f>
        <v>Fri</v>
      </c>
      <c r="E216" s="4" t="n">
        <f aca="false">IF(OR(AND(MONTH($A216)=10,DAY($A216)&gt;=15),MONTH($A216)=11,AND(MONTH($A216)=12,DAY($A216)&lt;=7)),1,0)</f>
        <v>0</v>
      </c>
      <c r="F216" s="4" t="n">
        <f aca="false">IF(MONTH($A216)&lt;=3,1,0)</f>
        <v>0</v>
      </c>
      <c r="G216" s="4" t="str">
        <f aca="false" t="array" ref="G216: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4" t="n">
        <f aca="false">COUNTIF(Events!$A$2:$A$397,$A216)</f>
        <v>0</v>
      </c>
      <c r="I216" s="6" t="str">
        <f aca="false" t="array" ref="I216:I216">_xlfn.TEXTJOIN(" | ",TRUE(),IF(Events!$A$2:$A$397=$A216,Events!$E$2:$E$397&amp;IF(Events!$G$2:$G$397="National",""," ["&amp;Events!$G$2:$G$397&amp;"]"),""))</f>
        <v/>
      </c>
    </row>
    <row r="217" customFormat="false" ht="15" hidden="false" customHeight="true" outlineLevel="0" collapsed="false">
      <c r="A217" s="3" t="n">
        <v>45507</v>
      </c>
      <c r="B217" s="4" t="n">
        <f aca="false">YEAR($A217)</f>
        <v>2024</v>
      </c>
      <c r="C217" s="4" t="n">
        <f aca="false">MONTH($A217)</f>
        <v>8</v>
      </c>
      <c r="D217" s="4" t="str">
        <f aca="false">TEXT($A217,"ddd")</f>
        <v>Sat</v>
      </c>
      <c r="E217" s="4" t="n">
        <f aca="false">IF(OR(AND(MONTH($A217)=10,DAY($A217)&gt;=15),MONTH($A217)=11,AND(MONTH($A217)=12,DAY($A217)&lt;=7)),1,0)</f>
        <v>0</v>
      </c>
      <c r="F217" s="4" t="n">
        <f aca="false">IF(MONTH($A217)&lt;=3,1,0)</f>
        <v>0</v>
      </c>
      <c r="G217" s="4" t="str">
        <f aca="false" t="array" ref="G217: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4" t="n">
        <f aca="false">COUNTIF(Events!$A$2:$A$397,$A217)</f>
        <v>0</v>
      </c>
      <c r="I217" s="6" t="str">
        <f aca="false" t="array" ref="I217:I217">_xlfn.TEXTJOIN(" | ",TRUE(),IF(Events!$A$2:$A$397=$A217,Events!$E$2:$E$397&amp;IF(Events!$G$2:$G$397="National",""," ["&amp;Events!$G$2:$G$397&amp;"]"),""))</f>
        <v/>
      </c>
    </row>
    <row r="218" customFormat="false" ht="15" hidden="false" customHeight="true" outlineLevel="0" collapsed="false">
      <c r="A218" s="3" t="n">
        <v>45508</v>
      </c>
      <c r="B218" s="4" t="n">
        <f aca="false">YEAR($A218)</f>
        <v>2024</v>
      </c>
      <c r="C218" s="4" t="n">
        <f aca="false">MONTH($A218)</f>
        <v>8</v>
      </c>
      <c r="D218" s="4" t="str">
        <f aca="false">TEXT($A218,"ddd")</f>
        <v>Sun</v>
      </c>
      <c r="E218" s="4" t="n">
        <f aca="false">IF(OR(AND(MONTH($A218)=10,DAY($A218)&gt;=15),MONTH($A218)=11,AND(MONTH($A218)=12,DAY($A218)&lt;=7)),1,0)</f>
        <v>0</v>
      </c>
      <c r="F218" s="4" t="n">
        <f aca="false">IF(MONTH($A218)&lt;=3,1,0)</f>
        <v>0</v>
      </c>
      <c r="G218" s="4" t="str">
        <f aca="false" t="array" ref="G218: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4" t="n">
        <f aca="false">COUNTIF(Events!$A$2:$A$397,$A218)</f>
        <v>0</v>
      </c>
      <c r="I218" s="6" t="str">
        <f aca="false" t="array" ref="I218:I218">_xlfn.TEXTJOIN(" | ",TRUE(),IF(Events!$A$2:$A$397=$A218,Events!$E$2:$E$397&amp;IF(Events!$G$2:$G$397="National",""," ["&amp;Events!$G$2:$G$397&amp;"]"),""))</f>
        <v/>
      </c>
    </row>
    <row r="219" customFormat="false" ht="15" hidden="false" customHeight="true" outlineLevel="0" collapsed="false">
      <c r="A219" s="3" t="n">
        <v>45509</v>
      </c>
      <c r="B219" s="4" t="n">
        <f aca="false">YEAR($A219)</f>
        <v>2024</v>
      </c>
      <c r="C219" s="4" t="n">
        <f aca="false">MONTH($A219)</f>
        <v>8</v>
      </c>
      <c r="D219" s="4" t="str">
        <f aca="false">TEXT($A219,"ddd")</f>
        <v>Mon</v>
      </c>
      <c r="E219" s="4" t="n">
        <f aca="false">IF(OR(AND(MONTH($A219)=10,DAY($A219)&gt;=15),MONTH($A219)=11,AND(MONTH($A219)=12,DAY($A219)&lt;=7)),1,0)</f>
        <v>0</v>
      </c>
      <c r="F219" s="4" t="n">
        <f aca="false">IF(MONTH($A219)&lt;=3,1,0)</f>
        <v>0</v>
      </c>
      <c r="G219" s="4" t="str">
        <f aca="false" t="array" ref="G219: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v>
      </c>
      <c r="H219" s="4" t="n">
        <f aca="false">COUNTIF(Events!$A$2:$A$397,$A219)</f>
        <v>0</v>
      </c>
      <c r="I219" s="6" t="str">
        <f aca="false" t="array" ref="I219:I219">_xlfn.TEXTJOIN(" | ",TRUE(),IF(Events!$A$2:$A$397=$A219,Events!$E$2:$E$397&amp;IF(Events!$G$2:$G$397="National",""," ["&amp;Events!$G$2:$G$397&amp;"]"),""))</f>
        <v/>
      </c>
    </row>
    <row r="220" customFormat="false" ht="15" hidden="false" customHeight="true" outlineLevel="0" collapsed="false">
      <c r="A220" s="3" t="n">
        <v>45510</v>
      </c>
      <c r="B220" s="4" t="n">
        <f aca="false">YEAR($A220)</f>
        <v>2024</v>
      </c>
      <c r="C220" s="4" t="n">
        <f aca="false">MONTH($A220)</f>
        <v>8</v>
      </c>
      <c r="D220" s="4" t="str">
        <f aca="false">TEXT($A220,"ddd")</f>
        <v>Tue</v>
      </c>
      <c r="E220" s="4" t="n">
        <f aca="false">IF(OR(AND(MONTH($A220)=10,DAY($A220)&gt;=15),MONTH($A220)=11,AND(MONTH($A220)=12,DAY($A220)&lt;=7)),1,0)</f>
        <v>0</v>
      </c>
      <c r="F220" s="4" t="n">
        <f aca="false">IF(MONTH($A220)&lt;=3,1,0)</f>
        <v>0</v>
      </c>
      <c r="G220" s="4" t="str">
        <f aca="false" t="array" ref="G220: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4" t="n">
        <f aca="false">COUNTIF(Events!$A$2:$A$397,$A220)</f>
        <v>0</v>
      </c>
      <c r="I220" s="6" t="str">
        <f aca="false" t="array" ref="I220:I220">_xlfn.TEXTJOIN(" | ",TRUE(),IF(Events!$A$2:$A$397=$A220,Events!$E$2:$E$397&amp;IF(Events!$G$2:$G$397="National",""," ["&amp;Events!$G$2:$G$397&amp;"]"),""))</f>
        <v/>
      </c>
    </row>
    <row r="221" customFormat="false" ht="15" hidden="false" customHeight="true" outlineLevel="0" collapsed="false">
      <c r="A221" s="3" t="n">
        <v>45511</v>
      </c>
      <c r="B221" s="4" t="n">
        <f aca="false">YEAR($A221)</f>
        <v>2024</v>
      </c>
      <c r="C221" s="4" t="n">
        <f aca="false">MONTH($A221)</f>
        <v>8</v>
      </c>
      <c r="D221" s="4" t="str">
        <f aca="false">TEXT($A221,"ddd")</f>
        <v>Wed</v>
      </c>
      <c r="E221" s="4" t="n">
        <f aca="false">IF(OR(AND(MONTH($A221)=10,DAY($A221)&gt;=15),MONTH($A221)=11,AND(MONTH($A221)=12,DAY($A221)&lt;=7)),1,0)</f>
        <v>0</v>
      </c>
      <c r="F221" s="4" t="n">
        <f aca="false">IF(MONTH($A221)&lt;=3,1,0)</f>
        <v>0</v>
      </c>
      <c r="G221" s="4" t="str">
        <f aca="false" t="array" ref="G221: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4" t="n">
        <f aca="false">COUNTIF(Events!$A$2:$A$397,$A221)</f>
        <v>0</v>
      </c>
      <c r="I221" s="6" t="str">
        <f aca="false" t="array" ref="I221:I221">_xlfn.TEXTJOIN(" | ",TRUE(),IF(Events!$A$2:$A$397=$A221,Events!$E$2:$E$397&amp;IF(Events!$G$2:$G$397="National",""," ["&amp;Events!$G$2:$G$397&amp;"]"),""))</f>
        <v/>
      </c>
    </row>
    <row r="222" customFormat="false" ht="15" hidden="false" customHeight="true" outlineLevel="0" collapsed="false">
      <c r="A222" s="3" t="n">
        <v>45512</v>
      </c>
      <c r="B222" s="4" t="n">
        <f aca="false">YEAR($A222)</f>
        <v>2024</v>
      </c>
      <c r="C222" s="4" t="n">
        <f aca="false">MONTH($A222)</f>
        <v>8</v>
      </c>
      <c r="D222" s="4" t="str">
        <f aca="false">TEXT($A222,"ddd")</f>
        <v>Thu</v>
      </c>
      <c r="E222" s="4" t="n">
        <f aca="false">IF(OR(AND(MONTH($A222)=10,DAY($A222)&gt;=15),MONTH($A222)=11,AND(MONTH($A222)=12,DAY($A222)&lt;=7)),1,0)</f>
        <v>0</v>
      </c>
      <c r="F222" s="4" t="n">
        <f aca="false">IF(MONTH($A222)&lt;=3,1,0)</f>
        <v>0</v>
      </c>
      <c r="G222" s="4" t="str">
        <f aca="false" t="array" ref="G222: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4" t="n">
        <f aca="false">COUNTIF(Events!$A$2:$A$397,$A222)</f>
        <v>0</v>
      </c>
      <c r="I222" s="6" t="str">
        <f aca="false" t="array" ref="I222:I222">_xlfn.TEXTJOIN(" | ",TRUE(),IF(Events!$A$2:$A$397=$A222,Events!$E$2:$E$397&amp;IF(Events!$G$2:$G$397="National",""," ["&amp;Events!$G$2:$G$397&amp;"]"),""))</f>
        <v/>
      </c>
    </row>
    <row r="223" customFormat="false" ht="15" hidden="false" customHeight="true" outlineLevel="0" collapsed="false">
      <c r="A223" s="3" t="n">
        <v>45513</v>
      </c>
      <c r="B223" s="4" t="n">
        <f aca="false">YEAR($A223)</f>
        <v>2024</v>
      </c>
      <c r="C223" s="4" t="n">
        <f aca="false">MONTH($A223)</f>
        <v>8</v>
      </c>
      <c r="D223" s="4" t="str">
        <f aca="false">TEXT($A223,"ddd")</f>
        <v>Fri</v>
      </c>
      <c r="E223" s="4" t="n">
        <f aca="false">IF(OR(AND(MONTH($A223)=10,DAY($A223)&gt;=15),MONTH($A223)=11,AND(MONTH($A223)=12,DAY($A223)&lt;=7)),1,0)</f>
        <v>0</v>
      </c>
      <c r="F223" s="4" t="n">
        <f aca="false">IF(MONTH($A223)&lt;=3,1,0)</f>
        <v>0</v>
      </c>
      <c r="G223" s="4" t="str">
        <f aca="false" t="array" ref="G223: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4" t="n">
        <f aca="false">COUNTIF(Events!$A$2:$A$397,$A223)</f>
        <v>0</v>
      </c>
      <c r="I223" s="6" t="str">
        <f aca="false" t="array" ref="I223:I223">_xlfn.TEXTJOIN(" | ",TRUE(),IF(Events!$A$2:$A$397=$A223,Events!$E$2:$E$397&amp;IF(Events!$G$2:$G$397="National",""," ["&amp;Events!$G$2:$G$397&amp;"]"),""))</f>
        <v/>
      </c>
    </row>
    <row r="224" customFormat="false" ht="15" hidden="false" customHeight="true" outlineLevel="0" collapsed="false">
      <c r="A224" s="3" t="n">
        <v>45514</v>
      </c>
      <c r="B224" s="4" t="n">
        <f aca="false">YEAR($A224)</f>
        <v>2024</v>
      </c>
      <c r="C224" s="4" t="n">
        <f aca="false">MONTH($A224)</f>
        <v>8</v>
      </c>
      <c r="D224" s="4" t="str">
        <f aca="false">TEXT($A224,"ddd")</f>
        <v>Sat</v>
      </c>
      <c r="E224" s="4" t="n">
        <f aca="false">IF(OR(AND(MONTH($A224)=10,DAY($A224)&gt;=15),MONTH($A224)=11,AND(MONTH($A224)=12,DAY($A224)&lt;=7)),1,0)</f>
        <v>0</v>
      </c>
      <c r="F224" s="4" t="n">
        <f aca="false">IF(MONTH($A224)&lt;=3,1,0)</f>
        <v>0</v>
      </c>
      <c r="G224" s="4" t="str">
        <f aca="false" t="array" ref="G224: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4" t="n">
        <f aca="false">COUNTIF(Events!$A$2:$A$397,$A224)</f>
        <v>0</v>
      </c>
      <c r="I224" s="6" t="str">
        <f aca="false" t="array" ref="I224:I224">_xlfn.TEXTJOIN(" | ",TRUE(),IF(Events!$A$2:$A$397=$A224,Events!$E$2:$E$397&amp;IF(Events!$G$2:$G$397="National",""," ["&amp;Events!$G$2:$G$397&amp;"]"),""))</f>
        <v/>
      </c>
    </row>
    <row r="225" customFormat="false" ht="15" hidden="false" customHeight="true" outlineLevel="0" collapsed="false">
      <c r="A225" s="3" t="n">
        <v>45515</v>
      </c>
      <c r="B225" s="4" t="n">
        <f aca="false">YEAR($A225)</f>
        <v>2024</v>
      </c>
      <c r="C225" s="4" t="n">
        <f aca="false">MONTH($A225)</f>
        <v>8</v>
      </c>
      <c r="D225" s="4" t="str">
        <f aca="false">TEXT($A225,"ddd")</f>
        <v>Sun</v>
      </c>
      <c r="E225" s="4" t="n">
        <f aca="false">IF(OR(AND(MONTH($A225)=10,DAY($A225)&gt;=15),MONTH($A225)=11,AND(MONTH($A225)=12,DAY($A225)&lt;=7)),1,0)</f>
        <v>0</v>
      </c>
      <c r="F225" s="4" t="n">
        <f aca="false">IF(MONTH($A225)&lt;=3,1,0)</f>
        <v>0</v>
      </c>
      <c r="G225" s="4" t="str">
        <f aca="false" t="array" ref="G225: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4" t="n">
        <f aca="false">COUNTIF(Events!$A$2:$A$397,$A225)</f>
        <v>0</v>
      </c>
      <c r="I225" s="6" t="str">
        <f aca="false" t="array" ref="I225:I225">_xlfn.TEXTJOIN(" | ",TRUE(),IF(Events!$A$2:$A$397=$A225,Events!$E$2:$E$397&amp;IF(Events!$G$2:$G$397="National",""," ["&amp;Events!$G$2:$G$397&amp;"]"),""))</f>
        <v/>
      </c>
    </row>
    <row r="226" customFormat="false" ht="15" hidden="false" customHeight="true" outlineLevel="0" collapsed="false">
      <c r="A226" s="3" t="n">
        <v>45516</v>
      </c>
      <c r="B226" s="4" t="n">
        <f aca="false">YEAR($A226)</f>
        <v>2024</v>
      </c>
      <c r="C226" s="4" t="n">
        <f aca="false">MONTH($A226)</f>
        <v>8</v>
      </c>
      <c r="D226" s="4" t="str">
        <f aca="false">TEXT($A226,"ddd")</f>
        <v>Mon</v>
      </c>
      <c r="E226" s="4" t="n">
        <f aca="false">IF(OR(AND(MONTH($A226)=10,DAY($A226)&gt;=15),MONTH($A226)=11,AND(MONTH($A226)=12,DAY($A226)&lt;=7)),1,0)</f>
        <v>0</v>
      </c>
      <c r="F226" s="4" t="n">
        <f aca="false">IF(MONTH($A226)&lt;=3,1,0)</f>
        <v>0</v>
      </c>
      <c r="G226" s="4" t="str">
        <f aca="false" t="array" ref="G226: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4" t="n">
        <f aca="false">COUNTIF(Events!$A$2:$A$397,$A226)</f>
        <v>0</v>
      </c>
      <c r="I226" s="6" t="str">
        <f aca="false" t="array" ref="I226:I226">_xlfn.TEXTJOIN(" | ",TRUE(),IF(Events!$A$2:$A$397=$A226,Events!$E$2:$E$397&amp;IF(Events!$G$2:$G$397="National",""," ["&amp;Events!$G$2:$G$397&amp;"]"),""))</f>
        <v/>
      </c>
    </row>
    <row r="227" customFormat="false" ht="15" hidden="false" customHeight="true" outlineLevel="0" collapsed="false">
      <c r="A227" s="3" t="n">
        <v>45517</v>
      </c>
      <c r="B227" s="4" t="n">
        <f aca="false">YEAR($A227)</f>
        <v>2024</v>
      </c>
      <c r="C227" s="4" t="n">
        <f aca="false">MONTH($A227)</f>
        <v>8</v>
      </c>
      <c r="D227" s="4" t="str">
        <f aca="false">TEXT($A227,"ddd")</f>
        <v>Tue</v>
      </c>
      <c r="E227" s="4" t="n">
        <f aca="false">IF(OR(AND(MONTH($A227)=10,DAY($A227)&gt;=15),MONTH($A227)=11,AND(MONTH($A227)=12,DAY($A227)&lt;=7)),1,0)</f>
        <v>0</v>
      </c>
      <c r="F227" s="4" t="n">
        <f aca="false">IF(MONTH($A227)&lt;=3,1,0)</f>
        <v>0</v>
      </c>
      <c r="G227" s="4" t="str">
        <f aca="false" t="array" ref="G227: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4" t="n">
        <f aca="false">COUNTIF(Events!$A$2:$A$397,$A227)</f>
        <v>0</v>
      </c>
      <c r="I227" s="6" t="str">
        <f aca="false" t="array" ref="I227:I227">_xlfn.TEXTJOIN(" | ",TRUE(),IF(Events!$A$2:$A$397=$A227,Events!$E$2:$E$397&amp;IF(Events!$G$2:$G$397="National",""," ["&amp;Events!$G$2:$G$397&amp;"]"),""))</f>
        <v/>
      </c>
    </row>
    <row r="228" customFormat="false" ht="15" hidden="false" customHeight="true" outlineLevel="0" collapsed="false">
      <c r="A228" s="3" t="n">
        <v>45518</v>
      </c>
      <c r="B228" s="4" t="n">
        <f aca="false">YEAR($A228)</f>
        <v>2024</v>
      </c>
      <c r="C228" s="4" t="n">
        <f aca="false">MONTH($A228)</f>
        <v>8</v>
      </c>
      <c r="D228" s="4" t="str">
        <f aca="false">TEXT($A228,"ddd")</f>
        <v>Wed</v>
      </c>
      <c r="E228" s="4" t="n">
        <f aca="false">IF(OR(AND(MONTH($A228)=10,DAY($A228)&gt;=15),MONTH($A228)=11,AND(MONTH($A228)=12,DAY($A228)&lt;=7)),1,0)</f>
        <v>0</v>
      </c>
      <c r="F228" s="4" t="n">
        <f aca="false">IF(MONTH($A228)&lt;=3,1,0)</f>
        <v>0</v>
      </c>
      <c r="G228" s="4" t="str">
        <f aca="false" t="array" ref="G228: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4" t="n">
        <f aca="false">COUNTIF(Events!$A$2:$A$397,$A228)</f>
        <v>0</v>
      </c>
      <c r="I228" s="6" t="str">
        <f aca="false" t="array" ref="I228:I228">_xlfn.TEXTJOIN(" | ",TRUE(),IF(Events!$A$2:$A$397=$A228,Events!$E$2:$E$397&amp;IF(Events!$G$2:$G$397="National",""," ["&amp;Events!$G$2:$G$397&amp;"]"),""))</f>
        <v/>
      </c>
    </row>
    <row r="229" customFormat="false" ht="15" hidden="false" customHeight="true" outlineLevel="0" collapsed="false">
      <c r="A229" s="3" t="n">
        <v>45519</v>
      </c>
      <c r="B229" s="4" t="n">
        <f aca="false">YEAR($A229)</f>
        <v>2024</v>
      </c>
      <c r="C229" s="4" t="n">
        <f aca="false">MONTH($A229)</f>
        <v>8</v>
      </c>
      <c r="D229" s="4" t="str">
        <f aca="false">TEXT($A229,"ddd")</f>
        <v>Thu</v>
      </c>
      <c r="E229" s="4" t="n">
        <f aca="false">IF(OR(AND(MONTH($A229)=10,DAY($A229)&gt;=15),MONTH($A229)=11,AND(MONTH($A229)=12,DAY($A229)&lt;=7)),1,0)</f>
        <v>0</v>
      </c>
      <c r="F229" s="4" t="n">
        <f aca="false">IF(MONTH($A229)&lt;=3,1,0)</f>
        <v>0</v>
      </c>
      <c r="G229" s="4" t="str">
        <f aca="false" t="array" ref="G229: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4" t="n">
        <f aca="false">COUNTIF(Events!$A$2:$A$397,$A229)</f>
        <v>1</v>
      </c>
      <c r="I229" s="6" t="str">
        <f aca="false" t="array" ref="I229:I229">_xlfn.TEXTJOIN(" | ",TRUE(),IF(Events!$A$2:$A$397=$A229,Events!$E$2:$E$397&amp;IF(Events!$G$2:$G$397="National",""," ["&amp;Events!$G$2:$G$397&amp;"]"),""))</f>
        <v>CMS publishes negotiated maximum fair prices (MFPs) for the first 10 Part D drugs (effective 1/1/2026)</v>
      </c>
    </row>
    <row r="230" customFormat="false" ht="15" hidden="false" customHeight="true" outlineLevel="0" collapsed="false">
      <c r="A230" s="3" t="n">
        <v>45520</v>
      </c>
      <c r="B230" s="4" t="n">
        <f aca="false">YEAR($A230)</f>
        <v>2024</v>
      </c>
      <c r="C230" s="4" t="n">
        <f aca="false">MONTH($A230)</f>
        <v>8</v>
      </c>
      <c r="D230" s="4" t="str">
        <f aca="false">TEXT($A230,"ddd")</f>
        <v>Fri</v>
      </c>
      <c r="E230" s="4" t="n">
        <f aca="false">IF(OR(AND(MONTH($A230)=10,DAY($A230)&gt;=15),MONTH($A230)=11,AND(MONTH($A230)=12,DAY($A230)&lt;=7)),1,0)</f>
        <v>0</v>
      </c>
      <c r="F230" s="4" t="n">
        <f aca="false">IF(MONTH($A230)&lt;=3,1,0)</f>
        <v>0</v>
      </c>
      <c r="G230" s="4" t="str">
        <f aca="false" t="array" ref="G230: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4" t="n">
        <f aca="false">COUNTIF(Events!$A$2:$A$397,$A230)</f>
        <v>0</v>
      </c>
      <c r="I230" s="6" t="str">
        <f aca="false" t="array" ref="I230:I230">_xlfn.TEXTJOIN(" | ",TRUE(),IF(Events!$A$2:$A$397=$A230,Events!$E$2:$E$397&amp;IF(Events!$G$2:$G$397="National",""," ["&amp;Events!$G$2:$G$397&amp;"]"),""))</f>
        <v/>
      </c>
    </row>
    <row r="231" customFormat="false" ht="15" hidden="false" customHeight="true" outlineLevel="0" collapsed="false">
      <c r="A231" s="3" t="n">
        <v>45521</v>
      </c>
      <c r="B231" s="4" t="n">
        <f aca="false">YEAR($A231)</f>
        <v>2024</v>
      </c>
      <c r="C231" s="4" t="n">
        <f aca="false">MONTH($A231)</f>
        <v>8</v>
      </c>
      <c r="D231" s="4" t="str">
        <f aca="false">TEXT($A231,"ddd")</f>
        <v>Sat</v>
      </c>
      <c r="E231" s="4" t="n">
        <f aca="false">IF(OR(AND(MONTH($A231)=10,DAY($A231)&gt;=15),MONTH($A231)=11,AND(MONTH($A231)=12,DAY($A231)&lt;=7)),1,0)</f>
        <v>0</v>
      </c>
      <c r="F231" s="4" t="n">
        <f aca="false">IF(MONTH($A231)&lt;=3,1,0)</f>
        <v>0</v>
      </c>
      <c r="G231" s="4" t="str">
        <f aca="false" t="array" ref="G231: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4" t="n">
        <f aca="false">COUNTIF(Events!$A$2:$A$397,$A231)</f>
        <v>0</v>
      </c>
      <c r="I231" s="6" t="str">
        <f aca="false" t="array" ref="I231:I231">_xlfn.TEXTJOIN(" | ",TRUE(),IF(Events!$A$2:$A$397=$A231,Events!$E$2:$E$397&amp;IF(Events!$G$2:$G$397="National",""," ["&amp;Events!$G$2:$G$397&amp;"]"),""))</f>
        <v/>
      </c>
    </row>
    <row r="232" customFormat="false" ht="15" hidden="false" customHeight="true" outlineLevel="0" collapsed="false">
      <c r="A232" s="3" t="n">
        <v>45522</v>
      </c>
      <c r="B232" s="4" t="n">
        <f aca="false">YEAR($A232)</f>
        <v>2024</v>
      </c>
      <c r="C232" s="4" t="n">
        <f aca="false">MONTH($A232)</f>
        <v>8</v>
      </c>
      <c r="D232" s="4" t="str">
        <f aca="false">TEXT($A232,"ddd")</f>
        <v>Sun</v>
      </c>
      <c r="E232" s="4" t="n">
        <f aca="false">IF(OR(AND(MONTH($A232)=10,DAY($A232)&gt;=15),MONTH($A232)=11,AND(MONTH($A232)=12,DAY($A232)&lt;=7)),1,0)</f>
        <v>0</v>
      </c>
      <c r="F232" s="4" t="n">
        <f aca="false">IF(MONTH($A232)&lt;=3,1,0)</f>
        <v>0</v>
      </c>
      <c r="G232" s="4" t="str">
        <f aca="false" t="array" ref="G232: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4" t="n">
        <f aca="false">COUNTIF(Events!$A$2:$A$397,$A232)</f>
        <v>0</v>
      </c>
      <c r="I232" s="6" t="str">
        <f aca="false" t="array" ref="I232:I232">_xlfn.TEXTJOIN(" | ",TRUE(),IF(Events!$A$2:$A$397=$A232,Events!$E$2:$E$397&amp;IF(Events!$G$2:$G$397="National",""," ["&amp;Events!$G$2:$G$397&amp;"]"),""))</f>
        <v/>
      </c>
    </row>
    <row r="233" customFormat="false" ht="15" hidden="false" customHeight="true" outlineLevel="0" collapsed="false">
      <c r="A233" s="3" t="n">
        <v>45523</v>
      </c>
      <c r="B233" s="4" t="n">
        <f aca="false">YEAR($A233)</f>
        <v>2024</v>
      </c>
      <c r="C233" s="4" t="n">
        <f aca="false">MONTH($A233)</f>
        <v>8</v>
      </c>
      <c r="D233" s="4" t="str">
        <f aca="false">TEXT($A233,"ddd")</f>
        <v>Mon</v>
      </c>
      <c r="E233" s="4" t="n">
        <f aca="false">IF(OR(AND(MONTH($A233)=10,DAY($A233)&gt;=15),MONTH($A233)=11,AND(MONTH($A233)=12,DAY($A233)&lt;=7)),1,0)</f>
        <v>0</v>
      </c>
      <c r="F233" s="4" t="n">
        <f aca="false">IF(MONTH($A233)&lt;=3,1,0)</f>
        <v>0</v>
      </c>
      <c r="G233" s="4" t="str">
        <f aca="false" t="array" ref="G233: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4" t="n">
        <f aca="false">COUNTIF(Events!$A$2:$A$397,$A233)</f>
        <v>0</v>
      </c>
      <c r="I233" s="6" t="str">
        <f aca="false" t="array" ref="I233:I233">_xlfn.TEXTJOIN(" | ",TRUE(),IF(Events!$A$2:$A$397=$A233,Events!$E$2:$E$397&amp;IF(Events!$G$2:$G$397="National",""," ["&amp;Events!$G$2:$G$397&amp;"]"),""))</f>
        <v/>
      </c>
    </row>
    <row r="234" customFormat="false" ht="15" hidden="false" customHeight="true" outlineLevel="0" collapsed="false">
      <c r="A234" s="3" t="n">
        <v>45524</v>
      </c>
      <c r="B234" s="4" t="n">
        <f aca="false">YEAR($A234)</f>
        <v>2024</v>
      </c>
      <c r="C234" s="4" t="n">
        <f aca="false">MONTH($A234)</f>
        <v>8</v>
      </c>
      <c r="D234" s="4" t="str">
        <f aca="false">TEXT($A234,"ddd")</f>
        <v>Tue</v>
      </c>
      <c r="E234" s="4" t="n">
        <f aca="false">IF(OR(AND(MONTH($A234)=10,DAY($A234)&gt;=15),MONTH($A234)=11,AND(MONTH($A234)=12,DAY($A234)&lt;=7)),1,0)</f>
        <v>0</v>
      </c>
      <c r="F234" s="4" t="n">
        <f aca="false">IF(MONTH($A234)&lt;=3,1,0)</f>
        <v>0</v>
      </c>
      <c r="G234" s="4" t="str">
        <f aca="false" t="array" ref="G234: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4" t="n">
        <f aca="false">COUNTIF(Events!$A$2:$A$397,$A234)</f>
        <v>0</v>
      </c>
      <c r="I234" s="6" t="str">
        <f aca="false" t="array" ref="I234:I234">_xlfn.TEXTJOIN(" | ",TRUE(),IF(Events!$A$2:$A$397=$A234,Events!$E$2:$E$397&amp;IF(Events!$G$2:$G$397="National",""," ["&amp;Events!$G$2:$G$397&amp;"]"),""))</f>
        <v/>
      </c>
    </row>
    <row r="235" customFormat="false" ht="15" hidden="false" customHeight="true" outlineLevel="0" collapsed="false">
      <c r="A235" s="3" t="n">
        <v>45525</v>
      </c>
      <c r="B235" s="4" t="n">
        <f aca="false">YEAR($A235)</f>
        <v>2024</v>
      </c>
      <c r="C235" s="4" t="n">
        <f aca="false">MONTH($A235)</f>
        <v>8</v>
      </c>
      <c r="D235" s="4" t="str">
        <f aca="false">TEXT($A235,"ddd")</f>
        <v>Wed</v>
      </c>
      <c r="E235" s="4" t="n">
        <f aca="false">IF(OR(AND(MONTH($A235)=10,DAY($A235)&gt;=15),MONTH($A235)=11,AND(MONTH($A235)=12,DAY($A235)&lt;=7)),1,0)</f>
        <v>0</v>
      </c>
      <c r="F235" s="4" t="n">
        <f aca="false">IF(MONTH($A235)&lt;=3,1,0)</f>
        <v>0</v>
      </c>
      <c r="G235" s="4" t="str">
        <f aca="false" t="array" ref="G235: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4" t="n">
        <f aca="false">COUNTIF(Events!$A$2:$A$397,$A235)</f>
        <v>0</v>
      </c>
      <c r="I235" s="6" t="str">
        <f aca="false" t="array" ref="I235:I235">_xlfn.TEXTJOIN(" | ",TRUE(),IF(Events!$A$2:$A$397=$A235,Events!$E$2:$E$397&amp;IF(Events!$G$2:$G$397="National",""," ["&amp;Events!$G$2:$G$397&amp;"]"),""))</f>
        <v/>
      </c>
    </row>
    <row r="236" customFormat="false" ht="15" hidden="false" customHeight="true" outlineLevel="0" collapsed="false">
      <c r="A236" s="3" t="n">
        <v>45526</v>
      </c>
      <c r="B236" s="4" t="n">
        <f aca="false">YEAR($A236)</f>
        <v>2024</v>
      </c>
      <c r="C236" s="4" t="n">
        <f aca="false">MONTH($A236)</f>
        <v>8</v>
      </c>
      <c r="D236" s="4" t="str">
        <f aca="false">TEXT($A236,"ddd")</f>
        <v>Thu</v>
      </c>
      <c r="E236" s="4" t="n">
        <f aca="false">IF(OR(AND(MONTH($A236)=10,DAY($A236)&gt;=15),MONTH($A236)=11,AND(MONTH($A236)=12,DAY($A236)&lt;=7)),1,0)</f>
        <v>0</v>
      </c>
      <c r="F236" s="4" t="n">
        <f aca="false">IF(MONTH($A236)&lt;=3,1,0)</f>
        <v>0</v>
      </c>
      <c r="G236" s="4" t="str">
        <f aca="false" t="array" ref="G236: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4" t="n">
        <f aca="false">COUNTIF(Events!$A$2:$A$397,$A236)</f>
        <v>0</v>
      </c>
      <c r="I236" s="6" t="str">
        <f aca="false" t="array" ref="I236:I236">_xlfn.TEXTJOIN(" | ",TRUE(),IF(Events!$A$2:$A$397=$A236,Events!$E$2:$E$397&amp;IF(Events!$G$2:$G$397="National",""," ["&amp;Events!$G$2:$G$397&amp;"]"),""))</f>
        <v/>
      </c>
    </row>
    <row r="237" customFormat="false" ht="15" hidden="false" customHeight="true" outlineLevel="0" collapsed="false">
      <c r="A237" s="3" t="n">
        <v>45527</v>
      </c>
      <c r="B237" s="4" t="n">
        <f aca="false">YEAR($A237)</f>
        <v>2024</v>
      </c>
      <c r="C237" s="4" t="n">
        <f aca="false">MONTH($A237)</f>
        <v>8</v>
      </c>
      <c r="D237" s="4" t="str">
        <f aca="false">TEXT($A237,"ddd")</f>
        <v>Fri</v>
      </c>
      <c r="E237" s="4" t="n">
        <f aca="false">IF(OR(AND(MONTH($A237)=10,DAY($A237)&gt;=15),MONTH($A237)=11,AND(MONTH($A237)=12,DAY($A237)&lt;=7)),1,0)</f>
        <v>0</v>
      </c>
      <c r="F237" s="4" t="n">
        <f aca="false">IF(MONTH($A237)&lt;=3,1,0)</f>
        <v>0</v>
      </c>
      <c r="G237" s="4" t="str">
        <f aca="false" t="array" ref="G237: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4" t="n">
        <f aca="false">COUNTIF(Events!$A$2:$A$397,$A237)</f>
        <v>0</v>
      </c>
      <c r="I237" s="6" t="str">
        <f aca="false" t="array" ref="I237:I237">_xlfn.TEXTJOIN(" | ",TRUE(),IF(Events!$A$2:$A$397=$A237,Events!$E$2:$E$397&amp;IF(Events!$G$2:$G$397="National",""," ["&amp;Events!$G$2:$G$397&amp;"]"),""))</f>
        <v/>
      </c>
    </row>
    <row r="238" customFormat="false" ht="15" hidden="false" customHeight="true" outlineLevel="0" collapsed="false">
      <c r="A238" s="3" t="n">
        <v>45528</v>
      </c>
      <c r="B238" s="4" t="n">
        <f aca="false">YEAR($A238)</f>
        <v>2024</v>
      </c>
      <c r="C238" s="4" t="n">
        <f aca="false">MONTH($A238)</f>
        <v>8</v>
      </c>
      <c r="D238" s="4" t="str">
        <f aca="false">TEXT($A238,"ddd")</f>
        <v>Sat</v>
      </c>
      <c r="E238" s="4" t="n">
        <f aca="false">IF(OR(AND(MONTH($A238)=10,DAY($A238)&gt;=15),MONTH($A238)=11,AND(MONTH($A238)=12,DAY($A238)&lt;=7)),1,0)</f>
        <v>0</v>
      </c>
      <c r="F238" s="4" t="n">
        <f aca="false">IF(MONTH($A238)&lt;=3,1,0)</f>
        <v>0</v>
      </c>
      <c r="G238" s="4" t="str">
        <f aca="false" t="array" ref="G238: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4" t="n">
        <f aca="false">COUNTIF(Events!$A$2:$A$397,$A238)</f>
        <v>0</v>
      </c>
      <c r="I238" s="6" t="str">
        <f aca="false" t="array" ref="I238:I238">_xlfn.TEXTJOIN(" | ",TRUE(),IF(Events!$A$2:$A$397=$A238,Events!$E$2:$E$397&amp;IF(Events!$G$2:$G$397="National",""," ["&amp;Events!$G$2:$G$397&amp;"]"),""))</f>
        <v/>
      </c>
    </row>
    <row r="239" customFormat="false" ht="15" hidden="false" customHeight="true" outlineLevel="0" collapsed="false">
      <c r="A239" s="3" t="n">
        <v>45529</v>
      </c>
      <c r="B239" s="4" t="n">
        <f aca="false">YEAR($A239)</f>
        <v>2024</v>
      </c>
      <c r="C239" s="4" t="n">
        <f aca="false">MONTH($A239)</f>
        <v>8</v>
      </c>
      <c r="D239" s="4" t="str">
        <f aca="false">TEXT($A239,"ddd")</f>
        <v>Sun</v>
      </c>
      <c r="E239" s="4" t="n">
        <f aca="false">IF(OR(AND(MONTH($A239)=10,DAY($A239)&gt;=15),MONTH($A239)=11,AND(MONTH($A239)=12,DAY($A239)&lt;=7)),1,0)</f>
        <v>0</v>
      </c>
      <c r="F239" s="4" t="n">
        <f aca="false">IF(MONTH($A239)&lt;=3,1,0)</f>
        <v>0</v>
      </c>
      <c r="G239" s="4" t="str">
        <f aca="false" t="array" ref="G239: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4" t="n">
        <f aca="false">COUNTIF(Events!$A$2:$A$397,$A239)</f>
        <v>0</v>
      </c>
      <c r="I239" s="6" t="str">
        <f aca="false" t="array" ref="I239:I239">_xlfn.TEXTJOIN(" | ",TRUE(),IF(Events!$A$2:$A$397=$A239,Events!$E$2:$E$397&amp;IF(Events!$G$2:$G$397="National",""," ["&amp;Events!$G$2:$G$397&amp;"]"),""))</f>
        <v/>
      </c>
    </row>
    <row r="240" customFormat="false" ht="15" hidden="false" customHeight="true" outlineLevel="0" collapsed="false">
      <c r="A240" s="3" t="n">
        <v>45530</v>
      </c>
      <c r="B240" s="4" t="n">
        <f aca="false">YEAR($A240)</f>
        <v>2024</v>
      </c>
      <c r="C240" s="4" t="n">
        <f aca="false">MONTH($A240)</f>
        <v>8</v>
      </c>
      <c r="D240" s="4" t="str">
        <f aca="false">TEXT($A240,"ddd")</f>
        <v>Mon</v>
      </c>
      <c r="E240" s="4" t="n">
        <f aca="false">IF(OR(AND(MONTH($A240)=10,DAY($A240)&gt;=15),MONTH($A240)=11,AND(MONTH($A240)=12,DAY($A240)&lt;=7)),1,0)</f>
        <v>0</v>
      </c>
      <c r="F240" s="4" t="n">
        <f aca="false">IF(MONTH($A240)&lt;=3,1,0)</f>
        <v>0</v>
      </c>
      <c r="G240" s="4" t="str">
        <f aca="false" t="array" ref="G240: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4" t="n">
        <f aca="false">COUNTIF(Events!$A$2:$A$397,$A240)</f>
        <v>0</v>
      </c>
      <c r="I240" s="6" t="str">
        <f aca="false" t="array" ref="I240:I240">_xlfn.TEXTJOIN(" | ",TRUE(),IF(Events!$A$2:$A$397=$A240,Events!$E$2:$E$397&amp;IF(Events!$G$2:$G$397="National",""," ["&amp;Events!$G$2:$G$397&amp;"]"),""))</f>
        <v/>
      </c>
    </row>
    <row r="241" customFormat="false" ht="15" hidden="false" customHeight="true" outlineLevel="0" collapsed="false">
      <c r="A241" s="3" t="n">
        <v>45531</v>
      </c>
      <c r="B241" s="4" t="n">
        <f aca="false">YEAR($A241)</f>
        <v>2024</v>
      </c>
      <c r="C241" s="4" t="n">
        <f aca="false">MONTH($A241)</f>
        <v>8</v>
      </c>
      <c r="D241" s="4" t="str">
        <f aca="false">TEXT($A241,"ddd")</f>
        <v>Tue</v>
      </c>
      <c r="E241" s="4" t="n">
        <f aca="false">IF(OR(AND(MONTH($A241)=10,DAY($A241)&gt;=15),MONTH($A241)=11,AND(MONTH($A241)=12,DAY($A241)&lt;=7)),1,0)</f>
        <v>0</v>
      </c>
      <c r="F241" s="4" t="n">
        <f aca="false">IF(MONTH($A241)&lt;=3,1,0)</f>
        <v>0</v>
      </c>
      <c r="G241" s="4" t="str">
        <f aca="false" t="array" ref="G241: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4" t="n">
        <f aca="false">COUNTIF(Events!$A$2:$A$397,$A241)</f>
        <v>0</v>
      </c>
      <c r="I241" s="6" t="str">
        <f aca="false" t="array" ref="I241:I241">_xlfn.TEXTJOIN(" | ",TRUE(),IF(Events!$A$2:$A$397=$A241,Events!$E$2:$E$397&amp;IF(Events!$G$2:$G$397="National",""," ["&amp;Events!$G$2:$G$397&amp;"]"),""))</f>
        <v/>
      </c>
    </row>
    <row r="242" customFormat="false" ht="15" hidden="false" customHeight="true" outlineLevel="0" collapsed="false">
      <c r="A242" s="3" t="n">
        <v>45532</v>
      </c>
      <c r="B242" s="4" t="n">
        <f aca="false">YEAR($A242)</f>
        <v>2024</v>
      </c>
      <c r="C242" s="4" t="n">
        <f aca="false">MONTH($A242)</f>
        <v>8</v>
      </c>
      <c r="D242" s="4" t="str">
        <f aca="false">TEXT($A242,"ddd")</f>
        <v>Wed</v>
      </c>
      <c r="E242" s="4" t="n">
        <f aca="false">IF(OR(AND(MONTH($A242)=10,DAY($A242)&gt;=15),MONTH($A242)=11,AND(MONTH($A242)=12,DAY($A242)&lt;=7)),1,0)</f>
        <v>0</v>
      </c>
      <c r="F242" s="4" t="n">
        <f aca="false">IF(MONTH($A242)&lt;=3,1,0)</f>
        <v>0</v>
      </c>
      <c r="G242" s="4" t="str">
        <f aca="false" t="array" ref="G242: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4" t="n">
        <f aca="false">COUNTIF(Events!$A$2:$A$397,$A242)</f>
        <v>0</v>
      </c>
      <c r="I242" s="6" t="str">
        <f aca="false" t="array" ref="I242:I242">_xlfn.TEXTJOIN(" | ",TRUE(),IF(Events!$A$2:$A$397=$A242,Events!$E$2:$E$397&amp;IF(Events!$G$2:$G$397="National",""," ["&amp;Events!$G$2:$G$397&amp;"]"),""))</f>
        <v/>
      </c>
    </row>
    <row r="243" customFormat="false" ht="15" hidden="false" customHeight="true" outlineLevel="0" collapsed="false">
      <c r="A243" s="3" t="n">
        <v>45533</v>
      </c>
      <c r="B243" s="4" t="n">
        <f aca="false">YEAR($A243)</f>
        <v>2024</v>
      </c>
      <c r="C243" s="4" t="n">
        <f aca="false">MONTH($A243)</f>
        <v>8</v>
      </c>
      <c r="D243" s="4" t="str">
        <f aca="false">TEXT($A243,"ddd")</f>
        <v>Thu</v>
      </c>
      <c r="E243" s="4" t="n">
        <f aca="false">IF(OR(AND(MONTH($A243)=10,DAY($A243)&gt;=15),MONTH($A243)=11,AND(MONTH($A243)=12,DAY($A243)&lt;=7)),1,0)</f>
        <v>0</v>
      </c>
      <c r="F243" s="4" t="n">
        <f aca="false">IF(MONTH($A243)&lt;=3,1,0)</f>
        <v>0</v>
      </c>
      <c r="G243" s="4" t="str">
        <f aca="false" t="array" ref="G243: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4" t="n">
        <f aca="false">COUNTIF(Events!$A$2:$A$397,$A243)</f>
        <v>0</v>
      </c>
      <c r="I243" s="6" t="str">
        <f aca="false" t="array" ref="I243:I243">_xlfn.TEXTJOIN(" | ",TRUE(),IF(Events!$A$2:$A$397=$A243,Events!$E$2:$E$397&amp;IF(Events!$G$2:$G$397="National",""," ["&amp;Events!$G$2:$G$397&amp;"]"),""))</f>
        <v/>
      </c>
    </row>
    <row r="244" customFormat="false" ht="15" hidden="false" customHeight="true" outlineLevel="0" collapsed="false">
      <c r="A244" s="3" t="n">
        <v>45534</v>
      </c>
      <c r="B244" s="4" t="n">
        <f aca="false">YEAR($A244)</f>
        <v>2024</v>
      </c>
      <c r="C244" s="4" t="n">
        <f aca="false">MONTH($A244)</f>
        <v>8</v>
      </c>
      <c r="D244" s="4" t="str">
        <f aca="false">TEXT($A244,"ddd")</f>
        <v>Fri</v>
      </c>
      <c r="E244" s="4" t="n">
        <f aca="false">IF(OR(AND(MONTH($A244)=10,DAY($A244)&gt;=15),MONTH($A244)=11,AND(MONTH($A244)=12,DAY($A244)&lt;=7)),1,0)</f>
        <v>0</v>
      </c>
      <c r="F244" s="4" t="n">
        <f aca="false">IF(MONTH($A244)&lt;=3,1,0)</f>
        <v>0</v>
      </c>
      <c r="G244" s="4" t="str">
        <f aca="false" t="array" ref="G244: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4" t="n">
        <f aca="false">COUNTIF(Events!$A$2:$A$397,$A244)</f>
        <v>0</v>
      </c>
      <c r="I244" s="6" t="str">
        <f aca="false" t="array" ref="I244:I244">_xlfn.TEXTJOIN(" | ",TRUE(),IF(Events!$A$2:$A$397=$A244,Events!$E$2:$E$397&amp;IF(Events!$G$2:$G$397="National",""," ["&amp;Events!$G$2:$G$397&amp;"]"),""))</f>
        <v/>
      </c>
    </row>
    <row r="245" customFormat="false" ht="15" hidden="false" customHeight="true" outlineLevel="0" collapsed="false">
      <c r="A245" s="3" t="n">
        <v>45535</v>
      </c>
      <c r="B245" s="4" t="n">
        <f aca="false">YEAR($A245)</f>
        <v>2024</v>
      </c>
      <c r="C245" s="4" t="n">
        <f aca="false">MONTH($A245)</f>
        <v>8</v>
      </c>
      <c r="D245" s="4" t="str">
        <f aca="false">TEXT($A245,"ddd")</f>
        <v>Sat</v>
      </c>
      <c r="E245" s="4" t="n">
        <f aca="false">IF(OR(AND(MONTH($A245)=10,DAY($A245)&gt;=15),MONTH($A245)=11,AND(MONTH($A245)=12,DAY($A245)&lt;=7)),1,0)</f>
        <v>0</v>
      </c>
      <c r="F245" s="4" t="n">
        <f aca="false">IF(MONTH($A245)&lt;=3,1,0)</f>
        <v>0</v>
      </c>
      <c r="G245" s="4" t="str">
        <f aca="false" t="array" ref="G245: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4" t="n">
        <f aca="false">COUNTIF(Events!$A$2:$A$397,$A245)</f>
        <v>0</v>
      </c>
      <c r="I245" s="6" t="str">
        <f aca="false" t="array" ref="I245:I245">_xlfn.TEXTJOIN(" | ",TRUE(),IF(Events!$A$2:$A$397=$A245,Events!$E$2:$E$397&amp;IF(Events!$G$2:$G$397="National",""," ["&amp;Events!$G$2:$G$397&amp;"]"),""))</f>
        <v/>
      </c>
    </row>
    <row r="246" customFormat="false" ht="15" hidden="false" customHeight="true" outlineLevel="0" collapsed="false">
      <c r="A246" s="3" t="n">
        <v>45536</v>
      </c>
      <c r="B246" s="4" t="n">
        <f aca="false">YEAR($A246)</f>
        <v>2024</v>
      </c>
      <c r="C246" s="4" t="n">
        <f aca="false">MONTH($A246)</f>
        <v>9</v>
      </c>
      <c r="D246" s="4" t="str">
        <f aca="false">TEXT($A246,"ddd")</f>
        <v>Sun</v>
      </c>
      <c r="E246" s="4" t="n">
        <f aca="false">IF(OR(AND(MONTH($A246)=10,DAY($A246)&gt;=15),MONTH($A246)=11,AND(MONTH($A246)=12,DAY($A246)&lt;=7)),1,0)</f>
        <v>0</v>
      </c>
      <c r="F246" s="4" t="n">
        <f aca="false">IF(MONTH($A246)&lt;=3,1,0)</f>
        <v>0</v>
      </c>
      <c r="G246" s="4" t="str">
        <f aca="false" t="array" ref="G246: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4" t="n">
        <f aca="false">COUNTIF(Events!$A$2:$A$397,$A246)</f>
        <v>0</v>
      </c>
      <c r="I246" s="6" t="str">
        <f aca="false" t="array" ref="I246:I246">_xlfn.TEXTJOIN(" | ",TRUE(),IF(Events!$A$2:$A$397=$A246,Events!$E$2:$E$397&amp;IF(Events!$G$2:$G$397="National",""," ["&amp;Events!$G$2:$G$397&amp;"]"),""))</f>
        <v/>
      </c>
    </row>
    <row r="247" customFormat="false" ht="15" hidden="false" customHeight="true" outlineLevel="0" collapsed="false">
      <c r="A247" s="3" t="n">
        <v>45537</v>
      </c>
      <c r="B247" s="4" t="n">
        <f aca="false">YEAR($A247)</f>
        <v>2024</v>
      </c>
      <c r="C247" s="4" t="n">
        <f aca="false">MONTH($A247)</f>
        <v>9</v>
      </c>
      <c r="D247" s="4" t="str">
        <f aca="false">TEXT($A247,"ddd")</f>
        <v>Mon</v>
      </c>
      <c r="E247" s="4" t="n">
        <f aca="false">IF(OR(AND(MONTH($A247)=10,DAY($A247)&gt;=15),MONTH($A247)=11,AND(MONTH($A247)=12,DAY($A247)&lt;=7)),1,0)</f>
        <v>0</v>
      </c>
      <c r="F247" s="4" t="n">
        <f aca="false">IF(MONTH($A247)&lt;=3,1,0)</f>
        <v>0</v>
      </c>
      <c r="G247" s="4" t="str">
        <f aca="false" t="array" ref="G247: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4" t="n">
        <f aca="false">COUNTIF(Events!$A$2:$A$397,$A247)</f>
        <v>0</v>
      </c>
      <c r="I247" s="6" t="str">
        <f aca="false" t="array" ref="I247:I247">_xlfn.TEXTJOIN(" | ",TRUE(),IF(Events!$A$2:$A$397=$A247,Events!$E$2:$E$397&amp;IF(Events!$G$2:$G$397="National",""," ["&amp;Events!$G$2:$G$397&amp;"]"),""))</f>
        <v/>
      </c>
    </row>
    <row r="248" customFormat="false" ht="15" hidden="false" customHeight="true" outlineLevel="0" collapsed="false">
      <c r="A248" s="3" t="n">
        <v>45538</v>
      </c>
      <c r="B248" s="4" t="n">
        <f aca="false">YEAR($A248)</f>
        <v>2024</v>
      </c>
      <c r="C248" s="4" t="n">
        <f aca="false">MONTH($A248)</f>
        <v>9</v>
      </c>
      <c r="D248" s="4" t="str">
        <f aca="false">TEXT($A248,"ddd")</f>
        <v>Tue</v>
      </c>
      <c r="E248" s="4" t="n">
        <f aca="false">IF(OR(AND(MONTH($A248)=10,DAY($A248)&gt;=15),MONTH($A248)=11,AND(MONTH($A248)=12,DAY($A248)&lt;=7)),1,0)</f>
        <v>0</v>
      </c>
      <c r="F248" s="4" t="n">
        <f aca="false">IF(MONTH($A248)&lt;=3,1,0)</f>
        <v>0</v>
      </c>
      <c r="G248" s="4" t="str">
        <f aca="false" t="array" ref="G248: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4" t="n">
        <f aca="false">COUNTIF(Events!$A$2:$A$397,$A248)</f>
        <v>0</v>
      </c>
      <c r="I248" s="6" t="str">
        <f aca="false" t="array" ref="I248:I248">_xlfn.TEXTJOIN(" | ",TRUE(),IF(Events!$A$2:$A$397=$A248,Events!$E$2:$E$397&amp;IF(Events!$G$2:$G$397="National",""," ["&amp;Events!$G$2:$G$397&amp;"]"),""))</f>
        <v/>
      </c>
    </row>
    <row r="249" customFormat="false" ht="15" hidden="false" customHeight="true" outlineLevel="0" collapsed="false">
      <c r="A249" s="3" t="n">
        <v>45539</v>
      </c>
      <c r="B249" s="4" t="n">
        <f aca="false">YEAR($A249)</f>
        <v>2024</v>
      </c>
      <c r="C249" s="4" t="n">
        <f aca="false">MONTH($A249)</f>
        <v>9</v>
      </c>
      <c r="D249" s="4" t="str">
        <f aca="false">TEXT($A249,"ddd")</f>
        <v>Wed</v>
      </c>
      <c r="E249" s="4" t="n">
        <f aca="false">IF(OR(AND(MONTH($A249)=10,DAY($A249)&gt;=15),MONTH($A249)=11,AND(MONTH($A249)=12,DAY($A249)&lt;=7)),1,0)</f>
        <v>0</v>
      </c>
      <c r="F249" s="4" t="n">
        <f aca="false">IF(MONTH($A249)&lt;=3,1,0)</f>
        <v>0</v>
      </c>
      <c r="G249" s="4" t="str">
        <f aca="false" t="array" ref="G249: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4" t="n">
        <f aca="false">COUNTIF(Events!$A$2:$A$397,$A249)</f>
        <v>0</v>
      </c>
      <c r="I249" s="6" t="str">
        <f aca="false" t="array" ref="I249:I249">_xlfn.TEXTJOIN(" | ",TRUE(),IF(Events!$A$2:$A$397=$A249,Events!$E$2:$E$397&amp;IF(Events!$G$2:$G$397="National",""," ["&amp;Events!$G$2:$G$397&amp;"]"),""))</f>
        <v/>
      </c>
    </row>
    <row r="250" customFormat="false" ht="15" hidden="false" customHeight="true" outlineLevel="0" collapsed="false">
      <c r="A250" s="3" t="n">
        <v>45540</v>
      </c>
      <c r="B250" s="4" t="n">
        <f aca="false">YEAR($A250)</f>
        <v>2024</v>
      </c>
      <c r="C250" s="4" t="n">
        <f aca="false">MONTH($A250)</f>
        <v>9</v>
      </c>
      <c r="D250" s="4" t="str">
        <f aca="false">TEXT($A250,"ddd")</f>
        <v>Thu</v>
      </c>
      <c r="E250" s="4" t="n">
        <f aca="false">IF(OR(AND(MONTH($A250)=10,DAY($A250)&gt;=15),MONTH($A250)=11,AND(MONTH($A250)=12,DAY($A250)&lt;=7)),1,0)</f>
        <v>0</v>
      </c>
      <c r="F250" s="4" t="n">
        <f aca="false">IF(MONTH($A250)&lt;=3,1,0)</f>
        <v>0</v>
      </c>
      <c r="G250" s="4" t="str">
        <f aca="false" t="array" ref="G250: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4" t="n">
        <f aca="false">COUNTIF(Events!$A$2:$A$397,$A250)</f>
        <v>0</v>
      </c>
      <c r="I250" s="6" t="str">
        <f aca="false" t="array" ref="I250:I250">_xlfn.TEXTJOIN(" | ",TRUE(),IF(Events!$A$2:$A$397=$A250,Events!$E$2:$E$397&amp;IF(Events!$G$2:$G$397="National",""," ["&amp;Events!$G$2:$G$397&amp;"]"),""))</f>
        <v/>
      </c>
    </row>
    <row r="251" customFormat="false" ht="15" hidden="false" customHeight="true" outlineLevel="0" collapsed="false">
      <c r="A251" s="3" t="n">
        <v>45541</v>
      </c>
      <c r="B251" s="4" t="n">
        <f aca="false">YEAR($A251)</f>
        <v>2024</v>
      </c>
      <c r="C251" s="4" t="n">
        <f aca="false">MONTH($A251)</f>
        <v>9</v>
      </c>
      <c r="D251" s="4" t="str">
        <f aca="false">TEXT($A251,"ddd")</f>
        <v>Fri</v>
      </c>
      <c r="E251" s="4" t="n">
        <f aca="false">IF(OR(AND(MONTH($A251)=10,DAY($A251)&gt;=15),MONTH($A251)=11,AND(MONTH($A251)=12,DAY($A251)&lt;=7)),1,0)</f>
        <v>0</v>
      </c>
      <c r="F251" s="4" t="n">
        <f aca="false">IF(MONTH($A251)&lt;=3,1,0)</f>
        <v>0</v>
      </c>
      <c r="G251" s="4" t="str">
        <f aca="false" t="array" ref="G251: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4" t="n">
        <f aca="false">COUNTIF(Events!$A$2:$A$397,$A251)</f>
        <v>0</v>
      </c>
      <c r="I251" s="6" t="str">
        <f aca="false" t="array" ref="I251:I251">_xlfn.TEXTJOIN(" | ",TRUE(),IF(Events!$A$2:$A$397=$A251,Events!$E$2:$E$397&amp;IF(Events!$G$2:$G$397="National",""," ["&amp;Events!$G$2:$G$397&amp;"]"),""))</f>
        <v/>
      </c>
    </row>
    <row r="252" customFormat="false" ht="15" hidden="false" customHeight="true" outlineLevel="0" collapsed="false">
      <c r="A252" s="3" t="n">
        <v>45542</v>
      </c>
      <c r="B252" s="4" t="n">
        <f aca="false">YEAR($A252)</f>
        <v>2024</v>
      </c>
      <c r="C252" s="4" t="n">
        <f aca="false">MONTH($A252)</f>
        <v>9</v>
      </c>
      <c r="D252" s="4" t="str">
        <f aca="false">TEXT($A252,"ddd")</f>
        <v>Sat</v>
      </c>
      <c r="E252" s="4" t="n">
        <f aca="false">IF(OR(AND(MONTH($A252)=10,DAY($A252)&gt;=15),MONTH($A252)=11,AND(MONTH($A252)=12,DAY($A252)&lt;=7)),1,0)</f>
        <v>0</v>
      </c>
      <c r="F252" s="4" t="n">
        <f aca="false">IF(MONTH($A252)&lt;=3,1,0)</f>
        <v>0</v>
      </c>
      <c r="G252" s="4" t="str">
        <f aca="false" t="array" ref="G252: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4" t="n">
        <f aca="false">COUNTIF(Events!$A$2:$A$397,$A252)</f>
        <v>0</v>
      </c>
      <c r="I252" s="6" t="str">
        <f aca="false" t="array" ref="I252:I252">_xlfn.TEXTJOIN(" | ",TRUE(),IF(Events!$A$2:$A$397=$A252,Events!$E$2:$E$397&amp;IF(Events!$G$2:$G$397="National",""," ["&amp;Events!$G$2:$G$397&amp;"]"),""))</f>
        <v/>
      </c>
    </row>
    <row r="253" customFormat="false" ht="15" hidden="false" customHeight="true" outlineLevel="0" collapsed="false">
      <c r="A253" s="3" t="n">
        <v>45543</v>
      </c>
      <c r="B253" s="4" t="n">
        <f aca="false">YEAR($A253)</f>
        <v>2024</v>
      </c>
      <c r="C253" s="4" t="n">
        <f aca="false">MONTH($A253)</f>
        <v>9</v>
      </c>
      <c r="D253" s="4" t="str">
        <f aca="false">TEXT($A253,"ddd")</f>
        <v>Sun</v>
      </c>
      <c r="E253" s="4" t="n">
        <f aca="false">IF(OR(AND(MONTH($A253)=10,DAY($A253)&gt;=15),MONTH($A253)=11,AND(MONTH($A253)=12,DAY($A253)&lt;=7)),1,0)</f>
        <v>0</v>
      </c>
      <c r="F253" s="4" t="n">
        <f aca="false">IF(MONTH($A253)&lt;=3,1,0)</f>
        <v>0</v>
      </c>
      <c r="G253" s="4" t="str">
        <f aca="false" t="array" ref="G253: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4" t="n">
        <f aca="false">COUNTIF(Events!$A$2:$A$397,$A253)</f>
        <v>0</v>
      </c>
      <c r="I253" s="6" t="str">
        <f aca="false" t="array" ref="I253:I253">_xlfn.TEXTJOIN(" | ",TRUE(),IF(Events!$A$2:$A$397=$A253,Events!$E$2:$E$397&amp;IF(Events!$G$2:$G$397="National",""," ["&amp;Events!$G$2:$G$397&amp;"]"),""))</f>
        <v/>
      </c>
    </row>
    <row r="254" customFormat="false" ht="15" hidden="false" customHeight="true" outlineLevel="0" collapsed="false">
      <c r="A254" s="3" t="n">
        <v>45544</v>
      </c>
      <c r="B254" s="4" t="n">
        <f aca="false">YEAR($A254)</f>
        <v>2024</v>
      </c>
      <c r="C254" s="4" t="n">
        <f aca="false">MONTH($A254)</f>
        <v>9</v>
      </c>
      <c r="D254" s="4" t="str">
        <f aca="false">TEXT($A254,"ddd")</f>
        <v>Mon</v>
      </c>
      <c r="E254" s="4" t="n">
        <f aca="false">IF(OR(AND(MONTH($A254)=10,DAY($A254)&gt;=15),MONTH($A254)=11,AND(MONTH($A254)=12,DAY($A254)&lt;=7)),1,0)</f>
        <v>0</v>
      </c>
      <c r="F254" s="4" t="n">
        <f aca="false">IF(MONTH($A254)&lt;=3,1,0)</f>
        <v>0</v>
      </c>
      <c r="G254" s="4" t="str">
        <f aca="false" t="array" ref="G254: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4" t="n">
        <f aca="false">COUNTIF(Events!$A$2:$A$397,$A254)</f>
        <v>0</v>
      </c>
      <c r="I254" s="6" t="str">
        <f aca="false" t="array" ref="I254:I254">_xlfn.TEXTJOIN(" | ",TRUE(),IF(Events!$A$2:$A$397=$A254,Events!$E$2:$E$397&amp;IF(Events!$G$2:$G$397="National",""," ["&amp;Events!$G$2:$G$397&amp;"]"),""))</f>
        <v/>
      </c>
    </row>
    <row r="255" customFormat="false" ht="15" hidden="false" customHeight="true" outlineLevel="0" collapsed="false">
      <c r="A255" s="3" t="n">
        <v>45545</v>
      </c>
      <c r="B255" s="4" t="n">
        <f aca="false">YEAR($A255)</f>
        <v>2024</v>
      </c>
      <c r="C255" s="4" t="n">
        <f aca="false">MONTH($A255)</f>
        <v>9</v>
      </c>
      <c r="D255" s="4" t="str">
        <f aca="false">TEXT($A255,"ddd")</f>
        <v>Tue</v>
      </c>
      <c r="E255" s="4" t="n">
        <f aca="false">IF(OR(AND(MONTH($A255)=10,DAY($A255)&gt;=15),MONTH($A255)=11,AND(MONTH($A255)=12,DAY($A255)&lt;=7)),1,0)</f>
        <v>0</v>
      </c>
      <c r="F255" s="4" t="n">
        <f aca="false">IF(MONTH($A255)&lt;=3,1,0)</f>
        <v>0</v>
      </c>
      <c r="G255" s="4" t="str">
        <f aca="false" t="array" ref="G255: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4" t="n">
        <f aca="false">COUNTIF(Events!$A$2:$A$397,$A255)</f>
        <v>0</v>
      </c>
      <c r="I255" s="6" t="str">
        <f aca="false" t="array" ref="I255:I255">_xlfn.TEXTJOIN(" | ",TRUE(),IF(Events!$A$2:$A$397=$A255,Events!$E$2:$E$397&amp;IF(Events!$G$2:$G$397="National",""," ["&amp;Events!$G$2:$G$397&amp;"]"),""))</f>
        <v/>
      </c>
    </row>
    <row r="256" customFormat="false" ht="15" hidden="false" customHeight="true" outlineLevel="0" collapsed="false">
      <c r="A256" s="3" t="n">
        <v>45546</v>
      </c>
      <c r="B256" s="4" t="n">
        <f aca="false">YEAR($A256)</f>
        <v>2024</v>
      </c>
      <c r="C256" s="4" t="n">
        <f aca="false">MONTH($A256)</f>
        <v>9</v>
      </c>
      <c r="D256" s="4" t="str">
        <f aca="false">TEXT($A256,"ddd")</f>
        <v>Wed</v>
      </c>
      <c r="E256" s="4" t="n">
        <f aca="false">IF(OR(AND(MONTH($A256)=10,DAY($A256)&gt;=15),MONTH($A256)=11,AND(MONTH($A256)=12,DAY($A256)&lt;=7)),1,0)</f>
        <v>0</v>
      </c>
      <c r="F256" s="4" t="n">
        <f aca="false">IF(MONTH($A256)&lt;=3,1,0)</f>
        <v>0</v>
      </c>
      <c r="G256" s="4" t="str">
        <f aca="false" t="array" ref="G256: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4" t="n">
        <f aca="false">COUNTIF(Events!$A$2:$A$397,$A256)</f>
        <v>0</v>
      </c>
      <c r="I256" s="6" t="str">
        <f aca="false" t="array" ref="I256:I256">_xlfn.TEXTJOIN(" | ",TRUE(),IF(Events!$A$2:$A$397=$A256,Events!$E$2:$E$397&amp;IF(Events!$G$2:$G$397="National",""," ["&amp;Events!$G$2:$G$397&amp;"]"),""))</f>
        <v/>
      </c>
    </row>
    <row r="257" customFormat="false" ht="15" hidden="false" customHeight="true" outlineLevel="0" collapsed="false">
      <c r="A257" s="3" t="n">
        <v>45547</v>
      </c>
      <c r="B257" s="4" t="n">
        <f aca="false">YEAR($A257)</f>
        <v>2024</v>
      </c>
      <c r="C257" s="4" t="n">
        <f aca="false">MONTH($A257)</f>
        <v>9</v>
      </c>
      <c r="D257" s="4" t="str">
        <f aca="false">TEXT($A257,"ddd")</f>
        <v>Thu</v>
      </c>
      <c r="E257" s="4" t="n">
        <f aca="false">IF(OR(AND(MONTH($A257)=10,DAY($A257)&gt;=15),MONTH($A257)=11,AND(MONTH($A257)=12,DAY($A257)&lt;=7)),1,0)</f>
        <v>0</v>
      </c>
      <c r="F257" s="4" t="n">
        <f aca="false">IF(MONTH($A257)&lt;=3,1,0)</f>
        <v>0</v>
      </c>
      <c r="G257" s="4" t="str">
        <f aca="false" t="array" ref="G257: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4" t="n">
        <f aca="false">COUNTIF(Events!$A$2:$A$397,$A257)</f>
        <v>0</v>
      </c>
      <c r="I257" s="6" t="str">
        <f aca="false" t="array" ref="I257:I257">_xlfn.TEXTJOIN(" | ",TRUE(),IF(Events!$A$2:$A$397=$A257,Events!$E$2:$E$397&amp;IF(Events!$G$2:$G$397="National",""," ["&amp;Events!$G$2:$G$397&amp;"]"),""))</f>
        <v/>
      </c>
    </row>
    <row r="258" customFormat="false" ht="15" hidden="false" customHeight="true" outlineLevel="0" collapsed="false">
      <c r="A258" s="3" t="n">
        <v>45548</v>
      </c>
      <c r="B258" s="4" t="n">
        <f aca="false">YEAR($A258)</f>
        <v>2024</v>
      </c>
      <c r="C258" s="4" t="n">
        <f aca="false">MONTH($A258)</f>
        <v>9</v>
      </c>
      <c r="D258" s="4" t="str">
        <f aca="false">TEXT($A258,"ddd")</f>
        <v>Fri</v>
      </c>
      <c r="E258" s="4" t="n">
        <f aca="false">IF(OR(AND(MONTH($A258)=10,DAY($A258)&gt;=15),MONTH($A258)=11,AND(MONTH($A258)=12,DAY($A258)&lt;=7)),1,0)</f>
        <v>0</v>
      </c>
      <c r="F258" s="4" t="n">
        <f aca="false">IF(MONTH($A258)&lt;=3,1,0)</f>
        <v>0</v>
      </c>
      <c r="G258" s="4" t="str">
        <f aca="false" t="array" ref="G258: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4" t="n">
        <f aca="false">COUNTIF(Events!$A$2:$A$397,$A258)</f>
        <v>0</v>
      </c>
      <c r="I258" s="6" t="str">
        <f aca="false" t="array" ref="I258:I258">_xlfn.TEXTJOIN(" | ",TRUE(),IF(Events!$A$2:$A$397=$A258,Events!$E$2:$E$397&amp;IF(Events!$G$2:$G$397="National",""," ["&amp;Events!$G$2:$G$397&amp;"]"),""))</f>
        <v/>
      </c>
    </row>
    <row r="259" customFormat="false" ht="15" hidden="false" customHeight="true" outlineLevel="0" collapsed="false">
      <c r="A259" s="3" t="n">
        <v>45549</v>
      </c>
      <c r="B259" s="4" t="n">
        <f aca="false">YEAR($A259)</f>
        <v>2024</v>
      </c>
      <c r="C259" s="4" t="n">
        <f aca="false">MONTH($A259)</f>
        <v>9</v>
      </c>
      <c r="D259" s="4" t="str">
        <f aca="false">TEXT($A259,"ddd")</f>
        <v>Sat</v>
      </c>
      <c r="E259" s="4" t="n">
        <f aca="false">IF(OR(AND(MONTH($A259)=10,DAY($A259)&gt;=15),MONTH($A259)=11,AND(MONTH($A259)=12,DAY($A259)&lt;=7)),1,0)</f>
        <v>0</v>
      </c>
      <c r="F259" s="4" t="n">
        <f aca="false">IF(MONTH($A259)&lt;=3,1,0)</f>
        <v>0</v>
      </c>
      <c r="G259" s="4" t="str">
        <f aca="false" t="array" ref="G259: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4" t="n">
        <f aca="false">COUNTIF(Events!$A$2:$A$397,$A259)</f>
        <v>0</v>
      </c>
      <c r="I259" s="6" t="str">
        <f aca="false" t="array" ref="I259:I259">_xlfn.TEXTJOIN(" | ",TRUE(),IF(Events!$A$2:$A$397=$A259,Events!$E$2:$E$397&amp;IF(Events!$G$2:$G$397="National",""," ["&amp;Events!$G$2:$G$397&amp;"]"),""))</f>
        <v/>
      </c>
    </row>
    <row r="260" customFormat="false" ht="15" hidden="false" customHeight="true" outlineLevel="0" collapsed="false">
      <c r="A260" s="3" t="n">
        <v>45550</v>
      </c>
      <c r="B260" s="4" t="n">
        <f aca="false">YEAR($A260)</f>
        <v>2024</v>
      </c>
      <c r="C260" s="4" t="n">
        <f aca="false">MONTH($A260)</f>
        <v>9</v>
      </c>
      <c r="D260" s="4" t="str">
        <f aca="false">TEXT($A260,"ddd")</f>
        <v>Sun</v>
      </c>
      <c r="E260" s="4" t="n">
        <f aca="false">IF(OR(AND(MONTH($A260)=10,DAY($A260)&gt;=15),MONTH($A260)=11,AND(MONTH($A260)=12,DAY($A260)&lt;=7)),1,0)</f>
        <v>0</v>
      </c>
      <c r="F260" s="4" t="n">
        <f aca="false">IF(MONTH($A260)&lt;=3,1,0)</f>
        <v>0</v>
      </c>
      <c r="G260" s="4" t="str">
        <f aca="false" t="array" ref="G260: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4" t="n">
        <f aca="false">COUNTIF(Events!$A$2:$A$397,$A260)</f>
        <v>0</v>
      </c>
      <c r="I260" s="6" t="str">
        <f aca="false" t="array" ref="I260:I260">_xlfn.TEXTJOIN(" | ",TRUE(),IF(Events!$A$2:$A$397=$A260,Events!$E$2:$E$397&amp;IF(Events!$G$2:$G$397="National",""," ["&amp;Events!$G$2:$G$397&amp;"]"),""))</f>
        <v/>
      </c>
    </row>
    <row r="261" customFormat="false" ht="15" hidden="false" customHeight="true" outlineLevel="0" collapsed="false">
      <c r="A261" s="3" t="n">
        <v>45551</v>
      </c>
      <c r="B261" s="4" t="n">
        <f aca="false">YEAR($A261)</f>
        <v>2024</v>
      </c>
      <c r="C261" s="4" t="n">
        <f aca="false">MONTH($A261)</f>
        <v>9</v>
      </c>
      <c r="D261" s="4" t="str">
        <f aca="false">TEXT($A261,"ddd")</f>
        <v>Mon</v>
      </c>
      <c r="E261" s="4" t="n">
        <f aca="false">IF(OR(AND(MONTH($A261)=10,DAY($A261)&gt;=15),MONTH($A261)=11,AND(MONTH($A261)=12,DAY($A261)&lt;=7)),1,0)</f>
        <v>0</v>
      </c>
      <c r="F261" s="4" t="n">
        <f aca="false">IF(MONTH($A261)&lt;=3,1,0)</f>
        <v>0</v>
      </c>
      <c r="G261" s="4" t="str">
        <f aca="false" t="array" ref="G261: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4" t="n">
        <f aca="false">COUNTIF(Events!$A$2:$A$397,$A261)</f>
        <v>0</v>
      </c>
      <c r="I261" s="6" t="str">
        <f aca="false" t="array" ref="I261:I261">_xlfn.TEXTJOIN(" | ",TRUE(),IF(Events!$A$2:$A$397=$A261,Events!$E$2:$E$397&amp;IF(Events!$G$2:$G$397="National",""," ["&amp;Events!$G$2:$G$397&amp;"]"),""))</f>
        <v/>
      </c>
    </row>
    <row r="262" customFormat="false" ht="15" hidden="false" customHeight="true" outlineLevel="0" collapsed="false">
      <c r="A262" s="3" t="n">
        <v>45552</v>
      </c>
      <c r="B262" s="4" t="n">
        <f aca="false">YEAR($A262)</f>
        <v>2024</v>
      </c>
      <c r="C262" s="4" t="n">
        <f aca="false">MONTH($A262)</f>
        <v>9</v>
      </c>
      <c r="D262" s="4" t="str">
        <f aca="false">TEXT($A262,"ddd")</f>
        <v>Tue</v>
      </c>
      <c r="E262" s="4" t="n">
        <f aca="false">IF(OR(AND(MONTH($A262)=10,DAY($A262)&gt;=15),MONTH($A262)=11,AND(MONTH($A262)=12,DAY($A262)&lt;=7)),1,0)</f>
        <v>0</v>
      </c>
      <c r="F262" s="4" t="n">
        <f aca="false">IF(MONTH($A262)&lt;=3,1,0)</f>
        <v>0</v>
      </c>
      <c r="G262" s="4" t="str">
        <f aca="false" t="array" ref="G262: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4" t="n">
        <f aca="false">COUNTIF(Events!$A$2:$A$397,$A262)</f>
        <v>0</v>
      </c>
      <c r="I262" s="6" t="str">
        <f aca="false" t="array" ref="I262:I262">_xlfn.TEXTJOIN(" | ",TRUE(),IF(Events!$A$2:$A$397=$A262,Events!$E$2:$E$397&amp;IF(Events!$G$2:$G$397="National",""," ["&amp;Events!$G$2:$G$397&amp;"]"),""))</f>
        <v/>
      </c>
    </row>
    <row r="263" customFormat="false" ht="15" hidden="false" customHeight="true" outlineLevel="0" collapsed="false">
      <c r="A263" s="3" t="n">
        <v>45553</v>
      </c>
      <c r="B263" s="4" t="n">
        <f aca="false">YEAR($A263)</f>
        <v>2024</v>
      </c>
      <c r="C263" s="4" t="n">
        <f aca="false">MONTH($A263)</f>
        <v>9</v>
      </c>
      <c r="D263" s="4" t="str">
        <f aca="false">TEXT($A263,"ddd")</f>
        <v>Wed</v>
      </c>
      <c r="E263" s="4" t="n">
        <f aca="false">IF(OR(AND(MONTH($A263)=10,DAY($A263)&gt;=15),MONTH($A263)=11,AND(MONTH($A263)=12,DAY($A263)&lt;=7)),1,0)</f>
        <v>0</v>
      </c>
      <c r="F263" s="4" t="n">
        <f aca="false">IF(MONTH($A263)&lt;=3,1,0)</f>
        <v>0</v>
      </c>
      <c r="G263" s="4" t="str">
        <f aca="false" t="array" ref="G263: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4" t="n">
        <f aca="false">COUNTIF(Events!$A$2:$A$397,$A263)</f>
        <v>0</v>
      </c>
      <c r="I263" s="6" t="str">
        <f aca="false" t="array" ref="I263:I263">_xlfn.TEXTJOIN(" | ",TRUE(),IF(Events!$A$2:$A$397=$A263,Events!$E$2:$E$397&amp;IF(Events!$G$2:$G$397="National",""," ["&amp;Events!$G$2:$G$397&amp;"]"),""))</f>
        <v/>
      </c>
    </row>
    <row r="264" customFormat="false" ht="15" hidden="false" customHeight="true" outlineLevel="0" collapsed="false">
      <c r="A264" s="3" t="n">
        <v>45554</v>
      </c>
      <c r="B264" s="4" t="n">
        <f aca="false">YEAR($A264)</f>
        <v>2024</v>
      </c>
      <c r="C264" s="4" t="n">
        <f aca="false">MONTH($A264)</f>
        <v>9</v>
      </c>
      <c r="D264" s="4" t="str">
        <f aca="false">TEXT($A264,"ddd")</f>
        <v>Thu</v>
      </c>
      <c r="E264" s="4" t="n">
        <f aca="false">IF(OR(AND(MONTH($A264)=10,DAY($A264)&gt;=15),MONTH($A264)=11,AND(MONTH($A264)=12,DAY($A264)&lt;=7)),1,0)</f>
        <v>0</v>
      </c>
      <c r="F264" s="4" t="n">
        <f aca="false">IF(MONTH($A264)&lt;=3,1,0)</f>
        <v>0</v>
      </c>
      <c r="G264" s="4" t="str">
        <f aca="false" t="array" ref="G264: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4" t="n">
        <f aca="false">COUNTIF(Events!$A$2:$A$397,$A264)</f>
        <v>0</v>
      </c>
      <c r="I264" s="6" t="str">
        <f aca="false" t="array" ref="I264:I264">_xlfn.TEXTJOIN(" | ",TRUE(),IF(Events!$A$2:$A$397=$A264,Events!$E$2:$E$397&amp;IF(Events!$G$2:$G$397="National",""," ["&amp;Events!$G$2:$G$397&amp;"]"),""))</f>
        <v/>
      </c>
    </row>
    <row r="265" customFormat="false" ht="15" hidden="false" customHeight="true" outlineLevel="0" collapsed="false">
      <c r="A265" s="3" t="n">
        <v>45555</v>
      </c>
      <c r="B265" s="4" t="n">
        <f aca="false">YEAR($A265)</f>
        <v>2024</v>
      </c>
      <c r="C265" s="4" t="n">
        <f aca="false">MONTH($A265)</f>
        <v>9</v>
      </c>
      <c r="D265" s="4" t="str">
        <f aca="false">TEXT($A265,"ddd")</f>
        <v>Fri</v>
      </c>
      <c r="E265" s="4" t="n">
        <f aca="false">IF(OR(AND(MONTH($A265)=10,DAY($A265)&gt;=15),MONTH($A265)=11,AND(MONTH($A265)=12,DAY($A265)&lt;=7)),1,0)</f>
        <v>0</v>
      </c>
      <c r="F265" s="4" t="n">
        <f aca="false">IF(MONTH($A265)&lt;=3,1,0)</f>
        <v>0</v>
      </c>
      <c r="G265" s="4" t="str">
        <f aca="false" t="array" ref="G265: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4" t="n">
        <f aca="false">COUNTIF(Events!$A$2:$A$397,$A265)</f>
        <v>0</v>
      </c>
      <c r="I265" s="6" t="str">
        <f aca="false" t="array" ref="I265:I265">_xlfn.TEXTJOIN(" | ",TRUE(),IF(Events!$A$2:$A$397=$A265,Events!$E$2:$E$397&amp;IF(Events!$G$2:$G$397="National",""," ["&amp;Events!$G$2:$G$397&amp;"]"),""))</f>
        <v/>
      </c>
    </row>
    <row r="266" customFormat="false" ht="15" hidden="false" customHeight="true" outlineLevel="0" collapsed="false">
      <c r="A266" s="3" t="n">
        <v>45556</v>
      </c>
      <c r="B266" s="4" t="n">
        <f aca="false">YEAR($A266)</f>
        <v>2024</v>
      </c>
      <c r="C266" s="4" t="n">
        <f aca="false">MONTH($A266)</f>
        <v>9</v>
      </c>
      <c r="D266" s="4" t="str">
        <f aca="false">TEXT($A266,"ddd")</f>
        <v>Sat</v>
      </c>
      <c r="E266" s="4" t="n">
        <f aca="false">IF(OR(AND(MONTH($A266)=10,DAY($A266)&gt;=15),MONTH($A266)=11,AND(MONTH($A266)=12,DAY($A266)&lt;=7)),1,0)</f>
        <v>0</v>
      </c>
      <c r="F266" s="4" t="n">
        <f aca="false">IF(MONTH($A266)&lt;=3,1,0)</f>
        <v>0</v>
      </c>
      <c r="G266" s="4" t="str">
        <f aca="false" t="array" ref="G266: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4" t="n">
        <f aca="false">COUNTIF(Events!$A$2:$A$397,$A266)</f>
        <v>0</v>
      </c>
      <c r="I266" s="6" t="str">
        <f aca="false" t="array" ref="I266:I266">_xlfn.TEXTJOIN(" | ",TRUE(),IF(Events!$A$2:$A$397=$A266,Events!$E$2:$E$397&amp;IF(Events!$G$2:$G$397="National",""," ["&amp;Events!$G$2:$G$397&amp;"]"),""))</f>
        <v/>
      </c>
    </row>
    <row r="267" customFormat="false" ht="15" hidden="false" customHeight="true" outlineLevel="0" collapsed="false">
      <c r="A267" s="3" t="n">
        <v>45557</v>
      </c>
      <c r="B267" s="4" t="n">
        <f aca="false">YEAR($A267)</f>
        <v>2024</v>
      </c>
      <c r="C267" s="4" t="n">
        <f aca="false">MONTH($A267)</f>
        <v>9</v>
      </c>
      <c r="D267" s="4" t="str">
        <f aca="false">TEXT($A267,"ddd")</f>
        <v>Sun</v>
      </c>
      <c r="E267" s="4" t="n">
        <f aca="false">IF(OR(AND(MONTH($A267)=10,DAY($A267)&gt;=15),MONTH($A267)=11,AND(MONTH($A267)=12,DAY($A267)&lt;=7)),1,0)</f>
        <v>0</v>
      </c>
      <c r="F267" s="4" t="n">
        <f aca="false">IF(MONTH($A267)&lt;=3,1,0)</f>
        <v>0</v>
      </c>
      <c r="G267" s="4" t="str">
        <f aca="false" t="array" ref="G267: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4" t="n">
        <f aca="false">COUNTIF(Events!$A$2:$A$397,$A267)</f>
        <v>0</v>
      </c>
      <c r="I267" s="6" t="str">
        <f aca="false" t="array" ref="I267:I267">_xlfn.TEXTJOIN(" | ",TRUE(),IF(Events!$A$2:$A$397=$A267,Events!$E$2:$E$397&amp;IF(Events!$G$2:$G$397="National",""," ["&amp;Events!$G$2:$G$397&amp;"]"),""))</f>
        <v/>
      </c>
    </row>
    <row r="268" customFormat="false" ht="15" hidden="false" customHeight="true" outlineLevel="0" collapsed="false">
      <c r="A268" s="3" t="n">
        <v>45558</v>
      </c>
      <c r="B268" s="4" t="n">
        <f aca="false">YEAR($A268)</f>
        <v>2024</v>
      </c>
      <c r="C268" s="4" t="n">
        <f aca="false">MONTH($A268)</f>
        <v>9</v>
      </c>
      <c r="D268" s="4" t="str">
        <f aca="false">TEXT($A268,"ddd")</f>
        <v>Mon</v>
      </c>
      <c r="E268" s="4" t="n">
        <f aca="false">IF(OR(AND(MONTH($A268)=10,DAY($A268)&gt;=15),MONTH($A268)=11,AND(MONTH($A268)=12,DAY($A268)&lt;=7)),1,0)</f>
        <v>0</v>
      </c>
      <c r="F268" s="4" t="n">
        <f aca="false">IF(MONTH($A268)&lt;=3,1,0)</f>
        <v>0</v>
      </c>
      <c r="G268" s="4" t="str">
        <f aca="false" t="array" ref="G268: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4" t="n">
        <f aca="false">COUNTIF(Events!$A$2:$A$397,$A268)</f>
        <v>0</v>
      </c>
      <c r="I268" s="6" t="str">
        <f aca="false" t="array" ref="I268:I268">_xlfn.TEXTJOIN(" | ",TRUE(),IF(Events!$A$2:$A$397=$A268,Events!$E$2:$E$397&amp;IF(Events!$G$2:$G$397="National",""," ["&amp;Events!$G$2:$G$397&amp;"]"),""))</f>
        <v/>
      </c>
    </row>
    <row r="269" customFormat="false" ht="15" hidden="false" customHeight="true" outlineLevel="0" collapsed="false">
      <c r="A269" s="3" t="n">
        <v>45559</v>
      </c>
      <c r="B269" s="4" t="n">
        <f aca="false">YEAR($A269)</f>
        <v>2024</v>
      </c>
      <c r="C269" s="4" t="n">
        <f aca="false">MONTH($A269)</f>
        <v>9</v>
      </c>
      <c r="D269" s="4" t="str">
        <f aca="false">TEXT($A269,"ddd")</f>
        <v>Tue</v>
      </c>
      <c r="E269" s="4" t="n">
        <f aca="false">IF(OR(AND(MONTH($A269)=10,DAY($A269)&gt;=15),MONTH($A269)=11,AND(MONTH($A269)=12,DAY($A269)&lt;=7)),1,0)</f>
        <v>0</v>
      </c>
      <c r="F269" s="4" t="n">
        <f aca="false">IF(MONTH($A269)&lt;=3,1,0)</f>
        <v>0</v>
      </c>
      <c r="G269" s="4" t="str">
        <f aca="false" t="array" ref="G269: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4" t="n">
        <f aca="false">COUNTIF(Events!$A$2:$A$397,$A269)</f>
        <v>0</v>
      </c>
      <c r="I269" s="6" t="str">
        <f aca="false" t="array" ref="I269:I269">_xlfn.TEXTJOIN(" | ",TRUE(),IF(Events!$A$2:$A$397=$A269,Events!$E$2:$E$397&amp;IF(Events!$G$2:$G$397="National",""," ["&amp;Events!$G$2:$G$397&amp;"]"),""))</f>
        <v/>
      </c>
    </row>
    <row r="270" customFormat="false" ht="15" hidden="false" customHeight="true" outlineLevel="0" collapsed="false">
      <c r="A270" s="3" t="n">
        <v>45560</v>
      </c>
      <c r="B270" s="4" t="n">
        <f aca="false">YEAR($A270)</f>
        <v>2024</v>
      </c>
      <c r="C270" s="4" t="n">
        <f aca="false">MONTH($A270)</f>
        <v>9</v>
      </c>
      <c r="D270" s="4" t="str">
        <f aca="false">TEXT($A270,"ddd")</f>
        <v>Wed</v>
      </c>
      <c r="E270" s="4" t="n">
        <f aca="false">IF(OR(AND(MONTH($A270)=10,DAY($A270)&gt;=15),MONTH($A270)=11,AND(MONTH($A270)=12,DAY($A270)&lt;=7)),1,0)</f>
        <v>0</v>
      </c>
      <c r="F270" s="4" t="n">
        <f aca="false">IF(MONTH($A270)&lt;=3,1,0)</f>
        <v>0</v>
      </c>
      <c r="G270" s="4" t="str">
        <f aca="false" t="array" ref="G270: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4" t="n">
        <f aca="false">COUNTIF(Events!$A$2:$A$397,$A270)</f>
        <v>0</v>
      </c>
      <c r="I270" s="6" t="str">
        <f aca="false" t="array" ref="I270:I270">_xlfn.TEXTJOIN(" | ",TRUE(),IF(Events!$A$2:$A$397=$A270,Events!$E$2:$E$397&amp;IF(Events!$G$2:$G$397="National",""," ["&amp;Events!$G$2:$G$397&amp;"]"),""))</f>
        <v/>
      </c>
    </row>
    <row r="271" customFormat="false" ht="15" hidden="false" customHeight="true" outlineLevel="0" collapsed="false">
      <c r="A271" s="3" t="n">
        <v>45561</v>
      </c>
      <c r="B271" s="4" t="n">
        <f aca="false">YEAR($A271)</f>
        <v>2024</v>
      </c>
      <c r="C271" s="4" t="n">
        <f aca="false">MONTH($A271)</f>
        <v>9</v>
      </c>
      <c r="D271" s="4" t="str">
        <f aca="false">TEXT($A271,"ddd")</f>
        <v>Thu</v>
      </c>
      <c r="E271" s="4" t="n">
        <f aca="false">IF(OR(AND(MONTH($A271)=10,DAY($A271)&gt;=15),MONTH($A271)=11,AND(MONTH($A271)=12,DAY($A271)&lt;=7)),1,0)</f>
        <v>0</v>
      </c>
      <c r="F271" s="4" t="n">
        <f aca="false">IF(MONTH($A271)&lt;=3,1,0)</f>
        <v>0</v>
      </c>
      <c r="G271" s="4" t="str">
        <f aca="false" t="array" ref="G271: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4" t="n">
        <f aca="false">COUNTIF(Events!$A$2:$A$397,$A271)</f>
        <v>0</v>
      </c>
      <c r="I271" s="6" t="str">
        <f aca="false" t="array" ref="I271:I271">_xlfn.TEXTJOIN(" | ",TRUE(),IF(Events!$A$2:$A$397=$A271,Events!$E$2:$E$397&amp;IF(Events!$G$2:$G$397="National",""," ["&amp;Events!$G$2:$G$397&amp;"]"),""))</f>
        <v/>
      </c>
    </row>
    <row r="272" customFormat="false" ht="15" hidden="false" customHeight="true" outlineLevel="0" collapsed="false">
      <c r="A272" s="3" t="n">
        <v>45562</v>
      </c>
      <c r="B272" s="4" t="n">
        <f aca="false">YEAR($A272)</f>
        <v>2024</v>
      </c>
      <c r="C272" s="4" t="n">
        <f aca="false">MONTH($A272)</f>
        <v>9</v>
      </c>
      <c r="D272" s="4" t="str">
        <f aca="false">TEXT($A272,"ddd")</f>
        <v>Fri</v>
      </c>
      <c r="E272" s="4" t="n">
        <f aca="false">IF(OR(AND(MONTH($A272)=10,DAY($A272)&gt;=15),MONTH($A272)=11,AND(MONTH($A272)=12,DAY($A272)&lt;=7)),1,0)</f>
        <v>0</v>
      </c>
      <c r="F272" s="4" t="n">
        <f aca="false">IF(MONTH($A272)&lt;=3,1,0)</f>
        <v>0</v>
      </c>
      <c r="G272" s="4" t="str">
        <f aca="false" t="array" ref="G272: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4" t="n">
        <f aca="false">COUNTIF(Events!$A$2:$A$397,$A272)</f>
        <v>0</v>
      </c>
      <c r="I272" s="6" t="str">
        <f aca="false" t="array" ref="I272:I272">_xlfn.TEXTJOIN(" | ",TRUE(),IF(Events!$A$2:$A$397=$A272,Events!$E$2:$E$397&amp;IF(Events!$G$2:$G$397="National",""," ["&amp;Events!$G$2:$G$397&amp;"]"),""))</f>
        <v/>
      </c>
    </row>
    <row r="273" customFormat="false" ht="15" hidden="false" customHeight="true" outlineLevel="0" collapsed="false">
      <c r="A273" s="3" t="n">
        <v>45563</v>
      </c>
      <c r="B273" s="4" t="n">
        <f aca="false">YEAR($A273)</f>
        <v>2024</v>
      </c>
      <c r="C273" s="4" t="n">
        <f aca="false">MONTH($A273)</f>
        <v>9</v>
      </c>
      <c r="D273" s="4" t="str">
        <f aca="false">TEXT($A273,"ddd")</f>
        <v>Sat</v>
      </c>
      <c r="E273" s="4" t="n">
        <f aca="false">IF(OR(AND(MONTH($A273)=10,DAY($A273)&gt;=15),MONTH($A273)=11,AND(MONTH($A273)=12,DAY($A273)&lt;=7)),1,0)</f>
        <v>0</v>
      </c>
      <c r="F273" s="4" t="n">
        <f aca="false">IF(MONTH($A273)&lt;=3,1,0)</f>
        <v>0</v>
      </c>
      <c r="G273" s="4" t="str">
        <f aca="false" t="array" ref="G273: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4" t="n">
        <f aca="false">COUNTIF(Events!$A$2:$A$397,$A273)</f>
        <v>0</v>
      </c>
      <c r="I273" s="6" t="str">
        <f aca="false" t="array" ref="I273:I273">_xlfn.TEXTJOIN(" | ",TRUE(),IF(Events!$A$2:$A$397=$A273,Events!$E$2:$E$397&amp;IF(Events!$G$2:$G$397="National",""," ["&amp;Events!$G$2:$G$397&amp;"]"),""))</f>
        <v/>
      </c>
    </row>
    <row r="274" customFormat="false" ht="15" hidden="false" customHeight="true" outlineLevel="0" collapsed="false">
      <c r="A274" s="3" t="n">
        <v>45564</v>
      </c>
      <c r="B274" s="4" t="n">
        <f aca="false">YEAR($A274)</f>
        <v>2024</v>
      </c>
      <c r="C274" s="4" t="n">
        <f aca="false">MONTH($A274)</f>
        <v>9</v>
      </c>
      <c r="D274" s="4" t="str">
        <f aca="false">TEXT($A274,"ddd")</f>
        <v>Sun</v>
      </c>
      <c r="E274" s="4" t="n">
        <f aca="false">IF(OR(AND(MONTH($A274)=10,DAY($A274)&gt;=15),MONTH($A274)=11,AND(MONTH($A274)=12,DAY($A274)&lt;=7)),1,0)</f>
        <v>0</v>
      </c>
      <c r="F274" s="4" t="n">
        <f aca="false">IF(MONTH($A274)&lt;=3,1,0)</f>
        <v>0</v>
      </c>
      <c r="G274" s="4" t="str">
        <f aca="false" t="array" ref="G274: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v>
      </c>
      <c r="H274" s="4" t="n">
        <f aca="false">COUNTIF(Events!$A$2:$A$397,$A274)</f>
        <v>0</v>
      </c>
      <c r="I274" s="6" t="str">
        <f aca="false" t="array" ref="I274:I274">_xlfn.TEXTJOIN(" | ",TRUE(),IF(Events!$A$2:$A$397=$A274,Events!$E$2:$E$397&amp;IF(Events!$G$2:$G$397="National",""," ["&amp;Events!$G$2:$G$397&amp;"]"),""))</f>
        <v/>
      </c>
    </row>
    <row r="275" customFormat="false" ht="15" hidden="false" customHeight="true" outlineLevel="0" collapsed="false">
      <c r="A275" s="3" t="n">
        <v>45565</v>
      </c>
      <c r="B275" s="4" t="n">
        <f aca="false">YEAR($A275)</f>
        <v>2024</v>
      </c>
      <c r="C275" s="4" t="n">
        <f aca="false">MONTH($A275)</f>
        <v>9</v>
      </c>
      <c r="D275" s="4" t="str">
        <f aca="false">TEXT($A275,"ddd")</f>
        <v>Mon</v>
      </c>
      <c r="E275" s="4" t="n">
        <f aca="false">IF(OR(AND(MONTH($A275)=10,DAY($A275)&gt;=15),MONTH($A275)=11,AND(MONTH($A275)=12,DAY($A275)&lt;=7)),1,0)</f>
        <v>0</v>
      </c>
      <c r="F275" s="4" t="n">
        <f aca="false">IF(MONTH($A275)&lt;=3,1,0)</f>
        <v>0</v>
      </c>
      <c r="G275" s="4" t="str">
        <f aca="false" t="array" ref="G275: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5" s="4" t="n">
        <f aca="false">COUNTIF(Events!$A$2:$A$397,$A275)</f>
        <v>1</v>
      </c>
      <c r="I275" s="6" t="str">
        <f aca="false" t="array" ref="I275:I275">_xlfn.TEXTJOIN(" | ",TRUE(),IF(Events!$A$2:$A$397=$A275,Events!$E$2:$E$397&amp;IF(Events!$G$2:$G$397="National",""," ["&amp;Events!$G$2:$G$397&amp;"]"),""))</f>
        <v>ANOC delivery deadline: every MA/MA-PD/PDP enrollee must receive their plan's Annual Notice of Change by 9/30 - the day enrollees are actually notified of their plan's CY2025 premium, benefit, and cost-sharing changes ahead of AEP. Not a policy change itself, but a synchronized mass-notification shock (~34M MA members); CY2025 ANOCs carried the post-IRA changes ($2,000 OOP cap, Prescription Payment Plan, supplemental-benefit trims), making this the date the 2025 benefit-cut news reached consumers</v>
      </c>
    </row>
    <row r="276" customFormat="false" ht="15" hidden="false" customHeight="true" outlineLevel="0" collapsed="false">
      <c r="A276" s="3" t="n">
        <v>45566</v>
      </c>
      <c r="B276" s="4" t="n">
        <f aca="false">YEAR($A276)</f>
        <v>2024</v>
      </c>
      <c r="C276" s="4" t="n">
        <f aca="false">MONTH($A276)</f>
        <v>10</v>
      </c>
      <c r="D276" s="4" t="str">
        <f aca="false">TEXT($A276,"ddd")</f>
        <v>Tue</v>
      </c>
      <c r="E276" s="4" t="n">
        <f aca="false">IF(OR(AND(MONTH($A276)=10,DAY($A276)&gt;=15),MONTH($A276)=11,AND(MONTH($A276)=12,DAY($A276)&lt;=7)),1,0)</f>
        <v>0</v>
      </c>
      <c r="F276" s="4" t="n">
        <f aca="false">IF(MONTH($A276)&lt;=3,1,0)</f>
        <v>0</v>
      </c>
      <c r="G276" s="4" t="str">
        <f aca="false" t="array" ref="G276: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4" t="n">
        <f aca="false">COUNTIF(Events!$A$2:$A$397,$A276)</f>
        <v>1</v>
      </c>
      <c r="I276" s="6" t="str">
        <f aca="false" t="array" ref="I276:I276">_xlfn.TEXTJOIN(" | ",TRUE(),IF(Events!$A$2:$A$397=$A276,Events!$E$2:$E$397&amp;IF(Events!$G$2:$G$397="National",""," ["&amp;Events!$G$2:$G$397&amp;"]"),""))</f>
        <v>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v>
      </c>
    </row>
    <row r="277" customFormat="false" ht="15" hidden="false" customHeight="true" outlineLevel="0" collapsed="false">
      <c r="A277" s="3" t="n">
        <v>45567</v>
      </c>
      <c r="B277" s="4" t="n">
        <f aca="false">YEAR($A277)</f>
        <v>2024</v>
      </c>
      <c r="C277" s="4" t="n">
        <f aca="false">MONTH($A277)</f>
        <v>10</v>
      </c>
      <c r="D277" s="4" t="str">
        <f aca="false">TEXT($A277,"ddd")</f>
        <v>Wed</v>
      </c>
      <c r="E277" s="4" t="n">
        <f aca="false">IF(OR(AND(MONTH($A277)=10,DAY($A277)&gt;=15),MONTH($A277)=11,AND(MONTH($A277)=12,DAY($A277)&lt;=7)),1,0)</f>
        <v>0</v>
      </c>
      <c r="F277" s="4" t="n">
        <f aca="false">IF(MONTH($A277)&lt;=3,1,0)</f>
        <v>0</v>
      </c>
      <c r="G277" s="4" t="str">
        <f aca="false" t="array" ref="G277: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4" t="n">
        <f aca="false">COUNTIF(Events!$A$2:$A$397,$A277)</f>
        <v>0</v>
      </c>
      <c r="I277" s="6" t="str">
        <f aca="false" t="array" ref="I277:I277">_xlfn.TEXTJOIN(" | ",TRUE(),IF(Events!$A$2:$A$397=$A277,Events!$E$2:$E$397&amp;IF(Events!$G$2:$G$397="National",""," ["&amp;Events!$G$2:$G$397&amp;"]"),""))</f>
        <v/>
      </c>
    </row>
    <row r="278" customFormat="false" ht="15" hidden="false" customHeight="true" outlineLevel="0" collapsed="false">
      <c r="A278" s="3" t="n">
        <v>45568</v>
      </c>
      <c r="B278" s="4" t="n">
        <f aca="false">YEAR($A278)</f>
        <v>2024</v>
      </c>
      <c r="C278" s="4" t="n">
        <f aca="false">MONTH($A278)</f>
        <v>10</v>
      </c>
      <c r="D278" s="4" t="str">
        <f aca="false">TEXT($A278,"ddd")</f>
        <v>Thu</v>
      </c>
      <c r="E278" s="4" t="n">
        <f aca="false">IF(OR(AND(MONTH($A278)=10,DAY($A278)&gt;=15),MONTH($A278)=11,AND(MONTH($A278)=12,DAY($A278)&lt;=7)),1,0)</f>
        <v>0</v>
      </c>
      <c r="F278" s="4" t="n">
        <f aca="false">IF(MONTH($A278)&lt;=3,1,0)</f>
        <v>0</v>
      </c>
      <c r="G278" s="4" t="str">
        <f aca="false" t="array" ref="G278: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4" t="n">
        <f aca="false">COUNTIF(Events!$A$2:$A$397,$A278)</f>
        <v>0</v>
      </c>
      <c r="I278" s="6" t="str">
        <f aca="false" t="array" ref="I278:I278">_xlfn.TEXTJOIN(" | ",TRUE(),IF(Events!$A$2:$A$397=$A278,Events!$E$2:$E$397&amp;IF(Events!$G$2:$G$397="National",""," ["&amp;Events!$G$2:$G$397&amp;"]"),""))</f>
        <v/>
      </c>
    </row>
    <row r="279" customFormat="false" ht="15" hidden="false" customHeight="true" outlineLevel="0" collapsed="false">
      <c r="A279" s="3" t="n">
        <v>45569</v>
      </c>
      <c r="B279" s="4" t="n">
        <f aca="false">YEAR($A279)</f>
        <v>2024</v>
      </c>
      <c r="C279" s="4" t="n">
        <f aca="false">MONTH($A279)</f>
        <v>10</v>
      </c>
      <c r="D279" s="4" t="str">
        <f aca="false">TEXT($A279,"ddd")</f>
        <v>Fri</v>
      </c>
      <c r="E279" s="4" t="n">
        <f aca="false">IF(OR(AND(MONTH($A279)=10,DAY($A279)&gt;=15),MONTH($A279)=11,AND(MONTH($A279)=12,DAY($A279)&lt;=7)),1,0)</f>
        <v>0</v>
      </c>
      <c r="F279" s="4" t="n">
        <f aca="false">IF(MONTH($A279)&lt;=3,1,0)</f>
        <v>0</v>
      </c>
      <c r="G279" s="4" t="str">
        <f aca="false" t="array" ref="G279: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4" t="n">
        <f aca="false">COUNTIF(Events!$A$2:$A$397,$A279)</f>
        <v>0</v>
      </c>
      <c r="I279" s="6" t="str">
        <f aca="false" t="array" ref="I279:I279">_xlfn.TEXTJOIN(" | ",TRUE(),IF(Events!$A$2:$A$397=$A279,Events!$E$2:$E$397&amp;IF(Events!$G$2:$G$397="National",""," ["&amp;Events!$G$2:$G$397&amp;"]"),""))</f>
        <v/>
      </c>
    </row>
    <row r="280" customFormat="false" ht="15" hidden="false" customHeight="true" outlineLevel="0" collapsed="false">
      <c r="A280" s="3" t="n">
        <v>45570</v>
      </c>
      <c r="B280" s="4" t="n">
        <f aca="false">YEAR($A280)</f>
        <v>2024</v>
      </c>
      <c r="C280" s="4" t="n">
        <f aca="false">MONTH($A280)</f>
        <v>10</v>
      </c>
      <c r="D280" s="4" t="str">
        <f aca="false">TEXT($A280,"ddd")</f>
        <v>Sat</v>
      </c>
      <c r="E280" s="4" t="n">
        <f aca="false">IF(OR(AND(MONTH($A280)=10,DAY($A280)&gt;=15),MONTH($A280)=11,AND(MONTH($A280)=12,DAY($A280)&lt;=7)),1,0)</f>
        <v>0</v>
      </c>
      <c r="F280" s="4" t="n">
        <f aca="false">IF(MONTH($A280)&lt;=3,1,0)</f>
        <v>0</v>
      </c>
      <c r="G280" s="4" t="str">
        <f aca="false" t="array" ref="G280: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4" t="n">
        <f aca="false">COUNTIF(Events!$A$2:$A$397,$A280)</f>
        <v>0</v>
      </c>
      <c r="I280" s="6" t="str">
        <f aca="false" t="array" ref="I280:I280">_xlfn.TEXTJOIN(" | ",TRUE(),IF(Events!$A$2:$A$397=$A280,Events!$E$2:$E$397&amp;IF(Events!$G$2:$G$397="National",""," ["&amp;Events!$G$2:$G$397&amp;"]"),""))</f>
        <v/>
      </c>
    </row>
    <row r="281" customFormat="false" ht="15" hidden="false" customHeight="true" outlineLevel="0" collapsed="false">
      <c r="A281" s="3" t="n">
        <v>45571</v>
      </c>
      <c r="B281" s="4" t="n">
        <f aca="false">YEAR($A281)</f>
        <v>2024</v>
      </c>
      <c r="C281" s="4" t="n">
        <f aca="false">MONTH($A281)</f>
        <v>10</v>
      </c>
      <c r="D281" s="4" t="str">
        <f aca="false">TEXT($A281,"ddd")</f>
        <v>Sun</v>
      </c>
      <c r="E281" s="4" t="n">
        <f aca="false">IF(OR(AND(MONTH($A281)=10,DAY($A281)&gt;=15),MONTH($A281)=11,AND(MONTH($A281)=12,DAY($A281)&lt;=7)),1,0)</f>
        <v>0</v>
      </c>
      <c r="F281" s="4" t="n">
        <f aca="false">IF(MONTH($A281)&lt;=3,1,0)</f>
        <v>0</v>
      </c>
      <c r="G281" s="4" t="str">
        <f aca="false" t="array" ref="G281: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4" t="n">
        <f aca="false">COUNTIF(Events!$A$2:$A$397,$A281)</f>
        <v>0</v>
      </c>
      <c r="I281" s="6" t="str">
        <f aca="false" t="array" ref="I281:I281">_xlfn.TEXTJOIN(" | ",TRUE(),IF(Events!$A$2:$A$397=$A281,Events!$E$2:$E$397&amp;IF(Events!$G$2:$G$397="National",""," ["&amp;Events!$G$2:$G$397&amp;"]"),""))</f>
        <v/>
      </c>
    </row>
    <row r="282" customFormat="false" ht="15" hidden="false" customHeight="true" outlineLevel="0" collapsed="false">
      <c r="A282" s="3" t="n">
        <v>45572</v>
      </c>
      <c r="B282" s="4" t="n">
        <f aca="false">YEAR($A282)</f>
        <v>2024</v>
      </c>
      <c r="C282" s="4" t="n">
        <f aca="false">MONTH($A282)</f>
        <v>10</v>
      </c>
      <c r="D282" s="4" t="str">
        <f aca="false">TEXT($A282,"ddd")</f>
        <v>Mon</v>
      </c>
      <c r="E282" s="4" t="n">
        <f aca="false">IF(OR(AND(MONTH($A282)=10,DAY($A282)&gt;=15),MONTH($A282)=11,AND(MONTH($A282)=12,DAY($A282)&lt;=7)),1,0)</f>
        <v>0</v>
      </c>
      <c r="F282" s="4" t="n">
        <f aca="false">IF(MONTH($A282)&lt;=3,1,0)</f>
        <v>0</v>
      </c>
      <c r="G282" s="4" t="str">
        <f aca="false" t="array" ref="G282: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4" t="n">
        <f aca="false">COUNTIF(Events!$A$2:$A$397,$A282)</f>
        <v>0</v>
      </c>
      <c r="I282" s="6" t="str">
        <f aca="false" t="array" ref="I282:I282">_xlfn.TEXTJOIN(" | ",TRUE(),IF(Events!$A$2:$A$397=$A282,Events!$E$2:$E$397&amp;IF(Events!$G$2:$G$397="National",""," ["&amp;Events!$G$2:$G$397&amp;"]"),""))</f>
        <v/>
      </c>
    </row>
    <row r="283" customFormat="false" ht="15" hidden="false" customHeight="true" outlineLevel="0" collapsed="false">
      <c r="A283" s="3" t="n">
        <v>45573</v>
      </c>
      <c r="B283" s="4" t="n">
        <f aca="false">YEAR($A283)</f>
        <v>2024</v>
      </c>
      <c r="C283" s="4" t="n">
        <f aca="false">MONTH($A283)</f>
        <v>10</v>
      </c>
      <c r="D283" s="4" t="str">
        <f aca="false">TEXT($A283,"ddd")</f>
        <v>Tue</v>
      </c>
      <c r="E283" s="4" t="n">
        <f aca="false">IF(OR(AND(MONTH($A283)=10,DAY($A283)&gt;=15),MONTH($A283)=11,AND(MONTH($A283)=12,DAY($A283)&lt;=7)),1,0)</f>
        <v>0</v>
      </c>
      <c r="F283" s="4" t="n">
        <f aca="false">IF(MONTH($A283)&lt;=3,1,0)</f>
        <v>0</v>
      </c>
      <c r="G283" s="4" t="str">
        <f aca="false" t="array" ref="G283: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4" t="n">
        <f aca="false">COUNTIF(Events!$A$2:$A$397,$A283)</f>
        <v>0</v>
      </c>
      <c r="I283" s="6" t="str">
        <f aca="false" t="array" ref="I283:I283">_xlfn.TEXTJOIN(" | ",TRUE(),IF(Events!$A$2:$A$397=$A283,Events!$E$2:$E$397&amp;IF(Events!$G$2:$G$397="National",""," ["&amp;Events!$G$2:$G$397&amp;"]"),""))</f>
        <v/>
      </c>
    </row>
    <row r="284" customFormat="false" ht="15" hidden="false" customHeight="true" outlineLevel="0" collapsed="false">
      <c r="A284" s="3" t="n">
        <v>45574</v>
      </c>
      <c r="B284" s="4" t="n">
        <f aca="false">YEAR($A284)</f>
        <v>2024</v>
      </c>
      <c r="C284" s="4" t="n">
        <f aca="false">MONTH($A284)</f>
        <v>10</v>
      </c>
      <c r="D284" s="4" t="str">
        <f aca="false">TEXT($A284,"ddd")</f>
        <v>Wed</v>
      </c>
      <c r="E284" s="4" t="n">
        <f aca="false">IF(OR(AND(MONTH($A284)=10,DAY($A284)&gt;=15),MONTH($A284)=11,AND(MONTH($A284)=12,DAY($A284)&lt;=7)),1,0)</f>
        <v>0</v>
      </c>
      <c r="F284" s="4" t="n">
        <f aca="false">IF(MONTH($A284)&lt;=3,1,0)</f>
        <v>0</v>
      </c>
      <c r="G284" s="4" t="str">
        <f aca="false" t="array" ref="G284: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4" t="n">
        <f aca="false">COUNTIF(Events!$A$2:$A$397,$A284)</f>
        <v>0</v>
      </c>
      <c r="I284" s="6" t="str">
        <f aca="false" t="array" ref="I284:I284">_xlfn.TEXTJOIN(" | ",TRUE(),IF(Events!$A$2:$A$397=$A284,Events!$E$2:$E$397&amp;IF(Events!$G$2:$G$397="National",""," ["&amp;Events!$G$2:$G$397&amp;"]"),""))</f>
        <v/>
      </c>
    </row>
    <row r="285" customFormat="false" ht="15" hidden="false" customHeight="true" outlineLevel="0" collapsed="false">
      <c r="A285" s="3" t="n">
        <v>45575</v>
      </c>
      <c r="B285" s="4" t="n">
        <f aca="false">YEAR($A285)</f>
        <v>2024</v>
      </c>
      <c r="C285" s="4" t="n">
        <f aca="false">MONTH($A285)</f>
        <v>10</v>
      </c>
      <c r="D285" s="4" t="str">
        <f aca="false">TEXT($A285,"ddd")</f>
        <v>Thu</v>
      </c>
      <c r="E285" s="4" t="n">
        <f aca="false">IF(OR(AND(MONTH($A285)=10,DAY($A285)&gt;=15),MONTH($A285)=11,AND(MONTH($A285)=12,DAY($A285)&lt;=7)),1,0)</f>
        <v>0</v>
      </c>
      <c r="F285" s="4" t="n">
        <f aca="false">IF(MONTH($A285)&lt;=3,1,0)</f>
        <v>0</v>
      </c>
      <c r="G285" s="4" t="str">
        <f aca="false" t="array" ref="G285: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4" t="n">
        <f aca="false">COUNTIF(Events!$A$2:$A$397,$A285)</f>
        <v>1</v>
      </c>
      <c r="I285" s="6" t="str">
        <f aca="false" t="array" ref="I285:I285">_xlfn.TEXTJOIN(" | ",TRUE(),IF(Events!$A$2:$A$397=$A285,Events!$E$2:$E$397&amp;IF(Events!$G$2:$G$397="National",""," ["&amp;Events!$G$2:$G$397&amp;"]"),""))</f>
        <v>2025 Star Ratings published on Medicare Plan Finder: sharp industry decline - only 7 MA-PD contracts earned 5 stars (vs 38 for 2024); avg rating fell to ~3.92; drives 2026 quality bonus payments</v>
      </c>
    </row>
    <row r="286" customFormat="false" ht="15" hidden="false" customHeight="true" outlineLevel="0" collapsed="false">
      <c r="A286" s="3" t="n">
        <v>45576</v>
      </c>
      <c r="B286" s="4" t="n">
        <f aca="false">YEAR($A286)</f>
        <v>2024</v>
      </c>
      <c r="C286" s="4" t="n">
        <f aca="false">MONTH($A286)</f>
        <v>10</v>
      </c>
      <c r="D286" s="4" t="str">
        <f aca="false">TEXT($A286,"ddd")</f>
        <v>Fri</v>
      </c>
      <c r="E286" s="4" t="n">
        <f aca="false">IF(OR(AND(MONTH($A286)=10,DAY($A286)&gt;=15),MONTH($A286)=11,AND(MONTH($A286)=12,DAY($A286)&lt;=7)),1,0)</f>
        <v>0</v>
      </c>
      <c r="F286" s="4" t="n">
        <f aca="false">IF(MONTH($A286)&lt;=3,1,0)</f>
        <v>0</v>
      </c>
      <c r="G286" s="4" t="str">
        <f aca="false" t="array" ref="G286: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4" t="n">
        <f aca="false">COUNTIF(Events!$A$2:$A$397,$A286)</f>
        <v>0</v>
      </c>
      <c r="I286" s="6" t="str">
        <f aca="false" t="array" ref="I286:I286">_xlfn.TEXTJOIN(" | ",TRUE(),IF(Events!$A$2:$A$397=$A286,Events!$E$2:$E$397&amp;IF(Events!$G$2:$G$397="National",""," ["&amp;Events!$G$2:$G$397&amp;"]"),""))</f>
        <v/>
      </c>
    </row>
    <row r="287" customFormat="false" ht="15" hidden="false" customHeight="true" outlineLevel="0" collapsed="false">
      <c r="A287" s="3" t="n">
        <v>45577</v>
      </c>
      <c r="B287" s="4" t="n">
        <f aca="false">YEAR($A287)</f>
        <v>2024</v>
      </c>
      <c r="C287" s="4" t="n">
        <f aca="false">MONTH($A287)</f>
        <v>10</v>
      </c>
      <c r="D287" s="4" t="str">
        <f aca="false">TEXT($A287,"ddd")</f>
        <v>Sat</v>
      </c>
      <c r="E287" s="4" t="n">
        <f aca="false">IF(OR(AND(MONTH($A287)=10,DAY($A287)&gt;=15),MONTH($A287)=11,AND(MONTH($A287)=12,DAY($A287)&lt;=7)),1,0)</f>
        <v>0</v>
      </c>
      <c r="F287" s="4" t="n">
        <f aca="false">IF(MONTH($A287)&lt;=3,1,0)</f>
        <v>0</v>
      </c>
      <c r="G287" s="4" t="str">
        <f aca="false" t="array" ref="G287: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4" t="n">
        <f aca="false">COUNTIF(Events!$A$2:$A$397,$A287)</f>
        <v>0</v>
      </c>
      <c r="I287" s="6" t="str">
        <f aca="false" t="array" ref="I287:I287">_xlfn.TEXTJOIN(" | ",TRUE(),IF(Events!$A$2:$A$397=$A287,Events!$E$2:$E$397&amp;IF(Events!$G$2:$G$397="National",""," ["&amp;Events!$G$2:$G$397&amp;"]"),""))</f>
        <v/>
      </c>
    </row>
    <row r="288" customFormat="false" ht="15" hidden="false" customHeight="true" outlineLevel="0" collapsed="false">
      <c r="A288" s="3" t="n">
        <v>45578</v>
      </c>
      <c r="B288" s="4" t="n">
        <f aca="false">YEAR($A288)</f>
        <v>2024</v>
      </c>
      <c r="C288" s="4" t="n">
        <f aca="false">MONTH($A288)</f>
        <v>10</v>
      </c>
      <c r="D288" s="4" t="str">
        <f aca="false">TEXT($A288,"ddd")</f>
        <v>Sun</v>
      </c>
      <c r="E288" s="4" t="n">
        <f aca="false">IF(OR(AND(MONTH($A288)=10,DAY($A288)&gt;=15),MONTH($A288)=11,AND(MONTH($A288)=12,DAY($A288)&lt;=7)),1,0)</f>
        <v>0</v>
      </c>
      <c r="F288" s="4" t="n">
        <f aca="false">IF(MONTH($A288)&lt;=3,1,0)</f>
        <v>0</v>
      </c>
      <c r="G288" s="4" t="str">
        <f aca="false" t="array" ref="G288: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4" t="n">
        <f aca="false">COUNTIF(Events!$A$2:$A$397,$A288)</f>
        <v>0</v>
      </c>
      <c r="I288" s="6" t="str">
        <f aca="false" t="array" ref="I288:I288">_xlfn.TEXTJOIN(" | ",TRUE(),IF(Events!$A$2:$A$397=$A288,Events!$E$2:$E$397&amp;IF(Events!$G$2:$G$397="National",""," ["&amp;Events!$G$2:$G$397&amp;"]"),""))</f>
        <v/>
      </c>
    </row>
    <row r="289" customFormat="false" ht="15" hidden="false" customHeight="true" outlineLevel="0" collapsed="false">
      <c r="A289" s="3" t="n">
        <v>45579</v>
      </c>
      <c r="B289" s="4" t="n">
        <f aca="false">YEAR($A289)</f>
        <v>2024</v>
      </c>
      <c r="C289" s="4" t="n">
        <f aca="false">MONTH($A289)</f>
        <v>10</v>
      </c>
      <c r="D289" s="4" t="str">
        <f aca="false">TEXT($A289,"ddd")</f>
        <v>Mon</v>
      </c>
      <c r="E289" s="4" t="n">
        <f aca="false">IF(OR(AND(MONTH($A289)=10,DAY($A289)&gt;=15),MONTH($A289)=11,AND(MONTH($A289)=12,DAY($A289)&lt;=7)),1,0)</f>
        <v>0</v>
      </c>
      <c r="F289" s="4" t="n">
        <f aca="false">IF(MONTH($A289)&lt;=3,1,0)</f>
        <v>0</v>
      </c>
      <c r="G289" s="4" t="str">
        <f aca="false" t="array" ref="G289: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4" t="n">
        <f aca="false">COUNTIF(Events!$A$2:$A$397,$A289)</f>
        <v>0</v>
      </c>
      <c r="I289" s="6" t="str">
        <f aca="false" t="array" ref="I289:I289">_xlfn.TEXTJOIN(" | ",TRUE(),IF(Events!$A$2:$A$397=$A289,Events!$E$2:$E$397&amp;IF(Events!$G$2:$G$397="National",""," ["&amp;Events!$G$2:$G$397&amp;"]"),""))</f>
        <v/>
      </c>
    </row>
    <row r="290" customFormat="false" ht="15" hidden="false" customHeight="true" outlineLevel="0" collapsed="false">
      <c r="A290" s="3" t="n">
        <v>45580</v>
      </c>
      <c r="B290" s="4" t="n">
        <f aca="false">YEAR($A290)</f>
        <v>2024</v>
      </c>
      <c r="C290" s="4" t="n">
        <f aca="false">MONTH($A290)</f>
        <v>10</v>
      </c>
      <c r="D290" s="4" t="str">
        <f aca="false">TEXT($A290,"ddd")</f>
        <v>Tue</v>
      </c>
      <c r="E290" s="4" t="n">
        <f aca="false">IF(OR(AND(MONTH($A290)=10,DAY($A290)&gt;=15),MONTH($A290)=11,AND(MONTH($A290)=12,DAY($A290)&lt;=7)),1,0)</f>
        <v>1</v>
      </c>
      <c r="F290" s="4" t="n">
        <f aca="false">IF(MONTH($A290)&lt;=3,1,0)</f>
        <v>0</v>
      </c>
      <c r="G290" s="4" t="str">
        <f aca="false" t="array" ref="G290: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4" t="n">
        <f aca="false">COUNTIF(Events!$A$2:$A$397,$A290)</f>
        <v>0</v>
      </c>
      <c r="I290" s="6" t="str">
        <f aca="false" t="array" ref="I290:I290">_xlfn.TEXTJOIN(" | ",TRUE(),IF(Events!$A$2:$A$397=$A290,Events!$E$2:$E$397&amp;IF(Events!$G$2:$G$397="National",""," ["&amp;Events!$G$2:$G$397&amp;"]"),""))</f>
        <v/>
      </c>
    </row>
    <row r="291" customFormat="false" ht="15" hidden="false" customHeight="true" outlineLevel="0" collapsed="false">
      <c r="A291" s="3" t="n">
        <v>45581</v>
      </c>
      <c r="B291" s="4" t="n">
        <f aca="false">YEAR($A291)</f>
        <v>2024</v>
      </c>
      <c r="C291" s="4" t="n">
        <f aca="false">MONTH($A291)</f>
        <v>10</v>
      </c>
      <c r="D291" s="4" t="str">
        <f aca="false">TEXT($A291,"ddd")</f>
        <v>Wed</v>
      </c>
      <c r="E291" s="4" t="n">
        <f aca="false">IF(OR(AND(MONTH($A291)=10,DAY($A291)&gt;=15),MONTH($A291)=11,AND(MONTH($A291)=12,DAY($A291)&lt;=7)),1,0)</f>
        <v>1</v>
      </c>
      <c r="F291" s="4" t="n">
        <f aca="false">IF(MONTH($A291)&lt;=3,1,0)</f>
        <v>0</v>
      </c>
      <c r="G291" s="4" t="str">
        <f aca="false" t="array" ref="G291: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4" t="n">
        <f aca="false">COUNTIF(Events!$A$2:$A$397,$A291)</f>
        <v>0</v>
      </c>
      <c r="I291" s="6" t="str">
        <f aca="false" t="array" ref="I291:I291">_xlfn.TEXTJOIN(" | ",TRUE(),IF(Events!$A$2:$A$397=$A291,Events!$E$2:$E$397&amp;IF(Events!$G$2:$G$397="National",""," ["&amp;Events!$G$2:$G$397&amp;"]"),""))</f>
        <v/>
      </c>
    </row>
    <row r="292" customFormat="false" ht="15" hidden="false" customHeight="true" outlineLevel="0" collapsed="false">
      <c r="A292" s="3" t="n">
        <v>45582</v>
      </c>
      <c r="B292" s="4" t="n">
        <f aca="false">YEAR($A292)</f>
        <v>2024</v>
      </c>
      <c r="C292" s="4" t="n">
        <f aca="false">MONTH($A292)</f>
        <v>10</v>
      </c>
      <c r="D292" s="4" t="str">
        <f aca="false">TEXT($A292,"ddd")</f>
        <v>Thu</v>
      </c>
      <c r="E292" s="4" t="n">
        <f aca="false">IF(OR(AND(MONTH($A292)=10,DAY($A292)&gt;=15),MONTH($A292)=11,AND(MONTH($A292)=12,DAY($A292)&lt;=7)),1,0)</f>
        <v>1</v>
      </c>
      <c r="F292" s="4" t="n">
        <f aca="false">IF(MONTH($A292)&lt;=3,1,0)</f>
        <v>0</v>
      </c>
      <c r="G292" s="4" t="str">
        <f aca="false" t="array" ref="G292: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4" t="n">
        <f aca="false">COUNTIF(Events!$A$2:$A$397,$A292)</f>
        <v>0</v>
      </c>
      <c r="I292" s="6" t="str">
        <f aca="false" t="array" ref="I292:I292">_xlfn.TEXTJOIN(" | ",TRUE(),IF(Events!$A$2:$A$397=$A292,Events!$E$2:$E$397&amp;IF(Events!$G$2:$G$397="National",""," ["&amp;Events!$G$2:$G$397&amp;"]"),""))</f>
        <v/>
      </c>
    </row>
    <row r="293" customFormat="false" ht="15" hidden="false" customHeight="true" outlineLevel="0" collapsed="false">
      <c r="A293" s="3" t="n">
        <v>45583</v>
      </c>
      <c r="B293" s="4" t="n">
        <f aca="false">YEAR($A293)</f>
        <v>2024</v>
      </c>
      <c r="C293" s="4" t="n">
        <f aca="false">MONTH($A293)</f>
        <v>10</v>
      </c>
      <c r="D293" s="4" t="str">
        <f aca="false">TEXT($A293,"ddd")</f>
        <v>Fri</v>
      </c>
      <c r="E293" s="4" t="n">
        <f aca="false">IF(OR(AND(MONTH($A293)=10,DAY($A293)&gt;=15),MONTH($A293)=11,AND(MONTH($A293)=12,DAY($A293)&lt;=7)),1,0)</f>
        <v>1</v>
      </c>
      <c r="F293" s="4" t="n">
        <f aca="false">IF(MONTH($A293)&lt;=3,1,0)</f>
        <v>0</v>
      </c>
      <c r="G293" s="4" t="str">
        <f aca="false" t="array" ref="G293: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4" t="n">
        <f aca="false">COUNTIF(Events!$A$2:$A$397,$A293)</f>
        <v>0</v>
      </c>
      <c r="I293" s="6" t="str">
        <f aca="false" t="array" ref="I293:I293">_xlfn.TEXTJOIN(" | ",TRUE(),IF(Events!$A$2:$A$397=$A293,Events!$E$2:$E$397&amp;IF(Events!$G$2:$G$397="National",""," ["&amp;Events!$G$2:$G$397&amp;"]"),""))</f>
        <v/>
      </c>
    </row>
    <row r="294" customFormat="false" ht="15" hidden="false" customHeight="true" outlineLevel="0" collapsed="false">
      <c r="A294" s="3" t="n">
        <v>45584</v>
      </c>
      <c r="B294" s="4" t="n">
        <f aca="false">YEAR($A294)</f>
        <v>2024</v>
      </c>
      <c r="C294" s="4" t="n">
        <f aca="false">MONTH($A294)</f>
        <v>10</v>
      </c>
      <c r="D294" s="4" t="str">
        <f aca="false">TEXT($A294,"ddd")</f>
        <v>Sat</v>
      </c>
      <c r="E294" s="4" t="n">
        <f aca="false">IF(OR(AND(MONTH($A294)=10,DAY($A294)&gt;=15),MONTH($A294)=11,AND(MONTH($A294)=12,DAY($A294)&lt;=7)),1,0)</f>
        <v>1</v>
      </c>
      <c r="F294" s="4" t="n">
        <f aca="false">IF(MONTH($A294)&lt;=3,1,0)</f>
        <v>0</v>
      </c>
      <c r="G294" s="4" t="str">
        <f aca="false" t="array" ref="G294: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4" t="n">
        <f aca="false">COUNTIF(Events!$A$2:$A$397,$A294)</f>
        <v>0</v>
      </c>
      <c r="I294" s="6" t="str">
        <f aca="false" t="array" ref="I294:I294">_xlfn.TEXTJOIN(" | ",TRUE(),IF(Events!$A$2:$A$397=$A294,Events!$E$2:$E$397&amp;IF(Events!$G$2:$G$397="National",""," ["&amp;Events!$G$2:$G$397&amp;"]"),""))</f>
        <v/>
      </c>
    </row>
    <row r="295" customFormat="false" ht="15" hidden="false" customHeight="true" outlineLevel="0" collapsed="false">
      <c r="A295" s="3" t="n">
        <v>45585</v>
      </c>
      <c r="B295" s="4" t="n">
        <f aca="false">YEAR($A295)</f>
        <v>2024</v>
      </c>
      <c r="C295" s="4" t="n">
        <f aca="false">MONTH($A295)</f>
        <v>10</v>
      </c>
      <c r="D295" s="4" t="str">
        <f aca="false">TEXT($A295,"ddd")</f>
        <v>Sun</v>
      </c>
      <c r="E295" s="4" t="n">
        <f aca="false">IF(OR(AND(MONTH($A295)=10,DAY($A295)&gt;=15),MONTH($A295)=11,AND(MONTH($A295)=12,DAY($A295)&lt;=7)),1,0)</f>
        <v>1</v>
      </c>
      <c r="F295" s="4" t="n">
        <f aca="false">IF(MONTH($A295)&lt;=3,1,0)</f>
        <v>0</v>
      </c>
      <c r="G295" s="4" t="str">
        <f aca="false" t="array" ref="G295: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4" t="n">
        <f aca="false">COUNTIF(Events!$A$2:$A$397,$A295)</f>
        <v>0</v>
      </c>
      <c r="I295" s="6" t="str">
        <f aca="false" t="array" ref="I295:I295">_xlfn.TEXTJOIN(" | ",TRUE(),IF(Events!$A$2:$A$397=$A295,Events!$E$2:$E$397&amp;IF(Events!$G$2:$G$397="National",""," ["&amp;Events!$G$2:$G$397&amp;"]"),""))</f>
        <v/>
      </c>
    </row>
    <row r="296" customFormat="false" ht="15" hidden="false" customHeight="true" outlineLevel="0" collapsed="false">
      <c r="A296" s="3" t="n">
        <v>45586</v>
      </c>
      <c r="B296" s="4" t="n">
        <f aca="false">YEAR($A296)</f>
        <v>2024</v>
      </c>
      <c r="C296" s="4" t="n">
        <f aca="false">MONTH($A296)</f>
        <v>10</v>
      </c>
      <c r="D296" s="4" t="str">
        <f aca="false">TEXT($A296,"ddd")</f>
        <v>Mon</v>
      </c>
      <c r="E296" s="4" t="n">
        <f aca="false">IF(OR(AND(MONTH($A296)=10,DAY($A296)&gt;=15),MONTH($A296)=11,AND(MONTH($A296)=12,DAY($A296)&lt;=7)),1,0)</f>
        <v>1</v>
      </c>
      <c r="F296" s="4" t="n">
        <f aca="false">IF(MONTH($A296)&lt;=3,1,0)</f>
        <v>0</v>
      </c>
      <c r="G296" s="4" t="str">
        <f aca="false" t="array" ref="G296: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4" t="n">
        <f aca="false">COUNTIF(Events!$A$2:$A$397,$A296)</f>
        <v>0</v>
      </c>
      <c r="I296" s="6" t="str">
        <f aca="false" t="array" ref="I296:I296">_xlfn.TEXTJOIN(" | ",TRUE(),IF(Events!$A$2:$A$397=$A296,Events!$E$2:$E$397&amp;IF(Events!$G$2:$G$397="National",""," ["&amp;Events!$G$2:$G$397&amp;"]"),""))</f>
        <v/>
      </c>
    </row>
    <row r="297" customFormat="false" ht="15" hidden="false" customHeight="true" outlineLevel="0" collapsed="false">
      <c r="A297" s="3" t="n">
        <v>45587</v>
      </c>
      <c r="B297" s="4" t="n">
        <f aca="false">YEAR($A297)</f>
        <v>2024</v>
      </c>
      <c r="C297" s="4" t="n">
        <f aca="false">MONTH($A297)</f>
        <v>10</v>
      </c>
      <c r="D297" s="4" t="str">
        <f aca="false">TEXT($A297,"ddd")</f>
        <v>Tue</v>
      </c>
      <c r="E297" s="4" t="n">
        <f aca="false">IF(OR(AND(MONTH($A297)=10,DAY($A297)&gt;=15),MONTH($A297)=11,AND(MONTH($A297)=12,DAY($A297)&lt;=7)),1,0)</f>
        <v>1</v>
      </c>
      <c r="F297" s="4" t="n">
        <f aca="false">IF(MONTH($A297)&lt;=3,1,0)</f>
        <v>0</v>
      </c>
      <c r="G297" s="4" t="str">
        <f aca="false" t="array" ref="G297: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4" t="n">
        <f aca="false">COUNTIF(Events!$A$2:$A$397,$A297)</f>
        <v>0</v>
      </c>
      <c r="I297" s="6" t="str">
        <f aca="false" t="array" ref="I297:I297">_xlfn.TEXTJOIN(" | ",TRUE(),IF(Events!$A$2:$A$397=$A297,Events!$E$2:$E$397&amp;IF(Events!$G$2:$G$397="National",""," ["&amp;Events!$G$2:$G$397&amp;"]"),""))</f>
        <v/>
      </c>
    </row>
    <row r="298" customFormat="false" ht="15" hidden="false" customHeight="true" outlineLevel="0" collapsed="false">
      <c r="A298" s="3" t="n">
        <v>45588</v>
      </c>
      <c r="B298" s="4" t="n">
        <f aca="false">YEAR($A298)</f>
        <v>2024</v>
      </c>
      <c r="C298" s="4" t="n">
        <f aca="false">MONTH($A298)</f>
        <v>10</v>
      </c>
      <c r="D298" s="4" t="str">
        <f aca="false">TEXT($A298,"ddd")</f>
        <v>Wed</v>
      </c>
      <c r="E298" s="4" t="n">
        <f aca="false">IF(OR(AND(MONTH($A298)=10,DAY($A298)&gt;=15),MONTH($A298)=11,AND(MONTH($A298)=12,DAY($A298)&lt;=7)),1,0)</f>
        <v>1</v>
      </c>
      <c r="F298" s="4" t="n">
        <f aca="false">IF(MONTH($A298)&lt;=3,1,0)</f>
        <v>0</v>
      </c>
      <c r="G298" s="4" t="str">
        <f aca="false" t="array" ref="G298: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4" t="n">
        <f aca="false">COUNTIF(Events!$A$2:$A$397,$A298)</f>
        <v>0</v>
      </c>
      <c r="I298" s="6" t="str">
        <f aca="false" t="array" ref="I298:I298">_xlfn.TEXTJOIN(" | ",TRUE(),IF(Events!$A$2:$A$397=$A298,Events!$E$2:$E$397&amp;IF(Events!$G$2:$G$397="National",""," ["&amp;Events!$G$2:$G$397&amp;"]"),""))</f>
        <v/>
      </c>
    </row>
    <row r="299" customFormat="false" ht="15" hidden="false" customHeight="true" outlineLevel="0" collapsed="false">
      <c r="A299" s="3" t="n">
        <v>45589</v>
      </c>
      <c r="B299" s="4" t="n">
        <f aca="false">YEAR($A299)</f>
        <v>2024</v>
      </c>
      <c r="C299" s="4" t="n">
        <f aca="false">MONTH($A299)</f>
        <v>10</v>
      </c>
      <c r="D299" s="4" t="str">
        <f aca="false">TEXT($A299,"ddd")</f>
        <v>Thu</v>
      </c>
      <c r="E299" s="4" t="n">
        <f aca="false">IF(OR(AND(MONTH($A299)=10,DAY($A299)&gt;=15),MONTH($A299)=11,AND(MONTH($A299)=12,DAY($A299)&lt;=7)),1,0)</f>
        <v>1</v>
      </c>
      <c r="F299" s="4" t="n">
        <f aca="false">IF(MONTH($A299)&lt;=3,1,0)</f>
        <v>0</v>
      </c>
      <c r="G299" s="4" t="str">
        <f aca="false" t="array" ref="G299: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4" t="n">
        <f aca="false">COUNTIF(Events!$A$2:$A$397,$A299)</f>
        <v>0</v>
      </c>
      <c r="I299" s="6" t="str">
        <f aca="false" t="array" ref="I299:I299">_xlfn.TEXTJOIN(" | ",TRUE(),IF(Events!$A$2:$A$397=$A299,Events!$E$2:$E$397&amp;IF(Events!$G$2:$G$397="National",""," ["&amp;Events!$G$2:$G$397&amp;"]"),""))</f>
        <v/>
      </c>
    </row>
    <row r="300" customFormat="false" ht="15" hidden="false" customHeight="true" outlineLevel="0" collapsed="false">
      <c r="A300" s="3" t="n">
        <v>45590</v>
      </c>
      <c r="B300" s="4" t="n">
        <f aca="false">YEAR($A300)</f>
        <v>2024</v>
      </c>
      <c r="C300" s="4" t="n">
        <f aca="false">MONTH($A300)</f>
        <v>10</v>
      </c>
      <c r="D300" s="4" t="str">
        <f aca="false">TEXT($A300,"ddd")</f>
        <v>Fri</v>
      </c>
      <c r="E300" s="4" t="n">
        <f aca="false">IF(OR(AND(MONTH($A300)=10,DAY($A300)&gt;=15),MONTH($A300)=11,AND(MONTH($A300)=12,DAY($A300)&lt;=7)),1,0)</f>
        <v>1</v>
      </c>
      <c r="F300" s="4" t="n">
        <f aca="false">IF(MONTH($A300)&lt;=3,1,0)</f>
        <v>0</v>
      </c>
      <c r="G300" s="4" t="str">
        <f aca="false" t="array" ref="G300: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4" t="n">
        <f aca="false">COUNTIF(Events!$A$2:$A$397,$A300)</f>
        <v>0</v>
      </c>
      <c r="I300" s="6" t="str">
        <f aca="false" t="array" ref="I300:I300">_xlfn.TEXTJOIN(" | ",TRUE(),IF(Events!$A$2:$A$397=$A300,Events!$E$2:$E$397&amp;IF(Events!$G$2:$G$397="National",""," ["&amp;Events!$G$2:$G$397&amp;"]"),""))</f>
        <v/>
      </c>
    </row>
    <row r="301" customFormat="false" ht="15" hidden="false" customHeight="true" outlineLevel="0" collapsed="false">
      <c r="A301" s="3" t="n">
        <v>45591</v>
      </c>
      <c r="B301" s="4" t="n">
        <f aca="false">YEAR($A301)</f>
        <v>2024</v>
      </c>
      <c r="C301" s="4" t="n">
        <f aca="false">MONTH($A301)</f>
        <v>10</v>
      </c>
      <c r="D301" s="4" t="str">
        <f aca="false">TEXT($A301,"ddd")</f>
        <v>Sat</v>
      </c>
      <c r="E301" s="4" t="n">
        <f aca="false">IF(OR(AND(MONTH($A301)=10,DAY($A301)&gt;=15),MONTH($A301)=11,AND(MONTH($A301)=12,DAY($A301)&lt;=7)),1,0)</f>
        <v>1</v>
      </c>
      <c r="F301" s="4" t="n">
        <f aca="false">IF(MONTH($A301)&lt;=3,1,0)</f>
        <v>0</v>
      </c>
      <c r="G301" s="4" t="str">
        <f aca="false" t="array" ref="G301: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4" t="n">
        <f aca="false">COUNTIF(Events!$A$2:$A$397,$A301)</f>
        <v>0</v>
      </c>
      <c r="I301" s="6" t="str">
        <f aca="false" t="array" ref="I301:I301">_xlfn.TEXTJOIN(" | ",TRUE(),IF(Events!$A$2:$A$397=$A301,Events!$E$2:$E$397&amp;IF(Events!$G$2:$G$397="National",""," ["&amp;Events!$G$2:$G$397&amp;"]"),""))</f>
        <v/>
      </c>
    </row>
    <row r="302" customFormat="false" ht="15" hidden="false" customHeight="true" outlineLevel="0" collapsed="false">
      <c r="A302" s="3" t="n">
        <v>45592</v>
      </c>
      <c r="B302" s="4" t="n">
        <f aca="false">YEAR($A302)</f>
        <v>2024</v>
      </c>
      <c r="C302" s="4" t="n">
        <f aca="false">MONTH($A302)</f>
        <v>10</v>
      </c>
      <c r="D302" s="4" t="str">
        <f aca="false">TEXT($A302,"ddd")</f>
        <v>Sun</v>
      </c>
      <c r="E302" s="4" t="n">
        <f aca="false">IF(OR(AND(MONTH($A302)=10,DAY($A302)&gt;=15),MONTH($A302)=11,AND(MONTH($A302)=12,DAY($A302)&lt;=7)),1,0)</f>
        <v>1</v>
      </c>
      <c r="F302" s="4" t="n">
        <f aca="false">IF(MONTH($A302)&lt;=3,1,0)</f>
        <v>0</v>
      </c>
      <c r="G302" s="4" t="str">
        <f aca="false" t="array" ref="G302: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4" t="n">
        <f aca="false">COUNTIF(Events!$A$2:$A$397,$A302)</f>
        <v>0</v>
      </c>
      <c r="I302" s="6" t="str">
        <f aca="false" t="array" ref="I302:I302">_xlfn.TEXTJOIN(" | ",TRUE(),IF(Events!$A$2:$A$397=$A302,Events!$E$2:$E$397&amp;IF(Events!$G$2:$G$397="National",""," ["&amp;Events!$G$2:$G$397&amp;"]"),""))</f>
        <v/>
      </c>
    </row>
    <row r="303" customFormat="false" ht="15" hidden="false" customHeight="true" outlineLevel="0" collapsed="false">
      <c r="A303" s="3" t="n">
        <v>45593</v>
      </c>
      <c r="B303" s="4" t="n">
        <f aca="false">YEAR($A303)</f>
        <v>2024</v>
      </c>
      <c r="C303" s="4" t="n">
        <f aca="false">MONTH($A303)</f>
        <v>10</v>
      </c>
      <c r="D303" s="4" t="str">
        <f aca="false">TEXT($A303,"ddd")</f>
        <v>Mon</v>
      </c>
      <c r="E303" s="4" t="n">
        <f aca="false">IF(OR(AND(MONTH($A303)=10,DAY($A303)&gt;=15),MONTH($A303)=11,AND(MONTH($A303)=12,DAY($A303)&lt;=7)),1,0)</f>
        <v>1</v>
      </c>
      <c r="F303" s="4" t="n">
        <f aca="false">IF(MONTH($A303)&lt;=3,1,0)</f>
        <v>0</v>
      </c>
      <c r="G303" s="4" t="str">
        <f aca="false" t="array" ref="G303: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4" t="n">
        <f aca="false">COUNTIF(Events!$A$2:$A$397,$A303)</f>
        <v>0</v>
      </c>
      <c r="I303" s="6" t="str">
        <f aca="false" t="array" ref="I303:I303">_xlfn.TEXTJOIN(" | ",TRUE(),IF(Events!$A$2:$A$397=$A303,Events!$E$2:$E$397&amp;IF(Events!$G$2:$G$397="National",""," ["&amp;Events!$G$2:$G$397&amp;"]"),""))</f>
        <v/>
      </c>
    </row>
    <row r="304" customFormat="false" ht="15" hidden="false" customHeight="true" outlineLevel="0" collapsed="false">
      <c r="A304" s="3" t="n">
        <v>45594</v>
      </c>
      <c r="B304" s="4" t="n">
        <f aca="false">YEAR($A304)</f>
        <v>2024</v>
      </c>
      <c r="C304" s="4" t="n">
        <f aca="false">MONTH($A304)</f>
        <v>10</v>
      </c>
      <c r="D304" s="4" t="str">
        <f aca="false">TEXT($A304,"ddd")</f>
        <v>Tue</v>
      </c>
      <c r="E304" s="4" t="n">
        <f aca="false">IF(OR(AND(MONTH($A304)=10,DAY($A304)&gt;=15),MONTH($A304)=11,AND(MONTH($A304)=12,DAY($A304)&lt;=7)),1,0)</f>
        <v>1</v>
      </c>
      <c r="F304" s="4" t="n">
        <f aca="false">IF(MONTH($A304)&lt;=3,1,0)</f>
        <v>0</v>
      </c>
      <c r="G304" s="4" t="str">
        <f aca="false" t="array" ref="G304: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4" t="n">
        <f aca="false">COUNTIF(Events!$A$2:$A$397,$A304)</f>
        <v>0</v>
      </c>
      <c r="I304" s="6" t="str">
        <f aca="false" t="array" ref="I304:I304">_xlfn.TEXTJOIN(" | ",TRUE(),IF(Events!$A$2:$A$397=$A304,Events!$E$2:$E$397&amp;IF(Events!$G$2:$G$397="National",""," ["&amp;Events!$G$2:$G$397&amp;"]"),""))</f>
        <v/>
      </c>
    </row>
    <row r="305" customFormat="false" ht="15" hidden="false" customHeight="true" outlineLevel="0" collapsed="false">
      <c r="A305" s="3" t="n">
        <v>45595</v>
      </c>
      <c r="B305" s="4" t="n">
        <f aca="false">YEAR($A305)</f>
        <v>2024</v>
      </c>
      <c r="C305" s="4" t="n">
        <f aca="false">MONTH($A305)</f>
        <v>10</v>
      </c>
      <c r="D305" s="4" t="str">
        <f aca="false">TEXT($A305,"ddd")</f>
        <v>Wed</v>
      </c>
      <c r="E305" s="4" t="n">
        <f aca="false">IF(OR(AND(MONTH($A305)=10,DAY($A305)&gt;=15),MONTH($A305)=11,AND(MONTH($A305)=12,DAY($A305)&lt;=7)),1,0)</f>
        <v>1</v>
      </c>
      <c r="F305" s="4" t="n">
        <f aca="false">IF(MONTH($A305)&lt;=3,1,0)</f>
        <v>0</v>
      </c>
      <c r="G305" s="4" t="str">
        <f aca="false" t="array" ref="G305: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v>
      </c>
      <c r="H305" s="4" t="n">
        <f aca="false">COUNTIF(Events!$A$2:$A$397,$A305)</f>
        <v>0</v>
      </c>
      <c r="I305" s="6" t="str">
        <f aca="false" t="array" ref="I305:I305">_xlfn.TEXTJOIN(" | ",TRUE(),IF(Events!$A$2:$A$397=$A305,Events!$E$2:$E$397&amp;IF(Events!$G$2:$G$397="National",""," ["&amp;Events!$G$2:$G$397&amp;"]"),""))</f>
        <v/>
      </c>
    </row>
    <row r="306" customFormat="false" ht="15" hidden="false" customHeight="true" outlineLevel="0" collapsed="false">
      <c r="A306" s="3" t="n">
        <v>45596</v>
      </c>
      <c r="B306" s="4" t="n">
        <f aca="false">YEAR($A306)</f>
        <v>2024</v>
      </c>
      <c r="C306" s="4" t="n">
        <f aca="false">MONTH($A306)</f>
        <v>10</v>
      </c>
      <c r="D306" s="4" t="str">
        <f aca="false">TEXT($A306,"ddd")</f>
        <v>Thu</v>
      </c>
      <c r="E306" s="4" t="n">
        <f aca="false">IF(OR(AND(MONTH($A306)=10,DAY($A306)&gt;=15),MONTH($A306)=11,AND(MONTH($A306)=12,DAY($A306)&lt;=7)),1,0)</f>
        <v>1</v>
      </c>
      <c r="F306" s="4" t="n">
        <f aca="false">IF(MONTH($A306)&lt;=3,1,0)</f>
        <v>0</v>
      </c>
      <c r="G306" s="4" t="str">
        <f aca="false" t="array" ref="G306: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 | Disaster SEP ended: Severe Storm [NE] DR-4808 | Disaster SEP ended: Fire [NV] FM-5494 | Disaster SEP ended: Fire [NV] FM-5495 | Disaster SEP ended: Fire [AZ] FM-5496 | Disaster SEP ended: Flood [NM] DR-4809 | Disaster SEP ended: Fire [AZ] FM-5501</v>
      </c>
      <c r="H306" s="4" t="n">
        <f aca="false">COUNTIF(Events!$A$2:$A$397,$A306)</f>
        <v>0</v>
      </c>
      <c r="I306" s="6" t="str">
        <f aca="false" t="array" ref="I306:I306">_xlfn.TEXTJOIN(" | ",TRUE(),IF(Events!$A$2:$A$397=$A306,Events!$E$2:$E$397&amp;IF(Events!$G$2:$G$397="National",""," ["&amp;Events!$G$2:$G$397&amp;"]"),""))</f>
        <v/>
      </c>
    </row>
    <row r="307" customFormat="false" ht="15" hidden="false" customHeight="true" outlineLevel="0" collapsed="false">
      <c r="A307" s="3" t="n">
        <v>45597</v>
      </c>
      <c r="B307" s="4" t="n">
        <f aca="false">YEAR($A307)</f>
        <v>2024</v>
      </c>
      <c r="C307" s="4" t="n">
        <f aca="false">MONTH($A307)</f>
        <v>11</v>
      </c>
      <c r="D307" s="4" t="str">
        <f aca="false">TEXT($A307,"ddd")</f>
        <v>Fri</v>
      </c>
      <c r="E307" s="4" t="n">
        <f aca="false">IF(OR(AND(MONTH($A307)=10,DAY($A307)&gt;=15),MONTH($A307)=11,AND(MONTH($A307)=12,DAY($A307)&lt;=7)),1,0)</f>
        <v>1</v>
      </c>
      <c r="F307" s="4" t="n">
        <f aca="false">IF(MONTH($A307)&lt;=3,1,0)</f>
        <v>0</v>
      </c>
      <c r="G307" s="4" t="str">
        <f aca="false" t="array" ref="G307: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4" t="n">
        <f aca="false">COUNTIF(Events!$A$2:$A$397,$A307)</f>
        <v>0</v>
      </c>
      <c r="I307" s="6" t="str">
        <f aca="false" t="array" ref="I307:I307">_xlfn.TEXTJOIN(" | ",TRUE(),IF(Events!$A$2:$A$397=$A307,Events!$E$2:$E$397&amp;IF(Events!$G$2:$G$397="National",""," ["&amp;Events!$G$2:$G$397&amp;"]"),""))</f>
        <v/>
      </c>
    </row>
    <row r="308" customFormat="false" ht="15" hidden="false" customHeight="true" outlineLevel="0" collapsed="false">
      <c r="A308" s="3" t="n">
        <v>45598</v>
      </c>
      <c r="B308" s="4" t="n">
        <f aca="false">YEAR($A308)</f>
        <v>2024</v>
      </c>
      <c r="C308" s="4" t="n">
        <f aca="false">MONTH($A308)</f>
        <v>11</v>
      </c>
      <c r="D308" s="4" t="str">
        <f aca="false">TEXT($A308,"ddd")</f>
        <v>Sat</v>
      </c>
      <c r="E308" s="4" t="n">
        <f aca="false">IF(OR(AND(MONTH($A308)=10,DAY($A308)&gt;=15),MONTH($A308)=11,AND(MONTH($A308)=12,DAY($A308)&lt;=7)),1,0)</f>
        <v>1</v>
      </c>
      <c r="F308" s="4" t="n">
        <f aca="false">IF(MONTH($A308)&lt;=3,1,0)</f>
        <v>0</v>
      </c>
      <c r="G308" s="4" t="str">
        <f aca="false" t="array" ref="G308: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4" t="n">
        <f aca="false">COUNTIF(Events!$A$2:$A$397,$A308)</f>
        <v>0</v>
      </c>
      <c r="I308" s="6" t="str">
        <f aca="false" t="array" ref="I308:I308">_xlfn.TEXTJOIN(" | ",TRUE(),IF(Events!$A$2:$A$397=$A308,Events!$E$2:$E$397&amp;IF(Events!$G$2:$G$397="National",""," ["&amp;Events!$G$2:$G$397&amp;"]"),""))</f>
        <v/>
      </c>
    </row>
    <row r="309" customFormat="false" ht="15" hidden="false" customHeight="true" outlineLevel="0" collapsed="false">
      <c r="A309" s="3" t="n">
        <v>45599</v>
      </c>
      <c r="B309" s="4" t="n">
        <f aca="false">YEAR($A309)</f>
        <v>2024</v>
      </c>
      <c r="C309" s="4" t="n">
        <f aca="false">MONTH($A309)</f>
        <v>11</v>
      </c>
      <c r="D309" s="4" t="str">
        <f aca="false">TEXT($A309,"ddd")</f>
        <v>Sun</v>
      </c>
      <c r="E309" s="4" t="n">
        <f aca="false">IF(OR(AND(MONTH($A309)=10,DAY($A309)&gt;=15),MONTH($A309)=11,AND(MONTH($A309)=12,DAY($A309)&lt;=7)),1,0)</f>
        <v>1</v>
      </c>
      <c r="F309" s="4" t="n">
        <f aca="false">IF(MONTH($A309)&lt;=3,1,0)</f>
        <v>0</v>
      </c>
      <c r="G309" s="4" t="str">
        <f aca="false" t="array" ref="G309: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4" t="n">
        <f aca="false">COUNTIF(Events!$A$2:$A$397,$A309)</f>
        <v>0</v>
      </c>
      <c r="I309" s="6" t="str">
        <f aca="false" t="array" ref="I309:I309">_xlfn.TEXTJOIN(" | ",TRUE(),IF(Events!$A$2:$A$397=$A309,Events!$E$2:$E$397&amp;IF(Events!$G$2:$G$397="National",""," ["&amp;Events!$G$2:$G$397&amp;"]"),""))</f>
        <v/>
      </c>
    </row>
    <row r="310" customFormat="false" ht="15" hidden="false" customHeight="true" outlineLevel="0" collapsed="false">
      <c r="A310" s="3" t="n">
        <v>45600</v>
      </c>
      <c r="B310" s="4" t="n">
        <f aca="false">YEAR($A310)</f>
        <v>2024</v>
      </c>
      <c r="C310" s="4" t="n">
        <f aca="false">MONTH($A310)</f>
        <v>11</v>
      </c>
      <c r="D310" s="4" t="str">
        <f aca="false">TEXT($A310,"ddd")</f>
        <v>Mon</v>
      </c>
      <c r="E310" s="4" t="n">
        <f aca="false">IF(OR(AND(MONTH($A310)=10,DAY($A310)&gt;=15),MONTH($A310)=11,AND(MONTH($A310)=12,DAY($A310)&lt;=7)),1,0)</f>
        <v>1</v>
      </c>
      <c r="F310" s="4" t="n">
        <f aca="false">IF(MONTH($A310)&lt;=3,1,0)</f>
        <v>0</v>
      </c>
      <c r="G310" s="4" t="str">
        <f aca="false" t="array" ref="G310: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4" t="n">
        <f aca="false">COUNTIF(Events!$A$2:$A$397,$A310)</f>
        <v>0</v>
      </c>
      <c r="I310" s="6" t="str">
        <f aca="false" t="array" ref="I310:I310">_xlfn.TEXTJOIN(" | ",TRUE(),IF(Events!$A$2:$A$397=$A310,Events!$E$2:$E$397&amp;IF(Events!$G$2:$G$397="National",""," ["&amp;Events!$G$2:$G$397&amp;"]"),""))</f>
        <v/>
      </c>
    </row>
    <row r="311" customFormat="false" ht="15" hidden="false" customHeight="true" outlineLevel="0" collapsed="false">
      <c r="A311" s="3" t="n">
        <v>45601</v>
      </c>
      <c r="B311" s="4" t="n">
        <f aca="false">YEAR($A311)</f>
        <v>2024</v>
      </c>
      <c r="C311" s="4" t="n">
        <f aca="false">MONTH($A311)</f>
        <v>11</v>
      </c>
      <c r="D311" s="4" t="str">
        <f aca="false">TEXT($A311,"ddd")</f>
        <v>Tue</v>
      </c>
      <c r="E311" s="4" t="n">
        <f aca="false">IF(OR(AND(MONTH($A311)=10,DAY($A311)&gt;=15),MONTH($A311)=11,AND(MONTH($A311)=12,DAY($A311)&lt;=7)),1,0)</f>
        <v>1</v>
      </c>
      <c r="F311" s="4" t="n">
        <f aca="false">IF(MONTH($A311)&lt;=3,1,0)</f>
        <v>0</v>
      </c>
      <c r="G311" s="4" t="str">
        <f aca="false" t="array" ref="G311: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4" t="n">
        <f aca="false">COUNTIF(Events!$A$2:$A$397,$A311)</f>
        <v>0</v>
      </c>
      <c r="I311" s="6" t="str">
        <f aca="false" t="array" ref="I311:I311">_xlfn.TEXTJOIN(" | ",TRUE(),IF(Events!$A$2:$A$397=$A311,Events!$E$2:$E$397&amp;IF(Events!$G$2:$G$397="National",""," ["&amp;Events!$G$2:$G$397&amp;"]"),""))</f>
        <v/>
      </c>
    </row>
    <row r="312" customFormat="false" ht="15" hidden="false" customHeight="true" outlineLevel="0" collapsed="false">
      <c r="A312" s="3" t="n">
        <v>45602</v>
      </c>
      <c r="B312" s="4" t="n">
        <f aca="false">YEAR($A312)</f>
        <v>2024</v>
      </c>
      <c r="C312" s="4" t="n">
        <f aca="false">MONTH($A312)</f>
        <v>11</v>
      </c>
      <c r="D312" s="4" t="str">
        <f aca="false">TEXT($A312,"ddd")</f>
        <v>Wed</v>
      </c>
      <c r="E312" s="4" t="n">
        <f aca="false">IF(OR(AND(MONTH($A312)=10,DAY($A312)&gt;=15),MONTH($A312)=11,AND(MONTH($A312)=12,DAY($A312)&lt;=7)),1,0)</f>
        <v>1</v>
      </c>
      <c r="F312" s="4" t="n">
        <f aca="false">IF(MONTH($A312)&lt;=3,1,0)</f>
        <v>0</v>
      </c>
      <c r="G312" s="4" t="str">
        <f aca="false" t="array" ref="G312: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4" t="n">
        <f aca="false">COUNTIF(Events!$A$2:$A$397,$A312)</f>
        <v>0</v>
      </c>
      <c r="I312" s="6" t="str">
        <f aca="false" t="array" ref="I312:I312">_xlfn.TEXTJOIN(" | ",TRUE(),IF(Events!$A$2:$A$397=$A312,Events!$E$2:$E$397&amp;IF(Events!$G$2:$G$397="National",""," ["&amp;Events!$G$2:$G$397&amp;"]"),""))</f>
        <v/>
      </c>
    </row>
    <row r="313" customFormat="false" ht="15" hidden="false" customHeight="true" outlineLevel="0" collapsed="false">
      <c r="A313" s="3" t="n">
        <v>45603</v>
      </c>
      <c r="B313" s="4" t="n">
        <f aca="false">YEAR($A313)</f>
        <v>2024</v>
      </c>
      <c r="C313" s="4" t="n">
        <f aca="false">MONTH($A313)</f>
        <v>11</v>
      </c>
      <c r="D313" s="4" t="str">
        <f aca="false">TEXT($A313,"ddd")</f>
        <v>Thu</v>
      </c>
      <c r="E313" s="4" t="n">
        <f aca="false">IF(OR(AND(MONTH($A313)=10,DAY($A313)&gt;=15),MONTH($A313)=11,AND(MONTH($A313)=12,DAY($A313)&lt;=7)),1,0)</f>
        <v>1</v>
      </c>
      <c r="F313" s="4" t="n">
        <f aca="false">IF(MONTH($A313)&lt;=3,1,0)</f>
        <v>0</v>
      </c>
      <c r="G313" s="4" t="str">
        <f aca="false" t="array" ref="G313: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4" t="n">
        <f aca="false">COUNTIF(Events!$A$2:$A$397,$A313)</f>
        <v>0</v>
      </c>
      <c r="I313" s="6" t="str">
        <f aca="false" t="array" ref="I313:I313">_xlfn.TEXTJOIN(" | ",TRUE(),IF(Events!$A$2:$A$397=$A313,Events!$E$2:$E$397&amp;IF(Events!$G$2:$G$397="National",""," ["&amp;Events!$G$2:$G$397&amp;"]"),""))</f>
        <v/>
      </c>
    </row>
    <row r="314" customFormat="false" ht="15" hidden="false" customHeight="true" outlineLevel="0" collapsed="false">
      <c r="A314" s="3" t="n">
        <v>45604</v>
      </c>
      <c r="B314" s="4" t="n">
        <f aca="false">YEAR($A314)</f>
        <v>2024</v>
      </c>
      <c r="C314" s="4" t="n">
        <f aca="false">MONTH($A314)</f>
        <v>11</v>
      </c>
      <c r="D314" s="4" t="str">
        <f aca="false">TEXT($A314,"ddd")</f>
        <v>Fri</v>
      </c>
      <c r="E314" s="4" t="n">
        <f aca="false">IF(OR(AND(MONTH($A314)=10,DAY($A314)&gt;=15),MONTH($A314)=11,AND(MONTH($A314)=12,DAY($A314)&lt;=7)),1,0)</f>
        <v>1</v>
      </c>
      <c r="F314" s="4" t="n">
        <f aca="false">IF(MONTH($A314)&lt;=3,1,0)</f>
        <v>0</v>
      </c>
      <c r="G314" s="4" t="str">
        <f aca="false" t="array" ref="G314: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4" t="n">
        <f aca="false">COUNTIF(Events!$A$2:$A$397,$A314)</f>
        <v>0</v>
      </c>
      <c r="I314" s="6" t="str">
        <f aca="false" t="array" ref="I314:I314">_xlfn.TEXTJOIN(" | ",TRUE(),IF(Events!$A$2:$A$397=$A314,Events!$E$2:$E$397&amp;IF(Events!$G$2:$G$397="National",""," ["&amp;Events!$G$2:$G$397&amp;"]"),""))</f>
        <v/>
      </c>
    </row>
    <row r="315" customFormat="false" ht="15" hidden="false" customHeight="true" outlineLevel="0" collapsed="false">
      <c r="A315" s="3" t="n">
        <v>45605</v>
      </c>
      <c r="B315" s="4" t="n">
        <f aca="false">YEAR($A315)</f>
        <v>2024</v>
      </c>
      <c r="C315" s="4" t="n">
        <f aca="false">MONTH($A315)</f>
        <v>11</v>
      </c>
      <c r="D315" s="4" t="str">
        <f aca="false">TEXT($A315,"ddd")</f>
        <v>Sat</v>
      </c>
      <c r="E315" s="4" t="n">
        <f aca="false">IF(OR(AND(MONTH($A315)=10,DAY($A315)&gt;=15),MONTH($A315)=11,AND(MONTH($A315)=12,DAY($A315)&lt;=7)),1,0)</f>
        <v>1</v>
      </c>
      <c r="F315" s="4" t="n">
        <f aca="false">IF(MONTH($A315)&lt;=3,1,0)</f>
        <v>0</v>
      </c>
      <c r="G315" s="4" t="str">
        <f aca="false" t="array" ref="G315: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4" t="n">
        <f aca="false">COUNTIF(Events!$A$2:$A$397,$A315)</f>
        <v>0</v>
      </c>
      <c r="I315" s="6" t="str">
        <f aca="false" t="array" ref="I315:I315">_xlfn.TEXTJOIN(" | ",TRUE(),IF(Events!$A$2:$A$397=$A315,Events!$E$2:$E$397&amp;IF(Events!$G$2:$G$397="National",""," ["&amp;Events!$G$2:$G$397&amp;"]"),""))</f>
        <v/>
      </c>
    </row>
    <row r="316" customFormat="false" ht="15" hidden="false" customHeight="true" outlineLevel="0" collapsed="false">
      <c r="A316" s="3" t="n">
        <v>45606</v>
      </c>
      <c r="B316" s="4" t="n">
        <f aca="false">YEAR($A316)</f>
        <v>2024</v>
      </c>
      <c r="C316" s="4" t="n">
        <f aca="false">MONTH($A316)</f>
        <v>11</v>
      </c>
      <c r="D316" s="4" t="str">
        <f aca="false">TEXT($A316,"ddd")</f>
        <v>Sun</v>
      </c>
      <c r="E316" s="4" t="n">
        <f aca="false">IF(OR(AND(MONTH($A316)=10,DAY($A316)&gt;=15),MONTH($A316)=11,AND(MONTH($A316)=12,DAY($A316)&lt;=7)),1,0)</f>
        <v>1</v>
      </c>
      <c r="F316" s="4" t="n">
        <f aca="false">IF(MONTH($A316)&lt;=3,1,0)</f>
        <v>0</v>
      </c>
      <c r="G316" s="4" t="str">
        <f aca="false" t="array" ref="G316: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4" t="n">
        <f aca="false">COUNTIF(Events!$A$2:$A$397,$A316)</f>
        <v>0</v>
      </c>
      <c r="I316" s="6" t="str">
        <f aca="false" t="array" ref="I316:I316">_xlfn.TEXTJOIN(" | ",TRUE(),IF(Events!$A$2:$A$397=$A316,Events!$E$2:$E$397&amp;IF(Events!$G$2:$G$397="National",""," ["&amp;Events!$G$2:$G$397&amp;"]"),""))</f>
        <v/>
      </c>
    </row>
    <row r="317" customFormat="false" ht="15" hidden="false" customHeight="true" outlineLevel="0" collapsed="false">
      <c r="A317" s="3" t="n">
        <v>45607</v>
      </c>
      <c r="B317" s="4" t="n">
        <f aca="false">YEAR($A317)</f>
        <v>2024</v>
      </c>
      <c r="C317" s="4" t="n">
        <f aca="false">MONTH($A317)</f>
        <v>11</v>
      </c>
      <c r="D317" s="4" t="str">
        <f aca="false">TEXT($A317,"ddd")</f>
        <v>Mon</v>
      </c>
      <c r="E317" s="4" t="n">
        <f aca="false">IF(OR(AND(MONTH($A317)=10,DAY($A317)&gt;=15),MONTH($A317)=11,AND(MONTH($A317)=12,DAY($A317)&lt;=7)),1,0)</f>
        <v>1</v>
      </c>
      <c r="F317" s="4" t="n">
        <f aca="false">IF(MONTH($A317)&lt;=3,1,0)</f>
        <v>0</v>
      </c>
      <c r="G317" s="4" t="str">
        <f aca="false" t="array" ref="G317: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4" t="n">
        <f aca="false">COUNTIF(Events!$A$2:$A$397,$A317)</f>
        <v>0</v>
      </c>
      <c r="I317" s="6" t="str">
        <f aca="false" t="array" ref="I317:I317">_xlfn.TEXTJOIN(" | ",TRUE(),IF(Events!$A$2:$A$397=$A317,Events!$E$2:$E$397&amp;IF(Events!$G$2:$G$397="National",""," ["&amp;Events!$G$2:$G$397&amp;"]"),""))</f>
        <v/>
      </c>
    </row>
    <row r="318" customFormat="false" ht="15" hidden="false" customHeight="true" outlineLevel="0" collapsed="false">
      <c r="A318" s="3" t="n">
        <v>45608</v>
      </c>
      <c r="B318" s="4" t="n">
        <f aca="false">YEAR($A318)</f>
        <v>2024</v>
      </c>
      <c r="C318" s="4" t="n">
        <f aca="false">MONTH($A318)</f>
        <v>11</v>
      </c>
      <c r="D318" s="4" t="str">
        <f aca="false">TEXT($A318,"ddd")</f>
        <v>Tue</v>
      </c>
      <c r="E318" s="4" t="n">
        <f aca="false">IF(OR(AND(MONTH($A318)=10,DAY($A318)&gt;=15),MONTH($A318)=11,AND(MONTH($A318)=12,DAY($A318)&lt;=7)),1,0)</f>
        <v>1</v>
      </c>
      <c r="F318" s="4" t="n">
        <f aca="false">IF(MONTH($A318)&lt;=3,1,0)</f>
        <v>0</v>
      </c>
      <c r="G318" s="4" t="str">
        <f aca="false" t="array" ref="G318: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4" t="n">
        <f aca="false">COUNTIF(Events!$A$2:$A$397,$A318)</f>
        <v>0</v>
      </c>
      <c r="I318" s="6" t="str">
        <f aca="false" t="array" ref="I318:I318">_xlfn.TEXTJOIN(" | ",TRUE(),IF(Events!$A$2:$A$397=$A318,Events!$E$2:$E$397&amp;IF(Events!$G$2:$G$397="National",""," ["&amp;Events!$G$2:$G$397&amp;"]"),""))</f>
        <v/>
      </c>
    </row>
    <row r="319" customFormat="false" ht="15" hidden="false" customHeight="true" outlineLevel="0" collapsed="false">
      <c r="A319" s="3" t="n">
        <v>45609</v>
      </c>
      <c r="B319" s="4" t="n">
        <f aca="false">YEAR($A319)</f>
        <v>2024</v>
      </c>
      <c r="C319" s="4" t="n">
        <f aca="false">MONTH($A319)</f>
        <v>11</v>
      </c>
      <c r="D319" s="4" t="str">
        <f aca="false">TEXT($A319,"ddd")</f>
        <v>Wed</v>
      </c>
      <c r="E319" s="4" t="n">
        <f aca="false">IF(OR(AND(MONTH($A319)=10,DAY($A319)&gt;=15),MONTH($A319)=11,AND(MONTH($A319)=12,DAY($A319)&lt;=7)),1,0)</f>
        <v>1</v>
      </c>
      <c r="F319" s="4" t="n">
        <f aca="false">IF(MONTH($A319)&lt;=3,1,0)</f>
        <v>0</v>
      </c>
      <c r="G319" s="4" t="str">
        <f aca="false" t="array" ref="G319: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4" t="n">
        <f aca="false">COUNTIF(Events!$A$2:$A$397,$A319)</f>
        <v>0</v>
      </c>
      <c r="I319" s="6" t="str">
        <f aca="false" t="array" ref="I319:I319">_xlfn.TEXTJOIN(" | ",TRUE(),IF(Events!$A$2:$A$397=$A319,Events!$E$2:$E$397&amp;IF(Events!$G$2:$G$397="National",""," ["&amp;Events!$G$2:$G$397&amp;"]"),""))</f>
        <v/>
      </c>
    </row>
    <row r="320" customFormat="false" ht="15" hidden="false" customHeight="true" outlineLevel="0" collapsed="false">
      <c r="A320" s="3" t="n">
        <v>45610</v>
      </c>
      <c r="B320" s="4" t="n">
        <f aca="false">YEAR($A320)</f>
        <v>2024</v>
      </c>
      <c r="C320" s="4" t="n">
        <f aca="false">MONTH($A320)</f>
        <v>11</v>
      </c>
      <c r="D320" s="4" t="str">
        <f aca="false">TEXT($A320,"ddd")</f>
        <v>Thu</v>
      </c>
      <c r="E320" s="4" t="n">
        <f aca="false">IF(OR(AND(MONTH($A320)=10,DAY($A320)&gt;=15),MONTH($A320)=11,AND(MONTH($A320)=12,DAY($A320)&lt;=7)),1,0)</f>
        <v>1</v>
      </c>
      <c r="F320" s="4" t="n">
        <f aca="false">IF(MONTH($A320)&lt;=3,1,0)</f>
        <v>0</v>
      </c>
      <c r="G320" s="4" t="str">
        <f aca="false" t="array" ref="G320: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4" t="n">
        <f aca="false">COUNTIF(Events!$A$2:$A$397,$A320)</f>
        <v>1</v>
      </c>
      <c r="I320" s="6" t="str">
        <f aca="false" t="array" ref="I320:I320">_xlfn.TEXTJOIN(" | ",TRUE(),IF(Events!$A$2:$A$397=$A320,Events!$E$2:$E$397&amp;IF(Events!$G$2:$G$397="National",""," ["&amp;Events!$G$2:$G$397&amp;"]"),""))</f>
        <v>CY2025 Part B premium set: standard $185.00/mo (+$10.30) and deductible $257; baseline cost every enrolle pays regardless of plan type (affects cost math for MA vs Medigap shoppers during AEP)</v>
      </c>
    </row>
    <row r="321" customFormat="false" ht="15" hidden="false" customHeight="true" outlineLevel="0" collapsed="false">
      <c r="A321" s="3" t="n">
        <v>45611</v>
      </c>
      <c r="B321" s="4" t="n">
        <f aca="false">YEAR($A321)</f>
        <v>2024</v>
      </c>
      <c r="C321" s="4" t="n">
        <f aca="false">MONTH($A321)</f>
        <v>11</v>
      </c>
      <c r="D321" s="4" t="str">
        <f aca="false">TEXT($A321,"ddd")</f>
        <v>Fri</v>
      </c>
      <c r="E321" s="4" t="n">
        <f aca="false">IF(OR(AND(MONTH($A321)=10,DAY($A321)&gt;=15),MONTH($A321)=11,AND(MONTH($A321)=12,DAY($A321)&lt;=7)),1,0)</f>
        <v>1</v>
      </c>
      <c r="F321" s="4" t="n">
        <f aca="false">IF(MONTH($A321)&lt;=3,1,0)</f>
        <v>0</v>
      </c>
      <c r="G321" s="4" t="str">
        <f aca="false" t="array" ref="G321: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4" t="n">
        <f aca="false">COUNTIF(Events!$A$2:$A$397,$A321)</f>
        <v>0</v>
      </c>
      <c r="I321" s="6" t="str">
        <f aca="false" t="array" ref="I321:I321">_xlfn.TEXTJOIN(" | ",TRUE(),IF(Events!$A$2:$A$397=$A321,Events!$E$2:$E$397&amp;IF(Events!$G$2:$G$397="National",""," ["&amp;Events!$G$2:$G$397&amp;"]"),""))</f>
        <v/>
      </c>
    </row>
    <row r="322" customFormat="false" ht="15" hidden="false" customHeight="true" outlineLevel="0" collapsed="false">
      <c r="A322" s="3" t="n">
        <v>45612</v>
      </c>
      <c r="B322" s="4" t="n">
        <f aca="false">YEAR($A322)</f>
        <v>2024</v>
      </c>
      <c r="C322" s="4" t="n">
        <f aca="false">MONTH($A322)</f>
        <v>11</v>
      </c>
      <c r="D322" s="4" t="str">
        <f aca="false">TEXT($A322,"ddd")</f>
        <v>Sat</v>
      </c>
      <c r="E322" s="4" t="n">
        <f aca="false">IF(OR(AND(MONTH($A322)=10,DAY($A322)&gt;=15),MONTH($A322)=11,AND(MONTH($A322)=12,DAY($A322)&lt;=7)),1,0)</f>
        <v>1</v>
      </c>
      <c r="F322" s="4" t="n">
        <f aca="false">IF(MONTH($A322)&lt;=3,1,0)</f>
        <v>0</v>
      </c>
      <c r="G322" s="4" t="str">
        <f aca="false" t="array" ref="G322: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4" t="n">
        <f aca="false">COUNTIF(Events!$A$2:$A$397,$A322)</f>
        <v>0</v>
      </c>
      <c r="I322" s="6" t="str">
        <f aca="false" t="array" ref="I322:I322">_xlfn.TEXTJOIN(" | ",TRUE(),IF(Events!$A$2:$A$397=$A322,Events!$E$2:$E$397&amp;IF(Events!$G$2:$G$397="National",""," ["&amp;Events!$G$2:$G$397&amp;"]"),""))</f>
        <v/>
      </c>
    </row>
    <row r="323" customFormat="false" ht="15" hidden="false" customHeight="true" outlineLevel="0" collapsed="false">
      <c r="A323" s="3" t="n">
        <v>45613</v>
      </c>
      <c r="B323" s="4" t="n">
        <f aca="false">YEAR($A323)</f>
        <v>2024</v>
      </c>
      <c r="C323" s="4" t="n">
        <f aca="false">MONTH($A323)</f>
        <v>11</v>
      </c>
      <c r="D323" s="4" t="str">
        <f aca="false">TEXT($A323,"ddd")</f>
        <v>Sun</v>
      </c>
      <c r="E323" s="4" t="n">
        <f aca="false">IF(OR(AND(MONTH($A323)=10,DAY($A323)&gt;=15),MONTH($A323)=11,AND(MONTH($A323)=12,DAY($A323)&lt;=7)),1,0)</f>
        <v>1</v>
      </c>
      <c r="F323" s="4" t="n">
        <f aca="false">IF(MONTH($A323)&lt;=3,1,0)</f>
        <v>0</v>
      </c>
      <c r="G323" s="4" t="str">
        <f aca="false" t="array" ref="G323: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4" t="n">
        <f aca="false">COUNTIF(Events!$A$2:$A$397,$A323)</f>
        <v>0</v>
      </c>
      <c r="I323" s="6" t="str">
        <f aca="false" t="array" ref="I323:I323">_xlfn.TEXTJOIN(" | ",TRUE(),IF(Events!$A$2:$A$397=$A323,Events!$E$2:$E$397&amp;IF(Events!$G$2:$G$397="National",""," ["&amp;Events!$G$2:$G$397&amp;"]"),""))</f>
        <v/>
      </c>
    </row>
    <row r="324" customFormat="false" ht="15" hidden="false" customHeight="true" outlineLevel="0" collapsed="false">
      <c r="A324" s="3" t="n">
        <v>45614</v>
      </c>
      <c r="B324" s="4" t="n">
        <f aca="false">YEAR($A324)</f>
        <v>2024</v>
      </c>
      <c r="C324" s="4" t="n">
        <f aca="false">MONTH($A324)</f>
        <v>11</v>
      </c>
      <c r="D324" s="4" t="str">
        <f aca="false">TEXT($A324,"ddd")</f>
        <v>Mon</v>
      </c>
      <c r="E324" s="4" t="n">
        <f aca="false">IF(OR(AND(MONTH($A324)=10,DAY($A324)&gt;=15),MONTH($A324)=11,AND(MONTH($A324)=12,DAY($A324)&lt;=7)),1,0)</f>
        <v>1</v>
      </c>
      <c r="F324" s="4" t="n">
        <f aca="false">IF(MONTH($A324)&lt;=3,1,0)</f>
        <v>0</v>
      </c>
      <c r="G324" s="4" t="str">
        <f aca="false" t="array" ref="G324: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4" t="n">
        <f aca="false">COUNTIF(Events!$A$2:$A$397,$A324)</f>
        <v>0</v>
      </c>
      <c r="I324" s="6" t="str">
        <f aca="false" t="array" ref="I324:I324">_xlfn.TEXTJOIN(" | ",TRUE(),IF(Events!$A$2:$A$397=$A324,Events!$E$2:$E$397&amp;IF(Events!$G$2:$G$397="National",""," ["&amp;Events!$G$2:$G$397&amp;"]"),""))</f>
        <v/>
      </c>
    </row>
    <row r="325" customFormat="false" ht="15" hidden="false" customHeight="true" outlineLevel="0" collapsed="false">
      <c r="A325" s="3" t="n">
        <v>45615</v>
      </c>
      <c r="B325" s="4" t="n">
        <f aca="false">YEAR($A325)</f>
        <v>2024</v>
      </c>
      <c r="C325" s="4" t="n">
        <f aca="false">MONTH($A325)</f>
        <v>11</v>
      </c>
      <c r="D325" s="4" t="str">
        <f aca="false">TEXT($A325,"ddd")</f>
        <v>Tue</v>
      </c>
      <c r="E325" s="4" t="n">
        <f aca="false">IF(OR(AND(MONTH($A325)=10,DAY($A325)&gt;=15),MONTH($A325)=11,AND(MONTH($A325)=12,DAY($A325)&lt;=7)),1,0)</f>
        <v>1</v>
      </c>
      <c r="F325" s="4" t="n">
        <f aca="false">IF(MONTH($A325)&lt;=3,1,0)</f>
        <v>0</v>
      </c>
      <c r="G325" s="4" t="str">
        <f aca="false" t="array" ref="G325: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4" t="n">
        <f aca="false">COUNTIF(Events!$A$2:$A$397,$A325)</f>
        <v>0</v>
      </c>
      <c r="I325" s="6" t="str">
        <f aca="false" t="array" ref="I325:I325">_xlfn.TEXTJOIN(" | ",TRUE(),IF(Events!$A$2:$A$397=$A325,Events!$E$2:$E$397&amp;IF(Events!$G$2:$G$397="National",""," ["&amp;Events!$G$2:$G$397&amp;"]"),""))</f>
        <v/>
      </c>
    </row>
    <row r="326" customFormat="false" ht="15" hidden="false" customHeight="true" outlineLevel="0" collapsed="false">
      <c r="A326" s="3" t="n">
        <v>45616</v>
      </c>
      <c r="B326" s="4" t="n">
        <f aca="false">YEAR($A326)</f>
        <v>2024</v>
      </c>
      <c r="C326" s="4" t="n">
        <f aca="false">MONTH($A326)</f>
        <v>11</v>
      </c>
      <c r="D326" s="4" t="str">
        <f aca="false">TEXT($A326,"ddd")</f>
        <v>Wed</v>
      </c>
      <c r="E326" s="4" t="n">
        <f aca="false">IF(OR(AND(MONTH($A326)=10,DAY($A326)&gt;=15),MONTH($A326)=11,AND(MONTH($A326)=12,DAY($A326)&lt;=7)),1,0)</f>
        <v>1</v>
      </c>
      <c r="F326" s="4" t="n">
        <f aca="false">IF(MONTH($A326)&lt;=3,1,0)</f>
        <v>0</v>
      </c>
      <c r="G326" s="4" t="str">
        <f aca="false" t="array" ref="G326: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4" t="n">
        <f aca="false">COUNTIF(Events!$A$2:$A$397,$A326)</f>
        <v>0</v>
      </c>
      <c r="I326" s="6" t="str">
        <f aca="false" t="array" ref="I326:I326">_xlfn.TEXTJOIN(" | ",TRUE(),IF(Events!$A$2:$A$397=$A326,Events!$E$2:$E$397&amp;IF(Events!$G$2:$G$397="National",""," ["&amp;Events!$G$2:$G$397&amp;"]"),""))</f>
        <v/>
      </c>
    </row>
    <row r="327" customFormat="false" ht="15" hidden="false" customHeight="true" outlineLevel="0" collapsed="false">
      <c r="A327" s="3" t="n">
        <v>45617</v>
      </c>
      <c r="B327" s="4" t="n">
        <f aca="false">YEAR($A327)</f>
        <v>2024</v>
      </c>
      <c r="C327" s="4" t="n">
        <f aca="false">MONTH($A327)</f>
        <v>11</v>
      </c>
      <c r="D327" s="4" t="str">
        <f aca="false">TEXT($A327,"ddd")</f>
        <v>Thu</v>
      </c>
      <c r="E327" s="4" t="n">
        <f aca="false">IF(OR(AND(MONTH($A327)=10,DAY($A327)&gt;=15),MONTH($A327)=11,AND(MONTH($A327)=12,DAY($A327)&lt;=7)),1,0)</f>
        <v>1</v>
      </c>
      <c r="F327" s="4" t="n">
        <f aca="false">IF(MONTH($A327)&lt;=3,1,0)</f>
        <v>0</v>
      </c>
      <c r="G327" s="4" t="str">
        <f aca="false" t="array" ref="G327: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4" t="n">
        <f aca="false">COUNTIF(Events!$A$2:$A$397,$A327)</f>
        <v>0</v>
      </c>
      <c r="I327" s="6" t="str">
        <f aca="false" t="array" ref="I327:I327">_xlfn.TEXTJOIN(" | ",TRUE(),IF(Events!$A$2:$A$397=$A327,Events!$E$2:$E$397&amp;IF(Events!$G$2:$G$397="National",""," ["&amp;Events!$G$2:$G$397&amp;"]"),""))</f>
        <v/>
      </c>
    </row>
    <row r="328" customFormat="false" ht="15" hidden="false" customHeight="true" outlineLevel="0" collapsed="false">
      <c r="A328" s="3" t="n">
        <v>45618</v>
      </c>
      <c r="B328" s="4" t="n">
        <f aca="false">YEAR($A328)</f>
        <v>2024</v>
      </c>
      <c r="C328" s="4" t="n">
        <f aca="false">MONTH($A328)</f>
        <v>11</v>
      </c>
      <c r="D328" s="4" t="str">
        <f aca="false">TEXT($A328,"ddd")</f>
        <v>Fri</v>
      </c>
      <c r="E328" s="4" t="n">
        <f aca="false">IF(OR(AND(MONTH($A328)=10,DAY($A328)&gt;=15),MONTH($A328)=11,AND(MONTH($A328)=12,DAY($A328)&lt;=7)),1,0)</f>
        <v>1</v>
      </c>
      <c r="F328" s="4" t="n">
        <f aca="false">IF(MONTH($A328)&lt;=3,1,0)</f>
        <v>0</v>
      </c>
      <c r="G328" s="4" t="str">
        <f aca="false" t="array" ref="G328: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4" t="n">
        <f aca="false">COUNTIF(Events!$A$2:$A$397,$A328)</f>
        <v>1</v>
      </c>
      <c r="I328" s="6" t="str">
        <f aca="false" t="array" ref="I328:I328">_xlfn.TEXTJOIN(" | ",TRUE(),IF(Events!$A$2:$A$397=$A328,Events!$E$2:$E$397&amp;IF(Events!$G$2:$G$397="National",""," ["&amp;Events!$G$2:$G$397&amp;"]"),""))</f>
        <v>E.D. Tex. orders CMS to recalculate UnitedHealthcare's 2025 Star Ratings over one disputed test call and immediately republish in Medicare Plan Finder - a mid-AEP ratings change for the largest MA carrier, 15 days before the enrollment deadline</v>
      </c>
    </row>
    <row r="329" customFormat="false" ht="15" hidden="false" customHeight="true" outlineLevel="0" collapsed="false">
      <c r="A329" s="3" t="n">
        <v>45619</v>
      </c>
      <c r="B329" s="4" t="n">
        <f aca="false">YEAR($A329)</f>
        <v>2024</v>
      </c>
      <c r="C329" s="4" t="n">
        <f aca="false">MONTH($A329)</f>
        <v>11</v>
      </c>
      <c r="D329" s="4" t="str">
        <f aca="false">TEXT($A329,"ddd")</f>
        <v>Sat</v>
      </c>
      <c r="E329" s="4" t="n">
        <f aca="false">IF(OR(AND(MONTH($A329)=10,DAY($A329)&gt;=15),MONTH($A329)=11,AND(MONTH($A329)=12,DAY($A329)&lt;=7)),1,0)</f>
        <v>1</v>
      </c>
      <c r="F329" s="4" t="n">
        <f aca="false">IF(MONTH($A329)&lt;=3,1,0)</f>
        <v>0</v>
      </c>
      <c r="G329" s="4" t="str">
        <f aca="false" t="array" ref="G329: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4" t="n">
        <f aca="false">COUNTIF(Events!$A$2:$A$397,$A329)</f>
        <v>0</v>
      </c>
      <c r="I329" s="6" t="str">
        <f aca="false" t="array" ref="I329:I329">_xlfn.TEXTJOIN(" | ",TRUE(),IF(Events!$A$2:$A$397=$A329,Events!$E$2:$E$397&amp;IF(Events!$G$2:$G$397="National",""," ["&amp;Events!$G$2:$G$397&amp;"]"),""))</f>
        <v/>
      </c>
    </row>
    <row r="330" customFormat="false" ht="15" hidden="false" customHeight="true" outlineLevel="0" collapsed="false">
      <c r="A330" s="3" t="n">
        <v>45620</v>
      </c>
      <c r="B330" s="4" t="n">
        <f aca="false">YEAR($A330)</f>
        <v>2024</v>
      </c>
      <c r="C330" s="4" t="n">
        <f aca="false">MONTH($A330)</f>
        <v>11</v>
      </c>
      <c r="D330" s="4" t="str">
        <f aca="false">TEXT($A330,"ddd")</f>
        <v>Sun</v>
      </c>
      <c r="E330" s="4" t="n">
        <f aca="false">IF(OR(AND(MONTH($A330)=10,DAY($A330)&gt;=15),MONTH($A330)=11,AND(MONTH($A330)=12,DAY($A330)&lt;=7)),1,0)</f>
        <v>1</v>
      </c>
      <c r="F330" s="4" t="n">
        <f aca="false">IF(MONTH($A330)&lt;=3,1,0)</f>
        <v>0</v>
      </c>
      <c r="G330" s="4" t="str">
        <f aca="false" t="array" ref="G330: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4" t="n">
        <f aca="false">COUNTIF(Events!$A$2:$A$397,$A330)</f>
        <v>0</v>
      </c>
      <c r="I330" s="6" t="str">
        <f aca="false" t="array" ref="I330:I330">_xlfn.TEXTJOIN(" | ",TRUE(),IF(Events!$A$2:$A$397=$A330,Events!$E$2:$E$397&amp;IF(Events!$G$2:$G$397="National",""," ["&amp;Events!$G$2:$G$397&amp;"]"),""))</f>
        <v/>
      </c>
    </row>
    <row r="331" customFormat="false" ht="15" hidden="false" customHeight="true" outlineLevel="0" collapsed="false">
      <c r="A331" s="3" t="n">
        <v>45621</v>
      </c>
      <c r="B331" s="4" t="n">
        <f aca="false">YEAR($A331)</f>
        <v>2024</v>
      </c>
      <c r="C331" s="4" t="n">
        <f aca="false">MONTH($A331)</f>
        <v>11</v>
      </c>
      <c r="D331" s="4" t="str">
        <f aca="false">TEXT($A331,"ddd")</f>
        <v>Mon</v>
      </c>
      <c r="E331" s="4" t="n">
        <f aca="false">IF(OR(AND(MONTH($A331)=10,DAY($A331)&gt;=15),MONTH($A331)=11,AND(MONTH($A331)=12,DAY($A331)&lt;=7)),1,0)</f>
        <v>1</v>
      </c>
      <c r="F331" s="4" t="n">
        <f aca="false">IF(MONTH($A331)&lt;=3,1,0)</f>
        <v>0</v>
      </c>
      <c r="G331" s="4" t="str">
        <f aca="false" t="array" ref="G331: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4" t="n">
        <f aca="false">COUNTIF(Events!$A$2:$A$397,$A331)</f>
        <v>0</v>
      </c>
      <c r="I331" s="6" t="str">
        <f aca="false" t="array" ref="I331:I331">_xlfn.TEXTJOIN(" | ",TRUE(),IF(Events!$A$2:$A$397=$A331,Events!$E$2:$E$397&amp;IF(Events!$G$2:$G$397="National",""," ["&amp;Events!$G$2:$G$397&amp;"]"),""))</f>
        <v/>
      </c>
    </row>
    <row r="332" customFormat="false" ht="15" hidden="false" customHeight="true" outlineLevel="0" collapsed="false">
      <c r="A332" s="3" t="n">
        <v>45622</v>
      </c>
      <c r="B332" s="4" t="n">
        <f aca="false">YEAR($A332)</f>
        <v>2024</v>
      </c>
      <c r="C332" s="4" t="n">
        <f aca="false">MONTH($A332)</f>
        <v>11</v>
      </c>
      <c r="D332" s="4" t="str">
        <f aca="false">TEXT($A332,"ddd")</f>
        <v>Tue</v>
      </c>
      <c r="E332" s="4" t="n">
        <f aca="false">IF(OR(AND(MONTH($A332)=10,DAY($A332)&gt;=15),MONTH($A332)=11,AND(MONTH($A332)=12,DAY($A332)&lt;=7)),1,0)</f>
        <v>1</v>
      </c>
      <c r="F332" s="4" t="n">
        <f aca="false">IF(MONTH($A332)&lt;=3,1,0)</f>
        <v>0</v>
      </c>
      <c r="G332" s="4" t="str">
        <f aca="false" t="array" ref="G332: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4" t="n">
        <f aca="false">COUNTIF(Events!$A$2:$A$397,$A332)</f>
        <v>1</v>
      </c>
      <c r="I332" s="6" t="str">
        <f aca="false" t="array" ref="I332:I332">_xlfn.TEXTJOIN(" | ",TRUE(),IF(Events!$A$2:$A$397=$A332,Events!$E$2:$E$397&amp;IF(Events!$G$2:$G$397="National",""," ["&amp;Events!$G$2:$G$397&amp;"]"),""))</f>
        <v>CY2026 Proposed Rule (CMS-4208-P): proposed anti-obesity med coverage in Part D, AI guardrails, prior-auth/UM limits (published in Federal Register 12/10/2024; comments due 1/27/2025; several proposals later NOT finalized)</v>
      </c>
    </row>
    <row r="333" customFormat="false" ht="15" hidden="false" customHeight="true" outlineLevel="0" collapsed="false">
      <c r="A333" s="3" t="n">
        <v>45623</v>
      </c>
      <c r="B333" s="4" t="n">
        <f aca="false">YEAR($A333)</f>
        <v>2024</v>
      </c>
      <c r="C333" s="4" t="n">
        <f aca="false">MONTH($A333)</f>
        <v>11</v>
      </c>
      <c r="D333" s="4" t="str">
        <f aca="false">TEXT($A333,"ddd")</f>
        <v>Wed</v>
      </c>
      <c r="E333" s="4" t="n">
        <f aca="false">IF(OR(AND(MONTH($A333)=10,DAY($A333)&gt;=15),MONTH($A333)=11,AND(MONTH($A333)=12,DAY($A333)&lt;=7)),1,0)</f>
        <v>1</v>
      </c>
      <c r="F333" s="4" t="n">
        <f aca="false">IF(MONTH($A333)&lt;=3,1,0)</f>
        <v>0</v>
      </c>
      <c r="G333" s="4" t="str">
        <f aca="false" t="array" ref="G333: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4" t="n">
        <f aca="false">COUNTIF(Events!$A$2:$A$397,$A333)</f>
        <v>0</v>
      </c>
      <c r="I333" s="6" t="str">
        <f aca="false" t="array" ref="I333:I333">_xlfn.TEXTJOIN(" | ",TRUE(),IF(Events!$A$2:$A$397=$A333,Events!$E$2:$E$397&amp;IF(Events!$G$2:$G$397="National",""," ["&amp;Events!$G$2:$G$397&amp;"]"),""))</f>
        <v/>
      </c>
    </row>
    <row r="334" customFormat="false" ht="15" hidden="false" customHeight="true" outlineLevel="0" collapsed="false">
      <c r="A334" s="3" t="n">
        <v>45624</v>
      </c>
      <c r="B334" s="4" t="n">
        <f aca="false">YEAR($A334)</f>
        <v>2024</v>
      </c>
      <c r="C334" s="4" t="n">
        <f aca="false">MONTH($A334)</f>
        <v>11</v>
      </c>
      <c r="D334" s="4" t="str">
        <f aca="false">TEXT($A334,"ddd")</f>
        <v>Thu</v>
      </c>
      <c r="E334" s="4" t="n">
        <f aca="false">IF(OR(AND(MONTH($A334)=10,DAY($A334)&gt;=15),MONTH($A334)=11,AND(MONTH($A334)=12,DAY($A334)&lt;=7)),1,0)</f>
        <v>1</v>
      </c>
      <c r="F334" s="4" t="n">
        <f aca="false">IF(MONTH($A334)&lt;=3,1,0)</f>
        <v>0</v>
      </c>
      <c r="G334" s="4" t="str">
        <f aca="false" t="array" ref="G334: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4" t="n">
        <f aca="false">COUNTIF(Events!$A$2:$A$397,$A334)</f>
        <v>0</v>
      </c>
      <c r="I334" s="6" t="str">
        <f aca="false" t="array" ref="I334:I334">_xlfn.TEXTJOIN(" | ",TRUE(),IF(Events!$A$2:$A$397=$A334,Events!$E$2:$E$397&amp;IF(Events!$G$2:$G$397="National",""," ["&amp;Events!$G$2:$G$397&amp;"]"),""))</f>
        <v/>
      </c>
    </row>
    <row r="335" customFormat="false" ht="15" hidden="false" customHeight="true" outlineLevel="0" collapsed="false">
      <c r="A335" s="3" t="n">
        <v>45625</v>
      </c>
      <c r="B335" s="4" t="n">
        <f aca="false">YEAR($A335)</f>
        <v>2024</v>
      </c>
      <c r="C335" s="4" t="n">
        <f aca="false">MONTH($A335)</f>
        <v>11</v>
      </c>
      <c r="D335" s="4" t="str">
        <f aca="false">TEXT($A335,"ddd")</f>
        <v>Fri</v>
      </c>
      <c r="E335" s="4" t="n">
        <f aca="false">IF(OR(AND(MONTH($A335)=10,DAY($A335)&gt;=15),MONTH($A335)=11,AND(MONTH($A335)=12,DAY($A335)&lt;=7)),1,0)</f>
        <v>1</v>
      </c>
      <c r="F335" s="4" t="n">
        <f aca="false">IF(MONTH($A335)&lt;=3,1,0)</f>
        <v>0</v>
      </c>
      <c r="G335" s="4" t="str">
        <f aca="false" t="array" ref="G335: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
      </c>
      <c r="H335" s="4" t="n">
        <f aca="false">COUNTIF(Events!$A$2:$A$397,$A335)</f>
        <v>0</v>
      </c>
      <c r="I335" s="6" t="str">
        <f aca="false" t="array" ref="I335:I335">_xlfn.TEXTJOIN(" | ",TRUE(),IF(Events!$A$2:$A$397=$A335,Events!$E$2:$E$397&amp;IF(Events!$G$2:$G$397="National",""," ["&amp;Events!$G$2:$G$397&amp;"]"),""))</f>
        <v/>
      </c>
    </row>
    <row r="336" customFormat="false" ht="15" hidden="false" customHeight="true" outlineLevel="0" collapsed="false">
      <c r="A336" s="3" t="n">
        <v>45626</v>
      </c>
      <c r="B336" s="4" t="n">
        <f aca="false">YEAR($A336)</f>
        <v>2024</v>
      </c>
      <c r="C336" s="4" t="n">
        <f aca="false">MONTH($A336)</f>
        <v>11</v>
      </c>
      <c r="D336" s="4" t="str">
        <f aca="false">TEXT($A336,"ddd")</f>
        <v>Sat</v>
      </c>
      <c r="E336" s="4" t="n">
        <f aca="false">IF(OR(AND(MONTH($A336)=10,DAY($A336)&gt;=15),MONTH($A336)=11,AND(MONTH($A336)=12,DAY($A336)&lt;=7)),1,0)</f>
        <v>1</v>
      </c>
      <c r="F336" s="4" t="n">
        <f aca="false">IF(MONTH($A336)&lt;=3,1,0)</f>
        <v>0</v>
      </c>
      <c r="G336" s="4" t="str">
        <f aca="false" t="array" ref="G336: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 | 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6" s="4" t="n">
        <f aca="false">COUNTIF(Events!$A$2:$A$397,$A336)</f>
        <v>0</v>
      </c>
      <c r="I336" s="6" t="str">
        <f aca="false" t="array" ref="I336:I336">_xlfn.TEXTJOIN(" | ",TRUE(),IF(Events!$A$2:$A$397=$A336,Events!$E$2:$E$397&amp;IF(Events!$G$2:$G$397="National",""," ["&amp;Events!$G$2:$G$397&amp;"]"),""))</f>
        <v/>
      </c>
    </row>
    <row r="337" customFormat="false" ht="15" hidden="false" customHeight="true" outlineLevel="0" collapsed="false">
      <c r="A337" s="3" t="n">
        <v>45627</v>
      </c>
      <c r="B337" s="4" t="n">
        <f aca="false">YEAR($A337)</f>
        <v>2024</v>
      </c>
      <c r="C337" s="4" t="n">
        <f aca="false">MONTH($A337)</f>
        <v>12</v>
      </c>
      <c r="D337" s="4" t="str">
        <f aca="false">TEXT($A337,"ddd")</f>
        <v>Sun</v>
      </c>
      <c r="E337" s="4" t="n">
        <f aca="false">IF(OR(AND(MONTH($A337)=10,DAY($A337)&gt;=15),MONTH($A337)=11,AND(MONTH($A337)=12,DAY($A337)&lt;=7)),1,0)</f>
        <v>1</v>
      </c>
      <c r="F337" s="4" t="n">
        <f aca="false">IF(MONTH($A337)&lt;=3,1,0)</f>
        <v>0</v>
      </c>
      <c r="G337" s="4" t="str">
        <f aca="false" t="array" ref="G337: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4" t="n">
        <f aca="false">COUNTIF(Events!$A$2:$A$397,$A337)</f>
        <v>0</v>
      </c>
      <c r="I337" s="6" t="str">
        <f aca="false" t="array" ref="I337:I337">_xlfn.TEXTJOIN(" | ",TRUE(),IF(Events!$A$2:$A$397=$A337,Events!$E$2:$E$397&amp;IF(Events!$G$2:$G$397="National",""," ["&amp;Events!$G$2:$G$397&amp;"]"),""))</f>
        <v/>
      </c>
    </row>
    <row r="338" customFormat="false" ht="15" hidden="false" customHeight="true" outlineLevel="0" collapsed="false">
      <c r="A338" s="3" t="n">
        <v>45628</v>
      </c>
      <c r="B338" s="4" t="n">
        <f aca="false">YEAR($A338)</f>
        <v>2024</v>
      </c>
      <c r="C338" s="4" t="n">
        <f aca="false">MONTH($A338)</f>
        <v>12</v>
      </c>
      <c r="D338" s="4" t="str">
        <f aca="false">TEXT($A338,"ddd")</f>
        <v>Mon</v>
      </c>
      <c r="E338" s="4" t="n">
        <f aca="false">IF(OR(AND(MONTH($A338)=10,DAY($A338)&gt;=15),MONTH($A338)=11,AND(MONTH($A338)=12,DAY($A338)&lt;=7)),1,0)</f>
        <v>1</v>
      </c>
      <c r="F338" s="4" t="n">
        <f aca="false">IF(MONTH($A338)&lt;=3,1,0)</f>
        <v>0</v>
      </c>
      <c r="G338" s="4" t="str">
        <f aca="false" t="array" ref="G338: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4" t="n">
        <f aca="false">COUNTIF(Events!$A$2:$A$397,$A338)</f>
        <v>0</v>
      </c>
      <c r="I338" s="6" t="str">
        <f aca="false" t="array" ref="I338:I338">_xlfn.TEXTJOIN(" | ",TRUE(),IF(Events!$A$2:$A$397=$A338,Events!$E$2:$E$397&amp;IF(Events!$G$2:$G$397="National",""," ["&amp;Events!$G$2:$G$397&amp;"]"),""))</f>
        <v/>
      </c>
    </row>
    <row r="339" customFormat="false" ht="15" hidden="false" customHeight="true" outlineLevel="0" collapsed="false">
      <c r="A339" s="3" t="n">
        <v>45629</v>
      </c>
      <c r="B339" s="4" t="n">
        <f aca="false">YEAR($A339)</f>
        <v>2024</v>
      </c>
      <c r="C339" s="4" t="n">
        <f aca="false">MONTH($A339)</f>
        <v>12</v>
      </c>
      <c r="D339" s="4" t="str">
        <f aca="false">TEXT($A339,"ddd")</f>
        <v>Tue</v>
      </c>
      <c r="E339" s="4" t="n">
        <f aca="false">IF(OR(AND(MONTH($A339)=10,DAY($A339)&gt;=15),MONTH($A339)=11,AND(MONTH($A339)=12,DAY($A339)&lt;=7)),1,0)</f>
        <v>1</v>
      </c>
      <c r="F339" s="4" t="n">
        <f aca="false">IF(MONTH($A339)&lt;=3,1,0)</f>
        <v>0</v>
      </c>
      <c r="G339" s="4" t="str">
        <f aca="false" t="array" ref="G339: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4" t="n">
        <f aca="false">COUNTIF(Events!$A$2:$A$397,$A339)</f>
        <v>0</v>
      </c>
      <c r="I339" s="6" t="str">
        <f aca="false" t="array" ref="I339:I339">_xlfn.TEXTJOIN(" | ",TRUE(),IF(Events!$A$2:$A$397=$A339,Events!$E$2:$E$397&amp;IF(Events!$G$2:$G$397="National",""," ["&amp;Events!$G$2:$G$397&amp;"]"),""))</f>
        <v/>
      </c>
    </row>
    <row r="340" customFormat="false" ht="15" hidden="false" customHeight="true" outlineLevel="0" collapsed="false">
      <c r="A340" s="3" t="n">
        <v>45630</v>
      </c>
      <c r="B340" s="4" t="n">
        <f aca="false">YEAR($A340)</f>
        <v>2024</v>
      </c>
      <c r="C340" s="4" t="n">
        <f aca="false">MONTH($A340)</f>
        <v>12</v>
      </c>
      <c r="D340" s="4" t="str">
        <f aca="false">TEXT($A340,"ddd")</f>
        <v>Wed</v>
      </c>
      <c r="E340" s="4" t="n">
        <f aca="false">IF(OR(AND(MONTH($A340)=10,DAY($A340)&gt;=15),MONTH($A340)=11,AND(MONTH($A340)=12,DAY($A340)&lt;=7)),1,0)</f>
        <v>1</v>
      </c>
      <c r="F340" s="4" t="n">
        <f aca="false">IF(MONTH($A340)&lt;=3,1,0)</f>
        <v>0</v>
      </c>
      <c r="G340" s="4" t="str">
        <f aca="false" t="array" ref="G340: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4" t="n">
        <f aca="false">COUNTIF(Events!$A$2:$A$397,$A340)</f>
        <v>0</v>
      </c>
      <c r="I340" s="6" t="str">
        <f aca="false" t="array" ref="I340:I340">_xlfn.TEXTJOIN(" | ",TRUE(),IF(Events!$A$2:$A$397=$A340,Events!$E$2:$E$397&amp;IF(Events!$G$2:$G$397="National",""," ["&amp;Events!$G$2:$G$397&amp;"]"),""))</f>
        <v/>
      </c>
    </row>
    <row r="341" customFormat="false" ht="15" hidden="false" customHeight="true" outlineLevel="0" collapsed="false">
      <c r="A341" s="3" t="n">
        <v>45631</v>
      </c>
      <c r="B341" s="4" t="n">
        <f aca="false">YEAR($A341)</f>
        <v>2024</v>
      </c>
      <c r="C341" s="4" t="n">
        <f aca="false">MONTH($A341)</f>
        <v>12</v>
      </c>
      <c r="D341" s="4" t="str">
        <f aca="false">TEXT($A341,"ddd")</f>
        <v>Thu</v>
      </c>
      <c r="E341" s="4" t="n">
        <f aca="false">IF(OR(AND(MONTH($A341)=10,DAY($A341)&gt;=15),MONTH($A341)=11,AND(MONTH($A341)=12,DAY($A341)&lt;=7)),1,0)</f>
        <v>1</v>
      </c>
      <c r="F341" s="4" t="n">
        <f aca="false">IF(MONTH($A341)&lt;=3,1,0)</f>
        <v>0</v>
      </c>
      <c r="G341" s="4" t="str">
        <f aca="false" t="array" ref="G341: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4" t="n">
        <f aca="false">COUNTIF(Events!$A$2:$A$397,$A341)</f>
        <v>0</v>
      </c>
      <c r="I341" s="6" t="str">
        <f aca="false" t="array" ref="I341:I341">_xlfn.TEXTJOIN(" | ",TRUE(),IF(Events!$A$2:$A$397=$A341,Events!$E$2:$E$397&amp;IF(Events!$G$2:$G$397="National",""," ["&amp;Events!$G$2:$G$397&amp;"]"),""))</f>
        <v/>
      </c>
    </row>
    <row r="342" customFormat="false" ht="15" hidden="false" customHeight="true" outlineLevel="0" collapsed="false">
      <c r="A342" s="3" t="n">
        <v>45632</v>
      </c>
      <c r="B342" s="4" t="n">
        <f aca="false">YEAR($A342)</f>
        <v>2024</v>
      </c>
      <c r="C342" s="4" t="n">
        <f aca="false">MONTH($A342)</f>
        <v>12</v>
      </c>
      <c r="D342" s="4" t="str">
        <f aca="false">TEXT($A342,"ddd")</f>
        <v>Fri</v>
      </c>
      <c r="E342" s="4" t="n">
        <f aca="false">IF(OR(AND(MONTH($A342)=10,DAY($A342)&gt;=15),MONTH($A342)=11,AND(MONTH($A342)=12,DAY($A342)&lt;=7)),1,0)</f>
        <v>1</v>
      </c>
      <c r="F342" s="4" t="n">
        <f aca="false">IF(MONTH($A342)&lt;=3,1,0)</f>
        <v>0</v>
      </c>
      <c r="G342" s="4" t="str">
        <f aca="false" t="array" ref="G342: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4" t="n">
        <f aca="false">COUNTIF(Events!$A$2:$A$397,$A342)</f>
        <v>0</v>
      </c>
      <c r="I342" s="6" t="str">
        <f aca="false" t="array" ref="I342:I342">_xlfn.TEXTJOIN(" | ",TRUE(),IF(Events!$A$2:$A$397=$A342,Events!$E$2:$E$397&amp;IF(Events!$G$2:$G$397="National",""," ["&amp;Events!$G$2:$G$397&amp;"]"),""))</f>
        <v/>
      </c>
    </row>
    <row r="343" customFormat="false" ht="15" hidden="false" customHeight="true" outlineLevel="0" collapsed="false">
      <c r="A343" s="3" t="n">
        <v>45633</v>
      </c>
      <c r="B343" s="4" t="n">
        <f aca="false">YEAR($A343)</f>
        <v>2024</v>
      </c>
      <c r="C343" s="4" t="n">
        <f aca="false">MONTH($A343)</f>
        <v>12</v>
      </c>
      <c r="D343" s="4" t="str">
        <f aca="false">TEXT($A343,"ddd")</f>
        <v>Sat</v>
      </c>
      <c r="E343" s="4" t="n">
        <f aca="false">IF(OR(AND(MONTH($A343)=10,DAY($A343)&gt;=15),MONTH($A343)=11,AND(MONTH($A343)=12,DAY($A343)&lt;=7)),1,0)</f>
        <v>1</v>
      </c>
      <c r="F343" s="4" t="n">
        <f aca="false">IF(MONTH($A343)&lt;=3,1,0)</f>
        <v>0</v>
      </c>
      <c r="G343" s="4" t="str">
        <f aca="false" t="array" ref="G343: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4" t="n">
        <f aca="false">COUNTIF(Events!$A$2:$A$397,$A343)</f>
        <v>0</v>
      </c>
      <c r="I343" s="6" t="str">
        <f aca="false" t="array" ref="I343:I343">_xlfn.TEXTJOIN(" | ",TRUE(),IF(Events!$A$2:$A$397=$A343,Events!$E$2:$E$397&amp;IF(Events!$G$2:$G$397="National",""," ["&amp;Events!$G$2:$G$397&amp;"]"),""))</f>
        <v/>
      </c>
    </row>
    <row r="344" customFormat="false" ht="15" hidden="false" customHeight="true" outlineLevel="0" collapsed="false">
      <c r="A344" s="3" t="n">
        <v>45634</v>
      </c>
      <c r="B344" s="4" t="n">
        <f aca="false">YEAR($A344)</f>
        <v>2024</v>
      </c>
      <c r="C344" s="4" t="n">
        <f aca="false">MONTH($A344)</f>
        <v>12</v>
      </c>
      <c r="D344" s="4" t="str">
        <f aca="false">TEXT($A344,"ddd")</f>
        <v>Sun</v>
      </c>
      <c r="E344" s="4" t="n">
        <f aca="false">IF(OR(AND(MONTH($A344)=10,DAY($A344)&gt;=15),MONTH($A344)=11,AND(MONTH($A344)=12,DAY($A344)&lt;=7)),1,0)</f>
        <v>0</v>
      </c>
      <c r="F344" s="4" t="n">
        <f aca="false">IF(MONTH($A344)&lt;=3,1,0)</f>
        <v>0</v>
      </c>
      <c r="G344" s="4" t="str">
        <f aca="false" t="array" ref="G344: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4" t="n">
        <f aca="false">COUNTIF(Events!$A$2:$A$397,$A344)</f>
        <v>0</v>
      </c>
      <c r="I344" s="6" t="str">
        <f aca="false" t="array" ref="I344:I344">_xlfn.TEXTJOIN(" | ",TRUE(),IF(Events!$A$2:$A$397=$A344,Events!$E$2:$E$397&amp;IF(Events!$G$2:$G$397="National",""," ["&amp;Events!$G$2:$G$397&amp;"]"),""))</f>
        <v/>
      </c>
    </row>
    <row r="345" customFormat="false" ht="15" hidden="false" customHeight="true" outlineLevel="0" collapsed="false">
      <c r="A345" s="3" t="n">
        <v>45635</v>
      </c>
      <c r="B345" s="4" t="n">
        <f aca="false">YEAR($A345)</f>
        <v>2024</v>
      </c>
      <c r="C345" s="4" t="n">
        <f aca="false">MONTH($A345)</f>
        <v>12</v>
      </c>
      <c r="D345" s="4" t="str">
        <f aca="false">TEXT($A345,"ddd")</f>
        <v>Mon</v>
      </c>
      <c r="E345" s="4" t="n">
        <f aca="false">IF(OR(AND(MONTH($A345)=10,DAY($A345)&gt;=15),MONTH($A345)=11,AND(MONTH($A345)=12,DAY($A345)&lt;=7)),1,0)</f>
        <v>0</v>
      </c>
      <c r="F345" s="4" t="n">
        <f aca="false">IF(MONTH($A345)&lt;=3,1,0)</f>
        <v>0</v>
      </c>
      <c r="G345" s="4" t="str">
        <f aca="false" t="array" ref="G345: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4" t="n">
        <f aca="false">COUNTIF(Events!$A$2:$A$397,$A345)</f>
        <v>0</v>
      </c>
      <c r="I345" s="6" t="str">
        <f aca="false" t="array" ref="I345:I345">_xlfn.TEXTJOIN(" | ",TRUE(),IF(Events!$A$2:$A$397=$A345,Events!$E$2:$E$397&amp;IF(Events!$G$2:$G$397="National",""," ["&amp;Events!$G$2:$G$397&amp;"]"),""))</f>
        <v/>
      </c>
    </row>
    <row r="346" customFormat="false" ht="15" hidden="false" customHeight="true" outlineLevel="0" collapsed="false">
      <c r="A346" s="3" t="n">
        <v>45636</v>
      </c>
      <c r="B346" s="4" t="n">
        <f aca="false">YEAR($A346)</f>
        <v>2024</v>
      </c>
      <c r="C346" s="4" t="n">
        <f aca="false">MONTH($A346)</f>
        <v>12</v>
      </c>
      <c r="D346" s="4" t="str">
        <f aca="false">TEXT($A346,"ddd")</f>
        <v>Tue</v>
      </c>
      <c r="E346" s="4" t="n">
        <f aca="false">IF(OR(AND(MONTH($A346)=10,DAY($A346)&gt;=15),MONTH($A346)=11,AND(MONTH($A346)=12,DAY($A346)&lt;=7)),1,0)</f>
        <v>0</v>
      </c>
      <c r="F346" s="4" t="n">
        <f aca="false">IF(MONTH($A346)&lt;=3,1,0)</f>
        <v>0</v>
      </c>
      <c r="G346" s="4" t="str">
        <f aca="false" t="array" ref="G346: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4" t="n">
        <f aca="false">COUNTIF(Events!$A$2:$A$397,$A346)</f>
        <v>0</v>
      </c>
      <c r="I346" s="6" t="str">
        <f aca="false" t="array" ref="I346:I346">_xlfn.TEXTJOIN(" | ",TRUE(),IF(Events!$A$2:$A$397=$A346,Events!$E$2:$E$397&amp;IF(Events!$G$2:$G$397="National",""," ["&amp;Events!$G$2:$G$397&amp;"]"),""))</f>
        <v/>
      </c>
    </row>
    <row r="347" customFormat="false" ht="15" hidden="false" customHeight="true" outlineLevel="0" collapsed="false">
      <c r="A347" s="3" t="n">
        <v>45637</v>
      </c>
      <c r="B347" s="4" t="n">
        <f aca="false">YEAR($A347)</f>
        <v>2024</v>
      </c>
      <c r="C347" s="4" t="n">
        <f aca="false">MONTH($A347)</f>
        <v>12</v>
      </c>
      <c r="D347" s="4" t="str">
        <f aca="false">TEXT($A347,"ddd")</f>
        <v>Wed</v>
      </c>
      <c r="E347" s="4" t="n">
        <f aca="false">IF(OR(AND(MONTH($A347)=10,DAY($A347)&gt;=15),MONTH($A347)=11,AND(MONTH($A347)=12,DAY($A347)&lt;=7)),1,0)</f>
        <v>0</v>
      </c>
      <c r="F347" s="4" t="n">
        <f aca="false">IF(MONTH($A347)&lt;=3,1,0)</f>
        <v>0</v>
      </c>
      <c r="G347" s="4" t="str">
        <f aca="false" t="array" ref="G347: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4" t="n">
        <f aca="false">COUNTIF(Events!$A$2:$A$397,$A347)</f>
        <v>0</v>
      </c>
      <c r="I347" s="6" t="str">
        <f aca="false" t="array" ref="I347:I347">_xlfn.TEXTJOIN(" | ",TRUE(),IF(Events!$A$2:$A$397=$A347,Events!$E$2:$E$397&amp;IF(Events!$G$2:$G$397="National",""," ["&amp;Events!$G$2:$G$397&amp;"]"),""))</f>
        <v/>
      </c>
    </row>
    <row r="348" customFormat="false" ht="15" hidden="false" customHeight="true" outlineLevel="0" collapsed="false">
      <c r="A348" s="3" t="n">
        <v>45638</v>
      </c>
      <c r="B348" s="4" t="n">
        <f aca="false">YEAR($A348)</f>
        <v>2024</v>
      </c>
      <c r="C348" s="4" t="n">
        <f aca="false">MONTH($A348)</f>
        <v>12</v>
      </c>
      <c r="D348" s="4" t="str">
        <f aca="false">TEXT($A348,"ddd")</f>
        <v>Thu</v>
      </c>
      <c r="E348" s="4" t="n">
        <f aca="false">IF(OR(AND(MONTH($A348)=10,DAY($A348)&gt;=15),MONTH($A348)=11,AND(MONTH($A348)=12,DAY($A348)&lt;=7)),1,0)</f>
        <v>0</v>
      </c>
      <c r="F348" s="4" t="n">
        <f aca="false">IF(MONTH($A348)&lt;=3,1,0)</f>
        <v>0</v>
      </c>
      <c r="G348" s="4" t="str">
        <f aca="false" t="array" ref="G348: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4" t="n">
        <f aca="false">COUNTIF(Events!$A$2:$A$397,$A348)</f>
        <v>0</v>
      </c>
      <c r="I348" s="6" t="str">
        <f aca="false" t="array" ref="I348:I348">_xlfn.TEXTJOIN(" | ",TRUE(),IF(Events!$A$2:$A$397=$A348,Events!$E$2:$E$397&amp;IF(Events!$G$2:$G$397="National",""," ["&amp;Events!$G$2:$G$397&amp;"]"),""))</f>
        <v/>
      </c>
    </row>
    <row r="349" customFormat="false" ht="15" hidden="false" customHeight="true" outlineLevel="0" collapsed="false">
      <c r="A349" s="3" t="n">
        <v>45639</v>
      </c>
      <c r="B349" s="4" t="n">
        <f aca="false">YEAR($A349)</f>
        <v>2024</v>
      </c>
      <c r="C349" s="4" t="n">
        <f aca="false">MONTH($A349)</f>
        <v>12</v>
      </c>
      <c r="D349" s="4" t="str">
        <f aca="false">TEXT($A349,"ddd")</f>
        <v>Fri</v>
      </c>
      <c r="E349" s="4" t="n">
        <f aca="false">IF(OR(AND(MONTH($A349)=10,DAY($A349)&gt;=15),MONTH($A349)=11,AND(MONTH($A349)=12,DAY($A349)&lt;=7)),1,0)</f>
        <v>0</v>
      </c>
      <c r="F349" s="4" t="n">
        <f aca="false">IF(MONTH($A349)&lt;=3,1,0)</f>
        <v>0</v>
      </c>
      <c r="G349" s="4" t="str">
        <f aca="false" t="array" ref="G349: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4" t="n">
        <f aca="false">COUNTIF(Events!$A$2:$A$397,$A349)</f>
        <v>0</v>
      </c>
      <c r="I349" s="6" t="str">
        <f aca="false" t="array" ref="I349:I349">_xlfn.TEXTJOIN(" | ",TRUE(),IF(Events!$A$2:$A$397=$A349,Events!$E$2:$E$397&amp;IF(Events!$G$2:$G$397="National",""," ["&amp;Events!$G$2:$G$397&amp;"]"),""))</f>
        <v/>
      </c>
    </row>
    <row r="350" customFormat="false" ht="15" hidden="false" customHeight="true" outlineLevel="0" collapsed="false">
      <c r="A350" s="3" t="n">
        <v>45640</v>
      </c>
      <c r="B350" s="4" t="n">
        <f aca="false">YEAR($A350)</f>
        <v>2024</v>
      </c>
      <c r="C350" s="4" t="n">
        <f aca="false">MONTH($A350)</f>
        <v>12</v>
      </c>
      <c r="D350" s="4" t="str">
        <f aca="false">TEXT($A350,"ddd")</f>
        <v>Sat</v>
      </c>
      <c r="E350" s="4" t="n">
        <f aca="false">IF(OR(AND(MONTH($A350)=10,DAY($A350)&gt;=15),MONTH($A350)=11,AND(MONTH($A350)=12,DAY($A350)&lt;=7)),1,0)</f>
        <v>0</v>
      </c>
      <c r="F350" s="4" t="n">
        <f aca="false">IF(MONTH($A350)&lt;=3,1,0)</f>
        <v>0</v>
      </c>
      <c r="G350" s="4" t="str">
        <f aca="false" t="array" ref="G350: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4" t="n">
        <f aca="false">COUNTIF(Events!$A$2:$A$397,$A350)</f>
        <v>0</v>
      </c>
      <c r="I350" s="6" t="str">
        <f aca="false" t="array" ref="I350:I350">_xlfn.TEXTJOIN(" | ",TRUE(),IF(Events!$A$2:$A$397=$A350,Events!$E$2:$E$397&amp;IF(Events!$G$2:$G$397="National",""," ["&amp;Events!$G$2:$G$397&amp;"]"),""))</f>
        <v/>
      </c>
    </row>
    <row r="351" customFormat="false" ht="15" hidden="false" customHeight="true" outlineLevel="0" collapsed="false">
      <c r="A351" s="3" t="n">
        <v>45641</v>
      </c>
      <c r="B351" s="4" t="n">
        <f aca="false">YEAR($A351)</f>
        <v>2024</v>
      </c>
      <c r="C351" s="4" t="n">
        <f aca="false">MONTH($A351)</f>
        <v>12</v>
      </c>
      <c r="D351" s="4" t="str">
        <f aca="false">TEXT($A351,"ddd")</f>
        <v>Sun</v>
      </c>
      <c r="E351" s="4" t="n">
        <f aca="false">IF(OR(AND(MONTH($A351)=10,DAY($A351)&gt;=15),MONTH($A351)=11,AND(MONTH($A351)=12,DAY($A351)&lt;=7)),1,0)</f>
        <v>0</v>
      </c>
      <c r="F351" s="4" t="n">
        <f aca="false">IF(MONTH($A351)&lt;=3,1,0)</f>
        <v>0</v>
      </c>
      <c r="G351" s="4" t="str">
        <f aca="false" t="array" ref="G351: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4" t="n">
        <f aca="false">COUNTIF(Events!$A$2:$A$397,$A351)</f>
        <v>0</v>
      </c>
      <c r="I351" s="6" t="str">
        <f aca="false" t="array" ref="I351:I351">_xlfn.TEXTJOIN(" | ",TRUE(),IF(Events!$A$2:$A$397=$A351,Events!$E$2:$E$397&amp;IF(Events!$G$2:$G$397="National",""," ["&amp;Events!$G$2:$G$397&amp;"]"),""))</f>
        <v/>
      </c>
    </row>
    <row r="352" customFormat="false" ht="15" hidden="false" customHeight="true" outlineLevel="0" collapsed="false">
      <c r="A352" s="3" t="n">
        <v>45642</v>
      </c>
      <c r="B352" s="4" t="n">
        <f aca="false">YEAR($A352)</f>
        <v>2024</v>
      </c>
      <c r="C352" s="4" t="n">
        <f aca="false">MONTH($A352)</f>
        <v>12</v>
      </c>
      <c r="D352" s="4" t="str">
        <f aca="false">TEXT($A352,"ddd")</f>
        <v>Mon</v>
      </c>
      <c r="E352" s="4" t="n">
        <f aca="false">IF(OR(AND(MONTH($A352)=10,DAY($A352)&gt;=15),MONTH($A352)=11,AND(MONTH($A352)=12,DAY($A352)&lt;=7)),1,0)</f>
        <v>0</v>
      </c>
      <c r="F352" s="4" t="n">
        <f aca="false">IF(MONTH($A352)&lt;=3,1,0)</f>
        <v>0</v>
      </c>
      <c r="G352" s="4" t="str">
        <f aca="false" t="array" ref="G352: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4" t="n">
        <f aca="false">COUNTIF(Events!$A$2:$A$397,$A352)</f>
        <v>0</v>
      </c>
      <c r="I352" s="6" t="str">
        <f aca="false" t="array" ref="I352:I352">_xlfn.TEXTJOIN(" | ",TRUE(),IF(Events!$A$2:$A$397=$A352,Events!$E$2:$E$397&amp;IF(Events!$G$2:$G$397="National",""," ["&amp;Events!$G$2:$G$397&amp;"]"),""))</f>
        <v/>
      </c>
    </row>
    <row r="353" customFormat="false" ht="15" hidden="false" customHeight="true" outlineLevel="0" collapsed="false">
      <c r="A353" s="3" t="n">
        <v>45643</v>
      </c>
      <c r="B353" s="4" t="n">
        <f aca="false">YEAR($A353)</f>
        <v>2024</v>
      </c>
      <c r="C353" s="4" t="n">
        <f aca="false">MONTH($A353)</f>
        <v>12</v>
      </c>
      <c r="D353" s="4" t="str">
        <f aca="false">TEXT($A353,"ddd")</f>
        <v>Tue</v>
      </c>
      <c r="E353" s="4" t="n">
        <f aca="false">IF(OR(AND(MONTH($A353)=10,DAY($A353)&gt;=15),MONTH($A353)=11,AND(MONTH($A353)=12,DAY($A353)&lt;=7)),1,0)</f>
        <v>0</v>
      </c>
      <c r="F353" s="4" t="n">
        <f aca="false">IF(MONTH($A353)&lt;=3,1,0)</f>
        <v>0</v>
      </c>
      <c r="G353" s="4" t="str">
        <f aca="false" t="array" ref="G353: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4" t="n">
        <f aca="false">COUNTIF(Events!$A$2:$A$397,$A353)</f>
        <v>0</v>
      </c>
      <c r="I353" s="6" t="str">
        <f aca="false" t="array" ref="I353:I353">_xlfn.TEXTJOIN(" | ",TRUE(),IF(Events!$A$2:$A$397=$A353,Events!$E$2:$E$397&amp;IF(Events!$G$2:$G$397="National",""," ["&amp;Events!$G$2:$G$397&amp;"]"),""))</f>
        <v/>
      </c>
    </row>
    <row r="354" customFormat="false" ht="15" hidden="false" customHeight="true" outlineLevel="0" collapsed="false">
      <c r="A354" s="3" t="n">
        <v>45644</v>
      </c>
      <c r="B354" s="4" t="n">
        <f aca="false">YEAR($A354)</f>
        <v>2024</v>
      </c>
      <c r="C354" s="4" t="n">
        <f aca="false">MONTH($A354)</f>
        <v>12</v>
      </c>
      <c r="D354" s="4" t="str">
        <f aca="false">TEXT($A354,"ddd")</f>
        <v>Wed</v>
      </c>
      <c r="E354" s="4" t="n">
        <f aca="false">IF(OR(AND(MONTH($A354)=10,DAY($A354)&gt;=15),MONTH($A354)=11,AND(MONTH($A354)=12,DAY($A354)&lt;=7)),1,0)</f>
        <v>0</v>
      </c>
      <c r="F354" s="4" t="n">
        <f aca="false">IF(MONTH($A354)&lt;=3,1,0)</f>
        <v>0</v>
      </c>
      <c r="G354" s="4" t="str">
        <f aca="false" t="array" ref="G354: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4" t="n">
        <f aca="false">COUNTIF(Events!$A$2:$A$397,$A354)</f>
        <v>0</v>
      </c>
      <c r="I354" s="6" t="str">
        <f aca="false" t="array" ref="I354:I354">_xlfn.TEXTJOIN(" | ",TRUE(),IF(Events!$A$2:$A$397=$A354,Events!$E$2:$E$397&amp;IF(Events!$G$2:$G$397="National",""," ["&amp;Events!$G$2:$G$397&amp;"]"),""))</f>
        <v/>
      </c>
    </row>
    <row r="355" customFormat="false" ht="15" hidden="false" customHeight="true" outlineLevel="0" collapsed="false">
      <c r="A355" s="3" t="n">
        <v>45645</v>
      </c>
      <c r="B355" s="4" t="n">
        <f aca="false">YEAR($A355)</f>
        <v>2024</v>
      </c>
      <c r="C355" s="4" t="n">
        <f aca="false">MONTH($A355)</f>
        <v>12</v>
      </c>
      <c r="D355" s="4" t="str">
        <f aca="false">TEXT($A355,"ddd")</f>
        <v>Thu</v>
      </c>
      <c r="E355" s="4" t="n">
        <f aca="false">IF(OR(AND(MONTH($A355)=10,DAY($A355)&gt;=15),MONTH($A355)=11,AND(MONTH($A355)=12,DAY($A355)&lt;=7)),1,0)</f>
        <v>0</v>
      </c>
      <c r="F355" s="4" t="n">
        <f aca="false">IF(MONTH($A355)&lt;=3,1,0)</f>
        <v>0</v>
      </c>
      <c r="G355" s="4" t="str">
        <f aca="false" t="array" ref="G355: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4" t="n">
        <f aca="false">COUNTIF(Events!$A$2:$A$397,$A355)</f>
        <v>0</v>
      </c>
      <c r="I355" s="6" t="str">
        <f aca="false" t="array" ref="I355:I355">_xlfn.TEXTJOIN(" | ",TRUE(),IF(Events!$A$2:$A$397=$A355,Events!$E$2:$E$397&amp;IF(Events!$G$2:$G$397="National",""," ["&amp;Events!$G$2:$G$397&amp;"]"),""))</f>
        <v/>
      </c>
    </row>
    <row r="356" customFormat="false" ht="15" hidden="false" customHeight="true" outlineLevel="0" collapsed="false">
      <c r="A356" s="3" t="n">
        <v>45646</v>
      </c>
      <c r="B356" s="4" t="n">
        <f aca="false">YEAR($A356)</f>
        <v>2024</v>
      </c>
      <c r="C356" s="4" t="n">
        <f aca="false">MONTH($A356)</f>
        <v>12</v>
      </c>
      <c r="D356" s="4" t="str">
        <f aca="false">TEXT($A356,"ddd")</f>
        <v>Fri</v>
      </c>
      <c r="E356" s="4" t="n">
        <f aca="false">IF(OR(AND(MONTH($A356)=10,DAY($A356)&gt;=15),MONTH($A356)=11,AND(MONTH($A356)=12,DAY($A356)&lt;=7)),1,0)</f>
        <v>0</v>
      </c>
      <c r="F356" s="4" t="n">
        <f aca="false">IF(MONTH($A356)&lt;=3,1,0)</f>
        <v>0</v>
      </c>
      <c r="G356" s="4" t="str">
        <f aca="false" t="array" ref="G356: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4" t="n">
        <f aca="false">COUNTIF(Events!$A$2:$A$397,$A356)</f>
        <v>0</v>
      </c>
      <c r="I356" s="6" t="str">
        <f aca="false" t="array" ref="I356:I356">_xlfn.TEXTJOIN(" | ",TRUE(),IF(Events!$A$2:$A$397=$A356,Events!$E$2:$E$397&amp;IF(Events!$G$2:$G$397="National",""," ["&amp;Events!$G$2:$G$397&amp;"]"),""))</f>
        <v/>
      </c>
    </row>
    <row r="357" customFormat="false" ht="15" hidden="false" customHeight="true" outlineLevel="0" collapsed="false">
      <c r="A357" s="3" t="n">
        <v>45647</v>
      </c>
      <c r="B357" s="4" t="n">
        <f aca="false">YEAR($A357)</f>
        <v>2024</v>
      </c>
      <c r="C357" s="4" t="n">
        <f aca="false">MONTH($A357)</f>
        <v>12</v>
      </c>
      <c r="D357" s="4" t="str">
        <f aca="false">TEXT($A357,"ddd")</f>
        <v>Sat</v>
      </c>
      <c r="E357" s="4" t="n">
        <f aca="false">IF(OR(AND(MONTH($A357)=10,DAY($A357)&gt;=15),MONTH($A357)=11,AND(MONTH($A357)=12,DAY($A357)&lt;=7)),1,0)</f>
        <v>0</v>
      </c>
      <c r="F357" s="4" t="n">
        <f aca="false">IF(MONTH($A357)&lt;=3,1,0)</f>
        <v>0</v>
      </c>
      <c r="G357" s="4" t="str">
        <f aca="false" t="array" ref="G357: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4" t="n">
        <f aca="false">COUNTIF(Events!$A$2:$A$397,$A357)</f>
        <v>0</v>
      </c>
      <c r="I357" s="6" t="str">
        <f aca="false" t="array" ref="I357:I357">_xlfn.TEXTJOIN(" | ",TRUE(),IF(Events!$A$2:$A$397=$A357,Events!$E$2:$E$397&amp;IF(Events!$G$2:$G$397="National",""," ["&amp;Events!$G$2:$G$397&amp;"]"),""))</f>
        <v/>
      </c>
    </row>
    <row r="358" customFormat="false" ht="15" hidden="false" customHeight="true" outlineLevel="0" collapsed="false">
      <c r="A358" s="3" t="n">
        <v>45648</v>
      </c>
      <c r="B358" s="4" t="n">
        <f aca="false">YEAR($A358)</f>
        <v>2024</v>
      </c>
      <c r="C358" s="4" t="n">
        <f aca="false">MONTH($A358)</f>
        <v>12</v>
      </c>
      <c r="D358" s="4" t="str">
        <f aca="false">TEXT($A358,"ddd")</f>
        <v>Sun</v>
      </c>
      <c r="E358" s="4" t="n">
        <f aca="false">IF(OR(AND(MONTH($A358)=10,DAY($A358)&gt;=15),MONTH($A358)=11,AND(MONTH($A358)=12,DAY($A358)&lt;=7)),1,0)</f>
        <v>0</v>
      </c>
      <c r="F358" s="4" t="n">
        <f aca="false">IF(MONTH($A358)&lt;=3,1,0)</f>
        <v>0</v>
      </c>
      <c r="G358" s="4" t="str">
        <f aca="false" t="array" ref="G358: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4" t="n">
        <f aca="false">COUNTIF(Events!$A$2:$A$397,$A358)</f>
        <v>0</v>
      </c>
      <c r="I358" s="6" t="str">
        <f aca="false" t="array" ref="I358:I358">_xlfn.TEXTJOIN(" | ",TRUE(),IF(Events!$A$2:$A$397=$A358,Events!$E$2:$E$397&amp;IF(Events!$G$2:$G$397="National",""," ["&amp;Events!$G$2:$G$397&amp;"]"),""))</f>
        <v/>
      </c>
    </row>
    <row r="359" customFormat="false" ht="15" hidden="false" customHeight="true" outlineLevel="0" collapsed="false">
      <c r="A359" s="3" t="n">
        <v>45649</v>
      </c>
      <c r="B359" s="4" t="n">
        <f aca="false">YEAR($A359)</f>
        <v>2024</v>
      </c>
      <c r="C359" s="4" t="n">
        <f aca="false">MONTH($A359)</f>
        <v>12</v>
      </c>
      <c r="D359" s="4" t="str">
        <f aca="false">TEXT($A359,"ddd")</f>
        <v>Mon</v>
      </c>
      <c r="E359" s="4" t="n">
        <f aca="false">IF(OR(AND(MONTH($A359)=10,DAY($A359)&gt;=15),MONTH($A359)=11,AND(MONTH($A359)=12,DAY($A359)&lt;=7)),1,0)</f>
        <v>0</v>
      </c>
      <c r="F359" s="4" t="n">
        <f aca="false">IF(MONTH($A359)&lt;=3,1,0)</f>
        <v>0</v>
      </c>
      <c r="G359" s="4" t="str">
        <f aca="false" t="array" ref="G359: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4" t="n">
        <f aca="false">COUNTIF(Events!$A$2:$A$397,$A359)</f>
        <v>0</v>
      </c>
      <c r="I359" s="6" t="str">
        <f aca="false" t="array" ref="I359:I359">_xlfn.TEXTJOIN(" | ",TRUE(),IF(Events!$A$2:$A$397=$A359,Events!$E$2:$E$397&amp;IF(Events!$G$2:$G$397="National",""," ["&amp;Events!$G$2:$G$397&amp;"]"),""))</f>
        <v/>
      </c>
    </row>
    <row r="360" customFormat="false" ht="15" hidden="false" customHeight="true" outlineLevel="0" collapsed="false">
      <c r="A360" s="3" t="n">
        <v>45650</v>
      </c>
      <c r="B360" s="4" t="n">
        <f aca="false">YEAR($A360)</f>
        <v>2024</v>
      </c>
      <c r="C360" s="4" t="n">
        <f aca="false">MONTH($A360)</f>
        <v>12</v>
      </c>
      <c r="D360" s="4" t="str">
        <f aca="false">TEXT($A360,"ddd")</f>
        <v>Tue</v>
      </c>
      <c r="E360" s="4" t="n">
        <f aca="false">IF(OR(AND(MONTH($A360)=10,DAY($A360)&gt;=15),MONTH($A360)=11,AND(MONTH($A360)=12,DAY($A360)&lt;=7)),1,0)</f>
        <v>0</v>
      </c>
      <c r="F360" s="4" t="n">
        <f aca="false">IF(MONTH($A360)&lt;=3,1,0)</f>
        <v>0</v>
      </c>
      <c r="G360" s="4" t="str">
        <f aca="false" t="array" ref="G360: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4" t="n">
        <f aca="false">COUNTIF(Events!$A$2:$A$397,$A360)</f>
        <v>0</v>
      </c>
      <c r="I360" s="6" t="str">
        <f aca="false" t="array" ref="I360:I360">_xlfn.TEXTJOIN(" | ",TRUE(),IF(Events!$A$2:$A$397=$A360,Events!$E$2:$E$397&amp;IF(Events!$G$2:$G$397="National",""," ["&amp;Events!$G$2:$G$397&amp;"]"),""))</f>
        <v/>
      </c>
    </row>
    <row r="361" customFormat="false" ht="15" hidden="false" customHeight="true" outlineLevel="0" collapsed="false">
      <c r="A361" s="3" t="n">
        <v>45651</v>
      </c>
      <c r="B361" s="4" t="n">
        <f aca="false">YEAR($A361)</f>
        <v>2024</v>
      </c>
      <c r="C361" s="4" t="n">
        <f aca="false">MONTH($A361)</f>
        <v>12</v>
      </c>
      <c r="D361" s="4" t="str">
        <f aca="false">TEXT($A361,"ddd")</f>
        <v>Wed</v>
      </c>
      <c r="E361" s="4" t="n">
        <f aca="false">IF(OR(AND(MONTH($A361)=10,DAY($A361)&gt;=15),MONTH($A361)=11,AND(MONTH($A361)=12,DAY($A361)&lt;=7)),1,0)</f>
        <v>0</v>
      </c>
      <c r="F361" s="4" t="n">
        <f aca="false">IF(MONTH($A361)&lt;=3,1,0)</f>
        <v>0</v>
      </c>
      <c r="G361" s="4" t="str">
        <f aca="false" t="array" ref="G361: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4" t="n">
        <f aca="false">COUNTIF(Events!$A$2:$A$397,$A361)</f>
        <v>0</v>
      </c>
      <c r="I361" s="6" t="str">
        <f aca="false" t="array" ref="I361:I361">_xlfn.TEXTJOIN(" | ",TRUE(),IF(Events!$A$2:$A$397=$A361,Events!$E$2:$E$397&amp;IF(Events!$G$2:$G$397="National",""," ["&amp;Events!$G$2:$G$397&amp;"]"),""))</f>
        <v/>
      </c>
    </row>
    <row r="362" customFormat="false" ht="15" hidden="false" customHeight="true" outlineLevel="0" collapsed="false">
      <c r="A362" s="3" t="n">
        <v>45652</v>
      </c>
      <c r="B362" s="4" t="n">
        <f aca="false">YEAR($A362)</f>
        <v>2024</v>
      </c>
      <c r="C362" s="4" t="n">
        <f aca="false">MONTH($A362)</f>
        <v>12</v>
      </c>
      <c r="D362" s="4" t="str">
        <f aca="false">TEXT($A362,"ddd")</f>
        <v>Thu</v>
      </c>
      <c r="E362" s="4" t="n">
        <f aca="false">IF(OR(AND(MONTH($A362)=10,DAY($A362)&gt;=15),MONTH($A362)=11,AND(MONTH($A362)=12,DAY($A362)&lt;=7)),1,0)</f>
        <v>0</v>
      </c>
      <c r="F362" s="4" t="n">
        <f aca="false">IF(MONTH($A362)&lt;=3,1,0)</f>
        <v>0</v>
      </c>
      <c r="G362" s="4" t="str">
        <f aca="false" t="array" ref="G362: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4" t="n">
        <f aca="false">COUNTIF(Events!$A$2:$A$397,$A362)</f>
        <v>0</v>
      </c>
      <c r="I362" s="6" t="str">
        <f aca="false" t="array" ref="I362:I362">_xlfn.TEXTJOIN(" | ",TRUE(),IF(Events!$A$2:$A$397=$A362,Events!$E$2:$E$397&amp;IF(Events!$G$2:$G$397="National",""," ["&amp;Events!$G$2:$G$397&amp;"]"),""))</f>
        <v/>
      </c>
    </row>
    <row r="363" customFormat="false" ht="15" hidden="false" customHeight="true" outlineLevel="0" collapsed="false">
      <c r="A363" s="3" t="n">
        <v>45653</v>
      </c>
      <c r="B363" s="4" t="n">
        <f aca="false">YEAR($A363)</f>
        <v>2024</v>
      </c>
      <c r="C363" s="4" t="n">
        <f aca="false">MONTH($A363)</f>
        <v>12</v>
      </c>
      <c r="D363" s="4" t="str">
        <f aca="false">TEXT($A363,"ddd")</f>
        <v>Fri</v>
      </c>
      <c r="E363" s="4" t="n">
        <f aca="false">IF(OR(AND(MONTH($A363)=10,DAY($A363)&gt;=15),MONTH($A363)=11,AND(MONTH($A363)=12,DAY($A363)&lt;=7)),1,0)</f>
        <v>0</v>
      </c>
      <c r="F363" s="4" t="n">
        <f aca="false">IF(MONTH($A363)&lt;=3,1,0)</f>
        <v>0</v>
      </c>
      <c r="G363" s="4" t="str">
        <f aca="false" t="array" ref="G363: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4" t="n">
        <f aca="false">COUNTIF(Events!$A$2:$A$397,$A363)</f>
        <v>0</v>
      </c>
      <c r="I363" s="6" t="str">
        <f aca="false" t="array" ref="I363:I363">_xlfn.TEXTJOIN(" | ",TRUE(),IF(Events!$A$2:$A$397=$A363,Events!$E$2:$E$397&amp;IF(Events!$G$2:$G$397="National",""," ["&amp;Events!$G$2:$G$397&amp;"]"),""))</f>
        <v/>
      </c>
    </row>
    <row r="364" customFormat="false" ht="15" hidden="false" customHeight="true" outlineLevel="0" collapsed="false">
      <c r="A364" s="3" t="n">
        <v>45654</v>
      </c>
      <c r="B364" s="4" t="n">
        <f aca="false">YEAR($A364)</f>
        <v>2024</v>
      </c>
      <c r="C364" s="4" t="n">
        <f aca="false">MONTH($A364)</f>
        <v>12</v>
      </c>
      <c r="D364" s="4" t="str">
        <f aca="false">TEXT($A364,"ddd")</f>
        <v>Sat</v>
      </c>
      <c r="E364" s="4" t="n">
        <f aca="false">IF(OR(AND(MONTH($A364)=10,DAY($A364)&gt;=15),MONTH($A364)=11,AND(MONTH($A364)=12,DAY($A364)&lt;=7)),1,0)</f>
        <v>0</v>
      </c>
      <c r="F364" s="4" t="n">
        <f aca="false">IF(MONTH($A364)&lt;=3,1,0)</f>
        <v>0</v>
      </c>
      <c r="G364" s="4" t="str">
        <f aca="false" t="array" ref="G364: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4" t="n">
        <f aca="false">COUNTIF(Events!$A$2:$A$397,$A364)</f>
        <v>0</v>
      </c>
      <c r="I364" s="6" t="str">
        <f aca="false" t="array" ref="I364:I364">_xlfn.TEXTJOIN(" | ",TRUE(),IF(Events!$A$2:$A$397=$A364,Events!$E$2:$E$397&amp;IF(Events!$G$2:$G$397="National",""," ["&amp;Events!$G$2:$G$397&amp;"]"),""))</f>
        <v/>
      </c>
    </row>
    <row r="365" customFormat="false" ht="15" hidden="false" customHeight="true" outlineLevel="0" collapsed="false">
      <c r="A365" s="3" t="n">
        <v>45655</v>
      </c>
      <c r="B365" s="4" t="n">
        <f aca="false">YEAR($A365)</f>
        <v>2024</v>
      </c>
      <c r="C365" s="4" t="n">
        <f aca="false">MONTH($A365)</f>
        <v>12</v>
      </c>
      <c r="D365" s="4" t="str">
        <f aca="false">TEXT($A365,"ddd")</f>
        <v>Sun</v>
      </c>
      <c r="E365" s="4" t="n">
        <f aca="false">IF(OR(AND(MONTH($A365)=10,DAY($A365)&gt;=15),MONTH($A365)=11,AND(MONTH($A365)=12,DAY($A365)&lt;=7)),1,0)</f>
        <v>0</v>
      </c>
      <c r="F365" s="4" t="n">
        <f aca="false">IF(MONTH($A365)&lt;=3,1,0)</f>
        <v>0</v>
      </c>
      <c r="G365" s="4" t="str">
        <f aca="false" t="array" ref="G365: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4" t="n">
        <f aca="false">COUNTIF(Events!$A$2:$A$397,$A365)</f>
        <v>0</v>
      </c>
      <c r="I365" s="6" t="str">
        <f aca="false" t="array" ref="I365:I365">_xlfn.TEXTJOIN(" | ",TRUE(),IF(Events!$A$2:$A$397=$A365,Events!$E$2:$E$397&amp;IF(Events!$G$2:$G$397="National",""," ["&amp;Events!$G$2:$G$397&amp;"]"),""))</f>
        <v/>
      </c>
    </row>
    <row r="366" customFormat="false" ht="15" hidden="false" customHeight="true" outlineLevel="0" collapsed="false">
      <c r="A366" s="3" t="n">
        <v>45656</v>
      </c>
      <c r="B366" s="4" t="n">
        <f aca="false">YEAR($A366)</f>
        <v>2024</v>
      </c>
      <c r="C366" s="4" t="n">
        <f aca="false">MONTH($A366)</f>
        <v>12</v>
      </c>
      <c r="D366" s="4" t="str">
        <f aca="false">TEXT($A366,"ddd")</f>
        <v>Mon</v>
      </c>
      <c r="E366" s="4" t="n">
        <f aca="false">IF(OR(AND(MONTH($A366)=10,DAY($A366)&gt;=15),MONTH($A366)=11,AND(MONTH($A366)=12,DAY($A366)&lt;=7)),1,0)</f>
        <v>0</v>
      </c>
      <c r="F366" s="4" t="n">
        <f aca="false">IF(MONTH($A366)&lt;=3,1,0)</f>
        <v>0</v>
      </c>
      <c r="G366" s="4" t="str">
        <f aca="false" t="array" ref="G366: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
      </c>
      <c r="H366" s="4" t="n">
        <f aca="false">COUNTIF(Events!$A$2:$A$397,$A366)</f>
        <v>0</v>
      </c>
      <c r="I366" s="6" t="str">
        <f aca="false" t="array" ref="I366:I366">_xlfn.TEXTJOIN(" | ",TRUE(),IF(Events!$A$2:$A$397=$A366,Events!$E$2:$E$397&amp;IF(Events!$G$2:$G$397="National",""," ["&amp;Events!$G$2:$G$397&amp;"]"),""))</f>
        <v/>
      </c>
    </row>
    <row r="367" customFormat="false" ht="15" hidden="false" customHeight="true" outlineLevel="0" collapsed="false">
      <c r="A367" s="3" t="n">
        <v>45657</v>
      </c>
      <c r="B367" s="4" t="n">
        <f aca="false">YEAR($A367)</f>
        <v>2024</v>
      </c>
      <c r="C367" s="4" t="n">
        <f aca="false">MONTH($A367)</f>
        <v>12</v>
      </c>
      <c r="D367" s="4" t="str">
        <f aca="false">TEXT($A367,"ddd")</f>
        <v>Tue</v>
      </c>
      <c r="E367" s="4" t="n">
        <f aca="false">IF(OR(AND(MONTH($A367)=10,DAY($A367)&gt;=15),MONTH($A367)=11,AND(MONTH($A367)=12,DAY($A367)&lt;=7)),1,0)</f>
        <v>0</v>
      </c>
      <c r="F367" s="4" t="n">
        <f aca="false">IF(MONTH($A367)&lt;=3,1,0)</f>
        <v>0</v>
      </c>
      <c r="G367" s="4" t="str">
        <f aca="false" t="array" ref="G367: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 | 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7" s="4" t="n">
        <f aca="false">COUNTIF(Events!$A$2:$A$397,$A367)</f>
        <v>0</v>
      </c>
      <c r="I367" s="6" t="str">
        <f aca="false" t="array" ref="I367:I367">_xlfn.TEXTJOIN(" | ",TRUE(),IF(Events!$A$2:$A$397=$A367,Events!$E$2:$E$397&amp;IF(Events!$G$2:$G$397="National",""," ["&amp;Events!$G$2:$G$397&amp;"]"),""))</f>
        <v/>
      </c>
    </row>
    <row r="368" customFormat="false" ht="15" hidden="false" customHeight="true" outlineLevel="0" collapsed="false">
      <c r="A368" s="3" t="n">
        <v>45658</v>
      </c>
      <c r="B368" s="4" t="n">
        <f aca="false">YEAR($A368)</f>
        <v>2025</v>
      </c>
      <c r="C368" s="4" t="n">
        <f aca="false">MONTH($A368)</f>
        <v>1</v>
      </c>
      <c r="D368" s="4" t="str">
        <f aca="false">TEXT($A368,"ddd")</f>
        <v>Wed</v>
      </c>
      <c r="E368" s="4" t="n">
        <f aca="false">IF(OR(AND(MONTH($A368)=10,DAY($A368)&gt;=15),MONTH($A368)=11,AND(MONTH($A368)=12,DAY($A368)&lt;=7)),1,0)</f>
        <v>0</v>
      </c>
      <c r="F368" s="4" t="n">
        <f aca="false">IF(MONTH($A368)&lt;=3,1,0)</f>
        <v>1</v>
      </c>
      <c r="G368" s="4" t="str">
        <f aca="false" t="array" ref="G368: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4" t="n">
        <f aca="false">COUNTIF(Events!$A$2:$A$397,$A368)</f>
        <v>3</v>
      </c>
      <c r="I368" s="6" t="str">
        <f aca="false" t="array" ref="I368:I368">_xlfn.TEXTJOIN(" | ",TRUE(),IF(Events!$A$2:$A$397=$A368,Events!$E$2:$E$397&amp;IF(Events!$G$2:$G$397="National",""," ["&amp;Events!$G$2:$G$397&amp;"]"),""))</f>
        <v>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 | 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 | 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v>
      </c>
    </row>
    <row r="369" customFormat="false" ht="15" hidden="false" customHeight="true" outlineLevel="0" collapsed="false">
      <c r="A369" s="3" t="n">
        <v>45659</v>
      </c>
      <c r="B369" s="4" t="n">
        <f aca="false">YEAR($A369)</f>
        <v>2025</v>
      </c>
      <c r="C369" s="4" t="n">
        <f aca="false">MONTH($A369)</f>
        <v>1</v>
      </c>
      <c r="D369" s="4" t="str">
        <f aca="false">TEXT($A369,"ddd")</f>
        <v>Thu</v>
      </c>
      <c r="E369" s="4" t="n">
        <f aca="false">IF(OR(AND(MONTH($A369)=10,DAY($A369)&gt;=15),MONTH($A369)=11,AND(MONTH($A369)=12,DAY($A369)&lt;=7)),1,0)</f>
        <v>0</v>
      </c>
      <c r="F369" s="4" t="n">
        <f aca="false">IF(MONTH($A369)&lt;=3,1,0)</f>
        <v>1</v>
      </c>
      <c r="G369" s="4" t="str">
        <f aca="false" t="array" ref="G369: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4" t="n">
        <f aca="false">COUNTIF(Events!$A$2:$A$397,$A369)</f>
        <v>0</v>
      </c>
      <c r="I369" s="6" t="str">
        <f aca="false" t="array" ref="I369:I369">_xlfn.TEXTJOIN(" | ",TRUE(),IF(Events!$A$2:$A$397=$A369,Events!$E$2:$E$397&amp;IF(Events!$G$2:$G$397="National",""," ["&amp;Events!$G$2:$G$397&amp;"]"),""))</f>
        <v/>
      </c>
    </row>
    <row r="370" customFormat="false" ht="15" hidden="false" customHeight="true" outlineLevel="0" collapsed="false">
      <c r="A370" s="3" t="n">
        <v>45660</v>
      </c>
      <c r="B370" s="4" t="n">
        <f aca="false">YEAR($A370)</f>
        <v>2025</v>
      </c>
      <c r="C370" s="4" t="n">
        <f aca="false">MONTH($A370)</f>
        <v>1</v>
      </c>
      <c r="D370" s="4" t="str">
        <f aca="false">TEXT($A370,"ddd")</f>
        <v>Fri</v>
      </c>
      <c r="E370" s="4" t="n">
        <f aca="false">IF(OR(AND(MONTH($A370)=10,DAY($A370)&gt;=15),MONTH($A370)=11,AND(MONTH($A370)=12,DAY($A370)&lt;=7)),1,0)</f>
        <v>0</v>
      </c>
      <c r="F370" s="4" t="n">
        <f aca="false">IF(MONTH($A370)&lt;=3,1,0)</f>
        <v>1</v>
      </c>
      <c r="G370" s="4" t="str">
        <f aca="false" t="array" ref="G370: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4" t="n">
        <f aca="false">COUNTIF(Events!$A$2:$A$397,$A370)</f>
        <v>0</v>
      </c>
      <c r="I370" s="6" t="str">
        <f aca="false" t="array" ref="I370:I370">_xlfn.TEXTJOIN(" | ",TRUE(),IF(Events!$A$2:$A$397=$A370,Events!$E$2:$E$397&amp;IF(Events!$G$2:$G$397="National",""," ["&amp;Events!$G$2:$G$397&amp;"]"),""))</f>
        <v/>
      </c>
    </row>
    <row r="371" customFormat="false" ht="15" hidden="false" customHeight="true" outlineLevel="0" collapsed="false">
      <c r="A371" s="3" t="n">
        <v>45661</v>
      </c>
      <c r="B371" s="4" t="n">
        <f aca="false">YEAR($A371)</f>
        <v>2025</v>
      </c>
      <c r="C371" s="4" t="n">
        <f aca="false">MONTH($A371)</f>
        <v>1</v>
      </c>
      <c r="D371" s="4" t="str">
        <f aca="false">TEXT($A371,"ddd")</f>
        <v>Sat</v>
      </c>
      <c r="E371" s="4" t="n">
        <f aca="false">IF(OR(AND(MONTH($A371)=10,DAY($A371)&gt;=15),MONTH($A371)=11,AND(MONTH($A371)=12,DAY($A371)&lt;=7)),1,0)</f>
        <v>0</v>
      </c>
      <c r="F371" s="4" t="n">
        <f aca="false">IF(MONTH($A371)&lt;=3,1,0)</f>
        <v>1</v>
      </c>
      <c r="G371" s="4" t="str">
        <f aca="false" t="array" ref="G371: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4" t="n">
        <f aca="false">COUNTIF(Events!$A$2:$A$397,$A371)</f>
        <v>0</v>
      </c>
      <c r="I371" s="6" t="str">
        <f aca="false" t="array" ref="I371:I371">_xlfn.TEXTJOIN(" | ",TRUE(),IF(Events!$A$2:$A$397=$A371,Events!$E$2:$E$397&amp;IF(Events!$G$2:$G$397="National",""," ["&amp;Events!$G$2:$G$397&amp;"]"),""))</f>
        <v/>
      </c>
    </row>
    <row r="372" customFormat="false" ht="15" hidden="false" customHeight="true" outlineLevel="0" collapsed="false">
      <c r="A372" s="3" t="n">
        <v>45662</v>
      </c>
      <c r="B372" s="4" t="n">
        <f aca="false">YEAR($A372)</f>
        <v>2025</v>
      </c>
      <c r="C372" s="4" t="n">
        <f aca="false">MONTH($A372)</f>
        <v>1</v>
      </c>
      <c r="D372" s="4" t="str">
        <f aca="false">TEXT($A372,"ddd")</f>
        <v>Sun</v>
      </c>
      <c r="E372" s="4" t="n">
        <f aca="false">IF(OR(AND(MONTH($A372)=10,DAY($A372)&gt;=15),MONTH($A372)=11,AND(MONTH($A372)=12,DAY($A372)&lt;=7)),1,0)</f>
        <v>0</v>
      </c>
      <c r="F372" s="4" t="n">
        <f aca="false">IF(MONTH($A372)&lt;=3,1,0)</f>
        <v>1</v>
      </c>
      <c r="G372" s="4" t="str">
        <f aca="false" t="array" ref="G372: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4" t="n">
        <f aca="false">COUNTIF(Events!$A$2:$A$397,$A372)</f>
        <v>0</v>
      </c>
      <c r="I372" s="6" t="str">
        <f aca="false" t="array" ref="I372:I372">_xlfn.TEXTJOIN(" | ",TRUE(),IF(Events!$A$2:$A$397=$A372,Events!$E$2:$E$397&amp;IF(Events!$G$2:$G$397="National",""," ["&amp;Events!$G$2:$G$397&amp;"]"),""))</f>
        <v/>
      </c>
    </row>
    <row r="373" customFormat="false" ht="15" hidden="false" customHeight="true" outlineLevel="0" collapsed="false">
      <c r="A373" s="3" t="n">
        <v>45663</v>
      </c>
      <c r="B373" s="4" t="n">
        <f aca="false">YEAR($A373)</f>
        <v>2025</v>
      </c>
      <c r="C373" s="4" t="n">
        <f aca="false">MONTH($A373)</f>
        <v>1</v>
      </c>
      <c r="D373" s="4" t="str">
        <f aca="false">TEXT($A373,"ddd")</f>
        <v>Mon</v>
      </c>
      <c r="E373" s="4" t="n">
        <f aca="false">IF(OR(AND(MONTH($A373)=10,DAY($A373)&gt;=15),MONTH($A373)=11,AND(MONTH($A373)=12,DAY($A373)&lt;=7)),1,0)</f>
        <v>0</v>
      </c>
      <c r="F373" s="4" t="n">
        <f aca="false">IF(MONTH($A373)&lt;=3,1,0)</f>
        <v>1</v>
      </c>
      <c r="G373" s="4" t="str">
        <f aca="false" t="array" ref="G373: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4" t="n">
        <f aca="false">COUNTIF(Events!$A$2:$A$397,$A373)</f>
        <v>0</v>
      </c>
      <c r="I373" s="6" t="str">
        <f aca="false" t="array" ref="I373:I373">_xlfn.TEXTJOIN(" | ",TRUE(),IF(Events!$A$2:$A$397=$A373,Events!$E$2:$E$397&amp;IF(Events!$G$2:$G$397="National",""," ["&amp;Events!$G$2:$G$397&amp;"]"),""))</f>
        <v/>
      </c>
    </row>
    <row r="374" customFormat="false" ht="15" hidden="false" customHeight="true" outlineLevel="0" collapsed="false">
      <c r="A374" s="3" t="n">
        <v>45664</v>
      </c>
      <c r="B374" s="4" t="n">
        <f aca="false">YEAR($A374)</f>
        <v>2025</v>
      </c>
      <c r="C374" s="4" t="n">
        <f aca="false">MONTH($A374)</f>
        <v>1</v>
      </c>
      <c r="D374" s="4" t="str">
        <f aca="false">TEXT($A374,"ddd")</f>
        <v>Tue</v>
      </c>
      <c r="E374" s="4" t="n">
        <f aca="false">IF(OR(AND(MONTH($A374)=10,DAY($A374)&gt;=15),MONTH($A374)=11,AND(MONTH($A374)=12,DAY($A374)&lt;=7)),1,0)</f>
        <v>0</v>
      </c>
      <c r="F374" s="4" t="n">
        <f aca="false">IF(MONTH($A374)&lt;=3,1,0)</f>
        <v>1</v>
      </c>
      <c r="G374" s="4" t="str">
        <f aca="false" t="array" ref="G374: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4" t="n">
        <f aca="false">COUNTIF(Events!$A$2:$A$397,$A374)</f>
        <v>0</v>
      </c>
      <c r="I374" s="6" t="str">
        <f aca="false" t="array" ref="I374:I374">_xlfn.TEXTJOIN(" | ",TRUE(),IF(Events!$A$2:$A$397=$A374,Events!$E$2:$E$397&amp;IF(Events!$G$2:$G$397="National",""," ["&amp;Events!$G$2:$G$397&amp;"]"),""))</f>
        <v/>
      </c>
    </row>
    <row r="375" customFormat="false" ht="15" hidden="false" customHeight="true" outlineLevel="0" collapsed="false">
      <c r="A375" s="3" t="n">
        <v>45665</v>
      </c>
      <c r="B375" s="4" t="n">
        <f aca="false">YEAR($A375)</f>
        <v>2025</v>
      </c>
      <c r="C375" s="4" t="n">
        <f aca="false">MONTH($A375)</f>
        <v>1</v>
      </c>
      <c r="D375" s="4" t="str">
        <f aca="false">TEXT($A375,"ddd")</f>
        <v>Wed</v>
      </c>
      <c r="E375" s="4" t="n">
        <f aca="false">IF(OR(AND(MONTH($A375)=10,DAY($A375)&gt;=15),MONTH($A375)=11,AND(MONTH($A375)=12,DAY($A375)&lt;=7)),1,0)</f>
        <v>0</v>
      </c>
      <c r="F375" s="4" t="n">
        <f aca="false">IF(MONTH($A375)&lt;=3,1,0)</f>
        <v>1</v>
      </c>
      <c r="G375" s="4" t="str">
        <f aca="false" t="array" ref="G375: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4" t="n">
        <f aca="false">COUNTIF(Events!$A$2:$A$397,$A375)</f>
        <v>0</v>
      </c>
      <c r="I375" s="6" t="str">
        <f aca="false" t="array" ref="I375:I375">_xlfn.TEXTJOIN(" | ",TRUE(),IF(Events!$A$2:$A$397=$A375,Events!$E$2:$E$397&amp;IF(Events!$G$2:$G$397="National",""," ["&amp;Events!$G$2:$G$397&amp;"]"),""))</f>
        <v/>
      </c>
    </row>
    <row r="376" customFormat="false" ht="15" hidden="false" customHeight="true" outlineLevel="0" collapsed="false">
      <c r="A376" s="3" t="n">
        <v>45666</v>
      </c>
      <c r="B376" s="4" t="n">
        <f aca="false">YEAR($A376)</f>
        <v>2025</v>
      </c>
      <c r="C376" s="4" t="n">
        <f aca="false">MONTH($A376)</f>
        <v>1</v>
      </c>
      <c r="D376" s="4" t="str">
        <f aca="false">TEXT($A376,"ddd")</f>
        <v>Thu</v>
      </c>
      <c r="E376" s="4" t="n">
        <f aca="false">IF(OR(AND(MONTH($A376)=10,DAY($A376)&gt;=15),MONTH($A376)=11,AND(MONTH($A376)=12,DAY($A376)&lt;=7)),1,0)</f>
        <v>0</v>
      </c>
      <c r="F376" s="4" t="n">
        <f aca="false">IF(MONTH($A376)&lt;=3,1,0)</f>
        <v>1</v>
      </c>
      <c r="G376" s="4" t="str">
        <f aca="false" t="array" ref="G376: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4" t="n">
        <f aca="false">COUNTIF(Events!$A$2:$A$397,$A376)</f>
        <v>0</v>
      </c>
      <c r="I376" s="6" t="str">
        <f aca="false" t="array" ref="I376:I376">_xlfn.TEXTJOIN(" | ",TRUE(),IF(Events!$A$2:$A$397=$A376,Events!$E$2:$E$397&amp;IF(Events!$G$2:$G$397="National",""," ["&amp;Events!$G$2:$G$397&amp;"]"),""))</f>
        <v/>
      </c>
    </row>
    <row r="377" customFormat="false" ht="15" hidden="false" customHeight="true" outlineLevel="0" collapsed="false">
      <c r="A377" s="3" t="n">
        <v>45667</v>
      </c>
      <c r="B377" s="4" t="n">
        <f aca="false">YEAR($A377)</f>
        <v>2025</v>
      </c>
      <c r="C377" s="4" t="n">
        <f aca="false">MONTH($A377)</f>
        <v>1</v>
      </c>
      <c r="D377" s="4" t="str">
        <f aca="false">TEXT($A377,"ddd")</f>
        <v>Fri</v>
      </c>
      <c r="E377" s="4" t="n">
        <f aca="false">IF(OR(AND(MONTH($A377)=10,DAY($A377)&gt;=15),MONTH($A377)=11,AND(MONTH($A377)=12,DAY($A377)&lt;=7)),1,0)</f>
        <v>0</v>
      </c>
      <c r="F377" s="4" t="n">
        <f aca="false">IF(MONTH($A377)&lt;=3,1,0)</f>
        <v>1</v>
      </c>
      <c r="G377" s="4" t="str">
        <f aca="false" t="array" ref="G377: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4" t="n">
        <f aca="false">COUNTIF(Events!$A$2:$A$397,$A377)</f>
        <v>1</v>
      </c>
      <c r="I377" s="6" t="str">
        <f aca="false" t="array" ref="I377:I377">_xlfn.TEXTJOIN(" | ",TRUE(),IF(Events!$A$2:$A$397=$A377,Events!$E$2:$E$397&amp;IF(Events!$G$2:$G$397="National",""," ["&amp;Events!$G$2:$G$397&amp;"]"),""))</f>
        <v>CY2026 Advance Notice released: proposed +4.33% avg payment (~$21B); final year of V28 risk model phase-in; comments due 2/10/2025</v>
      </c>
    </row>
    <row r="378" customFormat="false" ht="15" hidden="false" customHeight="true" outlineLevel="0" collapsed="false">
      <c r="A378" s="3" t="n">
        <v>45668</v>
      </c>
      <c r="B378" s="4" t="n">
        <f aca="false">YEAR($A378)</f>
        <v>2025</v>
      </c>
      <c r="C378" s="4" t="n">
        <f aca="false">MONTH($A378)</f>
        <v>1</v>
      </c>
      <c r="D378" s="4" t="str">
        <f aca="false">TEXT($A378,"ddd")</f>
        <v>Sat</v>
      </c>
      <c r="E378" s="4" t="n">
        <f aca="false">IF(OR(AND(MONTH($A378)=10,DAY($A378)&gt;=15),MONTH($A378)=11,AND(MONTH($A378)=12,DAY($A378)&lt;=7)),1,0)</f>
        <v>0</v>
      </c>
      <c r="F378" s="4" t="n">
        <f aca="false">IF(MONTH($A378)&lt;=3,1,0)</f>
        <v>1</v>
      </c>
      <c r="G378" s="4" t="str">
        <f aca="false" t="array" ref="G378: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4" t="n">
        <f aca="false">COUNTIF(Events!$A$2:$A$397,$A378)</f>
        <v>0</v>
      </c>
      <c r="I378" s="6" t="str">
        <f aca="false" t="array" ref="I378:I378">_xlfn.TEXTJOIN(" | ",TRUE(),IF(Events!$A$2:$A$397=$A378,Events!$E$2:$E$397&amp;IF(Events!$G$2:$G$397="National",""," ["&amp;Events!$G$2:$G$397&amp;"]"),""))</f>
        <v/>
      </c>
    </row>
    <row r="379" customFormat="false" ht="15" hidden="false" customHeight="true" outlineLevel="0" collapsed="false">
      <c r="A379" s="3" t="n">
        <v>45669</v>
      </c>
      <c r="B379" s="4" t="n">
        <f aca="false">YEAR($A379)</f>
        <v>2025</v>
      </c>
      <c r="C379" s="4" t="n">
        <f aca="false">MONTH($A379)</f>
        <v>1</v>
      </c>
      <c r="D379" s="4" t="str">
        <f aca="false">TEXT($A379,"ddd")</f>
        <v>Sun</v>
      </c>
      <c r="E379" s="4" t="n">
        <f aca="false">IF(OR(AND(MONTH($A379)=10,DAY($A379)&gt;=15),MONTH($A379)=11,AND(MONTH($A379)=12,DAY($A379)&lt;=7)),1,0)</f>
        <v>0</v>
      </c>
      <c r="F379" s="4" t="n">
        <f aca="false">IF(MONTH($A379)&lt;=3,1,0)</f>
        <v>1</v>
      </c>
      <c r="G379" s="4" t="str">
        <f aca="false" t="array" ref="G379: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4" t="n">
        <f aca="false">COUNTIF(Events!$A$2:$A$397,$A379)</f>
        <v>0</v>
      </c>
      <c r="I379" s="6" t="str">
        <f aca="false" t="array" ref="I379:I379">_xlfn.TEXTJOIN(" | ",TRUE(),IF(Events!$A$2:$A$397=$A379,Events!$E$2:$E$397&amp;IF(Events!$G$2:$G$397="National",""," ["&amp;Events!$G$2:$G$397&amp;"]"),""))</f>
        <v/>
      </c>
    </row>
    <row r="380" customFormat="false" ht="15" hidden="false" customHeight="true" outlineLevel="0" collapsed="false">
      <c r="A380" s="3" t="n">
        <v>45670</v>
      </c>
      <c r="B380" s="4" t="n">
        <f aca="false">YEAR($A380)</f>
        <v>2025</v>
      </c>
      <c r="C380" s="4" t="n">
        <f aca="false">MONTH($A380)</f>
        <v>1</v>
      </c>
      <c r="D380" s="4" t="str">
        <f aca="false">TEXT($A380,"ddd")</f>
        <v>Mon</v>
      </c>
      <c r="E380" s="4" t="n">
        <f aca="false">IF(OR(AND(MONTH($A380)=10,DAY($A380)&gt;=15),MONTH($A380)=11,AND(MONTH($A380)=12,DAY($A380)&lt;=7)),1,0)</f>
        <v>0</v>
      </c>
      <c r="F380" s="4" t="n">
        <f aca="false">IF(MONTH($A380)&lt;=3,1,0)</f>
        <v>1</v>
      </c>
      <c r="G380" s="4" t="str">
        <f aca="false" t="array" ref="G380: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4" t="n">
        <f aca="false">COUNTIF(Events!$A$2:$A$397,$A380)</f>
        <v>0</v>
      </c>
      <c r="I380" s="6" t="str">
        <f aca="false" t="array" ref="I380:I380">_xlfn.TEXTJOIN(" | ",TRUE(),IF(Events!$A$2:$A$397=$A380,Events!$E$2:$E$397&amp;IF(Events!$G$2:$G$397="National",""," ["&amp;Events!$G$2:$G$397&amp;"]"),""))</f>
        <v/>
      </c>
    </row>
    <row r="381" customFormat="false" ht="15" hidden="false" customHeight="true" outlineLevel="0" collapsed="false">
      <c r="A381" s="3" t="n">
        <v>45671</v>
      </c>
      <c r="B381" s="4" t="n">
        <f aca="false">YEAR($A381)</f>
        <v>2025</v>
      </c>
      <c r="C381" s="4" t="n">
        <f aca="false">MONTH($A381)</f>
        <v>1</v>
      </c>
      <c r="D381" s="4" t="str">
        <f aca="false">TEXT($A381,"ddd")</f>
        <v>Tue</v>
      </c>
      <c r="E381" s="4" t="n">
        <f aca="false">IF(OR(AND(MONTH($A381)=10,DAY($A381)&gt;=15),MONTH($A381)=11,AND(MONTH($A381)=12,DAY($A381)&lt;=7)),1,0)</f>
        <v>0</v>
      </c>
      <c r="F381" s="4" t="n">
        <f aca="false">IF(MONTH($A381)&lt;=3,1,0)</f>
        <v>1</v>
      </c>
      <c r="G381" s="4" t="str">
        <f aca="false" t="array" ref="G381: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4" t="n">
        <f aca="false">COUNTIF(Events!$A$2:$A$397,$A381)</f>
        <v>0</v>
      </c>
      <c r="I381" s="6" t="str">
        <f aca="false" t="array" ref="I381:I381">_xlfn.TEXTJOIN(" | ",TRUE(),IF(Events!$A$2:$A$397=$A381,Events!$E$2:$E$397&amp;IF(Events!$G$2:$G$397="National",""," ["&amp;Events!$G$2:$G$397&amp;"]"),""))</f>
        <v/>
      </c>
    </row>
    <row r="382" customFormat="false" ht="15" hidden="false" customHeight="true" outlineLevel="0" collapsed="false">
      <c r="A382" s="3" t="n">
        <v>45672</v>
      </c>
      <c r="B382" s="4" t="n">
        <f aca="false">YEAR($A382)</f>
        <v>2025</v>
      </c>
      <c r="C382" s="4" t="n">
        <f aca="false">MONTH($A382)</f>
        <v>1</v>
      </c>
      <c r="D382" s="4" t="str">
        <f aca="false">TEXT($A382,"ddd")</f>
        <v>Wed</v>
      </c>
      <c r="E382" s="4" t="n">
        <f aca="false">IF(OR(AND(MONTH($A382)=10,DAY($A382)&gt;=15),MONTH($A382)=11,AND(MONTH($A382)=12,DAY($A382)&lt;=7)),1,0)</f>
        <v>0</v>
      </c>
      <c r="F382" s="4" t="n">
        <f aca="false">IF(MONTH($A382)&lt;=3,1,0)</f>
        <v>1</v>
      </c>
      <c r="G382" s="4" t="str">
        <f aca="false" t="array" ref="G382: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4" t="n">
        <f aca="false">COUNTIF(Events!$A$2:$A$397,$A382)</f>
        <v>0</v>
      </c>
      <c r="I382" s="6" t="str">
        <f aca="false" t="array" ref="I382:I382">_xlfn.TEXTJOIN(" | ",TRUE(),IF(Events!$A$2:$A$397=$A382,Events!$E$2:$E$397&amp;IF(Events!$G$2:$G$397="National",""," ["&amp;Events!$G$2:$G$397&amp;"]"),""))</f>
        <v/>
      </c>
    </row>
    <row r="383" customFormat="false" ht="15" hidden="false" customHeight="true" outlineLevel="0" collapsed="false">
      <c r="A383" s="3" t="n">
        <v>45673</v>
      </c>
      <c r="B383" s="4" t="n">
        <f aca="false">YEAR($A383)</f>
        <v>2025</v>
      </c>
      <c r="C383" s="4" t="n">
        <f aca="false">MONTH($A383)</f>
        <v>1</v>
      </c>
      <c r="D383" s="4" t="str">
        <f aca="false">TEXT($A383,"ddd")</f>
        <v>Thu</v>
      </c>
      <c r="E383" s="4" t="n">
        <f aca="false">IF(OR(AND(MONTH($A383)=10,DAY($A383)&gt;=15),MONTH($A383)=11,AND(MONTH($A383)=12,DAY($A383)&lt;=7)),1,0)</f>
        <v>0</v>
      </c>
      <c r="F383" s="4" t="n">
        <f aca="false">IF(MONTH($A383)&lt;=3,1,0)</f>
        <v>1</v>
      </c>
      <c r="G383" s="4" t="str">
        <f aca="false" t="array" ref="G383: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4" t="n">
        <f aca="false">COUNTIF(Events!$A$2:$A$397,$A383)</f>
        <v>0</v>
      </c>
      <c r="I383" s="6" t="str">
        <f aca="false" t="array" ref="I383:I383">_xlfn.TEXTJOIN(" | ",TRUE(),IF(Events!$A$2:$A$397=$A383,Events!$E$2:$E$397&amp;IF(Events!$G$2:$G$397="National",""," ["&amp;Events!$G$2:$G$397&amp;"]"),""))</f>
        <v/>
      </c>
    </row>
    <row r="384" customFormat="false" ht="15" hidden="false" customHeight="true" outlineLevel="0" collapsed="false">
      <c r="A384" s="3" t="n">
        <v>45674</v>
      </c>
      <c r="B384" s="4" t="n">
        <f aca="false">YEAR($A384)</f>
        <v>2025</v>
      </c>
      <c r="C384" s="4" t="n">
        <f aca="false">MONTH($A384)</f>
        <v>1</v>
      </c>
      <c r="D384" s="4" t="str">
        <f aca="false">TEXT($A384,"ddd")</f>
        <v>Fri</v>
      </c>
      <c r="E384" s="4" t="n">
        <f aca="false">IF(OR(AND(MONTH($A384)=10,DAY($A384)&gt;=15),MONTH($A384)=11,AND(MONTH($A384)=12,DAY($A384)&lt;=7)),1,0)</f>
        <v>0</v>
      </c>
      <c r="F384" s="4" t="n">
        <f aca="false">IF(MONTH($A384)&lt;=3,1,0)</f>
        <v>1</v>
      </c>
      <c r="G384" s="4" t="str">
        <f aca="false" t="array" ref="G384: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4" t="n">
        <f aca="false">COUNTIF(Events!$A$2:$A$397,$A384)</f>
        <v>1</v>
      </c>
      <c r="I384" s="6" t="str">
        <f aca="false" t="array" ref="I384:I384">_xlfn.TEXTJOIN(" | ",TRUE(),IF(Events!$A$2:$A$397=$A384,Events!$E$2:$E$397&amp;IF(Events!$G$2:$G$397="National",""," ["&amp;Events!$G$2:$G$397&amp;"]"),""))</f>
        <v>CMS announces 15 additional Part D drugs selected for negotiation round 2 (effective 1/1/2027)</v>
      </c>
    </row>
    <row r="385" customFormat="false" ht="15" hidden="false" customHeight="true" outlineLevel="0" collapsed="false">
      <c r="A385" s="3" t="n">
        <v>45675</v>
      </c>
      <c r="B385" s="4" t="n">
        <f aca="false">YEAR($A385)</f>
        <v>2025</v>
      </c>
      <c r="C385" s="4" t="n">
        <f aca="false">MONTH($A385)</f>
        <v>1</v>
      </c>
      <c r="D385" s="4" t="str">
        <f aca="false">TEXT($A385,"ddd")</f>
        <v>Sat</v>
      </c>
      <c r="E385" s="4" t="n">
        <f aca="false">IF(OR(AND(MONTH($A385)=10,DAY($A385)&gt;=15),MONTH($A385)=11,AND(MONTH($A385)=12,DAY($A385)&lt;=7)),1,0)</f>
        <v>0</v>
      </c>
      <c r="F385" s="4" t="n">
        <f aca="false">IF(MONTH($A385)&lt;=3,1,0)</f>
        <v>1</v>
      </c>
      <c r="G385" s="4" t="str">
        <f aca="false" t="array" ref="G385: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4" t="n">
        <f aca="false">COUNTIF(Events!$A$2:$A$397,$A385)</f>
        <v>0</v>
      </c>
      <c r="I385" s="6" t="str">
        <f aca="false" t="array" ref="I385:I385">_xlfn.TEXTJOIN(" | ",TRUE(),IF(Events!$A$2:$A$397=$A385,Events!$E$2:$E$397&amp;IF(Events!$G$2:$G$397="National",""," ["&amp;Events!$G$2:$G$397&amp;"]"),""))</f>
        <v/>
      </c>
    </row>
    <row r="386" customFormat="false" ht="15" hidden="false" customHeight="true" outlineLevel="0" collapsed="false">
      <c r="A386" s="3" t="n">
        <v>45676</v>
      </c>
      <c r="B386" s="4" t="n">
        <f aca="false">YEAR($A386)</f>
        <v>2025</v>
      </c>
      <c r="C386" s="4" t="n">
        <f aca="false">MONTH($A386)</f>
        <v>1</v>
      </c>
      <c r="D386" s="4" t="str">
        <f aca="false">TEXT($A386,"ddd")</f>
        <v>Sun</v>
      </c>
      <c r="E386" s="4" t="n">
        <f aca="false">IF(OR(AND(MONTH($A386)=10,DAY($A386)&gt;=15),MONTH($A386)=11,AND(MONTH($A386)=12,DAY($A386)&lt;=7)),1,0)</f>
        <v>0</v>
      </c>
      <c r="F386" s="4" t="n">
        <f aca="false">IF(MONTH($A386)&lt;=3,1,0)</f>
        <v>1</v>
      </c>
      <c r="G386" s="4" t="str">
        <f aca="false" t="array" ref="G386: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4" t="n">
        <f aca="false">COUNTIF(Events!$A$2:$A$397,$A386)</f>
        <v>0</v>
      </c>
      <c r="I386" s="6" t="str">
        <f aca="false" t="array" ref="I386:I386">_xlfn.TEXTJOIN(" | ",TRUE(),IF(Events!$A$2:$A$397=$A386,Events!$E$2:$E$397&amp;IF(Events!$G$2:$G$397="National",""," ["&amp;Events!$G$2:$G$397&amp;"]"),""))</f>
        <v/>
      </c>
    </row>
    <row r="387" customFormat="false" ht="15" hidden="false" customHeight="true" outlineLevel="0" collapsed="false">
      <c r="A387" s="3" t="n">
        <v>45677</v>
      </c>
      <c r="B387" s="4" t="n">
        <f aca="false">YEAR($A387)</f>
        <v>2025</v>
      </c>
      <c r="C387" s="4" t="n">
        <f aca="false">MONTH($A387)</f>
        <v>1</v>
      </c>
      <c r="D387" s="4" t="str">
        <f aca="false">TEXT($A387,"ddd")</f>
        <v>Mon</v>
      </c>
      <c r="E387" s="4" t="n">
        <f aca="false">IF(OR(AND(MONTH($A387)=10,DAY($A387)&gt;=15),MONTH($A387)=11,AND(MONTH($A387)=12,DAY($A387)&lt;=7)),1,0)</f>
        <v>0</v>
      </c>
      <c r="F387" s="4" t="n">
        <f aca="false">IF(MONTH($A387)&lt;=3,1,0)</f>
        <v>1</v>
      </c>
      <c r="G387" s="4" t="str">
        <f aca="false" t="array" ref="G387: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4" t="n">
        <f aca="false">COUNTIF(Events!$A$2:$A$397,$A387)</f>
        <v>0</v>
      </c>
      <c r="I387" s="6" t="str">
        <f aca="false" t="array" ref="I387:I387">_xlfn.TEXTJOIN(" | ",TRUE(),IF(Events!$A$2:$A$397=$A387,Events!$E$2:$E$397&amp;IF(Events!$G$2:$G$397="National",""," ["&amp;Events!$G$2:$G$397&amp;"]"),""))</f>
        <v/>
      </c>
    </row>
    <row r="388" customFormat="false" ht="15" hidden="false" customHeight="true" outlineLevel="0" collapsed="false">
      <c r="A388" s="3" t="n">
        <v>45678</v>
      </c>
      <c r="B388" s="4" t="n">
        <f aca="false">YEAR($A388)</f>
        <v>2025</v>
      </c>
      <c r="C388" s="4" t="n">
        <f aca="false">MONTH($A388)</f>
        <v>1</v>
      </c>
      <c r="D388" s="4" t="str">
        <f aca="false">TEXT($A388,"ddd")</f>
        <v>Tue</v>
      </c>
      <c r="E388" s="4" t="n">
        <f aca="false">IF(OR(AND(MONTH($A388)=10,DAY($A388)&gt;=15),MONTH($A388)=11,AND(MONTH($A388)=12,DAY($A388)&lt;=7)),1,0)</f>
        <v>0</v>
      </c>
      <c r="F388" s="4" t="n">
        <f aca="false">IF(MONTH($A388)&lt;=3,1,0)</f>
        <v>1</v>
      </c>
      <c r="G388" s="4" t="str">
        <f aca="false" t="array" ref="G388: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4" t="n">
        <f aca="false">COUNTIF(Events!$A$2:$A$397,$A388)</f>
        <v>0</v>
      </c>
      <c r="I388" s="6" t="str">
        <f aca="false" t="array" ref="I388:I388">_xlfn.TEXTJOIN(" | ",TRUE(),IF(Events!$A$2:$A$397=$A388,Events!$E$2:$E$397&amp;IF(Events!$G$2:$G$397="National",""," ["&amp;Events!$G$2:$G$397&amp;"]"),""))</f>
        <v/>
      </c>
    </row>
    <row r="389" customFormat="false" ht="15" hidden="false" customHeight="true" outlineLevel="0" collapsed="false">
      <c r="A389" s="3" t="n">
        <v>45679</v>
      </c>
      <c r="B389" s="4" t="n">
        <f aca="false">YEAR($A389)</f>
        <v>2025</v>
      </c>
      <c r="C389" s="4" t="n">
        <f aca="false">MONTH($A389)</f>
        <v>1</v>
      </c>
      <c r="D389" s="4" t="str">
        <f aca="false">TEXT($A389,"ddd")</f>
        <v>Wed</v>
      </c>
      <c r="E389" s="4" t="n">
        <f aca="false">IF(OR(AND(MONTH($A389)=10,DAY($A389)&gt;=15),MONTH($A389)=11,AND(MONTH($A389)=12,DAY($A389)&lt;=7)),1,0)</f>
        <v>0</v>
      </c>
      <c r="F389" s="4" t="n">
        <f aca="false">IF(MONTH($A389)&lt;=3,1,0)</f>
        <v>1</v>
      </c>
      <c r="G389" s="4" t="str">
        <f aca="false" t="array" ref="G389: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4" t="n">
        <f aca="false">COUNTIF(Events!$A$2:$A$397,$A389)</f>
        <v>0</v>
      </c>
      <c r="I389" s="6" t="str">
        <f aca="false" t="array" ref="I389:I389">_xlfn.TEXTJOIN(" | ",TRUE(),IF(Events!$A$2:$A$397=$A389,Events!$E$2:$E$397&amp;IF(Events!$G$2:$G$397="National",""," ["&amp;Events!$G$2:$G$397&amp;"]"),""))</f>
        <v/>
      </c>
    </row>
    <row r="390" customFormat="false" ht="15" hidden="false" customHeight="true" outlineLevel="0" collapsed="false">
      <c r="A390" s="3" t="n">
        <v>45680</v>
      </c>
      <c r="B390" s="4" t="n">
        <f aca="false">YEAR($A390)</f>
        <v>2025</v>
      </c>
      <c r="C390" s="4" t="n">
        <f aca="false">MONTH($A390)</f>
        <v>1</v>
      </c>
      <c r="D390" s="4" t="str">
        <f aca="false">TEXT($A390,"ddd")</f>
        <v>Thu</v>
      </c>
      <c r="E390" s="4" t="n">
        <f aca="false">IF(OR(AND(MONTH($A390)=10,DAY($A390)&gt;=15),MONTH($A390)=11,AND(MONTH($A390)=12,DAY($A390)&lt;=7)),1,0)</f>
        <v>0</v>
      </c>
      <c r="F390" s="4" t="n">
        <f aca="false">IF(MONTH($A390)&lt;=3,1,0)</f>
        <v>1</v>
      </c>
      <c r="G390" s="4" t="str">
        <f aca="false" t="array" ref="G390: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4" t="n">
        <f aca="false">COUNTIF(Events!$A$2:$A$397,$A390)</f>
        <v>0</v>
      </c>
      <c r="I390" s="6" t="str">
        <f aca="false" t="array" ref="I390:I390">_xlfn.TEXTJOIN(" | ",TRUE(),IF(Events!$A$2:$A$397=$A390,Events!$E$2:$E$397&amp;IF(Events!$G$2:$G$397="National",""," ["&amp;Events!$G$2:$G$397&amp;"]"),""))</f>
        <v/>
      </c>
    </row>
    <row r="391" customFormat="false" ht="15" hidden="false" customHeight="true" outlineLevel="0" collapsed="false">
      <c r="A391" s="3" t="n">
        <v>45681</v>
      </c>
      <c r="B391" s="4" t="n">
        <f aca="false">YEAR($A391)</f>
        <v>2025</v>
      </c>
      <c r="C391" s="4" t="n">
        <f aca="false">MONTH($A391)</f>
        <v>1</v>
      </c>
      <c r="D391" s="4" t="str">
        <f aca="false">TEXT($A391,"ddd")</f>
        <v>Fri</v>
      </c>
      <c r="E391" s="4" t="n">
        <f aca="false">IF(OR(AND(MONTH($A391)=10,DAY($A391)&gt;=15),MONTH($A391)=11,AND(MONTH($A391)=12,DAY($A391)&lt;=7)),1,0)</f>
        <v>0</v>
      </c>
      <c r="F391" s="4" t="n">
        <f aca="false">IF(MONTH($A391)&lt;=3,1,0)</f>
        <v>1</v>
      </c>
      <c r="G391" s="4" t="str">
        <f aca="false" t="array" ref="G391: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4" t="n">
        <f aca="false">COUNTIF(Events!$A$2:$A$397,$A391)</f>
        <v>0</v>
      </c>
      <c r="I391" s="6" t="str">
        <f aca="false" t="array" ref="I391:I391">_xlfn.TEXTJOIN(" | ",TRUE(),IF(Events!$A$2:$A$397=$A391,Events!$E$2:$E$397&amp;IF(Events!$G$2:$G$397="National",""," ["&amp;Events!$G$2:$G$397&amp;"]"),""))</f>
        <v/>
      </c>
    </row>
    <row r="392" customFormat="false" ht="15" hidden="false" customHeight="true" outlineLevel="0" collapsed="false">
      <c r="A392" s="3" t="n">
        <v>45682</v>
      </c>
      <c r="B392" s="4" t="n">
        <f aca="false">YEAR($A392)</f>
        <v>2025</v>
      </c>
      <c r="C392" s="4" t="n">
        <f aca="false">MONTH($A392)</f>
        <v>1</v>
      </c>
      <c r="D392" s="4" t="str">
        <f aca="false">TEXT($A392,"ddd")</f>
        <v>Sat</v>
      </c>
      <c r="E392" s="4" t="n">
        <f aca="false">IF(OR(AND(MONTH($A392)=10,DAY($A392)&gt;=15),MONTH($A392)=11,AND(MONTH($A392)=12,DAY($A392)&lt;=7)),1,0)</f>
        <v>0</v>
      </c>
      <c r="F392" s="4" t="n">
        <f aca="false">IF(MONTH($A392)&lt;=3,1,0)</f>
        <v>1</v>
      </c>
      <c r="G392" s="4" t="str">
        <f aca="false" t="array" ref="G392: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4" t="n">
        <f aca="false">COUNTIF(Events!$A$2:$A$397,$A392)</f>
        <v>0</v>
      </c>
      <c r="I392" s="6" t="str">
        <f aca="false" t="array" ref="I392:I392">_xlfn.TEXTJOIN(" | ",TRUE(),IF(Events!$A$2:$A$397=$A392,Events!$E$2:$E$397&amp;IF(Events!$G$2:$G$397="National",""," ["&amp;Events!$G$2:$G$397&amp;"]"),""))</f>
        <v/>
      </c>
    </row>
    <row r="393" customFormat="false" ht="15" hidden="false" customHeight="true" outlineLevel="0" collapsed="false">
      <c r="A393" s="3" t="n">
        <v>45683</v>
      </c>
      <c r="B393" s="4" t="n">
        <f aca="false">YEAR($A393)</f>
        <v>2025</v>
      </c>
      <c r="C393" s="4" t="n">
        <f aca="false">MONTH($A393)</f>
        <v>1</v>
      </c>
      <c r="D393" s="4" t="str">
        <f aca="false">TEXT($A393,"ddd")</f>
        <v>Sun</v>
      </c>
      <c r="E393" s="4" t="n">
        <f aca="false">IF(OR(AND(MONTH($A393)=10,DAY($A393)&gt;=15),MONTH($A393)=11,AND(MONTH($A393)=12,DAY($A393)&lt;=7)),1,0)</f>
        <v>0</v>
      </c>
      <c r="F393" s="4" t="n">
        <f aca="false">IF(MONTH($A393)&lt;=3,1,0)</f>
        <v>1</v>
      </c>
      <c r="G393" s="4" t="str">
        <f aca="false" t="array" ref="G393: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4" t="n">
        <f aca="false">COUNTIF(Events!$A$2:$A$397,$A393)</f>
        <v>0</v>
      </c>
      <c r="I393" s="6" t="str">
        <f aca="false" t="array" ref="I393:I393">_xlfn.TEXTJOIN(" | ",TRUE(),IF(Events!$A$2:$A$397=$A393,Events!$E$2:$E$397&amp;IF(Events!$G$2:$G$397="National",""," ["&amp;Events!$G$2:$G$397&amp;"]"),""))</f>
        <v/>
      </c>
    </row>
    <row r="394" customFormat="false" ht="15" hidden="false" customHeight="true" outlineLevel="0" collapsed="false">
      <c r="A394" s="3" t="n">
        <v>45684</v>
      </c>
      <c r="B394" s="4" t="n">
        <f aca="false">YEAR($A394)</f>
        <v>2025</v>
      </c>
      <c r="C394" s="4" t="n">
        <f aca="false">MONTH($A394)</f>
        <v>1</v>
      </c>
      <c r="D394" s="4" t="str">
        <f aca="false">TEXT($A394,"ddd")</f>
        <v>Mon</v>
      </c>
      <c r="E394" s="4" t="n">
        <f aca="false">IF(OR(AND(MONTH($A394)=10,DAY($A394)&gt;=15),MONTH($A394)=11,AND(MONTH($A394)=12,DAY($A394)&lt;=7)),1,0)</f>
        <v>0</v>
      </c>
      <c r="F394" s="4" t="n">
        <f aca="false">IF(MONTH($A394)&lt;=3,1,0)</f>
        <v>1</v>
      </c>
      <c r="G394" s="4" t="str">
        <f aca="false" t="array" ref="G394: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4" t="n">
        <f aca="false">COUNTIF(Events!$A$2:$A$397,$A394)</f>
        <v>0</v>
      </c>
      <c r="I394" s="6" t="str">
        <f aca="false" t="array" ref="I394:I394">_xlfn.TEXTJOIN(" | ",TRUE(),IF(Events!$A$2:$A$397=$A394,Events!$E$2:$E$397&amp;IF(Events!$G$2:$G$397="National",""," ["&amp;Events!$G$2:$G$397&amp;"]"),""))</f>
        <v/>
      </c>
    </row>
    <row r="395" customFormat="false" ht="15" hidden="false" customHeight="true" outlineLevel="0" collapsed="false">
      <c r="A395" s="3" t="n">
        <v>45685</v>
      </c>
      <c r="B395" s="4" t="n">
        <f aca="false">YEAR($A395)</f>
        <v>2025</v>
      </c>
      <c r="C395" s="4" t="n">
        <f aca="false">MONTH($A395)</f>
        <v>1</v>
      </c>
      <c r="D395" s="4" t="str">
        <f aca="false">TEXT($A395,"ddd")</f>
        <v>Tue</v>
      </c>
      <c r="E395" s="4" t="n">
        <f aca="false">IF(OR(AND(MONTH($A395)=10,DAY($A395)&gt;=15),MONTH($A395)=11,AND(MONTH($A395)=12,DAY($A395)&lt;=7)),1,0)</f>
        <v>0</v>
      </c>
      <c r="F395" s="4" t="n">
        <f aca="false">IF(MONTH($A395)&lt;=3,1,0)</f>
        <v>1</v>
      </c>
      <c r="G395" s="4" t="str">
        <f aca="false" t="array" ref="G395: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4" t="n">
        <f aca="false">COUNTIF(Events!$A$2:$A$397,$A395)</f>
        <v>0</v>
      </c>
      <c r="I395" s="6" t="str">
        <f aca="false" t="array" ref="I395:I395">_xlfn.TEXTJOIN(" | ",TRUE(),IF(Events!$A$2:$A$397=$A395,Events!$E$2:$E$397&amp;IF(Events!$G$2:$G$397="National",""," ["&amp;Events!$G$2:$G$397&amp;"]"),""))</f>
        <v/>
      </c>
    </row>
    <row r="396" customFormat="false" ht="15" hidden="false" customHeight="true" outlineLevel="0" collapsed="false">
      <c r="A396" s="3" t="n">
        <v>45686</v>
      </c>
      <c r="B396" s="4" t="n">
        <f aca="false">YEAR($A396)</f>
        <v>2025</v>
      </c>
      <c r="C396" s="4" t="n">
        <f aca="false">MONTH($A396)</f>
        <v>1</v>
      </c>
      <c r="D396" s="4" t="str">
        <f aca="false">TEXT($A396,"ddd")</f>
        <v>Wed</v>
      </c>
      <c r="E396" s="4" t="n">
        <f aca="false">IF(OR(AND(MONTH($A396)=10,DAY($A396)&gt;=15),MONTH($A396)=11,AND(MONTH($A396)=12,DAY($A396)&lt;=7)),1,0)</f>
        <v>0</v>
      </c>
      <c r="F396" s="4" t="n">
        <f aca="false">IF(MONTH($A396)&lt;=3,1,0)</f>
        <v>1</v>
      </c>
      <c r="G396" s="4" t="str">
        <f aca="false" t="array" ref="G396: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
      </c>
      <c r="H396" s="4" t="n">
        <f aca="false">COUNTIF(Events!$A$2:$A$397,$A396)</f>
        <v>0</v>
      </c>
      <c r="I396" s="6" t="str">
        <f aca="false" t="array" ref="I396:I396">_xlfn.TEXTJOIN(" | ",TRUE(),IF(Events!$A$2:$A$397=$A396,Events!$E$2:$E$397&amp;IF(Events!$G$2:$G$397="National",""," ["&amp;Events!$G$2:$G$397&amp;"]"),""))</f>
        <v/>
      </c>
    </row>
    <row r="397" customFormat="false" ht="15" hidden="false" customHeight="true" outlineLevel="0" collapsed="false">
      <c r="A397" s="3" t="n">
        <v>45687</v>
      </c>
      <c r="B397" s="4" t="n">
        <f aca="false">YEAR($A397)</f>
        <v>2025</v>
      </c>
      <c r="C397" s="4" t="n">
        <f aca="false">MONTH($A397)</f>
        <v>1</v>
      </c>
      <c r="D397" s="4" t="str">
        <f aca="false">TEXT($A397,"ddd")</f>
        <v>Thu</v>
      </c>
      <c r="E397" s="4" t="n">
        <f aca="false">IF(OR(AND(MONTH($A397)=10,DAY($A397)&gt;=15),MONTH($A397)=11,AND(MONTH($A397)=12,DAY($A397)&lt;=7)),1,0)</f>
        <v>0</v>
      </c>
      <c r="F397" s="4" t="n">
        <f aca="false">IF(MONTH($A397)&lt;=3,1,0)</f>
        <v>1</v>
      </c>
      <c r="G397" s="4" t="str">
        <f aca="false" t="array" ref="G397: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4" t="n">
        <f aca="false">COUNTIF(Events!$A$2:$A$397,$A397)</f>
        <v>0</v>
      </c>
      <c r="I397" s="6" t="str">
        <f aca="false" t="array" ref="I397:I397">_xlfn.TEXTJOIN(" | ",TRUE(),IF(Events!$A$2:$A$397=$A397,Events!$E$2:$E$397&amp;IF(Events!$G$2:$G$397="National",""," ["&amp;Events!$G$2:$G$397&amp;"]"),""))</f>
        <v/>
      </c>
    </row>
    <row r="398" customFormat="false" ht="15" hidden="false" customHeight="true" outlineLevel="0" collapsed="false">
      <c r="A398" s="3" t="n">
        <v>45688</v>
      </c>
      <c r="B398" s="4" t="n">
        <f aca="false">YEAR($A398)</f>
        <v>2025</v>
      </c>
      <c r="C398" s="4" t="n">
        <f aca="false">MONTH($A398)</f>
        <v>1</v>
      </c>
      <c r="D398" s="4" t="str">
        <f aca="false">TEXT($A398,"ddd")</f>
        <v>Fri</v>
      </c>
      <c r="E398" s="4" t="n">
        <f aca="false">IF(OR(AND(MONTH($A398)=10,DAY($A398)&gt;=15),MONTH($A398)=11,AND(MONTH($A398)=12,DAY($A398)&lt;=7)),1,0)</f>
        <v>0</v>
      </c>
      <c r="F398" s="4" t="n">
        <f aca="false">IF(MONTH($A398)&lt;=3,1,0)</f>
        <v>1</v>
      </c>
      <c r="G398" s="4" t="str">
        <f aca="false" t="array" ref="G398: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 | 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8" s="4" t="n">
        <f aca="false">COUNTIF(Events!$A$2:$A$397,$A398)</f>
        <v>0</v>
      </c>
      <c r="I398" s="6" t="str">
        <f aca="false" t="array" ref="I398:I398">_xlfn.TEXTJOIN(" | ",TRUE(),IF(Events!$A$2:$A$397=$A398,Events!$E$2:$E$397&amp;IF(Events!$G$2:$G$397="National",""," ["&amp;Events!$G$2:$G$397&amp;"]"),""))</f>
        <v/>
      </c>
    </row>
    <row r="399" customFormat="false" ht="15" hidden="false" customHeight="true" outlineLevel="0" collapsed="false">
      <c r="A399" s="3" t="n">
        <v>45689</v>
      </c>
      <c r="B399" s="4" t="n">
        <f aca="false">YEAR($A399)</f>
        <v>2025</v>
      </c>
      <c r="C399" s="4" t="n">
        <f aca="false">MONTH($A399)</f>
        <v>2</v>
      </c>
      <c r="D399" s="4" t="str">
        <f aca="false">TEXT($A399,"ddd")</f>
        <v>Sat</v>
      </c>
      <c r="E399" s="4" t="n">
        <f aca="false">IF(OR(AND(MONTH($A399)=10,DAY($A399)&gt;=15),MONTH($A399)=11,AND(MONTH($A399)=12,DAY($A399)&lt;=7)),1,0)</f>
        <v>0</v>
      </c>
      <c r="F399" s="4" t="n">
        <f aca="false">IF(MONTH($A399)&lt;=3,1,0)</f>
        <v>1</v>
      </c>
      <c r="G399" s="4" t="str">
        <f aca="false" t="array" ref="G399: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4" t="n">
        <f aca="false">COUNTIF(Events!$A$2:$A$397,$A399)</f>
        <v>0</v>
      </c>
      <c r="I399" s="6" t="str">
        <f aca="false" t="array" ref="I399:I399">_xlfn.TEXTJOIN(" | ",TRUE(),IF(Events!$A$2:$A$397=$A399,Events!$E$2:$E$397&amp;IF(Events!$G$2:$G$397="National",""," ["&amp;Events!$G$2:$G$397&amp;"]"),""))</f>
        <v/>
      </c>
    </row>
    <row r="400" customFormat="false" ht="15" hidden="false" customHeight="true" outlineLevel="0" collapsed="false">
      <c r="A400" s="3" t="n">
        <v>45690</v>
      </c>
      <c r="B400" s="4" t="n">
        <f aca="false">YEAR($A400)</f>
        <v>2025</v>
      </c>
      <c r="C400" s="4" t="n">
        <f aca="false">MONTH($A400)</f>
        <v>2</v>
      </c>
      <c r="D400" s="4" t="str">
        <f aca="false">TEXT($A400,"ddd")</f>
        <v>Sun</v>
      </c>
      <c r="E400" s="4" t="n">
        <f aca="false">IF(OR(AND(MONTH($A400)=10,DAY($A400)&gt;=15),MONTH($A400)=11,AND(MONTH($A400)=12,DAY($A400)&lt;=7)),1,0)</f>
        <v>0</v>
      </c>
      <c r="F400" s="4" t="n">
        <f aca="false">IF(MONTH($A400)&lt;=3,1,0)</f>
        <v>1</v>
      </c>
      <c r="G400" s="4" t="str">
        <f aca="false" t="array" ref="G400: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4" t="n">
        <f aca="false">COUNTIF(Events!$A$2:$A$397,$A400)</f>
        <v>0</v>
      </c>
      <c r="I400" s="6" t="str">
        <f aca="false" t="array" ref="I400:I400">_xlfn.TEXTJOIN(" | ",TRUE(),IF(Events!$A$2:$A$397=$A400,Events!$E$2:$E$397&amp;IF(Events!$G$2:$G$397="National",""," ["&amp;Events!$G$2:$G$397&amp;"]"),""))</f>
        <v/>
      </c>
    </row>
    <row r="401" customFormat="false" ht="15" hidden="false" customHeight="true" outlineLevel="0" collapsed="false">
      <c r="A401" s="3" t="n">
        <v>45691</v>
      </c>
      <c r="B401" s="4" t="n">
        <f aca="false">YEAR($A401)</f>
        <v>2025</v>
      </c>
      <c r="C401" s="4" t="n">
        <f aca="false">MONTH($A401)</f>
        <v>2</v>
      </c>
      <c r="D401" s="4" t="str">
        <f aca="false">TEXT($A401,"ddd")</f>
        <v>Mon</v>
      </c>
      <c r="E401" s="4" t="n">
        <f aca="false">IF(OR(AND(MONTH($A401)=10,DAY($A401)&gt;=15),MONTH($A401)=11,AND(MONTH($A401)=12,DAY($A401)&lt;=7)),1,0)</f>
        <v>0</v>
      </c>
      <c r="F401" s="4" t="n">
        <f aca="false">IF(MONTH($A401)&lt;=3,1,0)</f>
        <v>1</v>
      </c>
      <c r="G401" s="4" t="str">
        <f aca="false" t="array" ref="G401: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4" t="n">
        <f aca="false">COUNTIF(Events!$A$2:$A$397,$A401)</f>
        <v>0</v>
      </c>
      <c r="I401" s="6" t="str">
        <f aca="false" t="array" ref="I401:I401">_xlfn.TEXTJOIN(" | ",TRUE(),IF(Events!$A$2:$A$397=$A401,Events!$E$2:$E$397&amp;IF(Events!$G$2:$G$397="National",""," ["&amp;Events!$G$2:$G$397&amp;"]"),""))</f>
        <v/>
      </c>
    </row>
    <row r="402" customFormat="false" ht="15" hidden="false" customHeight="true" outlineLevel="0" collapsed="false">
      <c r="A402" s="3" t="n">
        <v>45692</v>
      </c>
      <c r="B402" s="4" t="n">
        <f aca="false">YEAR($A402)</f>
        <v>2025</v>
      </c>
      <c r="C402" s="4" t="n">
        <f aca="false">MONTH($A402)</f>
        <v>2</v>
      </c>
      <c r="D402" s="4" t="str">
        <f aca="false">TEXT($A402,"ddd")</f>
        <v>Tue</v>
      </c>
      <c r="E402" s="4" t="n">
        <f aca="false">IF(OR(AND(MONTH($A402)=10,DAY($A402)&gt;=15),MONTH($A402)=11,AND(MONTH($A402)=12,DAY($A402)&lt;=7)),1,0)</f>
        <v>0</v>
      </c>
      <c r="F402" s="4" t="n">
        <f aca="false">IF(MONTH($A402)&lt;=3,1,0)</f>
        <v>1</v>
      </c>
      <c r="G402" s="4" t="str">
        <f aca="false" t="array" ref="G402: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4" t="n">
        <f aca="false">COUNTIF(Events!$A$2:$A$397,$A402)</f>
        <v>0</v>
      </c>
      <c r="I402" s="6" t="str">
        <f aca="false" t="array" ref="I402:I402">_xlfn.TEXTJOIN(" | ",TRUE(),IF(Events!$A$2:$A$397=$A402,Events!$E$2:$E$397&amp;IF(Events!$G$2:$G$397="National",""," ["&amp;Events!$G$2:$G$397&amp;"]"),""))</f>
        <v/>
      </c>
    </row>
    <row r="403" customFormat="false" ht="15" hidden="false" customHeight="true" outlineLevel="0" collapsed="false">
      <c r="A403" s="3" t="n">
        <v>45693</v>
      </c>
      <c r="B403" s="4" t="n">
        <f aca="false">YEAR($A403)</f>
        <v>2025</v>
      </c>
      <c r="C403" s="4" t="n">
        <f aca="false">MONTH($A403)</f>
        <v>2</v>
      </c>
      <c r="D403" s="4" t="str">
        <f aca="false">TEXT($A403,"ddd")</f>
        <v>Wed</v>
      </c>
      <c r="E403" s="4" t="n">
        <f aca="false">IF(OR(AND(MONTH($A403)=10,DAY($A403)&gt;=15),MONTH($A403)=11,AND(MONTH($A403)=12,DAY($A403)&lt;=7)),1,0)</f>
        <v>0</v>
      </c>
      <c r="F403" s="4" t="n">
        <f aca="false">IF(MONTH($A403)&lt;=3,1,0)</f>
        <v>1</v>
      </c>
      <c r="G403" s="4" t="str">
        <f aca="false" t="array" ref="G403: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4" t="n">
        <f aca="false">COUNTIF(Events!$A$2:$A$397,$A403)</f>
        <v>0</v>
      </c>
      <c r="I403" s="6" t="str">
        <f aca="false" t="array" ref="I403:I403">_xlfn.TEXTJOIN(" | ",TRUE(),IF(Events!$A$2:$A$397=$A403,Events!$E$2:$E$397&amp;IF(Events!$G$2:$G$397="National",""," ["&amp;Events!$G$2:$G$397&amp;"]"),""))</f>
        <v/>
      </c>
    </row>
    <row r="404" customFormat="false" ht="15" hidden="false" customHeight="true" outlineLevel="0" collapsed="false">
      <c r="A404" s="3" t="n">
        <v>45694</v>
      </c>
      <c r="B404" s="4" t="n">
        <f aca="false">YEAR($A404)</f>
        <v>2025</v>
      </c>
      <c r="C404" s="4" t="n">
        <f aca="false">MONTH($A404)</f>
        <v>2</v>
      </c>
      <c r="D404" s="4" t="str">
        <f aca="false">TEXT($A404,"ddd")</f>
        <v>Thu</v>
      </c>
      <c r="E404" s="4" t="n">
        <f aca="false">IF(OR(AND(MONTH($A404)=10,DAY($A404)&gt;=15),MONTH($A404)=11,AND(MONTH($A404)=12,DAY($A404)&lt;=7)),1,0)</f>
        <v>0</v>
      </c>
      <c r="F404" s="4" t="n">
        <f aca="false">IF(MONTH($A404)&lt;=3,1,0)</f>
        <v>1</v>
      </c>
      <c r="G404" s="4" t="str">
        <f aca="false" t="array" ref="G404: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4" t="n">
        <f aca="false">COUNTIF(Events!$A$2:$A$397,$A404)</f>
        <v>0</v>
      </c>
      <c r="I404" s="6" t="str">
        <f aca="false" t="array" ref="I404:I404">_xlfn.TEXTJOIN(" | ",TRUE(),IF(Events!$A$2:$A$397=$A404,Events!$E$2:$E$397&amp;IF(Events!$G$2:$G$397="National",""," ["&amp;Events!$G$2:$G$397&amp;"]"),""))</f>
        <v/>
      </c>
    </row>
    <row r="405" customFormat="false" ht="15" hidden="false" customHeight="true" outlineLevel="0" collapsed="false">
      <c r="A405" s="3" t="n">
        <v>45695</v>
      </c>
      <c r="B405" s="4" t="n">
        <f aca="false">YEAR($A405)</f>
        <v>2025</v>
      </c>
      <c r="C405" s="4" t="n">
        <f aca="false">MONTH($A405)</f>
        <v>2</v>
      </c>
      <c r="D405" s="4" t="str">
        <f aca="false">TEXT($A405,"ddd")</f>
        <v>Fri</v>
      </c>
      <c r="E405" s="4" t="n">
        <f aca="false">IF(OR(AND(MONTH($A405)=10,DAY($A405)&gt;=15),MONTH($A405)=11,AND(MONTH($A405)=12,DAY($A405)&lt;=7)),1,0)</f>
        <v>0</v>
      </c>
      <c r="F405" s="4" t="n">
        <f aca="false">IF(MONTH($A405)&lt;=3,1,0)</f>
        <v>1</v>
      </c>
      <c r="G405" s="4" t="str">
        <f aca="false" t="array" ref="G405: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4" t="n">
        <f aca="false">COUNTIF(Events!$A$2:$A$397,$A405)</f>
        <v>0</v>
      </c>
      <c r="I405" s="6" t="str">
        <f aca="false" t="array" ref="I405:I405">_xlfn.TEXTJOIN(" | ",TRUE(),IF(Events!$A$2:$A$397=$A405,Events!$E$2:$E$397&amp;IF(Events!$G$2:$G$397="National",""," ["&amp;Events!$G$2:$G$397&amp;"]"),""))</f>
        <v/>
      </c>
    </row>
    <row r="406" customFormat="false" ht="15" hidden="false" customHeight="true" outlineLevel="0" collapsed="false">
      <c r="A406" s="3" t="n">
        <v>45696</v>
      </c>
      <c r="B406" s="4" t="n">
        <f aca="false">YEAR($A406)</f>
        <v>2025</v>
      </c>
      <c r="C406" s="4" t="n">
        <f aca="false">MONTH($A406)</f>
        <v>2</v>
      </c>
      <c r="D406" s="4" t="str">
        <f aca="false">TEXT($A406,"ddd")</f>
        <v>Sat</v>
      </c>
      <c r="E406" s="4" t="n">
        <f aca="false">IF(OR(AND(MONTH($A406)=10,DAY($A406)&gt;=15),MONTH($A406)=11,AND(MONTH($A406)=12,DAY($A406)&lt;=7)),1,0)</f>
        <v>0</v>
      </c>
      <c r="F406" s="4" t="n">
        <f aca="false">IF(MONTH($A406)&lt;=3,1,0)</f>
        <v>1</v>
      </c>
      <c r="G406" s="4" t="str">
        <f aca="false" t="array" ref="G406: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4" t="n">
        <f aca="false">COUNTIF(Events!$A$2:$A$397,$A406)</f>
        <v>0</v>
      </c>
      <c r="I406" s="6" t="str">
        <f aca="false" t="array" ref="I406:I406">_xlfn.TEXTJOIN(" | ",TRUE(),IF(Events!$A$2:$A$397=$A406,Events!$E$2:$E$397&amp;IF(Events!$G$2:$G$397="National",""," ["&amp;Events!$G$2:$G$397&amp;"]"),""))</f>
        <v/>
      </c>
    </row>
    <row r="407" customFormat="false" ht="15" hidden="false" customHeight="true" outlineLevel="0" collapsed="false">
      <c r="A407" s="3" t="n">
        <v>45697</v>
      </c>
      <c r="B407" s="4" t="n">
        <f aca="false">YEAR($A407)</f>
        <v>2025</v>
      </c>
      <c r="C407" s="4" t="n">
        <f aca="false">MONTH($A407)</f>
        <v>2</v>
      </c>
      <c r="D407" s="4" t="str">
        <f aca="false">TEXT($A407,"ddd")</f>
        <v>Sun</v>
      </c>
      <c r="E407" s="4" t="n">
        <f aca="false">IF(OR(AND(MONTH($A407)=10,DAY($A407)&gt;=15),MONTH($A407)=11,AND(MONTH($A407)=12,DAY($A407)&lt;=7)),1,0)</f>
        <v>0</v>
      </c>
      <c r="F407" s="4" t="n">
        <f aca="false">IF(MONTH($A407)&lt;=3,1,0)</f>
        <v>1</v>
      </c>
      <c r="G407" s="4" t="str">
        <f aca="false" t="array" ref="G407: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4" t="n">
        <f aca="false">COUNTIF(Events!$A$2:$A$397,$A407)</f>
        <v>0</v>
      </c>
      <c r="I407" s="6" t="str">
        <f aca="false" t="array" ref="I407:I407">_xlfn.TEXTJOIN(" | ",TRUE(),IF(Events!$A$2:$A$397=$A407,Events!$E$2:$E$397&amp;IF(Events!$G$2:$G$397="National",""," ["&amp;Events!$G$2:$G$397&amp;"]"),""))</f>
        <v/>
      </c>
    </row>
    <row r="408" customFormat="false" ht="15" hidden="false" customHeight="true" outlineLevel="0" collapsed="false">
      <c r="A408" s="3" t="n">
        <v>45698</v>
      </c>
      <c r="B408" s="4" t="n">
        <f aca="false">YEAR($A408)</f>
        <v>2025</v>
      </c>
      <c r="C408" s="4" t="n">
        <f aca="false">MONTH($A408)</f>
        <v>2</v>
      </c>
      <c r="D408" s="4" t="str">
        <f aca="false">TEXT($A408,"ddd")</f>
        <v>Mon</v>
      </c>
      <c r="E408" s="4" t="n">
        <f aca="false">IF(OR(AND(MONTH($A408)=10,DAY($A408)&gt;=15),MONTH($A408)=11,AND(MONTH($A408)=12,DAY($A408)&lt;=7)),1,0)</f>
        <v>0</v>
      </c>
      <c r="F408" s="4" t="n">
        <f aca="false">IF(MONTH($A408)&lt;=3,1,0)</f>
        <v>1</v>
      </c>
      <c r="G408" s="4" t="str">
        <f aca="false" t="array" ref="G408: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4" t="n">
        <f aca="false">COUNTIF(Events!$A$2:$A$397,$A408)</f>
        <v>0</v>
      </c>
      <c r="I408" s="6" t="str">
        <f aca="false" t="array" ref="I408:I408">_xlfn.TEXTJOIN(" | ",TRUE(),IF(Events!$A$2:$A$397=$A408,Events!$E$2:$E$397&amp;IF(Events!$G$2:$G$397="National",""," ["&amp;Events!$G$2:$G$397&amp;"]"),""))</f>
        <v/>
      </c>
    </row>
    <row r="409" customFormat="false" ht="15" hidden="false" customHeight="true" outlineLevel="0" collapsed="false">
      <c r="A409" s="3" t="n">
        <v>45699</v>
      </c>
      <c r="B409" s="4" t="n">
        <f aca="false">YEAR($A409)</f>
        <v>2025</v>
      </c>
      <c r="C409" s="4" t="n">
        <f aca="false">MONTH($A409)</f>
        <v>2</v>
      </c>
      <c r="D409" s="4" t="str">
        <f aca="false">TEXT($A409,"ddd")</f>
        <v>Tue</v>
      </c>
      <c r="E409" s="4" t="n">
        <f aca="false">IF(OR(AND(MONTH($A409)=10,DAY($A409)&gt;=15),MONTH($A409)=11,AND(MONTH($A409)=12,DAY($A409)&lt;=7)),1,0)</f>
        <v>0</v>
      </c>
      <c r="F409" s="4" t="n">
        <f aca="false">IF(MONTH($A409)&lt;=3,1,0)</f>
        <v>1</v>
      </c>
      <c r="G409" s="4" t="str">
        <f aca="false" t="array" ref="G409: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4" t="n">
        <f aca="false">COUNTIF(Events!$A$2:$A$397,$A409)</f>
        <v>0</v>
      </c>
      <c r="I409" s="6" t="str">
        <f aca="false" t="array" ref="I409:I409">_xlfn.TEXTJOIN(" | ",TRUE(),IF(Events!$A$2:$A$397=$A409,Events!$E$2:$E$397&amp;IF(Events!$G$2:$G$397="National",""," ["&amp;Events!$G$2:$G$397&amp;"]"),""))</f>
        <v/>
      </c>
    </row>
    <row r="410" customFormat="false" ht="15" hidden="false" customHeight="true" outlineLevel="0" collapsed="false">
      <c r="A410" s="3" t="n">
        <v>45700</v>
      </c>
      <c r="B410" s="4" t="n">
        <f aca="false">YEAR($A410)</f>
        <v>2025</v>
      </c>
      <c r="C410" s="4" t="n">
        <f aca="false">MONTH($A410)</f>
        <v>2</v>
      </c>
      <c r="D410" s="4" t="str">
        <f aca="false">TEXT($A410,"ddd")</f>
        <v>Wed</v>
      </c>
      <c r="E410" s="4" t="n">
        <f aca="false">IF(OR(AND(MONTH($A410)=10,DAY($A410)&gt;=15),MONTH($A410)=11,AND(MONTH($A410)=12,DAY($A410)&lt;=7)),1,0)</f>
        <v>0</v>
      </c>
      <c r="F410" s="4" t="n">
        <f aca="false">IF(MONTH($A410)&lt;=3,1,0)</f>
        <v>1</v>
      </c>
      <c r="G410" s="4" t="str">
        <f aca="false" t="array" ref="G410: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4" t="n">
        <f aca="false">COUNTIF(Events!$A$2:$A$397,$A410)</f>
        <v>0</v>
      </c>
      <c r="I410" s="6" t="str">
        <f aca="false" t="array" ref="I410:I410">_xlfn.TEXTJOIN(" | ",TRUE(),IF(Events!$A$2:$A$397=$A410,Events!$E$2:$E$397&amp;IF(Events!$G$2:$G$397="National",""," ["&amp;Events!$G$2:$G$397&amp;"]"),""))</f>
        <v/>
      </c>
    </row>
    <row r="411" customFormat="false" ht="15" hidden="false" customHeight="true" outlineLevel="0" collapsed="false">
      <c r="A411" s="3" t="n">
        <v>45701</v>
      </c>
      <c r="B411" s="4" t="n">
        <f aca="false">YEAR($A411)</f>
        <v>2025</v>
      </c>
      <c r="C411" s="4" t="n">
        <f aca="false">MONTH($A411)</f>
        <v>2</v>
      </c>
      <c r="D411" s="4" t="str">
        <f aca="false">TEXT($A411,"ddd")</f>
        <v>Thu</v>
      </c>
      <c r="E411" s="4" t="n">
        <f aca="false">IF(OR(AND(MONTH($A411)=10,DAY($A411)&gt;=15),MONTH($A411)=11,AND(MONTH($A411)=12,DAY($A411)&lt;=7)),1,0)</f>
        <v>0</v>
      </c>
      <c r="F411" s="4" t="n">
        <f aca="false">IF(MONTH($A411)&lt;=3,1,0)</f>
        <v>1</v>
      </c>
      <c r="G411" s="4" t="str">
        <f aca="false" t="array" ref="G411: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4" t="n">
        <f aca="false">COUNTIF(Events!$A$2:$A$397,$A411)</f>
        <v>0</v>
      </c>
      <c r="I411" s="6" t="str">
        <f aca="false" t="array" ref="I411:I411">_xlfn.TEXTJOIN(" | ",TRUE(),IF(Events!$A$2:$A$397=$A411,Events!$E$2:$E$397&amp;IF(Events!$G$2:$G$397="National",""," ["&amp;Events!$G$2:$G$397&amp;"]"),""))</f>
        <v/>
      </c>
    </row>
    <row r="412" customFormat="false" ht="15" hidden="false" customHeight="true" outlineLevel="0" collapsed="false">
      <c r="A412" s="3" t="n">
        <v>45702</v>
      </c>
      <c r="B412" s="4" t="n">
        <f aca="false">YEAR($A412)</f>
        <v>2025</v>
      </c>
      <c r="C412" s="4" t="n">
        <f aca="false">MONTH($A412)</f>
        <v>2</v>
      </c>
      <c r="D412" s="4" t="str">
        <f aca="false">TEXT($A412,"ddd")</f>
        <v>Fri</v>
      </c>
      <c r="E412" s="4" t="n">
        <f aca="false">IF(OR(AND(MONTH($A412)=10,DAY($A412)&gt;=15),MONTH($A412)=11,AND(MONTH($A412)=12,DAY($A412)&lt;=7)),1,0)</f>
        <v>0</v>
      </c>
      <c r="F412" s="4" t="n">
        <f aca="false">IF(MONTH($A412)&lt;=3,1,0)</f>
        <v>1</v>
      </c>
      <c r="G412" s="4" t="str">
        <f aca="false" t="array" ref="G412: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4" t="n">
        <f aca="false">COUNTIF(Events!$A$2:$A$397,$A412)</f>
        <v>0</v>
      </c>
      <c r="I412" s="6" t="str">
        <f aca="false" t="array" ref="I412:I412">_xlfn.TEXTJOIN(" | ",TRUE(),IF(Events!$A$2:$A$397=$A412,Events!$E$2:$E$397&amp;IF(Events!$G$2:$G$397="National",""," ["&amp;Events!$G$2:$G$397&amp;"]"),""))</f>
        <v/>
      </c>
    </row>
    <row r="413" customFormat="false" ht="15" hidden="false" customHeight="true" outlineLevel="0" collapsed="false">
      <c r="A413" s="3" t="n">
        <v>45703</v>
      </c>
      <c r="B413" s="4" t="n">
        <f aca="false">YEAR($A413)</f>
        <v>2025</v>
      </c>
      <c r="C413" s="4" t="n">
        <f aca="false">MONTH($A413)</f>
        <v>2</v>
      </c>
      <c r="D413" s="4" t="str">
        <f aca="false">TEXT($A413,"ddd")</f>
        <v>Sat</v>
      </c>
      <c r="E413" s="4" t="n">
        <f aca="false">IF(OR(AND(MONTH($A413)=10,DAY($A413)&gt;=15),MONTH($A413)=11,AND(MONTH($A413)=12,DAY($A413)&lt;=7)),1,0)</f>
        <v>0</v>
      </c>
      <c r="F413" s="4" t="n">
        <f aca="false">IF(MONTH($A413)&lt;=3,1,0)</f>
        <v>1</v>
      </c>
      <c r="G413" s="4" t="str">
        <f aca="false" t="array" ref="G413: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4" t="n">
        <f aca="false">COUNTIF(Events!$A$2:$A$397,$A413)</f>
        <v>0</v>
      </c>
      <c r="I413" s="6" t="str">
        <f aca="false" t="array" ref="I413:I413">_xlfn.TEXTJOIN(" | ",TRUE(),IF(Events!$A$2:$A$397=$A413,Events!$E$2:$E$397&amp;IF(Events!$G$2:$G$397="National",""," ["&amp;Events!$G$2:$G$397&amp;"]"),""))</f>
        <v/>
      </c>
    </row>
    <row r="414" customFormat="false" ht="15" hidden="false" customHeight="true" outlineLevel="0" collapsed="false">
      <c r="A414" s="3" t="n">
        <v>45704</v>
      </c>
      <c r="B414" s="4" t="n">
        <f aca="false">YEAR($A414)</f>
        <v>2025</v>
      </c>
      <c r="C414" s="4" t="n">
        <f aca="false">MONTH($A414)</f>
        <v>2</v>
      </c>
      <c r="D414" s="4" t="str">
        <f aca="false">TEXT($A414,"ddd")</f>
        <v>Sun</v>
      </c>
      <c r="E414" s="4" t="n">
        <f aca="false">IF(OR(AND(MONTH($A414)=10,DAY($A414)&gt;=15),MONTH($A414)=11,AND(MONTH($A414)=12,DAY($A414)&lt;=7)),1,0)</f>
        <v>0</v>
      </c>
      <c r="F414" s="4" t="n">
        <f aca="false">IF(MONTH($A414)&lt;=3,1,0)</f>
        <v>1</v>
      </c>
      <c r="G414" s="4" t="str">
        <f aca="false" t="array" ref="G414: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4" t="n">
        <f aca="false">COUNTIF(Events!$A$2:$A$397,$A414)</f>
        <v>0</v>
      </c>
      <c r="I414" s="6" t="str">
        <f aca="false" t="array" ref="I414:I414">_xlfn.TEXTJOIN(" | ",TRUE(),IF(Events!$A$2:$A$397=$A414,Events!$E$2:$E$397&amp;IF(Events!$G$2:$G$397="National",""," ["&amp;Events!$G$2:$G$397&amp;"]"),""))</f>
        <v/>
      </c>
    </row>
    <row r="415" customFormat="false" ht="15" hidden="false" customHeight="true" outlineLevel="0" collapsed="false">
      <c r="A415" s="3" t="n">
        <v>45705</v>
      </c>
      <c r="B415" s="4" t="n">
        <f aca="false">YEAR($A415)</f>
        <v>2025</v>
      </c>
      <c r="C415" s="4" t="n">
        <f aca="false">MONTH($A415)</f>
        <v>2</v>
      </c>
      <c r="D415" s="4" t="str">
        <f aca="false">TEXT($A415,"ddd")</f>
        <v>Mon</v>
      </c>
      <c r="E415" s="4" t="n">
        <f aca="false">IF(OR(AND(MONTH($A415)=10,DAY($A415)&gt;=15),MONTH($A415)=11,AND(MONTH($A415)=12,DAY($A415)&lt;=7)),1,0)</f>
        <v>0</v>
      </c>
      <c r="F415" s="4" t="n">
        <f aca="false">IF(MONTH($A415)&lt;=3,1,0)</f>
        <v>1</v>
      </c>
      <c r="G415" s="4" t="str">
        <f aca="false" t="array" ref="G415: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4" t="n">
        <f aca="false">COUNTIF(Events!$A$2:$A$397,$A415)</f>
        <v>0</v>
      </c>
      <c r="I415" s="6" t="str">
        <f aca="false" t="array" ref="I415:I415">_xlfn.TEXTJOIN(" | ",TRUE(),IF(Events!$A$2:$A$397=$A415,Events!$E$2:$E$397&amp;IF(Events!$G$2:$G$397="National",""," ["&amp;Events!$G$2:$G$397&amp;"]"),""))</f>
        <v/>
      </c>
    </row>
    <row r="416" customFormat="false" ht="15" hidden="false" customHeight="true" outlineLevel="0" collapsed="false">
      <c r="A416" s="3" t="n">
        <v>45706</v>
      </c>
      <c r="B416" s="4" t="n">
        <f aca="false">YEAR($A416)</f>
        <v>2025</v>
      </c>
      <c r="C416" s="4" t="n">
        <f aca="false">MONTH($A416)</f>
        <v>2</v>
      </c>
      <c r="D416" s="4" t="str">
        <f aca="false">TEXT($A416,"ddd")</f>
        <v>Tue</v>
      </c>
      <c r="E416" s="4" t="n">
        <f aca="false">IF(OR(AND(MONTH($A416)=10,DAY($A416)&gt;=15),MONTH($A416)=11,AND(MONTH($A416)=12,DAY($A416)&lt;=7)),1,0)</f>
        <v>0</v>
      </c>
      <c r="F416" s="4" t="n">
        <f aca="false">IF(MONTH($A416)&lt;=3,1,0)</f>
        <v>1</v>
      </c>
      <c r="G416" s="4" t="str">
        <f aca="false" t="array" ref="G416: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4" t="n">
        <f aca="false">COUNTIF(Events!$A$2:$A$397,$A416)</f>
        <v>0</v>
      </c>
      <c r="I416" s="6" t="str">
        <f aca="false" t="array" ref="I416:I416">_xlfn.TEXTJOIN(" | ",TRUE(),IF(Events!$A$2:$A$397=$A416,Events!$E$2:$E$397&amp;IF(Events!$G$2:$G$397="National",""," ["&amp;Events!$G$2:$G$397&amp;"]"),""))</f>
        <v/>
      </c>
    </row>
    <row r="417" customFormat="false" ht="15" hidden="false" customHeight="true" outlineLevel="0" collapsed="false">
      <c r="A417" s="3" t="n">
        <v>45707</v>
      </c>
      <c r="B417" s="4" t="n">
        <f aca="false">YEAR($A417)</f>
        <v>2025</v>
      </c>
      <c r="C417" s="4" t="n">
        <f aca="false">MONTH($A417)</f>
        <v>2</v>
      </c>
      <c r="D417" s="4" t="str">
        <f aca="false">TEXT($A417,"ddd")</f>
        <v>Wed</v>
      </c>
      <c r="E417" s="4" t="n">
        <f aca="false">IF(OR(AND(MONTH($A417)=10,DAY($A417)&gt;=15),MONTH($A417)=11,AND(MONTH($A417)=12,DAY($A417)&lt;=7)),1,0)</f>
        <v>0</v>
      </c>
      <c r="F417" s="4" t="n">
        <f aca="false">IF(MONTH($A417)&lt;=3,1,0)</f>
        <v>1</v>
      </c>
      <c r="G417" s="4" t="str">
        <f aca="false" t="array" ref="G417: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4" t="n">
        <f aca="false">COUNTIF(Events!$A$2:$A$397,$A417)</f>
        <v>0</v>
      </c>
      <c r="I417" s="6" t="str">
        <f aca="false" t="array" ref="I417:I417">_xlfn.TEXTJOIN(" | ",TRUE(),IF(Events!$A$2:$A$397=$A417,Events!$E$2:$E$397&amp;IF(Events!$G$2:$G$397="National",""," ["&amp;Events!$G$2:$G$397&amp;"]"),""))</f>
        <v/>
      </c>
    </row>
    <row r="418" customFormat="false" ht="15" hidden="false" customHeight="true" outlineLevel="0" collapsed="false">
      <c r="A418" s="3" t="n">
        <v>45708</v>
      </c>
      <c r="B418" s="4" t="n">
        <f aca="false">YEAR($A418)</f>
        <v>2025</v>
      </c>
      <c r="C418" s="4" t="n">
        <f aca="false">MONTH($A418)</f>
        <v>2</v>
      </c>
      <c r="D418" s="4" t="str">
        <f aca="false">TEXT($A418,"ddd")</f>
        <v>Thu</v>
      </c>
      <c r="E418" s="4" t="n">
        <f aca="false">IF(OR(AND(MONTH($A418)=10,DAY($A418)&gt;=15),MONTH($A418)=11,AND(MONTH($A418)=12,DAY($A418)&lt;=7)),1,0)</f>
        <v>0</v>
      </c>
      <c r="F418" s="4" t="n">
        <f aca="false">IF(MONTH($A418)&lt;=3,1,0)</f>
        <v>1</v>
      </c>
      <c r="G418" s="4" t="str">
        <f aca="false" t="array" ref="G418: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4" t="n">
        <f aca="false">COUNTIF(Events!$A$2:$A$397,$A418)</f>
        <v>0</v>
      </c>
      <c r="I418" s="6" t="str">
        <f aca="false" t="array" ref="I418:I418">_xlfn.TEXTJOIN(" | ",TRUE(),IF(Events!$A$2:$A$397=$A418,Events!$E$2:$E$397&amp;IF(Events!$G$2:$G$397="National",""," ["&amp;Events!$G$2:$G$397&amp;"]"),""))</f>
        <v/>
      </c>
    </row>
    <row r="419" customFormat="false" ht="15" hidden="false" customHeight="true" outlineLevel="0" collapsed="false">
      <c r="A419" s="3" t="n">
        <v>45709</v>
      </c>
      <c r="B419" s="4" t="n">
        <f aca="false">YEAR($A419)</f>
        <v>2025</v>
      </c>
      <c r="C419" s="4" t="n">
        <f aca="false">MONTH($A419)</f>
        <v>2</v>
      </c>
      <c r="D419" s="4" t="str">
        <f aca="false">TEXT($A419,"ddd")</f>
        <v>Fri</v>
      </c>
      <c r="E419" s="4" t="n">
        <f aca="false">IF(OR(AND(MONTH($A419)=10,DAY($A419)&gt;=15),MONTH($A419)=11,AND(MONTH($A419)=12,DAY($A419)&lt;=7)),1,0)</f>
        <v>0</v>
      </c>
      <c r="F419" s="4" t="n">
        <f aca="false">IF(MONTH($A419)&lt;=3,1,0)</f>
        <v>1</v>
      </c>
      <c r="G419" s="4" t="str">
        <f aca="false" t="array" ref="G419: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4" t="n">
        <f aca="false">COUNTIF(Events!$A$2:$A$397,$A419)</f>
        <v>0</v>
      </c>
      <c r="I419" s="6" t="str">
        <f aca="false" t="array" ref="I419:I419">_xlfn.TEXTJOIN(" | ",TRUE(),IF(Events!$A$2:$A$397=$A419,Events!$E$2:$E$397&amp;IF(Events!$G$2:$G$397="National",""," ["&amp;Events!$G$2:$G$397&amp;"]"),""))</f>
        <v/>
      </c>
    </row>
    <row r="420" customFormat="false" ht="15" hidden="false" customHeight="true" outlineLevel="0" collapsed="false">
      <c r="A420" s="3" t="n">
        <v>45710</v>
      </c>
      <c r="B420" s="4" t="n">
        <f aca="false">YEAR($A420)</f>
        <v>2025</v>
      </c>
      <c r="C420" s="4" t="n">
        <f aca="false">MONTH($A420)</f>
        <v>2</v>
      </c>
      <c r="D420" s="4" t="str">
        <f aca="false">TEXT($A420,"ddd")</f>
        <v>Sat</v>
      </c>
      <c r="E420" s="4" t="n">
        <f aca="false">IF(OR(AND(MONTH($A420)=10,DAY($A420)&gt;=15),MONTH($A420)=11,AND(MONTH($A420)=12,DAY($A420)&lt;=7)),1,0)</f>
        <v>0</v>
      </c>
      <c r="F420" s="4" t="n">
        <f aca="false">IF(MONTH($A420)&lt;=3,1,0)</f>
        <v>1</v>
      </c>
      <c r="G420" s="4" t="str">
        <f aca="false" t="array" ref="G420: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4" t="n">
        <f aca="false">COUNTIF(Events!$A$2:$A$397,$A420)</f>
        <v>0</v>
      </c>
      <c r="I420" s="6" t="str">
        <f aca="false" t="array" ref="I420:I420">_xlfn.TEXTJOIN(" | ",TRUE(),IF(Events!$A$2:$A$397=$A420,Events!$E$2:$E$397&amp;IF(Events!$G$2:$G$397="National",""," ["&amp;Events!$G$2:$G$397&amp;"]"),""))</f>
        <v/>
      </c>
    </row>
    <row r="421" customFormat="false" ht="15" hidden="false" customHeight="true" outlineLevel="0" collapsed="false">
      <c r="A421" s="3" t="n">
        <v>45711</v>
      </c>
      <c r="B421" s="4" t="n">
        <f aca="false">YEAR($A421)</f>
        <v>2025</v>
      </c>
      <c r="C421" s="4" t="n">
        <f aca="false">MONTH($A421)</f>
        <v>2</v>
      </c>
      <c r="D421" s="4" t="str">
        <f aca="false">TEXT($A421,"ddd")</f>
        <v>Sun</v>
      </c>
      <c r="E421" s="4" t="n">
        <f aca="false">IF(OR(AND(MONTH($A421)=10,DAY($A421)&gt;=15),MONTH($A421)=11,AND(MONTH($A421)=12,DAY($A421)&lt;=7)),1,0)</f>
        <v>0</v>
      </c>
      <c r="F421" s="4" t="n">
        <f aca="false">IF(MONTH($A421)&lt;=3,1,0)</f>
        <v>1</v>
      </c>
      <c r="G421" s="4" t="str">
        <f aca="false" t="array" ref="G421: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4" t="n">
        <f aca="false">COUNTIF(Events!$A$2:$A$397,$A421)</f>
        <v>0</v>
      </c>
      <c r="I421" s="6" t="str">
        <f aca="false" t="array" ref="I421:I421">_xlfn.TEXTJOIN(" | ",TRUE(),IF(Events!$A$2:$A$397=$A421,Events!$E$2:$E$397&amp;IF(Events!$G$2:$G$397="National",""," ["&amp;Events!$G$2:$G$397&amp;"]"),""))</f>
        <v/>
      </c>
    </row>
    <row r="422" customFormat="false" ht="15" hidden="false" customHeight="true" outlineLevel="0" collapsed="false">
      <c r="A422" s="3" t="n">
        <v>45712</v>
      </c>
      <c r="B422" s="4" t="n">
        <f aca="false">YEAR($A422)</f>
        <v>2025</v>
      </c>
      <c r="C422" s="4" t="n">
        <f aca="false">MONTH($A422)</f>
        <v>2</v>
      </c>
      <c r="D422" s="4" t="str">
        <f aca="false">TEXT($A422,"ddd")</f>
        <v>Mon</v>
      </c>
      <c r="E422" s="4" t="n">
        <f aca="false">IF(OR(AND(MONTH($A422)=10,DAY($A422)&gt;=15),MONTH($A422)=11,AND(MONTH($A422)=12,DAY($A422)&lt;=7)),1,0)</f>
        <v>0</v>
      </c>
      <c r="F422" s="4" t="n">
        <f aca="false">IF(MONTH($A422)&lt;=3,1,0)</f>
        <v>1</v>
      </c>
      <c r="G422" s="4" t="str">
        <f aca="false" t="array" ref="G422: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4" t="n">
        <f aca="false">COUNTIF(Events!$A$2:$A$397,$A422)</f>
        <v>0</v>
      </c>
      <c r="I422" s="6" t="str">
        <f aca="false" t="array" ref="I422:I422">_xlfn.TEXTJOIN(" | ",TRUE(),IF(Events!$A$2:$A$397=$A422,Events!$E$2:$E$397&amp;IF(Events!$G$2:$G$397="National",""," ["&amp;Events!$G$2:$G$397&amp;"]"),""))</f>
        <v/>
      </c>
    </row>
    <row r="423" customFormat="false" ht="15" hidden="false" customHeight="true" outlineLevel="0" collapsed="false">
      <c r="A423" s="3" t="n">
        <v>45713</v>
      </c>
      <c r="B423" s="4" t="n">
        <f aca="false">YEAR($A423)</f>
        <v>2025</v>
      </c>
      <c r="C423" s="4" t="n">
        <f aca="false">MONTH($A423)</f>
        <v>2</v>
      </c>
      <c r="D423" s="4" t="str">
        <f aca="false">TEXT($A423,"ddd")</f>
        <v>Tue</v>
      </c>
      <c r="E423" s="4" t="n">
        <f aca="false">IF(OR(AND(MONTH($A423)=10,DAY($A423)&gt;=15),MONTH($A423)=11,AND(MONTH($A423)=12,DAY($A423)&lt;=7)),1,0)</f>
        <v>0</v>
      </c>
      <c r="F423" s="4" t="n">
        <f aca="false">IF(MONTH($A423)&lt;=3,1,0)</f>
        <v>1</v>
      </c>
      <c r="G423" s="4" t="str">
        <f aca="false" t="array" ref="G423: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4" t="n">
        <f aca="false">COUNTIF(Events!$A$2:$A$397,$A423)</f>
        <v>0</v>
      </c>
      <c r="I423" s="6" t="str">
        <f aca="false" t="array" ref="I423:I423">_xlfn.TEXTJOIN(" | ",TRUE(),IF(Events!$A$2:$A$397=$A423,Events!$E$2:$E$397&amp;IF(Events!$G$2:$G$397="National",""," ["&amp;Events!$G$2:$G$397&amp;"]"),""))</f>
        <v/>
      </c>
    </row>
    <row r="424" customFormat="false" ht="15" hidden="false" customHeight="true" outlineLevel="0" collapsed="false">
      <c r="A424" s="3" t="n">
        <v>45714</v>
      </c>
      <c r="B424" s="4" t="n">
        <f aca="false">YEAR($A424)</f>
        <v>2025</v>
      </c>
      <c r="C424" s="4" t="n">
        <f aca="false">MONTH($A424)</f>
        <v>2</v>
      </c>
      <c r="D424" s="4" t="str">
        <f aca="false">TEXT($A424,"ddd")</f>
        <v>Wed</v>
      </c>
      <c r="E424" s="4" t="n">
        <f aca="false">IF(OR(AND(MONTH($A424)=10,DAY($A424)&gt;=15),MONTH($A424)=11,AND(MONTH($A424)=12,DAY($A424)&lt;=7)),1,0)</f>
        <v>0</v>
      </c>
      <c r="F424" s="4" t="n">
        <f aca="false">IF(MONTH($A424)&lt;=3,1,0)</f>
        <v>1</v>
      </c>
      <c r="G424" s="4" t="str">
        <f aca="false" t="array" ref="G424: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4" t="n">
        <f aca="false">COUNTIF(Events!$A$2:$A$397,$A424)</f>
        <v>0</v>
      </c>
      <c r="I424" s="6" t="str">
        <f aca="false" t="array" ref="I424:I424">_xlfn.TEXTJOIN(" | ",TRUE(),IF(Events!$A$2:$A$397=$A424,Events!$E$2:$E$397&amp;IF(Events!$G$2:$G$397="National",""," ["&amp;Events!$G$2:$G$397&amp;"]"),""))</f>
        <v/>
      </c>
    </row>
    <row r="425" customFormat="false" ht="15" hidden="false" customHeight="true" outlineLevel="0" collapsed="false">
      <c r="A425" s="3" t="n">
        <v>45715</v>
      </c>
      <c r="B425" s="4" t="n">
        <f aca="false">YEAR($A425)</f>
        <v>2025</v>
      </c>
      <c r="C425" s="4" t="n">
        <f aca="false">MONTH($A425)</f>
        <v>2</v>
      </c>
      <c r="D425" s="4" t="str">
        <f aca="false">TEXT($A425,"ddd")</f>
        <v>Thu</v>
      </c>
      <c r="E425" s="4" t="n">
        <f aca="false">IF(OR(AND(MONTH($A425)=10,DAY($A425)&gt;=15),MONTH($A425)=11,AND(MONTH($A425)=12,DAY($A425)&lt;=7)),1,0)</f>
        <v>0</v>
      </c>
      <c r="F425" s="4" t="n">
        <f aca="false">IF(MONTH($A425)&lt;=3,1,0)</f>
        <v>1</v>
      </c>
      <c r="G425" s="4" t="str">
        <f aca="false" t="array" ref="G425: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4" t="n">
        <f aca="false">COUNTIF(Events!$A$2:$A$397,$A425)</f>
        <v>0</v>
      </c>
      <c r="I425" s="6" t="str">
        <f aca="false" t="array" ref="I425:I425">_xlfn.TEXTJOIN(" | ",TRUE(),IF(Events!$A$2:$A$397=$A425,Events!$E$2:$E$397&amp;IF(Events!$G$2:$G$397="National",""," ["&amp;Events!$G$2:$G$397&amp;"]"),""))</f>
        <v/>
      </c>
    </row>
    <row r="426" customFormat="false" ht="15" hidden="false" customHeight="true" outlineLevel="0" collapsed="false">
      <c r="A426" s="3" t="n">
        <v>45716</v>
      </c>
      <c r="B426" s="4" t="n">
        <f aca="false">YEAR($A426)</f>
        <v>2025</v>
      </c>
      <c r="C426" s="4" t="n">
        <f aca="false">MONTH($A426)</f>
        <v>2</v>
      </c>
      <c r="D426" s="4" t="str">
        <f aca="false">TEXT($A426,"ddd")</f>
        <v>Fri</v>
      </c>
      <c r="E426" s="4" t="n">
        <f aca="false">IF(OR(AND(MONTH($A426)=10,DAY($A426)&gt;=15),MONTH($A426)=11,AND(MONTH($A426)=12,DAY($A426)&lt;=7)),1,0)</f>
        <v>0</v>
      </c>
      <c r="F426" s="4" t="n">
        <f aca="false">IF(MONTH($A426)&lt;=3,1,0)</f>
        <v>1</v>
      </c>
      <c r="G426" s="4" t="str">
        <f aca="false" t="array" ref="G426: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6" s="4" t="n">
        <f aca="false">COUNTIF(Events!$A$2:$A$397,$A426)</f>
        <v>0</v>
      </c>
      <c r="I426" s="6" t="str">
        <f aca="false" t="array" ref="I426:I426">_xlfn.TEXTJOIN(" | ",TRUE(),IF(Events!$A$2:$A$397=$A426,Events!$E$2:$E$397&amp;IF(Events!$G$2:$G$397="National",""," ["&amp;Events!$G$2:$G$397&amp;"]"),""))</f>
        <v/>
      </c>
    </row>
    <row r="427" customFormat="false" ht="15" hidden="false" customHeight="true" outlineLevel="0" collapsed="false">
      <c r="A427" s="3" t="n">
        <v>45717</v>
      </c>
      <c r="B427" s="4" t="n">
        <f aca="false">YEAR($A427)</f>
        <v>2025</v>
      </c>
      <c r="C427" s="4" t="n">
        <f aca="false">MONTH($A427)</f>
        <v>3</v>
      </c>
      <c r="D427" s="4" t="str">
        <f aca="false">TEXT($A427,"ddd")</f>
        <v>Sat</v>
      </c>
      <c r="E427" s="4" t="n">
        <f aca="false">IF(OR(AND(MONTH($A427)=10,DAY($A427)&gt;=15),MONTH($A427)=11,AND(MONTH($A427)=12,DAY($A427)&lt;=7)),1,0)</f>
        <v>0</v>
      </c>
      <c r="F427" s="4" t="n">
        <f aca="false">IF(MONTH($A427)&lt;=3,1,0)</f>
        <v>1</v>
      </c>
      <c r="G427" s="4" t="str">
        <f aca="false" t="array" ref="G427: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v>
      </c>
      <c r="H427" s="4" t="n">
        <f aca="false">COUNTIF(Events!$A$2:$A$397,$A427)</f>
        <v>0</v>
      </c>
      <c r="I427" s="6" t="str">
        <f aca="false" t="array" ref="I427:I427">_xlfn.TEXTJOIN(" | ",TRUE(),IF(Events!$A$2:$A$397=$A427,Events!$E$2:$E$397&amp;IF(Events!$G$2:$G$397="National",""," ["&amp;Events!$G$2:$G$397&amp;"]"),""))</f>
        <v/>
      </c>
    </row>
    <row r="428" customFormat="false" ht="15" hidden="false" customHeight="true" outlineLevel="0" collapsed="false">
      <c r="A428" s="3" t="n">
        <v>45718</v>
      </c>
      <c r="B428" s="4" t="n">
        <f aca="false">YEAR($A428)</f>
        <v>2025</v>
      </c>
      <c r="C428" s="4" t="n">
        <f aca="false">MONTH($A428)</f>
        <v>3</v>
      </c>
      <c r="D428" s="4" t="str">
        <f aca="false">TEXT($A428,"ddd")</f>
        <v>Sun</v>
      </c>
      <c r="E428" s="4" t="n">
        <f aca="false">IF(OR(AND(MONTH($A428)=10,DAY($A428)&gt;=15),MONTH($A428)=11,AND(MONTH($A428)=12,DAY($A428)&lt;=7)),1,0)</f>
        <v>0</v>
      </c>
      <c r="F428" s="4" t="n">
        <f aca="false">IF(MONTH($A428)&lt;=3,1,0)</f>
        <v>1</v>
      </c>
      <c r="G428" s="4" t="str">
        <f aca="false" t="array" ref="G428: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4" t="n">
        <f aca="false">COUNTIF(Events!$A$2:$A$397,$A428)</f>
        <v>0</v>
      </c>
      <c r="I428" s="6" t="str">
        <f aca="false" t="array" ref="I428:I428">_xlfn.TEXTJOIN(" | ",TRUE(),IF(Events!$A$2:$A$397=$A428,Events!$E$2:$E$397&amp;IF(Events!$G$2:$G$397="National",""," ["&amp;Events!$G$2:$G$397&amp;"]"),""))</f>
        <v/>
      </c>
    </row>
    <row r="429" customFormat="false" ht="15" hidden="false" customHeight="true" outlineLevel="0" collapsed="false">
      <c r="A429" s="3" t="n">
        <v>45719</v>
      </c>
      <c r="B429" s="4" t="n">
        <f aca="false">YEAR($A429)</f>
        <v>2025</v>
      </c>
      <c r="C429" s="4" t="n">
        <f aca="false">MONTH($A429)</f>
        <v>3</v>
      </c>
      <c r="D429" s="4" t="str">
        <f aca="false">TEXT($A429,"ddd")</f>
        <v>Mon</v>
      </c>
      <c r="E429" s="4" t="n">
        <f aca="false">IF(OR(AND(MONTH($A429)=10,DAY($A429)&gt;=15),MONTH($A429)=11,AND(MONTH($A429)=12,DAY($A429)&lt;=7)),1,0)</f>
        <v>0</v>
      </c>
      <c r="F429" s="4" t="n">
        <f aca="false">IF(MONTH($A429)&lt;=3,1,0)</f>
        <v>1</v>
      </c>
      <c r="G429" s="4" t="str">
        <f aca="false" t="array" ref="G429: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4" t="n">
        <f aca="false">COUNTIF(Events!$A$2:$A$397,$A429)</f>
        <v>0</v>
      </c>
      <c r="I429" s="6" t="str">
        <f aca="false" t="array" ref="I429:I429">_xlfn.TEXTJOIN(" | ",TRUE(),IF(Events!$A$2:$A$397=$A429,Events!$E$2:$E$397&amp;IF(Events!$G$2:$G$397="National",""," ["&amp;Events!$G$2:$G$397&amp;"]"),""))</f>
        <v/>
      </c>
    </row>
    <row r="430" customFormat="false" ht="15" hidden="false" customHeight="true" outlineLevel="0" collapsed="false">
      <c r="A430" s="3" t="n">
        <v>45720</v>
      </c>
      <c r="B430" s="4" t="n">
        <f aca="false">YEAR($A430)</f>
        <v>2025</v>
      </c>
      <c r="C430" s="4" t="n">
        <f aca="false">MONTH($A430)</f>
        <v>3</v>
      </c>
      <c r="D430" s="4" t="str">
        <f aca="false">TEXT($A430,"ddd")</f>
        <v>Tue</v>
      </c>
      <c r="E430" s="4" t="n">
        <f aca="false">IF(OR(AND(MONTH($A430)=10,DAY($A430)&gt;=15),MONTH($A430)=11,AND(MONTH($A430)=12,DAY($A430)&lt;=7)),1,0)</f>
        <v>0</v>
      </c>
      <c r="F430" s="4" t="n">
        <f aca="false">IF(MONTH($A430)&lt;=3,1,0)</f>
        <v>1</v>
      </c>
      <c r="G430" s="4" t="str">
        <f aca="false" t="array" ref="G430: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4" t="n">
        <f aca="false">COUNTIF(Events!$A$2:$A$397,$A430)</f>
        <v>0</v>
      </c>
      <c r="I430" s="6" t="str">
        <f aca="false" t="array" ref="I430:I430">_xlfn.TEXTJOIN(" | ",TRUE(),IF(Events!$A$2:$A$397=$A430,Events!$E$2:$E$397&amp;IF(Events!$G$2:$G$397="National",""," ["&amp;Events!$G$2:$G$397&amp;"]"),""))</f>
        <v/>
      </c>
    </row>
    <row r="431" customFormat="false" ht="15" hidden="false" customHeight="true" outlineLevel="0" collapsed="false">
      <c r="A431" s="3" t="n">
        <v>45721</v>
      </c>
      <c r="B431" s="4" t="n">
        <f aca="false">YEAR($A431)</f>
        <v>2025</v>
      </c>
      <c r="C431" s="4" t="n">
        <f aca="false">MONTH($A431)</f>
        <v>3</v>
      </c>
      <c r="D431" s="4" t="str">
        <f aca="false">TEXT($A431,"ddd")</f>
        <v>Wed</v>
      </c>
      <c r="E431" s="4" t="n">
        <f aca="false">IF(OR(AND(MONTH($A431)=10,DAY($A431)&gt;=15),MONTH($A431)=11,AND(MONTH($A431)=12,DAY($A431)&lt;=7)),1,0)</f>
        <v>0</v>
      </c>
      <c r="F431" s="4" t="n">
        <f aca="false">IF(MONTH($A431)&lt;=3,1,0)</f>
        <v>1</v>
      </c>
      <c r="G431" s="4" t="str">
        <f aca="false" t="array" ref="G431: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4" t="n">
        <f aca="false">COUNTIF(Events!$A$2:$A$397,$A431)</f>
        <v>0</v>
      </c>
      <c r="I431" s="6" t="str">
        <f aca="false" t="array" ref="I431:I431">_xlfn.TEXTJOIN(" | ",TRUE(),IF(Events!$A$2:$A$397=$A431,Events!$E$2:$E$397&amp;IF(Events!$G$2:$G$397="National",""," ["&amp;Events!$G$2:$G$397&amp;"]"),""))</f>
        <v/>
      </c>
    </row>
    <row r="432" customFormat="false" ht="15" hidden="false" customHeight="true" outlineLevel="0" collapsed="false">
      <c r="A432" s="3" t="n">
        <v>45722</v>
      </c>
      <c r="B432" s="4" t="n">
        <f aca="false">YEAR($A432)</f>
        <v>2025</v>
      </c>
      <c r="C432" s="4" t="n">
        <f aca="false">MONTH($A432)</f>
        <v>3</v>
      </c>
      <c r="D432" s="4" t="str">
        <f aca="false">TEXT($A432,"ddd")</f>
        <v>Thu</v>
      </c>
      <c r="E432" s="4" t="n">
        <f aca="false">IF(OR(AND(MONTH($A432)=10,DAY($A432)&gt;=15),MONTH($A432)=11,AND(MONTH($A432)=12,DAY($A432)&lt;=7)),1,0)</f>
        <v>0</v>
      </c>
      <c r="F432" s="4" t="n">
        <f aca="false">IF(MONTH($A432)&lt;=3,1,0)</f>
        <v>1</v>
      </c>
      <c r="G432" s="4" t="str">
        <f aca="false" t="array" ref="G432: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4" t="n">
        <f aca="false">COUNTIF(Events!$A$2:$A$397,$A432)</f>
        <v>0</v>
      </c>
      <c r="I432" s="6" t="str">
        <f aca="false" t="array" ref="I432:I432">_xlfn.TEXTJOIN(" | ",TRUE(),IF(Events!$A$2:$A$397=$A432,Events!$E$2:$E$397&amp;IF(Events!$G$2:$G$397="National",""," ["&amp;Events!$G$2:$G$397&amp;"]"),""))</f>
        <v/>
      </c>
    </row>
    <row r="433" customFormat="false" ht="15" hidden="false" customHeight="true" outlineLevel="0" collapsed="false">
      <c r="A433" s="3" t="n">
        <v>45723</v>
      </c>
      <c r="B433" s="4" t="n">
        <f aca="false">YEAR($A433)</f>
        <v>2025</v>
      </c>
      <c r="C433" s="4" t="n">
        <f aca="false">MONTH($A433)</f>
        <v>3</v>
      </c>
      <c r="D433" s="4" t="str">
        <f aca="false">TEXT($A433,"ddd")</f>
        <v>Fri</v>
      </c>
      <c r="E433" s="4" t="n">
        <f aca="false">IF(OR(AND(MONTH($A433)=10,DAY($A433)&gt;=15),MONTH($A433)=11,AND(MONTH($A433)=12,DAY($A433)&lt;=7)),1,0)</f>
        <v>0</v>
      </c>
      <c r="F433" s="4" t="n">
        <f aca="false">IF(MONTH($A433)&lt;=3,1,0)</f>
        <v>1</v>
      </c>
      <c r="G433" s="4" t="str">
        <f aca="false" t="array" ref="G433: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4" t="n">
        <f aca="false">COUNTIF(Events!$A$2:$A$397,$A433)</f>
        <v>0</v>
      </c>
      <c r="I433" s="6" t="str">
        <f aca="false" t="array" ref="I433:I433">_xlfn.TEXTJOIN(" | ",TRUE(),IF(Events!$A$2:$A$397=$A433,Events!$E$2:$E$397&amp;IF(Events!$G$2:$G$397="National",""," ["&amp;Events!$G$2:$G$397&amp;"]"),""))</f>
        <v/>
      </c>
    </row>
    <row r="434" customFormat="false" ht="15" hidden="false" customHeight="true" outlineLevel="0" collapsed="false">
      <c r="A434" s="3" t="n">
        <v>45724</v>
      </c>
      <c r="B434" s="4" t="n">
        <f aca="false">YEAR($A434)</f>
        <v>2025</v>
      </c>
      <c r="C434" s="4" t="n">
        <f aca="false">MONTH($A434)</f>
        <v>3</v>
      </c>
      <c r="D434" s="4" t="str">
        <f aca="false">TEXT($A434,"ddd")</f>
        <v>Sat</v>
      </c>
      <c r="E434" s="4" t="n">
        <f aca="false">IF(OR(AND(MONTH($A434)=10,DAY($A434)&gt;=15),MONTH($A434)=11,AND(MONTH($A434)=12,DAY($A434)&lt;=7)),1,0)</f>
        <v>0</v>
      </c>
      <c r="F434" s="4" t="n">
        <f aca="false">IF(MONTH($A434)&lt;=3,1,0)</f>
        <v>1</v>
      </c>
      <c r="G434" s="4" t="str">
        <f aca="false" t="array" ref="G434: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4" t="n">
        <f aca="false">COUNTIF(Events!$A$2:$A$397,$A434)</f>
        <v>0</v>
      </c>
      <c r="I434" s="6" t="str">
        <f aca="false" t="array" ref="I434:I434">_xlfn.TEXTJOIN(" | ",TRUE(),IF(Events!$A$2:$A$397=$A434,Events!$E$2:$E$397&amp;IF(Events!$G$2:$G$397="National",""," ["&amp;Events!$G$2:$G$397&amp;"]"),""))</f>
        <v/>
      </c>
    </row>
    <row r="435" customFormat="false" ht="15" hidden="false" customHeight="true" outlineLevel="0" collapsed="false">
      <c r="A435" s="3" t="n">
        <v>45725</v>
      </c>
      <c r="B435" s="4" t="n">
        <f aca="false">YEAR($A435)</f>
        <v>2025</v>
      </c>
      <c r="C435" s="4" t="n">
        <f aca="false">MONTH($A435)</f>
        <v>3</v>
      </c>
      <c r="D435" s="4" t="str">
        <f aca="false">TEXT($A435,"ddd")</f>
        <v>Sun</v>
      </c>
      <c r="E435" s="4" t="n">
        <f aca="false">IF(OR(AND(MONTH($A435)=10,DAY($A435)&gt;=15),MONTH($A435)=11,AND(MONTH($A435)=12,DAY($A435)&lt;=7)),1,0)</f>
        <v>0</v>
      </c>
      <c r="F435" s="4" t="n">
        <f aca="false">IF(MONTH($A435)&lt;=3,1,0)</f>
        <v>1</v>
      </c>
      <c r="G435" s="4" t="str">
        <f aca="false" t="array" ref="G435: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4" t="n">
        <f aca="false">COUNTIF(Events!$A$2:$A$397,$A435)</f>
        <v>0</v>
      </c>
      <c r="I435" s="6" t="str">
        <f aca="false" t="array" ref="I435:I435">_xlfn.TEXTJOIN(" | ",TRUE(),IF(Events!$A$2:$A$397=$A435,Events!$E$2:$E$397&amp;IF(Events!$G$2:$G$397="National",""," ["&amp;Events!$G$2:$G$397&amp;"]"),""))</f>
        <v/>
      </c>
    </row>
    <row r="436" customFormat="false" ht="15" hidden="false" customHeight="true" outlineLevel="0" collapsed="false">
      <c r="A436" s="3" t="n">
        <v>45726</v>
      </c>
      <c r="B436" s="4" t="n">
        <f aca="false">YEAR($A436)</f>
        <v>2025</v>
      </c>
      <c r="C436" s="4" t="n">
        <f aca="false">MONTH($A436)</f>
        <v>3</v>
      </c>
      <c r="D436" s="4" t="str">
        <f aca="false">TEXT($A436,"ddd")</f>
        <v>Mon</v>
      </c>
      <c r="E436" s="4" t="n">
        <f aca="false">IF(OR(AND(MONTH($A436)=10,DAY($A436)&gt;=15),MONTH($A436)=11,AND(MONTH($A436)=12,DAY($A436)&lt;=7)),1,0)</f>
        <v>0</v>
      </c>
      <c r="F436" s="4" t="n">
        <f aca="false">IF(MONTH($A436)&lt;=3,1,0)</f>
        <v>1</v>
      </c>
      <c r="G436" s="4" t="str">
        <f aca="false" t="array" ref="G436: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4" t="n">
        <f aca="false">COUNTIF(Events!$A$2:$A$397,$A436)</f>
        <v>0</v>
      </c>
      <c r="I436" s="6" t="str">
        <f aca="false" t="array" ref="I436:I436">_xlfn.TEXTJOIN(" | ",TRUE(),IF(Events!$A$2:$A$397=$A436,Events!$E$2:$E$397&amp;IF(Events!$G$2:$G$397="National",""," ["&amp;Events!$G$2:$G$397&amp;"]"),""))</f>
        <v/>
      </c>
    </row>
    <row r="437" customFormat="false" ht="15" hidden="false" customHeight="true" outlineLevel="0" collapsed="false">
      <c r="A437" s="3" t="n">
        <v>45727</v>
      </c>
      <c r="B437" s="4" t="n">
        <f aca="false">YEAR($A437)</f>
        <v>2025</v>
      </c>
      <c r="C437" s="4" t="n">
        <f aca="false">MONTH($A437)</f>
        <v>3</v>
      </c>
      <c r="D437" s="4" t="str">
        <f aca="false">TEXT($A437,"ddd")</f>
        <v>Tue</v>
      </c>
      <c r="E437" s="4" t="n">
        <f aca="false">IF(OR(AND(MONTH($A437)=10,DAY($A437)&gt;=15),MONTH($A437)=11,AND(MONTH($A437)=12,DAY($A437)&lt;=7)),1,0)</f>
        <v>0</v>
      </c>
      <c r="F437" s="4" t="n">
        <f aca="false">IF(MONTH($A437)&lt;=3,1,0)</f>
        <v>1</v>
      </c>
      <c r="G437" s="4" t="str">
        <f aca="false" t="array" ref="G437: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4" t="n">
        <f aca="false">COUNTIF(Events!$A$2:$A$397,$A437)</f>
        <v>0</v>
      </c>
      <c r="I437" s="6" t="str">
        <f aca="false" t="array" ref="I437:I437">_xlfn.TEXTJOIN(" | ",TRUE(),IF(Events!$A$2:$A$397=$A437,Events!$E$2:$E$397&amp;IF(Events!$G$2:$G$397="National",""," ["&amp;Events!$G$2:$G$397&amp;"]"),""))</f>
        <v/>
      </c>
    </row>
    <row r="438" customFormat="false" ht="15" hidden="false" customHeight="true" outlineLevel="0" collapsed="false">
      <c r="A438" s="3" t="n">
        <v>45728</v>
      </c>
      <c r="B438" s="4" t="n">
        <f aca="false">YEAR($A438)</f>
        <v>2025</v>
      </c>
      <c r="C438" s="4" t="n">
        <f aca="false">MONTH($A438)</f>
        <v>3</v>
      </c>
      <c r="D438" s="4" t="str">
        <f aca="false">TEXT($A438,"ddd")</f>
        <v>Wed</v>
      </c>
      <c r="E438" s="4" t="n">
        <f aca="false">IF(OR(AND(MONTH($A438)=10,DAY($A438)&gt;=15),MONTH($A438)=11,AND(MONTH($A438)=12,DAY($A438)&lt;=7)),1,0)</f>
        <v>0</v>
      </c>
      <c r="F438" s="4" t="n">
        <f aca="false">IF(MONTH($A438)&lt;=3,1,0)</f>
        <v>1</v>
      </c>
      <c r="G438" s="4" t="str">
        <f aca="false" t="array" ref="G438: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4" t="n">
        <f aca="false">COUNTIF(Events!$A$2:$A$397,$A438)</f>
        <v>0</v>
      </c>
      <c r="I438" s="6" t="str">
        <f aca="false" t="array" ref="I438:I438">_xlfn.TEXTJOIN(" | ",TRUE(),IF(Events!$A$2:$A$397=$A438,Events!$E$2:$E$397&amp;IF(Events!$G$2:$G$397="National",""," ["&amp;Events!$G$2:$G$397&amp;"]"),""))</f>
        <v/>
      </c>
    </row>
    <row r="439" customFormat="false" ht="15" hidden="false" customHeight="true" outlineLevel="0" collapsed="false">
      <c r="A439" s="3" t="n">
        <v>45729</v>
      </c>
      <c r="B439" s="4" t="n">
        <f aca="false">YEAR($A439)</f>
        <v>2025</v>
      </c>
      <c r="C439" s="4" t="n">
        <f aca="false">MONTH($A439)</f>
        <v>3</v>
      </c>
      <c r="D439" s="4" t="str">
        <f aca="false">TEXT($A439,"ddd")</f>
        <v>Thu</v>
      </c>
      <c r="E439" s="4" t="n">
        <f aca="false">IF(OR(AND(MONTH($A439)=10,DAY($A439)&gt;=15),MONTH($A439)=11,AND(MONTH($A439)=12,DAY($A439)&lt;=7)),1,0)</f>
        <v>0</v>
      </c>
      <c r="F439" s="4" t="n">
        <f aca="false">IF(MONTH($A439)&lt;=3,1,0)</f>
        <v>1</v>
      </c>
      <c r="G439" s="4" t="str">
        <f aca="false" t="array" ref="G439: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4" t="n">
        <f aca="false">COUNTIF(Events!$A$2:$A$397,$A439)</f>
        <v>0</v>
      </c>
      <c r="I439" s="6" t="str">
        <f aca="false" t="array" ref="I439:I439">_xlfn.TEXTJOIN(" | ",TRUE(),IF(Events!$A$2:$A$397=$A439,Events!$E$2:$E$397&amp;IF(Events!$G$2:$G$397="National",""," ["&amp;Events!$G$2:$G$397&amp;"]"),""))</f>
        <v/>
      </c>
    </row>
    <row r="440" customFormat="false" ht="15" hidden="false" customHeight="true" outlineLevel="0" collapsed="false">
      <c r="A440" s="3" t="n">
        <v>45730</v>
      </c>
      <c r="B440" s="4" t="n">
        <f aca="false">YEAR($A440)</f>
        <v>2025</v>
      </c>
      <c r="C440" s="4" t="n">
        <f aca="false">MONTH($A440)</f>
        <v>3</v>
      </c>
      <c r="D440" s="4" t="str">
        <f aca="false">TEXT($A440,"ddd")</f>
        <v>Fri</v>
      </c>
      <c r="E440" s="4" t="n">
        <f aca="false">IF(OR(AND(MONTH($A440)=10,DAY($A440)&gt;=15),MONTH($A440)=11,AND(MONTH($A440)=12,DAY($A440)&lt;=7)),1,0)</f>
        <v>0</v>
      </c>
      <c r="F440" s="4" t="n">
        <f aca="false">IF(MONTH($A440)&lt;=3,1,0)</f>
        <v>1</v>
      </c>
      <c r="G440" s="4" t="str">
        <f aca="false" t="array" ref="G440: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4" t="n">
        <f aca="false">COUNTIF(Events!$A$2:$A$397,$A440)</f>
        <v>0</v>
      </c>
      <c r="I440" s="6" t="str">
        <f aca="false" t="array" ref="I440:I440">_xlfn.TEXTJOIN(" | ",TRUE(),IF(Events!$A$2:$A$397=$A440,Events!$E$2:$E$397&amp;IF(Events!$G$2:$G$397="National",""," ["&amp;Events!$G$2:$G$397&amp;"]"),""))</f>
        <v/>
      </c>
    </row>
    <row r="441" customFormat="false" ht="15" hidden="false" customHeight="true" outlineLevel="0" collapsed="false">
      <c r="A441" s="3" t="n">
        <v>45731</v>
      </c>
      <c r="B441" s="4" t="n">
        <f aca="false">YEAR($A441)</f>
        <v>2025</v>
      </c>
      <c r="C441" s="4" t="n">
        <f aca="false">MONTH($A441)</f>
        <v>3</v>
      </c>
      <c r="D441" s="4" t="str">
        <f aca="false">TEXT($A441,"ddd")</f>
        <v>Sat</v>
      </c>
      <c r="E441" s="4" t="n">
        <f aca="false">IF(OR(AND(MONTH($A441)=10,DAY($A441)&gt;=15),MONTH($A441)=11,AND(MONTH($A441)=12,DAY($A441)&lt;=7)),1,0)</f>
        <v>0</v>
      </c>
      <c r="F441" s="4" t="n">
        <f aca="false">IF(MONTH($A441)&lt;=3,1,0)</f>
        <v>1</v>
      </c>
      <c r="G441" s="4" t="str">
        <f aca="false" t="array" ref="G441: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4" t="n">
        <f aca="false">COUNTIF(Events!$A$2:$A$397,$A441)</f>
        <v>0</v>
      </c>
      <c r="I441" s="6" t="str">
        <f aca="false" t="array" ref="I441:I441">_xlfn.TEXTJOIN(" | ",TRUE(),IF(Events!$A$2:$A$397=$A441,Events!$E$2:$E$397&amp;IF(Events!$G$2:$G$397="National",""," ["&amp;Events!$G$2:$G$397&amp;"]"),""))</f>
        <v/>
      </c>
    </row>
    <row r="442" customFormat="false" ht="15" hidden="false" customHeight="true" outlineLevel="0" collapsed="false">
      <c r="A442" s="3" t="n">
        <v>45732</v>
      </c>
      <c r="B442" s="4" t="n">
        <f aca="false">YEAR($A442)</f>
        <v>2025</v>
      </c>
      <c r="C442" s="4" t="n">
        <f aca="false">MONTH($A442)</f>
        <v>3</v>
      </c>
      <c r="D442" s="4" t="str">
        <f aca="false">TEXT($A442,"ddd")</f>
        <v>Sun</v>
      </c>
      <c r="E442" s="4" t="n">
        <f aca="false">IF(OR(AND(MONTH($A442)=10,DAY($A442)&gt;=15),MONTH($A442)=11,AND(MONTH($A442)=12,DAY($A442)&lt;=7)),1,0)</f>
        <v>0</v>
      </c>
      <c r="F442" s="4" t="n">
        <f aca="false">IF(MONTH($A442)&lt;=3,1,0)</f>
        <v>1</v>
      </c>
      <c r="G442" s="4" t="str">
        <f aca="false" t="array" ref="G442: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4" t="n">
        <f aca="false">COUNTIF(Events!$A$2:$A$397,$A442)</f>
        <v>0</v>
      </c>
      <c r="I442" s="6" t="str">
        <f aca="false" t="array" ref="I442:I442">_xlfn.TEXTJOIN(" | ",TRUE(),IF(Events!$A$2:$A$397=$A442,Events!$E$2:$E$397&amp;IF(Events!$G$2:$G$397="National",""," ["&amp;Events!$G$2:$G$397&amp;"]"),""))</f>
        <v/>
      </c>
    </row>
    <row r="443" customFormat="false" ht="15" hidden="false" customHeight="true" outlineLevel="0" collapsed="false">
      <c r="A443" s="3" t="n">
        <v>45733</v>
      </c>
      <c r="B443" s="4" t="n">
        <f aca="false">YEAR($A443)</f>
        <v>2025</v>
      </c>
      <c r="C443" s="4" t="n">
        <f aca="false">MONTH($A443)</f>
        <v>3</v>
      </c>
      <c r="D443" s="4" t="str">
        <f aca="false">TEXT($A443,"ddd")</f>
        <v>Mon</v>
      </c>
      <c r="E443" s="4" t="n">
        <f aca="false">IF(OR(AND(MONTH($A443)=10,DAY($A443)&gt;=15),MONTH($A443)=11,AND(MONTH($A443)=12,DAY($A443)&lt;=7)),1,0)</f>
        <v>0</v>
      </c>
      <c r="F443" s="4" t="n">
        <f aca="false">IF(MONTH($A443)&lt;=3,1,0)</f>
        <v>1</v>
      </c>
      <c r="G443" s="4" t="str">
        <f aca="false" t="array" ref="G443: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4" t="n">
        <f aca="false">COUNTIF(Events!$A$2:$A$397,$A443)</f>
        <v>0</v>
      </c>
      <c r="I443" s="6" t="str">
        <f aca="false" t="array" ref="I443:I443">_xlfn.TEXTJOIN(" | ",TRUE(),IF(Events!$A$2:$A$397=$A443,Events!$E$2:$E$397&amp;IF(Events!$G$2:$G$397="National",""," ["&amp;Events!$G$2:$G$397&amp;"]"),""))</f>
        <v/>
      </c>
    </row>
    <row r="444" customFormat="false" ht="15" hidden="false" customHeight="true" outlineLevel="0" collapsed="false">
      <c r="A444" s="3" t="n">
        <v>45734</v>
      </c>
      <c r="B444" s="4" t="n">
        <f aca="false">YEAR($A444)</f>
        <v>2025</v>
      </c>
      <c r="C444" s="4" t="n">
        <f aca="false">MONTH($A444)</f>
        <v>3</v>
      </c>
      <c r="D444" s="4" t="str">
        <f aca="false">TEXT($A444,"ddd")</f>
        <v>Tue</v>
      </c>
      <c r="E444" s="4" t="n">
        <f aca="false">IF(OR(AND(MONTH($A444)=10,DAY($A444)&gt;=15),MONTH($A444)=11,AND(MONTH($A444)=12,DAY($A444)&lt;=7)),1,0)</f>
        <v>0</v>
      </c>
      <c r="F444" s="4" t="n">
        <f aca="false">IF(MONTH($A444)&lt;=3,1,0)</f>
        <v>1</v>
      </c>
      <c r="G444" s="4" t="str">
        <f aca="false" t="array" ref="G444: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4" t="n">
        <f aca="false">COUNTIF(Events!$A$2:$A$397,$A444)</f>
        <v>0</v>
      </c>
      <c r="I444" s="6" t="str">
        <f aca="false" t="array" ref="I444:I444">_xlfn.TEXTJOIN(" | ",TRUE(),IF(Events!$A$2:$A$397=$A444,Events!$E$2:$E$397&amp;IF(Events!$G$2:$G$397="National",""," ["&amp;Events!$G$2:$G$397&amp;"]"),""))</f>
        <v/>
      </c>
    </row>
    <row r="445" customFormat="false" ht="15" hidden="false" customHeight="true" outlineLevel="0" collapsed="false">
      <c r="A445" s="3" t="n">
        <v>45735</v>
      </c>
      <c r="B445" s="4" t="n">
        <f aca="false">YEAR($A445)</f>
        <v>2025</v>
      </c>
      <c r="C445" s="4" t="n">
        <f aca="false">MONTH($A445)</f>
        <v>3</v>
      </c>
      <c r="D445" s="4" t="str">
        <f aca="false">TEXT($A445,"ddd")</f>
        <v>Wed</v>
      </c>
      <c r="E445" s="4" t="n">
        <f aca="false">IF(OR(AND(MONTH($A445)=10,DAY($A445)&gt;=15),MONTH($A445)=11,AND(MONTH($A445)=12,DAY($A445)&lt;=7)),1,0)</f>
        <v>0</v>
      </c>
      <c r="F445" s="4" t="n">
        <f aca="false">IF(MONTH($A445)&lt;=3,1,0)</f>
        <v>1</v>
      </c>
      <c r="G445" s="4" t="str">
        <f aca="false" t="array" ref="G445: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4" t="n">
        <f aca="false">COUNTIF(Events!$A$2:$A$397,$A445)</f>
        <v>0</v>
      </c>
      <c r="I445" s="6" t="str">
        <f aca="false" t="array" ref="I445:I445">_xlfn.TEXTJOIN(" | ",TRUE(),IF(Events!$A$2:$A$397=$A445,Events!$E$2:$E$397&amp;IF(Events!$G$2:$G$397="National",""," ["&amp;Events!$G$2:$G$397&amp;"]"),""))</f>
        <v/>
      </c>
    </row>
    <row r="446" customFormat="false" ht="15" hidden="false" customHeight="true" outlineLevel="0" collapsed="false">
      <c r="A446" s="3" t="n">
        <v>45736</v>
      </c>
      <c r="B446" s="4" t="n">
        <f aca="false">YEAR($A446)</f>
        <v>2025</v>
      </c>
      <c r="C446" s="4" t="n">
        <f aca="false">MONTH($A446)</f>
        <v>3</v>
      </c>
      <c r="D446" s="4" t="str">
        <f aca="false">TEXT($A446,"ddd")</f>
        <v>Thu</v>
      </c>
      <c r="E446" s="4" t="n">
        <f aca="false">IF(OR(AND(MONTH($A446)=10,DAY($A446)&gt;=15),MONTH($A446)=11,AND(MONTH($A446)=12,DAY($A446)&lt;=7)),1,0)</f>
        <v>0</v>
      </c>
      <c r="F446" s="4" t="n">
        <f aca="false">IF(MONTH($A446)&lt;=3,1,0)</f>
        <v>1</v>
      </c>
      <c r="G446" s="4" t="str">
        <f aca="false" t="array" ref="G446: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4" t="n">
        <f aca="false">COUNTIF(Events!$A$2:$A$397,$A446)</f>
        <v>0</v>
      </c>
      <c r="I446" s="6" t="str">
        <f aca="false" t="array" ref="I446:I446">_xlfn.TEXTJOIN(" | ",TRUE(),IF(Events!$A$2:$A$397=$A446,Events!$E$2:$E$397&amp;IF(Events!$G$2:$G$397="National",""," ["&amp;Events!$G$2:$G$397&amp;"]"),""))</f>
        <v/>
      </c>
    </row>
    <row r="447" customFormat="false" ht="15" hidden="false" customHeight="true" outlineLevel="0" collapsed="false">
      <c r="A447" s="3" t="n">
        <v>45737</v>
      </c>
      <c r="B447" s="4" t="n">
        <f aca="false">YEAR($A447)</f>
        <v>2025</v>
      </c>
      <c r="C447" s="4" t="n">
        <f aca="false">MONTH($A447)</f>
        <v>3</v>
      </c>
      <c r="D447" s="4" t="str">
        <f aca="false">TEXT($A447,"ddd")</f>
        <v>Fri</v>
      </c>
      <c r="E447" s="4" t="n">
        <f aca="false">IF(OR(AND(MONTH($A447)=10,DAY($A447)&gt;=15),MONTH($A447)=11,AND(MONTH($A447)=12,DAY($A447)&lt;=7)),1,0)</f>
        <v>0</v>
      </c>
      <c r="F447" s="4" t="n">
        <f aca="false">IF(MONTH($A447)&lt;=3,1,0)</f>
        <v>1</v>
      </c>
      <c r="G447" s="4" t="str">
        <f aca="false" t="array" ref="G447: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4" t="n">
        <f aca="false">COUNTIF(Events!$A$2:$A$397,$A447)</f>
        <v>0</v>
      </c>
      <c r="I447" s="6" t="str">
        <f aca="false" t="array" ref="I447:I447">_xlfn.TEXTJOIN(" | ",TRUE(),IF(Events!$A$2:$A$397=$A447,Events!$E$2:$E$397&amp;IF(Events!$G$2:$G$397="National",""," ["&amp;Events!$G$2:$G$397&amp;"]"),""))</f>
        <v/>
      </c>
    </row>
    <row r="448" customFormat="false" ht="15" hidden="false" customHeight="true" outlineLevel="0" collapsed="false">
      <c r="A448" s="3" t="n">
        <v>45738</v>
      </c>
      <c r="B448" s="4" t="n">
        <f aca="false">YEAR($A448)</f>
        <v>2025</v>
      </c>
      <c r="C448" s="4" t="n">
        <f aca="false">MONTH($A448)</f>
        <v>3</v>
      </c>
      <c r="D448" s="4" t="str">
        <f aca="false">TEXT($A448,"ddd")</f>
        <v>Sat</v>
      </c>
      <c r="E448" s="4" t="n">
        <f aca="false">IF(OR(AND(MONTH($A448)=10,DAY($A448)&gt;=15),MONTH($A448)=11,AND(MONTH($A448)=12,DAY($A448)&lt;=7)),1,0)</f>
        <v>0</v>
      </c>
      <c r="F448" s="4" t="n">
        <f aca="false">IF(MONTH($A448)&lt;=3,1,0)</f>
        <v>1</v>
      </c>
      <c r="G448" s="4" t="str">
        <f aca="false" t="array" ref="G448: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4" t="n">
        <f aca="false">COUNTIF(Events!$A$2:$A$397,$A448)</f>
        <v>0</v>
      </c>
      <c r="I448" s="6" t="str">
        <f aca="false" t="array" ref="I448:I448">_xlfn.TEXTJOIN(" | ",TRUE(),IF(Events!$A$2:$A$397=$A448,Events!$E$2:$E$397&amp;IF(Events!$G$2:$G$397="National",""," ["&amp;Events!$G$2:$G$397&amp;"]"),""))</f>
        <v/>
      </c>
    </row>
    <row r="449" customFormat="false" ht="15" hidden="false" customHeight="true" outlineLevel="0" collapsed="false">
      <c r="A449" s="3" t="n">
        <v>45739</v>
      </c>
      <c r="B449" s="4" t="n">
        <f aca="false">YEAR($A449)</f>
        <v>2025</v>
      </c>
      <c r="C449" s="4" t="n">
        <f aca="false">MONTH($A449)</f>
        <v>3</v>
      </c>
      <c r="D449" s="4" t="str">
        <f aca="false">TEXT($A449,"ddd")</f>
        <v>Sun</v>
      </c>
      <c r="E449" s="4" t="n">
        <f aca="false">IF(OR(AND(MONTH($A449)=10,DAY($A449)&gt;=15),MONTH($A449)=11,AND(MONTH($A449)=12,DAY($A449)&lt;=7)),1,0)</f>
        <v>0</v>
      </c>
      <c r="F449" s="4" t="n">
        <f aca="false">IF(MONTH($A449)&lt;=3,1,0)</f>
        <v>1</v>
      </c>
      <c r="G449" s="4" t="str">
        <f aca="false" t="array" ref="G449: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4" t="n">
        <f aca="false">COUNTIF(Events!$A$2:$A$397,$A449)</f>
        <v>0</v>
      </c>
      <c r="I449" s="6" t="str">
        <f aca="false" t="array" ref="I449:I449">_xlfn.TEXTJOIN(" | ",TRUE(),IF(Events!$A$2:$A$397=$A449,Events!$E$2:$E$397&amp;IF(Events!$G$2:$G$397="National",""," ["&amp;Events!$G$2:$G$397&amp;"]"),""))</f>
        <v/>
      </c>
    </row>
    <row r="450" customFormat="false" ht="15" hidden="false" customHeight="true" outlineLevel="0" collapsed="false">
      <c r="A450" s="3" t="n">
        <v>45740</v>
      </c>
      <c r="B450" s="4" t="n">
        <f aca="false">YEAR($A450)</f>
        <v>2025</v>
      </c>
      <c r="C450" s="4" t="n">
        <f aca="false">MONTH($A450)</f>
        <v>3</v>
      </c>
      <c r="D450" s="4" t="str">
        <f aca="false">TEXT($A450,"ddd")</f>
        <v>Mon</v>
      </c>
      <c r="E450" s="4" t="n">
        <f aca="false">IF(OR(AND(MONTH($A450)=10,DAY($A450)&gt;=15),MONTH($A450)=11,AND(MONTH($A450)=12,DAY($A450)&lt;=7)),1,0)</f>
        <v>0</v>
      </c>
      <c r="F450" s="4" t="n">
        <f aca="false">IF(MONTH($A450)&lt;=3,1,0)</f>
        <v>1</v>
      </c>
      <c r="G450" s="4" t="str">
        <f aca="false" t="array" ref="G450: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4" t="n">
        <f aca="false">COUNTIF(Events!$A$2:$A$397,$A450)</f>
        <v>0</v>
      </c>
      <c r="I450" s="6" t="str">
        <f aca="false" t="array" ref="I450:I450">_xlfn.TEXTJOIN(" | ",TRUE(),IF(Events!$A$2:$A$397=$A450,Events!$E$2:$E$397&amp;IF(Events!$G$2:$G$397="National",""," ["&amp;Events!$G$2:$G$397&amp;"]"),""))</f>
        <v/>
      </c>
    </row>
    <row r="451" customFormat="false" ht="15" hidden="false" customHeight="true" outlineLevel="0" collapsed="false">
      <c r="A451" s="3" t="n">
        <v>45741</v>
      </c>
      <c r="B451" s="4" t="n">
        <f aca="false">YEAR($A451)</f>
        <v>2025</v>
      </c>
      <c r="C451" s="4" t="n">
        <f aca="false">MONTH($A451)</f>
        <v>3</v>
      </c>
      <c r="D451" s="4" t="str">
        <f aca="false">TEXT($A451,"ddd")</f>
        <v>Tue</v>
      </c>
      <c r="E451" s="4" t="n">
        <f aca="false">IF(OR(AND(MONTH($A451)=10,DAY($A451)&gt;=15),MONTH($A451)=11,AND(MONTH($A451)=12,DAY($A451)&lt;=7)),1,0)</f>
        <v>0</v>
      </c>
      <c r="F451" s="4" t="n">
        <f aca="false">IF(MONTH($A451)&lt;=3,1,0)</f>
        <v>1</v>
      </c>
      <c r="G451" s="4" t="str">
        <f aca="false" t="array" ref="G451: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4" t="n">
        <f aca="false">COUNTIF(Events!$A$2:$A$397,$A451)</f>
        <v>0</v>
      </c>
      <c r="I451" s="6" t="str">
        <f aca="false" t="array" ref="I451:I451">_xlfn.TEXTJOIN(" | ",TRUE(),IF(Events!$A$2:$A$397=$A451,Events!$E$2:$E$397&amp;IF(Events!$G$2:$G$397="National",""," ["&amp;Events!$G$2:$G$397&amp;"]"),""))</f>
        <v/>
      </c>
    </row>
    <row r="452" customFormat="false" ht="15" hidden="false" customHeight="true" outlineLevel="0" collapsed="false">
      <c r="A452" s="3" t="n">
        <v>45742</v>
      </c>
      <c r="B452" s="4" t="n">
        <f aca="false">YEAR($A452)</f>
        <v>2025</v>
      </c>
      <c r="C452" s="4" t="n">
        <f aca="false">MONTH($A452)</f>
        <v>3</v>
      </c>
      <c r="D452" s="4" t="str">
        <f aca="false">TEXT($A452,"ddd")</f>
        <v>Wed</v>
      </c>
      <c r="E452" s="4" t="n">
        <f aca="false">IF(OR(AND(MONTH($A452)=10,DAY($A452)&gt;=15),MONTH($A452)=11,AND(MONTH($A452)=12,DAY($A452)&lt;=7)),1,0)</f>
        <v>0</v>
      </c>
      <c r="F452" s="4" t="n">
        <f aca="false">IF(MONTH($A452)&lt;=3,1,0)</f>
        <v>1</v>
      </c>
      <c r="G452" s="4" t="str">
        <f aca="false" t="array" ref="G452: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4" t="n">
        <f aca="false">COUNTIF(Events!$A$2:$A$397,$A452)</f>
        <v>0</v>
      </c>
      <c r="I452" s="6" t="str">
        <f aca="false" t="array" ref="I452:I452">_xlfn.TEXTJOIN(" | ",TRUE(),IF(Events!$A$2:$A$397=$A452,Events!$E$2:$E$397&amp;IF(Events!$G$2:$G$397="National",""," ["&amp;Events!$G$2:$G$397&amp;"]"),""))</f>
        <v/>
      </c>
    </row>
    <row r="453" customFormat="false" ht="15" hidden="false" customHeight="true" outlineLevel="0" collapsed="false">
      <c r="A453" s="3" t="n">
        <v>45743</v>
      </c>
      <c r="B453" s="4" t="n">
        <f aca="false">YEAR($A453)</f>
        <v>2025</v>
      </c>
      <c r="C453" s="4" t="n">
        <f aca="false">MONTH($A453)</f>
        <v>3</v>
      </c>
      <c r="D453" s="4" t="str">
        <f aca="false">TEXT($A453,"ddd")</f>
        <v>Thu</v>
      </c>
      <c r="E453" s="4" t="n">
        <f aca="false">IF(OR(AND(MONTH($A453)=10,DAY($A453)&gt;=15),MONTH($A453)=11,AND(MONTH($A453)=12,DAY($A453)&lt;=7)),1,0)</f>
        <v>0</v>
      </c>
      <c r="F453" s="4" t="n">
        <f aca="false">IF(MONTH($A453)&lt;=3,1,0)</f>
        <v>1</v>
      </c>
      <c r="G453" s="4" t="str">
        <f aca="false" t="array" ref="G453: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4" t="n">
        <f aca="false">COUNTIF(Events!$A$2:$A$397,$A453)</f>
        <v>0</v>
      </c>
      <c r="I453" s="6" t="str">
        <f aca="false" t="array" ref="I453:I453">_xlfn.TEXTJOIN(" | ",TRUE(),IF(Events!$A$2:$A$397=$A453,Events!$E$2:$E$397&amp;IF(Events!$G$2:$G$397="National",""," ["&amp;Events!$G$2:$G$397&amp;"]"),""))</f>
        <v/>
      </c>
    </row>
    <row r="454" customFormat="false" ht="15" hidden="false" customHeight="true" outlineLevel="0" collapsed="false">
      <c r="A454" s="3" t="n">
        <v>45744</v>
      </c>
      <c r="B454" s="4" t="n">
        <f aca="false">YEAR($A454)</f>
        <v>2025</v>
      </c>
      <c r="C454" s="4" t="n">
        <f aca="false">MONTH($A454)</f>
        <v>3</v>
      </c>
      <c r="D454" s="4" t="str">
        <f aca="false">TEXT($A454,"ddd")</f>
        <v>Fri</v>
      </c>
      <c r="E454" s="4" t="n">
        <f aca="false">IF(OR(AND(MONTH($A454)=10,DAY($A454)&gt;=15),MONTH($A454)=11,AND(MONTH($A454)=12,DAY($A454)&lt;=7)),1,0)</f>
        <v>0</v>
      </c>
      <c r="F454" s="4" t="n">
        <f aca="false">IF(MONTH($A454)&lt;=3,1,0)</f>
        <v>1</v>
      </c>
      <c r="G454" s="4" t="str">
        <f aca="false" t="array" ref="G454: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4" t="n">
        <f aca="false">COUNTIF(Events!$A$2:$A$397,$A454)</f>
        <v>0</v>
      </c>
      <c r="I454" s="6" t="str">
        <f aca="false" t="array" ref="I454:I454">_xlfn.TEXTJOIN(" | ",TRUE(),IF(Events!$A$2:$A$397=$A454,Events!$E$2:$E$397&amp;IF(Events!$G$2:$G$397="National",""," ["&amp;Events!$G$2:$G$397&amp;"]"),""))</f>
        <v/>
      </c>
    </row>
    <row r="455" customFormat="false" ht="15" hidden="false" customHeight="true" outlineLevel="0" collapsed="false">
      <c r="A455" s="3" t="n">
        <v>45745</v>
      </c>
      <c r="B455" s="4" t="n">
        <f aca="false">YEAR($A455)</f>
        <v>2025</v>
      </c>
      <c r="C455" s="4" t="n">
        <f aca="false">MONTH($A455)</f>
        <v>3</v>
      </c>
      <c r="D455" s="4" t="str">
        <f aca="false">TEXT($A455,"ddd")</f>
        <v>Sat</v>
      </c>
      <c r="E455" s="4" t="n">
        <f aca="false">IF(OR(AND(MONTH($A455)=10,DAY($A455)&gt;=15),MONTH($A455)=11,AND(MONTH($A455)=12,DAY($A455)&lt;=7)),1,0)</f>
        <v>0</v>
      </c>
      <c r="F455" s="4" t="n">
        <f aca="false">IF(MONTH($A455)&lt;=3,1,0)</f>
        <v>1</v>
      </c>
      <c r="G455" s="4" t="str">
        <f aca="false" t="array" ref="G455: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4" t="n">
        <f aca="false">COUNTIF(Events!$A$2:$A$397,$A455)</f>
        <v>0</v>
      </c>
      <c r="I455" s="6" t="str">
        <f aca="false" t="array" ref="I455:I455">_xlfn.TEXTJOIN(" | ",TRUE(),IF(Events!$A$2:$A$397=$A455,Events!$E$2:$E$397&amp;IF(Events!$G$2:$G$397="National",""," ["&amp;Events!$G$2:$G$397&amp;"]"),""))</f>
        <v/>
      </c>
    </row>
    <row r="456" customFormat="false" ht="15" hidden="false" customHeight="true" outlineLevel="0" collapsed="false">
      <c r="A456" s="3" t="n">
        <v>45746</v>
      </c>
      <c r="B456" s="4" t="n">
        <f aca="false">YEAR($A456)</f>
        <v>2025</v>
      </c>
      <c r="C456" s="4" t="n">
        <f aca="false">MONTH($A456)</f>
        <v>3</v>
      </c>
      <c r="D456" s="4" t="str">
        <f aca="false">TEXT($A456,"ddd")</f>
        <v>Sun</v>
      </c>
      <c r="E456" s="4" t="n">
        <f aca="false">IF(OR(AND(MONTH($A456)=10,DAY($A456)&gt;=15),MONTH($A456)=11,AND(MONTH($A456)=12,DAY($A456)&lt;=7)),1,0)</f>
        <v>0</v>
      </c>
      <c r="F456" s="4" t="n">
        <f aca="false">IF(MONTH($A456)&lt;=3,1,0)</f>
        <v>1</v>
      </c>
      <c r="G456" s="4" t="str">
        <f aca="false" t="array" ref="G456: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4" t="n">
        <f aca="false">COUNTIF(Events!$A$2:$A$397,$A456)</f>
        <v>0</v>
      </c>
      <c r="I456" s="6" t="str">
        <f aca="false" t="array" ref="I456:I456">_xlfn.TEXTJOIN(" | ",TRUE(),IF(Events!$A$2:$A$397=$A456,Events!$E$2:$E$397&amp;IF(Events!$G$2:$G$397="National",""," ["&amp;Events!$G$2:$G$397&amp;"]"),""))</f>
        <v/>
      </c>
    </row>
    <row r="457" customFormat="false" ht="15" hidden="false" customHeight="true" outlineLevel="0" collapsed="false">
      <c r="A457" s="3" t="n">
        <v>45747</v>
      </c>
      <c r="B457" s="4" t="n">
        <f aca="false">YEAR($A457)</f>
        <v>2025</v>
      </c>
      <c r="C457" s="4" t="n">
        <f aca="false">MONTH($A457)</f>
        <v>3</v>
      </c>
      <c r="D457" s="4" t="str">
        <f aca="false">TEXT($A457,"ddd")</f>
        <v>Mon</v>
      </c>
      <c r="E457" s="4" t="n">
        <f aca="false">IF(OR(AND(MONTH($A457)=10,DAY($A457)&gt;=15),MONTH($A457)=11,AND(MONTH($A457)=12,DAY($A457)&lt;=7)),1,0)</f>
        <v>0</v>
      </c>
      <c r="F457" s="4" t="n">
        <f aca="false">IF(MONTH($A457)&lt;=3,1,0)</f>
        <v>1</v>
      </c>
      <c r="G457" s="4" t="str">
        <f aca="false" t="array" ref="G457: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 | 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7" s="4" t="n">
        <f aca="false">COUNTIF(Events!$A$2:$A$397,$A457)</f>
        <v>0</v>
      </c>
      <c r="I457" s="6" t="str">
        <f aca="false" t="array" ref="I457:I457">_xlfn.TEXTJOIN(" | ",TRUE(),IF(Events!$A$2:$A$397=$A457,Events!$E$2:$E$397&amp;IF(Events!$G$2:$G$397="National",""," ["&amp;Events!$G$2:$G$397&amp;"]"),""))</f>
        <v/>
      </c>
    </row>
    <row r="458" customFormat="false" ht="15" hidden="false" customHeight="true" outlineLevel="0" collapsed="false">
      <c r="A458" s="3" t="n">
        <v>45748</v>
      </c>
      <c r="B458" s="4" t="n">
        <f aca="false">YEAR($A458)</f>
        <v>2025</v>
      </c>
      <c r="C458" s="4" t="n">
        <f aca="false">MONTH($A458)</f>
        <v>4</v>
      </c>
      <c r="D458" s="4" t="str">
        <f aca="false">TEXT($A458,"ddd")</f>
        <v>Tue</v>
      </c>
      <c r="E458" s="4" t="n">
        <f aca="false">IF(OR(AND(MONTH($A458)=10,DAY($A458)&gt;=15),MONTH($A458)=11,AND(MONTH($A458)=12,DAY($A458)&lt;=7)),1,0)</f>
        <v>0</v>
      </c>
      <c r="F458" s="4" t="n">
        <f aca="false">IF(MONTH($A458)&lt;=3,1,0)</f>
        <v>0</v>
      </c>
      <c r="G458" s="4" t="str">
        <f aca="false" t="array" ref="G458: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
      </c>
      <c r="H458" s="4" t="n">
        <f aca="false">COUNTIF(Events!$A$2:$A$397,$A458)</f>
        <v>0</v>
      </c>
      <c r="I458" s="6" t="str">
        <f aca="false" t="array" ref="I458:I458">_xlfn.TEXTJOIN(" | ",TRUE(),IF(Events!$A$2:$A$397=$A458,Events!$E$2:$E$397&amp;IF(Events!$G$2:$G$397="National",""," ["&amp;Events!$G$2:$G$397&amp;"]"),""))</f>
        <v/>
      </c>
    </row>
    <row r="459" customFormat="false" ht="15" hidden="false" customHeight="true" outlineLevel="0" collapsed="false">
      <c r="A459" s="3" t="n">
        <v>45749</v>
      </c>
      <c r="B459" s="4" t="n">
        <f aca="false">YEAR($A459)</f>
        <v>2025</v>
      </c>
      <c r="C459" s="4" t="n">
        <f aca="false">MONTH($A459)</f>
        <v>4</v>
      </c>
      <c r="D459" s="4" t="str">
        <f aca="false">TEXT($A459,"ddd")</f>
        <v>Wed</v>
      </c>
      <c r="E459" s="4" t="n">
        <f aca="false">IF(OR(AND(MONTH($A459)=10,DAY($A459)&gt;=15),MONTH($A459)=11,AND(MONTH($A459)=12,DAY($A459)&lt;=7)),1,0)</f>
        <v>0</v>
      </c>
      <c r="F459" s="4" t="n">
        <f aca="false">IF(MONTH($A459)&lt;=3,1,0)</f>
        <v>0</v>
      </c>
      <c r="G459" s="4" t="str">
        <f aca="false" t="array" ref="G459: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4" t="n">
        <f aca="false">COUNTIF(Events!$A$2:$A$397,$A459)</f>
        <v>0</v>
      </c>
      <c r="I459" s="6" t="str">
        <f aca="false" t="array" ref="I459:I459">_xlfn.TEXTJOIN(" | ",TRUE(),IF(Events!$A$2:$A$397=$A459,Events!$E$2:$E$397&amp;IF(Events!$G$2:$G$397="National",""," ["&amp;Events!$G$2:$G$397&amp;"]"),""))</f>
        <v/>
      </c>
    </row>
    <row r="460" customFormat="false" ht="15" hidden="false" customHeight="true" outlineLevel="0" collapsed="false">
      <c r="A460" s="3" t="n">
        <v>45750</v>
      </c>
      <c r="B460" s="4" t="n">
        <f aca="false">YEAR($A460)</f>
        <v>2025</v>
      </c>
      <c r="C460" s="4" t="n">
        <f aca="false">MONTH($A460)</f>
        <v>4</v>
      </c>
      <c r="D460" s="4" t="str">
        <f aca="false">TEXT($A460,"ddd")</f>
        <v>Thu</v>
      </c>
      <c r="E460" s="4" t="n">
        <f aca="false">IF(OR(AND(MONTH($A460)=10,DAY($A460)&gt;=15),MONTH($A460)=11,AND(MONTH($A460)=12,DAY($A460)&lt;=7)),1,0)</f>
        <v>0</v>
      </c>
      <c r="F460" s="4" t="n">
        <f aca="false">IF(MONTH($A460)&lt;=3,1,0)</f>
        <v>0</v>
      </c>
      <c r="G460" s="4" t="str">
        <f aca="false" t="array" ref="G460: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4" t="n">
        <f aca="false">COUNTIF(Events!$A$2:$A$397,$A460)</f>
        <v>0</v>
      </c>
      <c r="I460" s="6" t="str">
        <f aca="false" t="array" ref="I460:I460">_xlfn.TEXTJOIN(" | ",TRUE(),IF(Events!$A$2:$A$397=$A460,Events!$E$2:$E$397&amp;IF(Events!$G$2:$G$397="National",""," ["&amp;Events!$G$2:$G$397&amp;"]"),""))</f>
        <v/>
      </c>
    </row>
    <row r="461" customFormat="false" ht="15" hidden="false" customHeight="true" outlineLevel="0" collapsed="false">
      <c r="A461" s="3" t="n">
        <v>45751</v>
      </c>
      <c r="B461" s="4" t="n">
        <f aca="false">YEAR($A461)</f>
        <v>2025</v>
      </c>
      <c r="C461" s="4" t="n">
        <f aca="false">MONTH($A461)</f>
        <v>4</v>
      </c>
      <c r="D461" s="4" t="str">
        <f aca="false">TEXT($A461,"ddd")</f>
        <v>Fri</v>
      </c>
      <c r="E461" s="4" t="n">
        <f aca="false">IF(OR(AND(MONTH($A461)=10,DAY($A461)&gt;=15),MONTH($A461)=11,AND(MONTH($A461)=12,DAY($A461)&lt;=7)),1,0)</f>
        <v>0</v>
      </c>
      <c r="F461" s="4" t="n">
        <f aca="false">IF(MONTH($A461)&lt;=3,1,0)</f>
        <v>0</v>
      </c>
      <c r="G461" s="4" t="str">
        <f aca="false" t="array" ref="G461: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4" t="n">
        <f aca="false">COUNTIF(Events!$A$2:$A$397,$A461)</f>
        <v>1</v>
      </c>
      <c r="I461" s="6" t="str">
        <f aca="false" t="array" ref="I461:I461">_xlfn.TEXTJOIN(" | ",TRUE(),IF(Events!$A$2:$A$397=$A461,Events!$E$2:$E$397&amp;IF(Events!$G$2:$G$397="National",""," ["&amp;Events!$G$2:$G$397&amp;"]"),""))</f>
        <v>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v>
      </c>
    </row>
    <row r="462" customFormat="false" ht="15" hidden="false" customHeight="true" outlineLevel="0" collapsed="false">
      <c r="A462" s="3" t="n">
        <v>45752</v>
      </c>
      <c r="B462" s="4" t="n">
        <f aca="false">YEAR($A462)</f>
        <v>2025</v>
      </c>
      <c r="C462" s="4" t="n">
        <f aca="false">MONTH($A462)</f>
        <v>4</v>
      </c>
      <c r="D462" s="4" t="str">
        <f aca="false">TEXT($A462,"ddd")</f>
        <v>Sat</v>
      </c>
      <c r="E462" s="4" t="n">
        <f aca="false">IF(OR(AND(MONTH($A462)=10,DAY($A462)&gt;=15),MONTH($A462)=11,AND(MONTH($A462)=12,DAY($A462)&lt;=7)),1,0)</f>
        <v>0</v>
      </c>
      <c r="F462" s="4" t="n">
        <f aca="false">IF(MONTH($A462)&lt;=3,1,0)</f>
        <v>0</v>
      </c>
      <c r="G462" s="4" t="str">
        <f aca="false" t="array" ref="G462: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4" t="n">
        <f aca="false">COUNTIF(Events!$A$2:$A$397,$A462)</f>
        <v>0</v>
      </c>
      <c r="I462" s="6" t="str">
        <f aca="false" t="array" ref="I462:I462">_xlfn.TEXTJOIN(" | ",TRUE(),IF(Events!$A$2:$A$397=$A462,Events!$E$2:$E$397&amp;IF(Events!$G$2:$G$397="National",""," ["&amp;Events!$G$2:$G$397&amp;"]"),""))</f>
        <v/>
      </c>
    </row>
    <row r="463" customFormat="false" ht="15" hidden="false" customHeight="true" outlineLevel="0" collapsed="false">
      <c r="A463" s="3" t="n">
        <v>45753</v>
      </c>
      <c r="B463" s="4" t="n">
        <f aca="false">YEAR($A463)</f>
        <v>2025</v>
      </c>
      <c r="C463" s="4" t="n">
        <f aca="false">MONTH($A463)</f>
        <v>4</v>
      </c>
      <c r="D463" s="4" t="str">
        <f aca="false">TEXT($A463,"ddd")</f>
        <v>Sun</v>
      </c>
      <c r="E463" s="4" t="n">
        <f aca="false">IF(OR(AND(MONTH($A463)=10,DAY($A463)&gt;=15),MONTH($A463)=11,AND(MONTH($A463)=12,DAY($A463)&lt;=7)),1,0)</f>
        <v>0</v>
      </c>
      <c r="F463" s="4" t="n">
        <f aca="false">IF(MONTH($A463)&lt;=3,1,0)</f>
        <v>0</v>
      </c>
      <c r="G463" s="4" t="str">
        <f aca="false" t="array" ref="G463: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4" t="n">
        <f aca="false">COUNTIF(Events!$A$2:$A$397,$A463)</f>
        <v>0</v>
      </c>
      <c r="I463" s="6" t="str">
        <f aca="false" t="array" ref="I463:I463">_xlfn.TEXTJOIN(" | ",TRUE(),IF(Events!$A$2:$A$397=$A463,Events!$E$2:$E$397&amp;IF(Events!$G$2:$G$397="National",""," ["&amp;Events!$G$2:$G$397&amp;"]"),""))</f>
        <v/>
      </c>
    </row>
    <row r="464" customFormat="false" ht="15" hidden="false" customHeight="true" outlineLevel="0" collapsed="false">
      <c r="A464" s="3" t="n">
        <v>45754</v>
      </c>
      <c r="B464" s="4" t="n">
        <f aca="false">YEAR($A464)</f>
        <v>2025</v>
      </c>
      <c r="C464" s="4" t="n">
        <f aca="false">MONTH($A464)</f>
        <v>4</v>
      </c>
      <c r="D464" s="4" t="str">
        <f aca="false">TEXT($A464,"ddd")</f>
        <v>Mon</v>
      </c>
      <c r="E464" s="4" t="n">
        <f aca="false">IF(OR(AND(MONTH($A464)=10,DAY($A464)&gt;=15),MONTH($A464)=11,AND(MONTH($A464)=12,DAY($A464)&lt;=7)),1,0)</f>
        <v>0</v>
      </c>
      <c r="F464" s="4" t="n">
        <f aca="false">IF(MONTH($A464)&lt;=3,1,0)</f>
        <v>0</v>
      </c>
      <c r="G464" s="4" t="str">
        <f aca="false" t="array" ref="G464: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4" t="n">
        <f aca="false">COUNTIF(Events!$A$2:$A$397,$A464)</f>
        <v>1</v>
      </c>
      <c r="I464" s="6" t="str">
        <f aca="false" t="array" ref="I464:I464">_xlfn.TEXTJOIN(" | ",TRUE(),IF(Events!$A$2:$A$397=$A464,Events!$E$2:$E$397&amp;IF(Events!$G$2:$G$397="National",""," ["&amp;Events!$G$2:$G$397&amp;"]"),""))</f>
        <v>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v>
      </c>
    </row>
    <row r="465" customFormat="false" ht="15" hidden="false" customHeight="true" outlineLevel="0" collapsed="false">
      <c r="A465" s="3" t="n">
        <v>45755</v>
      </c>
      <c r="B465" s="4" t="n">
        <f aca="false">YEAR($A465)</f>
        <v>2025</v>
      </c>
      <c r="C465" s="4" t="n">
        <f aca="false">MONTH($A465)</f>
        <v>4</v>
      </c>
      <c r="D465" s="4" t="str">
        <f aca="false">TEXT($A465,"ddd")</f>
        <v>Tue</v>
      </c>
      <c r="E465" s="4" t="n">
        <f aca="false">IF(OR(AND(MONTH($A465)=10,DAY($A465)&gt;=15),MONTH($A465)=11,AND(MONTH($A465)=12,DAY($A465)&lt;=7)),1,0)</f>
        <v>0</v>
      </c>
      <c r="F465" s="4" t="n">
        <f aca="false">IF(MONTH($A465)&lt;=3,1,0)</f>
        <v>0</v>
      </c>
      <c r="G465" s="4" t="str">
        <f aca="false" t="array" ref="G465: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4" t="n">
        <f aca="false">COUNTIF(Events!$A$2:$A$397,$A465)</f>
        <v>0</v>
      </c>
      <c r="I465" s="6" t="str">
        <f aca="false" t="array" ref="I465:I465">_xlfn.TEXTJOIN(" | ",TRUE(),IF(Events!$A$2:$A$397=$A465,Events!$E$2:$E$397&amp;IF(Events!$G$2:$G$397="National",""," ["&amp;Events!$G$2:$G$397&amp;"]"),""))</f>
        <v/>
      </c>
    </row>
    <row r="466" customFormat="false" ht="15" hidden="false" customHeight="true" outlineLevel="0" collapsed="false">
      <c r="A466" s="3" t="n">
        <v>45756</v>
      </c>
      <c r="B466" s="4" t="n">
        <f aca="false">YEAR($A466)</f>
        <v>2025</v>
      </c>
      <c r="C466" s="4" t="n">
        <f aca="false">MONTH($A466)</f>
        <v>4</v>
      </c>
      <c r="D466" s="4" t="str">
        <f aca="false">TEXT($A466,"ddd")</f>
        <v>Wed</v>
      </c>
      <c r="E466" s="4" t="n">
        <f aca="false">IF(OR(AND(MONTH($A466)=10,DAY($A466)&gt;=15),MONTH($A466)=11,AND(MONTH($A466)=12,DAY($A466)&lt;=7)),1,0)</f>
        <v>0</v>
      </c>
      <c r="F466" s="4" t="n">
        <f aca="false">IF(MONTH($A466)&lt;=3,1,0)</f>
        <v>0</v>
      </c>
      <c r="G466" s="4" t="str">
        <f aca="false" t="array" ref="G466: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4" t="n">
        <f aca="false">COUNTIF(Events!$A$2:$A$397,$A466)</f>
        <v>0</v>
      </c>
      <c r="I466" s="6" t="str">
        <f aca="false" t="array" ref="I466:I466">_xlfn.TEXTJOIN(" | ",TRUE(),IF(Events!$A$2:$A$397=$A466,Events!$E$2:$E$397&amp;IF(Events!$G$2:$G$397="National",""," ["&amp;Events!$G$2:$G$397&amp;"]"),""))</f>
        <v/>
      </c>
    </row>
    <row r="467" customFormat="false" ht="15" hidden="false" customHeight="true" outlineLevel="0" collapsed="false">
      <c r="A467" s="3" t="n">
        <v>45757</v>
      </c>
      <c r="B467" s="4" t="n">
        <f aca="false">YEAR($A467)</f>
        <v>2025</v>
      </c>
      <c r="C467" s="4" t="n">
        <f aca="false">MONTH($A467)</f>
        <v>4</v>
      </c>
      <c r="D467" s="4" t="str">
        <f aca="false">TEXT($A467,"ddd")</f>
        <v>Thu</v>
      </c>
      <c r="E467" s="4" t="n">
        <f aca="false">IF(OR(AND(MONTH($A467)=10,DAY($A467)&gt;=15),MONTH($A467)=11,AND(MONTH($A467)=12,DAY($A467)&lt;=7)),1,0)</f>
        <v>0</v>
      </c>
      <c r="F467" s="4" t="n">
        <f aca="false">IF(MONTH($A467)&lt;=3,1,0)</f>
        <v>0</v>
      </c>
      <c r="G467" s="4" t="str">
        <f aca="false" t="array" ref="G467: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4" t="n">
        <f aca="false">COUNTIF(Events!$A$2:$A$397,$A467)</f>
        <v>0</v>
      </c>
      <c r="I467" s="6" t="str">
        <f aca="false" t="array" ref="I467:I467">_xlfn.TEXTJOIN(" | ",TRUE(),IF(Events!$A$2:$A$397=$A467,Events!$E$2:$E$397&amp;IF(Events!$G$2:$G$397="National",""," ["&amp;Events!$G$2:$G$397&amp;"]"),""))</f>
        <v/>
      </c>
    </row>
    <row r="468" customFormat="false" ht="15" hidden="false" customHeight="true" outlineLevel="0" collapsed="false">
      <c r="A468" s="3" t="n">
        <v>45758</v>
      </c>
      <c r="B468" s="4" t="n">
        <f aca="false">YEAR($A468)</f>
        <v>2025</v>
      </c>
      <c r="C468" s="4" t="n">
        <f aca="false">MONTH($A468)</f>
        <v>4</v>
      </c>
      <c r="D468" s="4" t="str">
        <f aca="false">TEXT($A468,"ddd")</f>
        <v>Fri</v>
      </c>
      <c r="E468" s="4" t="n">
        <f aca="false">IF(OR(AND(MONTH($A468)=10,DAY($A468)&gt;=15),MONTH($A468)=11,AND(MONTH($A468)=12,DAY($A468)&lt;=7)),1,0)</f>
        <v>0</v>
      </c>
      <c r="F468" s="4" t="n">
        <f aca="false">IF(MONTH($A468)&lt;=3,1,0)</f>
        <v>0</v>
      </c>
      <c r="G468" s="4" t="str">
        <f aca="false" t="array" ref="G468: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4" t="n">
        <f aca="false">COUNTIF(Events!$A$2:$A$397,$A468)</f>
        <v>0</v>
      </c>
      <c r="I468" s="6" t="str">
        <f aca="false" t="array" ref="I468:I468">_xlfn.TEXTJOIN(" | ",TRUE(),IF(Events!$A$2:$A$397=$A468,Events!$E$2:$E$397&amp;IF(Events!$G$2:$G$397="National",""," ["&amp;Events!$G$2:$G$397&amp;"]"),""))</f>
        <v/>
      </c>
    </row>
    <row r="469" customFormat="false" ht="15" hidden="false" customHeight="true" outlineLevel="0" collapsed="false">
      <c r="A469" s="3" t="n">
        <v>45759</v>
      </c>
      <c r="B469" s="4" t="n">
        <f aca="false">YEAR($A469)</f>
        <v>2025</v>
      </c>
      <c r="C469" s="4" t="n">
        <f aca="false">MONTH($A469)</f>
        <v>4</v>
      </c>
      <c r="D469" s="4" t="str">
        <f aca="false">TEXT($A469,"ddd")</f>
        <v>Sat</v>
      </c>
      <c r="E469" s="4" t="n">
        <f aca="false">IF(OR(AND(MONTH($A469)=10,DAY($A469)&gt;=15),MONTH($A469)=11,AND(MONTH($A469)=12,DAY($A469)&lt;=7)),1,0)</f>
        <v>0</v>
      </c>
      <c r="F469" s="4" t="n">
        <f aca="false">IF(MONTH($A469)&lt;=3,1,0)</f>
        <v>0</v>
      </c>
      <c r="G469" s="4" t="str">
        <f aca="false" t="array" ref="G469: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4" t="n">
        <f aca="false">COUNTIF(Events!$A$2:$A$397,$A469)</f>
        <v>0</v>
      </c>
      <c r="I469" s="6" t="str">
        <f aca="false" t="array" ref="I469:I469">_xlfn.TEXTJOIN(" | ",TRUE(),IF(Events!$A$2:$A$397=$A469,Events!$E$2:$E$397&amp;IF(Events!$G$2:$G$397="National",""," ["&amp;Events!$G$2:$G$397&amp;"]"),""))</f>
        <v/>
      </c>
    </row>
    <row r="470" customFormat="false" ht="15" hidden="false" customHeight="true" outlineLevel="0" collapsed="false">
      <c r="A470" s="3" t="n">
        <v>45760</v>
      </c>
      <c r="B470" s="4" t="n">
        <f aca="false">YEAR($A470)</f>
        <v>2025</v>
      </c>
      <c r="C470" s="4" t="n">
        <f aca="false">MONTH($A470)</f>
        <v>4</v>
      </c>
      <c r="D470" s="4" t="str">
        <f aca="false">TEXT($A470,"ddd")</f>
        <v>Sun</v>
      </c>
      <c r="E470" s="4" t="n">
        <f aca="false">IF(OR(AND(MONTH($A470)=10,DAY($A470)&gt;=15),MONTH($A470)=11,AND(MONTH($A470)=12,DAY($A470)&lt;=7)),1,0)</f>
        <v>0</v>
      </c>
      <c r="F470" s="4" t="n">
        <f aca="false">IF(MONTH($A470)&lt;=3,1,0)</f>
        <v>0</v>
      </c>
      <c r="G470" s="4" t="str">
        <f aca="false" t="array" ref="G470: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4" t="n">
        <f aca="false">COUNTIF(Events!$A$2:$A$397,$A470)</f>
        <v>0</v>
      </c>
      <c r="I470" s="6" t="str">
        <f aca="false" t="array" ref="I470:I470">_xlfn.TEXTJOIN(" | ",TRUE(),IF(Events!$A$2:$A$397=$A470,Events!$E$2:$E$397&amp;IF(Events!$G$2:$G$397="National",""," ["&amp;Events!$G$2:$G$397&amp;"]"),""))</f>
        <v/>
      </c>
    </row>
    <row r="471" customFormat="false" ht="15" hidden="false" customHeight="true" outlineLevel="0" collapsed="false">
      <c r="A471" s="3" t="n">
        <v>45761</v>
      </c>
      <c r="B471" s="4" t="n">
        <f aca="false">YEAR($A471)</f>
        <v>2025</v>
      </c>
      <c r="C471" s="4" t="n">
        <f aca="false">MONTH($A471)</f>
        <v>4</v>
      </c>
      <c r="D471" s="4" t="str">
        <f aca="false">TEXT($A471,"ddd")</f>
        <v>Mon</v>
      </c>
      <c r="E471" s="4" t="n">
        <f aca="false">IF(OR(AND(MONTH($A471)=10,DAY($A471)&gt;=15),MONTH($A471)=11,AND(MONTH($A471)=12,DAY($A471)&lt;=7)),1,0)</f>
        <v>0</v>
      </c>
      <c r="F471" s="4" t="n">
        <f aca="false">IF(MONTH($A471)&lt;=3,1,0)</f>
        <v>0</v>
      </c>
      <c r="G471" s="4" t="str">
        <f aca="false" t="array" ref="G471: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4" t="n">
        <f aca="false">COUNTIF(Events!$A$2:$A$397,$A471)</f>
        <v>0</v>
      </c>
      <c r="I471" s="6" t="str">
        <f aca="false" t="array" ref="I471:I471">_xlfn.TEXTJOIN(" | ",TRUE(),IF(Events!$A$2:$A$397=$A471,Events!$E$2:$E$397&amp;IF(Events!$G$2:$G$397="National",""," ["&amp;Events!$G$2:$G$397&amp;"]"),""))</f>
        <v/>
      </c>
    </row>
    <row r="472" customFormat="false" ht="15" hidden="false" customHeight="true" outlineLevel="0" collapsed="false">
      <c r="A472" s="3" t="n">
        <v>45762</v>
      </c>
      <c r="B472" s="4" t="n">
        <f aca="false">YEAR($A472)</f>
        <v>2025</v>
      </c>
      <c r="C472" s="4" t="n">
        <f aca="false">MONTH($A472)</f>
        <v>4</v>
      </c>
      <c r="D472" s="4" t="str">
        <f aca="false">TEXT($A472,"ddd")</f>
        <v>Tue</v>
      </c>
      <c r="E472" s="4" t="n">
        <f aca="false">IF(OR(AND(MONTH($A472)=10,DAY($A472)&gt;=15),MONTH($A472)=11,AND(MONTH($A472)=12,DAY($A472)&lt;=7)),1,0)</f>
        <v>0</v>
      </c>
      <c r="F472" s="4" t="n">
        <f aca="false">IF(MONTH($A472)&lt;=3,1,0)</f>
        <v>0</v>
      </c>
      <c r="G472" s="4" t="str">
        <f aca="false" t="array" ref="G472: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4" t="n">
        <f aca="false">COUNTIF(Events!$A$2:$A$397,$A472)</f>
        <v>0</v>
      </c>
      <c r="I472" s="6" t="str">
        <f aca="false" t="array" ref="I472:I472">_xlfn.TEXTJOIN(" | ",TRUE(),IF(Events!$A$2:$A$397=$A472,Events!$E$2:$E$397&amp;IF(Events!$G$2:$G$397="National",""," ["&amp;Events!$G$2:$G$397&amp;"]"),""))</f>
        <v/>
      </c>
    </row>
    <row r="473" customFormat="false" ht="15" hidden="false" customHeight="true" outlineLevel="0" collapsed="false">
      <c r="A473" s="3" t="n">
        <v>45763</v>
      </c>
      <c r="B473" s="4" t="n">
        <f aca="false">YEAR($A473)</f>
        <v>2025</v>
      </c>
      <c r="C473" s="4" t="n">
        <f aca="false">MONTH($A473)</f>
        <v>4</v>
      </c>
      <c r="D473" s="4" t="str">
        <f aca="false">TEXT($A473,"ddd")</f>
        <v>Wed</v>
      </c>
      <c r="E473" s="4" t="n">
        <f aca="false">IF(OR(AND(MONTH($A473)=10,DAY($A473)&gt;=15),MONTH($A473)=11,AND(MONTH($A473)=12,DAY($A473)&lt;=7)),1,0)</f>
        <v>0</v>
      </c>
      <c r="F473" s="4" t="n">
        <f aca="false">IF(MONTH($A473)&lt;=3,1,0)</f>
        <v>0</v>
      </c>
      <c r="G473" s="4" t="str">
        <f aca="false" t="array" ref="G473: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4" t="n">
        <f aca="false">COUNTIF(Events!$A$2:$A$397,$A473)</f>
        <v>0</v>
      </c>
      <c r="I473" s="6" t="str">
        <f aca="false" t="array" ref="I473:I473">_xlfn.TEXTJOIN(" | ",TRUE(),IF(Events!$A$2:$A$397=$A473,Events!$E$2:$E$397&amp;IF(Events!$G$2:$G$397="National",""," ["&amp;Events!$G$2:$G$397&amp;"]"),""))</f>
        <v/>
      </c>
    </row>
    <row r="474" customFormat="false" ht="15" hidden="false" customHeight="true" outlineLevel="0" collapsed="false">
      <c r="A474" s="3" t="n">
        <v>45764</v>
      </c>
      <c r="B474" s="4" t="n">
        <f aca="false">YEAR($A474)</f>
        <v>2025</v>
      </c>
      <c r="C474" s="4" t="n">
        <f aca="false">MONTH($A474)</f>
        <v>4</v>
      </c>
      <c r="D474" s="4" t="str">
        <f aca="false">TEXT($A474,"ddd")</f>
        <v>Thu</v>
      </c>
      <c r="E474" s="4" t="n">
        <f aca="false">IF(OR(AND(MONTH($A474)=10,DAY($A474)&gt;=15),MONTH($A474)=11,AND(MONTH($A474)=12,DAY($A474)&lt;=7)),1,0)</f>
        <v>0</v>
      </c>
      <c r="F474" s="4" t="n">
        <f aca="false">IF(MONTH($A474)&lt;=3,1,0)</f>
        <v>0</v>
      </c>
      <c r="G474" s="4" t="str">
        <f aca="false" t="array" ref="G474: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4" t="n">
        <f aca="false">COUNTIF(Events!$A$2:$A$397,$A474)</f>
        <v>0</v>
      </c>
      <c r="I474" s="6" t="str">
        <f aca="false" t="array" ref="I474:I474">_xlfn.TEXTJOIN(" | ",TRUE(),IF(Events!$A$2:$A$397=$A474,Events!$E$2:$E$397&amp;IF(Events!$G$2:$G$397="National",""," ["&amp;Events!$G$2:$G$397&amp;"]"),""))</f>
        <v/>
      </c>
    </row>
    <row r="475" customFormat="false" ht="15" hidden="false" customHeight="true" outlineLevel="0" collapsed="false">
      <c r="A475" s="3" t="n">
        <v>45765</v>
      </c>
      <c r="B475" s="4" t="n">
        <f aca="false">YEAR($A475)</f>
        <v>2025</v>
      </c>
      <c r="C475" s="4" t="n">
        <f aca="false">MONTH($A475)</f>
        <v>4</v>
      </c>
      <c r="D475" s="4" t="str">
        <f aca="false">TEXT($A475,"ddd")</f>
        <v>Fri</v>
      </c>
      <c r="E475" s="4" t="n">
        <f aca="false">IF(OR(AND(MONTH($A475)=10,DAY($A475)&gt;=15),MONTH($A475)=11,AND(MONTH($A475)=12,DAY($A475)&lt;=7)),1,0)</f>
        <v>0</v>
      </c>
      <c r="F475" s="4" t="n">
        <f aca="false">IF(MONTH($A475)&lt;=3,1,0)</f>
        <v>0</v>
      </c>
      <c r="G475" s="4" t="str">
        <f aca="false" t="array" ref="G475: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4" t="n">
        <f aca="false">COUNTIF(Events!$A$2:$A$397,$A475)</f>
        <v>0</v>
      </c>
      <c r="I475" s="6" t="str">
        <f aca="false" t="array" ref="I475:I475">_xlfn.TEXTJOIN(" | ",TRUE(),IF(Events!$A$2:$A$397=$A475,Events!$E$2:$E$397&amp;IF(Events!$G$2:$G$397="National",""," ["&amp;Events!$G$2:$G$397&amp;"]"),""))</f>
        <v/>
      </c>
    </row>
    <row r="476" customFormat="false" ht="15" hidden="false" customHeight="true" outlineLevel="0" collapsed="false">
      <c r="A476" s="3" t="n">
        <v>45766</v>
      </c>
      <c r="B476" s="4" t="n">
        <f aca="false">YEAR($A476)</f>
        <v>2025</v>
      </c>
      <c r="C476" s="4" t="n">
        <f aca="false">MONTH($A476)</f>
        <v>4</v>
      </c>
      <c r="D476" s="4" t="str">
        <f aca="false">TEXT($A476,"ddd")</f>
        <v>Sat</v>
      </c>
      <c r="E476" s="4" t="n">
        <f aca="false">IF(OR(AND(MONTH($A476)=10,DAY($A476)&gt;=15),MONTH($A476)=11,AND(MONTH($A476)=12,DAY($A476)&lt;=7)),1,0)</f>
        <v>0</v>
      </c>
      <c r="F476" s="4" t="n">
        <f aca="false">IF(MONTH($A476)&lt;=3,1,0)</f>
        <v>0</v>
      </c>
      <c r="G476" s="4" t="str">
        <f aca="false" t="array" ref="G476: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4" t="n">
        <f aca="false">COUNTIF(Events!$A$2:$A$397,$A476)</f>
        <v>0</v>
      </c>
      <c r="I476" s="6" t="str">
        <f aca="false" t="array" ref="I476:I476">_xlfn.TEXTJOIN(" | ",TRUE(),IF(Events!$A$2:$A$397=$A476,Events!$E$2:$E$397&amp;IF(Events!$G$2:$G$397="National",""," ["&amp;Events!$G$2:$G$397&amp;"]"),""))</f>
        <v/>
      </c>
    </row>
    <row r="477" customFormat="false" ht="15" hidden="false" customHeight="true" outlineLevel="0" collapsed="false">
      <c r="A477" s="3" t="n">
        <v>45767</v>
      </c>
      <c r="B477" s="4" t="n">
        <f aca="false">YEAR($A477)</f>
        <v>2025</v>
      </c>
      <c r="C477" s="4" t="n">
        <f aca="false">MONTH($A477)</f>
        <v>4</v>
      </c>
      <c r="D477" s="4" t="str">
        <f aca="false">TEXT($A477,"ddd")</f>
        <v>Sun</v>
      </c>
      <c r="E477" s="4" t="n">
        <f aca="false">IF(OR(AND(MONTH($A477)=10,DAY($A477)&gt;=15),MONTH($A477)=11,AND(MONTH($A477)=12,DAY($A477)&lt;=7)),1,0)</f>
        <v>0</v>
      </c>
      <c r="F477" s="4" t="n">
        <f aca="false">IF(MONTH($A477)&lt;=3,1,0)</f>
        <v>0</v>
      </c>
      <c r="G477" s="4" t="str">
        <f aca="false" t="array" ref="G477: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4" t="n">
        <f aca="false">COUNTIF(Events!$A$2:$A$397,$A477)</f>
        <v>0</v>
      </c>
      <c r="I477" s="6" t="str">
        <f aca="false" t="array" ref="I477:I477">_xlfn.TEXTJOIN(" | ",TRUE(),IF(Events!$A$2:$A$397=$A477,Events!$E$2:$E$397&amp;IF(Events!$G$2:$G$397="National",""," ["&amp;Events!$G$2:$G$397&amp;"]"),""))</f>
        <v/>
      </c>
    </row>
    <row r="478" customFormat="false" ht="15" hidden="false" customHeight="true" outlineLevel="0" collapsed="false">
      <c r="A478" s="3" t="n">
        <v>45768</v>
      </c>
      <c r="B478" s="4" t="n">
        <f aca="false">YEAR($A478)</f>
        <v>2025</v>
      </c>
      <c r="C478" s="4" t="n">
        <f aca="false">MONTH($A478)</f>
        <v>4</v>
      </c>
      <c r="D478" s="4" t="str">
        <f aca="false">TEXT($A478,"ddd")</f>
        <v>Mon</v>
      </c>
      <c r="E478" s="4" t="n">
        <f aca="false">IF(OR(AND(MONTH($A478)=10,DAY($A478)&gt;=15),MONTH($A478)=11,AND(MONTH($A478)=12,DAY($A478)&lt;=7)),1,0)</f>
        <v>0</v>
      </c>
      <c r="F478" s="4" t="n">
        <f aca="false">IF(MONTH($A478)&lt;=3,1,0)</f>
        <v>0</v>
      </c>
      <c r="G478" s="4" t="str">
        <f aca="false" t="array" ref="G478: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4" t="n">
        <f aca="false">COUNTIF(Events!$A$2:$A$397,$A478)</f>
        <v>0</v>
      </c>
      <c r="I478" s="6" t="str">
        <f aca="false" t="array" ref="I478:I478">_xlfn.TEXTJOIN(" | ",TRUE(),IF(Events!$A$2:$A$397=$A478,Events!$E$2:$E$397&amp;IF(Events!$G$2:$G$397="National",""," ["&amp;Events!$G$2:$G$397&amp;"]"),""))</f>
        <v/>
      </c>
    </row>
    <row r="479" customFormat="false" ht="15" hidden="false" customHeight="true" outlineLevel="0" collapsed="false">
      <c r="A479" s="3" t="n">
        <v>45769</v>
      </c>
      <c r="B479" s="4" t="n">
        <f aca="false">YEAR($A479)</f>
        <v>2025</v>
      </c>
      <c r="C479" s="4" t="n">
        <f aca="false">MONTH($A479)</f>
        <v>4</v>
      </c>
      <c r="D479" s="4" t="str">
        <f aca="false">TEXT($A479,"ddd")</f>
        <v>Tue</v>
      </c>
      <c r="E479" s="4" t="n">
        <f aca="false">IF(OR(AND(MONTH($A479)=10,DAY($A479)&gt;=15),MONTH($A479)=11,AND(MONTH($A479)=12,DAY($A479)&lt;=7)),1,0)</f>
        <v>0</v>
      </c>
      <c r="F479" s="4" t="n">
        <f aca="false">IF(MONTH($A479)&lt;=3,1,0)</f>
        <v>0</v>
      </c>
      <c r="G479" s="4" t="str">
        <f aca="false" t="array" ref="G479: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4" t="n">
        <f aca="false">COUNTIF(Events!$A$2:$A$397,$A479)</f>
        <v>0</v>
      </c>
      <c r="I479" s="6" t="str">
        <f aca="false" t="array" ref="I479:I479">_xlfn.TEXTJOIN(" | ",TRUE(),IF(Events!$A$2:$A$397=$A479,Events!$E$2:$E$397&amp;IF(Events!$G$2:$G$397="National",""," ["&amp;Events!$G$2:$G$397&amp;"]"),""))</f>
        <v/>
      </c>
    </row>
    <row r="480" customFormat="false" ht="15" hidden="false" customHeight="true" outlineLevel="0" collapsed="false">
      <c r="A480" s="3" t="n">
        <v>45770</v>
      </c>
      <c r="B480" s="4" t="n">
        <f aca="false">YEAR($A480)</f>
        <v>2025</v>
      </c>
      <c r="C480" s="4" t="n">
        <f aca="false">MONTH($A480)</f>
        <v>4</v>
      </c>
      <c r="D480" s="4" t="str">
        <f aca="false">TEXT($A480,"ddd")</f>
        <v>Wed</v>
      </c>
      <c r="E480" s="4" t="n">
        <f aca="false">IF(OR(AND(MONTH($A480)=10,DAY($A480)&gt;=15),MONTH($A480)=11,AND(MONTH($A480)=12,DAY($A480)&lt;=7)),1,0)</f>
        <v>0</v>
      </c>
      <c r="F480" s="4" t="n">
        <f aca="false">IF(MONTH($A480)&lt;=3,1,0)</f>
        <v>0</v>
      </c>
      <c r="G480" s="4" t="str">
        <f aca="false" t="array" ref="G480: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4" t="n">
        <f aca="false">COUNTIF(Events!$A$2:$A$397,$A480)</f>
        <v>0</v>
      </c>
      <c r="I480" s="6" t="str">
        <f aca="false" t="array" ref="I480:I480">_xlfn.TEXTJOIN(" | ",TRUE(),IF(Events!$A$2:$A$397=$A480,Events!$E$2:$E$397&amp;IF(Events!$G$2:$G$397="National",""," ["&amp;Events!$G$2:$G$397&amp;"]"),""))</f>
        <v/>
      </c>
    </row>
    <row r="481" customFormat="false" ht="15" hidden="false" customHeight="true" outlineLevel="0" collapsed="false">
      <c r="A481" s="3" t="n">
        <v>45771</v>
      </c>
      <c r="B481" s="4" t="n">
        <f aca="false">YEAR($A481)</f>
        <v>2025</v>
      </c>
      <c r="C481" s="4" t="n">
        <f aca="false">MONTH($A481)</f>
        <v>4</v>
      </c>
      <c r="D481" s="4" t="str">
        <f aca="false">TEXT($A481,"ddd")</f>
        <v>Thu</v>
      </c>
      <c r="E481" s="4" t="n">
        <f aca="false">IF(OR(AND(MONTH($A481)=10,DAY($A481)&gt;=15),MONTH($A481)=11,AND(MONTH($A481)=12,DAY($A481)&lt;=7)),1,0)</f>
        <v>0</v>
      </c>
      <c r="F481" s="4" t="n">
        <f aca="false">IF(MONTH($A481)&lt;=3,1,0)</f>
        <v>0</v>
      </c>
      <c r="G481" s="4" t="str">
        <f aca="false" t="array" ref="G481: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4" t="n">
        <f aca="false">COUNTIF(Events!$A$2:$A$397,$A481)</f>
        <v>0</v>
      </c>
      <c r="I481" s="6" t="str">
        <f aca="false" t="array" ref="I481:I481">_xlfn.TEXTJOIN(" | ",TRUE(),IF(Events!$A$2:$A$397=$A481,Events!$E$2:$E$397&amp;IF(Events!$G$2:$G$397="National",""," ["&amp;Events!$G$2:$G$397&amp;"]"),""))</f>
        <v/>
      </c>
    </row>
    <row r="482" customFormat="false" ht="15" hidden="false" customHeight="true" outlineLevel="0" collapsed="false">
      <c r="A482" s="3" t="n">
        <v>45772</v>
      </c>
      <c r="B482" s="4" t="n">
        <f aca="false">YEAR($A482)</f>
        <v>2025</v>
      </c>
      <c r="C482" s="4" t="n">
        <f aca="false">MONTH($A482)</f>
        <v>4</v>
      </c>
      <c r="D482" s="4" t="str">
        <f aca="false">TEXT($A482,"ddd")</f>
        <v>Fri</v>
      </c>
      <c r="E482" s="4" t="n">
        <f aca="false">IF(OR(AND(MONTH($A482)=10,DAY($A482)&gt;=15),MONTH($A482)=11,AND(MONTH($A482)=12,DAY($A482)&lt;=7)),1,0)</f>
        <v>0</v>
      </c>
      <c r="F482" s="4" t="n">
        <f aca="false">IF(MONTH($A482)&lt;=3,1,0)</f>
        <v>0</v>
      </c>
      <c r="G482" s="4" t="str">
        <f aca="false" t="array" ref="G482: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4" t="n">
        <f aca="false">COUNTIF(Events!$A$2:$A$397,$A482)</f>
        <v>0</v>
      </c>
      <c r="I482" s="6" t="str">
        <f aca="false" t="array" ref="I482:I482">_xlfn.TEXTJOIN(" | ",TRUE(),IF(Events!$A$2:$A$397=$A482,Events!$E$2:$E$397&amp;IF(Events!$G$2:$G$397="National",""," ["&amp;Events!$G$2:$G$397&amp;"]"),""))</f>
        <v/>
      </c>
    </row>
    <row r="483" customFormat="false" ht="15" hidden="false" customHeight="true" outlineLevel="0" collapsed="false">
      <c r="A483" s="3" t="n">
        <v>45773</v>
      </c>
      <c r="B483" s="4" t="n">
        <f aca="false">YEAR($A483)</f>
        <v>2025</v>
      </c>
      <c r="C483" s="4" t="n">
        <f aca="false">MONTH($A483)</f>
        <v>4</v>
      </c>
      <c r="D483" s="4" t="str">
        <f aca="false">TEXT($A483,"ddd")</f>
        <v>Sat</v>
      </c>
      <c r="E483" s="4" t="n">
        <f aca="false">IF(OR(AND(MONTH($A483)=10,DAY($A483)&gt;=15),MONTH($A483)=11,AND(MONTH($A483)=12,DAY($A483)&lt;=7)),1,0)</f>
        <v>0</v>
      </c>
      <c r="F483" s="4" t="n">
        <f aca="false">IF(MONTH($A483)&lt;=3,1,0)</f>
        <v>0</v>
      </c>
      <c r="G483" s="4" t="str">
        <f aca="false" t="array" ref="G483: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4" t="n">
        <f aca="false">COUNTIF(Events!$A$2:$A$397,$A483)</f>
        <v>0</v>
      </c>
      <c r="I483" s="6" t="str">
        <f aca="false" t="array" ref="I483:I483">_xlfn.TEXTJOIN(" | ",TRUE(),IF(Events!$A$2:$A$397=$A483,Events!$E$2:$E$397&amp;IF(Events!$G$2:$G$397="National",""," ["&amp;Events!$G$2:$G$397&amp;"]"),""))</f>
        <v/>
      </c>
    </row>
    <row r="484" customFormat="false" ht="15" hidden="false" customHeight="true" outlineLevel="0" collapsed="false">
      <c r="A484" s="3" t="n">
        <v>45774</v>
      </c>
      <c r="B484" s="4" t="n">
        <f aca="false">YEAR($A484)</f>
        <v>2025</v>
      </c>
      <c r="C484" s="4" t="n">
        <f aca="false">MONTH($A484)</f>
        <v>4</v>
      </c>
      <c r="D484" s="4" t="str">
        <f aca="false">TEXT($A484,"ddd")</f>
        <v>Sun</v>
      </c>
      <c r="E484" s="4" t="n">
        <f aca="false">IF(OR(AND(MONTH($A484)=10,DAY($A484)&gt;=15),MONTH($A484)=11,AND(MONTH($A484)=12,DAY($A484)&lt;=7)),1,0)</f>
        <v>0</v>
      </c>
      <c r="F484" s="4" t="n">
        <f aca="false">IF(MONTH($A484)&lt;=3,1,0)</f>
        <v>0</v>
      </c>
      <c r="G484" s="4" t="str">
        <f aca="false" t="array" ref="G484: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4" t="n">
        <f aca="false">COUNTIF(Events!$A$2:$A$397,$A484)</f>
        <v>0</v>
      </c>
      <c r="I484" s="6" t="str">
        <f aca="false" t="array" ref="I484:I484">_xlfn.TEXTJOIN(" | ",TRUE(),IF(Events!$A$2:$A$397=$A484,Events!$E$2:$E$397&amp;IF(Events!$G$2:$G$397="National",""," ["&amp;Events!$G$2:$G$397&amp;"]"),""))</f>
        <v/>
      </c>
    </row>
    <row r="485" customFormat="false" ht="15" hidden="false" customHeight="true" outlineLevel="0" collapsed="false">
      <c r="A485" s="3" t="n">
        <v>45775</v>
      </c>
      <c r="B485" s="4" t="n">
        <f aca="false">YEAR($A485)</f>
        <v>2025</v>
      </c>
      <c r="C485" s="4" t="n">
        <f aca="false">MONTH($A485)</f>
        <v>4</v>
      </c>
      <c r="D485" s="4" t="str">
        <f aca="false">TEXT($A485,"ddd")</f>
        <v>Mon</v>
      </c>
      <c r="E485" s="4" t="n">
        <f aca="false">IF(OR(AND(MONTH($A485)=10,DAY($A485)&gt;=15),MONTH($A485)=11,AND(MONTH($A485)=12,DAY($A485)&lt;=7)),1,0)</f>
        <v>0</v>
      </c>
      <c r="F485" s="4" t="n">
        <f aca="false">IF(MONTH($A485)&lt;=3,1,0)</f>
        <v>0</v>
      </c>
      <c r="G485" s="4" t="str">
        <f aca="false" t="array" ref="G485: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4" t="n">
        <f aca="false">COUNTIF(Events!$A$2:$A$397,$A485)</f>
        <v>0</v>
      </c>
      <c r="I485" s="6" t="str">
        <f aca="false" t="array" ref="I485:I485">_xlfn.TEXTJOIN(" | ",TRUE(),IF(Events!$A$2:$A$397=$A485,Events!$E$2:$E$397&amp;IF(Events!$G$2:$G$397="National",""," ["&amp;Events!$G$2:$G$397&amp;"]"),""))</f>
        <v/>
      </c>
    </row>
    <row r="486" customFormat="false" ht="15" hidden="false" customHeight="true" outlineLevel="0" collapsed="false">
      <c r="A486" s="3" t="n">
        <v>45776</v>
      </c>
      <c r="B486" s="4" t="n">
        <f aca="false">YEAR($A486)</f>
        <v>2025</v>
      </c>
      <c r="C486" s="4" t="n">
        <f aca="false">MONTH($A486)</f>
        <v>4</v>
      </c>
      <c r="D486" s="4" t="str">
        <f aca="false">TEXT($A486,"ddd")</f>
        <v>Tue</v>
      </c>
      <c r="E486" s="4" t="n">
        <f aca="false">IF(OR(AND(MONTH($A486)=10,DAY($A486)&gt;=15),MONTH($A486)=11,AND(MONTH($A486)=12,DAY($A486)&lt;=7)),1,0)</f>
        <v>0</v>
      </c>
      <c r="F486" s="4" t="n">
        <f aca="false">IF(MONTH($A486)&lt;=3,1,0)</f>
        <v>0</v>
      </c>
      <c r="G486" s="4" t="str">
        <f aca="false" t="array" ref="G486: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v>
      </c>
      <c r="H486" s="4" t="n">
        <f aca="false">COUNTIF(Events!$A$2:$A$397,$A486)</f>
        <v>0</v>
      </c>
      <c r="I486" s="6" t="str">
        <f aca="false" t="array" ref="I486:I486">_xlfn.TEXTJOIN(" | ",TRUE(),IF(Events!$A$2:$A$397=$A486,Events!$E$2:$E$397&amp;IF(Events!$G$2:$G$397="National",""," ["&amp;Events!$G$2:$G$397&amp;"]"),""))</f>
        <v/>
      </c>
    </row>
    <row r="487" customFormat="false" ht="15" hidden="false" customHeight="true" outlineLevel="0" collapsed="false">
      <c r="A487" s="3" t="n">
        <v>45777</v>
      </c>
      <c r="B487" s="4" t="n">
        <f aca="false">YEAR($A487)</f>
        <v>2025</v>
      </c>
      <c r="C487" s="4" t="n">
        <f aca="false">MONTH($A487)</f>
        <v>4</v>
      </c>
      <c r="D487" s="4" t="str">
        <f aca="false">TEXT($A487,"ddd")</f>
        <v>Wed</v>
      </c>
      <c r="E487" s="4" t="n">
        <f aca="false">IF(OR(AND(MONTH($A487)=10,DAY($A487)&gt;=15),MONTH($A487)=11,AND(MONTH($A487)=12,DAY($A487)&lt;=7)),1,0)</f>
        <v>0</v>
      </c>
      <c r="F487" s="4" t="n">
        <f aca="false">IF(MONTH($A487)&lt;=3,1,0)</f>
        <v>0</v>
      </c>
      <c r="G487" s="4" t="str">
        <f aca="false" t="array" ref="G487: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 | Disaster SEP ended: Tropical Storm [NC] EM-3617 | Disaster SEP ended: Tropical Storm [NC] DR-4827 | Disaster SEP ended: Fire [CA] FM-5548</v>
      </c>
      <c r="H487" s="4" t="n">
        <f aca="false">COUNTIF(Events!$A$2:$A$397,$A487)</f>
        <v>0</v>
      </c>
      <c r="I487" s="6" t="str">
        <f aca="false" t="array" ref="I487:I487">_xlfn.TEXTJOIN(" | ",TRUE(),IF(Events!$A$2:$A$397=$A487,Events!$E$2:$E$397&amp;IF(Events!$G$2:$G$397="National",""," ["&amp;Events!$G$2:$G$397&amp;"]"),""))</f>
        <v/>
      </c>
    </row>
    <row r="488" customFormat="false" ht="15" hidden="false" customHeight="true" outlineLevel="0" collapsed="false">
      <c r="A488" s="3" t="n">
        <v>45778</v>
      </c>
      <c r="B488" s="4" t="n">
        <f aca="false">YEAR($A488)</f>
        <v>2025</v>
      </c>
      <c r="C488" s="4" t="n">
        <f aca="false">MONTH($A488)</f>
        <v>5</v>
      </c>
      <c r="D488" s="4" t="str">
        <f aca="false">TEXT($A488,"ddd")</f>
        <v>Thu</v>
      </c>
      <c r="E488" s="4" t="n">
        <f aca="false">IF(OR(AND(MONTH($A488)=10,DAY($A488)&gt;=15),MONTH($A488)=11,AND(MONTH($A488)=12,DAY($A488)&lt;=7)),1,0)</f>
        <v>0</v>
      </c>
      <c r="F488" s="4" t="n">
        <f aca="false">IF(MONTH($A488)&lt;=3,1,0)</f>
        <v>0</v>
      </c>
      <c r="G488" s="4" t="str">
        <f aca="false" t="array" ref="G488: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4" t="n">
        <f aca="false">COUNTIF(Events!$A$2:$A$397,$A488)</f>
        <v>0</v>
      </c>
      <c r="I488" s="6" t="str">
        <f aca="false" t="array" ref="I488:I488">_xlfn.TEXTJOIN(" | ",TRUE(),IF(Events!$A$2:$A$397=$A488,Events!$E$2:$E$397&amp;IF(Events!$G$2:$G$397="National",""," ["&amp;Events!$G$2:$G$397&amp;"]"),""))</f>
        <v/>
      </c>
    </row>
    <row r="489" customFormat="false" ht="15" hidden="false" customHeight="true" outlineLevel="0" collapsed="false">
      <c r="A489" s="3" t="n">
        <v>45779</v>
      </c>
      <c r="B489" s="4" t="n">
        <f aca="false">YEAR($A489)</f>
        <v>2025</v>
      </c>
      <c r="C489" s="4" t="n">
        <f aca="false">MONTH($A489)</f>
        <v>5</v>
      </c>
      <c r="D489" s="4" t="str">
        <f aca="false">TEXT($A489,"ddd")</f>
        <v>Fri</v>
      </c>
      <c r="E489" s="4" t="n">
        <f aca="false">IF(OR(AND(MONTH($A489)=10,DAY($A489)&gt;=15),MONTH($A489)=11,AND(MONTH($A489)=12,DAY($A489)&lt;=7)),1,0)</f>
        <v>0</v>
      </c>
      <c r="F489" s="4" t="n">
        <f aca="false">IF(MONTH($A489)&lt;=3,1,0)</f>
        <v>0</v>
      </c>
      <c r="G489" s="4" t="str">
        <f aca="false" t="array" ref="G489: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4" t="n">
        <f aca="false">COUNTIF(Events!$A$2:$A$397,$A489)</f>
        <v>0</v>
      </c>
      <c r="I489" s="6" t="str">
        <f aca="false" t="array" ref="I489:I489">_xlfn.TEXTJOIN(" | ",TRUE(),IF(Events!$A$2:$A$397=$A489,Events!$E$2:$E$397&amp;IF(Events!$G$2:$G$397="National",""," ["&amp;Events!$G$2:$G$397&amp;"]"),""))</f>
        <v/>
      </c>
    </row>
    <row r="490" customFormat="false" ht="15" hidden="false" customHeight="true" outlineLevel="0" collapsed="false">
      <c r="A490" s="3" t="n">
        <v>45780</v>
      </c>
      <c r="B490" s="4" t="n">
        <f aca="false">YEAR($A490)</f>
        <v>2025</v>
      </c>
      <c r="C490" s="4" t="n">
        <f aca="false">MONTH($A490)</f>
        <v>5</v>
      </c>
      <c r="D490" s="4" t="str">
        <f aca="false">TEXT($A490,"ddd")</f>
        <v>Sat</v>
      </c>
      <c r="E490" s="4" t="n">
        <f aca="false">IF(OR(AND(MONTH($A490)=10,DAY($A490)&gt;=15),MONTH($A490)=11,AND(MONTH($A490)=12,DAY($A490)&lt;=7)),1,0)</f>
        <v>0</v>
      </c>
      <c r="F490" s="4" t="n">
        <f aca="false">IF(MONTH($A490)&lt;=3,1,0)</f>
        <v>0</v>
      </c>
      <c r="G490" s="4" t="str">
        <f aca="false" t="array" ref="G490: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4" t="n">
        <f aca="false">COUNTIF(Events!$A$2:$A$397,$A490)</f>
        <v>0</v>
      </c>
      <c r="I490" s="6" t="str">
        <f aca="false" t="array" ref="I490:I490">_xlfn.TEXTJOIN(" | ",TRUE(),IF(Events!$A$2:$A$397=$A490,Events!$E$2:$E$397&amp;IF(Events!$G$2:$G$397="National",""," ["&amp;Events!$G$2:$G$397&amp;"]"),""))</f>
        <v/>
      </c>
    </row>
    <row r="491" customFormat="false" ht="15" hidden="false" customHeight="true" outlineLevel="0" collapsed="false">
      <c r="A491" s="3" t="n">
        <v>45781</v>
      </c>
      <c r="B491" s="4" t="n">
        <f aca="false">YEAR($A491)</f>
        <v>2025</v>
      </c>
      <c r="C491" s="4" t="n">
        <f aca="false">MONTH($A491)</f>
        <v>5</v>
      </c>
      <c r="D491" s="4" t="str">
        <f aca="false">TEXT($A491,"ddd")</f>
        <v>Sun</v>
      </c>
      <c r="E491" s="4" t="n">
        <f aca="false">IF(OR(AND(MONTH($A491)=10,DAY($A491)&gt;=15),MONTH($A491)=11,AND(MONTH($A491)=12,DAY($A491)&lt;=7)),1,0)</f>
        <v>0</v>
      </c>
      <c r="F491" s="4" t="n">
        <f aca="false">IF(MONTH($A491)&lt;=3,1,0)</f>
        <v>0</v>
      </c>
      <c r="G491" s="4" t="str">
        <f aca="false" t="array" ref="G491: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4" t="n">
        <f aca="false">COUNTIF(Events!$A$2:$A$397,$A491)</f>
        <v>0</v>
      </c>
      <c r="I491" s="6" t="str">
        <f aca="false" t="array" ref="I491:I491">_xlfn.TEXTJOIN(" | ",TRUE(),IF(Events!$A$2:$A$397=$A491,Events!$E$2:$E$397&amp;IF(Events!$G$2:$G$397="National",""," ["&amp;Events!$G$2:$G$397&amp;"]"),""))</f>
        <v/>
      </c>
    </row>
    <row r="492" customFormat="false" ht="15" hidden="false" customHeight="true" outlineLevel="0" collapsed="false">
      <c r="A492" s="3" t="n">
        <v>45782</v>
      </c>
      <c r="B492" s="4" t="n">
        <f aca="false">YEAR($A492)</f>
        <v>2025</v>
      </c>
      <c r="C492" s="4" t="n">
        <f aca="false">MONTH($A492)</f>
        <v>5</v>
      </c>
      <c r="D492" s="4" t="str">
        <f aca="false">TEXT($A492,"ddd")</f>
        <v>Mon</v>
      </c>
      <c r="E492" s="4" t="n">
        <f aca="false">IF(OR(AND(MONTH($A492)=10,DAY($A492)&gt;=15),MONTH($A492)=11,AND(MONTH($A492)=12,DAY($A492)&lt;=7)),1,0)</f>
        <v>0</v>
      </c>
      <c r="F492" s="4" t="n">
        <f aca="false">IF(MONTH($A492)&lt;=3,1,0)</f>
        <v>0</v>
      </c>
      <c r="G492" s="4" t="str">
        <f aca="false" t="array" ref="G492: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4" t="n">
        <f aca="false">COUNTIF(Events!$A$2:$A$397,$A492)</f>
        <v>0</v>
      </c>
      <c r="I492" s="6" t="str">
        <f aca="false" t="array" ref="I492:I492">_xlfn.TEXTJOIN(" | ",TRUE(),IF(Events!$A$2:$A$397=$A492,Events!$E$2:$E$397&amp;IF(Events!$G$2:$G$397="National",""," ["&amp;Events!$G$2:$G$397&amp;"]"),""))</f>
        <v/>
      </c>
    </row>
    <row r="493" customFormat="false" ht="15" hidden="false" customHeight="true" outlineLevel="0" collapsed="false">
      <c r="A493" s="3" t="n">
        <v>45783</v>
      </c>
      <c r="B493" s="4" t="n">
        <f aca="false">YEAR($A493)</f>
        <v>2025</v>
      </c>
      <c r="C493" s="4" t="n">
        <f aca="false">MONTH($A493)</f>
        <v>5</v>
      </c>
      <c r="D493" s="4" t="str">
        <f aca="false">TEXT($A493,"ddd")</f>
        <v>Tue</v>
      </c>
      <c r="E493" s="4" t="n">
        <f aca="false">IF(OR(AND(MONTH($A493)=10,DAY($A493)&gt;=15),MONTH($A493)=11,AND(MONTH($A493)=12,DAY($A493)&lt;=7)),1,0)</f>
        <v>0</v>
      </c>
      <c r="F493" s="4" t="n">
        <f aca="false">IF(MONTH($A493)&lt;=3,1,0)</f>
        <v>0</v>
      </c>
      <c r="G493" s="4" t="str">
        <f aca="false" t="array" ref="G493: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4" t="n">
        <f aca="false">COUNTIF(Events!$A$2:$A$397,$A493)</f>
        <v>0</v>
      </c>
      <c r="I493" s="6" t="str">
        <f aca="false" t="array" ref="I493:I493">_xlfn.TEXTJOIN(" | ",TRUE(),IF(Events!$A$2:$A$397=$A493,Events!$E$2:$E$397&amp;IF(Events!$G$2:$G$397="National",""," ["&amp;Events!$G$2:$G$397&amp;"]"),""))</f>
        <v/>
      </c>
    </row>
    <row r="494" customFormat="false" ht="15" hidden="false" customHeight="true" outlineLevel="0" collapsed="false">
      <c r="A494" s="3" t="n">
        <v>45784</v>
      </c>
      <c r="B494" s="4" t="n">
        <f aca="false">YEAR($A494)</f>
        <v>2025</v>
      </c>
      <c r="C494" s="4" t="n">
        <f aca="false">MONTH($A494)</f>
        <v>5</v>
      </c>
      <c r="D494" s="4" t="str">
        <f aca="false">TEXT($A494,"ddd")</f>
        <v>Wed</v>
      </c>
      <c r="E494" s="4" t="n">
        <f aca="false">IF(OR(AND(MONTH($A494)=10,DAY($A494)&gt;=15),MONTH($A494)=11,AND(MONTH($A494)=12,DAY($A494)&lt;=7)),1,0)</f>
        <v>0</v>
      </c>
      <c r="F494" s="4" t="n">
        <f aca="false">IF(MONTH($A494)&lt;=3,1,0)</f>
        <v>0</v>
      </c>
      <c r="G494" s="4" t="str">
        <f aca="false" t="array" ref="G494: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4" t="n">
        <f aca="false">COUNTIF(Events!$A$2:$A$397,$A494)</f>
        <v>1</v>
      </c>
      <c r="I494" s="6" t="str">
        <f aca="false" t="array" ref="I494:I494">_xlfn.TEXTJOIN(" | ",TRUE(),IF(Events!$A$2:$A$397=$A494,Events!$E$2:$E$397&amp;IF(Events!$G$2:$G$397="National",""," ["&amp;Events!$G$2:$G$397&amp;"]"),""))</f>
        <v>Utah Medigap birthday rule takes effect (HB 258, enacted 3/26/2025): 60-day window from birthday to switch to an equal-or-lesser plan with the current insurer only, no underwriting [UT]</v>
      </c>
    </row>
    <row r="495" customFormat="false" ht="15" hidden="false" customHeight="true" outlineLevel="0" collapsed="false">
      <c r="A495" s="3" t="n">
        <v>45785</v>
      </c>
      <c r="B495" s="4" t="n">
        <f aca="false">YEAR($A495)</f>
        <v>2025</v>
      </c>
      <c r="C495" s="4" t="n">
        <f aca="false">MONTH($A495)</f>
        <v>5</v>
      </c>
      <c r="D495" s="4" t="str">
        <f aca="false">TEXT($A495,"ddd")</f>
        <v>Thu</v>
      </c>
      <c r="E495" s="4" t="n">
        <f aca="false">IF(OR(AND(MONTH($A495)=10,DAY($A495)&gt;=15),MONTH($A495)=11,AND(MONTH($A495)=12,DAY($A495)&lt;=7)),1,0)</f>
        <v>0</v>
      </c>
      <c r="F495" s="4" t="n">
        <f aca="false">IF(MONTH($A495)&lt;=3,1,0)</f>
        <v>0</v>
      </c>
      <c r="G495" s="4" t="str">
        <f aca="false" t="array" ref="G495: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4" t="n">
        <f aca="false">COUNTIF(Events!$A$2:$A$397,$A495)</f>
        <v>0</v>
      </c>
      <c r="I495" s="6" t="str">
        <f aca="false" t="array" ref="I495:I495">_xlfn.TEXTJOIN(" | ",TRUE(),IF(Events!$A$2:$A$397=$A495,Events!$E$2:$E$397&amp;IF(Events!$G$2:$G$397="National",""," ["&amp;Events!$G$2:$G$397&amp;"]"),""))</f>
        <v/>
      </c>
    </row>
    <row r="496" customFormat="false" ht="15" hidden="false" customHeight="true" outlineLevel="0" collapsed="false">
      <c r="A496" s="3" t="n">
        <v>45786</v>
      </c>
      <c r="B496" s="4" t="n">
        <f aca="false">YEAR($A496)</f>
        <v>2025</v>
      </c>
      <c r="C496" s="4" t="n">
        <f aca="false">MONTH($A496)</f>
        <v>5</v>
      </c>
      <c r="D496" s="4" t="str">
        <f aca="false">TEXT($A496,"ddd")</f>
        <v>Fri</v>
      </c>
      <c r="E496" s="4" t="n">
        <f aca="false">IF(OR(AND(MONTH($A496)=10,DAY($A496)&gt;=15),MONTH($A496)=11,AND(MONTH($A496)=12,DAY($A496)&lt;=7)),1,0)</f>
        <v>0</v>
      </c>
      <c r="F496" s="4" t="n">
        <f aca="false">IF(MONTH($A496)&lt;=3,1,0)</f>
        <v>0</v>
      </c>
      <c r="G496" s="4" t="str">
        <f aca="false" t="array" ref="G496: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4" t="n">
        <f aca="false">COUNTIF(Events!$A$2:$A$397,$A496)</f>
        <v>0</v>
      </c>
      <c r="I496" s="6" t="str">
        <f aca="false" t="array" ref="I496:I496">_xlfn.TEXTJOIN(" | ",TRUE(),IF(Events!$A$2:$A$397=$A496,Events!$E$2:$E$397&amp;IF(Events!$G$2:$G$397="National",""," ["&amp;Events!$G$2:$G$397&amp;"]"),""))</f>
        <v/>
      </c>
    </row>
    <row r="497" customFormat="false" ht="15" hidden="false" customHeight="true" outlineLevel="0" collapsed="false">
      <c r="A497" s="3" t="n">
        <v>45787</v>
      </c>
      <c r="B497" s="4" t="n">
        <f aca="false">YEAR($A497)</f>
        <v>2025</v>
      </c>
      <c r="C497" s="4" t="n">
        <f aca="false">MONTH($A497)</f>
        <v>5</v>
      </c>
      <c r="D497" s="4" t="str">
        <f aca="false">TEXT($A497,"ddd")</f>
        <v>Sat</v>
      </c>
      <c r="E497" s="4" t="n">
        <f aca="false">IF(OR(AND(MONTH($A497)=10,DAY($A497)&gt;=15),MONTH($A497)=11,AND(MONTH($A497)=12,DAY($A497)&lt;=7)),1,0)</f>
        <v>0</v>
      </c>
      <c r="F497" s="4" t="n">
        <f aca="false">IF(MONTH($A497)&lt;=3,1,0)</f>
        <v>0</v>
      </c>
      <c r="G497" s="4" t="str">
        <f aca="false" t="array" ref="G497: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4" t="n">
        <f aca="false">COUNTIF(Events!$A$2:$A$397,$A497)</f>
        <v>0</v>
      </c>
      <c r="I497" s="6" t="str">
        <f aca="false" t="array" ref="I497:I497">_xlfn.TEXTJOIN(" | ",TRUE(),IF(Events!$A$2:$A$397=$A497,Events!$E$2:$E$397&amp;IF(Events!$G$2:$G$397="National",""," ["&amp;Events!$G$2:$G$397&amp;"]"),""))</f>
        <v/>
      </c>
    </row>
    <row r="498" customFormat="false" ht="15" hidden="false" customHeight="true" outlineLevel="0" collapsed="false">
      <c r="A498" s="3" t="n">
        <v>45788</v>
      </c>
      <c r="B498" s="4" t="n">
        <f aca="false">YEAR($A498)</f>
        <v>2025</v>
      </c>
      <c r="C498" s="4" t="n">
        <f aca="false">MONTH($A498)</f>
        <v>5</v>
      </c>
      <c r="D498" s="4" t="str">
        <f aca="false">TEXT($A498,"ddd")</f>
        <v>Sun</v>
      </c>
      <c r="E498" s="4" t="n">
        <f aca="false">IF(OR(AND(MONTH($A498)=10,DAY($A498)&gt;=15),MONTH($A498)=11,AND(MONTH($A498)=12,DAY($A498)&lt;=7)),1,0)</f>
        <v>0</v>
      </c>
      <c r="F498" s="4" t="n">
        <f aca="false">IF(MONTH($A498)&lt;=3,1,0)</f>
        <v>0</v>
      </c>
      <c r="G498" s="4" t="str">
        <f aca="false" t="array" ref="G498: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4" t="n">
        <f aca="false">COUNTIF(Events!$A$2:$A$397,$A498)</f>
        <v>0</v>
      </c>
      <c r="I498" s="6" t="str">
        <f aca="false" t="array" ref="I498:I498">_xlfn.TEXTJOIN(" | ",TRUE(),IF(Events!$A$2:$A$397=$A498,Events!$E$2:$E$397&amp;IF(Events!$G$2:$G$397="National",""," ["&amp;Events!$G$2:$G$397&amp;"]"),""))</f>
        <v/>
      </c>
    </row>
    <row r="499" customFormat="false" ht="15" hidden="false" customHeight="true" outlineLevel="0" collapsed="false">
      <c r="A499" s="3" t="n">
        <v>45789</v>
      </c>
      <c r="B499" s="4" t="n">
        <f aca="false">YEAR($A499)</f>
        <v>2025</v>
      </c>
      <c r="C499" s="4" t="n">
        <f aca="false">MONTH($A499)</f>
        <v>5</v>
      </c>
      <c r="D499" s="4" t="str">
        <f aca="false">TEXT($A499,"ddd")</f>
        <v>Mon</v>
      </c>
      <c r="E499" s="4" t="n">
        <f aca="false">IF(OR(AND(MONTH($A499)=10,DAY($A499)&gt;=15),MONTH($A499)=11,AND(MONTH($A499)=12,DAY($A499)&lt;=7)),1,0)</f>
        <v>0</v>
      </c>
      <c r="F499" s="4" t="n">
        <f aca="false">IF(MONTH($A499)&lt;=3,1,0)</f>
        <v>0</v>
      </c>
      <c r="G499" s="4" t="str">
        <f aca="false" t="array" ref="G499: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4" t="n">
        <f aca="false">COUNTIF(Events!$A$2:$A$397,$A499)</f>
        <v>0</v>
      </c>
      <c r="I499" s="6" t="str">
        <f aca="false" t="array" ref="I499:I499">_xlfn.TEXTJOIN(" | ",TRUE(),IF(Events!$A$2:$A$397=$A499,Events!$E$2:$E$397&amp;IF(Events!$G$2:$G$397="National",""," ["&amp;Events!$G$2:$G$397&amp;"]"),""))</f>
        <v/>
      </c>
    </row>
    <row r="500" customFormat="false" ht="15" hidden="false" customHeight="true" outlineLevel="0" collapsed="false">
      <c r="A500" s="3" t="n">
        <v>45790</v>
      </c>
      <c r="B500" s="4" t="n">
        <f aca="false">YEAR($A500)</f>
        <v>2025</v>
      </c>
      <c r="C500" s="4" t="n">
        <f aca="false">MONTH($A500)</f>
        <v>5</v>
      </c>
      <c r="D500" s="4" t="str">
        <f aca="false">TEXT($A500,"ddd")</f>
        <v>Tue</v>
      </c>
      <c r="E500" s="4" t="n">
        <f aca="false">IF(OR(AND(MONTH($A500)=10,DAY($A500)&gt;=15),MONTH($A500)=11,AND(MONTH($A500)=12,DAY($A500)&lt;=7)),1,0)</f>
        <v>0</v>
      </c>
      <c r="F500" s="4" t="n">
        <f aca="false">IF(MONTH($A500)&lt;=3,1,0)</f>
        <v>0</v>
      </c>
      <c r="G500" s="4" t="str">
        <f aca="false" t="array" ref="G500: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4" t="n">
        <f aca="false">COUNTIF(Events!$A$2:$A$397,$A500)</f>
        <v>0</v>
      </c>
      <c r="I500" s="6" t="str">
        <f aca="false" t="array" ref="I500:I500">_xlfn.TEXTJOIN(" | ",TRUE(),IF(Events!$A$2:$A$397=$A500,Events!$E$2:$E$397&amp;IF(Events!$G$2:$G$397="National",""," ["&amp;Events!$G$2:$G$397&amp;"]"),""))</f>
        <v/>
      </c>
    </row>
    <row r="501" customFormat="false" ht="15" hidden="false" customHeight="true" outlineLevel="0" collapsed="false">
      <c r="A501" s="3" t="n">
        <v>45791</v>
      </c>
      <c r="B501" s="4" t="n">
        <f aca="false">YEAR($A501)</f>
        <v>2025</v>
      </c>
      <c r="C501" s="4" t="n">
        <f aca="false">MONTH($A501)</f>
        <v>5</v>
      </c>
      <c r="D501" s="4" t="str">
        <f aca="false">TEXT($A501,"ddd")</f>
        <v>Wed</v>
      </c>
      <c r="E501" s="4" t="n">
        <f aca="false">IF(OR(AND(MONTH($A501)=10,DAY($A501)&gt;=15),MONTH($A501)=11,AND(MONTH($A501)=12,DAY($A501)&lt;=7)),1,0)</f>
        <v>0</v>
      </c>
      <c r="F501" s="4" t="n">
        <f aca="false">IF(MONTH($A501)&lt;=3,1,0)</f>
        <v>0</v>
      </c>
      <c r="G501" s="4" t="str">
        <f aca="false" t="array" ref="G501: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4" t="n">
        <f aca="false">COUNTIF(Events!$A$2:$A$397,$A501)</f>
        <v>0</v>
      </c>
      <c r="I501" s="6" t="str">
        <f aca="false" t="array" ref="I501:I501">_xlfn.TEXTJOIN(" | ",TRUE(),IF(Events!$A$2:$A$397=$A501,Events!$E$2:$E$397&amp;IF(Events!$G$2:$G$397="National",""," ["&amp;Events!$G$2:$G$397&amp;"]"),""))</f>
        <v/>
      </c>
    </row>
    <row r="502" customFormat="false" ht="15" hidden="false" customHeight="true" outlineLevel="0" collapsed="false">
      <c r="A502" s="3" t="n">
        <v>45792</v>
      </c>
      <c r="B502" s="4" t="n">
        <f aca="false">YEAR($A502)</f>
        <v>2025</v>
      </c>
      <c r="C502" s="4" t="n">
        <f aca="false">MONTH($A502)</f>
        <v>5</v>
      </c>
      <c r="D502" s="4" t="str">
        <f aca="false">TEXT($A502,"ddd")</f>
        <v>Thu</v>
      </c>
      <c r="E502" s="4" t="n">
        <f aca="false">IF(OR(AND(MONTH($A502)=10,DAY($A502)&gt;=15),MONTH($A502)=11,AND(MONTH($A502)=12,DAY($A502)&lt;=7)),1,0)</f>
        <v>0</v>
      </c>
      <c r="F502" s="4" t="n">
        <f aca="false">IF(MONTH($A502)&lt;=3,1,0)</f>
        <v>0</v>
      </c>
      <c r="G502" s="4" t="str">
        <f aca="false" t="array" ref="G502: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4" t="n">
        <f aca="false">COUNTIF(Events!$A$2:$A$397,$A502)</f>
        <v>0</v>
      </c>
      <c r="I502" s="6" t="str">
        <f aca="false" t="array" ref="I502:I502">_xlfn.TEXTJOIN(" | ",TRUE(),IF(Events!$A$2:$A$397=$A502,Events!$E$2:$E$397&amp;IF(Events!$G$2:$G$397="National",""," ["&amp;Events!$G$2:$G$397&amp;"]"),""))</f>
        <v/>
      </c>
    </row>
    <row r="503" customFormat="false" ht="15" hidden="false" customHeight="true" outlineLevel="0" collapsed="false">
      <c r="A503" s="3" t="n">
        <v>45793</v>
      </c>
      <c r="B503" s="4" t="n">
        <f aca="false">YEAR($A503)</f>
        <v>2025</v>
      </c>
      <c r="C503" s="4" t="n">
        <f aca="false">MONTH($A503)</f>
        <v>5</v>
      </c>
      <c r="D503" s="4" t="str">
        <f aca="false">TEXT($A503,"ddd")</f>
        <v>Fri</v>
      </c>
      <c r="E503" s="4" t="n">
        <f aca="false">IF(OR(AND(MONTH($A503)=10,DAY($A503)&gt;=15),MONTH($A503)=11,AND(MONTH($A503)=12,DAY($A503)&lt;=7)),1,0)</f>
        <v>0</v>
      </c>
      <c r="F503" s="4" t="n">
        <f aca="false">IF(MONTH($A503)&lt;=3,1,0)</f>
        <v>0</v>
      </c>
      <c r="G503" s="4" t="str">
        <f aca="false" t="array" ref="G503: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4" t="n">
        <f aca="false">COUNTIF(Events!$A$2:$A$397,$A503)</f>
        <v>0</v>
      </c>
      <c r="I503" s="6" t="str">
        <f aca="false" t="array" ref="I503:I503">_xlfn.TEXTJOIN(" | ",TRUE(),IF(Events!$A$2:$A$397=$A503,Events!$E$2:$E$397&amp;IF(Events!$G$2:$G$397="National",""," ["&amp;Events!$G$2:$G$397&amp;"]"),""))</f>
        <v/>
      </c>
    </row>
    <row r="504" customFormat="false" ht="15" hidden="false" customHeight="true" outlineLevel="0" collapsed="false">
      <c r="A504" s="3" t="n">
        <v>45794</v>
      </c>
      <c r="B504" s="4" t="n">
        <f aca="false">YEAR($A504)</f>
        <v>2025</v>
      </c>
      <c r="C504" s="4" t="n">
        <f aca="false">MONTH($A504)</f>
        <v>5</v>
      </c>
      <c r="D504" s="4" t="str">
        <f aca="false">TEXT($A504,"ddd")</f>
        <v>Sat</v>
      </c>
      <c r="E504" s="4" t="n">
        <f aca="false">IF(OR(AND(MONTH($A504)=10,DAY($A504)&gt;=15),MONTH($A504)=11,AND(MONTH($A504)=12,DAY($A504)&lt;=7)),1,0)</f>
        <v>0</v>
      </c>
      <c r="F504" s="4" t="n">
        <f aca="false">IF(MONTH($A504)&lt;=3,1,0)</f>
        <v>0</v>
      </c>
      <c r="G504" s="4" t="str">
        <f aca="false" t="array" ref="G504: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4" t="n">
        <f aca="false">COUNTIF(Events!$A$2:$A$397,$A504)</f>
        <v>0</v>
      </c>
      <c r="I504" s="6" t="str">
        <f aca="false" t="array" ref="I504:I504">_xlfn.TEXTJOIN(" | ",TRUE(),IF(Events!$A$2:$A$397=$A504,Events!$E$2:$E$397&amp;IF(Events!$G$2:$G$397="National",""," ["&amp;Events!$G$2:$G$397&amp;"]"),""))</f>
        <v/>
      </c>
    </row>
    <row r="505" customFormat="false" ht="15" hidden="false" customHeight="true" outlineLevel="0" collapsed="false">
      <c r="A505" s="3" t="n">
        <v>45795</v>
      </c>
      <c r="B505" s="4" t="n">
        <f aca="false">YEAR($A505)</f>
        <v>2025</v>
      </c>
      <c r="C505" s="4" t="n">
        <f aca="false">MONTH($A505)</f>
        <v>5</v>
      </c>
      <c r="D505" s="4" t="str">
        <f aca="false">TEXT($A505,"ddd")</f>
        <v>Sun</v>
      </c>
      <c r="E505" s="4" t="n">
        <f aca="false">IF(OR(AND(MONTH($A505)=10,DAY($A505)&gt;=15),MONTH($A505)=11,AND(MONTH($A505)=12,DAY($A505)&lt;=7)),1,0)</f>
        <v>0</v>
      </c>
      <c r="F505" s="4" t="n">
        <f aca="false">IF(MONTH($A505)&lt;=3,1,0)</f>
        <v>0</v>
      </c>
      <c r="G505" s="4" t="str">
        <f aca="false" t="array" ref="G505: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4" t="n">
        <f aca="false">COUNTIF(Events!$A$2:$A$397,$A505)</f>
        <v>0</v>
      </c>
      <c r="I505" s="6" t="str">
        <f aca="false" t="array" ref="I505:I505">_xlfn.TEXTJOIN(" | ",TRUE(),IF(Events!$A$2:$A$397=$A505,Events!$E$2:$E$397&amp;IF(Events!$G$2:$G$397="National",""," ["&amp;Events!$G$2:$G$397&amp;"]"),""))</f>
        <v/>
      </c>
    </row>
    <row r="506" customFormat="false" ht="15" hidden="false" customHeight="true" outlineLevel="0" collapsed="false">
      <c r="A506" s="3" t="n">
        <v>45796</v>
      </c>
      <c r="B506" s="4" t="n">
        <f aca="false">YEAR($A506)</f>
        <v>2025</v>
      </c>
      <c r="C506" s="4" t="n">
        <f aca="false">MONTH($A506)</f>
        <v>5</v>
      </c>
      <c r="D506" s="4" t="str">
        <f aca="false">TEXT($A506,"ddd")</f>
        <v>Mon</v>
      </c>
      <c r="E506" s="4" t="n">
        <f aca="false">IF(OR(AND(MONTH($A506)=10,DAY($A506)&gt;=15),MONTH($A506)=11,AND(MONTH($A506)=12,DAY($A506)&lt;=7)),1,0)</f>
        <v>0</v>
      </c>
      <c r="F506" s="4" t="n">
        <f aca="false">IF(MONTH($A506)&lt;=3,1,0)</f>
        <v>0</v>
      </c>
      <c r="G506" s="4" t="str">
        <f aca="false" t="array" ref="G506: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4" t="n">
        <f aca="false">COUNTIF(Events!$A$2:$A$397,$A506)</f>
        <v>0</v>
      </c>
      <c r="I506" s="6" t="str">
        <f aca="false" t="array" ref="I506:I506">_xlfn.TEXTJOIN(" | ",TRUE(),IF(Events!$A$2:$A$397=$A506,Events!$E$2:$E$397&amp;IF(Events!$G$2:$G$397="National",""," ["&amp;Events!$G$2:$G$397&amp;"]"),""))</f>
        <v/>
      </c>
    </row>
    <row r="507" customFormat="false" ht="15" hidden="false" customHeight="true" outlineLevel="0" collapsed="false">
      <c r="A507" s="3" t="n">
        <v>45797</v>
      </c>
      <c r="B507" s="4" t="n">
        <f aca="false">YEAR($A507)</f>
        <v>2025</v>
      </c>
      <c r="C507" s="4" t="n">
        <f aca="false">MONTH($A507)</f>
        <v>5</v>
      </c>
      <c r="D507" s="4" t="str">
        <f aca="false">TEXT($A507,"ddd")</f>
        <v>Tue</v>
      </c>
      <c r="E507" s="4" t="n">
        <f aca="false">IF(OR(AND(MONTH($A507)=10,DAY($A507)&gt;=15),MONTH($A507)=11,AND(MONTH($A507)=12,DAY($A507)&lt;=7)),1,0)</f>
        <v>0</v>
      </c>
      <c r="F507" s="4" t="n">
        <f aca="false">IF(MONTH($A507)&lt;=3,1,0)</f>
        <v>0</v>
      </c>
      <c r="G507" s="4" t="str">
        <f aca="false" t="array" ref="G507: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4" t="n">
        <f aca="false">COUNTIF(Events!$A$2:$A$397,$A507)</f>
        <v>0</v>
      </c>
      <c r="I507" s="6" t="str">
        <f aca="false" t="array" ref="I507:I507">_xlfn.TEXTJOIN(" | ",TRUE(),IF(Events!$A$2:$A$397=$A507,Events!$E$2:$E$397&amp;IF(Events!$G$2:$G$397="National",""," ["&amp;Events!$G$2:$G$397&amp;"]"),""))</f>
        <v/>
      </c>
    </row>
    <row r="508" customFormat="false" ht="15" hidden="false" customHeight="true" outlineLevel="0" collapsed="false">
      <c r="A508" s="3" t="n">
        <v>45798</v>
      </c>
      <c r="B508" s="4" t="n">
        <f aca="false">YEAR($A508)</f>
        <v>2025</v>
      </c>
      <c r="C508" s="4" t="n">
        <f aca="false">MONTH($A508)</f>
        <v>5</v>
      </c>
      <c r="D508" s="4" t="str">
        <f aca="false">TEXT($A508,"ddd")</f>
        <v>Wed</v>
      </c>
      <c r="E508" s="4" t="n">
        <f aca="false">IF(OR(AND(MONTH($A508)=10,DAY($A508)&gt;=15),MONTH($A508)=11,AND(MONTH($A508)=12,DAY($A508)&lt;=7)),1,0)</f>
        <v>0</v>
      </c>
      <c r="F508" s="4" t="n">
        <f aca="false">IF(MONTH($A508)&lt;=3,1,0)</f>
        <v>0</v>
      </c>
      <c r="G508" s="4" t="str">
        <f aca="false" t="array" ref="G508: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4" t="n">
        <f aca="false">COUNTIF(Events!$A$2:$A$397,$A508)</f>
        <v>0</v>
      </c>
      <c r="I508" s="6" t="str">
        <f aca="false" t="array" ref="I508:I508">_xlfn.TEXTJOIN(" | ",TRUE(),IF(Events!$A$2:$A$397=$A508,Events!$E$2:$E$397&amp;IF(Events!$G$2:$G$397="National",""," ["&amp;Events!$G$2:$G$397&amp;"]"),""))</f>
        <v/>
      </c>
    </row>
    <row r="509" customFormat="false" ht="15" hidden="false" customHeight="true" outlineLevel="0" collapsed="false">
      <c r="A509" s="3" t="n">
        <v>45799</v>
      </c>
      <c r="B509" s="4" t="n">
        <f aca="false">YEAR($A509)</f>
        <v>2025</v>
      </c>
      <c r="C509" s="4" t="n">
        <f aca="false">MONTH($A509)</f>
        <v>5</v>
      </c>
      <c r="D509" s="4" t="str">
        <f aca="false">TEXT($A509,"ddd")</f>
        <v>Thu</v>
      </c>
      <c r="E509" s="4" t="n">
        <f aca="false">IF(OR(AND(MONTH($A509)=10,DAY($A509)&gt;=15),MONTH($A509)=11,AND(MONTH($A509)=12,DAY($A509)&lt;=7)),1,0)</f>
        <v>0</v>
      </c>
      <c r="F509" s="4" t="n">
        <f aca="false">IF(MONTH($A509)&lt;=3,1,0)</f>
        <v>0</v>
      </c>
      <c r="G509" s="4" t="str">
        <f aca="false" t="array" ref="G509: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4" t="n">
        <f aca="false">COUNTIF(Events!$A$2:$A$397,$A509)</f>
        <v>0</v>
      </c>
      <c r="I509" s="6" t="str">
        <f aca="false" t="array" ref="I509:I509">_xlfn.TEXTJOIN(" | ",TRUE(),IF(Events!$A$2:$A$397=$A509,Events!$E$2:$E$397&amp;IF(Events!$G$2:$G$397="National",""," ["&amp;Events!$G$2:$G$397&amp;"]"),""))</f>
        <v/>
      </c>
    </row>
    <row r="510" customFormat="false" ht="15" hidden="false" customHeight="true" outlineLevel="0" collapsed="false">
      <c r="A510" s="3" t="n">
        <v>45800</v>
      </c>
      <c r="B510" s="4" t="n">
        <f aca="false">YEAR($A510)</f>
        <v>2025</v>
      </c>
      <c r="C510" s="4" t="n">
        <f aca="false">MONTH($A510)</f>
        <v>5</v>
      </c>
      <c r="D510" s="4" t="str">
        <f aca="false">TEXT($A510,"ddd")</f>
        <v>Fri</v>
      </c>
      <c r="E510" s="4" t="n">
        <f aca="false">IF(OR(AND(MONTH($A510)=10,DAY($A510)&gt;=15),MONTH($A510)=11,AND(MONTH($A510)=12,DAY($A510)&lt;=7)),1,0)</f>
        <v>0</v>
      </c>
      <c r="F510" s="4" t="n">
        <f aca="false">IF(MONTH($A510)&lt;=3,1,0)</f>
        <v>0</v>
      </c>
      <c r="G510" s="4" t="str">
        <f aca="false" t="array" ref="G510: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4" t="n">
        <f aca="false">COUNTIF(Events!$A$2:$A$397,$A510)</f>
        <v>0</v>
      </c>
      <c r="I510" s="6" t="str">
        <f aca="false" t="array" ref="I510:I510">_xlfn.TEXTJOIN(" | ",TRUE(),IF(Events!$A$2:$A$397=$A510,Events!$E$2:$E$397&amp;IF(Events!$G$2:$G$397="National",""," ["&amp;Events!$G$2:$G$397&amp;"]"),""))</f>
        <v/>
      </c>
    </row>
    <row r="511" customFormat="false" ht="15" hidden="false" customHeight="true" outlineLevel="0" collapsed="false">
      <c r="A511" s="3" t="n">
        <v>45801</v>
      </c>
      <c r="B511" s="4" t="n">
        <f aca="false">YEAR($A511)</f>
        <v>2025</v>
      </c>
      <c r="C511" s="4" t="n">
        <f aca="false">MONTH($A511)</f>
        <v>5</v>
      </c>
      <c r="D511" s="4" t="str">
        <f aca="false">TEXT($A511,"ddd")</f>
        <v>Sat</v>
      </c>
      <c r="E511" s="4" t="n">
        <f aca="false">IF(OR(AND(MONTH($A511)=10,DAY($A511)&gt;=15),MONTH($A511)=11,AND(MONTH($A511)=12,DAY($A511)&lt;=7)),1,0)</f>
        <v>0</v>
      </c>
      <c r="F511" s="4" t="n">
        <f aca="false">IF(MONTH($A511)&lt;=3,1,0)</f>
        <v>0</v>
      </c>
      <c r="G511" s="4" t="str">
        <f aca="false" t="array" ref="G511: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4" t="n">
        <f aca="false">COUNTIF(Events!$A$2:$A$397,$A511)</f>
        <v>0</v>
      </c>
      <c r="I511" s="6" t="str">
        <f aca="false" t="array" ref="I511:I511">_xlfn.TEXTJOIN(" | ",TRUE(),IF(Events!$A$2:$A$397=$A511,Events!$E$2:$E$397&amp;IF(Events!$G$2:$G$397="National",""," ["&amp;Events!$G$2:$G$397&amp;"]"),""))</f>
        <v/>
      </c>
    </row>
    <row r="512" customFormat="false" ht="15" hidden="false" customHeight="true" outlineLevel="0" collapsed="false">
      <c r="A512" s="3" t="n">
        <v>45802</v>
      </c>
      <c r="B512" s="4" t="n">
        <f aca="false">YEAR($A512)</f>
        <v>2025</v>
      </c>
      <c r="C512" s="4" t="n">
        <f aca="false">MONTH($A512)</f>
        <v>5</v>
      </c>
      <c r="D512" s="4" t="str">
        <f aca="false">TEXT($A512,"ddd")</f>
        <v>Sun</v>
      </c>
      <c r="E512" s="4" t="n">
        <f aca="false">IF(OR(AND(MONTH($A512)=10,DAY($A512)&gt;=15),MONTH($A512)=11,AND(MONTH($A512)=12,DAY($A512)&lt;=7)),1,0)</f>
        <v>0</v>
      </c>
      <c r="F512" s="4" t="n">
        <f aca="false">IF(MONTH($A512)&lt;=3,1,0)</f>
        <v>0</v>
      </c>
      <c r="G512" s="4" t="str">
        <f aca="false" t="array" ref="G512: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4" t="n">
        <f aca="false">COUNTIF(Events!$A$2:$A$397,$A512)</f>
        <v>0</v>
      </c>
      <c r="I512" s="6" t="str">
        <f aca="false" t="array" ref="I512:I512">_xlfn.TEXTJOIN(" | ",TRUE(),IF(Events!$A$2:$A$397=$A512,Events!$E$2:$E$397&amp;IF(Events!$G$2:$G$397="National",""," ["&amp;Events!$G$2:$G$397&amp;"]"),""))</f>
        <v/>
      </c>
    </row>
    <row r="513" customFormat="false" ht="15" hidden="false" customHeight="true" outlineLevel="0" collapsed="false">
      <c r="A513" s="3" t="n">
        <v>45803</v>
      </c>
      <c r="B513" s="4" t="n">
        <f aca="false">YEAR($A513)</f>
        <v>2025</v>
      </c>
      <c r="C513" s="4" t="n">
        <f aca="false">MONTH($A513)</f>
        <v>5</v>
      </c>
      <c r="D513" s="4" t="str">
        <f aca="false">TEXT($A513,"ddd")</f>
        <v>Mon</v>
      </c>
      <c r="E513" s="4" t="n">
        <f aca="false">IF(OR(AND(MONTH($A513)=10,DAY($A513)&gt;=15),MONTH($A513)=11,AND(MONTH($A513)=12,DAY($A513)&lt;=7)),1,0)</f>
        <v>0</v>
      </c>
      <c r="F513" s="4" t="n">
        <f aca="false">IF(MONTH($A513)&lt;=3,1,0)</f>
        <v>0</v>
      </c>
      <c r="G513" s="4" t="str">
        <f aca="false" t="array" ref="G513: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4" t="n">
        <f aca="false">COUNTIF(Events!$A$2:$A$397,$A513)</f>
        <v>0</v>
      </c>
      <c r="I513" s="6" t="str">
        <f aca="false" t="array" ref="I513:I513">_xlfn.TEXTJOIN(" | ",TRUE(),IF(Events!$A$2:$A$397=$A513,Events!$E$2:$E$397&amp;IF(Events!$G$2:$G$397="National",""," ["&amp;Events!$G$2:$G$397&amp;"]"),""))</f>
        <v/>
      </c>
    </row>
    <row r="514" customFormat="false" ht="15" hidden="false" customHeight="true" outlineLevel="0" collapsed="false">
      <c r="A514" s="3" t="n">
        <v>45804</v>
      </c>
      <c r="B514" s="4" t="n">
        <f aca="false">YEAR($A514)</f>
        <v>2025</v>
      </c>
      <c r="C514" s="4" t="n">
        <f aca="false">MONTH($A514)</f>
        <v>5</v>
      </c>
      <c r="D514" s="4" t="str">
        <f aca="false">TEXT($A514,"ddd")</f>
        <v>Tue</v>
      </c>
      <c r="E514" s="4" t="n">
        <f aca="false">IF(OR(AND(MONTH($A514)=10,DAY($A514)&gt;=15),MONTH($A514)=11,AND(MONTH($A514)=12,DAY($A514)&lt;=7)),1,0)</f>
        <v>0</v>
      </c>
      <c r="F514" s="4" t="n">
        <f aca="false">IF(MONTH($A514)&lt;=3,1,0)</f>
        <v>0</v>
      </c>
      <c r="G514" s="4" t="str">
        <f aca="false" t="array" ref="G514: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4" t="n">
        <f aca="false">COUNTIF(Events!$A$2:$A$397,$A514)</f>
        <v>0</v>
      </c>
      <c r="I514" s="6" t="str">
        <f aca="false" t="array" ref="I514:I514">_xlfn.TEXTJOIN(" | ",TRUE(),IF(Events!$A$2:$A$397=$A514,Events!$E$2:$E$397&amp;IF(Events!$G$2:$G$397="National",""," ["&amp;Events!$G$2:$G$397&amp;"]"),""))</f>
        <v/>
      </c>
    </row>
    <row r="515" customFormat="false" ht="15" hidden="false" customHeight="true" outlineLevel="0" collapsed="false">
      <c r="A515" s="3" t="n">
        <v>45805</v>
      </c>
      <c r="B515" s="4" t="n">
        <f aca="false">YEAR($A515)</f>
        <v>2025</v>
      </c>
      <c r="C515" s="4" t="n">
        <f aca="false">MONTH($A515)</f>
        <v>5</v>
      </c>
      <c r="D515" s="4" t="str">
        <f aca="false">TEXT($A515,"ddd")</f>
        <v>Wed</v>
      </c>
      <c r="E515" s="4" t="n">
        <f aca="false">IF(OR(AND(MONTH($A515)=10,DAY($A515)&gt;=15),MONTH($A515)=11,AND(MONTH($A515)=12,DAY($A515)&lt;=7)),1,0)</f>
        <v>0</v>
      </c>
      <c r="F515" s="4" t="n">
        <f aca="false">IF(MONTH($A515)&lt;=3,1,0)</f>
        <v>0</v>
      </c>
      <c r="G515" s="4" t="str">
        <f aca="false" t="array" ref="G515: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4" t="n">
        <f aca="false">COUNTIF(Events!$A$2:$A$397,$A515)</f>
        <v>0</v>
      </c>
      <c r="I515" s="6" t="str">
        <f aca="false" t="array" ref="I515:I515">_xlfn.TEXTJOIN(" | ",TRUE(),IF(Events!$A$2:$A$397=$A515,Events!$E$2:$E$397&amp;IF(Events!$G$2:$G$397="National",""," ["&amp;Events!$G$2:$G$397&amp;"]"),""))</f>
        <v/>
      </c>
    </row>
    <row r="516" customFormat="false" ht="15" hidden="false" customHeight="true" outlineLevel="0" collapsed="false">
      <c r="A516" s="3" t="n">
        <v>45806</v>
      </c>
      <c r="B516" s="4" t="n">
        <f aca="false">YEAR($A516)</f>
        <v>2025</v>
      </c>
      <c r="C516" s="4" t="n">
        <f aca="false">MONTH($A516)</f>
        <v>5</v>
      </c>
      <c r="D516" s="4" t="str">
        <f aca="false">TEXT($A516,"ddd")</f>
        <v>Thu</v>
      </c>
      <c r="E516" s="4" t="n">
        <f aca="false">IF(OR(AND(MONTH($A516)=10,DAY($A516)&gt;=15),MONTH($A516)=11,AND(MONTH($A516)=12,DAY($A516)&lt;=7)),1,0)</f>
        <v>0</v>
      </c>
      <c r="F516" s="4" t="n">
        <f aca="false">IF(MONTH($A516)&lt;=3,1,0)</f>
        <v>0</v>
      </c>
      <c r="G516" s="4" t="str">
        <f aca="false" t="array" ref="G516: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4" t="n">
        <f aca="false">COUNTIF(Events!$A$2:$A$397,$A516)</f>
        <v>0</v>
      </c>
      <c r="I516" s="6" t="str">
        <f aca="false" t="array" ref="I516:I516">_xlfn.TEXTJOIN(" | ",TRUE(),IF(Events!$A$2:$A$397=$A516,Events!$E$2:$E$397&amp;IF(Events!$G$2:$G$397="National",""," ["&amp;Events!$G$2:$G$397&amp;"]"),""))</f>
        <v/>
      </c>
    </row>
    <row r="517" customFormat="false" ht="15" hidden="false" customHeight="true" outlineLevel="0" collapsed="false">
      <c r="A517" s="3" t="n">
        <v>45807</v>
      </c>
      <c r="B517" s="4" t="n">
        <f aca="false">YEAR($A517)</f>
        <v>2025</v>
      </c>
      <c r="C517" s="4" t="n">
        <f aca="false">MONTH($A517)</f>
        <v>5</v>
      </c>
      <c r="D517" s="4" t="str">
        <f aca="false">TEXT($A517,"ddd")</f>
        <v>Fri</v>
      </c>
      <c r="E517" s="4" t="n">
        <f aca="false">IF(OR(AND(MONTH($A517)=10,DAY($A517)&gt;=15),MONTH($A517)=11,AND(MONTH($A517)=12,DAY($A517)&lt;=7)),1,0)</f>
        <v>0</v>
      </c>
      <c r="F517" s="4" t="n">
        <f aca="false">IF(MONTH($A517)&lt;=3,1,0)</f>
        <v>0</v>
      </c>
      <c r="G517" s="4" t="str">
        <f aca="false" t="array" ref="G517: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
      </c>
      <c r="H517" s="4" t="n">
        <f aca="false">COUNTIF(Events!$A$2:$A$397,$A517)</f>
        <v>0</v>
      </c>
      <c r="I517" s="6" t="str">
        <f aca="false" t="array" ref="I517:I517">_xlfn.TEXTJOIN(" | ",TRUE(),IF(Events!$A$2:$A$397=$A517,Events!$E$2:$E$397&amp;IF(Events!$G$2:$G$397="National",""," ["&amp;Events!$G$2:$G$397&amp;"]"),""))</f>
        <v/>
      </c>
    </row>
    <row r="518" customFormat="false" ht="15" hidden="false" customHeight="true" outlineLevel="0" collapsed="false">
      <c r="A518" s="3" t="n">
        <v>45808</v>
      </c>
      <c r="B518" s="4" t="n">
        <f aca="false">YEAR($A518)</f>
        <v>2025</v>
      </c>
      <c r="C518" s="4" t="n">
        <f aca="false">MONTH($A518)</f>
        <v>5</v>
      </c>
      <c r="D518" s="4" t="str">
        <f aca="false">TEXT($A518,"ddd")</f>
        <v>Sat</v>
      </c>
      <c r="E518" s="4" t="n">
        <f aca="false">IF(OR(AND(MONTH($A518)=10,DAY($A518)&gt;=15),MONTH($A518)=11,AND(MONTH($A518)=12,DAY($A518)&lt;=7)),1,0)</f>
        <v>0</v>
      </c>
      <c r="F518" s="4" t="n">
        <f aca="false">IF(MONTH($A518)&lt;=3,1,0)</f>
        <v>0</v>
      </c>
      <c r="G518" s="4" t="str">
        <f aca="false" t="array" ref="G518: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 | Disaster SEP ended: Fire [CA] DR-4856</v>
      </c>
      <c r="H518" s="4" t="n">
        <f aca="false">COUNTIF(Events!$A$2:$A$397,$A518)</f>
        <v>0</v>
      </c>
      <c r="I518" s="6" t="str">
        <f aca="false" t="array" ref="I518:I518">_xlfn.TEXTJOIN(" | ",TRUE(),IF(Events!$A$2:$A$397=$A518,Events!$E$2:$E$397&amp;IF(Events!$G$2:$G$397="National",""," ["&amp;Events!$G$2:$G$397&amp;"]"),""))</f>
        <v/>
      </c>
    </row>
    <row r="519" customFormat="false" ht="15" hidden="false" customHeight="true" outlineLevel="0" collapsed="false">
      <c r="A519" s="3" t="n">
        <v>45809</v>
      </c>
      <c r="B519" s="4" t="n">
        <f aca="false">YEAR($A519)</f>
        <v>2025</v>
      </c>
      <c r="C519" s="4" t="n">
        <f aca="false">MONTH($A519)</f>
        <v>6</v>
      </c>
      <c r="D519" s="4" t="str">
        <f aca="false">TEXT($A519,"ddd")</f>
        <v>Sun</v>
      </c>
      <c r="E519" s="4" t="n">
        <f aca="false">IF(OR(AND(MONTH($A519)=10,DAY($A519)&gt;=15),MONTH($A519)=11,AND(MONTH($A519)=12,DAY($A519)&lt;=7)),1,0)</f>
        <v>0</v>
      </c>
      <c r="F519" s="4" t="n">
        <f aca="false">IF(MONTH($A519)&lt;=3,1,0)</f>
        <v>0</v>
      </c>
      <c r="G519" s="4" t="str">
        <f aca="false" t="array" ref="G519: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4" t="n">
        <f aca="false">COUNTIF(Events!$A$2:$A$397,$A519)</f>
        <v>0</v>
      </c>
      <c r="I519" s="6" t="str">
        <f aca="false" t="array" ref="I519:I519">_xlfn.TEXTJOIN(" | ",TRUE(),IF(Events!$A$2:$A$397=$A519,Events!$E$2:$E$397&amp;IF(Events!$G$2:$G$397="National",""," ["&amp;Events!$G$2:$G$397&amp;"]"),""))</f>
        <v/>
      </c>
    </row>
    <row r="520" customFormat="false" ht="15" hidden="false" customHeight="true" outlineLevel="0" collapsed="false">
      <c r="A520" s="3" t="n">
        <v>45810</v>
      </c>
      <c r="B520" s="4" t="n">
        <f aca="false">YEAR($A520)</f>
        <v>2025</v>
      </c>
      <c r="C520" s="4" t="n">
        <f aca="false">MONTH($A520)</f>
        <v>6</v>
      </c>
      <c r="D520" s="4" t="str">
        <f aca="false">TEXT($A520,"ddd")</f>
        <v>Mon</v>
      </c>
      <c r="E520" s="4" t="n">
        <f aca="false">IF(OR(AND(MONTH($A520)=10,DAY($A520)&gt;=15),MONTH($A520)=11,AND(MONTH($A520)=12,DAY($A520)&lt;=7)),1,0)</f>
        <v>0</v>
      </c>
      <c r="F520" s="4" t="n">
        <f aca="false">IF(MONTH($A520)&lt;=3,1,0)</f>
        <v>0</v>
      </c>
      <c r="G520" s="4" t="str">
        <f aca="false" t="array" ref="G520: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4" t="n">
        <f aca="false">COUNTIF(Events!$A$2:$A$397,$A520)</f>
        <v>0</v>
      </c>
      <c r="I520" s="6" t="str">
        <f aca="false" t="array" ref="I520:I520">_xlfn.TEXTJOIN(" | ",TRUE(),IF(Events!$A$2:$A$397=$A520,Events!$E$2:$E$397&amp;IF(Events!$G$2:$G$397="National",""," ["&amp;Events!$G$2:$G$397&amp;"]"),""))</f>
        <v/>
      </c>
    </row>
    <row r="521" customFormat="false" ht="15" hidden="false" customHeight="true" outlineLevel="0" collapsed="false">
      <c r="A521" s="3" t="n">
        <v>45811</v>
      </c>
      <c r="B521" s="4" t="n">
        <f aca="false">YEAR($A521)</f>
        <v>2025</v>
      </c>
      <c r="C521" s="4" t="n">
        <f aca="false">MONTH($A521)</f>
        <v>6</v>
      </c>
      <c r="D521" s="4" t="str">
        <f aca="false">TEXT($A521,"ddd")</f>
        <v>Tue</v>
      </c>
      <c r="E521" s="4" t="n">
        <f aca="false">IF(OR(AND(MONTH($A521)=10,DAY($A521)&gt;=15),MONTH($A521)=11,AND(MONTH($A521)=12,DAY($A521)&lt;=7)),1,0)</f>
        <v>0</v>
      </c>
      <c r="F521" s="4" t="n">
        <f aca="false">IF(MONTH($A521)&lt;=3,1,0)</f>
        <v>0</v>
      </c>
      <c r="G521" s="4" t="str">
        <f aca="false" t="array" ref="G521: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4" t="n">
        <f aca="false">COUNTIF(Events!$A$2:$A$397,$A521)</f>
        <v>0</v>
      </c>
      <c r="I521" s="6" t="str">
        <f aca="false" t="array" ref="I521:I521">_xlfn.TEXTJOIN(" | ",TRUE(),IF(Events!$A$2:$A$397=$A521,Events!$E$2:$E$397&amp;IF(Events!$G$2:$G$397="National",""," ["&amp;Events!$G$2:$G$397&amp;"]"),""))</f>
        <v/>
      </c>
    </row>
    <row r="522" customFormat="false" ht="15" hidden="false" customHeight="true" outlineLevel="0" collapsed="false">
      <c r="A522" s="3" t="n">
        <v>45812</v>
      </c>
      <c r="B522" s="4" t="n">
        <f aca="false">YEAR($A522)</f>
        <v>2025</v>
      </c>
      <c r="C522" s="4" t="n">
        <f aca="false">MONTH($A522)</f>
        <v>6</v>
      </c>
      <c r="D522" s="4" t="str">
        <f aca="false">TEXT($A522,"ddd")</f>
        <v>Wed</v>
      </c>
      <c r="E522" s="4" t="n">
        <f aca="false">IF(OR(AND(MONTH($A522)=10,DAY($A522)&gt;=15),MONTH($A522)=11,AND(MONTH($A522)=12,DAY($A522)&lt;=7)),1,0)</f>
        <v>0</v>
      </c>
      <c r="F522" s="4" t="n">
        <f aca="false">IF(MONTH($A522)&lt;=3,1,0)</f>
        <v>0</v>
      </c>
      <c r="G522" s="4" t="str">
        <f aca="false" t="array" ref="G522: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4" t="n">
        <f aca="false">COUNTIF(Events!$A$2:$A$397,$A522)</f>
        <v>1</v>
      </c>
      <c r="I522" s="6" t="str">
        <f aca="false" t="array" ref="I522:I522">_xlfn.TEXTJOIN(" | ",TRUE(),IF(Events!$A$2:$A$397=$A522,Events!$E$2:$E$397&amp;IF(Events!$G$2:$G$397="National",""," ["&amp;Events!$G$2:$G$397&amp;"]"),""))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customFormat="false" ht="15" hidden="false" customHeight="true" outlineLevel="0" collapsed="false">
      <c r="A523" s="3" t="n">
        <v>45813</v>
      </c>
      <c r="B523" s="4" t="n">
        <f aca="false">YEAR($A523)</f>
        <v>2025</v>
      </c>
      <c r="C523" s="4" t="n">
        <f aca="false">MONTH($A523)</f>
        <v>6</v>
      </c>
      <c r="D523" s="4" t="str">
        <f aca="false">TEXT($A523,"ddd")</f>
        <v>Thu</v>
      </c>
      <c r="E523" s="4" t="n">
        <f aca="false">IF(OR(AND(MONTH($A523)=10,DAY($A523)&gt;=15),MONTH($A523)=11,AND(MONTH($A523)=12,DAY($A523)&lt;=7)),1,0)</f>
        <v>0</v>
      </c>
      <c r="F523" s="4" t="n">
        <f aca="false">IF(MONTH($A523)&lt;=3,1,0)</f>
        <v>0</v>
      </c>
      <c r="G523" s="4" t="str">
        <f aca="false" t="array" ref="G523: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4" t="n">
        <f aca="false">COUNTIF(Events!$A$2:$A$397,$A523)</f>
        <v>0</v>
      </c>
      <c r="I523" s="6" t="str">
        <f aca="false" t="array" ref="I523:I523">_xlfn.TEXTJOIN(" | ",TRUE(),IF(Events!$A$2:$A$397=$A523,Events!$E$2:$E$397&amp;IF(Events!$G$2:$G$397="National",""," ["&amp;Events!$G$2:$G$397&amp;"]"),""))</f>
        <v/>
      </c>
    </row>
    <row r="524" customFormat="false" ht="15" hidden="false" customHeight="true" outlineLevel="0" collapsed="false">
      <c r="A524" s="3" t="n">
        <v>45814</v>
      </c>
      <c r="B524" s="4" t="n">
        <f aca="false">YEAR($A524)</f>
        <v>2025</v>
      </c>
      <c r="C524" s="4" t="n">
        <f aca="false">MONTH($A524)</f>
        <v>6</v>
      </c>
      <c r="D524" s="4" t="str">
        <f aca="false">TEXT($A524,"ddd")</f>
        <v>Fri</v>
      </c>
      <c r="E524" s="4" t="n">
        <f aca="false">IF(OR(AND(MONTH($A524)=10,DAY($A524)&gt;=15),MONTH($A524)=11,AND(MONTH($A524)=12,DAY($A524)&lt;=7)),1,0)</f>
        <v>0</v>
      </c>
      <c r="F524" s="4" t="n">
        <f aca="false">IF(MONTH($A524)&lt;=3,1,0)</f>
        <v>0</v>
      </c>
      <c r="G524" s="4" t="str">
        <f aca="false" t="array" ref="G524: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4" t="n">
        <f aca="false">COUNTIF(Events!$A$2:$A$397,$A524)</f>
        <v>0</v>
      </c>
      <c r="I524" s="6" t="str">
        <f aca="false" t="array" ref="I524:I524">_xlfn.TEXTJOIN(" | ",TRUE(),IF(Events!$A$2:$A$397=$A524,Events!$E$2:$E$397&amp;IF(Events!$G$2:$G$397="National",""," ["&amp;Events!$G$2:$G$397&amp;"]"),""))</f>
        <v/>
      </c>
    </row>
    <row r="525" customFormat="false" ht="15" hidden="false" customHeight="true" outlineLevel="0" collapsed="false">
      <c r="A525" s="3" t="n">
        <v>45815</v>
      </c>
      <c r="B525" s="4" t="n">
        <f aca="false">YEAR($A525)</f>
        <v>2025</v>
      </c>
      <c r="C525" s="4" t="n">
        <f aca="false">MONTH($A525)</f>
        <v>6</v>
      </c>
      <c r="D525" s="4" t="str">
        <f aca="false">TEXT($A525,"ddd")</f>
        <v>Sat</v>
      </c>
      <c r="E525" s="4" t="n">
        <f aca="false">IF(OR(AND(MONTH($A525)=10,DAY($A525)&gt;=15),MONTH($A525)=11,AND(MONTH($A525)=12,DAY($A525)&lt;=7)),1,0)</f>
        <v>0</v>
      </c>
      <c r="F525" s="4" t="n">
        <f aca="false">IF(MONTH($A525)&lt;=3,1,0)</f>
        <v>0</v>
      </c>
      <c r="G525" s="4" t="str">
        <f aca="false" t="array" ref="G525: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4" t="n">
        <f aca="false">COUNTIF(Events!$A$2:$A$397,$A525)</f>
        <v>0</v>
      </c>
      <c r="I525" s="6" t="str">
        <f aca="false" t="array" ref="I525:I525">_xlfn.TEXTJOIN(" | ",TRUE(),IF(Events!$A$2:$A$397=$A525,Events!$E$2:$E$397&amp;IF(Events!$G$2:$G$397="National",""," ["&amp;Events!$G$2:$G$397&amp;"]"),""))</f>
        <v/>
      </c>
    </row>
    <row r="526" customFormat="false" ht="15" hidden="false" customHeight="true" outlineLevel="0" collapsed="false">
      <c r="A526" s="3" t="n">
        <v>45816</v>
      </c>
      <c r="B526" s="4" t="n">
        <f aca="false">YEAR($A526)</f>
        <v>2025</v>
      </c>
      <c r="C526" s="4" t="n">
        <f aca="false">MONTH($A526)</f>
        <v>6</v>
      </c>
      <c r="D526" s="4" t="str">
        <f aca="false">TEXT($A526,"ddd")</f>
        <v>Sun</v>
      </c>
      <c r="E526" s="4" t="n">
        <f aca="false">IF(OR(AND(MONTH($A526)=10,DAY($A526)&gt;=15),MONTH($A526)=11,AND(MONTH($A526)=12,DAY($A526)&lt;=7)),1,0)</f>
        <v>0</v>
      </c>
      <c r="F526" s="4" t="n">
        <f aca="false">IF(MONTH($A526)&lt;=3,1,0)</f>
        <v>0</v>
      </c>
      <c r="G526" s="4" t="str">
        <f aca="false" t="array" ref="G526: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4" t="n">
        <f aca="false">COUNTIF(Events!$A$2:$A$397,$A526)</f>
        <v>0</v>
      </c>
      <c r="I526" s="6" t="str">
        <f aca="false" t="array" ref="I526:I526">_xlfn.TEXTJOIN(" | ",TRUE(),IF(Events!$A$2:$A$397=$A526,Events!$E$2:$E$397&amp;IF(Events!$G$2:$G$397="National",""," ["&amp;Events!$G$2:$G$397&amp;"]"),""))</f>
        <v/>
      </c>
    </row>
    <row r="527" customFormat="false" ht="15" hidden="false" customHeight="true" outlineLevel="0" collapsed="false">
      <c r="A527" s="3" t="n">
        <v>45817</v>
      </c>
      <c r="B527" s="4" t="n">
        <f aca="false">YEAR($A527)</f>
        <v>2025</v>
      </c>
      <c r="C527" s="4" t="n">
        <f aca="false">MONTH($A527)</f>
        <v>6</v>
      </c>
      <c r="D527" s="4" t="str">
        <f aca="false">TEXT($A527,"ddd")</f>
        <v>Mon</v>
      </c>
      <c r="E527" s="4" t="n">
        <f aca="false">IF(OR(AND(MONTH($A527)=10,DAY($A527)&gt;=15),MONTH($A527)=11,AND(MONTH($A527)=12,DAY($A527)&lt;=7)),1,0)</f>
        <v>0</v>
      </c>
      <c r="F527" s="4" t="n">
        <f aca="false">IF(MONTH($A527)&lt;=3,1,0)</f>
        <v>0</v>
      </c>
      <c r="G527" s="4" t="str">
        <f aca="false" t="array" ref="G527: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4" t="n">
        <f aca="false">COUNTIF(Events!$A$2:$A$397,$A527)</f>
        <v>0</v>
      </c>
      <c r="I527" s="6" t="str">
        <f aca="false" t="array" ref="I527:I527">_xlfn.TEXTJOIN(" | ",TRUE(),IF(Events!$A$2:$A$397=$A527,Events!$E$2:$E$397&amp;IF(Events!$G$2:$G$397="National",""," ["&amp;Events!$G$2:$G$397&amp;"]"),""))</f>
        <v/>
      </c>
    </row>
    <row r="528" customFormat="false" ht="15" hidden="false" customHeight="true" outlineLevel="0" collapsed="false">
      <c r="A528" s="3" t="n">
        <v>45818</v>
      </c>
      <c r="B528" s="4" t="n">
        <f aca="false">YEAR($A528)</f>
        <v>2025</v>
      </c>
      <c r="C528" s="4" t="n">
        <f aca="false">MONTH($A528)</f>
        <v>6</v>
      </c>
      <c r="D528" s="4" t="str">
        <f aca="false">TEXT($A528,"ddd")</f>
        <v>Tue</v>
      </c>
      <c r="E528" s="4" t="n">
        <f aca="false">IF(OR(AND(MONTH($A528)=10,DAY($A528)&gt;=15),MONTH($A528)=11,AND(MONTH($A528)=12,DAY($A528)&lt;=7)),1,0)</f>
        <v>0</v>
      </c>
      <c r="F528" s="4" t="n">
        <f aca="false">IF(MONTH($A528)&lt;=3,1,0)</f>
        <v>0</v>
      </c>
      <c r="G528" s="4" t="str">
        <f aca="false" t="array" ref="G528: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4" t="n">
        <f aca="false">COUNTIF(Events!$A$2:$A$397,$A528)</f>
        <v>0</v>
      </c>
      <c r="I528" s="6" t="str">
        <f aca="false" t="array" ref="I528:I528">_xlfn.TEXTJOIN(" | ",TRUE(),IF(Events!$A$2:$A$397=$A528,Events!$E$2:$E$397&amp;IF(Events!$G$2:$G$397="National",""," ["&amp;Events!$G$2:$G$397&amp;"]"),""))</f>
        <v/>
      </c>
    </row>
    <row r="529" customFormat="false" ht="15" hidden="false" customHeight="true" outlineLevel="0" collapsed="false">
      <c r="A529" s="3" t="n">
        <v>45819</v>
      </c>
      <c r="B529" s="4" t="n">
        <f aca="false">YEAR($A529)</f>
        <v>2025</v>
      </c>
      <c r="C529" s="4" t="n">
        <f aca="false">MONTH($A529)</f>
        <v>6</v>
      </c>
      <c r="D529" s="4" t="str">
        <f aca="false">TEXT($A529,"ddd")</f>
        <v>Wed</v>
      </c>
      <c r="E529" s="4" t="n">
        <f aca="false">IF(OR(AND(MONTH($A529)=10,DAY($A529)&gt;=15),MONTH($A529)=11,AND(MONTH($A529)=12,DAY($A529)&lt;=7)),1,0)</f>
        <v>0</v>
      </c>
      <c r="F529" s="4" t="n">
        <f aca="false">IF(MONTH($A529)&lt;=3,1,0)</f>
        <v>0</v>
      </c>
      <c r="G529" s="4" t="str">
        <f aca="false" t="array" ref="G529: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4" t="n">
        <f aca="false">COUNTIF(Events!$A$2:$A$397,$A529)</f>
        <v>0</v>
      </c>
      <c r="I529" s="6" t="str">
        <f aca="false" t="array" ref="I529:I529">_xlfn.TEXTJOIN(" | ",TRUE(),IF(Events!$A$2:$A$397=$A529,Events!$E$2:$E$397&amp;IF(Events!$G$2:$G$397="National",""," ["&amp;Events!$G$2:$G$397&amp;"]"),""))</f>
        <v/>
      </c>
    </row>
    <row r="530" customFormat="false" ht="15" hidden="false" customHeight="true" outlineLevel="0" collapsed="false">
      <c r="A530" s="3" t="n">
        <v>45820</v>
      </c>
      <c r="B530" s="4" t="n">
        <f aca="false">YEAR($A530)</f>
        <v>2025</v>
      </c>
      <c r="C530" s="4" t="n">
        <f aca="false">MONTH($A530)</f>
        <v>6</v>
      </c>
      <c r="D530" s="4" t="str">
        <f aca="false">TEXT($A530,"ddd")</f>
        <v>Thu</v>
      </c>
      <c r="E530" s="4" t="n">
        <f aca="false">IF(OR(AND(MONTH($A530)=10,DAY($A530)&gt;=15),MONTH($A530)=11,AND(MONTH($A530)=12,DAY($A530)&lt;=7)),1,0)</f>
        <v>0</v>
      </c>
      <c r="F530" s="4" t="n">
        <f aca="false">IF(MONTH($A530)&lt;=3,1,0)</f>
        <v>0</v>
      </c>
      <c r="G530" s="4" t="str">
        <f aca="false" t="array" ref="G530: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4" t="n">
        <f aca="false">COUNTIF(Events!$A$2:$A$397,$A530)</f>
        <v>0</v>
      </c>
      <c r="I530" s="6" t="str">
        <f aca="false" t="array" ref="I530:I530">_xlfn.TEXTJOIN(" | ",TRUE(),IF(Events!$A$2:$A$397=$A530,Events!$E$2:$E$397&amp;IF(Events!$G$2:$G$397="National",""," ["&amp;Events!$G$2:$G$397&amp;"]"),""))</f>
        <v/>
      </c>
    </row>
    <row r="531" customFormat="false" ht="15" hidden="false" customHeight="true" outlineLevel="0" collapsed="false">
      <c r="A531" s="3" t="n">
        <v>45821</v>
      </c>
      <c r="B531" s="4" t="n">
        <f aca="false">YEAR($A531)</f>
        <v>2025</v>
      </c>
      <c r="C531" s="4" t="n">
        <f aca="false">MONTH($A531)</f>
        <v>6</v>
      </c>
      <c r="D531" s="4" t="str">
        <f aca="false">TEXT($A531,"ddd")</f>
        <v>Fri</v>
      </c>
      <c r="E531" s="4" t="n">
        <f aca="false">IF(OR(AND(MONTH($A531)=10,DAY($A531)&gt;=15),MONTH($A531)=11,AND(MONTH($A531)=12,DAY($A531)&lt;=7)),1,0)</f>
        <v>0</v>
      </c>
      <c r="F531" s="4" t="n">
        <f aca="false">IF(MONTH($A531)&lt;=3,1,0)</f>
        <v>0</v>
      </c>
      <c r="G531" s="4" t="str">
        <f aca="false" t="array" ref="G531: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4" t="n">
        <f aca="false">COUNTIF(Events!$A$2:$A$397,$A531)</f>
        <v>0</v>
      </c>
      <c r="I531" s="6" t="str">
        <f aca="false" t="array" ref="I531:I531">_xlfn.TEXTJOIN(" | ",TRUE(),IF(Events!$A$2:$A$397=$A531,Events!$E$2:$E$397&amp;IF(Events!$G$2:$G$397="National",""," ["&amp;Events!$G$2:$G$397&amp;"]"),""))</f>
        <v/>
      </c>
    </row>
    <row r="532" customFormat="false" ht="15" hidden="false" customHeight="true" outlineLevel="0" collapsed="false">
      <c r="A532" s="3" t="n">
        <v>45822</v>
      </c>
      <c r="B532" s="4" t="n">
        <f aca="false">YEAR($A532)</f>
        <v>2025</v>
      </c>
      <c r="C532" s="4" t="n">
        <f aca="false">MONTH($A532)</f>
        <v>6</v>
      </c>
      <c r="D532" s="4" t="str">
        <f aca="false">TEXT($A532,"ddd")</f>
        <v>Sat</v>
      </c>
      <c r="E532" s="4" t="n">
        <f aca="false">IF(OR(AND(MONTH($A532)=10,DAY($A532)&gt;=15),MONTH($A532)=11,AND(MONTH($A532)=12,DAY($A532)&lt;=7)),1,0)</f>
        <v>0</v>
      </c>
      <c r="F532" s="4" t="n">
        <f aca="false">IF(MONTH($A532)&lt;=3,1,0)</f>
        <v>0</v>
      </c>
      <c r="G532" s="4" t="str">
        <f aca="false" t="array" ref="G532: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4" t="n">
        <f aca="false">COUNTIF(Events!$A$2:$A$397,$A532)</f>
        <v>0</v>
      </c>
      <c r="I532" s="6" t="str">
        <f aca="false" t="array" ref="I532:I532">_xlfn.TEXTJOIN(" | ",TRUE(),IF(Events!$A$2:$A$397=$A532,Events!$E$2:$E$397&amp;IF(Events!$G$2:$G$397="National",""," ["&amp;Events!$G$2:$G$397&amp;"]"),""))</f>
        <v/>
      </c>
    </row>
    <row r="533" customFormat="false" ht="15" hidden="false" customHeight="true" outlineLevel="0" collapsed="false">
      <c r="A533" s="3" t="n">
        <v>45823</v>
      </c>
      <c r="B533" s="4" t="n">
        <f aca="false">YEAR($A533)</f>
        <v>2025</v>
      </c>
      <c r="C533" s="4" t="n">
        <f aca="false">MONTH($A533)</f>
        <v>6</v>
      </c>
      <c r="D533" s="4" t="str">
        <f aca="false">TEXT($A533,"ddd")</f>
        <v>Sun</v>
      </c>
      <c r="E533" s="4" t="n">
        <f aca="false">IF(OR(AND(MONTH($A533)=10,DAY($A533)&gt;=15),MONTH($A533)=11,AND(MONTH($A533)=12,DAY($A533)&lt;=7)),1,0)</f>
        <v>0</v>
      </c>
      <c r="F533" s="4" t="n">
        <f aca="false">IF(MONTH($A533)&lt;=3,1,0)</f>
        <v>0</v>
      </c>
      <c r="G533" s="4" t="str">
        <f aca="false" t="array" ref="G533: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4" t="n">
        <f aca="false">COUNTIF(Events!$A$2:$A$397,$A533)</f>
        <v>0</v>
      </c>
      <c r="I533" s="6" t="str">
        <f aca="false" t="array" ref="I533:I533">_xlfn.TEXTJOIN(" | ",TRUE(),IF(Events!$A$2:$A$397=$A533,Events!$E$2:$E$397&amp;IF(Events!$G$2:$G$397="National",""," ["&amp;Events!$G$2:$G$397&amp;"]"),""))</f>
        <v/>
      </c>
    </row>
    <row r="534" customFormat="false" ht="15" hidden="false" customHeight="true" outlineLevel="0" collapsed="false">
      <c r="A534" s="3" t="n">
        <v>45824</v>
      </c>
      <c r="B534" s="4" t="n">
        <f aca="false">YEAR($A534)</f>
        <v>2025</v>
      </c>
      <c r="C534" s="4" t="n">
        <f aca="false">MONTH($A534)</f>
        <v>6</v>
      </c>
      <c r="D534" s="4" t="str">
        <f aca="false">TEXT($A534,"ddd")</f>
        <v>Mon</v>
      </c>
      <c r="E534" s="4" t="n">
        <f aca="false">IF(OR(AND(MONTH($A534)=10,DAY($A534)&gt;=15),MONTH($A534)=11,AND(MONTH($A534)=12,DAY($A534)&lt;=7)),1,0)</f>
        <v>0</v>
      </c>
      <c r="F534" s="4" t="n">
        <f aca="false">IF(MONTH($A534)&lt;=3,1,0)</f>
        <v>0</v>
      </c>
      <c r="G534" s="4" t="str">
        <f aca="false" t="array" ref="G534: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4" t="n">
        <f aca="false">COUNTIF(Events!$A$2:$A$397,$A534)</f>
        <v>0</v>
      </c>
      <c r="I534" s="6" t="str">
        <f aca="false" t="array" ref="I534:I534">_xlfn.TEXTJOIN(" | ",TRUE(),IF(Events!$A$2:$A$397=$A534,Events!$E$2:$E$397&amp;IF(Events!$G$2:$G$397="National",""," ["&amp;Events!$G$2:$G$397&amp;"]"),""))</f>
        <v/>
      </c>
    </row>
    <row r="535" customFormat="false" ht="15" hidden="false" customHeight="true" outlineLevel="0" collapsed="false">
      <c r="A535" s="3" t="n">
        <v>45825</v>
      </c>
      <c r="B535" s="4" t="n">
        <f aca="false">YEAR($A535)</f>
        <v>2025</v>
      </c>
      <c r="C535" s="4" t="n">
        <f aca="false">MONTH($A535)</f>
        <v>6</v>
      </c>
      <c r="D535" s="4" t="str">
        <f aca="false">TEXT($A535,"ddd")</f>
        <v>Tue</v>
      </c>
      <c r="E535" s="4" t="n">
        <f aca="false">IF(OR(AND(MONTH($A535)=10,DAY($A535)&gt;=15),MONTH($A535)=11,AND(MONTH($A535)=12,DAY($A535)&lt;=7)),1,0)</f>
        <v>0</v>
      </c>
      <c r="F535" s="4" t="n">
        <f aca="false">IF(MONTH($A535)&lt;=3,1,0)</f>
        <v>0</v>
      </c>
      <c r="G535" s="4" t="str">
        <f aca="false" t="array" ref="G535: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4" t="n">
        <f aca="false">COUNTIF(Events!$A$2:$A$397,$A535)</f>
        <v>0</v>
      </c>
      <c r="I535" s="6" t="str">
        <f aca="false" t="array" ref="I535:I535">_xlfn.TEXTJOIN(" | ",TRUE(),IF(Events!$A$2:$A$397=$A535,Events!$E$2:$E$397&amp;IF(Events!$G$2:$G$397="National",""," ["&amp;Events!$G$2:$G$397&amp;"]"),""))</f>
        <v/>
      </c>
    </row>
    <row r="536" customFormat="false" ht="15" hidden="false" customHeight="true" outlineLevel="0" collapsed="false">
      <c r="A536" s="3" t="n">
        <v>45826</v>
      </c>
      <c r="B536" s="4" t="n">
        <f aca="false">YEAR($A536)</f>
        <v>2025</v>
      </c>
      <c r="C536" s="4" t="n">
        <f aca="false">MONTH($A536)</f>
        <v>6</v>
      </c>
      <c r="D536" s="4" t="str">
        <f aca="false">TEXT($A536,"ddd")</f>
        <v>Wed</v>
      </c>
      <c r="E536" s="4" t="n">
        <f aca="false">IF(OR(AND(MONTH($A536)=10,DAY($A536)&gt;=15),MONTH($A536)=11,AND(MONTH($A536)=12,DAY($A536)&lt;=7)),1,0)</f>
        <v>0</v>
      </c>
      <c r="F536" s="4" t="n">
        <f aca="false">IF(MONTH($A536)&lt;=3,1,0)</f>
        <v>0</v>
      </c>
      <c r="G536" s="4" t="str">
        <f aca="false" t="array" ref="G536: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4" t="n">
        <f aca="false">COUNTIF(Events!$A$2:$A$397,$A536)</f>
        <v>0</v>
      </c>
      <c r="I536" s="6" t="str">
        <f aca="false" t="array" ref="I536:I536">_xlfn.TEXTJOIN(" | ",TRUE(),IF(Events!$A$2:$A$397=$A536,Events!$E$2:$E$397&amp;IF(Events!$G$2:$G$397="National",""," ["&amp;Events!$G$2:$G$397&amp;"]"),""))</f>
        <v/>
      </c>
    </row>
    <row r="537" customFormat="false" ht="15" hidden="false" customHeight="true" outlineLevel="0" collapsed="false">
      <c r="A537" s="3" t="n">
        <v>45827</v>
      </c>
      <c r="B537" s="4" t="n">
        <f aca="false">YEAR($A537)</f>
        <v>2025</v>
      </c>
      <c r="C537" s="4" t="n">
        <f aca="false">MONTH($A537)</f>
        <v>6</v>
      </c>
      <c r="D537" s="4" t="str">
        <f aca="false">TEXT($A537,"ddd")</f>
        <v>Thu</v>
      </c>
      <c r="E537" s="4" t="n">
        <f aca="false">IF(OR(AND(MONTH($A537)=10,DAY($A537)&gt;=15),MONTH($A537)=11,AND(MONTH($A537)=12,DAY($A537)&lt;=7)),1,0)</f>
        <v>0</v>
      </c>
      <c r="F537" s="4" t="n">
        <f aca="false">IF(MONTH($A537)&lt;=3,1,0)</f>
        <v>0</v>
      </c>
      <c r="G537" s="4" t="str">
        <f aca="false" t="array" ref="G537: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4" t="n">
        <f aca="false">COUNTIF(Events!$A$2:$A$397,$A537)</f>
        <v>0</v>
      </c>
      <c r="I537" s="6" t="str">
        <f aca="false" t="array" ref="I537:I537">_xlfn.TEXTJOIN(" | ",TRUE(),IF(Events!$A$2:$A$397=$A537,Events!$E$2:$E$397&amp;IF(Events!$G$2:$G$397="National",""," ["&amp;Events!$G$2:$G$397&amp;"]"),""))</f>
        <v/>
      </c>
    </row>
    <row r="538" customFormat="false" ht="15" hidden="false" customHeight="true" outlineLevel="0" collapsed="false">
      <c r="A538" s="3" t="n">
        <v>45828</v>
      </c>
      <c r="B538" s="4" t="n">
        <f aca="false">YEAR($A538)</f>
        <v>2025</v>
      </c>
      <c r="C538" s="4" t="n">
        <f aca="false">MONTH($A538)</f>
        <v>6</v>
      </c>
      <c r="D538" s="4" t="str">
        <f aca="false">TEXT($A538,"ddd")</f>
        <v>Fri</v>
      </c>
      <c r="E538" s="4" t="n">
        <f aca="false">IF(OR(AND(MONTH($A538)=10,DAY($A538)&gt;=15),MONTH($A538)=11,AND(MONTH($A538)=12,DAY($A538)&lt;=7)),1,0)</f>
        <v>0</v>
      </c>
      <c r="F538" s="4" t="n">
        <f aca="false">IF(MONTH($A538)&lt;=3,1,0)</f>
        <v>0</v>
      </c>
      <c r="G538" s="4" t="str">
        <f aca="false" t="array" ref="G538: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4" t="n">
        <f aca="false">COUNTIF(Events!$A$2:$A$397,$A538)</f>
        <v>0</v>
      </c>
      <c r="I538" s="6" t="str">
        <f aca="false" t="array" ref="I538:I538">_xlfn.TEXTJOIN(" | ",TRUE(),IF(Events!$A$2:$A$397=$A538,Events!$E$2:$E$397&amp;IF(Events!$G$2:$G$397="National",""," ["&amp;Events!$G$2:$G$397&amp;"]"),""))</f>
        <v/>
      </c>
    </row>
    <row r="539" customFormat="false" ht="15" hidden="false" customHeight="true" outlineLevel="0" collapsed="false">
      <c r="A539" s="3" t="n">
        <v>45829</v>
      </c>
      <c r="B539" s="4" t="n">
        <f aca="false">YEAR($A539)</f>
        <v>2025</v>
      </c>
      <c r="C539" s="4" t="n">
        <f aca="false">MONTH($A539)</f>
        <v>6</v>
      </c>
      <c r="D539" s="4" t="str">
        <f aca="false">TEXT($A539,"ddd")</f>
        <v>Sat</v>
      </c>
      <c r="E539" s="4" t="n">
        <f aca="false">IF(OR(AND(MONTH($A539)=10,DAY($A539)&gt;=15),MONTH($A539)=11,AND(MONTH($A539)=12,DAY($A539)&lt;=7)),1,0)</f>
        <v>0</v>
      </c>
      <c r="F539" s="4" t="n">
        <f aca="false">IF(MONTH($A539)&lt;=3,1,0)</f>
        <v>0</v>
      </c>
      <c r="G539" s="4" t="str">
        <f aca="false" t="array" ref="G539: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4" t="n">
        <f aca="false">COUNTIF(Events!$A$2:$A$397,$A539)</f>
        <v>0</v>
      </c>
      <c r="I539" s="6" t="str">
        <f aca="false" t="array" ref="I539:I539">_xlfn.TEXTJOIN(" | ",TRUE(),IF(Events!$A$2:$A$397=$A539,Events!$E$2:$E$397&amp;IF(Events!$G$2:$G$397="National",""," ["&amp;Events!$G$2:$G$397&amp;"]"),""))</f>
        <v/>
      </c>
    </row>
    <row r="540" customFormat="false" ht="15" hidden="false" customHeight="true" outlineLevel="0" collapsed="false">
      <c r="A540" s="3" t="n">
        <v>45830</v>
      </c>
      <c r="B540" s="4" t="n">
        <f aca="false">YEAR($A540)</f>
        <v>2025</v>
      </c>
      <c r="C540" s="4" t="n">
        <f aca="false">MONTH($A540)</f>
        <v>6</v>
      </c>
      <c r="D540" s="4" t="str">
        <f aca="false">TEXT($A540,"ddd")</f>
        <v>Sun</v>
      </c>
      <c r="E540" s="4" t="n">
        <f aca="false">IF(OR(AND(MONTH($A540)=10,DAY($A540)&gt;=15),MONTH($A540)=11,AND(MONTH($A540)=12,DAY($A540)&lt;=7)),1,0)</f>
        <v>0</v>
      </c>
      <c r="F540" s="4" t="n">
        <f aca="false">IF(MONTH($A540)&lt;=3,1,0)</f>
        <v>0</v>
      </c>
      <c r="G540" s="4" t="str">
        <f aca="false" t="array" ref="G540: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4" t="n">
        <f aca="false">COUNTIF(Events!$A$2:$A$397,$A540)</f>
        <v>0</v>
      </c>
      <c r="I540" s="6" t="str">
        <f aca="false" t="array" ref="I540:I540">_xlfn.TEXTJOIN(" | ",TRUE(),IF(Events!$A$2:$A$397=$A540,Events!$E$2:$E$397&amp;IF(Events!$G$2:$G$397="National",""," ["&amp;Events!$G$2:$G$397&amp;"]"),""))</f>
        <v/>
      </c>
    </row>
    <row r="541" customFormat="false" ht="15" hidden="false" customHeight="true" outlineLevel="0" collapsed="false">
      <c r="A541" s="3" t="n">
        <v>45831</v>
      </c>
      <c r="B541" s="4" t="n">
        <f aca="false">YEAR($A541)</f>
        <v>2025</v>
      </c>
      <c r="C541" s="4" t="n">
        <f aca="false">MONTH($A541)</f>
        <v>6</v>
      </c>
      <c r="D541" s="4" t="str">
        <f aca="false">TEXT($A541,"ddd")</f>
        <v>Mon</v>
      </c>
      <c r="E541" s="4" t="n">
        <f aca="false">IF(OR(AND(MONTH($A541)=10,DAY($A541)&gt;=15),MONTH($A541)=11,AND(MONTH($A541)=12,DAY($A541)&lt;=7)),1,0)</f>
        <v>0</v>
      </c>
      <c r="F541" s="4" t="n">
        <f aca="false">IF(MONTH($A541)&lt;=3,1,0)</f>
        <v>0</v>
      </c>
      <c r="G541" s="4" t="str">
        <f aca="false" t="array" ref="G541: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4" t="n">
        <f aca="false">COUNTIF(Events!$A$2:$A$397,$A541)</f>
        <v>0</v>
      </c>
      <c r="I541" s="6" t="str">
        <f aca="false" t="array" ref="I541:I541">_xlfn.TEXTJOIN(" | ",TRUE(),IF(Events!$A$2:$A$397=$A541,Events!$E$2:$E$397&amp;IF(Events!$G$2:$G$397="National",""," ["&amp;Events!$G$2:$G$397&amp;"]"),""))</f>
        <v/>
      </c>
    </row>
    <row r="542" customFormat="false" ht="15" hidden="false" customHeight="true" outlineLevel="0" collapsed="false">
      <c r="A542" s="3" t="n">
        <v>45832</v>
      </c>
      <c r="B542" s="4" t="n">
        <f aca="false">YEAR($A542)</f>
        <v>2025</v>
      </c>
      <c r="C542" s="4" t="n">
        <f aca="false">MONTH($A542)</f>
        <v>6</v>
      </c>
      <c r="D542" s="4" t="str">
        <f aca="false">TEXT($A542,"ddd")</f>
        <v>Tue</v>
      </c>
      <c r="E542" s="4" t="n">
        <f aca="false">IF(OR(AND(MONTH($A542)=10,DAY($A542)&gt;=15),MONTH($A542)=11,AND(MONTH($A542)=12,DAY($A542)&lt;=7)),1,0)</f>
        <v>0</v>
      </c>
      <c r="F542" s="4" t="n">
        <f aca="false">IF(MONTH($A542)&lt;=3,1,0)</f>
        <v>0</v>
      </c>
      <c r="G542" s="4" t="str">
        <f aca="false" t="array" ref="G542: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4" t="n">
        <f aca="false">COUNTIF(Events!$A$2:$A$397,$A542)</f>
        <v>0</v>
      </c>
      <c r="I542" s="6" t="str">
        <f aca="false" t="array" ref="I542:I542">_xlfn.TEXTJOIN(" | ",TRUE(),IF(Events!$A$2:$A$397=$A542,Events!$E$2:$E$397&amp;IF(Events!$G$2:$G$397="National",""," ["&amp;Events!$G$2:$G$397&amp;"]"),""))</f>
        <v/>
      </c>
    </row>
    <row r="543" customFormat="false" ht="15" hidden="false" customHeight="true" outlineLevel="0" collapsed="false">
      <c r="A543" s="3" t="n">
        <v>45833</v>
      </c>
      <c r="B543" s="4" t="n">
        <f aca="false">YEAR($A543)</f>
        <v>2025</v>
      </c>
      <c r="C543" s="4" t="n">
        <f aca="false">MONTH($A543)</f>
        <v>6</v>
      </c>
      <c r="D543" s="4" t="str">
        <f aca="false">TEXT($A543,"ddd")</f>
        <v>Wed</v>
      </c>
      <c r="E543" s="4" t="n">
        <f aca="false">IF(OR(AND(MONTH($A543)=10,DAY($A543)&gt;=15),MONTH($A543)=11,AND(MONTH($A543)=12,DAY($A543)&lt;=7)),1,0)</f>
        <v>0</v>
      </c>
      <c r="F543" s="4" t="n">
        <f aca="false">IF(MONTH($A543)&lt;=3,1,0)</f>
        <v>0</v>
      </c>
      <c r="G543" s="4" t="str">
        <f aca="false" t="array" ref="G543: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4" t="n">
        <f aca="false">COUNTIF(Events!$A$2:$A$397,$A543)</f>
        <v>0</v>
      </c>
      <c r="I543" s="6" t="str">
        <f aca="false" t="array" ref="I543:I543">_xlfn.TEXTJOIN(" | ",TRUE(),IF(Events!$A$2:$A$397=$A543,Events!$E$2:$E$397&amp;IF(Events!$G$2:$G$397="National",""," ["&amp;Events!$G$2:$G$397&amp;"]"),""))</f>
        <v/>
      </c>
    </row>
    <row r="544" customFormat="false" ht="15" hidden="false" customHeight="true" outlineLevel="0" collapsed="false">
      <c r="A544" s="3" t="n">
        <v>45834</v>
      </c>
      <c r="B544" s="4" t="n">
        <f aca="false">YEAR($A544)</f>
        <v>2025</v>
      </c>
      <c r="C544" s="4" t="n">
        <f aca="false">MONTH($A544)</f>
        <v>6</v>
      </c>
      <c r="D544" s="4" t="str">
        <f aca="false">TEXT($A544,"ddd")</f>
        <v>Thu</v>
      </c>
      <c r="E544" s="4" t="n">
        <f aca="false">IF(OR(AND(MONTH($A544)=10,DAY($A544)&gt;=15),MONTH($A544)=11,AND(MONTH($A544)=12,DAY($A544)&lt;=7)),1,0)</f>
        <v>0</v>
      </c>
      <c r="F544" s="4" t="n">
        <f aca="false">IF(MONTH($A544)&lt;=3,1,0)</f>
        <v>0</v>
      </c>
      <c r="G544" s="4" t="str">
        <f aca="false" t="array" ref="G544: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4" t="n">
        <f aca="false">COUNTIF(Events!$A$2:$A$397,$A544)</f>
        <v>0</v>
      </c>
      <c r="I544" s="6" t="str">
        <f aca="false" t="array" ref="I544:I544">_xlfn.TEXTJOIN(" | ",TRUE(),IF(Events!$A$2:$A$397=$A544,Events!$E$2:$E$397&amp;IF(Events!$G$2:$G$397="National",""," ["&amp;Events!$G$2:$G$397&amp;"]"),""))</f>
        <v/>
      </c>
    </row>
    <row r="545" customFormat="false" ht="15" hidden="false" customHeight="true" outlineLevel="0" collapsed="false">
      <c r="A545" s="3" t="n">
        <v>45835</v>
      </c>
      <c r="B545" s="4" t="n">
        <f aca="false">YEAR($A545)</f>
        <v>2025</v>
      </c>
      <c r="C545" s="4" t="n">
        <f aca="false">MONTH($A545)</f>
        <v>6</v>
      </c>
      <c r="D545" s="4" t="str">
        <f aca="false">TEXT($A545,"ddd")</f>
        <v>Fri</v>
      </c>
      <c r="E545" s="4" t="n">
        <f aca="false">IF(OR(AND(MONTH($A545)=10,DAY($A545)&gt;=15),MONTH($A545)=11,AND(MONTH($A545)=12,DAY($A545)&lt;=7)),1,0)</f>
        <v>0</v>
      </c>
      <c r="F545" s="4" t="n">
        <f aca="false">IF(MONTH($A545)&lt;=3,1,0)</f>
        <v>0</v>
      </c>
      <c r="G545" s="4" t="str">
        <f aca="false" t="array" ref="G545: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4" t="n">
        <f aca="false">COUNTIF(Events!$A$2:$A$397,$A545)</f>
        <v>0</v>
      </c>
      <c r="I545" s="6" t="str">
        <f aca="false" t="array" ref="I545:I545">_xlfn.TEXTJOIN(" | ",TRUE(),IF(Events!$A$2:$A$397=$A545,Events!$E$2:$E$397&amp;IF(Events!$G$2:$G$397="National",""," ["&amp;Events!$G$2:$G$397&amp;"]"),""))</f>
        <v/>
      </c>
    </row>
    <row r="546" customFormat="false" ht="15" hidden="false" customHeight="true" outlineLevel="0" collapsed="false">
      <c r="A546" s="3" t="n">
        <v>45836</v>
      </c>
      <c r="B546" s="4" t="n">
        <f aca="false">YEAR($A546)</f>
        <v>2025</v>
      </c>
      <c r="C546" s="4" t="n">
        <f aca="false">MONTH($A546)</f>
        <v>6</v>
      </c>
      <c r="D546" s="4" t="str">
        <f aca="false">TEXT($A546,"ddd")</f>
        <v>Sat</v>
      </c>
      <c r="E546" s="4" t="n">
        <f aca="false">IF(OR(AND(MONTH($A546)=10,DAY($A546)&gt;=15),MONTH($A546)=11,AND(MONTH($A546)=12,DAY($A546)&lt;=7)),1,0)</f>
        <v>0</v>
      </c>
      <c r="F546" s="4" t="n">
        <f aca="false">IF(MONTH($A546)&lt;=3,1,0)</f>
        <v>0</v>
      </c>
      <c r="G546" s="4" t="str">
        <f aca="false" t="array" ref="G546: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4" t="n">
        <f aca="false">COUNTIF(Events!$A$2:$A$397,$A546)</f>
        <v>0</v>
      </c>
      <c r="I546" s="6" t="str">
        <f aca="false" t="array" ref="I546:I546">_xlfn.TEXTJOIN(" | ",TRUE(),IF(Events!$A$2:$A$397=$A546,Events!$E$2:$E$397&amp;IF(Events!$G$2:$G$397="National",""," ["&amp;Events!$G$2:$G$397&amp;"]"),""))</f>
        <v/>
      </c>
    </row>
    <row r="547" customFormat="false" ht="15" hidden="false" customHeight="true" outlineLevel="0" collapsed="false">
      <c r="A547" s="3" t="n">
        <v>45837</v>
      </c>
      <c r="B547" s="4" t="n">
        <f aca="false">YEAR($A547)</f>
        <v>2025</v>
      </c>
      <c r="C547" s="4" t="n">
        <f aca="false">MONTH($A547)</f>
        <v>6</v>
      </c>
      <c r="D547" s="4" t="str">
        <f aca="false">TEXT($A547,"ddd")</f>
        <v>Sun</v>
      </c>
      <c r="E547" s="4" t="n">
        <f aca="false">IF(OR(AND(MONTH($A547)=10,DAY($A547)&gt;=15),MONTH($A547)=11,AND(MONTH($A547)=12,DAY($A547)&lt;=7)),1,0)</f>
        <v>0</v>
      </c>
      <c r="F547" s="4" t="n">
        <f aca="false">IF(MONTH($A547)&lt;=3,1,0)</f>
        <v>0</v>
      </c>
      <c r="G547" s="4" t="str">
        <f aca="false" t="array" ref="G547: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
      </c>
      <c r="H547" s="4" t="n">
        <f aca="false">COUNTIF(Events!$A$2:$A$397,$A547)</f>
        <v>0</v>
      </c>
      <c r="I547" s="6" t="str">
        <f aca="false" t="array" ref="I547:I547">_xlfn.TEXTJOIN(" | ",TRUE(),IF(Events!$A$2:$A$397=$A547,Events!$E$2:$E$397&amp;IF(Events!$G$2:$G$397="National",""," ["&amp;Events!$G$2:$G$397&amp;"]"),""))</f>
        <v/>
      </c>
    </row>
    <row r="548" customFormat="false" ht="15" hidden="false" customHeight="true" outlineLevel="0" collapsed="false">
      <c r="A548" s="3" t="n">
        <v>45838</v>
      </c>
      <c r="B548" s="4" t="n">
        <f aca="false">YEAR($A548)</f>
        <v>2025</v>
      </c>
      <c r="C548" s="4" t="n">
        <f aca="false">MONTH($A548)</f>
        <v>6</v>
      </c>
      <c r="D548" s="4" t="str">
        <f aca="false">TEXT($A548,"ddd")</f>
        <v>Mon</v>
      </c>
      <c r="E548" s="4" t="n">
        <f aca="false">IF(OR(AND(MONTH($A548)=10,DAY($A548)&gt;=15),MONTH($A548)=11,AND(MONTH($A548)=12,DAY($A548)&lt;=7)),1,0)</f>
        <v>0</v>
      </c>
      <c r="F548" s="4" t="n">
        <f aca="false">IF(MONTH($A548)&lt;=3,1,0)</f>
        <v>0</v>
      </c>
      <c r="G548" s="4" t="str">
        <f aca="false" t="array" ref="G548: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 | Disaster SEP ended: Severe Storm [VA] DR-4863 | Disaster SEP ended: Severe Storm [WV] DR-4861</v>
      </c>
      <c r="H548" s="4" t="n">
        <f aca="false">COUNTIF(Events!$A$2:$A$397,$A548)</f>
        <v>0</v>
      </c>
      <c r="I548" s="6" t="str">
        <f aca="false" t="array" ref="I548:I548">_xlfn.TEXTJOIN(" | ",TRUE(),IF(Events!$A$2:$A$397=$A548,Events!$E$2:$E$397&amp;IF(Events!$G$2:$G$397="National",""," ["&amp;Events!$G$2:$G$397&amp;"]"),""))</f>
        <v/>
      </c>
    </row>
    <row r="549" customFormat="false" ht="15" hidden="false" customHeight="true" outlineLevel="0" collapsed="false">
      <c r="A549" s="3" t="n">
        <v>45839</v>
      </c>
      <c r="B549" s="4" t="n">
        <f aca="false">YEAR($A549)</f>
        <v>2025</v>
      </c>
      <c r="C549" s="4" t="n">
        <f aca="false">MONTH($A549)</f>
        <v>7</v>
      </c>
      <c r="D549" s="4" t="str">
        <f aca="false">TEXT($A549,"ddd")</f>
        <v>Tue</v>
      </c>
      <c r="E549" s="4" t="n">
        <f aca="false">IF(OR(AND(MONTH($A549)=10,DAY($A549)&gt;=15),MONTH($A549)=11,AND(MONTH($A549)=12,DAY($A549)&lt;=7)),1,0)</f>
        <v>0</v>
      </c>
      <c r="F549" s="4" t="n">
        <f aca="false">IF(MONTH($A549)&lt;=3,1,0)</f>
        <v>0</v>
      </c>
      <c r="G549" s="4" t="str">
        <f aca="false" t="array" ref="G549: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4" t="n">
        <f aca="false">COUNTIF(Events!$A$2:$A$397,$A549)</f>
        <v>1</v>
      </c>
      <c r="I549" s="6" t="str">
        <f aca="false" t="array" ref="I549:I549">_xlfn.TEXTJOIN(" | ",TRUE(),IF(Events!$A$2:$A$397=$A549,Events!$E$2:$E$397&amp;IF(Events!$G$2:$G$397="National",""," ["&amp;Events!$G$2:$G$397&amp;"]"),""))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customFormat="false" ht="15" hidden="false" customHeight="true" outlineLevel="0" collapsed="false">
      <c r="A550" s="3" t="n">
        <v>45840</v>
      </c>
      <c r="B550" s="4" t="n">
        <f aca="false">YEAR($A550)</f>
        <v>2025</v>
      </c>
      <c r="C550" s="4" t="n">
        <f aca="false">MONTH($A550)</f>
        <v>7</v>
      </c>
      <c r="D550" s="4" t="str">
        <f aca="false">TEXT($A550,"ddd")</f>
        <v>Wed</v>
      </c>
      <c r="E550" s="4" t="n">
        <f aca="false">IF(OR(AND(MONTH($A550)=10,DAY($A550)&gt;=15),MONTH($A550)=11,AND(MONTH($A550)=12,DAY($A550)&lt;=7)),1,0)</f>
        <v>0</v>
      </c>
      <c r="F550" s="4" t="n">
        <f aca="false">IF(MONTH($A550)&lt;=3,1,0)</f>
        <v>0</v>
      </c>
      <c r="G550" s="4" t="str">
        <f aca="false" t="array" ref="G550: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4" t="n">
        <f aca="false">COUNTIF(Events!$A$2:$A$397,$A550)</f>
        <v>1</v>
      </c>
      <c r="I550" s="6" t="str">
        <f aca="false" t="array" ref="I550:I550">_xlfn.TEXTJOIN(" | ",TRUE(),IF(Events!$A$2:$A$397=$A550,Events!$E$2:$E$397&amp;IF(Events!$G$2:$G$397="National",""," ["&amp;Events!$G$2:$G$397&amp;"]"),""))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customFormat="false" ht="15" hidden="false" customHeight="true" outlineLevel="0" collapsed="false">
      <c r="A551" s="3" t="n">
        <v>45841</v>
      </c>
      <c r="B551" s="4" t="n">
        <f aca="false">YEAR($A551)</f>
        <v>2025</v>
      </c>
      <c r="C551" s="4" t="n">
        <f aca="false">MONTH($A551)</f>
        <v>7</v>
      </c>
      <c r="D551" s="4" t="str">
        <f aca="false">TEXT($A551,"ddd")</f>
        <v>Thu</v>
      </c>
      <c r="E551" s="4" t="n">
        <f aca="false">IF(OR(AND(MONTH($A551)=10,DAY($A551)&gt;=15),MONTH($A551)=11,AND(MONTH($A551)=12,DAY($A551)&lt;=7)),1,0)</f>
        <v>0</v>
      </c>
      <c r="F551" s="4" t="n">
        <f aca="false">IF(MONTH($A551)&lt;=3,1,0)</f>
        <v>0</v>
      </c>
      <c r="G551" s="4" t="str">
        <f aca="false" t="array" ref="G551: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4" t="n">
        <f aca="false">COUNTIF(Events!$A$2:$A$397,$A551)</f>
        <v>0</v>
      </c>
      <c r="I551" s="6" t="str">
        <f aca="false" t="array" ref="I551:I551">_xlfn.TEXTJOIN(" | ",TRUE(),IF(Events!$A$2:$A$397=$A551,Events!$E$2:$E$397&amp;IF(Events!$G$2:$G$397="National",""," ["&amp;Events!$G$2:$G$397&amp;"]"),""))</f>
        <v/>
      </c>
    </row>
    <row r="552" customFormat="false" ht="15" hidden="false" customHeight="true" outlineLevel="0" collapsed="false">
      <c r="A552" s="3" t="n">
        <v>45842</v>
      </c>
      <c r="B552" s="4" t="n">
        <f aca="false">YEAR($A552)</f>
        <v>2025</v>
      </c>
      <c r="C552" s="4" t="n">
        <f aca="false">MONTH($A552)</f>
        <v>7</v>
      </c>
      <c r="D552" s="4" t="str">
        <f aca="false">TEXT($A552,"ddd")</f>
        <v>Fri</v>
      </c>
      <c r="E552" s="4" t="n">
        <f aca="false">IF(OR(AND(MONTH($A552)=10,DAY($A552)&gt;=15),MONTH($A552)=11,AND(MONTH($A552)=12,DAY($A552)&lt;=7)),1,0)</f>
        <v>0</v>
      </c>
      <c r="F552" s="4" t="n">
        <f aca="false">IF(MONTH($A552)&lt;=3,1,0)</f>
        <v>0</v>
      </c>
      <c r="G552" s="4" t="str">
        <f aca="false" t="array" ref="G552: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4" t="n">
        <f aca="false">COUNTIF(Events!$A$2:$A$397,$A552)</f>
        <v>1</v>
      </c>
      <c r="I552" s="6" t="str">
        <f aca="false" t="array" ref="I552:I552">_xlfn.TEXTJOIN(" | ",TRUE(),IF(Events!$A$2:$A$397=$A552,Events!$E$2:$E$397&amp;IF(Events!$G$2:$G$397="National",""," ["&amp;Events!$G$2:$G$397&amp;"]"),""))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v>
      </c>
    </row>
    <row r="553" customFormat="false" ht="15" hidden="false" customHeight="true" outlineLevel="0" collapsed="false">
      <c r="A553" s="3" t="n">
        <v>45843</v>
      </c>
      <c r="B553" s="4" t="n">
        <f aca="false">YEAR($A553)</f>
        <v>2025</v>
      </c>
      <c r="C553" s="4" t="n">
        <f aca="false">MONTH($A553)</f>
        <v>7</v>
      </c>
      <c r="D553" s="4" t="str">
        <f aca="false">TEXT($A553,"ddd")</f>
        <v>Sat</v>
      </c>
      <c r="E553" s="4" t="n">
        <f aca="false">IF(OR(AND(MONTH($A553)=10,DAY($A553)&gt;=15),MONTH($A553)=11,AND(MONTH($A553)=12,DAY($A553)&lt;=7)),1,0)</f>
        <v>0</v>
      </c>
      <c r="F553" s="4" t="n">
        <f aca="false">IF(MONTH($A553)&lt;=3,1,0)</f>
        <v>0</v>
      </c>
      <c r="G553" s="4" t="str">
        <f aca="false" t="array" ref="G553: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4" t="n">
        <f aca="false">COUNTIF(Events!$A$2:$A$397,$A553)</f>
        <v>0</v>
      </c>
      <c r="I553" s="6" t="str">
        <f aca="false" t="array" ref="I553:I553">_xlfn.TEXTJOIN(" | ",TRUE(),IF(Events!$A$2:$A$397=$A553,Events!$E$2:$E$397&amp;IF(Events!$G$2:$G$397="National",""," ["&amp;Events!$G$2:$G$397&amp;"]"),""))</f>
        <v/>
      </c>
    </row>
    <row r="554" customFormat="false" ht="15" hidden="false" customHeight="true" outlineLevel="0" collapsed="false">
      <c r="A554" s="3" t="n">
        <v>45844</v>
      </c>
      <c r="B554" s="4" t="n">
        <f aca="false">YEAR($A554)</f>
        <v>2025</v>
      </c>
      <c r="C554" s="4" t="n">
        <f aca="false">MONTH($A554)</f>
        <v>7</v>
      </c>
      <c r="D554" s="4" t="str">
        <f aca="false">TEXT($A554,"ddd")</f>
        <v>Sun</v>
      </c>
      <c r="E554" s="4" t="n">
        <f aca="false">IF(OR(AND(MONTH($A554)=10,DAY($A554)&gt;=15),MONTH($A554)=11,AND(MONTH($A554)=12,DAY($A554)&lt;=7)),1,0)</f>
        <v>0</v>
      </c>
      <c r="F554" s="4" t="n">
        <f aca="false">IF(MONTH($A554)&lt;=3,1,0)</f>
        <v>0</v>
      </c>
      <c r="G554" s="4" t="str">
        <f aca="false" t="array" ref="G554: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4" t="n">
        <f aca="false">COUNTIF(Events!$A$2:$A$397,$A554)</f>
        <v>0</v>
      </c>
      <c r="I554" s="6" t="str">
        <f aca="false" t="array" ref="I554:I554">_xlfn.TEXTJOIN(" | ",TRUE(),IF(Events!$A$2:$A$397=$A554,Events!$E$2:$E$397&amp;IF(Events!$G$2:$G$397="National",""," ["&amp;Events!$G$2:$G$397&amp;"]"),""))</f>
        <v/>
      </c>
    </row>
    <row r="555" customFormat="false" ht="15" hidden="false" customHeight="true" outlineLevel="0" collapsed="false">
      <c r="A555" s="3" t="n">
        <v>45845</v>
      </c>
      <c r="B555" s="4" t="n">
        <f aca="false">YEAR($A555)</f>
        <v>2025</v>
      </c>
      <c r="C555" s="4" t="n">
        <f aca="false">MONTH($A555)</f>
        <v>7</v>
      </c>
      <c r="D555" s="4" t="str">
        <f aca="false">TEXT($A555,"ddd")</f>
        <v>Mon</v>
      </c>
      <c r="E555" s="4" t="n">
        <f aca="false">IF(OR(AND(MONTH($A555)=10,DAY($A555)&gt;=15),MONTH($A555)=11,AND(MONTH($A555)=12,DAY($A555)&lt;=7)),1,0)</f>
        <v>0</v>
      </c>
      <c r="F555" s="4" t="n">
        <f aca="false">IF(MONTH($A555)&lt;=3,1,0)</f>
        <v>0</v>
      </c>
      <c r="G555" s="4" t="str">
        <f aca="false" t="array" ref="G555: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4" t="n">
        <f aca="false">COUNTIF(Events!$A$2:$A$397,$A555)</f>
        <v>0</v>
      </c>
      <c r="I555" s="6" t="str">
        <f aca="false" t="array" ref="I555:I555">_xlfn.TEXTJOIN(" | ",TRUE(),IF(Events!$A$2:$A$397=$A555,Events!$E$2:$E$397&amp;IF(Events!$G$2:$G$397="National",""," ["&amp;Events!$G$2:$G$397&amp;"]"),""))</f>
        <v/>
      </c>
    </row>
    <row r="556" customFormat="false" ht="15" hidden="false" customHeight="true" outlineLevel="0" collapsed="false">
      <c r="A556" s="3" t="n">
        <v>45846</v>
      </c>
      <c r="B556" s="4" t="n">
        <f aca="false">YEAR($A556)</f>
        <v>2025</v>
      </c>
      <c r="C556" s="4" t="n">
        <f aca="false">MONTH($A556)</f>
        <v>7</v>
      </c>
      <c r="D556" s="4" t="str">
        <f aca="false">TEXT($A556,"ddd")</f>
        <v>Tue</v>
      </c>
      <c r="E556" s="4" t="n">
        <f aca="false">IF(OR(AND(MONTH($A556)=10,DAY($A556)&gt;=15),MONTH($A556)=11,AND(MONTH($A556)=12,DAY($A556)&lt;=7)),1,0)</f>
        <v>0</v>
      </c>
      <c r="F556" s="4" t="n">
        <f aca="false">IF(MONTH($A556)&lt;=3,1,0)</f>
        <v>0</v>
      </c>
      <c r="G556" s="4" t="str">
        <f aca="false" t="array" ref="G556: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4" t="n">
        <f aca="false">COUNTIF(Events!$A$2:$A$397,$A556)</f>
        <v>0</v>
      </c>
      <c r="I556" s="6" t="str">
        <f aca="false" t="array" ref="I556:I556">_xlfn.TEXTJOIN(" | ",TRUE(),IF(Events!$A$2:$A$397=$A556,Events!$E$2:$E$397&amp;IF(Events!$G$2:$G$397="National",""," ["&amp;Events!$G$2:$G$397&amp;"]"),""))</f>
        <v/>
      </c>
    </row>
    <row r="557" customFormat="false" ht="15" hidden="false" customHeight="true" outlineLevel="0" collapsed="false">
      <c r="A557" s="3" t="n">
        <v>45847</v>
      </c>
      <c r="B557" s="4" t="n">
        <f aca="false">YEAR($A557)</f>
        <v>2025</v>
      </c>
      <c r="C557" s="4" t="n">
        <f aca="false">MONTH($A557)</f>
        <v>7</v>
      </c>
      <c r="D557" s="4" t="str">
        <f aca="false">TEXT($A557,"ddd")</f>
        <v>Wed</v>
      </c>
      <c r="E557" s="4" t="n">
        <f aca="false">IF(OR(AND(MONTH($A557)=10,DAY($A557)&gt;=15),MONTH($A557)=11,AND(MONTH($A557)=12,DAY($A557)&lt;=7)),1,0)</f>
        <v>0</v>
      </c>
      <c r="F557" s="4" t="n">
        <f aca="false">IF(MONTH($A557)&lt;=3,1,0)</f>
        <v>0</v>
      </c>
      <c r="G557" s="4" t="str">
        <f aca="false" t="array" ref="G557: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4" t="n">
        <f aca="false">COUNTIF(Events!$A$2:$A$397,$A557)</f>
        <v>0</v>
      </c>
      <c r="I557" s="6" t="str">
        <f aca="false" t="array" ref="I557:I557">_xlfn.TEXTJOIN(" | ",TRUE(),IF(Events!$A$2:$A$397=$A557,Events!$E$2:$E$397&amp;IF(Events!$G$2:$G$397="National",""," ["&amp;Events!$G$2:$G$397&amp;"]"),""))</f>
        <v/>
      </c>
    </row>
    <row r="558" customFormat="false" ht="15" hidden="false" customHeight="true" outlineLevel="0" collapsed="false">
      <c r="A558" s="3" t="n">
        <v>45848</v>
      </c>
      <c r="B558" s="4" t="n">
        <f aca="false">YEAR($A558)</f>
        <v>2025</v>
      </c>
      <c r="C558" s="4" t="n">
        <f aca="false">MONTH($A558)</f>
        <v>7</v>
      </c>
      <c r="D558" s="4" t="str">
        <f aca="false">TEXT($A558,"ddd")</f>
        <v>Thu</v>
      </c>
      <c r="E558" s="4" t="n">
        <f aca="false">IF(OR(AND(MONTH($A558)=10,DAY($A558)&gt;=15),MONTH($A558)=11,AND(MONTH($A558)=12,DAY($A558)&lt;=7)),1,0)</f>
        <v>0</v>
      </c>
      <c r="F558" s="4" t="n">
        <f aca="false">IF(MONTH($A558)&lt;=3,1,0)</f>
        <v>0</v>
      </c>
      <c r="G558" s="4" t="str">
        <f aca="false" t="array" ref="G558: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4" t="n">
        <f aca="false">COUNTIF(Events!$A$2:$A$397,$A558)</f>
        <v>0</v>
      </c>
      <c r="I558" s="6" t="str">
        <f aca="false" t="array" ref="I558:I558">_xlfn.TEXTJOIN(" | ",TRUE(),IF(Events!$A$2:$A$397=$A558,Events!$E$2:$E$397&amp;IF(Events!$G$2:$G$397="National",""," ["&amp;Events!$G$2:$G$397&amp;"]"),""))</f>
        <v/>
      </c>
    </row>
    <row r="559" customFormat="false" ht="15" hidden="false" customHeight="true" outlineLevel="0" collapsed="false">
      <c r="A559" s="3" t="n">
        <v>45849</v>
      </c>
      <c r="B559" s="4" t="n">
        <f aca="false">YEAR($A559)</f>
        <v>2025</v>
      </c>
      <c r="C559" s="4" t="n">
        <f aca="false">MONTH($A559)</f>
        <v>7</v>
      </c>
      <c r="D559" s="4" t="str">
        <f aca="false">TEXT($A559,"ddd")</f>
        <v>Fri</v>
      </c>
      <c r="E559" s="4" t="n">
        <f aca="false">IF(OR(AND(MONTH($A559)=10,DAY($A559)&gt;=15),MONTH($A559)=11,AND(MONTH($A559)=12,DAY($A559)&lt;=7)),1,0)</f>
        <v>0</v>
      </c>
      <c r="F559" s="4" t="n">
        <f aca="false">IF(MONTH($A559)&lt;=3,1,0)</f>
        <v>0</v>
      </c>
      <c r="G559" s="4" t="str">
        <f aca="false" t="array" ref="G559: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4" t="n">
        <f aca="false">COUNTIF(Events!$A$2:$A$397,$A559)</f>
        <v>0</v>
      </c>
      <c r="I559" s="6" t="str">
        <f aca="false" t="array" ref="I559:I559">_xlfn.TEXTJOIN(" | ",TRUE(),IF(Events!$A$2:$A$397=$A559,Events!$E$2:$E$397&amp;IF(Events!$G$2:$G$397="National",""," ["&amp;Events!$G$2:$G$397&amp;"]"),""))</f>
        <v/>
      </c>
    </row>
    <row r="560" customFormat="false" ht="15" hidden="false" customHeight="true" outlineLevel="0" collapsed="false">
      <c r="A560" s="3" t="n">
        <v>45850</v>
      </c>
      <c r="B560" s="4" t="n">
        <f aca="false">YEAR($A560)</f>
        <v>2025</v>
      </c>
      <c r="C560" s="4" t="n">
        <f aca="false">MONTH($A560)</f>
        <v>7</v>
      </c>
      <c r="D560" s="4" t="str">
        <f aca="false">TEXT($A560,"ddd")</f>
        <v>Sat</v>
      </c>
      <c r="E560" s="4" t="n">
        <f aca="false">IF(OR(AND(MONTH($A560)=10,DAY($A560)&gt;=15),MONTH($A560)=11,AND(MONTH($A560)=12,DAY($A560)&lt;=7)),1,0)</f>
        <v>0</v>
      </c>
      <c r="F560" s="4" t="n">
        <f aca="false">IF(MONTH($A560)&lt;=3,1,0)</f>
        <v>0</v>
      </c>
      <c r="G560" s="4" t="str">
        <f aca="false" t="array" ref="G560: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4" t="n">
        <f aca="false">COUNTIF(Events!$A$2:$A$397,$A560)</f>
        <v>0</v>
      </c>
      <c r="I560" s="6" t="str">
        <f aca="false" t="array" ref="I560:I560">_xlfn.TEXTJOIN(" | ",TRUE(),IF(Events!$A$2:$A$397=$A560,Events!$E$2:$E$397&amp;IF(Events!$G$2:$G$397="National",""," ["&amp;Events!$G$2:$G$397&amp;"]"),""))</f>
        <v/>
      </c>
    </row>
    <row r="561" customFormat="false" ht="15" hidden="false" customHeight="true" outlineLevel="0" collapsed="false">
      <c r="A561" s="3" t="n">
        <v>45851</v>
      </c>
      <c r="B561" s="4" t="n">
        <f aca="false">YEAR($A561)</f>
        <v>2025</v>
      </c>
      <c r="C561" s="4" t="n">
        <f aca="false">MONTH($A561)</f>
        <v>7</v>
      </c>
      <c r="D561" s="4" t="str">
        <f aca="false">TEXT($A561,"ddd")</f>
        <v>Sun</v>
      </c>
      <c r="E561" s="4" t="n">
        <f aca="false">IF(OR(AND(MONTH($A561)=10,DAY($A561)&gt;=15),MONTH($A561)=11,AND(MONTH($A561)=12,DAY($A561)&lt;=7)),1,0)</f>
        <v>0</v>
      </c>
      <c r="F561" s="4" t="n">
        <f aca="false">IF(MONTH($A561)&lt;=3,1,0)</f>
        <v>0</v>
      </c>
      <c r="G561" s="4" t="str">
        <f aca="false" t="array" ref="G561: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4" t="n">
        <f aca="false">COUNTIF(Events!$A$2:$A$397,$A561)</f>
        <v>0</v>
      </c>
      <c r="I561" s="6" t="str">
        <f aca="false" t="array" ref="I561:I561">_xlfn.TEXTJOIN(" | ",TRUE(),IF(Events!$A$2:$A$397=$A561,Events!$E$2:$E$397&amp;IF(Events!$G$2:$G$397="National",""," ["&amp;Events!$G$2:$G$397&amp;"]"),""))</f>
        <v/>
      </c>
    </row>
    <row r="562" customFormat="false" ht="15" hidden="false" customHeight="true" outlineLevel="0" collapsed="false">
      <c r="A562" s="3" t="n">
        <v>45852</v>
      </c>
      <c r="B562" s="4" t="n">
        <f aca="false">YEAR($A562)</f>
        <v>2025</v>
      </c>
      <c r="C562" s="4" t="n">
        <f aca="false">MONTH($A562)</f>
        <v>7</v>
      </c>
      <c r="D562" s="4" t="str">
        <f aca="false">TEXT($A562,"ddd")</f>
        <v>Mon</v>
      </c>
      <c r="E562" s="4" t="n">
        <f aca="false">IF(OR(AND(MONTH($A562)=10,DAY($A562)&gt;=15),MONTH($A562)=11,AND(MONTH($A562)=12,DAY($A562)&lt;=7)),1,0)</f>
        <v>0</v>
      </c>
      <c r="F562" s="4" t="n">
        <f aca="false">IF(MONTH($A562)&lt;=3,1,0)</f>
        <v>0</v>
      </c>
      <c r="G562" s="4" t="str">
        <f aca="false" t="array" ref="G562: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4" t="n">
        <f aca="false">COUNTIF(Events!$A$2:$A$397,$A562)</f>
        <v>0</v>
      </c>
      <c r="I562" s="6" t="str">
        <f aca="false" t="array" ref="I562:I562">_xlfn.TEXTJOIN(" | ",TRUE(),IF(Events!$A$2:$A$397=$A562,Events!$E$2:$E$397&amp;IF(Events!$G$2:$G$397="National",""," ["&amp;Events!$G$2:$G$397&amp;"]"),""))</f>
        <v/>
      </c>
    </row>
    <row r="563" customFormat="false" ht="15" hidden="false" customHeight="true" outlineLevel="0" collapsed="false">
      <c r="A563" s="3" t="n">
        <v>45853</v>
      </c>
      <c r="B563" s="4" t="n">
        <f aca="false">YEAR($A563)</f>
        <v>2025</v>
      </c>
      <c r="C563" s="4" t="n">
        <f aca="false">MONTH($A563)</f>
        <v>7</v>
      </c>
      <c r="D563" s="4" t="str">
        <f aca="false">TEXT($A563,"ddd")</f>
        <v>Tue</v>
      </c>
      <c r="E563" s="4" t="n">
        <f aca="false">IF(OR(AND(MONTH($A563)=10,DAY($A563)&gt;=15),MONTH($A563)=11,AND(MONTH($A563)=12,DAY($A563)&lt;=7)),1,0)</f>
        <v>0</v>
      </c>
      <c r="F563" s="4" t="n">
        <f aca="false">IF(MONTH($A563)&lt;=3,1,0)</f>
        <v>0</v>
      </c>
      <c r="G563" s="4" t="str">
        <f aca="false" t="array" ref="G563: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4" t="n">
        <f aca="false">COUNTIF(Events!$A$2:$A$397,$A563)</f>
        <v>0</v>
      </c>
      <c r="I563" s="6" t="str">
        <f aca="false" t="array" ref="I563:I563">_xlfn.TEXTJOIN(" | ",TRUE(),IF(Events!$A$2:$A$397=$A563,Events!$E$2:$E$397&amp;IF(Events!$G$2:$G$397="National",""," ["&amp;Events!$G$2:$G$397&amp;"]"),""))</f>
        <v/>
      </c>
    </row>
    <row r="564" customFormat="false" ht="15" hidden="false" customHeight="true" outlineLevel="0" collapsed="false">
      <c r="A564" s="3" t="n">
        <v>45854</v>
      </c>
      <c r="B564" s="4" t="n">
        <f aca="false">YEAR($A564)</f>
        <v>2025</v>
      </c>
      <c r="C564" s="4" t="n">
        <f aca="false">MONTH($A564)</f>
        <v>7</v>
      </c>
      <c r="D564" s="4" t="str">
        <f aca="false">TEXT($A564,"ddd")</f>
        <v>Wed</v>
      </c>
      <c r="E564" s="4" t="n">
        <f aca="false">IF(OR(AND(MONTH($A564)=10,DAY($A564)&gt;=15),MONTH($A564)=11,AND(MONTH($A564)=12,DAY($A564)&lt;=7)),1,0)</f>
        <v>0</v>
      </c>
      <c r="F564" s="4" t="n">
        <f aca="false">IF(MONTH($A564)&lt;=3,1,0)</f>
        <v>0</v>
      </c>
      <c r="G564" s="4" t="str">
        <f aca="false" t="array" ref="G564: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4" t="n">
        <f aca="false">COUNTIF(Events!$A$2:$A$397,$A564)</f>
        <v>0</v>
      </c>
      <c r="I564" s="6" t="str">
        <f aca="false" t="array" ref="I564:I564">_xlfn.TEXTJOIN(" | ",TRUE(),IF(Events!$A$2:$A$397=$A564,Events!$E$2:$E$397&amp;IF(Events!$G$2:$G$397="National",""," ["&amp;Events!$G$2:$G$397&amp;"]"),""))</f>
        <v/>
      </c>
    </row>
    <row r="565" customFormat="false" ht="15" hidden="false" customHeight="true" outlineLevel="0" collapsed="false">
      <c r="A565" s="3" t="n">
        <v>45855</v>
      </c>
      <c r="B565" s="4" t="n">
        <f aca="false">YEAR($A565)</f>
        <v>2025</v>
      </c>
      <c r="C565" s="4" t="n">
        <f aca="false">MONTH($A565)</f>
        <v>7</v>
      </c>
      <c r="D565" s="4" t="str">
        <f aca="false">TEXT($A565,"ddd")</f>
        <v>Thu</v>
      </c>
      <c r="E565" s="4" t="n">
        <f aca="false">IF(OR(AND(MONTH($A565)=10,DAY($A565)&gt;=15),MONTH($A565)=11,AND(MONTH($A565)=12,DAY($A565)&lt;=7)),1,0)</f>
        <v>0</v>
      </c>
      <c r="F565" s="4" t="n">
        <f aca="false">IF(MONTH($A565)&lt;=3,1,0)</f>
        <v>0</v>
      </c>
      <c r="G565" s="4" t="str">
        <f aca="false" t="array" ref="G565: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4" t="n">
        <f aca="false">COUNTIF(Events!$A$2:$A$397,$A565)</f>
        <v>0</v>
      </c>
      <c r="I565" s="6" t="str">
        <f aca="false" t="array" ref="I565:I565">_xlfn.TEXTJOIN(" | ",TRUE(),IF(Events!$A$2:$A$397=$A565,Events!$E$2:$E$397&amp;IF(Events!$G$2:$G$397="National",""," ["&amp;Events!$G$2:$G$397&amp;"]"),""))</f>
        <v/>
      </c>
    </row>
    <row r="566" customFormat="false" ht="15" hidden="false" customHeight="true" outlineLevel="0" collapsed="false">
      <c r="A566" s="3" t="n">
        <v>45856</v>
      </c>
      <c r="B566" s="4" t="n">
        <f aca="false">YEAR($A566)</f>
        <v>2025</v>
      </c>
      <c r="C566" s="4" t="n">
        <f aca="false">MONTH($A566)</f>
        <v>7</v>
      </c>
      <c r="D566" s="4" t="str">
        <f aca="false">TEXT($A566,"ddd")</f>
        <v>Fri</v>
      </c>
      <c r="E566" s="4" t="n">
        <f aca="false">IF(OR(AND(MONTH($A566)=10,DAY($A566)&gt;=15),MONTH($A566)=11,AND(MONTH($A566)=12,DAY($A566)&lt;=7)),1,0)</f>
        <v>0</v>
      </c>
      <c r="F566" s="4" t="n">
        <f aca="false">IF(MONTH($A566)&lt;=3,1,0)</f>
        <v>0</v>
      </c>
      <c r="G566" s="4" t="str">
        <f aca="false" t="array" ref="G566: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4" t="n">
        <f aca="false">COUNTIF(Events!$A$2:$A$397,$A566)</f>
        <v>0</v>
      </c>
      <c r="I566" s="6" t="str">
        <f aca="false" t="array" ref="I566:I566">_xlfn.TEXTJOIN(" | ",TRUE(),IF(Events!$A$2:$A$397=$A566,Events!$E$2:$E$397&amp;IF(Events!$G$2:$G$397="National",""," ["&amp;Events!$G$2:$G$397&amp;"]"),""))</f>
        <v/>
      </c>
    </row>
    <row r="567" customFormat="false" ht="15" hidden="false" customHeight="true" outlineLevel="0" collapsed="false">
      <c r="A567" s="3" t="n">
        <v>45857</v>
      </c>
      <c r="B567" s="4" t="n">
        <f aca="false">YEAR($A567)</f>
        <v>2025</v>
      </c>
      <c r="C567" s="4" t="n">
        <f aca="false">MONTH($A567)</f>
        <v>7</v>
      </c>
      <c r="D567" s="4" t="str">
        <f aca="false">TEXT($A567,"ddd")</f>
        <v>Sat</v>
      </c>
      <c r="E567" s="4" t="n">
        <f aca="false">IF(OR(AND(MONTH($A567)=10,DAY($A567)&gt;=15),MONTH($A567)=11,AND(MONTH($A567)=12,DAY($A567)&lt;=7)),1,0)</f>
        <v>0</v>
      </c>
      <c r="F567" s="4" t="n">
        <f aca="false">IF(MONTH($A567)&lt;=3,1,0)</f>
        <v>0</v>
      </c>
      <c r="G567" s="4" t="str">
        <f aca="false" t="array" ref="G567: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4" t="n">
        <f aca="false">COUNTIF(Events!$A$2:$A$397,$A567)</f>
        <v>0</v>
      </c>
      <c r="I567" s="6" t="str">
        <f aca="false" t="array" ref="I567:I567">_xlfn.TEXTJOIN(" | ",TRUE(),IF(Events!$A$2:$A$397=$A567,Events!$E$2:$E$397&amp;IF(Events!$G$2:$G$397="National",""," ["&amp;Events!$G$2:$G$397&amp;"]"),""))</f>
        <v/>
      </c>
    </row>
    <row r="568" customFormat="false" ht="15" hidden="false" customHeight="true" outlineLevel="0" collapsed="false">
      <c r="A568" s="3" t="n">
        <v>45858</v>
      </c>
      <c r="B568" s="4" t="n">
        <f aca="false">YEAR($A568)</f>
        <v>2025</v>
      </c>
      <c r="C568" s="4" t="n">
        <f aca="false">MONTH($A568)</f>
        <v>7</v>
      </c>
      <c r="D568" s="4" t="str">
        <f aca="false">TEXT($A568,"ddd")</f>
        <v>Sun</v>
      </c>
      <c r="E568" s="4" t="n">
        <f aca="false">IF(OR(AND(MONTH($A568)=10,DAY($A568)&gt;=15),MONTH($A568)=11,AND(MONTH($A568)=12,DAY($A568)&lt;=7)),1,0)</f>
        <v>0</v>
      </c>
      <c r="F568" s="4" t="n">
        <f aca="false">IF(MONTH($A568)&lt;=3,1,0)</f>
        <v>0</v>
      </c>
      <c r="G568" s="4" t="str">
        <f aca="false" t="array" ref="G568: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4" t="n">
        <f aca="false">COUNTIF(Events!$A$2:$A$397,$A568)</f>
        <v>0</v>
      </c>
      <c r="I568" s="6" t="str">
        <f aca="false" t="array" ref="I568:I568">_xlfn.TEXTJOIN(" | ",TRUE(),IF(Events!$A$2:$A$397=$A568,Events!$E$2:$E$397&amp;IF(Events!$G$2:$G$397="National",""," ["&amp;Events!$G$2:$G$397&amp;"]"),""))</f>
        <v/>
      </c>
    </row>
    <row r="569" customFormat="false" ht="15" hidden="false" customHeight="true" outlineLevel="0" collapsed="false">
      <c r="A569" s="3" t="n">
        <v>45859</v>
      </c>
      <c r="B569" s="4" t="n">
        <f aca="false">YEAR($A569)</f>
        <v>2025</v>
      </c>
      <c r="C569" s="4" t="n">
        <f aca="false">MONTH($A569)</f>
        <v>7</v>
      </c>
      <c r="D569" s="4" t="str">
        <f aca="false">TEXT($A569,"ddd")</f>
        <v>Mon</v>
      </c>
      <c r="E569" s="4" t="n">
        <f aca="false">IF(OR(AND(MONTH($A569)=10,DAY($A569)&gt;=15),MONTH($A569)=11,AND(MONTH($A569)=12,DAY($A569)&lt;=7)),1,0)</f>
        <v>0</v>
      </c>
      <c r="F569" s="4" t="n">
        <f aca="false">IF(MONTH($A569)&lt;=3,1,0)</f>
        <v>0</v>
      </c>
      <c r="G569" s="4" t="str">
        <f aca="false" t="array" ref="G569: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4" t="n">
        <f aca="false">COUNTIF(Events!$A$2:$A$397,$A569)</f>
        <v>0</v>
      </c>
      <c r="I569" s="6" t="str">
        <f aca="false" t="array" ref="I569:I569">_xlfn.TEXTJOIN(" | ",TRUE(),IF(Events!$A$2:$A$397=$A569,Events!$E$2:$E$397&amp;IF(Events!$G$2:$G$397="National",""," ["&amp;Events!$G$2:$G$397&amp;"]"),""))</f>
        <v/>
      </c>
    </row>
    <row r="570" customFormat="false" ht="15" hidden="false" customHeight="true" outlineLevel="0" collapsed="false">
      <c r="A570" s="3" t="n">
        <v>45860</v>
      </c>
      <c r="B570" s="4" t="n">
        <f aca="false">YEAR($A570)</f>
        <v>2025</v>
      </c>
      <c r="C570" s="4" t="n">
        <f aca="false">MONTH($A570)</f>
        <v>7</v>
      </c>
      <c r="D570" s="4" t="str">
        <f aca="false">TEXT($A570,"ddd")</f>
        <v>Tue</v>
      </c>
      <c r="E570" s="4" t="n">
        <f aca="false">IF(OR(AND(MONTH($A570)=10,DAY($A570)&gt;=15),MONTH($A570)=11,AND(MONTH($A570)=12,DAY($A570)&lt;=7)),1,0)</f>
        <v>0</v>
      </c>
      <c r="F570" s="4" t="n">
        <f aca="false">IF(MONTH($A570)&lt;=3,1,0)</f>
        <v>0</v>
      </c>
      <c r="G570" s="4" t="str">
        <f aca="false" t="array" ref="G570: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4" t="n">
        <f aca="false">COUNTIF(Events!$A$2:$A$397,$A570)</f>
        <v>0</v>
      </c>
      <c r="I570" s="6" t="str">
        <f aca="false" t="array" ref="I570:I570">_xlfn.TEXTJOIN(" | ",TRUE(),IF(Events!$A$2:$A$397=$A570,Events!$E$2:$E$397&amp;IF(Events!$G$2:$G$397="National",""," ["&amp;Events!$G$2:$G$397&amp;"]"),""))</f>
        <v/>
      </c>
    </row>
    <row r="571" customFormat="false" ht="15" hidden="false" customHeight="true" outlineLevel="0" collapsed="false">
      <c r="A571" s="3" t="n">
        <v>45861</v>
      </c>
      <c r="B571" s="4" t="n">
        <f aca="false">YEAR($A571)</f>
        <v>2025</v>
      </c>
      <c r="C571" s="4" t="n">
        <f aca="false">MONTH($A571)</f>
        <v>7</v>
      </c>
      <c r="D571" s="4" t="str">
        <f aca="false">TEXT($A571,"ddd")</f>
        <v>Wed</v>
      </c>
      <c r="E571" s="4" t="n">
        <f aca="false">IF(OR(AND(MONTH($A571)=10,DAY($A571)&gt;=15),MONTH($A571)=11,AND(MONTH($A571)=12,DAY($A571)&lt;=7)),1,0)</f>
        <v>0</v>
      </c>
      <c r="F571" s="4" t="n">
        <f aca="false">IF(MONTH($A571)&lt;=3,1,0)</f>
        <v>0</v>
      </c>
      <c r="G571" s="4" t="str">
        <f aca="false" t="array" ref="G571: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4" t="n">
        <f aca="false">COUNTIF(Events!$A$2:$A$397,$A571)</f>
        <v>0</v>
      </c>
      <c r="I571" s="6" t="str">
        <f aca="false" t="array" ref="I571:I571">_xlfn.TEXTJOIN(" | ",TRUE(),IF(Events!$A$2:$A$397=$A571,Events!$E$2:$E$397&amp;IF(Events!$G$2:$G$397="National",""," ["&amp;Events!$G$2:$G$397&amp;"]"),""))</f>
        <v/>
      </c>
    </row>
    <row r="572" customFormat="false" ht="15" hidden="false" customHeight="true" outlineLevel="0" collapsed="false">
      <c r="A572" s="3" t="n">
        <v>45862</v>
      </c>
      <c r="B572" s="4" t="n">
        <f aca="false">YEAR($A572)</f>
        <v>2025</v>
      </c>
      <c r="C572" s="4" t="n">
        <f aca="false">MONTH($A572)</f>
        <v>7</v>
      </c>
      <c r="D572" s="4" t="str">
        <f aca="false">TEXT($A572,"ddd")</f>
        <v>Thu</v>
      </c>
      <c r="E572" s="4" t="n">
        <f aca="false">IF(OR(AND(MONTH($A572)=10,DAY($A572)&gt;=15),MONTH($A572)=11,AND(MONTH($A572)=12,DAY($A572)&lt;=7)),1,0)</f>
        <v>0</v>
      </c>
      <c r="F572" s="4" t="n">
        <f aca="false">IF(MONTH($A572)&lt;=3,1,0)</f>
        <v>0</v>
      </c>
      <c r="G572" s="4" t="str">
        <f aca="false" t="array" ref="G572: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4" t="n">
        <f aca="false">COUNTIF(Events!$A$2:$A$397,$A572)</f>
        <v>0</v>
      </c>
      <c r="I572" s="6" t="str">
        <f aca="false" t="array" ref="I572:I572">_xlfn.TEXTJOIN(" | ",TRUE(),IF(Events!$A$2:$A$397=$A572,Events!$E$2:$E$397&amp;IF(Events!$G$2:$G$397="National",""," ["&amp;Events!$G$2:$G$397&amp;"]"),""))</f>
        <v/>
      </c>
    </row>
    <row r="573" customFormat="false" ht="15" hidden="false" customHeight="true" outlineLevel="0" collapsed="false">
      <c r="A573" s="3" t="n">
        <v>45863</v>
      </c>
      <c r="B573" s="4" t="n">
        <f aca="false">YEAR($A573)</f>
        <v>2025</v>
      </c>
      <c r="C573" s="4" t="n">
        <f aca="false">MONTH($A573)</f>
        <v>7</v>
      </c>
      <c r="D573" s="4" t="str">
        <f aca="false">TEXT($A573,"ddd")</f>
        <v>Fri</v>
      </c>
      <c r="E573" s="4" t="n">
        <f aca="false">IF(OR(AND(MONTH($A573)=10,DAY($A573)&gt;=15),MONTH($A573)=11,AND(MONTH($A573)=12,DAY($A573)&lt;=7)),1,0)</f>
        <v>0</v>
      </c>
      <c r="F573" s="4" t="n">
        <f aca="false">IF(MONTH($A573)&lt;=3,1,0)</f>
        <v>0</v>
      </c>
      <c r="G573" s="4" t="str">
        <f aca="false" t="array" ref="G573: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4" t="n">
        <f aca="false">COUNTIF(Events!$A$2:$A$397,$A573)</f>
        <v>0</v>
      </c>
      <c r="I573" s="6" t="str">
        <f aca="false" t="array" ref="I573:I573">_xlfn.TEXTJOIN(" | ",TRUE(),IF(Events!$A$2:$A$397=$A573,Events!$E$2:$E$397&amp;IF(Events!$G$2:$G$397="National",""," ["&amp;Events!$G$2:$G$397&amp;"]"),""))</f>
        <v/>
      </c>
    </row>
    <row r="574" customFormat="false" ht="15" hidden="false" customHeight="true" outlineLevel="0" collapsed="false">
      <c r="A574" s="3" t="n">
        <v>45864</v>
      </c>
      <c r="B574" s="4" t="n">
        <f aca="false">YEAR($A574)</f>
        <v>2025</v>
      </c>
      <c r="C574" s="4" t="n">
        <f aca="false">MONTH($A574)</f>
        <v>7</v>
      </c>
      <c r="D574" s="4" t="str">
        <f aca="false">TEXT($A574,"ddd")</f>
        <v>Sat</v>
      </c>
      <c r="E574" s="4" t="n">
        <f aca="false">IF(OR(AND(MONTH($A574)=10,DAY($A574)&gt;=15),MONTH($A574)=11,AND(MONTH($A574)=12,DAY($A574)&lt;=7)),1,0)</f>
        <v>0</v>
      </c>
      <c r="F574" s="4" t="n">
        <f aca="false">IF(MONTH($A574)&lt;=3,1,0)</f>
        <v>0</v>
      </c>
      <c r="G574" s="4" t="str">
        <f aca="false" t="array" ref="G574: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4" t="n">
        <f aca="false">COUNTIF(Events!$A$2:$A$397,$A574)</f>
        <v>0</v>
      </c>
      <c r="I574" s="6" t="str">
        <f aca="false" t="array" ref="I574:I574">_xlfn.TEXTJOIN(" | ",TRUE(),IF(Events!$A$2:$A$397=$A574,Events!$E$2:$E$397&amp;IF(Events!$G$2:$G$397="National",""," ["&amp;Events!$G$2:$G$397&amp;"]"),""))</f>
        <v/>
      </c>
    </row>
    <row r="575" customFormat="false" ht="15" hidden="false" customHeight="true" outlineLevel="0" collapsed="false">
      <c r="A575" s="3" t="n">
        <v>45865</v>
      </c>
      <c r="B575" s="4" t="n">
        <f aca="false">YEAR($A575)</f>
        <v>2025</v>
      </c>
      <c r="C575" s="4" t="n">
        <f aca="false">MONTH($A575)</f>
        <v>7</v>
      </c>
      <c r="D575" s="4" t="str">
        <f aca="false">TEXT($A575,"ddd")</f>
        <v>Sun</v>
      </c>
      <c r="E575" s="4" t="n">
        <f aca="false">IF(OR(AND(MONTH($A575)=10,DAY($A575)&gt;=15),MONTH($A575)=11,AND(MONTH($A575)=12,DAY($A575)&lt;=7)),1,0)</f>
        <v>0</v>
      </c>
      <c r="F575" s="4" t="n">
        <f aca="false">IF(MONTH($A575)&lt;=3,1,0)</f>
        <v>0</v>
      </c>
      <c r="G575" s="4" t="str">
        <f aca="false" t="array" ref="G575: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4" t="n">
        <f aca="false">COUNTIF(Events!$A$2:$A$397,$A575)</f>
        <v>0</v>
      </c>
      <c r="I575" s="6" t="str">
        <f aca="false" t="array" ref="I575:I575">_xlfn.TEXTJOIN(" | ",TRUE(),IF(Events!$A$2:$A$397=$A575,Events!$E$2:$E$397&amp;IF(Events!$G$2:$G$397="National",""," ["&amp;Events!$G$2:$G$397&amp;"]"),""))</f>
        <v/>
      </c>
    </row>
    <row r="576" customFormat="false" ht="15" hidden="false" customHeight="true" outlineLevel="0" collapsed="false">
      <c r="A576" s="3" t="n">
        <v>45866</v>
      </c>
      <c r="B576" s="4" t="n">
        <f aca="false">YEAR($A576)</f>
        <v>2025</v>
      </c>
      <c r="C576" s="4" t="n">
        <f aca="false">MONTH($A576)</f>
        <v>7</v>
      </c>
      <c r="D576" s="4" t="str">
        <f aca="false">TEXT($A576,"ddd")</f>
        <v>Mon</v>
      </c>
      <c r="E576" s="4" t="n">
        <f aca="false">IF(OR(AND(MONTH($A576)=10,DAY($A576)&gt;=15),MONTH($A576)=11,AND(MONTH($A576)=12,DAY($A576)&lt;=7)),1,0)</f>
        <v>0</v>
      </c>
      <c r="F576" s="4" t="n">
        <f aca="false">IF(MONTH($A576)&lt;=3,1,0)</f>
        <v>0</v>
      </c>
      <c r="G576" s="4" t="str">
        <f aca="false" t="array" ref="G576: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4" t="n">
        <f aca="false">COUNTIF(Events!$A$2:$A$397,$A576)</f>
        <v>0</v>
      </c>
      <c r="I576" s="6" t="str">
        <f aca="false" t="array" ref="I576:I576">_xlfn.TEXTJOIN(" | ",TRUE(),IF(Events!$A$2:$A$397=$A576,Events!$E$2:$E$397&amp;IF(Events!$G$2:$G$397="National",""," ["&amp;Events!$G$2:$G$397&amp;"]"),""))</f>
        <v/>
      </c>
    </row>
    <row r="577" customFormat="false" ht="15" hidden="false" customHeight="true" outlineLevel="0" collapsed="false">
      <c r="A577" s="3" t="n">
        <v>45867</v>
      </c>
      <c r="B577" s="4" t="n">
        <f aca="false">YEAR($A577)</f>
        <v>2025</v>
      </c>
      <c r="C577" s="4" t="n">
        <f aca="false">MONTH($A577)</f>
        <v>7</v>
      </c>
      <c r="D577" s="4" t="str">
        <f aca="false">TEXT($A577,"ddd")</f>
        <v>Tue</v>
      </c>
      <c r="E577" s="4" t="n">
        <f aca="false">IF(OR(AND(MONTH($A577)=10,DAY($A577)&gt;=15),MONTH($A577)=11,AND(MONTH($A577)=12,DAY($A577)&lt;=7)),1,0)</f>
        <v>0</v>
      </c>
      <c r="F577" s="4" t="n">
        <f aca="false">IF(MONTH($A577)&lt;=3,1,0)</f>
        <v>0</v>
      </c>
      <c r="G577" s="4" t="str">
        <f aca="false" t="array" ref="G577: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4" t="n">
        <f aca="false">COUNTIF(Events!$A$2:$A$397,$A577)</f>
        <v>0</v>
      </c>
      <c r="I577" s="6" t="str">
        <f aca="false" t="array" ref="I577:I577">_xlfn.TEXTJOIN(" | ",TRUE(),IF(Events!$A$2:$A$397=$A577,Events!$E$2:$E$397&amp;IF(Events!$G$2:$G$397="National",""," ["&amp;Events!$G$2:$G$397&amp;"]"),""))</f>
        <v/>
      </c>
    </row>
    <row r="578" customFormat="false" ht="15" hidden="false" customHeight="true" outlineLevel="0" collapsed="false">
      <c r="A578" s="3" t="n">
        <v>45868</v>
      </c>
      <c r="B578" s="4" t="n">
        <f aca="false">YEAR($A578)</f>
        <v>2025</v>
      </c>
      <c r="C578" s="4" t="n">
        <f aca="false">MONTH($A578)</f>
        <v>7</v>
      </c>
      <c r="D578" s="4" t="str">
        <f aca="false">TEXT($A578,"ddd")</f>
        <v>Wed</v>
      </c>
      <c r="E578" s="4" t="n">
        <f aca="false">IF(OR(AND(MONTH($A578)=10,DAY($A578)&gt;=15),MONTH($A578)=11,AND(MONTH($A578)=12,DAY($A578)&lt;=7)),1,0)</f>
        <v>0</v>
      </c>
      <c r="F578" s="4" t="n">
        <f aca="false">IF(MONTH($A578)&lt;=3,1,0)</f>
        <v>0</v>
      </c>
      <c r="G578" s="4" t="str">
        <f aca="false" t="array" ref="G578: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
      </c>
      <c r="H578" s="4" t="n">
        <f aca="false">COUNTIF(Events!$A$2:$A$397,$A578)</f>
        <v>0</v>
      </c>
      <c r="I578" s="6" t="str">
        <f aca="false" t="array" ref="I578:I578">_xlfn.TEXTJOIN(" | ",TRUE(),IF(Events!$A$2:$A$397=$A578,Events!$E$2:$E$397&amp;IF(Events!$G$2:$G$397="National",""," ["&amp;Events!$G$2:$G$397&amp;"]"),""))</f>
        <v/>
      </c>
    </row>
    <row r="579" customFormat="false" ht="15" hidden="false" customHeight="true" outlineLevel="0" collapsed="false">
      <c r="A579" s="3" t="n">
        <v>45869</v>
      </c>
      <c r="B579" s="4" t="n">
        <f aca="false">YEAR($A579)</f>
        <v>2025</v>
      </c>
      <c r="C579" s="4" t="n">
        <f aca="false">MONTH($A579)</f>
        <v>7</v>
      </c>
      <c r="D579" s="4" t="str">
        <f aca="false">TEXT($A579,"ddd")</f>
        <v>Thu</v>
      </c>
      <c r="E579" s="4" t="n">
        <f aca="false">IF(OR(AND(MONTH($A579)=10,DAY($A579)&gt;=15),MONTH($A579)=11,AND(MONTH($A579)=12,DAY($A579)&lt;=7)),1,0)</f>
        <v>0</v>
      </c>
      <c r="F579" s="4" t="n">
        <f aca="false">IF(MONTH($A579)&lt;=3,1,0)</f>
        <v>0</v>
      </c>
      <c r="G579" s="4" t="str">
        <f aca="false" t="array" ref="G579: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 | 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9" s="4" t="n">
        <f aca="false">COUNTIF(Events!$A$2:$A$397,$A579)</f>
        <v>0</v>
      </c>
      <c r="I579" s="6" t="str">
        <f aca="false" t="array" ref="I579:I579">_xlfn.TEXTJOIN(" | ",TRUE(),IF(Events!$A$2:$A$397=$A579,Events!$E$2:$E$397&amp;IF(Events!$G$2:$G$397="National",""," ["&amp;Events!$G$2:$G$397&amp;"]"),""))</f>
        <v/>
      </c>
    </row>
    <row r="580" customFormat="false" ht="15" hidden="false" customHeight="true" outlineLevel="0" collapsed="false">
      <c r="A580" s="3" t="n">
        <v>45870</v>
      </c>
      <c r="B580" s="4" t="n">
        <f aca="false">YEAR($A580)</f>
        <v>2025</v>
      </c>
      <c r="C580" s="4" t="n">
        <f aca="false">MONTH($A580)</f>
        <v>8</v>
      </c>
      <c r="D580" s="4" t="str">
        <f aca="false">TEXT($A580,"ddd")</f>
        <v>Fri</v>
      </c>
      <c r="E580" s="4" t="n">
        <f aca="false">IF(OR(AND(MONTH($A580)=10,DAY($A580)&gt;=15),MONTH($A580)=11,AND(MONTH($A580)=12,DAY($A580)&lt;=7)),1,0)</f>
        <v>0</v>
      </c>
      <c r="F580" s="4" t="n">
        <f aca="false">IF(MONTH($A580)&lt;=3,1,0)</f>
        <v>0</v>
      </c>
      <c r="G580" s="4" t="str">
        <f aca="false" t="array" ref="G580: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4" t="n">
        <f aca="false">COUNTIF(Events!$A$2:$A$397,$A580)</f>
        <v>0</v>
      </c>
      <c r="I580" s="6" t="str">
        <f aca="false" t="array" ref="I580:I580">_xlfn.TEXTJOIN(" | ",TRUE(),IF(Events!$A$2:$A$397=$A580,Events!$E$2:$E$397&amp;IF(Events!$G$2:$G$397="National",""," ["&amp;Events!$G$2:$G$397&amp;"]"),""))</f>
        <v/>
      </c>
    </row>
    <row r="581" customFormat="false" ht="15" hidden="false" customHeight="true" outlineLevel="0" collapsed="false">
      <c r="A581" s="3" t="n">
        <v>45871</v>
      </c>
      <c r="B581" s="4" t="n">
        <f aca="false">YEAR($A581)</f>
        <v>2025</v>
      </c>
      <c r="C581" s="4" t="n">
        <f aca="false">MONTH($A581)</f>
        <v>8</v>
      </c>
      <c r="D581" s="4" t="str">
        <f aca="false">TEXT($A581,"ddd")</f>
        <v>Sat</v>
      </c>
      <c r="E581" s="4" t="n">
        <f aca="false">IF(OR(AND(MONTH($A581)=10,DAY($A581)&gt;=15),MONTH($A581)=11,AND(MONTH($A581)=12,DAY($A581)&lt;=7)),1,0)</f>
        <v>0</v>
      </c>
      <c r="F581" s="4" t="n">
        <f aca="false">IF(MONTH($A581)&lt;=3,1,0)</f>
        <v>0</v>
      </c>
      <c r="G581" s="4" t="str">
        <f aca="false" t="array" ref="G581: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4" t="n">
        <f aca="false">COUNTIF(Events!$A$2:$A$397,$A581)</f>
        <v>0</v>
      </c>
      <c r="I581" s="6" t="str">
        <f aca="false" t="array" ref="I581:I581">_xlfn.TEXTJOIN(" | ",TRUE(),IF(Events!$A$2:$A$397=$A581,Events!$E$2:$E$397&amp;IF(Events!$G$2:$G$397="National",""," ["&amp;Events!$G$2:$G$397&amp;"]"),""))</f>
        <v/>
      </c>
    </row>
    <row r="582" customFormat="false" ht="15" hidden="false" customHeight="true" outlineLevel="0" collapsed="false">
      <c r="A582" s="3" t="n">
        <v>45872</v>
      </c>
      <c r="B582" s="4" t="n">
        <f aca="false">YEAR($A582)</f>
        <v>2025</v>
      </c>
      <c r="C582" s="4" t="n">
        <f aca="false">MONTH($A582)</f>
        <v>8</v>
      </c>
      <c r="D582" s="4" t="str">
        <f aca="false">TEXT($A582,"ddd")</f>
        <v>Sun</v>
      </c>
      <c r="E582" s="4" t="n">
        <f aca="false">IF(OR(AND(MONTH($A582)=10,DAY($A582)&gt;=15),MONTH($A582)=11,AND(MONTH($A582)=12,DAY($A582)&lt;=7)),1,0)</f>
        <v>0</v>
      </c>
      <c r="F582" s="4" t="n">
        <f aca="false">IF(MONTH($A582)&lt;=3,1,0)</f>
        <v>0</v>
      </c>
      <c r="G582" s="4" t="str">
        <f aca="false" t="array" ref="G582: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4" t="n">
        <f aca="false">COUNTIF(Events!$A$2:$A$397,$A582)</f>
        <v>0</v>
      </c>
      <c r="I582" s="6" t="str">
        <f aca="false" t="array" ref="I582:I582">_xlfn.TEXTJOIN(" | ",TRUE(),IF(Events!$A$2:$A$397=$A582,Events!$E$2:$E$397&amp;IF(Events!$G$2:$G$397="National",""," ["&amp;Events!$G$2:$G$397&amp;"]"),""))</f>
        <v/>
      </c>
    </row>
    <row r="583" customFormat="false" ht="15" hidden="false" customHeight="true" outlineLevel="0" collapsed="false">
      <c r="A583" s="3" t="n">
        <v>45873</v>
      </c>
      <c r="B583" s="4" t="n">
        <f aca="false">YEAR($A583)</f>
        <v>2025</v>
      </c>
      <c r="C583" s="4" t="n">
        <f aca="false">MONTH($A583)</f>
        <v>8</v>
      </c>
      <c r="D583" s="4" t="str">
        <f aca="false">TEXT($A583,"ddd")</f>
        <v>Mon</v>
      </c>
      <c r="E583" s="4" t="n">
        <f aca="false">IF(OR(AND(MONTH($A583)=10,DAY($A583)&gt;=15),MONTH($A583)=11,AND(MONTH($A583)=12,DAY($A583)&lt;=7)),1,0)</f>
        <v>0</v>
      </c>
      <c r="F583" s="4" t="n">
        <f aca="false">IF(MONTH($A583)&lt;=3,1,0)</f>
        <v>0</v>
      </c>
      <c r="G583" s="4" t="str">
        <f aca="false" t="array" ref="G583: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4" t="n">
        <f aca="false">COUNTIF(Events!$A$2:$A$397,$A583)</f>
        <v>0</v>
      </c>
      <c r="I583" s="6" t="str">
        <f aca="false" t="array" ref="I583:I583">_xlfn.TEXTJOIN(" | ",TRUE(),IF(Events!$A$2:$A$397=$A583,Events!$E$2:$E$397&amp;IF(Events!$G$2:$G$397="National",""," ["&amp;Events!$G$2:$G$397&amp;"]"),""))</f>
        <v/>
      </c>
    </row>
    <row r="584" customFormat="false" ht="15" hidden="false" customHeight="true" outlineLevel="0" collapsed="false">
      <c r="A584" s="3" t="n">
        <v>45874</v>
      </c>
      <c r="B584" s="4" t="n">
        <f aca="false">YEAR($A584)</f>
        <v>2025</v>
      </c>
      <c r="C584" s="4" t="n">
        <f aca="false">MONTH($A584)</f>
        <v>8</v>
      </c>
      <c r="D584" s="4" t="str">
        <f aca="false">TEXT($A584,"ddd")</f>
        <v>Tue</v>
      </c>
      <c r="E584" s="4" t="n">
        <f aca="false">IF(OR(AND(MONTH($A584)=10,DAY($A584)&gt;=15),MONTH($A584)=11,AND(MONTH($A584)=12,DAY($A584)&lt;=7)),1,0)</f>
        <v>0</v>
      </c>
      <c r="F584" s="4" t="n">
        <f aca="false">IF(MONTH($A584)&lt;=3,1,0)</f>
        <v>0</v>
      </c>
      <c r="G584" s="4" t="str">
        <f aca="false" t="array" ref="G584: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4" t="n">
        <f aca="false">COUNTIF(Events!$A$2:$A$397,$A584)</f>
        <v>0</v>
      </c>
      <c r="I584" s="6" t="str">
        <f aca="false" t="array" ref="I584:I584">_xlfn.TEXTJOIN(" | ",TRUE(),IF(Events!$A$2:$A$397=$A584,Events!$E$2:$E$397&amp;IF(Events!$G$2:$G$397="National",""," ["&amp;Events!$G$2:$G$397&amp;"]"),""))</f>
        <v/>
      </c>
    </row>
    <row r="585" customFormat="false" ht="15" hidden="false" customHeight="true" outlineLevel="0" collapsed="false">
      <c r="A585" s="3" t="n">
        <v>45875</v>
      </c>
      <c r="B585" s="4" t="n">
        <f aca="false">YEAR($A585)</f>
        <v>2025</v>
      </c>
      <c r="C585" s="4" t="n">
        <f aca="false">MONTH($A585)</f>
        <v>8</v>
      </c>
      <c r="D585" s="4" t="str">
        <f aca="false">TEXT($A585,"ddd")</f>
        <v>Wed</v>
      </c>
      <c r="E585" s="4" t="n">
        <f aca="false">IF(OR(AND(MONTH($A585)=10,DAY($A585)&gt;=15),MONTH($A585)=11,AND(MONTH($A585)=12,DAY($A585)&lt;=7)),1,0)</f>
        <v>0</v>
      </c>
      <c r="F585" s="4" t="n">
        <f aca="false">IF(MONTH($A585)&lt;=3,1,0)</f>
        <v>0</v>
      </c>
      <c r="G585" s="4" t="str">
        <f aca="false" t="array" ref="G585: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4" t="n">
        <f aca="false">COUNTIF(Events!$A$2:$A$397,$A585)</f>
        <v>0</v>
      </c>
      <c r="I585" s="6" t="str">
        <f aca="false" t="array" ref="I585:I585">_xlfn.TEXTJOIN(" | ",TRUE(),IF(Events!$A$2:$A$397=$A585,Events!$E$2:$E$397&amp;IF(Events!$G$2:$G$397="National",""," ["&amp;Events!$G$2:$G$397&amp;"]"),""))</f>
        <v/>
      </c>
    </row>
    <row r="586" customFormat="false" ht="15" hidden="false" customHeight="true" outlineLevel="0" collapsed="false">
      <c r="A586" s="3" t="n">
        <v>45876</v>
      </c>
      <c r="B586" s="4" t="n">
        <f aca="false">YEAR($A586)</f>
        <v>2025</v>
      </c>
      <c r="C586" s="4" t="n">
        <f aca="false">MONTH($A586)</f>
        <v>8</v>
      </c>
      <c r="D586" s="4" t="str">
        <f aca="false">TEXT($A586,"ddd")</f>
        <v>Thu</v>
      </c>
      <c r="E586" s="4" t="n">
        <f aca="false">IF(OR(AND(MONTH($A586)=10,DAY($A586)&gt;=15),MONTH($A586)=11,AND(MONTH($A586)=12,DAY($A586)&lt;=7)),1,0)</f>
        <v>0</v>
      </c>
      <c r="F586" s="4" t="n">
        <f aca="false">IF(MONTH($A586)&lt;=3,1,0)</f>
        <v>0</v>
      </c>
      <c r="G586" s="4" t="str">
        <f aca="false" t="array" ref="G586: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4" t="n">
        <f aca="false">COUNTIF(Events!$A$2:$A$397,$A586)</f>
        <v>0</v>
      </c>
      <c r="I586" s="6" t="str">
        <f aca="false" t="array" ref="I586:I586">_xlfn.TEXTJOIN(" | ",TRUE(),IF(Events!$A$2:$A$397=$A586,Events!$E$2:$E$397&amp;IF(Events!$G$2:$G$397="National",""," ["&amp;Events!$G$2:$G$397&amp;"]"),""))</f>
        <v/>
      </c>
    </row>
    <row r="587" customFormat="false" ht="15" hidden="false" customHeight="true" outlineLevel="0" collapsed="false">
      <c r="A587" s="3" t="n">
        <v>45877</v>
      </c>
      <c r="B587" s="4" t="n">
        <f aca="false">YEAR($A587)</f>
        <v>2025</v>
      </c>
      <c r="C587" s="4" t="n">
        <f aca="false">MONTH($A587)</f>
        <v>8</v>
      </c>
      <c r="D587" s="4" t="str">
        <f aca="false">TEXT($A587,"ddd")</f>
        <v>Fri</v>
      </c>
      <c r="E587" s="4" t="n">
        <f aca="false">IF(OR(AND(MONTH($A587)=10,DAY($A587)&gt;=15),MONTH($A587)=11,AND(MONTH($A587)=12,DAY($A587)&lt;=7)),1,0)</f>
        <v>0</v>
      </c>
      <c r="F587" s="4" t="n">
        <f aca="false">IF(MONTH($A587)&lt;=3,1,0)</f>
        <v>0</v>
      </c>
      <c r="G587" s="4" t="str">
        <f aca="false" t="array" ref="G587: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4" t="n">
        <f aca="false">COUNTIF(Events!$A$2:$A$397,$A587)</f>
        <v>0</v>
      </c>
      <c r="I587" s="6" t="str">
        <f aca="false" t="array" ref="I587:I587">_xlfn.TEXTJOIN(" | ",TRUE(),IF(Events!$A$2:$A$397=$A587,Events!$E$2:$E$397&amp;IF(Events!$G$2:$G$397="National",""," ["&amp;Events!$G$2:$G$397&amp;"]"),""))</f>
        <v/>
      </c>
    </row>
    <row r="588" customFormat="false" ht="15" hidden="false" customHeight="true" outlineLevel="0" collapsed="false">
      <c r="A588" s="3" t="n">
        <v>45878</v>
      </c>
      <c r="B588" s="4" t="n">
        <f aca="false">YEAR($A588)</f>
        <v>2025</v>
      </c>
      <c r="C588" s="4" t="n">
        <f aca="false">MONTH($A588)</f>
        <v>8</v>
      </c>
      <c r="D588" s="4" t="str">
        <f aca="false">TEXT($A588,"ddd")</f>
        <v>Sat</v>
      </c>
      <c r="E588" s="4" t="n">
        <f aca="false">IF(OR(AND(MONTH($A588)=10,DAY($A588)&gt;=15),MONTH($A588)=11,AND(MONTH($A588)=12,DAY($A588)&lt;=7)),1,0)</f>
        <v>0</v>
      </c>
      <c r="F588" s="4" t="n">
        <f aca="false">IF(MONTH($A588)&lt;=3,1,0)</f>
        <v>0</v>
      </c>
      <c r="G588" s="4" t="str">
        <f aca="false" t="array" ref="G588: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4" t="n">
        <f aca="false">COUNTIF(Events!$A$2:$A$397,$A588)</f>
        <v>0</v>
      </c>
      <c r="I588" s="6" t="str">
        <f aca="false" t="array" ref="I588:I588">_xlfn.TEXTJOIN(" | ",TRUE(),IF(Events!$A$2:$A$397=$A588,Events!$E$2:$E$397&amp;IF(Events!$G$2:$G$397="National",""," ["&amp;Events!$G$2:$G$397&amp;"]"),""))</f>
        <v/>
      </c>
    </row>
    <row r="589" customFormat="false" ht="15" hidden="false" customHeight="true" outlineLevel="0" collapsed="false">
      <c r="A589" s="3" t="n">
        <v>45879</v>
      </c>
      <c r="B589" s="4" t="n">
        <f aca="false">YEAR($A589)</f>
        <v>2025</v>
      </c>
      <c r="C589" s="4" t="n">
        <f aca="false">MONTH($A589)</f>
        <v>8</v>
      </c>
      <c r="D589" s="4" t="str">
        <f aca="false">TEXT($A589,"ddd")</f>
        <v>Sun</v>
      </c>
      <c r="E589" s="4" t="n">
        <f aca="false">IF(OR(AND(MONTH($A589)=10,DAY($A589)&gt;=15),MONTH($A589)=11,AND(MONTH($A589)=12,DAY($A589)&lt;=7)),1,0)</f>
        <v>0</v>
      </c>
      <c r="F589" s="4" t="n">
        <f aca="false">IF(MONTH($A589)&lt;=3,1,0)</f>
        <v>0</v>
      </c>
      <c r="G589" s="4" t="str">
        <f aca="false" t="array" ref="G589: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4" t="n">
        <f aca="false">COUNTIF(Events!$A$2:$A$397,$A589)</f>
        <v>0</v>
      </c>
      <c r="I589" s="6" t="str">
        <f aca="false" t="array" ref="I589:I589">_xlfn.TEXTJOIN(" | ",TRUE(),IF(Events!$A$2:$A$397=$A589,Events!$E$2:$E$397&amp;IF(Events!$G$2:$G$397="National",""," ["&amp;Events!$G$2:$G$397&amp;"]"),""))</f>
        <v/>
      </c>
    </row>
    <row r="590" customFormat="false" ht="15" hidden="false" customHeight="true" outlineLevel="0" collapsed="false">
      <c r="A590" s="3" t="n">
        <v>45880</v>
      </c>
      <c r="B590" s="4" t="n">
        <f aca="false">YEAR($A590)</f>
        <v>2025</v>
      </c>
      <c r="C590" s="4" t="n">
        <f aca="false">MONTH($A590)</f>
        <v>8</v>
      </c>
      <c r="D590" s="4" t="str">
        <f aca="false">TEXT($A590,"ddd")</f>
        <v>Mon</v>
      </c>
      <c r="E590" s="4" t="n">
        <f aca="false">IF(OR(AND(MONTH($A590)=10,DAY($A590)&gt;=15),MONTH($A590)=11,AND(MONTH($A590)=12,DAY($A590)&lt;=7)),1,0)</f>
        <v>0</v>
      </c>
      <c r="F590" s="4" t="n">
        <f aca="false">IF(MONTH($A590)&lt;=3,1,0)</f>
        <v>0</v>
      </c>
      <c r="G590" s="4" t="str">
        <f aca="false" t="array" ref="G590: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4" t="n">
        <f aca="false">COUNTIF(Events!$A$2:$A$397,$A590)</f>
        <v>0</v>
      </c>
      <c r="I590" s="6" t="str">
        <f aca="false" t="array" ref="I590:I590">_xlfn.TEXTJOIN(" | ",TRUE(),IF(Events!$A$2:$A$397=$A590,Events!$E$2:$E$397&amp;IF(Events!$G$2:$G$397="National",""," ["&amp;Events!$G$2:$G$397&amp;"]"),""))</f>
        <v/>
      </c>
    </row>
    <row r="591" customFormat="false" ht="15" hidden="false" customHeight="true" outlineLevel="0" collapsed="false">
      <c r="A591" s="3" t="n">
        <v>45881</v>
      </c>
      <c r="B591" s="4" t="n">
        <f aca="false">YEAR($A591)</f>
        <v>2025</v>
      </c>
      <c r="C591" s="4" t="n">
        <f aca="false">MONTH($A591)</f>
        <v>8</v>
      </c>
      <c r="D591" s="4" t="str">
        <f aca="false">TEXT($A591,"ddd")</f>
        <v>Tue</v>
      </c>
      <c r="E591" s="4" t="n">
        <f aca="false">IF(OR(AND(MONTH($A591)=10,DAY($A591)&gt;=15),MONTH($A591)=11,AND(MONTH($A591)=12,DAY($A591)&lt;=7)),1,0)</f>
        <v>0</v>
      </c>
      <c r="F591" s="4" t="n">
        <f aca="false">IF(MONTH($A591)&lt;=3,1,0)</f>
        <v>0</v>
      </c>
      <c r="G591" s="4" t="str">
        <f aca="false" t="array" ref="G591: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4" t="n">
        <f aca="false">COUNTIF(Events!$A$2:$A$397,$A591)</f>
        <v>0</v>
      </c>
      <c r="I591" s="6" t="str">
        <f aca="false" t="array" ref="I591:I591">_xlfn.TEXTJOIN(" | ",TRUE(),IF(Events!$A$2:$A$397=$A591,Events!$E$2:$E$397&amp;IF(Events!$G$2:$G$397="National",""," ["&amp;Events!$G$2:$G$397&amp;"]"),""))</f>
        <v/>
      </c>
    </row>
    <row r="592" customFormat="false" ht="15" hidden="false" customHeight="true" outlineLevel="0" collapsed="false">
      <c r="A592" s="3" t="n">
        <v>45882</v>
      </c>
      <c r="B592" s="4" t="n">
        <f aca="false">YEAR($A592)</f>
        <v>2025</v>
      </c>
      <c r="C592" s="4" t="n">
        <f aca="false">MONTH($A592)</f>
        <v>8</v>
      </c>
      <c r="D592" s="4" t="str">
        <f aca="false">TEXT($A592,"ddd")</f>
        <v>Wed</v>
      </c>
      <c r="E592" s="4" t="n">
        <f aca="false">IF(OR(AND(MONTH($A592)=10,DAY($A592)&gt;=15),MONTH($A592)=11,AND(MONTH($A592)=12,DAY($A592)&lt;=7)),1,0)</f>
        <v>0</v>
      </c>
      <c r="F592" s="4" t="n">
        <f aca="false">IF(MONTH($A592)&lt;=3,1,0)</f>
        <v>0</v>
      </c>
      <c r="G592" s="4" t="str">
        <f aca="false" t="array" ref="G592: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4" t="n">
        <f aca="false">COUNTIF(Events!$A$2:$A$397,$A592)</f>
        <v>0</v>
      </c>
      <c r="I592" s="6" t="str">
        <f aca="false" t="array" ref="I592:I592">_xlfn.TEXTJOIN(" | ",TRUE(),IF(Events!$A$2:$A$397=$A592,Events!$E$2:$E$397&amp;IF(Events!$G$2:$G$397="National",""," ["&amp;Events!$G$2:$G$397&amp;"]"),""))</f>
        <v/>
      </c>
    </row>
    <row r="593" customFormat="false" ht="15" hidden="false" customHeight="true" outlineLevel="0" collapsed="false">
      <c r="A593" s="3" t="n">
        <v>45883</v>
      </c>
      <c r="B593" s="4" t="n">
        <f aca="false">YEAR($A593)</f>
        <v>2025</v>
      </c>
      <c r="C593" s="4" t="n">
        <f aca="false">MONTH($A593)</f>
        <v>8</v>
      </c>
      <c r="D593" s="4" t="str">
        <f aca="false">TEXT($A593,"ddd")</f>
        <v>Thu</v>
      </c>
      <c r="E593" s="4" t="n">
        <f aca="false">IF(OR(AND(MONTH($A593)=10,DAY($A593)&gt;=15),MONTH($A593)=11,AND(MONTH($A593)=12,DAY($A593)&lt;=7)),1,0)</f>
        <v>0</v>
      </c>
      <c r="F593" s="4" t="n">
        <f aca="false">IF(MONTH($A593)&lt;=3,1,0)</f>
        <v>0</v>
      </c>
      <c r="G593" s="4" t="str">
        <f aca="false" t="array" ref="G593: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4" t="n">
        <f aca="false">COUNTIF(Events!$A$2:$A$397,$A593)</f>
        <v>0</v>
      </c>
      <c r="I593" s="6" t="str">
        <f aca="false" t="array" ref="I593:I593">_xlfn.TEXTJOIN(" | ",TRUE(),IF(Events!$A$2:$A$397=$A593,Events!$E$2:$E$397&amp;IF(Events!$G$2:$G$397="National",""," ["&amp;Events!$G$2:$G$397&amp;"]"),""))</f>
        <v/>
      </c>
    </row>
    <row r="594" customFormat="false" ht="15" hidden="false" customHeight="true" outlineLevel="0" collapsed="false">
      <c r="A594" s="3" t="n">
        <v>45884</v>
      </c>
      <c r="B594" s="4" t="n">
        <f aca="false">YEAR($A594)</f>
        <v>2025</v>
      </c>
      <c r="C594" s="4" t="n">
        <f aca="false">MONTH($A594)</f>
        <v>8</v>
      </c>
      <c r="D594" s="4" t="str">
        <f aca="false">TEXT($A594,"ddd")</f>
        <v>Fri</v>
      </c>
      <c r="E594" s="4" t="n">
        <f aca="false">IF(OR(AND(MONTH($A594)=10,DAY($A594)&gt;=15),MONTH($A594)=11,AND(MONTH($A594)=12,DAY($A594)&lt;=7)),1,0)</f>
        <v>0</v>
      </c>
      <c r="F594" s="4" t="n">
        <f aca="false">IF(MONTH($A594)&lt;=3,1,0)</f>
        <v>0</v>
      </c>
      <c r="G594" s="4" t="str">
        <f aca="false" t="array" ref="G594: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4" t="n">
        <f aca="false">COUNTIF(Events!$A$2:$A$397,$A594)</f>
        <v>0</v>
      </c>
      <c r="I594" s="6" t="str">
        <f aca="false" t="array" ref="I594:I594">_xlfn.TEXTJOIN(" | ",TRUE(),IF(Events!$A$2:$A$397=$A594,Events!$E$2:$E$397&amp;IF(Events!$G$2:$G$397="National",""," ["&amp;Events!$G$2:$G$397&amp;"]"),""))</f>
        <v/>
      </c>
    </row>
    <row r="595" customFormat="false" ht="15" hidden="false" customHeight="true" outlineLevel="0" collapsed="false">
      <c r="A595" s="3" t="n">
        <v>45885</v>
      </c>
      <c r="B595" s="4" t="n">
        <f aca="false">YEAR($A595)</f>
        <v>2025</v>
      </c>
      <c r="C595" s="4" t="n">
        <f aca="false">MONTH($A595)</f>
        <v>8</v>
      </c>
      <c r="D595" s="4" t="str">
        <f aca="false">TEXT($A595,"ddd")</f>
        <v>Sat</v>
      </c>
      <c r="E595" s="4" t="n">
        <f aca="false">IF(OR(AND(MONTH($A595)=10,DAY($A595)&gt;=15),MONTH($A595)=11,AND(MONTH($A595)=12,DAY($A595)&lt;=7)),1,0)</f>
        <v>0</v>
      </c>
      <c r="F595" s="4" t="n">
        <f aca="false">IF(MONTH($A595)&lt;=3,1,0)</f>
        <v>0</v>
      </c>
      <c r="G595" s="4" t="str">
        <f aca="false" t="array" ref="G595: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4" t="n">
        <f aca="false">COUNTIF(Events!$A$2:$A$397,$A595)</f>
        <v>0</v>
      </c>
      <c r="I595" s="6" t="str">
        <f aca="false" t="array" ref="I595:I595">_xlfn.TEXTJOIN(" | ",TRUE(),IF(Events!$A$2:$A$397=$A595,Events!$E$2:$E$397&amp;IF(Events!$G$2:$G$397="National",""," ["&amp;Events!$G$2:$G$397&amp;"]"),""))</f>
        <v/>
      </c>
    </row>
    <row r="596" customFormat="false" ht="15" hidden="false" customHeight="true" outlineLevel="0" collapsed="false">
      <c r="A596" s="3" t="n">
        <v>45886</v>
      </c>
      <c r="B596" s="4" t="n">
        <f aca="false">YEAR($A596)</f>
        <v>2025</v>
      </c>
      <c r="C596" s="4" t="n">
        <f aca="false">MONTH($A596)</f>
        <v>8</v>
      </c>
      <c r="D596" s="4" t="str">
        <f aca="false">TEXT($A596,"ddd")</f>
        <v>Sun</v>
      </c>
      <c r="E596" s="4" t="n">
        <f aca="false">IF(OR(AND(MONTH($A596)=10,DAY($A596)&gt;=15),MONTH($A596)=11,AND(MONTH($A596)=12,DAY($A596)&lt;=7)),1,0)</f>
        <v>0</v>
      </c>
      <c r="F596" s="4" t="n">
        <f aca="false">IF(MONTH($A596)&lt;=3,1,0)</f>
        <v>0</v>
      </c>
      <c r="G596" s="4" t="str">
        <f aca="false" t="array" ref="G596: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4" t="n">
        <f aca="false">COUNTIF(Events!$A$2:$A$397,$A596)</f>
        <v>0</v>
      </c>
      <c r="I596" s="6" t="str">
        <f aca="false" t="array" ref="I596:I596">_xlfn.TEXTJOIN(" | ",TRUE(),IF(Events!$A$2:$A$397=$A596,Events!$E$2:$E$397&amp;IF(Events!$G$2:$G$397="National",""," ["&amp;Events!$G$2:$G$397&amp;"]"),""))</f>
        <v/>
      </c>
    </row>
    <row r="597" customFormat="false" ht="15" hidden="false" customHeight="true" outlineLevel="0" collapsed="false">
      <c r="A597" s="3" t="n">
        <v>45887</v>
      </c>
      <c r="B597" s="4" t="n">
        <f aca="false">YEAR($A597)</f>
        <v>2025</v>
      </c>
      <c r="C597" s="4" t="n">
        <f aca="false">MONTH($A597)</f>
        <v>8</v>
      </c>
      <c r="D597" s="4" t="str">
        <f aca="false">TEXT($A597,"ddd")</f>
        <v>Mon</v>
      </c>
      <c r="E597" s="4" t="n">
        <f aca="false">IF(OR(AND(MONTH($A597)=10,DAY($A597)&gt;=15),MONTH($A597)=11,AND(MONTH($A597)=12,DAY($A597)&lt;=7)),1,0)</f>
        <v>0</v>
      </c>
      <c r="F597" s="4" t="n">
        <f aca="false">IF(MONTH($A597)&lt;=3,1,0)</f>
        <v>0</v>
      </c>
      <c r="G597" s="4" t="str">
        <f aca="false" t="array" ref="G597: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4" t="n">
        <f aca="false">COUNTIF(Events!$A$2:$A$397,$A597)</f>
        <v>1</v>
      </c>
      <c r="I597" s="6" t="str">
        <f aca="false" t="array" ref="I597:I597">_xlfn.TEXTJOIN(" | ",TRUE(),IF(Events!$A$2:$A$397=$A597,Events!$E$2:$E$397&amp;IF(Events!$G$2:$G$397="National",""," ["&amp;Events!$G$2:$G$397&amp;"]"),""))</f>
        <v>N.D. Tex. vacates the CY2025 rule's fixed-fee and FMO contract-terms provisions outright (upholds the beneficiary data-consent restriction) - broker-compensation reform dead, not just paused, heading into AEP 2026 (ruling week of 8/18/2025)</v>
      </c>
    </row>
    <row r="598" customFormat="false" ht="15" hidden="false" customHeight="true" outlineLevel="0" collapsed="false">
      <c r="A598" s="3" t="n">
        <v>45888</v>
      </c>
      <c r="B598" s="4" t="n">
        <f aca="false">YEAR($A598)</f>
        <v>2025</v>
      </c>
      <c r="C598" s="4" t="n">
        <f aca="false">MONTH($A598)</f>
        <v>8</v>
      </c>
      <c r="D598" s="4" t="str">
        <f aca="false">TEXT($A598,"ddd")</f>
        <v>Tue</v>
      </c>
      <c r="E598" s="4" t="n">
        <f aca="false">IF(OR(AND(MONTH($A598)=10,DAY($A598)&gt;=15),MONTH($A598)=11,AND(MONTH($A598)=12,DAY($A598)&lt;=7)),1,0)</f>
        <v>0</v>
      </c>
      <c r="F598" s="4" t="n">
        <f aca="false">IF(MONTH($A598)&lt;=3,1,0)</f>
        <v>0</v>
      </c>
      <c r="G598" s="4" t="str">
        <f aca="false" t="array" ref="G598: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4" t="n">
        <f aca="false">COUNTIF(Events!$A$2:$A$397,$A598)</f>
        <v>0</v>
      </c>
      <c r="I598" s="6" t="str">
        <f aca="false" t="array" ref="I598:I598">_xlfn.TEXTJOIN(" | ",TRUE(),IF(Events!$A$2:$A$397=$A598,Events!$E$2:$E$397&amp;IF(Events!$G$2:$G$397="National",""," ["&amp;Events!$G$2:$G$397&amp;"]"),""))</f>
        <v/>
      </c>
    </row>
    <row r="599" customFormat="false" ht="15" hidden="false" customHeight="true" outlineLevel="0" collapsed="false">
      <c r="A599" s="3" t="n">
        <v>45889</v>
      </c>
      <c r="B599" s="4" t="n">
        <f aca="false">YEAR($A599)</f>
        <v>2025</v>
      </c>
      <c r="C599" s="4" t="n">
        <f aca="false">MONTH($A599)</f>
        <v>8</v>
      </c>
      <c r="D599" s="4" t="str">
        <f aca="false">TEXT($A599,"ddd")</f>
        <v>Wed</v>
      </c>
      <c r="E599" s="4" t="n">
        <f aca="false">IF(OR(AND(MONTH($A599)=10,DAY($A599)&gt;=15),MONTH($A599)=11,AND(MONTH($A599)=12,DAY($A599)&lt;=7)),1,0)</f>
        <v>0</v>
      </c>
      <c r="F599" s="4" t="n">
        <f aca="false">IF(MONTH($A599)&lt;=3,1,0)</f>
        <v>0</v>
      </c>
      <c r="G599" s="4" t="str">
        <f aca="false" t="array" ref="G599: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4" t="n">
        <f aca="false">COUNTIF(Events!$A$2:$A$397,$A599)</f>
        <v>0</v>
      </c>
      <c r="I599" s="6" t="str">
        <f aca="false" t="array" ref="I599:I599">_xlfn.TEXTJOIN(" | ",TRUE(),IF(Events!$A$2:$A$397=$A599,Events!$E$2:$E$397&amp;IF(Events!$G$2:$G$397="National",""," ["&amp;Events!$G$2:$G$397&amp;"]"),""))</f>
        <v/>
      </c>
    </row>
    <row r="600" customFormat="false" ht="15" hidden="false" customHeight="true" outlineLevel="0" collapsed="false">
      <c r="A600" s="3" t="n">
        <v>45890</v>
      </c>
      <c r="B600" s="4" t="n">
        <f aca="false">YEAR($A600)</f>
        <v>2025</v>
      </c>
      <c r="C600" s="4" t="n">
        <f aca="false">MONTH($A600)</f>
        <v>8</v>
      </c>
      <c r="D600" s="4" t="str">
        <f aca="false">TEXT($A600,"ddd")</f>
        <v>Thu</v>
      </c>
      <c r="E600" s="4" t="n">
        <f aca="false">IF(OR(AND(MONTH($A600)=10,DAY($A600)&gt;=15),MONTH($A600)=11,AND(MONTH($A600)=12,DAY($A600)&lt;=7)),1,0)</f>
        <v>0</v>
      </c>
      <c r="F600" s="4" t="n">
        <f aca="false">IF(MONTH($A600)&lt;=3,1,0)</f>
        <v>0</v>
      </c>
      <c r="G600" s="4" t="str">
        <f aca="false" t="array" ref="G600: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4" t="n">
        <f aca="false">COUNTIF(Events!$A$2:$A$397,$A600)</f>
        <v>0</v>
      </c>
      <c r="I600" s="6" t="str">
        <f aca="false" t="array" ref="I600:I600">_xlfn.TEXTJOIN(" | ",TRUE(),IF(Events!$A$2:$A$397=$A600,Events!$E$2:$E$397&amp;IF(Events!$G$2:$G$397="National",""," ["&amp;Events!$G$2:$G$397&amp;"]"),""))</f>
        <v/>
      </c>
    </row>
    <row r="601" customFormat="false" ht="15" hidden="false" customHeight="true" outlineLevel="0" collapsed="false">
      <c r="A601" s="3" t="n">
        <v>45891</v>
      </c>
      <c r="B601" s="4" t="n">
        <f aca="false">YEAR($A601)</f>
        <v>2025</v>
      </c>
      <c r="C601" s="4" t="n">
        <f aca="false">MONTH($A601)</f>
        <v>8</v>
      </c>
      <c r="D601" s="4" t="str">
        <f aca="false">TEXT($A601,"ddd")</f>
        <v>Fri</v>
      </c>
      <c r="E601" s="4" t="n">
        <f aca="false">IF(OR(AND(MONTH($A601)=10,DAY($A601)&gt;=15),MONTH($A601)=11,AND(MONTH($A601)=12,DAY($A601)&lt;=7)),1,0)</f>
        <v>0</v>
      </c>
      <c r="F601" s="4" t="n">
        <f aca="false">IF(MONTH($A601)&lt;=3,1,0)</f>
        <v>0</v>
      </c>
      <c r="G601" s="4" t="str">
        <f aca="false" t="array" ref="G601: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4" t="n">
        <f aca="false">COUNTIF(Events!$A$2:$A$397,$A601)</f>
        <v>0</v>
      </c>
      <c r="I601" s="6" t="str">
        <f aca="false" t="array" ref="I601:I601">_xlfn.TEXTJOIN(" | ",TRUE(),IF(Events!$A$2:$A$397=$A601,Events!$E$2:$E$397&amp;IF(Events!$G$2:$G$397="National",""," ["&amp;Events!$G$2:$G$397&amp;"]"),""))</f>
        <v/>
      </c>
    </row>
    <row r="602" customFormat="false" ht="15" hidden="false" customHeight="true" outlineLevel="0" collapsed="false">
      <c r="A602" s="3" t="n">
        <v>45892</v>
      </c>
      <c r="B602" s="4" t="n">
        <f aca="false">YEAR($A602)</f>
        <v>2025</v>
      </c>
      <c r="C602" s="4" t="n">
        <f aca="false">MONTH($A602)</f>
        <v>8</v>
      </c>
      <c r="D602" s="4" t="str">
        <f aca="false">TEXT($A602,"ddd")</f>
        <v>Sat</v>
      </c>
      <c r="E602" s="4" t="n">
        <f aca="false">IF(OR(AND(MONTH($A602)=10,DAY($A602)&gt;=15),MONTH($A602)=11,AND(MONTH($A602)=12,DAY($A602)&lt;=7)),1,0)</f>
        <v>0</v>
      </c>
      <c r="F602" s="4" t="n">
        <f aca="false">IF(MONTH($A602)&lt;=3,1,0)</f>
        <v>0</v>
      </c>
      <c r="G602" s="4" t="str">
        <f aca="false" t="array" ref="G602: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4" t="n">
        <f aca="false">COUNTIF(Events!$A$2:$A$397,$A602)</f>
        <v>0</v>
      </c>
      <c r="I602" s="6" t="str">
        <f aca="false" t="array" ref="I602:I602">_xlfn.TEXTJOIN(" | ",TRUE(),IF(Events!$A$2:$A$397=$A602,Events!$E$2:$E$397&amp;IF(Events!$G$2:$G$397="National",""," ["&amp;Events!$G$2:$G$397&amp;"]"),""))</f>
        <v/>
      </c>
    </row>
    <row r="603" customFormat="false" ht="15" hidden="false" customHeight="true" outlineLevel="0" collapsed="false">
      <c r="A603" s="3" t="n">
        <v>45893</v>
      </c>
      <c r="B603" s="4" t="n">
        <f aca="false">YEAR($A603)</f>
        <v>2025</v>
      </c>
      <c r="C603" s="4" t="n">
        <f aca="false">MONTH($A603)</f>
        <v>8</v>
      </c>
      <c r="D603" s="4" t="str">
        <f aca="false">TEXT($A603,"ddd")</f>
        <v>Sun</v>
      </c>
      <c r="E603" s="4" t="n">
        <f aca="false">IF(OR(AND(MONTH($A603)=10,DAY($A603)&gt;=15),MONTH($A603)=11,AND(MONTH($A603)=12,DAY($A603)&lt;=7)),1,0)</f>
        <v>0</v>
      </c>
      <c r="F603" s="4" t="n">
        <f aca="false">IF(MONTH($A603)&lt;=3,1,0)</f>
        <v>0</v>
      </c>
      <c r="G603" s="4" t="str">
        <f aca="false" t="array" ref="G603: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4" t="n">
        <f aca="false">COUNTIF(Events!$A$2:$A$397,$A603)</f>
        <v>0</v>
      </c>
      <c r="I603" s="6" t="str">
        <f aca="false" t="array" ref="I603:I603">_xlfn.TEXTJOIN(" | ",TRUE(),IF(Events!$A$2:$A$397=$A603,Events!$E$2:$E$397&amp;IF(Events!$G$2:$G$397="National",""," ["&amp;Events!$G$2:$G$397&amp;"]"),""))</f>
        <v/>
      </c>
    </row>
    <row r="604" customFormat="false" ht="15" hidden="false" customHeight="true" outlineLevel="0" collapsed="false">
      <c r="A604" s="3" t="n">
        <v>45894</v>
      </c>
      <c r="B604" s="4" t="n">
        <f aca="false">YEAR($A604)</f>
        <v>2025</v>
      </c>
      <c r="C604" s="4" t="n">
        <f aca="false">MONTH($A604)</f>
        <v>8</v>
      </c>
      <c r="D604" s="4" t="str">
        <f aca="false">TEXT($A604,"ddd")</f>
        <v>Mon</v>
      </c>
      <c r="E604" s="4" t="n">
        <f aca="false">IF(OR(AND(MONTH($A604)=10,DAY($A604)&gt;=15),MONTH($A604)=11,AND(MONTH($A604)=12,DAY($A604)&lt;=7)),1,0)</f>
        <v>0</v>
      </c>
      <c r="F604" s="4" t="n">
        <f aca="false">IF(MONTH($A604)&lt;=3,1,0)</f>
        <v>0</v>
      </c>
      <c r="G604" s="4" t="str">
        <f aca="false" t="array" ref="G604: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4" t="n">
        <f aca="false">COUNTIF(Events!$A$2:$A$397,$A604)</f>
        <v>0</v>
      </c>
      <c r="I604" s="6" t="str">
        <f aca="false" t="array" ref="I604:I604">_xlfn.TEXTJOIN(" | ",TRUE(),IF(Events!$A$2:$A$397=$A604,Events!$E$2:$E$397&amp;IF(Events!$G$2:$G$397="National",""," ["&amp;Events!$G$2:$G$397&amp;"]"),""))</f>
        <v/>
      </c>
    </row>
    <row r="605" customFormat="false" ht="15" hidden="false" customHeight="true" outlineLevel="0" collapsed="false">
      <c r="A605" s="3" t="n">
        <v>45895</v>
      </c>
      <c r="B605" s="4" t="n">
        <f aca="false">YEAR($A605)</f>
        <v>2025</v>
      </c>
      <c r="C605" s="4" t="n">
        <f aca="false">MONTH($A605)</f>
        <v>8</v>
      </c>
      <c r="D605" s="4" t="str">
        <f aca="false">TEXT($A605,"ddd")</f>
        <v>Tue</v>
      </c>
      <c r="E605" s="4" t="n">
        <f aca="false">IF(OR(AND(MONTH($A605)=10,DAY($A605)&gt;=15),MONTH($A605)=11,AND(MONTH($A605)=12,DAY($A605)&lt;=7)),1,0)</f>
        <v>0</v>
      </c>
      <c r="F605" s="4" t="n">
        <f aca="false">IF(MONTH($A605)&lt;=3,1,0)</f>
        <v>0</v>
      </c>
      <c r="G605" s="4" t="str">
        <f aca="false" t="array" ref="G605: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4" t="n">
        <f aca="false">COUNTIF(Events!$A$2:$A$397,$A605)</f>
        <v>0</v>
      </c>
      <c r="I605" s="6" t="str">
        <f aca="false" t="array" ref="I605:I605">_xlfn.TEXTJOIN(" | ",TRUE(),IF(Events!$A$2:$A$397=$A605,Events!$E$2:$E$397&amp;IF(Events!$G$2:$G$397="National",""," ["&amp;Events!$G$2:$G$397&amp;"]"),""))</f>
        <v/>
      </c>
    </row>
    <row r="606" customFormat="false" ht="15" hidden="false" customHeight="true" outlineLevel="0" collapsed="false">
      <c r="A606" s="3" t="n">
        <v>45896</v>
      </c>
      <c r="B606" s="4" t="n">
        <f aca="false">YEAR($A606)</f>
        <v>2025</v>
      </c>
      <c r="C606" s="4" t="n">
        <f aca="false">MONTH($A606)</f>
        <v>8</v>
      </c>
      <c r="D606" s="4" t="str">
        <f aca="false">TEXT($A606,"ddd")</f>
        <v>Wed</v>
      </c>
      <c r="E606" s="4" t="n">
        <f aca="false">IF(OR(AND(MONTH($A606)=10,DAY($A606)&gt;=15),MONTH($A606)=11,AND(MONTH($A606)=12,DAY($A606)&lt;=7)),1,0)</f>
        <v>0</v>
      </c>
      <c r="F606" s="4" t="n">
        <f aca="false">IF(MONTH($A606)&lt;=3,1,0)</f>
        <v>0</v>
      </c>
      <c r="G606" s="4" t="str">
        <f aca="false" t="array" ref="G606: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4" t="n">
        <f aca="false">COUNTIF(Events!$A$2:$A$397,$A606)</f>
        <v>0</v>
      </c>
      <c r="I606" s="6" t="str">
        <f aca="false" t="array" ref="I606:I606">_xlfn.TEXTJOIN(" | ",TRUE(),IF(Events!$A$2:$A$397=$A606,Events!$E$2:$E$397&amp;IF(Events!$G$2:$G$397="National",""," ["&amp;Events!$G$2:$G$397&amp;"]"),""))</f>
        <v/>
      </c>
    </row>
    <row r="607" customFormat="false" ht="15" hidden="false" customHeight="true" outlineLevel="0" collapsed="false">
      <c r="A607" s="3" t="n">
        <v>45897</v>
      </c>
      <c r="B607" s="4" t="n">
        <f aca="false">YEAR($A607)</f>
        <v>2025</v>
      </c>
      <c r="C607" s="4" t="n">
        <f aca="false">MONTH($A607)</f>
        <v>8</v>
      </c>
      <c r="D607" s="4" t="str">
        <f aca="false">TEXT($A607,"ddd")</f>
        <v>Thu</v>
      </c>
      <c r="E607" s="4" t="n">
        <f aca="false">IF(OR(AND(MONTH($A607)=10,DAY($A607)&gt;=15),MONTH($A607)=11,AND(MONTH($A607)=12,DAY($A607)&lt;=7)),1,0)</f>
        <v>0</v>
      </c>
      <c r="F607" s="4" t="n">
        <f aca="false">IF(MONTH($A607)&lt;=3,1,0)</f>
        <v>0</v>
      </c>
      <c r="G607" s="4" t="str">
        <f aca="false" t="array" ref="G607: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4" t="n">
        <f aca="false">COUNTIF(Events!$A$2:$A$397,$A607)</f>
        <v>0</v>
      </c>
      <c r="I607" s="6" t="str">
        <f aca="false" t="array" ref="I607:I607">_xlfn.TEXTJOIN(" | ",TRUE(),IF(Events!$A$2:$A$397=$A607,Events!$E$2:$E$397&amp;IF(Events!$G$2:$G$397="National",""," ["&amp;Events!$G$2:$G$397&amp;"]"),""))</f>
        <v/>
      </c>
    </row>
    <row r="608" customFormat="false" ht="15" hidden="false" customHeight="true" outlineLevel="0" collapsed="false">
      <c r="A608" s="3" t="n">
        <v>45898</v>
      </c>
      <c r="B608" s="4" t="n">
        <f aca="false">YEAR($A608)</f>
        <v>2025</v>
      </c>
      <c r="C608" s="4" t="n">
        <f aca="false">MONTH($A608)</f>
        <v>8</v>
      </c>
      <c r="D608" s="4" t="str">
        <f aca="false">TEXT($A608,"ddd")</f>
        <v>Fri</v>
      </c>
      <c r="E608" s="4" t="n">
        <f aca="false">IF(OR(AND(MONTH($A608)=10,DAY($A608)&gt;=15),MONTH($A608)=11,AND(MONTH($A608)=12,DAY($A608)&lt;=7)),1,0)</f>
        <v>0</v>
      </c>
      <c r="F608" s="4" t="n">
        <f aca="false">IF(MONTH($A608)&lt;=3,1,0)</f>
        <v>0</v>
      </c>
      <c r="G608" s="4" t="str">
        <f aca="false" t="array" ref="G608: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
      </c>
      <c r="H608" s="4" t="n">
        <f aca="false">COUNTIF(Events!$A$2:$A$397,$A608)</f>
        <v>0</v>
      </c>
      <c r="I608" s="6" t="str">
        <f aca="false" t="array" ref="I608:I608">_xlfn.TEXTJOIN(" | ",TRUE(),IF(Events!$A$2:$A$397=$A608,Events!$E$2:$E$397&amp;IF(Events!$G$2:$G$397="National",""," ["&amp;Events!$G$2:$G$397&amp;"]"),""))</f>
        <v/>
      </c>
    </row>
    <row r="609" customFormat="false" ht="15" hidden="false" customHeight="true" outlineLevel="0" collapsed="false">
      <c r="A609" s="3" t="n">
        <v>45899</v>
      </c>
      <c r="B609" s="4" t="n">
        <f aca="false">YEAR($A609)</f>
        <v>2025</v>
      </c>
      <c r="C609" s="4" t="n">
        <f aca="false">MONTH($A609)</f>
        <v>8</v>
      </c>
      <c r="D609" s="4" t="str">
        <f aca="false">TEXT($A609,"ddd")</f>
        <v>Sat</v>
      </c>
      <c r="E609" s="4" t="n">
        <f aca="false">IF(OR(AND(MONTH($A609)=10,DAY($A609)&gt;=15),MONTH($A609)=11,AND(MONTH($A609)=12,DAY($A609)&lt;=7)),1,0)</f>
        <v>0</v>
      </c>
      <c r="F609" s="4" t="n">
        <f aca="false">IF(MONTH($A609)&lt;=3,1,0)</f>
        <v>0</v>
      </c>
      <c r="G609" s="4" t="str">
        <f aca="false" t="array" ref="G609: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4" t="n">
        <f aca="false">COUNTIF(Events!$A$2:$A$397,$A609)</f>
        <v>0</v>
      </c>
      <c r="I609" s="6" t="str">
        <f aca="false" t="array" ref="I609:I609">_xlfn.TEXTJOIN(" | ",TRUE(),IF(Events!$A$2:$A$397=$A609,Events!$E$2:$E$397&amp;IF(Events!$G$2:$G$397="National",""," ["&amp;Events!$G$2:$G$397&amp;"]"),""))</f>
        <v/>
      </c>
    </row>
    <row r="610" customFormat="false" ht="15" hidden="false" customHeight="true" outlineLevel="0" collapsed="false">
      <c r="A610" s="3" t="n">
        <v>45900</v>
      </c>
      <c r="B610" s="4" t="n">
        <f aca="false">YEAR($A610)</f>
        <v>2025</v>
      </c>
      <c r="C610" s="4" t="n">
        <f aca="false">MONTH($A610)</f>
        <v>8</v>
      </c>
      <c r="D610" s="4" t="str">
        <f aca="false">TEXT($A610,"ddd")</f>
        <v>Sun</v>
      </c>
      <c r="E610" s="4" t="n">
        <f aca="false">IF(OR(AND(MONTH($A610)=10,DAY($A610)&gt;=15),MONTH($A610)=11,AND(MONTH($A610)=12,DAY($A610)&lt;=7)),1,0)</f>
        <v>0</v>
      </c>
      <c r="F610" s="4" t="n">
        <f aca="false">IF(MONTH($A610)&lt;=3,1,0)</f>
        <v>0</v>
      </c>
      <c r="G610" s="4" t="str">
        <f aca="false" t="array" ref="G610: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 | 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10" s="4" t="n">
        <f aca="false">COUNTIF(Events!$A$2:$A$397,$A610)</f>
        <v>0</v>
      </c>
      <c r="I610" s="6" t="str">
        <f aca="false" t="array" ref="I610:I610">_xlfn.TEXTJOIN(" | ",TRUE(),IF(Events!$A$2:$A$397=$A610,Events!$E$2:$E$397&amp;IF(Events!$G$2:$G$397="National",""," ["&amp;Events!$G$2:$G$397&amp;"]"),""))</f>
        <v/>
      </c>
    </row>
    <row r="611" customFormat="false" ht="15" hidden="false" customHeight="true" outlineLevel="0" collapsed="false">
      <c r="A611" s="3" t="n">
        <v>45901</v>
      </c>
      <c r="B611" s="4" t="n">
        <f aca="false">YEAR($A611)</f>
        <v>2025</v>
      </c>
      <c r="C611" s="4" t="n">
        <f aca="false">MONTH($A611)</f>
        <v>9</v>
      </c>
      <c r="D611" s="4" t="str">
        <f aca="false">TEXT($A611,"ddd")</f>
        <v>Mon</v>
      </c>
      <c r="E611" s="4" t="n">
        <f aca="false">IF(OR(AND(MONTH($A611)=10,DAY($A611)&gt;=15),MONTH($A611)=11,AND(MONTH($A611)=12,DAY($A611)&lt;=7)),1,0)</f>
        <v>0</v>
      </c>
      <c r="F611" s="4" t="n">
        <f aca="false">IF(MONTH($A611)&lt;=3,1,0)</f>
        <v>0</v>
      </c>
      <c r="G611" s="4" t="str">
        <f aca="false" t="array" ref="G611: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4" t="n">
        <f aca="false">COUNTIF(Events!$A$2:$A$397,$A611)</f>
        <v>0</v>
      </c>
      <c r="I611" s="6" t="str">
        <f aca="false" t="array" ref="I611:I611">_xlfn.TEXTJOIN(" | ",TRUE(),IF(Events!$A$2:$A$397=$A611,Events!$E$2:$E$397&amp;IF(Events!$G$2:$G$397="National",""," ["&amp;Events!$G$2:$G$397&amp;"]"),""))</f>
        <v/>
      </c>
    </row>
    <row r="612" customFormat="false" ht="15" hidden="false" customHeight="true" outlineLevel="0" collapsed="false">
      <c r="A612" s="3" t="n">
        <v>45902</v>
      </c>
      <c r="B612" s="4" t="n">
        <f aca="false">YEAR($A612)</f>
        <v>2025</v>
      </c>
      <c r="C612" s="4" t="n">
        <f aca="false">MONTH($A612)</f>
        <v>9</v>
      </c>
      <c r="D612" s="4" t="str">
        <f aca="false">TEXT($A612,"ddd")</f>
        <v>Tue</v>
      </c>
      <c r="E612" s="4" t="n">
        <f aca="false">IF(OR(AND(MONTH($A612)=10,DAY($A612)&gt;=15),MONTH($A612)=11,AND(MONTH($A612)=12,DAY($A612)&lt;=7)),1,0)</f>
        <v>0</v>
      </c>
      <c r="F612" s="4" t="n">
        <f aca="false">IF(MONTH($A612)&lt;=3,1,0)</f>
        <v>0</v>
      </c>
      <c r="G612" s="4" t="str">
        <f aca="false" t="array" ref="G612: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4" t="n">
        <f aca="false">COUNTIF(Events!$A$2:$A$397,$A612)</f>
        <v>0</v>
      </c>
      <c r="I612" s="6" t="str">
        <f aca="false" t="array" ref="I612:I612">_xlfn.TEXTJOIN(" | ",TRUE(),IF(Events!$A$2:$A$397=$A612,Events!$E$2:$E$397&amp;IF(Events!$G$2:$G$397="National",""," ["&amp;Events!$G$2:$G$397&amp;"]"),""))</f>
        <v/>
      </c>
    </row>
    <row r="613" customFormat="false" ht="15" hidden="false" customHeight="true" outlineLevel="0" collapsed="false">
      <c r="A613" s="3" t="n">
        <v>45903</v>
      </c>
      <c r="B613" s="4" t="n">
        <f aca="false">YEAR($A613)</f>
        <v>2025</v>
      </c>
      <c r="C613" s="4" t="n">
        <f aca="false">MONTH($A613)</f>
        <v>9</v>
      </c>
      <c r="D613" s="4" t="str">
        <f aca="false">TEXT($A613,"ddd")</f>
        <v>Wed</v>
      </c>
      <c r="E613" s="4" t="n">
        <f aca="false">IF(OR(AND(MONTH($A613)=10,DAY($A613)&gt;=15),MONTH($A613)=11,AND(MONTH($A613)=12,DAY($A613)&lt;=7)),1,0)</f>
        <v>0</v>
      </c>
      <c r="F613" s="4" t="n">
        <f aca="false">IF(MONTH($A613)&lt;=3,1,0)</f>
        <v>0</v>
      </c>
      <c r="G613" s="4" t="str">
        <f aca="false" t="array" ref="G613: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4" t="n">
        <f aca="false">COUNTIF(Events!$A$2:$A$397,$A613)</f>
        <v>0</v>
      </c>
      <c r="I613" s="6" t="str">
        <f aca="false" t="array" ref="I613:I613">_xlfn.TEXTJOIN(" | ",TRUE(),IF(Events!$A$2:$A$397=$A613,Events!$E$2:$E$397&amp;IF(Events!$G$2:$G$397="National",""," ["&amp;Events!$G$2:$G$397&amp;"]"),""))</f>
        <v/>
      </c>
    </row>
    <row r="614" customFormat="false" ht="15" hidden="false" customHeight="true" outlineLevel="0" collapsed="false">
      <c r="A614" s="3" t="n">
        <v>45904</v>
      </c>
      <c r="B614" s="4" t="n">
        <f aca="false">YEAR($A614)</f>
        <v>2025</v>
      </c>
      <c r="C614" s="4" t="n">
        <f aca="false">MONTH($A614)</f>
        <v>9</v>
      </c>
      <c r="D614" s="4" t="str">
        <f aca="false">TEXT($A614,"ddd")</f>
        <v>Thu</v>
      </c>
      <c r="E614" s="4" t="n">
        <f aca="false">IF(OR(AND(MONTH($A614)=10,DAY($A614)&gt;=15),MONTH($A614)=11,AND(MONTH($A614)=12,DAY($A614)&lt;=7)),1,0)</f>
        <v>0</v>
      </c>
      <c r="F614" s="4" t="n">
        <f aca="false">IF(MONTH($A614)&lt;=3,1,0)</f>
        <v>0</v>
      </c>
      <c r="G614" s="4" t="str">
        <f aca="false" t="array" ref="G614: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4" t="n">
        <f aca="false">COUNTIF(Events!$A$2:$A$397,$A614)</f>
        <v>0</v>
      </c>
      <c r="I614" s="6" t="str">
        <f aca="false" t="array" ref="I614:I614">_xlfn.TEXTJOIN(" | ",TRUE(),IF(Events!$A$2:$A$397=$A614,Events!$E$2:$E$397&amp;IF(Events!$G$2:$G$397="National",""," ["&amp;Events!$G$2:$G$397&amp;"]"),""))</f>
        <v/>
      </c>
    </row>
    <row r="615" customFormat="false" ht="15" hidden="false" customHeight="true" outlineLevel="0" collapsed="false">
      <c r="A615" s="3" t="n">
        <v>45905</v>
      </c>
      <c r="B615" s="4" t="n">
        <f aca="false">YEAR($A615)</f>
        <v>2025</v>
      </c>
      <c r="C615" s="4" t="n">
        <f aca="false">MONTH($A615)</f>
        <v>9</v>
      </c>
      <c r="D615" s="4" t="str">
        <f aca="false">TEXT($A615,"ddd")</f>
        <v>Fri</v>
      </c>
      <c r="E615" s="4" t="n">
        <f aca="false">IF(OR(AND(MONTH($A615)=10,DAY($A615)&gt;=15),MONTH($A615)=11,AND(MONTH($A615)=12,DAY($A615)&lt;=7)),1,0)</f>
        <v>0</v>
      </c>
      <c r="F615" s="4" t="n">
        <f aca="false">IF(MONTH($A615)&lt;=3,1,0)</f>
        <v>0</v>
      </c>
      <c r="G615" s="4" t="str">
        <f aca="false" t="array" ref="G615: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4" t="n">
        <f aca="false">COUNTIF(Events!$A$2:$A$397,$A615)</f>
        <v>0</v>
      </c>
      <c r="I615" s="6" t="str">
        <f aca="false" t="array" ref="I615:I615">_xlfn.TEXTJOIN(" | ",TRUE(),IF(Events!$A$2:$A$397=$A615,Events!$E$2:$E$397&amp;IF(Events!$G$2:$G$397="National",""," ["&amp;Events!$G$2:$G$397&amp;"]"),""))</f>
        <v/>
      </c>
    </row>
    <row r="616" customFormat="false" ht="15" hidden="false" customHeight="true" outlineLevel="0" collapsed="false">
      <c r="A616" s="3" t="n">
        <v>45906</v>
      </c>
      <c r="B616" s="4" t="n">
        <f aca="false">YEAR($A616)</f>
        <v>2025</v>
      </c>
      <c r="C616" s="4" t="n">
        <f aca="false">MONTH($A616)</f>
        <v>9</v>
      </c>
      <c r="D616" s="4" t="str">
        <f aca="false">TEXT($A616,"ddd")</f>
        <v>Sat</v>
      </c>
      <c r="E616" s="4" t="n">
        <f aca="false">IF(OR(AND(MONTH($A616)=10,DAY($A616)&gt;=15),MONTH($A616)=11,AND(MONTH($A616)=12,DAY($A616)&lt;=7)),1,0)</f>
        <v>0</v>
      </c>
      <c r="F616" s="4" t="n">
        <f aca="false">IF(MONTH($A616)&lt;=3,1,0)</f>
        <v>0</v>
      </c>
      <c r="G616" s="4" t="str">
        <f aca="false" t="array" ref="G616: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4" t="n">
        <f aca="false">COUNTIF(Events!$A$2:$A$397,$A616)</f>
        <v>0</v>
      </c>
      <c r="I616" s="6" t="str">
        <f aca="false" t="array" ref="I616:I616">_xlfn.TEXTJOIN(" | ",TRUE(),IF(Events!$A$2:$A$397=$A616,Events!$E$2:$E$397&amp;IF(Events!$G$2:$G$397="National",""," ["&amp;Events!$G$2:$G$397&amp;"]"),""))</f>
        <v/>
      </c>
    </row>
    <row r="617" customFormat="false" ht="15" hidden="false" customHeight="true" outlineLevel="0" collapsed="false">
      <c r="A617" s="3" t="n">
        <v>45907</v>
      </c>
      <c r="B617" s="4" t="n">
        <f aca="false">YEAR($A617)</f>
        <v>2025</v>
      </c>
      <c r="C617" s="4" t="n">
        <f aca="false">MONTH($A617)</f>
        <v>9</v>
      </c>
      <c r="D617" s="4" t="str">
        <f aca="false">TEXT($A617,"ddd")</f>
        <v>Sun</v>
      </c>
      <c r="E617" s="4" t="n">
        <f aca="false">IF(OR(AND(MONTH($A617)=10,DAY($A617)&gt;=15),MONTH($A617)=11,AND(MONTH($A617)=12,DAY($A617)&lt;=7)),1,0)</f>
        <v>0</v>
      </c>
      <c r="F617" s="4" t="n">
        <f aca="false">IF(MONTH($A617)&lt;=3,1,0)</f>
        <v>0</v>
      </c>
      <c r="G617" s="4" t="str">
        <f aca="false" t="array" ref="G617: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4" t="n">
        <f aca="false">COUNTIF(Events!$A$2:$A$397,$A617)</f>
        <v>0</v>
      </c>
      <c r="I617" s="6" t="str">
        <f aca="false" t="array" ref="I617:I617">_xlfn.TEXTJOIN(" | ",TRUE(),IF(Events!$A$2:$A$397=$A617,Events!$E$2:$E$397&amp;IF(Events!$G$2:$G$397="National",""," ["&amp;Events!$G$2:$G$397&amp;"]"),""))</f>
        <v/>
      </c>
    </row>
    <row r="618" customFormat="false" ht="15" hidden="false" customHeight="true" outlineLevel="0" collapsed="false">
      <c r="A618" s="3" t="n">
        <v>45908</v>
      </c>
      <c r="B618" s="4" t="n">
        <f aca="false">YEAR($A618)</f>
        <v>2025</v>
      </c>
      <c r="C618" s="4" t="n">
        <f aca="false">MONTH($A618)</f>
        <v>9</v>
      </c>
      <c r="D618" s="4" t="str">
        <f aca="false">TEXT($A618,"ddd")</f>
        <v>Mon</v>
      </c>
      <c r="E618" s="4" t="n">
        <f aca="false">IF(OR(AND(MONTH($A618)=10,DAY($A618)&gt;=15),MONTH($A618)=11,AND(MONTH($A618)=12,DAY($A618)&lt;=7)),1,0)</f>
        <v>0</v>
      </c>
      <c r="F618" s="4" t="n">
        <f aca="false">IF(MONTH($A618)&lt;=3,1,0)</f>
        <v>0</v>
      </c>
      <c r="G618" s="4" t="str">
        <f aca="false" t="array" ref="G618: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4" t="n">
        <f aca="false">COUNTIF(Events!$A$2:$A$397,$A618)</f>
        <v>0</v>
      </c>
      <c r="I618" s="6" t="str">
        <f aca="false" t="array" ref="I618:I618">_xlfn.TEXTJOIN(" | ",TRUE(),IF(Events!$A$2:$A$397=$A618,Events!$E$2:$E$397&amp;IF(Events!$G$2:$G$397="National",""," ["&amp;Events!$G$2:$G$397&amp;"]"),""))</f>
        <v/>
      </c>
    </row>
    <row r="619" customFormat="false" ht="15" hidden="false" customHeight="true" outlineLevel="0" collapsed="false">
      <c r="A619" s="3" t="n">
        <v>45909</v>
      </c>
      <c r="B619" s="4" t="n">
        <f aca="false">YEAR($A619)</f>
        <v>2025</v>
      </c>
      <c r="C619" s="4" t="n">
        <f aca="false">MONTH($A619)</f>
        <v>9</v>
      </c>
      <c r="D619" s="4" t="str">
        <f aca="false">TEXT($A619,"ddd")</f>
        <v>Tue</v>
      </c>
      <c r="E619" s="4" t="n">
        <f aca="false">IF(OR(AND(MONTH($A619)=10,DAY($A619)&gt;=15),MONTH($A619)=11,AND(MONTH($A619)=12,DAY($A619)&lt;=7)),1,0)</f>
        <v>0</v>
      </c>
      <c r="F619" s="4" t="n">
        <f aca="false">IF(MONTH($A619)&lt;=3,1,0)</f>
        <v>0</v>
      </c>
      <c r="G619" s="4" t="str">
        <f aca="false" t="array" ref="G619: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4" t="n">
        <f aca="false">COUNTIF(Events!$A$2:$A$397,$A619)</f>
        <v>0</v>
      </c>
      <c r="I619" s="6" t="str">
        <f aca="false" t="array" ref="I619:I619">_xlfn.TEXTJOIN(" | ",TRUE(),IF(Events!$A$2:$A$397=$A619,Events!$E$2:$E$397&amp;IF(Events!$G$2:$G$397="National",""," ["&amp;Events!$G$2:$G$397&amp;"]"),""))</f>
        <v/>
      </c>
    </row>
    <row r="620" customFormat="false" ht="15" hidden="false" customHeight="true" outlineLevel="0" collapsed="false">
      <c r="A620" s="3" t="n">
        <v>45910</v>
      </c>
      <c r="B620" s="4" t="n">
        <f aca="false">YEAR($A620)</f>
        <v>2025</v>
      </c>
      <c r="C620" s="4" t="n">
        <f aca="false">MONTH($A620)</f>
        <v>9</v>
      </c>
      <c r="D620" s="4" t="str">
        <f aca="false">TEXT($A620,"ddd")</f>
        <v>Wed</v>
      </c>
      <c r="E620" s="4" t="n">
        <f aca="false">IF(OR(AND(MONTH($A620)=10,DAY($A620)&gt;=15),MONTH($A620)=11,AND(MONTH($A620)=12,DAY($A620)&lt;=7)),1,0)</f>
        <v>0</v>
      </c>
      <c r="F620" s="4" t="n">
        <f aca="false">IF(MONTH($A620)&lt;=3,1,0)</f>
        <v>0</v>
      </c>
      <c r="G620" s="4" t="str">
        <f aca="false" t="array" ref="G620: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4" t="n">
        <f aca="false">COUNTIF(Events!$A$2:$A$397,$A620)</f>
        <v>0</v>
      </c>
      <c r="I620" s="6" t="str">
        <f aca="false" t="array" ref="I620:I620">_xlfn.TEXTJOIN(" | ",TRUE(),IF(Events!$A$2:$A$397=$A620,Events!$E$2:$E$397&amp;IF(Events!$G$2:$G$397="National",""," ["&amp;Events!$G$2:$G$397&amp;"]"),""))</f>
        <v/>
      </c>
    </row>
    <row r="621" customFormat="false" ht="15" hidden="false" customHeight="true" outlineLevel="0" collapsed="false">
      <c r="A621" s="3" t="n">
        <v>45911</v>
      </c>
      <c r="B621" s="4" t="n">
        <f aca="false">YEAR($A621)</f>
        <v>2025</v>
      </c>
      <c r="C621" s="4" t="n">
        <f aca="false">MONTH($A621)</f>
        <v>9</v>
      </c>
      <c r="D621" s="4" t="str">
        <f aca="false">TEXT($A621,"ddd")</f>
        <v>Thu</v>
      </c>
      <c r="E621" s="4" t="n">
        <f aca="false">IF(OR(AND(MONTH($A621)=10,DAY($A621)&gt;=15),MONTH($A621)=11,AND(MONTH($A621)=12,DAY($A621)&lt;=7)),1,0)</f>
        <v>0</v>
      </c>
      <c r="F621" s="4" t="n">
        <f aca="false">IF(MONTH($A621)&lt;=3,1,0)</f>
        <v>0</v>
      </c>
      <c r="G621" s="4" t="str">
        <f aca="false" t="array" ref="G621: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4" t="n">
        <f aca="false">COUNTIF(Events!$A$2:$A$397,$A621)</f>
        <v>0</v>
      </c>
      <c r="I621" s="6" t="str">
        <f aca="false" t="array" ref="I621:I621">_xlfn.TEXTJOIN(" | ",TRUE(),IF(Events!$A$2:$A$397=$A621,Events!$E$2:$E$397&amp;IF(Events!$G$2:$G$397="National",""," ["&amp;Events!$G$2:$G$397&amp;"]"),""))</f>
        <v/>
      </c>
    </row>
    <row r="622" customFormat="false" ht="15" hidden="false" customHeight="true" outlineLevel="0" collapsed="false">
      <c r="A622" s="3" t="n">
        <v>45912</v>
      </c>
      <c r="B622" s="4" t="n">
        <f aca="false">YEAR($A622)</f>
        <v>2025</v>
      </c>
      <c r="C622" s="4" t="n">
        <f aca="false">MONTH($A622)</f>
        <v>9</v>
      </c>
      <c r="D622" s="4" t="str">
        <f aca="false">TEXT($A622,"ddd")</f>
        <v>Fri</v>
      </c>
      <c r="E622" s="4" t="n">
        <f aca="false">IF(OR(AND(MONTH($A622)=10,DAY($A622)&gt;=15),MONTH($A622)=11,AND(MONTH($A622)=12,DAY($A622)&lt;=7)),1,0)</f>
        <v>0</v>
      </c>
      <c r="F622" s="4" t="n">
        <f aca="false">IF(MONTH($A622)&lt;=3,1,0)</f>
        <v>0</v>
      </c>
      <c r="G622" s="4" t="str">
        <f aca="false" t="array" ref="G622: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4" t="n">
        <f aca="false">COUNTIF(Events!$A$2:$A$397,$A622)</f>
        <v>0</v>
      </c>
      <c r="I622" s="6" t="str">
        <f aca="false" t="array" ref="I622:I622">_xlfn.TEXTJOIN(" | ",TRUE(),IF(Events!$A$2:$A$397=$A622,Events!$E$2:$E$397&amp;IF(Events!$G$2:$G$397="National",""," ["&amp;Events!$G$2:$G$397&amp;"]"),""))</f>
        <v/>
      </c>
    </row>
    <row r="623" customFormat="false" ht="15" hidden="false" customHeight="true" outlineLevel="0" collapsed="false">
      <c r="A623" s="3" t="n">
        <v>45913</v>
      </c>
      <c r="B623" s="4" t="n">
        <f aca="false">YEAR($A623)</f>
        <v>2025</v>
      </c>
      <c r="C623" s="4" t="n">
        <f aca="false">MONTH($A623)</f>
        <v>9</v>
      </c>
      <c r="D623" s="4" t="str">
        <f aca="false">TEXT($A623,"ddd")</f>
        <v>Sat</v>
      </c>
      <c r="E623" s="4" t="n">
        <f aca="false">IF(OR(AND(MONTH($A623)=10,DAY($A623)&gt;=15),MONTH($A623)=11,AND(MONTH($A623)=12,DAY($A623)&lt;=7)),1,0)</f>
        <v>0</v>
      </c>
      <c r="F623" s="4" t="n">
        <f aca="false">IF(MONTH($A623)&lt;=3,1,0)</f>
        <v>0</v>
      </c>
      <c r="G623" s="4" t="str">
        <f aca="false" t="array" ref="G623: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4" t="n">
        <f aca="false">COUNTIF(Events!$A$2:$A$397,$A623)</f>
        <v>0</v>
      </c>
      <c r="I623" s="6" t="str">
        <f aca="false" t="array" ref="I623:I623">_xlfn.TEXTJOIN(" | ",TRUE(),IF(Events!$A$2:$A$397=$A623,Events!$E$2:$E$397&amp;IF(Events!$G$2:$G$397="National",""," ["&amp;Events!$G$2:$G$397&amp;"]"),""))</f>
        <v/>
      </c>
    </row>
    <row r="624" customFormat="false" ht="15" hidden="false" customHeight="true" outlineLevel="0" collapsed="false">
      <c r="A624" s="3" t="n">
        <v>45914</v>
      </c>
      <c r="B624" s="4" t="n">
        <f aca="false">YEAR($A624)</f>
        <v>2025</v>
      </c>
      <c r="C624" s="4" t="n">
        <f aca="false">MONTH($A624)</f>
        <v>9</v>
      </c>
      <c r="D624" s="4" t="str">
        <f aca="false">TEXT($A624,"ddd")</f>
        <v>Sun</v>
      </c>
      <c r="E624" s="4" t="n">
        <f aca="false">IF(OR(AND(MONTH($A624)=10,DAY($A624)&gt;=15),MONTH($A624)=11,AND(MONTH($A624)=12,DAY($A624)&lt;=7)),1,0)</f>
        <v>0</v>
      </c>
      <c r="F624" s="4" t="n">
        <f aca="false">IF(MONTH($A624)&lt;=3,1,0)</f>
        <v>0</v>
      </c>
      <c r="G624" s="4" t="str">
        <f aca="false" t="array" ref="G624: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4" t="n">
        <f aca="false">COUNTIF(Events!$A$2:$A$397,$A624)</f>
        <v>0</v>
      </c>
      <c r="I624" s="6" t="str">
        <f aca="false" t="array" ref="I624:I624">_xlfn.TEXTJOIN(" | ",TRUE(),IF(Events!$A$2:$A$397=$A624,Events!$E$2:$E$397&amp;IF(Events!$G$2:$G$397="National",""," ["&amp;Events!$G$2:$G$397&amp;"]"),""))</f>
        <v/>
      </c>
    </row>
    <row r="625" customFormat="false" ht="15" hidden="false" customHeight="true" outlineLevel="0" collapsed="false">
      <c r="A625" s="3" t="n">
        <v>45915</v>
      </c>
      <c r="B625" s="4" t="n">
        <f aca="false">YEAR($A625)</f>
        <v>2025</v>
      </c>
      <c r="C625" s="4" t="n">
        <f aca="false">MONTH($A625)</f>
        <v>9</v>
      </c>
      <c r="D625" s="4" t="str">
        <f aca="false">TEXT($A625,"ddd")</f>
        <v>Mon</v>
      </c>
      <c r="E625" s="4" t="n">
        <f aca="false">IF(OR(AND(MONTH($A625)=10,DAY($A625)&gt;=15),MONTH($A625)=11,AND(MONTH($A625)=12,DAY($A625)&lt;=7)),1,0)</f>
        <v>0</v>
      </c>
      <c r="F625" s="4" t="n">
        <f aca="false">IF(MONTH($A625)&lt;=3,1,0)</f>
        <v>0</v>
      </c>
      <c r="G625" s="4" t="str">
        <f aca="false" t="array" ref="G625: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4" t="n">
        <f aca="false">COUNTIF(Events!$A$2:$A$397,$A625)</f>
        <v>0</v>
      </c>
      <c r="I625" s="6" t="str">
        <f aca="false" t="array" ref="I625:I625">_xlfn.TEXTJOIN(" | ",TRUE(),IF(Events!$A$2:$A$397=$A625,Events!$E$2:$E$397&amp;IF(Events!$G$2:$G$397="National",""," ["&amp;Events!$G$2:$G$397&amp;"]"),""))</f>
        <v/>
      </c>
    </row>
    <row r="626" customFormat="false" ht="15" hidden="false" customHeight="true" outlineLevel="0" collapsed="false">
      <c r="A626" s="3" t="n">
        <v>45916</v>
      </c>
      <c r="B626" s="4" t="n">
        <f aca="false">YEAR($A626)</f>
        <v>2025</v>
      </c>
      <c r="C626" s="4" t="n">
        <f aca="false">MONTH($A626)</f>
        <v>9</v>
      </c>
      <c r="D626" s="4" t="str">
        <f aca="false">TEXT($A626,"ddd")</f>
        <v>Tue</v>
      </c>
      <c r="E626" s="4" t="n">
        <f aca="false">IF(OR(AND(MONTH($A626)=10,DAY($A626)&gt;=15),MONTH($A626)=11,AND(MONTH($A626)=12,DAY($A626)&lt;=7)),1,0)</f>
        <v>0</v>
      </c>
      <c r="F626" s="4" t="n">
        <f aca="false">IF(MONTH($A626)&lt;=3,1,0)</f>
        <v>0</v>
      </c>
      <c r="G626" s="4" t="str">
        <f aca="false" t="array" ref="G626: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4" t="n">
        <f aca="false">COUNTIF(Events!$A$2:$A$397,$A626)</f>
        <v>0</v>
      </c>
      <c r="I626" s="6" t="str">
        <f aca="false" t="array" ref="I626:I626">_xlfn.TEXTJOIN(" | ",TRUE(),IF(Events!$A$2:$A$397=$A626,Events!$E$2:$E$397&amp;IF(Events!$G$2:$G$397="National",""," ["&amp;Events!$G$2:$G$397&amp;"]"),""))</f>
        <v/>
      </c>
    </row>
    <row r="627" customFormat="false" ht="15" hidden="false" customHeight="true" outlineLevel="0" collapsed="false">
      <c r="A627" s="3" t="n">
        <v>45917</v>
      </c>
      <c r="B627" s="4" t="n">
        <f aca="false">YEAR($A627)</f>
        <v>2025</v>
      </c>
      <c r="C627" s="4" t="n">
        <f aca="false">MONTH($A627)</f>
        <v>9</v>
      </c>
      <c r="D627" s="4" t="str">
        <f aca="false">TEXT($A627,"ddd")</f>
        <v>Wed</v>
      </c>
      <c r="E627" s="4" t="n">
        <f aca="false">IF(OR(AND(MONTH($A627)=10,DAY($A627)&gt;=15),MONTH($A627)=11,AND(MONTH($A627)=12,DAY($A627)&lt;=7)),1,0)</f>
        <v>0</v>
      </c>
      <c r="F627" s="4" t="n">
        <f aca="false">IF(MONTH($A627)&lt;=3,1,0)</f>
        <v>0</v>
      </c>
      <c r="G627" s="4" t="str">
        <f aca="false" t="array" ref="G627: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4" t="n">
        <f aca="false">COUNTIF(Events!$A$2:$A$397,$A627)</f>
        <v>0</v>
      </c>
      <c r="I627" s="6" t="str">
        <f aca="false" t="array" ref="I627:I627">_xlfn.TEXTJOIN(" | ",TRUE(),IF(Events!$A$2:$A$397=$A627,Events!$E$2:$E$397&amp;IF(Events!$G$2:$G$397="National",""," ["&amp;Events!$G$2:$G$397&amp;"]"),""))</f>
        <v/>
      </c>
    </row>
    <row r="628" customFormat="false" ht="15" hidden="false" customHeight="true" outlineLevel="0" collapsed="false">
      <c r="A628" s="3" t="n">
        <v>45918</v>
      </c>
      <c r="B628" s="4" t="n">
        <f aca="false">YEAR($A628)</f>
        <v>2025</v>
      </c>
      <c r="C628" s="4" t="n">
        <f aca="false">MONTH($A628)</f>
        <v>9</v>
      </c>
      <c r="D628" s="4" t="str">
        <f aca="false">TEXT($A628,"ddd")</f>
        <v>Thu</v>
      </c>
      <c r="E628" s="4" t="n">
        <f aca="false">IF(OR(AND(MONTH($A628)=10,DAY($A628)&gt;=15),MONTH($A628)=11,AND(MONTH($A628)=12,DAY($A628)&lt;=7)),1,0)</f>
        <v>0</v>
      </c>
      <c r="F628" s="4" t="n">
        <f aca="false">IF(MONTH($A628)&lt;=3,1,0)</f>
        <v>0</v>
      </c>
      <c r="G628" s="4" t="str">
        <f aca="false" t="array" ref="G628: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4" t="n">
        <f aca="false">COUNTIF(Events!$A$2:$A$397,$A628)</f>
        <v>0</v>
      </c>
      <c r="I628" s="6" t="str">
        <f aca="false" t="array" ref="I628:I628">_xlfn.TEXTJOIN(" | ",TRUE(),IF(Events!$A$2:$A$397=$A628,Events!$E$2:$E$397&amp;IF(Events!$G$2:$G$397="National",""," ["&amp;Events!$G$2:$G$397&amp;"]"),""))</f>
        <v/>
      </c>
    </row>
    <row r="629" customFormat="false" ht="15" hidden="false" customHeight="true" outlineLevel="0" collapsed="false">
      <c r="A629" s="3" t="n">
        <v>45919</v>
      </c>
      <c r="B629" s="4" t="n">
        <f aca="false">YEAR($A629)</f>
        <v>2025</v>
      </c>
      <c r="C629" s="4" t="n">
        <f aca="false">MONTH($A629)</f>
        <v>9</v>
      </c>
      <c r="D629" s="4" t="str">
        <f aca="false">TEXT($A629,"ddd")</f>
        <v>Fri</v>
      </c>
      <c r="E629" s="4" t="n">
        <f aca="false">IF(OR(AND(MONTH($A629)=10,DAY($A629)&gt;=15),MONTH($A629)=11,AND(MONTH($A629)=12,DAY($A629)&lt;=7)),1,0)</f>
        <v>0</v>
      </c>
      <c r="F629" s="4" t="n">
        <f aca="false">IF(MONTH($A629)&lt;=3,1,0)</f>
        <v>0</v>
      </c>
      <c r="G629" s="4" t="str">
        <f aca="false" t="array" ref="G629: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4" t="n">
        <f aca="false">COUNTIF(Events!$A$2:$A$397,$A629)</f>
        <v>1</v>
      </c>
      <c r="I629" s="6" t="str">
        <f aca="false" t="array" ref="I629:I629">_xlfn.TEXTJOIN(" | ",TRUE(),IF(Events!$A$2:$A$397=$A629,Events!$E$2:$E$397&amp;IF(Events!$G$2:$G$397="National",""," ["&amp;Events!$G$2:$G$397&amp;"]"),""))</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customFormat="false" ht="15" hidden="false" customHeight="true" outlineLevel="0" collapsed="false">
      <c r="A630" s="3" t="n">
        <v>45920</v>
      </c>
      <c r="B630" s="4" t="n">
        <f aca="false">YEAR($A630)</f>
        <v>2025</v>
      </c>
      <c r="C630" s="4" t="n">
        <f aca="false">MONTH($A630)</f>
        <v>9</v>
      </c>
      <c r="D630" s="4" t="str">
        <f aca="false">TEXT($A630,"ddd")</f>
        <v>Sat</v>
      </c>
      <c r="E630" s="4" t="n">
        <f aca="false">IF(OR(AND(MONTH($A630)=10,DAY($A630)&gt;=15),MONTH($A630)=11,AND(MONTH($A630)=12,DAY($A630)&lt;=7)),1,0)</f>
        <v>0</v>
      </c>
      <c r="F630" s="4" t="n">
        <f aca="false">IF(MONTH($A630)&lt;=3,1,0)</f>
        <v>0</v>
      </c>
      <c r="G630" s="4" t="str">
        <f aca="false" t="array" ref="G630: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4" t="n">
        <f aca="false">COUNTIF(Events!$A$2:$A$397,$A630)</f>
        <v>0</v>
      </c>
      <c r="I630" s="6" t="str">
        <f aca="false" t="array" ref="I630:I630">_xlfn.TEXTJOIN(" | ",TRUE(),IF(Events!$A$2:$A$397=$A630,Events!$E$2:$E$397&amp;IF(Events!$G$2:$G$397="National",""," ["&amp;Events!$G$2:$G$397&amp;"]"),""))</f>
        <v/>
      </c>
    </row>
    <row r="631" customFormat="false" ht="15" hidden="false" customHeight="true" outlineLevel="0" collapsed="false">
      <c r="A631" s="3" t="n">
        <v>45921</v>
      </c>
      <c r="B631" s="4" t="n">
        <f aca="false">YEAR($A631)</f>
        <v>2025</v>
      </c>
      <c r="C631" s="4" t="n">
        <f aca="false">MONTH($A631)</f>
        <v>9</v>
      </c>
      <c r="D631" s="4" t="str">
        <f aca="false">TEXT($A631,"ddd")</f>
        <v>Sun</v>
      </c>
      <c r="E631" s="4" t="n">
        <f aca="false">IF(OR(AND(MONTH($A631)=10,DAY($A631)&gt;=15),MONTH($A631)=11,AND(MONTH($A631)=12,DAY($A631)&lt;=7)),1,0)</f>
        <v>0</v>
      </c>
      <c r="F631" s="4" t="n">
        <f aca="false">IF(MONTH($A631)&lt;=3,1,0)</f>
        <v>0</v>
      </c>
      <c r="G631" s="4" t="str">
        <f aca="false" t="array" ref="G631: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4" t="n">
        <f aca="false">COUNTIF(Events!$A$2:$A$397,$A631)</f>
        <v>0</v>
      </c>
      <c r="I631" s="6" t="str">
        <f aca="false" t="array" ref="I631:I631">_xlfn.TEXTJOIN(" | ",TRUE(),IF(Events!$A$2:$A$397=$A631,Events!$E$2:$E$397&amp;IF(Events!$G$2:$G$397="National",""," ["&amp;Events!$G$2:$G$397&amp;"]"),""))</f>
        <v/>
      </c>
    </row>
    <row r="632" customFormat="false" ht="15" hidden="false" customHeight="true" outlineLevel="0" collapsed="false">
      <c r="A632" s="3" t="n">
        <v>45922</v>
      </c>
      <c r="B632" s="4" t="n">
        <f aca="false">YEAR($A632)</f>
        <v>2025</v>
      </c>
      <c r="C632" s="4" t="n">
        <f aca="false">MONTH($A632)</f>
        <v>9</v>
      </c>
      <c r="D632" s="4" t="str">
        <f aca="false">TEXT($A632,"ddd")</f>
        <v>Mon</v>
      </c>
      <c r="E632" s="4" t="n">
        <f aca="false">IF(OR(AND(MONTH($A632)=10,DAY($A632)&gt;=15),MONTH($A632)=11,AND(MONTH($A632)=12,DAY($A632)&lt;=7)),1,0)</f>
        <v>0</v>
      </c>
      <c r="F632" s="4" t="n">
        <f aca="false">IF(MONTH($A632)&lt;=3,1,0)</f>
        <v>0</v>
      </c>
      <c r="G632" s="4" t="str">
        <f aca="false" t="array" ref="G632: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4" t="n">
        <f aca="false">COUNTIF(Events!$A$2:$A$397,$A632)</f>
        <v>0</v>
      </c>
      <c r="I632" s="6" t="str">
        <f aca="false" t="array" ref="I632:I632">_xlfn.TEXTJOIN(" | ",TRUE(),IF(Events!$A$2:$A$397=$A632,Events!$E$2:$E$397&amp;IF(Events!$G$2:$G$397="National",""," ["&amp;Events!$G$2:$G$397&amp;"]"),""))</f>
        <v/>
      </c>
    </row>
    <row r="633" customFormat="false" ht="15" hidden="false" customHeight="true" outlineLevel="0" collapsed="false">
      <c r="A633" s="3" t="n">
        <v>45923</v>
      </c>
      <c r="B633" s="4" t="n">
        <f aca="false">YEAR($A633)</f>
        <v>2025</v>
      </c>
      <c r="C633" s="4" t="n">
        <f aca="false">MONTH($A633)</f>
        <v>9</v>
      </c>
      <c r="D633" s="4" t="str">
        <f aca="false">TEXT($A633,"ddd")</f>
        <v>Tue</v>
      </c>
      <c r="E633" s="4" t="n">
        <f aca="false">IF(OR(AND(MONTH($A633)=10,DAY($A633)&gt;=15),MONTH($A633)=11,AND(MONTH($A633)=12,DAY($A633)&lt;=7)),1,0)</f>
        <v>0</v>
      </c>
      <c r="F633" s="4" t="n">
        <f aca="false">IF(MONTH($A633)&lt;=3,1,0)</f>
        <v>0</v>
      </c>
      <c r="G633" s="4" t="str">
        <f aca="false" t="array" ref="G633: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4" t="n">
        <f aca="false">COUNTIF(Events!$A$2:$A$397,$A633)</f>
        <v>0</v>
      </c>
      <c r="I633" s="6" t="str">
        <f aca="false" t="array" ref="I633:I633">_xlfn.TEXTJOIN(" | ",TRUE(),IF(Events!$A$2:$A$397=$A633,Events!$E$2:$E$397&amp;IF(Events!$G$2:$G$397="National",""," ["&amp;Events!$G$2:$G$397&amp;"]"),""))</f>
        <v/>
      </c>
    </row>
    <row r="634" customFormat="false" ht="15" hidden="false" customHeight="true" outlineLevel="0" collapsed="false">
      <c r="A634" s="3" t="n">
        <v>45924</v>
      </c>
      <c r="B634" s="4" t="n">
        <f aca="false">YEAR($A634)</f>
        <v>2025</v>
      </c>
      <c r="C634" s="4" t="n">
        <f aca="false">MONTH($A634)</f>
        <v>9</v>
      </c>
      <c r="D634" s="4" t="str">
        <f aca="false">TEXT($A634,"ddd")</f>
        <v>Wed</v>
      </c>
      <c r="E634" s="4" t="n">
        <f aca="false">IF(OR(AND(MONTH($A634)=10,DAY($A634)&gt;=15),MONTH($A634)=11,AND(MONTH($A634)=12,DAY($A634)&lt;=7)),1,0)</f>
        <v>0</v>
      </c>
      <c r="F634" s="4" t="n">
        <f aca="false">IF(MONTH($A634)&lt;=3,1,0)</f>
        <v>0</v>
      </c>
      <c r="G634" s="4" t="str">
        <f aca="false" t="array" ref="G634: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4" t="n">
        <f aca="false">COUNTIF(Events!$A$2:$A$397,$A634)</f>
        <v>0</v>
      </c>
      <c r="I634" s="6" t="str">
        <f aca="false" t="array" ref="I634:I634">_xlfn.TEXTJOIN(" | ",TRUE(),IF(Events!$A$2:$A$397=$A634,Events!$E$2:$E$397&amp;IF(Events!$G$2:$G$397="National",""," ["&amp;Events!$G$2:$G$397&amp;"]"),""))</f>
        <v/>
      </c>
    </row>
    <row r="635" customFormat="false" ht="15" hidden="false" customHeight="true" outlineLevel="0" collapsed="false">
      <c r="A635" s="3" t="n">
        <v>45925</v>
      </c>
      <c r="B635" s="4" t="n">
        <f aca="false">YEAR($A635)</f>
        <v>2025</v>
      </c>
      <c r="C635" s="4" t="n">
        <f aca="false">MONTH($A635)</f>
        <v>9</v>
      </c>
      <c r="D635" s="4" t="str">
        <f aca="false">TEXT($A635,"ddd")</f>
        <v>Thu</v>
      </c>
      <c r="E635" s="4" t="n">
        <f aca="false">IF(OR(AND(MONTH($A635)=10,DAY($A635)&gt;=15),MONTH($A635)=11,AND(MONTH($A635)=12,DAY($A635)&lt;=7)),1,0)</f>
        <v>0</v>
      </c>
      <c r="F635" s="4" t="n">
        <f aca="false">IF(MONTH($A635)&lt;=3,1,0)</f>
        <v>0</v>
      </c>
      <c r="G635" s="4" t="str">
        <f aca="false" t="array" ref="G635: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4" t="n">
        <f aca="false">COUNTIF(Events!$A$2:$A$397,$A635)</f>
        <v>0</v>
      </c>
      <c r="I635" s="6" t="str">
        <f aca="false" t="array" ref="I635:I635">_xlfn.TEXTJOIN(" | ",TRUE(),IF(Events!$A$2:$A$397=$A635,Events!$E$2:$E$397&amp;IF(Events!$G$2:$G$397="National",""," ["&amp;Events!$G$2:$G$397&amp;"]"),""))</f>
        <v/>
      </c>
    </row>
    <row r="636" customFormat="false" ht="15" hidden="false" customHeight="true" outlineLevel="0" collapsed="false">
      <c r="A636" s="3" t="n">
        <v>45926</v>
      </c>
      <c r="B636" s="4" t="n">
        <f aca="false">YEAR($A636)</f>
        <v>2025</v>
      </c>
      <c r="C636" s="4" t="n">
        <f aca="false">MONTH($A636)</f>
        <v>9</v>
      </c>
      <c r="D636" s="4" t="str">
        <f aca="false">TEXT($A636,"ddd")</f>
        <v>Fri</v>
      </c>
      <c r="E636" s="4" t="n">
        <f aca="false">IF(OR(AND(MONTH($A636)=10,DAY($A636)&gt;=15),MONTH($A636)=11,AND(MONTH($A636)=12,DAY($A636)&lt;=7)),1,0)</f>
        <v>0</v>
      </c>
      <c r="F636" s="4" t="n">
        <f aca="false">IF(MONTH($A636)&lt;=3,1,0)</f>
        <v>0</v>
      </c>
      <c r="G636" s="4" t="str">
        <f aca="false" t="array" ref="G636: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4" t="n">
        <f aca="false">COUNTIF(Events!$A$2:$A$397,$A636)</f>
        <v>0</v>
      </c>
      <c r="I636" s="6" t="str">
        <f aca="false" t="array" ref="I636:I636">_xlfn.TEXTJOIN(" | ",TRUE(),IF(Events!$A$2:$A$397=$A636,Events!$E$2:$E$397&amp;IF(Events!$G$2:$G$397="National",""," ["&amp;Events!$G$2:$G$397&amp;"]"),""))</f>
        <v/>
      </c>
    </row>
    <row r="637" customFormat="false" ht="15" hidden="false" customHeight="true" outlineLevel="0" collapsed="false">
      <c r="A637" s="3" t="n">
        <v>45927</v>
      </c>
      <c r="B637" s="4" t="n">
        <f aca="false">YEAR($A637)</f>
        <v>2025</v>
      </c>
      <c r="C637" s="4" t="n">
        <f aca="false">MONTH($A637)</f>
        <v>9</v>
      </c>
      <c r="D637" s="4" t="str">
        <f aca="false">TEXT($A637,"ddd")</f>
        <v>Sat</v>
      </c>
      <c r="E637" s="4" t="n">
        <f aca="false">IF(OR(AND(MONTH($A637)=10,DAY($A637)&gt;=15),MONTH($A637)=11,AND(MONTH($A637)=12,DAY($A637)&lt;=7)),1,0)</f>
        <v>0</v>
      </c>
      <c r="F637" s="4" t="n">
        <f aca="false">IF(MONTH($A637)&lt;=3,1,0)</f>
        <v>0</v>
      </c>
      <c r="G637" s="4" t="str">
        <f aca="false" t="array" ref="G637: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4" t="n">
        <f aca="false">COUNTIF(Events!$A$2:$A$397,$A637)</f>
        <v>0</v>
      </c>
      <c r="I637" s="6" t="str">
        <f aca="false" t="array" ref="I637:I637">_xlfn.TEXTJOIN(" | ",TRUE(),IF(Events!$A$2:$A$397=$A637,Events!$E$2:$E$397&amp;IF(Events!$G$2:$G$397="National",""," ["&amp;Events!$G$2:$G$397&amp;"]"),""))</f>
        <v/>
      </c>
    </row>
    <row r="638" customFormat="false" ht="15" hidden="false" customHeight="true" outlineLevel="0" collapsed="false">
      <c r="A638" s="3" t="n">
        <v>45928</v>
      </c>
      <c r="B638" s="4" t="n">
        <f aca="false">YEAR($A638)</f>
        <v>2025</v>
      </c>
      <c r="C638" s="4" t="n">
        <f aca="false">MONTH($A638)</f>
        <v>9</v>
      </c>
      <c r="D638" s="4" t="str">
        <f aca="false">TEXT($A638,"ddd")</f>
        <v>Sun</v>
      </c>
      <c r="E638" s="4" t="n">
        <f aca="false">IF(OR(AND(MONTH($A638)=10,DAY($A638)&gt;=15),MONTH($A638)=11,AND(MONTH($A638)=12,DAY($A638)&lt;=7)),1,0)</f>
        <v>0</v>
      </c>
      <c r="F638" s="4" t="n">
        <f aca="false">IF(MONTH($A638)&lt;=3,1,0)</f>
        <v>0</v>
      </c>
      <c r="G638" s="4" t="str">
        <f aca="false" t="array" ref="G638: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4" t="n">
        <f aca="false">COUNTIF(Events!$A$2:$A$397,$A638)</f>
        <v>0</v>
      </c>
      <c r="I638" s="6" t="str">
        <f aca="false" t="array" ref="I638:I638">_xlfn.TEXTJOIN(" | ",TRUE(),IF(Events!$A$2:$A$397=$A638,Events!$E$2:$E$397&amp;IF(Events!$G$2:$G$397="National",""," ["&amp;Events!$G$2:$G$397&amp;"]"),""))</f>
        <v/>
      </c>
    </row>
    <row r="639" customFormat="false" ht="15" hidden="false" customHeight="true" outlineLevel="0" collapsed="false">
      <c r="A639" s="3" t="n">
        <v>45929</v>
      </c>
      <c r="B639" s="4" t="n">
        <f aca="false">YEAR($A639)</f>
        <v>2025</v>
      </c>
      <c r="C639" s="4" t="n">
        <f aca="false">MONTH($A639)</f>
        <v>9</v>
      </c>
      <c r="D639" s="4" t="str">
        <f aca="false">TEXT($A639,"ddd")</f>
        <v>Mon</v>
      </c>
      <c r="E639" s="4" t="n">
        <f aca="false">IF(OR(AND(MONTH($A639)=10,DAY($A639)&gt;=15),MONTH($A639)=11,AND(MONTH($A639)=12,DAY($A639)&lt;=7)),1,0)</f>
        <v>0</v>
      </c>
      <c r="F639" s="4" t="n">
        <f aca="false">IF(MONTH($A639)&lt;=3,1,0)</f>
        <v>0</v>
      </c>
      <c r="G639" s="4" t="str">
        <f aca="false" t="array" ref="G639: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v>
      </c>
      <c r="H639" s="4" t="n">
        <f aca="false">COUNTIF(Events!$A$2:$A$397,$A639)</f>
        <v>0</v>
      </c>
      <c r="I639" s="6" t="str">
        <f aca="false" t="array" ref="I639:I639">_xlfn.TEXTJOIN(" | ",TRUE(),IF(Events!$A$2:$A$397=$A639,Events!$E$2:$E$397&amp;IF(Events!$G$2:$G$397="National",""," ["&amp;Events!$G$2:$G$397&amp;"]"),""))</f>
        <v/>
      </c>
    </row>
    <row r="640" customFormat="false" ht="15" hidden="false" customHeight="true" outlineLevel="0" collapsed="false">
      <c r="A640" s="3" t="n">
        <v>45930</v>
      </c>
      <c r="B640" s="4" t="n">
        <f aca="false">YEAR($A640)</f>
        <v>2025</v>
      </c>
      <c r="C640" s="4" t="n">
        <f aca="false">MONTH($A640)</f>
        <v>9</v>
      </c>
      <c r="D640" s="4" t="str">
        <f aca="false">TEXT($A640,"ddd")</f>
        <v>Tue</v>
      </c>
      <c r="E640" s="4" t="n">
        <f aca="false">IF(OR(AND(MONTH($A640)=10,DAY($A640)&gt;=15),MONTH($A640)=11,AND(MONTH($A640)=12,DAY($A640)&lt;=7)),1,0)</f>
        <v>0</v>
      </c>
      <c r="F640" s="4" t="n">
        <f aca="false">IF(MONTH($A640)&lt;=3,1,0)</f>
        <v>0</v>
      </c>
      <c r="G640" s="4" t="str">
        <f aca="false" t="array" ref="G640: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40" s="4" t="n">
        <f aca="false">COUNTIF(Events!$A$2:$A$397,$A640)</f>
        <v>1</v>
      </c>
      <c r="I640" s="6" t="str">
        <f aca="false" t="array" ref="I640:I640">_xlfn.TEXTJOIN(" | ",TRUE(),IF(Events!$A$2:$A$397=$A640,Events!$E$2:$E$397&amp;IF(Events!$G$2:$G$397="National",""," ["&amp;Events!$G$2:$G$397&amp;"]"),""))</f>
        <v>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Not a policy change itself, but the synchronized mass-notification shock preceding AEP 2026</v>
      </c>
    </row>
    <row r="641" customFormat="false" ht="15" hidden="false" customHeight="true" outlineLevel="0" collapsed="false">
      <c r="A641" s="3" t="n">
        <v>45931</v>
      </c>
      <c r="B641" s="4" t="n">
        <f aca="false">YEAR($A641)</f>
        <v>2025</v>
      </c>
      <c r="C641" s="4" t="n">
        <f aca="false">MONTH($A641)</f>
        <v>10</v>
      </c>
      <c r="D641" s="4" t="str">
        <f aca="false">TEXT($A641,"ddd")</f>
        <v>Wed</v>
      </c>
      <c r="E641" s="4" t="n">
        <f aca="false">IF(OR(AND(MONTH($A641)=10,DAY($A641)&gt;=15),MONTH($A641)=11,AND(MONTH($A641)=12,DAY($A641)&lt;=7)),1,0)</f>
        <v>0</v>
      </c>
      <c r="F641" s="4" t="n">
        <f aca="false">IF(MONTH($A641)&lt;=3,1,0)</f>
        <v>0</v>
      </c>
      <c r="G641" s="4" t="str">
        <f aca="false" t="array" ref="G641: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4" t="n">
        <f aca="false">COUNTIF(Events!$A$2:$A$397,$A641)</f>
        <v>1</v>
      </c>
      <c r="I641" s="6" t="str">
        <f aca="false" t="array" ref="I641:I641">_xlfn.TEXTJOIN(" | ",TRUE(),IF(Events!$A$2:$A$397=$A641,Events!$E$2:$E$397&amp;IF(Events!$G$2:$G$397="National",""," ["&amp;Events!$G$2:$G$397&amp;"]"),""))</f>
        <v>CY2026 plan marketing begins; plans notify enrollees of 2026 changes; 2026 landscape released ahead of AEP</v>
      </c>
    </row>
    <row r="642" customFormat="false" ht="15" hidden="false" customHeight="true" outlineLevel="0" collapsed="false">
      <c r="A642" s="3" t="n">
        <v>45932</v>
      </c>
      <c r="B642" s="4" t="n">
        <f aca="false">YEAR($A642)</f>
        <v>2025</v>
      </c>
      <c r="C642" s="4" t="n">
        <f aca="false">MONTH($A642)</f>
        <v>10</v>
      </c>
      <c r="D642" s="4" t="str">
        <f aca="false">TEXT($A642,"ddd")</f>
        <v>Thu</v>
      </c>
      <c r="E642" s="4" t="n">
        <f aca="false">IF(OR(AND(MONTH($A642)=10,DAY($A642)&gt;=15),MONTH($A642)=11,AND(MONTH($A642)=12,DAY($A642)&lt;=7)),1,0)</f>
        <v>0</v>
      </c>
      <c r="F642" s="4" t="n">
        <f aca="false">IF(MONTH($A642)&lt;=3,1,0)</f>
        <v>0</v>
      </c>
      <c r="G642" s="4" t="str">
        <f aca="false" t="array" ref="G642: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4" t="n">
        <f aca="false">COUNTIF(Events!$A$2:$A$397,$A642)</f>
        <v>0</v>
      </c>
      <c r="I642" s="6" t="str">
        <f aca="false" t="array" ref="I642:I642">_xlfn.TEXTJOIN(" | ",TRUE(),IF(Events!$A$2:$A$397=$A642,Events!$E$2:$E$397&amp;IF(Events!$G$2:$G$397="National",""," ["&amp;Events!$G$2:$G$397&amp;"]"),""))</f>
        <v/>
      </c>
    </row>
    <row r="643" customFormat="false" ht="15" hidden="false" customHeight="true" outlineLevel="0" collapsed="false">
      <c r="A643" s="3" t="n">
        <v>45933</v>
      </c>
      <c r="B643" s="4" t="n">
        <f aca="false">YEAR($A643)</f>
        <v>2025</v>
      </c>
      <c r="C643" s="4" t="n">
        <f aca="false">MONTH($A643)</f>
        <v>10</v>
      </c>
      <c r="D643" s="4" t="str">
        <f aca="false">TEXT($A643,"ddd")</f>
        <v>Fri</v>
      </c>
      <c r="E643" s="4" t="n">
        <f aca="false">IF(OR(AND(MONTH($A643)=10,DAY($A643)&gt;=15),MONTH($A643)=11,AND(MONTH($A643)=12,DAY($A643)&lt;=7)),1,0)</f>
        <v>0</v>
      </c>
      <c r="F643" s="4" t="n">
        <f aca="false">IF(MONTH($A643)&lt;=3,1,0)</f>
        <v>0</v>
      </c>
      <c r="G643" s="4" t="str">
        <f aca="false" t="array" ref="G643: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4" t="n">
        <f aca="false">COUNTIF(Events!$A$2:$A$397,$A643)</f>
        <v>0</v>
      </c>
      <c r="I643" s="6" t="str">
        <f aca="false" t="array" ref="I643:I643">_xlfn.TEXTJOIN(" | ",TRUE(),IF(Events!$A$2:$A$397=$A643,Events!$E$2:$E$397&amp;IF(Events!$G$2:$G$397="National",""," ["&amp;Events!$G$2:$G$397&amp;"]"),""))</f>
        <v/>
      </c>
    </row>
    <row r="644" customFormat="false" ht="15" hidden="false" customHeight="true" outlineLevel="0" collapsed="false">
      <c r="A644" s="3" t="n">
        <v>45934</v>
      </c>
      <c r="B644" s="4" t="n">
        <f aca="false">YEAR($A644)</f>
        <v>2025</v>
      </c>
      <c r="C644" s="4" t="n">
        <f aca="false">MONTH($A644)</f>
        <v>10</v>
      </c>
      <c r="D644" s="4" t="str">
        <f aca="false">TEXT($A644,"ddd")</f>
        <v>Sat</v>
      </c>
      <c r="E644" s="4" t="n">
        <f aca="false">IF(OR(AND(MONTH($A644)=10,DAY($A644)&gt;=15),MONTH($A644)=11,AND(MONTH($A644)=12,DAY($A644)&lt;=7)),1,0)</f>
        <v>0</v>
      </c>
      <c r="F644" s="4" t="n">
        <f aca="false">IF(MONTH($A644)&lt;=3,1,0)</f>
        <v>0</v>
      </c>
      <c r="G644" s="4" t="str">
        <f aca="false" t="array" ref="G644: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4" t="n">
        <f aca="false">COUNTIF(Events!$A$2:$A$397,$A644)</f>
        <v>0</v>
      </c>
      <c r="I644" s="6" t="str">
        <f aca="false" t="array" ref="I644:I644">_xlfn.TEXTJOIN(" | ",TRUE(),IF(Events!$A$2:$A$397=$A644,Events!$E$2:$E$397&amp;IF(Events!$G$2:$G$397="National",""," ["&amp;Events!$G$2:$G$397&amp;"]"),""))</f>
        <v/>
      </c>
    </row>
    <row r="645" customFormat="false" ht="15" hidden="false" customHeight="true" outlineLevel="0" collapsed="false">
      <c r="A645" s="3" t="n">
        <v>45935</v>
      </c>
      <c r="B645" s="4" t="n">
        <f aca="false">YEAR($A645)</f>
        <v>2025</v>
      </c>
      <c r="C645" s="4" t="n">
        <f aca="false">MONTH($A645)</f>
        <v>10</v>
      </c>
      <c r="D645" s="4" t="str">
        <f aca="false">TEXT($A645,"ddd")</f>
        <v>Sun</v>
      </c>
      <c r="E645" s="4" t="n">
        <f aca="false">IF(OR(AND(MONTH($A645)=10,DAY($A645)&gt;=15),MONTH($A645)=11,AND(MONTH($A645)=12,DAY($A645)&lt;=7)),1,0)</f>
        <v>0</v>
      </c>
      <c r="F645" s="4" t="n">
        <f aca="false">IF(MONTH($A645)&lt;=3,1,0)</f>
        <v>0</v>
      </c>
      <c r="G645" s="4" t="str">
        <f aca="false" t="array" ref="G645: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4" t="n">
        <f aca="false">COUNTIF(Events!$A$2:$A$397,$A645)</f>
        <v>0</v>
      </c>
      <c r="I645" s="6" t="str">
        <f aca="false" t="array" ref="I645:I645">_xlfn.TEXTJOIN(" | ",TRUE(),IF(Events!$A$2:$A$397=$A645,Events!$E$2:$E$397&amp;IF(Events!$G$2:$G$397="National",""," ["&amp;Events!$G$2:$G$397&amp;"]"),""))</f>
        <v/>
      </c>
    </row>
    <row r="646" customFormat="false" ht="15" hidden="false" customHeight="true" outlineLevel="0" collapsed="false">
      <c r="A646" s="3" t="n">
        <v>45936</v>
      </c>
      <c r="B646" s="4" t="n">
        <f aca="false">YEAR($A646)</f>
        <v>2025</v>
      </c>
      <c r="C646" s="4" t="n">
        <f aca="false">MONTH($A646)</f>
        <v>10</v>
      </c>
      <c r="D646" s="4" t="str">
        <f aca="false">TEXT($A646,"ddd")</f>
        <v>Mon</v>
      </c>
      <c r="E646" s="4" t="n">
        <f aca="false">IF(OR(AND(MONTH($A646)=10,DAY($A646)&gt;=15),MONTH($A646)=11,AND(MONTH($A646)=12,DAY($A646)&lt;=7)),1,0)</f>
        <v>0</v>
      </c>
      <c r="F646" s="4" t="n">
        <f aca="false">IF(MONTH($A646)&lt;=3,1,0)</f>
        <v>0</v>
      </c>
      <c r="G646" s="4" t="str">
        <f aca="false" t="array" ref="G646: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4" t="n">
        <f aca="false">COUNTIF(Events!$A$2:$A$397,$A646)</f>
        <v>0</v>
      </c>
      <c r="I646" s="6" t="str">
        <f aca="false" t="array" ref="I646:I646">_xlfn.TEXTJOIN(" | ",TRUE(),IF(Events!$A$2:$A$397=$A646,Events!$E$2:$E$397&amp;IF(Events!$G$2:$G$397="National",""," ["&amp;Events!$G$2:$G$397&amp;"]"),""))</f>
        <v/>
      </c>
    </row>
    <row r="647" customFormat="false" ht="15" hidden="false" customHeight="true" outlineLevel="0" collapsed="false">
      <c r="A647" s="3" t="n">
        <v>45937</v>
      </c>
      <c r="B647" s="4" t="n">
        <f aca="false">YEAR($A647)</f>
        <v>2025</v>
      </c>
      <c r="C647" s="4" t="n">
        <f aca="false">MONTH($A647)</f>
        <v>10</v>
      </c>
      <c r="D647" s="4" t="str">
        <f aca="false">TEXT($A647,"ddd")</f>
        <v>Tue</v>
      </c>
      <c r="E647" s="4" t="n">
        <f aca="false">IF(OR(AND(MONTH($A647)=10,DAY($A647)&gt;=15),MONTH($A647)=11,AND(MONTH($A647)=12,DAY($A647)&lt;=7)),1,0)</f>
        <v>0</v>
      </c>
      <c r="F647" s="4" t="n">
        <f aca="false">IF(MONTH($A647)&lt;=3,1,0)</f>
        <v>0</v>
      </c>
      <c r="G647" s="4" t="str">
        <f aca="false" t="array" ref="G647: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4" t="n">
        <f aca="false">COUNTIF(Events!$A$2:$A$397,$A647)</f>
        <v>0</v>
      </c>
      <c r="I647" s="6" t="str">
        <f aca="false" t="array" ref="I647:I647">_xlfn.TEXTJOIN(" | ",TRUE(),IF(Events!$A$2:$A$397=$A647,Events!$E$2:$E$397&amp;IF(Events!$G$2:$G$397="National",""," ["&amp;Events!$G$2:$G$397&amp;"]"),""))</f>
        <v/>
      </c>
    </row>
    <row r="648" customFormat="false" ht="15" hidden="false" customHeight="true" outlineLevel="0" collapsed="false">
      <c r="A648" s="3" t="n">
        <v>45938</v>
      </c>
      <c r="B648" s="4" t="n">
        <f aca="false">YEAR($A648)</f>
        <v>2025</v>
      </c>
      <c r="C648" s="4" t="n">
        <f aca="false">MONTH($A648)</f>
        <v>10</v>
      </c>
      <c r="D648" s="4" t="str">
        <f aca="false">TEXT($A648,"ddd")</f>
        <v>Wed</v>
      </c>
      <c r="E648" s="4" t="n">
        <f aca="false">IF(OR(AND(MONTH($A648)=10,DAY($A648)&gt;=15),MONTH($A648)=11,AND(MONTH($A648)=12,DAY($A648)&lt;=7)),1,0)</f>
        <v>0</v>
      </c>
      <c r="F648" s="4" t="n">
        <f aca="false">IF(MONTH($A648)&lt;=3,1,0)</f>
        <v>0</v>
      </c>
      <c r="G648" s="4" t="str">
        <f aca="false" t="array" ref="G648: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4" t="n">
        <f aca="false">COUNTIF(Events!$A$2:$A$397,$A648)</f>
        <v>0</v>
      </c>
      <c r="I648" s="6" t="str">
        <f aca="false" t="array" ref="I648:I648">_xlfn.TEXTJOIN(" | ",TRUE(),IF(Events!$A$2:$A$397=$A648,Events!$E$2:$E$397&amp;IF(Events!$G$2:$G$397="National",""," ["&amp;Events!$G$2:$G$397&amp;"]"),""))</f>
        <v/>
      </c>
    </row>
    <row r="649" customFormat="false" ht="15" hidden="false" customHeight="true" outlineLevel="0" collapsed="false">
      <c r="A649" s="3" t="n">
        <v>45939</v>
      </c>
      <c r="B649" s="4" t="n">
        <f aca="false">YEAR($A649)</f>
        <v>2025</v>
      </c>
      <c r="C649" s="4" t="n">
        <f aca="false">MONTH($A649)</f>
        <v>10</v>
      </c>
      <c r="D649" s="4" t="str">
        <f aca="false">TEXT($A649,"ddd")</f>
        <v>Thu</v>
      </c>
      <c r="E649" s="4" t="n">
        <f aca="false">IF(OR(AND(MONTH($A649)=10,DAY($A649)&gt;=15),MONTH($A649)=11,AND(MONTH($A649)=12,DAY($A649)&lt;=7)),1,0)</f>
        <v>0</v>
      </c>
      <c r="F649" s="4" t="n">
        <f aca="false">IF(MONTH($A649)&lt;=3,1,0)</f>
        <v>0</v>
      </c>
      <c r="G649" s="4" t="str">
        <f aca="false" t="array" ref="G649: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4" t="n">
        <f aca="false">COUNTIF(Events!$A$2:$A$397,$A649)</f>
        <v>1</v>
      </c>
      <c r="I649" s="6" t="str">
        <f aca="false" t="array" ref="I649:I649">_xlfn.TEXTJOIN(" | ",TRUE(),IF(Events!$A$2:$A$397=$A649,Events!$E$2:$E$397&amp;IF(Events!$G$2:$G$397="National",""," ["&amp;Events!$G$2:$G$397&amp;"]"),""))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customFormat="false" ht="15" hidden="false" customHeight="true" outlineLevel="0" collapsed="false">
      <c r="A650" s="3" t="n">
        <v>45940</v>
      </c>
      <c r="B650" s="4" t="n">
        <f aca="false">YEAR($A650)</f>
        <v>2025</v>
      </c>
      <c r="C650" s="4" t="n">
        <f aca="false">MONTH($A650)</f>
        <v>10</v>
      </c>
      <c r="D650" s="4" t="str">
        <f aca="false">TEXT($A650,"ddd")</f>
        <v>Fri</v>
      </c>
      <c r="E650" s="4" t="n">
        <f aca="false">IF(OR(AND(MONTH($A650)=10,DAY($A650)&gt;=15),MONTH($A650)=11,AND(MONTH($A650)=12,DAY($A650)&lt;=7)),1,0)</f>
        <v>0</v>
      </c>
      <c r="F650" s="4" t="n">
        <f aca="false">IF(MONTH($A650)&lt;=3,1,0)</f>
        <v>0</v>
      </c>
      <c r="G650" s="4" t="str">
        <f aca="false" t="array" ref="G650: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4" t="n">
        <f aca="false">COUNTIF(Events!$A$2:$A$397,$A650)</f>
        <v>0</v>
      </c>
      <c r="I650" s="6" t="str">
        <f aca="false" t="array" ref="I650:I650">_xlfn.TEXTJOIN(" | ",TRUE(),IF(Events!$A$2:$A$397=$A650,Events!$E$2:$E$397&amp;IF(Events!$G$2:$G$397="National",""," ["&amp;Events!$G$2:$G$397&amp;"]"),""))</f>
        <v/>
      </c>
    </row>
    <row r="651" customFormat="false" ht="15" hidden="false" customHeight="true" outlineLevel="0" collapsed="false">
      <c r="A651" s="3" t="n">
        <v>45941</v>
      </c>
      <c r="B651" s="4" t="n">
        <f aca="false">YEAR($A651)</f>
        <v>2025</v>
      </c>
      <c r="C651" s="4" t="n">
        <f aca="false">MONTH($A651)</f>
        <v>10</v>
      </c>
      <c r="D651" s="4" t="str">
        <f aca="false">TEXT($A651,"ddd")</f>
        <v>Sat</v>
      </c>
      <c r="E651" s="4" t="n">
        <f aca="false">IF(OR(AND(MONTH($A651)=10,DAY($A651)&gt;=15),MONTH($A651)=11,AND(MONTH($A651)=12,DAY($A651)&lt;=7)),1,0)</f>
        <v>0</v>
      </c>
      <c r="F651" s="4" t="n">
        <f aca="false">IF(MONTH($A651)&lt;=3,1,0)</f>
        <v>0</v>
      </c>
      <c r="G651" s="4" t="str">
        <f aca="false" t="array" ref="G651: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4" t="n">
        <f aca="false">COUNTIF(Events!$A$2:$A$397,$A651)</f>
        <v>0</v>
      </c>
      <c r="I651" s="6" t="str">
        <f aca="false" t="array" ref="I651:I651">_xlfn.TEXTJOIN(" | ",TRUE(),IF(Events!$A$2:$A$397=$A651,Events!$E$2:$E$397&amp;IF(Events!$G$2:$G$397="National",""," ["&amp;Events!$G$2:$G$397&amp;"]"),""))</f>
        <v/>
      </c>
    </row>
    <row r="652" customFormat="false" ht="15" hidden="false" customHeight="true" outlineLevel="0" collapsed="false">
      <c r="A652" s="3" t="n">
        <v>45942</v>
      </c>
      <c r="B652" s="4" t="n">
        <f aca="false">YEAR($A652)</f>
        <v>2025</v>
      </c>
      <c r="C652" s="4" t="n">
        <f aca="false">MONTH($A652)</f>
        <v>10</v>
      </c>
      <c r="D652" s="4" t="str">
        <f aca="false">TEXT($A652,"ddd")</f>
        <v>Sun</v>
      </c>
      <c r="E652" s="4" t="n">
        <f aca="false">IF(OR(AND(MONTH($A652)=10,DAY($A652)&gt;=15),MONTH($A652)=11,AND(MONTH($A652)=12,DAY($A652)&lt;=7)),1,0)</f>
        <v>0</v>
      </c>
      <c r="F652" s="4" t="n">
        <f aca="false">IF(MONTH($A652)&lt;=3,1,0)</f>
        <v>0</v>
      </c>
      <c r="G652" s="4" t="str">
        <f aca="false" t="array" ref="G652: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4" t="n">
        <f aca="false">COUNTIF(Events!$A$2:$A$397,$A652)</f>
        <v>0</v>
      </c>
      <c r="I652" s="6" t="str">
        <f aca="false" t="array" ref="I652:I652">_xlfn.TEXTJOIN(" | ",TRUE(),IF(Events!$A$2:$A$397=$A652,Events!$E$2:$E$397&amp;IF(Events!$G$2:$G$397="National",""," ["&amp;Events!$G$2:$G$397&amp;"]"),""))</f>
        <v/>
      </c>
    </row>
    <row r="653" customFormat="false" ht="15" hidden="false" customHeight="true" outlineLevel="0" collapsed="false">
      <c r="A653" s="3" t="n">
        <v>45943</v>
      </c>
      <c r="B653" s="4" t="n">
        <f aca="false">YEAR($A653)</f>
        <v>2025</v>
      </c>
      <c r="C653" s="4" t="n">
        <f aca="false">MONTH($A653)</f>
        <v>10</v>
      </c>
      <c r="D653" s="4" t="str">
        <f aca="false">TEXT($A653,"ddd")</f>
        <v>Mon</v>
      </c>
      <c r="E653" s="4" t="n">
        <f aca="false">IF(OR(AND(MONTH($A653)=10,DAY($A653)&gt;=15),MONTH($A653)=11,AND(MONTH($A653)=12,DAY($A653)&lt;=7)),1,0)</f>
        <v>0</v>
      </c>
      <c r="F653" s="4" t="n">
        <f aca="false">IF(MONTH($A653)&lt;=3,1,0)</f>
        <v>0</v>
      </c>
      <c r="G653" s="4" t="str">
        <f aca="false" t="array" ref="G653: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4" t="n">
        <f aca="false">COUNTIF(Events!$A$2:$A$397,$A653)</f>
        <v>0</v>
      </c>
      <c r="I653" s="6" t="str">
        <f aca="false" t="array" ref="I653:I653">_xlfn.TEXTJOIN(" | ",TRUE(),IF(Events!$A$2:$A$397=$A653,Events!$E$2:$E$397&amp;IF(Events!$G$2:$G$397="National",""," ["&amp;Events!$G$2:$G$397&amp;"]"),""))</f>
        <v/>
      </c>
    </row>
    <row r="654" customFormat="false" ht="15" hidden="false" customHeight="true" outlineLevel="0" collapsed="false">
      <c r="A654" s="3" t="n">
        <v>45944</v>
      </c>
      <c r="B654" s="4" t="n">
        <f aca="false">YEAR($A654)</f>
        <v>2025</v>
      </c>
      <c r="C654" s="4" t="n">
        <f aca="false">MONTH($A654)</f>
        <v>10</v>
      </c>
      <c r="D654" s="4" t="str">
        <f aca="false">TEXT($A654,"ddd")</f>
        <v>Tue</v>
      </c>
      <c r="E654" s="4" t="n">
        <f aca="false">IF(OR(AND(MONTH($A654)=10,DAY($A654)&gt;=15),MONTH($A654)=11,AND(MONTH($A654)=12,DAY($A654)&lt;=7)),1,0)</f>
        <v>0</v>
      </c>
      <c r="F654" s="4" t="n">
        <f aca="false">IF(MONTH($A654)&lt;=3,1,0)</f>
        <v>0</v>
      </c>
      <c r="G654" s="4" t="str">
        <f aca="false" t="array" ref="G654: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4" t="n">
        <f aca="false">COUNTIF(Events!$A$2:$A$397,$A654)</f>
        <v>0</v>
      </c>
      <c r="I654" s="6" t="str">
        <f aca="false" t="array" ref="I654:I654">_xlfn.TEXTJOIN(" | ",TRUE(),IF(Events!$A$2:$A$397=$A654,Events!$E$2:$E$397&amp;IF(Events!$G$2:$G$397="National",""," ["&amp;Events!$G$2:$G$397&amp;"]"),""))</f>
        <v/>
      </c>
    </row>
    <row r="655" customFormat="false" ht="15" hidden="false" customHeight="true" outlineLevel="0" collapsed="false">
      <c r="A655" s="3" t="n">
        <v>45945</v>
      </c>
      <c r="B655" s="4" t="n">
        <f aca="false">YEAR($A655)</f>
        <v>2025</v>
      </c>
      <c r="C655" s="4" t="n">
        <f aca="false">MONTH($A655)</f>
        <v>10</v>
      </c>
      <c r="D655" s="4" t="str">
        <f aca="false">TEXT($A655,"ddd")</f>
        <v>Wed</v>
      </c>
      <c r="E655" s="4" t="n">
        <f aca="false">IF(OR(AND(MONTH($A655)=10,DAY($A655)&gt;=15),MONTH($A655)=11,AND(MONTH($A655)=12,DAY($A655)&lt;=7)),1,0)</f>
        <v>1</v>
      </c>
      <c r="F655" s="4" t="n">
        <f aca="false">IF(MONTH($A655)&lt;=3,1,0)</f>
        <v>0</v>
      </c>
      <c r="G655" s="4" t="str">
        <f aca="false" t="array" ref="G655: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4" t="n">
        <f aca="false">COUNTIF(Events!$A$2:$A$397,$A655)</f>
        <v>2</v>
      </c>
      <c r="I655" s="6" t="str">
        <f aca="false" t="array" ref="I655:I655">_xlfn.TEXTJOIN(" | ",TRUE(),IF(Events!$A$2:$A$397=$A655,Events!$E$2:$E$397&amp;IF(Events!$G$2:$G$397="National",""," ["&amp;Events!$G$2:$G$397&amp;"]"),""))</f>
        <v>AEP opens with California's new Medi-Medi (exclusively aligned D-SNP) plans available for enrollment statewide for 1/1/2026 coverage start || C-SNP: CA's closure of non-aligned D-SNP enrollment creates steering pressure toward C-SNPs for duals not in aligned plans (largest state market).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customFormat="false" ht="15" hidden="false" customHeight="true" outlineLevel="0" collapsed="false">
      <c r="A656" s="3" t="n">
        <v>45946</v>
      </c>
      <c r="B656" s="4" t="n">
        <f aca="false">YEAR($A656)</f>
        <v>2025</v>
      </c>
      <c r="C656" s="4" t="n">
        <f aca="false">MONTH($A656)</f>
        <v>10</v>
      </c>
      <c r="D656" s="4" t="str">
        <f aca="false">TEXT($A656,"ddd")</f>
        <v>Thu</v>
      </c>
      <c r="E656" s="4" t="n">
        <f aca="false">IF(OR(AND(MONTH($A656)=10,DAY($A656)&gt;=15),MONTH($A656)=11,AND(MONTH($A656)=12,DAY($A656)&lt;=7)),1,0)</f>
        <v>1</v>
      </c>
      <c r="F656" s="4" t="n">
        <f aca="false">IF(MONTH($A656)&lt;=3,1,0)</f>
        <v>0</v>
      </c>
      <c r="G656" s="4" t="str">
        <f aca="false" t="array" ref="G656: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4" t="n">
        <f aca="false">COUNTIF(Events!$A$2:$A$397,$A656)</f>
        <v>0</v>
      </c>
      <c r="I656" s="6" t="str">
        <f aca="false" t="array" ref="I656:I656">_xlfn.TEXTJOIN(" | ",TRUE(),IF(Events!$A$2:$A$397=$A656,Events!$E$2:$E$397&amp;IF(Events!$G$2:$G$397="National",""," ["&amp;Events!$G$2:$G$397&amp;"]"),""))</f>
        <v/>
      </c>
    </row>
    <row r="657" customFormat="false" ht="15" hidden="false" customHeight="true" outlineLevel="0" collapsed="false">
      <c r="A657" s="3" t="n">
        <v>45947</v>
      </c>
      <c r="B657" s="4" t="n">
        <f aca="false">YEAR($A657)</f>
        <v>2025</v>
      </c>
      <c r="C657" s="4" t="n">
        <f aca="false">MONTH($A657)</f>
        <v>10</v>
      </c>
      <c r="D657" s="4" t="str">
        <f aca="false">TEXT($A657,"ddd")</f>
        <v>Fri</v>
      </c>
      <c r="E657" s="4" t="n">
        <f aca="false">IF(OR(AND(MONTH($A657)=10,DAY($A657)&gt;=15),MONTH($A657)=11,AND(MONTH($A657)=12,DAY($A657)&lt;=7)),1,0)</f>
        <v>1</v>
      </c>
      <c r="F657" s="4" t="n">
        <f aca="false">IF(MONTH($A657)&lt;=3,1,0)</f>
        <v>0</v>
      </c>
      <c r="G657" s="4" t="str">
        <f aca="false" t="array" ref="G657: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4" t="n">
        <f aca="false">COUNTIF(Events!$A$2:$A$397,$A657)</f>
        <v>0</v>
      </c>
      <c r="I657" s="6" t="str">
        <f aca="false" t="array" ref="I657:I657">_xlfn.TEXTJOIN(" | ",TRUE(),IF(Events!$A$2:$A$397=$A657,Events!$E$2:$E$397&amp;IF(Events!$G$2:$G$397="National",""," ["&amp;Events!$G$2:$G$397&amp;"]"),""))</f>
        <v/>
      </c>
    </row>
    <row r="658" customFormat="false" ht="15" hidden="false" customHeight="true" outlineLevel="0" collapsed="false">
      <c r="A658" s="3" t="n">
        <v>45948</v>
      </c>
      <c r="B658" s="4" t="n">
        <f aca="false">YEAR($A658)</f>
        <v>2025</v>
      </c>
      <c r="C658" s="4" t="n">
        <f aca="false">MONTH($A658)</f>
        <v>10</v>
      </c>
      <c r="D658" s="4" t="str">
        <f aca="false">TEXT($A658,"ddd")</f>
        <v>Sat</v>
      </c>
      <c r="E658" s="4" t="n">
        <f aca="false">IF(OR(AND(MONTH($A658)=10,DAY($A658)&gt;=15),MONTH($A658)=11,AND(MONTH($A658)=12,DAY($A658)&lt;=7)),1,0)</f>
        <v>1</v>
      </c>
      <c r="F658" s="4" t="n">
        <f aca="false">IF(MONTH($A658)&lt;=3,1,0)</f>
        <v>0</v>
      </c>
      <c r="G658" s="4" t="str">
        <f aca="false" t="array" ref="G658: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4" t="n">
        <f aca="false">COUNTIF(Events!$A$2:$A$397,$A658)</f>
        <v>0</v>
      </c>
      <c r="I658" s="6" t="str">
        <f aca="false" t="array" ref="I658:I658">_xlfn.TEXTJOIN(" | ",TRUE(),IF(Events!$A$2:$A$397=$A658,Events!$E$2:$E$397&amp;IF(Events!$G$2:$G$397="National",""," ["&amp;Events!$G$2:$G$397&amp;"]"),""))</f>
        <v/>
      </c>
    </row>
    <row r="659" customFormat="false" ht="15" hidden="false" customHeight="true" outlineLevel="0" collapsed="false">
      <c r="A659" s="3" t="n">
        <v>45949</v>
      </c>
      <c r="B659" s="4" t="n">
        <f aca="false">YEAR($A659)</f>
        <v>2025</v>
      </c>
      <c r="C659" s="4" t="n">
        <f aca="false">MONTH($A659)</f>
        <v>10</v>
      </c>
      <c r="D659" s="4" t="str">
        <f aca="false">TEXT($A659,"ddd")</f>
        <v>Sun</v>
      </c>
      <c r="E659" s="4" t="n">
        <f aca="false">IF(OR(AND(MONTH($A659)=10,DAY($A659)&gt;=15),MONTH($A659)=11,AND(MONTH($A659)=12,DAY($A659)&lt;=7)),1,0)</f>
        <v>1</v>
      </c>
      <c r="F659" s="4" t="n">
        <f aca="false">IF(MONTH($A659)&lt;=3,1,0)</f>
        <v>0</v>
      </c>
      <c r="G659" s="4" t="str">
        <f aca="false" t="array" ref="G659: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4" t="n">
        <f aca="false">COUNTIF(Events!$A$2:$A$397,$A659)</f>
        <v>0</v>
      </c>
      <c r="I659" s="6" t="str">
        <f aca="false" t="array" ref="I659:I659">_xlfn.TEXTJOIN(" | ",TRUE(),IF(Events!$A$2:$A$397=$A659,Events!$E$2:$E$397&amp;IF(Events!$G$2:$G$397="National",""," ["&amp;Events!$G$2:$G$397&amp;"]"),""))</f>
        <v/>
      </c>
    </row>
    <row r="660" customFormat="false" ht="15" hidden="false" customHeight="true" outlineLevel="0" collapsed="false">
      <c r="A660" s="3" t="n">
        <v>45950</v>
      </c>
      <c r="B660" s="4" t="n">
        <f aca="false">YEAR($A660)</f>
        <v>2025</v>
      </c>
      <c r="C660" s="4" t="n">
        <f aca="false">MONTH($A660)</f>
        <v>10</v>
      </c>
      <c r="D660" s="4" t="str">
        <f aca="false">TEXT($A660,"ddd")</f>
        <v>Mon</v>
      </c>
      <c r="E660" s="4" t="n">
        <f aca="false">IF(OR(AND(MONTH($A660)=10,DAY($A660)&gt;=15),MONTH($A660)=11,AND(MONTH($A660)=12,DAY($A660)&lt;=7)),1,0)</f>
        <v>1</v>
      </c>
      <c r="F660" s="4" t="n">
        <f aca="false">IF(MONTH($A660)&lt;=3,1,0)</f>
        <v>0</v>
      </c>
      <c r="G660" s="4" t="str">
        <f aca="false" t="array" ref="G660: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4" t="n">
        <f aca="false">COUNTIF(Events!$A$2:$A$397,$A660)</f>
        <v>0</v>
      </c>
      <c r="I660" s="6" t="str">
        <f aca="false" t="array" ref="I660:I660">_xlfn.TEXTJOIN(" | ",TRUE(),IF(Events!$A$2:$A$397=$A660,Events!$E$2:$E$397&amp;IF(Events!$G$2:$G$397="National",""," ["&amp;Events!$G$2:$G$397&amp;"]"),""))</f>
        <v/>
      </c>
    </row>
    <row r="661" customFormat="false" ht="15" hidden="false" customHeight="true" outlineLevel="0" collapsed="false">
      <c r="A661" s="3" t="n">
        <v>45951</v>
      </c>
      <c r="B661" s="4" t="n">
        <f aca="false">YEAR($A661)</f>
        <v>2025</v>
      </c>
      <c r="C661" s="4" t="n">
        <f aca="false">MONTH($A661)</f>
        <v>10</v>
      </c>
      <c r="D661" s="4" t="str">
        <f aca="false">TEXT($A661,"ddd")</f>
        <v>Tue</v>
      </c>
      <c r="E661" s="4" t="n">
        <f aca="false">IF(OR(AND(MONTH($A661)=10,DAY($A661)&gt;=15),MONTH($A661)=11,AND(MONTH($A661)=12,DAY($A661)&lt;=7)),1,0)</f>
        <v>1</v>
      </c>
      <c r="F661" s="4" t="n">
        <f aca="false">IF(MONTH($A661)&lt;=3,1,0)</f>
        <v>0</v>
      </c>
      <c r="G661" s="4" t="str">
        <f aca="false" t="array" ref="G661: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4" t="n">
        <f aca="false">COUNTIF(Events!$A$2:$A$397,$A661)</f>
        <v>0</v>
      </c>
      <c r="I661" s="6" t="str">
        <f aca="false" t="array" ref="I661:I661">_xlfn.TEXTJOIN(" | ",TRUE(),IF(Events!$A$2:$A$397=$A661,Events!$E$2:$E$397&amp;IF(Events!$G$2:$G$397="National",""," ["&amp;Events!$G$2:$G$397&amp;"]"),""))</f>
        <v/>
      </c>
    </row>
    <row r="662" customFormat="false" ht="15" hidden="false" customHeight="true" outlineLevel="0" collapsed="false">
      <c r="A662" s="3" t="n">
        <v>45952</v>
      </c>
      <c r="B662" s="4" t="n">
        <f aca="false">YEAR($A662)</f>
        <v>2025</v>
      </c>
      <c r="C662" s="4" t="n">
        <f aca="false">MONTH($A662)</f>
        <v>10</v>
      </c>
      <c r="D662" s="4" t="str">
        <f aca="false">TEXT($A662,"ddd")</f>
        <v>Wed</v>
      </c>
      <c r="E662" s="4" t="n">
        <f aca="false">IF(OR(AND(MONTH($A662)=10,DAY($A662)&gt;=15),MONTH($A662)=11,AND(MONTH($A662)=12,DAY($A662)&lt;=7)),1,0)</f>
        <v>1</v>
      </c>
      <c r="F662" s="4" t="n">
        <f aca="false">IF(MONTH($A662)&lt;=3,1,0)</f>
        <v>0</v>
      </c>
      <c r="G662" s="4" t="str">
        <f aca="false" t="array" ref="G662: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4" t="n">
        <f aca="false">COUNTIF(Events!$A$2:$A$397,$A662)</f>
        <v>0</v>
      </c>
      <c r="I662" s="6" t="str">
        <f aca="false" t="array" ref="I662:I662">_xlfn.TEXTJOIN(" | ",TRUE(),IF(Events!$A$2:$A$397=$A662,Events!$E$2:$E$397&amp;IF(Events!$G$2:$G$397="National",""," ["&amp;Events!$G$2:$G$397&amp;"]"),""))</f>
        <v/>
      </c>
    </row>
    <row r="663" customFormat="false" ht="15" hidden="false" customHeight="true" outlineLevel="0" collapsed="false">
      <c r="A663" s="3" t="n">
        <v>45953</v>
      </c>
      <c r="B663" s="4" t="n">
        <f aca="false">YEAR($A663)</f>
        <v>2025</v>
      </c>
      <c r="C663" s="4" t="n">
        <f aca="false">MONTH($A663)</f>
        <v>10</v>
      </c>
      <c r="D663" s="4" t="str">
        <f aca="false">TEXT($A663,"ddd")</f>
        <v>Thu</v>
      </c>
      <c r="E663" s="4" t="n">
        <f aca="false">IF(OR(AND(MONTH($A663)=10,DAY($A663)&gt;=15),MONTH($A663)=11,AND(MONTH($A663)=12,DAY($A663)&lt;=7)),1,0)</f>
        <v>1</v>
      </c>
      <c r="F663" s="4" t="n">
        <f aca="false">IF(MONTH($A663)&lt;=3,1,0)</f>
        <v>0</v>
      </c>
      <c r="G663" s="4" t="str">
        <f aca="false" t="array" ref="G663: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4" t="n">
        <f aca="false">COUNTIF(Events!$A$2:$A$397,$A663)</f>
        <v>0</v>
      </c>
      <c r="I663" s="6" t="str">
        <f aca="false" t="array" ref="I663:I663">_xlfn.TEXTJOIN(" | ",TRUE(),IF(Events!$A$2:$A$397=$A663,Events!$E$2:$E$397&amp;IF(Events!$G$2:$G$397="National",""," ["&amp;Events!$G$2:$G$397&amp;"]"),""))</f>
        <v/>
      </c>
    </row>
    <row r="664" customFormat="false" ht="15" hidden="false" customHeight="true" outlineLevel="0" collapsed="false">
      <c r="A664" s="3" t="n">
        <v>45954</v>
      </c>
      <c r="B664" s="4" t="n">
        <f aca="false">YEAR($A664)</f>
        <v>2025</v>
      </c>
      <c r="C664" s="4" t="n">
        <f aca="false">MONTH($A664)</f>
        <v>10</v>
      </c>
      <c r="D664" s="4" t="str">
        <f aca="false">TEXT($A664,"ddd")</f>
        <v>Fri</v>
      </c>
      <c r="E664" s="4" t="n">
        <f aca="false">IF(OR(AND(MONTH($A664)=10,DAY($A664)&gt;=15),MONTH($A664)=11,AND(MONTH($A664)=12,DAY($A664)&lt;=7)),1,0)</f>
        <v>1</v>
      </c>
      <c r="F664" s="4" t="n">
        <f aca="false">IF(MONTH($A664)&lt;=3,1,0)</f>
        <v>0</v>
      </c>
      <c r="G664" s="4" t="str">
        <f aca="false" t="array" ref="G664: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4" t="n">
        <f aca="false">COUNTIF(Events!$A$2:$A$397,$A664)</f>
        <v>0</v>
      </c>
      <c r="I664" s="6" t="str">
        <f aca="false" t="array" ref="I664:I664">_xlfn.TEXTJOIN(" | ",TRUE(),IF(Events!$A$2:$A$397=$A664,Events!$E$2:$E$397&amp;IF(Events!$G$2:$G$397="National",""," ["&amp;Events!$G$2:$G$397&amp;"]"),""))</f>
        <v/>
      </c>
    </row>
    <row r="665" customFormat="false" ht="15" hidden="false" customHeight="true" outlineLevel="0" collapsed="false">
      <c r="A665" s="3" t="n">
        <v>45955</v>
      </c>
      <c r="B665" s="4" t="n">
        <f aca="false">YEAR($A665)</f>
        <v>2025</v>
      </c>
      <c r="C665" s="4" t="n">
        <f aca="false">MONTH($A665)</f>
        <v>10</v>
      </c>
      <c r="D665" s="4" t="str">
        <f aca="false">TEXT($A665,"ddd")</f>
        <v>Sat</v>
      </c>
      <c r="E665" s="4" t="n">
        <f aca="false">IF(OR(AND(MONTH($A665)=10,DAY($A665)&gt;=15),MONTH($A665)=11,AND(MONTH($A665)=12,DAY($A665)&lt;=7)),1,0)</f>
        <v>1</v>
      </c>
      <c r="F665" s="4" t="n">
        <f aca="false">IF(MONTH($A665)&lt;=3,1,0)</f>
        <v>0</v>
      </c>
      <c r="G665" s="4" t="str">
        <f aca="false" t="array" ref="G665: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4" t="n">
        <f aca="false">COUNTIF(Events!$A$2:$A$397,$A665)</f>
        <v>0</v>
      </c>
      <c r="I665" s="6" t="str">
        <f aca="false" t="array" ref="I665:I665">_xlfn.TEXTJOIN(" | ",TRUE(),IF(Events!$A$2:$A$397=$A665,Events!$E$2:$E$397&amp;IF(Events!$G$2:$G$397="National",""," ["&amp;Events!$G$2:$G$397&amp;"]"),""))</f>
        <v/>
      </c>
    </row>
    <row r="666" customFormat="false" ht="15" hidden="false" customHeight="true" outlineLevel="0" collapsed="false">
      <c r="A666" s="3" t="n">
        <v>45956</v>
      </c>
      <c r="B666" s="4" t="n">
        <f aca="false">YEAR($A666)</f>
        <v>2025</v>
      </c>
      <c r="C666" s="4" t="n">
        <f aca="false">MONTH($A666)</f>
        <v>10</v>
      </c>
      <c r="D666" s="4" t="str">
        <f aca="false">TEXT($A666,"ddd")</f>
        <v>Sun</v>
      </c>
      <c r="E666" s="4" t="n">
        <f aca="false">IF(OR(AND(MONTH($A666)=10,DAY($A666)&gt;=15),MONTH($A666)=11,AND(MONTH($A666)=12,DAY($A666)&lt;=7)),1,0)</f>
        <v>1</v>
      </c>
      <c r="F666" s="4" t="n">
        <f aca="false">IF(MONTH($A666)&lt;=3,1,0)</f>
        <v>0</v>
      </c>
      <c r="G666" s="4" t="str">
        <f aca="false" t="array" ref="G666: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4" t="n">
        <f aca="false">COUNTIF(Events!$A$2:$A$397,$A666)</f>
        <v>0</v>
      </c>
      <c r="I666" s="6" t="str">
        <f aca="false" t="array" ref="I666:I666">_xlfn.TEXTJOIN(" | ",TRUE(),IF(Events!$A$2:$A$397=$A666,Events!$E$2:$E$397&amp;IF(Events!$G$2:$G$397="National",""," ["&amp;Events!$G$2:$G$397&amp;"]"),""))</f>
        <v/>
      </c>
    </row>
    <row r="667" customFormat="false" ht="15" hidden="false" customHeight="true" outlineLevel="0" collapsed="false">
      <c r="A667" s="3" t="n">
        <v>45957</v>
      </c>
      <c r="B667" s="4" t="n">
        <f aca="false">YEAR($A667)</f>
        <v>2025</v>
      </c>
      <c r="C667" s="4" t="n">
        <f aca="false">MONTH($A667)</f>
        <v>10</v>
      </c>
      <c r="D667" s="4" t="str">
        <f aca="false">TEXT($A667,"ddd")</f>
        <v>Mon</v>
      </c>
      <c r="E667" s="4" t="n">
        <f aca="false">IF(OR(AND(MONTH($A667)=10,DAY($A667)&gt;=15),MONTH($A667)=11,AND(MONTH($A667)=12,DAY($A667)&lt;=7)),1,0)</f>
        <v>1</v>
      </c>
      <c r="F667" s="4" t="n">
        <f aca="false">IF(MONTH($A667)&lt;=3,1,0)</f>
        <v>0</v>
      </c>
      <c r="G667" s="4" t="str">
        <f aca="false" t="array" ref="G667: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4" t="n">
        <f aca="false">COUNTIF(Events!$A$2:$A$397,$A667)</f>
        <v>0</v>
      </c>
      <c r="I667" s="6" t="str">
        <f aca="false" t="array" ref="I667:I667">_xlfn.TEXTJOIN(" | ",TRUE(),IF(Events!$A$2:$A$397=$A667,Events!$E$2:$E$397&amp;IF(Events!$G$2:$G$397="National",""," ["&amp;Events!$G$2:$G$397&amp;"]"),""))</f>
        <v/>
      </c>
    </row>
    <row r="668" customFormat="false" ht="15" hidden="false" customHeight="true" outlineLevel="0" collapsed="false">
      <c r="A668" s="3" t="n">
        <v>45958</v>
      </c>
      <c r="B668" s="4" t="n">
        <f aca="false">YEAR($A668)</f>
        <v>2025</v>
      </c>
      <c r="C668" s="4" t="n">
        <f aca="false">MONTH($A668)</f>
        <v>10</v>
      </c>
      <c r="D668" s="4" t="str">
        <f aca="false">TEXT($A668,"ddd")</f>
        <v>Tue</v>
      </c>
      <c r="E668" s="4" t="n">
        <f aca="false">IF(OR(AND(MONTH($A668)=10,DAY($A668)&gt;=15),MONTH($A668)=11,AND(MONTH($A668)=12,DAY($A668)&lt;=7)),1,0)</f>
        <v>1</v>
      </c>
      <c r="F668" s="4" t="n">
        <f aca="false">IF(MONTH($A668)&lt;=3,1,0)</f>
        <v>0</v>
      </c>
      <c r="G668" s="4" t="str">
        <f aca="false" t="array" ref="G668: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4" t="n">
        <f aca="false">COUNTIF(Events!$A$2:$A$397,$A668)</f>
        <v>0</v>
      </c>
      <c r="I668" s="6" t="str">
        <f aca="false" t="array" ref="I668:I668">_xlfn.TEXTJOIN(" | ",TRUE(),IF(Events!$A$2:$A$397=$A668,Events!$E$2:$E$397&amp;IF(Events!$G$2:$G$397="National",""," ["&amp;Events!$G$2:$G$397&amp;"]"),""))</f>
        <v/>
      </c>
    </row>
    <row r="669" customFormat="false" ht="15" hidden="false" customHeight="true" outlineLevel="0" collapsed="false">
      <c r="A669" s="3" t="n">
        <v>45959</v>
      </c>
      <c r="B669" s="4" t="n">
        <f aca="false">YEAR($A669)</f>
        <v>2025</v>
      </c>
      <c r="C669" s="4" t="n">
        <f aca="false">MONTH($A669)</f>
        <v>10</v>
      </c>
      <c r="D669" s="4" t="str">
        <f aca="false">TEXT($A669,"ddd")</f>
        <v>Wed</v>
      </c>
      <c r="E669" s="4" t="n">
        <f aca="false">IF(OR(AND(MONTH($A669)=10,DAY($A669)&gt;=15),MONTH($A669)=11,AND(MONTH($A669)=12,DAY($A669)&lt;=7)),1,0)</f>
        <v>1</v>
      </c>
      <c r="F669" s="4" t="n">
        <f aca="false">IF(MONTH($A669)&lt;=3,1,0)</f>
        <v>0</v>
      </c>
      <c r="G669" s="4" t="str">
        <f aca="false" t="array" ref="G669: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4" t="n">
        <f aca="false">COUNTIF(Events!$A$2:$A$397,$A669)</f>
        <v>0</v>
      </c>
      <c r="I669" s="6" t="str">
        <f aca="false" t="array" ref="I669:I669">_xlfn.TEXTJOIN(" | ",TRUE(),IF(Events!$A$2:$A$397=$A669,Events!$E$2:$E$397&amp;IF(Events!$G$2:$G$397="National",""," ["&amp;Events!$G$2:$G$397&amp;"]"),""))</f>
        <v/>
      </c>
    </row>
    <row r="670" customFormat="false" ht="15" hidden="false" customHeight="true" outlineLevel="0" collapsed="false">
      <c r="A670" s="3" t="n">
        <v>45960</v>
      </c>
      <c r="B670" s="4" t="n">
        <f aca="false">YEAR($A670)</f>
        <v>2025</v>
      </c>
      <c r="C670" s="4" t="n">
        <f aca="false">MONTH($A670)</f>
        <v>10</v>
      </c>
      <c r="D670" s="4" t="str">
        <f aca="false">TEXT($A670,"ddd")</f>
        <v>Thu</v>
      </c>
      <c r="E670" s="4" t="n">
        <f aca="false">IF(OR(AND(MONTH($A670)=10,DAY($A670)&gt;=15),MONTH($A670)=11,AND(MONTH($A670)=12,DAY($A670)&lt;=7)),1,0)</f>
        <v>1</v>
      </c>
      <c r="F670" s="4" t="n">
        <f aca="false">IF(MONTH($A670)&lt;=3,1,0)</f>
        <v>0</v>
      </c>
      <c r="G670" s="4" t="str">
        <f aca="false" t="array" ref="G670: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
      </c>
      <c r="H670" s="4" t="n">
        <f aca="false">COUNTIF(Events!$A$2:$A$397,$A670)</f>
        <v>0</v>
      </c>
      <c r="I670" s="6" t="str">
        <f aca="false" t="array" ref="I670:I670">_xlfn.TEXTJOIN(" | ",TRUE(),IF(Events!$A$2:$A$397=$A670,Events!$E$2:$E$397&amp;IF(Events!$G$2:$G$397="National",""," ["&amp;Events!$G$2:$G$397&amp;"]"),""))</f>
        <v/>
      </c>
    </row>
    <row r="671" customFormat="false" ht="15" hidden="false" customHeight="true" outlineLevel="0" collapsed="false">
      <c r="A671" s="3" t="n">
        <v>45961</v>
      </c>
      <c r="B671" s="4" t="n">
        <f aca="false">YEAR($A671)</f>
        <v>2025</v>
      </c>
      <c r="C671" s="4" t="n">
        <f aca="false">MONTH($A671)</f>
        <v>10</v>
      </c>
      <c r="D671" s="4" t="str">
        <f aca="false">TEXT($A671,"ddd")</f>
        <v>Fri</v>
      </c>
      <c r="E671" s="4" t="n">
        <f aca="false">IF(OR(AND(MONTH($A671)=10,DAY($A671)&gt;=15),MONTH($A671)=11,AND(MONTH($A671)=12,DAY($A671)&lt;=7)),1,0)</f>
        <v>1</v>
      </c>
      <c r="F671" s="4" t="n">
        <f aca="false">IF(MONTH($A671)&lt;=3,1,0)</f>
        <v>0</v>
      </c>
      <c r="G671" s="4" t="str">
        <f aca="false" t="array" ref="G671: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 | 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1" s="4" t="n">
        <f aca="false">COUNTIF(Events!$A$2:$A$397,$A671)</f>
        <v>0</v>
      </c>
      <c r="I671" s="6" t="str">
        <f aca="false" t="array" ref="I671:I671">_xlfn.TEXTJOIN(" | ",TRUE(),IF(Events!$A$2:$A$397=$A671,Events!$E$2:$E$397&amp;IF(Events!$G$2:$G$397="National",""," ["&amp;Events!$G$2:$G$397&amp;"]"),""))</f>
        <v/>
      </c>
    </row>
    <row r="672" customFormat="false" ht="15" hidden="false" customHeight="true" outlineLevel="0" collapsed="false">
      <c r="A672" s="3" t="n">
        <v>45962</v>
      </c>
      <c r="B672" s="4" t="n">
        <f aca="false">YEAR($A672)</f>
        <v>2025</v>
      </c>
      <c r="C672" s="4" t="n">
        <f aca="false">MONTH($A672)</f>
        <v>11</v>
      </c>
      <c r="D672" s="4" t="str">
        <f aca="false">TEXT($A672,"ddd")</f>
        <v>Sat</v>
      </c>
      <c r="E672" s="4" t="n">
        <f aca="false">IF(OR(AND(MONTH($A672)=10,DAY($A672)&gt;=15),MONTH($A672)=11,AND(MONTH($A672)=12,DAY($A672)&lt;=7)),1,0)</f>
        <v>1</v>
      </c>
      <c r="F672" s="4" t="n">
        <f aca="false">IF(MONTH($A672)&lt;=3,1,0)</f>
        <v>0</v>
      </c>
      <c r="G672" s="4" t="str">
        <f aca="false" t="array" ref="G672: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4" t="n">
        <f aca="false">COUNTIF(Events!$A$2:$A$397,$A672)</f>
        <v>0</v>
      </c>
      <c r="I672" s="6" t="str">
        <f aca="false" t="array" ref="I672:I672">_xlfn.TEXTJOIN(" | ",TRUE(),IF(Events!$A$2:$A$397=$A672,Events!$E$2:$E$397&amp;IF(Events!$G$2:$G$397="National",""," ["&amp;Events!$G$2:$G$397&amp;"]"),""))</f>
        <v/>
      </c>
    </row>
    <row r="673" customFormat="false" ht="15" hidden="false" customHeight="true" outlineLevel="0" collapsed="false">
      <c r="A673" s="3" t="n">
        <v>45963</v>
      </c>
      <c r="B673" s="4" t="n">
        <f aca="false">YEAR($A673)</f>
        <v>2025</v>
      </c>
      <c r="C673" s="4" t="n">
        <f aca="false">MONTH($A673)</f>
        <v>11</v>
      </c>
      <c r="D673" s="4" t="str">
        <f aca="false">TEXT($A673,"ddd")</f>
        <v>Sun</v>
      </c>
      <c r="E673" s="4" t="n">
        <f aca="false">IF(OR(AND(MONTH($A673)=10,DAY($A673)&gt;=15),MONTH($A673)=11,AND(MONTH($A673)=12,DAY($A673)&lt;=7)),1,0)</f>
        <v>1</v>
      </c>
      <c r="F673" s="4" t="n">
        <f aca="false">IF(MONTH($A673)&lt;=3,1,0)</f>
        <v>0</v>
      </c>
      <c r="G673" s="4" t="str">
        <f aca="false" t="array" ref="G673: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4" t="n">
        <f aca="false">COUNTIF(Events!$A$2:$A$397,$A673)</f>
        <v>0</v>
      </c>
      <c r="I673" s="6" t="str">
        <f aca="false" t="array" ref="I673:I673">_xlfn.TEXTJOIN(" | ",TRUE(),IF(Events!$A$2:$A$397=$A673,Events!$E$2:$E$397&amp;IF(Events!$G$2:$G$397="National",""," ["&amp;Events!$G$2:$G$397&amp;"]"),""))</f>
        <v/>
      </c>
    </row>
    <row r="674" customFormat="false" ht="15" hidden="false" customHeight="true" outlineLevel="0" collapsed="false">
      <c r="A674" s="3" t="n">
        <v>45964</v>
      </c>
      <c r="B674" s="4" t="n">
        <f aca="false">YEAR($A674)</f>
        <v>2025</v>
      </c>
      <c r="C674" s="4" t="n">
        <f aca="false">MONTH($A674)</f>
        <v>11</v>
      </c>
      <c r="D674" s="4" t="str">
        <f aca="false">TEXT($A674,"ddd")</f>
        <v>Mon</v>
      </c>
      <c r="E674" s="4" t="n">
        <f aca="false">IF(OR(AND(MONTH($A674)=10,DAY($A674)&gt;=15),MONTH($A674)=11,AND(MONTH($A674)=12,DAY($A674)&lt;=7)),1,0)</f>
        <v>1</v>
      </c>
      <c r="F674" s="4" t="n">
        <f aca="false">IF(MONTH($A674)&lt;=3,1,0)</f>
        <v>0</v>
      </c>
      <c r="G674" s="4" t="str">
        <f aca="false" t="array" ref="G674: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4" t="n">
        <f aca="false">COUNTIF(Events!$A$2:$A$397,$A674)</f>
        <v>0</v>
      </c>
      <c r="I674" s="6" t="str">
        <f aca="false" t="array" ref="I674:I674">_xlfn.TEXTJOIN(" | ",TRUE(),IF(Events!$A$2:$A$397=$A674,Events!$E$2:$E$397&amp;IF(Events!$G$2:$G$397="National",""," ["&amp;Events!$G$2:$G$397&amp;"]"),""))</f>
        <v/>
      </c>
    </row>
    <row r="675" customFormat="false" ht="15" hidden="false" customHeight="true" outlineLevel="0" collapsed="false">
      <c r="A675" s="3" t="n">
        <v>45965</v>
      </c>
      <c r="B675" s="4" t="n">
        <f aca="false">YEAR($A675)</f>
        <v>2025</v>
      </c>
      <c r="C675" s="4" t="n">
        <f aca="false">MONTH($A675)</f>
        <v>11</v>
      </c>
      <c r="D675" s="4" t="str">
        <f aca="false">TEXT($A675,"ddd")</f>
        <v>Tue</v>
      </c>
      <c r="E675" s="4" t="n">
        <f aca="false">IF(OR(AND(MONTH($A675)=10,DAY($A675)&gt;=15),MONTH($A675)=11,AND(MONTH($A675)=12,DAY($A675)&lt;=7)),1,0)</f>
        <v>1</v>
      </c>
      <c r="F675" s="4" t="n">
        <f aca="false">IF(MONTH($A675)&lt;=3,1,0)</f>
        <v>0</v>
      </c>
      <c r="G675" s="4" t="str">
        <f aca="false" t="array" ref="G675: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4" t="n">
        <f aca="false">COUNTIF(Events!$A$2:$A$397,$A675)</f>
        <v>0</v>
      </c>
      <c r="I675" s="6" t="str">
        <f aca="false" t="array" ref="I675:I675">_xlfn.TEXTJOIN(" | ",TRUE(),IF(Events!$A$2:$A$397=$A675,Events!$E$2:$E$397&amp;IF(Events!$G$2:$G$397="National",""," ["&amp;Events!$G$2:$G$397&amp;"]"),""))</f>
        <v/>
      </c>
    </row>
    <row r="676" customFormat="false" ht="15" hidden="false" customHeight="true" outlineLevel="0" collapsed="false">
      <c r="A676" s="3" t="n">
        <v>45966</v>
      </c>
      <c r="B676" s="4" t="n">
        <f aca="false">YEAR($A676)</f>
        <v>2025</v>
      </c>
      <c r="C676" s="4" t="n">
        <f aca="false">MONTH($A676)</f>
        <v>11</v>
      </c>
      <c r="D676" s="4" t="str">
        <f aca="false">TEXT($A676,"ddd")</f>
        <v>Wed</v>
      </c>
      <c r="E676" s="4" t="n">
        <f aca="false">IF(OR(AND(MONTH($A676)=10,DAY($A676)&gt;=15),MONTH($A676)=11,AND(MONTH($A676)=12,DAY($A676)&lt;=7)),1,0)</f>
        <v>1</v>
      </c>
      <c r="F676" s="4" t="n">
        <f aca="false">IF(MONTH($A676)&lt;=3,1,0)</f>
        <v>0</v>
      </c>
      <c r="G676" s="4" t="str">
        <f aca="false" t="array" ref="G676: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4" t="n">
        <f aca="false">COUNTIF(Events!$A$2:$A$397,$A676)</f>
        <v>0</v>
      </c>
      <c r="I676" s="6" t="str">
        <f aca="false" t="array" ref="I676:I676">_xlfn.TEXTJOIN(" | ",TRUE(),IF(Events!$A$2:$A$397=$A676,Events!$E$2:$E$397&amp;IF(Events!$G$2:$G$397="National",""," ["&amp;Events!$G$2:$G$397&amp;"]"),""))</f>
        <v/>
      </c>
    </row>
    <row r="677" customFormat="false" ht="15" hidden="false" customHeight="true" outlineLevel="0" collapsed="false">
      <c r="A677" s="3" t="n">
        <v>45967</v>
      </c>
      <c r="B677" s="4" t="n">
        <f aca="false">YEAR($A677)</f>
        <v>2025</v>
      </c>
      <c r="C677" s="4" t="n">
        <f aca="false">MONTH($A677)</f>
        <v>11</v>
      </c>
      <c r="D677" s="4" t="str">
        <f aca="false">TEXT($A677,"ddd")</f>
        <v>Thu</v>
      </c>
      <c r="E677" s="4" t="n">
        <f aca="false">IF(OR(AND(MONTH($A677)=10,DAY($A677)&gt;=15),MONTH($A677)=11,AND(MONTH($A677)=12,DAY($A677)&lt;=7)),1,0)</f>
        <v>1</v>
      </c>
      <c r="F677" s="4" t="n">
        <f aca="false">IF(MONTH($A677)&lt;=3,1,0)</f>
        <v>0</v>
      </c>
      <c r="G677" s="4" t="str">
        <f aca="false" t="array" ref="G677: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4" t="n">
        <f aca="false">COUNTIF(Events!$A$2:$A$397,$A677)</f>
        <v>0</v>
      </c>
      <c r="I677" s="6" t="str">
        <f aca="false" t="array" ref="I677:I677">_xlfn.TEXTJOIN(" | ",TRUE(),IF(Events!$A$2:$A$397=$A677,Events!$E$2:$E$397&amp;IF(Events!$G$2:$G$397="National",""," ["&amp;Events!$G$2:$G$397&amp;"]"),""))</f>
        <v/>
      </c>
    </row>
    <row r="678" customFormat="false" ht="15" hidden="false" customHeight="true" outlineLevel="0" collapsed="false">
      <c r="A678" s="3" t="n">
        <v>45968</v>
      </c>
      <c r="B678" s="4" t="n">
        <f aca="false">YEAR($A678)</f>
        <v>2025</v>
      </c>
      <c r="C678" s="4" t="n">
        <f aca="false">MONTH($A678)</f>
        <v>11</v>
      </c>
      <c r="D678" s="4" t="str">
        <f aca="false">TEXT($A678,"ddd")</f>
        <v>Fri</v>
      </c>
      <c r="E678" s="4" t="n">
        <f aca="false">IF(OR(AND(MONTH($A678)=10,DAY($A678)&gt;=15),MONTH($A678)=11,AND(MONTH($A678)=12,DAY($A678)&lt;=7)),1,0)</f>
        <v>1</v>
      </c>
      <c r="F678" s="4" t="n">
        <f aca="false">IF(MONTH($A678)&lt;=3,1,0)</f>
        <v>0</v>
      </c>
      <c r="G678" s="4" t="str">
        <f aca="false" t="array" ref="G678: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4" t="n">
        <f aca="false">COUNTIF(Events!$A$2:$A$397,$A678)</f>
        <v>0</v>
      </c>
      <c r="I678" s="6" t="str">
        <f aca="false" t="array" ref="I678:I678">_xlfn.TEXTJOIN(" | ",TRUE(),IF(Events!$A$2:$A$397=$A678,Events!$E$2:$E$397&amp;IF(Events!$G$2:$G$397="National",""," ["&amp;Events!$G$2:$G$397&amp;"]"),""))</f>
        <v/>
      </c>
    </row>
    <row r="679" customFormat="false" ht="15" hidden="false" customHeight="true" outlineLevel="0" collapsed="false">
      <c r="A679" s="3" t="n">
        <v>45969</v>
      </c>
      <c r="B679" s="4" t="n">
        <f aca="false">YEAR($A679)</f>
        <v>2025</v>
      </c>
      <c r="C679" s="4" t="n">
        <f aca="false">MONTH($A679)</f>
        <v>11</v>
      </c>
      <c r="D679" s="4" t="str">
        <f aca="false">TEXT($A679,"ddd")</f>
        <v>Sat</v>
      </c>
      <c r="E679" s="4" t="n">
        <f aca="false">IF(OR(AND(MONTH($A679)=10,DAY($A679)&gt;=15),MONTH($A679)=11,AND(MONTH($A679)=12,DAY($A679)&lt;=7)),1,0)</f>
        <v>1</v>
      </c>
      <c r="F679" s="4" t="n">
        <f aca="false">IF(MONTH($A679)&lt;=3,1,0)</f>
        <v>0</v>
      </c>
      <c r="G679" s="4" t="str">
        <f aca="false" t="array" ref="G679: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4" t="n">
        <f aca="false">COUNTIF(Events!$A$2:$A$397,$A679)</f>
        <v>0</v>
      </c>
      <c r="I679" s="6" t="str">
        <f aca="false" t="array" ref="I679:I679">_xlfn.TEXTJOIN(" | ",TRUE(),IF(Events!$A$2:$A$397=$A679,Events!$E$2:$E$397&amp;IF(Events!$G$2:$G$397="National",""," ["&amp;Events!$G$2:$G$397&amp;"]"),""))</f>
        <v/>
      </c>
    </row>
    <row r="680" customFormat="false" ht="15" hidden="false" customHeight="true" outlineLevel="0" collapsed="false">
      <c r="A680" s="3" t="n">
        <v>45970</v>
      </c>
      <c r="B680" s="4" t="n">
        <f aca="false">YEAR($A680)</f>
        <v>2025</v>
      </c>
      <c r="C680" s="4" t="n">
        <f aca="false">MONTH($A680)</f>
        <v>11</v>
      </c>
      <c r="D680" s="4" t="str">
        <f aca="false">TEXT($A680,"ddd")</f>
        <v>Sun</v>
      </c>
      <c r="E680" s="4" t="n">
        <f aca="false">IF(OR(AND(MONTH($A680)=10,DAY($A680)&gt;=15),MONTH($A680)=11,AND(MONTH($A680)=12,DAY($A680)&lt;=7)),1,0)</f>
        <v>1</v>
      </c>
      <c r="F680" s="4" t="n">
        <f aca="false">IF(MONTH($A680)&lt;=3,1,0)</f>
        <v>0</v>
      </c>
      <c r="G680" s="4" t="str">
        <f aca="false" t="array" ref="G680: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4" t="n">
        <f aca="false">COUNTIF(Events!$A$2:$A$397,$A680)</f>
        <v>0</v>
      </c>
      <c r="I680" s="6" t="str">
        <f aca="false" t="array" ref="I680:I680">_xlfn.TEXTJOIN(" | ",TRUE(),IF(Events!$A$2:$A$397=$A680,Events!$E$2:$E$397&amp;IF(Events!$G$2:$G$397="National",""," ["&amp;Events!$G$2:$G$397&amp;"]"),""))</f>
        <v/>
      </c>
    </row>
    <row r="681" customFormat="false" ht="15" hidden="false" customHeight="true" outlineLevel="0" collapsed="false">
      <c r="A681" s="3" t="n">
        <v>45971</v>
      </c>
      <c r="B681" s="4" t="n">
        <f aca="false">YEAR($A681)</f>
        <v>2025</v>
      </c>
      <c r="C681" s="4" t="n">
        <f aca="false">MONTH($A681)</f>
        <v>11</v>
      </c>
      <c r="D681" s="4" t="str">
        <f aca="false">TEXT($A681,"ddd")</f>
        <v>Mon</v>
      </c>
      <c r="E681" s="4" t="n">
        <f aca="false">IF(OR(AND(MONTH($A681)=10,DAY($A681)&gt;=15),MONTH($A681)=11,AND(MONTH($A681)=12,DAY($A681)&lt;=7)),1,0)</f>
        <v>1</v>
      </c>
      <c r="F681" s="4" t="n">
        <f aca="false">IF(MONTH($A681)&lt;=3,1,0)</f>
        <v>0</v>
      </c>
      <c r="G681" s="4" t="str">
        <f aca="false" t="array" ref="G681: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4" t="n">
        <f aca="false">COUNTIF(Events!$A$2:$A$397,$A681)</f>
        <v>0</v>
      </c>
      <c r="I681" s="6" t="str">
        <f aca="false" t="array" ref="I681:I681">_xlfn.TEXTJOIN(" | ",TRUE(),IF(Events!$A$2:$A$397=$A681,Events!$E$2:$E$397&amp;IF(Events!$G$2:$G$397="National",""," ["&amp;Events!$G$2:$G$397&amp;"]"),""))</f>
        <v/>
      </c>
    </row>
    <row r="682" customFormat="false" ht="15" hidden="false" customHeight="true" outlineLevel="0" collapsed="false">
      <c r="A682" s="3" t="n">
        <v>45972</v>
      </c>
      <c r="B682" s="4" t="n">
        <f aca="false">YEAR($A682)</f>
        <v>2025</v>
      </c>
      <c r="C682" s="4" t="n">
        <f aca="false">MONTH($A682)</f>
        <v>11</v>
      </c>
      <c r="D682" s="4" t="str">
        <f aca="false">TEXT($A682,"ddd")</f>
        <v>Tue</v>
      </c>
      <c r="E682" s="4" t="n">
        <f aca="false">IF(OR(AND(MONTH($A682)=10,DAY($A682)&gt;=15),MONTH($A682)=11,AND(MONTH($A682)=12,DAY($A682)&lt;=7)),1,0)</f>
        <v>1</v>
      </c>
      <c r="F682" s="4" t="n">
        <f aca="false">IF(MONTH($A682)&lt;=3,1,0)</f>
        <v>0</v>
      </c>
      <c r="G682" s="4" t="str">
        <f aca="false" t="array" ref="G682: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4" t="n">
        <f aca="false">COUNTIF(Events!$A$2:$A$397,$A682)</f>
        <v>0</v>
      </c>
      <c r="I682" s="6" t="str">
        <f aca="false" t="array" ref="I682:I682">_xlfn.TEXTJOIN(" | ",TRUE(),IF(Events!$A$2:$A$397=$A682,Events!$E$2:$E$397&amp;IF(Events!$G$2:$G$397="National",""," ["&amp;Events!$G$2:$G$397&amp;"]"),""))</f>
        <v/>
      </c>
    </row>
    <row r="683" customFormat="false" ht="15" hidden="false" customHeight="true" outlineLevel="0" collapsed="false">
      <c r="A683" s="3" t="n">
        <v>45973</v>
      </c>
      <c r="B683" s="4" t="n">
        <f aca="false">YEAR($A683)</f>
        <v>2025</v>
      </c>
      <c r="C683" s="4" t="n">
        <f aca="false">MONTH($A683)</f>
        <v>11</v>
      </c>
      <c r="D683" s="4" t="str">
        <f aca="false">TEXT($A683,"ddd")</f>
        <v>Wed</v>
      </c>
      <c r="E683" s="4" t="n">
        <f aca="false">IF(OR(AND(MONTH($A683)=10,DAY($A683)&gt;=15),MONTH($A683)=11,AND(MONTH($A683)=12,DAY($A683)&lt;=7)),1,0)</f>
        <v>1</v>
      </c>
      <c r="F683" s="4" t="n">
        <f aca="false">IF(MONTH($A683)&lt;=3,1,0)</f>
        <v>0</v>
      </c>
      <c r="G683" s="4" t="str">
        <f aca="false" t="array" ref="G683: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4" t="n">
        <f aca="false">COUNTIF(Events!$A$2:$A$397,$A683)</f>
        <v>0</v>
      </c>
      <c r="I683" s="6" t="str">
        <f aca="false" t="array" ref="I683:I683">_xlfn.TEXTJOIN(" | ",TRUE(),IF(Events!$A$2:$A$397=$A683,Events!$E$2:$E$397&amp;IF(Events!$G$2:$G$397="National",""," ["&amp;Events!$G$2:$G$397&amp;"]"),""))</f>
        <v/>
      </c>
    </row>
    <row r="684" customFormat="false" ht="15" hidden="false" customHeight="true" outlineLevel="0" collapsed="false">
      <c r="A684" s="3" t="n">
        <v>45974</v>
      </c>
      <c r="B684" s="4" t="n">
        <f aca="false">YEAR($A684)</f>
        <v>2025</v>
      </c>
      <c r="C684" s="4" t="n">
        <f aca="false">MONTH($A684)</f>
        <v>11</v>
      </c>
      <c r="D684" s="4" t="str">
        <f aca="false">TEXT($A684,"ddd")</f>
        <v>Thu</v>
      </c>
      <c r="E684" s="4" t="n">
        <f aca="false">IF(OR(AND(MONTH($A684)=10,DAY($A684)&gt;=15),MONTH($A684)=11,AND(MONTH($A684)=12,DAY($A684)&lt;=7)),1,0)</f>
        <v>1</v>
      </c>
      <c r="F684" s="4" t="n">
        <f aca="false">IF(MONTH($A684)&lt;=3,1,0)</f>
        <v>0</v>
      </c>
      <c r="G684" s="4" t="str">
        <f aca="false" t="array" ref="G684: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4" t="n">
        <f aca="false">COUNTIF(Events!$A$2:$A$397,$A684)</f>
        <v>0</v>
      </c>
      <c r="I684" s="6" t="str">
        <f aca="false" t="array" ref="I684:I684">_xlfn.TEXTJOIN(" | ",TRUE(),IF(Events!$A$2:$A$397=$A684,Events!$E$2:$E$397&amp;IF(Events!$G$2:$G$397="National",""," ["&amp;Events!$G$2:$G$397&amp;"]"),""))</f>
        <v/>
      </c>
    </row>
    <row r="685" customFormat="false" ht="15" hidden="false" customHeight="true" outlineLevel="0" collapsed="false">
      <c r="A685" s="3" t="n">
        <v>45975</v>
      </c>
      <c r="B685" s="4" t="n">
        <f aca="false">YEAR($A685)</f>
        <v>2025</v>
      </c>
      <c r="C685" s="4" t="n">
        <f aca="false">MONTH($A685)</f>
        <v>11</v>
      </c>
      <c r="D685" s="4" t="str">
        <f aca="false">TEXT($A685,"ddd")</f>
        <v>Fri</v>
      </c>
      <c r="E685" s="4" t="n">
        <f aca="false">IF(OR(AND(MONTH($A685)=10,DAY($A685)&gt;=15),MONTH($A685)=11,AND(MONTH($A685)=12,DAY($A685)&lt;=7)),1,0)</f>
        <v>1</v>
      </c>
      <c r="F685" s="4" t="n">
        <f aca="false">IF(MONTH($A685)&lt;=3,1,0)</f>
        <v>0</v>
      </c>
      <c r="G685" s="4" t="str">
        <f aca="false" t="array" ref="G685: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4" t="n">
        <f aca="false">COUNTIF(Events!$A$2:$A$397,$A685)</f>
        <v>0</v>
      </c>
      <c r="I685" s="6" t="str">
        <f aca="false" t="array" ref="I685:I685">_xlfn.TEXTJOIN(" | ",TRUE(),IF(Events!$A$2:$A$397=$A685,Events!$E$2:$E$397&amp;IF(Events!$G$2:$G$397="National",""," ["&amp;Events!$G$2:$G$397&amp;"]"),""))</f>
        <v/>
      </c>
    </row>
    <row r="686" customFormat="false" ht="15" hidden="false" customHeight="true" outlineLevel="0" collapsed="false">
      <c r="A686" s="3" t="n">
        <v>45976</v>
      </c>
      <c r="B686" s="4" t="n">
        <f aca="false">YEAR($A686)</f>
        <v>2025</v>
      </c>
      <c r="C686" s="4" t="n">
        <f aca="false">MONTH($A686)</f>
        <v>11</v>
      </c>
      <c r="D686" s="4" t="str">
        <f aca="false">TEXT($A686,"ddd")</f>
        <v>Sat</v>
      </c>
      <c r="E686" s="4" t="n">
        <f aca="false">IF(OR(AND(MONTH($A686)=10,DAY($A686)&gt;=15),MONTH($A686)=11,AND(MONTH($A686)=12,DAY($A686)&lt;=7)),1,0)</f>
        <v>1</v>
      </c>
      <c r="F686" s="4" t="n">
        <f aca="false">IF(MONTH($A686)&lt;=3,1,0)</f>
        <v>0</v>
      </c>
      <c r="G686" s="4" t="str">
        <f aca="false" t="array" ref="G686: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4" t="n">
        <f aca="false">COUNTIF(Events!$A$2:$A$397,$A686)</f>
        <v>0</v>
      </c>
      <c r="I686" s="6" t="str">
        <f aca="false" t="array" ref="I686:I686">_xlfn.TEXTJOIN(" | ",TRUE(),IF(Events!$A$2:$A$397=$A686,Events!$E$2:$E$397&amp;IF(Events!$G$2:$G$397="National",""," ["&amp;Events!$G$2:$G$397&amp;"]"),""))</f>
        <v/>
      </c>
    </row>
    <row r="687" customFormat="false" ht="15" hidden="false" customHeight="true" outlineLevel="0" collapsed="false">
      <c r="A687" s="3" t="n">
        <v>45977</v>
      </c>
      <c r="B687" s="4" t="n">
        <f aca="false">YEAR($A687)</f>
        <v>2025</v>
      </c>
      <c r="C687" s="4" t="n">
        <f aca="false">MONTH($A687)</f>
        <v>11</v>
      </c>
      <c r="D687" s="4" t="str">
        <f aca="false">TEXT($A687,"ddd")</f>
        <v>Sun</v>
      </c>
      <c r="E687" s="4" t="n">
        <f aca="false">IF(OR(AND(MONTH($A687)=10,DAY($A687)&gt;=15),MONTH($A687)=11,AND(MONTH($A687)=12,DAY($A687)&lt;=7)),1,0)</f>
        <v>1</v>
      </c>
      <c r="F687" s="4" t="n">
        <f aca="false">IF(MONTH($A687)&lt;=3,1,0)</f>
        <v>0</v>
      </c>
      <c r="G687" s="4" t="str">
        <f aca="false" t="array" ref="G687: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4" t="n">
        <f aca="false">COUNTIF(Events!$A$2:$A$397,$A687)</f>
        <v>0</v>
      </c>
      <c r="I687" s="6" t="str">
        <f aca="false" t="array" ref="I687:I687">_xlfn.TEXTJOIN(" | ",TRUE(),IF(Events!$A$2:$A$397=$A687,Events!$E$2:$E$397&amp;IF(Events!$G$2:$G$397="National",""," ["&amp;Events!$G$2:$G$397&amp;"]"),""))</f>
        <v/>
      </c>
    </row>
    <row r="688" customFormat="false" ht="15" hidden="false" customHeight="true" outlineLevel="0" collapsed="false">
      <c r="A688" s="3" t="n">
        <v>45978</v>
      </c>
      <c r="B688" s="4" t="n">
        <f aca="false">YEAR($A688)</f>
        <v>2025</v>
      </c>
      <c r="C688" s="4" t="n">
        <f aca="false">MONTH($A688)</f>
        <v>11</v>
      </c>
      <c r="D688" s="4" t="str">
        <f aca="false">TEXT($A688,"ddd")</f>
        <v>Mon</v>
      </c>
      <c r="E688" s="4" t="n">
        <f aca="false">IF(OR(AND(MONTH($A688)=10,DAY($A688)&gt;=15),MONTH($A688)=11,AND(MONTH($A688)=12,DAY($A688)&lt;=7)),1,0)</f>
        <v>1</v>
      </c>
      <c r="F688" s="4" t="n">
        <f aca="false">IF(MONTH($A688)&lt;=3,1,0)</f>
        <v>0</v>
      </c>
      <c r="G688" s="4" t="str">
        <f aca="false" t="array" ref="G688: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4" t="n">
        <f aca="false">COUNTIF(Events!$A$2:$A$397,$A688)</f>
        <v>0</v>
      </c>
      <c r="I688" s="6" t="str">
        <f aca="false" t="array" ref="I688:I688">_xlfn.TEXTJOIN(" | ",TRUE(),IF(Events!$A$2:$A$397=$A688,Events!$E$2:$E$397&amp;IF(Events!$G$2:$G$397="National",""," ["&amp;Events!$G$2:$G$397&amp;"]"),""))</f>
        <v/>
      </c>
    </row>
    <row r="689" customFormat="false" ht="15" hidden="false" customHeight="true" outlineLevel="0" collapsed="false">
      <c r="A689" s="3" t="n">
        <v>45979</v>
      </c>
      <c r="B689" s="4" t="n">
        <f aca="false">YEAR($A689)</f>
        <v>2025</v>
      </c>
      <c r="C689" s="4" t="n">
        <f aca="false">MONTH($A689)</f>
        <v>11</v>
      </c>
      <c r="D689" s="4" t="str">
        <f aca="false">TEXT($A689,"ddd")</f>
        <v>Tue</v>
      </c>
      <c r="E689" s="4" t="n">
        <f aca="false">IF(OR(AND(MONTH($A689)=10,DAY($A689)&gt;=15),MONTH($A689)=11,AND(MONTH($A689)=12,DAY($A689)&lt;=7)),1,0)</f>
        <v>1</v>
      </c>
      <c r="F689" s="4" t="n">
        <f aca="false">IF(MONTH($A689)&lt;=3,1,0)</f>
        <v>0</v>
      </c>
      <c r="G689" s="4" t="str">
        <f aca="false" t="array" ref="G689: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4" t="n">
        <f aca="false">COUNTIF(Events!$A$2:$A$397,$A689)</f>
        <v>0</v>
      </c>
      <c r="I689" s="6" t="str">
        <f aca="false" t="array" ref="I689:I689">_xlfn.TEXTJOIN(" | ",TRUE(),IF(Events!$A$2:$A$397=$A689,Events!$E$2:$E$397&amp;IF(Events!$G$2:$G$397="National",""," ["&amp;Events!$G$2:$G$397&amp;"]"),""))</f>
        <v/>
      </c>
    </row>
    <row r="690" customFormat="false" ht="15" hidden="false" customHeight="true" outlineLevel="0" collapsed="false">
      <c r="A690" s="3" t="n">
        <v>45980</v>
      </c>
      <c r="B690" s="4" t="n">
        <f aca="false">YEAR($A690)</f>
        <v>2025</v>
      </c>
      <c r="C690" s="4" t="n">
        <f aca="false">MONTH($A690)</f>
        <v>11</v>
      </c>
      <c r="D690" s="4" t="str">
        <f aca="false">TEXT($A690,"ddd")</f>
        <v>Wed</v>
      </c>
      <c r="E690" s="4" t="n">
        <f aca="false">IF(OR(AND(MONTH($A690)=10,DAY($A690)&gt;=15),MONTH($A690)=11,AND(MONTH($A690)=12,DAY($A690)&lt;=7)),1,0)</f>
        <v>1</v>
      </c>
      <c r="F690" s="4" t="n">
        <f aca="false">IF(MONTH($A690)&lt;=3,1,0)</f>
        <v>0</v>
      </c>
      <c r="G690" s="4" t="str">
        <f aca="false" t="array" ref="G690: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4" t="n">
        <f aca="false">COUNTIF(Events!$A$2:$A$397,$A690)</f>
        <v>1</v>
      </c>
      <c r="I690" s="6" t="str">
        <f aca="false" t="array" ref="I690:I690">_xlfn.TEXTJOIN(" | ",TRUE(),IF(Events!$A$2:$A$397=$A690,Events!$E$2:$E$397&amp;IF(Events!$G$2:$G$397="National",""," ["&amp;Events!$G$2:$G$397&amp;"]"),""))</f>
        <v>CY2026 Part B premium set: standard premium $202.90/mo, up 9.7% ($17.90) from $185, deductible $283 (+$26); press release 11/14/2025, FR notice 11/19/2025. Mid AEP, second largest dollar jump on record.</v>
      </c>
    </row>
    <row r="691" customFormat="false" ht="15" hidden="false" customHeight="true" outlineLevel="0" collapsed="false">
      <c r="A691" s="3" t="n">
        <v>45981</v>
      </c>
      <c r="B691" s="4" t="n">
        <f aca="false">YEAR($A691)</f>
        <v>2025</v>
      </c>
      <c r="C691" s="4" t="n">
        <f aca="false">MONTH($A691)</f>
        <v>11</v>
      </c>
      <c r="D691" s="4" t="str">
        <f aca="false">TEXT($A691,"ddd")</f>
        <v>Thu</v>
      </c>
      <c r="E691" s="4" t="n">
        <f aca="false">IF(OR(AND(MONTH($A691)=10,DAY($A691)&gt;=15),MONTH($A691)=11,AND(MONTH($A691)=12,DAY($A691)&lt;=7)),1,0)</f>
        <v>1</v>
      </c>
      <c r="F691" s="4" t="n">
        <f aca="false">IF(MONTH($A691)&lt;=3,1,0)</f>
        <v>0</v>
      </c>
      <c r="G691" s="4" t="str">
        <f aca="false" t="array" ref="G691: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4" t="n">
        <f aca="false">COUNTIF(Events!$A$2:$A$397,$A691)</f>
        <v>0</v>
      </c>
      <c r="I691" s="6" t="str">
        <f aca="false" t="array" ref="I691:I691">_xlfn.TEXTJOIN(" | ",TRUE(),IF(Events!$A$2:$A$397=$A691,Events!$E$2:$E$397&amp;IF(Events!$G$2:$G$397="National",""," ["&amp;Events!$G$2:$G$397&amp;"]"),""))</f>
        <v/>
      </c>
    </row>
    <row r="692" customFormat="false" ht="15" hidden="false" customHeight="true" outlineLevel="0" collapsed="false">
      <c r="A692" s="3" t="n">
        <v>45982</v>
      </c>
      <c r="B692" s="4" t="n">
        <f aca="false">YEAR($A692)</f>
        <v>2025</v>
      </c>
      <c r="C692" s="4" t="n">
        <f aca="false">MONTH($A692)</f>
        <v>11</v>
      </c>
      <c r="D692" s="4" t="str">
        <f aca="false">TEXT($A692,"ddd")</f>
        <v>Fri</v>
      </c>
      <c r="E692" s="4" t="n">
        <f aca="false">IF(OR(AND(MONTH($A692)=10,DAY($A692)&gt;=15),MONTH($A692)=11,AND(MONTH($A692)=12,DAY($A692)&lt;=7)),1,0)</f>
        <v>1</v>
      </c>
      <c r="F692" s="4" t="n">
        <f aca="false">IF(MONTH($A692)&lt;=3,1,0)</f>
        <v>0</v>
      </c>
      <c r="G692" s="4" t="str">
        <f aca="false" t="array" ref="G692: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4" t="n">
        <f aca="false">COUNTIF(Events!$A$2:$A$397,$A692)</f>
        <v>0</v>
      </c>
      <c r="I692" s="6" t="str">
        <f aca="false" t="array" ref="I692:I692">_xlfn.TEXTJOIN(" | ",TRUE(),IF(Events!$A$2:$A$397=$A692,Events!$E$2:$E$397&amp;IF(Events!$G$2:$G$397="National",""," ["&amp;Events!$G$2:$G$397&amp;"]"),""))</f>
        <v/>
      </c>
    </row>
    <row r="693" customFormat="false" ht="15" hidden="false" customHeight="true" outlineLevel="0" collapsed="false">
      <c r="A693" s="3" t="n">
        <v>45983</v>
      </c>
      <c r="B693" s="4" t="n">
        <f aca="false">YEAR($A693)</f>
        <v>2025</v>
      </c>
      <c r="C693" s="4" t="n">
        <f aca="false">MONTH($A693)</f>
        <v>11</v>
      </c>
      <c r="D693" s="4" t="str">
        <f aca="false">TEXT($A693,"ddd")</f>
        <v>Sat</v>
      </c>
      <c r="E693" s="4" t="n">
        <f aca="false">IF(OR(AND(MONTH($A693)=10,DAY($A693)&gt;=15),MONTH($A693)=11,AND(MONTH($A693)=12,DAY($A693)&lt;=7)),1,0)</f>
        <v>1</v>
      </c>
      <c r="F693" s="4" t="n">
        <f aca="false">IF(MONTH($A693)&lt;=3,1,0)</f>
        <v>0</v>
      </c>
      <c r="G693" s="4" t="str">
        <f aca="false" t="array" ref="G693: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4" t="n">
        <f aca="false">COUNTIF(Events!$A$2:$A$397,$A693)</f>
        <v>0</v>
      </c>
      <c r="I693" s="6" t="str">
        <f aca="false" t="array" ref="I693:I693">_xlfn.TEXTJOIN(" | ",TRUE(),IF(Events!$A$2:$A$397=$A693,Events!$E$2:$E$397&amp;IF(Events!$G$2:$G$397="National",""," ["&amp;Events!$G$2:$G$397&amp;"]"),""))</f>
        <v/>
      </c>
    </row>
    <row r="694" customFormat="false" ht="15" hidden="false" customHeight="true" outlineLevel="0" collapsed="false">
      <c r="A694" s="3" t="n">
        <v>45984</v>
      </c>
      <c r="B694" s="4" t="n">
        <f aca="false">YEAR($A694)</f>
        <v>2025</v>
      </c>
      <c r="C694" s="4" t="n">
        <f aca="false">MONTH($A694)</f>
        <v>11</v>
      </c>
      <c r="D694" s="4" t="str">
        <f aca="false">TEXT($A694,"ddd")</f>
        <v>Sun</v>
      </c>
      <c r="E694" s="4" t="n">
        <f aca="false">IF(OR(AND(MONTH($A694)=10,DAY($A694)&gt;=15),MONTH($A694)=11,AND(MONTH($A694)=12,DAY($A694)&lt;=7)),1,0)</f>
        <v>1</v>
      </c>
      <c r="F694" s="4" t="n">
        <f aca="false">IF(MONTH($A694)&lt;=3,1,0)</f>
        <v>0</v>
      </c>
      <c r="G694" s="4" t="str">
        <f aca="false" t="array" ref="G694: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4" t="n">
        <f aca="false">COUNTIF(Events!$A$2:$A$397,$A694)</f>
        <v>0</v>
      </c>
      <c r="I694" s="6" t="str">
        <f aca="false" t="array" ref="I694:I694">_xlfn.TEXTJOIN(" | ",TRUE(),IF(Events!$A$2:$A$397=$A694,Events!$E$2:$E$397&amp;IF(Events!$G$2:$G$397="National",""," ["&amp;Events!$G$2:$G$397&amp;"]"),""))</f>
        <v/>
      </c>
    </row>
    <row r="695" customFormat="false" ht="15" hidden="false" customHeight="true" outlineLevel="0" collapsed="false">
      <c r="A695" s="3" t="n">
        <v>45985</v>
      </c>
      <c r="B695" s="4" t="n">
        <f aca="false">YEAR($A695)</f>
        <v>2025</v>
      </c>
      <c r="C695" s="4" t="n">
        <f aca="false">MONTH($A695)</f>
        <v>11</v>
      </c>
      <c r="D695" s="4" t="str">
        <f aca="false">TEXT($A695,"ddd")</f>
        <v>Mon</v>
      </c>
      <c r="E695" s="4" t="n">
        <f aca="false">IF(OR(AND(MONTH($A695)=10,DAY($A695)&gt;=15),MONTH($A695)=11,AND(MONTH($A695)=12,DAY($A695)&lt;=7)),1,0)</f>
        <v>1</v>
      </c>
      <c r="F695" s="4" t="n">
        <f aca="false">IF(MONTH($A695)&lt;=3,1,0)</f>
        <v>0</v>
      </c>
      <c r="G695" s="4" t="str">
        <f aca="false" t="array" ref="G695: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4" t="n">
        <f aca="false">COUNTIF(Events!$A$2:$A$397,$A695)</f>
        <v>0</v>
      </c>
      <c r="I695" s="6" t="str">
        <f aca="false" t="array" ref="I695:I695">_xlfn.TEXTJOIN(" | ",TRUE(),IF(Events!$A$2:$A$397=$A695,Events!$E$2:$E$397&amp;IF(Events!$G$2:$G$397="National",""," ["&amp;Events!$G$2:$G$397&amp;"]"),""))</f>
        <v/>
      </c>
    </row>
    <row r="696" customFormat="false" ht="15" hidden="false" customHeight="true" outlineLevel="0" collapsed="false">
      <c r="A696" s="3" t="n">
        <v>45986</v>
      </c>
      <c r="B696" s="4" t="n">
        <f aca="false">YEAR($A696)</f>
        <v>2025</v>
      </c>
      <c r="C696" s="4" t="n">
        <f aca="false">MONTH($A696)</f>
        <v>11</v>
      </c>
      <c r="D696" s="4" t="str">
        <f aca="false">TEXT($A696,"ddd")</f>
        <v>Tue</v>
      </c>
      <c r="E696" s="4" t="n">
        <f aca="false">IF(OR(AND(MONTH($A696)=10,DAY($A696)&gt;=15),MONTH($A696)=11,AND(MONTH($A696)=12,DAY($A696)&lt;=7)),1,0)</f>
        <v>1</v>
      </c>
      <c r="F696" s="4" t="n">
        <f aca="false">IF(MONTH($A696)&lt;=3,1,0)</f>
        <v>0</v>
      </c>
      <c r="G696" s="4" t="str">
        <f aca="false" t="array" ref="G696: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4" t="n">
        <f aca="false">COUNTIF(Events!$A$2:$A$397,$A696)</f>
        <v>0</v>
      </c>
      <c r="I696" s="6" t="str">
        <f aca="false" t="array" ref="I696:I696">_xlfn.TEXTJOIN(" | ",TRUE(),IF(Events!$A$2:$A$397=$A696,Events!$E$2:$E$397&amp;IF(Events!$G$2:$G$397="National",""," ["&amp;Events!$G$2:$G$397&amp;"]"),""))</f>
        <v/>
      </c>
    </row>
    <row r="697" customFormat="false" ht="15" hidden="false" customHeight="true" outlineLevel="0" collapsed="false">
      <c r="A697" s="3" t="n">
        <v>45987</v>
      </c>
      <c r="B697" s="4" t="n">
        <f aca="false">YEAR($A697)</f>
        <v>2025</v>
      </c>
      <c r="C697" s="4" t="n">
        <f aca="false">MONTH($A697)</f>
        <v>11</v>
      </c>
      <c r="D697" s="4" t="str">
        <f aca="false">TEXT($A697,"ddd")</f>
        <v>Wed</v>
      </c>
      <c r="E697" s="4" t="n">
        <f aca="false">IF(OR(AND(MONTH($A697)=10,DAY($A697)&gt;=15),MONTH($A697)=11,AND(MONTH($A697)=12,DAY($A697)&lt;=7)),1,0)</f>
        <v>1</v>
      </c>
      <c r="F697" s="4" t="n">
        <f aca="false">IF(MONTH($A697)&lt;=3,1,0)</f>
        <v>0</v>
      </c>
      <c r="G697" s="4" t="str">
        <f aca="false" t="array" ref="G697: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4" t="n">
        <f aca="false">COUNTIF(Events!$A$2:$A$397,$A697)</f>
        <v>0</v>
      </c>
      <c r="I697" s="6" t="str">
        <f aca="false" t="array" ref="I697:I697">_xlfn.TEXTJOIN(" | ",TRUE(),IF(Events!$A$2:$A$397=$A697,Events!$E$2:$E$397&amp;IF(Events!$G$2:$G$397="National",""," ["&amp;Events!$G$2:$G$397&amp;"]"),""))</f>
        <v/>
      </c>
    </row>
    <row r="698" customFormat="false" ht="15" hidden="false" customHeight="true" outlineLevel="0" collapsed="false">
      <c r="A698" s="3" t="n">
        <v>45988</v>
      </c>
      <c r="B698" s="4" t="n">
        <f aca="false">YEAR($A698)</f>
        <v>2025</v>
      </c>
      <c r="C698" s="4" t="n">
        <f aca="false">MONTH($A698)</f>
        <v>11</v>
      </c>
      <c r="D698" s="4" t="str">
        <f aca="false">TEXT($A698,"ddd")</f>
        <v>Thu</v>
      </c>
      <c r="E698" s="4" t="n">
        <f aca="false">IF(OR(AND(MONTH($A698)=10,DAY($A698)&gt;=15),MONTH($A698)=11,AND(MONTH($A698)=12,DAY($A698)&lt;=7)),1,0)</f>
        <v>1</v>
      </c>
      <c r="F698" s="4" t="n">
        <f aca="false">IF(MONTH($A698)&lt;=3,1,0)</f>
        <v>0</v>
      </c>
      <c r="G698" s="4" t="str">
        <f aca="false" t="array" ref="G698: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4" t="n">
        <f aca="false">COUNTIF(Events!$A$2:$A$397,$A698)</f>
        <v>0</v>
      </c>
      <c r="I698" s="6" t="str">
        <f aca="false" t="array" ref="I698:I698">_xlfn.TEXTJOIN(" | ",TRUE(),IF(Events!$A$2:$A$397=$A698,Events!$E$2:$E$397&amp;IF(Events!$G$2:$G$397="National",""," ["&amp;Events!$G$2:$G$397&amp;"]"),""))</f>
        <v/>
      </c>
    </row>
    <row r="699" customFormat="false" ht="15" hidden="false" customHeight="true" outlineLevel="0" collapsed="false">
      <c r="A699" s="3" t="n">
        <v>45989</v>
      </c>
      <c r="B699" s="4" t="n">
        <f aca="false">YEAR($A699)</f>
        <v>2025</v>
      </c>
      <c r="C699" s="4" t="n">
        <f aca="false">MONTH($A699)</f>
        <v>11</v>
      </c>
      <c r="D699" s="4" t="str">
        <f aca="false">TEXT($A699,"ddd")</f>
        <v>Fri</v>
      </c>
      <c r="E699" s="4" t="n">
        <f aca="false">IF(OR(AND(MONTH($A699)=10,DAY($A699)&gt;=15),MONTH($A699)=11,AND(MONTH($A699)=12,DAY($A699)&lt;=7)),1,0)</f>
        <v>1</v>
      </c>
      <c r="F699" s="4" t="n">
        <f aca="false">IF(MONTH($A699)&lt;=3,1,0)</f>
        <v>0</v>
      </c>
      <c r="G699" s="4" t="str">
        <f aca="false" t="array" ref="G699: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4" t="n">
        <f aca="false">COUNTIF(Events!$A$2:$A$397,$A699)</f>
        <v>1</v>
      </c>
      <c r="I699" s="6" t="str">
        <f aca="false" t="array" ref="I699:I699">_xlfn.TEXTJOIN(" | ",TRUE(),IF(Events!$A$2:$A$397=$A699,Events!$E$2:$E$397&amp;IF(Events!$G$2:$G$397="National",""," ["&amp;Events!$G$2:$G$397&amp;"]"),""))</f>
        <v>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v>
      </c>
    </row>
    <row r="700" customFormat="false" ht="15" hidden="false" customHeight="true" outlineLevel="0" collapsed="false">
      <c r="A700" s="3" t="n">
        <v>45990</v>
      </c>
      <c r="B700" s="4" t="n">
        <f aca="false">YEAR($A700)</f>
        <v>2025</v>
      </c>
      <c r="C700" s="4" t="n">
        <f aca="false">MONTH($A700)</f>
        <v>11</v>
      </c>
      <c r="D700" s="4" t="str">
        <f aca="false">TEXT($A700,"ddd")</f>
        <v>Sat</v>
      </c>
      <c r="E700" s="4" t="n">
        <f aca="false">IF(OR(AND(MONTH($A700)=10,DAY($A700)&gt;=15),MONTH($A700)=11,AND(MONTH($A700)=12,DAY($A700)&lt;=7)),1,0)</f>
        <v>1</v>
      </c>
      <c r="F700" s="4" t="n">
        <f aca="false">IF(MONTH($A700)&lt;=3,1,0)</f>
        <v>0</v>
      </c>
      <c r="G700" s="4" t="str">
        <f aca="false" t="array" ref="G700: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
      </c>
      <c r="H700" s="4" t="n">
        <f aca="false">COUNTIF(Events!$A$2:$A$397,$A700)</f>
        <v>0</v>
      </c>
      <c r="I700" s="6" t="str">
        <f aca="false" t="array" ref="I700:I700">_xlfn.TEXTJOIN(" | ",TRUE(),IF(Events!$A$2:$A$397=$A700,Events!$E$2:$E$397&amp;IF(Events!$G$2:$G$397="National",""," ["&amp;Events!$G$2:$G$397&amp;"]"),""))</f>
        <v/>
      </c>
    </row>
    <row r="701" customFormat="false" ht="15" hidden="false" customHeight="true" outlineLevel="0" collapsed="false">
      <c r="A701" s="3" t="n">
        <v>45991</v>
      </c>
      <c r="B701" s="4" t="n">
        <f aca="false">YEAR($A701)</f>
        <v>2025</v>
      </c>
      <c r="C701" s="4" t="n">
        <f aca="false">MONTH($A701)</f>
        <v>11</v>
      </c>
      <c r="D701" s="4" t="str">
        <f aca="false">TEXT($A701,"ddd")</f>
        <v>Sun</v>
      </c>
      <c r="E701" s="4" t="n">
        <f aca="false">IF(OR(AND(MONTH($A701)=10,DAY($A701)&gt;=15),MONTH($A701)=11,AND(MONTH($A701)=12,DAY($A701)&lt;=7)),1,0)</f>
        <v>1</v>
      </c>
      <c r="F701" s="4" t="n">
        <f aca="false">IF(MONTH($A701)&lt;=3,1,0)</f>
        <v>0</v>
      </c>
      <c r="G701" s="4" t="str">
        <f aca="false" t="array" ref="G701: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 | 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1" s="4" t="n">
        <f aca="false">COUNTIF(Events!$A$2:$A$397,$A701)</f>
        <v>1</v>
      </c>
      <c r="I701" s="6" t="str">
        <f aca="false" t="array" ref="I701:I701">_xlfn.TEXTJOIN(" | ",TRUE(),IF(Events!$A$2:$A$397=$A701,Events!$E$2:$E$397&amp;IF(Events!$G$2:$G$397="National",""," ["&amp;Events!$G$2:$G$397&amp;"]"),""))</f>
        <v>CMS publishes MFPs for the 15 rounds-2 drugs (statutory deadline; effective 1/1/2027)</v>
      </c>
    </row>
    <row r="702" customFormat="false" ht="15" hidden="false" customHeight="true" outlineLevel="0" collapsed="false">
      <c r="A702" s="3" t="n">
        <v>45992</v>
      </c>
      <c r="B702" s="4" t="n">
        <f aca="false">YEAR($A702)</f>
        <v>2025</v>
      </c>
      <c r="C702" s="4" t="n">
        <f aca="false">MONTH($A702)</f>
        <v>12</v>
      </c>
      <c r="D702" s="4" t="str">
        <f aca="false">TEXT($A702,"ddd")</f>
        <v>Mon</v>
      </c>
      <c r="E702" s="4" t="n">
        <f aca="false">IF(OR(AND(MONTH($A702)=10,DAY($A702)&gt;=15),MONTH($A702)=11,AND(MONTH($A702)=12,DAY($A702)&lt;=7)),1,0)</f>
        <v>1</v>
      </c>
      <c r="F702" s="4" t="n">
        <f aca="false">IF(MONTH($A702)&lt;=3,1,0)</f>
        <v>0</v>
      </c>
      <c r="G702" s="4" t="str">
        <f aca="false" t="array" ref="G702: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4" t="n">
        <f aca="false">COUNTIF(Events!$A$2:$A$397,$A702)</f>
        <v>0</v>
      </c>
      <c r="I702" s="6" t="str">
        <f aca="false" t="array" ref="I702:I702">_xlfn.TEXTJOIN(" | ",TRUE(),IF(Events!$A$2:$A$397=$A702,Events!$E$2:$E$397&amp;IF(Events!$G$2:$G$397="National",""," ["&amp;Events!$G$2:$G$397&amp;"]"),""))</f>
        <v/>
      </c>
    </row>
    <row r="703" customFormat="false" ht="15" hidden="false" customHeight="true" outlineLevel="0" collapsed="false">
      <c r="A703" s="3" t="n">
        <v>45993</v>
      </c>
      <c r="B703" s="4" t="n">
        <f aca="false">YEAR($A703)</f>
        <v>2025</v>
      </c>
      <c r="C703" s="4" t="n">
        <f aca="false">MONTH($A703)</f>
        <v>12</v>
      </c>
      <c r="D703" s="4" t="str">
        <f aca="false">TEXT($A703,"ddd")</f>
        <v>Tue</v>
      </c>
      <c r="E703" s="4" t="n">
        <f aca="false">IF(OR(AND(MONTH($A703)=10,DAY($A703)&gt;=15),MONTH($A703)=11,AND(MONTH($A703)=12,DAY($A703)&lt;=7)),1,0)</f>
        <v>1</v>
      </c>
      <c r="F703" s="4" t="n">
        <f aca="false">IF(MONTH($A703)&lt;=3,1,0)</f>
        <v>0</v>
      </c>
      <c r="G703" s="4" t="str">
        <f aca="false" t="array" ref="G703: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4" t="n">
        <f aca="false">COUNTIF(Events!$A$2:$A$397,$A703)</f>
        <v>0</v>
      </c>
      <c r="I703" s="6" t="str">
        <f aca="false" t="array" ref="I703:I703">_xlfn.TEXTJOIN(" | ",TRUE(),IF(Events!$A$2:$A$397=$A703,Events!$E$2:$E$397&amp;IF(Events!$G$2:$G$397="National",""," ["&amp;Events!$G$2:$G$397&amp;"]"),""))</f>
        <v/>
      </c>
    </row>
    <row r="704" customFormat="false" ht="15" hidden="false" customHeight="true" outlineLevel="0" collapsed="false">
      <c r="A704" s="3" t="n">
        <v>45994</v>
      </c>
      <c r="B704" s="4" t="n">
        <f aca="false">YEAR($A704)</f>
        <v>2025</v>
      </c>
      <c r="C704" s="4" t="n">
        <f aca="false">MONTH($A704)</f>
        <v>12</v>
      </c>
      <c r="D704" s="4" t="str">
        <f aca="false">TEXT($A704,"ddd")</f>
        <v>Wed</v>
      </c>
      <c r="E704" s="4" t="n">
        <f aca="false">IF(OR(AND(MONTH($A704)=10,DAY($A704)&gt;=15),MONTH($A704)=11,AND(MONTH($A704)=12,DAY($A704)&lt;=7)),1,0)</f>
        <v>1</v>
      </c>
      <c r="F704" s="4" t="n">
        <f aca="false">IF(MONTH($A704)&lt;=3,1,0)</f>
        <v>0</v>
      </c>
      <c r="G704" s="4" t="str">
        <f aca="false" t="array" ref="G704: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4" t="n">
        <f aca="false">COUNTIF(Events!$A$2:$A$397,$A704)</f>
        <v>0</v>
      </c>
      <c r="I704" s="6" t="str">
        <f aca="false" t="array" ref="I704:I704">_xlfn.TEXTJOIN(" | ",TRUE(),IF(Events!$A$2:$A$397=$A704,Events!$E$2:$E$397&amp;IF(Events!$G$2:$G$397="National",""," ["&amp;Events!$G$2:$G$397&amp;"]"),""))</f>
        <v/>
      </c>
    </row>
    <row r="705" customFormat="false" ht="15" hidden="false" customHeight="true" outlineLevel="0" collapsed="false">
      <c r="A705" s="3" t="n">
        <v>45995</v>
      </c>
      <c r="B705" s="4" t="n">
        <f aca="false">YEAR($A705)</f>
        <v>2025</v>
      </c>
      <c r="C705" s="4" t="n">
        <f aca="false">MONTH($A705)</f>
        <v>12</v>
      </c>
      <c r="D705" s="4" t="str">
        <f aca="false">TEXT($A705,"ddd")</f>
        <v>Thu</v>
      </c>
      <c r="E705" s="4" t="n">
        <f aca="false">IF(OR(AND(MONTH($A705)=10,DAY($A705)&gt;=15),MONTH($A705)=11,AND(MONTH($A705)=12,DAY($A705)&lt;=7)),1,0)</f>
        <v>1</v>
      </c>
      <c r="F705" s="4" t="n">
        <f aca="false">IF(MONTH($A705)&lt;=3,1,0)</f>
        <v>0</v>
      </c>
      <c r="G705" s="4" t="str">
        <f aca="false" t="array" ref="G705: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4" t="n">
        <f aca="false">COUNTIF(Events!$A$2:$A$397,$A705)</f>
        <v>0</v>
      </c>
      <c r="I705" s="6" t="str">
        <f aca="false" t="array" ref="I705:I705">_xlfn.TEXTJOIN(" | ",TRUE(),IF(Events!$A$2:$A$397=$A705,Events!$E$2:$E$397&amp;IF(Events!$G$2:$G$397="National",""," ["&amp;Events!$G$2:$G$397&amp;"]"),""))</f>
        <v/>
      </c>
    </row>
    <row r="706" customFormat="false" ht="15" hidden="false" customHeight="true" outlineLevel="0" collapsed="false">
      <c r="A706" s="3" t="n">
        <v>45996</v>
      </c>
      <c r="B706" s="4" t="n">
        <f aca="false">YEAR($A706)</f>
        <v>2025</v>
      </c>
      <c r="C706" s="4" t="n">
        <f aca="false">MONTH($A706)</f>
        <v>12</v>
      </c>
      <c r="D706" s="4" t="str">
        <f aca="false">TEXT($A706,"ddd")</f>
        <v>Fri</v>
      </c>
      <c r="E706" s="4" t="n">
        <f aca="false">IF(OR(AND(MONTH($A706)=10,DAY($A706)&gt;=15),MONTH($A706)=11,AND(MONTH($A706)=12,DAY($A706)&lt;=7)),1,0)</f>
        <v>1</v>
      </c>
      <c r="F706" s="4" t="n">
        <f aca="false">IF(MONTH($A706)&lt;=3,1,0)</f>
        <v>0</v>
      </c>
      <c r="G706" s="4" t="str">
        <f aca="false" t="array" ref="G706: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4" t="n">
        <f aca="false">COUNTIF(Events!$A$2:$A$397,$A706)</f>
        <v>0</v>
      </c>
      <c r="I706" s="6" t="str">
        <f aca="false" t="array" ref="I706:I706">_xlfn.TEXTJOIN(" | ",TRUE(),IF(Events!$A$2:$A$397=$A706,Events!$E$2:$E$397&amp;IF(Events!$G$2:$G$397="National",""," ["&amp;Events!$G$2:$G$397&amp;"]"),""))</f>
        <v/>
      </c>
    </row>
    <row r="707" customFormat="false" ht="15" hidden="false" customHeight="true" outlineLevel="0" collapsed="false">
      <c r="A707" s="3" t="n">
        <v>45997</v>
      </c>
      <c r="B707" s="4" t="n">
        <f aca="false">YEAR($A707)</f>
        <v>2025</v>
      </c>
      <c r="C707" s="4" t="n">
        <f aca="false">MONTH($A707)</f>
        <v>12</v>
      </c>
      <c r="D707" s="4" t="str">
        <f aca="false">TEXT($A707,"ddd")</f>
        <v>Sat</v>
      </c>
      <c r="E707" s="4" t="n">
        <f aca="false">IF(OR(AND(MONTH($A707)=10,DAY($A707)&gt;=15),MONTH($A707)=11,AND(MONTH($A707)=12,DAY($A707)&lt;=7)),1,0)</f>
        <v>1</v>
      </c>
      <c r="F707" s="4" t="n">
        <f aca="false">IF(MONTH($A707)&lt;=3,1,0)</f>
        <v>0</v>
      </c>
      <c r="G707" s="4" t="str">
        <f aca="false" t="array" ref="G707: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4" t="n">
        <f aca="false">COUNTIF(Events!$A$2:$A$397,$A707)</f>
        <v>0</v>
      </c>
      <c r="I707" s="6" t="str">
        <f aca="false" t="array" ref="I707:I707">_xlfn.TEXTJOIN(" | ",TRUE(),IF(Events!$A$2:$A$397=$A707,Events!$E$2:$E$397&amp;IF(Events!$G$2:$G$397="National",""," ["&amp;Events!$G$2:$G$397&amp;"]"),""))</f>
        <v/>
      </c>
    </row>
    <row r="708" customFormat="false" ht="15" hidden="false" customHeight="true" outlineLevel="0" collapsed="false">
      <c r="A708" s="3" t="n">
        <v>45998</v>
      </c>
      <c r="B708" s="4" t="n">
        <f aca="false">YEAR($A708)</f>
        <v>2025</v>
      </c>
      <c r="C708" s="4" t="n">
        <f aca="false">MONTH($A708)</f>
        <v>12</v>
      </c>
      <c r="D708" s="4" t="str">
        <f aca="false">TEXT($A708,"ddd")</f>
        <v>Sun</v>
      </c>
      <c r="E708" s="4" t="n">
        <f aca="false">IF(OR(AND(MONTH($A708)=10,DAY($A708)&gt;=15),MONTH($A708)=11,AND(MONTH($A708)=12,DAY($A708)&lt;=7)),1,0)</f>
        <v>1</v>
      </c>
      <c r="F708" s="4" t="n">
        <f aca="false">IF(MONTH($A708)&lt;=3,1,0)</f>
        <v>0</v>
      </c>
      <c r="G708" s="4" t="str">
        <f aca="false" t="array" ref="G708: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4" t="n">
        <f aca="false">COUNTIF(Events!$A$2:$A$397,$A708)</f>
        <v>0</v>
      </c>
      <c r="I708" s="6" t="str">
        <f aca="false" t="array" ref="I708:I708">_xlfn.TEXTJOIN(" | ",TRUE(),IF(Events!$A$2:$A$397=$A708,Events!$E$2:$E$397&amp;IF(Events!$G$2:$G$397="National",""," ["&amp;Events!$G$2:$G$397&amp;"]"),""))</f>
        <v/>
      </c>
    </row>
    <row r="709" customFormat="false" ht="15" hidden="false" customHeight="true" outlineLevel="0" collapsed="false">
      <c r="A709" s="3" t="n">
        <v>45999</v>
      </c>
      <c r="B709" s="4" t="n">
        <f aca="false">YEAR($A709)</f>
        <v>2025</v>
      </c>
      <c r="C709" s="4" t="n">
        <f aca="false">MONTH($A709)</f>
        <v>12</v>
      </c>
      <c r="D709" s="4" t="str">
        <f aca="false">TEXT($A709,"ddd")</f>
        <v>Mon</v>
      </c>
      <c r="E709" s="4" t="n">
        <f aca="false">IF(OR(AND(MONTH($A709)=10,DAY($A709)&gt;=15),MONTH($A709)=11,AND(MONTH($A709)=12,DAY($A709)&lt;=7)),1,0)</f>
        <v>0</v>
      </c>
      <c r="F709" s="4" t="n">
        <f aca="false">IF(MONTH($A709)&lt;=3,1,0)</f>
        <v>0</v>
      </c>
      <c r="G709" s="4" t="str">
        <f aca="false" t="array" ref="G709: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4" t="n">
        <f aca="false">COUNTIF(Events!$A$2:$A$397,$A709)</f>
        <v>0</v>
      </c>
      <c r="I709" s="6" t="str">
        <f aca="false" t="array" ref="I709:I709">_xlfn.TEXTJOIN(" | ",TRUE(),IF(Events!$A$2:$A$397=$A709,Events!$E$2:$E$397&amp;IF(Events!$G$2:$G$397="National",""," ["&amp;Events!$G$2:$G$397&amp;"]"),""))</f>
        <v/>
      </c>
    </row>
    <row r="710" customFormat="false" ht="15" hidden="false" customHeight="true" outlineLevel="0" collapsed="false">
      <c r="A710" s="3" t="n">
        <v>46000</v>
      </c>
      <c r="B710" s="4" t="n">
        <f aca="false">YEAR($A710)</f>
        <v>2025</v>
      </c>
      <c r="C710" s="4" t="n">
        <f aca="false">MONTH($A710)</f>
        <v>12</v>
      </c>
      <c r="D710" s="4" t="str">
        <f aca="false">TEXT($A710,"ddd")</f>
        <v>Tue</v>
      </c>
      <c r="E710" s="4" t="n">
        <f aca="false">IF(OR(AND(MONTH($A710)=10,DAY($A710)&gt;=15),MONTH($A710)=11,AND(MONTH($A710)=12,DAY($A710)&lt;=7)),1,0)</f>
        <v>0</v>
      </c>
      <c r="F710" s="4" t="n">
        <f aca="false">IF(MONTH($A710)&lt;=3,1,0)</f>
        <v>0</v>
      </c>
      <c r="G710" s="4" t="str">
        <f aca="false" t="array" ref="G710: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4" t="n">
        <f aca="false">COUNTIF(Events!$A$2:$A$397,$A710)</f>
        <v>0</v>
      </c>
      <c r="I710" s="6" t="str">
        <f aca="false" t="array" ref="I710:I710">_xlfn.TEXTJOIN(" | ",TRUE(),IF(Events!$A$2:$A$397=$A710,Events!$E$2:$E$397&amp;IF(Events!$G$2:$G$397="National",""," ["&amp;Events!$G$2:$G$397&amp;"]"),""))</f>
        <v/>
      </c>
    </row>
    <row r="711" customFormat="false" ht="15" hidden="false" customHeight="true" outlineLevel="0" collapsed="false">
      <c r="A711" s="3" t="n">
        <v>46001</v>
      </c>
      <c r="B711" s="4" t="n">
        <f aca="false">YEAR($A711)</f>
        <v>2025</v>
      </c>
      <c r="C711" s="4" t="n">
        <f aca="false">MONTH($A711)</f>
        <v>12</v>
      </c>
      <c r="D711" s="4" t="str">
        <f aca="false">TEXT($A711,"ddd")</f>
        <v>Wed</v>
      </c>
      <c r="E711" s="4" t="n">
        <f aca="false">IF(OR(AND(MONTH($A711)=10,DAY($A711)&gt;=15),MONTH($A711)=11,AND(MONTH($A711)=12,DAY($A711)&lt;=7)),1,0)</f>
        <v>0</v>
      </c>
      <c r="F711" s="4" t="n">
        <f aca="false">IF(MONTH($A711)&lt;=3,1,0)</f>
        <v>0</v>
      </c>
      <c r="G711" s="4" t="str">
        <f aca="false" t="array" ref="G711: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4" t="n">
        <f aca="false">COUNTIF(Events!$A$2:$A$397,$A711)</f>
        <v>0</v>
      </c>
      <c r="I711" s="6" t="str">
        <f aca="false" t="array" ref="I711:I711">_xlfn.TEXTJOIN(" | ",TRUE(),IF(Events!$A$2:$A$397=$A711,Events!$E$2:$E$397&amp;IF(Events!$G$2:$G$397="National",""," ["&amp;Events!$G$2:$G$397&amp;"]"),""))</f>
        <v/>
      </c>
    </row>
    <row r="712" customFormat="false" ht="15" hidden="false" customHeight="true" outlineLevel="0" collapsed="false">
      <c r="A712" s="3" t="n">
        <v>46002</v>
      </c>
      <c r="B712" s="4" t="n">
        <f aca="false">YEAR($A712)</f>
        <v>2025</v>
      </c>
      <c r="C712" s="4" t="n">
        <f aca="false">MONTH($A712)</f>
        <v>12</v>
      </c>
      <c r="D712" s="4" t="str">
        <f aca="false">TEXT($A712,"ddd")</f>
        <v>Thu</v>
      </c>
      <c r="E712" s="4" t="n">
        <f aca="false">IF(OR(AND(MONTH($A712)=10,DAY($A712)&gt;=15),MONTH($A712)=11,AND(MONTH($A712)=12,DAY($A712)&lt;=7)),1,0)</f>
        <v>0</v>
      </c>
      <c r="F712" s="4" t="n">
        <f aca="false">IF(MONTH($A712)&lt;=3,1,0)</f>
        <v>0</v>
      </c>
      <c r="G712" s="4" t="str">
        <f aca="false" t="array" ref="G712: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4" t="n">
        <f aca="false">COUNTIF(Events!$A$2:$A$397,$A712)</f>
        <v>0</v>
      </c>
      <c r="I712" s="6" t="str">
        <f aca="false" t="array" ref="I712:I712">_xlfn.TEXTJOIN(" | ",TRUE(),IF(Events!$A$2:$A$397=$A712,Events!$E$2:$E$397&amp;IF(Events!$G$2:$G$397="National",""," ["&amp;Events!$G$2:$G$397&amp;"]"),""))</f>
        <v/>
      </c>
    </row>
    <row r="713" customFormat="false" ht="15" hidden="false" customHeight="true" outlineLevel="0" collapsed="false">
      <c r="A713" s="3" t="n">
        <v>46003</v>
      </c>
      <c r="B713" s="4" t="n">
        <f aca="false">YEAR($A713)</f>
        <v>2025</v>
      </c>
      <c r="C713" s="4" t="n">
        <f aca="false">MONTH($A713)</f>
        <v>12</v>
      </c>
      <c r="D713" s="4" t="str">
        <f aca="false">TEXT($A713,"ddd")</f>
        <v>Fri</v>
      </c>
      <c r="E713" s="4" t="n">
        <f aca="false">IF(OR(AND(MONTH($A713)=10,DAY($A713)&gt;=15),MONTH($A713)=11,AND(MONTH($A713)=12,DAY($A713)&lt;=7)),1,0)</f>
        <v>0</v>
      </c>
      <c r="F713" s="4" t="n">
        <f aca="false">IF(MONTH($A713)&lt;=3,1,0)</f>
        <v>0</v>
      </c>
      <c r="G713" s="4" t="str">
        <f aca="false" t="array" ref="G713: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4" t="n">
        <f aca="false">COUNTIF(Events!$A$2:$A$397,$A713)</f>
        <v>0</v>
      </c>
      <c r="I713" s="6" t="str">
        <f aca="false" t="array" ref="I713:I713">_xlfn.TEXTJOIN(" | ",TRUE(),IF(Events!$A$2:$A$397=$A713,Events!$E$2:$E$397&amp;IF(Events!$G$2:$G$397="National",""," ["&amp;Events!$G$2:$G$397&amp;"]"),""))</f>
        <v/>
      </c>
    </row>
    <row r="714" customFormat="false" ht="15" hidden="false" customHeight="true" outlineLevel="0" collapsed="false">
      <c r="A714" s="3" t="n">
        <v>46004</v>
      </c>
      <c r="B714" s="4" t="n">
        <f aca="false">YEAR($A714)</f>
        <v>2025</v>
      </c>
      <c r="C714" s="4" t="n">
        <f aca="false">MONTH($A714)</f>
        <v>12</v>
      </c>
      <c r="D714" s="4" t="str">
        <f aca="false">TEXT($A714,"ddd")</f>
        <v>Sat</v>
      </c>
      <c r="E714" s="4" t="n">
        <f aca="false">IF(OR(AND(MONTH($A714)=10,DAY($A714)&gt;=15),MONTH($A714)=11,AND(MONTH($A714)=12,DAY($A714)&lt;=7)),1,0)</f>
        <v>0</v>
      </c>
      <c r="F714" s="4" t="n">
        <f aca="false">IF(MONTH($A714)&lt;=3,1,0)</f>
        <v>0</v>
      </c>
      <c r="G714" s="4" t="str">
        <f aca="false" t="array" ref="G714: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4" t="n">
        <f aca="false">COUNTIF(Events!$A$2:$A$397,$A714)</f>
        <v>0</v>
      </c>
      <c r="I714" s="6" t="str">
        <f aca="false" t="array" ref="I714:I714">_xlfn.TEXTJOIN(" | ",TRUE(),IF(Events!$A$2:$A$397=$A714,Events!$E$2:$E$397&amp;IF(Events!$G$2:$G$397="National",""," ["&amp;Events!$G$2:$G$397&amp;"]"),""))</f>
        <v/>
      </c>
    </row>
    <row r="715" customFormat="false" ht="15" hidden="false" customHeight="true" outlineLevel="0" collapsed="false">
      <c r="A715" s="3" t="n">
        <v>46005</v>
      </c>
      <c r="B715" s="4" t="n">
        <f aca="false">YEAR($A715)</f>
        <v>2025</v>
      </c>
      <c r="C715" s="4" t="n">
        <f aca="false">MONTH($A715)</f>
        <v>12</v>
      </c>
      <c r="D715" s="4" t="str">
        <f aca="false">TEXT($A715,"ddd")</f>
        <v>Sun</v>
      </c>
      <c r="E715" s="4" t="n">
        <f aca="false">IF(OR(AND(MONTH($A715)=10,DAY($A715)&gt;=15),MONTH($A715)=11,AND(MONTH($A715)=12,DAY($A715)&lt;=7)),1,0)</f>
        <v>0</v>
      </c>
      <c r="F715" s="4" t="n">
        <f aca="false">IF(MONTH($A715)&lt;=3,1,0)</f>
        <v>0</v>
      </c>
      <c r="G715" s="4" t="str">
        <f aca="false" t="array" ref="G715: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4" t="n">
        <f aca="false">COUNTIF(Events!$A$2:$A$397,$A715)</f>
        <v>0</v>
      </c>
      <c r="I715" s="6" t="str">
        <f aca="false" t="array" ref="I715:I715">_xlfn.TEXTJOIN(" | ",TRUE(),IF(Events!$A$2:$A$397=$A715,Events!$E$2:$E$397&amp;IF(Events!$G$2:$G$397="National",""," ["&amp;Events!$G$2:$G$397&amp;"]"),""))</f>
        <v/>
      </c>
    </row>
    <row r="716" customFormat="false" ht="15" hidden="false" customHeight="true" outlineLevel="0" collapsed="false">
      <c r="A716" s="3" t="n">
        <v>46006</v>
      </c>
      <c r="B716" s="4" t="n">
        <f aca="false">YEAR($A716)</f>
        <v>2025</v>
      </c>
      <c r="C716" s="4" t="n">
        <f aca="false">MONTH($A716)</f>
        <v>12</v>
      </c>
      <c r="D716" s="4" t="str">
        <f aca="false">TEXT($A716,"ddd")</f>
        <v>Mon</v>
      </c>
      <c r="E716" s="4" t="n">
        <f aca="false">IF(OR(AND(MONTH($A716)=10,DAY($A716)&gt;=15),MONTH($A716)=11,AND(MONTH($A716)=12,DAY($A716)&lt;=7)),1,0)</f>
        <v>0</v>
      </c>
      <c r="F716" s="4" t="n">
        <f aca="false">IF(MONTH($A716)&lt;=3,1,0)</f>
        <v>0</v>
      </c>
      <c r="G716" s="4" t="str">
        <f aca="false" t="array" ref="G716: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4" t="n">
        <f aca="false">COUNTIF(Events!$A$2:$A$397,$A716)</f>
        <v>0</v>
      </c>
      <c r="I716" s="6" t="str">
        <f aca="false" t="array" ref="I716:I716">_xlfn.TEXTJOIN(" | ",TRUE(),IF(Events!$A$2:$A$397=$A716,Events!$E$2:$E$397&amp;IF(Events!$G$2:$G$397="National",""," ["&amp;Events!$G$2:$G$397&amp;"]"),""))</f>
        <v/>
      </c>
    </row>
    <row r="717" customFormat="false" ht="15" hidden="false" customHeight="true" outlineLevel="0" collapsed="false">
      <c r="A717" s="3" t="n">
        <v>46007</v>
      </c>
      <c r="B717" s="4" t="n">
        <f aca="false">YEAR($A717)</f>
        <v>2025</v>
      </c>
      <c r="C717" s="4" t="n">
        <f aca="false">MONTH($A717)</f>
        <v>12</v>
      </c>
      <c r="D717" s="4" t="str">
        <f aca="false">TEXT($A717,"ddd")</f>
        <v>Tue</v>
      </c>
      <c r="E717" s="4" t="n">
        <f aca="false">IF(OR(AND(MONTH($A717)=10,DAY($A717)&gt;=15),MONTH($A717)=11,AND(MONTH($A717)=12,DAY($A717)&lt;=7)),1,0)</f>
        <v>0</v>
      </c>
      <c r="F717" s="4" t="n">
        <f aca="false">IF(MONTH($A717)&lt;=3,1,0)</f>
        <v>0</v>
      </c>
      <c r="G717" s="4" t="str">
        <f aca="false" t="array" ref="G717: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4" t="n">
        <f aca="false">COUNTIF(Events!$A$2:$A$397,$A717)</f>
        <v>0</v>
      </c>
      <c r="I717" s="6" t="str">
        <f aca="false" t="array" ref="I717:I717">_xlfn.TEXTJOIN(" | ",TRUE(),IF(Events!$A$2:$A$397=$A717,Events!$E$2:$E$397&amp;IF(Events!$G$2:$G$397="National",""," ["&amp;Events!$G$2:$G$397&amp;"]"),""))</f>
        <v/>
      </c>
    </row>
    <row r="718" customFormat="false" ht="15" hidden="false" customHeight="true" outlineLevel="0" collapsed="false">
      <c r="A718" s="3" t="n">
        <v>46008</v>
      </c>
      <c r="B718" s="4" t="n">
        <f aca="false">YEAR($A718)</f>
        <v>2025</v>
      </c>
      <c r="C718" s="4" t="n">
        <f aca="false">MONTH($A718)</f>
        <v>12</v>
      </c>
      <c r="D718" s="4" t="str">
        <f aca="false">TEXT($A718,"ddd")</f>
        <v>Wed</v>
      </c>
      <c r="E718" s="4" t="n">
        <f aca="false">IF(OR(AND(MONTH($A718)=10,DAY($A718)&gt;=15),MONTH($A718)=11,AND(MONTH($A718)=12,DAY($A718)&lt;=7)),1,0)</f>
        <v>0</v>
      </c>
      <c r="F718" s="4" t="n">
        <f aca="false">IF(MONTH($A718)&lt;=3,1,0)</f>
        <v>0</v>
      </c>
      <c r="G718" s="4" t="str">
        <f aca="false" t="array" ref="G718: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4" t="n">
        <f aca="false">COUNTIF(Events!$A$2:$A$397,$A718)</f>
        <v>0</v>
      </c>
      <c r="I718" s="6" t="str">
        <f aca="false" t="array" ref="I718:I718">_xlfn.TEXTJOIN(" | ",TRUE(),IF(Events!$A$2:$A$397=$A718,Events!$E$2:$E$397&amp;IF(Events!$G$2:$G$397="National",""," ["&amp;Events!$G$2:$G$397&amp;"]"),""))</f>
        <v/>
      </c>
    </row>
    <row r="719" customFormat="false" ht="15" hidden="false" customHeight="true" outlineLevel="0" collapsed="false">
      <c r="A719" s="3" t="n">
        <v>46009</v>
      </c>
      <c r="B719" s="4" t="n">
        <f aca="false">YEAR($A719)</f>
        <v>2025</v>
      </c>
      <c r="C719" s="4" t="n">
        <f aca="false">MONTH($A719)</f>
        <v>12</v>
      </c>
      <c r="D719" s="4" t="str">
        <f aca="false">TEXT($A719,"ddd")</f>
        <v>Thu</v>
      </c>
      <c r="E719" s="4" t="n">
        <f aca="false">IF(OR(AND(MONTH($A719)=10,DAY($A719)&gt;=15),MONTH($A719)=11,AND(MONTH($A719)=12,DAY($A719)&lt;=7)),1,0)</f>
        <v>0</v>
      </c>
      <c r="F719" s="4" t="n">
        <f aca="false">IF(MONTH($A719)&lt;=3,1,0)</f>
        <v>0</v>
      </c>
      <c r="G719" s="4" t="str">
        <f aca="false" t="array" ref="G719: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4" t="n">
        <f aca="false">COUNTIF(Events!$A$2:$A$397,$A719)</f>
        <v>0</v>
      </c>
      <c r="I719" s="6" t="str">
        <f aca="false" t="array" ref="I719:I719">_xlfn.TEXTJOIN(" | ",TRUE(),IF(Events!$A$2:$A$397=$A719,Events!$E$2:$E$397&amp;IF(Events!$G$2:$G$397="National",""," ["&amp;Events!$G$2:$G$397&amp;"]"),""))</f>
        <v/>
      </c>
    </row>
    <row r="720" customFormat="false" ht="15" hidden="false" customHeight="true" outlineLevel="0" collapsed="false">
      <c r="A720" s="3" t="n">
        <v>46010</v>
      </c>
      <c r="B720" s="4" t="n">
        <f aca="false">YEAR($A720)</f>
        <v>2025</v>
      </c>
      <c r="C720" s="4" t="n">
        <f aca="false">MONTH($A720)</f>
        <v>12</v>
      </c>
      <c r="D720" s="4" t="str">
        <f aca="false">TEXT($A720,"ddd")</f>
        <v>Fri</v>
      </c>
      <c r="E720" s="4" t="n">
        <f aca="false">IF(OR(AND(MONTH($A720)=10,DAY($A720)&gt;=15),MONTH($A720)=11,AND(MONTH($A720)=12,DAY($A720)&lt;=7)),1,0)</f>
        <v>0</v>
      </c>
      <c r="F720" s="4" t="n">
        <f aca="false">IF(MONTH($A720)&lt;=3,1,0)</f>
        <v>0</v>
      </c>
      <c r="G720" s="4" t="str">
        <f aca="false" t="array" ref="G720: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4" t="n">
        <f aca="false">COUNTIF(Events!$A$2:$A$397,$A720)</f>
        <v>0</v>
      </c>
      <c r="I720" s="6" t="str">
        <f aca="false" t="array" ref="I720:I720">_xlfn.TEXTJOIN(" | ",TRUE(),IF(Events!$A$2:$A$397=$A720,Events!$E$2:$E$397&amp;IF(Events!$G$2:$G$397="National",""," ["&amp;Events!$G$2:$G$397&amp;"]"),""))</f>
        <v/>
      </c>
    </row>
    <row r="721" customFormat="false" ht="15" hidden="false" customHeight="true" outlineLevel="0" collapsed="false">
      <c r="A721" s="3" t="n">
        <v>46011</v>
      </c>
      <c r="B721" s="4" t="n">
        <f aca="false">YEAR($A721)</f>
        <v>2025</v>
      </c>
      <c r="C721" s="4" t="n">
        <f aca="false">MONTH($A721)</f>
        <v>12</v>
      </c>
      <c r="D721" s="4" t="str">
        <f aca="false">TEXT($A721,"ddd")</f>
        <v>Sat</v>
      </c>
      <c r="E721" s="4" t="n">
        <f aca="false">IF(OR(AND(MONTH($A721)=10,DAY($A721)&gt;=15),MONTH($A721)=11,AND(MONTH($A721)=12,DAY($A721)&lt;=7)),1,0)</f>
        <v>0</v>
      </c>
      <c r="F721" s="4" t="n">
        <f aca="false">IF(MONTH($A721)&lt;=3,1,0)</f>
        <v>0</v>
      </c>
      <c r="G721" s="4" t="str">
        <f aca="false" t="array" ref="G721: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4" t="n">
        <f aca="false">COUNTIF(Events!$A$2:$A$397,$A721)</f>
        <v>0</v>
      </c>
      <c r="I721" s="6" t="str">
        <f aca="false" t="array" ref="I721:I721">_xlfn.TEXTJOIN(" | ",TRUE(),IF(Events!$A$2:$A$397=$A721,Events!$E$2:$E$397&amp;IF(Events!$G$2:$G$397="National",""," ["&amp;Events!$G$2:$G$397&amp;"]"),""))</f>
        <v/>
      </c>
    </row>
    <row r="722" customFormat="false" ht="15" hidden="false" customHeight="true" outlineLevel="0" collapsed="false">
      <c r="A722" s="3" t="n">
        <v>46012</v>
      </c>
      <c r="B722" s="4" t="n">
        <f aca="false">YEAR($A722)</f>
        <v>2025</v>
      </c>
      <c r="C722" s="4" t="n">
        <f aca="false">MONTH($A722)</f>
        <v>12</v>
      </c>
      <c r="D722" s="4" t="str">
        <f aca="false">TEXT($A722,"ddd")</f>
        <v>Sun</v>
      </c>
      <c r="E722" s="4" t="n">
        <f aca="false">IF(OR(AND(MONTH($A722)=10,DAY($A722)&gt;=15),MONTH($A722)=11,AND(MONTH($A722)=12,DAY($A722)&lt;=7)),1,0)</f>
        <v>0</v>
      </c>
      <c r="F722" s="4" t="n">
        <f aca="false">IF(MONTH($A722)&lt;=3,1,0)</f>
        <v>0</v>
      </c>
      <c r="G722" s="4" t="str">
        <f aca="false" t="array" ref="G722: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4" t="n">
        <f aca="false">COUNTIF(Events!$A$2:$A$397,$A722)</f>
        <v>0</v>
      </c>
      <c r="I722" s="6" t="str">
        <f aca="false" t="array" ref="I722:I722">_xlfn.TEXTJOIN(" | ",TRUE(),IF(Events!$A$2:$A$397=$A722,Events!$E$2:$E$397&amp;IF(Events!$G$2:$G$397="National",""," ["&amp;Events!$G$2:$G$397&amp;"]"),""))</f>
        <v/>
      </c>
    </row>
    <row r="723" customFormat="false" ht="15" hidden="false" customHeight="true" outlineLevel="0" collapsed="false">
      <c r="A723" s="3" t="n">
        <v>46013</v>
      </c>
      <c r="B723" s="4" t="n">
        <f aca="false">YEAR($A723)</f>
        <v>2025</v>
      </c>
      <c r="C723" s="4" t="n">
        <f aca="false">MONTH($A723)</f>
        <v>12</v>
      </c>
      <c r="D723" s="4" t="str">
        <f aca="false">TEXT($A723,"ddd")</f>
        <v>Mon</v>
      </c>
      <c r="E723" s="4" t="n">
        <f aca="false">IF(OR(AND(MONTH($A723)=10,DAY($A723)&gt;=15),MONTH($A723)=11,AND(MONTH($A723)=12,DAY($A723)&lt;=7)),1,0)</f>
        <v>0</v>
      </c>
      <c r="F723" s="4" t="n">
        <f aca="false">IF(MONTH($A723)&lt;=3,1,0)</f>
        <v>0</v>
      </c>
      <c r="G723" s="4" t="str">
        <f aca="false" t="array" ref="G723: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4" t="n">
        <f aca="false">COUNTIF(Events!$A$2:$A$397,$A723)</f>
        <v>0</v>
      </c>
      <c r="I723" s="6" t="str">
        <f aca="false" t="array" ref="I723:I723">_xlfn.TEXTJOIN(" | ",TRUE(),IF(Events!$A$2:$A$397=$A723,Events!$E$2:$E$397&amp;IF(Events!$G$2:$G$397="National",""," ["&amp;Events!$G$2:$G$397&amp;"]"),""))</f>
        <v/>
      </c>
    </row>
    <row r="724" customFormat="false" ht="15" hidden="false" customHeight="true" outlineLevel="0" collapsed="false">
      <c r="A724" s="3" t="n">
        <v>46014</v>
      </c>
      <c r="B724" s="4" t="n">
        <f aca="false">YEAR($A724)</f>
        <v>2025</v>
      </c>
      <c r="C724" s="4" t="n">
        <f aca="false">MONTH($A724)</f>
        <v>12</v>
      </c>
      <c r="D724" s="4" t="str">
        <f aca="false">TEXT($A724,"ddd")</f>
        <v>Tue</v>
      </c>
      <c r="E724" s="4" t="n">
        <f aca="false">IF(OR(AND(MONTH($A724)=10,DAY($A724)&gt;=15),MONTH($A724)=11,AND(MONTH($A724)=12,DAY($A724)&lt;=7)),1,0)</f>
        <v>0</v>
      </c>
      <c r="F724" s="4" t="n">
        <f aca="false">IF(MONTH($A724)&lt;=3,1,0)</f>
        <v>0</v>
      </c>
      <c r="G724" s="4" t="str">
        <f aca="false" t="array" ref="G724: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4" t="n">
        <f aca="false">COUNTIF(Events!$A$2:$A$397,$A724)</f>
        <v>0</v>
      </c>
      <c r="I724" s="6" t="str">
        <f aca="false" t="array" ref="I724:I724">_xlfn.TEXTJOIN(" | ",TRUE(),IF(Events!$A$2:$A$397=$A724,Events!$E$2:$E$397&amp;IF(Events!$G$2:$G$397="National",""," ["&amp;Events!$G$2:$G$397&amp;"]"),""))</f>
        <v/>
      </c>
    </row>
    <row r="725" customFormat="false" ht="15" hidden="false" customHeight="true" outlineLevel="0" collapsed="false">
      <c r="A725" s="3" t="n">
        <v>46015</v>
      </c>
      <c r="B725" s="4" t="n">
        <f aca="false">YEAR($A725)</f>
        <v>2025</v>
      </c>
      <c r="C725" s="4" t="n">
        <f aca="false">MONTH($A725)</f>
        <v>12</v>
      </c>
      <c r="D725" s="4" t="str">
        <f aca="false">TEXT($A725,"ddd")</f>
        <v>Wed</v>
      </c>
      <c r="E725" s="4" t="n">
        <f aca="false">IF(OR(AND(MONTH($A725)=10,DAY($A725)&gt;=15),MONTH($A725)=11,AND(MONTH($A725)=12,DAY($A725)&lt;=7)),1,0)</f>
        <v>0</v>
      </c>
      <c r="F725" s="4" t="n">
        <f aca="false">IF(MONTH($A725)&lt;=3,1,0)</f>
        <v>0</v>
      </c>
      <c r="G725" s="4" t="str">
        <f aca="false" t="array" ref="G725: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4" t="n">
        <f aca="false">COUNTIF(Events!$A$2:$A$397,$A725)</f>
        <v>0</v>
      </c>
      <c r="I725" s="6" t="str">
        <f aca="false" t="array" ref="I725:I725">_xlfn.TEXTJOIN(" | ",TRUE(),IF(Events!$A$2:$A$397=$A725,Events!$E$2:$E$397&amp;IF(Events!$G$2:$G$397="National",""," ["&amp;Events!$G$2:$G$397&amp;"]"),""))</f>
        <v/>
      </c>
    </row>
    <row r="726" customFormat="false" ht="15" hidden="false" customHeight="true" outlineLevel="0" collapsed="false">
      <c r="A726" s="3" t="n">
        <v>46016</v>
      </c>
      <c r="B726" s="4" t="n">
        <f aca="false">YEAR($A726)</f>
        <v>2025</v>
      </c>
      <c r="C726" s="4" t="n">
        <f aca="false">MONTH($A726)</f>
        <v>12</v>
      </c>
      <c r="D726" s="4" t="str">
        <f aca="false">TEXT($A726,"ddd")</f>
        <v>Thu</v>
      </c>
      <c r="E726" s="4" t="n">
        <f aca="false">IF(OR(AND(MONTH($A726)=10,DAY($A726)&gt;=15),MONTH($A726)=11,AND(MONTH($A726)=12,DAY($A726)&lt;=7)),1,0)</f>
        <v>0</v>
      </c>
      <c r="F726" s="4" t="n">
        <f aca="false">IF(MONTH($A726)&lt;=3,1,0)</f>
        <v>0</v>
      </c>
      <c r="G726" s="4" t="str">
        <f aca="false" t="array" ref="G726: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4" t="n">
        <f aca="false">COUNTIF(Events!$A$2:$A$397,$A726)</f>
        <v>0</v>
      </c>
      <c r="I726" s="6" t="str">
        <f aca="false" t="array" ref="I726:I726">_xlfn.TEXTJOIN(" | ",TRUE(),IF(Events!$A$2:$A$397=$A726,Events!$E$2:$E$397&amp;IF(Events!$G$2:$G$397="National",""," ["&amp;Events!$G$2:$G$397&amp;"]"),""))</f>
        <v/>
      </c>
    </row>
    <row r="727" customFormat="false" ht="15" hidden="false" customHeight="true" outlineLevel="0" collapsed="false">
      <c r="A727" s="3" t="n">
        <v>46017</v>
      </c>
      <c r="B727" s="4" t="n">
        <f aca="false">YEAR($A727)</f>
        <v>2025</v>
      </c>
      <c r="C727" s="4" t="n">
        <f aca="false">MONTH($A727)</f>
        <v>12</v>
      </c>
      <c r="D727" s="4" t="str">
        <f aca="false">TEXT($A727,"ddd")</f>
        <v>Fri</v>
      </c>
      <c r="E727" s="4" t="n">
        <f aca="false">IF(OR(AND(MONTH($A727)=10,DAY($A727)&gt;=15),MONTH($A727)=11,AND(MONTH($A727)=12,DAY($A727)&lt;=7)),1,0)</f>
        <v>0</v>
      </c>
      <c r="F727" s="4" t="n">
        <f aca="false">IF(MONTH($A727)&lt;=3,1,0)</f>
        <v>0</v>
      </c>
      <c r="G727" s="4" t="str">
        <f aca="false" t="array" ref="G727: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4" t="n">
        <f aca="false">COUNTIF(Events!$A$2:$A$397,$A727)</f>
        <v>0</v>
      </c>
      <c r="I727" s="6" t="str">
        <f aca="false" t="array" ref="I727:I727">_xlfn.TEXTJOIN(" | ",TRUE(),IF(Events!$A$2:$A$397=$A727,Events!$E$2:$E$397&amp;IF(Events!$G$2:$G$397="National",""," ["&amp;Events!$G$2:$G$397&amp;"]"),""))</f>
        <v/>
      </c>
    </row>
    <row r="728" customFormat="false" ht="15" hidden="false" customHeight="true" outlineLevel="0" collapsed="false">
      <c r="A728" s="3" t="n">
        <v>46018</v>
      </c>
      <c r="B728" s="4" t="n">
        <f aca="false">YEAR($A728)</f>
        <v>2025</v>
      </c>
      <c r="C728" s="4" t="n">
        <f aca="false">MONTH($A728)</f>
        <v>12</v>
      </c>
      <c r="D728" s="4" t="str">
        <f aca="false">TEXT($A728,"ddd")</f>
        <v>Sat</v>
      </c>
      <c r="E728" s="4" t="n">
        <f aca="false">IF(OR(AND(MONTH($A728)=10,DAY($A728)&gt;=15),MONTH($A728)=11,AND(MONTH($A728)=12,DAY($A728)&lt;=7)),1,0)</f>
        <v>0</v>
      </c>
      <c r="F728" s="4" t="n">
        <f aca="false">IF(MONTH($A728)&lt;=3,1,0)</f>
        <v>0</v>
      </c>
      <c r="G728" s="4" t="str">
        <f aca="false" t="array" ref="G728: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4" t="n">
        <f aca="false">COUNTIF(Events!$A$2:$A$397,$A728)</f>
        <v>0</v>
      </c>
      <c r="I728" s="6" t="str">
        <f aca="false" t="array" ref="I728:I728">_xlfn.TEXTJOIN(" | ",TRUE(),IF(Events!$A$2:$A$397=$A728,Events!$E$2:$E$397&amp;IF(Events!$G$2:$G$397="National",""," ["&amp;Events!$G$2:$G$397&amp;"]"),""))</f>
        <v/>
      </c>
    </row>
    <row r="729" customFormat="false" ht="15" hidden="false" customHeight="true" outlineLevel="0" collapsed="false">
      <c r="A729" s="3" t="n">
        <v>46019</v>
      </c>
      <c r="B729" s="4" t="n">
        <f aca="false">YEAR($A729)</f>
        <v>2025</v>
      </c>
      <c r="C729" s="4" t="n">
        <f aca="false">MONTH($A729)</f>
        <v>12</v>
      </c>
      <c r="D729" s="4" t="str">
        <f aca="false">TEXT($A729,"ddd")</f>
        <v>Sun</v>
      </c>
      <c r="E729" s="4" t="n">
        <f aca="false">IF(OR(AND(MONTH($A729)=10,DAY($A729)&gt;=15),MONTH($A729)=11,AND(MONTH($A729)=12,DAY($A729)&lt;=7)),1,0)</f>
        <v>0</v>
      </c>
      <c r="F729" s="4" t="n">
        <f aca="false">IF(MONTH($A729)&lt;=3,1,0)</f>
        <v>0</v>
      </c>
      <c r="G729" s="4" t="str">
        <f aca="false" t="array" ref="G729: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4" t="n">
        <f aca="false">COUNTIF(Events!$A$2:$A$397,$A729)</f>
        <v>0</v>
      </c>
      <c r="I729" s="6" t="str">
        <f aca="false" t="array" ref="I729:I729">_xlfn.TEXTJOIN(" | ",TRUE(),IF(Events!$A$2:$A$397=$A729,Events!$E$2:$E$397&amp;IF(Events!$G$2:$G$397="National",""," ["&amp;Events!$G$2:$G$397&amp;"]"),""))</f>
        <v/>
      </c>
    </row>
    <row r="730" customFormat="false" ht="15" hidden="false" customHeight="true" outlineLevel="0" collapsed="false">
      <c r="A730" s="3" t="n">
        <v>46020</v>
      </c>
      <c r="B730" s="4" t="n">
        <f aca="false">YEAR($A730)</f>
        <v>2025</v>
      </c>
      <c r="C730" s="4" t="n">
        <f aca="false">MONTH($A730)</f>
        <v>12</v>
      </c>
      <c r="D730" s="4" t="str">
        <f aca="false">TEXT($A730,"ddd")</f>
        <v>Mon</v>
      </c>
      <c r="E730" s="4" t="n">
        <f aca="false">IF(OR(AND(MONTH($A730)=10,DAY($A730)&gt;=15),MONTH($A730)=11,AND(MONTH($A730)=12,DAY($A730)&lt;=7)),1,0)</f>
        <v>0</v>
      </c>
      <c r="F730" s="4" t="n">
        <f aca="false">IF(MONTH($A730)&lt;=3,1,0)</f>
        <v>0</v>
      </c>
      <c r="G730" s="4" t="str">
        <f aca="false" t="array" ref="G730: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4" t="n">
        <f aca="false">COUNTIF(Events!$A$2:$A$397,$A730)</f>
        <v>0</v>
      </c>
      <c r="I730" s="6" t="str">
        <f aca="false" t="array" ref="I730:I730">_xlfn.TEXTJOIN(" | ",TRUE(),IF(Events!$A$2:$A$397=$A730,Events!$E$2:$E$397&amp;IF(Events!$G$2:$G$397="National",""," ["&amp;Events!$G$2:$G$397&amp;"]"),""))</f>
        <v/>
      </c>
    </row>
    <row r="731" customFormat="false" ht="15" hidden="false" customHeight="true" outlineLevel="0" collapsed="false">
      <c r="A731" s="3" t="n">
        <v>46021</v>
      </c>
      <c r="B731" s="4" t="n">
        <f aca="false">YEAR($A731)</f>
        <v>2025</v>
      </c>
      <c r="C731" s="4" t="n">
        <f aca="false">MONTH($A731)</f>
        <v>12</v>
      </c>
      <c r="D731" s="4" t="str">
        <f aca="false">TEXT($A731,"ddd")</f>
        <v>Tue</v>
      </c>
      <c r="E731" s="4" t="n">
        <f aca="false">IF(OR(AND(MONTH($A731)=10,DAY($A731)&gt;=15),MONTH($A731)=11,AND(MONTH($A731)=12,DAY($A731)&lt;=7)),1,0)</f>
        <v>0</v>
      </c>
      <c r="F731" s="4" t="n">
        <f aca="false">IF(MONTH($A731)&lt;=3,1,0)</f>
        <v>0</v>
      </c>
      <c r="G731" s="4" t="str">
        <f aca="false" t="array" ref="G731: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v>
      </c>
      <c r="H731" s="4" t="n">
        <f aca="false">COUNTIF(Events!$A$2:$A$397,$A731)</f>
        <v>0</v>
      </c>
      <c r="I731" s="6" t="str">
        <f aca="false" t="array" ref="I731:I731">_xlfn.TEXTJOIN(" | ",TRUE(),IF(Events!$A$2:$A$397=$A731,Events!$E$2:$E$397&amp;IF(Events!$G$2:$G$397="National",""," ["&amp;Events!$G$2:$G$397&amp;"]"),""))</f>
        <v/>
      </c>
    </row>
    <row r="732" customFormat="false" ht="15" hidden="false" customHeight="true" outlineLevel="0" collapsed="false">
      <c r="A732" s="3" t="n">
        <v>46022</v>
      </c>
      <c r="B732" s="4" t="n">
        <f aca="false">YEAR($A732)</f>
        <v>2025</v>
      </c>
      <c r="C732" s="4" t="n">
        <f aca="false">MONTH($A732)</f>
        <v>12</v>
      </c>
      <c r="D732" s="4" t="str">
        <f aca="false">TEXT($A732,"ddd")</f>
        <v>Wed</v>
      </c>
      <c r="E732" s="4" t="n">
        <f aca="false">IF(OR(AND(MONTH($A732)=10,DAY($A732)&gt;=15),MONTH($A732)=11,AND(MONTH($A732)=12,DAY($A732)&lt;=7)),1,0)</f>
        <v>0</v>
      </c>
      <c r="F732" s="4" t="n">
        <f aca="false">IF(MONTH($A732)&lt;=3,1,0)</f>
        <v>0</v>
      </c>
      <c r="G732" s="4" t="str">
        <f aca="false" t="array" ref="G732: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2" s="4" t="n">
        <f aca="false">COUNTIF(Events!$A$2:$A$397,$A732)</f>
        <v>0</v>
      </c>
      <c r="I732" s="6" t="str">
        <f aca="false" t="array" ref="I732:I732">_xlfn.TEXTJOIN(" | ",TRUE(),IF(Events!$A$2:$A$397=$A732,Events!$E$2:$E$397&amp;IF(Events!$G$2:$G$397="National",""," ["&amp;Events!$G$2:$G$397&amp;"]"),""))</f>
        <v/>
      </c>
    </row>
    <row r="733" customFormat="false" ht="15" hidden="false" customHeight="true" outlineLevel="0" collapsed="false">
      <c r="A733" s="3" t="n">
        <v>46023</v>
      </c>
      <c r="B733" s="4" t="n">
        <f aca="false">YEAR($A733)</f>
        <v>2026</v>
      </c>
      <c r="C733" s="4" t="n">
        <f aca="false">MONTH($A733)</f>
        <v>1</v>
      </c>
      <c r="D733" s="4" t="str">
        <f aca="false">TEXT($A733,"ddd")</f>
        <v>Thu</v>
      </c>
      <c r="E733" s="4" t="n">
        <f aca="false">IF(OR(AND(MONTH($A733)=10,DAY($A733)&gt;=15),MONTH($A733)=11,AND(MONTH($A733)=12,DAY($A733)&lt;=7)),1,0)</f>
        <v>0</v>
      </c>
      <c r="F733" s="4" t="n">
        <f aca="false">IF(MONTH($A733)&lt;=3,1,0)</f>
        <v>1</v>
      </c>
      <c r="G733" s="4" t="str">
        <f aca="false" t="array" ref="G733: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4" t="n">
        <f aca="false">COUNTIF(Events!$A$2:$A$397,$A733)</f>
        <v>6</v>
      </c>
      <c r="I733" s="6" t="str">
        <f aca="false" t="array" ref="I733:I733">_xlfn.TEXTJOIN(" | ",TRUE(),IF(Events!$A$2:$A$397=$A733,Events!$E$2:$E$397&amp;IF(Events!$G$2:$G$397="National",""," ["&amp;Events!$G$2:$G$397&amp;"]"),""))</f>
        <v>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 | 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customFormat="false" ht="15" hidden="false" customHeight="true" outlineLevel="0" collapsed="false">
      <c r="A734" s="3" t="n">
        <v>46024</v>
      </c>
      <c r="B734" s="4" t="n">
        <f aca="false">YEAR($A734)</f>
        <v>2026</v>
      </c>
      <c r="C734" s="4" t="n">
        <f aca="false">MONTH($A734)</f>
        <v>1</v>
      </c>
      <c r="D734" s="4" t="str">
        <f aca="false">TEXT($A734,"ddd")</f>
        <v>Fri</v>
      </c>
      <c r="E734" s="4" t="n">
        <f aca="false">IF(OR(AND(MONTH($A734)=10,DAY($A734)&gt;=15),MONTH($A734)=11,AND(MONTH($A734)=12,DAY($A734)&lt;=7)),1,0)</f>
        <v>0</v>
      </c>
      <c r="F734" s="4" t="n">
        <f aca="false">IF(MONTH($A734)&lt;=3,1,0)</f>
        <v>1</v>
      </c>
      <c r="G734" s="4" t="str">
        <f aca="false" t="array" ref="G734: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4" t="n">
        <f aca="false">COUNTIF(Events!$A$2:$A$397,$A734)</f>
        <v>0</v>
      </c>
      <c r="I734" s="6" t="str">
        <f aca="false" t="array" ref="I734:I734">_xlfn.TEXTJOIN(" | ",TRUE(),IF(Events!$A$2:$A$397=$A734,Events!$E$2:$E$397&amp;IF(Events!$G$2:$G$397="National",""," ["&amp;Events!$G$2:$G$397&amp;"]"),""))</f>
        <v/>
      </c>
    </row>
    <row r="735" customFormat="false" ht="15" hidden="false" customHeight="true" outlineLevel="0" collapsed="false">
      <c r="A735" s="3" t="n">
        <v>46025</v>
      </c>
      <c r="B735" s="4" t="n">
        <f aca="false">YEAR($A735)</f>
        <v>2026</v>
      </c>
      <c r="C735" s="4" t="n">
        <f aca="false">MONTH($A735)</f>
        <v>1</v>
      </c>
      <c r="D735" s="4" t="str">
        <f aca="false">TEXT($A735,"ddd")</f>
        <v>Sat</v>
      </c>
      <c r="E735" s="4" t="n">
        <f aca="false">IF(OR(AND(MONTH($A735)=10,DAY($A735)&gt;=15),MONTH($A735)=11,AND(MONTH($A735)=12,DAY($A735)&lt;=7)),1,0)</f>
        <v>0</v>
      </c>
      <c r="F735" s="4" t="n">
        <f aca="false">IF(MONTH($A735)&lt;=3,1,0)</f>
        <v>1</v>
      </c>
      <c r="G735" s="4" t="str">
        <f aca="false" t="array" ref="G735: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4" t="n">
        <f aca="false">COUNTIF(Events!$A$2:$A$397,$A735)</f>
        <v>0</v>
      </c>
      <c r="I735" s="6" t="str">
        <f aca="false" t="array" ref="I735:I735">_xlfn.TEXTJOIN(" | ",TRUE(),IF(Events!$A$2:$A$397=$A735,Events!$E$2:$E$397&amp;IF(Events!$G$2:$G$397="National",""," ["&amp;Events!$G$2:$G$397&amp;"]"),""))</f>
        <v/>
      </c>
    </row>
    <row r="736" customFormat="false" ht="15" hidden="false" customHeight="true" outlineLevel="0" collapsed="false">
      <c r="A736" s="3" t="n">
        <v>46026</v>
      </c>
      <c r="B736" s="4" t="n">
        <f aca="false">YEAR($A736)</f>
        <v>2026</v>
      </c>
      <c r="C736" s="4" t="n">
        <f aca="false">MONTH($A736)</f>
        <v>1</v>
      </c>
      <c r="D736" s="4" t="str">
        <f aca="false">TEXT($A736,"ddd")</f>
        <v>Sun</v>
      </c>
      <c r="E736" s="4" t="n">
        <f aca="false">IF(OR(AND(MONTH($A736)=10,DAY($A736)&gt;=15),MONTH($A736)=11,AND(MONTH($A736)=12,DAY($A736)&lt;=7)),1,0)</f>
        <v>0</v>
      </c>
      <c r="F736" s="4" t="n">
        <f aca="false">IF(MONTH($A736)&lt;=3,1,0)</f>
        <v>1</v>
      </c>
      <c r="G736" s="4" t="str">
        <f aca="false" t="array" ref="G736: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4" t="n">
        <f aca="false">COUNTIF(Events!$A$2:$A$397,$A736)</f>
        <v>0</v>
      </c>
      <c r="I736" s="6" t="str">
        <f aca="false" t="array" ref="I736:I736">_xlfn.TEXTJOIN(" | ",TRUE(),IF(Events!$A$2:$A$397=$A736,Events!$E$2:$E$397&amp;IF(Events!$G$2:$G$397="National",""," ["&amp;Events!$G$2:$G$397&amp;"]"),""))</f>
        <v/>
      </c>
    </row>
    <row r="737" customFormat="false" ht="15" hidden="false" customHeight="true" outlineLevel="0" collapsed="false">
      <c r="A737" s="3" t="n">
        <v>46027</v>
      </c>
      <c r="B737" s="4" t="n">
        <f aca="false">YEAR($A737)</f>
        <v>2026</v>
      </c>
      <c r="C737" s="4" t="n">
        <f aca="false">MONTH($A737)</f>
        <v>1</v>
      </c>
      <c r="D737" s="4" t="str">
        <f aca="false">TEXT($A737,"ddd")</f>
        <v>Mon</v>
      </c>
      <c r="E737" s="4" t="n">
        <f aca="false">IF(OR(AND(MONTH($A737)=10,DAY($A737)&gt;=15),MONTH($A737)=11,AND(MONTH($A737)=12,DAY($A737)&lt;=7)),1,0)</f>
        <v>0</v>
      </c>
      <c r="F737" s="4" t="n">
        <f aca="false">IF(MONTH($A737)&lt;=3,1,0)</f>
        <v>1</v>
      </c>
      <c r="G737" s="4" t="str">
        <f aca="false" t="array" ref="G737: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4" t="n">
        <f aca="false">COUNTIF(Events!$A$2:$A$397,$A737)</f>
        <v>0</v>
      </c>
      <c r="I737" s="6" t="str">
        <f aca="false" t="array" ref="I737:I737">_xlfn.TEXTJOIN(" | ",TRUE(),IF(Events!$A$2:$A$397=$A737,Events!$E$2:$E$397&amp;IF(Events!$G$2:$G$397="National",""," ["&amp;Events!$G$2:$G$397&amp;"]"),""))</f>
        <v/>
      </c>
    </row>
    <row r="738" customFormat="false" ht="15" hidden="false" customHeight="true" outlineLevel="0" collapsed="false">
      <c r="A738" s="3" t="n">
        <v>46028</v>
      </c>
      <c r="B738" s="4" t="n">
        <f aca="false">YEAR($A738)</f>
        <v>2026</v>
      </c>
      <c r="C738" s="4" t="n">
        <f aca="false">MONTH($A738)</f>
        <v>1</v>
      </c>
      <c r="D738" s="4" t="str">
        <f aca="false">TEXT($A738,"ddd")</f>
        <v>Tue</v>
      </c>
      <c r="E738" s="4" t="n">
        <f aca="false">IF(OR(AND(MONTH($A738)=10,DAY($A738)&gt;=15),MONTH($A738)=11,AND(MONTH($A738)=12,DAY($A738)&lt;=7)),1,0)</f>
        <v>0</v>
      </c>
      <c r="F738" s="4" t="n">
        <f aca="false">IF(MONTH($A738)&lt;=3,1,0)</f>
        <v>1</v>
      </c>
      <c r="G738" s="4" t="str">
        <f aca="false" t="array" ref="G738: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4" t="n">
        <f aca="false">COUNTIF(Events!$A$2:$A$397,$A738)</f>
        <v>0</v>
      </c>
      <c r="I738" s="6" t="str">
        <f aca="false" t="array" ref="I738:I738">_xlfn.TEXTJOIN(" | ",TRUE(),IF(Events!$A$2:$A$397=$A738,Events!$E$2:$E$397&amp;IF(Events!$G$2:$G$397="National",""," ["&amp;Events!$G$2:$G$397&amp;"]"),""))</f>
        <v/>
      </c>
    </row>
    <row r="739" customFormat="false" ht="15" hidden="false" customHeight="true" outlineLevel="0" collapsed="false">
      <c r="A739" s="3" t="n">
        <v>46029</v>
      </c>
      <c r="B739" s="4" t="n">
        <f aca="false">YEAR($A739)</f>
        <v>2026</v>
      </c>
      <c r="C739" s="4" t="n">
        <f aca="false">MONTH($A739)</f>
        <v>1</v>
      </c>
      <c r="D739" s="4" t="str">
        <f aca="false">TEXT($A739,"ddd")</f>
        <v>Wed</v>
      </c>
      <c r="E739" s="4" t="n">
        <f aca="false">IF(OR(AND(MONTH($A739)=10,DAY($A739)&gt;=15),MONTH($A739)=11,AND(MONTH($A739)=12,DAY($A739)&lt;=7)),1,0)</f>
        <v>0</v>
      </c>
      <c r="F739" s="4" t="n">
        <f aca="false">IF(MONTH($A739)&lt;=3,1,0)</f>
        <v>1</v>
      </c>
      <c r="G739" s="4" t="str">
        <f aca="false" t="array" ref="G739: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4" t="n">
        <f aca="false">COUNTIF(Events!$A$2:$A$397,$A739)</f>
        <v>0</v>
      </c>
      <c r="I739" s="6" t="str">
        <f aca="false" t="array" ref="I739:I739">_xlfn.TEXTJOIN(" | ",TRUE(),IF(Events!$A$2:$A$397=$A739,Events!$E$2:$E$397&amp;IF(Events!$G$2:$G$397="National",""," ["&amp;Events!$G$2:$G$397&amp;"]"),""))</f>
        <v/>
      </c>
    </row>
    <row r="740" customFormat="false" ht="15" hidden="false" customHeight="true" outlineLevel="0" collapsed="false">
      <c r="A740" s="3" t="n">
        <v>46030</v>
      </c>
      <c r="B740" s="4" t="n">
        <f aca="false">YEAR($A740)</f>
        <v>2026</v>
      </c>
      <c r="C740" s="4" t="n">
        <f aca="false">MONTH($A740)</f>
        <v>1</v>
      </c>
      <c r="D740" s="4" t="str">
        <f aca="false">TEXT($A740,"ddd")</f>
        <v>Thu</v>
      </c>
      <c r="E740" s="4" t="n">
        <f aca="false">IF(OR(AND(MONTH($A740)=10,DAY($A740)&gt;=15),MONTH($A740)=11,AND(MONTH($A740)=12,DAY($A740)&lt;=7)),1,0)</f>
        <v>0</v>
      </c>
      <c r="F740" s="4" t="n">
        <f aca="false">IF(MONTH($A740)&lt;=3,1,0)</f>
        <v>1</v>
      </c>
      <c r="G740" s="4" t="str">
        <f aca="false" t="array" ref="G740: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4" t="n">
        <f aca="false">COUNTIF(Events!$A$2:$A$397,$A740)</f>
        <v>0</v>
      </c>
      <c r="I740" s="6" t="str">
        <f aca="false" t="array" ref="I740:I740">_xlfn.TEXTJOIN(" | ",TRUE(),IF(Events!$A$2:$A$397=$A740,Events!$E$2:$E$397&amp;IF(Events!$G$2:$G$397="National",""," ["&amp;Events!$G$2:$G$397&amp;"]"),""))</f>
        <v/>
      </c>
    </row>
    <row r="741" customFormat="false" ht="15" hidden="false" customHeight="true" outlineLevel="0" collapsed="false">
      <c r="A741" s="3" t="n">
        <v>46031</v>
      </c>
      <c r="B741" s="4" t="n">
        <f aca="false">YEAR($A741)</f>
        <v>2026</v>
      </c>
      <c r="C741" s="4" t="n">
        <f aca="false">MONTH($A741)</f>
        <v>1</v>
      </c>
      <c r="D741" s="4" t="str">
        <f aca="false">TEXT($A741,"ddd")</f>
        <v>Fri</v>
      </c>
      <c r="E741" s="4" t="n">
        <f aca="false">IF(OR(AND(MONTH($A741)=10,DAY($A741)&gt;=15),MONTH($A741)=11,AND(MONTH($A741)=12,DAY($A741)&lt;=7)),1,0)</f>
        <v>0</v>
      </c>
      <c r="F741" s="4" t="n">
        <f aca="false">IF(MONTH($A741)&lt;=3,1,0)</f>
        <v>1</v>
      </c>
      <c r="G741" s="4" t="str">
        <f aca="false" t="array" ref="G741: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4" t="n">
        <f aca="false">COUNTIF(Events!$A$2:$A$397,$A741)</f>
        <v>0</v>
      </c>
      <c r="I741" s="6" t="str">
        <f aca="false" t="array" ref="I741:I741">_xlfn.TEXTJOIN(" | ",TRUE(),IF(Events!$A$2:$A$397=$A741,Events!$E$2:$E$397&amp;IF(Events!$G$2:$G$397="National",""," ["&amp;Events!$G$2:$G$397&amp;"]"),""))</f>
        <v/>
      </c>
    </row>
    <row r="742" customFormat="false" ht="15" hidden="false" customHeight="true" outlineLevel="0" collapsed="false">
      <c r="A742" s="3" t="n">
        <v>46032</v>
      </c>
      <c r="B742" s="4" t="n">
        <f aca="false">YEAR($A742)</f>
        <v>2026</v>
      </c>
      <c r="C742" s="4" t="n">
        <f aca="false">MONTH($A742)</f>
        <v>1</v>
      </c>
      <c r="D742" s="4" t="str">
        <f aca="false">TEXT($A742,"ddd")</f>
        <v>Sat</v>
      </c>
      <c r="E742" s="4" t="n">
        <f aca="false">IF(OR(AND(MONTH($A742)=10,DAY($A742)&gt;=15),MONTH($A742)=11,AND(MONTH($A742)=12,DAY($A742)&lt;=7)),1,0)</f>
        <v>0</v>
      </c>
      <c r="F742" s="4" t="n">
        <f aca="false">IF(MONTH($A742)&lt;=3,1,0)</f>
        <v>1</v>
      </c>
      <c r="G742" s="4" t="str">
        <f aca="false" t="array" ref="G742: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4" t="n">
        <f aca="false">COUNTIF(Events!$A$2:$A$397,$A742)</f>
        <v>0</v>
      </c>
      <c r="I742" s="6" t="str">
        <f aca="false" t="array" ref="I742:I742">_xlfn.TEXTJOIN(" | ",TRUE(),IF(Events!$A$2:$A$397=$A742,Events!$E$2:$E$397&amp;IF(Events!$G$2:$G$397="National",""," ["&amp;Events!$G$2:$G$397&amp;"]"),""))</f>
        <v/>
      </c>
    </row>
    <row r="743" customFormat="false" ht="15" hidden="false" customHeight="true" outlineLevel="0" collapsed="false">
      <c r="A743" s="3" t="n">
        <v>46033</v>
      </c>
      <c r="B743" s="4" t="n">
        <f aca="false">YEAR($A743)</f>
        <v>2026</v>
      </c>
      <c r="C743" s="4" t="n">
        <f aca="false">MONTH($A743)</f>
        <v>1</v>
      </c>
      <c r="D743" s="4" t="str">
        <f aca="false">TEXT($A743,"ddd")</f>
        <v>Sun</v>
      </c>
      <c r="E743" s="4" t="n">
        <f aca="false">IF(OR(AND(MONTH($A743)=10,DAY($A743)&gt;=15),MONTH($A743)=11,AND(MONTH($A743)=12,DAY($A743)&lt;=7)),1,0)</f>
        <v>0</v>
      </c>
      <c r="F743" s="4" t="n">
        <f aca="false">IF(MONTH($A743)&lt;=3,1,0)</f>
        <v>1</v>
      </c>
      <c r="G743" s="4" t="str">
        <f aca="false" t="array" ref="G743: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4" t="n">
        <f aca="false">COUNTIF(Events!$A$2:$A$397,$A743)</f>
        <v>0</v>
      </c>
      <c r="I743" s="6" t="str">
        <f aca="false" t="array" ref="I743:I743">_xlfn.TEXTJOIN(" | ",TRUE(),IF(Events!$A$2:$A$397=$A743,Events!$E$2:$E$397&amp;IF(Events!$G$2:$G$397="National",""," ["&amp;Events!$G$2:$G$397&amp;"]"),""))</f>
        <v/>
      </c>
    </row>
    <row r="744" customFormat="false" ht="15" hidden="false" customHeight="true" outlineLevel="0" collapsed="false">
      <c r="A744" s="3" t="n">
        <v>46034</v>
      </c>
      <c r="B744" s="4" t="n">
        <f aca="false">YEAR($A744)</f>
        <v>2026</v>
      </c>
      <c r="C744" s="4" t="n">
        <f aca="false">MONTH($A744)</f>
        <v>1</v>
      </c>
      <c r="D744" s="4" t="str">
        <f aca="false">TEXT($A744,"ddd")</f>
        <v>Mon</v>
      </c>
      <c r="E744" s="4" t="n">
        <f aca="false">IF(OR(AND(MONTH($A744)=10,DAY($A744)&gt;=15),MONTH($A744)=11,AND(MONTH($A744)=12,DAY($A744)&lt;=7)),1,0)</f>
        <v>0</v>
      </c>
      <c r="F744" s="4" t="n">
        <f aca="false">IF(MONTH($A744)&lt;=3,1,0)</f>
        <v>1</v>
      </c>
      <c r="G744" s="4" t="str">
        <f aca="false" t="array" ref="G744: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4" t="n">
        <f aca="false">COUNTIF(Events!$A$2:$A$397,$A744)</f>
        <v>0</v>
      </c>
      <c r="I744" s="6" t="str">
        <f aca="false" t="array" ref="I744:I744">_xlfn.TEXTJOIN(" | ",TRUE(),IF(Events!$A$2:$A$397=$A744,Events!$E$2:$E$397&amp;IF(Events!$G$2:$G$397="National",""," ["&amp;Events!$G$2:$G$397&amp;"]"),""))</f>
        <v/>
      </c>
    </row>
    <row r="745" customFormat="false" ht="15" hidden="false" customHeight="true" outlineLevel="0" collapsed="false">
      <c r="A745" s="3" t="n">
        <v>46035</v>
      </c>
      <c r="B745" s="4" t="n">
        <f aca="false">YEAR($A745)</f>
        <v>2026</v>
      </c>
      <c r="C745" s="4" t="n">
        <f aca="false">MONTH($A745)</f>
        <v>1</v>
      </c>
      <c r="D745" s="4" t="str">
        <f aca="false">TEXT($A745,"ddd")</f>
        <v>Tue</v>
      </c>
      <c r="E745" s="4" t="n">
        <f aca="false">IF(OR(AND(MONTH($A745)=10,DAY($A745)&gt;=15),MONTH($A745)=11,AND(MONTH($A745)=12,DAY($A745)&lt;=7)),1,0)</f>
        <v>0</v>
      </c>
      <c r="F745" s="4" t="n">
        <f aca="false">IF(MONTH($A745)&lt;=3,1,0)</f>
        <v>1</v>
      </c>
      <c r="G745" s="4" t="str">
        <f aca="false" t="array" ref="G745: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4" t="n">
        <f aca="false">COUNTIF(Events!$A$2:$A$397,$A745)</f>
        <v>0</v>
      </c>
      <c r="I745" s="6" t="str">
        <f aca="false" t="array" ref="I745:I745">_xlfn.TEXTJOIN(" | ",TRUE(),IF(Events!$A$2:$A$397=$A745,Events!$E$2:$E$397&amp;IF(Events!$G$2:$G$397="National",""," ["&amp;Events!$G$2:$G$397&amp;"]"),""))</f>
        <v/>
      </c>
    </row>
    <row r="746" customFormat="false" ht="15" hidden="false" customHeight="true" outlineLevel="0" collapsed="false">
      <c r="A746" s="3" t="n">
        <v>46036</v>
      </c>
      <c r="B746" s="4" t="n">
        <f aca="false">YEAR($A746)</f>
        <v>2026</v>
      </c>
      <c r="C746" s="4" t="n">
        <f aca="false">MONTH($A746)</f>
        <v>1</v>
      </c>
      <c r="D746" s="4" t="str">
        <f aca="false">TEXT($A746,"ddd")</f>
        <v>Wed</v>
      </c>
      <c r="E746" s="4" t="n">
        <f aca="false">IF(OR(AND(MONTH($A746)=10,DAY($A746)&gt;=15),MONTH($A746)=11,AND(MONTH($A746)=12,DAY($A746)&lt;=7)),1,0)</f>
        <v>0</v>
      </c>
      <c r="F746" s="4" t="n">
        <f aca="false">IF(MONTH($A746)&lt;=3,1,0)</f>
        <v>1</v>
      </c>
      <c r="G746" s="4" t="str">
        <f aca="false" t="array" ref="G746: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4" t="n">
        <f aca="false">COUNTIF(Events!$A$2:$A$397,$A746)</f>
        <v>0</v>
      </c>
      <c r="I746" s="6" t="str">
        <f aca="false" t="array" ref="I746:I746">_xlfn.TEXTJOIN(" | ",TRUE(),IF(Events!$A$2:$A$397=$A746,Events!$E$2:$E$397&amp;IF(Events!$G$2:$G$397="National",""," ["&amp;Events!$G$2:$G$397&amp;"]"),""))</f>
        <v/>
      </c>
    </row>
    <row r="747" customFormat="false" ht="15" hidden="false" customHeight="true" outlineLevel="0" collapsed="false">
      <c r="A747" s="3" t="n">
        <v>46037</v>
      </c>
      <c r="B747" s="4" t="n">
        <f aca="false">YEAR($A747)</f>
        <v>2026</v>
      </c>
      <c r="C747" s="4" t="n">
        <f aca="false">MONTH($A747)</f>
        <v>1</v>
      </c>
      <c r="D747" s="4" t="str">
        <f aca="false">TEXT($A747,"ddd")</f>
        <v>Thu</v>
      </c>
      <c r="E747" s="4" t="n">
        <f aca="false">IF(OR(AND(MONTH($A747)=10,DAY($A747)&gt;=15),MONTH($A747)=11,AND(MONTH($A747)=12,DAY($A747)&lt;=7)),1,0)</f>
        <v>0</v>
      </c>
      <c r="F747" s="4" t="n">
        <f aca="false">IF(MONTH($A747)&lt;=3,1,0)</f>
        <v>1</v>
      </c>
      <c r="G747" s="4" t="str">
        <f aca="false" t="array" ref="G747: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4" t="n">
        <f aca="false">COUNTIF(Events!$A$2:$A$397,$A747)</f>
        <v>0</v>
      </c>
      <c r="I747" s="6" t="str">
        <f aca="false" t="array" ref="I747:I747">_xlfn.TEXTJOIN(" | ",TRUE(),IF(Events!$A$2:$A$397=$A747,Events!$E$2:$E$397&amp;IF(Events!$G$2:$G$397="National",""," ["&amp;Events!$G$2:$G$397&amp;"]"),""))</f>
        <v/>
      </c>
    </row>
    <row r="748" customFormat="false" ht="15" hidden="false" customHeight="true" outlineLevel="0" collapsed="false">
      <c r="A748" s="3" t="n">
        <v>46038</v>
      </c>
      <c r="B748" s="4" t="n">
        <f aca="false">YEAR($A748)</f>
        <v>2026</v>
      </c>
      <c r="C748" s="4" t="n">
        <f aca="false">MONTH($A748)</f>
        <v>1</v>
      </c>
      <c r="D748" s="4" t="str">
        <f aca="false">TEXT($A748,"ddd")</f>
        <v>Fri</v>
      </c>
      <c r="E748" s="4" t="n">
        <f aca="false">IF(OR(AND(MONTH($A748)=10,DAY($A748)&gt;=15),MONTH($A748)=11,AND(MONTH($A748)=12,DAY($A748)&lt;=7)),1,0)</f>
        <v>0</v>
      </c>
      <c r="F748" s="4" t="n">
        <f aca="false">IF(MONTH($A748)&lt;=3,1,0)</f>
        <v>1</v>
      </c>
      <c r="G748" s="4" t="str">
        <f aca="false" t="array" ref="G748: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4" t="n">
        <f aca="false">COUNTIF(Events!$A$2:$A$397,$A748)</f>
        <v>0</v>
      </c>
      <c r="I748" s="6" t="str">
        <f aca="false" t="array" ref="I748:I748">_xlfn.TEXTJOIN(" | ",TRUE(),IF(Events!$A$2:$A$397=$A748,Events!$E$2:$E$397&amp;IF(Events!$G$2:$G$397="National",""," ["&amp;Events!$G$2:$G$397&amp;"]"),""))</f>
        <v/>
      </c>
    </row>
    <row r="749" customFormat="false" ht="15" hidden="false" customHeight="true" outlineLevel="0" collapsed="false">
      <c r="A749" s="3" t="n">
        <v>46039</v>
      </c>
      <c r="B749" s="4" t="n">
        <f aca="false">YEAR($A749)</f>
        <v>2026</v>
      </c>
      <c r="C749" s="4" t="n">
        <f aca="false">MONTH($A749)</f>
        <v>1</v>
      </c>
      <c r="D749" s="4" t="str">
        <f aca="false">TEXT($A749,"ddd")</f>
        <v>Sat</v>
      </c>
      <c r="E749" s="4" t="n">
        <f aca="false">IF(OR(AND(MONTH($A749)=10,DAY($A749)&gt;=15),MONTH($A749)=11,AND(MONTH($A749)=12,DAY($A749)&lt;=7)),1,0)</f>
        <v>0</v>
      </c>
      <c r="F749" s="4" t="n">
        <f aca="false">IF(MONTH($A749)&lt;=3,1,0)</f>
        <v>1</v>
      </c>
      <c r="G749" s="4" t="str">
        <f aca="false" t="array" ref="G749: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4" t="n">
        <f aca="false">COUNTIF(Events!$A$2:$A$397,$A749)</f>
        <v>0</v>
      </c>
      <c r="I749" s="6" t="str">
        <f aca="false" t="array" ref="I749:I749">_xlfn.TEXTJOIN(" | ",TRUE(),IF(Events!$A$2:$A$397=$A749,Events!$E$2:$E$397&amp;IF(Events!$G$2:$G$397="National",""," ["&amp;Events!$G$2:$G$397&amp;"]"),""))</f>
        <v/>
      </c>
    </row>
    <row r="750" customFormat="false" ht="15" hidden="false" customHeight="true" outlineLevel="0" collapsed="false">
      <c r="A750" s="3" t="n">
        <v>46040</v>
      </c>
      <c r="B750" s="4" t="n">
        <f aca="false">YEAR($A750)</f>
        <v>2026</v>
      </c>
      <c r="C750" s="4" t="n">
        <f aca="false">MONTH($A750)</f>
        <v>1</v>
      </c>
      <c r="D750" s="4" t="str">
        <f aca="false">TEXT($A750,"ddd")</f>
        <v>Sun</v>
      </c>
      <c r="E750" s="4" t="n">
        <f aca="false">IF(OR(AND(MONTH($A750)=10,DAY($A750)&gt;=15),MONTH($A750)=11,AND(MONTH($A750)=12,DAY($A750)&lt;=7)),1,0)</f>
        <v>0</v>
      </c>
      <c r="F750" s="4" t="n">
        <f aca="false">IF(MONTH($A750)&lt;=3,1,0)</f>
        <v>1</v>
      </c>
      <c r="G750" s="4" t="str">
        <f aca="false" t="array" ref="G750: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4" t="n">
        <f aca="false">COUNTIF(Events!$A$2:$A$397,$A750)</f>
        <v>0</v>
      </c>
      <c r="I750" s="6" t="str">
        <f aca="false" t="array" ref="I750:I750">_xlfn.TEXTJOIN(" | ",TRUE(),IF(Events!$A$2:$A$397=$A750,Events!$E$2:$E$397&amp;IF(Events!$G$2:$G$397="National",""," ["&amp;Events!$G$2:$G$397&amp;"]"),""))</f>
        <v/>
      </c>
    </row>
    <row r="751" customFormat="false" ht="15" hidden="false" customHeight="true" outlineLevel="0" collapsed="false">
      <c r="A751" s="3" t="n">
        <v>46041</v>
      </c>
      <c r="B751" s="4" t="n">
        <f aca="false">YEAR($A751)</f>
        <v>2026</v>
      </c>
      <c r="C751" s="4" t="n">
        <f aca="false">MONTH($A751)</f>
        <v>1</v>
      </c>
      <c r="D751" s="4" t="str">
        <f aca="false">TEXT($A751,"ddd")</f>
        <v>Mon</v>
      </c>
      <c r="E751" s="4" t="n">
        <f aca="false">IF(OR(AND(MONTH($A751)=10,DAY($A751)&gt;=15),MONTH($A751)=11,AND(MONTH($A751)=12,DAY($A751)&lt;=7)),1,0)</f>
        <v>0</v>
      </c>
      <c r="F751" s="4" t="n">
        <f aca="false">IF(MONTH($A751)&lt;=3,1,0)</f>
        <v>1</v>
      </c>
      <c r="G751" s="4" t="str">
        <f aca="false" t="array" ref="G751: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4" t="n">
        <f aca="false">COUNTIF(Events!$A$2:$A$397,$A751)</f>
        <v>0</v>
      </c>
      <c r="I751" s="6" t="str">
        <f aca="false" t="array" ref="I751:I751">_xlfn.TEXTJOIN(" | ",TRUE(),IF(Events!$A$2:$A$397=$A751,Events!$E$2:$E$397&amp;IF(Events!$G$2:$G$397="National",""," ["&amp;Events!$G$2:$G$397&amp;"]"),""))</f>
        <v/>
      </c>
    </row>
    <row r="752" customFormat="false" ht="15" hidden="false" customHeight="true" outlineLevel="0" collapsed="false">
      <c r="A752" s="3" t="n">
        <v>46042</v>
      </c>
      <c r="B752" s="4" t="n">
        <f aca="false">YEAR($A752)</f>
        <v>2026</v>
      </c>
      <c r="C752" s="4" t="n">
        <f aca="false">MONTH($A752)</f>
        <v>1</v>
      </c>
      <c r="D752" s="4" t="str">
        <f aca="false">TEXT($A752,"ddd")</f>
        <v>Tue</v>
      </c>
      <c r="E752" s="4" t="n">
        <f aca="false">IF(OR(AND(MONTH($A752)=10,DAY($A752)&gt;=15),MONTH($A752)=11,AND(MONTH($A752)=12,DAY($A752)&lt;=7)),1,0)</f>
        <v>0</v>
      </c>
      <c r="F752" s="4" t="n">
        <f aca="false">IF(MONTH($A752)&lt;=3,1,0)</f>
        <v>1</v>
      </c>
      <c r="G752" s="4" t="str">
        <f aca="false" t="array" ref="G752: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4" t="n">
        <f aca="false">COUNTIF(Events!$A$2:$A$397,$A752)</f>
        <v>0</v>
      </c>
      <c r="I752" s="6" t="str">
        <f aca="false" t="array" ref="I752:I752">_xlfn.TEXTJOIN(" | ",TRUE(),IF(Events!$A$2:$A$397=$A752,Events!$E$2:$E$397&amp;IF(Events!$G$2:$G$397="National",""," ["&amp;Events!$G$2:$G$397&amp;"]"),""))</f>
        <v/>
      </c>
    </row>
    <row r="753" customFormat="false" ht="15" hidden="false" customHeight="true" outlineLevel="0" collapsed="false">
      <c r="A753" s="3" t="n">
        <v>46043</v>
      </c>
      <c r="B753" s="4" t="n">
        <f aca="false">YEAR($A753)</f>
        <v>2026</v>
      </c>
      <c r="C753" s="4" t="n">
        <f aca="false">MONTH($A753)</f>
        <v>1</v>
      </c>
      <c r="D753" s="4" t="str">
        <f aca="false">TEXT($A753,"ddd")</f>
        <v>Wed</v>
      </c>
      <c r="E753" s="4" t="n">
        <f aca="false">IF(OR(AND(MONTH($A753)=10,DAY($A753)&gt;=15),MONTH($A753)=11,AND(MONTH($A753)=12,DAY($A753)&lt;=7)),1,0)</f>
        <v>0</v>
      </c>
      <c r="F753" s="4" t="n">
        <f aca="false">IF(MONTH($A753)&lt;=3,1,0)</f>
        <v>1</v>
      </c>
      <c r="G753" s="4" t="str">
        <f aca="false" t="array" ref="G753: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4" t="n">
        <f aca="false">COUNTIF(Events!$A$2:$A$397,$A753)</f>
        <v>0</v>
      </c>
      <c r="I753" s="6" t="str">
        <f aca="false" t="array" ref="I753:I753">_xlfn.TEXTJOIN(" | ",TRUE(),IF(Events!$A$2:$A$397=$A753,Events!$E$2:$E$397&amp;IF(Events!$G$2:$G$397="National",""," ["&amp;Events!$G$2:$G$397&amp;"]"),""))</f>
        <v/>
      </c>
    </row>
    <row r="754" customFormat="false" ht="15" hidden="false" customHeight="true" outlineLevel="0" collapsed="false">
      <c r="A754" s="3" t="n">
        <v>46044</v>
      </c>
      <c r="B754" s="4" t="n">
        <f aca="false">YEAR($A754)</f>
        <v>2026</v>
      </c>
      <c r="C754" s="4" t="n">
        <f aca="false">MONTH($A754)</f>
        <v>1</v>
      </c>
      <c r="D754" s="4" t="str">
        <f aca="false">TEXT($A754,"ddd")</f>
        <v>Thu</v>
      </c>
      <c r="E754" s="4" t="n">
        <f aca="false">IF(OR(AND(MONTH($A754)=10,DAY($A754)&gt;=15),MONTH($A754)=11,AND(MONTH($A754)=12,DAY($A754)&lt;=7)),1,0)</f>
        <v>0</v>
      </c>
      <c r="F754" s="4" t="n">
        <f aca="false">IF(MONTH($A754)&lt;=3,1,0)</f>
        <v>1</v>
      </c>
      <c r="G754" s="4" t="str">
        <f aca="false" t="array" ref="G754: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4" t="n">
        <f aca="false">COUNTIF(Events!$A$2:$A$397,$A754)</f>
        <v>0</v>
      </c>
      <c r="I754" s="6" t="str">
        <f aca="false" t="array" ref="I754:I754">_xlfn.TEXTJOIN(" | ",TRUE(),IF(Events!$A$2:$A$397=$A754,Events!$E$2:$E$397&amp;IF(Events!$G$2:$G$397="National",""," ["&amp;Events!$G$2:$G$397&amp;"]"),""))</f>
        <v/>
      </c>
    </row>
    <row r="755" customFormat="false" ht="15" hidden="false" customHeight="true" outlineLevel="0" collapsed="false">
      <c r="A755" s="3" t="n">
        <v>46045</v>
      </c>
      <c r="B755" s="4" t="n">
        <f aca="false">YEAR($A755)</f>
        <v>2026</v>
      </c>
      <c r="C755" s="4" t="n">
        <f aca="false">MONTH($A755)</f>
        <v>1</v>
      </c>
      <c r="D755" s="4" t="str">
        <f aca="false">TEXT($A755,"ddd")</f>
        <v>Fri</v>
      </c>
      <c r="E755" s="4" t="n">
        <f aca="false">IF(OR(AND(MONTH($A755)=10,DAY($A755)&gt;=15),MONTH($A755)=11,AND(MONTH($A755)=12,DAY($A755)&lt;=7)),1,0)</f>
        <v>0</v>
      </c>
      <c r="F755" s="4" t="n">
        <f aca="false">IF(MONTH($A755)&lt;=3,1,0)</f>
        <v>1</v>
      </c>
      <c r="G755" s="4" t="str">
        <f aca="false" t="array" ref="G755: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4" t="n">
        <f aca="false">COUNTIF(Events!$A$2:$A$397,$A755)</f>
        <v>0</v>
      </c>
      <c r="I755" s="6" t="str">
        <f aca="false" t="array" ref="I755:I755">_xlfn.TEXTJOIN(" | ",TRUE(),IF(Events!$A$2:$A$397=$A755,Events!$E$2:$E$397&amp;IF(Events!$G$2:$G$397="National",""," ["&amp;Events!$G$2:$G$397&amp;"]"),""))</f>
        <v/>
      </c>
    </row>
    <row r="756" customFormat="false" ht="15" hidden="false" customHeight="true" outlineLevel="0" collapsed="false">
      <c r="A756" s="3" t="n">
        <v>46046</v>
      </c>
      <c r="B756" s="4" t="n">
        <f aca="false">YEAR($A756)</f>
        <v>2026</v>
      </c>
      <c r="C756" s="4" t="n">
        <f aca="false">MONTH($A756)</f>
        <v>1</v>
      </c>
      <c r="D756" s="4" t="str">
        <f aca="false">TEXT($A756,"ddd")</f>
        <v>Sat</v>
      </c>
      <c r="E756" s="4" t="n">
        <f aca="false">IF(OR(AND(MONTH($A756)=10,DAY($A756)&gt;=15),MONTH($A756)=11,AND(MONTH($A756)=12,DAY($A756)&lt;=7)),1,0)</f>
        <v>0</v>
      </c>
      <c r="F756" s="4" t="n">
        <f aca="false">IF(MONTH($A756)&lt;=3,1,0)</f>
        <v>1</v>
      </c>
      <c r="G756" s="4" t="str">
        <f aca="false" t="array" ref="G756: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4" t="n">
        <f aca="false">COUNTIF(Events!$A$2:$A$397,$A756)</f>
        <v>0</v>
      </c>
      <c r="I756" s="6" t="str">
        <f aca="false" t="array" ref="I756:I756">_xlfn.TEXTJOIN(" | ",TRUE(),IF(Events!$A$2:$A$397=$A756,Events!$E$2:$E$397&amp;IF(Events!$G$2:$G$397="National",""," ["&amp;Events!$G$2:$G$397&amp;"]"),""))</f>
        <v/>
      </c>
    </row>
    <row r="757" customFormat="false" ht="15" hidden="false" customHeight="true" outlineLevel="0" collapsed="false">
      <c r="A757" s="3" t="n">
        <v>46047</v>
      </c>
      <c r="B757" s="4" t="n">
        <f aca="false">YEAR($A757)</f>
        <v>2026</v>
      </c>
      <c r="C757" s="4" t="n">
        <f aca="false">MONTH($A757)</f>
        <v>1</v>
      </c>
      <c r="D757" s="4" t="str">
        <f aca="false">TEXT($A757,"ddd")</f>
        <v>Sun</v>
      </c>
      <c r="E757" s="4" t="n">
        <f aca="false">IF(OR(AND(MONTH($A757)=10,DAY($A757)&gt;=15),MONTH($A757)=11,AND(MONTH($A757)=12,DAY($A757)&lt;=7)),1,0)</f>
        <v>0</v>
      </c>
      <c r="F757" s="4" t="n">
        <f aca="false">IF(MONTH($A757)&lt;=3,1,0)</f>
        <v>1</v>
      </c>
      <c r="G757" s="4" t="str">
        <f aca="false" t="array" ref="G757: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4" t="n">
        <f aca="false">COUNTIF(Events!$A$2:$A$397,$A757)</f>
        <v>0</v>
      </c>
      <c r="I757" s="6" t="str">
        <f aca="false" t="array" ref="I757:I757">_xlfn.TEXTJOIN(" | ",TRUE(),IF(Events!$A$2:$A$397=$A757,Events!$E$2:$E$397&amp;IF(Events!$G$2:$G$397="National",""," ["&amp;Events!$G$2:$G$397&amp;"]"),""))</f>
        <v/>
      </c>
    </row>
    <row r="758" customFormat="false" ht="15" hidden="false" customHeight="true" outlineLevel="0" collapsed="false">
      <c r="A758" s="3" t="n">
        <v>46048</v>
      </c>
      <c r="B758" s="4" t="n">
        <f aca="false">YEAR($A758)</f>
        <v>2026</v>
      </c>
      <c r="C758" s="4" t="n">
        <f aca="false">MONTH($A758)</f>
        <v>1</v>
      </c>
      <c r="D758" s="4" t="str">
        <f aca="false">TEXT($A758,"ddd")</f>
        <v>Mon</v>
      </c>
      <c r="E758" s="4" t="n">
        <f aca="false">IF(OR(AND(MONTH($A758)=10,DAY($A758)&gt;=15),MONTH($A758)=11,AND(MONTH($A758)=12,DAY($A758)&lt;=7)),1,0)</f>
        <v>0</v>
      </c>
      <c r="F758" s="4" t="n">
        <f aca="false">IF(MONTH($A758)&lt;=3,1,0)</f>
        <v>1</v>
      </c>
      <c r="G758" s="4" t="str">
        <f aca="false" t="array" ref="G758: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4" t="n">
        <f aca="false">COUNTIF(Events!$A$2:$A$397,$A758)</f>
        <v>1</v>
      </c>
      <c r="I758" s="6" t="str">
        <f aca="false" t="array" ref="I758:I758">_xlfn.TEXTJOIN(" | ",TRUE(),IF(Events!$A$2:$A$397=$A758,Events!$E$2:$E$397&amp;IF(Events!$G$2:$G$397="National",""," ["&amp;Events!$G$2:$G$397&amp;"]"),""))</f>
        <v>CY2027 Advance Notice released: proposed only +0.09% base update (~$700M) - far below prior years; proposed excluding unlinked chart-review and audio-only diagnoses from risk scores; comments due 2/25/2026</v>
      </c>
    </row>
    <row r="759" customFormat="false" ht="15" hidden="false" customHeight="true" outlineLevel="0" collapsed="false">
      <c r="A759" s="3" t="n">
        <v>46049</v>
      </c>
      <c r="B759" s="4" t="n">
        <f aca="false">YEAR($A759)</f>
        <v>2026</v>
      </c>
      <c r="C759" s="4" t="n">
        <f aca="false">MONTH($A759)</f>
        <v>1</v>
      </c>
      <c r="D759" s="4" t="str">
        <f aca="false">TEXT($A759,"ddd")</f>
        <v>Tue</v>
      </c>
      <c r="E759" s="4" t="n">
        <f aca="false">IF(OR(AND(MONTH($A759)=10,DAY($A759)&gt;=15),MONTH($A759)=11,AND(MONTH($A759)=12,DAY($A759)&lt;=7)),1,0)</f>
        <v>0</v>
      </c>
      <c r="F759" s="4" t="n">
        <f aca="false">IF(MONTH($A759)&lt;=3,1,0)</f>
        <v>1</v>
      </c>
      <c r="G759" s="4" t="str">
        <f aca="false" t="array" ref="G759: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4" t="n">
        <f aca="false">COUNTIF(Events!$A$2:$A$397,$A759)</f>
        <v>1</v>
      </c>
      <c r="I759" s="6" t="str">
        <f aca="false" t="array" ref="I759:I759">_xlfn.TEXTJOIN(" | ",TRUE(),IF(Events!$A$2:$A$397=$A759,Events!$E$2:$E$397&amp;IF(Events!$G$2:$G$397="National",""," ["&amp;Events!$G$2:$G$397&amp;"]"),""))</f>
        <v>CMS announces 15 round-3 drugs (first round eligible to include Part B drugs; effective 2028)</v>
      </c>
    </row>
    <row r="760" customFormat="false" ht="15" hidden="false" customHeight="true" outlineLevel="0" collapsed="false">
      <c r="A760" s="3" t="n">
        <v>46050</v>
      </c>
      <c r="B760" s="4" t="n">
        <f aca="false">YEAR($A760)</f>
        <v>2026</v>
      </c>
      <c r="C760" s="4" t="n">
        <f aca="false">MONTH($A760)</f>
        <v>1</v>
      </c>
      <c r="D760" s="4" t="str">
        <f aca="false">TEXT($A760,"ddd")</f>
        <v>Wed</v>
      </c>
      <c r="E760" s="4" t="n">
        <f aca="false">IF(OR(AND(MONTH($A760)=10,DAY($A760)&gt;=15),MONTH($A760)=11,AND(MONTH($A760)=12,DAY($A760)&lt;=7)),1,0)</f>
        <v>0</v>
      </c>
      <c r="F760" s="4" t="n">
        <f aca="false">IF(MONTH($A760)&lt;=3,1,0)</f>
        <v>1</v>
      </c>
      <c r="G760" s="4" t="str">
        <f aca="false" t="array" ref="G760: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4" t="n">
        <f aca="false">COUNTIF(Events!$A$2:$A$397,$A760)</f>
        <v>0</v>
      </c>
      <c r="I760" s="6" t="str">
        <f aca="false" t="array" ref="I760:I760">_xlfn.TEXTJOIN(" | ",TRUE(),IF(Events!$A$2:$A$397=$A760,Events!$E$2:$E$397&amp;IF(Events!$G$2:$G$397="National",""," ["&amp;Events!$G$2:$G$397&amp;"]"),""))</f>
        <v/>
      </c>
    </row>
    <row r="761" customFormat="false" ht="15" hidden="false" customHeight="true" outlineLevel="0" collapsed="false">
      <c r="A761" s="3" t="n">
        <v>46051</v>
      </c>
      <c r="B761" s="4" t="n">
        <f aca="false">YEAR($A761)</f>
        <v>2026</v>
      </c>
      <c r="C761" s="4" t="n">
        <f aca="false">MONTH($A761)</f>
        <v>1</v>
      </c>
      <c r="D761" s="4" t="str">
        <f aca="false">TEXT($A761,"ddd")</f>
        <v>Thu</v>
      </c>
      <c r="E761" s="4" t="n">
        <f aca="false">IF(OR(AND(MONTH($A761)=10,DAY($A761)&gt;=15),MONTH($A761)=11,AND(MONTH($A761)=12,DAY($A761)&lt;=7)),1,0)</f>
        <v>0</v>
      </c>
      <c r="F761" s="4" t="n">
        <f aca="false">IF(MONTH($A761)&lt;=3,1,0)</f>
        <v>1</v>
      </c>
      <c r="G761" s="4" t="str">
        <f aca="false" t="array" ref="G761: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
      </c>
      <c r="H761" s="4" t="n">
        <f aca="false">COUNTIF(Events!$A$2:$A$397,$A761)</f>
        <v>0</v>
      </c>
      <c r="I761" s="6" t="str">
        <f aca="false" t="array" ref="I761:I761">_xlfn.TEXTJOIN(" | ",TRUE(),IF(Events!$A$2:$A$397=$A761,Events!$E$2:$E$397&amp;IF(Events!$G$2:$G$397="National",""," ["&amp;Events!$G$2:$G$397&amp;"]"),""))</f>
        <v/>
      </c>
    </row>
    <row r="762" customFormat="false" ht="15" hidden="false" customHeight="true" outlineLevel="0" collapsed="false">
      <c r="A762" s="3" t="n">
        <v>46052</v>
      </c>
      <c r="B762" s="4" t="n">
        <f aca="false">YEAR($A762)</f>
        <v>2026</v>
      </c>
      <c r="C762" s="4" t="n">
        <f aca="false">MONTH($A762)</f>
        <v>1</v>
      </c>
      <c r="D762" s="4" t="str">
        <f aca="false">TEXT($A762,"ddd")</f>
        <v>Fri</v>
      </c>
      <c r="E762" s="4" t="n">
        <f aca="false">IF(OR(AND(MONTH($A762)=10,DAY($A762)&gt;=15),MONTH($A762)=11,AND(MONTH($A762)=12,DAY($A762)&lt;=7)),1,0)</f>
        <v>0</v>
      </c>
      <c r="F762" s="4" t="n">
        <f aca="false">IF(MONTH($A762)&lt;=3,1,0)</f>
        <v>1</v>
      </c>
      <c r="G762" s="4" t="str">
        <f aca="false" t="array" ref="G762: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4" t="n">
        <f aca="false">COUNTIF(Events!$A$2:$A$397,$A762)</f>
        <v>0</v>
      </c>
      <c r="I762" s="6" t="str">
        <f aca="false" t="array" ref="I762:I762">_xlfn.TEXTJOIN(" | ",TRUE(),IF(Events!$A$2:$A$397=$A762,Events!$E$2:$E$397&amp;IF(Events!$G$2:$G$397="National",""," ["&amp;Events!$G$2:$G$397&amp;"]"),""))</f>
        <v/>
      </c>
    </row>
    <row r="763" customFormat="false" ht="15" hidden="false" customHeight="true" outlineLevel="0" collapsed="false">
      <c r="A763" s="3" t="n">
        <v>46053</v>
      </c>
      <c r="B763" s="4" t="n">
        <f aca="false">YEAR($A763)</f>
        <v>2026</v>
      </c>
      <c r="C763" s="4" t="n">
        <f aca="false">MONTH($A763)</f>
        <v>1</v>
      </c>
      <c r="D763" s="4" t="str">
        <f aca="false">TEXT($A763,"ddd")</f>
        <v>Sat</v>
      </c>
      <c r="E763" s="4" t="n">
        <f aca="false">IF(OR(AND(MONTH($A763)=10,DAY($A763)&gt;=15),MONTH($A763)=11,AND(MONTH($A763)=12,DAY($A763)&lt;=7)),1,0)</f>
        <v>0</v>
      </c>
      <c r="F763" s="4" t="n">
        <f aca="false">IF(MONTH($A763)&lt;=3,1,0)</f>
        <v>1</v>
      </c>
      <c r="G763" s="4" t="str">
        <f aca="false" t="array" ref="G763: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3" s="4" t="n">
        <f aca="false">COUNTIF(Events!$A$2:$A$397,$A763)</f>
        <v>0</v>
      </c>
      <c r="I763" s="6" t="str">
        <f aca="false" t="array" ref="I763:I763">_xlfn.TEXTJOIN(" | ",TRUE(),IF(Events!$A$2:$A$397=$A763,Events!$E$2:$E$397&amp;IF(Events!$G$2:$G$397="National",""," ["&amp;Events!$G$2:$G$397&amp;"]"),""))</f>
        <v/>
      </c>
    </row>
    <row r="764" customFormat="false" ht="15" hidden="false" customHeight="true" outlineLevel="0" collapsed="false">
      <c r="A764" s="3" t="n">
        <v>46054</v>
      </c>
      <c r="B764" s="4" t="n">
        <f aca="false">YEAR($A764)</f>
        <v>2026</v>
      </c>
      <c r="C764" s="4" t="n">
        <f aca="false">MONTH($A764)</f>
        <v>2</v>
      </c>
      <c r="D764" s="4" t="str">
        <f aca="false">TEXT($A764,"ddd")</f>
        <v>Sun</v>
      </c>
      <c r="E764" s="4" t="n">
        <f aca="false">IF(OR(AND(MONTH($A764)=10,DAY($A764)&gt;=15),MONTH($A764)=11,AND(MONTH($A764)=12,DAY($A764)&lt;=7)),1,0)</f>
        <v>0</v>
      </c>
      <c r="F764" s="4" t="n">
        <f aca="false">IF(MONTH($A764)&lt;=3,1,0)</f>
        <v>1</v>
      </c>
      <c r="G764" s="4" t="str">
        <f aca="false" t="array" ref="G764: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4" t="n">
        <f aca="false">COUNTIF(Events!$A$2:$A$397,$A764)</f>
        <v>0</v>
      </c>
      <c r="I764" s="6" t="str">
        <f aca="false" t="array" ref="I764:I764">_xlfn.TEXTJOIN(" | ",TRUE(),IF(Events!$A$2:$A$397=$A764,Events!$E$2:$E$397&amp;IF(Events!$G$2:$G$397="National",""," ["&amp;Events!$G$2:$G$397&amp;"]"),""))</f>
        <v/>
      </c>
    </row>
    <row r="765" customFormat="false" ht="15" hidden="false" customHeight="true" outlineLevel="0" collapsed="false">
      <c r="A765" s="3" t="n">
        <v>46055</v>
      </c>
      <c r="B765" s="4" t="n">
        <f aca="false">YEAR($A765)</f>
        <v>2026</v>
      </c>
      <c r="C765" s="4" t="n">
        <f aca="false">MONTH($A765)</f>
        <v>2</v>
      </c>
      <c r="D765" s="4" t="str">
        <f aca="false">TEXT($A765,"ddd")</f>
        <v>Mon</v>
      </c>
      <c r="E765" s="4" t="n">
        <f aca="false">IF(OR(AND(MONTH($A765)=10,DAY($A765)&gt;=15),MONTH($A765)=11,AND(MONTH($A765)=12,DAY($A765)&lt;=7)),1,0)</f>
        <v>0</v>
      </c>
      <c r="F765" s="4" t="n">
        <f aca="false">IF(MONTH($A765)&lt;=3,1,0)</f>
        <v>1</v>
      </c>
      <c r="G765" s="4" t="str">
        <f aca="false" t="array" ref="G765: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4" t="n">
        <f aca="false">COUNTIF(Events!$A$2:$A$397,$A765)</f>
        <v>0</v>
      </c>
      <c r="I765" s="6" t="str">
        <f aca="false" t="array" ref="I765:I765">_xlfn.TEXTJOIN(" | ",TRUE(),IF(Events!$A$2:$A$397=$A765,Events!$E$2:$E$397&amp;IF(Events!$G$2:$G$397="National",""," ["&amp;Events!$G$2:$G$397&amp;"]"),""))</f>
        <v/>
      </c>
    </row>
    <row r="766" customFormat="false" ht="15" hidden="false" customHeight="true" outlineLevel="0" collapsed="false">
      <c r="A766" s="3" t="n">
        <v>46056</v>
      </c>
      <c r="B766" s="4" t="n">
        <f aca="false">YEAR($A766)</f>
        <v>2026</v>
      </c>
      <c r="C766" s="4" t="n">
        <f aca="false">MONTH($A766)</f>
        <v>2</v>
      </c>
      <c r="D766" s="4" t="str">
        <f aca="false">TEXT($A766,"ddd")</f>
        <v>Tue</v>
      </c>
      <c r="E766" s="4" t="n">
        <f aca="false">IF(OR(AND(MONTH($A766)=10,DAY($A766)&gt;=15),MONTH($A766)=11,AND(MONTH($A766)=12,DAY($A766)&lt;=7)),1,0)</f>
        <v>0</v>
      </c>
      <c r="F766" s="4" t="n">
        <f aca="false">IF(MONTH($A766)&lt;=3,1,0)</f>
        <v>1</v>
      </c>
      <c r="G766" s="4" t="str">
        <f aca="false" t="array" ref="G766: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4" t="n">
        <f aca="false">COUNTIF(Events!$A$2:$A$397,$A766)</f>
        <v>0</v>
      </c>
      <c r="I766" s="6" t="str">
        <f aca="false" t="array" ref="I766:I766">_xlfn.TEXTJOIN(" | ",TRUE(),IF(Events!$A$2:$A$397=$A766,Events!$E$2:$E$397&amp;IF(Events!$G$2:$G$397="National",""," ["&amp;Events!$G$2:$G$397&amp;"]"),""))</f>
        <v/>
      </c>
    </row>
    <row r="767" customFormat="false" ht="15" hidden="false" customHeight="true" outlineLevel="0" collapsed="false">
      <c r="A767" s="3" t="n">
        <v>46057</v>
      </c>
      <c r="B767" s="4" t="n">
        <f aca="false">YEAR($A767)</f>
        <v>2026</v>
      </c>
      <c r="C767" s="4" t="n">
        <f aca="false">MONTH($A767)</f>
        <v>2</v>
      </c>
      <c r="D767" s="4" t="str">
        <f aca="false">TEXT($A767,"ddd")</f>
        <v>Wed</v>
      </c>
      <c r="E767" s="4" t="n">
        <f aca="false">IF(OR(AND(MONTH($A767)=10,DAY($A767)&gt;=15),MONTH($A767)=11,AND(MONTH($A767)=12,DAY($A767)&lt;=7)),1,0)</f>
        <v>0</v>
      </c>
      <c r="F767" s="4" t="n">
        <f aca="false">IF(MONTH($A767)&lt;=3,1,0)</f>
        <v>1</v>
      </c>
      <c r="G767" s="4" t="str">
        <f aca="false" t="array" ref="G767: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4" t="n">
        <f aca="false">COUNTIF(Events!$A$2:$A$397,$A767)</f>
        <v>0</v>
      </c>
      <c r="I767" s="6" t="str">
        <f aca="false" t="array" ref="I767:I767">_xlfn.TEXTJOIN(" | ",TRUE(),IF(Events!$A$2:$A$397=$A767,Events!$E$2:$E$397&amp;IF(Events!$G$2:$G$397="National",""," ["&amp;Events!$G$2:$G$397&amp;"]"),""))</f>
        <v/>
      </c>
    </row>
    <row r="768" customFormat="false" ht="15" hidden="false" customHeight="true" outlineLevel="0" collapsed="false">
      <c r="A768" s="3" t="n">
        <v>46058</v>
      </c>
      <c r="B768" s="4" t="n">
        <f aca="false">YEAR($A768)</f>
        <v>2026</v>
      </c>
      <c r="C768" s="4" t="n">
        <f aca="false">MONTH($A768)</f>
        <v>2</v>
      </c>
      <c r="D768" s="4" t="str">
        <f aca="false">TEXT($A768,"ddd")</f>
        <v>Thu</v>
      </c>
      <c r="E768" s="4" t="n">
        <f aca="false">IF(OR(AND(MONTH($A768)=10,DAY($A768)&gt;=15),MONTH($A768)=11,AND(MONTH($A768)=12,DAY($A768)&lt;=7)),1,0)</f>
        <v>0</v>
      </c>
      <c r="F768" s="4" t="n">
        <f aca="false">IF(MONTH($A768)&lt;=3,1,0)</f>
        <v>1</v>
      </c>
      <c r="G768" s="4" t="str">
        <f aca="false" t="array" ref="G768: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4" t="n">
        <f aca="false">COUNTIF(Events!$A$2:$A$397,$A768)</f>
        <v>0</v>
      </c>
      <c r="I768" s="6" t="str">
        <f aca="false" t="array" ref="I768:I768">_xlfn.TEXTJOIN(" | ",TRUE(),IF(Events!$A$2:$A$397=$A768,Events!$E$2:$E$397&amp;IF(Events!$G$2:$G$397="National",""," ["&amp;Events!$G$2:$G$397&amp;"]"),""))</f>
        <v/>
      </c>
    </row>
    <row r="769" customFormat="false" ht="15" hidden="false" customHeight="true" outlineLevel="0" collapsed="false">
      <c r="A769" s="3" t="n">
        <v>46059</v>
      </c>
      <c r="B769" s="4" t="n">
        <f aca="false">YEAR($A769)</f>
        <v>2026</v>
      </c>
      <c r="C769" s="4" t="n">
        <f aca="false">MONTH($A769)</f>
        <v>2</v>
      </c>
      <c r="D769" s="4" t="str">
        <f aca="false">TEXT($A769,"ddd")</f>
        <v>Fri</v>
      </c>
      <c r="E769" s="4" t="n">
        <f aca="false">IF(OR(AND(MONTH($A769)=10,DAY($A769)&gt;=15),MONTH($A769)=11,AND(MONTH($A769)=12,DAY($A769)&lt;=7)),1,0)</f>
        <v>0</v>
      </c>
      <c r="F769" s="4" t="n">
        <f aca="false">IF(MONTH($A769)&lt;=3,1,0)</f>
        <v>1</v>
      </c>
      <c r="G769" s="4" t="str">
        <f aca="false" t="array" ref="G769: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4" t="n">
        <f aca="false">COUNTIF(Events!$A$2:$A$397,$A769)</f>
        <v>0</v>
      </c>
      <c r="I769" s="6" t="str">
        <f aca="false" t="array" ref="I769:I769">_xlfn.TEXTJOIN(" | ",TRUE(),IF(Events!$A$2:$A$397=$A769,Events!$E$2:$E$397&amp;IF(Events!$G$2:$G$397="National",""," ["&amp;Events!$G$2:$G$397&amp;"]"),""))</f>
        <v/>
      </c>
    </row>
    <row r="770" customFormat="false" ht="15" hidden="false" customHeight="true" outlineLevel="0" collapsed="false">
      <c r="A770" s="3" t="n">
        <v>46060</v>
      </c>
      <c r="B770" s="4" t="n">
        <f aca="false">YEAR($A770)</f>
        <v>2026</v>
      </c>
      <c r="C770" s="4" t="n">
        <f aca="false">MONTH($A770)</f>
        <v>2</v>
      </c>
      <c r="D770" s="4" t="str">
        <f aca="false">TEXT($A770,"ddd")</f>
        <v>Sat</v>
      </c>
      <c r="E770" s="4" t="n">
        <f aca="false">IF(OR(AND(MONTH($A770)=10,DAY($A770)&gt;=15),MONTH($A770)=11,AND(MONTH($A770)=12,DAY($A770)&lt;=7)),1,0)</f>
        <v>0</v>
      </c>
      <c r="F770" s="4" t="n">
        <f aca="false">IF(MONTH($A770)&lt;=3,1,0)</f>
        <v>1</v>
      </c>
      <c r="G770" s="4" t="str">
        <f aca="false" t="array" ref="G770: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4" t="n">
        <f aca="false">COUNTIF(Events!$A$2:$A$397,$A770)</f>
        <v>0</v>
      </c>
      <c r="I770" s="6" t="str">
        <f aca="false" t="array" ref="I770:I770">_xlfn.TEXTJOIN(" | ",TRUE(),IF(Events!$A$2:$A$397=$A770,Events!$E$2:$E$397&amp;IF(Events!$G$2:$G$397="National",""," ["&amp;Events!$G$2:$G$397&amp;"]"),""))</f>
        <v/>
      </c>
    </row>
    <row r="771" customFormat="false" ht="15" hidden="false" customHeight="true" outlineLevel="0" collapsed="false">
      <c r="A771" s="3" t="n">
        <v>46061</v>
      </c>
      <c r="B771" s="4" t="n">
        <f aca="false">YEAR($A771)</f>
        <v>2026</v>
      </c>
      <c r="C771" s="4" t="n">
        <f aca="false">MONTH($A771)</f>
        <v>2</v>
      </c>
      <c r="D771" s="4" t="str">
        <f aca="false">TEXT($A771,"ddd")</f>
        <v>Sun</v>
      </c>
      <c r="E771" s="4" t="n">
        <f aca="false">IF(OR(AND(MONTH($A771)=10,DAY($A771)&gt;=15),MONTH($A771)=11,AND(MONTH($A771)=12,DAY($A771)&lt;=7)),1,0)</f>
        <v>0</v>
      </c>
      <c r="F771" s="4" t="n">
        <f aca="false">IF(MONTH($A771)&lt;=3,1,0)</f>
        <v>1</v>
      </c>
      <c r="G771" s="4" t="str">
        <f aca="false" t="array" ref="G771: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4" t="n">
        <f aca="false">COUNTIF(Events!$A$2:$A$397,$A771)</f>
        <v>0</v>
      </c>
      <c r="I771" s="6" t="str">
        <f aca="false" t="array" ref="I771:I771">_xlfn.TEXTJOIN(" | ",TRUE(),IF(Events!$A$2:$A$397=$A771,Events!$E$2:$E$397&amp;IF(Events!$G$2:$G$397="National",""," ["&amp;Events!$G$2:$G$397&amp;"]"),""))</f>
        <v/>
      </c>
    </row>
    <row r="772" customFormat="false" ht="15" hidden="false" customHeight="true" outlineLevel="0" collapsed="false">
      <c r="A772" s="3" t="n">
        <v>46062</v>
      </c>
      <c r="B772" s="4" t="n">
        <f aca="false">YEAR($A772)</f>
        <v>2026</v>
      </c>
      <c r="C772" s="4" t="n">
        <f aca="false">MONTH($A772)</f>
        <v>2</v>
      </c>
      <c r="D772" s="4" t="str">
        <f aca="false">TEXT($A772,"ddd")</f>
        <v>Mon</v>
      </c>
      <c r="E772" s="4" t="n">
        <f aca="false">IF(OR(AND(MONTH($A772)=10,DAY($A772)&gt;=15),MONTH($A772)=11,AND(MONTH($A772)=12,DAY($A772)&lt;=7)),1,0)</f>
        <v>0</v>
      </c>
      <c r="F772" s="4" t="n">
        <f aca="false">IF(MONTH($A772)&lt;=3,1,0)</f>
        <v>1</v>
      </c>
      <c r="G772" s="4" t="str">
        <f aca="false" t="array" ref="G772: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4" t="n">
        <f aca="false">COUNTIF(Events!$A$2:$A$397,$A772)</f>
        <v>0</v>
      </c>
      <c r="I772" s="6" t="str">
        <f aca="false" t="array" ref="I772:I772">_xlfn.TEXTJOIN(" | ",TRUE(),IF(Events!$A$2:$A$397=$A772,Events!$E$2:$E$397&amp;IF(Events!$G$2:$G$397="National",""," ["&amp;Events!$G$2:$G$397&amp;"]"),""))</f>
        <v/>
      </c>
    </row>
    <row r="773" customFormat="false" ht="15" hidden="false" customHeight="true" outlineLevel="0" collapsed="false">
      <c r="A773" s="3" t="n">
        <v>46063</v>
      </c>
      <c r="B773" s="4" t="n">
        <f aca="false">YEAR($A773)</f>
        <v>2026</v>
      </c>
      <c r="C773" s="4" t="n">
        <f aca="false">MONTH($A773)</f>
        <v>2</v>
      </c>
      <c r="D773" s="4" t="str">
        <f aca="false">TEXT($A773,"ddd")</f>
        <v>Tue</v>
      </c>
      <c r="E773" s="4" t="n">
        <f aca="false">IF(OR(AND(MONTH($A773)=10,DAY($A773)&gt;=15),MONTH($A773)=11,AND(MONTH($A773)=12,DAY($A773)&lt;=7)),1,0)</f>
        <v>0</v>
      </c>
      <c r="F773" s="4" t="n">
        <f aca="false">IF(MONTH($A773)&lt;=3,1,0)</f>
        <v>1</v>
      </c>
      <c r="G773" s="4" t="str">
        <f aca="false" t="array" ref="G773: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4" t="n">
        <f aca="false">COUNTIF(Events!$A$2:$A$397,$A773)</f>
        <v>0</v>
      </c>
      <c r="I773" s="6" t="str">
        <f aca="false" t="array" ref="I773:I773">_xlfn.TEXTJOIN(" | ",TRUE(),IF(Events!$A$2:$A$397=$A773,Events!$E$2:$E$397&amp;IF(Events!$G$2:$G$397="National",""," ["&amp;Events!$G$2:$G$397&amp;"]"),""))</f>
        <v/>
      </c>
    </row>
    <row r="774" customFormat="false" ht="15" hidden="false" customHeight="true" outlineLevel="0" collapsed="false">
      <c r="A774" s="3" t="n">
        <v>46064</v>
      </c>
      <c r="B774" s="4" t="n">
        <f aca="false">YEAR($A774)</f>
        <v>2026</v>
      </c>
      <c r="C774" s="4" t="n">
        <f aca="false">MONTH($A774)</f>
        <v>2</v>
      </c>
      <c r="D774" s="4" t="str">
        <f aca="false">TEXT($A774,"ddd")</f>
        <v>Wed</v>
      </c>
      <c r="E774" s="4" t="n">
        <f aca="false">IF(OR(AND(MONTH($A774)=10,DAY($A774)&gt;=15),MONTH($A774)=11,AND(MONTH($A774)=12,DAY($A774)&lt;=7)),1,0)</f>
        <v>0</v>
      </c>
      <c r="F774" s="4" t="n">
        <f aca="false">IF(MONTH($A774)&lt;=3,1,0)</f>
        <v>1</v>
      </c>
      <c r="G774" s="4" t="str">
        <f aca="false" t="array" ref="G774: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4" t="n">
        <f aca="false">COUNTIF(Events!$A$2:$A$397,$A774)</f>
        <v>0</v>
      </c>
      <c r="I774" s="6" t="str">
        <f aca="false" t="array" ref="I774:I774">_xlfn.TEXTJOIN(" | ",TRUE(),IF(Events!$A$2:$A$397=$A774,Events!$E$2:$E$397&amp;IF(Events!$G$2:$G$397="National",""," ["&amp;Events!$G$2:$G$397&amp;"]"),""))</f>
        <v/>
      </c>
    </row>
    <row r="775" customFormat="false" ht="15" hidden="false" customHeight="true" outlineLevel="0" collapsed="false">
      <c r="A775" s="3" t="n">
        <v>46065</v>
      </c>
      <c r="B775" s="4" t="n">
        <f aca="false">YEAR($A775)</f>
        <v>2026</v>
      </c>
      <c r="C775" s="4" t="n">
        <f aca="false">MONTH($A775)</f>
        <v>2</v>
      </c>
      <c r="D775" s="4" t="str">
        <f aca="false">TEXT($A775,"ddd")</f>
        <v>Thu</v>
      </c>
      <c r="E775" s="4" t="n">
        <f aca="false">IF(OR(AND(MONTH($A775)=10,DAY($A775)&gt;=15),MONTH($A775)=11,AND(MONTH($A775)=12,DAY($A775)&lt;=7)),1,0)</f>
        <v>0</v>
      </c>
      <c r="F775" s="4" t="n">
        <f aca="false">IF(MONTH($A775)&lt;=3,1,0)</f>
        <v>1</v>
      </c>
      <c r="G775" s="4" t="str">
        <f aca="false" t="array" ref="G775: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4" t="n">
        <f aca="false">COUNTIF(Events!$A$2:$A$397,$A775)</f>
        <v>0</v>
      </c>
      <c r="I775" s="6" t="str">
        <f aca="false" t="array" ref="I775:I775">_xlfn.TEXTJOIN(" | ",TRUE(),IF(Events!$A$2:$A$397=$A775,Events!$E$2:$E$397&amp;IF(Events!$G$2:$G$397="National",""," ["&amp;Events!$G$2:$G$397&amp;"]"),""))</f>
        <v/>
      </c>
    </row>
    <row r="776" customFormat="false" ht="15" hidden="false" customHeight="true" outlineLevel="0" collapsed="false">
      <c r="A776" s="3" t="n">
        <v>46066</v>
      </c>
      <c r="B776" s="4" t="n">
        <f aca="false">YEAR($A776)</f>
        <v>2026</v>
      </c>
      <c r="C776" s="4" t="n">
        <f aca="false">MONTH($A776)</f>
        <v>2</v>
      </c>
      <c r="D776" s="4" t="str">
        <f aca="false">TEXT($A776,"ddd")</f>
        <v>Fri</v>
      </c>
      <c r="E776" s="4" t="n">
        <f aca="false">IF(OR(AND(MONTH($A776)=10,DAY($A776)&gt;=15),MONTH($A776)=11,AND(MONTH($A776)=12,DAY($A776)&lt;=7)),1,0)</f>
        <v>0</v>
      </c>
      <c r="F776" s="4" t="n">
        <f aca="false">IF(MONTH($A776)&lt;=3,1,0)</f>
        <v>1</v>
      </c>
      <c r="G776" s="4" t="str">
        <f aca="false" t="array" ref="G776: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4" t="n">
        <f aca="false">COUNTIF(Events!$A$2:$A$397,$A776)</f>
        <v>0</v>
      </c>
      <c r="I776" s="6" t="str">
        <f aca="false" t="array" ref="I776:I776">_xlfn.TEXTJOIN(" | ",TRUE(),IF(Events!$A$2:$A$397=$A776,Events!$E$2:$E$397&amp;IF(Events!$G$2:$G$397="National",""," ["&amp;Events!$G$2:$G$397&amp;"]"),""))</f>
        <v/>
      </c>
    </row>
    <row r="777" customFormat="false" ht="15" hidden="false" customHeight="true" outlineLevel="0" collapsed="false">
      <c r="A777" s="3" t="n">
        <v>46067</v>
      </c>
      <c r="B777" s="4" t="n">
        <f aca="false">YEAR($A777)</f>
        <v>2026</v>
      </c>
      <c r="C777" s="4" t="n">
        <f aca="false">MONTH($A777)</f>
        <v>2</v>
      </c>
      <c r="D777" s="4" t="str">
        <f aca="false">TEXT($A777,"ddd")</f>
        <v>Sat</v>
      </c>
      <c r="E777" s="4" t="n">
        <f aca="false">IF(OR(AND(MONTH($A777)=10,DAY($A777)&gt;=15),MONTH($A777)=11,AND(MONTH($A777)=12,DAY($A777)&lt;=7)),1,0)</f>
        <v>0</v>
      </c>
      <c r="F777" s="4" t="n">
        <f aca="false">IF(MONTH($A777)&lt;=3,1,0)</f>
        <v>1</v>
      </c>
      <c r="G777" s="4" t="str">
        <f aca="false" t="array" ref="G777: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4" t="n">
        <f aca="false">COUNTIF(Events!$A$2:$A$397,$A777)</f>
        <v>0</v>
      </c>
      <c r="I777" s="6" t="str">
        <f aca="false" t="array" ref="I777:I777">_xlfn.TEXTJOIN(" | ",TRUE(),IF(Events!$A$2:$A$397=$A777,Events!$E$2:$E$397&amp;IF(Events!$G$2:$G$397="National",""," ["&amp;Events!$G$2:$G$397&amp;"]"),""))</f>
        <v/>
      </c>
    </row>
    <row r="778" customFormat="false" ht="15" hidden="false" customHeight="true" outlineLevel="0" collapsed="false">
      <c r="A778" s="3" t="n">
        <v>46068</v>
      </c>
      <c r="B778" s="4" t="n">
        <f aca="false">YEAR($A778)</f>
        <v>2026</v>
      </c>
      <c r="C778" s="4" t="n">
        <f aca="false">MONTH($A778)</f>
        <v>2</v>
      </c>
      <c r="D778" s="4" t="str">
        <f aca="false">TEXT($A778,"ddd")</f>
        <v>Sun</v>
      </c>
      <c r="E778" s="4" t="n">
        <f aca="false">IF(OR(AND(MONTH($A778)=10,DAY($A778)&gt;=15),MONTH($A778)=11,AND(MONTH($A778)=12,DAY($A778)&lt;=7)),1,0)</f>
        <v>0</v>
      </c>
      <c r="F778" s="4" t="n">
        <f aca="false">IF(MONTH($A778)&lt;=3,1,0)</f>
        <v>1</v>
      </c>
      <c r="G778" s="4" t="str">
        <f aca="false" t="array" ref="G778: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4" t="n">
        <f aca="false">COUNTIF(Events!$A$2:$A$397,$A778)</f>
        <v>0</v>
      </c>
      <c r="I778" s="6" t="str">
        <f aca="false" t="array" ref="I778:I778">_xlfn.TEXTJOIN(" | ",TRUE(),IF(Events!$A$2:$A$397=$A778,Events!$E$2:$E$397&amp;IF(Events!$G$2:$G$397="National",""," ["&amp;Events!$G$2:$G$397&amp;"]"),""))</f>
        <v/>
      </c>
    </row>
    <row r="779" customFormat="false" ht="15" hidden="false" customHeight="true" outlineLevel="0" collapsed="false">
      <c r="A779" s="3" t="n">
        <v>46069</v>
      </c>
      <c r="B779" s="4" t="n">
        <f aca="false">YEAR($A779)</f>
        <v>2026</v>
      </c>
      <c r="C779" s="4" t="n">
        <f aca="false">MONTH($A779)</f>
        <v>2</v>
      </c>
      <c r="D779" s="4" t="str">
        <f aca="false">TEXT($A779,"ddd")</f>
        <v>Mon</v>
      </c>
      <c r="E779" s="4" t="n">
        <f aca="false">IF(OR(AND(MONTH($A779)=10,DAY($A779)&gt;=15),MONTH($A779)=11,AND(MONTH($A779)=12,DAY($A779)&lt;=7)),1,0)</f>
        <v>0</v>
      </c>
      <c r="F779" s="4" t="n">
        <f aca="false">IF(MONTH($A779)&lt;=3,1,0)</f>
        <v>1</v>
      </c>
      <c r="G779" s="4" t="str">
        <f aca="false" t="array" ref="G779: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4" t="n">
        <f aca="false">COUNTIF(Events!$A$2:$A$397,$A779)</f>
        <v>0</v>
      </c>
      <c r="I779" s="6" t="str">
        <f aca="false" t="array" ref="I779:I779">_xlfn.TEXTJOIN(" | ",TRUE(),IF(Events!$A$2:$A$397=$A779,Events!$E$2:$E$397&amp;IF(Events!$G$2:$G$397="National",""," ["&amp;Events!$G$2:$G$397&amp;"]"),""))</f>
        <v/>
      </c>
    </row>
    <row r="780" customFormat="false" ht="15" hidden="false" customHeight="true" outlineLevel="0" collapsed="false">
      <c r="A780" s="3" t="n">
        <v>46070</v>
      </c>
      <c r="B780" s="4" t="n">
        <f aca="false">YEAR($A780)</f>
        <v>2026</v>
      </c>
      <c r="C780" s="4" t="n">
        <f aca="false">MONTH($A780)</f>
        <v>2</v>
      </c>
      <c r="D780" s="4" t="str">
        <f aca="false">TEXT($A780,"ddd")</f>
        <v>Tue</v>
      </c>
      <c r="E780" s="4" t="n">
        <f aca="false">IF(OR(AND(MONTH($A780)=10,DAY($A780)&gt;=15),MONTH($A780)=11,AND(MONTH($A780)=12,DAY($A780)&lt;=7)),1,0)</f>
        <v>0</v>
      </c>
      <c r="F780" s="4" t="n">
        <f aca="false">IF(MONTH($A780)&lt;=3,1,0)</f>
        <v>1</v>
      </c>
      <c r="G780" s="4" t="str">
        <f aca="false" t="array" ref="G780: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4" t="n">
        <f aca="false">COUNTIF(Events!$A$2:$A$397,$A780)</f>
        <v>0</v>
      </c>
      <c r="I780" s="6" t="str">
        <f aca="false" t="array" ref="I780:I780">_xlfn.TEXTJOIN(" | ",TRUE(),IF(Events!$A$2:$A$397=$A780,Events!$E$2:$E$397&amp;IF(Events!$G$2:$G$397="National",""," ["&amp;Events!$G$2:$G$397&amp;"]"),""))</f>
        <v/>
      </c>
    </row>
    <row r="781" customFormat="false" ht="15" hidden="false" customHeight="true" outlineLevel="0" collapsed="false">
      <c r="A781" s="3" t="n">
        <v>46071</v>
      </c>
      <c r="B781" s="4" t="n">
        <f aca="false">YEAR($A781)</f>
        <v>2026</v>
      </c>
      <c r="C781" s="4" t="n">
        <f aca="false">MONTH($A781)</f>
        <v>2</v>
      </c>
      <c r="D781" s="4" t="str">
        <f aca="false">TEXT($A781,"ddd")</f>
        <v>Wed</v>
      </c>
      <c r="E781" s="4" t="n">
        <f aca="false">IF(OR(AND(MONTH($A781)=10,DAY($A781)&gt;=15),MONTH($A781)=11,AND(MONTH($A781)=12,DAY($A781)&lt;=7)),1,0)</f>
        <v>0</v>
      </c>
      <c r="F781" s="4" t="n">
        <f aca="false">IF(MONTH($A781)&lt;=3,1,0)</f>
        <v>1</v>
      </c>
      <c r="G781" s="4" t="str">
        <f aca="false" t="array" ref="G781: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4" t="n">
        <f aca="false">COUNTIF(Events!$A$2:$A$397,$A781)</f>
        <v>0</v>
      </c>
      <c r="I781" s="6" t="str">
        <f aca="false" t="array" ref="I781:I781">_xlfn.TEXTJOIN(" | ",TRUE(),IF(Events!$A$2:$A$397=$A781,Events!$E$2:$E$397&amp;IF(Events!$G$2:$G$397="National",""," ["&amp;Events!$G$2:$G$397&amp;"]"),""))</f>
        <v/>
      </c>
    </row>
    <row r="782" customFormat="false" ht="15" hidden="false" customHeight="true" outlineLevel="0" collapsed="false">
      <c r="A782" s="3" t="n">
        <v>46072</v>
      </c>
      <c r="B782" s="4" t="n">
        <f aca="false">YEAR($A782)</f>
        <v>2026</v>
      </c>
      <c r="C782" s="4" t="n">
        <f aca="false">MONTH($A782)</f>
        <v>2</v>
      </c>
      <c r="D782" s="4" t="str">
        <f aca="false">TEXT($A782,"ddd")</f>
        <v>Thu</v>
      </c>
      <c r="E782" s="4" t="n">
        <f aca="false">IF(OR(AND(MONTH($A782)=10,DAY($A782)&gt;=15),MONTH($A782)=11,AND(MONTH($A782)=12,DAY($A782)&lt;=7)),1,0)</f>
        <v>0</v>
      </c>
      <c r="F782" s="4" t="n">
        <f aca="false">IF(MONTH($A782)&lt;=3,1,0)</f>
        <v>1</v>
      </c>
      <c r="G782" s="4" t="str">
        <f aca="false" t="array" ref="G782: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4" t="n">
        <f aca="false">COUNTIF(Events!$A$2:$A$397,$A782)</f>
        <v>0</v>
      </c>
      <c r="I782" s="6" t="str">
        <f aca="false" t="array" ref="I782:I782">_xlfn.TEXTJOIN(" | ",TRUE(),IF(Events!$A$2:$A$397=$A782,Events!$E$2:$E$397&amp;IF(Events!$G$2:$G$397="National",""," ["&amp;Events!$G$2:$G$397&amp;"]"),""))</f>
        <v/>
      </c>
    </row>
    <row r="783" customFormat="false" ht="15" hidden="false" customHeight="true" outlineLevel="0" collapsed="false">
      <c r="A783" s="3" t="n">
        <v>46073</v>
      </c>
      <c r="B783" s="4" t="n">
        <f aca="false">YEAR($A783)</f>
        <v>2026</v>
      </c>
      <c r="C783" s="4" t="n">
        <f aca="false">MONTH($A783)</f>
        <v>2</v>
      </c>
      <c r="D783" s="4" t="str">
        <f aca="false">TEXT($A783,"ddd")</f>
        <v>Fri</v>
      </c>
      <c r="E783" s="4" t="n">
        <f aca="false">IF(OR(AND(MONTH($A783)=10,DAY($A783)&gt;=15),MONTH($A783)=11,AND(MONTH($A783)=12,DAY($A783)&lt;=7)),1,0)</f>
        <v>0</v>
      </c>
      <c r="F783" s="4" t="n">
        <f aca="false">IF(MONTH($A783)&lt;=3,1,0)</f>
        <v>1</v>
      </c>
      <c r="G783" s="4" t="str">
        <f aca="false" t="array" ref="G783: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4" t="n">
        <f aca="false">COUNTIF(Events!$A$2:$A$397,$A783)</f>
        <v>0</v>
      </c>
      <c r="I783" s="6" t="str">
        <f aca="false" t="array" ref="I783:I783">_xlfn.TEXTJOIN(" | ",TRUE(),IF(Events!$A$2:$A$397=$A783,Events!$E$2:$E$397&amp;IF(Events!$G$2:$G$397="National",""," ["&amp;Events!$G$2:$G$397&amp;"]"),""))</f>
        <v/>
      </c>
    </row>
    <row r="784" customFormat="false" ht="15" hidden="false" customHeight="true" outlineLevel="0" collapsed="false">
      <c r="A784" s="3" t="n">
        <v>46074</v>
      </c>
      <c r="B784" s="4" t="n">
        <f aca="false">YEAR($A784)</f>
        <v>2026</v>
      </c>
      <c r="C784" s="4" t="n">
        <f aca="false">MONTH($A784)</f>
        <v>2</v>
      </c>
      <c r="D784" s="4" t="str">
        <f aca="false">TEXT($A784,"ddd")</f>
        <v>Sat</v>
      </c>
      <c r="E784" s="4" t="n">
        <f aca="false">IF(OR(AND(MONTH($A784)=10,DAY($A784)&gt;=15),MONTH($A784)=11,AND(MONTH($A784)=12,DAY($A784)&lt;=7)),1,0)</f>
        <v>0</v>
      </c>
      <c r="F784" s="4" t="n">
        <f aca="false">IF(MONTH($A784)&lt;=3,1,0)</f>
        <v>1</v>
      </c>
      <c r="G784" s="4" t="str">
        <f aca="false" t="array" ref="G784: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4" t="n">
        <f aca="false">COUNTIF(Events!$A$2:$A$397,$A784)</f>
        <v>0</v>
      </c>
      <c r="I784" s="6" t="str">
        <f aca="false" t="array" ref="I784:I784">_xlfn.TEXTJOIN(" | ",TRUE(),IF(Events!$A$2:$A$397=$A784,Events!$E$2:$E$397&amp;IF(Events!$G$2:$G$397="National",""," ["&amp;Events!$G$2:$G$397&amp;"]"),""))</f>
        <v/>
      </c>
    </row>
    <row r="785" customFormat="false" ht="15" hidden="false" customHeight="true" outlineLevel="0" collapsed="false">
      <c r="A785" s="3" t="n">
        <v>46075</v>
      </c>
      <c r="B785" s="4" t="n">
        <f aca="false">YEAR($A785)</f>
        <v>2026</v>
      </c>
      <c r="C785" s="4" t="n">
        <f aca="false">MONTH($A785)</f>
        <v>2</v>
      </c>
      <c r="D785" s="4" t="str">
        <f aca="false">TEXT($A785,"ddd")</f>
        <v>Sun</v>
      </c>
      <c r="E785" s="4" t="n">
        <f aca="false">IF(OR(AND(MONTH($A785)=10,DAY($A785)&gt;=15),MONTH($A785)=11,AND(MONTH($A785)=12,DAY($A785)&lt;=7)),1,0)</f>
        <v>0</v>
      </c>
      <c r="F785" s="4" t="n">
        <f aca="false">IF(MONTH($A785)&lt;=3,1,0)</f>
        <v>1</v>
      </c>
      <c r="G785" s="4" t="str">
        <f aca="false" t="array" ref="G785: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4" t="n">
        <f aca="false">COUNTIF(Events!$A$2:$A$397,$A785)</f>
        <v>0</v>
      </c>
      <c r="I785" s="6" t="str">
        <f aca="false" t="array" ref="I785:I785">_xlfn.TEXTJOIN(" | ",TRUE(),IF(Events!$A$2:$A$397=$A785,Events!$E$2:$E$397&amp;IF(Events!$G$2:$G$397="National",""," ["&amp;Events!$G$2:$G$397&amp;"]"),""))</f>
        <v/>
      </c>
    </row>
    <row r="786" customFormat="false" ht="15" hidden="false" customHeight="true" outlineLevel="0" collapsed="false">
      <c r="A786" s="3" t="n">
        <v>46076</v>
      </c>
      <c r="B786" s="4" t="n">
        <f aca="false">YEAR($A786)</f>
        <v>2026</v>
      </c>
      <c r="C786" s="4" t="n">
        <f aca="false">MONTH($A786)</f>
        <v>2</v>
      </c>
      <c r="D786" s="4" t="str">
        <f aca="false">TEXT($A786,"ddd")</f>
        <v>Mon</v>
      </c>
      <c r="E786" s="4" t="n">
        <f aca="false">IF(OR(AND(MONTH($A786)=10,DAY($A786)&gt;=15),MONTH($A786)=11,AND(MONTH($A786)=12,DAY($A786)&lt;=7)),1,0)</f>
        <v>0</v>
      </c>
      <c r="F786" s="4" t="n">
        <f aca="false">IF(MONTH($A786)&lt;=3,1,0)</f>
        <v>1</v>
      </c>
      <c r="G786" s="4" t="str">
        <f aca="false" t="array" ref="G786: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4" t="n">
        <f aca="false">COUNTIF(Events!$A$2:$A$397,$A786)</f>
        <v>0</v>
      </c>
      <c r="I786" s="6" t="str">
        <f aca="false" t="array" ref="I786:I786">_xlfn.TEXTJOIN(" | ",TRUE(),IF(Events!$A$2:$A$397=$A786,Events!$E$2:$E$397&amp;IF(Events!$G$2:$G$397="National",""," ["&amp;Events!$G$2:$G$397&amp;"]"),""))</f>
        <v/>
      </c>
    </row>
    <row r="787" customFormat="false" ht="15" hidden="false" customHeight="true" outlineLevel="0" collapsed="false">
      <c r="A787" s="3" t="n">
        <v>46077</v>
      </c>
      <c r="B787" s="4" t="n">
        <f aca="false">YEAR($A787)</f>
        <v>2026</v>
      </c>
      <c r="C787" s="4" t="n">
        <f aca="false">MONTH($A787)</f>
        <v>2</v>
      </c>
      <c r="D787" s="4" t="str">
        <f aca="false">TEXT($A787,"ddd")</f>
        <v>Tue</v>
      </c>
      <c r="E787" s="4" t="n">
        <f aca="false">IF(OR(AND(MONTH($A787)=10,DAY($A787)&gt;=15),MONTH($A787)=11,AND(MONTH($A787)=12,DAY($A787)&lt;=7)),1,0)</f>
        <v>0</v>
      </c>
      <c r="F787" s="4" t="n">
        <f aca="false">IF(MONTH($A787)&lt;=3,1,0)</f>
        <v>1</v>
      </c>
      <c r="G787" s="4" t="str">
        <f aca="false" t="array" ref="G787: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4" t="n">
        <f aca="false">COUNTIF(Events!$A$2:$A$397,$A787)</f>
        <v>0</v>
      </c>
      <c r="I787" s="6" t="str">
        <f aca="false" t="array" ref="I787:I787">_xlfn.TEXTJOIN(" | ",TRUE(),IF(Events!$A$2:$A$397=$A787,Events!$E$2:$E$397&amp;IF(Events!$G$2:$G$397="National",""," ["&amp;Events!$G$2:$G$397&amp;"]"),""))</f>
        <v/>
      </c>
    </row>
    <row r="788" customFormat="false" ht="15" hidden="false" customHeight="true" outlineLevel="0" collapsed="false">
      <c r="A788" s="3" t="n">
        <v>46078</v>
      </c>
      <c r="B788" s="4" t="n">
        <f aca="false">YEAR($A788)</f>
        <v>2026</v>
      </c>
      <c r="C788" s="4" t="n">
        <f aca="false">MONTH($A788)</f>
        <v>2</v>
      </c>
      <c r="D788" s="4" t="str">
        <f aca="false">TEXT($A788,"ddd")</f>
        <v>Wed</v>
      </c>
      <c r="E788" s="4" t="n">
        <f aca="false">IF(OR(AND(MONTH($A788)=10,DAY($A788)&gt;=15),MONTH($A788)=11,AND(MONTH($A788)=12,DAY($A788)&lt;=7)),1,0)</f>
        <v>0</v>
      </c>
      <c r="F788" s="4" t="n">
        <f aca="false">IF(MONTH($A788)&lt;=3,1,0)</f>
        <v>1</v>
      </c>
      <c r="G788" s="4" t="str">
        <f aca="false" t="array" ref="G788: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4" t="n">
        <f aca="false">COUNTIF(Events!$A$2:$A$397,$A788)</f>
        <v>0</v>
      </c>
      <c r="I788" s="6" t="str">
        <f aca="false" t="array" ref="I788:I788">_xlfn.TEXTJOIN(" | ",TRUE(),IF(Events!$A$2:$A$397=$A788,Events!$E$2:$E$397&amp;IF(Events!$G$2:$G$397="National",""," ["&amp;Events!$G$2:$G$397&amp;"]"),""))</f>
        <v/>
      </c>
    </row>
    <row r="789" customFormat="false" ht="15" hidden="false" customHeight="true" outlineLevel="0" collapsed="false">
      <c r="A789" s="3" t="n">
        <v>46079</v>
      </c>
      <c r="B789" s="4" t="n">
        <f aca="false">YEAR($A789)</f>
        <v>2026</v>
      </c>
      <c r="C789" s="4" t="n">
        <f aca="false">MONTH($A789)</f>
        <v>2</v>
      </c>
      <c r="D789" s="4" t="str">
        <f aca="false">TEXT($A789,"ddd")</f>
        <v>Thu</v>
      </c>
      <c r="E789" s="4" t="n">
        <f aca="false">IF(OR(AND(MONTH($A789)=10,DAY($A789)&gt;=15),MONTH($A789)=11,AND(MONTH($A789)=12,DAY($A789)&lt;=7)),1,0)</f>
        <v>0</v>
      </c>
      <c r="F789" s="4" t="n">
        <f aca="false">IF(MONTH($A789)&lt;=3,1,0)</f>
        <v>1</v>
      </c>
      <c r="G789" s="4" t="str">
        <f aca="false" t="array" ref="G789: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4" t="n">
        <f aca="false">COUNTIF(Events!$A$2:$A$397,$A789)</f>
        <v>0</v>
      </c>
      <c r="I789" s="6" t="str">
        <f aca="false" t="array" ref="I789:I789">_xlfn.TEXTJOIN(" | ",TRUE(),IF(Events!$A$2:$A$397=$A789,Events!$E$2:$E$397&amp;IF(Events!$G$2:$G$397="National",""," ["&amp;Events!$G$2:$G$397&amp;"]"),""))</f>
        <v/>
      </c>
    </row>
    <row r="790" customFormat="false" ht="15" hidden="false" customHeight="true" outlineLevel="0" collapsed="false">
      <c r="A790" s="3" t="n">
        <v>46080</v>
      </c>
      <c r="B790" s="4" t="n">
        <f aca="false">YEAR($A790)</f>
        <v>2026</v>
      </c>
      <c r="C790" s="4" t="n">
        <f aca="false">MONTH($A790)</f>
        <v>2</v>
      </c>
      <c r="D790" s="4" t="str">
        <f aca="false">TEXT($A790,"ddd")</f>
        <v>Fri</v>
      </c>
      <c r="E790" s="4" t="n">
        <f aca="false">IF(OR(AND(MONTH($A790)=10,DAY($A790)&gt;=15),MONTH($A790)=11,AND(MONTH($A790)=12,DAY($A790)&lt;=7)),1,0)</f>
        <v>0</v>
      </c>
      <c r="F790" s="4" t="n">
        <f aca="false">IF(MONTH($A790)&lt;=3,1,0)</f>
        <v>1</v>
      </c>
      <c r="G790" s="4" t="str">
        <f aca="false" t="array" ref="G790: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4" t="n">
        <f aca="false">COUNTIF(Events!$A$2:$A$397,$A790)</f>
        <v>0</v>
      </c>
      <c r="I790" s="6" t="str">
        <f aca="false" t="array" ref="I790:I790">_xlfn.TEXTJOIN(" | ",TRUE(),IF(Events!$A$2:$A$397=$A790,Events!$E$2:$E$397&amp;IF(Events!$G$2:$G$397="National",""," ["&amp;Events!$G$2:$G$397&amp;"]"),""))</f>
        <v/>
      </c>
    </row>
    <row r="791" customFormat="false" ht="15" hidden="false" customHeight="true" outlineLevel="0" collapsed="false">
      <c r="A791" s="3" t="n">
        <v>46081</v>
      </c>
      <c r="B791" s="4" t="n">
        <f aca="false">YEAR($A791)</f>
        <v>2026</v>
      </c>
      <c r="C791" s="4" t="n">
        <f aca="false">MONTH($A791)</f>
        <v>2</v>
      </c>
      <c r="D791" s="4" t="str">
        <f aca="false">TEXT($A791,"ddd")</f>
        <v>Sat</v>
      </c>
      <c r="E791" s="4" t="n">
        <f aca="false">IF(OR(AND(MONTH($A791)=10,DAY($A791)&gt;=15),MONTH($A791)=11,AND(MONTH($A791)=12,DAY($A791)&lt;=7)),1,0)</f>
        <v>0</v>
      </c>
      <c r="F791" s="4" t="n">
        <f aca="false">IF(MONTH($A791)&lt;=3,1,0)</f>
        <v>1</v>
      </c>
      <c r="G791" s="4" t="str">
        <f aca="false" t="array" ref="G791: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 | Disaster SEP ended: Fire [WA] FM-5614 | Disaster SEP ended: Flood [AK] DR-4893 | Disaster SEP ended: Flood [AK] DR-4912 | Disaster SEP ended: Severe Storm [AZ] DR-4911</v>
      </c>
      <c r="H791" s="4" t="n">
        <f aca="false">COUNTIF(Events!$A$2:$A$397,$A791)</f>
        <v>0</v>
      </c>
      <c r="I791" s="6" t="str">
        <f aca="false" t="array" ref="I791:I791">_xlfn.TEXTJOIN(" | ",TRUE(),IF(Events!$A$2:$A$397=$A791,Events!$E$2:$E$397&amp;IF(Events!$G$2:$G$397="National",""," ["&amp;Events!$G$2:$G$397&amp;"]"),""))</f>
        <v/>
      </c>
    </row>
    <row r="792" customFormat="false" ht="15" hidden="false" customHeight="true" outlineLevel="0" collapsed="false">
      <c r="A792" s="3" t="n">
        <v>46082</v>
      </c>
      <c r="B792" s="4" t="n">
        <f aca="false">YEAR($A792)</f>
        <v>2026</v>
      </c>
      <c r="C792" s="4" t="n">
        <f aca="false">MONTH($A792)</f>
        <v>3</v>
      </c>
      <c r="D792" s="4" t="str">
        <f aca="false">TEXT($A792,"ddd")</f>
        <v>Sun</v>
      </c>
      <c r="E792" s="4" t="n">
        <f aca="false">IF(OR(AND(MONTH($A792)=10,DAY($A792)&gt;=15),MONTH($A792)=11,AND(MONTH($A792)=12,DAY($A792)&lt;=7)),1,0)</f>
        <v>0</v>
      </c>
      <c r="F792" s="4" t="n">
        <f aca="false">IF(MONTH($A792)&lt;=3,1,0)</f>
        <v>1</v>
      </c>
      <c r="G792" s="4" t="str">
        <f aca="false" t="array" ref="G792: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
      </c>
      <c r="H792" s="4" t="n">
        <f aca="false">COUNTIF(Events!$A$2:$A$397,$A792)</f>
        <v>0</v>
      </c>
      <c r="I792" s="6" t="str">
        <f aca="false" t="array" ref="I792:I792">_xlfn.TEXTJOIN(" | ",TRUE(),IF(Events!$A$2:$A$397=$A792,Events!$E$2:$E$397&amp;IF(Events!$G$2:$G$397="National",""," ["&amp;Events!$G$2:$G$397&amp;"]"),""))</f>
        <v/>
      </c>
    </row>
    <row r="793" customFormat="false" ht="15" hidden="false" customHeight="true" outlineLevel="0" collapsed="false">
      <c r="A793" s="3" t="n">
        <v>46083</v>
      </c>
      <c r="B793" s="4" t="n">
        <f aca="false">YEAR($A793)</f>
        <v>2026</v>
      </c>
      <c r="C793" s="4" t="n">
        <f aca="false">MONTH($A793)</f>
        <v>3</v>
      </c>
      <c r="D793" s="4" t="str">
        <f aca="false">TEXT($A793,"ddd")</f>
        <v>Mon</v>
      </c>
      <c r="E793" s="4" t="n">
        <f aca="false">IF(OR(AND(MONTH($A793)=10,DAY($A793)&gt;=15),MONTH($A793)=11,AND(MONTH($A793)=12,DAY($A793)&lt;=7)),1,0)</f>
        <v>0</v>
      </c>
      <c r="F793" s="4" t="n">
        <f aca="false">IF(MONTH($A793)&lt;=3,1,0)</f>
        <v>1</v>
      </c>
      <c r="G793" s="4" t="str">
        <f aca="false" t="array" ref="G793: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4" t="n">
        <f aca="false">COUNTIF(Events!$A$2:$A$397,$A793)</f>
        <v>0</v>
      </c>
      <c r="I793" s="6" t="str">
        <f aca="false" t="array" ref="I793:I793">_xlfn.TEXTJOIN(" | ",TRUE(),IF(Events!$A$2:$A$397=$A793,Events!$E$2:$E$397&amp;IF(Events!$G$2:$G$397="National",""," ["&amp;Events!$G$2:$G$397&amp;"]"),""))</f>
        <v/>
      </c>
    </row>
    <row r="794" customFormat="false" ht="15" hidden="false" customHeight="true" outlineLevel="0" collapsed="false">
      <c r="A794" s="3" t="n">
        <v>46084</v>
      </c>
      <c r="B794" s="4" t="n">
        <f aca="false">YEAR($A794)</f>
        <v>2026</v>
      </c>
      <c r="C794" s="4" t="n">
        <f aca="false">MONTH($A794)</f>
        <v>3</v>
      </c>
      <c r="D794" s="4" t="str">
        <f aca="false">TEXT($A794,"ddd")</f>
        <v>Tue</v>
      </c>
      <c r="E794" s="4" t="n">
        <f aca="false">IF(OR(AND(MONTH($A794)=10,DAY($A794)&gt;=15),MONTH($A794)=11,AND(MONTH($A794)=12,DAY($A794)&lt;=7)),1,0)</f>
        <v>0</v>
      </c>
      <c r="F794" s="4" t="n">
        <f aca="false">IF(MONTH($A794)&lt;=3,1,0)</f>
        <v>1</v>
      </c>
      <c r="G794" s="4" t="str">
        <f aca="false" t="array" ref="G794: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4" t="n">
        <f aca="false">COUNTIF(Events!$A$2:$A$397,$A794)</f>
        <v>1</v>
      </c>
      <c r="I794" s="6" t="str">
        <f aca="false" t="array" ref="I794:I794">_xlfn.TEXTJOIN(" | ",TRUE(),IF(Events!$A$2:$A$397=$A794,Events!$E$2:$E$397&amp;IF(Events!$G$2:$G$397="National",""," ["&amp;Events!$G$2:$G$397&amp;"]"),""))</f>
        <v>New Mexico SB21 'Medicare Supplement Open Enrollment' signed by Governor (Chapter 10): creates a birthday-rule guaranteed-issue window of 60+ days from the first day of the birth month, equal-or-lesser plans - effective 1/1/2027 (outside data window; signing is the in-window event) [NM]</v>
      </c>
    </row>
    <row r="795" customFormat="false" ht="15" hidden="false" customHeight="true" outlineLevel="0" collapsed="false">
      <c r="A795" s="3" t="n">
        <v>46085</v>
      </c>
      <c r="B795" s="4" t="n">
        <f aca="false">YEAR($A795)</f>
        <v>2026</v>
      </c>
      <c r="C795" s="4" t="n">
        <f aca="false">MONTH($A795)</f>
        <v>3</v>
      </c>
      <c r="D795" s="4" t="str">
        <f aca="false">TEXT($A795,"ddd")</f>
        <v>Wed</v>
      </c>
      <c r="E795" s="4" t="n">
        <f aca="false">IF(OR(AND(MONTH($A795)=10,DAY($A795)&gt;=15),MONTH($A795)=11,AND(MONTH($A795)=12,DAY($A795)&lt;=7)),1,0)</f>
        <v>0</v>
      </c>
      <c r="F795" s="4" t="n">
        <f aca="false">IF(MONTH($A795)&lt;=3,1,0)</f>
        <v>1</v>
      </c>
      <c r="G795" s="4" t="str">
        <f aca="false" t="array" ref="G795: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4" t="n">
        <f aca="false">COUNTIF(Events!$A$2:$A$397,$A795)</f>
        <v>0</v>
      </c>
      <c r="I795" s="6" t="str">
        <f aca="false" t="array" ref="I795:I795">_xlfn.TEXTJOIN(" | ",TRUE(),IF(Events!$A$2:$A$397=$A795,Events!$E$2:$E$397&amp;IF(Events!$G$2:$G$397="National",""," ["&amp;Events!$G$2:$G$397&amp;"]"),""))</f>
        <v/>
      </c>
    </row>
    <row r="796" customFormat="false" ht="15" hidden="false" customHeight="true" outlineLevel="0" collapsed="false">
      <c r="A796" s="3" t="n">
        <v>46086</v>
      </c>
      <c r="B796" s="4" t="n">
        <f aca="false">YEAR($A796)</f>
        <v>2026</v>
      </c>
      <c r="C796" s="4" t="n">
        <f aca="false">MONTH($A796)</f>
        <v>3</v>
      </c>
      <c r="D796" s="4" t="str">
        <f aca="false">TEXT($A796,"ddd")</f>
        <v>Thu</v>
      </c>
      <c r="E796" s="4" t="n">
        <f aca="false">IF(OR(AND(MONTH($A796)=10,DAY($A796)&gt;=15),MONTH($A796)=11,AND(MONTH($A796)=12,DAY($A796)&lt;=7)),1,0)</f>
        <v>0</v>
      </c>
      <c r="F796" s="4" t="n">
        <f aca="false">IF(MONTH($A796)&lt;=3,1,0)</f>
        <v>1</v>
      </c>
      <c r="G796" s="4" t="str">
        <f aca="false" t="array" ref="G796: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4" t="n">
        <f aca="false">COUNTIF(Events!$A$2:$A$397,$A796)</f>
        <v>0</v>
      </c>
      <c r="I796" s="6" t="str">
        <f aca="false" t="array" ref="I796:I796">_xlfn.TEXTJOIN(" | ",TRUE(),IF(Events!$A$2:$A$397=$A796,Events!$E$2:$E$397&amp;IF(Events!$G$2:$G$397="National",""," ["&amp;Events!$G$2:$G$397&amp;"]"),""))</f>
        <v/>
      </c>
    </row>
    <row r="797" customFormat="false" ht="15" hidden="false" customHeight="true" outlineLevel="0" collapsed="false">
      <c r="A797" s="3" t="n">
        <v>46087</v>
      </c>
      <c r="B797" s="4" t="n">
        <f aca="false">YEAR($A797)</f>
        <v>2026</v>
      </c>
      <c r="C797" s="4" t="n">
        <f aca="false">MONTH($A797)</f>
        <v>3</v>
      </c>
      <c r="D797" s="4" t="str">
        <f aca="false">TEXT($A797,"ddd")</f>
        <v>Fri</v>
      </c>
      <c r="E797" s="4" t="n">
        <f aca="false">IF(OR(AND(MONTH($A797)=10,DAY($A797)&gt;=15),MONTH($A797)=11,AND(MONTH($A797)=12,DAY($A797)&lt;=7)),1,0)</f>
        <v>0</v>
      </c>
      <c r="F797" s="4" t="n">
        <f aca="false">IF(MONTH($A797)&lt;=3,1,0)</f>
        <v>1</v>
      </c>
      <c r="G797" s="4" t="str">
        <f aca="false" t="array" ref="G797: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4" t="n">
        <f aca="false">COUNTIF(Events!$A$2:$A$397,$A797)</f>
        <v>0</v>
      </c>
      <c r="I797" s="6" t="str">
        <f aca="false" t="array" ref="I797:I797">_xlfn.TEXTJOIN(" | ",TRUE(),IF(Events!$A$2:$A$397=$A797,Events!$E$2:$E$397&amp;IF(Events!$G$2:$G$397="National",""," ["&amp;Events!$G$2:$G$397&amp;"]"),""))</f>
        <v/>
      </c>
    </row>
    <row r="798" customFormat="false" ht="15" hidden="false" customHeight="true" outlineLevel="0" collapsed="false">
      <c r="A798" s="3" t="n">
        <v>46088</v>
      </c>
      <c r="B798" s="4" t="n">
        <f aca="false">YEAR($A798)</f>
        <v>2026</v>
      </c>
      <c r="C798" s="4" t="n">
        <f aca="false">MONTH($A798)</f>
        <v>3</v>
      </c>
      <c r="D798" s="4" t="str">
        <f aca="false">TEXT($A798,"ddd")</f>
        <v>Sat</v>
      </c>
      <c r="E798" s="4" t="n">
        <f aca="false">IF(OR(AND(MONTH($A798)=10,DAY($A798)&gt;=15),MONTH($A798)=11,AND(MONTH($A798)=12,DAY($A798)&lt;=7)),1,0)</f>
        <v>0</v>
      </c>
      <c r="F798" s="4" t="n">
        <f aca="false">IF(MONTH($A798)&lt;=3,1,0)</f>
        <v>1</v>
      </c>
      <c r="G798" s="4" t="str">
        <f aca="false" t="array" ref="G798: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4" t="n">
        <f aca="false">COUNTIF(Events!$A$2:$A$397,$A798)</f>
        <v>0</v>
      </c>
      <c r="I798" s="6" t="str">
        <f aca="false" t="array" ref="I798:I798">_xlfn.TEXTJOIN(" | ",TRUE(),IF(Events!$A$2:$A$397=$A798,Events!$E$2:$E$397&amp;IF(Events!$G$2:$G$397="National",""," ["&amp;Events!$G$2:$G$397&amp;"]"),""))</f>
        <v/>
      </c>
    </row>
    <row r="799" customFormat="false" ht="15" hidden="false" customHeight="true" outlineLevel="0" collapsed="false">
      <c r="A799" s="3" t="n">
        <v>46089</v>
      </c>
      <c r="B799" s="4" t="n">
        <f aca="false">YEAR($A799)</f>
        <v>2026</v>
      </c>
      <c r="C799" s="4" t="n">
        <f aca="false">MONTH($A799)</f>
        <v>3</v>
      </c>
      <c r="D799" s="4" t="str">
        <f aca="false">TEXT($A799,"ddd")</f>
        <v>Sun</v>
      </c>
      <c r="E799" s="4" t="n">
        <f aca="false">IF(OR(AND(MONTH($A799)=10,DAY($A799)&gt;=15),MONTH($A799)=11,AND(MONTH($A799)=12,DAY($A799)&lt;=7)),1,0)</f>
        <v>0</v>
      </c>
      <c r="F799" s="4" t="n">
        <f aca="false">IF(MONTH($A799)&lt;=3,1,0)</f>
        <v>1</v>
      </c>
      <c r="G799" s="4" t="str">
        <f aca="false" t="array" ref="G799: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4" t="n">
        <f aca="false">COUNTIF(Events!$A$2:$A$397,$A799)</f>
        <v>0</v>
      </c>
      <c r="I799" s="6" t="str">
        <f aca="false" t="array" ref="I799:I799">_xlfn.TEXTJOIN(" | ",TRUE(),IF(Events!$A$2:$A$397=$A799,Events!$E$2:$E$397&amp;IF(Events!$G$2:$G$397="National",""," ["&amp;Events!$G$2:$G$397&amp;"]"),""))</f>
        <v/>
      </c>
    </row>
    <row r="800" customFormat="false" ht="15" hidden="false" customHeight="true" outlineLevel="0" collapsed="false">
      <c r="A800" s="3" t="n">
        <v>46090</v>
      </c>
      <c r="B800" s="4" t="n">
        <f aca="false">YEAR($A800)</f>
        <v>2026</v>
      </c>
      <c r="C800" s="4" t="n">
        <f aca="false">MONTH($A800)</f>
        <v>3</v>
      </c>
      <c r="D800" s="4" t="str">
        <f aca="false">TEXT($A800,"ddd")</f>
        <v>Mon</v>
      </c>
      <c r="E800" s="4" t="n">
        <f aca="false">IF(OR(AND(MONTH($A800)=10,DAY($A800)&gt;=15),MONTH($A800)=11,AND(MONTH($A800)=12,DAY($A800)&lt;=7)),1,0)</f>
        <v>0</v>
      </c>
      <c r="F800" s="4" t="n">
        <f aca="false">IF(MONTH($A800)&lt;=3,1,0)</f>
        <v>1</v>
      </c>
      <c r="G800" s="4" t="str">
        <f aca="false" t="array" ref="G800: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4" t="n">
        <f aca="false">COUNTIF(Events!$A$2:$A$397,$A800)</f>
        <v>0</v>
      </c>
      <c r="I800" s="6" t="str">
        <f aca="false" t="array" ref="I800:I800">_xlfn.TEXTJOIN(" | ",TRUE(),IF(Events!$A$2:$A$397=$A800,Events!$E$2:$E$397&amp;IF(Events!$G$2:$G$397="National",""," ["&amp;Events!$G$2:$G$397&amp;"]"),""))</f>
        <v/>
      </c>
    </row>
    <row r="801" customFormat="false" ht="15" hidden="false" customHeight="true" outlineLevel="0" collapsed="false">
      <c r="A801" s="3" t="n">
        <v>46091</v>
      </c>
      <c r="B801" s="4" t="n">
        <f aca="false">YEAR($A801)</f>
        <v>2026</v>
      </c>
      <c r="C801" s="4" t="n">
        <f aca="false">MONTH($A801)</f>
        <v>3</v>
      </c>
      <c r="D801" s="4" t="str">
        <f aca="false">TEXT($A801,"ddd")</f>
        <v>Tue</v>
      </c>
      <c r="E801" s="4" t="n">
        <f aca="false">IF(OR(AND(MONTH($A801)=10,DAY($A801)&gt;=15),MONTH($A801)=11,AND(MONTH($A801)=12,DAY($A801)&lt;=7)),1,0)</f>
        <v>0</v>
      </c>
      <c r="F801" s="4" t="n">
        <f aca="false">IF(MONTH($A801)&lt;=3,1,0)</f>
        <v>1</v>
      </c>
      <c r="G801" s="4" t="str">
        <f aca="false" t="array" ref="G801: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4" t="n">
        <f aca="false">COUNTIF(Events!$A$2:$A$397,$A801)</f>
        <v>0</v>
      </c>
      <c r="I801" s="6" t="str">
        <f aca="false" t="array" ref="I801:I801">_xlfn.TEXTJOIN(" | ",TRUE(),IF(Events!$A$2:$A$397=$A801,Events!$E$2:$E$397&amp;IF(Events!$G$2:$G$397="National",""," ["&amp;Events!$G$2:$G$397&amp;"]"),""))</f>
        <v/>
      </c>
    </row>
    <row r="802" customFormat="false" ht="15" hidden="false" customHeight="true" outlineLevel="0" collapsed="false">
      <c r="A802" s="3" t="n">
        <v>46092</v>
      </c>
      <c r="B802" s="4" t="n">
        <f aca="false">YEAR($A802)</f>
        <v>2026</v>
      </c>
      <c r="C802" s="4" t="n">
        <f aca="false">MONTH($A802)</f>
        <v>3</v>
      </c>
      <c r="D802" s="4" t="str">
        <f aca="false">TEXT($A802,"ddd")</f>
        <v>Wed</v>
      </c>
      <c r="E802" s="4" t="n">
        <f aca="false">IF(OR(AND(MONTH($A802)=10,DAY($A802)&gt;=15),MONTH($A802)=11,AND(MONTH($A802)=12,DAY($A802)&lt;=7)),1,0)</f>
        <v>0</v>
      </c>
      <c r="F802" s="4" t="n">
        <f aca="false">IF(MONTH($A802)&lt;=3,1,0)</f>
        <v>1</v>
      </c>
      <c r="G802" s="4" t="str">
        <f aca="false" t="array" ref="G802: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4" t="n">
        <f aca="false">COUNTIF(Events!$A$2:$A$397,$A802)</f>
        <v>0</v>
      </c>
      <c r="I802" s="6" t="str">
        <f aca="false" t="array" ref="I802:I802">_xlfn.TEXTJOIN(" | ",TRUE(),IF(Events!$A$2:$A$397=$A802,Events!$E$2:$E$397&amp;IF(Events!$G$2:$G$397="National",""," ["&amp;Events!$G$2:$G$397&amp;"]"),""))</f>
        <v/>
      </c>
    </row>
    <row r="803" customFormat="false" ht="15" hidden="false" customHeight="true" outlineLevel="0" collapsed="false">
      <c r="A803" s="3" t="n">
        <v>46093</v>
      </c>
      <c r="B803" s="4" t="n">
        <f aca="false">YEAR($A803)</f>
        <v>2026</v>
      </c>
      <c r="C803" s="4" t="n">
        <f aca="false">MONTH($A803)</f>
        <v>3</v>
      </c>
      <c r="D803" s="4" t="str">
        <f aca="false">TEXT($A803,"ddd")</f>
        <v>Thu</v>
      </c>
      <c r="E803" s="4" t="n">
        <f aca="false">IF(OR(AND(MONTH($A803)=10,DAY($A803)&gt;=15),MONTH($A803)=11,AND(MONTH($A803)=12,DAY($A803)&lt;=7)),1,0)</f>
        <v>0</v>
      </c>
      <c r="F803" s="4" t="n">
        <f aca="false">IF(MONTH($A803)&lt;=3,1,0)</f>
        <v>1</v>
      </c>
      <c r="G803" s="4" t="str">
        <f aca="false" t="array" ref="G803: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4" t="n">
        <f aca="false">COUNTIF(Events!$A$2:$A$397,$A803)</f>
        <v>0</v>
      </c>
      <c r="I803" s="6" t="str">
        <f aca="false" t="array" ref="I803:I803">_xlfn.TEXTJOIN(" | ",TRUE(),IF(Events!$A$2:$A$397=$A803,Events!$E$2:$E$397&amp;IF(Events!$G$2:$G$397="National",""," ["&amp;Events!$G$2:$G$397&amp;"]"),""))</f>
        <v/>
      </c>
    </row>
    <row r="804" customFormat="false" ht="15" hidden="false" customHeight="true" outlineLevel="0" collapsed="false">
      <c r="A804" s="3" t="n">
        <v>46094</v>
      </c>
      <c r="B804" s="4" t="n">
        <f aca="false">YEAR($A804)</f>
        <v>2026</v>
      </c>
      <c r="C804" s="4" t="n">
        <f aca="false">MONTH($A804)</f>
        <v>3</v>
      </c>
      <c r="D804" s="4" t="str">
        <f aca="false">TEXT($A804,"ddd")</f>
        <v>Fri</v>
      </c>
      <c r="E804" s="4" t="n">
        <f aca="false">IF(OR(AND(MONTH($A804)=10,DAY($A804)&gt;=15),MONTH($A804)=11,AND(MONTH($A804)=12,DAY($A804)&lt;=7)),1,0)</f>
        <v>0</v>
      </c>
      <c r="F804" s="4" t="n">
        <f aca="false">IF(MONTH($A804)&lt;=3,1,0)</f>
        <v>1</v>
      </c>
      <c r="G804" s="4" t="str">
        <f aca="false" t="array" ref="G804: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4" t="n">
        <f aca="false">COUNTIF(Events!$A$2:$A$397,$A804)</f>
        <v>0</v>
      </c>
      <c r="I804" s="6" t="str">
        <f aca="false" t="array" ref="I804:I804">_xlfn.TEXTJOIN(" | ",TRUE(),IF(Events!$A$2:$A$397=$A804,Events!$E$2:$E$397&amp;IF(Events!$G$2:$G$397="National",""," ["&amp;Events!$G$2:$G$397&amp;"]"),""))</f>
        <v/>
      </c>
    </row>
    <row r="805" customFormat="false" ht="15" hidden="false" customHeight="true" outlineLevel="0" collapsed="false">
      <c r="A805" s="3" t="n">
        <v>46095</v>
      </c>
      <c r="B805" s="4" t="n">
        <f aca="false">YEAR($A805)</f>
        <v>2026</v>
      </c>
      <c r="C805" s="4" t="n">
        <f aca="false">MONTH($A805)</f>
        <v>3</v>
      </c>
      <c r="D805" s="4" t="str">
        <f aca="false">TEXT($A805,"ddd")</f>
        <v>Sat</v>
      </c>
      <c r="E805" s="4" t="n">
        <f aca="false">IF(OR(AND(MONTH($A805)=10,DAY($A805)&gt;=15),MONTH($A805)=11,AND(MONTH($A805)=12,DAY($A805)&lt;=7)),1,0)</f>
        <v>0</v>
      </c>
      <c r="F805" s="4" t="n">
        <f aca="false">IF(MONTH($A805)&lt;=3,1,0)</f>
        <v>1</v>
      </c>
      <c r="G805" s="4" t="str">
        <f aca="false" t="array" ref="G805: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4" t="n">
        <f aca="false">COUNTIF(Events!$A$2:$A$397,$A805)</f>
        <v>0</v>
      </c>
      <c r="I805" s="6" t="str">
        <f aca="false" t="array" ref="I805:I805">_xlfn.TEXTJOIN(" | ",TRUE(),IF(Events!$A$2:$A$397=$A805,Events!$E$2:$E$397&amp;IF(Events!$G$2:$G$397="National",""," ["&amp;Events!$G$2:$G$397&amp;"]"),""))</f>
        <v/>
      </c>
    </row>
    <row r="806" customFormat="false" ht="15" hidden="false" customHeight="true" outlineLevel="0" collapsed="false">
      <c r="A806" s="3" t="n">
        <v>46096</v>
      </c>
      <c r="B806" s="4" t="n">
        <f aca="false">YEAR($A806)</f>
        <v>2026</v>
      </c>
      <c r="C806" s="4" t="n">
        <f aca="false">MONTH($A806)</f>
        <v>3</v>
      </c>
      <c r="D806" s="4" t="str">
        <f aca="false">TEXT($A806,"ddd")</f>
        <v>Sun</v>
      </c>
      <c r="E806" s="4" t="n">
        <f aca="false">IF(OR(AND(MONTH($A806)=10,DAY($A806)&gt;=15),MONTH($A806)=11,AND(MONTH($A806)=12,DAY($A806)&lt;=7)),1,0)</f>
        <v>0</v>
      </c>
      <c r="F806" s="4" t="n">
        <f aca="false">IF(MONTH($A806)&lt;=3,1,0)</f>
        <v>1</v>
      </c>
      <c r="G806" s="4" t="str">
        <f aca="false" t="array" ref="G806: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4" t="n">
        <f aca="false">COUNTIF(Events!$A$2:$A$397,$A806)</f>
        <v>0</v>
      </c>
      <c r="I806" s="6" t="str">
        <f aca="false" t="array" ref="I806:I806">_xlfn.TEXTJOIN(" | ",TRUE(),IF(Events!$A$2:$A$397=$A806,Events!$E$2:$E$397&amp;IF(Events!$G$2:$G$397="National",""," ["&amp;Events!$G$2:$G$397&amp;"]"),""))</f>
        <v/>
      </c>
    </row>
    <row r="807" customFormat="false" ht="15" hidden="false" customHeight="true" outlineLevel="0" collapsed="false">
      <c r="A807" s="3" t="n">
        <v>46097</v>
      </c>
      <c r="B807" s="4" t="n">
        <f aca="false">YEAR($A807)</f>
        <v>2026</v>
      </c>
      <c r="C807" s="4" t="n">
        <f aca="false">MONTH($A807)</f>
        <v>3</v>
      </c>
      <c r="D807" s="4" t="str">
        <f aca="false">TEXT($A807,"ddd")</f>
        <v>Mon</v>
      </c>
      <c r="E807" s="4" t="n">
        <f aca="false">IF(OR(AND(MONTH($A807)=10,DAY($A807)&gt;=15),MONTH($A807)=11,AND(MONTH($A807)=12,DAY($A807)&lt;=7)),1,0)</f>
        <v>0</v>
      </c>
      <c r="F807" s="4" t="n">
        <f aca="false">IF(MONTH($A807)&lt;=3,1,0)</f>
        <v>1</v>
      </c>
      <c r="G807" s="4" t="str">
        <f aca="false" t="array" ref="G807: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4" t="n">
        <f aca="false">COUNTIF(Events!$A$2:$A$397,$A807)</f>
        <v>0</v>
      </c>
      <c r="I807" s="6" t="str">
        <f aca="false" t="array" ref="I807:I807">_xlfn.TEXTJOIN(" | ",TRUE(),IF(Events!$A$2:$A$397=$A807,Events!$E$2:$E$397&amp;IF(Events!$G$2:$G$397="National",""," ["&amp;Events!$G$2:$G$397&amp;"]"),""))</f>
        <v/>
      </c>
    </row>
    <row r="808" customFormat="false" ht="15" hidden="false" customHeight="true" outlineLevel="0" collapsed="false">
      <c r="A808" s="3" t="n">
        <v>46098</v>
      </c>
      <c r="B808" s="4" t="n">
        <f aca="false">YEAR($A808)</f>
        <v>2026</v>
      </c>
      <c r="C808" s="4" t="n">
        <f aca="false">MONTH($A808)</f>
        <v>3</v>
      </c>
      <c r="D808" s="4" t="str">
        <f aca="false">TEXT($A808,"ddd")</f>
        <v>Tue</v>
      </c>
      <c r="E808" s="4" t="n">
        <f aca="false">IF(OR(AND(MONTH($A808)=10,DAY($A808)&gt;=15),MONTH($A808)=11,AND(MONTH($A808)=12,DAY($A808)&lt;=7)),1,0)</f>
        <v>0</v>
      </c>
      <c r="F808" s="4" t="n">
        <f aca="false">IF(MONTH($A808)&lt;=3,1,0)</f>
        <v>1</v>
      </c>
      <c r="G808" s="4" t="str">
        <f aca="false" t="array" ref="G808: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4" t="n">
        <f aca="false">COUNTIF(Events!$A$2:$A$397,$A808)</f>
        <v>0</v>
      </c>
      <c r="I808" s="6" t="str">
        <f aca="false" t="array" ref="I808:I808">_xlfn.TEXTJOIN(" | ",TRUE(),IF(Events!$A$2:$A$397=$A808,Events!$E$2:$E$397&amp;IF(Events!$G$2:$G$397="National",""," ["&amp;Events!$G$2:$G$397&amp;"]"),""))</f>
        <v/>
      </c>
    </row>
    <row r="809" customFormat="false" ht="15" hidden="false" customHeight="true" outlineLevel="0" collapsed="false">
      <c r="A809" s="3" t="n">
        <v>46099</v>
      </c>
      <c r="B809" s="4" t="n">
        <f aca="false">YEAR($A809)</f>
        <v>2026</v>
      </c>
      <c r="C809" s="4" t="n">
        <f aca="false">MONTH($A809)</f>
        <v>3</v>
      </c>
      <c r="D809" s="4" t="str">
        <f aca="false">TEXT($A809,"ddd")</f>
        <v>Wed</v>
      </c>
      <c r="E809" s="4" t="n">
        <f aca="false">IF(OR(AND(MONTH($A809)=10,DAY($A809)&gt;=15),MONTH($A809)=11,AND(MONTH($A809)=12,DAY($A809)&lt;=7)),1,0)</f>
        <v>0</v>
      </c>
      <c r="F809" s="4" t="n">
        <f aca="false">IF(MONTH($A809)&lt;=3,1,0)</f>
        <v>1</v>
      </c>
      <c r="G809" s="4" t="str">
        <f aca="false" t="array" ref="G809: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4" t="n">
        <f aca="false">COUNTIF(Events!$A$2:$A$397,$A809)</f>
        <v>0</v>
      </c>
      <c r="I809" s="6" t="str">
        <f aca="false" t="array" ref="I809:I809">_xlfn.TEXTJOIN(" | ",TRUE(),IF(Events!$A$2:$A$397=$A809,Events!$E$2:$E$397&amp;IF(Events!$G$2:$G$397="National",""," ["&amp;Events!$G$2:$G$397&amp;"]"),""))</f>
        <v/>
      </c>
    </row>
    <row r="810" customFormat="false" ht="15" hidden="false" customHeight="true" outlineLevel="0" collapsed="false">
      <c r="A810" s="3" t="n">
        <v>46100</v>
      </c>
      <c r="B810" s="4" t="n">
        <f aca="false">YEAR($A810)</f>
        <v>2026</v>
      </c>
      <c r="C810" s="4" t="n">
        <f aca="false">MONTH($A810)</f>
        <v>3</v>
      </c>
      <c r="D810" s="4" t="str">
        <f aca="false">TEXT($A810,"ddd")</f>
        <v>Thu</v>
      </c>
      <c r="E810" s="4" t="n">
        <f aca="false">IF(OR(AND(MONTH($A810)=10,DAY($A810)&gt;=15),MONTH($A810)=11,AND(MONTH($A810)=12,DAY($A810)&lt;=7)),1,0)</f>
        <v>0</v>
      </c>
      <c r="F810" s="4" t="n">
        <f aca="false">IF(MONTH($A810)&lt;=3,1,0)</f>
        <v>1</v>
      </c>
      <c r="G810" s="4" t="str">
        <f aca="false" t="array" ref="G810: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4" t="n">
        <f aca="false">COUNTIF(Events!$A$2:$A$397,$A810)</f>
        <v>0</v>
      </c>
      <c r="I810" s="6" t="str">
        <f aca="false" t="array" ref="I810:I810">_xlfn.TEXTJOIN(" | ",TRUE(),IF(Events!$A$2:$A$397=$A810,Events!$E$2:$E$397&amp;IF(Events!$G$2:$G$397="National",""," ["&amp;Events!$G$2:$G$397&amp;"]"),""))</f>
        <v/>
      </c>
    </row>
    <row r="811" customFormat="false" ht="15" hidden="false" customHeight="true" outlineLevel="0" collapsed="false">
      <c r="A811" s="3" t="n">
        <v>46101</v>
      </c>
      <c r="B811" s="4" t="n">
        <f aca="false">YEAR($A811)</f>
        <v>2026</v>
      </c>
      <c r="C811" s="4" t="n">
        <f aca="false">MONTH($A811)</f>
        <v>3</v>
      </c>
      <c r="D811" s="4" t="str">
        <f aca="false">TEXT($A811,"ddd")</f>
        <v>Fri</v>
      </c>
      <c r="E811" s="4" t="n">
        <f aca="false">IF(OR(AND(MONTH($A811)=10,DAY($A811)&gt;=15),MONTH($A811)=11,AND(MONTH($A811)=12,DAY($A811)&lt;=7)),1,0)</f>
        <v>0</v>
      </c>
      <c r="F811" s="4" t="n">
        <f aca="false">IF(MONTH($A811)&lt;=3,1,0)</f>
        <v>1</v>
      </c>
      <c r="G811" s="4" t="str">
        <f aca="false" t="array" ref="G811: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4" t="n">
        <f aca="false">COUNTIF(Events!$A$2:$A$397,$A811)</f>
        <v>0</v>
      </c>
      <c r="I811" s="6" t="str">
        <f aca="false" t="array" ref="I811:I811">_xlfn.TEXTJOIN(" | ",TRUE(),IF(Events!$A$2:$A$397=$A811,Events!$E$2:$E$397&amp;IF(Events!$G$2:$G$397="National",""," ["&amp;Events!$G$2:$G$397&amp;"]"),""))</f>
        <v/>
      </c>
    </row>
    <row r="812" customFormat="false" ht="15" hidden="false" customHeight="true" outlineLevel="0" collapsed="false">
      <c r="A812" s="3" t="n">
        <v>46102</v>
      </c>
      <c r="B812" s="4" t="n">
        <f aca="false">YEAR($A812)</f>
        <v>2026</v>
      </c>
      <c r="C812" s="4" t="n">
        <f aca="false">MONTH($A812)</f>
        <v>3</v>
      </c>
      <c r="D812" s="4" t="str">
        <f aca="false">TEXT($A812,"ddd")</f>
        <v>Sat</v>
      </c>
      <c r="E812" s="4" t="n">
        <f aca="false">IF(OR(AND(MONTH($A812)=10,DAY($A812)&gt;=15),MONTH($A812)=11,AND(MONTH($A812)=12,DAY($A812)&lt;=7)),1,0)</f>
        <v>0</v>
      </c>
      <c r="F812" s="4" t="n">
        <f aca="false">IF(MONTH($A812)&lt;=3,1,0)</f>
        <v>1</v>
      </c>
      <c r="G812" s="4" t="str">
        <f aca="false" t="array" ref="G812: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4" t="n">
        <f aca="false">COUNTIF(Events!$A$2:$A$397,$A812)</f>
        <v>0</v>
      </c>
      <c r="I812" s="6" t="str">
        <f aca="false" t="array" ref="I812:I812">_xlfn.TEXTJOIN(" | ",TRUE(),IF(Events!$A$2:$A$397=$A812,Events!$E$2:$E$397&amp;IF(Events!$G$2:$G$397="National",""," ["&amp;Events!$G$2:$G$397&amp;"]"),""))</f>
        <v/>
      </c>
    </row>
    <row r="813" customFormat="false" ht="15" hidden="false" customHeight="true" outlineLevel="0" collapsed="false">
      <c r="A813" s="3" t="n">
        <v>46103</v>
      </c>
      <c r="B813" s="4" t="n">
        <f aca="false">YEAR($A813)</f>
        <v>2026</v>
      </c>
      <c r="C813" s="4" t="n">
        <f aca="false">MONTH($A813)</f>
        <v>3</v>
      </c>
      <c r="D813" s="4" t="str">
        <f aca="false">TEXT($A813,"ddd")</f>
        <v>Sun</v>
      </c>
      <c r="E813" s="4" t="n">
        <f aca="false">IF(OR(AND(MONTH($A813)=10,DAY($A813)&gt;=15),MONTH($A813)=11,AND(MONTH($A813)=12,DAY($A813)&lt;=7)),1,0)</f>
        <v>0</v>
      </c>
      <c r="F813" s="4" t="n">
        <f aca="false">IF(MONTH($A813)&lt;=3,1,0)</f>
        <v>1</v>
      </c>
      <c r="G813" s="4" t="str">
        <f aca="false" t="array" ref="G813: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4" t="n">
        <f aca="false">COUNTIF(Events!$A$2:$A$397,$A813)</f>
        <v>0</v>
      </c>
      <c r="I813" s="6" t="str">
        <f aca="false" t="array" ref="I813:I813">_xlfn.TEXTJOIN(" | ",TRUE(),IF(Events!$A$2:$A$397=$A813,Events!$E$2:$E$397&amp;IF(Events!$G$2:$G$397="National",""," ["&amp;Events!$G$2:$G$397&amp;"]"),""))</f>
        <v/>
      </c>
    </row>
    <row r="814" customFormat="false" ht="15" hidden="false" customHeight="true" outlineLevel="0" collapsed="false">
      <c r="A814" s="3" t="n">
        <v>46104</v>
      </c>
      <c r="B814" s="4" t="n">
        <f aca="false">YEAR($A814)</f>
        <v>2026</v>
      </c>
      <c r="C814" s="4" t="n">
        <f aca="false">MONTH($A814)</f>
        <v>3</v>
      </c>
      <c r="D814" s="4" t="str">
        <f aca="false">TEXT($A814,"ddd")</f>
        <v>Mon</v>
      </c>
      <c r="E814" s="4" t="n">
        <f aca="false">IF(OR(AND(MONTH($A814)=10,DAY($A814)&gt;=15),MONTH($A814)=11,AND(MONTH($A814)=12,DAY($A814)&lt;=7)),1,0)</f>
        <v>0</v>
      </c>
      <c r="F814" s="4" t="n">
        <f aca="false">IF(MONTH($A814)&lt;=3,1,0)</f>
        <v>1</v>
      </c>
      <c r="G814" s="4" t="str">
        <f aca="false" t="array" ref="G814: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4" t="n">
        <f aca="false">COUNTIF(Events!$A$2:$A$397,$A814)</f>
        <v>0</v>
      </c>
      <c r="I814" s="6" t="str">
        <f aca="false" t="array" ref="I814:I814">_xlfn.TEXTJOIN(" | ",TRUE(),IF(Events!$A$2:$A$397=$A814,Events!$E$2:$E$397&amp;IF(Events!$G$2:$G$397="National",""," ["&amp;Events!$G$2:$G$397&amp;"]"),""))</f>
        <v/>
      </c>
    </row>
    <row r="815" customFormat="false" ht="15" hidden="false" customHeight="true" outlineLevel="0" collapsed="false">
      <c r="A815" s="3" t="n">
        <v>46105</v>
      </c>
      <c r="B815" s="4" t="n">
        <f aca="false">YEAR($A815)</f>
        <v>2026</v>
      </c>
      <c r="C815" s="4" t="n">
        <f aca="false">MONTH($A815)</f>
        <v>3</v>
      </c>
      <c r="D815" s="4" t="str">
        <f aca="false">TEXT($A815,"ddd")</f>
        <v>Tue</v>
      </c>
      <c r="E815" s="4" t="n">
        <f aca="false">IF(OR(AND(MONTH($A815)=10,DAY($A815)&gt;=15),MONTH($A815)=11,AND(MONTH($A815)=12,DAY($A815)&lt;=7)),1,0)</f>
        <v>0</v>
      </c>
      <c r="F815" s="4" t="n">
        <f aca="false">IF(MONTH($A815)&lt;=3,1,0)</f>
        <v>1</v>
      </c>
      <c r="G815" s="4" t="str">
        <f aca="false" t="array" ref="G815: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4" t="n">
        <f aca="false">COUNTIF(Events!$A$2:$A$397,$A815)</f>
        <v>0</v>
      </c>
      <c r="I815" s="6" t="str">
        <f aca="false" t="array" ref="I815:I815">_xlfn.TEXTJOIN(" | ",TRUE(),IF(Events!$A$2:$A$397=$A815,Events!$E$2:$E$397&amp;IF(Events!$G$2:$G$397="National",""," ["&amp;Events!$G$2:$G$397&amp;"]"),""))</f>
        <v/>
      </c>
    </row>
    <row r="816" customFormat="false" ht="15" hidden="false" customHeight="true" outlineLevel="0" collapsed="false">
      <c r="A816" s="3" t="n">
        <v>46106</v>
      </c>
      <c r="B816" s="4" t="n">
        <f aca="false">YEAR($A816)</f>
        <v>2026</v>
      </c>
      <c r="C816" s="4" t="n">
        <f aca="false">MONTH($A816)</f>
        <v>3</v>
      </c>
      <c r="D816" s="4" t="str">
        <f aca="false">TEXT($A816,"ddd")</f>
        <v>Wed</v>
      </c>
      <c r="E816" s="4" t="n">
        <f aca="false">IF(OR(AND(MONTH($A816)=10,DAY($A816)&gt;=15),MONTH($A816)=11,AND(MONTH($A816)=12,DAY($A816)&lt;=7)),1,0)</f>
        <v>0</v>
      </c>
      <c r="F816" s="4" t="n">
        <f aca="false">IF(MONTH($A816)&lt;=3,1,0)</f>
        <v>1</v>
      </c>
      <c r="G816" s="4" t="str">
        <f aca="false" t="array" ref="G816: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4" t="n">
        <f aca="false">COUNTIF(Events!$A$2:$A$397,$A816)</f>
        <v>0</v>
      </c>
      <c r="I816" s="6" t="str">
        <f aca="false" t="array" ref="I816:I816">_xlfn.TEXTJOIN(" | ",TRUE(),IF(Events!$A$2:$A$397=$A816,Events!$E$2:$E$397&amp;IF(Events!$G$2:$G$397="National",""," ["&amp;Events!$G$2:$G$397&amp;"]"),""))</f>
        <v/>
      </c>
    </row>
    <row r="817" customFormat="false" ht="15" hidden="false" customHeight="true" outlineLevel="0" collapsed="false">
      <c r="A817" s="3" t="n">
        <v>46107</v>
      </c>
      <c r="B817" s="4" t="n">
        <f aca="false">YEAR($A817)</f>
        <v>2026</v>
      </c>
      <c r="C817" s="4" t="n">
        <f aca="false">MONTH($A817)</f>
        <v>3</v>
      </c>
      <c r="D817" s="4" t="str">
        <f aca="false">TEXT($A817,"ddd")</f>
        <v>Thu</v>
      </c>
      <c r="E817" s="4" t="n">
        <f aca="false">IF(OR(AND(MONTH($A817)=10,DAY($A817)&gt;=15),MONTH($A817)=11,AND(MONTH($A817)=12,DAY($A817)&lt;=7)),1,0)</f>
        <v>0</v>
      </c>
      <c r="F817" s="4" t="n">
        <f aca="false">IF(MONTH($A817)&lt;=3,1,0)</f>
        <v>1</v>
      </c>
      <c r="G817" s="4" t="str">
        <f aca="false" t="array" ref="G817: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4" t="n">
        <f aca="false">COUNTIF(Events!$A$2:$A$397,$A817)</f>
        <v>0</v>
      </c>
      <c r="I817" s="6" t="str">
        <f aca="false" t="array" ref="I817:I817">_xlfn.TEXTJOIN(" | ",TRUE(),IF(Events!$A$2:$A$397=$A817,Events!$E$2:$E$397&amp;IF(Events!$G$2:$G$397="National",""," ["&amp;Events!$G$2:$G$397&amp;"]"),""))</f>
        <v/>
      </c>
    </row>
    <row r="818" customFormat="false" ht="15" hidden="false" customHeight="true" outlineLevel="0" collapsed="false">
      <c r="A818" s="3" t="n">
        <v>46108</v>
      </c>
      <c r="B818" s="4" t="n">
        <f aca="false">YEAR($A818)</f>
        <v>2026</v>
      </c>
      <c r="C818" s="4" t="n">
        <f aca="false">MONTH($A818)</f>
        <v>3</v>
      </c>
      <c r="D818" s="4" t="str">
        <f aca="false">TEXT($A818,"ddd")</f>
        <v>Fri</v>
      </c>
      <c r="E818" s="4" t="n">
        <f aca="false">IF(OR(AND(MONTH($A818)=10,DAY($A818)&gt;=15),MONTH($A818)=11,AND(MONTH($A818)=12,DAY($A818)&lt;=7)),1,0)</f>
        <v>0</v>
      </c>
      <c r="F818" s="4" t="n">
        <f aca="false">IF(MONTH($A818)&lt;=3,1,0)</f>
        <v>1</v>
      </c>
      <c r="G818" s="4" t="str">
        <f aca="false" t="array" ref="G818: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4" t="n">
        <f aca="false">COUNTIF(Events!$A$2:$A$397,$A818)</f>
        <v>0</v>
      </c>
      <c r="I818" s="6" t="str">
        <f aca="false" t="array" ref="I818:I818">_xlfn.TEXTJOIN(" | ",TRUE(),IF(Events!$A$2:$A$397=$A818,Events!$E$2:$E$397&amp;IF(Events!$G$2:$G$397="National",""," ["&amp;Events!$G$2:$G$397&amp;"]"),""))</f>
        <v/>
      </c>
    </row>
    <row r="819" customFormat="false" ht="15" hidden="false" customHeight="true" outlineLevel="0" collapsed="false">
      <c r="A819" s="3" t="n">
        <v>46109</v>
      </c>
      <c r="B819" s="4" t="n">
        <f aca="false">YEAR($A819)</f>
        <v>2026</v>
      </c>
      <c r="C819" s="4" t="n">
        <f aca="false">MONTH($A819)</f>
        <v>3</v>
      </c>
      <c r="D819" s="4" t="str">
        <f aca="false">TEXT($A819,"ddd")</f>
        <v>Sat</v>
      </c>
      <c r="E819" s="4" t="n">
        <f aca="false">IF(OR(AND(MONTH($A819)=10,DAY($A819)&gt;=15),MONTH($A819)=11,AND(MONTH($A819)=12,DAY($A819)&lt;=7)),1,0)</f>
        <v>0</v>
      </c>
      <c r="F819" s="4" t="n">
        <f aca="false">IF(MONTH($A819)&lt;=3,1,0)</f>
        <v>1</v>
      </c>
      <c r="G819" s="4" t="str">
        <f aca="false" t="array" ref="G819: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4" t="n">
        <f aca="false">COUNTIF(Events!$A$2:$A$397,$A819)</f>
        <v>0</v>
      </c>
      <c r="I819" s="6" t="str">
        <f aca="false" t="array" ref="I819:I819">_xlfn.TEXTJOIN(" | ",TRUE(),IF(Events!$A$2:$A$397=$A819,Events!$E$2:$E$397&amp;IF(Events!$G$2:$G$397="National",""," ["&amp;Events!$G$2:$G$397&amp;"]"),""))</f>
        <v/>
      </c>
    </row>
    <row r="820" customFormat="false" ht="15" hidden="false" customHeight="true" outlineLevel="0" collapsed="false">
      <c r="A820" s="3" t="n">
        <v>46110</v>
      </c>
      <c r="B820" s="4" t="n">
        <f aca="false">YEAR($A820)</f>
        <v>2026</v>
      </c>
      <c r="C820" s="4" t="n">
        <f aca="false">MONTH($A820)</f>
        <v>3</v>
      </c>
      <c r="D820" s="4" t="str">
        <f aca="false">TEXT($A820,"ddd")</f>
        <v>Sun</v>
      </c>
      <c r="E820" s="4" t="n">
        <f aca="false">IF(OR(AND(MONTH($A820)=10,DAY($A820)&gt;=15),MONTH($A820)=11,AND(MONTH($A820)=12,DAY($A820)&lt;=7)),1,0)</f>
        <v>0</v>
      </c>
      <c r="F820" s="4" t="n">
        <f aca="false">IF(MONTH($A820)&lt;=3,1,0)</f>
        <v>1</v>
      </c>
      <c r="G820" s="4" t="str">
        <f aca="false" t="array" ref="G820: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4" t="n">
        <f aca="false">COUNTIF(Events!$A$2:$A$397,$A820)</f>
        <v>0</v>
      </c>
      <c r="I820" s="6" t="str">
        <f aca="false" t="array" ref="I820:I820">_xlfn.TEXTJOIN(" | ",TRUE(),IF(Events!$A$2:$A$397=$A820,Events!$E$2:$E$397&amp;IF(Events!$G$2:$G$397="National",""," ["&amp;Events!$G$2:$G$397&amp;"]"),""))</f>
        <v/>
      </c>
    </row>
    <row r="821" customFormat="false" ht="15" hidden="false" customHeight="true" outlineLevel="0" collapsed="false">
      <c r="A821" s="3" t="n">
        <v>46111</v>
      </c>
      <c r="B821" s="4" t="n">
        <f aca="false">YEAR($A821)</f>
        <v>2026</v>
      </c>
      <c r="C821" s="4" t="n">
        <f aca="false">MONTH($A821)</f>
        <v>3</v>
      </c>
      <c r="D821" s="4" t="str">
        <f aca="false">TEXT($A821,"ddd")</f>
        <v>Mon</v>
      </c>
      <c r="E821" s="4" t="n">
        <f aca="false">IF(OR(AND(MONTH($A821)=10,DAY($A821)&gt;=15),MONTH($A821)=11,AND(MONTH($A821)=12,DAY($A821)&lt;=7)),1,0)</f>
        <v>0</v>
      </c>
      <c r="F821" s="4" t="n">
        <f aca="false">IF(MONTH($A821)&lt;=3,1,0)</f>
        <v>1</v>
      </c>
      <c r="G821" s="4" t="str">
        <f aca="false" t="array" ref="G821: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4" t="n">
        <f aca="false">COUNTIF(Events!$A$2:$A$397,$A821)</f>
        <v>0</v>
      </c>
      <c r="I821" s="6" t="str">
        <f aca="false" t="array" ref="I821:I821">_xlfn.TEXTJOIN(" | ",TRUE(),IF(Events!$A$2:$A$397=$A821,Events!$E$2:$E$397&amp;IF(Events!$G$2:$G$397="National",""," ["&amp;Events!$G$2:$G$397&amp;"]"),""))</f>
        <v/>
      </c>
    </row>
    <row r="822" customFormat="false" ht="15" hidden="false" customHeight="true" outlineLevel="0" collapsed="false">
      <c r="A822" s="3" t="n">
        <v>46112</v>
      </c>
      <c r="B822" s="4" t="n">
        <f aca="false">YEAR($A822)</f>
        <v>2026</v>
      </c>
      <c r="C822" s="4" t="n">
        <f aca="false">MONTH($A822)</f>
        <v>3</v>
      </c>
      <c r="D822" s="4" t="str">
        <f aca="false">TEXT($A822,"ddd")</f>
        <v>Tue</v>
      </c>
      <c r="E822" s="4" t="n">
        <f aca="false">IF(OR(AND(MONTH($A822)=10,DAY($A822)&gt;=15),MONTH($A822)=11,AND(MONTH($A822)=12,DAY($A822)&lt;=7)),1,0)</f>
        <v>0</v>
      </c>
      <c r="F822" s="4" t="n">
        <f aca="false">IF(MONTH($A822)&lt;=3,1,0)</f>
        <v>1</v>
      </c>
      <c r="G822" s="4" t="str">
        <f aca="false" t="array" ref="G822: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4" t="n">
        <f aca="false">COUNTIF(Events!$A$2:$A$397,$A822)</f>
        <v>0</v>
      </c>
      <c r="I822" s="6" t="str">
        <f aca="false" t="array" ref="I822:I822">_xlfn.TEXTJOIN(" | ",TRUE(),IF(Events!$A$2:$A$397=$A822,Events!$E$2:$E$397&amp;IF(Events!$G$2:$G$397="National",""," ["&amp;Events!$G$2:$G$397&amp;"]"),""))</f>
        <v/>
      </c>
    </row>
    <row r="823" customFormat="false" ht="15" hidden="false" customHeight="true" outlineLevel="0" collapsed="false">
      <c r="A823" s="3" t="n">
        <v>46113</v>
      </c>
      <c r="B823" s="4" t="n">
        <f aca="false">YEAR($A823)</f>
        <v>2026</v>
      </c>
      <c r="C823" s="4" t="n">
        <f aca="false">MONTH($A823)</f>
        <v>4</v>
      </c>
      <c r="D823" s="4" t="str">
        <f aca="false">TEXT($A823,"ddd")</f>
        <v>Wed</v>
      </c>
      <c r="E823" s="4" t="n">
        <f aca="false">IF(OR(AND(MONTH($A823)=10,DAY($A823)&gt;=15),MONTH($A823)=11,AND(MONTH($A823)=12,DAY($A823)&lt;=7)),1,0)</f>
        <v>0</v>
      </c>
      <c r="F823" s="4" t="n">
        <f aca="false">IF(MONTH($A823)&lt;=3,1,0)</f>
        <v>0</v>
      </c>
      <c r="G823" s="4" t="str">
        <f aca="false" t="array" ref="G823: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4" t="n">
        <f aca="false">COUNTIF(Events!$A$2:$A$397,$A823)</f>
        <v>0</v>
      </c>
      <c r="I823" s="6" t="str">
        <f aca="false" t="array" ref="I823:I823">_xlfn.TEXTJOIN(" | ",TRUE(),IF(Events!$A$2:$A$397=$A823,Events!$E$2:$E$397&amp;IF(Events!$G$2:$G$397="National",""," ["&amp;Events!$G$2:$G$397&amp;"]"),""))</f>
        <v/>
      </c>
    </row>
    <row r="824" customFormat="false" ht="15" hidden="false" customHeight="true" outlineLevel="0" collapsed="false">
      <c r="A824" s="3" t="n">
        <v>46114</v>
      </c>
      <c r="B824" s="4" t="n">
        <f aca="false">YEAR($A824)</f>
        <v>2026</v>
      </c>
      <c r="C824" s="4" t="n">
        <f aca="false">MONTH($A824)</f>
        <v>4</v>
      </c>
      <c r="D824" s="4" t="str">
        <f aca="false">TEXT($A824,"ddd")</f>
        <v>Thu</v>
      </c>
      <c r="E824" s="4" t="n">
        <f aca="false">IF(OR(AND(MONTH($A824)=10,DAY($A824)&gt;=15),MONTH($A824)=11,AND(MONTH($A824)=12,DAY($A824)&lt;=7)),1,0)</f>
        <v>0</v>
      </c>
      <c r="F824" s="4" t="n">
        <f aca="false">IF(MONTH($A824)&lt;=3,1,0)</f>
        <v>0</v>
      </c>
      <c r="G824" s="4" t="str">
        <f aca="false" t="array" ref="G824: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4" t="n">
        <f aca="false">COUNTIF(Events!$A$2:$A$397,$A824)</f>
        <v>1</v>
      </c>
      <c r="I824" s="6" t="str">
        <f aca="false" t="array" ref="I824:I824">_xlfn.TEXTJOIN(" | ",TRUE(),IF(Events!$A$2:$A$397=$A824,Events!$E$2:$E$397&amp;IF(Events!$G$2:$G$397="National",""," ["&amp;Events!$G$2:$G$397&amp;"]"),""))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v>
      </c>
    </row>
    <row r="825" customFormat="false" ht="15" hidden="false" customHeight="true" outlineLevel="0" collapsed="false">
      <c r="A825" s="3" t="n">
        <v>46115</v>
      </c>
      <c r="B825" s="4" t="n">
        <f aca="false">YEAR($A825)</f>
        <v>2026</v>
      </c>
      <c r="C825" s="4" t="n">
        <f aca="false">MONTH($A825)</f>
        <v>4</v>
      </c>
      <c r="D825" s="4" t="str">
        <f aca="false">TEXT($A825,"ddd")</f>
        <v>Fri</v>
      </c>
      <c r="E825" s="4" t="n">
        <f aca="false">IF(OR(AND(MONTH($A825)=10,DAY($A825)&gt;=15),MONTH($A825)=11,AND(MONTH($A825)=12,DAY($A825)&lt;=7)),1,0)</f>
        <v>0</v>
      </c>
      <c r="F825" s="4" t="n">
        <f aca="false">IF(MONTH($A825)&lt;=3,1,0)</f>
        <v>0</v>
      </c>
      <c r="G825" s="4" t="str">
        <f aca="false" t="array" ref="G825: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4" t="n">
        <f aca="false">COUNTIF(Events!$A$2:$A$397,$A825)</f>
        <v>0</v>
      </c>
      <c r="I825" s="6" t="str">
        <f aca="false" t="array" ref="I825:I825">_xlfn.TEXTJOIN(" | ",TRUE(),IF(Events!$A$2:$A$397=$A825,Events!$E$2:$E$397&amp;IF(Events!$G$2:$G$397="National",""," ["&amp;Events!$G$2:$G$397&amp;"]"),""))</f>
        <v/>
      </c>
    </row>
    <row r="826" customFormat="false" ht="15" hidden="false" customHeight="true" outlineLevel="0" collapsed="false">
      <c r="A826" s="3" t="n">
        <v>46116</v>
      </c>
      <c r="B826" s="4" t="n">
        <f aca="false">YEAR($A826)</f>
        <v>2026</v>
      </c>
      <c r="C826" s="4" t="n">
        <f aca="false">MONTH($A826)</f>
        <v>4</v>
      </c>
      <c r="D826" s="4" t="str">
        <f aca="false">TEXT($A826,"ddd")</f>
        <v>Sat</v>
      </c>
      <c r="E826" s="4" t="n">
        <f aca="false">IF(OR(AND(MONTH($A826)=10,DAY($A826)&gt;=15),MONTH($A826)=11,AND(MONTH($A826)=12,DAY($A826)&lt;=7)),1,0)</f>
        <v>0</v>
      </c>
      <c r="F826" s="4" t="n">
        <f aca="false">IF(MONTH($A826)&lt;=3,1,0)</f>
        <v>0</v>
      </c>
      <c r="G826" s="4" t="str">
        <f aca="false" t="array" ref="G826: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4" t="n">
        <f aca="false">COUNTIF(Events!$A$2:$A$397,$A826)</f>
        <v>0</v>
      </c>
      <c r="I826" s="6" t="str">
        <f aca="false" t="array" ref="I826:I826">_xlfn.TEXTJOIN(" | ",TRUE(),IF(Events!$A$2:$A$397=$A826,Events!$E$2:$E$397&amp;IF(Events!$G$2:$G$397="National",""," ["&amp;Events!$G$2:$G$397&amp;"]"),""))</f>
        <v/>
      </c>
    </row>
    <row r="827" customFormat="false" ht="15" hidden="false" customHeight="true" outlineLevel="0" collapsed="false">
      <c r="A827" s="3" t="n">
        <v>46117</v>
      </c>
      <c r="B827" s="4" t="n">
        <f aca="false">YEAR($A827)</f>
        <v>2026</v>
      </c>
      <c r="C827" s="4" t="n">
        <f aca="false">MONTH($A827)</f>
        <v>4</v>
      </c>
      <c r="D827" s="4" t="str">
        <f aca="false">TEXT($A827,"ddd")</f>
        <v>Sun</v>
      </c>
      <c r="E827" s="4" t="n">
        <f aca="false">IF(OR(AND(MONTH($A827)=10,DAY($A827)&gt;=15),MONTH($A827)=11,AND(MONTH($A827)=12,DAY($A827)&lt;=7)),1,0)</f>
        <v>0</v>
      </c>
      <c r="F827" s="4" t="n">
        <f aca="false">IF(MONTH($A827)&lt;=3,1,0)</f>
        <v>0</v>
      </c>
      <c r="G827" s="4" t="str">
        <f aca="false" t="array" ref="G827: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4" t="n">
        <f aca="false">COUNTIF(Events!$A$2:$A$397,$A827)</f>
        <v>0</v>
      </c>
      <c r="I827" s="6" t="str">
        <f aca="false" t="array" ref="I827:I827">_xlfn.TEXTJOIN(" | ",TRUE(),IF(Events!$A$2:$A$397=$A827,Events!$E$2:$E$397&amp;IF(Events!$G$2:$G$397="National",""," ["&amp;Events!$G$2:$G$397&amp;"]"),""))</f>
        <v/>
      </c>
    </row>
    <row r="828" customFormat="false" ht="15" hidden="false" customHeight="true" outlineLevel="0" collapsed="false">
      <c r="A828" s="3" t="n">
        <v>46118</v>
      </c>
      <c r="B828" s="4" t="n">
        <f aca="false">YEAR($A828)</f>
        <v>2026</v>
      </c>
      <c r="C828" s="4" t="n">
        <f aca="false">MONTH($A828)</f>
        <v>4</v>
      </c>
      <c r="D828" s="4" t="str">
        <f aca="false">TEXT($A828,"ddd")</f>
        <v>Mon</v>
      </c>
      <c r="E828" s="4" t="n">
        <f aca="false">IF(OR(AND(MONTH($A828)=10,DAY($A828)&gt;=15),MONTH($A828)=11,AND(MONTH($A828)=12,DAY($A828)&lt;=7)),1,0)</f>
        <v>0</v>
      </c>
      <c r="F828" s="4" t="n">
        <f aca="false">IF(MONTH($A828)&lt;=3,1,0)</f>
        <v>0</v>
      </c>
      <c r="G828" s="4" t="str">
        <f aca="false" t="array" ref="G828: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4" t="n">
        <f aca="false">COUNTIF(Events!$A$2:$A$397,$A828)</f>
        <v>1</v>
      </c>
      <c r="I828" s="6" t="str">
        <f aca="false" t="array" ref="I828:I828">_xlfn.TEXTJOIN(" | ",TRUE(),IF(Events!$A$2:$A$397=$A828,Events!$E$2:$E$397&amp;IF(Events!$G$2:$G$397="National",""," ["&amp;Events!$G$2:$G$397&amp;"]"),""))</f>
        <v>CY2027 Rate Announcement: finalized +2.48% avg payment (~$13B, sharply up from proposed 0.09% after industry lobbying); kept 2024 (V28) risk model instead of proposed update; finalized exclusion of unlinked chart-review diagnoses from risk scores</v>
      </c>
    </row>
    <row r="829" customFormat="false" ht="15" hidden="false" customHeight="true" outlineLevel="0" collapsed="false">
      <c r="A829" s="3" t="n">
        <v>46119</v>
      </c>
      <c r="B829" s="4" t="n">
        <f aca="false">YEAR($A829)</f>
        <v>2026</v>
      </c>
      <c r="C829" s="4" t="n">
        <f aca="false">MONTH($A829)</f>
        <v>4</v>
      </c>
      <c r="D829" s="4" t="str">
        <f aca="false">TEXT($A829,"ddd")</f>
        <v>Tue</v>
      </c>
      <c r="E829" s="4" t="n">
        <f aca="false">IF(OR(AND(MONTH($A829)=10,DAY($A829)&gt;=15),MONTH($A829)=11,AND(MONTH($A829)=12,DAY($A829)&lt;=7)),1,0)</f>
        <v>0</v>
      </c>
      <c r="F829" s="4" t="n">
        <f aca="false">IF(MONTH($A829)&lt;=3,1,0)</f>
        <v>0</v>
      </c>
      <c r="G829" s="4" t="str">
        <f aca="false" t="array" ref="G829: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4" t="n">
        <f aca="false">COUNTIF(Events!$A$2:$A$397,$A829)</f>
        <v>0</v>
      </c>
      <c r="I829" s="6" t="str">
        <f aca="false" t="array" ref="I829:I829">_xlfn.TEXTJOIN(" | ",TRUE(),IF(Events!$A$2:$A$397=$A829,Events!$E$2:$E$397&amp;IF(Events!$G$2:$G$397="National",""," ["&amp;Events!$G$2:$G$397&amp;"]"),""))</f>
        <v/>
      </c>
    </row>
    <row r="830" customFormat="false" ht="15" hidden="false" customHeight="true" outlineLevel="0" collapsed="false">
      <c r="A830" s="3" t="n">
        <v>46120</v>
      </c>
      <c r="B830" s="4" t="n">
        <f aca="false">YEAR($A830)</f>
        <v>2026</v>
      </c>
      <c r="C830" s="4" t="n">
        <f aca="false">MONTH($A830)</f>
        <v>4</v>
      </c>
      <c r="D830" s="4" t="str">
        <f aca="false">TEXT($A830,"ddd")</f>
        <v>Wed</v>
      </c>
      <c r="E830" s="4" t="n">
        <f aca="false">IF(OR(AND(MONTH($A830)=10,DAY($A830)&gt;=15),MONTH($A830)=11,AND(MONTH($A830)=12,DAY($A830)&lt;=7)),1,0)</f>
        <v>0</v>
      </c>
      <c r="F830" s="4" t="n">
        <f aca="false">IF(MONTH($A830)&lt;=3,1,0)</f>
        <v>0</v>
      </c>
      <c r="G830" s="4" t="str">
        <f aca="false" t="array" ref="G830: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4" t="n">
        <f aca="false">COUNTIF(Events!$A$2:$A$397,$A830)</f>
        <v>0</v>
      </c>
      <c r="I830" s="6" t="str">
        <f aca="false" t="array" ref="I830:I830">_xlfn.TEXTJOIN(" | ",TRUE(),IF(Events!$A$2:$A$397=$A830,Events!$E$2:$E$397&amp;IF(Events!$G$2:$G$397="National",""," ["&amp;Events!$G$2:$G$397&amp;"]"),""))</f>
        <v/>
      </c>
    </row>
    <row r="831" customFormat="false" ht="15" hidden="false" customHeight="true" outlineLevel="0" collapsed="false">
      <c r="A831" s="3" t="n">
        <v>46121</v>
      </c>
      <c r="B831" s="4" t="n">
        <f aca="false">YEAR($A831)</f>
        <v>2026</v>
      </c>
      <c r="C831" s="4" t="n">
        <f aca="false">MONTH($A831)</f>
        <v>4</v>
      </c>
      <c r="D831" s="4" t="str">
        <f aca="false">TEXT($A831,"ddd")</f>
        <v>Thu</v>
      </c>
      <c r="E831" s="4" t="n">
        <f aca="false">IF(OR(AND(MONTH($A831)=10,DAY($A831)&gt;=15),MONTH($A831)=11,AND(MONTH($A831)=12,DAY($A831)&lt;=7)),1,0)</f>
        <v>0</v>
      </c>
      <c r="F831" s="4" t="n">
        <f aca="false">IF(MONTH($A831)&lt;=3,1,0)</f>
        <v>0</v>
      </c>
      <c r="G831" s="4" t="str">
        <f aca="false" t="array" ref="G831: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4" t="n">
        <f aca="false">COUNTIF(Events!$A$2:$A$397,$A831)</f>
        <v>0</v>
      </c>
      <c r="I831" s="6" t="str">
        <f aca="false" t="array" ref="I831:I831">_xlfn.TEXTJOIN(" | ",TRUE(),IF(Events!$A$2:$A$397=$A831,Events!$E$2:$E$397&amp;IF(Events!$G$2:$G$397="National",""," ["&amp;Events!$G$2:$G$397&amp;"]"),""))</f>
        <v/>
      </c>
    </row>
    <row r="832" customFormat="false" ht="15" hidden="false" customHeight="true" outlineLevel="0" collapsed="false">
      <c r="A832" s="3" t="n">
        <v>46122</v>
      </c>
      <c r="B832" s="4" t="n">
        <f aca="false">YEAR($A832)</f>
        <v>2026</v>
      </c>
      <c r="C832" s="4" t="n">
        <f aca="false">MONTH($A832)</f>
        <v>4</v>
      </c>
      <c r="D832" s="4" t="str">
        <f aca="false">TEXT($A832,"ddd")</f>
        <v>Fri</v>
      </c>
      <c r="E832" s="4" t="n">
        <f aca="false">IF(OR(AND(MONTH($A832)=10,DAY($A832)&gt;=15),MONTH($A832)=11,AND(MONTH($A832)=12,DAY($A832)&lt;=7)),1,0)</f>
        <v>0</v>
      </c>
      <c r="F832" s="4" t="n">
        <f aca="false">IF(MONTH($A832)&lt;=3,1,0)</f>
        <v>0</v>
      </c>
      <c r="G832" s="4" t="str">
        <f aca="false" t="array" ref="G832: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4" t="n">
        <f aca="false">COUNTIF(Events!$A$2:$A$397,$A832)</f>
        <v>0</v>
      </c>
      <c r="I832" s="6" t="str">
        <f aca="false" t="array" ref="I832:I832">_xlfn.TEXTJOIN(" | ",TRUE(),IF(Events!$A$2:$A$397=$A832,Events!$E$2:$E$397&amp;IF(Events!$G$2:$G$397="National",""," ["&amp;Events!$G$2:$G$397&amp;"]"),""))</f>
        <v/>
      </c>
    </row>
    <row r="833" customFormat="false" ht="15" hidden="false" customHeight="true" outlineLevel="0" collapsed="false">
      <c r="A833" s="3" t="n">
        <v>46123</v>
      </c>
      <c r="B833" s="4" t="n">
        <f aca="false">YEAR($A833)</f>
        <v>2026</v>
      </c>
      <c r="C833" s="4" t="n">
        <f aca="false">MONTH($A833)</f>
        <v>4</v>
      </c>
      <c r="D833" s="4" t="str">
        <f aca="false">TEXT($A833,"ddd")</f>
        <v>Sat</v>
      </c>
      <c r="E833" s="4" t="n">
        <f aca="false">IF(OR(AND(MONTH($A833)=10,DAY($A833)&gt;=15),MONTH($A833)=11,AND(MONTH($A833)=12,DAY($A833)&lt;=7)),1,0)</f>
        <v>0</v>
      </c>
      <c r="F833" s="4" t="n">
        <f aca="false">IF(MONTH($A833)&lt;=3,1,0)</f>
        <v>0</v>
      </c>
      <c r="G833" s="4" t="str">
        <f aca="false" t="array" ref="G833: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4" t="n">
        <f aca="false">COUNTIF(Events!$A$2:$A$397,$A833)</f>
        <v>0</v>
      </c>
      <c r="I833" s="6" t="str">
        <f aca="false" t="array" ref="I833:I833">_xlfn.TEXTJOIN(" | ",TRUE(),IF(Events!$A$2:$A$397=$A833,Events!$E$2:$E$397&amp;IF(Events!$G$2:$G$397="National",""," ["&amp;Events!$G$2:$G$397&amp;"]"),""))</f>
        <v/>
      </c>
    </row>
    <row r="834" customFormat="false" ht="15" hidden="false" customHeight="true" outlineLevel="0" collapsed="false">
      <c r="A834" s="3" t="n">
        <v>46124</v>
      </c>
      <c r="B834" s="4" t="n">
        <f aca="false">YEAR($A834)</f>
        <v>2026</v>
      </c>
      <c r="C834" s="4" t="n">
        <f aca="false">MONTH($A834)</f>
        <v>4</v>
      </c>
      <c r="D834" s="4" t="str">
        <f aca="false">TEXT($A834,"ddd")</f>
        <v>Sun</v>
      </c>
      <c r="E834" s="4" t="n">
        <f aca="false">IF(OR(AND(MONTH($A834)=10,DAY($A834)&gt;=15),MONTH($A834)=11,AND(MONTH($A834)=12,DAY($A834)&lt;=7)),1,0)</f>
        <v>0</v>
      </c>
      <c r="F834" s="4" t="n">
        <f aca="false">IF(MONTH($A834)&lt;=3,1,0)</f>
        <v>0</v>
      </c>
      <c r="G834" s="4" t="str">
        <f aca="false" t="array" ref="G834: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4" t="n">
        <f aca="false">COUNTIF(Events!$A$2:$A$397,$A834)</f>
        <v>0</v>
      </c>
      <c r="I834" s="6" t="str">
        <f aca="false" t="array" ref="I834:I834">_xlfn.TEXTJOIN(" | ",TRUE(),IF(Events!$A$2:$A$397=$A834,Events!$E$2:$E$397&amp;IF(Events!$G$2:$G$397="National",""," ["&amp;Events!$G$2:$G$397&amp;"]"),""))</f>
        <v/>
      </c>
    </row>
    <row r="835" customFormat="false" ht="15" hidden="false" customHeight="true" outlineLevel="0" collapsed="false">
      <c r="A835" s="3" t="n">
        <v>46125</v>
      </c>
      <c r="B835" s="4" t="n">
        <f aca="false">YEAR($A835)</f>
        <v>2026</v>
      </c>
      <c r="C835" s="4" t="n">
        <f aca="false">MONTH($A835)</f>
        <v>4</v>
      </c>
      <c r="D835" s="4" t="str">
        <f aca="false">TEXT($A835,"ddd")</f>
        <v>Mon</v>
      </c>
      <c r="E835" s="4" t="n">
        <f aca="false">IF(OR(AND(MONTH($A835)=10,DAY($A835)&gt;=15),MONTH($A835)=11,AND(MONTH($A835)=12,DAY($A835)&lt;=7)),1,0)</f>
        <v>0</v>
      </c>
      <c r="F835" s="4" t="n">
        <f aca="false">IF(MONTH($A835)&lt;=3,1,0)</f>
        <v>0</v>
      </c>
      <c r="G835" s="4" t="str">
        <f aca="false" t="array" ref="G835: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4" t="n">
        <f aca="false">COUNTIF(Events!$A$2:$A$397,$A835)</f>
        <v>0</v>
      </c>
      <c r="I835" s="6" t="str">
        <f aca="false" t="array" ref="I835:I835">_xlfn.TEXTJOIN(" | ",TRUE(),IF(Events!$A$2:$A$397=$A835,Events!$E$2:$E$397&amp;IF(Events!$G$2:$G$397="National",""," ["&amp;Events!$G$2:$G$397&amp;"]"),""))</f>
        <v/>
      </c>
    </row>
    <row r="836" customFormat="false" ht="15" hidden="false" customHeight="true" outlineLevel="0" collapsed="false">
      <c r="A836" s="3" t="n">
        <v>46126</v>
      </c>
      <c r="B836" s="4" t="n">
        <f aca="false">YEAR($A836)</f>
        <v>2026</v>
      </c>
      <c r="C836" s="4" t="n">
        <f aca="false">MONTH($A836)</f>
        <v>4</v>
      </c>
      <c r="D836" s="4" t="str">
        <f aca="false">TEXT($A836,"ddd")</f>
        <v>Tue</v>
      </c>
      <c r="E836" s="4" t="n">
        <f aca="false">IF(OR(AND(MONTH($A836)=10,DAY($A836)&gt;=15),MONTH($A836)=11,AND(MONTH($A836)=12,DAY($A836)&lt;=7)),1,0)</f>
        <v>0</v>
      </c>
      <c r="F836" s="4" t="n">
        <f aca="false">IF(MONTH($A836)&lt;=3,1,0)</f>
        <v>0</v>
      </c>
      <c r="G836" s="4" t="str">
        <f aca="false" t="array" ref="G836: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4" t="n">
        <f aca="false">COUNTIF(Events!$A$2:$A$397,$A836)</f>
        <v>0</v>
      </c>
      <c r="I836" s="6" t="str">
        <f aca="false" t="array" ref="I836:I836">_xlfn.TEXTJOIN(" | ",TRUE(),IF(Events!$A$2:$A$397=$A836,Events!$E$2:$E$397&amp;IF(Events!$G$2:$G$397="National",""," ["&amp;Events!$G$2:$G$397&amp;"]"),""))</f>
        <v/>
      </c>
    </row>
    <row r="837" customFormat="false" ht="15" hidden="false" customHeight="true" outlineLevel="0" collapsed="false">
      <c r="A837" s="3" t="n">
        <v>46127</v>
      </c>
      <c r="B837" s="4" t="n">
        <f aca="false">YEAR($A837)</f>
        <v>2026</v>
      </c>
      <c r="C837" s="4" t="n">
        <f aca="false">MONTH($A837)</f>
        <v>4</v>
      </c>
      <c r="D837" s="4" t="str">
        <f aca="false">TEXT($A837,"ddd")</f>
        <v>Wed</v>
      </c>
      <c r="E837" s="4" t="n">
        <f aca="false">IF(OR(AND(MONTH($A837)=10,DAY($A837)&gt;=15),MONTH($A837)=11,AND(MONTH($A837)=12,DAY($A837)&lt;=7)),1,0)</f>
        <v>0</v>
      </c>
      <c r="F837" s="4" t="n">
        <f aca="false">IF(MONTH($A837)&lt;=3,1,0)</f>
        <v>0</v>
      </c>
      <c r="G837" s="4" t="str">
        <f aca="false" t="array" ref="G837: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4" t="n">
        <f aca="false">COUNTIF(Events!$A$2:$A$397,$A837)</f>
        <v>0</v>
      </c>
      <c r="I837" s="6" t="str">
        <f aca="false" t="array" ref="I837:I837">_xlfn.TEXTJOIN(" | ",TRUE(),IF(Events!$A$2:$A$397=$A837,Events!$E$2:$E$397&amp;IF(Events!$G$2:$G$397="National",""," ["&amp;Events!$G$2:$G$397&amp;"]"),""))</f>
        <v/>
      </c>
    </row>
    <row r="838" customFormat="false" ht="15" hidden="false" customHeight="true" outlineLevel="0" collapsed="false">
      <c r="A838" s="3" t="n">
        <v>46128</v>
      </c>
      <c r="B838" s="4" t="n">
        <f aca="false">YEAR($A838)</f>
        <v>2026</v>
      </c>
      <c r="C838" s="4" t="n">
        <f aca="false">MONTH($A838)</f>
        <v>4</v>
      </c>
      <c r="D838" s="4" t="str">
        <f aca="false">TEXT($A838,"ddd")</f>
        <v>Thu</v>
      </c>
      <c r="E838" s="4" t="n">
        <f aca="false">IF(OR(AND(MONTH($A838)=10,DAY($A838)&gt;=15),MONTH($A838)=11,AND(MONTH($A838)=12,DAY($A838)&lt;=7)),1,0)</f>
        <v>0</v>
      </c>
      <c r="F838" s="4" t="n">
        <f aca="false">IF(MONTH($A838)&lt;=3,1,0)</f>
        <v>0</v>
      </c>
      <c r="G838" s="4" t="str">
        <f aca="false" t="array" ref="G838: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4" t="n">
        <f aca="false">COUNTIF(Events!$A$2:$A$397,$A838)</f>
        <v>0</v>
      </c>
      <c r="I838" s="6" t="str">
        <f aca="false" t="array" ref="I838:I838">_xlfn.TEXTJOIN(" | ",TRUE(),IF(Events!$A$2:$A$397=$A838,Events!$E$2:$E$397&amp;IF(Events!$G$2:$G$397="National",""," ["&amp;Events!$G$2:$G$397&amp;"]"),""))</f>
        <v/>
      </c>
    </row>
    <row r="839" customFormat="false" ht="15" hidden="false" customHeight="true" outlineLevel="0" collapsed="false">
      <c r="A839" s="3" t="n">
        <v>46129</v>
      </c>
      <c r="B839" s="4" t="n">
        <f aca="false">YEAR($A839)</f>
        <v>2026</v>
      </c>
      <c r="C839" s="4" t="n">
        <f aca="false">MONTH($A839)</f>
        <v>4</v>
      </c>
      <c r="D839" s="4" t="str">
        <f aca="false">TEXT($A839,"ddd")</f>
        <v>Fri</v>
      </c>
      <c r="E839" s="4" t="n">
        <f aca="false">IF(OR(AND(MONTH($A839)=10,DAY($A839)&gt;=15),MONTH($A839)=11,AND(MONTH($A839)=12,DAY($A839)&lt;=7)),1,0)</f>
        <v>0</v>
      </c>
      <c r="F839" s="4" t="n">
        <f aca="false">IF(MONTH($A839)&lt;=3,1,0)</f>
        <v>0</v>
      </c>
      <c r="G839" s="4" t="str">
        <f aca="false" t="array" ref="G839: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4" t="n">
        <f aca="false">COUNTIF(Events!$A$2:$A$397,$A839)</f>
        <v>0</v>
      </c>
      <c r="I839" s="6" t="str">
        <f aca="false" t="array" ref="I839:I839">_xlfn.TEXTJOIN(" | ",TRUE(),IF(Events!$A$2:$A$397=$A839,Events!$E$2:$E$397&amp;IF(Events!$G$2:$G$397="National",""," ["&amp;Events!$G$2:$G$397&amp;"]"),""))</f>
        <v/>
      </c>
    </row>
    <row r="840" customFormat="false" ht="15" hidden="false" customHeight="true" outlineLevel="0" collapsed="false">
      <c r="A840" s="3" t="n">
        <v>46130</v>
      </c>
      <c r="B840" s="4" t="n">
        <f aca="false">YEAR($A840)</f>
        <v>2026</v>
      </c>
      <c r="C840" s="4" t="n">
        <f aca="false">MONTH($A840)</f>
        <v>4</v>
      </c>
      <c r="D840" s="4" t="str">
        <f aca="false">TEXT($A840,"ddd")</f>
        <v>Sat</v>
      </c>
      <c r="E840" s="4" t="n">
        <f aca="false">IF(OR(AND(MONTH($A840)=10,DAY($A840)&gt;=15),MONTH($A840)=11,AND(MONTH($A840)=12,DAY($A840)&lt;=7)),1,0)</f>
        <v>0</v>
      </c>
      <c r="F840" s="4" t="n">
        <f aca="false">IF(MONTH($A840)&lt;=3,1,0)</f>
        <v>0</v>
      </c>
      <c r="G840" s="4" t="str">
        <f aca="false" t="array" ref="G840: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4" t="n">
        <f aca="false">COUNTIF(Events!$A$2:$A$397,$A840)</f>
        <v>0</v>
      </c>
      <c r="I840" s="6" t="str">
        <f aca="false" t="array" ref="I840:I840">_xlfn.TEXTJOIN(" | ",TRUE(),IF(Events!$A$2:$A$397=$A840,Events!$E$2:$E$397&amp;IF(Events!$G$2:$G$397="National",""," ["&amp;Events!$G$2:$G$397&amp;"]"),""))</f>
        <v/>
      </c>
    </row>
    <row r="841" customFormat="false" ht="15" hidden="false" customHeight="true" outlineLevel="0" collapsed="false">
      <c r="A841" s="3" t="n">
        <v>46131</v>
      </c>
      <c r="B841" s="4" t="n">
        <f aca="false">YEAR($A841)</f>
        <v>2026</v>
      </c>
      <c r="C841" s="4" t="n">
        <f aca="false">MONTH($A841)</f>
        <v>4</v>
      </c>
      <c r="D841" s="4" t="str">
        <f aca="false">TEXT($A841,"ddd")</f>
        <v>Sun</v>
      </c>
      <c r="E841" s="4" t="n">
        <f aca="false">IF(OR(AND(MONTH($A841)=10,DAY($A841)&gt;=15),MONTH($A841)=11,AND(MONTH($A841)=12,DAY($A841)&lt;=7)),1,0)</f>
        <v>0</v>
      </c>
      <c r="F841" s="4" t="n">
        <f aca="false">IF(MONTH($A841)&lt;=3,1,0)</f>
        <v>0</v>
      </c>
      <c r="G841" s="4" t="str">
        <f aca="false" t="array" ref="G841: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4" t="n">
        <f aca="false">COUNTIF(Events!$A$2:$A$397,$A841)</f>
        <v>0</v>
      </c>
      <c r="I841" s="6" t="str">
        <f aca="false" t="array" ref="I841:I841">_xlfn.TEXTJOIN(" | ",TRUE(),IF(Events!$A$2:$A$397=$A841,Events!$E$2:$E$397&amp;IF(Events!$G$2:$G$397="National",""," ["&amp;Events!$G$2:$G$397&amp;"]"),""))</f>
        <v/>
      </c>
    </row>
    <row r="842" customFormat="false" ht="15" hidden="false" customHeight="true" outlineLevel="0" collapsed="false">
      <c r="A842" s="3" t="n">
        <v>46132</v>
      </c>
      <c r="B842" s="4" t="n">
        <f aca="false">YEAR($A842)</f>
        <v>2026</v>
      </c>
      <c r="C842" s="4" t="n">
        <f aca="false">MONTH($A842)</f>
        <v>4</v>
      </c>
      <c r="D842" s="4" t="str">
        <f aca="false">TEXT($A842,"ddd")</f>
        <v>Mon</v>
      </c>
      <c r="E842" s="4" t="n">
        <f aca="false">IF(OR(AND(MONTH($A842)=10,DAY($A842)&gt;=15),MONTH($A842)=11,AND(MONTH($A842)=12,DAY($A842)&lt;=7)),1,0)</f>
        <v>0</v>
      </c>
      <c r="F842" s="4" t="n">
        <f aca="false">IF(MONTH($A842)&lt;=3,1,0)</f>
        <v>0</v>
      </c>
      <c r="G842" s="4" t="str">
        <f aca="false" t="array" ref="G842: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4" t="n">
        <f aca="false">COUNTIF(Events!$A$2:$A$397,$A842)</f>
        <v>0</v>
      </c>
      <c r="I842" s="6" t="str">
        <f aca="false" t="array" ref="I842:I842">_xlfn.TEXTJOIN(" | ",TRUE(),IF(Events!$A$2:$A$397=$A842,Events!$E$2:$E$397&amp;IF(Events!$G$2:$G$397="National",""," ["&amp;Events!$G$2:$G$397&amp;"]"),""))</f>
        <v/>
      </c>
    </row>
    <row r="843" customFormat="false" ht="15" hidden="false" customHeight="true" outlineLevel="0" collapsed="false">
      <c r="A843" s="3" t="n">
        <v>46133</v>
      </c>
      <c r="B843" s="4" t="n">
        <f aca="false">YEAR($A843)</f>
        <v>2026</v>
      </c>
      <c r="C843" s="4" t="n">
        <f aca="false">MONTH($A843)</f>
        <v>4</v>
      </c>
      <c r="D843" s="4" t="str">
        <f aca="false">TEXT($A843,"ddd")</f>
        <v>Tue</v>
      </c>
      <c r="E843" s="4" t="n">
        <f aca="false">IF(OR(AND(MONTH($A843)=10,DAY($A843)&gt;=15),MONTH($A843)=11,AND(MONTH($A843)=12,DAY($A843)&lt;=7)),1,0)</f>
        <v>0</v>
      </c>
      <c r="F843" s="4" t="n">
        <f aca="false">IF(MONTH($A843)&lt;=3,1,0)</f>
        <v>0</v>
      </c>
      <c r="G843" s="4" t="str">
        <f aca="false" t="array" ref="G843: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4" t="n">
        <f aca="false">COUNTIF(Events!$A$2:$A$397,$A843)</f>
        <v>0</v>
      </c>
      <c r="I843" s="6" t="str">
        <f aca="false" t="array" ref="I843:I843">_xlfn.TEXTJOIN(" | ",TRUE(),IF(Events!$A$2:$A$397=$A843,Events!$E$2:$E$397&amp;IF(Events!$G$2:$G$397="National",""," ["&amp;Events!$G$2:$G$397&amp;"]"),""))</f>
        <v/>
      </c>
    </row>
    <row r="844" customFormat="false" ht="15" hidden="false" customHeight="true" outlineLevel="0" collapsed="false">
      <c r="A844" s="3" t="n">
        <v>46134</v>
      </c>
      <c r="B844" s="4" t="n">
        <f aca="false">YEAR($A844)</f>
        <v>2026</v>
      </c>
      <c r="C844" s="4" t="n">
        <f aca="false">MONTH($A844)</f>
        <v>4</v>
      </c>
      <c r="D844" s="4" t="str">
        <f aca="false">TEXT($A844,"ddd")</f>
        <v>Wed</v>
      </c>
      <c r="E844" s="4" t="n">
        <f aca="false">IF(OR(AND(MONTH($A844)=10,DAY($A844)&gt;=15),MONTH($A844)=11,AND(MONTH($A844)=12,DAY($A844)&lt;=7)),1,0)</f>
        <v>0</v>
      </c>
      <c r="F844" s="4" t="n">
        <f aca="false">IF(MONTH($A844)&lt;=3,1,0)</f>
        <v>0</v>
      </c>
      <c r="G844" s="4" t="str">
        <f aca="false" t="array" ref="G844: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4" t="n">
        <f aca="false">COUNTIF(Events!$A$2:$A$397,$A844)</f>
        <v>0</v>
      </c>
      <c r="I844" s="6" t="str">
        <f aca="false" t="array" ref="I844:I844">_xlfn.TEXTJOIN(" | ",TRUE(),IF(Events!$A$2:$A$397=$A844,Events!$E$2:$E$397&amp;IF(Events!$G$2:$G$397="National",""," ["&amp;Events!$G$2:$G$397&amp;"]"),""))</f>
        <v/>
      </c>
    </row>
    <row r="845" customFormat="false" ht="15" hidden="false" customHeight="true" outlineLevel="0" collapsed="false">
      <c r="A845" s="3" t="n">
        <v>46135</v>
      </c>
      <c r="B845" s="4" t="n">
        <f aca="false">YEAR($A845)</f>
        <v>2026</v>
      </c>
      <c r="C845" s="4" t="n">
        <f aca="false">MONTH($A845)</f>
        <v>4</v>
      </c>
      <c r="D845" s="4" t="str">
        <f aca="false">TEXT($A845,"ddd")</f>
        <v>Thu</v>
      </c>
      <c r="E845" s="4" t="n">
        <f aca="false">IF(OR(AND(MONTH($A845)=10,DAY($A845)&gt;=15),MONTH($A845)=11,AND(MONTH($A845)=12,DAY($A845)&lt;=7)),1,0)</f>
        <v>0</v>
      </c>
      <c r="F845" s="4" t="n">
        <f aca="false">IF(MONTH($A845)&lt;=3,1,0)</f>
        <v>0</v>
      </c>
      <c r="G845" s="4" t="str">
        <f aca="false" t="array" ref="G845: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4" t="n">
        <f aca="false">COUNTIF(Events!$A$2:$A$397,$A845)</f>
        <v>0</v>
      </c>
      <c r="I845" s="6" t="str">
        <f aca="false" t="array" ref="I845:I845">_xlfn.TEXTJOIN(" | ",TRUE(),IF(Events!$A$2:$A$397=$A845,Events!$E$2:$E$397&amp;IF(Events!$G$2:$G$397="National",""," ["&amp;Events!$G$2:$G$397&amp;"]"),""))</f>
        <v/>
      </c>
    </row>
    <row r="846" customFormat="false" ht="15" hidden="false" customHeight="true" outlineLevel="0" collapsed="false">
      <c r="A846" s="3" t="n">
        <v>46136</v>
      </c>
      <c r="B846" s="4" t="n">
        <f aca="false">YEAR($A846)</f>
        <v>2026</v>
      </c>
      <c r="C846" s="4" t="n">
        <f aca="false">MONTH($A846)</f>
        <v>4</v>
      </c>
      <c r="D846" s="4" t="str">
        <f aca="false">TEXT($A846,"ddd")</f>
        <v>Fri</v>
      </c>
      <c r="E846" s="4" t="n">
        <f aca="false">IF(OR(AND(MONTH($A846)=10,DAY($A846)&gt;=15),MONTH($A846)=11,AND(MONTH($A846)=12,DAY($A846)&lt;=7)),1,0)</f>
        <v>0</v>
      </c>
      <c r="F846" s="4" t="n">
        <f aca="false">IF(MONTH($A846)&lt;=3,1,0)</f>
        <v>0</v>
      </c>
      <c r="G846" s="4" t="str">
        <f aca="false" t="array" ref="G846: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4" t="n">
        <f aca="false">COUNTIF(Events!$A$2:$A$397,$A846)</f>
        <v>0</v>
      </c>
      <c r="I846" s="6" t="str">
        <f aca="false" t="array" ref="I846:I846">_xlfn.TEXTJOIN(" | ",TRUE(),IF(Events!$A$2:$A$397=$A846,Events!$E$2:$E$397&amp;IF(Events!$G$2:$G$397="National",""," ["&amp;Events!$G$2:$G$397&amp;"]"),""))</f>
        <v/>
      </c>
    </row>
    <row r="847" customFormat="false" ht="15" hidden="false" customHeight="true" outlineLevel="0" collapsed="false">
      <c r="A847" s="3" t="n">
        <v>46137</v>
      </c>
      <c r="B847" s="4" t="n">
        <f aca="false">YEAR($A847)</f>
        <v>2026</v>
      </c>
      <c r="C847" s="4" t="n">
        <f aca="false">MONTH($A847)</f>
        <v>4</v>
      </c>
      <c r="D847" s="4" t="str">
        <f aca="false">TEXT($A847,"ddd")</f>
        <v>Sat</v>
      </c>
      <c r="E847" s="4" t="n">
        <f aca="false">IF(OR(AND(MONTH($A847)=10,DAY($A847)&gt;=15),MONTH($A847)=11,AND(MONTH($A847)=12,DAY($A847)&lt;=7)),1,0)</f>
        <v>0</v>
      </c>
      <c r="F847" s="4" t="n">
        <f aca="false">IF(MONTH($A847)&lt;=3,1,0)</f>
        <v>0</v>
      </c>
      <c r="G847" s="4" t="str">
        <f aca="false" t="array" ref="G847: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4" t="n">
        <f aca="false">COUNTIF(Events!$A$2:$A$397,$A847)</f>
        <v>0</v>
      </c>
      <c r="I847" s="6" t="str">
        <f aca="false" t="array" ref="I847:I847">_xlfn.TEXTJOIN(" | ",TRUE(),IF(Events!$A$2:$A$397=$A847,Events!$E$2:$E$397&amp;IF(Events!$G$2:$G$397="National",""," ["&amp;Events!$G$2:$G$397&amp;"]"),""))</f>
        <v/>
      </c>
    </row>
    <row r="848" customFormat="false" ht="15" hidden="false" customHeight="true" outlineLevel="0" collapsed="false">
      <c r="A848" s="3" t="n">
        <v>46138</v>
      </c>
      <c r="B848" s="4" t="n">
        <f aca="false">YEAR($A848)</f>
        <v>2026</v>
      </c>
      <c r="C848" s="4" t="n">
        <f aca="false">MONTH($A848)</f>
        <v>4</v>
      </c>
      <c r="D848" s="4" t="str">
        <f aca="false">TEXT($A848,"ddd")</f>
        <v>Sun</v>
      </c>
      <c r="E848" s="4" t="n">
        <f aca="false">IF(OR(AND(MONTH($A848)=10,DAY($A848)&gt;=15),MONTH($A848)=11,AND(MONTH($A848)=12,DAY($A848)&lt;=7)),1,0)</f>
        <v>0</v>
      </c>
      <c r="F848" s="4" t="n">
        <f aca="false">IF(MONTH($A848)&lt;=3,1,0)</f>
        <v>0</v>
      </c>
      <c r="G848" s="4" t="str">
        <f aca="false" t="array" ref="G848: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4" t="n">
        <f aca="false">COUNTIF(Events!$A$2:$A$397,$A848)</f>
        <v>0</v>
      </c>
      <c r="I848" s="6" t="str">
        <f aca="false" t="array" ref="I848:I848">_xlfn.TEXTJOIN(" | ",TRUE(),IF(Events!$A$2:$A$397=$A848,Events!$E$2:$E$397&amp;IF(Events!$G$2:$G$397="National",""," ["&amp;Events!$G$2:$G$397&amp;"]"),""))</f>
        <v/>
      </c>
    </row>
    <row r="849" customFormat="false" ht="15" hidden="false" customHeight="true" outlineLevel="0" collapsed="false">
      <c r="A849" s="3" t="n">
        <v>46139</v>
      </c>
      <c r="B849" s="4" t="n">
        <f aca="false">YEAR($A849)</f>
        <v>2026</v>
      </c>
      <c r="C849" s="4" t="n">
        <f aca="false">MONTH($A849)</f>
        <v>4</v>
      </c>
      <c r="D849" s="4" t="str">
        <f aca="false">TEXT($A849,"ddd")</f>
        <v>Mon</v>
      </c>
      <c r="E849" s="4" t="n">
        <f aca="false">IF(OR(AND(MONTH($A849)=10,DAY($A849)&gt;=15),MONTH($A849)=11,AND(MONTH($A849)=12,DAY($A849)&lt;=7)),1,0)</f>
        <v>0</v>
      </c>
      <c r="F849" s="4" t="n">
        <f aca="false">IF(MONTH($A849)&lt;=3,1,0)</f>
        <v>0</v>
      </c>
      <c r="G849" s="4" t="str">
        <f aca="false" t="array" ref="G849: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4" t="n">
        <f aca="false">COUNTIF(Events!$A$2:$A$397,$A849)</f>
        <v>0</v>
      </c>
      <c r="I849" s="6" t="str">
        <f aca="false" t="array" ref="I849:I849">_xlfn.TEXTJOIN(" | ",TRUE(),IF(Events!$A$2:$A$397=$A849,Events!$E$2:$E$397&amp;IF(Events!$G$2:$G$397="National",""," ["&amp;Events!$G$2:$G$397&amp;"]"),""))</f>
        <v/>
      </c>
    </row>
    <row r="850" customFormat="false" ht="15" hidden="false" customHeight="true" outlineLevel="0" collapsed="false">
      <c r="A850" s="3" t="n">
        <v>46140</v>
      </c>
      <c r="B850" s="4" t="n">
        <f aca="false">YEAR($A850)</f>
        <v>2026</v>
      </c>
      <c r="C850" s="4" t="n">
        <f aca="false">MONTH($A850)</f>
        <v>4</v>
      </c>
      <c r="D850" s="4" t="str">
        <f aca="false">TEXT($A850,"ddd")</f>
        <v>Tue</v>
      </c>
      <c r="E850" s="4" t="n">
        <f aca="false">IF(OR(AND(MONTH($A850)=10,DAY($A850)&gt;=15),MONTH($A850)=11,AND(MONTH($A850)=12,DAY($A850)&lt;=7)),1,0)</f>
        <v>0</v>
      </c>
      <c r="F850" s="4" t="n">
        <f aca="false">IF(MONTH($A850)&lt;=3,1,0)</f>
        <v>0</v>
      </c>
      <c r="G850" s="4" t="str">
        <f aca="false" t="array" ref="G850: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4" t="n">
        <f aca="false">COUNTIF(Events!$A$2:$A$397,$A850)</f>
        <v>0</v>
      </c>
      <c r="I850" s="6" t="str">
        <f aca="false" t="array" ref="I850:I850">_xlfn.TEXTJOIN(" | ",TRUE(),IF(Events!$A$2:$A$397=$A850,Events!$E$2:$E$397&amp;IF(Events!$G$2:$G$397="National",""," ["&amp;Events!$G$2:$G$397&amp;"]"),""))</f>
        <v/>
      </c>
    </row>
    <row r="851" customFormat="false" ht="15" hidden="false" customHeight="true" outlineLevel="0" collapsed="false">
      <c r="A851" s="3" t="n">
        <v>46141</v>
      </c>
      <c r="B851" s="4" t="n">
        <f aca="false">YEAR($A851)</f>
        <v>2026</v>
      </c>
      <c r="C851" s="4" t="n">
        <f aca="false">MONTH($A851)</f>
        <v>4</v>
      </c>
      <c r="D851" s="4" t="str">
        <f aca="false">TEXT($A851,"ddd")</f>
        <v>Wed</v>
      </c>
      <c r="E851" s="4" t="n">
        <f aca="false">IF(OR(AND(MONTH($A851)=10,DAY($A851)&gt;=15),MONTH($A851)=11,AND(MONTH($A851)=12,DAY($A851)&lt;=7)),1,0)</f>
        <v>0</v>
      </c>
      <c r="F851" s="4" t="n">
        <f aca="false">IF(MONTH($A851)&lt;=3,1,0)</f>
        <v>0</v>
      </c>
      <c r="G851" s="4" t="str">
        <f aca="false" t="array" ref="G851: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
      </c>
      <c r="H851" s="4" t="n">
        <f aca="false">COUNTIF(Events!$A$2:$A$397,$A851)</f>
        <v>0</v>
      </c>
      <c r="I851" s="6" t="str">
        <f aca="false" t="array" ref="I851:I851">_xlfn.TEXTJOIN(" | ",TRUE(),IF(Events!$A$2:$A$397=$A851,Events!$E$2:$E$397&amp;IF(Events!$G$2:$G$397="National",""," ["&amp;Events!$G$2:$G$397&amp;"]"),""))</f>
        <v/>
      </c>
    </row>
    <row r="852" customFormat="false" ht="15" hidden="false" customHeight="true" outlineLevel="0" collapsed="false">
      <c r="A852" s="3" t="n">
        <v>46142</v>
      </c>
      <c r="B852" s="4" t="n">
        <f aca="false">YEAR($A852)</f>
        <v>2026</v>
      </c>
      <c r="C852" s="4" t="n">
        <f aca="false">MONTH($A852)</f>
        <v>4</v>
      </c>
      <c r="D852" s="4" t="str">
        <f aca="false">TEXT($A852,"ddd")</f>
        <v>Thu</v>
      </c>
      <c r="E852" s="4" t="n">
        <f aca="false">IF(OR(AND(MONTH($A852)=10,DAY($A852)&gt;=15),MONTH($A852)=11,AND(MONTH($A852)=12,DAY($A852)&lt;=7)),1,0)</f>
        <v>0</v>
      </c>
      <c r="F852" s="4" t="n">
        <f aca="false">IF(MONTH($A852)&lt;=3,1,0)</f>
        <v>0</v>
      </c>
      <c r="G852" s="4" t="str">
        <f aca="false" t="array" ref="G852: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 | 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2" s="4" t="n">
        <f aca="false">COUNTIF(Events!$A$2:$A$397,$A852)</f>
        <v>0</v>
      </c>
      <c r="I852" s="6" t="str">
        <f aca="false" t="array" ref="I852:I852">_xlfn.TEXTJOIN(" | ",TRUE(),IF(Events!$A$2:$A$397=$A852,Events!$E$2:$E$397&amp;IF(Events!$G$2:$G$397="National",""," ["&amp;Events!$G$2:$G$397&amp;"]"),""))</f>
        <v/>
      </c>
    </row>
    <row r="853" customFormat="false" ht="15" hidden="false" customHeight="true" outlineLevel="0" collapsed="false">
      <c r="A853" s="3" t="n">
        <v>46143</v>
      </c>
      <c r="B853" s="4" t="n">
        <f aca="false">YEAR($A853)</f>
        <v>2026</v>
      </c>
      <c r="C853" s="4" t="n">
        <f aca="false">MONTH($A853)</f>
        <v>5</v>
      </c>
      <c r="D853" s="4" t="str">
        <f aca="false">TEXT($A853,"ddd")</f>
        <v>Fri</v>
      </c>
      <c r="E853" s="4" t="n">
        <f aca="false">IF(OR(AND(MONTH($A853)=10,DAY($A853)&gt;=15),MONTH($A853)=11,AND(MONTH($A853)=12,DAY($A853)&lt;=7)),1,0)</f>
        <v>0</v>
      </c>
      <c r="F853" s="4" t="n">
        <f aca="false">IF(MONTH($A853)&lt;=3,1,0)</f>
        <v>0</v>
      </c>
      <c r="G853" s="4" t="str">
        <f aca="false" t="array" ref="G853: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4" t="n">
        <f aca="false">COUNTIF(Events!$A$2:$A$397,$A853)</f>
        <v>0</v>
      </c>
      <c r="I853" s="6" t="str">
        <f aca="false" t="array" ref="I853:I853">_xlfn.TEXTJOIN(" | ",TRUE(),IF(Events!$A$2:$A$397=$A853,Events!$E$2:$E$397&amp;IF(Events!$G$2:$G$397="National",""," ["&amp;Events!$G$2:$G$397&amp;"]"),""))</f>
        <v/>
      </c>
    </row>
    <row r="854" customFormat="false" ht="15" hidden="false" customHeight="true" outlineLevel="0" collapsed="false">
      <c r="A854" s="3" t="n">
        <v>46144</v>
      </c>
      <c r="B854" s="4" t="n">
        <f aca="false">YEAR($A854)</f>
        <v>2026</v>
      </c>
      <c r="C854" s="4" t="n">
        <f aca="false">MONTH($A854)</f>
        <v>5</v>
      </c>
      <c r="D854" s="4" t="str">
        <f aca="false">TEXT($A854,"ddd")</f>
        <v>Sat</v>
      </c>
      <c r="E854" s="4" t="n">
        <f aca="false">IF(OR(AND(MONTH($A854)=10,DAY($A854)&gt;=15),MONTH($A854)=11,AND(MONTH($A854)=12,DAY($A854)&lt;=7)),1,0)</f>
        <v>0</v>
      </c>
      <c r="F854" s="4" t="n">
        <f aca="false">IF(MONTH($A854)&lt;=3,1,0)</f>
        <v>0</v>
      </c>
      <c r="G854" s="4" t="str">
        <f aca="false" t="array" ref="G854: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4" t="n">
        <f aca="false">COUNTIF(Events!$A$2:$A$397,$A854)</f>
        <v>0</v>
      </c>
      <c r="I854" s="6" t="str">
        <f aca="false" t="array" ref="I854:I854">_xlfn.TEXTJOIN(" | ",TRUE(),IF(Events!$A$2:$A$397=$A854,Events!$E$2:$E$397&amp;IF(Events!$G$2:$G$397="National",""," ["&amp;Events!$G$2:$G$397&amp;"]"),""))</f>
        <v/>
      </c>
    </row>
    <row r="855" customFormat="false" ht="15" hidden="false" customHeight="true" outlineLevel="0" collapsed="false">
      <c r="A855" s="3" t="n">
        <v>46145</v>
      </c>
      <c r="B855" s="4" t="n">
        <f aca="false">YEAR($A855)</f>
        <v>2026</v>
      </c>
      <c r="C855" s="4" t="n">
        <f aca="false">MONTH($A855)</f>
        <v>5</v>
      </c>
      <c r="D855" s="4" t="str">
        <f aca="false">TEXT($A855,"ddd")</f>
        <v>Sun</v>
      </c>
      <c r="E855" s="4" t="n">
        <f aca="false">IF(OR(AND(MONTH($A855)=10,DAY($A855)&gt;=15),MONTH($A855)=11,AND(MONTH($A855)=12,DAY($A855)&lt;=7)),1,0)</f>
        <v>0</v>
      </c>
      <c r="F855" s="4" t="n">
        <f aca="false">IF(MONTH($A855)&lt;=3,1,0)</f>
        <v>0</v>
      </c>
      <c r="G855" s="4" t="str">
        <f aca="false" t="array" ref="G855: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4" t="n">
        <f aca="false">COUNTIF(Events!$A$2:$A$397,$A855)</f>
        <v>0</v>
      </c>
      <c r="I855" s="6" t="str">
        <f aca="false" t="array" ref="I855:I855">_xlfn.TEXTJOIN(" | ",TRUE(),IF(Events!$A$2:$A$397=$A855,Events!$E$2:$E$397&amp;IF(Events!$G$2:$G$397="National",""," ["&amp;Events!$G$2:$G$397&amp;"]"),""))</f>
        <v/>
      </c>
    </row>
    <row r="856" customFormat="false" ht="15" hidden="false" customHeight="true" outlineLevel="0" collapsed="false">
      <c r="A856" s="3" t="n">
        <v>46146</v>
      </c>
      <c r="B856" s="4" t="n">
        <f aca="false">YEAR($A856)</f>
        <v>2026</v>
      </c>
      <c r="C856" s="4" t="n">
        <f aca="false">MONTH($A856)</f>
        <v>5</v>
      </c>
      <c r="D856" s="4" t="str">
        <f aca="false">TEXT($A856,"ddd")</f>
        <v>Mon</v>
      </c>
      <c r="E856" s="4" t="n">
        <f aca="false">IF(OR(AND(MONTH($A856)=10,DAY($A856)&gt;=15),MONTH($A856)=11,AND(MONTH($A856)=12,DAY($A856)&lt;=7)),1,0)</f>
        <v>0</v>
      </c>
      <c r="F856" s="4" t="n">
        <f aca="false">IF(MONTH($A856)&lt;=3,1,0)</f>
        <v>0</v>
      </c>
      <c r="G856" s="4" t="str">
        <f aca="false" t="array" ref="G856: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4" t="n">
        <f aca="false">COUNTIF(Events!$A$2:$A$397,$A856)</f>
        <v>0</v>
      </c>
      <c r="I856" s="6" t="str">
        <f aca="false" t="array" ref="I856:I856">_xlfn.TEXTJOIN(" | ",TRUE(),IF(Events!$A$2:$A$397=$A856,Events!$E$2:$E$397&amp;IF(Events!$G$2:$G$397="National",""," ["&amp;Events!$G$2:$G$397&amp;"]"),""))</f>
        <v/>
      </c>
    </row>
    <row r="857" customFormat="false" ht="15" hidden="false" customHeight="true" outlineLevel="0" collapsed="false">
      <c r="A857" s="3" t="n">
        <v>46147</v>
      </c>
      <c r="B857" s="4" t="n">
        <f aca="false">YEAR($A857)</f>
        <v>2026</v>
      </c>
      <c r="C857" s="4" t="n">
        <f aca="false">MONTH($A857)</f>
        <v>5</v>
      </c>
      <c r="D857" s="4" t="str">
        <f aca="false">TEXT($A857,"ddd")</f>
        <v>Tue</v>
      </c>
      <c r="E857" s="4" t="n">
        <f aca="false">IF(OR(AND(MONTH($A857)=10,DAY($A857)&gt;=15),MONTH($A857)=11,AND(MONTH($A857)=12,DAY($A857)&lt;=7)),1,0)</f>
        <v>0</v>
      </c>
      <c r="F857" s="4" t="n">
        <f aca="false">IF(MONTH($A857)&lt;=3,1,0)</f>
        <v>0</v>
      </c>
      <c r="G857" s="4" t="str">
        <f aca="false" t="array" ref="G857: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4" t="n">
        <f aca="false">COUNTIF(Events!$A$2:$A$397,$A857)</f>
        <v>0</v>
      </c>
      <c r="I857" s="6" t="str">
        <f aca="false" t="array" ref="I857:I857">_xlfn.TEXTJOIN(" | ",TRUE(),IF(Events!$A$2:$A$397=$A857,Events!$E$2:$E$397&amp;IF(Events!$G$2:$G$397="National",""," ["&amp;Events!$G$2:$G$397&amp;"]"),""))</f>
        <v/>
      </c>
    </row>
    <row r="858" customFormat="false" ht="15" hidden="false" customHeight="true" outlineLevel="0" collapsed="false">
      <c r="A858" s="3" t="n">
        <v>46148</v>
      </c>
      <c r="B858" s="4" t="n">
        <f aca="false">YEAR($A858)</f>
        <v>2026</v>
      </c>
      <c r="C858" s="4" t="n">
        <f aca="false">MONTH($A858)</f>
        <v>5</v>
      </c>
      <c r="D858" s="4" t="str">
        <f aca="false">TEXT($A858,"ddd")</f>
        <v>Wed</v>
      </c>
      <c r="E858" s="4" t="n">
        <f aca="false">IF(OR(AND(MONTH($A858)=10,DAY($A858)&gt;=15),MONTH($A858)=11,AND(MONTH($A858)=12,DAY($A858)&lt;=7)),1,0)</f>
        <v>0</v>
      </c>
      <c r="F858" s="4" t="n">
        <f aca="false">IF(MONTH($A858)&lt;=3,1,0)</f>
        <v>0</v>
      </c>
      <c r="G858" s="4" t="str">
        <f aca="false" t="array" ref="G858: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4" t="n">
        <f aca="false">COUNTIF(Events!$A$2:$A$397,$A858)</f>
        <v>0</v>
      </c>
      <c r="I858" s="6" t="str">
        <f aca="false" t="array" ref="I858:I858">_xlfn.TEXTJOIN(" | ",TRUE(),IF(Events!$A$2:$A$397=$A858,Events!$E$2:$E$397&amp;IF(Events!$G$2:$G$397="National",""," ["&amp;Events!$G$2:$G$397&amp;"]"),""))</f>
        <v/>
      </c>
    </row>
    <row r="859" customFormat="false" ht="15" hidden="false" customHeight="true" outlineLevel="0" collapsed="false">
      <c r="A859" s="3" t="n">
        <v>46149</v>
      </c>
      <c r="B859" s="4" t="n">
        <f aca="false">YEAR($A859)</f>
        <v>2026</v>
      </c>
      <c r="C859" s="4" t="n">
        <f aca="false">MONTH($A859)</f>
        <v>5</v>
      </c>
      <c r="D859" s="4" t="str">
        <f aca="false">TEXT($A859,"ddd")</f>
        <v>Thu</v>
      </c>
      <c r="E859" s="4" t="n">
        <f aca="false">IF(OR(AND(MONTH($A859)=10,DAY($A859)&gt;=15),MONTH($A859)=11,AND(MONTH($A859)=12,DAY($A859)&lt;=7)),1,0)</f>
        <v>0</v>
      </c>
      <c r="F859" s="4" t="n">
        <f aca="false">IF(MONTH($A859)&lt;=3,1,0)</f>
        <v>0</v>
      </c>
      <c r="G859" s="4" t="str">
        <f aca="false" t="array" ref="G859: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4" t="n">
        <f aca="false">COUNTIF(Events!$A$2:$A$397,$A859)</f>
        <v>0</v>
      </c>
      <c r="I859" s="6" t="str">
        <f aca="false" t="array" ref="I859:I859">_xlfn.TEXTJOIN(" | ",TRUE(),IF(Events!$A$2:$A$397=$A859,Events!$E$2:$E$397&amp;IF(Events!$G$2:$G$397="National",""," ["&amp;Events!$G$2:$G$397&amp;"]"),""))</f>
        <v/>
      </c>
    </row>
    <row r="860" customFormat="false" ht="15" hidden="false" customHeight="true" outlineLevel="0" collapsed="false">
      <c r="A860" s="3" t="n">
        <v>46150</v>
      </c>
      <c r="B860" s="4" t="n">
        <f aca="false">YEAR($A860)</f>
        <v>2026</v>
      </c>
      <c r="C860" s="4" t="n">
        <f aca="false">MONTH($A860)</f>
        <v>5</v>
      </c>
      <c r="D860" s="4" t="str">
        <f aca="false">TEXT($A860,"ddd")</f>
        <v>Fri</v>
      </c>
      <c r="E860" s="4" t="n">
        <f aca="false">IF(OR(AND(MONTH($A860)=10,DAY($A860)&gt;=15),MONTH($A860)=11,AND(MONTH($A860)=12,DAY($A860)&lt;=7)),1,0)</f>
        <v>0</v>
      </c>
      <c r="F860" s="4" t="n">
        <f aca="false">IF(MONTH($A860)&lt;=3,1,0)</f>
        <v>0</v>
      </c>
      <c r="G860" s="4" t="str">
        <f aca="false" t="array" ref="G860: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4" t="n">
        <f aca="false">COUNTIF(Events!$A$2:$A$397,$A860)</f>
        <v>0</v>
      </c>
      <c r="I860" s="6" t="str">
        <f aca="false" t="array" ref="I860:I860">_xlfn.TEXTJOIN(" | ",TRUE(),IF(Events!$A$2:$A$397=$A860,Events!$E$2:$E$397&amp;IF(Events!$G$2:$G$397="National",""," ["&amp;Events!$G$2:$G$397&amp;"]"),""))</f>
        <v/>
      </c>
    </row>
    <row r="861" customFormat="false" ht="15" hidden="false" customHeight="true" outlineLevel="0" collapsed="false">
      <c r="A861" s="3" t="n">
        <v>46151</v>
      </c>
      <c r="B861" s="4" t="n">
        <f aca="false">YEAR($A861)</f>
        <v>2026</v>
      </c>
      <c r="C861" s="4" t="n">
        <f aca="false">MONTH($A861)</f>
        <v>5</v>
      </c>
      <c r="D861" s="4" t="str">
        <f aca="false">TEXT($A861,"ddd")</f>
        <v>Sat</v>
      </c>
      <c r="E861" s="4" t="n">
        <f aca="false">IF(OR(AND(MONTH($A861)=10,DAY($A861)&gt;=15),MONTH($A861)=11,AND(MONTH($A861)=12,DAY($A861)&lt;=7)),1,0)</f>
        <v>0</v>
      </c>
      <c r="F861" s="4" t="n">
        <f aca="false">IF(MONTH($A861)&lt;=3,1,0)</f>
        <v>0</v>
      </c>
      <c r="G861" s="4" t="str">
        <f aca="false" t="array" ref="G861: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4" t="n">
        <f aca="false">COUNTIF(Events!$A$2:$A$397,$A861)</f>
        <v>0</v>
      </c>
      <c r="I861" s="6" t="str">
        <f aca="false" t="array" ref="I861:I861">_xlfn.TEXTJOIN(" | ",TRUE(),IF(Events!$A$2:$A$397=$A861,Events!$E$2:$E$397&amp;IF(Events!$G$2:$G$397="National",""," ["&amp;Events!$G$2:$G$397&amp;"]"),""))</f>
        <v/>
      </c>
    </row>
    <row r="862" customFormat="false" ht="15" hidden="false" customHeight="true" outlineLevel="0" collapsed="false">
      <c r="A862" s="3" t="n">
        <v>46152</v>
      </c>
      <c r="B862" s="4" t="n">
        <f aca="false">YEAR($A862)</f>
        <v>2026</v>
      </c>
      <c r="C862" s="4" t="n">
        <f aca="false">MONTH($A862)</f>
        <v>5</v>
      </c>
      <c r="D862" s="4" t="str">
        <f aca="false">TEXT($A862,"ddd")</f>
        <v>Sun</v>
      </c>
      <c r="E862" s="4" t="n">
        <f aca="false">IF(OR(AND(MONTH($A862)=10,DAY($A862)&gt;=15),MONTH($A862)=11,AND(MONTH($A862)=12,DAY($A862)&lt;=7)),1,0)</f>
        <v>0</v>
      </c>
      <c r="F862" s="4" t="n">
        <f aca="false">IF(MONTH($A862)&lt;=3,1,0)</f>
        <v>0</v>
      </c>
      <c r="G862" s="4" t="str">
        <f aca="false" t="array" ref="G862: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4" t="n">
        <f aca="false">COUNTIF(Events!$A$2:$A$397,$A862)</f>
        <v>0</v>
      </c>
      <c r="I862" s="6" t="str">
        <f aca="false" t="array" ref="I862:I862">_xlfn.TEXTJOIN(" | ",TRUE(),IF(Events!$A$2:$A$397=$A862,Events!$E$2:$E$397&amp;IF(Events!$G$2:$G$397="National",""," ["&amp;Events!$G$2:$G$397&amp;"]"),""))</f>
        <v/>
      </c>
    </row>
    <row r="863" customFormat="false" ht="15" hidden="false" customHeight="true" outlineLevel="0" collapsed="false">
      <c r="A863" s="3" t="n">
        <v>46153</v>
      </c>
      <c r="B863" s="4" t="n">
        <f aca="false">YEAR($A863)</f>
        <v>2026</v>
      </c>
      <c r="C863" s="4" t="n">
        <f aca="false">MONTH($A863)</f>
        <v>5</v>
      </c>
      <c r="D863" s="4" t="str">
        <f aca="false">TEXT($A863,"ddd")</f>
        <v>Mon</v>
      </c>
      <c r="E863" s="4" t="n">
        <f aca="false">IF(OR(AND(MONTH($A863)=10,DAY($A863)&gt;=15),MONTH($A863)=11,AND(MONTH($A863)=12,DAY($A863)&lt;=7)),1,0)</f>
        <v>0</v>
      </c>
      <c r="F863" s="4" t="n">
        <f aca="false">IF(MONTH($A863)&lt;=3,1,0)</f>
        <v>0</v>
      </c>
      <c r="G863" s="4" t="str">
        <f aca="false" t="array" ref="G863: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4" t="n">
        <f aca="false">COUNTIF(Events!$A$2:$A$397,$A863)</f>
        <v>0</v>
      </c>
      <c r="I863" s="6" t="str">
        <f aca="false" t="array" ref="I863:I863">_xlfn.TEXTJOIN(" | ",TRUE(),IF(Events!$A$2:$A$397=$A863,Events!$E$2:$E$397&amp;IF(Events!$G$2:$G$397="National",""," ["&amp;Events!$G$2:$G$397&amp;"]"),""))</f>
        <v/>
      </c>
    </row>
    <row r="864" customFormat="false" ht="15" hidden="false" customHeight="true" outlineLevel="0" collapsed="false">
      <c r="A864" s="3" t="n">
        <v>46154</v>
      </c>
      <c r="B864" s="4" t="n">
        <f aca="false">YEAR($A864)</f>
        <v>2026</v>
      </c>
      <c r="C864" s="4" t="n">
        <f aca="false">MONTH($A864)</f>
        <v>5</v>
      </c>
      <c r="D864" s="4" t="str">
        <f aca="false">TEXT($A864,"ddd")</f>
        <v>Tue</v>
      </c>
      <c r="E864" s="4" t="n">
        <f aca="false">IF(OR(AND(MONTH($A864)=10,DAY($A864)&gt;=15),MONTH($A864)=11,AND(MONTH($A864)=12,DAY($A864)&lt;=7)),1,0)</f>
        <v>0</v>
      </c>
      <c r="F864" s="4" t="n">
        <f aca="false">IF(MONTH($A864)&lt;=3,1,0)</f>
        <v>0</v>
      </c>
      <c r="G864" s="4" t="str">
        <f aca="false" t="array" ref="G864: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4" t="n">
        <f aca="false">COUNTIF(Events!$A$2:$A$397,$A864)</f>
        <v>0</v>
      </c>
      <c r="I864" s="6" t="str">
        <f aca="false" t="array" ref="I864:I864">_xlfn.TEXTJOIN(" | ",TRUE(),IF(Events!$A$2:$A$397=$A864,Events!$E$2:$E$397&amp;IF(Events!$G$2:$G$397="National",""," ["&amp;Events!$G$2:$G$397&amp;"]"),""))</f>
        <v/>
      </c>
    </row>
    <row r="865" customFormat="false" ht="15" hidden="false" customHeight="true" outlineLevel="0" collapsed="false">
      <c r="A865" s="3" t="n">
        <v>46155</v>
      </c>
      <c r="B865" s="4" t="n">
        <f aca="false">YEAR($A865)</f>
        <v>2026</v>
      </c>
      <c r="C865" s="4" t="n">
        <f aca="false">MONTH($A865)</f>
        <v>5</v>
      </c>
      <c r="D865" s="4" t="str">
        <f aca="false">TEXT($A865,"ddd")</f>
        <v>Wed</v>
      </c>
      <c r="E865" s="4" t="n">
        <f aca="false">IF(OR(AND(MONTH($A865)=10,DAY($A865)&gt;=15),MONTH($A865)=11,AND(MONTH($A865)=12,DAY($A865)&lt;=7)),1,0)</f>
        <v>0</v>
      </c>
      <c r="F865" s="4" t="n">
        <f aca="false">IF(MONTH($A865)&lt;=3,1,0)</f>
        <v>0</v>
      </c>
      <c r="G865" s="4" t="str">
        <f aca="false" t="array" ref="G865: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4" t="n">
        <f aca="false">COUNTIF(Events!$A$2:$A$397,$A865)</f>
        <v>0</v>
      </c>
      <c r="I865" s="6" t="str">
        <f aca="false" t="array" ref="I865:I865">_xlfn.TEXTJOIN(" | ",TRUE(),IF(Events!$A$2:$A$397=$A865,Events!$E$2:$E$397&amp;IF(Events!$G$2:$G$397="National",""," ["&amp;Events!$G$2:$G$397&amp;"]"),""))</f>
        <v/>
      </c>
    </row>
    <row r="866" customFormat="false" ht="15" hidden="false" customHeight="true" outlineLevel="0" collapsed="false">
      <c r="A866" s="3" t="n">
        <v>46156</v>
      </c>
      <c r="B866" s="4" t="n">
        <f aca="false">YEAR($A866)</f>
        <v>2026</v>
      </c>
      <c r="C866" s="4" t="n">
        <f aca="false">MONTH($A866)</f>
        <v>5</v>
      </c>
      <c r="D866" s="4" t="str">
        <f aca="false">TEXT($A866,"ddd")</f>
        <v>Thu</v>
      </c>
      <c r="E866" s="4" t="n">
        <f aca="false">IF(OR(AND(MONTH($A866)=10,DAY($A866)&gt;=15),MONTH($A866)=11,AND(MONTH($A866)=12,DAY($A866)&lt;=7)),1,0)</f>
        <v>0</v>
      </c>
      <c r="F866" s="4" t="n">
        <f aca="false">IF(MONTH($A866)&lt;=3,1,0)</f>
        <v>0</v>
      </c>
      <c r="G866" s="4" t="str">
        <f aca="false" t="array" ref="G866: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4" t="n">
        <f aca="false">COUNTIF(Events!$A$2:$A$397,$A866)</f>
        <v>0</v>
      </c>
      <c r="I866" s="6" t="str">
        <f aca="false" t="array" ref="I866:I866">_xlfn.TEXTJOIN(" | ",TRUE(),IF(Events!$A$2:$A$397=$A866,Events!$E$2:$E$397&amp;IF(Events!$G$2:$G$397="National",""," ["&amp;Events!$G$2:$G$397&amp;"]"),""))</f>
        <v/>
      </c>
    </row>
    <row r="867" customFormat="false" ht="15" hidden="false" customHeight="true" outlineLevel="0" collapsed="false">
      <c r="A867" s="3" t="n">
        <v>46157</v>
      </c>
      <c r="B867" s="4" t="n">
        <f aca="false">YEAR($A867)</f>
        <v>2026</v>
      </c>
      <c r="C867" s="4" t="n">
        <f aca="false">MONTH($A867)</f>
        <v>5</v>
      </c>
      <c r="D867" s="4" t="str">
        <f aca="false">TEXT($A867,"ddd")</f>
        <v>Fri</v>
      </c>
      <c r="E867" s="4" t="n">
        <f aca="false">IF(OR(AND(MONTH($A867)=10,DAY($A867)&gt;=15),MONTH($A867)=11,AND(MONTH($A867)=12,DAY($A867)&lt;=7)),1,0)</f>
        <v>0</v>
      </c>
      <c r="F867" s="4" t="n">
        <f aca="false">IF(MONTH($A867)&lt;=3,1,0)</f>
        <v>0</v>
      </c>
      <c r="G867" s="4" t="str">
        <f aca="false" t="array" ref="G867: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4" t="n">
        <f aca="false">COUNTIF(Events!$A$2:$A$397,$A867)</f>
        <v>0</v>
      </c>
      <c r="I867" s="6" t="str">
        <f aca="false" t="array" ref="I867:I867">_xlfn.TEXTJOIN(" | ",TRUE(),IF(Events!$A$2:$A$397=$A867,Events!$E$2:$E$397&amp;IF(Events!$G$2:$G$397="National",""," ["&amp;Events!$G$2:$G$397&amp;"]"),""))</f>
        <v/>
      </c>
    </row>
    <row r="868" customFormat="false" ht="15" hidden="false" customHeight="true" outlineLevel="0" collapsed="false">
      <c r="A868" s="3" t="n">
        <v>46158</v>
      </c>
      <c r="B868" s="4" t="n">
        <f aca="false">YEAR($A868)</f>
        <v>2026</v>
      </c>
      <c r="C868" s="4" t="n">
        <f aca="false">MONTH($A868)</f>
        <v>5</v>
      </c>
      <c r="D868" s="4" t="str">
        <f aca="false">TEXT($A868,"ddd")</f>
        <v>Sat</v>
      </c>
      <c r="E868" s="4" t="n">
        <f aca="false">IF(OR(AND(MONTH($A868)=10,DAY($A868)&gt;=15),MONTH($A868)=11,AND(MONTH($A868)=12,DAY($A868)&lt;=7)),1,0)</f>
        <v>0</v>
      </c>
      <c r="F868" s="4" t="n">
        <f aca="false">IF(MONTH($A868)&lt;=3,1,0)</f>
        <v>0</v>
      </c>
      <c r="G868" s="4" t="str">
        <f aca="false" t="array" ref="G868: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4" t="n">
        <f aca="false">COUNTIF(Events!$A$2:$A$397,$A868)</f>
        <v>0</v>
      </c>
      <c r="I868" s="6" t="str">
        <f aca="false" t="array" ref="I868:I868">_xlfn.TEXTJOIN(" | ",TRUE(),IF(Events!$A$2:$A$397=$A868,Events!$E$2:$E$397&amp;IF(Events!$G$2:$G$397="National",""," ["&amp;Events!$G$2:$G$397&amp;"]"),""))</f>
        <v/>
      </c>
    </row>
    <row r="869" customFormat="false" ht="15" hidden="false" customHeight="true" outlineLevel="0" collapsed="false">
      <c r="A869" s="3" t="n">
        <v>46159</v>
      </c>
      <c r="B869" s="4" t="n">
        <f aca="false">YEAR($A869)</f>
        <v>2026</v>
      </c>
      <c r="C869" s="4" t="n">
        <f aca="false">MONTH($A869)</f>
        <v>5</v>
      </c>
      <c r="D869" s="4" t="str">
        <f aca="false">TEXT($A869,"ddd")</f>
        <v>Sun</v>
      </c>
      <c r="E869" s="4" t="n">
        <f aca="false">IF(OR(AND(MONTH($A869)=10,DAY($A869)&gt;=15),MONTH($A869)=11,AND(MONTH($A869)=12,DAY($A869)&lt;=7)),1,0)</f>
        <v>0</v>
      </c>
      <c r="F869" s="4" t="n">
        <f aca="false">IF(MONTH($A869)&lt;=3,1,0)</f>
        <v>0</v>
      </c>
      <c r="G869" s="4" t="str">
        <f aca="false" t="array" ref="G869: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4" t="n">
        <f aca="false">COUNTIF(Events!$A$2:$A$397,$A869)</f>
        <v>0</v>
      </c>
      <c r="I869" s="6" t="str">
        <f aca="false" t="array" ref="I869:I869">_xlfn.TEXTJOIN(" | ",TRUE(),IF(Events!$A$2:$A$397=$A869,Events!$E$2:$E$397&amp;IF(Events!$G$2:$G$397="National",""," ["&amp;Events!$G$2:$G$397&amp;"]"),""))</f>
        <v/>
      </c>
    </row>
    <row r="870" customFormat="false" ht="15" hidden="false" customHeight="true" outlineLevel="0" collapsed="false">
      <c r="A870" s="3" t="n">
        <v>46160</v>
      </c>
      <c r="B870" s="4" t="n">
        <f aca="false">YEAR($A870)</f>
        <v>2026</v>
      </c>
      <c r="C870" s="4" t="n">
        <f aca="false">MONTH($A870)</f>
        <v>5</v>
      </c>
      <c r="D870" s="4" t="str">
        <f aca="false">TEXT($A870,"ddd")</f>
        <v>Mon</v>
      </c>
      <c r="E870" s="4" t="n">
        <f aca="false">IF(OR(AND(MONTH($A870)=10,DAY($A870)&gt;=15),MONTH($A870)=11,AND(MONTH($A870)=12,DAY($A870)&lt;=7)),1,0)</f>
        <v>0</v>
      </c>
      <c r="F870" s="4" t="n">
        <f aca="false">IF(MONTH($A870)&lt;=3,1,0)</f>
        <v>0</v>
      </c>
      <c r="G870" s="4" t="str">
        <f aca="false" t="array" ref="G870: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4" t="n">
        <f aca="false">COUNTIF(Events!$A$2:$A$397,$A870)</f>
        <v>0</v>
      </c>
      <c r="I870" s="6" t="str">
        <f aca="false" t="array" ref="I870:I870">_xlfn.TEXTJOIN(" | ",TRUE(),IF(Events!$A$2:$A$397=$A870,Events!$E$2:$E$397&amp;IF(Events!$G$2:$G$397="National",""," ["&amp;Events!$G$2:$G$397&amp;"]"),""))</f>
        <v/>
      </c>
    </row>
    <row r="871" customFormat="false" ht="15" hidden="false" customHeight="true" outlineLevel="0" collapsed="false">
      <c r="A871" s="3" t="n">
        <v>46161</v>
      </c>
      <c r="B871" s="4" t="n">
        <f aca="false">YEAR($A871)</f>
        <v>2026</v>
      </c>
      <c r="C871" s="4" t="n">
        <f aca="false">MONTH($A871)</f>
        <v>5</v>
      </c>
      <c r="D871" s="4" t="str">
        <f aca="false">TEXT($A871,"ddd")</f>
        <v>Tue</v>
      </c>
      <c r="E871" s="4" t="n">
        <f aca="false">IF(OR(AND(MONTH($A871)=10,DAY($A871)&gt;=15),MONTH($A871)=11,AND(MONTH($A871)=12,DAY($A871)&lt;=7)),1,0)</f>
        <v>0</v>
      </c>
      <c r="F871" s="4" t="n">
        <f aca="false">IF(MONTH($A871)&lt;=3,1,0)</f>
        <v>0</v>
      </c>
      <c r="G871" s="4" t="str">
        <f aca="false" t="array" ref="G871: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4" t="n">
        <f aca="false">COUNTIF(Events!$A$2:$A$397,$A871)</f>
        <v>0</v>
      </c>
      <c r="I871" s="6" t="str">
        <f aca="false" t="array" ref="I871:I871">_xlfn.TEXTJOIN(" | ",TRUE(),IF(Events!$A$2:$A$397=$A871,Events!$E$2:$E$397&amp;IF(Events!$G$2:$G$397="National",""," ["&amp;Events!$G$2:$G$397&amp;"]"),""))</f>
        <v/>
      </c>
    </row>
    <row r="872" customFormat="false" ht="15" hidden="false" customHeight="true" outlineLevel="0" collapsed="false">
      <c r="A872" s="3" t="n">
        <v>46162</v>
      </c>
      <c r="B872" s="4" t="n">
        <f aca="false">YEAR($A872)</f>
        <v>2026</v>
      </c>
      <c r="C872" s="4" t="n">
        <f aca="false">MONTH($A872)</f>
        <v>5</v>
      </c>
      <c r="D872" s="4" t="str">
        <f aca="false">TEXT($A872,"ddd")</f>
        <v>Wed</v>
      </c>
      <c r="E872" s="4" t="n">
        <f aca="false">IF(OR(AND(MONTH($A872)=10,DAY($A872)&gt;=15),MONTH($A872)=11,AND(MONTH($A872)=12,DAY($A872)&lt;=7)),1,0)</f>
        <v>0</v>
      </c>
      <c r="F872" s="4" t="n">
        <f aca="false">IF(MONTH($A872)&lt;=3,1,0)</f>
        <v>0</v>
      </c>
      <c r="G872" s="4" t="str">
        <f aca="false" t="array" ref="G872: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4" t="n">
        <f aca="false">COUNTIF(Events!$A$2:$A$397,$A872)</f>
        <v>0</v>
      </c>
      <c r="I872" s="6" t="str">
        <f aca="false" t="array" ref="I872:I872">_xlfn.TEXTJOIN(" | ",TRUE(),IF(Events!$A$2:$A$397=$A872,Events!$E$2:$E$397&amp;IF(Events!$G$2:$G$397="National",""," ["&amp;Events!$G$2:$G$397&amp;"]"),""))</f>
        <v/>
      </c>
    </row>
    <row r="873" customFormat="false" ht="15" hidden="false" customHeight="true" outlineLevel="0" collapsed="false">
      <c r="A873" s="3" t="n">
        <v>46163</v>
      </c>
      <c r="B873" s="4" t="n">
        <f aca="false">YEAR($A873)</f>
        <v>2026</v>
      </c>
      <c r="C873" s="4" t="n">
        <f aca="false">MONTH($A873)</f>
        <v>5</v>
      </c>
      <c r="D873" s="4" t="str">
        <f aca="false">TEXT($A873,"ddd")</f>
        <v>Thu</v>
      </c>
      <c r="E873" s="4" t="n">
        <f aca="false">IF(OR(AND(MONTH($A873)=10,DAY($A873)&gt;=15),MONTH($A873)=11,AND(MONTH($A873)=12,DAY($A873)&lt;=7)),1,0)</f>
        <v>0</v>
      </c>
      <c r="F873" s="4" t="n">
        <f aca="false">IF(MONTH($A873)&lt;=3,1,0)</f>
        <v>0</v>
      </c>
      <c r="G873" s="4" t="str">
        <f aca="false" t="array" ref="G873: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4" t="n">
        <f aca="false">COUNTIF(Events!$A$2:$A$397,$A873)</f>
        <v>0</v>
      </c>
      <c r="I873" s="6" t="str">
        <f aca="false" t="array" ref="I873:I873">_xlfn.TEXTJOIN(" | ",TRUE(),IF(Events!$A$2:$A$397=$A873,Events!$E$2:$E$397&amp;IF(Events!$G$2:$G$397="National",""," ["&amp;Events!$G$2:$G$397&amp;"]"),""))</f>
        <v/>
      </c>
    </row>
    <row r="874" customFormat="false" ht="15" hidden="false" customHeight="true" outlineLevel="0" collapsed="false">
      <c r="A874" s="3" t="n">
        <v>46164</v>
      </c>
      <c r="B874" s="4" t="n">
        <f aca="false">YEAR($A874)</f>
        <v>2026</v>
      </c>
      <c r="C874" s="4" t="n">
        <f aca="false">MONTH($A874)</f>
        <v>5</v>
      </c>
      <c r="D874" s="4" t="str">
        <f aca="false">TEXT($A874,"ddd")</f>
        <v>Fri</v>
      </c>
      <c r="E874" s="4" t="n">
        <f aca="false">IF(OR(AND(MONTH($A874)=10,DAY($A874)&gt;=15),MONTH($A874)=11,AND(MONTH($A874)=12,DAY($A874)&lt;=7)),1,0)</f>
        <v>0</v>
      </c>
      <c r="F874" s="4" t="n">
        <f aca="false">IF(MONTH($A874)&lt;=3,1,0)</f>
        <v>0</v>
      </c>
      <c r="G874" s="4" t="str">
        <f aca="false" t="array" ref="G874: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4" t="n">
        <f aca="false">COUNTIF(Events!$A$2:$A$397,$A874)</f>
        <v>0</v>
      </c>
      <c r="I874" s="6" t="str">
        <f aca="false" t="array" ref="I874:I874">_xlfn.TEXTJOIN(" | ",TRUE(),IF(Events!$A$2:$A$397=$A874,Events!$E$2:$E$397&amp;IF(Events!$G$2:$G$397="National",""," ["&amp;Events!$G$2:$G$397&amp;"]"),""))</f>
        <v/>
      </c>
    </row>
    <row r="875" customFormat="false" ht="15" hidden="false" customHeight="true" outlineLevel="0" collapsed="false">
      <c r="A875" s="3" t="n">
        <v>46165</v>
      </c>
      <c r="B875" s="4" t="n">
        <f aca="false">YEAR($A875)</f>
        <v>2026</v>
      </c>
      <c r="C875" s="4" t="n">
        <f aca="false">MONTH($A875)</f>
        <v>5</v>
      </c>
      <c r="D875" s="4" t="str">
        <f aca="false">TEXT($A875,"ddd")</f>
        <v>Sat</v>
      </c>
      <c r="E875" s="4" t="n">
        <f aca="false">IF(OR(AND(MONTH($A875)=10,DAY($A875)&gt;=15),MONTH($A875)=11,AND(MONTH($A875)=12,DAY($A875)&lt;=7)),1,0)</f>
        <v>0</v>
      </c>
      <c r="F875" s="4" t="n">
        <f aca="false">IF(MONTH($A875)&lt;=3,1,0)</f>
        <v>0</v>
      </c>
      <c r="G875" s="4" t="str">
        <f aca="false" t="array" ref="G875: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4" t="n">
        <f aca="false">COUNTIF(Events!$A$2:$A$397,$A875)</f>
        <v>0</v>
      </c>
      <c r="I875" s="6" t="str">
        <f aca="false" t="array" ref="I875:I875">_xlfn.TEXTJOIN(" | ",TRUE(),IF(Events!$A$2:$A$397=$A875,Events!$E$2:$E$397&amp;IF(Events!$G$2:$G$397="National",""," ["&amp;Events!$G$2:$G$397&amp;"]"),""))</f>
        <v/>
      </c>
    </row>
    <row r="876" customFormat="false" ht="15" hidden="false" customHeight="true" outlineLevel="0" collapsed="false">
      <c r="A876" s="3" t="n">
        <v>46166</v>
      </c>
      <c r="B876" s="4" t="n">
        <f aca="false">YEAR($A876)</f>
        <v>2026</v>
      </c>
      <c r="C876" s="4" t="n">
        <f aca="false">MONTH($A876)</f>
        <v>5</v>
      </c>
      <c r="D876" s="4" t="str">
        <f aca="false">TEXT($A876,"ddd")</f>
        <v>Sun</v>
      </c>
      <c r="E876" s="4" t="n">
        <f aca="false">IF(OR(AND(MONTH($A876)=10,DAY($A876)&gt;=15),MONTH($A876)=11,AND(MONTH($A876)=12,DAY($A876)&lt;=7)),1,0)</f>
        <v>0</v>
      </c>
      <c r="F876" s="4" t="n">
        <f aca="false">IF(MONTH($A876)&lt;=3,1,0)</f>
        <v>0</v>
      </c>
      <c r="G876" s="4" t="str">
        <f aca="false" t="array" ref="G876: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4" t="n">
        <f aca="false">COUNTIF(Events!$A$2:$A$397,$A876)</f>
        <v>0</v>
      </c>
      <c r="I876" s="6" t="str">
        <f aca="false" t="array" ref="I876:I876">_xlfn.TEXTJOIN(" | ",TRUE(),IF(Events!$A$2:$A$397=$A876,Events!$E$2:$E$397&amp;IF(Events!$G$2:$G$397="National",""," ["&amp;Events!$G$2:$G$397&amp;"]"),""))</f>
        <v/>
      </c>
    </row>
    <row r="877" customFormat="false" ht="15" hidden="false" customHeight="true" outlineLevel="0" collapsed="false">
      <c r="A877" s="3" t="n">
        <v>46167</v>
      </c>
      <c r="B877" s="4" t="n">
        <f aca="false">YEAR($A877)</f>
        <v>2026</v>
      </c>
      <c r="C877" s="4" t="n">
        <f aca="false">MONTH($A877)</f>
        <v>5</v>
      </c>
      <c r="D877" s="4" t="str">
        <f aca="false">TEXT($A877,"ddd")</f>
        <v>Mon</v>
      </c>
      <c r="E877" s="4" t="n">
        <f aca="false">IF(OR(AND(MONTH($A877)=10,DAY($A877)&gt;=15),MONTH($A877)=11,AND(MONTH($A877)=12,DAY($A877)&lt;=7)),1,0)</f>
        <v>0</v>
      </c>
      <c r="F877" s="4" t="n">
        <f aca="false">IF(MONTH($A877)&lt;=3,1,0)</f>
        <v>0</v>
      </c>
      <c r="G877" s="4" t="str">
        <f aca="false" t="array" ref="G877: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4" t="n">
        <f aca="false">COUNTIF(Events!$A$2:$A$397,$A877)</f>
        <v>0</v>
      </c>
      <c r="I877" s="6" t="str">
        <f aca="false" t="array" ref="I877:I877">_xlfn.TEXTJOIN(" | ",TRUE(),IF(Events!$A$2:$A$397=$A877,Events!$E$2:$E$397&amp;IF(Events!$G$2:$G$397="National",""," ["&amp;Events!$G$2:$G$397&amp;"]"),""))</f>
        <v/>
      </c>
    </row>
    <row r="878" customFormat="false" ht="15" hidden="false" customHeight="true" outlineLevel="0" collapsed="false">
      <c r="A878" s="3" t="n">
        <v>46168</v>
      </c>
      <c r="B878" s="4" t="n">
        <f aca="false">YEAR($A878)</f>
        <v>2026</v>
      </c>
      <c r="C878" s="4" t="n">
        <f aca="false">MONTH($A878)</f>
        <v>5</v>
      </c>
      <c r="D878" s="4" t="str">
        <f aca="false">TEXT($A878,"ddd")</f>
        <v>Tue</v>
      </c>
      <c r="E878" s="4" t="n">
        <f aca="false">IF(OR(AND(MONTH($A878)=10,DAY($A878)&gt;=15),MONTH($A878)=11,AND(MONTH($A878)=12,DAY($A878)&lt;=7)),1,0)</f>
        <v>0</v>
      </c>
      <c r="F878" s="4" t="n">
        <f aca="false">IF(MONTH($A878)&lt;=3,1,0)</f>
        <v>0</v>
      </c>
      <c r="G878" s="4" t="str">
        <f aca="false" t="array" ref="G878: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4" t="n">
        <f aca="false">COUNTIF(Events!$A$2:$A$397,$A878)</f>
        <v>0</v>
      </c>
      <c r="I878" s="6" t="str">
        <f aca="false" t="array" ref="I878:I878">_xlfn.TEXTJOIN(" | ",TRUE(),IF(Events!$A$2:$A$397=$A878,Events!$E$2:$E$397&amp;IF(Events!$G$2:$G$397="National",""," ["&amp;Events!$G$2:$G$397&amp;"]"),""))</f>
        <v/>
      </c>
    </row>
    <row r="879" customFormat="false" ht="15" hidden="false" customHeight="true" outlineLevel="0" collapsed="false">
      <c r="A879" s="3" t="n">
        <v>46169</v>
      </c>
      <c r="B879" s="4" t="n">
        <f aca="false">YEAR($A879)</f>
        <v>2026</v>
      </c>
      <c r="C879" s="4" t="n">
        <f aca="false">MONTH($A879)</f>
        <v>5</v>
      </c>
      <c r="D879" s="4" t="str">
        <f aca="false">TEXT($A879,"ddd")</f>
        <v>Wed</v>
      </c>
      <c r="E879" s="4" t="n">
        <f aca="false">IF(OR(AND(MONTH($A879)=10,DAY($A879)&gt;=15),MONTH($A879)=11,AND(MONTH($A879)=12,DAY($A879)&lt;=7)),1,0)</f>
        <v>0</v>
      </c>
      <c r="F879" s="4" t="n">
        <f aca="false">IF(MONTH($A879)&lt;=3,1,0)</f>
        <v>0</v>
      </c>
      <c r="G879" s="4" t="str">
        <f aca="false" t="array" ref="G879: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4" t="n">
        <f aca="false">COUNTIF(Events!$A$2:$A$397,$A879)</f>
        <v>1</v>
      </c>
      <c r="I879" s="6" t="str">
        <f aca="false" t="array" ref="I879:I879">_xlfn.TEXTJOIN(" | ",TRUE(),IF(Events!$A$2:$A$397=$A879,Events!$E$2:$E$397&amp;IF(Events!$G$2:$G$397="National",""," ["&amp;Events!$G$2:$G$397&amp;"]"),""))</f>
        <v>Clover v. HHS: federal court in Georgia finds CMS improperly used two groups of 10 measures in calculating Clover's 2026 Star Rating - the ruling that triggered CMS's June 2026 industry-wide recalculation (recalc itself is post-window)</v>
      </c>
    </row>
    <row r="880" customFormat="false" ht="15" hidden="false" customHeight="true" outlineLevel="0" collapsed="false">
      <c r="A880" s="3" t="n">
        <v>46170</v>
      </c>
      <c r="B880" s="4" t="n">
        <f aca="false">YEAR($A880)</f>
        <v>2026</v>
      </c>
      <c r="C880" s="4" t="n">
        <f aca="false">MONTH($A880)</f>
        <v>5</v>
      </c>
      <c r="D880" s="4" t="str">
        <f aca="false">TEXT($A880,"ddd")</f>
        <v>Thu</v>
      </c>
      <c r="E880" s="4" t="n">
        <f aca="false">IF(OR(AND(MONTH($A880)=10,DAY($A880)&gt;=15),MONTH($A880)=11,AND(MONTH($A880)=12,DAY($A880)&lt;=7)),1,0)</f>
        <v>0</v>
      </c>
      <c r="F880" s="4" t="n">
        <f aca="false">IF(MONTH($A880)&lt;=3,1,0)</f>
        <v>0</v>
      </c>
      <c r="G880" s="4" t="str">
        <f aca="false" t="array" ref="G880: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4" t="n">
        <f aca="false">COUNTIF(Events!$A$2:$A$397,$A880)</f>
        <v>0</v>
      </c>
      <c r="I880" s="6" t="str">
        <f aca="false" t="array" ref="I880:I880">_xlfn.TEXTJOIN(" | ",TRUE(),IF(Events!$A$2:$A$397=$A880,Events!$E$2:$E$397&amp;IF(Events!$G$2:$G$397="National",""," ["&amp;Events!$G$2:$G$397&amp;"]"),""))</f>
        <v/>
      </c>
    </row>
    <row r="881" customFormat="false" ht="15" hidden="false" customHeight="true" outlineLevel="0" collapsed="false">
      <c r="A881" s="3" t="n">
        <v>46171</v>
      </c>
      <c r="B881" s="4" t="n">
        <f aca="false">YEAR($A881)</f>
        <v>2026</v>
      </c>
      <c r="C881" s="4" t="n">
        <f aca="false">MONTH($A881)</f>
        <v>5</v>
      </c>
      <c r="D881" s="4" t="str">
        <f aca="false">TEXT($A881,"ddd")</f>
        <v>Fri</v>
      </c>
      <c r="E881" s="4" t="n">
        <f aca="false">IF(OR(AND(MONTH($A881)=10,DAY($A881)&gt;=15),MONTH($A881)=11,AND(MONTH($A881)=12,DAY($A881)&lt;=7)),1,0)</f>
        <v>0</v>
      </c>
      <c r="F881" s="4" t="n">
        <f aca="false">IF(MONTH($A881)&lt;=3,1,0)</f>
        <v>0</v>
      </c>
      <c r="G881" s="4" t="str">
        <f aca="false" t="array" ref="G881: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4" t="n">
        <f aca="false">COUNTIF(Events!$A$2:$A$397,$A881)</f>
        <v>0</v>
      </c>
      <c r="I881" s="6" t="str">
        <f aca="false" t="array" ref="I881:I881">_xlfn.TEXTJOIN(" | ",TRUE(),IF(Events!$A$2:$A$397=$A881,Events!$E$2:$E$397&amp;IF(Events!$G$2:$G$397="National",""," ["&amp;Events!$G$2:$G$397&amp;"]"),""))</f>
        <v/>
      </c>
    </row>
    <row r="882" customFormat="false" ht="15" hidden="false" customHeight="true" outlineLevel="0" collapsed="false">
      <c r="A882" s="3" t="n">
        <v>46172</v>
      </c>
      <c r="B882" s="4" t="n">
        <f aca="false">YEAR($A882)</f>
        <v>2026</v>
      </c>
      <c r="C882" s="4" t="n">
        <f aca="false">MONTH($A882)</f>
        <v>5</v>
      </c>
      <c r="D882" s="4" t="str">
        <f aca="false">TEXT($A882,"ddd")</f>
        <v>Sat</v>
      </c>
      <c r="E882" s="4" t="n">
        <f aca="false">IF(OR(AND(MONTH($A882)=10,DAY($A882)&gt;=15),MONTH($A882)=11,AND(MONTH($A882)=12,DAY($A882)&lt;=7)),1,0)</f>
        <v>0</v>
      </c>
      <c r="F882" s="4" t="n">
        <f aca="false">IF(MONTH($A882)&lt;=3,1,0)</f>
        <v>0</v>
      </c>
      <c r="G882" s="4" t="str">
        <f aca="false" t="array" ref="G882: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
      </c>
      <c r="H882" s="4" t="n">
        <f aca="false">COUNTIF(Events!$A$2:$A$397,$A882)</f>
        <v>0</v>
      </c>
      <c r="I882" s="6" t="str">
        <f aca="false" t="array" ref="I882:I882">_xlfn.TEXTJOIN(" | ",TRUE(),IF(Events!$A$2:$A$397=$A882,Events!$E$2:$E$397&amp;IF(Events!$G$2:$G$397="National",""," ["&amp;Events!$G$2:$G$397&amp;"]"),""))</f>
        <v/>
      </c>
    </row>
    <row r="883" customFormat="false" ht="39" hidden="false" customHeight="true" outlineLevel="0" collapsed="false">
      <c r="A883" s="3" t="n">
        <v>46173</v>
      </c>
      <c r="B883" s="4" t="n">
        <f aca="false">YEAR($A883)</f>
        <v>2026</v>
      </c>
      <c r="C883" s="4" t="n">
        <f aca="false">MONTH($A883)</f>
        <v>5</v>
      </c>
      <c r="D883" s="4" t="str">
        <f aca="false">TEXT($A883,"ddd")</f>
        <v>Sun</v>
      </c>
      <c r="E883" s="4" t="n">
        <f aca="false">IF(OR(AND(MONTH($A883)=10,DAY($A883)&gt;=15),MONTH($A883)=11,AND(MONTH($A883)=12,DAY($A883)&lt;=7)),1,0)</f>
        <v>0</v>
      </c>
      <c r="F883" s="4" t="n">
        <f aca="false">IF(MONTH($A883)&lt;=3,1,0)</f>
        <v>0</v>
      </c>
      <c r="G883" s="7" t="str">
        <f aca="false" t="array" ref="G883: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 | 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3" s="4" t="n">
        <f aca="false">COUNTIF(Events!$A$2:$A$397,$A883)</f>
        <v>0</v>
      </c>
      <c r="I883" s="6" t="str">
        <f aca="false" t="array" ref="I883:I883">_xlfn.TEXTJOIN(" | ",TRUE(),IF(Events!$A$2:$A$397=$A883,Events!$E$2:$E$397&amp;IF(Events!$G$2:$G$397="National",""," ["&amp;Events!$G$2:$G$397&amp;"]"),""))</f>
        <v/>
      </c>
    </row>
  </sheetData>
  <autoFilter ref="A1:I883"/>
  <conditionalFormatting sqref="A2:I883">
    <cfRule type="expression" priority="2" aboveAverage="0" equalAverage="0" bottom="0" percent="0" rank="0" text="" dxfId="6">
      <formula>$H2&gt;0</formula>
    </cfRule>
    <cfRule type="expression" priority="3" aboveAverage="0" equalAverage="0" bottom="0" percent="0" rank="0" text="" dxfId="7">
      <formula>$E2=1</formula>
    </cfRule>
    <cfRule type="expression" priority="4" aboveAverage="0" equalAverage="0" bottom="0" percent="0" rank="0" text="" dxfId="8">
      <formula>$F2=1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8" activeCellId="0" sqref="A28"/>
    </sheetView>
  </sheetViews>
  <sheetFormatPr defaultColWidth="8.6328125" defaultRowHeight="14.25" zeroHeight="false" outlineLevelRow="0" outlineLevelCol="0"/>
  <cols>
    <col collapsed="false" customWidth="true" hidden="false" outlineLevel="0" max="1" min="1" style="1" width="9.91"/>
    <col collapsed="false" customWidth="true" hidden="false" outlineLevel="0" max="2" min="2" style="1" width="18.91"/>
    <col collapsed="false" customWidth="true" hidden="false" outlineLevel="0" max="3" min="3" style="1" width="20.18"/>
    <col collapsed="false" customWidth="true" hidden="false" outlineLevel="0" max="4" min="4" style="1" width="13.54"/>
    <col collapsed="false" customWidth="true" hidden="false" outlineLevel="0" max="5" min="5" style="8" width="55.54"/>
    <col collapsed="false" customWidth="true" hidden="false" outlineLevel="0" max="6" min="6" style="9" width="35.82"/>
    <col collapsed="false" customWidth="true" hidden="false" outlineLevel="0" max="7" min="7" style="1" width="10"/>
  </cols>
  <sheetData>
    <row r="1" customFormat="false" ht="15" hidden="false" customHeight="true" outlineLevel="0" collapsed="false">
      <c r="A1" s="2" t="s">
        <v>0</v>
      </c>
      <c r="B1" s="2" t="s">
        <v>9</v>
      </c>
      <c r="C1" s="2" t="s">
        <v>10</v>
      </c>
      <c r="D1" s="2" t="s">
        <v>11</v>
      </c>
      <c r="E1" s="10" t="s">
        <v>12</v>
      </c>
      <c r="F1" s="10" t="s">
        <v>13</v>
      </c>
      <c r="G1" s="10" t="s">
        <v>14</v>
      </c>
      <c r="H1" s="2" t="s">
        <v>15</v>
      </c>
    </row>
    <row r="2" customFormat="false" ht="34.5" hidden="false" customHeight="true" outlineLevel="0" collapsed="false">
      <c r="A2" s="11" t="n">
        <v>45292</v>
      </c>
      <c r="B2" s="12" t="s">
        <v>16</v>
      </c>
      <c r="C2" s="12" t="s">
        <v>17</v>
      </c>
      <c r="D2" s="12" t="s">
        <v>18</v>
      </c>
      <c r="E2" s="13" t="s">
        <v>19</v>
      </c>
      <c r="F2" s="14" t="s">
        <v>20</v>
      </c>
      <c r="G2" s="15" t="s">
        <v>21</v>
      </c>
      <c r="H2" s="12" t="s">
        <v>22</v>
      </c>
    </row>
    <row r="3" customFormat="false" ht="43.5" hidden="false" customHeight="true" outlineLevel="0" collapsed="false">
      <c r="A3" s="11" t="n">
        <v>45292</v>
      </c>
      <c r="B3" s="12" t="s">
        <v>23</v>
      </c>
      <c r="C3" s="12" t="s">
        <v>24</v>
      </c>
      <c r="D3" s="12" t="s">
        <v>18</v>
      </c>
      <c r="E3" s="13" t="s">
        <v>25</v>
      </c>
      <c r="F3" s="14" t="s">
        <v>26</v>
      </c>
      <c r="G3" s="15" t="s">
        <v>27</v>
      </c>
      <c r="H3" s="12" t="s">
        <v>28</v>
      </c>
    </row>
    <row r="4" customFormat="false" ht="39" hidden="false" customHeight="true" outlineLevel="0" collapsed="false">
      <c r="A4" s="11" t="n">
        <v>45322</v>
      </c>
      <c r="B4" s="12" t="s">
        <v>29</v>
      </c>
      <c r="C4" s="12" t="s">
        <v>30</v>
      </c>
      <c r="D4" s="12" t="s">
        <v>31</v>
      </c>
      <c r="E4" s="13" t="s">
        <v>32</v>
      </c>
      <c r="F4" s="14" t="s">
        <v>33</v>
      </c>
      <c r="G4" s="15" t="s">
        <v>21</v>
      </c>
      <c r="H4" s="12" t="s">
        <v>34</v>
      </c>
    </row>
    <row r="5" customFormat="false" ht="28.5" hidden="false" customHeight="true" outlineLevel="0" collapsed="false">
      <c r="A5" s="11" t="n">
        <v>45383</v>
      </c>
      <c r="B5" s="12" t="s">
        <v>35</v>
      </c>
      <c r="C5" s="12" t="s">
        <v>30</v>
      </c>
      <c r="D5" s="12" t="s">
        <v>31</v>
      </c>
      <c r="E5" s="13" t="s">
        <v>36</v>
      </c>
      <c r="F5" s="14" t="s">
        <v>37</v>
      </c>
      <c r="G5" s="15" t="s">
        <v>21</v>
      </c>
      <c r="H5" s="12" t="s">
        <v>22</v>
      </c>
    </row>
    <row r="6" customFormat="false" ht="91.5" hidden="false" customHeight="true" outlineLevel="0" collapsed="false">
      <c r="A6" s="11" t="n">
        <v>45386</v>
      </c>
      <c r="B6" s="12" t="s">
        <v>29</v>
      </c>
      <c r="C6" s="12" t="s">
        <v>38</v>
      </c>
      <c r="D6" s="12" t="s">
        <v>31</v>
      </c>
      <c r="E6" s="13" t="s">
        <v>39</v>
      </c>
      <c r="F6" s="14" t="s">
        <v>40</v>
      </c>
      <c r="G6" s="15" t="s">
        <v>21</v>
      </c>
      <c r="H6" s="12" t="s">
        <v>41</v>
      </c>
    </row>
    <row r="7" customFormat="false" ht="57.75" hidden="false" customHeight="true" outlineLevel="0" collapsed="false">
      <c r="A7" s="11" t="n">
        <v>45446</v>
      </c>
      <c r="B7" s="12" t="s">
        <v>42</v>
      </c>
      <c r="C7" s="12" t="s">
        <v>43</v>
      </c>
      <c r="D7" s="12" t="s">
        <v>31</v>
      </c>
      <c r="E7" s="13" t="s">
        <v>44</v>
      </c>
      <c r="F7" s="14" t="s">
        <v>45</v>
      </c>
      <c r="G7" s="15" t="s">
        <v>21</v>
      </c>
      <c r="H7" s="12" t="s">
        <v>46</v>
      </c>
    </row>
    <row r="8" customFormat="false" ht="28.5" hidden="false" customHeight="true" outlineLevel="0" collapsed="false">
      <c r="A8" s="11" t="n">
        <v>45476</v>
      </c>
      <c r="B8" s="12" t="s">
        <v>42</v>
      </c>
      <c r="C8" s="12" t="s">
        <v>47</v>
      </c>
      <c r="D8" s="12" t="s">
        <v>18</v>
      </c>
      <c r="E8" s="13" t="s">
        <v>48</v>
      </c>
      <c r="F8" s="14" t="s">
        <v>49</v>
      </c>
      <c r="G8" s="15" t="s">
        <v>21</v>
      </c>
      <c r="H8" s="12" t="s">
        <v>50</v>
      </c>
    </row>
    <row r="9" customFormat="false" ht="43.5" hidden="false" customHeight="true" outlineLevel="0" collapsed="false">
      <c r="A9" s="11" t="n">
        <v>45482</v>
      </c>
      <c r="B9" s="12" t="s">
        <v>42</v>
      </c>
      <c r="C9" s="12" t="s">
        <v>43</v>
      </c>
      <c r="D9" s="12" t="s">
        <v>18</v>
      </c>
      <c r="E9" s="13" t="s">
        <v>51</v>
      </c>
      <c r="F9" s="14" t="s">
        <v>52</v>
      </c>
      <c r="G9" s="15" t="s">
        <v>21</v>
      </c>
      <c r="H9" s="12" t="s">
        <v>46</v>
      </c>
    </row>
    <row r="10" customFormat="false" ht="28.5" hidden="false" customHeight="true" outlineLevel="0" collapsed="false">
      <c r="A10" s="11" t="n">
        <v>45519</v>
      </c>
      <c r="B10" s="12" t="s">
        <v>35</v>
      </c>
      <c r="C10" s="12" t="s">
        <v>17</v>
      </c>
      <c r="D10" s="12" t="s">
        <v>31</v>
      </c>
      <c r="E10" s="13" t="s">
        <v>53</v>
      </c>
      <c r="F10" s="14" t="s">
        <v>54</v>
      </c>
      <c r="G10" s="15" t="s">
        <v>21</v>
      </c>
      <c r="H10" s="12" t="s">
        <v>34</v>
      </c>
    </row>
    <row r="11" customFormat="false" ht="28.5" hidden="false" customHeight="true" outlineLevel="0" collapsed="false">
      <c r="A11" s="11" t="n">
        <v>45565</v>
      </c>
      <c r="B11" s="12" t="s">
        <v>55</v>
      </c>
      <c r="C11" s="12" t="s">
        <v>30</v>
      </c>
      <c r="D11" s="12" t="s">
        <v>56</v>
      </c>
      <c r="E11" s="13" t="s">
        <v>57</v>
      </c>
      <c r="F11" s="14" t="s">
        <v>58</v>
      </c>
      <c r="G11" s="15" t="s">
        <v>21</v>
      </c>
      <c r="H11" s="12" t="s">
        <v>59</v>
      </c>
    </row>
    <row r="12" customFormat="false" ht="15" hidden="false" customHeight="true" outlineLevel="0" collapsed="false">
      <c r="A12" s="11" t="n">
        <v>45566</v>
      </c>
      <c r="B12" s="12" t="s">
        <v>55</v>
      </c>
      <c r="C12" s="12" t="s">
        <v>30</v>
      </c>
      <c r="D12" s="12" t="s">
        <v>18</v>
      </c>
      <c r="E12" s="13" t="s">
        <v>60</v>
      </c>
      <c r="F12" s="14" t="s">
        <v>61</v>
      </c>
      <c r="G12" s="15" t="s">
        <v>21</v>
      </c>
      <c r="H12" s="12" t="s">
        <v>59</v>
      </c>
    </row>
    <row r="13" customFormat="false" ht="15" hidden="false" customHeight="true" outlineLevel="0" collapsed="false">
      <c r="A13" s="11" t="n">
        <v>45575</v>
      </c>
      <c r="B13" s="12" t="s">
        <v>62</v>
      </c>
      <c r="C13" s="12" t="s">
        <v>63</v>
      </c>
      <c r="D13" s="12" t="s">
        <v>31</v>
      </c>
      <c r="E13" s="13" t="s">
        <v>64</v>
      </c>
      <c r="F13" s="14" t="s">
        <v>65</v>
      </c>
      <c r="G13" s="15" t="s">
        <v>21</v>
      </c>
      <c r="H13" s="12" t="s">
        <v>46</v>
      </c>
    </row>
    <row r="14" customFormat="false" ht="15" hidden="false" customHeight="true" outlineLevel="0" collapsed="false">
      <c r="A14" s="11" t="n">
        <v>45610</v>
      </c>
      <c r="B14" s="12" t="s">
        <v>35</v>
      </c>
      <c r="C14" s="12" t="s">
        <v>66</v>
      </c>
      <c r="D14" s="12" t="s">
        <v>31</v>
      </c>
      <c r="E14" s="13" t="s">
        <v>67</v>
      </c>
      <c r="F14" s="14" t="s">
        <v>68</v>
      </c>
      <c r="G14" s="15" t="s">
        <v>21</v>
      </c>
      <c r="H14" s="12" t="s">
        <v>22</v>
      </c>
    </row>
    <row r="15" customFormat="false" ht="15" hidden="false" customHeight="true" outlineLevel="0" collapsed="false">
      <c r="A15" s="11" t="n">
        <v>45618</v>
      </c>
      <c r="B15" s="12" t="s">
        <v>42</v>
      </c>
      <c r="C15" s="12" t="s">
        <v>43</v>
      </c>
      <c r="D15" s="12" t="s">
        <v>18</v>
      </c>
      <c r="E15" s="13" t="s">
        <v>69</v>
      </c>
      <c r="F15" s="14" t="s">
        <v>70</v>
      </c>
      <c r="G15" s="15" t="s">
        <v>21</v>
      </c>
      <c r="H15" s="12" t="s">
        <v>46</v>
      </c>
    </row>
    <row r="16" customFormat="false" ht="15" hidden="false" customHeight="true" outlineLevel="0" collapsed="false">
      <c r="A16" s="11" t="n">
        <v>45622</v>
      </c>
      <c r="B16" s="12" t="s">
        <v>29</v>
      </c>
      <c r="C16" s="12" t="s">
        <v>71</v>
      </c>
      <c r="D16" s="12" t="s">
        <v>31</v>
      </c>
      <c r="E16" s="13" t="s">
        <v>72</v>
      </c>
      <c r="F16" s="14" t="s">
        <v>73</v>
      </c>
      <c r="G16" s="15" t="s">
        <v>21</v>
      </c>
      <c r="H16" s="12" t="s">
        <v>34</v>
      </c>
    </row>
    <row r="17" customFormat="false" ht="15" hidden="false" customHeight="true" outlineLevel="0" collapsed="false">
      <c r="A17" s="11" t="n">
        <v>45658</v>
      </c>
      <c r="B17" s="12" t="s">
        <v>29</v>
      </c>
      <c r="C17" s="12" t="s">
        <v>74</v>
      </c>
      <c r="D17" s="12" t="s">
        <v>18</v>
      </c>
      <c r="E17" s="13" t="s">
        <v>75</v>
      </c>
      <c r="F17" s="14" t="s">
        <v>76</v>
      </c>
      <c r="G17" s="15" t="s">
        <v>21</v>
      </c>
      <c r="H17" s="12" t="s">
        <v>41</v>
      </c>
    </row>
    <row r="18" customFormat="false" ht="15" hidden="false" customHeight="true" outlineLevel="0" collapsed="false">
      <c r="A18" s="11" t="n">
        <v>45658</v>
      </c>
      <c r="B18" s="12" t="s">
        <v>29</v>
      </c>
      <c r="C18" s="12" t="s">
        <v>77</v>
      </c>
      <c r="D18" s="12" t="s">
        <v>18</v>
      </c>
      <c r="E18" s="13" t="s">
        <v>78</v>
      </c>
      <c r="F18" s="14" t="s">
        <v>76</v>
      </c>
      <c r="G18" s="15" t="s">
        <v>21</v>
      </c>
      <c r="H18" s="12" t="s">
        <v>41</v>
      </c>
    </row>
    <row r="19" customFormat="false" ht="43.5" hidden="false" customHeight="true" outlineLevel="0" collapsed="false">
      <c r="A19" s="11" t="n">
        <v>45658</v>
      </c>
      <c r="B19" s="12" t="s">
        <v>16</v>
      </c>
      <c r="C19" s="12" t="s">
        <v>79</v>
      </c>
      <c r="D19" s="12" t="s">
        <v>18</v>
      </c>
      <c r="E19" s="13" t="s">
        <v>80</v>
      </c>
      <c r="F19" s="14" t="s">
        <v>81</v>
      </c>
      <c r="G19" s="15" t="s">
        <v>21</v>
      </c>
      <c r="H19" s="12" t="s">
        <v>22</v>
      </c>
    </row>
    <row r="20" customFormat="false" ht="43.5" hidden="false" customHeight="true" outlineLevel="0" collapsed="false">
      <c r="A20" s="11" t="n">
        <v>45667</v>
      </c>
      <c r="B20" s="12" t="s">
        <v>35</v>
      </c>
      <c r="C20" s="12" t="s">
        <v>30</v>
      </c>
      <c r="D20" s="12" t="s">
        <v>31</v>
      </c>
      <c r="E20" s="13" t="s">
        <v>82</v>
      </c>
      <c r="F20" s="14" t="s">
        <v>83</v>
      </c>
      <c r="G20" s="15" t="s">
        <v>21</v>
      </c>
      <c r="H20" s="12" t="s">
        <v>34</v>
      </c>
    </row>
    <row r="21" customFormat="false" ht="15" hidden="false" customHeight="true" outlineLevel="0" collapsed="false">
      <c r="A21" s="11" t="n">
        <v>45674</v>
      </c>
      <c r="B21" s="12" t="s">
        <v>29</v>
      </c>
      <c r="C21" s="12" t="s">
        <v>17</v>
      </c>
      <c r="D21" s="12" t="s">
        <v>31</v>
      </c>
      <c r="E21" s="13" t="s">
        <v>84</v>
      </c>
      <c r="F21" s="14" t="s">
        <v>54</v>
      </c>
      <c r="G21" s="15" t="s">
        <v>21</v>
      </c>
      <c r="H21" s="12" t="s">
        <v>34</v>
      </c>
    </row>
    <row r="22" customFormat="false" ht="15" hidden="false" customHeight="true" outlineLevel="0" collapsed="false">
      <c r="A22" s="11" t="n">
        <v>45751</v>
      </c>
      <c r="B22" s="12" t="s">
        <v>29</v>
      </c>
      <c r="C22" s="12" t="s">
        <v>85</v>
      </c>
      <c r="D22" s="12" t="s">
        <v>31</v>
      </c>
      <c r="E22" s="13" t="s">
        <v>86</v>
      </c>
      <c r="F22" s="14" t="s">
        <v>87</v>
      </c>
      <c r="G22" s="15" t="s">
        <v>21</v>
      </c>
      <c r="H22" s="12" t="s">
        <v>41</v>
      </c>
    </row>
    <row r="23" customFormat="false" ht="15" hidden="false" customHeight="true" outlineLevel="0" collapsed="false">
      <c r="A23" s="11" t="n">
        <v>45754</v>
      </c>
      <c r="B23" s="12" t="s">
        <v>35</v>
      </c>
      <c r="C23" s="12" t="s">
        <v>88</v>
      </c>
      <c r="D23" s="12" t="s">
        <v>31</v>
      </c>
      <c r="E23" s="13" t="s">
        <v>89</v>
      </c>
      <c r="F23" s="14" t="s">
        <v>90</v>
      </c>
      <c r="G23" s="15" t="s">
        <v>21</v>
      </c>
      <c r="H23" s="12" t="s">
        <v>22</v>
      </c>
    </row>
    <row r="24" customFormat="false" ht="15" hidden="false" customHeight="true" outlineLevel="0" collapsed="false">
      <c r="A24" s="11" t="n">
        <v>45784</v>
      </c>
      <c r="B24" s="12" t="s">
        <v>23</v>
      </c>
      <c r="C24" s="12" t="s">
        <v>24</v>
      </c>
      <c r="D24" s="12" t="s">
        <v>18</v>
      </c>
      <c r="E24" s="13" t="s">
        <v>91</v>
      </c>
      <c r="F24" s="14" t="s">
        <v>92</v>
      </c>
      <c r="G24" s="15" t="s">
        <v>93</v>
      </c>
      <c r="H24" s="12" t="s">
        <v>28</v>
      </c>
    </row>
    <row r="25" customFormat="false" ht="15" hidden="false" customHeight="true" outlineLevel="0" collapsed="false">
      <c r="A25" s="11" t="n">
        <v>45812</v>
      </c>
      <c r="B25" s="12" t="s">
        <v>23</v>
      </c>
      <c r="C25" s="12" t="s">
        <v>24</v>
      </c>
      <c r="D25" s="12" t="s">
        <v>18</v>
      </c>
      <c r="E25" s="13" t="s">
        <v>94</v>
      </c>
      <c r="F25" s="14" t="s">
        <v>95</v>
      </c>
      <c r="G25" s="15" t="s">
        <v>96</v>
      </c>
      <c r="H25" s="12" t="s">
        <v>28</v>
      </c>
    </row>
    <row r="26" customFormat="false" ht="15" hidden="false" customHeight="true" outlineLevel="0" collapsed="false">
      <c r="A26" s="11" t="n">
        <v>45839</v>
      </c>
      <c r="B26" s="12" t="s">
        <v>23</v>
      </c>
      <c r="C26" s="12" t="s">
        <v>24</v>
      </c>
      <c r="D26" s="12" t="s">
        <v>18</v>
      </c>
      <c r="E26" s="13" t="s">
        <v>97</v>
      </c>
      <c r="F26" s="14" t="s">
        <v>98</v>
      </c>
      <c r="G26" s="15" t="s">
        <v>99</v>
      </c>
      <c r="H26" s="12" t="s">
        <v>28</v>
      </c>
    </row>
    <row r="27" customFormat="false" ht="15" hidden="false" customHeight="true" outlineLevel="0" collapsed="false">
      <c r="A27" s="11" t="n">
        <v>45840</v>
      </c>
      <c r="B27" s="12" t="s">
        <v>23</v>
      </c>
      <c r="C27" s="12" t="s">
        <v>24</v>
      </c>
      <c r="D27" s="12" t="s">
        <v>31</v>
      </c>
      <c r="E27" s="13" t="s">
        <v>100</v>
      </c>
      <c r="F27" s="14" t="s">
        <v>101</v>
      </c>
      <c r="G27" s="15" t="s">
        <v>102</v>
      </c>
      <c r="H27" s="12" t="s">
        <v>34</v>
      </c>
    </row>
    <row r="28" customFormat="false" ht="15" hidden="false" customHeight="true" outlineLevel="0" collapsed="false">
      <c r="A28" s="11" t="n">
        <v>45842</v>
      </c>
      <c r="B28" s="12" t="s">
        <v>16</v>
      </c>
      <c r="C28" s="12" t="s">
        <v>103</v>
      </c>
      <c r="D28" s="12" t="s">
        <v>31</v>
      </c>
      <c r="E28" s="13" t="s">
        <v>104</v>
      </c>
      <c r="F28" s="14" t="s">
        <v>105</v>
      </c>
      <c r="G28" s="15" t="s">
        <v>21</v>
      </c>
      <c r="H28" s="12" t="s">
        <v>41</v>
      </c>
    </row>
    <row r="29" customFormat="false" ht="15" hidden="false" customHeight="true" outlineLevel="0" collapsed="false">
      <c r="A29" s="11" t="n">
        <v>45887</v>
      </c>
      <c r="B29" s="12" t="s">
        <v>42</v>
      </c>
      <c r="C29" s="12" t="s">
        <v>47</v>
      </c>
      <c r="D29" s="12" t="s">
        <v>18</v>
      </c>
      <c r="E29" s="13" t="s">
        <v>106</v>
      </c>
      <c r="F29" s="14" t="s">
        <v>107</v>
      </c>
      <c r="G29" s="15" t="s">
        <v>21</v>
      </c>
      <c r="H29" s="12" t="s">
        <v>50</v>
      </c>
    </row>
    <row r="30" customFormat="false" ht="15" hidden="false" customHeight="true" outlineLevel="0" collapsed="false">
      <c r="A30" s="11" t="n">
        <v>45919</v>
      </c>
      <c r="B30" s="12" t="s">
        <v>29</v>
      </c>
      <c r="C30" s="12" t="s">
        <v>43</v>
      </c>
      <c r="D30" s="12" t="s">
        <v>31</v>
      </c>
      <c r="E30" s="13" t="s">
        <v>108</v>
      </c>
      <c r="F30" s="14" t="s">
        <v>109</v>
      </c>
      <c r="G30" s="15" t="s">
        <v>21</v>
      </c>
      <c r="H30" s="12" t="s">
        <v>59</v>
      </c>
    </row>
    <row r="31" customFormat="false" ht="15" hidden="false" customHeight="true" outlineLevel="0" collapsed="false">
      <c r="A31" s="11" t="n">
        <v>45930</v>
      </c>
      <c r="B31" s="12" t="s">
        <v>55</v>
      </c>
      <c r="C31" s="12" t="s">
        <v>30</v>
      </c>
      <c r="D31" s="12" t="s">
        <v>56</v>
      </c>
      <c r="E31" s="13" t="s">
        <v>110</v>
      </c>
      <c r="F31" s="14" t="s">
        <v>58</v>
      </c>
      <c r="G31" s="15" t="s">
        <v>21</v>
      </c>
      <c r="H31" s="12" t="s">
        <v>59</v>
      </c>
    </row>
    <row r="32" customFormat="false" ht="15" hidden="false" customHeight="true" outlineLevel="0" collapsed="false">
      <c r="A32" s="11" t="n">
        <v>45931</v>
      </c>
      <c r="B32" s="12" t="s">
        <v>55</v>
      </c>
      <c r="C32" s="12" t="s">
        <v>30</v>
      </c>
      <c r="D32" s="12" t="s">
        <v>18</v>
      </c>
      <c r="E32" s="13" t="s">
        <v>111</v>
      </c>
      <c r="F32" s="14" t="s">
        <v>112</v>
      </c>
      <c r="G32" s="15" t="s">
        <v>21</v>
      </c>
      <c r="H32" s="12" t="s">
        <v>59</v>
      </c>
    </row>
    <row r="33" customFormat="false" ht="15" hidden="false" customHeight="true" outlineLevel="0" collapsed="false">
      <c r="A33" s="11" t="n">
        <v>45939</v>
      </c>
      <c r="B33" s="12" t="s">
        <v>62</v>
      </c>
      <c r="C33" s="12" t="s">
        <v>63</v>
      </c>
      <c r="D33" s="12" t="s">
        <v>31</v>
      </c>
      <c r="E33" s="13" t="s">
        <v>113</v>
      </c>
      <c r="F33" s="14" t="s">
        <v>114</v>
      </c>
      <c r="G33" s="15" t="s">
        <v>21</v>
      </c>
      <c r="H33" s="12" t="s">
        <v>46</v>
      </c>
    </row>
    <row r="34" customFormat="false" ht="15" hidden="false" customHeight="true" outlineLevel="0" collapsed="false">
      <c r="A34" s="11" t="n">
        <v>45945</v>
      </c>
      <c r="B34" s="12" t="s">
        <v>55</v>
      </c>
      <c r="C34" s="12" t="s">
        <v>77</v>
      </c>
      <c r="D34" s="12" t="s">
        <v>18</v>
      </c>
      <c r="E34" s="13" t="s">
        <v>115</v>
      </c>
      <c r="F34" s="14" t="s">
        <v>116</v>
      </c>
      <c r="G34" s="15" t="s">
        <v>117</v>
      </c>
      <c r="H34" s="12" t="s">
        <v>41</v>
      </c>
    </row>
    <row r="35" customFormat="false" ht="15" hidden="false" customHeight="true" outlineLevel="0" collapsed="false">
      <c r="A35" s="11" t="n">
        <v>45945</v>
      </c>
      <c r="B35" s="12" t="s">
        <v>23</v>
      </c>
      <c r="C35" s="12" t="s">
        <v>24</v>
      </c>
      <c r="D35" s="12" t="s">
        <v>18</v>
      </c>
      <c r="E35" s="13" t="s">
        <v>118</v>
      </c>
      <c r="F35" s="14" t="s">
        <v>101</v>
      </c>
      <c r="G35" s="15" t="s">
        <v>102</v>
      </c>
      <c r="H35" s="12" t="s">
        <v>28</v>
      </c>
    </row>
    <row r="36" customFormat="false" ht="15" hidden="false" customHeight="true" outlineLevel="0" collapsed="false">
      <c r="A36" s="11" t="n">
        <v>45980</v>
      </c>
      <c r="B36" s="12" t="s">
        <v>35</v>
      </c>
      <c r="C36" s="12" t="s">
        <v>66</v>
      </c>
      <c r="D36" s="12" t="s">
        <v>31</v>
      </c>
      <c r="E36" s="13" t="s">
        <v>119</v>
      </c>
      <c r="F36" s="14" t="s">
        <v>120</v>
      </c>
      <c r="G36" s="15" t="s">
        <v>21</v>
      </c>
      <c r="H36" s="12" t="s">
        <v>22</v>
      </c>
    </row>
    <row r="37" customFormat="false" ht="15" hidden="false" customHeight="true" outlineLevel="0" collapsed="false">
      <c r="A37" s="11" t="n">
        <v>45989</v>
      </c>
      <c r="B37" s="12" t="s">
        <v>29</v>
      </c>
      <c r="C37" s="12" t="s">
        <v>85</v>
      </c>
      <c r="D37" s="12" t="s">
        <v>31</v>
      </c>
      <c r="E37" s="13" t="s">
        <v>121</v>
      </c>
      <c r="F37" s="14" t="s">
        <v>122</v>
      </c>
      <c r="G37" s="15" t="s">
        <v>21</v>
      </c>
      <c r="H37" s="12" t="s">
        <v>34</v>
      </c>
    </row>
    <row r="38" customFormat="false" ht="15" hidden="false" customHeight="true" outlineLevel="0" collapsed="false">
      <c r="A38" s="11" t="n">
        <v>45991</v>
      </c>
      <c r="B38" s="12" t="s">
        <v>35</v>
      </c>
      <c r="C38" s="12" t="s">
        <v>17</v>
      </c>
      <c r="D38" s="12" t="s">
        <v>31</v>
      </c>
      <c r="E38" s="13" t="s">
        <v>123</v>
      </c>
      <c r="F38" s="14" t="s">
        <v>54</v>
      </c>
      <c r="G38" s="15" t="s">
        <v>21</v>
      </c>
      <c r="H38" s="12" t="s">
        <v>34</v>
      </c>
    </row>
    <row r="39" customFormat="false" ht="15" hidden="false" customHeight="true" outlineLevel="0" collapsed="false">
      <c r="A39" s="11" t="n">
        <v>46023</v>
      </c>
      <c r="B39" s="12" t="s">
        <v>16</v>
      </c>
      <c r="C39" s="12" t="s">
        <v>124</v>
      </c>
      <c r="D39" s="12" t="s">
        <v>18</v>
      </c>
      <c r="E39" s="13" t="s">
        <v>125</v>
      </c>
      <c r="F39" s="14" t="s">
        <v>126</v>
      </c>
      <c r="G39" s="15" t="s">
        <v>21</v>
      </c>
      <c r="H39" s="12" t="s">
        <v>22</v>
      </c>
    </row>
    <row r="40" customFormat="false" ht="15" hidden="false" customHeight="true" outlineLevel="0" collapsed="false">
      <c r="A40" s="11" t="n">
        <v>46023</v>
      </c>
      <c r="B40" s="12" t="s">
        <v>23</v>
      </c>
      <c r="C40" s="12" t="s">
        <v>77</v>
      </c>
      <c r="D40" s="12" t="s">
        <v>18</v>
      </c>
      <c r="E40" s="13" t="s">
        <v>127</v>
      </c>
      <c r="F40" s="14" t="s">
        <v>116</v>
      </c>
      <c r="G40" s="15" t="s">
        <v>117</v>
      </c>
      <c r="H40" s="12" t="s">
        <v>41</v>
      </c>
    </row>
    <row r="41" customFormat="false" ht="15" hidden="false" customHeight="true" outlineLevel="0" collapsed="false">
      <c r="A41" s="11" t="n">
        <v>46023</v>
      </c>
      <c r="B41" s="12" t="s">
        <v>23</v>
      </c>
      <c r="C41" s="12" t="s">
        <v>24</v>
      </c>
      <c r="D41" s="12" t="s">
        <v>18</v>
      </c>
      <c r="E41" s="13" t="s">
        <v>128</v>
      </c>
      <c r="F41" s="14" t="s">
        <v>129</v>
      </c>
      <c r="G41" s="15" t="s">
        <v>130</v>
      </c>
      <c r="H41" s="12" t="s">
        <v>28</v>
      </c>
    </row>
    <row r="42" customFormat="false" ht="15" hidden="false" customHeight="true" outlineLevel="0" collapsed="false">
      <c r="A42" s="11" t="n">
        <v>46023</v>
      </c>
      <c r="B42" s="12" t="s">
        <v>23</v>
      </c>
      <c r="C42" s="12" t="s">
        <v>24</v>
      </c>
      <c r="D42" s="12" t="s">
        <v>18</v>
      </c>
      <c r="E42" s="13" t="s">
        <v>131</v>
      </c>
      <c r="F42" s="14" t="s">
        <v>132</v>
      </c>
      <c r="G42" s="15" t="s">
        <v>133</v>
      </c>
      <c r="H42" s="12" t="s">
        <v>28</v>
      </c>
    </row>
    <row r="43" customFormat="false" ht="15" hidden="false" customHeight="true" outlineLevel="0" collapsed="false">
      <c r="A43" s="11" t="n">
        <v>46023</v>
      </c>
      <c r="B43" s="12" t="s">
        <v>23</v>
      </c>
      <c r="C43" s="12" t="s">
        <v>24</v>
      </c>
      <c r="D43" s="12" t="s">
        <v>18</v>
      </c>
      <c r="E43" s="13" t="s">
        <v>134</v>
      </c>
      <c r="F43" s="14" t="s">
        <v>135</v>
      </c>
      <c r="G43" s="15" t="s">
        <v>136</v>
      </c>
      <c r="H43" s="12" t="s">
        <v>28</v>
      </c>
    </row>
    <row r="44" customFormat="false" ht="15" hidden="false" customHeight="true" outlineLevel="0" collapsed="false">
      <c r="A44" s="11" t="n">
        <v>46023</v>
      </c>
      <c r="B44" s="12" t="s">
        <v>23</v>
      </c>
      <c r="C44" s="12" t="s">
        <v>24</v>
      </c>
      <c r="D44" s="12" t="s">
        <v>18</v>
      </c>
      <c r="E44" s="13" t="s">
        <v>137</v>
      </c>
      <c r="F44" s="14" t="s">
        <v>138</v>
      </c>
      <c r="G44" s="15" t="s">
        <v>102</v>
      </c>
      <c r="H44" s="12" t="s">
        <v>22</v>
      </c>
    </row>
    <row r="45" customFormat="false" ht="15" hidden="false" customHeight="true" outlineLevel="0" collapsed="false">
      <c r="A45" s="11" t="n">
        <v>46048</v>
      </c>
      <c r="B45" s="12" t="s">
        <v>35</v>
      </c>
      <c r="C45" s="12" t="s">
        <v>30</v>
      </c>
      <c r="D45" s="12" t="s">
        <v>31</v>
      </c>
      <c r="E45" s="13" t="s">
        <v>139</v>
      </c>
      <c r="F45" s="14" t="s">
        <v>140</v>
      </c>
      <c r="G45" s="15" t="s">
        <v>21</v>
      </c>
      <c r="H45" s="12" t="s">
        <v>34</v>
      </c>
    </row>
    <row r="46" customFormat="false" ht="15" hidden="false" customHeight="true" outlineLevel="0" collapsed="false">
      <c r="A46" s="11" t="n">
        <v>46049</v>
      </c>
      <c r="B46" s="12" t="s">
        <v>29</v>
      </c>
      <c r="C46" s="12" t="s">
        <v>30</v>
      </c>
      <c r="D46" s="12" t="s">
        <v>31</v>
      </c>
      <c r="E46" s="13" t="s">
        <v>141</v>
      </c>
      <c r="F46" s="14" t="s">
        <v>54</v>
      </c>
      <c r="G46" s="15" t="s">
        <v>21</v>
      </c>
      <c r="H46" s="12" t="s">
        <v>34</v>
      </c>
    </row>
    <row r="47" customFormat="false" ht="15" hidden="false" customHeight="true" outlineLevel="0" collapsed="false">
      <c r="A47" s="11" t="n">
        <v>46084</v>
      </c>
      <c r="B47" s="12" t="s">
        <v>23</v>
      </c>
      <c r="C47" s="12" t="s">
        <v>24</v>
      </c>
      <c r="D47" s="12" t="s">
        <v>31</v>
      </c>
      <c r="E47" s="13" t="s">
        <v>142</v>
      </c>
      <c r="F47" s="14" t="s">
        <v>143</v>
      </c>
      <c r="G47" s="15" t="s">
        <v>144</v>
      </c>
      <c r="H47" s="12" t="s">
        <v>34</v>
      </c>
    </row>
    <row r="48" customFormat="false" ht="15" hidden="false" customHeight="true" outlineLevel="0" collapsed="false">
      <c r="A48" s="11" t="n">
        <v>46114</v>
      </c>
      <c r="B48" s="12" t="s">
        <v>29</v>
      </c>
      <c r="C48" s="12" t="s">
        <v>85</v>
      </c>
      <c r="D48" s="12" t="s">
        <v>31</v>
      </c>
      <c r="E48" s="13" t="s">
        <v>145</v>
      </c>
      <c r="F48" s="14" t="s">
        <v>146</v>
      </c>
      <c r="G48" s="15" t="s">
        <v>21</v>
      </c>
      <c r="H48" s="12" t="s">
        <v>34</v>
      </c>
    </row>
    <row r="49" customFormat="false" ht="15" hidden="false" customHeight="true" outlineLevel="0" collapsed="false">
      <c r="A49" s="11" t="n">
        <v>46118</v>
      </c>
      <c r="B49" s="12" t="s">
        <v>35</v>
      </c>
      <c r="C49" s="12" t="s">
        <v>30</v>
      </c>
      <c r="D49" s="12" t="s">
        <v>31</v>
      </c>
      <c r="E49" s="13" t="s">
        <v>147</v>
      </c>
      <c r="F49" s="14" t="s">
        <v>148</v>
      </c>
      <c r="G49" s="15" t="s">
        <v>21</v>
      </c>
      <c r="H49" s="12" t="s">
        <v>34</v>
      </c>
    </row>
    <row r="50" customFormat="false" ht="15" hidden="false" customHeight="true" outlineLevel="0" collapsed="false">
      <c r="A50" s="11" t="n">
        <v>46169</v>
      </c>
      <c r="B50" s="12" t="s">
        <v>42</v>
      </c>
      <c r="C50" s="12" t="s">
        <v>43</v>
      </c>
      <c r="D50" s="12" t="s">
        <v>31</v>
      </c>
      <c r="E50" s="13" t="s">
        <v>149</v>
      </c>
      <c r="F50" s="14" t="s">
        <v>150</v>
      </c>
      <c r="G50" s="15" t="s">
        <v>21</v>
      </c>
      <c r="H50" s="12" t="s">
        <v>46</v>
      </c>
    </row>
    <row r="51" customFormat="false" ht="15" hidden="false" customHeight="true" outlineLevel="0" collapsed="false">
      <c r="A51" s="11"/>
      <c r="B51" s="12"/>
      <c r="C51" s="12"/>
      <c r="D51" s="12"/>
      <c r="E51" s="13"/>
      <c r="F51" s="14"/>
      <c r="G51" s="15"/>
    </row>
    <row r="52" customFormat="false" ht="15" hidden="false" customHeight="true" outlineLevel="0" collapsed="false">
      <c r="A52" s="11"/>
      <c r="B52" s="12"/>
      <c r="C52" s="12"/>
      <c r="D52" s="12"/>
      <c r="E52" s="13"/>
      <c r="F52" s="14"/>
      <c r="G52" s="15"/>
    </row>
    <row r="53" customFormat="false" ht="15" hidden="false" customHeight="true" outlineLevel="0" collapsed="false">
      <c r="A53" s="11"/>
      <c r="B53" s="12"/>
      <c r="C53" s="12"/>
      <c r="D53" s="12"/>
      <c r="E53" s="13"/>
      <c r="F53" s="14"/>
      <c r="G53" s="15"/>
    </row>
    <row r="54" customFormat="false" ht="15" hidden="false" customHeight="true" outlineLevel="0" collapsed="false">
      <c r="A54" s="16"/>
      <c r="B54" s="16"/>
      <c r="C54" s="16"/>
      <c r="D54" s="16"/>
      <c r="E54" s="17"/>
      <c r="F54" s="18"/>
    </row>
    <row r="55" customFormat="false" ht="15" hidden="false" customHeight="true" outlineLevel="0" collapsed="false">
      <c r="A55" s="16"/>
      <c r="B55" s="16"/>
      <c r="C55" s="16"/>
      <c r="D55" s="16"/>
      <c r="E55" s="17"/>
      <c r="F55" s="18"/>
    </row>
    <row r="56" customFormat="false" ht="15" hidden="false" customHeight="true" outlineLevel="0" collapsed="false">
      <c r="A56" s="16"/>
      <c r="B56" s="16"/>
      <c r="C56" s="16"/>
      <c r="D56" s="16"/>
      <c r="E56" s="17"/>
      <c r="F56" s="18"/>
    </row>
    <row r="57" customFormat="false" ht="15" hidden="false" customHeight="true" outlineLevel="0" collapsed="false">
      <c r="A57" s="16"/>
      <c r="B57" s="16"/>
      <c r="C57" s="16"/>
      <c r="D57" s="16"/>
      <c r="E57" s="17"/>
      <c r="F57" s="18"/>
    </row>
    <row r="58" customFormat="false" ht="15" hidden="false" customHeight="true" outlineLevel="0" collapsed="false">
      <c r="A58" s="16"/>
      <c r="B58" s="16"/>
      <c r="C58" s="16"/>
      <c r="D58" s="16"/>
      <c r="E58" s="17"/>
      <c r="F58" s="18"/>
    </row>
    <row r="59" customFormat="false" ht="15" hidden="false" customHeight="true" outlineLevel="0" collapsed="false">
      <c r="A59" s="16"/>
      <c r="B59" s="16"/>
      <c r="C59" s="16"/>
      <c r="D59" s="16"/>
      <c r="E59" s="17"/>
      <c r="F59" s="18"/>
    </row>
    <row r="60" customFormat="false" ht="15" hidden="false" customHeight="true" outlineLevel="0" collapsed="false">
      <c r="A60" s="16"/>
      <c r="B60" s="16"/>
      <c r="C60" s="16"/>
      <c r="D60" s="16"/>
      <c r="E60" s="17"/>
      <c r="F60" s="18"/>
    </row>
    <row r="61" customFormat="false" ht="15" hidden="false" customHeight="true" outlineLevel="0" collapsed="false">
      <c r="A61" s="16"/>
      <c r="B61" s="16"/>
      <c r="C61" s="16"/>
      <c r="D61" s="16"/>
      <c r="E61" s="17"/>
      <c r="F61" s="18"/>
    </row>
    <row r="62" customFormat="false" ht="15" hidden="false" customHeight="true" outlineLevel="0" collapsed="false">
      <c r="A62" s="16"/>
      <c r="B62" s="16"/>
      <c r="C62" s="16"/>
      <c r="D62" s="16"/>
      <c r="E62" s="17"/>
      <c r="F62" s="18"/>
    </row>
    <row r="63" customFormat="false" ht="15" hidden="false" customHeight="true" outlineLevel="0" collapsed="false">
      <c r="A63" s="16"/>
      <c r="B63" s="16"/>
      <c r="C63" s="16"/>
      <c r="D63" s="16"/>
      <c r="E63" s="17"/>
      <c r="F63" s="18"/>
    </row>
    <row r="64" customFormat="false" ht="15" hidden="false" customHeight="true" outlineLevel="0" collapsed="false">
      <c r="A64" s="16"/>
      <c r="B64" s="16"/>
      <c r="C64" s="16"/>
      <c r="D64" s="16"/>
      <c r="E64" s="17"/>
      <c r="F64" s="18"/>
    </row>
    <row r="65" customFormat="false" ht="15" hidden="false" customHeight="true" outlineLevel="0" collapsed="false">
      <c r="A65" s="16"/>
      <c r="B65" s="16"/>
      <c r="C65" s="16"/>
      <c r="D65" s="16"/>
      <c r="E65" s="17"/>
      <c r="F65" s="18"/>
    </row>
    <row r="66" customFormat="false" ht="15" hidden="false" customHeight="true" outlineLevel="0" collapsed="false">
      <c r="A66" s="16"/>
      <c r="B66" s="16"/>
      <c r="C66" s="16"/>
      <c r="D66" s="16"/>
      <c r="E66" s="17"/>
      <c r="F66" s="18"/>
    </row>
    <row r="67" customFormat="false" ht="15" hidden="false" customHeight="true" outlineLevel="0" collapsed="false">
      <c r="A67" s="16"/>
      <c r="B67" s="16"/>
      <c r="C67" s="16"/>
      <c r="D67" s="16"/>
      <c r="E67" s="17"/>
      <c r="F67" s="18"/>
    </row>
    <row r="68" customFormat="false" ht="15" hidden="false" customHeight="true" outlineLevel="0" collapsed="false">
      <c r="A68" s="16"/>
      <c r="B68" s="16"/>
      <c r="C68" s="16"/>
      <c r="D68" s="16"/>
      <c r="E68" s="17"/>
      <c r="F68" s="18"/>
    </row>
    <row r="69" customFormat="false" ht="15" hidden="false" customHeight="true" outlineLevel="0" collapsed="false">
      <c r="A69" s="16"/>
      <c r="B69" s="16"/>
      <c r="C69" s="16"/>
      <c r="D69" s="16"/>
      <c r="E69" s="17"/>
      <c r="F69" s="18"/>
    </row>
    <row r="70" customFormat="false" ht="15" hidden="false" customHeight="true" outlineLevel="0" collapsed="false">
      <c r="A70" s="16"/>
      <c r="B70" s="16"/>
      <c r="C70" s="16"/>
      <c r="D70" s="16"/>
      <c r="E70" s="17"/>
      <c r="F70" s="18"/>
    </row>
    <row r="71" customFormat="false" ht="15" hidden="false" customHeight="true" outlineLevel="0" collapsed="false">
      <c r="A71" s="16"/>
      <c r="B71" s="16"/>
      <c r="C71" s="16"/>
      <c r="D71" s="16"/>
      <c r="E71" s="17"/>
      <c r="F71" s="18"/>
    </row>
    <row r="72" customFormat="false" ht="15" hidden="false" customHeight="true" outlineLevel="0" collapsed="false">
      <c r="A72" s="16"/>
      <c r="B72" s="16"/>
      <c r="C72" s="16"/>
      <c r="D72" s="16"/>
      <c r="E72" s="17"/>
      <c r="F72" s="18"/>
    </row>
    <row r="73" customFormat="false" ht="15" hidden="false" customHeight="true" outlineLevel="0" collapsed="false">
      <c r="A73" s="16"/>
      <c r="B73" s="16"/>
      <c r="C73" s="16"/>
      <c r="D73" s="16"/>
      <c r="E73" s="17"/>
      <c r="F73" s="18"/>
    </row>
    <row r="74" customFormat="false" ht="15" hidden="false" customHeight="true" outlineLevel="0" collapsed="false">
      <c r="A74" s="16"/>
      <c r="B74" s="16"/>
      <c r="C74" s="16"/>
      <c r="D74" s="16"/>
      <c r="E74" s="17"/>
      <c r="F74" s="18"/>
    </row>
    <row r="75" customFormat="false" ht="15" hidden="false" customHeight="true" outlineLevel="0" collapsed="false">
      <c r="A75" s="16"/>
      <c r="B75" s="16"/>
      <c r="C75" s="16"/>
      <c r="D75" s="16"/>
      <c r="E75" s="17"/>
      <c r="F75" s="18"/>
    </row>
    <row r="76" customFormat="false" ht="15" hidden="false" customHeight="true" outlineLevel="0" collapsed="false">
      <c r="A76" s="16"/>
      <c r="B76" s="16"/>
      <c r="C76" s="16"/>
      <c r="D76" s="16"/>
      <c r="E76" s="17"/>
      <c r="F76" s="18"/>
    </row>
    <row r="77" customFormat="false" ht="15" hidden="false" customHeight="true" outlineLevel="0" collapsed="false">
      <c r="A77" s="16"/>
      <c r="B77" s="16"/>
      <c r="C77" s="16"/>
      <c r="D77" s="16"/>
      <c r="E77" s="17"/>
      <c r="F77" s="18"/>
    </row>
    <row r="78" customFormat="false" ht="15" hidden="false" customHeight="true" outlineLevel="0" collapsed="false">
      <c r="A78" s="16"/>
      <c r="B78" s="16"/>
      <c r="C78" s="16"/>
      <c r="D78" s="16"/>
      <c r="E78" s="17"/>
      <c r="F78" s="18"/>
    </row>
    <row r="79" customFormat="false" ht="15" hidden="false" customHeight="true" outlineLevel="0" collapsed="false">
      <c r="A79" s="16"/>
      <c r="B79" s="16"/>
      <c r="C79" s="16"/>
      <c r="D79" s="16"/>
      <c r="E79" s="17"/>
      <c r="F79" s="18"/>
    </row>
    <row r="80" customFormat="false" ht="15" hidden="false" customHeight="true" outlineLevel="0" collapsed="false">
      <c r="A80" s="16"/>
      <c r="B80" s="16"/>
      <c r="C80" s="16"/>
      <c r="D80" s="16"/>
      <c r="E80" s="17"/>
      <c r="F80" s="18"/>
    </row>
    <row r="81" customFormat="false" ht="15" hidden="false" customHeight="true" outlineLevel="0" collapsed="false">
      <c r="A81" s="16"/>
      <c r="B81" s="16"/>
      <c r="C81" s="16"/>
      <c r="D81" s="16"/>
      <c r="E81" s="17"/>
      <c r="F81" s="18"/>
    </row>
    <row r="82" customFormat="false" ht="15" hidden="false" customHeight="true" outlineLevel="0" collapsed="false">
      <c r="A82" s="16"/>
      <c r="B82" s="16"/>
      <c r="C82" s="16"/>
      <c r="D82" s="16"/>
      <c r="E82" s="17"/>
      <c r="F82" s="18"/>
    </row>
    <row r="83" customFormat="false" ht="15" hidden="false" customHeight="true" outlineLevel="0" collapsed="false">
      <c r="A83" s="16"/>
      <c r="B83" s="16"/>
      <c r="C83" s="16"/>
      <c r="D83" s="16"/>
      <c r="E83" s="17"/>
      <c r="F83" s="18"/>
    </row>
    <row r="84" customFormat="false" ht="15" hidden="false" customHeight="true" outlineLevel="0" collapsed="false">
      <c r="A84" s="16"/>
      <c r="B84" s="16"/>
      <c r="C84" s="16"/>
      <c r="D84" s="16"/>
      <c r="E84" s="17"/>
      <c r="F84" s="18"/>
    </row>
    <row r="85" customFormat="false" ht="15" hidden="false" customHeight="true" outlineLevel="0" collapsed="false">
      <c r="A85" s="16"/>
      <c r="B85" s="16"/>
      <c r="C85" s="16"/>
      <c r="D85" s="16"/>
      <c r="E85" s="17"/>
      <c r="F85" s="18"/>
    </row>
    <row r="86" customFormat="false" ht="15" hidden="false" customHeight="true" outlineLevel="0" collapsed="false">
      <c r="A86" s="16"/>
      <c r="B86" s="16"/>
      <c r="C86" s="16"/>
      <c r="D86" s="16"/>
      <c r="E86" s="17"/>
      <c r="F86" s="18"/>
    </row>
    <row r="87" customFormat="false" ht="15" hidden="false" customHeight="true" outlineLevel="0" collapsed="false">
      <c r="A87" s="16"/>
      <c r="B87" s="16"/>
      <c r="C87" s="16"/>
      <c r="D87" s="16"/>
      <c r="E87" s="17"/>
      <c r="F87" s="18"/>
    </row>
    <row r="88" customFormat="false" ht="15" hidden="false" customHeight="true" outlineLevel="0" collapsed="false">
      <c r="A88" s="16"/>
      <c r="B88" s="16"/>
      <c r="C88" s="16"/>
      <c r="D88" s="16"/>
      <c r="E88" s="17"/>
      <c r="F88" s="18"/>
    </row>
    <row r="89" customFormat="false" ht="15" hidden="false" customHeight="true" outlineLevel="0" collapsed="false">
      <c r="A89" s="16"/>
      <c r="B89" s="16"/>
      <c r="C89" s="16"/>
      <c r="D89" s="16"/>
      <c r="E89" s="17"/>
      <c r="F89" s="18"/>
    </row>
    <row r="90" customFormat="false" ht="15" hidden="false" customHeight="true" outlineLevel="0" collapsed="false">
      <c r="A90" s="16"/>
      <c r="B90" s="16"/>
      <c r="C90" s="16"/>
      <c r="D90" s="16"/>
      <c r="E90" s="17"/>
      <c r="F90" s="18"/>
    </row>
    <row r="91" customFormat="false" ht="15" hidden="false" customHeight="true" outlineLevel="0" collapsed="false">
      <c r="A91" s="16"/>
      <c r="B91" s="16"/>
      <c r="C91" s="16"/>
      <c r="D91" s="16"/>
      <c r="E91" s="17"/>
      <c r="F91" s="18"/>
    </row>
    <row r="92" customFormat="false" ht="15" hidden="false" customHeight="true" outlineLevel="0" collapsed="false">
      <c r="A92" s="16"/>
      <c r="B92" s="16"/>
      <c r="C92" s="16"/>
      <c r="D92" s="16"/>
      <c r="E92" s="17"/>
      <c r="F92" s="18"/>
    </row>
    <row r="93" customFormat="false" ht="15" hidden="false" customHeight="true" outlineLevel="0" collapsed="false">
      <c r="A93" s="16"/>
      <c r="B93" s="16"/>
      <c r="C93" s="16"/>
      <c r="D93" s="16"/>
      <c r="E93" s="17"/>
      <c r="F93" s="18"/>
    </row>
    <row r="94" customFormat="false" ht="15" hidden="false" customHeight="true" outlineLevel="0" collapsed="false">
      <c r="A94" s="16"/>
      <c r="B94" s="16"/>
      <c r="C94" s="16"/>
      <c r="D94" s="16"/>
      <c r="E94" s="17"/>
      <c r="F94" s="18"/>
    </row>
    <row r="95" customFormat="false" ht="15" hidden="false" customHeight="true" outlineLevel="0" collapsed="false">
      <c r="A95" s="16"/>
      <c r="B95" s="16"/>
      <c r="C95" s="16"/>
      <c r="D95" s="16"/>
      <c r="E95" s="17"/>
      <c r="F95" s="18"/>
    </row>
    <row r="96" customFormat="false" ht="15" hidden="false" customHeight="true" outlineLevel="0" collapsed="false">
      <c r="A96" s="16"/>
      <c r="B96" s="16"/>
      <c r="C96" s="16"/>
      <c r="D96" s="16"/>
      <c r="E96" s="17"/>
      <c r="F96" s="18"/>
    </row>
    <row r="97" customFormat="false" ht="15" hidden="false" customHeight="true" outlineLevel="0" collapsed="false">
      <c r="A97" s="16"/>
      <c r="B97" s="16"/>
      <c r="C97" s="16"/>
      <c r="D97" s="16"/>
      <c r="E97" s="17"/>
      <c r="F97" s="18"/>
    </row>
    <row r="98" customFormat="false" ht="15" hidden="false" customHeight="true" outlineLevel="0" collapsed="false">
      <c r="A98" s="16"/>
      <c r="B98" s="16"/>
      <c r="C98" s="16"/>
      <c r="D98" s="16"/>
      <c r="E98" s="17"/>
      <c r="F98" s="18"/>
    </row>
    <row r="99" customFormat="false" ht="15" hidden="false" customHeight="true" outlineLevel="0" collapsed="false">
      <c r="A99" s="16"/>
      <c r="B99" s="16"/>
      <c r="C99" s="16"/>
      <c r="D99" s="16"/>
      <c r="E99" s="17"/>
      <c r="F99" s="18"/>
    </row>
    <row r="100" customFormat="false" ht="15" hidden="false" customHeight="true" outlineLevel="0" collapsed="false">
      <c r="A100" s="16"/>
      <c r="B100" s="16"/>
      <c r="C100" s="16"/>
      <c r="D100" s="16"/>
      <c r="E100" s="17"/>
      <c r="F100" s="18"/>
    </row>
    <row r="101" customFormat="false" ht="15" hidden="false" customHeight="true" outlineLevel="0" collapsed="false">
      <c r="A101" s="16"/>
      <c r="B101" s="16"/>
      <c r="C101" s="16"/>
      <c r="D101" s="16"/>
      <c r="E101" s="17"/>
      <c r="F101" s="18"/>
    </row>
    <row r="102" customFormat="false" ht="15" hidden="false" customHeight="true" outlineLevel="0" collapsed="false">
      <c r="A102" s="16"/>
      <c r="B102" s="16"/>
      <c r="C102" s="16"/>
      <c r="D102" s="16"/>
      <c r="E102" s="17"/>
      <c r="F102" s="18"/>
    </row>
    <row r="103" customFormat="false" ht="15" hidden="false" customHeight="true" outlineLevel="0" collapsed="false">
      <c r="A103" s="16"/>
      <c r="B103" s="16"/>
      <c r="C103" s="16"/>
      <c r="D103" s="16"/>
      <c r="E103" s="17"/>
      <c r="F103" s="18"/>
    </row>
    <row r="104" customFormat="false" ht="15" hidden="false" customHeight="true" outlineLevel="0" collapsed="false">
      <c r="A104" s="16"/>
      <c r="B104" s="16"/>
      <c r="C104" s="16"/>
      <c r="D104" s="16"/>
      <c r="E104" s="17"/>
      <c r="F104" s="18"/>
    </row>
    <row r="105" customFormat="false" ht="15" hidden="false" customHeight="true" outlineLevel="0" collapsed="false">
      <c r="A105" s="16"/>
      <c r="B105" s="16"/>
      <c r="C105" s="16"/>
      <c r="D105" s="16"/>
      <c r="E105" s="17"/>
      <c r="F105" s="18"/>
    </row>
    <row r="106" customFormat="false" ht="15" hidden="false" customHeight="true" outlineLevel="0" collapsed="false">
      <c r="A106" s="16"/>
      <c r="B106" s="16"/>
      <c r="C106" s="16"/>
      <c r="D106" s="16"/>
      <c r="E106" s="17"/>
      <c r="F106" s="18"/>
    </row>
    <row r="107" customFormat="false" ht="15" hidden="false" customHeight="true" outlineLevel="0" collapsed="false">
      <c r="A107" s="16"/>
      <c r="B107" s="16"/>
      <c r="C107" s="16"/>
      <c r="D107" s="16"/>
      <c r="E107" s="17"/>
      <c r="F107" s="18"/>
    </row>
    <row r="108" customFormat="false" ht="15" hidden="false" customHeight="true" outlineLevel="0" collapsed="false">
      <c r="A108" s="16"/>
      <c r="B108" s="16"/>
      <c r="C108" s="16"/>
      <c r="D108" s="16"/>
      <c r="E108" s="17"/>
      <c r="F108" s="18"/>
    </row>
    <row r="109" customFormat="false" ht="15" hidden="false" customHeight="true" outlineLevel="0" collapsed="false">
      <c r="A109" s="16"/>
      <c r="B109" s="16"/>
      <c r="C109" s="16"/>
      <c r="D109" s="16"/>
      <c r="E109" s="17"/>
      <c r="F109" s="18"/>
    </row>
    <row r="110" customFormat="false" ht="15" hidden="false" customHeight="true" outlineLevel="0" collapsed="false">
      <c r="A110" s="16"/>
      <c r="B110" s="16"/>
      <c r="C110" s="16"/>
      <c r="D110" s="16"/>
      <c r="E110" s="17"/>
      <c r="F110" s="18"/>
    </row>
    <row r="111" customFormat="false" ht="15" hidden="false" customHeight="true" outlineLevel="0" collapsed="false">
      <c r="A111" s="16"/>
      <c r="B111" s="16"/>
      <c r="C111" s="16"/>
      <c r="D111" s="16"/>
      <c r="E111" s="17"/>
      <c r="F111" s="18"/>
    </row>
    <row r="112" customFormat="false" ht="15" hidden="false" customHeight="true" outlineLevel="0" collapsed="false">
      <c r="A112" s="16"/>
      <c r="B112" s="16"/>
      <c r="C112" s="16"/>
      <c r="D112" s="16"/>
      <c r="E112" s="17"/>
      <c r="F112" s="18"/>
    </row>
    <row r="113" customFormat="false" ht="15" hidden="false" customHeight="true" outlineLevel="0" collapsed="false">
      <c r="A113" s="16"/>
      <c r="B113" s="16"/>
      <c r="C113" s="16"/>
      <c r="D113" s="16"/>
      <c r="E113" s="17"/>
      <c r="F113" s="18"/>
    </row>
    <row r="114" customFormat="false" ht="15" hidden="false" customHeight="true" outlineLevel="0" collapsed="false">
      <c r="A114" s="16"/>
      <c r="B114" s="16"/>
      <c r="C114" s="16"/>
      <c r="D114" s="16"/>
      <c r="E114" s="17"/>
      <c r="F114" s="18"/>
    </row>
    <row r="115" customFormat="false" ht="15" hidden="false" customHeight="true" outlineLevel="0" collapsed="false">
      <c r="A115" s="16"/>
      <c r="B115" s="16"/>
      <c r="C115" s="16"/>
      <c r="D115" s="16"/>
      <c r="E115" s="17"/>
      <c r="F115" s="18"/>
    </row>
    <row r="116" customFormat="false" ht="15" hidden="false" customHeight="true" outlineLevel="0" collapsed="false">
      <c r="A116" s="16"/>
      <c r="B116" s="16"/>
      <c r="C116" s="16"/>
      <c r="D116" s="16"/>
      <c r="E116" s="17"/>
      <c r="F116" s="18"/>
    </row>
    <row r="117" customFormat="false" ht="15" hidden="false" customHeight="true" outlineLevel="0" collapsed="false">
      <c r="A117" s="16"/>
      <c r="B117" s="16"/>
      <c r="C117" s="16"/>
      <c r="D117" s="16"/>
      <c r="E117" s="17"/>
      <c r="F117" s="18"/>
    </row>
    <row r="118" customFormat="false" ht="15" hidden="false" customHeight="true" outlineLevel="0" collapsed="false">
      <c r="A118" s="16"/>
      <c r="B118" s="16"/>
      <c r="C118" s="16"/>
      <c r="D118" s="16"/>
      <c r="E118" s="17"/>
      <c r="F118" s="18"/>
    </row>
    <row r="119" customFormat="false" ht="15" hidden="false" customHeight="true" outlineLevel="0" collapsed="false">
      <c r="A119" s="16"/>
      <c r="B119" s="16"/>
      <c r="C119" s="16"/>
      <c r="D119" s="16"/>
      <c r="E119" s="17"/>
      <c r="F119" s="18"/>
    </row>
    <row r="120" customFormat="false" ht="15" hidden="false" customHeight="true" outlineLevel="0" collapsed="false">
      <c r="A120" s="16"/>
      <c r="B120" s="16"/>
      <c r="C120" s="16"/>
      <c r="D120" s="16"/>
      <c r="E120" s="17"/>
      <c r="F120" s="18"/>
    </row>
    <row r="121" customFormat="false" ht="15" hidden="false" customHeight="true" outlineLevel="0" collapsed="false">
      <c r="A121" s="16"/>
      <c r="B121" s="16"/>
      <c r="C121" s="16"/>
      <c r="D121" s="16"/>
      <c r="E121" s="17"/>
      <c r="F121" s="18"/>
    </row>
    <row r="122" customFormat="false" ht="15" hidden="false" customHeight="true" outlineLevel="0" collapsed="false">
      <c r="A122" s="16"/>
      <c r="B122" s="16"/>
      <c r="C122" s="16"/>
      <c r="D122" s="16"/>
      <c r="E122" s="17"/>
      <c r="F122" s="18"/>
    </row>
    <row r="123" customFormat="false" ht="15" hidden="false" customHeight="true" outlineLevel="0" collapsed="false">
      <c r="A123" s="16"/>
      <c r="B123" s="16"/>
      <c r="C123" s="16"/>
      <c r="D123" s="16"/>
      <c r="E123" s="17"/>
      <c r="F123" s="18"/>
    </row>
    <row r="124" customFormat="false" ht="15" hidden="false" customHeight="true" outlineLevel="0" collapsed="false">
      <c r="A124" s="16"/>
      <c r="B124" s="16"/>
      <c r="C124" s="16"/>
      <c r="D124" s="16"/>
      <c r="E124" s="17"/>
      <c r="F124" s="18"/>
    </row>
    <row r="125" customFormat="false" ht="15" hidden="false" customHeight="true" outlineLevel="0" collapsed="false">
      <c r="A125" s="16"/>
      <c r="B125" s="16"/>
      <c r="C125" s="16"/>
      <c r="D125" s="16"/>
      <c r="E125" s="17"/>
      <c r="F125" s="18"/>
    </row>
    <row r="126" customFormat="false" ht="15" hidden="false" customHeight="true" outlineLevel="0" collapsed="false">
      <c r="A126" s="16"/>
      <c r="B126" s="16"/>
      <c r="C126" s="16"/>
      <c r="D126" s="16"/>
      <c r="E126" s="17"/>
      <c r="F126" s="18"/>
    </row>
    <row r="127" customFormat="false" ht="15" hidden="false" customHeight="true" outlineLevel="0" collapsed="false">
      <c r="A127" s="16"/>
      <c r="B127" s="16"/>
      <c r="C127" s="16"/>
      <c r="D127" s="16"/>
      <c r="E127" s="17"/>
      <c r="F127" s="18"/>
    </row>
    <row r="128" customFormat="false" ht="15" hidden="false" customHeight="true" outlineLevel="0" collapsed="false">
      <c r="A128" s="16"/>
      <c r="B128" s="16"/>
      <c r="C128" s="16"/>
      <c r="D128" s="16"/>
      <c r="E128" s="17"/>
      <c r="F128" s="18"/>
    </row>
    <row r="129" customFormat="false" ht="15" hidden="false" customHeight="true" outlineLevel="0" collapsed="false">
      <c r="A129" s="16"/>
      <c r="B129" s="16"/>
      <c r="C129" s="16"/>
      <c r="D129" s="16"/>
      <c r="E129" s="17"/>
      <c r="F129" s="18"/>
    </row>
    <row r="130" customFormat="false" ht="15" hidden="false" customHeight="true" outlineLevel="0" collapsed="false">
      <c r="A130" s="16"/>
      <c r="B130" s="16"/>
      <c r="C130" s="16"/>
      <c r="D130" s="16"/>
      <c r="E130" s="17"/>
      <c r="F130" s="18"/>
    </row>
    <row r="131" customFormat="false" ht="15" hidden="false" customHeight="true" outlineLevel="0" collapsed="false">
      <c r="A131" s="16"/>
      <c r="B131" s="16"/>
      <c r="C131" s="16"/>
      <c r="D131" s="16"/>
      <c r="E131" s="17"/>
      <c r="F131" s="18"/>
    </row>
    <row r="132" customFormat="false" ht="15" hidden="false" customHeight="true" outlineLevel="0" collapsed="false">
      <c r="A132" s="16"/>
      <c r="B132" s="16"/>
      <c r="C132" s="16"/>
      <c r="D132" s="16"/>
      <c r="E132" s="17"/>
      <c r="F132" s="18"/>
    </row>
    <row r="133" customFormat="false" ht="15" hidden="false" customHeight="true" outlineLevel="0" collapsed="false">
      <c r="A133" s="16"/>
      <c r="B133" s="16"/>
      <c r="C133" s="16"/>
      <c r="D133" s="16"/>
      <c r="E133" s="17"/>
      <c r="F133" s="18"/>
    </row>
    <row r="134" customFormat="false" ht="15" hidden="false" customHeight="true" outlineLevel="0" collapsed="false">
      <c r="A134" s="16"/>
      <c r="B134" s="16"/>
      <c r="C134" s="16"/>
      <c r="D134" s="16"/>
      <c r="E134" s="17"/>
      <c r="F134" s="18"/>
    </row>
    <row r="135" customFormat="false" ht="15" hidden="false" customHeight="true" outlineLevel="0" collapsed="false">
      <c r="A135" s="16"/>
      <c r="B135" s="16"/>
      <c r="C135" s="16"/>
      <c r="D135" s="16"/>
      <c r="E135" s="17"/>
      <c r="F135" s="18"/>
    </row>
    <row r="136" customFormat="false" ht="15" hidden="false" customHeight="true" outlineLevel="0" collapsed="false">
      <c r="A136" s="16"/>
      <c r="B136" s="16"/>
      <c r="C136" s="16"/>
      <c r="D136" s="16"/>
      <c r="E136" s="17"/>
      <c r="F136" s="18"/>
    </row>
    <row r="137" customFormat="false" ht="15" hidden="false" customHeight="true" outlineLevel="0" collapsed="false">
      <c r="A137" s="16"/>
      <c r="B137" s="16"/>
      <c r="C137" s="16"/>
      <c r="D137" s="16"/>
      <c r="E137" s="17"/>
      <c r="F137" s="18"/>
    </row>
    <row r="138" customFormat="false" ht="15" hidden="false" customHeight="true" outlineLevel="0" collapsed="false">
      <c r="A138" s="16"/>
      <c r="B138" s="16"/>
      <c r="C138" s="16"/>
      <c r="D138" s="16"/>
      <c r="E138" s="17"/>
      <c r="F138" s="18"/>
    </row>
    <row r="139" customFormat="false" ht="15" hidden="false" customHeight="true" outlineLevel="0" collapsed="false">
      <c r="A139" s="16"/>
      <c r="B139" s="16"/>
      <c r="C139" s="16"/>
      <c r="D139" s="16"/>
      <c r="E139" s="17"/>
      <c r="F139" s="18"/>
    </row>
    <row r="140" customFormat="false" ht="15" hidden="false" customHeight="true" outlineLevel="0" collapsed="false">
      <c r="A140" s="16"/>
      <c r="B140" s="16"/>
      <c r="C140" s="16"/>
      <c r="D140" s="16"/>
      <c r="E140" s="17"/>
      <c r="F140" s="18"/>
    </row>
    <row r="141" customFormat="false" ht="15" hidden="false" customHeight="true" outlineLevel="0" collapsed="false">
      <c r="A141" s="16"/>
      <c r="B141" s="16"/>
      <c r="C141" s="16"/>
      <c r="D141" s="16"/>
      <c r="E141" s="17"/>
      <c r="F141" s="18"/>
    </row>
    <row r="142" customFormat="false" ht="15" hidden="false" customHeight="true" outlineLevel="0" collapsed="false">
      <c r="A142" s="16"/>
      <c r="B142" s="16"/>
      <c r="C142" s="16"/>
      <c r="D142" s="16"/>
      <c r="E142" s="17"/>
      <c r="F142" s="18"/>
    </row>
    <row r="143" customFormat="false" ht="15" hidden="false" customHeight="true" outlineLevel="0" collapsed="false">
      <c r="A143" s="16"/>
      <c r="B143" s="16"/>
      <c r="C143" s="16"/>
      <c r="D143" s="16"/>
      <c r="E143" s="17"/>
      <c r="F143" s="18"/>
    </row>
    <row r="144" customFormat="false" ht="15" hidden="false" customHeight="true" outlineLevel="0" collapsed="false">
      <c r="A144" s="16"/>
      <c r="B144" s="16"/>
      <c r="C144" s="16"/>
      <c r="D144" s="16"/>
      <c r="E144" s="17"/>
      <c r="F144" s="18"/>
    </row>
    <row r="145" customFormat="false" ht="15" hidden="false" customHeight="true" outlineLevel="0" collapsed="false">
      <c r="A145" s="16"/>
      <c r="B145" s="16"/>
      <c r="C145" s="16"/>
      <c r="D145" s="16"/>
      <c r="E145" s="17"/>
      <c r="F145" s="18"/>
    </row>
    <row r="146" customFormat="false" ht="15" hidden="false" customHeight="true" outlineLevel="0" collapsed="false">
      <c r="A146" s="16"/>
      <c r="B146" s="16"/>
      <c r="C146" s="16"/>
      <c r="D146" s="16"/>
      <c r="E146" s="17"/>
      <c r="F146" s="18"/>
    </row>
    <row r="147" customFormat="false" ht="15" hidden="false" customHeight="true" outlineLevel="0" collapsed="false">
      <c r="A147" s="16"/>
      <c r="B147" s="16"/>
      <c r="C147" s="16"/>
      <c r="D147" s="16"/>
      <c r="E147" s="17"/>
      <c r="F147" s="18"/>
    </row>
    <row r="148" customFormat="false" ht="15" hidden="false" customHeight="true" outlineLevel="0" collapsed="false">
      <c r="A148" s="16"/>
      <c r="B148" s="16"/>
      <c r="C148" s="16"/>
      <c r="D148" s="16"/>
      <c r="E148" s="17"/>
      <c r="F148" s="18"/>
    </row>
    <row r="149" customFormat="false" ht="15" hidden="false" customHeight="true" outlineLevel="0" collapsed="false">
      <c r="A149" s="16"/>
      <c r="B149" s="16"/>
      <c r="C149" s="16"/>
      <c r="D149" s="16"/>
      <c r="E149" s="17"/>
      <c r="F149" s="18"/>
    </row>
    <row r="150" customFormat="false" ht="15" hidden="false" customHeight="true" outlineLevel="0" collapsed="false">
      <c r="A150" s="16"/>
      <c r="B150" s="16"/>
      <c r="C150" s="16"/>
      <c r="D150" s="16"/>
      <c r="E150" s="17"/>
      <c r="F150" s="18"/>
    </row>
    <row r="151" customFormat="false" ht="15" hidden="false" customHeight="true" outlineLevel="0" collapsed="false">
      <c r="A151" s="16"/>
      <c r="B151" s="16"/>
      <c r="C151" s="16"/>
      <c r="D151" s="16"/>
      <c r="E151" s="17"/>
      <c r="F151" s="18"/>
    </row>
    <row r="152" customFormat="false" ht="15" hidden="false" customHeight="true" outlineLevel="0" collapsed="false">
      <c r="A152" s="16"/>
      <c r="B152" s="16"/>
      <c r="C152" s="16"/>
      <c r="D152" s="16"/>
      <c r="E152" s="17"/>
      <c r="F152" s="18"/>
    </row>
    <row r="153" customFormat="false" ht="15" hidden="false" customHeight="true" outlineLevel="0" collapsed="false">
      <c r="A153" s="16"/>
      <c r="B153" s="16"/>
      <c r="C153" s="16"/>
      <c r="D153" s="16"/>
      <c r="E153" s="17"/>
      <c r="F153" s="18"/>
    </row>
    <row r="154" customFormat="false" ht="15" hidden="false" customHeight="true" outlineLevel="0" collapsed="false">
      <c r="A154" s="16"/>
      <c r="B154" s="16"/>
      <c r="C154" s="16"/>
      <c r="D154" s="16"/>
      <c r="E154" s="17"/>
      <c r="F154" s="18"/>
    </row>
    <row r="155" customFormat="false" ht="15" hidden="false" customHeight="true" outlineLevel="0" collapsed="false">
      <c r="A155" s="16"/>
      <c r="B155" s="16"/>
      <c r="C155" s="16"/>
      <c r="D155" s="16"/>
      <c r="E155" s="17"/>
      <c r="F155" s="18"/>
    </row>
    <row r="156" customFormat="false" ht="15" hidden="false" customHeight="true" outlineLevel="0" collapsed="false">
      <c r="A156" s="16"/>
      <c r="B156" s="16"/>
      <c r="C156" s="16"/>
      <c r="D156" s="16"/>
      <c r="E156" s="17"/>
      <c r="F156" s="18"/>
    </row>
    <row r="157" customFormat="false" ht="15" hidden="false" customHeight="true" outlineLevel="0" collapsed="false">
      <c r="A157" s="16"/>
      <c r="B157" s="16"/>
      <c r="C157" s="16"/>
      <c r="D157" s="16"/>
      <c r="E157" s="17"/>
      <c r="F157" s="18"/>
    </row>
    <row r="158" customFormat="false" ht="15" hidden="false" customHeight="true" outlineLevel="0" collapsed="false">
      <c r="A158" s="16"/>
      <c r="B158" s="16"/>
      <c r="C158" s="16"/>
      <c r="D158" s="16"/>
      <c r="E158" s="17"/>
      <c r="F158" s="18"/>
    </row>
    <row r="159" customFormat="false" ht="15" hidden="false" customHeight="true" outlineLevel="0" collapsed="false">
      <c r="A159" s="16"/>
      <c r="B159" s="16"/>
      <c r="C159" s="16"/>
      <c r="D159" s="16"/>
      <c r="E159" s="17"/>
      <c r="F159" s="18"/>
    </row>
    <row r="160" customFormat="false" ht="15" hidden="false" customHeight="true" outlineLevel="0" collapsed="false">
      <c r="A160" s="16"/>
      <c r="B160" s="16"/>
      <c r="C160" s="16"/>
      <c r="D160" s="16"/>
      <c r="E160" s="17"/>
      <c r="F160" s="18"/>
    </row>
    <row r="161" customFormat="false" ht="15" hidden="false" customHeight="true" outlineLevel="0" collapsed="false">
      <c r="A161" s="16"/>
      <c r="B161" s="16"/>
      <c r="C161" s="16"/>
      <c r="D161" s="16"/>
      <c r="E161" s="17"/>
      <c r="F161" s="18"/>
    </row>
    <row r="162" customFormat="false" ht="15" hidden="false" customHeight="true" outlineLevel="0" collapsed="false">
      <c r="A162" s="16"/>
      <c r="B162" s="16"/>
      <c r="C162" s="16"/>
      <c r="D162" s="16"/>
      <c r="E162" s="17"/>
      <c r="F162" s="18"/>
    </row>
    <row r="163" customFormat="false" ht="15" hidden="false" customHeight="true" outlineLevel="0" collapsed="false">
      <c r="A163" s="16"/>
      <c r="B163" s="16"/>
      <c r="C163" s="16"/>
      <c r="D163" s="16"/>
      <c r="E163" s="17"/>
      <c r="F163" s="18"/>
    </row>
    <row r="164" customFormat="false" ht="15" hidden="false" customHeight="true" outlineLevel="0" collapsed="false">
      <c r="A164" s="16"/>
      <c r="B164" s="16"/>
      <c r="C164" s="16"/>
      <c r="D164" s="16"/>
      <c r="E164" s="17"/>
      <c r="F164" s="18"/>
    </row>
    <row r="165" customFormat="false" ht="15" hidden="false" customHeight="true" outlineLevel="0" collapsed="false">
      <c r="A165" s="16"/>
      <c r="B165" s="16"/>
      <c r="C165" s="16"/>
      <c r="D165" s="16"/>
      <c r="E165" s="17"/>
      <c r="F165" s="18"/>
    </row>
    <row r="166" customFormat="false" ht="15" hidden="false" customHeight="true" outlineLevel="0" collapsed="false">
      <c r="A166" s="16"/>
      <c r="B166" s="16"/>
      <c r="C166" s="16"/>
      <c r="D166" s="16"/>
      <c r="E166" s="17"/>
      <c r="F166" s="18"/>
    </row>
    <row r="167" customFormat="false" ht="15" hidden="false" customHeight="true" outlineLevel="0" collapsed="false">
      <c r="A167" s="16"/>
      <c r="B167" s="16"/>
      <c r="C167" s="16"/>
      <c r="D167" s="16"/>
      <c r="E167" s="17"/>
      <c r="F167" s="18"/>
    </row>
    <row r="168" customFormat="false" ht="15" hidden="false" customHeight="true" outlineLevel="0" collapsed="false">
      <c r="A168" s="16"/>
      <c r="B168" s="16"/>
      <c r="C168" s="16"/>
      <c r="D168" s="16"/>
      <c r="E168" s="17"/>
      <c r="F168" s="18"/>
    </row>
    <row r="169" customFormat="false" ht="15" hidden="false" customHeight="true" outlineLevel="0" collapsed="false">
      <c r="A169" s="16"/>
      <c r="B169" s="16"/>
      <c r="C169" s="16"/>
      <c r="D169" s="16"/>
      <c r="E169" s="17"/>
      <c r="F169" s="18"/>
    </row>
    <row r="170" customFormat="false" ht="15" hidden="false" customHeight="true" outlineLevel="0" collapsed="false">
      <c r="A170" s="16"/>
      <c r="B170" s="16"/>
      <c r="C170" s="16"/>
      <c r="D170" s="16"/>
      <c r="E170" s="17"/>
      <c r="F170" s="18"/>
    </row>
    <row r="171" customFormat="false" ht="15" hidden="false" customHeight="true" outlineLevel="0" collapsed="false">
      <c r="A171" s="16"/>
      <c r="B171" s="16"/>
      <c r="C171" s="16"/>
      <c r="D171" s="16"/>
      <c r="E171" s="17"/>
      <c r="F171" s="18"/>
    </row>
    <row r="172" customFormat="false" ht="15" hidden="false" customHeight="true" outlineLevel="0" collapsed="false">
      <c r="A172" s="16"/>
      <c r="B172" s="16"/>
      <c r="C172" s="16"/>
      <c r="D172" s="16"/>
      <c r="E172" s="17"/>
      <c r="F172" s="18"/>
    </row>
    <row r="173" customFormat="false" ht="15" hidden="false" customHeight="true" outlineLevel="0" collapsed="false">
      <c r="A173" s="16"/>
      <c r="B173" s="16"/>
      <c r="C173" s="16"/>
      <c r="D173" s="16"/>
      <c r="E173" s="17"/>
      <c r="F173" s="18"/>
    </row>
    <row r="174" customFormat="false" ht="15" hidden="false" customHeight="true" outlineLevel="0" collapsed="false">
      <c r="A174" s="16"/>
      <c r="B174" s="16"/>
      <c r="C174" s="16"/>
      <c r="D174" s="16"/>
      <c r="E174" s="17"/>
      <c r="F174" s="18"/>
    </row>
    <row r="175" customFormat="false" ht="15" hidden="false" customHeight="true" outlineLevel="0" collapsed="false">
      <c r="A175" s="16"/>
      <c r="B175" s="16"/>
      <c r="C175" s="16"/>
      <c r="D175" s="16"/>
      <c r="E175" s="17"/>
      <c r="F175" s="18"/>
    </row>
    <row r="176" customFormat="false" ht="15" hidden="false" customHeight="true" outlineLevel="0" collapsed="false">
      <c r="A176" s="16"/>
      <c r="B176" s="16"/>
      <c r="C176" s="16"/>
      <c r="D176" s="16"/>
      <c r="E176" s="17"/>
      <c r="F176" s="18"/>
    </row>
    <row r="177" customFormat="false" ht="15" hidden="false" customHeight="true" outlineLevel="0" collapsed="false">
      <c r="A177" s="16"/>
      <c r="B177" s="16"/>
      <c r="C177" s="16"/>
      <c r="D177" s="16"/>
      <c r="E177" s="17"/>
      <c r="F177" s="18"/>
    </row>
    <row r="178" customFormat="false" ht="15" hidden="false" customHeight="true" outlineLevel="0" collapsed="false">
      <c r="A178" s="16"/>
      <c r="B178" s="16"/>
      <c r="C178" s="16"/>
      <c r="D178" s="16"/>
      <c r="E178" s="17"/>
      <c r="F178" s="18"/>
    </row>
    <row r="179" customFormat="false" ht="15" hidden="false" customHeight="true" outlineLevel="0" collapsed="false">
      <c r="A179" s="16"/>
      <c r="B179" s="16"/>
      <c r="C179" s="16"/>
      <c r="D179" s="16"/>
      <c r="E179" s="17"/>
      <c r="F179" s="18"/>
    </row>
    <row r="180" customFormat="false" ht="15" hidden="false" customHeight="true" outlineLevel="0" collapsed="false">
      <c r="A180" s="16"/>
      <c r="B180" s="16"/>
      <c r="C180" s="16"/>
      <c r="D180" s="16"/>
      <c r="E180" s="17"/>
      <c r="F180" s="18"/>
    </row>
    <row r="181" customFormat="false" ht="15" hidden="false" customHeight="true" outlineLevel="0" collapsed="false">
      <c r="A181" s="16"/>
      <c r="B181" s="16"/>
      <c r="C181" s="16"/>
      <c r="D181" s="16"/>
      <c r="E181" s="17"/>
      <c r="F181" s="18"/>
    </row>
    <row r="182" customFormat="false" ht="15" hidden="false" customHeight="true" outlineLevel="0" collapsed="false">
      <c r="A182" s="16"/>
      <c r="B182" s="16"/>
      <c r="C182" s="16"/>
      <c r="D182" s="16"/>
      <c r="E182" s="17"/>
      <c r="F182" s="18"/>
    </row>
    <row r="183" customFormat="false" ht="15" hidden="false" customHeight="true" outlineLevel="0" collapsed="false">
      <c r="A183" s="16"/>
      <c r="B183" s="16"/>
      <c r="C183" s="16"/>
      <c r="D183" s="16"/>
      <c r="E183" s="17"/>
      <c r="F183" s="18"/>
    </row>
    <row r="184" customFormat="false" ht="15" hidden="false" customHeight="true" outlineLevel="0" collapsed="false">
      <c r="A184" s="16"/>
      <c r="B184" s="16"/>
      <c r="C184" s="16"/>
      <c r="D184" s="16"/>
      <c r="E184" s="17"/>
      <c r="F184" s="18"/>
    </row>
    <row r="185" customFormat="false" ht="15" hidden="false" customHeight="true" outlineLevel="0" collapsed="false">
      <c r="A185" s="16"/>
      <c r="B185" s="16"/>
      <c r="C185" s="16"/>
      <c r="D185" s="16"/>
      <c r="E185" s="17"/>
      <c r="F185" s="18"/>
    </row>
    <row r="186" customFormat="false" ht="15" hidden="false" customHeight="true" outlineLevel="0" collapsed="false">
      <c r="A186" s="16"/>
      <c r="B186" s="16"/>
      <c r="C186" s="16"/>
      <c r="D186" s="16"/>
      <c r="E186" s="17"/>
      <c r="F186" s="18"/>
    </row>
    <row r="187" customFormat="false" ht="15" hidden="false" customHeight="true" outlineLevel="0" collapsed="false">
      <c r="A187" s="16"/>
      <c r="B187" s="16"/>
      <c r="C187" s="16"/>
      <c r="D187" s="16"/>
      <c r="E187" s="17"/>
      <c r="F187" s="18"/>
    </row>
    <row r="188" customFormat="false" ht="15" hidden="false" customHeight="true" outlineLevel="0" collapsed="false">
      <c r="A188" s="16"/>
      <c r="B188" s="16"/>
      <c r="C188" s="16"/>
      <c r="D188" s="16"/>
      <c r="E188" s="17"/>
      <c r="F188" s="18"/>
    </row>
    <row r="189" customFormat="false" ht="15" hidden="false" customHeight="true" outlineLevel="0" collapsed="false">
      <c r="A189" s="16"/>
      <c r="B189" s="16"/>
      <c r="C189" s="16"/>
      <c r="D189" s="16"/>
      <c r="E189" s="17"/>
      <c r="F189" s="18"/>
    </row>
    <row r="190" customFormat="false" ht="15" hidden="false" customHeight="true" outlineLevel="0" collapsed="false">
      <c r="A190" s="16"/>
      <c r="B190" s="16"/>
      <c r="C190" s="16"/>
      <c r="D190" s="16"/>
      <c r="E190" s="17"/>
      <c r="F190" s="18"/>
    </row>
    <row r="191" customFormat="false" ht="15" hidden="false" customHeight="true" outlineLevel="0" collapsed="false">
      <c r="A191" s="16"/>
      <c r="B191" s="16"/>
      <c r="C191" s="16"/>
      <c r="D191" s="16"/>
      <c r="E191" s="17"/>
      <c r="F191" s="18"/>
    </row>
    <row r="192" customFormat="false" ht="15" hidden="false" customHeight="true" outlineLevel="0" collapsed="false">
      <c r="A192" s="16"/>
      <c r="B192" s="16"/>
      <c r="C192" s="16"/>
      <c r="D192" s="16"/>
      <c r="E192" s="17"/>
      <c r="F192" s="18"/>
    </row>
    <row r="193" customFormat="false" ht="15" hidden="false" customHeight="true" outlineLevel="0" collapsed="false">
      <c r="A193" s="16"/>
      <c r="B193" s="16"/>
      <c r="C193" s="16"/>
      <c r="D193" s="16"/>
      <c r="E193" s="17"/>
      <c r="F193" s="18"/>
    </row>
    <row r="194" customFormat="false" ht="15" hidden="false" customHeight="true" outlineLevel="0" collapsed="false">
      <c r="A194" s="16"/>
      <c r="B194" s="16"/>
      <c r="C194" s="16"/>
      <c r="D194" s="16"/>
      <c r="E194" s="17"/>
      <c r="F194" s="18"/>
    </row>
    <row r="195" customFormat="false" ht="15" hidden="false" customHeight="true" outlineLevel="0" collapsed="false">
      <c r="A195" s="16"/>
      <c r="B195" s="16"/>
      <c r="C195" s="16"/>
      <c r="D195" s="16"/>
      <c r="E195" s="17"/>
      <c r="F195" s="18"/>
    </row>
    <row r="196" customFormat="false" ht="15" hidden="false" customHeight="true" outlineLevel="0" collapsed="false">
      <c r="A196" s="16"/>
      <c r="B196" s="16"/>
      <c r="C196" s="16"/>
      <c r="D196" s="16"/>
      <c r="E196" s="17"/>
      <c r="F196" s="18"/>
    </row>
    <row r="197" customFormat="false" ht="15" hidden="false" customHeight="true" outlineLevel="0" collapsed="false">
      <c r="A197" s="16"/>
      <c r="B197" s="16"/>
      <c r="C197" s="16"/>
      <c r="D197" s="16"/>
      <c r="E197" s="17"/>
      <c r="F197" s="18"/>
    </row>
    <row r="198" customFormat="false" ht="15" hidden="false" customHeight="true" outlineLevel="0" collapsed="false">
      <c r="A198" s="16"/>
      <c r="B198" s="16"/>
      <c r="C198" s="16"/>
      <c r="D198" s="16"/>
      <c r="E198" s="17"/>
      <c r="F198" s="18"/>
    </row>
    <row r="199" customFormat="false" ht="15" hidden="false" customHeight="true" outlineLevel="0" collapsed="false">
      <c r="A199" s="16"/>
      <c r="B199" s="16"/>
      <c r="C199" s="16"/>
      <c r="D199" s="16"/>
      <c r="E199" s="17"/>
      <c r="F199" s="18"/>
    </row>
    <row r="200" customFormat="false" ht="15" hidden="false" customHeight="true" outlineLevel="0" collapsed="false">
      <c r="A200" s="16"/>
      <c r="B200" s="16"/>
      <c r="C200" s="16"/>
      <c r="D200" s="16"/>
      <c r="E200" s="17"/>
      <c r="F200" s="18"/>
    </row>
    <row r="201" customFormat="false" ht="15" hidden="false" customHeight="true" outlineLevel="0" collapsed="false">
      <c r="A201" s="16"/>
      <c r="B201" s="16"/>
      <c r="C201" s="16"/>
      <c r="D201" s="16"/>
      <c r="E201" s="17"/>
      <c r="F201" s="18"/>
    </row>
    <row r="202" customFormat="false" ht="15" hidden="false" customHeight="true" outlineLevel="0" collapsed="false">
      <c r="A202" s="16"/>
      <c r="B202" s="16"/>
      <c r="C202" s="16"/>
      <c r="D202" s="16"/>
      <c r="E202" s="17"/>
      <c r="F202" s="18"/>
    </row>
    <row r="203" customFormat="false" ht="15" hidden="false" customHeight="true" outlineLevel="0" collapsed="false">
      <c r="A203" s="16"/>
      <c r="B203" s="16"/>
      <c r="C203" s="16"/>
      <c r="D203" s="16"/>
      <c r="E203" s="17"/>
      <c r="F203" s="18"/>
    </row>
    <row r="204" customFormat="false" ht="15" hidden="false" customHeight="true" outlineLevel="0" collapsed="false">
      <c r="A204" s="16"/>
      <c r="B204" s="16"/>
      <c r="C204" s="16"/>
      <c r="D204" s="16"/>
      <c r="E204" s="17"/>
      <c r="F204" s="18"/>
    </row>
    <row r="205" customFormat="false" ht="15" hidden="false" customHeight="true" outlineLevel="0" collapsed="false">
      <c r="A205" s="16"/>
      <c r="B205" s="16"/>
      <c r="C205" s="16"/>
      <c r="D205" s="16"/>
      <c r="E205" s="17"/>
      <c r="F205" s="18"/>
    </row>
    <row r="206" customFormat="false" ht="15" hidden="false" customHeight="true" outlineLevel="0" collapsed="false">
      <c r="A206" s="16"/>
      <c r="B206" s="16"/>
      <c r="C206" s="16"/>
      <c r="D206" s="16"/>
      <c r="E206" s="17"/>
      <c r="F206" s="18"/>
    </row>
    <row r="207" customFormat="false" ht="15" hidden="false" customHeight="true" outlineLevel="0" collapsed="false">
      <c r="A207" s="16"/>
      <c r="B207" s="16"/>
      <c r="C207" s="16"/>
      <c r="D207" s="16"/>
      <c r="E207" s="17"/>
      <c r="F207" s="18"/>
    </row>
    <row r="208" customFormat="false" ht="15" hidden="false" customHeight="true" outlineLevel="0" collapsed="false">
      <c r="A208" s="16"/>
      <c r="B208" s="16"/>
      <c r="C208" s="16"/>
      <c r="D208" s="16"/>
      <c r="E208" s="17"/>
      <c r="F208" s="18"/>
    </row>
    <row r="209" customFormat="false" ht="15" hidden="false" customHeight="true" outlineLevel="0" collapsed="false">
      <c r="A209" s="16"/>
      <c r="B209" s="16"/>
      <c r="C209" s="16"/>
      <c r="D209" s="16"/>
      <c r="E209" s="17"/>
      <c r="F209" s="18"/>
    </row>
    <row r="210" customFormat="false" ht="15" hidden="false" customHeight="true" outlineLevel="0" collapsed="false">
      <c r="A210" s="16"/>
      <c r="B210" s="16"/>
      <c r="C210" s="16"/>
      <c r="D210" s="16"/>
      <c r="E210" s="17"/>
      <c r="F210" s="18"/>
    </row>
    <row r="211" customFormat="false" ht="15" hidden="false" customHeight="true" outlineLevel="0" collapsed="false">
      <c r="A211" s="16"/>
      <c r="B211" s="16"/>
      <c r="C211" s="16"/>
      <c r="D211" s="16"/>
      <c r="E211" s="17"/>
      <c r="F211" s="18"/>
    </row>
    <row r="212" customFormat="false" ht="15" hidden="false" customHeight="true" outlineLevel="0" collapsed="false">
      <c r="A212" s="16"/>
      <c r="B212" s="16"/>
      <c r="C212" s="16"/>
      <c r="D212" s="16"/>
      <c r="E212" s="17"/>
      <c r="F212" s="18"/>
    </row>
    <row r="213" customFormat="false" ht="15" hidden="false" customHeight="true" outlineLevel="0" collapsed="false">
      <c r="A213" s="16"/>
      <c r="B213" s="16"/>
      <c r="C213" s="16"/>
      <c r="D213" s="16"/>
      <c r="E213" s="17"/>
      <c r="F213" s="18"/>
    </row>
    <row r="214" customFormat="false" ht="15" hidden="false" customHeight="true" outlineLevel="0" collapsed="false">
      <c r="A214" s="16"/>
      <c r="B214" s="16"/>
      <c r="C214" s="16"/>
      <c r="D214" s="16"/>
      <c r="E214" s="17"/>
      <c r="F214" s="18"/>
    </row>
    <row r="215" customFormat="false" ht="15" hidden="false" customHeight="true" outlineLevel="0" collapsed="false">
      <c r="A215" s="16"/>
      <c r="B215" s="16"/>
      <c r="C215" s="16"/>
      <c r="D215" s="16"/>
      <c r="E215" s="17"/>
      <c r="F215" s="18"/>
    </row>
    <row r="216" customFormat="false" ht="15" hidden="false" customHeight="true" outlineLevel="0" collapsed="false">
      <c r="A216" s="16"/>
      <c r="B216" s="16"/>
      <c r="C216" s="16"/>
      <c r="D216" s="16"/>
      <c r="E216" s="17"/>
      <c r="F216" s="18"/>
    </row>
    <row r="217" customFormat="false" ht="15" hidden="false" customHeight="true" outlineLevel="0" collapsed="false">
      <c r="A217" s="16"/>
      <c r="B217" s="16"/>
      <c r="C217" s="16"/>
      <c r="D217" s="16"/>
      <c r="E217" s="17"/>
      <c r="F217" s="18"/>
    </row>
    <row r="218" customFormat="false" ht="15" hidden="false" customHeight="true" outlineLevel="0" collapsed="false">
      <c r="A218" s="16"/>
      <c r="B218" s="16"/>
      <c r="C218" s="16"/>
      <c r="D218" s="16"/>
      <c r="E218" s="17"/>
      <c r="F218" s="18"/>
    </row>
    <row r="219" customFormat="false" ht="15" hidden="false" customHeight="true" outlineLevel="0" collapsed="false">
      <c r="A219" s="16"/>
      <c r="B219" s="16"/>
      <c r="C219" s="16"/>
      <c r="D219" s="16"/>
      <c r="E219" s="17"/>
      <c r="F219" s="18"/>
    </row>
    <row r="220" customFormat="false" ht="15" hidden="false" customHeight="true" outlineLevel="0" collapsed="false">
      <c r="A220" s="16"/>
      <c r="B220" s="16"/>
      <c r="C220" s="16"/>
      <c r="D220" s="16"/>
      <c r="E220" s="17"/>
      <c r="F220" s="18"/>
    </row>
    <row r="221" customFormat="false" ht="15" hidden="false" customHeight="true" outlineLevel="0" collapsed="false">
      <c r="A221" s="16"/>
      <c r="B221" s="16"/>
      <c r="C221" s="16"/>
      <c r="D221" s="16"/>
      <c r="E221" s="17"/>
      <c r="F221" s="18"/>
    </row>
    <row r="222" customFormat="false" ht="15" hidden="false" customHeight="true" outlineLevel="0" collapsed="false">
      <c r="A222" s="16"/>
      <c r="B222" s="16"/>
      <c r="C222" s="16"/>
      <c r="D222" s="16"/>
      <c r="E222" s="17"/>
      <c r="F222" s="18"/>
    </row>
    <row r="223" customFormat="false" ht="15" hidden="false" customHeight="true" outlineLevel="0" collapsed="false">
      <c r="A223" s="16"/>
      <c r="B223" s="16"/>
      <c r="C223" s="16"/>
      <c r="D223" s="16"/>
      <c r="E223" s="17"/>
      <c r="F223" s="18"/>
    </row>
    <row r="224" customFormat="false" ht="15" hidden="false" customHeight="true" outlineLevel="0" collapsed="false">
      <c r="A224" s="16"/>
      <c r="B224" s="16"/>
      <c r="C224" s="16"/>
      <c r="D224" s="16"/>
      <c r="E224" s="17"/>
      <c r="F224" s="18"/>
    </row>
    <row r="225" customFormat="false" ht="15" hidden="false" customHeight="true" outlineLevel="0" collapsed="false">
      <c r="A225" s="16"/>
      <c r="B225" s="16"/>
      <c r="C225" s="16"/>
      <c r="D225" s="16"/>
      <c r="E225" s="17"/>
      <c r="F225" s="18"/>
    </row>
    <row r="226" customFormat="false" ht="15" hidden="false" customHeight="true" outlineLevel="0" collapsed="false">
      <c r="A226" s="16"/>
      <c r="B226" s="16"/>
      <c r="C226" s="16"/>
      <c r="D226" s="16"/>
      <c r="E226" s="17"/>
      <c r="F226" s="18"/>
    </row>
    <row r="227" customFormat="false" ht="15" hidden="false" customHeight="true" outlineLevel="0" collapsed="false">
      <c r="A227" s="16"/>
      <c r="B227" s="16"/>
      <c r="C227" s="16"/>
      <c r="D227" s="16"/>
      <c r="E227" s="17"/>
      <c r="F227" s="18"/>
    </row>
    <row r="228" customFormat="false" ht="15" hidden="false" customHeight="true" outlineLevel="0" collapsed="false">
      <c r="A228" s="16"/>
      <c r="B228" s="16"/>
      <c r="C228" s="16"/>
      <c r="D228" s="16"/>
      <c r="E228" s="17"/>
      <c r="F228" s="18"/>
    </row>
    <row r="229" customFormat="false" ht="15" hidden="false" customHeight="true" outlineLevel="0" collapsed="false">
      <c r="A229" s="16"/>
      <c r="B229" s="16"/>
      <c r="C229" s="16"/>
      <c r="D229" s="16"/>
      <c r="E229" s="17"/>
      <c r="F229" s="18"/>
    </row>
    <row r="230" customFormat="false" ht="15" hidden="false" customHeight="true" outlineLevel="0" collapsed="false">
      <c r="A230" s="16"/>
      <c r="B230" s="16"/>
      <c r="C230" s="16"/>
      <c r="D230" s="16"/>
      <c r="E230" s="17"/>
      <c r="F230" s="18"/>
    </row>
    <row r="231" customFormat="false" ht="15" hidden="false" customHeight="true" outlineLevel="0" collapsed="false">
      <c r="A231" s="16"/>
      <c r="B231" s="16"/>
      <c r="C231" s="16"/>
      <c r="D231" s="16"/>
      <c r="E231" s="17"/>
      <c r="F231" s="18"/>
    </row>
    <row r="232" customFormat="false" ht="15" hidden="false" customHeight="true" outlineLevel="0" collapsed="false">
      <c r="A232" s="16"/>
      <c r="B232" s="16"/>
      <c r="C232" s="16"/>
      <c r="D232" s="16"/>
      <c r="E232" s="17"/>
      <c r="F232" s="18"/>
    </row>
    <row r="233" customFormat="false" ht="15" hidden="false" customHeight="true" outlineLevel="0" collapsed="false">
      <c r="A233" s="16"/>
      <c r="B233" s="16"/>
      <c r="C233" s="16"/>
      <c r="D233" s="16"/>
      <c r="E233" s="17"/>
      <c r="F233" s="18"/>
    </row>
    <row r="234" customFormat="false" ht="15" hidden="false" customHeight="true" outlineLevel="0" collapsed="false">
      <c r="A234" s="16"/>
      <c r="B234" s="16"/>
      <c r="C234" s="16"/>
      <c r="D234" s="16"/>
      <c r="E234" s="17"/>
      <c r="F234" s="18"/>
    </row>
    <row r="235" customFormat="false" ht="15" hidden="false" customHeight="true" outlineLevel="0" collapsed="false">
      <c r="A235" s="16"/>
      <c r="B235" s="16"/>
      <c r="C235" s="16"/>
      <c r="D235" s="16"/>
      <c r="E235" s="17"/>
      <c r="F235" s="18"/>
    </row>
    <row r="236" customFormat="false" ht="15" hidden="false" customHeight="true" outlineLevel="0" collapsed="false">
      <c r="A236" s="16"/>
      <c r="B236" s="16"/>
      <c r="C236" s="16"/>
      <c r="D236" s="16"/>
      <c r="E236" s="17"/>
      <c r="F236" s="18"/>
    </row>
    <row r="237" customFormat="false" ht="15" hidden="false" customHeight="true" outlineLevel="0" collapsed="false">
      <c r="A237" s="16"/>
      <c r="B237" s="16"/>
      <c r="C237" s="16"/>
      <c r="D237" s="16"/>
      <c r="E237" s="17"/>
      <c r="F237" s="18"/>
    </row>
    <row r="238" customFormat="false" ht="15" hidden="false" customHeight="true" outlineLevel="0" collapsed="false">
      <c r="A238" s="16"/>
      <c r="B238" s="16"/>
      <c r="C238" s="16"/>
      <c r="D238" s="16"/>
      <c r="E238" s="17"/>
      <c r="F238" s="18"/>
    </row>
    <row r="239" customFormat="false" ht="15" hidden="false" customHeight="true" outlineLevel="0" collapsed="false">
      <c r="A239" s="16"/>
      <c r="B239" s="16"/>
      <c r="C239" s="16"/>
      <c r="D239" s="16"/>
      <c r="E239" s="17"/>
      <c r="F239" s="18"/>
    </row>
    <row r="240" customFormat="false" ht="15" hidden="false" customHeight="true" outlineLevel="0" collapsed="false">
      <c r="A240" s="16"/>
      <c r="B240" s="16"/>
      <c r="C240" s="16"/>
      <c r="D240" s="16"/>
      <c r="E240" s="17"/>
      <c r="F240" s="18"/>
    </row>
    <row r="241" customFormat="false" ht="15" hidden="false" customHeight="true" outlineLevel="0" collapsed="false">
      <c r="A241" s="16"/>
      <c r="B241" s="16"/>
      <c r="C241" s="16"/>
      <c r="D241" s="16"/>
      <c r="E241" s="17"/>
      <c r="F241" s="18"/>
    </row>
    <row r="242" customFormat="false" ht="15" hidden="false" customHeight="true" outlineLevel="0" collapsed="false">
      <c r="A242" s="16"/>
      <c r="B242" s="16"/>
      <c r="C242" s="16"/>
      <c r="D242" s="16"/>
      <c r="E242" s="17"/>
      <c r="F242" s="18"/>
    </row>
    <row r="243" customFormat="false" ht="15" hidden="false" customHeight="true" outlineLevel="0" collapsed="false">
      <c r="A243" s="16"/>
      <c r="B243" s="16"/>
      <c r="C243" s="16"/>
      <c r="D243" s="16"/>
      <c r="E243" s="17"/>
      <c r="F243" s="18"/>
    </row>
    <row r="244" customFormat="false" ht="15" hidden="false" customHeight="true" outlineLevel="0" collapsed="false">
      <c r="A244" s="16"/>
      <c r="B244" s="16"/>
      <c r="C244" s="16"/>
      <c r="D244" s="16"/>
      <c r="E244" s="17"/>
      <c r="F244" s="18"/>
    </row>
    <row r="245" customFormat="false" ht="15" hidden="false" customHeight="true" outlineLevel="0" collapsed="false">
      <c r="A245" s="16"/>
      <c r="B245" s="16"/>
      <c r="C245" s="16"/>
      <c r="D245" s="16"/>
      <c r="E245" s="17"/>
      <c r="F245" s="18"/>
    </row>
    <row r="246" customFormat="false" ht="15" hidden="false" customHeight="true" outlineLevel="0" collapsed="false">
      <c r="A246" s="16"/>
      <c r="B246" s="16"/>
      <c r="C246" s="16"/>
      <c r="D246" s="16"/>
      <c r="E246" s="17"/>
      <c r="F246" s="18"/>
    </row>
    <row r="247" customFormat="false" ht="15" hidden="false" customHeight="true" outlineLevel="0" collapsed="false">
      <c r="A247" s="16"/>
      <c r="B247" s="16"/>
      <c r="C247" s="16"/>
      <c r="D247" s="16"/>
      <c r="E247" s="17"/>
      <c r="F247" s="18"/>
    </row>
    <row r="248" customFormat="false" ht="15" hidden="false" customHeight="true" outlineLevel="0" collapsed="false">
      <c r="A248" s="16"/>
      <c r="B248" s="16"/>
      <c r="C248" s="16"/>
      <c r="D248" s="16"/>
      <c r="E248" s="17"/>
      <c r="F248" s="18"/>
    </row>
    <row r="249" customFormat="false" ht="15" hidden="false" customHeight="true" outlineLevel="0" collapsed="false">
      <c r="A249" s="16"/>
      <c r="B249" s="16"/>
      <c r="C249" s="16"/>
      <c r="D249" s="16"/>
      <c r="E249" s="17"/>
      <c r="F249" s="18"/>
    </row>
    <row r="250" customFormat="false" ht="15" hidden="false" customHeight="true" outlineLevel="0" collapsed="false">
      <c r="A250" s="16"/>
      <c r="B250" s="16"/>
      <c r="C250" s="16"/>
      <c r="D250" s="16"/>
      <c r="E250" s="17"/>
      <c r="F250" s="18"/>
    </row>
    <row r="251" customFormat="false" ht="15" hidden="false" customHeight="true" outlineLevel="0" collapsed="false">
      <c r="A251" s="16"/>
      <c r="B251" s="16"/>
      <c r="C251" s="16"/>
      <c r="D251" s="16"/>
      <c r="E251" s="17"/>
      <c r="F251" s="18"/>
    </row>
    <row r="252" customFormat="false" ht="15" hidden="false" customHeight="true" outlineLevel="0" collapsed="false">
      <c r="A252" s="16"/>
      <c r="B252" s="16"/>
      <c r="C252" s="16"/>
      <c r="D252" s="16"/>
      <c r="E252" s="17"/>
      <c r="F252" s="18"/>
    </row>
    <row r="253" customFormat="false" ht="15" hidden="false" customHeight="true" outlineLevel="0" collapsed="false">
      <c r="A253" s="16"/>
      <c r="B253" s="16"/>
      <c r="C253" s="16"/>
      <c r="D253" s="16"/>
      <c r="E253" s="17"/>
      <c r="F253" s="18"/>
    </row>
    <row r="254" customFormat="false" ht="15" hidden="false" customHeight="true" outlineLevel="0" collapsed="false">
      <c r="A254" s="16"/>
      <c r="B254" s="16"/>
      <c r="C254" s="16"/>
      <c r="D254" s="16"/>
      <c r="E254" s="17"/>
      <c r="F254" s="18"/>
    </row>
    <row r="255" customFormat="false" ht="15" hidden="false" customHeight="true" outlineLevel="0" collapsed="false">
      <c r="A255" s="16"/>
      <c r="B255" s="16"/>
      <c r="C255" s="16"/>
      <c r="D255" s="16"/>
      <c r="E255" s="17"/>
      <c r="F255" s="18"/>
    </row>
    <row r="256" customFormat="false" ht="15" hidden="false" customHeight="true" outlineLevel="0" collapsed="false">
      <c r="A256" s="16"/>
      <c r="B256" s="16"/>
      <c r="C256" s="16"/>
      <c r="D256" s="16"/>
      <c r="E256" s="17"/>
      <c r="F256" s="18"/>
    </row>
    <row r="257" customFormat="false" ht="15" hidden="false" customHeight="true" outlineLevel="0" collapsed="false">
      <c r="A257" s="16"/>
      <c r="B257" s="16"/>
      <c r="C257" s="16"/>
      <c r="D257" s="16"/>
      <c r="E257" s="17"/>
      <c r="F257" s="18"/>
    </row>
    <row r="258" customFormat="false" ht="15" hidden="false" customHeight="true" outlineLevel="0" collapsed="false">
      <c r="A258" s="16"/>
      <c r="B258" s="16"/>
      <c r="C258" s="16"/>
      <c r="D258" s="16"/>
      <c r="E258" s="17"/>
      <c r="F258" s="18"/>
    </row>
    <row r="259" customFormat="false" ht="15" hidden="false" customHeight="true" outlineLevel="0" collapsed="false">
      <c r="A259" s="16"/>
      <c r="B259" s="16"/>
      <c r="C259" s="16"/>
      <c r="D259" s="16"/>
      <c r="E259" s="17"/>
      <c r="F259" s="18"/>
    </row>
    <row r="260" customFormat="false" ht="15" hidden="false" customHeight="true" outlineLevel="0" collapsed="false">
      <c r="A260" s="16"/>
      <c r="B260" s="16"/>
      <c r="C260" s="16"/>
      <c r="D260" s="16"/>
      <c r="E260" s="17"/>
      <c r="F260" s="18"/>
    </row>
    <row r="261" customFormat="false" ht="15" hidden="false" customHeight="true" outlineLevel="0" collapsed="false">
      <c r="A261" s="16"/>
      <c r="B261" s="16"/>
      <c r="C261" s="16"/>
      <c r="D261" s="16"/>
      <c r="E261" s="17"/>
      <c r="F261" s="18"/>
    </row>
    <row r="262" customFormat="false" ht="15" hidden="false" customHeight="true" outlineLevel="0" collapsed="false">
      <c r="A262" s="16"/>
      <c r="B262" s="16"/>
      <c r="C262" s="16"/>
      <c r="D262" s="16"/>
      <c r="E262" s="17"/>
      <c r="F262" s="18"/>
    </row>
    <row r="263" customFormat="false" ht="15" hidden="false" customHeight="true" outlineLevel="0" collapsed="false">
      <c r="A263" s="16"/>
      <c r="B263" s="16"/>
      <c r="C263" s="16"/>
      <c r="D263" s="16"/>
      <c r="E263" s="17"/>
      <c r="F263" s="18"/>
    </row>
    <row r="264" customFormat="false" ht="15" hidden="false" customHeight="true" outlineLevel="0" collapsed="false">
      <c r="A264" s="16"/>
      <c r="B264" s="16"/>
      <c r="C264" s="16"/>
      <c r="D264" s="16"/>
      <c r="E264" s="17"/>
      <c r="F264" s="18"/>
    </row>
    <row r="265" customFormat="false" ht="15" hidden="false" customHeight="true" outlineLevel="0" collapsed="false">
      <c r="A265" s="16"/>
      <c r="B265" s="16"/>
      <c r="C265" s="16"/>
      <c r="D265" s="16"/>
      <c r="E265" s="17"/>
      <c r="F265" s="18"/>
    </row>
    <row r="266" customFormat="false" ht="15" hidden="false" customHeight="true" outlineLevel="0" collapsed="false">
      <c r="A266" s="16"/>
      <c r="B266" s="16"/>
      <c r="C266" s="16"/>
      <c r="D266" s="16"/>
      <c r="E266" s="17"/>
      <c r="F266" s="18"/>
    </row>
    <row r="267" customFormat="false" ht="15" hidden="false" customHeight="true" outlineLevel="0" collapsed="false">
      <c r="A267" s="16"/>
      <c r="B267" s="16"/>
      <c r="C267" s="16"/>
      <c r="D267" s="16"/>
      <c r="E267" s="17"/>
      <c r="F267" s="18"/>
    </row>
    <row r="268" customFormat="false" ht="15" hidden="false" customHeight="true" outlineLevel="0" collapsed="false">
      <c r="A268" s="16"/>
      <c r="B268" s="16"/>
      <c r="C268" s="16"/>
      <c r="D268" s="16"/>
      <c r="E268" s="17"/>
      <c r="F268" s="18"/>
    </row>
    <row r="269" customFormat="false" ht="15" hidden="false" customHeight="true" outlineLevel="0" collapsed="false">
      <c r="A269" s="16"/>
      <c r="B269" s="16"/>
      <c r="C269" s="16"/>
      <c r="D269" s="16"/>
      <c r="E269" s="17"/>
      <c r="F269" s="18"/>
    </row>
    <row r="270" customFormat="false" ht="15" hidden="false" customHeight="true" outlineLevel="0" collapsed="false">
      <c r="A270" s="16"/>
      <c r="B270" s="16"/>
      <c r="C270" s="16"/>
      <c r="D270" s="16"/>
      <c r="E270" s="17"/>
      <c r="F270" s="18"/>
    </row>
    <row r="271" customFormat="false" ht="15" hidden="false" customHeight="true" outlineLevel="0" collapsed="false">
      <c r="A271" s="16"/>
      <c r="B271" s="16"/>
      <c r="C271" s="16"/>
      <c r="D271" s="16"/>
      <c r="E271" s="17"/>
      <c r="F271" s="18"/>
    </row>
    <row r="272" customFormat="false" ht="15" hidden="false" customHeight="true" outlineLevel="0" collapsed="false">
      <c r="A272" s="16"/>
      <c r="B272" s="16"/>
      <c r="C272" s="16"/>
      <c r="D272" s="16"/>
      <c r="E272" s="17"/>
      <c r="F272" s="18"/>
    </row>
    <row r="273" customFormat="false" ht="15" hidden="false" customHeight="true" outlineLevel="0" collapsed="false">
      <c r="A273" s="16"/>
      <c r="B273" s="16"/>
      <c r="C273" s="16"/>
      <c r="D273" s="16"/>
      <c r="E273" s="17"/>
      <c r="F273" s="18"/>
    </row>
    <row r="274" customFormat="false" ht="15" hidden="false" customHeight="true" outlineLevel="0" collapsed="false">
      <c r="A274" s="16"/>
      <c r="B274" s="16"/>
      <c r="C274" s="16"/>
      <c r="D274" s="16"/>
      <c r="E274" s="17"/>
      <c r="F274" s="18"/>
    </row>
    <row r="275" customFormat="false" ht="15" hidden="false" customHeight="true" outlineLevel="0" collapsed="false">
      <c r="A275" s="16"/>
      <c r="B275" s="16"/>
      <c r="C275" s="16"/>
      <c r="D275" s="16"/>
      <c r="E275" s="17"/>
      <c r="F275" s="18"/>
    </row>
    <row r="276" customFormat="false" ht="15" hidden="false" customHeight="true" outlineLevel="0" collapsed="false">
      <c r="A276" s="16"/>
      <c r="B276" s="16"/>
      <c r="C276" s="16"/>
      <c r="D276" s="16"/>
      <c r="E276" s="17"/>
      <c r="F276" s="18"/>
    </row>
    <row r="277" customFormat="false" ht="15" hidden="false" customHeight="true" outlineLevel="0" collapsed="false">
      <c r="A277" s="16"/>
      <c r="B277" s="16"/>
      <c r="C277" s="16"/>
      <c r="D277" s="16"/>
      <c r="E277" s="17"/>
      <c r="F277" s="18"/>
    </row>
    <row r="278" customFormat="false" ht="15" hidden="false" customHeight="true" outlineLevel="0" collapsed="false">
      <c r="A278" s="16"/>
      <c r="B278" s="16"/>
      <c r="C278" s="16"/>
      <c r="D278" s="16"/>
      <c r="E278" s="17"/>
      <c r="F278" s="18"/>
    </row>
    <row r="279" customFormat="false" ht="15" hidden="false" customHeight="true" outlineLevel="0" collapsed="false">
      <c r="A279" s="16"/>
      <c r="B279" s="16"/>
      <c r="C279" s="16"/>
      <c r="D279" s="16"/>
      <c r="E279" s="17"/>
      <c r="F279" s="18"/>
    </row>
    <row r="280" customFormat="false" ht="15" hidden="false" customHeight="true" outlineLevel="0" collapsed="false">
      <c r="A280" s="16"/>
      <c r="B280" s="16"/>
      <c r="C280" s="16"/>
      <c r="D280" s="16"/>
      <c r="E280" s="17"/>
      <c r="F280" s="18"/>
    </row>
    <row r="281" customFormat="false" ht="15" hidden="false" customHeight="true" outlineLevel="0" collapsed="false">
      <c r="A281" s="16"/>
      <c r="B281" s="16"/>
      <c r="C281" s="16"/>
      <c r="D281" s="16"/>
      <c r="E281" s="17"/>
      <c r="F281" s="18"/>
    </row>
    <row r="282" customFormat="false" ht="15" hidden="false" customHeight="true" outlineLevel="0" collapsed="false">
      <c r="A282" s="16"/>
      <c r="B282" s="16"/>
      <c r="C282" s="16"/>
      <c r="D282" s="16"/>
      <c r="E282" s="17"/>
      <c r="F282" s="18"/>
    </row>
    <row r="283" customFormat="false" ht="15" hidden="false" customHeight="true" outlineLevel="0" collapsed="false">
      <c r="A283" s="16"/>
      <c r="B283" s="16"/>
      <c r="C283" s="16"/>
      <c r="D283" s="16"/>
      <c r="E283" s="17"/>
      <c r="F283" s="18"/>
    </row>
    <row r="284" customFormat="false" ht="15" hidden="false" customHeight="true" outlineLevel="0" collapsed="false">
      <c r="A284" s="16"/>
      <c r="B284" s="16"/>
      <c r="C284" s="16"/>
      <c r="D284" s="16"/>
      <c r="E284" s="17"/>
      <c r="F284" s="18"/>
    </row>
    <row r="285" customFormat="false" ht="15" hidden="false" customHeight="true" outlineLevel="0" collapsed="false">
      <c r="A285" s="16"/>
      <c r="B285" s="16"/>
      <c r="C285" s="16"/>
      <c r="D285" s="16"/>
      <c r="E285" s="17"/>
      <c r="F285" s="18"/>
    </row>
    <row r="286" customFormat="false" ht="15" hidden="false" customHeight="true" outlineLevel="0" collapsed="false">
      <c r="A286" s="16"/>
      <c r="B286" s="16"/>
      <c r="C286" s="16"/>
      <c r="D286" s="16"/>
      <c r="E286" s="17"/>
      <c r="F286" s="18"/>
    </row>
    <row r="287" customFormat="false" ht="15" hidden="false" customHeight="true" outlineLevel="0" collapsed="false">
      <c r="A287" s="16"/>
      <c r="B287" s="16"/>
      <c r="C287" s="16"/>
      <c r="D287" s="16"/>
      <c r="E287" s="17"/>
      <c r="F287" s="18"/>
    </row>
    <row r="288" customFormat="false" ht="15" hidden="false" customHeight="true" outlineLevel="0" collapsed="false">
      <c r="A288" s="16"/>
      <c r="B288" s="16"/>
      <c r="C288" s="16"/>
      <c r="D288" s="16"/>
      <c r="E288" s="17"/>
      <c r="F288" s="18"/>
    </row>
    <row r="289" customFormat="false" ht="15" hidden="false" customHeight="true" outlineLevel="0" collapsed="false">
      <c r="A289" s="16"/>
      <c r="B289" s="16"/>
      <c r="C289" s="16"/>
      <c r="D289" s="16"/>
      <c r="E289" s="17"/>
      <c r="F289" s="18"/>
    </row>
    <row r="290" customFormat="false" ht="15" hidden="false" customHeight="true" outlineLevel="0" collapsed="false">
      <c r="A290" s="16"/>
      <c r="B290" s="16"/>
      <c r="C290" s="16"/>
      <c r="D290" s="16"/>
      <c r="E290" s="17"/>
      <c r="F290" s="18"/>
    </row>
    <row r="291" customFormat="false" ht="15" hidden="false" customHeight="true" outlineLevel="0" collapsed="false">
      <c r="A291" s="16"/>
      <c r="B291" s="16"/>
      <c r="C291" s="16"/>
      <c r="D291" s="16"/>
      <c r="E291" s="17"/>
      <c r="F291" s="18"/>
    </row>
    <row r="292" customFormat="false" ht="15" hidden="false" customHeight="true" outlineLevel="0" collapsed="false">
      <c r="A292" s="16"/>
      <c r="B292" s="16"/>
      <c r="C292" s="16"/>
      <c r="D292" s="16"/>
      <c r="E292" s="17"/>
      <c r="F292" s="18"/>
    </row>
    <row r="293" customFormat="false" ht="15" hidden="false" customHeight="true" outlineLevel="0" collapsed="false">
      <c r="A293" s="16"/>
      <c r="B293" s="16"/>
      <c r="C293" s="16"/>
      <c r="D293" s="16"/>
      <c r="E293" s="17"/>
      <c r="F293" s="18"/>
    </row>
    <row r="294" customFormat="false" ht="15" hidden="false" customHeight="true" outlineLevel="0" collapsed="false">
      <c r="A294" s="16"/>
      <c r="B294" s="16"/>
      <c r="C294" s="16"/>
      <c r="D294" s="16"/>
      <c r="E294" s="17"/>
      <c r="F294" s="18"/>
    </row>
    <row r="295" customFormat="false" ht="15" hidden="false" customHeight="true" outlineLevel="0" collapsed="false">
      <c r="A295" s="16"/>
      <c r="B295" s="16"/>
      <c r="C295" s="16"/>
      <c r="D295" s="16"/>
      <c r="E295" s="17"/>
      <c r="F295" s="18"/>
    </row>
    <row r="296" customFormat="false" ht="15" hidden="false" customHeight="true" outlineLevel="0" collapsed="false">
      <c r="A296" s="16"/>
      <c r="B296" s="16"/>
      <c r="C296" s="16"/>
      <c r="D296" s="16"/>
      <c r="E296" s="17"/>
      <c r="F296" s="18"/>
    </row>
    <row r="297" customFormat="false" ht="15" hidden="false" customHeight="true" outlineLevel="0" collapsed="false">
      <c r="A297" s="16"/>
      <c r="B297" s="16"/>
      <c r="C297" s="16"/>
      <c r="D297" s="16"/>
      <c r="E297" s="17"/>
      <c r="F297" s="18"/>
    </row>
    <row r="298" customFormat="false" ht="15" hidden="false" customHeight="true" outlineLevel="0" collapsed="false">
      <c r="A298" s="16"/>
      <c r="B298" s="16"/>
      <c r="C298" s="16"/>
      <c r="D298" s="16"/>
      <c r="E298" s="17"/>
      <c r="F298" s="18"/>
    </row>
    <row r="299" customFormat="false" ht="15" hidden="false" customHeight="true" outlineLevel="0" collapsed="false">
      <c r="A299" s="16"/>
      <c r="B299" s="16"/>
      <c r="C299" s="16"/>
      <c r="D299" s="16"/>
      <c r="E299" s="17"/>
      <c r="F299" s="18"/>
    </row>
    <row r="300" customFormat="false" ht="15" hidden="false" customHeight="true" outlineLevel="0" collapsed="false">
      <c r="A300" s="16"/>
      <c r="B300" s="16"/>
      <c r="C300" s="16"/>
      <c r="D300" s="16"/>
      <c r="E300" s="17"/>
      <c r="F300" s="18"/>
    </row>
    <row r="301" customFormat="false" ht="15" hidden="false" customHeight="true" outlineLevel="0" collapsed="false">
      <c r="A301" s="16"/>
      <c r="B301" s="16"/>
      <c r="C301" s="16"/>
      <c r="D301" s="16"/>
      <c r="E301" s="17"/>
      <c r="F301" s="18"/>
    </row>
    <row r="302" customFormat="false" ht="15" hidden="false" customHeight="true" outlineLevel="0" collapsed="false">
      <c r="A302" s="16"/>
      <c r="B302" s="16"/>
      <c r="C302" s="16"/>
      <c r="D302" s="16"/>
      <c r="E302" s="17"/>
      <c r="F302" s="18"/>
    </row>
    <row r="303" customFormat="false" ht="15" hidden="false" customHeight="true" outlineLevel="0" collapsed="false">
      <c r="A303" s="16"/>
      <c r="B303" s="16"/>
      <c r="C303" s="16"/>
      <c r="D303" s="16"/>
      <c r="E303" s="17"/>
      <c r="F303" s="18"/>
    </row>
    <row r="304" customFormat="false" ht="15" hidden="false" customHeight="true" outlineLevel="0" collapsed="false">
      <c r="A304" s="16"/>
      <c r="B304" s="16"/>
      <c r="C304" s="16"/>
      <c r="D304" s="16"/>
      <c r="E304" s="17"/>
      <c r="F304" s="18"/>
    </row>
    <row r="305" customFormat="false" ht="15" hidden="false" customHeight="true" outlineLevel="0" collapsed="false">
      <c r="A305" s="16"/>
      <c r="B305" s="16"/>
      <c r="C305" s="16"/>
      <c r="D305" s="16"/>
      <c r="E305" s="17"/>
      <c r="F305" s="18"/>
    </row>
    <row r="306" customFormat="false" ht="15" hidden="false" customHeight="true" outlineLevel="0" collapsed="false">
      <c r="A306" s="16"/>
      <c r="B306" s="16"/>
      <c r="C306" s="16"/>
      <c r="D306" s="16"/>
      <c r="E306" s="17"/>
      <c r="F306" s="18"/>
    </row>
    <row r="307" customFormat="false" ht="15" hidden="false" customHeight="true" outlineLevel="0" collapsed="false">
      <c r="A307" s="16"/>
      <c r="B307" s="16"/>
      <c r="C307" s="16"/>
      <c r="D307" s="16"/>
      <c r="E307" s="17"/>
      <c r="F307" s="18"/>
    </row>
    <row r="308" customFormat="false" ht="15" hidden="false" customHeight="true" outlineLevel="0" collapsed="false">
      <c r="A308" s="16"/>
      <c r="B308" s="16"/>
      <c r="C308" s="16"/>
      <c r="D308" s="16"/>
      <c r="E308" s="17"/>
      <c r="F308" s="18"/>
    </row>
    <row r="309" customFormat="false" ht="15" hidden="false" customHeight="true" outlineLevel="0" collapsed="false">
      <c r="A309" s="16"/>
      <c r="B309" s="16"/>
      <c r="C309" s="16"/>
      <c r="D309" s="16"/>
      <c r="E309" s="17"/>
      <c r="F309" s="18"/>
    </row>
    <row r="310" customFormat="false" ht="15" hidden="false" customHeight="true" outlineLevel="0" collapsed="false">
      <c r="A310" s="16"/>
      <c r="B310" s="16"/>
      <c r="C310" s="16"/>
      <c r="D310" s="16"/>
      <c r="E310" s="17"/>
      <c r="F310" s="18"/>
    </row>
    <row r="311" customFormat="false" ht="15" hidden="false" customHeight="true" outlineLevel="0" collapsed="false">
      <c r="A311" s="16"/>
      <c r="B311" s="16"/>
      <c r="C311" s="16"/>
      <c r="D311" s="16"/>
      <c r="E311" s="17"/>
      <c r="F311" s="18"/>
    </row>
    <row r="312" customFormat="false" ht="15" hidden="false" customHeight="true" outlineLevel="0" collapsed="false">
      <c r="A312" s="16"/>
      <c r="B312" s="16"/>
      <c r="C312" s="16"/>
      <c r="D312" s="16"/>
      <c r="E312" s="17"/>
      <c r="F312" s="18"/>
    </row>
    <row r="313" customFormat="false" ht="15" hidden="false" customHeight="true" outlineLevel="0" collapsed="false">
      <c r="A313" s="16"/>
      <c r="B313" s="16"/>
      <c r="C313" s="16"/>
      <c r="D313" s="16"/>
      <c r="E313" s="17"/>
      <c r="F313" s="18"/>
    </row>
    <row r="314" customFormat="false" ht="15" hidden="false" customHeight="true" outlineLevel="0" collapsed="false">
      <c r="A314" s="16"/>
      <c r="B314" s="16"/>
      <c r="C314" s="16"/>
      <c r="D314" s="16"/>
      <c r="E314" s="17"/>
      <c r="F314" s="18"/>
    </row>
    <row r="315" customFormat="false" ht="15" hidden="false" customHeight="true" outlineLevel="0" collapsed="false">
      <c r="A315" s="16"/>
      <c r="B315" s="16"/>
      <c r="C315" s="16"/>
      <c r="D315" s="16"/>
      <c r="E315" s="17"/>
      <c r="F315" s="18"/>
    </row>
    <row r="316" customFormat="false" ht="15" hidden="false" customHeight="true" outlineLevel="0" collapsed="false">
      <c r="A316" s="16"/>
      <c r="B316" s="16"/>
      <c r="C316" s="16"/>
      <c r="D316" s="16"/>
      <c r="E316" s="17"/>
      <c r="F316" s="18"/>
    </row>
    <row r="317" customFormat="false" ht="15" hidden="false" customHeight="true" outlineLevel="0" collapsed="false">
      <c r="A317" s="16"/>
      <c r="B317" s="16"/>
      <c r="C317" s="16"/>
      <c r="D317" s="16"/>
      <c r="E317" s="17"/>
      <c r="F317" s="18"/>
    </row>
    <row r="318" customFormat="false" ht="15" hidden="false" customHeight="true" outlineLevel="0" collapsed="false">
      <c r="A318" s="16"/>
      <c r="B318" s="16"/>
      <c r="C318" s="16"/>
      <c r="D318" s="16"/>
      <c r="E318" s="17"/>
      <c r="F318" s="18"/>
    </row>
    <row r="319" customFormat="false" ht="15" hidden="false" customHeight="true" outlineLevel="0" collapsed="false">
      <c r="A319" s="16"/>
      <c r="B319" s="16"/>
      <c r="C319" s="16"/>
      <c r="D319" s="16"/>
      <c r="E319" s="17"/>
      <c r="F319" s="18"/>
    </row>
    <row r="320" customFormat="false" ht="15" hidden="false" customHeight="true" outlineLevel="0" collapsed="false">
      <c r="A320" s="16"/>
      <c r="B320" s="16"/>
      <c r="C320" s="16"/>
      <c r="D320" s="16"/>
      <c r="E320" s="17"/>
      <c r="F320" s="18"/>
    </row>
    <row r="321" customFormat="false" ht="15" hidden="false" customHeight="true" outlineLevel="0" collapsed="false">
      <c r="A321" s="16"/>
      <c r="B321" s="16"/>
      <c r="C321" s="16"/>
      <c r="D321" s="16"/>
      <c r="E321" s="17"/>
      <c r="F321" s="18"/>
    </row>
    <row r="322" customFormat="false" ht="15" hidden="false" customHeight="true" outlineLevel="0" collapsed="false">
      <c r="A322" s="16"/>
      <c r="B322" s="16"/>
      <c r="C322" s="16"/>
      <c r="D322" s="16"/>
      <c r="E322" s="17"/>
      <c r="F322" s="18"/>
    </row>
    <row r="323" customFormat="false" ht="15" hidden="false" customHeight="true" outlineLevel="0" collapsed="false">
      <c r="A323" s="16"/>
      <c r="B323" s="16"/>
      <c r="C323" s="16"/>
      <c r="D323" s="16"/>
      <c r="E323" s="17"/>
      <c r="F323" s="18"/>
    </row>
    <row r="324" customFormat="false" ht="15" hidden="false" customHeight="true" outlineLevel="0" collapsed="false">
      <c r="A324" s="16"/>
      <c r="B324" s="16"/>
      <c r="C324" s="16"/>
      <c r="D324" s="16"/>
      <c r="E324" s="17"/>
      <c r="F324" s="18"/>
    </row>
    <row r="325" customFormat="false" ht="15" hidden="false" customHeight="true" outlineLevel="0" collapsed="false">
      <c r="A325" s="16"/>
      <c r="B325" s="16"/>
      <c r="C325" s="16"/>
      <c r="D325" s="16"/>
      <c r="E325" s="17"/>
      <c r="F325" s="18"/>
    </row>
    <row r="326" customFormat="false" ht="15" hidden="false" customHeight="true" outlineLevel="0" collapsed="false">
      <c r="A326" s="16"/>
      <c r="B326" s="16"/>
      <c r="C326" s="16"/>
      <c r="D326" s="16"/>
      <c r="E326" s="17"/>
      <c r="F326" s="18"/>
    </row>
    <row r="327" customFormat="false" ht="15" hidden="false" customHeight="true" outlineLevel="0" collapsed="false">
      <c r="A327" s="16"/>
      <c r="B327" s="16"/>
      <c r="C327" s="16"/>
      <c r="D327" s="16"/>
      <c r="E327" s="17"/>
      <c r="F327" s="18"/>
    </row>
    <row r="328" customFormat="false" ht="15" hidden="false" customHeight="true" outlineLevel="0" collapsed="false">
      <c r="A328" s="16"/>
      <c r="B328" s="16"/>
      <c r="C328" s="16"/>
      <c r="D328" s="16"/>
      <c r="E328" s="17"/>
      <c r="F328" s="18"/>
    </row>
    <row r="329" customFormat="false" ht="15" hidden="false" customHeight="true" outlineLevel="0" collapsed="false">
      <c r="A329" s="16"/>
      <c r="B329" s="16"/>
      <c r="C329" s="16"/>
      <c r="D329" s="16"/>
      <c r="E329" s="17"/>
      <c r="F329" s="18"/>
    </row>
    <row r="330" customFormat="false" ht="15" hidden="false" customHeight="true" outlineLevel="0" collapsed="false">
      <c r="A330" s="16"/>
      <c r="B330" s="16"/>
      <c r="C330" s="16"/>
      <c r="D330" s="16"/>
      <c r="E330" s="17"/>
      <c r="F330" s="18"/>
    </row>
    <row r="331" customFormat="false" ht="15" hidden="false" customHeight="true" outlineLevel="0" collapsed="false">
      <c r="A331" s="16"/>
      <c r="B331" s="16"/>
      <c r="C331" s="16"/>
      <c r="D331" s="16"/>
      <c r="E331" s="17"/>
      <c r="F331" s="18"/>
    </row>
    <row r="332" customFormat="false" ht="15" hidden="false" customHeight="true" outlineLevel="0" collapsed="false">
      <c r="A332" s="16"/>
      <c r="B332" s="16"/>
      <c r="C332" s="16"/>
      <c r="D332" s="16"/>
      <c r="E332" s="17"/>
      <c r="F332" s="18"/>
    </row>
    <row r="333" customFormat="false" ht="15" hidden="false" customHeight="true" outlineLevel="0" collapsed="false">
      <c r="A333" s="16"/>
      <c r="B333" s="16"/>
      <c r="C333" s="16"/>
      <c r="D333" s="16"/>
      <c r="E333" s="17"/>
      <c r="F333" s="18"/>
    </row>
    <row r="334" customFormat="false" ht="15" hidden="false" customHeight="true" outlineLevel="0" collapsed="false">
      <c r="A334" s="16"/>
      <c r="B334" s="16"/>
      <c r="C334" s="16"/>
      <c r="D334" s="16"/>
      <c r="E334" s="17"/>
      <c r="F334" s="18"/>
    </row>
    <row r="335" customFormat="false" ht="15" hidden="false" customHeight="true" outlineLevel="0" collapsed="false">
      <c r="A335" s="16"/>
      <c r="B335" s="16"/>
      <c r="C335" s="16"/>
      <c r="D335" s="16"/>
      <c r="E335" s="17"/>
      <c r="F335" s="18"/>
    </row>
    <row r="336" customFormat="false" ht="15" hidden="false" customHeight="true" outlineLevel="0" collapsed="false">
      <c r="A336" s="16"/>
      <c r="B336" s="16"/>
      <c r="C336" s="16"/>
      <c r="D336" s="16"/>
      <c r="E336" s="17"/>
      <c r="F336" s="18"/>
    </row>
    <row r="337" customFormat="false" ht="15" hidden="false" customHeight="true" outlineLevel="0" collapsed="false">
      <c r="A337" s="16"/>
      <c r="B337" s="16"/>
      <c r="C337" s="16"/>
      <c r="D337" s="16"/>
      <c r="E337" s="17"/>
      <c r="F337" s="18"/>
    </row>
    <row r="338" customFormat="false" ht="15" hidden="false" customHeight="true" outlineLevel="0" collapsed="false">
      <c r="A338" s="16"/>
      <c r="B338" s="16"/>
      <c r="C338" s="16"/>
      <c r="D338" s="16"/>
      <c r="E338" s="17"/>
      <c r="F338" s="18"/>
    </row>
    <row r="339" customFormat="false" ht="15" hidden="false" customHeight="true" outlineLevel="0" collapsed="false">
      <c r="A339" s="16"/>
      <c r="B339" s="16"/>
      <c r="C339" s="16"/>
      <c r="D339" s="16"/>
      <c r="E339" s="17"/>
      <c r="F339" s="18"/>
    </row>
    <row r="340" customFormat="false" ht="15" hidden="false" customHeight="true" outlineLevel="0" collapsed="false">
      <c r="A340" s="16"/>
      <c r="B340" s="16"/>
      <c r="C340" s="16"/>
      <c r="D340" s="16"/>
      <c r="E340" s="17"/>
      <c r="F340" s="18"/>
    </row>
    <row r="341" customFormat="false" ht="15" hidden="false" customHeight="true" outlineLevel="0" collapsed="false">
      <c r="A341" s="16"/>
      <c r="B341" s="16"/>
      <c r="C341" s="16"/>
      <c r="D341" s="16"/>
      <c r="E341" s="17"/>
      <c r="F341" s="18"/>
    </row>
    <row r="342" customFormat="false" ht="15" hidden="false" customHeight="true" outlineLevel="0" collapsed="false">
      <c r="A342" s="16"/>
      <c r="B342" s="16"/>
      <c r="C342" s="16"/>
      <c r="D342" s="16"/>
      <c r="E342" s="17"/>
      <c r="F342" s="18"/>
    </row>
    <row r="343" customFormat="false" ht="15" hidden="false" customHeight="true" outlineLevel="0" collapsed="false">
      <c r="A343" s="16"/>
      <c r="B343" s="16"/>
      <c r="C343" s="16"/>
      <c r="D343" s="16"/>
      <c r="E343" s="17"/>
      <c r="F343" s="18"/>
    </row>
    <row r="344" customFormat="false" ht="15" hidden="false" customHeight="true" outlineLevel="0" collapsed="false">
      <c r="A344" s="16"/>
      <c r="B344" s="16"/>
      <c r="C344" s="16"/>
      <c r="D344" s="16"/>
      <c r="E344" s="17"/>
      <c r="F344" s="18"/>
    </row>
    <row r="345" customFormat="false" ht="15" hidden="false" customHeight="true" outlineLevel="0" collapsed="false">
      <c r="A345" s="16"/>
      <c r="B345" s="16"/>
      <c r="C345" s="16"/>
      <c r="D345" s="16"/>
      <c r="E345" s="17"/>
      <c r="F345" s="18"/>
    </row>
    <row r="346" customFormat="false" ht="15" hidden="false" customHeight="true" outlineLevel="0" collapsed="false">
      <c r="A346" s="16"/>
      <c r="B346" s="16"/>
      <c r="C346" s="16"/>
      <c r="D346" s="16"/>
      <c r="E346" s="17"/>
      <c r="F346" s="18"/>
    </row>
    <row r="347" customFormat="false" ht="15" hidden="false" customHeight="true" outlineLevel="0" collapsed="false">
      <c r="A347" s="16"/>
      <c r="B347" s="16"/>
      <c r="C347" s="16"/>
      <c r="D347" s="16"/>
      <c r="E347" s="17"/>
      <c r="F347" s="18"/>
    </row>
    <row r="348" customFormat="false" ht="15" hidden="false" customHeight="true" outlineLevel="0" collapsed="false">
      <c r="A348" s="16"/>
      <c r="B348" s="16"/>
      <c r="C348" s="16"/>
      <c r="D348" s="16"/>
      <c r="E348" s="17"/>
      <c r="F348" s="18"/>
    </row>
    <row r="349" customFormat="false" ht="15" hidden="false" customHeight="true" outlineLevel="0" collapsed="false">
      <c r="A349" s="16"/>
      <c r="B349" s="16"/>
      <c r="C349" s="16"/>
      <c r="D349" s="16"/>
      <c r="E349" s="17"/>
      <c r="F349" s="18"/>
    </row>
    <row r="350" customFormat="false" ht="15" hidden="false" customHeight="true" outlineLevel="0" collapsed="false">
      <c r="A350" s="16"/>
      <c r="B350" s="16"/>
      <c r="C350" s="16"/>
      <c r="D350" s="16"/>
      <c r="E350" s="17"/>
      <c r="F350" s="18"/>
    </row>
    <row r="351" customFormat="false" ht="15" hidden="false" customHeight="true" outlineLevel="0" collapsed="false">
      <c r="A351" s="16"/>
      <c r="B351" s="16"/>
      <c r="C351" s="16"/>
      <c r="D351" s="16"/>
      <c r="E351" s="17"/>
      <c r="F351" s="18"/>
    </row>
    <row r="352" customFormat="false" ht="15" hidden="false" customHeight="true" outlineLevel="0" collapsed="false">
      <c r="A352" s="16"/>
      <c r="B352" s="16"/>
      <c r="C352" s="16"/>
      <c r="D352" s="16"/>
      <c r="E352" s="17"/>
      <c r="F352" s="18"/>
    </row>
    <row r="353" customFormat="false" ht="15" hidden="false" customHeight="true" outlineLevel="0" collapsed="false">
      <c r="A353" s="16"/>
      <c r="B353" s="16"/>
      <c r="C353" s="16"/>
      <c r="D353" s="16"/>
      <c r="E353" s="17"/>
      <c r="F353" s="18"/>
    </row>
    <row r="354" customFormat="false" ht="15" hidden="false" customHeight="true" outlineLevel="0" collapsed="false">
      <c r="A354" s="16"/>
      <c r="B354" s="16"/>
      <c r="C354" s="16"/>
      <c r="D354" s="16"/>
      <c r="E354" s="17"/>
      <c r="F354" s="18"/>
    </row>
    <row r="355" customFormat="false" ht="15" hidden="false" customHeight="true" outlineLevel="0" collapsed="false">
      <c r="A355" s="16"/>
      <c r="B355" s="16"/>
      <c r="C355" s="16"/>
      <c r="D355" s="16"/>
      <c r="E355" s="17"/>
      <c r="F355" s="18"/>
    </row>
    <row r="356" customFormat="false" ht="15" hidden="false" customHeight="true" outlineLevel="0" collapsed="false">
      <c r="A356" s="16"/>
      <c r="B356" s="16"/>
      <c r="C356" s="16"/>
      <c r="D356" s="16"/>
      <c r="E356" s="17"/>
      <c r="F356" s="18"/>
    </row>
    <row r="357" customFormat="false" ht="15" hidden="false" customHeight="true" outlineLevel="0" collapsed="false">
      <c r="A357" s="16"/>
      <c r="B357" s="16"/>
      <c r="C357" s="16"/>
      <c r="D357" s="16"/>
      <c r="E357" s="17"/>
      <c r="F357" s="18"/>
    </row>
    <row r="358" customFormat="false" ht="15" hidden="false" customHeight="true" outlineLevel="0" collapsed="false">
      <c r="A358" s="16"/>
      <c r="B358" s="16"/>
      <c r="C358" s="16"/>
      <c r="D358" s="16"/>
      <c r="E358" s="17"/>
      <c r="F358" s="18"/>
    </row>
    <row r="359" customFormat="false" ht="15" hidden="false" customHeight="true" outlineLevel="0" collapsed="false">
      <c r="A359" s="16"/>
      <c r="B359" s="16"/>
      <c r="C359" s="16"/>
      <c r="D359" s="16"/>
      <c r="E359" s="17"/>
      <c r="F359" s="18"/>
    </row>
    <row r="360" customFormat="false" ht="15" hidden="false" customHeight="true" outlineLevel="0" collapsed="false">
      <c r="A360" s="16"/>
      <c r="B360" s="16"/>
      <c r="C360" s="16"/>
      <c r="D360" s="16"/>
      <c r="E360" s="17"/>
      <c r="F360" s="18"/>
    </row>
    <row r="361" customFormat="false" ht="15" hidden="false" customHeight="true" outlineLevel="0" collapsed="false">
      <c r="A361" s="16"/>
      <c r="B361" s="16"/>
      <c r="C361" s="16"/>
      <c r="D361" s="16"/>
      <c r="E361" s="17"/>
      <c r="F361" s="18"/>
    </row>
    <row r="362" customFormat="false" ht="15" hidden="false" customHeight="true" outlineLevel="0" collapsed="false">
      <c r="A362" s="16"/>
      <c r="B362" s="16"/>
      <c r="C362" s="16"/>
      <c r="D362" s="16"/>
      <c r="E362" s="17"/>
      <c r="F362" s="18"/>
    </row>
    <row r="363" customFormat="false" ht="15" hidden="false" customHeight="true" outlineLevel="0" collapsed="false">
      <c r="A363" s="16"/>
      <c r="B363" s="16"/>
      <c r="C363" s="16"/>
      <c r="D363" s="16"/>
      <c r="E363" s="17"/>
      <c r="F363" s="18"/>
    </row>
    <row r="364" customFormat="false" ht="15" hidden="false" customHeight="true" outlineLevel="0" collapsed="false">
      <c r="A364" s="16"/>
      <c r="B364" s="16"/>
      <c r="C364" s="16"/>
      <c r="D364" s="16"/>
      <c r="E364" s="17"/>
      <c r="F364" s="18"/>
    </row>
    <row r="365" customFormat="false" ht="15" hidden="false" customHeight="true" outlineLevel="0" collapsed="false">
      <c r="A365" s="16"/>
      <c r="B365" s="16"/>
      <c r="C365" s="16"/>
      <c r="D365" s="16"/>
      <c r="E365" s="17"/>
      <c r="F365" s="18"/>
    </row>
    <row r="366" customFormat="false" ht="15" hidden="false" customHeight="true" outlineLevel="0" collapsed="false">
      <c r="A366" s="16"/>
      <c r="B366" s="16"/>
      <c r="C366" s="16"/>
      <c r="D366" s="16"/>
      <c r="E366" s="17"/>
      <c r="F366" s="18"/>
    </row>
    <row r="367" customFormat="false" ht="15" hidden="false" customHeight="true" outlineLevel="0" collapsed="false">
      <c r="A367" s="16"/>
      <c r="B367" s="16"/>
      <c r="C367" s="16"/>
      <c r="D367" s="16"/>
      <c r="E367" s="17"/>
      <c r="F367" s="18"/>
    </row>
    <row r="368" customFormat="false" ht="15" hidden="false" customHeight="true" outlineLevel="0" collapsed="false">
      <c r="A368" s="16"/>
      <c r="B368" s="16"/>
      <c r="C368" s="16"/>
      <c r="D368" s="16"/>
      <c r="E368" s="17"/>
      <c r="F368" s="18"/>
    </row>
    <row r="369" customFormat="false" ht="15" hidden="false" customHeight="true" outlineLevel="0" collapsed="false">
      <c r="A369" s="16"/>
      <c r="B369" s="16"/>
      <c r="C369" s="16"/>
      <c r="D369" s="16"/>
      <c r="E369" s="17"/>
      <c r="F369" s="18"/>
    </row>
    <row r="370" customFormat="false" ht="15" hidden="false" customHeight="true" outlineLevel="0" collapsed="false">
      <c r="A370" s="16"/>
      <c r="B370" s="16"/>
      <c r="C370" s="16"/>
      <c r="D370" s="16"/>
      <c r="E370" s="17"/>
      <c r="F370" s="18"/>
    </row>
    <row r="371" customFormat="false" ht="15" hidden="false" customHeight="true" outlineLevel="0" collapsed="false">
      <c r="A371" s="16"/>
      <c r="B371" s="16"/>
      <c r="C371" s="16"/>
      <c r="D371" s="16"/>
      <c r="E371" s="17"/>
      <c r="F371" s="18"/>
    </row>
    <row r="372" customFormat="false" ht="15" hidden="false" customHeight="true" outlineLevel="0" collapsed="false">
      <c r="A372" s="16"/>
      <c r="B372" s="16"/>
      <c r="C372" s="16"/>
      <c r="D372" s="16"/>
      <c r="E372" s="17"/>
      <c r="F372" s="18"/>
    </row>
    <row r="373" customFormat="false" ht="15" hidden="false" customHeight="true" outlineLevel="0" collapsed="false">
      <c r="A373" s="16"/>
      <c r="B373" s="16"/>
      <c r="C373" s="16"/>
      <c r="D373" s="16"/>
      <c r="E373" s="17"/>
      <c r="F373" s="18"/>
    </row>
    <row r="374" customFormat="false" ht="15" hidden="false" customHeight="true" outlineLevel="0" collapsed="false">
      <c r="A374" s="16"/>
      <c r="B374" s="16"/>
      <c r="C374" s="16"/>
      <c r="D374" s="16"/>
      <c r="E374" s="17"/>
      <c r="F374" s="18"/>
    </row>
    <row r="375" customFormat="false" ht="15" hidden="false" customHeight="true" outlineLevel="0" collapsed="false">
      <c r="A375" s="16"/>
      <c r="B375" s="16"/>
      <c r="C375" s="16"/>
      <c r="D375" s="16"/>
      <c r="E375" s="17"/>
      <c r="F375" s="18"/>
    </row>
    <row r="376" customFormat="false" ht="15" hidden="false" customHeight="true" outlineLevel="0" collapsed="false">
      <c r="A376" s="16"/>
      <c r="B376" s="16"/>
      <c r="C376" s="16"/>
      <c r="D376" s="16"/>
      <c r="E376" s="17"/>
      <c r="F376" s="18"/>
    </row>
    <row r="377" customFormat="false" ht="15" hidden="false" customHeight="true" outlineLevel="0" collapsed="false">
      <c r="A377" s="16"/>
      <c r="B377" s="16"/>
      <c r="C377" s="16"/>
      <c r="D377" s="16"/>
      <c r="E377" s="17"/>
      <c r="F377" s="18"/>
    </row>
    <row r="378" customFormat="false" ht="15" hidden="false" customHeight="true" outlineLevel="0" collapsed="false">
      <c r="A378" s="16"/>
      <c r="B378" s="16"/>
      <c r="C378" s="16"/>
      <c r="D378" s="16"/>
      <c r="E378" s="17"/>
      <c r="F378" s="18"/>
    </row>
    <row r="379" customFormat="false" ht="15" hidden="false" customHeight="true" outlineLevel="0" collapsed="false">
      <c r="A379" s="16"/>
      <c r="B379" s="16"/>
      <c r="C379" s="16"/>
      <c r="D379" s="16"/>
      <c r="E379" s="17"/>
      <c r="F379" s="18"/>
    </row>
    <row r="380" customFormat="false" ht="15" hidden="false" customHeight="true" outlineLevel="0" collapsed="false">
      <c r="A380" s="16"/>
      <c r="B380" s="16"/>
      <c r="C380" s="16"/>
      <c r="D380" s="16"/>
      <c r="E380" s="17"/>
      <c r="F380" s="18"/>
    </row>
    <row r="381" customFormat="false" ht="15" hidden="false" customHeight="true" outlineLevel="0" collapsed="false">
      <c r="A381" s="16"/>
      <c r="B381" s="16"/>
      <c r="C381" s="16"/>
      <c r="D381" s="16"/>
      <c r="E381" s="17"/>
      <c r="F381" s="18"/>
    </row>
    <row r="382" customFormat="false" ht="15" hidden="false" customHeight="true" outlineLevel="0" collapsed="false">
      <c r="A382" s="16"/>
      <c r="B382" s="16"/>
      <c r="C382" s="16"/>
      <c r="D382" s="16"/>
      <c r="E382" s="17"/>
      <c r="F382" s="18"/>
    </row>
    <row r="383" customFormat="false" ht="15" hidden="false" customHeight="true" outlineLevel="0" collapsed="false">
      <c r="A383" s="16"/>
      <c r="B383" s="16"/>
      <c r="C383" s="16"/>
      <c r="D383" s="16"/>
      <c r="E383" s="17"/>
      <c r="F383" s="18"/>
    </row>
    <row r="384" customFormat="false" ht="15" hidden="false" customHeight="true" outlineLevel="0" collapsed="false">
      <c r="A384" s="16"/>
      <c r="B384" s="16"/>
      <c r="C384" s="16"/>
      <c r="D384" s="16"/>
      <c r="E384" s="17"/>
      <c r="F384" s="18"/>
    </row>
    <row r="385" customFormat="false" ht="15" hidden="false" customHeight="true" outlineLevel="0" collapsed="false">
      <c r="A385" s="16"/>
      <c r="B385" s="16"/>
      <c r="C385" s="16"/>
      <c r="D385" s="16"/>
      <c r="E385" s="17"/>
      <c r="F385" s="18"/>
    </row>
    <row r="386" customFormat="false" ht="15" hidden="false" customHeight="true" outlineLevel="0" collapsed="false">
      <c r="A386" s="16"/>
      <c r="B386" s="16"/>
      <c r="C386" s="16"/>
      <c r="D386" s="16"/>
      <c r="E386" s="17"/>
      <c r="F386" s="18"/>
    </row>
    <row r="387" customFormat="false" ht="15" hidden="false" customHeight="true" outlineLevel="0" collapsed="false">
      <c r="A387" s="16"/>
      <c r="B387" s="16"/>
      <c r="C387" s="16"/>
      <c r="D387" s="16"/>
      <c r="E387" s="17"/>
      <c r="F387" s="18"/>
    </row>
    <row r="388" customFormat="false" ht="15" hidden="false" customHeight="true" outlineLevel="0" collapsed="false">
      <c r="A388" s="16"/>
      <c r="B388" s="16"/>
      <c r="C388" s="16"/>
      <c r="D388" s="16"/>
      <c r="E388" s="17"/>
      <c r="F388" s="18"/>
    </row>
    <row r="389" customFormat="false" ht="15" hidden="false" customHeight="true" outlineLevel="0" collapsed="false">
      <c r="A389" s="16"/>
      <c r="B389" s="16"/>
      <c r="C389" s="16"/>
      <c r="D389" s="16"/>
      <c r="E389" s="17"/>
      <c r="F389" s="18"/>
    </row>
    <row r="390" customFormat="false" ht="15" hidden="false" customHeight="true" outlineLevel="0" collapsed="false">
      <c r="A390" s="16"/>
      <c r="B390" s="16"/>
      <c r="C390" s="16"/>
      <c r="D390" s="16"/>
      <c r="E390" s="17"/>
      <c r="F390" s="18"/>
    </row>
    <row r="391" customFormat="false" ht="15" hidden="false" customHeight="true" outlineLevel="0" collapsed="false">
      <c r="A391" s="16"/>
      <c r="B391" s="16"/>
      <c r="C391" s="16"/>
      <c r="D391" s="16"/>
      <c r="E391" s="17"/>
      <c r="F391" s="18"/>
    </row>
    <row r="392" customFormat="false" ht="15" hidden="false" customHeight="true" outlineLevel="0" collapsed="false">
      <c r="A392" s="16"/>
      <c r="B392" s="16"/>
      <c r="C392" s="16"/>
      <c r="D392" s="16"/>
      <c r="E392" s="17"/>
      <c r="F392" s="18"/>
    </row>
    <row r="393" customFormat="false" ht="15" hidden="false" customHeight="true" outlineLevel="0" collapsed="false">
      <c r="A393" s="16"/>
      <c r="B393" s="16"/>
      <c r="C393" s="16"/>
      <c r="D393" s="16"/>
      <c r="E393" s="17"/>
      <c r="F393" s="18"/>
    </row>
    <row r="394" customFormat="false" ht="15" hidden="false" customHeight="true" outlineLevel="0" collapsed="false">
      <c r="A394" s="16"/>
      <c r="B394" s="16"/>
      <c r="C394" s="16"/>
      <c r="D394" s="16"/>
      <c r="E394" s="17"/>
      <c r="F394" s="18"/>
    </row>
    <row r="395" customFormat="false" ht="15" hidden="false" customHeight="true" outlineLevel="0" collapsed="false">
      <c r="A395" s="16"/>
      <c r="B395" s="16"/>
      <c r="C395" s="16"/>
      <c r="D395" s="16"/>
      <c r="E395" s="17"/>
      <c r="F395" s="18"/>
    </row>
    <row r="396" customFormat="false" ht="15" hidden="false" customHeight="true" outlineLevel="0" collapsed="false">
      <c r="A396" s="16"/>
      <c r="B396" s="16"/>
      <c r="C396" s="16"/>
      <c r="D396" s="16"/>
      <c r="E396" s="17"/>
      <c r="F396" s="18"/>
    </row>
    <row r="397" customFormat="false" ht="15" hidden="false" customHeight="true" outlineLevel="0" collapsed="false">
      <c r="A397" s="16"/>
      <c r="B397" s="16"/>
      <c r="C397" s="16"/>
      <c r="D397" s="16"/>
      <c r="E397" s="17"/>
      <c r="F397" s="18"/>
    </row>
  </sheetData>
  <autoFilter ref="A1:F397"/>
  <dataValidations count="3">
    <dataValidation allowBlank="true" errorStyle="stop" operator="between" showDropDown="false" showErrorMessage="false" showInputMessage="false" sqref="B2:B397" type="list">
      <formula1>"Legislation,CMS Rule,Rate Announcement,Enrollment Milestone,Plan Landscape Release,Disaster SEP,State Regulation,Litigation,Other"</formula1>
      <formula2>0</formula2>
    </dataValidation>
    <dataValidation allowBlank="true" errorStyle="stop" operator="between" showDropDown="false" showErrorMessage="false" showInputMessage="false" sqref="C2:C397" type="list">
      <formula1>"MA,MS,Part D,D-SNP,C-SNP,MA / Part D,MA / MS,MA / Part D / MS,MA / Part D / D-SNP,Part D / MA / D-SNP,D-SNP / MA / Part D,All,Multiple"</formula1>
      <formula2>0</formula2>
    </dataValidation>
    <dataValidation allowBlank="true" errorStyle="stop" operator="between" showDropDown="false" showErrorMessage="false" showInputMessage="false" sqref="D2:D397" type="list">
      <formula1>"Announced,Effective,Deadline"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3" activeCellId="0" sqref="K3"/>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16"/>
    <col collapsed="false" customWidth="true" hidden="false" outlineLevel="0" max="5" min="5" style="1" width="55"/>
    <col collapsed="false" customWidth="true" hidden="false" outlineLevel="0" max="7" min="6" style="1" width="14"/>
    <col collapsed="false" customWidth="true" hidden="false" outlineLevel="0" max="8" min="8" style="1" width="15"/>
    <col collapsed="false" customWidth="true" hidden="false" outlineLevel="0" max="9" min="9" style="1" width="11"/>
    <col collapsed="false" customWidth="true" hidden="false" outlineLevel="0" max="10" min="10" style="1" width="16"/>
    <col collapsed="false" customWidth="true" hidden="false" outlineLevel="0" max="11" min="11" style="1" width="12"/>
    <col collapsed="false" customWidth="true" hidden="false" outlineLevel="0" max="12" min="12" style="19" width="10.45"/>
  </cols>
  <sheetData>
    <row r="1" customFormat="false" ht="14.25" hidden="false" customHeight="true" outlineLevel="0" collapsed="false">
      <c r="A1" s="2" t="s">
        <v>151</v>
      </c>
      <c r="B1" s="2" t="s">
        <v>152</v>
      </c>
      <c r="C1" s="2" t="s">
        <v>153</v>
      </c>
      <c r="D1" s="2" t="s">
        <v>154</v>
      </c>
      <c r="E1" s="2" t="s">
        <v>155</v>
      </c>
      <c r="F1" s="2" t="s">
        <v>156</v>
      </c>
      <c r="G1" s="2" t="s">
        <v>157</v>
      </c>
      <c r="H1" s="2" t="s">
        <v>158</v>
      </c>
      <c r="I1" s="2" t="s">
        <v>159</v>
      </c>
      <c r="J1" s="2" t="s">
        <v>160</v>
      </c>
      <c r="K1" s="2" t="s">
        <v>161</v>
      </c>
      <c r="L1" s="2" t="s">
        <v>162</v>
      </c>
    </row>
    <row r="2" customFormat="false" ht="25.5" hidden="false" customHeight="true" outlineLevel="0" collapsed="false">
      <c r="A2" s="15" t="n">
        <v>4775</v>
      </c>
      <c r="B2" s="15" t="s">
        <v>163</v>
      </c>
      <c r="C2" s="15" t="s">
        <v>164</v>
      </c>
      <c r="D2" s="15" t="s">
        <v>165</v>
      </c>
      <c r="E2" s="13" t="s">
        <v>166</v>
      </c>
      <c r="F2" s="3" t="n">
        <v>45296</v>
      </c>
      <c r="G2" s="3" t="n">
        <v>45320</v>
      </c>
      <c r="H2" s="3" t="n">
        <v>45410</v>
      </c>
      <c r="I2" s="15" t="s">
        <v>167</v>
      </c>
      <c r="J2" s="15" t="n">
        <v>17</v>
      </c>
      <c r="K2" s="3" t="n">
        <f aca="false">IF(OR(C2="DR",C2="EM"),MIN(F2,H2),"")</f>
        <v>45296</v>
      </c>
      <c r="L2" s="20" t="n">
        <f aca="false">IF(K2="","",EOMONTH(K2,2))</f>
        <v>45382</v>
      </c>
    </row>
    <row r="3" customFormat="false" ht="14.25" hidden="false" customHeight="true" outlineLevel="0" collapsed="false">
      <c r="A3" s="15" t="n">
        <v>4774</v>
      </c>
      <c r="B3" s="15" t="s">
        <v>168</v>
      </c>
      <c r="C3" s="15" t="s">
        <v>164</v>
      </c>
      <c r="D3" s="15" t="s">
        <v>169</v>
      </c>
      <c r="E3" s="13" t="s">
        <v>170</v>
      </c>
      <c r="F3" s="3" t="n">
        <v>45299</v>
      </c>
      <c r="G3" s="3" t="n">
        <v>45307</v>
      </c>
      <c r="H3" s="3" t="n">
        <v>45410</v>
      </c>
      <c r="I3" s="15" t="s">
        <v>167</v>
      </c>
      <c r="J3" s="15" t="n">
        <v>17</v>
      </c>
      <c r="K3" s="3" t="n">
        <f aca="false">IF(OR(C3="DR",C3="EM"),MIN(F3,H3),"")</f>
        <v>45299</v>
      </c>
      <c r="L3" s="20" t="n">
        <f aca="false">IF(K3="","",EOMONTH(K3,2))</f>
        <v>45382</v>
      </c>
    </row>
    <row r="4" customFormat="false" ht="14.25" hidden="false" customHeight="true" outlineLevel="0" collapsed="false">
      <c r="A4" s="15" t="n">
        <v>4764</v>
      </c>
      <c r="B4" s="15" t="s">
        <v>171</v>
      </c>
      <c r="C4" s="15" t="s">
        <v>164</v>
      </c>
      <c r="D4" s="15" t="s">
        <v>165</v>
      </c>
      <c r="E4" s="13" t="s">
        <v>172</v>
      </c>
      <c r="F4" s="3" t="n">
        <v>45300</v>
      </c>
      <c r="G4" s="3" t="n">
        <v>45304</v>
      </c>
      <c r="H4" s="3" t="n">
        <v>45371</v>
      </c>
      <c r="I4" s="15" t="s">
        <v>167</v>
      </c>
      <c r="J4" s="15" t="n">
        <v>8</v>
      </c>
      <c r="K4" s="3" t="n">
        <f aca="false">IF(OR(C4="DR",C4="EM"),MIN(F4,H4),"")</f>
        <v>45300</v>
      </c>
      <c r="L4" s="20" t="n">
        <f aca="false">IF(K4="","",EOMONTH(K4,2))</f>
        <v>45382</v>
      </c>
    </row>
    <row r="5" customFormat="false" ht="14.25" hidden="false" customHeight="true" outlineLevel="0" collapsed="false">
      <c r="A5" s="15" t="n">
        <v>4766</v>
      </c>
      <c r="B5" s="15" t="s">
        <v>102</v>
      </c>
      <c r="C5" s="15" t="s">
        <v>164</v>
      </c>
      <c r="D5" s="15" t="s">
        <v>165</v>
      </c>
      <c r="E5" s="13" t="s">
        <v>172</v>
      </c>
      <c r="F5" s="3" t="n">
        <v>45300</v>
      </c>
      <c r="G5" s="3" t="n">
        <v>45304</v>
      </c>
      <c r="H5" s="3" t="n">
        <v>45371</v>
      </c>
      <c r="I5" s="15" t="s">
        <v>167</v>
      </c>
      <c r="J5" s="15" t="n">
        <v>4</v>
      </c>
      <c r="K5" s="3" t="n">
        <f aca="false">IF(OR(C5="DR",C5="EM"),MIN(F5,H5),"")</f>
        <v>45300</v>
      </c>
      <c r="L5" s="20" t="n">
        <f aca="false">IF(K5="","",EOMONTH(K5,2))</f>
        <v>45382</v>
      </c>
    </row>
    <row r="6" customFormat="false" ht="14.25" hidden="false" customHeight="true" outlineLevel="0" collapsed="false">
      <c r="A6" s="15" t="n">
        <v>4770</v>
      </c>
      <c r="B6" s="15" t="s">
        <v>173</v>
      </c>
      <c r="C6" s="15" t="s">
        <v>164</v>
      </c>
      <c r="D6" s="15" t="s">
        <v>165</v>
      </c>
      <c r="E6" s="13" t="s">
        <v>170</v>
      </c>
      <c r="F6" s="3" t="n">
        <v>45300</v>
      </c>
      <c r="G6" s="3" t="n">
        <v>45304</v>
      </c>
      <c r="H6" s="3" t="n">
        <v>45401</v>
      </c>
      <c r="I6" s="15" t="s">
        <v>167</v>
      </c>
      <c r="J6" s="15" t="n">
        <v>5</v>
      </c>
      <c r="K6" s="3" t="n">
        <f aca="false">IF(OR(C6="DR",C6="EM"),MIN(F6,H6),"")</f>
        <v>45300</v>
      </c>
      <c r="L6" s="20" t="n">
        <f aca="false">IF(K6="","",EOMONTH(K6,2))</f>
        <v>45382</v>
      </c>
    </row>
    <row r="7" customFormat="false" ht="14.25" hidden="false" customHeight="true" outlineLevel="0" collapsed="false">
      <c r="A7" s="15" t="n">
        <v>4771</v>
      </c>
      <c r="B7" s="15" t="s">
        <v>174</v>
      </c>
      <c r="C7" s="15" t="s">
        <v>164</v>
      </c>
      <c r="D7" s="15" t="s">
        <v>165</v>
      </c>
      <c r="E7" s="13" t="s">
        <v>172</v>
      </c>
      <c r="F7" s="3" t="n">
        <v>45300</v>
      </c>
      <c r="G7" s="3" t="n">
        <v>45305</v>
      </c>
      <c r="H7" s="3" t="n">
        <v>45401</v>
      </c>
      <c r="I7" s="15" t="s">
        <v>167</v>
      </c>
      <c r="J7" s="15" t="n">
        <v>2</v>
      </c>
      <c r="K7" s="3" t="n">
        <f aca="false">IF(OR(C7="DR",C7="EM"),MIN(F7,H7),"")</f>
        <v>45300</v>
      </c>
      <c r="L7" s="20" t="n">
        <f aca="false">IF(K7="","",EOMONTH(K7,2))</f>
        <v>45382</v>
      </c>
    </row>
    <row r="8" customFormat="false" ht="14.25" hidden="false" customHeight="true" outlineLevel="0" collapsed="false">
      <c r="A8" s="15" t="n">
        <v>3604</v>
      </c>
      <c r="B8" s="15" t="s">
        <v>175</v>
      </c>
      <c r="C8" s="15" t="s">
        <v>176</v>
      </c>
      <c r="D8" s="15" t="s">
        <v>165</v>
      </c>
      <c r="E8" s="13" t="s">
        <v>177</v>
      </c>
      <c r="F8" s="3" t="n">
        <v>45301</v>
      </c>
      <c r="G8" s="3" t="n">
        <v>45304</v>
      </c>
      <c r="H8" s="3" t="n">
        <v>45304</v>
      </c>
      <c r="I8" s="15" t="s">
        <v>167</v>
      </c>
      <c r="J8" s="15" t="n">
        <v>3</v>
      </c>
      <c r="K8" s="3" t="n">
        <f aca="false">IF(OR(C8="DR",C8="EM"),MIN(F8,H8),"")</f>
        <v>45301</v>
      </c>
      <c r="L8" s="20" t="n">
        <f aca="false">IF(K8="","",EOMONTH(K8,2))</f>
        <v>45382</v>
      </c>
    </row>
    <row r="9" customFormat="false" ht="25.5" hidden="false" customHeight="true" outlineLevel="0" collapsed="false">
      <c r="A9" s="15" t="n">
        <v>4768</v>
      </c>
      <c r="B9" s="15" t="s">
        <v>178</v>
      </c>
      <c r="C9" s="15" t="s">
        <v>164</v>
      </c>
      <c r="D9" s="15" t="s">
        <v>165</v>
      </c>
      <c r="E9" s="13" t="s">
        <v>179</v>
      </c>
      <c r="F9" s="3" t="n">
        <v>45301</v>
      </c>
      <c r="G9" s="3" t="n">
        <v>45313</v>
      </c>
      <c r="H9" s="3" t="n">
        <v>45395</v>
      </c>
      <c r="I9" s="15" t="s">
        <v>167</v>
      </c>
      <c r="J9" s="15" t="n">
        <v>13</v>
      </c>
      <c r="K9" s="3" t="n">
        <f aca="false">IF(OR(C9="DR",C9="EM"),MIN(F9,H9),"")</f>
        <v>45301</v>
      </c>
      <c r="L9" s="20" t="n">
        <f aca="false">IF(K9="","",EOMONTH(K9,2))</f>
        <v>45382</v>
      </c>
    </row>
    <row r="10" customFormat="false" ht="14.25" hidden="false" customHeight="true" outlineLevel="0" collapsed="false">
      <c r="A10" s="15" t="n">
        <v>4758</v>
      </c>
      <c r="B10" s="15" t="s">
        <v>117</v>
      </c>
      <c r="C10" s="15" t="s">
        <v>164</v>
      </c>
      <c r="D10" s="15" t="s">
        <v>180</v>
      </c>
      <c r="E10" s="13" t="s">
        <v>181</v>
      </c>
      <c r="F10" s="3" t="n">
        <v>45312</v>
      </c>
      <c r="G10" s="3" t="n">
        <v>45314</v>
      </c>
      <c r="H10" s="3" t="n">
        <v>45341</v>
      </c>
      <c r="I10" s="15" t="s">
        <v>167</v>
      </c>
      <c r="J10" s="15" t="n">
        <v>1</v>
      </c>
      <c r="K10" s="3" t="n">
        <f aca="false">IF(OR(C10="DR",C10="EM"),MIN(F10,H10),"")</f>
        <v>45312</v>
      </c>
      <c r="L10" s="20" t="n">
        <f aca="false">IF(K10="","",EOMONTH(K10,2))</f>
        <v>45382</v>
      </c>
    </row>
    <row r="11" customFormat="false" ht="14.25" hidden="false" customHeight="true" outlineLevel="0" collapsed="false">
      <c r="A11" s="15" t="n">
        <v>4773</v>
      </c>
      <c r="B11" s="15" t="s">
        <v>117</v>
      </c>
      <c r="C11" s="15" t="s">
        <v>164</v>
      </c>
      <c r="D11" s="15" t="s">
        <v>165</v>
      </c>
      <c r="E11" s="13" t="s">
        <v>170</v>
      </c>
      <c r="F11" s="3" t="n">
        <v>45321</v>
      </c>
      <c r="G11" s="3" t="n">
        <v>45322</v>
      </c>
      <c r="H11" s="3" t="n">
        <v>45401</v>
      </c>
      <c r="I11" s="15" t="s">
        <v>167</v>
      </c>
      <c r="J11" s="15" t="n">
        <v>1</v>
      </c>
      <c r="K11" s="3" t="n">
        <f aca="false">IF(OR(C11="DR",C11="EM"),MIN(F11,H11),"")</f>
        <v>45321</v>
      </c>
      <c r="L11" s="20" t="n">
        <f aca="false">IF(K11="","",EOMONTH(K11,2))</f>
        <v>45382</v>
      </c>
    </row>
    <row r="12" customFormat="false" ht="25.5" hidden="false" customHeight="true" outlineLevel="0" collapsed="false">
      <c r="A12" s="15" t="n">
        <v>4769</v>
      </c>
      <c r="B12" s="15" t="s">
        <v>117</v>
      </c>
      <c r="C12" s="15" t="s">
        <v>164</v>
      </c>
      <c r="D12" s="15" t="s">
        <v>165</v>
      </c>
      <c r="E12" s="13" t="s">
        <v>182</v>
      </c>
      <c r="F12" s="3" t="n">
        <v>45322</v>
      </c>
      <c r="G12" s="3" t="n">
        <v>45331</v>
      </c>
      <c r="H12" s="3" t="n">
        <v>45395</v>
      </c>
      <c r="I12" s="15" t="s">
        <v>167</v>
      </c>
      <c r="J12" s="15" t="n">
        <v>9</v>
      </c>
      <c r="K12" s="3" t="n">
        <f aca="false">IF(OR(C12="DR",C12="EM"),MIN(F12,H12),"")</f>
        <v>45322</v>
      </c>
      <c r="L12" s="20" t="n">
        <f aca="false">IF(K12="","",EOMONTH(K12,2))</f>
        <v>45382</v>
      </c>
    </row>
    <row r="13" customFormat="false" ht="14.25" hidden="false" customHeight="true" outlineLevel="0" collapsed="false">
      <c r="A13" s="15" t="n">
        <v>4772</v>
      </c>
      <c r="B13" s="15" t="s">
        <v>117</v>
      </c>
      <c r="C13" s="15" t="s">
        <v>164</v>
      </c>
      <c r="D13" s="15" t="s">
        <v>165</v>
      </c>
      <c r="E13" s="13" t="s">
        <v>172</v>
      </c>
      <c r="F13" s="3" t="n">
        <v>45322</v>
      </c>
      <c r="G13" s="3" t="n">
        <v>45331</v>
      </c>
      <c r="H13" s="3" t="n">
        <v>45401</v>
      </c>
      <c r="I13" s="15" t="s">
        <v>167</v>
      </c>
      <c r="J13" s="15" t="n">
        <v>1</v>
      </c>
      <c r="K13" s="3" t="n">
        <f aca="false">IF(OR(C13="DR",C13="EM"),MIN(F13,H13),"")</f>
        <v>45322</v>
      </c>
      <c r="L13" s="20" t="n">
        <f aca="false">IF(K13="","",EOMONTH(K13,2))</f>
        <v>45382</v>
      </c>
    </row>
    <row r="14" customFormat="false" ht="14.25" hidden="false" customHeight="true" outlineLevel="0" collapsed="false">
      <c r="A14" s="15" t="n">
        <v>5487</v>
      </c>
      <c r="B14" s="15" t="s">
        <v>183</v>
      </c>
      <c r="C14" s="15" t="s">
        <v>184</v>
      </c>
      <c r="D14" s="15" t="s">
        <v>185</v>
      </c>
      <c r="E14" s="13" t="s">
        <v>186</v>
      </c>
      <c r="F14" s="3" t="n">
        <v>45349</v>
      </c>
      <c r="G14" s="3" t="n">
        <v>45367</v>
      </c>
      <c r="H14" s="3" t="n">
        <v>45349</v>
      </c>
      <c r="I14" s="15" t="s">
        <v>167</v>
      </c>
      <c r="J14" s="15" t="n">
        <v>1</v>
      </c>
      <c r="K14" s="3" t="str">
        <f aca="false">IF(OR(C14="DR",C14="EM"),MIN(F14,H14),"")</f>
        <v/>
      </c>
      <c r="L14" s="20" t="str">
        <f aca="false">IF(K14="","",EOMONTH(K14,2))</f>
        <v/>
      </c>
    </row>
    <row r="15" customFormat="false" ht="14.25" hidden="false" customHeight="true" outlineLevel="0" collapsed="false">
      <c r="A15" s="15" t="n">
        <v>5488</v>
      </c>
      <c r="B15" s="15" t="s">
        <v>183</v>
      </c>
      <c r="C15" s="15" t="s">
        <v>184</v>
      </c>
      <c r="D15" s="15" t="s">
        <v>185</v>
      </c>
      <c r="E15" s="13" t="s">
        <v>187</v>
      </c>
      <c r="F15" s="3" t="n">
        <v>45349</v>
      </c>
      <c r="G15" s="3" t="n">
        <v>45367</v>
      </c>
      <c r="H15" s="3" t="n">
        <v>45349</v>
      </c>
      <c r="I15" s="15" t="s">
        <v>167</v>
      </c>
      <c r="J15" s="15" t="n">
        <v>3</v>
      </c>
      <c r="K15" s="3" t="str">
        <f aca="false">IF(OR(C15="DR",C15="EM"),MIN(F15,H15),"")</f>
        <v/>
      </c>
      <c r="L15" s="20" t="str">
        <f aca="false">IF(K15="","",EOMONTH(K15,2))</f>
        <v/>
      </c>
    </row>
    <row r="16" customFormat="false" ht="14.25" hidden="false" customHeight="true" outlineLevel="0" collapsed="false">
      <c r="A16" s="15" t="n">
        <v>5489</v>
      </c>
      <c r="B16" s="15" t="s">
        <v>188</v>
      </c>
      <c r="C16" s="15" t="s">
        <v>184</v>
      </c>
      <c r="D16" s="15" t="s">
        <v>185</v>
      </c>
      <c r="E16" s="13" t="s">
        <v>189</v>
      </c>
      <c r="F16" s="3" t="n">
        <v>45349</v>
      </c>
      <c r="G16" s="3" t="n">
        <v>45371</v>
      </c>
      <c r="H16" s="3" t="n">
        <v>45349</v>
      </c>
      <c r="I16" s="15" t="s">
        <v>167</v>
      </c>
      <c r="J16" s="15" t="n">
        <v>1</v>
      </c>
      <c r="K16" s="3" t="str">
        <f aca="false">IF(OR(C16="DR",C16="EM"),MIN(F16,H16),"")</f>
        <v/>
      </c>
      <c r="L16" s="20" t="str">
        <f aca="false">IF(K16="","",EOMONTH(K16,2))</f>
        <v/>
      </c>
    </row>
    <row r="17" customFormat="false" ht="14.25" hidden="false" customHeight="true" outlineLevel="0" collapsed="false">
      <c r="A17" s="15" t="n">
        <v>5490</v>
      </c>
      <c r="B17" s="15" t="s">
        <v>96</v>
      </c>
      <c r="C17" s="15" t="s">
        <v>184</v>
      </c>
      <c r="D17" s="15" t="s">
        <v>185</v>
      </c>
      <c r="E17" s="13" t="s">
        <v>190</v>
      </c>
      <c r="F17" s="3" t="n">
        <v>45352</v>
      </c>
      <c r="G17" s="3" t="n">
        <v>45355</v>
      </c>
      <c r="H17" s="3" t="n">
        <v>45352</v>
      </c>
      <c r="I17" s="15" t="s">
        <v>167</v>
      </c>
      <c r="J17" s="15" t="n">
        <v>1</v>
      </c>
      <c r="K17" s="3" t="str">
        <f aca="false">IF(OR(C17="DR",C17="EM"),MIN(F17,H17),"")</f>
        <v/>
      </c>
      <c r="L17" s="20" t="str">
        <f aca="false">IF(K17="","",EOMONTH(K17,2))</f>
        <v/>
      </c>
    </row>
    <row r="18" customFormat="false" ht="14.25" hidden="false" customHeight="true" outlineLevel="0" collapsed="false">
      <c r="A18" s="15" t="n">
        <v>4777</v>
      </c>
      <c r="B18" s="15" t="s">
        <v>191</v>
      </c>
      <c r="C18" s="15" t="s">
        <v>164</v>
      </c>
      <c r="D18" s="15" t="s">
        <v>192</v>
      </c>
      <c r="E18" s="13" t="s">
        <v>193</v>
      </c>
      <c r="F18" s="3" t="n">
        <v>45365</v>
      </c>
      <c r="G18" s="3" t="n">
        <v>45365</v>
      </c>
      <c r="H18" s="3" t="n">
        <v>45414</v>
      </c>
      <c r="I18" s="15" t="s">
        <v>167</v>
      </c>
      <c r="J18" s="15" t="n">
        <v>11</v>
      </c>
      <c r="K18" s="3" t="n">
        <f aca="false">IF(OR(C18="DR",C18="EM"),MIN(F18,H18),"")</f>
        <v>45365</v>
      </c>
      <c r="L18" s="20" t="n">
        <f aca="false">IF(K18="","",EOMONTH(K18,2))</f>
        <v>45443</v>
      </c>
    </row>
    <row r="19" customFormat="false" ht="14.25" hidden="false" customHeight="true" outlineLevel="0" collapsed="false">
      <c r="A19" s="15" t="n">
        <v>4802</v>
      </c>
      <c r="B19" s="15" t="s">
        <v>188</v>
      </c>
      <c r="C19" s="15" t="s">
        <v>164</v>
      </c>
      <c r="D19" s="15" t="s">
        <v>165</v>
      </c>
      <c r="E19" s="13" t="s">
        <v>194</v>
      </c>
      <c r="F19" s="3" t="n">
        <v>45365</v>
      </c>
      <c r="G19" s="3" t="n">
        <v>45366</v>
      </c>
      <c r="H19" s="3" t="n">
        <v>45496</v>
      </c>
      <c r="I19" s="15" t="s">
        <v>167</v>
      </c>
      <c r="J19" s="15" t="n">
        <v>1</v>
      </c>
      <c r="K19" s="3" t="n">
        <f aca="false">IF(OR(C19="DR",C19="EM"),MIN(F19,H19),"")</f>
        <v>45365</v>
      </c>
      <c r="L19" s="20" t="n">
        <f aca="false">IF(K19="","",EOMONTH(K19,2))</f>
        <v>45443</v>
      </c>
    </row>
    <row r="20" customFormat="false" ht="25.5" hidden="false" customHeight="true" outlineLevel="0" collapsed="false">
      <c r="A20" s="15" t="n">
        <v>4782</v>
      </c>
      <c r="B20" s="15" t="s">
        <v>27</v>
      </c>
      <c r="C20" s="15" t="s">
        <v>164</v>
      </c>
      <c r="D20" s="15" t="s">
        <v>165</v>
      </c>
      <c r="E20" s="13" t="s">
        <v>195</v>
      </c>
      <c r="F20" s="3" t="n">
        <v>45384</v>
      </c>
      <c r="G20" s="3" t="n">
        <v>45384</v>
      </c>
      <c r="H20" s="3" t="n">
        <v>45434</v>
      </c>
      <c r="I20" s="15" t="s">
        <v>167</v>
      </c>
      <c r="J20" s="15" t="n">
        <v>11</v>
      </c>
      <c r="K20" s="3" t="n">
        <f aca="false">IF(OR(C20="DR",C20="EM"),MIN(F20,H20),"")</f>
        <v>45384</v>
      </c>
      <c r="L20" s="20" t="n">
        <f aca="false">IF(K20="","",EOMONTH(K20,2))</f>
        <v>45473</v>
      </c>
    </row>
    <row r="21" customFormat="false" ht="25.5" hidden="false" customHeight="true" outlineLevel="0" collapsed="false">
      <c r="A21" s="15" t="n">
        <v>4783</v>
      </c>
      <c r="B21" s="15" t="s">
        <v>196</v>
      </c>
      <c r="C21" s="15" t="s">
        <v>164</v>
      </c>
      <c r="D21" s="15" t="s">
        <v>165</v>
      </c>
      <c r="E21" s="13" t="s">
        <v>197</v>
      </c>
      <c r="F21" s="3" t="n">
        <v>45384</v>
      </c>
      <c r="G21" s="3" t="n">
        <v>45388</v>
      </c>
      <c r="H21" s="3" t="n">
        <v>45434</v>
      </c>
      <c r="I21" s="15" t="s">
        <v>167</v>
      </c>
      <c r="J21" s="15" t="n">
        <v>15</v>
      </c>
      <c r="K21" s="3" t="n">
        <f aca="false">IF(OR(C21="DR",C21="EM"),MIN(F21,H21),"")</f>
        <v>45384</v>
      </c>
      <c r="L21" s="20" t="n">
        <f aca="false">IF(K21="","",EOMONTH(K21,2))</f>
        <v>45473</v>
      </c>
    </row>
    <row r="22" customFormat="false" ht="14.25" hidden="false" customHeight="true" outlineLevel="0" collapsed="false">
      <c r="A22" s="15" t="n">
        <v>4785</v>
      </c>
      <c r="B22" s="15" t="s">
        <v>171</v>
      </c>
      <c r="C22" s="15" t="s">
        <v>164</v>
      </c>
      <c r="D22" s="15" t="s">
        <v>169</v>
      </c>
      <c r="E22" s="13" t="s">
        <v>170</v>
      </c>
      <c r="F22" s="3" t="n">
        <v>45385</v>
      </c>
      <c r="G22" s="3" t="n">
        <v>45387</v>
      </c>
      <c r="H22" s="3" t="n">
        <v>45436</v>
      </c>
      <c r="I22" s="15" t="s">
        <v>167</v>
      </c>
      <c r="J22" s="15" t="n">
        <v>2</v>
      </c>
      <c r="K22" s="3" t="n">
        <f aca="false">IF(OR(C22="DR",C22="EM"),MIN(F22,H22),"")</f>
        <v>45385</v>
      </c>
      <c r="L22" s="20" t="n">
        <f aca="false">IF(K22="","",EOMONTH(K22,2))</f>
        <v>45473</v>
      </c>
    </row>
    <row r="23" customFormat="false" ht="14.25" hidden="false" customHeight="true" outlineLevel="0" collapsed="false">
      <c r="A23" s="15" t="n">
        <v>4799</v>
      </c>
      <c r="B23" s="15" t="s">
        <v>174</v>
      </c>
      <c r="C23" s="15" t="s">
        <v>164</v>
      </c>
      <c r="D23" s="15" t="s">
        <v>169</v>
      </c>
      <c r="E23" s="13" t="s">
        <v>198</v>
      </c>
      <c r="F23" s="3" t="n">
        <v>45385</v>
      </c>
      <c r="G23" s="3" t="n">
        <v>45387</v>
      </c>
      <c r="H23" s="3" t="n">
        <v>45483</v>
      </c>
      <c r="I23" s="15" t="s">
        <v>167</v>
      </c>
      <c r="J23" s="15" t="n">
        <v>5</v>
      </c>
      <c r="K23" s="3" t="n">
        <f aca="false">IF(OR(C23="DR",C23="EM"),MIN(F23,H23),"")</f>
        <v>45385</v>
      </c>
      <c r="L23" s="20" t="n">
        <f aca="false">IF(K23="","",EOMONTH(K23,2))</f>
        <v>45473</v>
      </c>
    </row>
    <row r="24" customFormat="false" ht="14.25" hidden="false" customHeight="true" outlineLevel="0" collapsed="false">
      <c r="A24" s="15" t="n">
        <v>4786</v>
      </c>
      <c r="B24" s="15" t="s">
        <v>199</v>
      </c>
      <c r="C24" s="15" t="s">
        <v>164</v>
      </c>
      <c r="D24" s="15" t="s">
        <v>165</v>
      </c>
      <c r="E24" s="13" t="s">
        <v>200</v>
      </c>
      <c r="F24" s="3" t="n">
        <v>45388</v>
      </c>
      <c r="G24" s="3" t="n">
        <v>45389</v>
      </c>
      <c r="H24" s="3" t="n">
        <v>45436</v>
      </c>
      <c r="I24" s="15" t="s">
        <v>167</v>
      </c>
      <c r="J24" s="15" t="n">
        <v>8</v>
      </c>
      <c r="K24" s="3" t="n">
        <f aca="false">IF(OR(C24="DR",C24="EM"),MIN(F24,H24),"")</f>
        <v>45388</v>
      </c>
      <c r="L24" s="20" t="n">
        <f aca="false">IF(K24="","",EOMONTH(K24,2))</f>
        <v>45473</v>
      </c>
    </row>
    <row r="25" customFormat="false" ht="14.25" hidden="false" customHeight="true" outlineLevel="0" collapsed="false">
      <c r="A25" s="15" t="n">
        <v>5491</v>
      </c>
      <c r="B25" s="15" t="s">
        <v>188</v>
      </c>
      <c r="C25" s="15" t="s">
        <v>184</v>
      </c>
      <c r="D25" s="15" t="s">
        <v>185</v>
      </c>
      <c r="E25" s="13" t="s">
        <v>201</v>
      </c>
      <c r="F25" s="3" t="n">
        <v>45388</v>
      </c>
      <c r="G25" s="3" t="n">
        <v>45394</v>
      </c>
      <c r="H25" s="3" t="n">
        <v>45388</v>
      </c>
      <c r="I25" s="15" t="s">
        <v>167</v>
      </c>
      <c r="J25" s="15" t="n">
        <v>1</v>
      </c>
      <c r="K25" s="3" t="str">
        <f aca="false">IF(OR(C25="DR",C25="EM"),MIN(F25,H25),"")</f>
        <v/>
      </c>
      <c r="L25" s="20" t="str">
        <f aca="false">IF(K25="","",EOMONTH(K25,2))</f>
        <v/>
      </c>
    </row>
    <row r="26" customFormat="false" ht="14.25" hidden="false" customHeight="true" outlineLevel="0" collapsed="false">
      <c r="A26" s="15" t="n">
        <v>4790</v>
      </c>
      <c r="B26" s="15" t="s">
        <v>24</v>
      </c>
      <c r="C26" s="15" t="s">
        <v>164</v>
      </c>
      <c r="D26" s="15" t="s">
        <v>165</v>
      </c>
      <c r="E26" s="13" t="s">
        <v>202</v>
      </c>
      <c r="F26" s="3" t="n">
        <v>45390</v>
      </c>
      <c r="G26" s="3" t="n">
        <v>45393</v>
      </c>
      <c r="H26" s="3" t="n">
        <v>45453</v>
      </c>
      <c r="I26" s="15" t="s">
        <v>167</v>
      </c>
      <c r="J26" s="15" t="n">
        <v>6</v>
      </c>
      <c r="K26" s="3" t="n">
        <f aca="false">IF(OR(C26="DR",C26="EM"),MIN(F26,H26),"")</f>
        <v>45390</v>
      </c>
      <c r="L26" s="20" t="n">
        <f aca="false">IF(K26="","",EOMONTH(K26,2))</f>
        <v>45473</v>
      </c>
    </row>
    <row r="27" customFormat="false" ht="14.25" hidden="false" customHeight="true" outlineLevel="0" collapsed="false">
      <c r="A27" s="15" t="n">
        <v>4787</v>
      </c>
      <c r="B27" s="15" t="s">
        <v>196</v>
      </c>
      <c r="C27" s="15" t="s">
        <v>164</v>
      </c>
      <c r="D27" s="15" t="s">
        <v>180</v>
      </c>
      <c r="E27" s="13" t="s">
        <v>203</v>
      </c>
      <c r="F27" s="3" t="n">
        <v>45393</v>
      </c>
      <c r="G27" s="3" t="n">
        <v>45394</v>
      </c>
      <c r="H27" s="3" t="n">
        <v>45436</v>
      </c>
      <c r="I27" s="15" t="s">
        <v>167</v>
      </c>
      <c r="J27" s="15" t="n">
        <v>13</v>
      </c>
      <c r="K27" s="3" t="n">
        <f aca="false">IF(OR(C27="DR",C27="EM"),MIN(F27,H27),"")</f>
        <v>45393</v>
      </c>
      <c r="L27" s="20" t="n">
        <f aca="false">IF(K27="","",EOMONTH(K27,2))</f>
        <v>45473</v>
      </c>
    </row>
    <row r="28" customFormat="false" ht="14.25" hidden="false" customHeight="true" outlineLevel="0" collapsed="false">
      <c r="A28" s="15" t="n">
        <v>4793</v>
      </c>
      <c r="B28" s="15" t="s">
        <v>204</v>
      </c>
      <c r="C28" s="15" t="s">
        <v>164</v>
      </c>
      <c r="D28" s="15" t="s">
        <v>180</v>
      </c>
      <c r="E28" s="13" t="s">
        <v>205</v>
      </c>
      <c r="F28" s="3" t="n">
        <v>45393</v>
      </c>
      <c r="G28" s="3" t="n">
        <v>45396</v>
      </c>
      <c r="H28" s="3" t="n">
        <v>45460</v>
      </c>
      <c r="I28" s="15" t="s">
        <v>167</v>
      </c>
      <c r="J28" s="15" t="n">
        <v>1</v>
      </c>
      <c r="K28" s="3" t="n">
        <f aca="false">IF(OR(C28="DR",C28="EM"),MIN(F28,H28),"")</f>
        <v>45393</v>
      </c>
      <c r="L28" s="20" t="n">
        <f aca="false">IF(K28="","",EOMONTH(K28,2))</f>
        <v>45473</v>
      </c>
    </row>
    <row r="29" customFormat="false" ht="14.25" hidden="false" customHeight="true" outlineLevel="0" collapsed="false">
      <c r="A29" s="15" t="n">
        <v>4789</v>
      </c>
      <c r="B29" s="15" t="s">
        <v>206</v>
      </c>
      <c r="C29" s="15" t="s">
        <v>164</v>
      </c>
      <c r="D29" s="15" t="s">
        <v>180</v>
      </c>
      <c r="E29" s="13" t="s">
        <v>207</v>
      </c>
      <c r="F29" s="3" t="n">
        <v>45396</v>
      </c>
      <c r="G29" s="3" t="n">
        <v>45397</v>
      </c>
      <c r="H29" s="3" t="n">
        <v>45453</v>
      </c>
      <c r="I29" s="15" t="s">
        <v>167</v>
      </c>
      <c r="J29" s="15" t="n">
        <v>3</v>
      </c>
      <c r="K29" s="3" t="n">
        <f aca="false">IF(OR(C29="DR",C29="EM"),MIN(F29,H29),"")</f>
        <v>45396</v>
      </c>
      <c r="L29" s="20" t="n">
        <f aca="false">IF(K29="","",EOMONTH(K29,2))</f>
        <v>45473</v>
      </c>
    </row>
    <row r="30" customFormat="false" ht="14.25" hidden="false" customHeight="true" outlineLevel="0" collapsed="false">
      <c r="A30" s="15" t="n">
        <v>4776</v>
      </c>
      <c r="B30" s="15" t="s">
        <v>188</v>
      </c>
      <c r="C30" s="15" t="s">
        <v>164</v>
      </c>
      <c r="D30" s="15" t="s">
        <v>192</v>
      </c>
      <c r="E30" s="13" t="s">
        <v>202</v>
      </c>
      <c r="F30" s="3" t="n">
        <v>45407</v>
      </c>
      <c r="G30" s="3" t="n">
        <v>45421</v>
      </c>
      <c r="H30" s="3" t="n">
        <v>45412</v>
      </c>
      <c r="I30" s="15" t="s">
        <v>167</v>
      </c>
      <c r="J30" s="15" t="n">
        <v>25</v>
      </c>
      <c r="K30" s="3" t="n">
        <f aca="false">IF(OR(C30="DR",C30="EM"),MIN(F30,H30),"")</f>
        <v>45407</v>
      </c>
      <c r="L30" s="20" t="n">
        <f aca="false">IF(K30="","",EOMONTH(K30,2))</f>
        <v>45473</v>
      </c>
    </row>
    <row r="31" customFormat="false" ht="14.25" hidden="false" customHeight="true" outlineLevel="0" collapsed="false">
      <c r="A31" s="15" t="n">
        <v>4778</v>
      </c>
      <c r="B31" s="15" t="s">
        <v>199</v>
      </c>
      <c r="C31" s="15" t="s">
        <v>164</v>
      </c>
      <c r="D31" s="15" t="s">
        <v>192</v>
      </c>
      <c r="E31" s="13" t="s">
        <v>208</v>
      </c>
      <c r="F31" s="3" t="n">
        <v>45407</v>
      </c>
      <c r="G31" s="3" t="n">
        <v>45409</v>
      </c>
      <c r="H31" s="3" t="n">
        <v>45415</v>
      </c>
      <c r="I31" s="15" t="s">
        <v>167</v>
      </c>
      <c r="J31" s="15" t="n">
        <v>6</v>
      </c>
      <c r="K31" s="3" t="n">
        <f aca="false">IF(OR(C31="DR",C31="EM"),MIN(F31,H31),"")</f>
        <v>45407</v>
      </c>
      <c r="L31" s="20" t="n">
        <f aca="false">IF(K31="","",EOMONTH(K31,2))</f>
        <v>45473</v>
      </c>
    </row>
    <row r="32" customFormat="false" ht="14.25" hidden="false" customHeight="true" outlineLevel="0" collapsed="false">
      <c r="A32" s="15" t="n">
        <v>4800</v>
      </c>
      <c r="B32" s="15" t="s">
        <v>168</v>
      </c>
      <c r="C32" s="15" t="s">
        <v>164</v>
      </c>
      <c r="D32" s="15" t="s">
        <v>165</v>
      </c>
      <c r="E32" s="13" t="s">
        <v>202</v>
      </c>
      <c r="F32" s="3" t="n">
        <v>45407</v>
      </c>
      <c r="G32" s="3" t="n">
        <v>45412</v>
      </c>
      <c r="H32" s="3" t="n">
        <v>45488</v>
      </c>
      <c r="I32" s="15" t="s">
        <v>167</v>
      </c>
      <c r="J32" s="15" t="n">
        <v>13</v>
      </c>
      <c r="K32" s="3" t="n">
        <f aca="false">IF(OR(C32="DR",C32="EM"),MIN(F32,H32),"")</f>
        <v>45407</v>
      </c>
      <c r="L32" s="20" t="n">
        <f aca="false">IF(K32="","",EOMONTH(K32,2))</f>
        <v>45473</v>
      </c>
    </row>
    <row r="33" customFormat="false" ht="14.25" hidden="false" customHeight="true" outlineLevel="0" collapsed="false">
      <c r="A33" s="15" t="n">
        <v>4779</v>
      </c>
      <c r="B33" s="15" t="s">
        <v>209</v>
      </c>
      <c r="C33" s="15" t="s">
        <v>164</v>
      </c>
      <c r="D33" s="15" t="s">
        <v>192</v>
      </c>
      <c r="E33" s="13" t="s">
        <v>210</v>
      </c>
      <c r="F33" s="3" t="n">
        <v>45408</v>
      </c>
      <c r="G33" s="3" t="n">
        <v>45409</v>
      </c>
      <c r="H33" s="3" t="n">
        <v>45426</v>
      </c>
      <c r="I33" s="15" t="s">
        <v>167</v>
      </c>
      <c r="J33" s="15" t="n">
        <v>9</v>
      </c>
      <c r="K33" s="3" t="n">
        <f aca="false">IF(OR(C33="DR",C33="EM"),MIN(F33,H33),"")</f>
        <v>45408</v>
      </c>
      <c r="L33" s="20" t="n">
        <f aca="false">IF(K33="","",EOMONTH(K33,2))</f>
        <v>45473</v>
      </c>
    </row>
    <row r="34" customFormat="false" ht="14.25" hidden="false" customHeight="true" outlineLevel="0" collapsed="false">
      <c r="A34" s="15" t="n">
        <v>4781</v>
      </c>
      <c r="B34" s="15" t="s">
        <v>183</v>
      </c>
      <c r="C34" s="15" t="s">
        <v>164</v>
      </c>
      <c r="D34" s="15" t="s">
        <v>180</v>
      </c>
      <c r="E34" s="13" t="s">
        <v>202</v>
      </c>
      <c r="F34" s="3" t="n">
        <v>45408</v>
      </c>
      <c r="G34" s="3" t="n">
        <v>45448</v>
      </c>
      <c r="H34" s="3" t="n">
        <v>45429</v>
      </c>
      <c r="I34" s="15" t="s">
        <v>167</v>
      </c>
      <c r="J34" s="15" t="n">
        <v>83</v>
      </c>
      <c r="K34" s="3" t="n">
        <f aca="false">IF(OR(C34="DR",C34="EM"),MIN(F34,H34),"")</f>
        <v>45408</v>
      </c>
      <c r="L34" s="20" t="n">
        <f aca="false">IF(K34="","",EOMONTH(K34,2))</f>
        <v>45473</v>
      </c>
    </row>
    <row r="35" customFormat="false" ht="14.25" hidden="false" customHeight="true" outlineLevel="0" collapsed="false">
      <c r="A35" s="15" t="n">
        <v>4805</v>
      </c>
      <c r="B35" s="15" t="s">
        <v>211</v>
      </c>
      <c r="C35" s="15" t="s">
        <v>164</v>
      </c>
      <c r="D35" s="15" t="s">
        <v>180</v>
      </c>
      <c r="E35" s="13" t="s">
        <v>203</v>
      </c>
      <c r="F35" s="3" t="n">
        <v>45411</v>
      </c>
      <c r="G35" s="3" t="n">
        <v>45422</v>
      </c>
      <c r="H35" s="3" t="n">
        <v>45496</v>
      </c>
      <c r="I35" s="15" t="s">
        <v>167</v>
      </c>
      <c r="J35" s="15" t="n">
        <v>13</v>
      </c>
      <c r="K35" s="3" t="n">
        <f aca="false">IF(OR(C35="DR",C35="EM"),MIN(F35,H35),"")</f>
        <v>45411</v>
      </c>
      <c r="L35" s="20" t="n">
        <f aca="false">IF(K35="","",EOMONTH(K35,2))</f>
        <v>45473</v>
      </c>
    </row>
    <row r="36" customFormat="false" ht="14.25" hidden="false" customHeight="true" outlineLevel="0" collapsed="false">
      <c r="A36" s="15" t="n">
        <v>4801</v>
      </c>
      <c r="B36" s="15" t="s">
        <v>212</v>
      </c>
      <c r="C36" s="15" t="s">
        <v>164</v>
      </c>
      <c r="D36" s="15" t="s">
        <v>165</v>
      </c>
      <c r="E36" s="13" t="s">
        <v>198</v>
      </c>
      <c r="F36" s="3" t="n">
        <v>45418</v>
      </c>
      <c r="G36" s="3" t="n">
        <v>45421</v>
      </c>
      <c r="H36" s="3" t="n">
        <v>45491</v>
      </c>
      <c r="I36" s="15" t="s">
        <v>167</v>
      </c>
      <c r="J36" s="15" t="n">
        <v>12</v>
      </c>
      <c r="K36" s="3" t="n">
        <f aca="false">IF(OR(C36="DR",C36="EM"),MIN(F36,H36),"")</f>
        <v>45418</v>
      </c>
      <c r="L36" s="20" t="n">
        <f aca="false">IF(K36="","",EOMONTH(K36,2))</f>
        <v>45504</v>
      </c>
    </row>
    <row r="37" customFormat="false" ht="14.25" hidden="false" customHeight="true" outlineLevel="0" collapsed="false">
      <c r="A37" s="15" t="n">
        <v>4792</v>
      </c>
      <c r="B37" s="15" t="s">
        <v>213</v>
      </c>
      <c r="C37" s="15" t="s">
        <v>164</v>
      </c>
      <c r="D37" s="15" t="s">
        <v>165</v>
      </c>
      <c r="E37" s="13" t="s">
        <v>214</v>
      </c>
      <c r="F37" s="3" t="n">
        <v>45420</v>
      </c>
      <c r="G37" s="3" t="n">
        <v>45421</v>
      </c>
      <c r="H37" s="3" t="n">
        <v>45460</v>
      </c>
      <c r="I37" s="15" t="s">
        <v>167</v>
      </c>
      <c r="J37" s="15" t="n">
        <v>12</v>
      </c>
      <c r="K37" s="3" t="n">
        <f aca="false">IF(OR(C37="DR",C37="EM"),MIN(F37,H37),"")</f>
        <v>45420</v>
      </c>
      <c r="L37" s="20" t="n">
        <f aca="false">IF(K37="","",EOMONTH(K37,2))</f>
        <v>45504</v>
      </c>
    </row>
    <row r="38" customFormat="false" ht="14.25" hidden="false" customHeight="true" outlineLevel="0" collapsed="false">
      <c r="A38" s="15" t="n">
        <v>4794</v>
      </c>
      <c r="B38" s="15" t="s">
        <v>215</v>
      </c>
      <c r="C38" s="15" t="s">
        <v>164</v>
      </c>
      <c r="D38" s="15" t="s">
        <v>165</v>
      </c>
      <c r="E38" s="13" t="s">
        <v>208</v>
      </c>
      <c r="F38" s="3" t="n">
        <v>45422</v>
      </c>
      <c r="G38" s="3" t="n">
        <v>45422</v>
      </c>
      <c r="H38" s="3" t="n">
        <v>45460</v>
      </c>
      <c r="I38" s="15" t="s">
        <v>167</v>
      </c>
      <c r="J38" s="15" t="n">
        <v>13</v>
      </c>
      <c r="K38" s="3" t="n">
        <f aca="false">IF(OR(C38="DR",C38="EM"),MIN(F38,H38),"")</f>
        <v>45422</v>
      </c>
      <c r="L38" s="20" t="n">
        <f aca="false">IF(K38="","",EOMONTH(K38,2))</f>
        <v>45504</v>
      </c>
    </row>
    <row r="39" customFormat="false" ht="14.25" hidden="false" customHeight="true" outlineLevel="0" collapsed="false">
      <c r="A39" s="15" t="n">
        <v>5492</v>
      </c>
      <c r="B39" s="15" t="s">
        <v>144</v>
      </c>
      <c r="C39" s="15" t="s">
        <v>184</v>
      </c>
      <c r="D39" s="15" t="s">
        <v>185</v>
      </c>
      <c r="E39" s="13" t="s">
        <v>216</v>
      </c>
      <c r="F39" s="3" t="n">
        <v>45428</v>
      </c>
      <c r="G39" s="15"/>
      <c r="H39" s="3" t="n">
        <v>45438</v>
      </c>
      <c r="I39" s="15" t="s">
        <v>167</v>
      </c>
      <c r="J39" s="15" t="n">
        <v>1</v>
      </c>
      <c r="K39" s="15"/>
      <c r="L39" s="20" t="str">
        <f aca="false">IF(K39="","",EOMONTH(K39,2))</f>
        <v/>
      </c>
    </row>
    <row r="40" customFormat="false" ht="14.25" hidden="false" customHeight="true" outlineLevel="0" collapsed="false">
      <c r="A40" s="15" t="n">
        <v>4791</v>
      </c>
      <c r="B40" s="15" t="s">
        <v>188</v>
      </c>
      <c r="C40" s="15" t="s">
        <v>164</v>
      </c>
      <c r="D40" s="15" t="s">
        <v>165</v>
      </c>
      <c r="E40" s="13" t="s">
        <v>202</v>
      </c>
      <c r="F40" s="3" t="n">
        <v>45431</v>
      </c>
      <c r="G40" s="3" t="n">
        <v>45440</v>
      </c>
      <c r="H40" s="3" t="n">
        <v>45457</v>
      </c>
      <c r="I40" s="15" t="s">
        <v>167</v>
      </c>
      <c r="J40" s="15" t="n">
        <v>10</v>
      </c>
      <c r="K40" s="3" t="n">
        <v>45504</v>
      </c>
      <c r="L40" s="20" t="n">
        <f aca="false">IF(K40="","",EOMONTH(K40,2))</f>
        <v>45565</v>
      </c>
    </row>
    <row r="41" customFormat="false" ht="14.25" hidden="false" customHeight="true" outlineLevel="0" collapsed="false">
      <c r="A41" s="15" t="n">
        <v>4803</v>
      </c>
      <c r="B41" s="15" t="s">
        <v>217</v>
      </c>
      <c r="C41" s="15" t="s">
        <v>164</v>
      </c>
      <c r="D41" s="15" t="s">
        <v>165</v>
      </c>
      <c r="E41" s="13" t="s">
        <v>202</v>
      </c>
      <c r="F41" s="3" t="n">
        <v>45431</v>
      </c>
      <c r="G41" s="3" t="n">
        <v>45439</v>
      </c>
      <c r="H41" s="3" t="n">
        <v>45496</v>
      </c>
      <c r="I41" s="15" t="s">
        <v>167</v>
      </c>
      <c r="J41" s="15" t="n">
        <v>15</v>
      </c>
      <c r="K41" s="3" t="n">
        <v>45504</v>
      </c>
      <c r="L41" s="20" t="n">
        <f aca="false">IF(K41="","",EOMONTH(K41,2))</f>
        <v>45565</v>
      </c>
    </row>
    <row r="42" customFormat="false" ht="14.25" hidden="false" customHeight="true" outlineLevel="0" collapsed="false">
      <c r="A42" s="15" t="n">
        <v>4811</v>
      </c>
      <c r="B42" s="15" t="s">
        <v>168</v>
      </c>
      <c r="C42" s="15" t="s">
        <v>164</v>
      </c>
      <c r="D42" s="15" t="s">
        <v>165</v>
      </c>
      <c r="E42" s="13" t="s">
        <v>218</v>
      </c>
      <c r="F42" s="3" t="n">
        <v>45431</v>
      </c>
      <c r="G42" s="3" t="n">
        <v>45431</v>
      </c>
      <c r="H42" s="3" t="n">
        <v>45524</v>
      </c>
      <c r="I42" s="15" t="s">
        <v>167</v>
      </c>
      <c r="J42" s="15" t="n">
        <v>14</v>
      </c>
      <c r="K42" s="3" t="n">
        <v>45504</v>
      </c>
      <c r="L42" s="20" t="n">
        <f aca="false">IF(K42="","",EOMONTH(K42,2))</f>
        <v>45565</v>
      </c>
    </row>
    <row r="43" customFormat="false" ht="14.25" hidden="false" customHeight="true" outlineLevel="0" collapsed="false">
      <c r="A43" s="15" t="n">
        <v>4784</v>
      </c>
      <c r="B43" s="15" t="s">
        <v>209</v>
      </c>
      <c r="C43" s="15" t="s">
        <v>164</v>
      </c>
      <c r="D43" s="15" t="s">
        <v>165</v>
      </c>
      <c r="E43" s="13" t="s">
        <v>214</v>
      </c>
      <c r="F43" s="3" t="n">
        <v>45432</v>
      </c>
      <c r="G43" s="3" t="n">
        <v>45443</v>
      </c>
      <c r="H43" s="3" t="n">
        <v>45436</v>
      </c>
      <c r="I43" s="15" t="s">
        <v>167</v>
      </c>
      <c r="J43" s="15" t="n">
        <v>29</v>
      </c>
      <c r="K43" s="3" t="n">
        <v>45504</v>
      </c>
      <c r="L43" s="20" t="n">
        <f aca="false">IF(K43="","",EOMONTH(K43,2))</f>
        <v>45565</v>
      </c>
    </row>
    <row r="44" customFormat="false" ht="14.25" hidden="false" customHeight="true" outlineLevel="0" collapsed="false">
      <c r="A44" s="15" t="n">
        <v>4808</v>
      </c>
      <c r="B44" s="15" t="s">
        <v>199</v>
      </c>
      <c r="C44" s="15" t="s">
        <v>164</v>
      </c>
      <c r="D44" s="15" t="s">
        <v>165</v>
      </c>
      <c r="E44" s="13" t="s">
        <v>202</v>
      </c>
      <c r="F44" s="3" t="n">
        <v>45432</v>
      </c>
      <c r="G44" s="3" t="n">
        <v>45446</v>
      </c>
      <c r="H44" s="3" t="n">
        <v>45524</v>
      </c>
      <c r="I44" s="15" t="s">
        <v>167</v>
      </c>
      <c r="J44" s="15" t="n">
        <v>19</v>
      </c>
      <c r="K44" s="3" t="n">
        <v>45535</v>
      </c>
      <c r="L44" s="20" t="n">
        <f aca="false">IF(K44="","",EOMONTH(K44,2))</f>
        <v>45596</v>
      </c>
    </row>
    <row r="45" customFormat="false" ht="25.5" hidden="false" customHeight="true" outlineLevel="0" collapsed="false">
      <c r="A45" s="15" t="n">
        <v>4804</v>
      </c>
      <c r="B45" s="15" t="s">
        <v>27</v>
      </c>
      <c r="C45" s="15" t="s">
        <v>164</v>
      </c>
      <c r="D45" s="15" t="s">
        <v>165</v>
      </c>
      <c r="E45" s="13" t="s">
        <v>195</v>
      </c>
      <c r="F45" s="3" t="n">
        <v>45433</v>
      </c>
      <c r="G45" s="3" t="n">
        <v>45439</v>
      </c>
      <c r="H45" s="3" t="n">
        <v>45496</v>
      </c>
      <c r="I45" s="15" t="s">
        <v>167</v>
      </c>
      <c r="J45" s="15" t="n">
        <v>58</v>
      </c>
      <c r="K45" s="3" t="n">
        <v>45504</v>
      </c>
      <c r="L45" s="20" t="n">
        <f aca="false">IF(K45="","",EOMONTH(K45,2))</f>
        <v>45565</v>
      </c>
    </row>
    <row r="46" customFormat="false" ht="14.25" hidden="false" customHeight="true" outlineLevel="0" collapsed="false">
      <c r="A46" s="15" t="n">
        <v>4788</v>
      </c>
      <c r="B46" s="15" t="s">
        <v>219</v>
      </c>
      <c r="C46" s="15" t="s">
        <v>164</v>
      </c>
      <c r="D46" s="15" t="s">
        <v>165</v>
      </c>
      <c r="E46" s="13" t="s">
        <v>202</v>
      </c>
      <c r="F46" s="3" t="n">
        <v>45436</v>
      </c>
      <c r="G46" s="3" t="n">
        <v>45439</v>
      </c>
      <c r="H46" s="3" t="n">
        <v>45442</v>
      </c>
      <c r="I46" s="15" t="s">
        <v>167</v>
      </c>
      <c r="J46" s="15" t="n">
        <v>11</v>
      </c>
      <c r="K46" s="3" t="n">
        <v>45504</v>
      </c>
      <c r="L46" s="20" t="n">
        <f aca="false">IF(K46="","",EOMONTH(K46,2))</f>
        <v>45565</v>
      </c>
    </row>
    <row r="47" customFormat="false" ht="14.25" hidden="false" customHeight="true" outlineLevel="0" collapsed="false">
      <c r="A47" s="15" t="n">
        <v>5493</v>
      </c>
      <c r="B47" s="15" t="s">
        <v>220</v>
      </c>
      <c r="C47" s="15" t="s">
        <v>184</v>
      </c>
      <c r="D47" s="15" t="s">
        <v>185</v>
      </c>
      <c r="E47" s="13" t="s">
        <v>221</v>
      </c>
      <c r="F47" s="3" t="n">
        <v>45440</v>
      </c>
      <c r="G47" s="3" t="n">
        <v>45443</v>
      </c>
      <c r="H47" s="3" t="n">
        <v>45441</v>
      </c>
      <c r="I47" s="15" t="s">
        <v>167</v>
      </c>
      <c r="J47" s="15" t="n">
        <v>1</v>
      </c>
      <c r="K47" s="3" t="n">
        <v>45504</v>
      </c>
      <c r="L47" s="20" t="n">
        <f aca="false">IF(K47="","",EOMONTH(K47,2))</f>
        <v>45565</v>
      </c>
    </row>
    <row r="48" customFormat="false" ht="14.25" hidden="false" customHeight="true" outlineLevel="0" collapsed="false">
      <c r="A48" s="15" t="n">
        <v>5494</v>
      </c>
      <c r="B48" s="15" t="s">
        <v>222</v>
      </c>
      <c r="C48" s="15" t="s">
        <v>184</v>
      </c>
      <c r="D48" s="15" t="s">
        <v>185</v>
      </c>
      <c r="E48" s="13" t="s">
        <v>223</v>
      </c>
      <c r="F48" s="3" t="n">
        <v>45454</v>
      </c>
      <c r="G48" s="3" t="n">
        <v>45456</v>
      </c>
      <c r="H48" s="3" t="n">
        <v>45454</v>
      </c>
      <c r="I48" s="15" t="s">
        <v>167</v>
      </c>
      <c r="J48" s="15" t="n">
        <v>1</v>
      </c>
      <c r="K48" s="3" t="n">
        <v>45535</v>
      </c>
      <c r="L48" s="20" t="n">
        <f aca="false">IF(K48="","",EOMONTH(K48,2))</f>
        <v>45596</v>
      </c>
    </row>
    <row r="49" customFormat="false" ht="14.25" hidden="false" customHeight="true" outlineLevel="0" collapsed="false">
      <c r="A49" s="15" t="n">
        <v>5495</v>
      </c>
      <c r="B49" s="15" t="s">
        <v>222</v>
      </c>
      <c r="C49" s="15" t="s">
        <v>184</v>
      </c>
      <c r="D49" s="15" t="s">
        <v>185</v>
      </c>
      <c r="E49" s="13" t="s">
        <v>224</v>
      </c>
      <c r="F49" s="3" t="n">
        <v>45454</v>
      </c>
      <c r="G49" s="3" t="n">
        <v>45455</v>
      </c>
      <c r="H49" s="3" t="n">
        <v>45455</v>
      </c>
      <c r="I49" s="15" t="s">
        <v>167</v>
      </c>
      <c r="J49" s="15" t="n">
        <v>1</v>
      </c>
      <c r="K49" s="3" t="n">
        <v>45535</v>
      </c>
      <c r="L49" s="20" t="n">
        <f aca="false">IF(K49="","",EOMONTH(K49,2))</f>
        <v>45596</v>
      </c>
    </row>
    <row r="50" customFormat="false" ht="14.25" hidden="false" customHeight="true" outlineLevel="0" collapsed="false">
      <c r="A50" s="15" t="n">
        <v>5496</v>
      </c>
      <c r="B50" s="15" t="s">
        <v>220</v>
      </c>
      <c r="C50" s="15" t="s">
        <v>184</v>
      </c>
      <c r="D50" s="15" t="s">
        <v>185</v>
      </c>
      <c r="E50" s="13" t="s">
        <v>225</v>
      </c>
      <c r="F50" s="3" t="n">
        <v>45455</v>
      </c>
      <c r="G50" s="3" t="n">
        <v>45457</v>
      </c>
      <c r="H50" s="3" t="n">
        <v>45455</v>
      </c>
      <c r="I50" s="15" t="s">
        <v>167</v>
      </c>
      <c r="J50" s="15" t="n">
        <v>1</v>
      </c>
      <c r="K50" s="3" t="n">
        <v>45535</v>
      </c>
      <c r="L50" s="20" t="n">
        <f aca="false">IF(K50="","",EOMONTH(K50,2))</f>
        <v>45596</v>
      </c>
    </row>
    <row r="51" customFormat="false" ht="14.25" hidden="false" customHeight="true" outlineLevel="0" collapsed="false">
      <c r="A51" s="15" t="n">
        <v>4796</v>
      </c>
      <c r="B51" s="15" t="s">
        <v>209</v>
      </c>
      <c r="C51" s="15" t="s">
        <v>164</v>
      </c>
      <c r="D51" s="15" t="s">
        <v>165</v>
      </c>
      <c r="E51" s="13" t="s">
        <v>226</v>
      </c>
      <c r="F51" s="3" t="n">
        <v>45459</v>
      </c>
      <c r="G51" s="3" t="n">
        <v>45496</v>
      </c>
      <c r="H51" s="3" t="n">
        <v>45467</v>
      </c>
      <c r="I51" s="15" t="s">
        <v>167</v>
      </c>
      <c r="J51" s="15" t="n">
        <v>29</v>
      </c>
      <c r="K51" s="3" t="n">
        <v>45565</v>
      </c>
      <c r="L51" s="20" t="n">
        <f aca="false">IF(K51="","",EOMONTH(K51,2))</f>
        <v>45626</v>
      </c>
    </row>
    <row r="52" customFormat="false" ht="14.25" hidden="false" customHeight="true" outlineLevel="0" collapsed="false">
      <c r="A52" s="15" t="n">
        <v>4797</v>
      </c>
      <c r="B52" s="15" t="s">
        <v>227</v>
      </c>
      <c r="C52" s="15" t="s">
        <v>164</v>
      </c>
      <c r="D52" s="15" t="s">
        <v>180</v>
      </c>
      <c r="E52" s="13" t="s">
        <v>172</v>
      </c>
      <c r="F52" s="3" t="n">
        <v>45459</v>
      </c>
      <c r="G52" s="3" t="n">
        <v>45477</v>
      </c>
      <c r="H52" s="3" t="n">
        <v>45471</v>
      </c>
      <c r="I52" s="15" t="s">
        <v>167</v>
      </c>
      <c r="J52" s="15" t="n">
        <v>32</v>
      </c>
      <c r="K52" s="3" t="n">
        <v>45565</v>
      </c>
      <c r="L52" s="20" t="n">
        <f aca="false">IF(K52="","",EOMONTH(K52,2))</f>
        <v>45626</v>
      </c>
    </row>
    <row r="53" customFormat="false" ht="14.25" hidden="false" customHeight="true" outlineLevel="0" collapsed="false">
      <c r="A53" s="15" t="n">
        <v>4807</v>
      </c>
      <c r="B53" s="15" t="s">
        <v>228</v>
      </c>
      <c r="C53" s="15" t="s">
        <v>164</v>
      </c>
      <c r="D53" s="15" t="s">
        <v>180</v>
      </c>
      <c r="E53" s="13" t="s">
        <v>229</v>
      </c>
      <c r="F53" s="3" t="n">
        <v>45459</v>
      </c>
      <c r="G53" s="3" t="n">
        <v>45481</v>
      </c>
      <c r="H53" s="3" t="n">
        <v>45519</v>
      </c>
      <c r="I53" s="15" t="s">
        <v>167</v>
      </c>
      <c r="J53" s="15" t="n">
        <v>25</v>
      </c>
      <c r="K53" s="3" t="n">
        <v>45565</v>
      </c>
      <c r="L53" s="20" t="n">
        <f aca="false">IF(K53="","",EOMONTH(K53,2))</f>
        <v>45626</v>
      </c>
    </row>
    <row r="54" customFormat="false" ht="14.25" hidden="false" customHeight="true" outlineLevel="0" collapsed="false">
      <c r="A54" s="15" t="n">
        <v>4795</v>
      </c>
      <c r="B54" s="15" t="s">
        <v>144</v>
      </c>
      <c r="C54" s="15" t="s">
        <v>164</v>
      </c>
      <c r="D54" s="15" t="s">
        <v>185</v>
      </c>
      <c r="E54" s="13" t="s">
        <v>230</v>
      </c>
      <c r="F54" s="3" t="n">
        <v>45460</v>
      </c>
      <c r="G54" s="3" t="n">
        <v>45524</v>
      </c>
      <c r="H54" s="3" t="n">
        <v>45463</v>
      </c>
      <c r="I54" s="15" t="s">
        <v>167</v>
      </c>
      <c r="J54" s="15" t="n">
        <v>5</v>
      </c>
      <c r="K54" s="3" t="n">
        <v>45596</v>
      </c>
      <c r="L54" s="20" t="n">
        <f aca="false">IF(K54="","",EOMONTH(K54,2))</f>
        <v>45657</v>
      </c>
    </row>
    <row r="55" customFormat="false" ht="14.25" hidden="false" customHeight="true" outlineLevel="0" collapsed="false">
      <c r="A55" s="15" t="n">
        <v>5497</v>
      </c>
      <c r="B55" s="15" t="s">
        <v>144</v>
      </c>
      <c r="C55" s="15" t="s">
        <v>184</v>
      </c>
      <c r="D55" s="15" t="s">
        <v>185</v>
      </c>
      <c r="E55" s="13" t="s">
        <v>231</v>
      </c>
      <c r="F55" s="3" t="n">
        <v>45460</v>
      </c>
      <c r="G55" s="15"/>
      <c r="H55" s="3" t="n">
        <v>45460</v>
      </c>
      <c r="I55" s="15" t="s">
        <v>167</v>
      </c>
      <c r="J55" s="15" t="n">
        <v>3</v>
      </c>
      <c r="K55" s="15"/>
      <c r="L55" s="20" t="str">
        <f aca="false">IF(K55="","",EOMONTH(K55,2))</f>
        <v/>
      </c>
    </row>
    <row r="56" customFormat="false" ht="14.25" hidden="false" customHeight="true" outlineLevel="0" collapsed="false">
      <c r="A56" s="15" t="n">
        <v>5498</v>
      </c>
      <c r="B56" s="15" t="s">
        <v>144</v>
      </c>
      <c r="C56" s="15" t="s">
        <v>184</v>
      </c>
      <c r="D56" s="15" t="s">
        <v>185</v>
      </c>
      <c r="E56" s="13" t="s">
        <v>232</v>
      </c>
      <c r="F56" s="3" t="n">
        <v>45460</v>
      </c>
      <c r="G56" s="15"/>
      <c r="H56" s="3" t="n">
        <v>45461</v>
      </c>
      <c r="I56" s="15" t="s">
        <v>167</v>
      </c>
      <c r="J56" s="15" t="n">
        <v>3</v>
      </c>
      <c r="K56" s="15"/>
      <c r="L56" s="20" t="str">
        <f aca="false">IF(K56="","",EOMONTH(K56,2))</f>
        <v/>
      </c>
    </row>
    <row r="57" customFormat="false" ht="14.25" hidden="false" customHeight="true" outlineLevel="0" collapsed="false">
      <c r="A57" s="15" t="n">
        <v>4822</v>
      </c>
      <c r="B57" s="15" t="s">
        <v>199</v>
      </c>
      <c r="C57" s="15" t="s">
        <v>164</v>
      </c>
      <c r="D57" s="15" t="s">
        <v>165</v>
      </c>
      <c r="E57" s="13" t="s">
        <v>202</v>
      </c>
      <c r="F57" s="3" t="n">
        <v>45462</v>
      </c>
      <c r="G57" s="3" t="n">
        <v>45481</v>
      </c>
      <c r="H57" s="3" t="n">
        <v>45559</v>
      </c>
      <c r="I57" s="15" t="s">
        <v>167</v>
      </c>
      <c r="J57" s="15" t="n">
        <v>17</v>
      </c>
      <c r="K57" s="3" t="n">
        <v>45565</v>
      </c>
      <c r="L57" s="20" t="n">
        <f aca="false">IF(K57="","",EOMONTH(K57,2))</f>
        <v>45626</v>
      </c>
    </row>
    <row r="58" customFormat="false" ht="14.25" hidden="false" customHeight="true" outlineLevel="0" collapsed="false">
      <c r="A58" s="15" t="n">
        <v>4809</v>
      </c>
      <c r="B58" s="15" t="s">
        <v>144</v>
      </c>
      <c r="C58" s="15" t="s">
        <v>164</v>
      </c>
      <c r="D58" s="15" t="s">
        <v>180</v>
      </c>
      <c r="E58" s="13" t="s">
        <v>172</v>
      </c>
      <c r="F58" s="3" t="n">
        <v>45463</v>
      </c>
      <c r="G58" s="3" t="n">
        <v>45464</v>
      </c>
      <c r="H58" s="3" t="n">
        <v>45524</v>
      </c>
      <c r="I58" s="15" t="s">
        <v>167</v>
      </c>
      <c r="J58" s="15" t="n">
        <v>1</v>
      </c>
      <c r="K58" s="3" t="n">
        <v>45535</v>
      </c>
      <c r="L58" s="20" t="n">
        <f aca="false">IF(K58="","",EOMONTH(K58,2))</f>
        <v>45596</v>
      </c>
    </row>
    <row r="59" customFormat="false" ht="14.25" hidden="false" customHeight="true" outlineLevel="0" collapsed="false">
      <c r="A59" s="15" t="n">
        <v>4823</v>
      </c>
      <c r="B59" s="15" t="s">
        <v>163</v>
      </c>
      <c r="C59" s="15" t="s">
        <v>164</v>
      </c>
      <c r="D59" s="15" t="s">
        <v>185</v>
      </c>
      <c r="E59" s="13" t="s">
        <v>233</v>
      </c>
      <c r="F59" s="3" t="n">
        <v>45465</v>
      </c>
      <c r="G59" s="3" t="n">
        <v>45481</v>
      </c>
      <c r="H59" s="3" t="n">
        <v>45559</v>
      </c>
      <c r="I59" s="15" t="s">
        <v>167</v>
      </c>
      <c r="J59" s="15" t="n">
        <v>1</v>
      </c>
      <c r="K59" s="3" t="n">
        <v>45565</v>
      </c>
      <c r="L59" s="20" t="n">
        <f aca="false">IF(K59="","",EOMONTH(K59,2))</f>
        <v>45626</v>
      </c>
    </row>
    <row r="60" customFormat="false" ht="14.25" hidden="false" customHeight="true" outlineLevel="0" collapsed="false">
      <c r="A60" s="15" t="n">
        <v>5499</v>
      </c>
      <c r="B60" s="15" t="s">
        <v>163</v>
      </c>
      <c r="C60" s="15" t="s">
        <v>184</v>
      </c>
      <c r="D60" s="15" t="s">
        <v>185</v>
      </c>
      <c r="E60" s="13" t="s">
        <v>234</v>
      </c>
      <c r="F60" s="3" t="n">
        <v>45465</v>
      </c>
      <c r="G60" s="3" t="n">
        <v>45484</v>
      </c>
      <c r="H60" s="3" t="n">
        <v>45466</v>
      </c>
      <c r="I60" s="15" t="s">
        <v>167</v>
      </c>
      <c r="J60" s="15" t="n">
        <v>2</v>
      </c>
      <c r="K60" s="3" t="n">
        <v>45565</v>
      </c>
      <c r="L60" s="20" t="n">
        <f aca="false">IF(K60="","",EOMONTH(K60,2))</f>
        <v>45626</v>
      </c>
    </row>
    <row r="61" customFormat="false" ht="14.25" hidden="false" customHeight="true" outlineLevel="0" collapsed="false">
      <c r="A61" s="15" t="n">
        <v>5500</v>
      </c>
      <c r="B61" s="15" t="s">
        <v>178</v>
      </c>
      <c r="C61" s="15" t="s">
        <v>184</v>
      </c>
      <c r="D61" s="15" t="s">
        <v>185</v>
      </c>
      <c r="E61" s="13" t="s">
        <v>235</v>
      </c>
      <c r="F61" s="3" t="n">
        <v>45468</v>
      </c>
      <c r="G61" s="15"/>
      <c r="H61" s="3" t="n">
        <v>45468</v>
      </c>
      <c r="I61" s="15" t="s">
        <v>167</v>
      </c>
      <c r="J61" s="15" t="n">
        <v>1</v>
      </c>
      <c r="K61" s="15"/>
      <c r="L61" s="20" t="str">
        <f aca="false">IF(K61="","",EOMONTH(K61,2))</f>
        <v/>
      </c>
    </row>
    <row r="62" customFormat="false" ht="14.25" hidden="false" customHeight="true" outlineLevel="0" collapsed="false">
      <c r="A62" s="15" t="n">
        <v>4824</v>
      </c>
      <c r="B62" s="15" t="s">
        <v>168</v>
      </c>
      <c r="C62" s="15" t="s">
        <v>164</v>
      </c>
      <c r="D62" s="15" t="s">
        <v>165</v>
      </c>
      <c r="E62" s="13" t="s">
        <v>202</v>
      </c>
      <c r="F62" s="3" t="n">
        <v>45469</v>
      </c>
      <c r="G62" s="3" t="n">
        <v>45480</v>
      </c>
      <c r="H62" s="3" t="n">
        <v>45559</v>
      </c>
      <c r="I62" s="15" t="s">
        <v>167</v>
      </c>
      <c r="J62" s="15" t="n">
        <v>17</v>
      </c>
      <c r="K62" s="3" t="n">
        <v>45565</v>
      </c>
      <c r="L62" s="20" t="n">
        <f aca="false">IF(K62="","",EOMONTH(K62,2))</f>
        <v>45626</v>
      </c>
    </row>
    <row r="63" customFormat="false" ht="14.25" hidden="false" customHeight="true" outlineLevel="0" collapsed="false">
      <c r="A63" s="15" t="n">
        <v>5501</v>
      </c>
      <c r="B63" s="15" t="s">
        <v>220</v>
      </c>
      <c r="C63" s="15" t="s">
        <v>184</v>
      </c>
      <c r="D63" s="15" t="s">
        <v>185</v>
      </c>
      <c r="E63" s="13" t="s">
        <v>236</v>
      </c>
      <c r="F63" s="3" t="n">
        <v>45471</v>
      </c>
      <c r="G63" s="3" t="n">
        <v>45473</v>
      </c>
      <c r="H63" s="3" t="n">
        <v>45471</v>
      </c>
      <c r="I63" s="15" t="s">
        <v>167</v>
      </c>
      <c r="J63" s="15" t="n">
        <v>1</v>
      </c>
      <c r="K63" s="3" t="n">
        <v>45535</v>
      </c>
      <c r="L63" s="20" t="n">
        <f aca="false">IF(K63="","",EOMONTH(K63,2))</f>
        <v>45596</v>
      </c>
    </row>
    <row r="64" customFormat="false" ht="14.25" hidden="false" customHeight="true" outlineLevel="0" collapsed="false">
      <c r="A64" s="15" t="n">
        <v>5502</v>
      </c>
      <c r="B64" s="15" t="s">
        <v>117</v>
      </c>
      <c r="C64" s="15" t="s">
        <v>184</v>
      </c>
      <c r="D64" s="15" t="s">
        <v>185</v>
      </c>
      <c r="E64" s="13" t="s">
        <v>237</v>
      </c>
      <c r="F64" s="3" t="n">
        <v>45475</v>
      </c>
      <c r="G64" s="3" t="n">
        <v>45479</v>
      </c>
      <c r="H64" s="3" t="n">
        <v>45475</v>
      </c>
      <c r="I64" s="15" t="s">
        <v>167</v>
      </c>
      <c r="J64" s="15" t="n">
        <v>1</v>
      </c>
      <c r="K64" s="3" t="n">
        <v>45565</v>
      </c>
      <c r="L64" s="20" t="n">
        <f aca="false">IF(K64="","",EOMONTH(K64,2))</f>
        <v>45626</v>
      </c>
    </row>
    <row r="65" customFormat="false" ht="14.25" hidden="false" customHeight="true" outlineLevel="0" collapsed="false">
      <c r="A65" s="15" t="n">
        <v>5503</v>
      </c>
      <c r="B65" s="15" t="s">
        <v>117</v>
      </c>
      <c r="C65" s="15" t="s">
        <v>184</v>
      </c>
      <c r="D65" s="15" t="s">
        <v>185</v>
      </c>
      <c r="E65" s="13" t="s">
        <v>238</v>
      </c>
      <c r="F65" s="3" t="n">
        <v>45477</v>
      </c>
      <c r="G65" s="3" t="n">
        <v>45480</v>
      </c>
      <c r="H65" s="3" t="n">
        <v>45478</v>
      </c>
      <c r="I65" s="15" t="s">
        <v>167</v>
      </c>
      <c r="J65" s="15" t="n">
        <v>1</v>
      </c>
      <c r="K65" s="3" t="n">
        <v>45565</v>
      </c>
      <c r="L65" s="20" t="n">
        <f aca="false">IF(K65="","",EOMONTH(K65,2))</f>
        <v>45626</v>
      </c>
    </row>
    <row r="66" customFormat="false" ht="14.25" hidden="false" customHeight="true" outlineLevel="0" collapsed="false">
      <c r="A66" s="15" t="n">
        <v>4798</v>
      </c>
      <c r="B66" s="15" t="s">
        <v>183</v>
      </c>
      <c r="C66" s="15" t="s">
        <v>164</v>
      </c>
      <c r="D66" s="15" t="s">
        <v>239</v>
      </c>
      <c r="E66" s="13" t="s">
        <v>240</v>
      </c>
      <c r="F66" s="3" t="n">
        <v>45478</v>
      </c>
      <c r="G66" s="3" t="n">
        <v>45482</v>
      </c>
      <c r="H66" s="3" t="n">
        <v>45482</v>
      </c>
      <c r="I66" s="15" t="s">
        <v>167</v>
      </c>
      <c r="J66" s="15" t="n">
        <v>67</v>
      </c>
      <c r="K66" s="3" t="n">
        <v>45565</v>
      </c>
      <c r="L66" s="20" t="n">
        <f aca="false">IF(K66="","",EOMONTH(K66,2))</f>
        <v>45626</v>
      </c>
    </row>
    <row r="67" customFormat="false" ht="14.25" hidden="false" customHeight="true" outlineLevel="0" collapsed="false">
      <c r="A67" s="15" t="n">
        <v>5504</v>
      </c>
      <c r="B67" s="15" t="s">
        <v>93</v>
      </c>
      <c r="C67" s="15" t="s">
        <v>184</v>
      </c>
      <c r="D67" s="15" t="s">
        <v>185</v>
      </c>
      <c r="E67" s="13" t="s">
        <v>241</v>
      </c>
      <c r="F67" s="3" t="n">
        <v>45480</v>
      </c>
      <c r="G67" s="3" t="n">
        <v>45506</v>
      </c>
      <c r="H67" s="3" t="n">
        <v>45480</v>
      </c>
      <c r="I67" s="15" t="s">
        <v>167</v>
      </c>
      <c r="J67" s="15" t="n">
        <v>1</v>
      </c>
      <c r="K67" s="3" t="n">
        <v>45596</v>
      </c>
      <c r="L67" s="20" t="n">
        <f aca="false">IF(K67="","",EOMONTH(K67,2))</f>
        <v>45657</v>
      </c>
    </row>
    <row r="68" customFormat="false" ht="14.25" hidden="false" customHeight="true" outlineLevel="0" collapsed="false">
      <c r="A68" s="15" t="n">
        <v>4810</v>
      </c>
      <c r="B68" s="15" t="s">
        <v>173</v>
      </c>
      <c r="C68" s="15" t="s">
        <v>164</v>
      </c>
      <c r="D68" s="15" t="s">
        <v>165</v>
      </c>
      <c r="E68" s="13" t="s">
        <v>207</v>
      </c>
      <c r="F68" s="3" t="n">
        <v>45482</v>
      </c>
      <c r="G68" s="3" t="n">
        <v>45484</v>
      </c>
      <c r="H68" s="3" t="n">
        <v>45524</v>
      </c>
      <c r="I68" s="15" t="s">
        <v>167</v>
      </c>
      <c r="J68" s="15" t="n">
        <v>8</v>
      </c>
      <c r="K68" s="3" t="n">
        <v>45565</v>
      </c>
      <c r="L68" s="20" t="n">
        <f aca="false">IF(K68="","",EOMONTH(K68,2))</f>
        <v>45626</v>
      </c>
    </row>
    <row r="69" customFormat="false" ht="14.25" hidden="false" customHeight="true" outlineLevel="0" collapsed="false">
      <c r="A69" s="15" t="n">
        <v>5505</v>
      </c>
      <c r="B69" s="15" t="s">
        <v>220</v>
      </c>
      <c r="C69" s="15" t="s">
        <v>184</v>
      </c>
      <c r="D69" s="15" t="s">
        <v>185</v>
      </c>
      <c r="E69" s="13" t="s">
        <v>242</v>
      </c>
      <c r="F69" s="3" t="n">
        <v>45482</v>
      </c>
      <c r="G69" s="3" t="n">
        <v>45483</v>
      </c>
      <c r="H69" s="3" t="n">
        <v>45482</v>
      </c>
      <c r="I69" s="15" t="s">
        <v>167</v>
      </c>
      <c r="J69" s="15" t="n">
        <v>1</v>
      </c>
      <c r="K69" s="3" t="n">
        <v>45565</v>
      </c>
      <c r="L69" s="20" t="n">
        <f aca="false">IF(K69="","",EOMONTH(K69,2))</f>
        <v>45626</v>
      </c>
    </row>
    <row r="70" customFormat="false" ht="14.25" hidden="false" customHeight="true" outlineLevel="0" collapsed="false">
      <c r="A70" s="15" t="n">
        <v>5507</v>
      </c>
      <c r="B70" s="15" t="s">
        <v>212</v>
      </c>
      <c r="C70" s="15" t="s">
        <v>184</v>
      </c>
      <c r="D70" s="15" t="s">
        <v>185</v>
      </c>
      <c r="E70" s="13" t="s">
        <v>243</v>
      </c>
      <c r="F70" s="3" t="n">
        <v>45482</v>
      </c>
      <c r="G70" s="15"/>
      <c r="H70" s="3" t="n">
        <v>45485</v>
      </c>
      <c r="I70" s="15" t="s">
        <v>167</v>
      </c>
      <c r="J70" s="15" t="n">
        <v>2</v>
      </c>
      <c r="K70" s="15"/>
      <c r="L70" s="20" t="str">
        <f aca="false">IF(K70="","",EOMONTH(K70,2))</f>
        <v/>
      </c>
    </row>
    <row r="71" customFormat="false" ht="14.25" hidden="false" customHeight="true" outlineLevel="0" collapsed="false">
      <c r="A71" s="15" t="n">
        <v>4812</v>
      </c>
      <c r="B71" s="15" t="s">
        <v>174</v>
      </c>
      <c r="C71" s="15" t="s">
        <v>164</v>
      </c>
      <c r="D71" s="15" t="s">
        <v>165</v>
      </c>
      <c r="E71" s="13" t="s">
        <v>181</v>
      </c>
      <c r="F71" s="3" t="n">
        <v>45483</v>
      </c>
      <c r="G71" s="3" t="n">
        <v>45486</v>
      </c>
      <c r="H71" s="3" t="n">
        <v>45524</v>
      </c>
      <c r="I71" s="15" t="s">
        <v>167</v>
      </c>
      <c r="J71" s="15" t="n">
        <v>2</v>
      </c>
      <c r="K71" s="3" t="n">
        <v>45565</v>
      </c>
      <c r="L71" s="20" t="n">
        <f aca="false">IF(K71="","",EOMONTH(K71,2))</f>
        <v>45626</v>
      </c>
    </row>
    <row r="72" customFormat="false" ht="14.25" hidden="false" customHeight="true" outlineLevel="0" collapsed="false">
      <c r="A72" s="15" t="n">
        <v>4814</v>
      </c>
      <c r="B72" s="15" t="s">
        <v>244</v>
      </c>
      <c r="C72" s="15" t="s">
        <v>164</v>
      </c>
      <c r="D72" s="15" t="s">
        <v>180</v>
      </c>
      <c r="E72" s="13" t="s">
        <v>245</v>
      </c>
      <c r="F72" s="3" t="n">
        <v>45483</v>
      </c>
      <c r="G72" s="3" t="n">
        <v>45484</v>
      </c>
      <c r="H72" s="3" t="n">
        <v>45533</v>
      </c>
      <c r="I72" s="15" t="s">
        <v>167</v>
      </c>
      <c r="J72" s="15" t="n">
        <v>5</v>
      </c>
      <c r="K72" s="3" t="n">
        <v>45565</v>
      </c>
      <c r="L72" s="20" t="n">
        <f aca="false">IF(K72="","",EOMONTH(K72,2))</f>
        <v>45626</v>
      </c>
    </row>
    <row r="73" customFormat="false" ht="14.25" hidden="false" customHeight="true" outlineLevel="0" collapsed="false">
      <c r="A73" s="15" t="n">
        <v>4833</v>
      </c>
      <c r="B73" s="15" t="s">
        <v>220</v>
      </c>
      <c r="C73" s="15" t="s">
        <v>164</v>
      </c>
      <c r="D73" s="15" t="s">
        <v>185</v>
      </c>
      <c r="E73" s="13" t="s">
        <v>246</v>
      </c>
      <c r="F73" s="3" t="n">
        <v>45483</v>
      </c>
      <c r="G73" s="3" t="n">
        <v>45490</v>
      </c>
      <c r="H73" s="3" t="n">
        <v>45569</v>
      </c>
      <c r="I73" s="15" t="s">
        <v>167</v>
      </c>
      <c r="J73" s="15" t="n">
        <v>1</v>
      </c>
      <c r="K73" s="3" t="n">
        <v>45565</v>
      </c>
      <c r="L73" s="20" t="n">
        <f aca="false">IF(K73="","",EOMONTH(K73,2))</f>
        <v>45626</v>
      </c>
    </row>
    <row r="74" customFormat="false" ht="14.25" hidden="false" customHeight="true" outlineLevel="0" collapsed="false">
      <c r="A74" s="15" t="n">
        <v>4854</v>
      </c>
      <c r="B74" s="15" t="s">
        <v>178</v>
      </c>
      <c r="C74" s="15" t="s">
        <v>164</v>
      </c>
      <c r="D74" s="15" t="s">
        <v>185</v>
      </c>
      <c r="E74" s="13" t="s">
        <v>233</v>
      </c>
      <c r="F74" s="3" t="n">
        <v>45483</v>
      </c>
      <c r="G74" s="3" t="n">
        <v>45527</v>
      </c>
      <c r="H74" s="3" t="n">
        <v>45658</v>
      </c>
      <c r="I74" s="15" t="s">
        <v>167</v>
      </c>
      <c r="J74" s="15" t="n">
        <v>5</v>
      </c>
      <c r="K74" s="3" t="n">
        <v>45596</v>
      </c>
      <c r="L74" s="20" t="n">
        <f aca="false">IF(K74="","",EOMONTH(K74,2))</f>
        <v>45657</v>
      </c>
    </row>
    <row r="75" customFormat="false" ht="14.25" hidden="false" customHeight="true" outlineLevel="0" collapsed="false">
      <c r="A75" s="15" t="n">
        <v>5506</v>
      </c>
      <c r="B75" s="15" t="s">
        <v>178</v>
      </c>
      <c r="C75" s="15" t="s">
        <v>184</v>
      </c>
      <c r="D75" s="15" t="s">
        <v>185</v>
      </c>
      <c r="E75" s="13" t="s">
        <v>247</v>
      </c>
      <c r="F75" s="3" t="n">
        <v>45483</v>
      </c>
      <c r="G75" s="15"/>
      <c r="H75" s="3" t="n">
        <v>45484</v>
      </c>
      <c r="I75" s="15" t="s">
        <v>167</v>
      </c>
      <c r="J75" s="15" t="n">
        <v>1</v>
      </c>
      <c r="K75" s="15"/>
      <c r="L75" s="20" t="str">
        <f aca="false">IF(K75="","",EOMONTH(K75,2))</f>
        <v/>
      </c>
    </row>
    <row r="76" customFormat="false" ht="14.25" hidden="false" customHeight="true" outlineLevel="0" collapsed="false">
      <c r="A76" s="15" t="n">
        <v>5508</v>
      </c>
      <c r="B76" s="15" t="s">
        <v>220</v>
      </c>
      <c r="C76" s="15" t="s">
        <v>184</v>
      </c>
      <c r="D76" s="15" t="s">
        <v>185</v>
      </c>
      <c r="E76" s="13" t="s">
        <v>246</v>
      </c>
      <c r="F76" s="3" t="n">
        <v>45483</v>
      </c>
      <c r="G76" s="3" t="n">
        <v>45488</v>
      </c>
      <c r="H76" s="3" t="n">
        <v>45486</v>
      </c>
      <c r="I76" s="15" t="s">
        <v>167</v>
      </c>
      <c r="J76" s="15" t="n">
        <v>1</v>
      </c>
      <c r="K76" s="3" t="n">
        <v>45565</v>
      </c>
      <c r="L76" s="20" t="n">
        <f aca="false">IF(K76="","",EOMONTH(K76,2))</f>
        <v>45626</v>
      </c>
    </row>
    <row r="77" customFormat="false" ht="14.25" hidden="false" customHeight="true" outlineLevel="0" collapsed="false">
      <c r="A77" s="15" t="n">
        <v>4819</v>
      </c>
      <c r="B77" s="15" t="s">
        <v>136</v>
      </c>
      <c r="C77" s="15" t="s">
        <v>164</v>
      </c>
      <c r="D77" s="15" t="s">
        <v>180</v>
      </c>
      <c r="E77" s="13" t="s">
        <v>248</v>
      </c>
      <c r="F77" s="3" t="n">
        <v>45486</v>
      </c>
      <c r="G77" s="3" t="n">
        <v>45489</v>
      </c>
      <c r="H77" s="3" t="n">
        <v>45555</v>
      </c>
      <c r="I77" s="15" t="s">
        <v>167</v>
      </c>
      <c r="J77" s="15" t="n">
        <v>7</v>
      </c>
      <c r="K77" s="3" t="n">
        <v>45565</v>
      </c>
      <c r="L77" s="20" t="n">
        <f aca="false">IF(K77="","",EOMONTH(K77,2))</f>
        <v>45626</v>
      </c>
    </row>
    <row r="78" customFormat="false" ht="14.25" hidden="false" customHeight="true" outlineLevel="0" collapsed="false">
      <c r="A78" s="15" t="n">
        <v>4842</v>
      </c>
      <c r="B78" s="15" t="s">
        <v>228</v>
      </c>
      <c r="C78" s="15" t="s">
        <v>164</v>
      </c>
      <c r="D78" s="15" t="s">
        <v>165</v>
      </c>
      <c r="E78" s="13" t="s">
        <v>249</v>
      </c>
      <c r="F78" s="3" t="n">
        <v>45486</v>
      </c>
      <c r="G78" s="3" t="n">
        <v>45487</v>
      </c>
      <c r="H78" s="3" t="n">
        <v>45597</v>
      </c>
      <c r="I78" s="15" t="s">
        <v>167</v>
      </c>
      <c r="J78" s="15" t="n">
        <v>1</v>
      </c>
      <c r="K78" s="3" t="n">
        <v>45565</v>
      </c>
      <c r="L78" s="20" t="n">
        <f aca="false">IF(K78="","",EOMONTH(K78,2))</f>
        <v>45626</v>
      </c>
    </row>
    <row r="79" customFormat="false" ht="14.25" hidden="false" customHeight="true" outlineLevel="0" collapsed="false">
      <c r="A79" s="15" t="n">
        <v>5510</v>
      </c>
      <c r="B79" s="15" t="s">
        <v>206</v>
      </c>
      <c r="C79" s="15" t="s">
        <v>184</v>
      </c>
      <c r="D79" s="15" t="s">
        <v>185</v>
      </c>
      <c r="E79" s="13" t="s">
        <v>250</v>
      </c>
      <c r="F79" s="3" t="n">
        <v>45488</v>
      </c>
      <c r="G79" s="3" t="n">
        <v>45494</v>
      </c>
      <c r="H79" s="3" t="n">
        <v>45489</v>
      </c>
      <c r="I79" s="15" t="s">
        <v>167</v>
      </c>
      <c r="J79" s="15" t="n">
        <v>2</v>
      </c>
      <c r="K79" s="3" t="n">
        <v>45565</v>
      </c>
      <c r="L79" s="20" t="n">
        <f aca="false">IF(K79="","",EOMONTH(K79,2))</f>
        <v>45626</v>
      </c>
    </row>
    <row r="80" customFormat="false" ht="14.25" hidden="false" customHeight="true" outlineLevel="0" collapsed="false">
      <c r="A80" s="15" t="n">
        <v>5509</v>
      </c>
      <c r="B80" s="15" t="s">
        <v>222</v>
      </c>
      <c r="C80" s="15" t="s">
        <v>184</v>
      </c>
      <c r="D80" s="15" t="s">
        <v>185</v>
      </c>
      <c r="E80" s="13" t="s">
        <v>251</v>
      </c>
      <c r="F80" s="3" t="n">
        <v>45489</v>
      </c>
      <c r="G80" s="3" t="n">
        <v>45490</v>
      </c>
      <c r="H80" s="3" t="n">
        <v>45489</v>
      </c>
      <c r="I80" s="15" t="s">
        <v>167</v>
      </c>
      <c r="J80" s="15" t="n">
        <v>1</v>
      </c>
      <c r="K80" s="3" t="n">
        <v>45565</v>
      </c>
      <c r="L80" s="20" t="n">
        <f aca="false">IF(K80="","",EOMONTH(K80,2))</f>
        <v>45626</v>
      </c>
    </row>
    <row r="81" customFormat="false" ht="14.25" hidden="false" customHeight="true" outlineLevel="0" collapsed="false">
      <c r="A81" s="15" t="n">
        <v>4849</v>
      </c>
      <c r="B81" s="15" t="s">
        <v>163</v>
      </c>
      <c r="C81" s="15" t="s">
        <v>164</v>
      </c>
      <c r="D81" s="15" t="s">
        <v>185</v>
      </c>
      <c r="E81" s="13" t="s">
        <v>233</v>
      </c>
      <c r="F81" s="3" t="n">
        <v>45490</v>
      </c>
      <c r="G81" s="3" t="n">
        <v>45525</v>
      </c>
      <c r="H81" s="3" t="n">
        <v>45622</v>
      </c>
      <c r="I81" s="15" t="s">
        <v>167</v>
      </c>
      <c r="J81" s="15" t="n">
        <v>1</v>
      </c>
      <c r="K81" s="3" t="n">
        <v>45596</v>
      </c>
      <c r="L81" s="20" t="n">
        <f aca="false">IF(K81="","",EOMONTH(K81,2))</f>
        <v>45657</v>
      </c>
    </row>
    <row r="82" customFormat="false" ht="14.25" hidden="false" customHeight="true" outlineLevel="0" collapsed="false">
      <c r="A82" s="15" t="n">
        <v>5511</v>
      </c>
      <c r="B82" s="15" t="s">
        <v>178</v>
      </c>
      <c r="C82" s="15" t="s">
        <v>184</v>
      </c>
      <c r="D82" s="15" t="s">
        <v>185</v>
      </c>
      <c r="E82" s="13" t="s">
        <v>252</v>
      </c>
      <c r="F82" s="3" t="n">
        <v>45490</v>
      </c>
      <c r="G82" s="15"/>
      <c r="H82" s="3" t="n">
        <v>45491</v>
      </c>
      <c r="I82" s="15" t="s">
        <v>167</v>
      </c>
      <c r="J82" s="15" t="n">
        <v>3</v>
      </c>
      <c r="K82" s="15"/>
      <c r="L82" s="20" t="str">
        <f aca="false">IF(K82="","",EOMONTH(K82,2))</f>
        <v/>
      </c>
    </row>
    <row r="83" customFormat="false" ht="14.25" hidden="false" customHeight="true" outlineLevel="0" collapsed="false">
      <c r="A83" s="15" t="n">
        <v>5518</v>
      </c>
      <c r="B83" s="15" t="s">
        <v>163</v>
      </c>
      <c r="C83" s="15" t="s">
        <v>184</v>
      </c>
      <c r="D83" s="15" t="s">
        <v>185</v>
      </c>
      <c r="E83" s="13" t="s">
        <v>253</v>
      </c>
      <c r="F83" s="3" t="n">
        <v>45490</v>
      </c>
      <c r="G83" s="3" t="n">
        <v>45494</v>
      </c>
      <c r="H83" s="3" t="n">
        <v>45497</v>
      </c>
      <c r="I83" s="15" t="s">
        <v>167</v>
      </c>
      <c r="J83" s="15" t="n">
        <v>3</v>
      </c>
      <c r="K83" s="3" t="n">
        <v>45565</v>
      </c>
      <c r="L83" s="20" t="n">
        <f aca="false">IF(K83="","",EOMONTH(K83,2))</f>
        <v>45626</v>
      </c>
    </row>
    <row r="84" customFormat="false" ht="14.25" hidden="false" customHeight="true" outlineLevel="0" collapsed="false">
      <c r="A84" s="15" t="n">
        <v>5512</v>
      </c>
      <c r="B84" s="15" t="s">
        <v>178</v>
      </c>
      <c r="C84" s="15" t="s">
        <v>184</v>
      </c>
      <c r="D84" s="15" t="s">
        <v>185</v>
      </c>
      <c r="E84" s="13" t="s">
        <v>254</v>
      </c>
      <c r="F84" s="3" t="n">
        <v>45491</v>
      </c>
      <c r="G84" s="15"/>
      <c r="H84" s="3" t="n">
        <v>45491</v>
      </c>
      <c r="I84" s="15" t="s">
        <v>167</v>
      </c>
      <c r="J84" s="15" t="n">
        <v>2</v>
      </c>
      <c r="K84" s="15"/>
      <c r="L84" s="20" t="str">
        <f aca="false">IF(K84="","",EOMONTH(K84,2))</f>
        <v/>
      </c>
    </row>
    <row r="85" customFormat="false" ht="14.25" hidden="false" customHeight="true" outlineLevel="0" collapsed="false">
      <c r="A85" s="15" t="n">
        <v>5513</v>
      </c>
      <c r="B85" s="15" t="s">
        <v>178</v>
      </c>
      <c r="C85" s="15" t="s">
        <v>184</v>
      </c>
      <c r="D85" s="15" t="s">
        <v>185</v>
      </c>
      <c r="E85" s="13" t="s">
        <v>255</v>
      </c>
      <c r="F85" s="3" t="n">
        <v>45493</v>
      </c>
      <c r="G85" s="15"/>
      <c r="H85" s="3" t="n">
        <v>45494</v>
      </c>
      <c r="I85" s="15" t="s">
        <v>167</v>
      </c>
      <c r="J85" s="15" t="n">
        <v>1</v>
      </c>
      <c r="K85" s="15"/>
      <c r="L85" s="20" t="str">
        <f aca="false">IF(K85="","",EOMONTH(K85,2))</f>
        <v/>
      </c>
    </row>
    <row r="86" customFormat="false" ht="14.25" hidden="false" customHeight="true" outlineLevel="0" collapsed="false">
      <c r="A86" s="15" t="n">
        <v>5514</v>
      </c>
      <c r="B86" s="15" t="s">
        <v>178</v>
      </c>
      <c r="C86" s="15" t="s">
        <v>184</v>
      </c>
      <c r="D86" s="15" t="s">
        <v>185</v>
      </c>
      <c r="E86" s="13" t="s">
        <v>256</v>
      </c>
      <c r="F86" s="3" t="n">
        <v>45494</v>
      </c>
      <c r="G86" s="15"/>
      <c r="H86" s="3" t="n">
        <v>45494</v>
      </c>
      <c r="I86" s="15" t="s">
        <v>167</v>
      </c>
      <c r="J86" s="15" t="n">
        <v>3</v>
      </c>
      <c r="K86" s="15"/>
      <c r="L86" s="20" t="str">
        <f aca="false">IF(K86="","",EOMONTH(K86,2))</f>
        <v/>
      </c>
    </row>
    <row r="87" customFormat="false" ht="14.25" hidden="false" customHeight="true" outlineLevel="0" collapsed="false">
      <c r="A87" s="15" t="n">
        <v>5515</v>
      </c>
      <c r="B87" s="15" t="s">
        <v>117</v>
      </c>
      <c r="C87" s="15" t="s">
        <v>184</v>
      </c>
      <c r="D87" s="15" t="s">
        <v>185</v>
      </c>
      <c r="E87" s="13" t="s">
        <v>257</v>
      </c>
      <c r="F87" s="3" t="n">
        <v>45494</v>
      </c>
      <c r="G87" s="3" t="n">
        <v>45495</v>
      </c>
      <c r="H87" s="3" t="n">
        <v>45494</v>
      </c>
      <c r="I87" s="15" t="s">
        <v>167</v>
      </c>
      <c r="J87" s="15" t="n">
        <v>1</v>
      </c>
      <c r="K87" s="3" t="n">
        <v>45565</v>
      </c>
      <c r="L87" s="20" t="n">
        <f aca="false">IF(K87="","",EOMONTH(K87,2))</f>
        <v>45626</v>
      </c>
    </row>
    <row r="88" customFormat="false" ht="14.25" hidden="false" customHeight="true" outlineLevel="0" collapsed="false">
      <c r="A88" s="15" t="n">
        <v>5516</v>
      </c>
      <c r="B88" s="15" t="s">
        <v>178</v>
      </c>
      <c r="C88" s="15" t="s">
        <v>184</v>
      </c>
      <c r="D88" s="15" t="s">
        <v>185</v>
      </c>
      <c r="E88" s="13" t="s">
        <v>258</v>
      </c>
      <c r="F88" s="3" t="n">
        <v>45494</v>
      </c>
      <c r="G88" s="15"/>
      <c r="H88" s="3" t="n">
        <v>45495</v>
      </c>
      <c r="I88" s="15" t="s">
        <v>167</v>
      </c>
      <c r="J88" s="15" t="n">
        <v>2</v>
      </c>
      <c r="K88" s="15"/>
      <c r="L88" s="20" t="str">
        <f aca="false">IF(K88="","",EOMONTH(K88,2))</f>
        <v/>
      </c>
    </row>
    <row r="89" customFormat="false" ht="14.25" hidden="false" customHeight="true" outlineLevel="0" collapsed="false">
      <c r="A89" s="15" t="n">
        <v>5517</v>
      </c>
      <c r="B89" s="15" t="s">
        <v>163</v>
      </c>
      <c r="C89" s="15" t="s">
        <v>184</v>
      </c>
      <c r="D89" s="15" t="s">
        <v>185</v>
      </c>
      <c r="E89" s="13" t="s">
        <v>259</v>
      </c>
      <c r="F89" s="3" t="n">
        <v>45495</v>
      </c>
      <c r="G89" s="3" t="n">
        <v>45501</v>
      </c>
      <c r="H89" s="3" t="n">
        <v>45496</v>
      </c>
      <c r="I89" s="15" t="s">
        <v>167</v>
      </c>
      <c r="J89" s="15" t="n">
        <v>2</v>
      </c>
      <c r="K89" s="3" t="n">
        <v>45565</v>
      </c>
      <c r="L89" s="20" t="n">
        <f aca="false">IF(K89="","",EOMONTH(K89,2))</f>
        <v>45626</v>
      </c>
    </row>
    <row r="90" customFormat="false" ht="14.25" hidden="false" customHeight="true" outlineLevel="0" collapsed="false">
      <c r="A90" s="15" t="n">
        <v>4813</v>
      </c>
      <c r="B90" s="15" t="s">
        <v>212</v>
      </c>
      <c r="C90" s="15" t="s">
        <v>164</v>
      </c>
      <c r="D90" s="15" t="s">
        <v>260</v>
      </c>
      <c r="E90" s="13" t="s">
        <v>261</v>
      </c>
      <c r="F90" s="3" t="n">
        <v>45497</v>
      </c>
      <c r="G90" s="3" t="n">
        <v>45497</v>
      </c>
      <c r="H90" s="3" t="n">
        <v>45527</v>
      </c>
      <c r="I90" s="15" t="s">
        <v>167</v>
      </c>
      <c r="J90" s="15" t="n">
        <v>2</v>
      </c>
      <c r="K90" s="3" t="n">
        <v>45565</v>
      </c>
      <c r="L90" s="20" t="n">
        <f aca="false">IF(K90="","",EOMONTH(K90,2))</f>
        <v>45626</v>
      </c>
    </row>
    <row r="91" customFormat="false" ht="14.25" hidden="false" customHeight="true" outlineLevel="0" collapsed="false">
      <c r="A91" s="15" t="n">
        <v>5519</v>
      </c>
      <c r="B91" s="15" t="s">
        <v>117</v>
      </c>
      <c r="C91" s="15" t="s">
        <v>184</v>
      </c>
      <c r="D91" s="15" t="s">
        <v>185</v>
      </c>
      <c r="E91" s="13" t="s">
        <v>262</v>
      </c>
      <c r="F91" s="3" t="n">
        <v>45497</v>
      </c>
      <c r="G91" s="3" t="n">
        <v>45524</v>
      </c>
      <c r="H91" s="3" t="n">
        <v>45498</v>
      </c>
      <c r="I91" s="15" t="s">
        <v>167</v>
      </c>
      <c r="J91" s="15" t="n">
        <v>2</v>
      </c>
      <c r="K91" s="3" t="n">
        <v>45596</v>
      </c>
      <c r="L91" s="20" t="n">
        <f aca="false">IF(K91="","",EOMONTH(K91,2))</f>
        <v>45657</v>
      </c>
    </row>
    <row r="92" customFormat="false" ht="14.25" hidden="false" customHeight="true" outlineLevel="0" collapsed="false">
      <c r="A92" s="15" t="n">
        <v>5520</v>
      </c>
      <c r="B92" s="15" t="s">
        <v>206</v>
      </c>
      <c r="C92" s="15" t="s">
        <v>184</v>
      </c>
      <c r="D92" s="15" t="s">
        <v>185</v>
      </c>
      <c r="E92" s="13" t="s">
        <v>263</v>
      </c>
      <c r="F92" s="3" t="n">
        <v>45498</v>
      </c>
      <c r="G92" s="3" t="n">
        <v>45513</v>
      </c>
      <c r="H92" s="3" t="n">
        <v>45499</v>
      </c>
      <c r="I92" s="15" t="s">
        <v>167</v>
      </c>
      <c r="J92" s="15" t="n">
        <v>3</v>
      </c>
      <c r="K92" s="3" t="n">
        <v>45596</v>
      </c>
      <c r="L92" s="20" t="n">
        <f aca="false">IF(K92="","",EOMONTH(K92,2))</f>
        <v>45657</v>
      </c>
    </row>
    <row r="93" customFormat="false" ht="14.25" hidden="false" customHeight="true" outlineLevel="0" collapsed="false">
      <c r="A93" s="15" t="n">
        <v>5521</v>
      </c>
      <c r="B93" s="15" t="s">
        <v>163</v>
      </c>
      <c r="C93" s="15" t="s">
        <v>184</v>
      </c>
      <c r="D93" s="15" t="s">
        <v>185</v>
      </c>
      <c r="E93" s="13" t="s">
        <v>264</v>
      </c>
      <c r="F93" s="3" t="n">
        <v>45498</v>
      </c>
      <c r="G93" s="3" t="n">
        <v>45527</v>
      </c>
      <c r="H93" s="3" t="n">
        <v>45499</v>
      </c>
      <c r="I93" s="15" t="s">
        <v>167</v>
      </c>
      <c r="J93" s="15" t="n">
        <v>1</v>
      </c>
      <c r="K93" s="3" t="n">
        <v>45596</v>
      </c>
      <c r="L93" s="20" t="n">
        <f aca="false">IF(K93="","",EOMONTH(K93,2))</f>
        <v>45657</v>
      </c>
    </row>
    <row r="94" customFormat="false" ht="14.25" hidden="false" customHeight="true" outlineLevel="0" collapsed="false">
      <c r="A94" s="15" t="n">
        <v>5522</v>
      </c>
      <c r="B94" s="15" t="s">
        <v>117</v>
      </c>
      <c r="C94" s="15" t="s">
        <v>184</v>
      </c>
      <c r="D94" s="15" t="s">
        <v>185</v>
      </c>
      <c r="E94" s="13" t="s">
        <v>265</v>
      </c>
      <c r="F94" s="3" t="n">
        <v>45498</v>
      </c>
      <c r="G94" s="3" t="n">
        <v>45514</v>
      </c>
      <c r="H94" s="3" t="n">
        <v>45500</v>
      </c>
      <c r="I94" s="15" t="s">
        <v>167</v>
      </c>
      <c r="J94" s="15" t="n">
        <v>1</v>
      </c>
      <c r="K94" s="3" t="n">
        <v>45596</v>
      </c>
      <c r="L94" s="20" t="n">
        <f aca="false">IF(K94="","",EOMONTH(K94,2))</f>
        <v>45657</v>
      </c>
    </row>
    <row r="95" customFormat="false" ht="14.25" hidden="false" customHeight="true" outlineLevel="0" collapsed="false">
      <c r="A95" s="15" t="n">
        <v>4826</v>
      </c>
      <c r="B95" s="15" t="s">
        <v>173</v>
      </c>
      <c r="C95" s="15" t="s">
        <v>164</v>
      </c>
      <c r="D95" s="15" t="s">
        <v>180</v>
      </c>
      <c r="E95" s="13" t="s">
        <v>203</v>
      </c>
      <c r="F95" s="3" t="n">
        <v>45502</v>
      </c>
      <c r="G95" s="3" t="n">
        <v>45504</v>
      </c>
      <c r="H95" s="3" t="n">
        <v>45561</v>
      </c>
      <c r="I95" s="15" t="s">
        <v>167</v>
      </c>
      <c r="J95" s="15" t="n">
        <v>3</v>
      </c>
      <c r="K95" s="3" t="n">
        <v>45565</v>
      </c>
      <c r="L95" s="20" t="n">
        <f aca="false">IF(K95="","",EOMONTH(K95,2))</f>
        <v>45626</v>
      </c>
    </row>
    <row r="96" customFormat="false" ht="14.25" hidden="false" customHeight="true" outlineLevel="0" collapsed="false">
      <c r="A96" s="15" t="n">
        <v>5523</v>
      </c>
      <c r="B96" s="15" t="s">
        <v>96</v>
      </c>
      <c r="C96" s="15" t="s">
        <v>184</v>
      </c>
      <c r="D96" s="15" t="s">
        <v>185</v>
      </c>
      <c r="E96" s="13" t="s">
        <v>266</v>
      </c>
      <c r="F96" s="3" t="n">
        <v>45503</v>
      </c>
      <c r="G96" s="3" t="n">
        <v>45508</v>
      </c>
      <c r="H96" s="3" t="n">
        <v>45503</v>
      </c>
      <c r="I96" s="15" t="s">
        <v>167</v>
      </c>
      <c r="J96" s="15" t="n">
        <v>1</v>
      </c>
      <c r="K96" s="3" t="n">
        <v>45596</v>
      </c>
      <c r="L96" s="20" t="n">
        <f aca="false">IF(K96="","",EOMONTH(K96,2))</f>
        <v>45657</v>
      </c>
    </row>
    <row r="97" customFormat="false" ht="14.25" hidden="false" customHeight="true" outlineLevel="0" collapsed="false">
      <c r="A97" s="15" t="n">
        <v>5525</v>
      </c>
      <c r="B97" s="15" t="s">
        <v>267</v>
      </c>
      <c r="C97" s="15" t="s">
        <v>184</v>
      </c>
      <c r="D97" s="15" t="s">
        <v>185</v>
      </c>
      <c r="E97" s="13" t="s">
        <v>268</v>
      </c>
      <c r="F97" s="3" t="n">
        <v>45503</v>
      </c>
      <c r="G97" s="3" t="n">
        <v>45534</v>
      </c>
      <c r="H97" s="3" t="n">
        <v>45504</v>
      </c>
      <c r="I97" s="15" t="s">
        <v>167</v>
      </c>
      <c r="J97" s="15" t="n">
        <v>2</v>
      </c>
      <c r="K97" s="3" t="n">
        <v>45596</v>
      </c>
      <c r="L97" s="20" t="n">
        <f aca="false">IF(K97="","",EOMONTH(K97,2))</f>
        <v>45657</v>
      </c>
    </row>
    <row r="98" customFormat="false" ht="14.25" hidden="false" customHeight="true" outlineLevel="0" collapsed="false">
      <c r="A98" s="15" t="n">
        <v>4838</v>
      </c>
      <c r="B98" s="15" t="s">
        <v>199</v>
      </c>
      <c r="C98" s="15" t="s">
        <v>164</v>
      </c>
      <c r="D98" s="15" t="s">
        <v>165</v>
      </c>
      <c r="E98" s="13" t="s">
        <v>202</v>
      </c>
      <c r="F98" s="3" t="n">
        <v>45504</v>
      </c>
      <c r="G98" s="3" t="n">
        <v>45504</v>
      </c>
      <c r="H98" s="3" t="n">
        <v>45586</v>
      </c>
      <c r="I98" s="15" t="s">
        <v>167</v>
      </c>
      <c r="J98" s="15" t="n">
        <v>5</v>
      </c>
      <c r="K98" s="3" t="n">
        <v>45565</v>
      </c>
      <c r="L98" s="20" t="n">
        <f aca="false">IF(K98="","",EOMONTH(K98,2))</f>
        <v>45626</v>
      </c>
    </row>
    <row r="99" customFormat="false" ht="14.25" hidden="false" customHeight="true" outlineLevel="0" collapsed="false">
      <c r="A99" s="15" t="n">
        <v>5524</v>
      </c>
      <c r="B99" s="15" t="s">
        <v>267</v>
      </c>
      <c r="C99" s="15" t="s">
        <v>184</v>
      </c>
      <c r="D99" s="15" t="s">
        <v>185</v>
      </c>
      <c r="E99" s="13" t="s">
        <v>269</v>
      </c>
      <c r="F99" s="3" t="n">
        <v>45504</v>
      </c>
      <c r="G99" s="3" t="n">
        <v>45513</v>
      </c>
      <c r="H99" s="3" t="n">
        <v>45504</v>
      </c>
      <c r="I99" s="15" t="s">
        <v>167</v>
      </c>
      <c r="J99" s="15" t="n">
        <v>1</v>
      </c>
      <c r="K99" s="3" t="n">
        <v>45596</v>
      </c>
      <c r="L99" s="20" t="n">
        <f aca="false">IF(K99="","",EOMONTH(K99,2))</f>
        <v>45657</v>
      </c>
    </row>
    <row r="100" customFormat="false" ht="14.25" hidden="false" customHeight="true" outlineLevel="0" collapsed="false">
      <c r="A100" s="15" t="n">
        <v>3605</v>
      </c>
      <c r="B100" s="15" t="s">
        <v>215</v>
      </c>
      <c r="C100" s="15" t="s">
        <v>176</v>
      </c>
      <c r="D100" s="15" t="s">
        <v>270</v>
      </c>
      <c r="E100" s="13" t="s">
        <v>271</v>
      </c>
      <c r="F100" s="3" t="n">
        <v>45505</v>
      </c>
      <c r="G100" s="3" t="n">
        <v>45531</v>
      </c>
      <c r="H100" s="3" t="n">
        <v>45507</v>
      </c>
      <c r="I100" s="15" t="s">
        <v>167</v>
      </c>
      <c r="J100" s="15" t="n">
        <v>61</v>
      </c>
      <c r="K100" s="3" t="n">
        <v>45596</v>
      </c>
      <c r="L100" s="20" t="n">
        <f aca="false">IF(K100="","",EOMONTH(K100,2))</f>
        <v>45657</v>
      </c>
    </row>
    <row r="101" customFormat="false" ht="14.25" hidden="false" customHeight="true" outlineLevel="0" collapsed="false">
      <c r="A101" s="15" t="n">
        <v>4806</v>
      </c>
      <c r="B101" s="15" t="s">
        <v>215</v>
      </c>
      <c r="C101" s="15" t="s">
        <v>164</v>
      </c>
      <c r="D101" s="15" t="s">
        <v>270</v>
      </c>
      <c r="E101" s="13" t="s">
        <v>272</v>
      </c>
      <c r="F101" s="3" t="n">
        <v>45505</v>
      </c>
      <c r="G101" s="3" t="n">
        <v>45531</v>
      </c>
      <c r="H101" s="3" t="n">
        <v>45514</v>
      </c>
      <c r="I101" s="15" t="s">
        <v>167</v>
      </c>
      <c r="J101" s="15" t="n">
        <v>61</v>
      </c>
      <c r="K101" s="3" t="n">
        <v>45596</v>
      </c>
      <c r="L101" s="20" t="n">
        <f aca="false">IF(K101="","",EOMONTH(K101,2))</f>
        <v>45657</v>
      </c>
    </row>
    <row r="102" customFormat="false" ht="14.25" hidden="false" customHeight="true" outlineLevel="0" collapsed="false">
      <c r="A102" s="15" t="n">
        <v>5526</v>
      </c>
      <c r="B102" s="15" t="s">
        <v>267</v>
      </c>
      <c r="C102" s="15" t="s">
        <v>184</v>
      </c>
      <c r="D102" s="15" t="s">
        <v>185</v>
      </c>
      <c r="E102" s="13" t="s">
        <v>273</v>
      </c>
      <c r="F102" s="3" t="n">
        <v>45505</v>
      </c>
      <c r="G102" s="3" t="n">
        <v>45511</v>
      </c>
      <c r="H102" s="3" t="n">
        <v>45505</v>
      </c>
      <c r="I102" s="15" t="s">
        <v>167</v>
      </c>
      <c r="J102" s="15" t="n">
        <v>1</v>
      </c>
      <c r="K102" s="3" t="n">
        <v>45596</v>
      </c>
      <c r="L102" s="20" t="n">
        <f aca="false">IF(K102="","",EOMONTH(K102,2))</f>
        <v>45657</v>
      </c>
    </row>
    <row r="103" customFormat="false" ht="14.25" hidden="false" customHeight="true" outlineLevel="0" collapsed="false">
      <c r="A103" s="15" t="n">
        <v>5527</v>
      </c>
      <c r="B103" s="15" t="s">
        <v>178</v>
      </c>
      <c r="C103" s="15" t="s">
        <v>184</v>
      </c>
      <c r="D103" s="15" t="s">
        <v>185</v>
      </c>
      <c r="E103" s="13" t="s">
        <v>274</v>
      </c>
      <c r="F103" s="3" t="n">
        <v>45506</v>
      </c>
      <c r="G103" s="15"/>
      <c r="H103" s="3" t="n">
        <v>45506</v>
      </c>
      <c r="I103" s="15" t="s">
        <v>167</v>
      </c>
      <c r="J103" s="15" t="n">
        <v>1</v>
      </c>
      <c r="K103" s="15"/>
      <c r="L103" s="20" t="str">
        <f aca="false">IF(K103="","",EOMONTH(K103,2))</f>
        <v/>
      </c>
    </row>
    <row r="104" customFormat="false" ht="14.25" hidden="false" customHeight="true" outlineLevel="0" collapsed="false">
      <c r="A104" s="15" t="n">
        <v>3606</v>
      </c>
      <c r="B104" s="15" t="s">
        <v>275</v>
      </c>
      <c r="C104" s="15" t="s">
        <v>176</v>
      </c>
      <c r="D104" s="15" t="s">
        <v>270</v>
      </c>
      <c r="E104" s="13" t="s">
        <v>272</v>
      </c>
      <c r="F104" s="3" t="n">
        <v>45508</v>
      </c>
      <c r="G104" s="3" t="n">
        <v>45526</v>
      </c>
      <c r="H104" s="3" t="n">
        <v>45509</v>
      </c>
      <c r="I104" s="15" t="s">
        <v>167</v>
      </c>
      <c r="J104" s="15" t="n">
        <v>46</v>
      </c>
      <c r="K104" s="3" t="n">
        <v>45596</v>
      </c>
      <c r="L104" s="20" t="n">
        <f aca="false">IF(K104="","",EOMONTH(K104,2))</f>
        <v>45657</v>
      </c>
    </row>
    <row r="105" customFormat="false" ht="14.25" hidden="false" customHeight="true" outlineLevel="0" collapsed="false">
      <c r="A105" s="15" t="n">
        <v>3607</v>
      </c>
      <c r="B105" s="15" t="s">
        <v>276</v>
      </c>
      <c r="C105" s="15" t="s">
        <v>176</v>
      </c>
      <c r="D105" s="15" t="s">
        <v>270</v>
      </c>
      <c r="E105" s="13" t="s">
        <v>272</v>
      </c>
      <c r="F105" s="3" t="n">
        <v>45508</v>
      </c>
      <c r="G105" s="3" t="n">
        <v>45524</v>
      </c>
      <c r="H105" s="3" t="n">
        <v>45509</v>
      </c>
      <c r="I105" s="15" t="s">
        <v>167</v>
      </c>
      <c r="J105" s="15" t="n">
        <v>55</v>
      </c>
      <c r="K105" s="3" t="n">
        <v>45596</v>
      </c>
      <c r="L105" s="20" t="n">
        <f aca="false">IF(K105="","",EOMONTH(K105,2))</f>
        <v>45657</v>
      </c>
    </row>
    <row r="106" customFormat="false" ht="14.25" hidden="false" customHeight="true" outlineLevel="0" collapsed="false">
      <c r="A106" s="15" t="n">
        <v>4821</v>
      </c>
      <c r="B106" s="15" t="s">
        <v>276</v>
      </c>
      <c r="C106" s="15" t="s">
        <v>164</v>
      </c>
      <c r="D106" s="15" t="s">
        <v>270</v>
      </c>
      <c r="E106" s="13" t="s">
        <v>271</v>
      </c>
      <c r="F106" s="3" t="n">
        <v>45508</v>
      </c>
      <c r="G106" s="3" t="n">
        <v>45524</v>
      </c>
      <c r="H106" s="3" t="n">
        <v>45559</v>
      </c>
      <c r="I106" s="15" t="s">
        <v>167</v>
      </c>
      <c r="J106" s="15" t="n">
        <v>35</v>
      </c>
      <c r="K106" s="3" t="n">
        <v>45596</v>
      </c>
      <c r="L106" s="20" t="n">
        <f aca="false">IF(K106="","",EOMONTH(K106,2))</f>
        <v>45657</v>
      </c>
    </row>
    <row r="107" customFormat="false" ht="14.25" hidden="false" customHeight="true" outlineLevel="0" collapsed="false">
      <c r="A107" s="15" t="n">
        <v>4835</v>
      </c>
      <c r="B107" s="15" t="s">
        <v>275</v>
      </c>
      <c r="C107" s="15" t="s">
        <v>164</v>
      </c>
      <c r="D107" s="15" t="s">
        <v>270</v>
      </c>
      <c r="E107" s="13" t="s">
        <v>271</v>
      </c>
      <c r="F107" s="3" t="n">
        <v>45508</v>
      </c>
      <c r="G107" s="3" t="n">
        <v>45526</v>
      </c>
      <c r="H107" s="3" t="n">
        <v>45564</v>
      </c>
      <c r="I107" s="15" t="s">
        <v>167</v>
      </c>
      <c r="J107" s="15" t="n">
        <v>14</v>
      </c>
      <c r="K107" s="3" t="n">
        <v>45596</v>
      </c>
      <c r="L107" s="20" t="n">
        <f aca="false">IF(K107="","",EOMONTH(K107,2))</f>
        <v>45657</v>
      </c>
    </row>
    <row r="108" customFormat="false" ht="14.25" hidden="false" customHeight="true" outlineLevel="0" collapsed="false">
      <c r="A108" s="15" t="n">
        <v>5528</v>
      </c>
      <c r="B108" s="15" t="s">
        <v>178</v>
      </c>
      <c r="C108" s="15" t="s">
        <v>184</v>
      </c>
      <c r="D108" s="15" t="s">
        <v>185</v>
      </c>
      <c r="E108" s="13" t="s">
        <v>277</v>
      </c>
      <c r="F108" s="3" t="n">
        <v>45508</v>
      </c>
      <c r="G108" s="15"/>
      <c r="H108" s="3" t="n">
        <v>45510</v>
      </c>
      <c r="I108" s="15" t="s">
        <v>167</v>
      </c>
      <c r="J108" s="15" t="n">
        <v>1</v>
      </c>
      <c r="K108" s="15"/>
      <c r="L108" s="20" t="str">
        <f aca="false">IF(K108="","",EOMONTH(K108,2))</f>
        <v/>
      </c>
    </row>
    <row r="109" customFormat="false" ht="14.25" hidden="false" customHeight="true" outlineLevel="0" collapsed="false">
      <c r="A109" s="15" t="n">
        <v>3608</v>
      </c>
      <c r="B109" s="15" t="s">
        <v>278</v>
      </c>
      <c r="C109" s="15" t="s">
        <v>176</v>
      </c>
      <c r="D109" s="15" t="s">
        <v>270</v>
      </c>
      <c r="E109" s="13" t="s">
        <v>271</v>
      </c>
      <c r="F109" s="3" t="n">
        <v>45509</v>
      </c>
      <c r="G109" s="3" t="n">
        <v>45523</v>
      </c>
      <c r="H109" s="3" t="n">
        <v>45510</v>
      </c>
      <c r="I109" s="15" t="s">
        <v>167</v>
      </c>
      <c r="J109" s="15" t="n">
        <v>74</v>
      </c>
      <c r="K109" s="3" t="n">
        <v>45596</v>
      </c>
      <c r="L109" s="20" t="n">
        <f aca="false">IF(K109="","",EOMONTH(K109,2))</f>
        <v>45657</v>
      </c>
    </row>
    <row r="110" customFormat="false" ht="14.25" hidden="false" customHeight="true" outlineLevel="0" collapsed="false">
      <c r="A110" s="15" t="n">
        <v>4836</v>
      </c>
      <c r="B110" s="15" t="s">
        <v>279</v>
      </c>
      <c r="C110" s="15" t="s">
        <v>164</v>
      </c>
      <c r="D110" s="15" t="s">
        <v>180</v>
      </c>
      <c r="E110" s="13" t="s">
        <v>280</v>
      </c>
      <c r="F110" s="3" t="n">
        <v>45509</v>
      </c>
      <c r="G110" s="3" t="n">
        <v>45510</v>
      </c>
      <c r="H110" s="3" t="n">
        <v>45581</v>
      </c>
      <c r="I110" s="15" t="s">
        <v>167</v>
      </c>
      <c r="J110" s="15" t="n">
        <v>1</v>
      </c>
      <c r="K110" s="3" t="n">
        <v>45596</v>
      </c>
      <c r="L110" s="20" t="n">
        <f aca="false">IF(K110="","",EOMONTH(K110,2))</f>
        <v>45657</v>
      </c>
    </row>
    <row r="111" customFormat="false" ht="14.25" hidden="false" customHeight="true" outlineLevel="0" collapsed="false">
      <c r="A111" s="15" t="n">
        <v>4847</v>
      </c>
      <c r="B111" s="15" t="s">
        <v>212</v>
      </c>
      <c r="C111" s="15" t="s">
        <v>164</v>
      </c>
      <c r="D111" s="15" t="s">
        <v>165</v>
      </c>
      <c r="E111" s="13" t="s">
        <v>281</v>
      </c>
      <c r="F111" s="3" t="n">
        <v>45510</v>
      </c>
      <c r="G111" s="3" t="n">
        <v>45510</v>
      </c>
      <c r="H111" s="3" t="n">
        <v>45610</v>
      </c>
      <c r="I111" s="15" t="s">
        <v>167</v>
      </c>
      <c r="J111" s="15" t="n">
        <v>1</v>
      </c>
      <c r="K111" s="3" t="n">
        <v>45596</v>
      </c>
      <c r="L111" s="20" t="n">
        <f aca="false">IF(K111="","",EOMONTH(K111,2))</f>
        <v>45657</v>
      </c>
    </row>
    <row r="112" customFormat="false" ht="14.25" hidden="false" customHeight="true" outlineLevel="0" collapsed="false">
      <c r="A112" s="15" t="n">
        <v>3609</v>
      </c>
      <c r="B112" s="15" t="s">
        <v>173</v>
      </c>
      <c r="C112" s="15" t="s">
        <v>176</v>
      </c>
      <c r="D112" s="15" t="s">
        <v>270</v>
      </c>
      <c r="E112" s="13" t="s">
        <v>282</v>
      </c>
      <c r="F112" s="3" t="n">
        <v>45512</v>
      </c>
      <c r="G112" s="3" t="n">
        <v>45514</v>
      </c>
      <c r="H112" s="3" t="n">
        <v>45512</v>
      </c>
      <c r="I112" s="15" t="s">
        <v>167</v>
      </c>
      <c r="J112" s="15" t="n">
        <v>14</v>
      </c>
      <c r="K112" s="3" t="n">
        <v>45596</v>
      </c>
      <c r="L112" s="20" t="n">
        <f aca="false">IF(K112="","",EOMONTH(K112,2))</f>
        <v>45657</v>
      </c>
    </row>
    <row r="113" customFormat="false" ht="14.25" hidden="false" customHeight="true" outlineLevel="0" collapsed="false">
      <c r="A113" s="15" t="n">
        <v>4818</v>
      </c>
      <c r="B113" s="15" t="s">
        <v>244</v>
      </c>
      <c r="C113" s="15" t="s">
        <v>164</v>
      </c>
      <c r="D113" s="15" t="s">
        <v>270</v>
      </c>
      <c r="E113" s="13" t="s">
        <v>181</v>
      </c>
      <c r="F113" s="3" t="n">
        <v>45512</v>
      </c>
      <c r="G113" s="3" t="n">
        <v>45514</v>
      </c>
      <c r="H113" s="3" t="n">
        <v>45555</v>
      </c>
      <c r="I113" s="15" t="s">
        <v>167</v>
      </c>
      <c r="J113" s="15" t="n">
        <v>1</v>
      </c>
      <c r="K113" s="3" t="n">
        <v>45596</v>
      </c>
      <c r="L113" s="20" t="n">
        <f aca="false">IF(K113="","",EOMONTH(K113,2))</f>
        <v>45657</v>
      </c>
    </row>
    <row r="114" customFormat="false" ht="14.25" hidden="false" customHeight="true" outlineLevel="0" collapsed="false">
      <c r="A114" s="15" t="n">
        <v>4825</v>
      </c>
      <c r="B114" s="15" t="s">
        <v>244</v>
      </c>
      <c r="C114" s="15" t="s">
        <v>164</v>
      </c>
      <c r="D114" s="15" t="s">
        <v>270</v>
      </c>
      <c r="E114" s="13" t="s">
        <v>283</v>
      </c>
      <c r="F114" s="3" t="n">
        <v>45512</v>
      </c>
      <c r="G114" s="3" t="n">
        <v>45514</v>
      </c>
      <c r="H114" s="3" t="n">
        <v>45559</v>
      </c>
      <c r="I114" s="15" t="s">
        <v>167</v>
      </c>
      <c r="J114" s="15" t="n">
        <v>11</v>
      </c>
      <c r="K114" s="3" t="n">
        <v>45596</v>
      </c>
      <c r="L114" s="20" t="n">
        <f aca="false">IF(K114="","",EOMONTH(K114,2))</f>
        <v>45657</v>
      </c>
    </row>
    <row r="115" customFormat="false" ht="14.25" hidden="false" customHeight="true" outlineLevel="0" collapsed="false">
      <c r="A115" s="15" t="n">
        <v>5529</v>
      </c>
      <c r="B115" s="15" t="s">
        <v>178</v>
      </c>
      <c r="C115" s="15" t="s">
        <v>184</v>
      </c>
      <c r="D115" s="15" t="s">
        <v>185</v>
      </c>
      <c r="E115" s="13" t="s">
        <v>284</v>
      </c>
      <c r="F115" s="3" t="n">
        <v>45512</v>
      </c>
      <c r="G115" s="15"/>
      <c r="H115" s="3" t="n">
        <v>45513</v>
      </c>
      <c r="I115" s="15" t="s">
        <v>167</v>
      </c>
      <c r="J115" s="15" t="n">
        <v>1</v>
      </c>
      <c r="K115" s="15"/>
      <c r="L115" s="20" t="str">
        <f aca="false">IF(K115="","",EOMONTH(K115,2))</f>
        <v/>
      </c>
    </row>
    <row r="116" customFormat="false" ht="14.25" hidden="false" customHeight="true" outlineLevel="0" collapsed="false">
      <c r="A116" s="15" t="n">
        <v>4815</v>
      </c>
      <c r="B116" s="15" t="s">
        <v>285</v>
      </c>
      <c r="C116" s="15" t="s">
        <v>164</v>
      </c>
      <c r="D116" s="15" t="s">
        <v>270</v>
      </c>
      <c r="E116" s="13" t="s">
        <v>271</v>
      </c>
      <c r="F116" s="3" t="n">
        <v>45513</v>
      </c>
      <c r="G116" s="3" t="n">
        <v>45514</v>
      </c>
      <c r="H116" s="3" t="n">
        <v>45546</v>
      </c>
      <c r="I116" s="15" t="s">
        <v>167</v>
      </c>
      <c r="J116" s="15" t="n">
        <v>13</v>
      </c>
      <c r="K116" s="3" t="n">
        <v>45596</v>
      </c>
      <c r="L116" s="20" t="n">
        <f aca="false">IF(K116="","",EOMONTH(K116,2))</f>
        <v>45657</v>
      </c>
    </row>
    <row r="117" customFormat="false" ht="14.25" hidden="false" customHeight="true" outlineLevel="0" collapsed="false">
      <c r="A117" s="15" t="n">
        <v>5530</v>
      </c>
      <c r="B117" s="15" t="s">
        <v>222</v>
      </c>
      <c r="C117" s="15" t="s">
        <v>184</v>
      </c>
      <c r="D117" s="15" t="s">
        <v>185</v>
      </c>
      <c r="E117" s="13" t="s">
        <v>286</v>
      </c>
      <c r="F117" s="3" t="n">
        <v>45515</v>
      </c>
      <c r="G117" s="3" t="n">
        <v>45517</v>
      </c>
      <c r="H117" s="3" t="n">
        <v>45516</v>
      </c>
      <c r="I117" s="15" t="s">
        <v>167</v>
      </c>
      <c r="J117" s="15" t="n">
        <v>1</v>
      </c>
      <c r="K117" s="3" t="n">
        <v>45596</v>
      </c>
      <c r="L117" s="20" t="n">
        <f aca="false">IF(K117="","",EOMONTH(K117,2))</f>
        <v>45657</v>
      </c>
    </row>
    <row r="118" customFormat="false" ht="14.25" hidden="false" customHeight="true" outlineLevel="0" collapsed="false">
      <c r="A118" s="15" t="n">
        <v>3610</v>
      </c>
      <c r="B118" s="15" t="s">
        <v>211</v>
      </c>
      <c r="C118" s="15" t="s">
        <v>176</v>
      </c>
      <c r="D118" s="15" t="s">
        <v>165</v>
      </c>
      <c r="E118" s="13" t="s">
        <v>287</v>
      </c>
      <c r="F118" s="3" t="n">
        <v>45517</v>
      </c>
      <c r="G118" s="3" t="n">
        <v>45520</v>
      </c>
      <c r="H118" s="3" t="n">
        <v>45517</v>
      </c>
      <c r="I118" s="15" t="s">
        <v>167</v>
      </c>
      <c r="J118" s="15" t="n">
        <v>78</v>
      </c>
      <c r="K118" s="3" t="n">
        <v>45596</v>
      </c>
      <c r="L118" s="20" t="n">
        <f aca="false">IF(K118="","",EOMONTH(K118,2))</f>
        <v>45657</v>
      </c>
    </row>
    <row r="119" customFormat="false" ht="14.25" hidden="false" customHeight="true" outlineLevel="0" collapsed="false">
      <c r="A119" s="15" t="n">
        <v>3611</v>
      </c>
      <c r="B119" s="15" t="s">
        <v>288</v>
      </c>
      <c r="C119" s="15" t="s">
        <v>176</v>
      </c>
      <c r="D119" s="15" t="s">
        <v>270</v>
      </c>
      <c r="E119" s="13" t="s">
        <v>287</v>
      </c>
      <c r="F119" s="3" t="n">
        <v>45517</v>
      </c>
      <c r="G119" s="3" t="n">
        <v>45520</v>
      </c>
      <c r="H119" s="3" t="n">
        <v>45522</v>
      </c>
      <c r="I119" s="15" t="s">
        <v>167</v>
      </c>
      <c r="J119" s="15" t="n">
        <v>3</v>
      </c>
      <c r="K119" s="3" t="n">
        <v>45596</v>
      </c>
      <c r="L119" s="20" t="n">
        <f aca="false">IF(K119="","",EOMONTH(K119,2))</f>
        <v>45657</v>
      </c>
    </row>
    <row r="120" customFormat="false" ht="14.25" hidden="false" customHeight="true" outlineLevel="0" collapsed="false">
      <c r="A120" s="15" t="n">
        <v>4841</v>
      </c>
      <c r="B120" s="15" t="s">
        <v>288</v>
      </c>
      <c r="C120" s="15" t="s">
        <v>164</v>
      </c>
      <c r="D120" s="15" t="s">
        <v>270</v>
      </c>
      <c r="E120" s="13" t="s">
        <v>287</v>
      </c>
      <c r="F120" s="3" t="n">
        <v>45517</v>
      </c>
      <c r="G120" s="3" t="n">
        <v>45520</v>
      </c>
      <c r="H120" s="3" t="n">
        <v>45590</v>
      </c>
      <c r="I120" s="15" t="s">
        <v>167</v>
      </c>
      <c r="J120" s="15" t="n">
        <v>3</v>
      </c>
      <c r="K120" s="3" t="n">
        <v>45596</v>
      </c>
      <c r="L120" s="20" t="n">
        <f aca="false">IF(K120="","",EOMONTH(K120,2))</f>
        <v>45657</v>
      </c>
    </row>
    <row r="121" customFormat="false" ht="14.25" hidden="false" customHeight="true" outlineLevel="0" collapsed="false">
      <c r="A121" s="15" t="n">
        <v>4850</v>
      </c>
      <c r="B121" s="15" t="s">
        <v>211</v>
      </c>
      <c r="C121" s="15" t="s">
        <v>164</v>
      </c>
      <c r="D121" s="15" t="s">
        <v>270</v>
      </c>
      <c r="E121" s="13" t="s">
        <v>289</v>
      </c>
      <c r="F121" s="3" t="n">
        <v>45517</v>
      </c>
      <c r="G121" s="3" t="n">
        <v>45520</v>
      </c>
      <c r="H121" s="3" t="n">
        <v>45623</v>
      </c>
      <c r="I121" s="15" t="s">
        <v>167</v>
      </c>
      <c r="J121" s="15" t="n">
        <v>38</v>
      </c>
      <c r="K121" s="3" t="n">
        <v>45596</v>
      </c>
      <c r="L121" s="20" t="n">
        <f aca="false">IF(K121="","",EOMONTH(K121,2))</f>
        <v>45657</v>
      </c>
    </row>
    <row r="122" customFormat="false" ht="14.25" hidden="false" customHeight="true" outlineLevel="0" collapsed="false">
      <c r="A122" s="15" t="n">
        <v>4857</v>
      </c>
      <c r="B122" s="15" t="s">
        <v>279</v>
      </c>
      <c r="C122" s="15" t="s">
        <v>164</v>
      </c>
      <c r="D122" s="15" t="s">
        <v>165</v>
      </c>
      <c r="E122" s="13" t="s">
        <v>181</v>
      </c>
      <c r="F122" s="3" t="n">
        <v>45519</v>
      </c>
      <c r="G122" s="3" t="n">
        <v>45522</v>
      </c>
      <c r="H122" s="3" t="n">
        <v>45667</v>
      </c>
      <c r="I122" s="15" t="s">
        <v>167</v>
      </c>
      <c r="J122" s="15" t="n">
        <v>1</v>
      </c>
      <c r="K122" s="3" t="n">
        <v>45596</v>
      </c>
      <c r="L122" s="20" t="n">
        <f aca="false">IF(K122="","",EOMONTH(K122,2))</f>
        <v>45657</v>
      </c>
    </row>
    <row r="123" customFormat="false" ht="14.25" hidden="false" customHeight="true" outlineLevel="0" collapsed="false">
      <c r="A123" s="15" t="n">
        <v>4853</v>
      </c>
      <c r="B123" s="15" t="s">
        <v>279</v>
      </c>
      <c r="C123" s="15" t="s">
        <v>164</v>
      </c>
      <c r="D123" s="15" t="s">
        <v>165</v>
      </c>
      <c r="E123" s="13" t="s">
        <v>181</v>
      </c>
      <c r="F123" s="3" t="n">
        <v>45520</v>
      </c>
      <c r="G123" s="3" t="n">
        <v>45522</v>
      </c>
      <c r="H123" s="3" t="n">
        <v>45658</v>
      </c>
      <c r="I123" s="15" t="s">
        <v>167</v>
      </c>
      <c r="J123" s="15" t="n">
        <v>1</v>
      </c>
      <c r="K123" s="3" t="n">
        <v>45596</v>
      </c>
      <c r="L123" s="20" t="n">
        <f aca="false">IF(K123="","",EOMONTH(K123,2))</f>
        <v>45657</v>
      </c>
    </row>
    <row r="124" customFormat="false" ht="14.25" hidden="false" customHeight="true" outlineLevel="0" collapsed="false">
      <c r="A124" s="15" t="n">
        <v>3612</v>
      </c>
      <c r="B124" s="15" t="s">
        <v>175</v>
      </c>
      <c r="C124" s="15" t="s">
        <v>176</v>
      </c>
      <c r="D124" s="15" t="s">
        <v>165</v>
      </c>
      <c r="E124" s="13" t="s">
        <v>203</v>
      </c>
      <c r="F124" s="3" t="n">
        <v>45522</v>
      </c>
      <c r="G124" s="3" t="n">
        <v>45523</v>
      </c>
      <c r="H124" s="3" t="n">
        <v>45525</v>
      </c>
      <c r="I124" s="15" t="s">
        <v>167</v>
      </c>
      <c r="J124" s="15" t="n">
        <v>3</v>
      </c>
      <c r="K124" s="3" t="n">
        <v>45596</v>
      </c>
      <c r="L124" s="20" t="n">
        <f aca="false">IF(K124="","",EOMONTH(K124,2))</f>
        <v>45657</v>
      </c>
    </row>
    <row r="125" customFormat="false" ht="14.25" hidden="false" customHeight="true" outlineLevel="0" collapsed="false">
      <c r="A125" s="15" t="n">
        <v>3613</v>
      </c>
      <c r="B125" s="15" t="s">
        <v>244</v>
      </c>
      <c r="C125" s="15" t="s">
        <v>176</v>
      </c>
      <c r="D125" s="15" t="s">
        <v>165</v>
      </c>
      <c r="E125" s="13" t="s">
        <v>181</v>
      </c>
      <c r="F125" s="3" t="n">
        <v>45522</v>
      </c>
      <c r="G125" s="3" t="n">
        <v>45523</v>
      </c>
      <c r="H125" s="3" t="n">
        <v>45529</v>
      </c>
      <c r="I125" s="15" t="s">
        <v>167</v>
      </c>
      <c r="J125" s="15" t="n">
        <v>1</v>
      </c>
      <c r="K125" s="3" t="n">
        <v>45596</v>
      </c>
      <c r="L125" s="20" t="n">
        <f aca="false">IF(K125="","",EOMONTH(K125,2))</f>
        <v>45657</v>
      </c>
    </row>
    <row r="126" customFormat="false" ht="14.25" hidden="false" customHeight="true" outlineLevel="0" collapsed="false">
      <c r="A126" s="15" t="n">
        <v>4820</v>
      </c>
      <c r="B126" s="15" t="s">
        <v>175</v>
      </c>
      <c r="C126" s="15" t="s">
        <v>164</v>
      </c>
      <c r="D126" s="15" t="s">
        <v>165</v>
      </c>
      <c r="E126" s="13" t="s">
        <v>207</v>
      </c>
      <c r="F126" s="3" t="n">
        <v>45522</v>
      </c>
      <c r="G126" s="3" t="n">
        <v>45523</v>
      </c>
      <c r="H126" s="3" t="n">
        <v>45555</v>
      </c>
      <c r="I126" s="15" t="s">
        <v>167</v>
      </c>
      <c r="J126" s="15" t="n">
        <v>3</v>
      </c>
      <c r="K126" s="3" t="n">
        <v>45596</v>
      </c>
      <c r="L126" s="20" t="n">
        <f aca="false">IF(K126="","",EOMONTH(K126,2))</f>
        <v>45657</v>
      </c>
    </row>
    <row r="127" customFormat="false" ht="14.25" hidden="false" customHeight="true" outlineLevel="0" collapsed="false">
      <c r="A127" s="15" t="n">
        <v>4839</v>
      </c>
      <c r="B127" s="15" t="s">
        <v>244</v>
      </c>
      <c r="C127" s="15" t="s">
        <v>164</v>
      </c>
      <c r="D127" s="15" t="s">
        <v>165</v>
      </c>
      <c r="E127" s="13" t="s">
        <v>181</v>
      </c>
      <c r="F127" s="3" t="n">
        <v>45522</v>
      </c>
      <c r="G127" s="3" t="n">
        <v>45523</v>
      </c>
      <c r="H127" s="3" t="n">
        <v>45586</v>
      </c>
      <c r="I127" s="15" t="s">
        <v>167</v>
      </c>
      <c r="J127" s="15" t="n">
        <v>3</v>
      </c>
      <c r="K127" s="3" t="n">
        <v>45596</v>
      </c>
      <c r="L127" s="20" t="n">
        <f aca="false">IF(K127="","",EOMONTH(K127,2))</f>
        <v>45657</v>
      </c>
    </row>
    <row r="128" customFormat="false" ht="14.25" hidden="false" customHeight="true" outlineLevel="0" collapsed="false">
      <c r="A128" s="15" t="n">
        <v>4845</v>
      </c>
      <c r="B128" s="15" t="s">
        <v>96</v>
      </c>
      <c r="C128" s="15" t="s">
        <v>164</v>
      </c>
      <c r="D128" s="15" t="s">
        <v>185</v>
      </c>
      <c r="E128" s="13" t="s">
        <v>233</v>
      </c>
      <c r="F128" s="3" t="n">
        <v>45525</v>
      </c>
      <c r="G128" s="3" t="n">
        <v>45535</v>
      </c>
      <c r="H128" s="3" t="n">
        <v>45609</v>
      </c>
      <c r="I128" s="15" t="s">
        <v>167</v>
      </c>
      <c r="J128" s="15" t="n">
        <v>2</v>
      </c>
      <c r="K128" s="3" t="n">
        <v>45596</v>
      </c>
      <c r="L128" s="20" t="n">
        <f aca="false">IF(K128="","",EOMONTH(K128,2))</f>
        <v>45657</v>
      </c>
    </row>
    <row r="129" customFormat="false" ht="14.25" hidden="false" customHeight="true" outlineLevel="0" collapsed="false">
      <c r="A129" s="15" t="n">
        <v>4816</v>
      </c>
      <c r="B129" s="15" t="s">
        <v>173</v>
      </c>
      <c r="C129" s="15" t="s">
        <v>164</v>
      </c>
      <c r="D129" s="15" t="s">
        <v>180</v>
      </c>
      <c r="E129" s="13" t="s">
        <v>172</v>
      </c>
      <c r="F129" s="3" t="n">
        <v>45526</v>
      </c>
      <c r="G129" s="3" t="n">
        <v>45528</v>
      </c>
      <c r="H129" s="3" t="n">
        <v>45546</v>
      </c>
      <c r="I129" s="15" t="s">
        <v>167</v>
      </c>
      <c r="J129" s="15" t="n">
        <v>1</v>
      </c>
      <c r="K129" s="3" t="n">
        <v>45596</v>
      </c>
      <c r="L129" s="20" t="n">
        <f aca="false">IF(K129="","",EOMONTH(K129,2))</f>
        <v>45657</v>
      </c>
    </row>
    <row r="130" customFormat="false" ht="14.25" hidden="false" customHeight="true" outlineLevel="0" collapsed="false">
      <c r="A130" s="15" t="n">
        <v>4840</v>
      </c>
      <c r="B130" s="15" t="s">
        <v>220</v>
      </c>
      <c r="C130" s="15" t="s">
        <v>164</v>
      </c>
      <c r="D130" s="15" t="s">
        <v>180</v>
      </c>
      <c r="E130" s="13" t="s">
        <v>280</v>
      </c>
      <c r="F130" s="3" t="n">
        <v>45526</v>
      </c>
      <c r="G130" s="3" t="n">
        <v>45527</v>
      </c>
      <c r="H130" s="3" t="n">
        <v>45590</v>
      </c>
      <c r="I130" s="15" t="s">
        <v>167</v>
      </c>
      <c r="J130" s="15" t="n">
        <v>1</v>
      </c>
      <c r="K130" s="3" t="n">
        <v>45596</v>
      </c>
      <c r="L130" s="20" t="n">
        <f aca="false">IF(K130="","",EOMONTH(K130,2))</f>
        <v>45657</v>
      </c>
    </row>
    <row r="131" customFormat="false" ht="14.25" hidden="false" customHeight="true" outlineLevel="0" collapsed="false">
      <c r="A131" s="15" t="n">
        <v>5531</v>
      </c>
      <c r="B131" s="15" t="s">
        <v>96</v>
      </c>
      <c r="C131" s="15" t="s">
        <v>184</v>
      </c>
      <c r="D131" s="15" t="s">
        <v>185</v>
      </c>
      <c r="E131" s="13" t="s">
        <v>290</v>
      </c>
      <c r="F131" s="3" t="n">
        <v>45526</v>
      </c>
      <c r="G131" s="3" t="n">
        <v>45535</v>
      </c>
      <c r="H131" s="3" t="n">
        <v>45526</v>
      </c>
      <c r="I131" s="15" t="s">
        <v>167</v>
      </c>
      <c r="J131" s="15" t="n">
        <v>1</v>
      </c>
      <c r="K131" s="3" t="n">
        <v>45596</v>
      </c>
      <c r="L131" s="20" t="n">
        <f aca="false">IF(K131="","",EOMONTH(K131,2))</f>
        <v>45657</v>
      </c>
    </row>
    <row r="132" customFormat="false" ht="14.25" hidden="false" customHeight="true" outlineLevel="0" collapsed="false">
      <c r="A132" s="15" t="n">
        <v>4846</v>
      </c>
      <c r="B132" s="15" t="s">
        <v>279</v>
      </c>
      <c r="C132" s="15" t="s">
        <v>164</v>
      </c>
      <c r="D132" s="15" t="s">
        <v>291</v>
      </c>
      <c r="E132" s="13" t="s">
        <v>292</v>
      </c>
      <c r="F132" s="3" t="n">
        <v>45529</v>
      </c>
      <c r="G132" s="3" t="n">
        <v>45529</v>
      </c>
      <c r="H132" s="3" t="n">
        <v>45609</v>
      </c>
      <c r="I132" s="15" t="s">
        <v>167</v>
      </c>
      <c r="J132" s="15" t="n">
        <v>1</v>
      </c>
      <c r="K132" s="3" t="n">
        <v>45596</v>
      </c>
      <c r="L132" s="20" t="n">
        <f aca="false">IF(K132="","",EOMONTH(K132,2))</f>
        <v>45657</v>
      </c>
    </row>
    <row r="133" customFormat="false" ht="14.25" hidden="false" customHeight="true" outlineLevel="0" collapsed="false">
      <c r="A133" s="15" t="n">
        <v>5532</v>
      </c>
      <c r="B133" s="15" t="s">
        <v>178</v>
      </c>
      <c r="C133" s="15" t="s">
        <v>184</v>
      </c>
      <c r="D133" s="15" t="s">
        <v>185</v>
      </c>
      <c r="E133" s="13" t="s">
        <v>293</v>
      </c>
      <c r="F133" s="3" t="n">
        <v>45536</v>
      </c>
      <c r="G133" s="15"/>
      <c r="H133" s="3" t="n">
        <v>45537</v>
      </c>
      <c r="I133" s="15" t="s">
        <v>167</v>
      </c>
      <c r="J133" s="15" t="n">
        <v>1</v>
      </c>
      <c r="K133" s="15"/>
      <c r="L133" s="20" t="str">
        <f aca="false">IF(K133="","",EOMONTH(K133,2))</f>
        <v/>
      </c>
    </row>
    <row r="134" customFormat="false" ht="14.25" hidden="false" customHeight="true" outlineLevel="0" collapsed="false">
      <c r="A134" s="15" t="n">
        <v>5534</v>
      </c>
      <c r="B134" s="15" t="s">
        <v>178</v>
      </c>
      <c r="C134" s="15" t="s">
        <v>184</v>
      </c>
      <c r="D134" s="15" t="s">
        <v>185</v>
      </c>
      <c r="E134" s="13" t="s">
        <v>294</v>
      </c>
      <c r="F134" s="3" t="n">
        <v>45537</v>
      </c>
      <c r="G134" s="15"/>
      <c r="H134" s="3" t="n">
        <v>45542</v>
      </c>
      <c r="I134" s="15" t="s">
        <v>167</v>
      </c>
      <c r="J134" s="15" t="n">
        <v>3</v>
      </c>
      <c r="K134" s="15"/>
      <c r="L134" s="20" t="str">
        <f aca="false">IF(K134="","",EOMONTH(K134,2))</f>
        <v/>
      </c>
    </row>
    <row r="135" customFormat="false" ht="14.25" hidden="false" customHeight="true" outlineLevel="0" collapsed="false">
      <c r="A135" s="15" t="n">
        <v>5533</v>
      </c>
      <c r="B135" s="15" t="s">
        <v>222</v>
      </c>
      <c r="C135" s="15" t="s">
        <v>184</v>
      </c>
      <c r="D135" s="15" t="s">
        <v>185</v>
      </c>
      <c r="E135" s="13" t="s">
        <v>295</v>
      </c>
      <c r="F135" s="3" t="n">
        <v>45542</v>
      </c>
      <c r="G135" s="3" t="n">
        <v>45550</v>
      </c>
      <c r="H135" s="3" t="n">
        <v>45542</v>
      </c>
      <c r="I135" s="15" t="s">
        <v>167</v>
      </c>
      <c r="J135" s="15" t="n">
        <v>1</v>
      </c>
      <c r="K135" s="3" t="n">
        <v>45626</v>
      </c>
      <c r="L135" s="20" t="n">
        <f aca="false">IF(K135="","",EOMONTH(K135,2))</f>
        <v>45688</v>
      </c>
    </row>
    <row r="136" customFormat="false" ht="14.25" hidden="false" customHeight="true" outlineLevel="0" collapsed="false">
      <c r="A136" s="15" t="n">
        <v>5535</v>
      </c>
      <c r="B136" s="15" t="s">
        <v>117</v>
      </c>
      <c r="C136" s="15" t="s">
        <v>184</v>
      </c>
      <c r="D136" s="15" t="s">
        <v>185</v>
      </c>
      <c r="E136" s="13" t="s">
        <v>296</v>
      </c>
      <c r="F136" s="3" t="n">
        <v>45542</v>
      </c>
      <c r="G136" s="3" t="n">
        <v>45577</v>
      </c>
      <c r="H136" s="3" t="n">
        <v>45542</v>
      </c>
      <c r="I136" s="15" t="s">
        <v>167</v>
      </c>
      <c r="J136" s="15" t="n">
        <v>1</v>
      </c>
      <c r="K136" s="3" t="n">
        <v>45657</v>
      </c>
      <c r="L136" s="20" t="n">
        <f aca="false">IF(K136="","",EOMONTH(K136,2))</f>
        <v>45716</v>
      </c>
    </row>
    <row r="137" customFormat="false" ht="14.25" hidden="false" customHeight="true" outlineLevel="0" collapsed="false">
      <c r="A137" s="15" t="n">
        <v>5536</v>
      </c>
      <c r="B137" s="15" t="s">
        <v>117</v>
      </c>
      <c r="C137" s="15" t="s">
        <v>184</v>
      </c>
      <c r="D137" s="15" t="s">
        <v>185</v>
      </c>
      <c r="E137" s="13" t="s">
        <v>297</v>
      </c>
      <c r="F137" s="3" t="n">
        <v>45543</v>
      </c>
      <c r="G137" s="3" t="n">
        <v>45546</v>
      </c>
      <c r="H137" s="3" t="n">
        <v>45543</v>
      </c>
      <c r="I137" s="15" t="s">
        <v>167</v>
      </c>
      <c r="J137" s="15" t="n">
        <v>1</v>
      </c>
      <c r="K137" s="3" t="n">
        <v>45626</v>
      </c>
      <c r="L137" s="20" t="n">
        <f aca="false">IF(K137="","",EOMONTH(K137,2))</f>
        <v>45688</v>
      </c>
    </row>
    <row r="138" customFormat="false" ht="14.25" hidden="false" customHeight="true" outlineLevel="0" collapsed="false">
      <c r="A138" s="15" t="n">
        <v>4817</v>
      </c>
      <c r="B138" s="15" t="s">
        <v>298</v>
      </c>
      <c r="C138" s="15" t="s">
        <v>164</v>
      </c>
      <c r="D138" s="15" t="s">
        <v>239</v>
      </c>
      <c r="E138" s="13" t="s">
        <v>299</v>
      </c>
      <c r="F138" s="3" t="n">
        <v>45544</v>
      </c>
      <c r="G138" s="3" t="n">
        <v>45547</v>
      </c>
      <c r="H138" s="3" t="n">
        <v>45551</v>
      </c>
      <c r="I138" s="15" t="s">
        <v>167</v>
      </c>
      <c r="J138" s="15" t="n">
        <v>22</v>
      </c>
      <c r="K138" s="3" t="n">
        <v>45626</v>
      </c>
      <c r="L138" s="20" t="n">
        <f aca="false">IF(K138="","",EOMONTH(K138,2))</f>
        <v>45688</v>
      </c>
    </row>
    <row r="139" customFormat="false" ht="14.25" hidden="false" customHeight="true" outlineLevel="0" collapsed="false">
      <c r="A139" s="15" t="n">
        <v>3614</v>
      </c>
      <c r="B139" s="15" t="s">
        <v>298</v>
      </c>
      <c r="C139" s="15" t="s">
        <v>176</v>
      </c>
      <c r="D139" s="15" t="s">
        <v>239</v>
      </c>
      <c r="E139" s="13" t="s">
        <v>300</v>
      </c>
      <c r="F139" s="3" t="n">
        <v>45545</v>
      </c>
      <c r="G139" s="3" t="n">
        <v>45547</v>
      </c>
      <c r="H139" s="3" t="n">
        <v>45545</v>
      </c>
      <c r="I139" s="15" t="s">
        <v>167</v>
      </c>
      <c r="J139" s="15" t="n">
        <v>64</v>
      </c>
      <c r="K139" s="3" t="n">
        <v>45626</v>
      </c>
      <c r="L139" s="20" t="n">
        <f aca="false">IF(K139="","",EOMONTH(K139,2))</f>
        <v>45688</v>
      </c>
    </row>
    <row r="140" customFormat="false" ht="14.25" hidden="false" customHeight="true" outlineLevel="0" collapsed="false">
      <c r="A140" s="15" t="n">
        <v>5537</v>
      </c>
      <c r="B140" s="15" t="s">
        <v>117</v>
      </c>
      <c r="C140" s="15" t="s">
        <v>184</v>
      </c>
      <c r="D140" s="15" t="s">
        <v>185</v>
      </c>
      <c r="E140" s="13" t="s">
        <v>301</v>
      </c>
      <c r="F140" s="3" t="n">
        <v>45545</v>
      </c>
      <c r="G140" s="3" t="n">
        <v>45559</v>
      </c>
      <c r="H140" s="3" t="n">
        <v>45546</v>
      </c>
      <c r="I140" s="15" t="s">
        <v>167</v>
      </c>
      <c r="J140" s="15" t="n">
        <v>2</v>
      </c>
      <c r="K140" s="3" t="n">
        <v>45626</v>
      </c>
      <c r="L140" s="20" t="n">
        <f aca="false">IF(K140="","",EOMONTH(K140,2))</f>
        <v>45688</v>
      </c>
    </row>
    <row r="141" customFormat="false" ht="14.25" hidden="false" customHeight="true" outlineLevel="0" collapsed="false">
      <c r="A141" s="15" t="n">
        <v>5538</v>
      </c>
      <c r="B141" s="15" t="s">
        <v>117</v>
      </c>
      <c r="C141" s="15" t="s">
        <v>184</v>
      </c>
      <c r="D141" s="15" t="s">
        <v>185</v>
      </c>
      <c r="E141" s="13" t="s">
        <v>302</v>
      </c>
      <c r="F141" s="3" t="n">
        <v>45546</v>
      </c>
      <c r="G141" s="3" t="n">
        <v>45556</v>
      </c>
      <c r="H141" s="3" t="n">
        <v>45546</v>
      </c>
      <c r="I141" s="15" t="s">
        <v>167</v>
      </c>
      <c r="J141" s="15" t="n">
        <v>1</v>
      </c>
      <c r="K141" s="3" t="n">
        <v>45626</v>
      </c>
      <c r="L141" s="20" t="n">
        <f aca="false">IF(K141="","",EOMONTH(K141,2))</f>
        <v>45688</v>
      </c>
    </row>
    <row r="142" customFormat="false" ht="14.25" hidden="false" customHeight="true" outlineLevel="0" collapsed="false">
      <c r="A142" s="15" t="n">
        <v>4837</v>
      </c>
      <c r="B142" s="15" t="s">
        <v>278</v>
      </c>
      <c r="C142" s="15" t="s">
        <v>164</v>
      </c>
      <c r="D142" s="15" t="s">
        <v>270</v>
      </c>
      <c r="E142" s="13" t="s">
        <v>303</v>
      </c>
      <c r="F142" s="3" t="n">
        <v>45551</v>
      </c>
      <c r="G142" s="3" t="n">
        <v>45555</v>
      </c>
      <c r="H142" s="3" t="n">
        <v>45584</v>
      </c>
      <c r="I142" s="15" t="s">
        <v>167</v>
      </c>
      <c r="J142" s="15" t="n">
        <v>6</v>
      </c>
      <c r="K142" s="3" t="n">
        <v>45626</v>
      </c>
      <c r="L142" s="20" t="n">
        <f aca="false">IF(K142="","",EOMONTH(K142,2))</f>
        <v>45688</v>
      </c>
    </row>
    <row r="143" customFormat="false" ht="14.25" hidden="false" customHeight="true" outlineLevel="0" collapsed="false">
      <c r="A143" s="15" t="n">
        <v>3618</v>
      </c>
      <c r="B143" s="15" t="s">
        <v>304</v>
      </c>
      <c r="C143" s="15" t="s">
        <v>176</v>
      </c>
      <c r="D143" s="15" t="s">
        <v>239</v>
      </c>
      <c r="E143" s="13" t="s">
        <v>305</v>
      </c>
      <c r="F143" s="3" t="n">
        <v>45557</v>
      </c>
      <c r="G143" s="3" t="n">
        <v>45564</v>
      </c>
      <c r="H143" s="3" t="n">
        <v>45561</v>
      </c>
      <c r="I143" s="15" t="s">
        <v>167</v>
      </c>
      <c r="J143" s="15" t="n">
        <v>67</v>
      </c>
      <c r="K143" s="3" t="n">
        <v>45626</v>
      </c>
      <c r="L143" s="20" t="n">
        <f aca="false">IF(K143="","",EOMONTH(K143,2))</f>
        <v>45688</v>
      </c>
    </row>
    <row r="144" customFormat="false" ht="14.25" hidden="false" customHeight="true" outlineLevel="0" collapsed="false">
      <c r="A144" s="15" t="n">
        <v>3615</v>
      </c>
      <c r="B144" s="15" t="s">
        <v>215</v>
      </c>
      <c r="C144" s="15" t="s">
        <v>176</v>
      </c>
      <c r="D144" s="15" t="s">
        <v>270</v>
      </c>
      <c r="E144" s="13" t="s">
        <v>306</v>
      </c>
      <c r="F144" s="3" t="n">
        <v>45558</v>
      </c>
      <c r="G144" s="3" t="n">
        <v>45572</v>
      </c>
      <c r="H144" s="3" t="n">
        <v>45559</v>
      </c>
      <c r="I144" s="15" t="s">
        <v>167</v>
      </c>
      <c r="J144" s="15" t="n">
        <v>41</v>
      </c>
      <c r="K144" s="3" t="n">
        <v>45657</v>
      </c>
      <c r="L144" s="20" t="n">
        <f aca="false">IF(K144="","",EOMONTH(K144,2))</f>
        <v>45716</v>
      </c>
    </row>
    <row r="145" customFormat="false" ht="14.25" hidden="false" customHeight="true" outlineLevel="0" collapsed="false">
      <c r="A145" s="15" t="n">
        <v>4828</v>
      </c>
      <c r="B145" s="15" t="s">
        <v>215</v>
      </c>
      <c r="C145" s="15" t="s">
        <v>164</v>
      </c>
      <c r="D145" s="15" t="s">
        <v>239</v>
      </c>
      <c r="E145" s="13" t="s">
        <v>305</v>
      </c>
      <c r="F145" s="3" t="n">
        <v>45558</v>
      </c>
      <c r="G145" s="3" t="n">
        <v>45572</v>
      </c>
      <c r="H145" s="3" t="n">
        <v>45563</v>
      </c>
      <c r="I145" s="15" t="s">
        <v>167</v>
      </c>
      <c r="J145" s="15" t="n">
        <v>47</v>
      </c>
      <c r="K145" s="3" t="n">
        <v>45657</v>
      </c>
      <c r="L145" s="20" t="n">
        <f aca="false">IF(K145="","",EOMONTH(K145,2))</f>
        <v>45716</v>
      </c>
    </row>
    <row r="146" customFormat="false" ht="14.25" hidden="false" customHeight="true" outlineLevel="0" collapsed="false">
      <c r="A146" s="15" t="n">
        <v>3616</v>
      </c>
      <c r="B146" s="15" t="s">
        <v>276</v>
      </c>
      <c r="C146" s="15" t="s">
        <v>176</v>
      </c>
      <c r="D146" s="15" t="s">
        <v>270</v>
      </c>
      <c r="E146" s="13" t="s">
        <v>305</v>
      </c>
      <c r="F146" s="3" t="n">
        <v>45559</v>
      </c>
      <c r="G146" s="3" t="n">
        <v>45595</v>
      </c>
      <c r="H146" s="3" t="n">
        <v>45561</v>
      </c>
      <c r="I146" s="15" t="s">
        <v>167</v>
      </c>
      <c r="J146" s="15" t="n">
        <v>159</v>
      </c>
      <c r="K146" s="3" t="n">
        <v>45657</v>
      </c>
      <c r="L146" s="20" t="n">
        <f aca="false">IF(K146="","",EOMONTH(K146,2))</f>
        <v>45716</v>
      </c>
    </row>
    <row r="147" customFormat="false" ht="14.25" hidden="false" customHeight="true" outlineLevel="0" collapsed="false">
      <c r="A147" s="15" t="n">
        <v>4830</v>
      </c>
      <c r="B147" s="15" t="s">
        <v>276</v>
      </c>
      <c r="C147" s="15" t="s">
        <v>164</v>
      </c>
      <c r="D147" s="15" t="s">
        <v>239</v>
      </c>
      <c r="E147" s="13" t="s">
        <v>305</v>
      </c>
      <c r="F147" s="3" t="n">
        <v>45559</v>
      </c>
      <c r="G147" s="3" t="n">
        <v>45595</v>
      </c>
      <c r="H147" s="3" t="n">
        <v>45565</v>
      </c>
      <c r="I147" s="15" t="s">
        <v>167</v>
      </c>
      <c r="J147" s="15" t="n">
        <v>94</v>
      </c>
      <c r="K147" s="3" t="n">
        <v>45657</v>
      </c>
      <c r="L147" s="20" t="n">
        <f aca="false">IF(K147="","",EOMONTH(K147,2))</f>
        <v>45716</v>
      </c>
    </row>
    <row r="148" customFormat="false" ht="14.25" hidden="false" customHeight="true" outlineLevel="0" collapsed="false">
      <c r="A148" s="15" t="n">
        <v>3617</v>
      </c>
      <c r="B148" s="15" t="s">
        <v>278</v>
      </c>
      <c r="C148" s="15" t="s">
        <v>176</v>
      </c>
      <c r="D148" s="15" t="s">
        <v>270</v>
      </c>
      <c r="E148" s="13" t="s">
        <v>305</v>
      </c>
      <c r="F148" s="3" t="n">
        <v>45560</v>
      </c>
      <c r="G148" s="3" t="n">
        <v>45644</v>
      </c>
      <c r="H148" s="3" t="n">
        <v>45561</v>
      </c>
      <c r="I148" s="15" t="s">
        <v>167</v>
      </c>
      <c r="J148" s="15" t="n">
        <v>101</v>
      </c>
      <c r="K148" s="3" t="n">
        <v>45716</v>
      </c>
      <c r="L148" s="20" t="n">
        <f aca="false">IF(K148="","",EOMONTH(K148,2))</f>
        <v>45777</v>
      </c>
    </row>
    <row r="149" customFormat="false" ht="14.25" hidden="false" customHeight="true" outlineLevel="0" collapsed="false">
      <c r="A149" s="15" t="n">
        <v>3619</v>
      </c>
      <c r="B149" s="15" t="s">
        <v>275</v>
      </c>
      <c r="C149" s="15" t="s">
        <v>176</v>
      </c>
      <c r="D149" s="15" t="s">
        <v>270</v>
      </c>
      <c r="E149" s="13" t="s">
        <v>305</v>
      </c>
      <c r="F149" s="3" t="n">
        <v>45560</v>
      </c>
      <c r="G149" s="3" t="n">
        <v>45572</v>
      </c>
      <c r="H149" s="3" t="n">
        <v>45561</v>
      </c>
      <c r="I149" s="15" t="s">
        <v>167</v>
      </c>
      <c r="J149" s="15" t="n">
        <v>46</v>
      </c>
      <c r="K149" s="3" t="n">
        <v>45657</v>
      </c>
      <c r="L149" s="20" t="n">
        <f aca="false">IF(K149="","",EOMONTH(K149,2))</f>
        <v>45716</v>
      </c>
    </row>
    <row r="150" customFormat="false" ht="14.25" hidden="false" customHeight="true" outlineLevel="0" collapsed="false">
      <c r="A150" s="15" t="n">
        <v>3621</v>
      </c>
      <c r="B150" s="15" t="s">
        <v>99</v>
      </c>
      <c r="C150" s="15" t="s">
        <v>176</v>
      </c>
      <c r="D150" s="15" t="s">
        <v>270</v>
      </c>
      <c r="E150" s="13" t="s">
        <v>307</v>
      </c>
      <c r="F150" s="3" t="n">
        <v>45560</v>
      </c>
      <c r="G150" s="3" t="n">
        <v>45568</v>
      </c>
      <c r="H150" s="3" t="n">
        <v>45564</v>
      </c>
      <c r="I150" s="15" t="s">
        <v>167</v>
      </c>
      <c r="J150" s="15" t="n">
        <v>24</v>
      </c>
      <c r="K150" s="3" t="n">
        <v>45657</v>
      </c>
      <c r="L150" s="20" t="n">
        <f aca="false">IF(K150="","",EOMONTH(K150,2))</f>
        <v>45716</v>
      </c>
    </row>
    <row r="151" customFormat="false" ht="14.25" hidden="false" customHeight="true" outlineLevel="0" collapsed="false">
      <c r="A151" s="15" t="n">
        <v>4827</v>
      </c>
      <c r="B151" s="15" t="s">
        <v>278</v>
      </c>
      <c r="C151" s="15" t="s">
        <v>164</v>
      </c>
      <c r="D151" s="15" t="s">
        <v>270</v>
      </c>
      <c r="E151" s="13" t="s">
        <v>306</v>
      </c>
      <c r="F151" s="3" t="n">
        <v>45560</v>
      </c>
      <c r="G151" s="3" t="n">
        <v>45644</v>
      </c>
      <c r="H151" s="3" t="n">
        <v>45563</v>
      </c>
      <c r="I151" s="15" t="s">
        <v>167</v>
      </c>
      <c r="J151" s="15" t="n">
        <v>40</v>
      </c>
      <c r="K151" s="3" t="n">
        <v>45716</v>
      </c>
      <c r="L151" s="20" t="n">
        <f aca="false">IF(K151="","",EOMONTH(K151,2))</f>
        <v>45777</v>
      </c>
    </row>
    <row r="152" customFormat="false" ht="14.25" hidden="false" customHeight="true" outlineLevel="0" collapsed="false">
      <c r="A152" s="15" t="n">
        <v>4829</v>
      </c>
      <c r="B152" s="15" t="s">
        <v>275</v>
      </c>
      <c r="C152" s="15" t="s">
        <v>164</v>
      </c>
      <c r="D152" s="15" t="s">
        <v>239</v>
      </c>
      <c r="E152" s="13" t="s">
        <v>305</v>
      </c>
      <c r="F152" s="3" t="n">
        <v>45560</v>
      </c>
      <c r="G152" s="3" t="n">
        <v>45572</v>
      </c>
      <c r="H152" s="3" t="n">
        <v>45564</v>
      </c>
      <c r="I152" s="15" t="s">
        <v>167</v>
      </c>
      <c r="J152" s="15" t="n">
        <v>34</v>
      </c>
      <c r="K152" s="3" t="n">
        <v>45657</v>
      </c>
      <c r="L152" s="20" t="n">
        <f aca="false">IF(K152="","",EOMONTH(K152,2))</f>
        <v>45716</v>
      </c>
    </row>
    <row r="153" customFormat="false" ht="14.25" hidden="false" customHeight="true" outlineLevel="0" collapsed="false">
      <c r="A153" s="15" t="n">
        <v>4831</v>
      </c>
      <c r="B153" s="15" t="s">
        <v>99</v>
      </c>
      <c r="C153" s="15" t="s">
        <v>164</v>
      </c>
      <c r="D153" s="15" t="s">
        <v>270</v>
      </c>
      <c r="E153" s="13" t="s">
        <v>306</v>
      </c>
      <c r="F153" s="3" t="n">
        <v>45560</v>
      </c>
      <c r="G153" s="3" t="n">
        <v>45568</v>
      </c>
      <c r="H153" s="3" t="n">
        <v>45566</v>
      </c>
      <c r="I153" s="15" t="s">
        <v>167</v>
      </c>
      <c r="J153" s="15" t="n">
        <v>37</v>
      </c>
      <c r="K153" s="3" t="n">
        <v>45657</v>
      </c>
      <c r="L153" s="20" t="n">
        <f aca="false">IF(K153="","",EOMONTH(K153,2))</f>
        <v>45716</v>
      </c>
    </row>
    <row r="154" customFormat="false" ht="14.25" hidden="false" customHeight="true" outlineLevel="0" collapsed="false">
      <c r="A154" s="15" t="n">
        <v>4851</v>
      </c>
      <c r="B154" s="15" t="s">
        <v>196</v>
      </c>
      <c r="C154" s="15" t="s">
        <v>164</v>
      </c>
      <c r="D154" s="15" t="s">
        <v>270</v>
      </c>
      <c r="E154" s="13" t="s">
        <v>308</v>
      </c>
      <c r="F154" s="3" t="n">
        <v>45560</v>
      </c>
      <c r="G154" s="3" t="n">
        <v>45563</v>
      </c>
      <c r="H154" s="3" t="n">
        <v>45635</v>
      </c>
      <c r="I154" s="15" t="s">
        <v>167</v>
      </c>
      <c r="J154" s="15" t="n">
        <v>1</v>
      </c>
      <c r="K154" s="3" t="n">
        <v>45626</v>
      </c>
      <c r="L154" s="20" t="n">
        <f aca="false">IF(K154="","",EOMONTH(K154,2))</f>
        <v>45688</v>
      </c>
    </row>
    <row r="155" customFormat="false" ht="14.25" hidden="false" customHeight="true" outlineLevel="0" collapsed="false">
      <c r="A155" s="15" t="n">
        <v>3620</v>
      </c>
      <c r="B155" s="15" t="s">
        <v>213</v>
      </c>
      <c r="C155" s="15" t="s">
        <v>176</v>
      </c>
      <c r="D155" s="15" t="s">
        <v>270</v>
      </c>
      <c r="E155" s="13" t="s">
        <v>306</v>
      </c>
      <c r="F155" s="3" t="n">
        <v>45561</v>
      </c>
      <c r="G155" s="3" t="n">
        <v>45565</v>
      </c>
      <c r="H155" s="3" t="n">
        <v>45562</v>
      </c>
      <c r="I155" s="15" t="s">
        <v>167</v>
      </c>
      <c r="J155" s="15" t="n">
        <v>8</v>
      </c>
      <c r="K155" s="3" t="n">
        <v>45626</v>
      </c>
      <c r="L155" s="20" t="n">
        <f aca="false">IF(K155="","",EOMONTH(K155,2))</f>
        <v>45688</v>
      </c>
    </row>
    <row r="156" customFormat="false" ht="14.25" hidden="false" customHeight="true" outlineLevel="0" collapsed="false">
      <c r="A156" s="15" t="n">
        <v>4832</v>
      </c>
      <c r="B156" s="15" t="s">
        <v>213</v>
      </c>
      <c r="C156" s="15" t="s">
        <v>164</v>
      </c>
      <c r="D156" s="15" t="s">
        <v>270</v>
      </c>
      <c r="E156" s="13" t="s">
        <v>306</v>
      </c>
      <c r="F156" s="3" t="n">
        <v>45561</v>
      </c>
      <c r="G156" s="3" t="n">
        <v>45565</v>
      </c>
      <c r="H156" s="3" t="n">
        <v>45567</v>
      </c>
      <c r="I156" s="15" t="s">
        <v>167</v>
      </c>
      <c r="J156" s="15" t="n">
        <v>14</v>
      </c>
      <c r="K156" s="3" t="n">
        <v>45626</v>
      </c>
      <c r="L156" s="20" t="n">
        <f aca="false">IF(K156="","",EOMONTH(K156,2))</f>
        <v>45688</v>
      </c>
    </row>
    <row r="157" customFormat="false" ht="14.25" hidden="false" customHeight="true" outlineLevel="0" collapsed="false">
      <c r="A157" s="15" t="n">
        <v>4848</v>
      </c>
      <c r="B157" s="15" t="s">
        <v>27</v>
      </c>
      <c r="C157" s="15" t="s">
        <v>164</v>
      </c>
      <c r="D157" s="15" t="s">
        <v>270</v>
      </c>
      <c r="E157" s="13" t="s">
        <v>309</v>
      </c>
      <c r="F157" s="3" t="n">
        <v>45562</v>
      </c>
      <c r="G157" s="3" t="n">
        <v>45565</v>
      </c>
      <c r="H157" s="3" t="n">
        <v>45622</v>
      </c>
      <c r="I157" s="15" t="s">
        <v>167</v>
      </c>
      <c r="J157" s="15" t="n">
        <v>34</v>
      </c>
      <c r="K157" s="3" t="n">
        <v>45626</v>
      </c>
      <c r="L157" s="20" t="n">
        <f aca="false">IF(K157="","",EOMONTH(K157,2))</f>
        <v>45688</v>
      </c>
    </row>
    <row r="158" customFormat="false" ht="14.25" hidden="false" customHeight="true" outlineLevel="0" collapsed="false">
      <c r="A158" s="15" t="n">
        <v>5539</v>
      </c>
      <c r="B158" s="15" t="s">
        <v>96</v>
      </c>
      <c r="C158" s="15" t="s">
        <v>184</v>
      </c>
      <c r="D158" s="15" t="s">
        <v>185</v>
      </c>
      <c r="E158" s="13" t="s">
        <v>310</v>
      </c>
      <c r="F158" s="3" t="n">
        <v>45563</v>
      </c>
      <c r="G158" s="3" t="n">
        <v>45587</v>
      </c>
      <c r="H158" s="3" t="n">
        <v>45565</v>
      </c>
      <c r="I158" s="15" t="s">
        <v>167</v>
      </c>
      <c r="J158" s="15" t="n">
        <v>1</v>
      </c>
      <c r="K158" s="3" t="n">
        <v>45657</v>
      </c>
      <c r="L158" s="20" t="n">
        <f aca="false">IF(K158="","",EOMONTH(K158,2))</f>
        <v>45716</v>
      </c>
    </row>
    <row r="159" customFormat="false" ht="14.25" hidden="false" customHeight="true" outlineLevel="0" collapsed="false">
      <c r="A159" s="15" t="n">
        <v>3622</v>
      </c>
      <c r="B159" s="15" t="s">
        <v>215</v>
      </c>
      <c r="C159" s="15" t="s">
        <v>176</v>
      </c>
      <c r="D159" s="15" t="s">
        <v>239</v>
      </c>
      <c r="E159" s="13" t="s">
        <v>311</v>
      </c>
      <c r="F159" s="3" t="n">
        <v>45570</v>
      </c>
      <c r="G159" s="3" t="n">
        <v>45598</v>
      </c>
      <c r="H159" s="3" t="n">
        <v>45572</v>
      </c>
      <c r="I159" s="15" t="s">
        <v>167</v>
      </c>
      <c r="J159" s="15" t="n">
        <v>51</v>
      </c>
      <c r="K159" s="3" t="n">
        <v>45688</v>
      </c>
      <c r="L159" s="20" t="n">
        <f aca="false">IF(K159="","",EOMONTH(K159,2))</f>
        <v>45747</v>
      </c>
    </row>
    <row r="160" customFormat="false" ht="14.25" hidden="false" customHeight="true" outlineLevel="0" collapsed="false">
      <c r="A160" s="15" t="n">
        <v>3623</v>
      </c>
      <c r="B160" s="15" t="s">
        <v>215</v>
      </c>
      <c r="C160" s="15" t="s">
        <v>176</v>
      </c>
      <c r="D160" s="15" t="s">
        <v>239</v>
      </c>
      <c r="E160" s="13" t="s">
        <v>311</v>
      </c>
      <c r="F160" s="3" t="n">
        <v>45570</v>
      </c>
      <c r="G160" s="3" t="n">
        <v>45598</v>
      </c>
      <c r="H160" s="3" t="n">
        <v>45573</v>
      </c>
      <c r="I160" s="15" t="s">
        <v>167</v>
      </c>
      <c r="J160" s="15" t="n">
        <v>7</v>
      </c>
      <c r="K160" s="3" t="n">
        <v>45688</v>
      </c>
      <c r="L160" s="20" t="n">
        <f aca="false">IF(K160="","",EOMONTH(K160,2))</f>
        <v>45747</v>
      </c>
    </row>
    <row r="161" customFormat="false" ht="14.25" hidden="false" customHeight="true" outlineLevel="0" collapsed="false">
      <c r="A161" s="15" t="n">
        <v>4834</v>
      </c>
      <c r="B161" s="15" t="s">
        <v>215</v>
      </c>
      <c r="C161" s="15" t="s">
        <v>164</v>
      </c>
      <c r="D161" s="15" t="s">
        <v>239</v>
      </c>
      <c r="E161" s="13" t="s">
        <v>312</v>
      </c>
      <c r="F161" s="3" t="n">
        <v>45570</v>
      </c>
      <c r="G161" s="3" t="n">
        <v>45598</v>
      </c>
      <c r="H161" s="3" t="n">
        <v>45576</v>
      </c>
      <c r="I161" s="15" t="s">
        <v>167</v>
      </c>
      <c r="J161" s="15" t="n">
        <v>52</v>
      </c>
      <c r="K161" s="3" t="n">
        <v>45688</v>
      </c>
      <c r="L161" s="20" t="n">
        <f aca="false">IF(K161="","",EOMONTH(K161,2))</f>
        <v>45747</v>
      </c>
    </row>
    <row r="162" customFormat="false" ht="14.25" hidden="false" customHeight="true" outlineLevel="0" collapsed="false">
      <c r="A162" s="15" t="n">
        <v>4844</v>
      </c>
      <c r="B162" s="15" t="s">
        <v>215</v>
      </c>
      <c r="C162" s="15" t="s">
        <v>164</v>
      </c>
      <c r="D162" s="15" t="s">
        <v>239</v>
      </c>
      <c r="E162" s="13" t="s">
        <v>311</v>
      </c>
      <c r="F162" s="3" t="n">
        <v>45570</v>
      </c>
      <c r="G162" s="3" t="n">
        <v>45598</v>
      </c>
      <c r="H162" s="3" t="n">
        <v>45601</v>
      </c>
      <c r="I162" s="15" t="s">
        <v>167</v>
      </c>
      <c r="J162" s="15" t="n">
        <v>7</v>
      </c>
      <c r="K162" s="3" t="n">
        <v>45688</v>
      </c>
      <c r="L162" s="20" t="n">
        <f aca="false">IF(K162="","",EOMONTH(K162,2))</f>
        <v>45747</v>
      </c>
    </row>
    <row r="163" customFormat="false" ht="14.25" hidden="false" customHeight="true" outlineLevel="0" collapsed="false">
      <c r="A163" s="15" t="n">
        <v>4852</v>
      </c>
      <c r="B163" s="15" t="s">
        <v>313</v>
      </c>
      <c r="C163" s="15" t="s">
        <v>164</v>
      </c>
      <c r="D163" s="15" t="s">
        <v>185</v>
      </c>
      <c r="E163" s="13" t="s">
        <v>314</v>
      </c>
      <c r="F163" s="3" t="n">
        <v>45570</v>
      </c>
      <c r="G163" s="3" t="n">
        <v>45571</v>
      </c>
      <c r="H163" s="3" t="n">
        <v>45650</v>
      </c>
      <c r="I163" s="15" t="s">
        <v>167</v>
      </c>
      <c r="J163" s="15" t="n">
        <v>2</v>
      </c>
      <c r="K163" s="3" t="n">
        <v>45657</v>
      </c>
      <c r="L163" s="20" t="n">
        <f aca="false">IF(K163="","",EOMONTH(K163,2))</f>
        <v>45716</v>
      </c>
    </row>
    <row r="164" customFormat="false" ht="14.25" hidden="false" customHeight="true" outlineLevel="0" collapsed="false">
      <c r="A164" s="15" t="n">
        <v>5540</v>
      </c>
      <c r="B164" s="15" t="s">
        <v>313</v>
      </c>
      <c r="C164" s="15" t="s">
        <v>184</v>
      </c>
      <c r="D164" s="15" t="s">
        <v>185</v>
      </c>
      <c r="E164" s="13" t="s">
        <v>315</v>
      </c>
      <c r="F164" s="3" t="n">
        <v>45570</v>
      </c>
      <c r="G164" s="3" t="n">
        <v>45586</v>
      </c>
      <c r="H164" s="3" t="n">
        <v>45571</v>
      </c>
      <c r="I164" s="15" t="s">
        <v>167</v>
      </c>
      <c r="J164" s="15" t="n">
        <v>1</v>
      </c>
      <c r="K164" s="3" t="n">
        <v>45657</v>
      </c>
      <c r="L164" s="20" t="n">
        <f aca="false">IF(K164="","",EOMONTH(K164,2))</f>
        <v>45716</v>
      </c>
    </row>
    <row r="165" customFormat="false" ht="14.25" hidden="false" customHeight="true" outlineLevel="0" collapsed="false">
      <c r="A165" s="15" t="n">
        <v>5541</v>
      </c>
      <c r="B165" s="15" t="s">
        <v>313</v>
      </c>
      <c r="C165" s="15" t="s">
        <v>184</v>
      </c>
      <c r="D165" s="15" t="s">
        <v>185</v>
      </c>
      <c r="E165" s="13" t="s">
        <v>316</v>
      </c>
      <c r="F165" s="3" t="n">
        <v>45570</v>
      </c>
      <c r="G165" s="3" t="n">
        <v>45582</v>
      </c>
      <c r="H165" s="3" t="n">
        <v>45571</v>
      </c>
      <c r="I165" s="15" t="s">
        <v>167</v>
      </c>
      <c r="J165" s="15" t="n">
        <v>1</v>
      </c>
      <c r="K165" s="3" t="n">
        <v>45657</v>
      </c>
      <c r="L165" s="20" t="n">
        <f aca="false">IF(K165="","",EOMONTH(K165,2))</f>
        <v>45716</v>
      </c>
    </row>
    <row r="166" customFormat="false" ht="14.25" hidden="false" customHeight="true" outlineLevel="0" collapsed="false">
      <c r="A166" s="15" t="n">
        <v>4843</v>
      </c>
      <c r="B166" s="15" t="s">
        <v>144</v>
      </c>
      <c r="C166" s="15" t="s">
        <v>164</v>
      </c>
      <c r="D166" s="15" t="s">
        <v>180</v>
      </c>
      <c r="E166" s="13" t="s">
        <v>317</v>
      </c>
      <c r="F166" s="3" t="n">
        <v>45584</v>
      </c>
      <c r="G166" s="3" t="n">
        <v>45585</v>
      </c>
      <c r="H166" s="3" t="n">
        <v>45597</v>
      </c>
      <c r="I166" s="15" t="s">
        <v>167</v>
      </c>
      <c r="J166" s="15" t="n">
        <v>1</v>
      </c>
      <c r="K166" s="3" t="n">
        <v>45657</v>
      </c>
      <c r="L166" s="20" t="n">
        <f aca="false">IF(K166="","",EOMONTH(K166,2))</f>
        <v>45716</v>
      </c>
    </row>
    <row r="167" customFormat="false" ht="14.25" hidden="false" customHeight="true" outlineLevel="0" collapsed="false">
      <c r="A167" s="15" t="n">
        <v>4859</v>
      </c>
      <c r="B167" s="15" t="s">
        <v>279</v>
      </c>
      <c r="C167" s="15" t="s">
        <v>164</v>
      </c>
      <c r="D167" s="15" t="s">
        <v>165</v>
      </c>
      <c r="E167" s="13" t="s">
        <v>181</v>
      </c>
      <c r="F167" s="3" t="n">
        <v>45585</v>
      </c>
      <c r="G167" s="3" t="n">
        <v>45588</v>
      </c>
      <c r="H167" s="3" t="n">
        <v>45672</v>
      </c>
      <c r="I167" s="15" t="s">
        <v>167</v>
      </c>
      <c r="J167" s="15" t="n">
        <v>2</v>
      </c>
      <c r="K167" s="3" t="n">
        <v>45657</v>
      </c>
      <c r="L167" s="20" t="n">
        <f aca="false">IF(K167="","",EOMONTH(K167,2))</f>
        <v>45716</v>
      </c>
    </row>
    <row r="168" customFormat="false" ht="14.25" hidden="false" customHeight="true" outlineLevel="0" collapsed="false">
      <c r="A168" s="15" t="n">
        <v>5542</v>
      </c>
      <c r="B168" s="15" t="s">
        <v>175</v>
      </c>
      <c r="C168" s="15" t="s">
        <v>184</v>
      </c>
      <c r="D168" s="15" t="s">
        <v>185</v>
      </c>
      <c r="E168" s="13" t="s">
        <v>318</v>
      </c>
      <c r="F168" s="3" t="n">
        <v>45586</v>
      </c>
      <c r="G168" s="15"/>
      <c r="H168" s="3" t="n">
        <v>45589</v>
      </c>
      <c r="I168" s="15" t="s">
        <v>167</v>
      </c>
      <c r="J168" s="15" t="n">
        <v>2</v>
      </c>
      <c r="K168" s="15"/>
      <c r="L168" s="20" t="str">
        <f aca="false">IF(K168="","",EOMONTH(K168,2))</f>
        <v/>
      </c>
    </row>
    <row r="169" customFormat="false" ht="14.25" hidden="false" customHeight="true" outlineLevel="0" collapsed="false">
      <c r="A169" s="15" t="n">
        <v>5543</v>
      </c>
      <c r="B169" s="15" t="s">
        <v>188</v>
      </c>
      <c r="C169" s="15" t="s">
        <v>184</v>
      </c>
      <c r="D169" s="15" t="s">
        <v>185</v>
      </c>
      <c r="E169" s="13" t="s">
        <v>319</v>
      </c>
      <c r="F169" s="3" t="n">
        <v>45594</v>
      </c>
      <c r="G169" s="15"/>
      <c r="H169" s="3" t="n">
        <v>45595</v>
      </c>
      <c r="I169" s="15" t="s">
        <v>167</v>
      </c>
      <c r="J169" s="15" t="n">
        <v>2</v>
      </c>
      <c r="K169" s="15"/>
      <c r="L169" s="20" t="str">
        <f aca="false">IF(K169="","",EOMONTH(K169,2))</f>
        <v/>
      </c>
    </row>
    <row r="170" customFormat="false" ht="14.25" hidden="false" customHeight="true" outlineLevel="0" collapsed="false">
      <c r="A170" s="15" t="n">
        <v>5544</v>
      </c>
      <c r="B170" s="15" t="s">
        <v>188</v>
      </c>
      <c r="C170" s="15" t="s">
        <v>184</v>
      </c>
      <c r="D170" s="15" t="s">
        <v>185</v>
      </c>
      <c r="E170" s="13" t="s">
        <v>320</v>
      </c>
      <c r="F170" s="3" t="n">
        <v>45594</v>
      </c>
      <c r="G170" s="15"/>
      <c r="H170" s="3" t="n">
        <v>45595</v>
      </c>
      <c r="I170" s="15" t="s">
        <v>167</v>
      </c>
      <c r="J170" s="15" t="n">
        <v>1</v>
      </c>
      <c r="K170" s="15"/>
      <c r="L170" s="20" t="str">
        <f aca="false">IF(K170="","",EOMONTH(K170,2))</f>
        <v/>
      </c>
    </row>
    <row r="171" customFormat="false" ht="14.25" hidden="false" customHeight="true" outlineLevel="0" collapsed="false">
      <c r="A171" s="15" t="n">
        <v>4862</v>
      </c>
      <c r="B171" s="15" t="s">
        <v>188</v>
      </c>
      <c r="C171" s="15" t="s">
        <v>164</v>
      </c>
      <c r="D171" s="15" t="s">
        <v>165</v>
      </c>
      <c r="E171" s="13" t="s">
        <v>202</v>
      </c>
      <c r="F171" s="3" t="n">
        <v>45598</v>
      </c>
      <c r="G171" s="3" t="n">
        <v>45601</v>
      </c>
      <c r="H171" s="3" t="n">
        <v>45734</v>
      </c>
      <c r="I171" s="15" t="s">
        <v>167</v>
      </c>
      <c r="J171" s="15" t="n">
        <v>8</v>
      </c>
      <c r="K171" s="3" t="n">
        <v>45688</v>
      </c>
      <c r="L171" s="20" t="n">
        <f aca="false">IF(K171="","",EOMONTH(K171,2))</f>
        <v>45747</v>
      </c>
    </row>
    <row r="172" customFormat="false" ht="14.25" hidden="false" customHeight="true" outlineLevel="0" collapsed="false">
      <c r="A172" s="15" t="n">
        <v>4855</v>
      </c>
      <c r="B172" s="15" t="s">
        <v>217</v>
      </c>
      <c r="C172" s="15" t="s">
        <v>164</v>
      </c>
      <c r="D172" s="15" t="s">
        <v>165</v>
      </c>
      <c r="E172" s="13" t="s">
        <v>321</v>
      </c>
      <c r="F172" s="3" t="n">
        <v>45599</v>
      </c>
      <c r="G172" s="3" t="n">
        <v>45605</v>
      </c>
      <c r="H172" s="3" t="n">
        <v>45658</v>
      </c>
      <c r="I172" s="15" t="s">
        <v>167</v>
      </c>
      <c r="J172" s="15" t="n">
        <v>14</v>
      </c>
      <c r="K172" s="3" t="n">
        <v>45688</v>
      </c>
      <c r="L172" s="20" t="n">
        <f aca="false">IF(K172="","",EOMONTH(K172,2))</f>
        <v>45747</v>
      </c>
    </row>
    <row r="173" customFormat="false" ht="14.25" hidden="false" customHeight="true" outlineLevel="0" collapsed="false">
      <c r="A173" s="15" t="n">
        <v>4858</v>
      </c>
      <c r="B173" s="15" t="s">
        <v>275</v>
      </c>
      <c r="C173" s="15" t="s">
        <v>164</v>
      </c>
      <c r="D173" s="15" t="s">
        <v>180</v>
      </c>
      <c r="E173" s="13" t="s">
        <v>172</v>
      </c>
      <c r="F173" s="3" t="n">
        <v>45602</v>
      </c>
      <c r="G173" s="3" t="n">
        <v>45610</v>
      </c>
      <c r="H173" s="3" t="n">
        <v>45667</v>
      </c>
      <c r="I173" s="15" t="s">
        <v>167</v>
      </c>
      <c r="J173" s="15" t="n">
        <v>3</v>
      </c>
      <c r="K173" s="3" t="n">
        <v>45688</v>
      </c>
      <c r="L173" s="20" t="n">
        <f aca="false">IF(K173="","",EOMONTH(K173,2))</f>
        <v>45747</v>
      </c>
    </row>
    <row r="174" customFormat="false" ht="14.25" hidden="false" customHeight="true" outlineLevel="0" collapsed="false">
      <c r="A174" s="15" t="n">
        <v>5545</v>
      </c>
      <c r="B174" s="15" t="s">
        <v>117</v>
      </c>
      <c r="C174" s="15" t="s">
        <v>184</v>
      </c>
      <c r="D174" s="15" t="s">
        <v>185</v>
      </c>
      <c r="E174" s="13" t="s">
        <v>322</v>
      </c>
      <c r="F174" s="3" t="n">
        <v>45602</v>
      </c>
      <c r="G174" s="3" t="n">
        <v>45611</v>
      </c>
      <c r="H174" s="3" t="n">
        <v>45602</v>
      </c>
      <c r="I174" s="15" t="s">
        <v>167</v>
      </c>
      <c r="J174" s="15" t="n">
        <v>1</v>
      </c>
      <c r="K174" s="3" t="n">
        <v>45688</v>
      </c>
      <c r="L174" s="20" t="n">
        <f aca="false">IF(K174="","",EOMONTH(K174,2))</f>
        <v>45747</v>
      </c>
    </row>
    <row r="175" customFormat="false" ht="14.25" hidden="false" customHeight="true" outlineLevel="0" collapsed="false">
      <c r="A175" s="15" t="n">
        <v>5547</v>
      </c>
      <c r="B175" s="15" t="s">
        <v>244</v>
      </c>
      <c r="C175" s="15" t="s">
        <v>184</v>
      </c>
      <c r="D175" s="15" t="s">
        <v>185</v>
      </c>
      <c r="E175" s="13" t="s">
        <v>323</v>
      </c>
      <c r="F175" s="3" t="n">
        <v>45604</v>
      </c>
      <c r="G175" s="3" t="n">
        <v>45618</v>
      </c>
      <c r="H175" s="3" t="n">
        <v>45611</v>
      </c>
      <c r="I175" s="15" t="s">
        <v>167</v>
      </c>
      <c r="J175" s="15" t="n">
        <v>1</v>
      </c>
      <c r="K175" s="3" t="n">
        <v>45688</v>
      </c>
      <c r="L175" s="20" t="n">
        <f aca="false">IF(K175="","",EOMONTH(K175,2))</f>
        <v>45747</v>
      </c>
    </row>
    <row r="176" customFormat="false" ht="14.25" hidden="false" customHeight="true" outlineLevel="0" collapsed="false">
      <c r="A176" s="15" t="n">
        <v>5546</v>
      </c>
      <c r="B176" s="15" t="s">
        <v>222</v>
      </c>
      <c r="C176" s="15" t="s">
        <v>184</v>
      </c>
      <c r="D176" s="15" t="s">
        <v>185</v>
      </c>
      <c r="E176" s="13" t="s">
        <v>324</v>
      </c>
      <c r="F176" s="3" t="n">
        <v>45607</v>
      </c>
      <c r="G176" s="3" t="n">
        <v>45609</v>
      </c>
      <c r="H176" s="3" t="n">
        <v>45607</v>
      </c>
      <c r="I176" s="15" t="s">
        <v>167</v>
      </c>
      <c r="J176" s="15" t="n">
        <v>1</v>
      </c>
      <c r="K176" s="3" t="n">
        <v>45688</v>
      </c>
      <c r="L176" s="20" t="n">
        <f aca="false">IF(K176="","",EOMONTH(K176,2))</f>
        <v>45747</v>
      </c>
    </row>
    <row r="177" customFormat="false" ht="14.25" hidden="false" customHeight="true" outlineLevel="0" collapsed="false">
      <c r="A177" s="15" t="n">
        <v>5548</v>
      </c>
      <c r="B177" s="15" t="s">
        <v>117</v>
      </c>
      <c r="C177" s="15" t="s">
        <v>184</v>
      </c>
      <c r="D177" s="15" t="s">
        <v>185</v>
      </c>
      <c r="E177" s="13" t="s">
        <v>325</v>
      </c>
      <c r="F177" s="3" t="n">
        <v>45636</v>
      </c>
      <c r="G177" s="3" t="n">
        <v>45644</v>
      </c>
      <c r="H177" s="3" t="n">
        <v>45636</v>
      </c>
      <c r="I177" s="15" t="s">
        <v>167</v>
      </c>
      <c r="J177" s="15" t="n">
        <v>1</v>
      </c>
      <c r="K177" s="3" t="n">
        <v>45716</v>
      </c>
      <c r="L177" s="20" t="n">
        <f aca="false">IF(K177="","",EOMONTH(K177,2))</f>
        <v>45777</v>
      </c>
    </row>
    <row r="178" customFormat="false" ht="14.25" hidden="false" customHeight="true" outlineLevel="0" collapsed="false">
      <c r="A178" s="15" t="n">
        <v>4856</v>
      </c>
      <c r="B178" s="15" t="s">
        <v>117</v>
      </c>
      <c r="C178" s="15" t="s">
        <v>164</v>
      </c>
      <c r="D178" s="15" t="s">
        <v>185</v>
      </c>
      <c r="E178" s="13" t="s">
        <v>314</v>
      </c>
      <c r="F178" s="3" t="n">
        <v>45664</v>
      </c>
      <c r="G178" s="3" t="n">
        <v>45688</v>
      </c>
      <c r="H178" s="3" t="n">
        <v>45665</v>
      </c>
      <c r="I178" s="15" t="s">
        <v>167</v>
      </c>
      <c r="J178" s="15" t="n">
        <v>1</v>
      </c>
      <c r="K178" s="3" t="n">
        <v>45747</v>
      </c>
      <c r="L178" s="20" t="n">
        <f aca="false">IF(K178="","",EOMONTH(K178,2))</f>
        <v>45808</v>
      </c>
    </row>
    <row r="179" customFormat="false" ht="14.25" hidden="false" customHeight="true" outlineLevel="0" collapsed="false">
      <c r="A179" s="15" t="n">
        <v>5549</v>
      </c>
      <c r="B179" s="15" t="s">
        <v>117</v>
      </c>
      <c r="C179" s="15" t="s">
        <v>184</v>
      </c>
      <c r="D179" s="15" t="s">
        <v>185</v>
      </c>
      <c r="E179" s="13" t="s">
        <v>326</v>
      </c>
      <c r="F179" s="3" t="n">
        <v>45664</v>
      </c>
      <c r="G179" s="15"/>
      <c r="H179" s="3" t="n">
        <v>45664</v>
      </c>
      <c r="I179" s="15" t="s">
        <v>167</v>
      </c>
      <c r="J179" s="15" t="n">
        <v>1</v>
      </c>
      <c r="K179" s="15"/>
      <c r="L179" s="20" t="str">
        <f aca="false">IF(K179="","",EOMONTH(K179,2))</f>
        <v/>
      </c>
    </row>
    <row r="180" customFormat="false" ht="14.25" hidden="false" customHeight="true" outlineLevel="0" collapsed="false">
      <c r="A180" s="15" t="n">
        <v>5550</v>
      </c>
      <c r="B180" s="15" t="s">
        <v>117</v>
      </c>
      <c r="C180" s="15" t="s">
        <v>184</v>
      </c>
      <c r="D180" s="15" t="s">
        <v>185</v>
      </c>
      <c r="E180" s="13" t="s">
        <v>327</v>
      </c>
      <c r="F180" s="3" t="n">
        <v>45664</v>
      </c>
      <c r="G180" s="15"/>
      <c r="H180" s="3" t="n">
        <v>45665</v>
      </c>
      <c r="I180" s="15" t="s">
        <v>167</v>
      </c>
      <c r="J180" s="15" t="n">
        <v>1</v>
      </c>
      <c r="K180" s="15"/>
      <c r="L180" s="20" t="str">
        <f aca="false">IF(K180="","",EOMONTH(K180,2))</f>
        <v/>
      </c>
    </row>
    <row r="181" customFormat="false" ht="14.25" hidden="false" customHeight="true" outlineLevel="0" collapsed="false">
      <c r="A181" s="15" t="n">
        <v>5551</v>
      </c>
      <c r="B181" s="15" t="s">
        <v>117</v>
      </c>
      <c r="C181" s="15" t="s">
        <v>184</v>
      </c>
      <c r="D181" s="15" t="s">
        <v>185</v>
      </c>
      <c r="E181" s="13" t="s">
        <v>328</v>
      </c>
      <c r="F181" s="3" t="n">
        <v>45664</v>
      </c>
      <c r="G181" s="15"/>
      <c r="H181" s="3" t="n">
        <v>45665</v>
      </c>
      <c r="I181" s="15" t="s">
        <v>167</v>
      </c>
      <c r="J181" s="15" t="n">
        <v>1</v>
      </c>
      <c r="K181" s="15"/>
      <c r="L181" s="20" t="str">
        <f aca="false">IF(K181="","",EOMONTH(K181,2))</f>
        <v/>
      </c>
    </row>
    <row r="182" customFormat="false" ht="14.25" hidden="false" customHeight="true" outlineLevel="0" collapsed="false">
      <c r="A182" s="15" t="n">
        <v>4863</v>
      </c>
      <c r="B182" s="15" t="s">
        <v>99</v>
      </c>
      <c r="C182" s="15" t="s">
        <v>164</v>
      </c>
      <c r="D182" s="15" t="s">
        <v>165</v>
      </c>
      <c r="E182" s="13" t="s">
        <v>329</v>
      </c>
      <c r="F182" s="3" t="n">
        <v>45698</v>
      </c>
      <c r="G182" s="3" t="n">
        <v>45706</v>
      </c>
      <c r="H182" s="3" t="n">
        <v>45751</v>
      </c>
      <c r="I182" s="15" t="s">
        <v>167</v>
      </c>
      <c r="J182" s="15" t="n">
        <v>36</v>
      </c>
      <c r="K182" s="3" t="n">
        <v>45777</v>
      </c>
      <c r="L182" s="20" t="n">
        <f aca="false">IF(K182="","",EOMONTH(K182,2))</f>
        <v>45838</v>
      </c>
    </row>
    <row r="183" customFormat="false" ht="14.25" hidden="false" customHeight="true" outlineLevel="0" collapsed="false">
      <c r="A183" s="15" t="n">
        <v>3624</v>
      </c>
      <c r="B183" s="15" t="s">
        <v>27</v>
      </c>
      <c r="C183" s="15" t="s">
        <v>176</v>
      </c>
      <c r="D183" s="15" t="s">
        <v>165</v>
      </c>
      <c r="E183" s="13" t="s">
        <v>330</v>
      </c>
      <c r="F183" s="3" t="n">
        <v>45702</v>
      </c>
      <c r="G183" s="3" t="n">
        <v>45723</v>
      </c>
      <c r="H183" s="3" t="n">
        <v>45704</v>
      </c>
      <c r="I183" s="15" t="s">
        <v>167</v>
      </c>
      <c r="J183" s="15" t="n">
        <v>120</v>
      </c>
      <c r="K183" s="3" t="n">
        <v>45808</v>
      </c>
      <c r="L183" s="20" t="n">
        <f aca="false">IF(K183="","",EOMONTH(K183,2))</f>
        <v>45869</v>
      </c>
    </row>
    <row r="184" customFormat="false" ht="25.5" hidden="false" customHeight="true" outlineLevel="0" collapsed="false">
      <c r="A184" s="15" t="n">
        <v>4860</v>
      </c>
      <c r="B184" s="15" t="s">
        <v>27</v>
      </c>
      <c r="C184" s="15" t="s">
        <v>164</v>
      </c>
      <c r="D184" s="15" t="s">
        <v>165</v>
      </c>
      <c r="E184" s="13" t="s">
        <v>331</v>
      </c>
      <c r="F184" s="3" t="n">
        <v>45702</v>
      </c>
      <c r="G184" s="3" t="n">
        <v>45723</v>
      </c>
      <c r="H184" s="3" t="n">
        <v>45712</v>
      </c>
      <c r="I184" s="15" t="s">
        <v>167</v>
      </c>
      <c r="J184" s="15" t="n">
        <v>69</v>
      </c>
      <c r="K184" s="3" t="n">
        <v>45808</v>
      </c>
      <c r="L184" s="20" t="n">
        <f aca="false">IF(K184="","",EOMONTH(K184,2))</f>
        <v>45869</v>
      </c>
    </row>
    <row r="185" customFormat="false" ht="25.5" hidden="false" customHeight="true" outlineLevel="0" collapsed="false">
      <c r="A185" s="15" t="n">
        <v>4861</v>
      </c>
      <c r="B185" s="15" t="s">
        <v>196</v>
      </c>
      <c r="C185" s="15" t="s">
        <v>164</v>
      </c>
      <c r="D185" s="15" t="s">
        <v>165</v>
      </c>
      <c r="E185" s="13" t="s">
        <v>332</v>
      </c>
      <c r="F185" s="3" t="n">
        <v>45703</v>
      </c>
      <c r="G185" s="3" t="n">
        <v>45706</v>
      </c>
      <c r="H185" s="3" t="n">
        <v>45714</v>
      </c>
      <c r="I185" s="15" t="s">
        <v>167</v>
      </c>
      <c r="J185" s="15" t="n">
        <v>12</v>
      </c>
      <c r="K185" s="3" t="n">
        <v>45777</v>
      </c>
      <c r="L185" s="20" t="n">
        <f aca="false">IF(K185="","",EOMONTH(K185,2))</f>
        <v>45838</v>
      </c>
    </row>
    <row r="186" customFormat="false" ht="14.25" hidden="false" customHeight="true" outlineLevel="0" collapsed="false">
      <c r="A186" s="15" t="n">
        <v>5554</v>
      </c>
      <c r="B186" s="15" t="s">
        <v>275</v>
      </c>
      <c r="C186" s="15" t="s">
        <v>184</v>
      </c>
      <c r="D186" s="15" t="s">
        <v>185</v>
      </c>
      <c r="E186" s="13" t="s">
        <v>333</v>
      </c>
      <c r="F186" s="3" t="n">
        <v>45717</v>
      </c>
      <c r="G186" s="15"/>
      <c r="H186" s="3" t="n">
        <v>45723</v>
      </c>
      <c r="I186" s="15" t="s">
        <v>167</v>
      </c>
      <c r="J186" s="15" t="n">
        <v>1</v>
      </c>
      <c r="K186" s="15"/>
      <c r="L186" s="20" t="str">
        <f aca="false">IF(K186="","",EOMONTH(K186,2))</f>
        <v/>
      </c>
    </row>
    <row r="187" customFormat="false" ht="14.25" hidden="false" customHeight="true" outlineLevel="0" collapsed="false">
      <c r="A187" s="15" t="n">
        <v>5552</v>
      </c>
      <c r="B187" s="15" t="s">
        <v>183</v>
      </c>
      <c r="C187" s="15" t="s">
        <v>184</v>
      </c>
      <c r="D187" s="15" t="s">
        <v>185</v>
      </c>
      <c r="E187" s="13" t="s">
        <v>334</v>
      </c>
      <c r="F187" s="3" t="n">
        <v>45720</v>
      </c>
      <c r="G187" s="3" t="n">
        <v>45725</v>
      </c>
      <c r="H187" s="3" t="n">
        <v>45720</v>
      </c>
      <c r="I187" s="15" t="s">
        <v>167</v>
      </c>
      <c r="J187" s="15" t="n">
        <v>1</v>
      </c>
      <c r="K187" s="3" t="n">
        <v>45808</v>
      </c>
      <c r="L187" s="20" t="n">
        <f aca="false">IF(K187="","",EOMONTH(K187,2))</f>
        <v>45869</v>
      </c>
    </row>
    <row r="188" customFormat="false" ht="14.25" hidden="false" customHeight="true" outlineLevel="0" collapsed="false">
      <c r="A188" s="15" t="n">
        <v>5553</v>
      </c>
      <c r="B188" s="15" t="s">
        <v>183</v>
      </c>
      <c r="C188" s="15" t="s">
        <v>184</v>
      </c>
      <c r="D188" s="15" t="s">
        <v>185</v>
      </c>
      <c r="E188" s="13" t="s">
        <v>335</v>
      </c>
      <c r="F188" s="3" t="n">
        <v>45720</v>
      </c>
      <c r="G188" s="3" t="n">
        <v>45721</v>
      </c>
      <c r="H188" s="3" t="n">
        <v>45721</v>
      </c>
      <c r="I188" s="15" t="s">
        <v>167</v>
      </c>
      <c r="J188" s="15" t="n">
        <v>2</v>
      </c>
      <c r="K188" s="3" t="n">
        <v>45808</v>
      </c>
      <c r="L188" s="20" t="n">
        <f aca="false">IF(K188="","",EOMONTH(K188,2))</f>
        <v>45869</v>
      </c>
    </row>
    <row r="189" customFormat="false" ht="14.25" hidden="false" customHeight="true" outlineLevel="0" collapsed="false">
      <c r="A189" s="15" t="n">
        <v>4881</v>
      </c>
      <c r="B189" s="15" t="s">
        <v>178</v>
      </c>
      <c r="C189" s="15" t="s">
        <v>164</v>
      </c>
      <c r="D189" s="15" t="s">
        <v>165</v>
      </c>
      <c r="E189" s="13" t="s">
        <v>203</v>
      </c>
      <c r="F189" s="3" t="n">
        <v>45729</v>
      </c>
      <c r="G189" s="3" t="n">
        <v>45736</v>
      </c>
      <c r="H189" s="3" t="n">
        <v>45860</v>
      </c>
      <c r="I189" s="15" t="s">
        <v>167</v>
      </c>
      <c r="J189" s="15" t="n">
        <v>4</v>
      </c>
      <c r="K189" s="3" t="n">
        <v>45808</v>
      </c>
      <c r="L189" s="20" t="n">
        <f aca="false">IF(K189="","",EOMONTH(K189,2))</f>
        <v>45869</v>
      </c>
    </row>
    <row r="190" customFormat="false" ht="14.25" hidden="false" customHeight="true" outlineLevel="0" collapsed="false">
      <c r="A190" s="15" t="n">
        <v>4865</v>
      </c>
      <c r="B190" s="15" t="s">
        <v>219</v>
      </c>
      <c r="C190" s="15" t="s">
        <v>164</v>
      </c>
      <c r="D190" s="15" t="s">
        <v>165</v>
      </c>
      <c r="E190" s="13" t="s">
        <v>210</v>
      </c>
      <c r="F190" s="3" t="n">
        <v>45730</v>
      </c>
      <c r="G190" s="3" t="n">
        <v>45731</v>
      </c>
      <c r="H190" s="3" t="n">
        <v>45785</v>
      </c>
      <c r="I190" s="15" t="s">
        <v>167</v>
      </c>
      <c r="J190" s="15" t="n">
        <v>9</v>
      </c>
      <c r="K190" s="3" t="n">
        <v>45808</v>
      </c>
      <c r="L190" s="20" t="n">
        <f aca="false">IF(K190="","",EOMONTH(K190,2))</f>
        <v>45869</v>
      </c>
    </row>
    <row r="191" customFormat="false" ht="14.25" hidden="false" customHeight="true" outlineLevel="0" collapsed="false">
      <c r="A191" s="15" t="n">
        <v>4866</v>
      </c>
      <c r="B191" s="15" t="s">
        <v>188</v>
      </c>
      <c r="C191" s="15" t="s">
        <v>164</v>
      </c>
      <c r="D191" s="15" t="s">
        <v>185</v>
      </c>
      <c r="E191" s="13" t="s">
        <v>314</v>
      </c>
      <c r="F191" s="3" t="n">
        <v>45730</v>
      </c>
      <c r="G191" s="3" t="n">
        <v>45737</v>
      </c>
      <c r="H191" s="3" t="n">
        <v>45798</v>
      </c>
      <c r="I191" s="15" t="s">
        <v>167</v>
      </c>
      <c r="J191" s="15" t="n">
        <v>7</v>
      </c>
      <c r="K191" s="3" t="n">
        <v>45808</v>
      </c>
      <c r="L191" s="20" t="n">
        <f aca="false">IF(K191="","",EOMONTH(K191,2))</f>
        <v>45869</v>
      </c>
    </row>
    <row r="192" customFormat="false" ht="14.25" hidden="false" customHeight="true" outlineLevel="0" collapsed="false">
      <c r="A192" s="15" t="n">
        <v>4867</v>
      </c>
      <c r="B192" s="15" t="s">
        <v>217</v>
      </c>
      <c r="C192" s="15" t="s">
        <v>164</v>
      </c>
      <c r="D192" s="15" t="s">
        <v>165</v>
      </c>
      <c r="E192" s="13" t="s">
        <v>336</v>
      </c>
      <c r="F192" s="3" t="n">
        <v>45730</v>
      </c>
      <c r="G192" s="3" t="n">
        <v>45731</v>
      </c>
      <c r="H192" s="3" t="n">
        <v>45798</v>
      </c>
      <c r="I192" s="15" t="s">
        <v>167</v>
      </c>
      <c r="J192" s="15" t="n">
        <v>25</v>
      </c>
      <c r="K192" s="3" t="n">
        <v>45808</v>
      </c>
      <c r="L192" s="20" t="n">
        <f aca="false">IF(K192="","",EOMONTH(K192,2))</f>
        <v>45869</v>
      </c>
    </row>
    <row r="193" customFormat="false" ht="25.5" hidden="false" customHeight="true" outlineLevel="0" collapsed="false">
      <c r="A193" s="15" t="n">
        <v>4869</v>
      </c>
      <c r="B193" s="15" t="s">
        <v>168</v>
      </c>
      <c r="C193" s="15" t="s">
        <v>164</v>
      </c>
      <c r="D193" s="15" t="s">
        <v>165</v>
      </c>
      <c r="E193" s="13" t="s">
        <v>337</v>
      </c>
      <c r="F193" s="3" t="n">
        <v>45730</v>
      </c>
      <c r="G193" s="3" t="n">
        <v>45735</v>
      </c>
      <c r="H193" s="3" t="n">
        <v>45798</v>
      </c>
      <c r="I193" s="15" t="s">
        <v>167</v>
      </c>
      <c r="J193" s="15" t="n">
        <v>28</v>
      </c>
      <c r="K193" s="3" t="n">
        <v>45808</v>
      </c>
      <c r="L193" s="20" t="n">
        <f aca="false">IF(K193="","",EOMONTH(K193,2))</f>
        <v>45869</v>
      </c>
    </row>
    <row r="194" customFormat="false" ht="14.25" hidden="false" customHeight="true" outlineLevel="0" collapsed="false">
      <c r="A194" s="15" t="n">
        <v>4874</v>
      </c>
      <c r="B194" s="15" t="s">
        <v>24</v>
      </c>
      <c r="C194" s="15" t="s">
        <v>164</v>
      </c>
      <c r="D194" s="15" t="s">
        <v>165</v>
      </c>
      <c r="E194" s="13" t="s">
        <v>202</v>
      </c>
      <c r="F194" s="3" t="n">
        <v>45730</v>
      </c>
      <c r="G194" s="3" t="n">
        <v>45731</v>
      </c>
      <c r="H194" s="3" t="n">
        <v>45798</v>
      </c>
      <c r="I194" s="15" t="s">
        <v>167</v>
      </c>
      <c r="J194" s="15" t="n">
        <v>18</v>
      </c>
      <c r="K194" s="3" t="n">
        <v>45808</v>
      </c>
      <c r="L194" s="20" t="n">
        <f aca="false">IF(K194="","",EOMONTH(K194,2))</f>
        <v>45869</v>
      </c>
    </row>
    <row r="195" customFormat="false" ht="14.25" hidden="false" customHeight="true" outlineLevel="0" collapsed="false">
      <c r="A195" s="15" t="n">
        <v>5555</v>
      </c>
      <c r="B195" s="15" t="s">
        <v>183</v>
      </c>
      <c r="C195" s="15" t="s">
        <v>184</v>
      </c>
      <c r="D195" s="15" t="s">
        <v>185</v>
      </c>
      <c r="E195" s="13" t="s">
        <v>338</v>
      </c>
      <c r="F195" s="3" t="n">
        <v>45730</v>
      </c>
      <c r="G195" s="3" t="n">
        <v>45732</v>
      </c>
      <c r="H195" s="3" t="n">
        <v>45730</v>
      </c>
      <c r="I195" s="15" t="s">
        <v>167</v>
      </c>
      <c r="J195" s="15" t="n">
        <v>2</v>
      </c>
      <c r="K195" s="3" t="n">
        <v>45808</v>
      </c>
      <c r="L195" s="20" t="n">
        <f aca="false">IF(K195="","",EOMONTH(K195,2))</f>
        <v>45869</v>
      </c>
    </row>
    <row r="196" customFormat="false" ht="14.25" hidden="false" customHeight="true" outlineLevel="0" collapsed="false">
      <c r="A196" s="15" t="n">
        <v>5556</v>
      </c>
      <c r="B196" s="15" t="s">
        <v>168</v>
      </c>
      <c r="C196" s="15" t="s">
        <v>184</v>
      </c>
      <c r="D196" s="15" t="s">
        <v>185</v>
      </c>
      <c r="E196" s="13" t="s">
        <v>339</v>
      </c>
      <c r="F196" s="3" t="n">
        <v>45730</v>
      </c>
      <c r="G196" s="3" t="n">
        <v>45732</v>
      </c>
      <c r="H196" s="3" t="n">
        <v>45730</v>
      </c>
      <c r="I196" s="15" t="s">
        <v>167</v>
      </c>
      <c r="J196" s="15" t="n">
        <v>1</v>
      </c>
      <c r="K196" s="3" t="n">
        <v>45808</v>
      </c>
      <c r="L196" s="20" t="n">
        <f aca="false">IF(K196="","",EOMONTH(K196,2))</f>
        <v>45869</v>
      </c>
    </row>
    <row r="197" customFormat="false" ht="14.25" hidden="false" customHeight="true" outlineLevel="0" collapsed="false">
      <c r="A197" s="15" t="n">
        <v>5557</v>
      </c>
      <c r="B197" s="15" t="s">
        <v>188</v>
      </c>
      <c r="C197" s="15" t="s">
        <v>184</v>
      </c>
      <c r="D197" s="15" t="s">
        <v>185</v>
      </c>
      <c r="E197" s="13" t="s">
        <v>340</v>
      </c>
      <c r="F197" s="3" t="n">
        <v>45730</v>
      </c>
      <c r="G197" s="3" t="n">
        <v>45741</v>
      </c>
      <c r="H197" s="3" t="n">
        <v>45730</v>
      </c>
      <c r="I197" s="15" t="s">
        <v>167</v>
      </c>
      <c r="J197" s="15" t="n">
        <v>3</v>
      </c>
      <c r="K197" s="3" t="n">
        <v>45808</v>
      </c>
      <c r="L197" s="20" t="n">
        <f aca="false">IF(K197="","",EOMONTH(K197,2))</f>
        <v>45869</v>
      </c>
    </row>
    <row r="198" customFormat="false" ht="14.25" hidden="false" customHeight="true" outlineLevel="0" collapsed="false">
      <c r="A198" s="15" t="n">
        <v>5558</v>
      </c>
      <c r="B198" s="15" t="s">
        <v>188</v>
      </c>
      <c r="C198" s="15" t="s">
        <v>184</v>
      </c>
      <c r="D198" s="15" t="s">
        <v>185</v>
      </c>
      <c r="E198" s="13" t="s">
        <v>341</v>
      </c>
      <c r="F198" s="3" t="n">
        <v>45730</v>
      </c>
      <c r="G198" s="3" t="n">
        <v>45742</v>
      </c>
      <c r="H198" s="3" t="n">
        <v>45730</v>
      </c>
      <c r="I198" s="15" t="s">
        <v>167</v>
      </c>
      <c r="J198" s="15" t="n">
        <v>1</v>
      </c>
      <c r="K198" s="3" t="n">
        <v>45808</v>
      </c>
      <c r="L198" s="20" t="n">
        <f aca="false">IF(K198="","",EOMONTH(K198,2))</f>
        <v>45869</v>
      </c>
    </row>
    <row r="199" customFormat="false" ht="14.25" hidden="false" customHeight="true" outlineLevel="0" collapsed="false">
      <c r="A199" s="15" t="n">
        <v>5559</v>
      </c>
      <c r="B199" s="15" t="s">
        <v>188</v>
      </c>
      <c r="C199" s="15" t="s">
        <v>184</v>
      </c>
      <c r="D199" s="15" t="s">
        <v>185</v>
      </c>
      <c r="E199" s="13" t="s">
        <v>342</v>
      </c>
      <c r="F199" s="3" t="n">
        <v>45730</v>
      </c>
      <c r="G199" s="3" t="n">
        <v>45735</v>
      </c>
      <c r="H199" s="3" t="n">
        <v>45730</v>
      </c>
      <c r="I199" s="15" t="s">
        <v>167</v>
      </c>
      <c r="J199" s="15" t="n">
        <v>1</v>
      </c>
      <c r="K199" s="3" t="n">
        <v>45808</v>
      </c>
      <c r="L199" s="20" t="n">
        <f aca="false">IF(K199="","",EOMONTH(K199,2))</f>
        <v>45869</v>
      </c>
    </row>
    <row r="200" customFormat="false" ht="14.25" hidden="false" customHeight="true" outlineLevel="0" collapsed="false">
      <c r="A200" s="15" t="n">
        <v>5560</v>
      </c>
      <c r="B200" s="15" t="s">
        <v>188</v>
      </c>
      <c r="C200" s="15" t="s">
        <v>184</v>
      </c>
      <c r="D200" s="15" t="s">
        <v>185</v>
      </c>
      <c r="E200" s="13" t="s">
        <v>343</v>
      </c>
      <c r="F200" s="3" t="n">
        <v>45730</v>
      </c>
      <c r="G200" s="3" t="n">
        <v>45742</v>
      </c>
      <c r="H200" s="3" t="n">
        <v>45730</v>
      </c>
      <c r="I200" s="15" t="s">
        <v>167</v>
      </c>
      <c r="J200" s="15" t="n">
        <v>1</v>
      </c>
      <c r="K200" s="3" t="n">
        <v>45808</v>
      </c>
      <c r="L200" s="20" t="n">
        <f aca="false">IF(K200="","",EOMONTH(K200,2))</f>
        <v>45869</v>
      </c>
    </row>
    <row r="201" customFormat="false" ht="14.25" hidden="false" customHeight="true" outlineLevel="0" collapsed="false">
      <c r="A201" s="15" t="n">
        <v>5561</v>
      </c>
      <c r="B201" s="15" t="s">
        <v>188</v>
      </c>
      <c r="C201" s="15" t="s">
        <v>184</v>
      </c>
      <c r="D201" s="15" t="s">
        <v>185</v>
      </c>
      <c r="E201" s="13" t="s">
        <v>344</v>
      </c>
      <c r="F201" s="3" t="n">
        <v>45730</v>
      </c>
      <c r="G201" s="3" t="n">
        <v>45746</v>
      </c>
      <c r="H201" s="3" t="n">
        <v>45730</v>
      </c>
      <c r="I201" s="15" t="s">
        <v>167</v>
      </c>
      <c r="J201" s="15" t="n">
        <v>2</v>
      </c>
      <c r="K201" s="3" t="n">
        <v>45808</v>
      </c>
      <c r="L201" s="20" t="n">
        <f aca="false">IF(K201="","",EOMONTH(K201,2))</f>
        <v>45869</v>
      </c>
    </row>
    <row r="202" customFormat="false" ht="14.25" hidden="false" customHeight="true" outlineLevel="0" collapsed="false">
      <c r="A202" s="15" t="n">
        <v>5562</v>
      </c>
      <c r="B202" s="15" t="s">
        <v>188</v>
      </c>
      <c r="C202" s="15" t="s">
        <v>184</v>
      </c>
      <c r="D202" s="15" t="s">
        <v>185</v>
      </c>
      <c r="E202" s="13" t="s">
        <v>345</v>
      </c>
      <c r="F202" s="3" t="n">
        <v>45730</v>
      </c>
      <c r="G202" s="3" t="n">
        <v>45740</v>
      </c>
      <c r="H202" s="3" t="n">
        <v>45730</v>
      </c>
      <c r="I202" s="15" t="s">
        <v>167</v>
      </c>
      <c r="J202" s="15" t="n">
        <v>2</v>
      </c>
      <c r="K202" s="3" t="n">
        <v>45808</v>
      </c>
      <c r="L202" s="20" t="n">
        <f aca="false">IF(K202="","",EOMONTH(K202,2))</f>
        <v>45869</v>
      </c>
    </row>
    <row r="203" customFormat="false" ht="14.25" hidden="false" customHeight="true" outlineLevel="0" collapsed="false">
      <c r="A203" s="15" t="n">
        <v>5563</v>
      </c>
      <c r="B203" s="15" t="s">
        <v>188</v>
      </c>
      <c r="C203" s="15" t="s">
        <v>184</v>
      </c>
      <c r="D203" s="15" t="s">
        <v>185</v>
      </c>
      <c r="E203" s="13" t="s">
        <v>346</v>
      </c>
      <c r="F203" s="3" t="n">
        <v>45730</v>
      </c>
      <c r="G203" s="3" t="n">
        <v>45743</v>
      </c>
      <c r="H203" s="3" t="n">
        <v>45731</v>
      </c>
      <c r="I203" s="15" t="s">
        <v>167</v>
      </c>
      <c r="J203" s="15" t="n">
        <v>2</v>
      </c>
      <c r="K203" s="3" t="n">
        <v>45808</v>
      </c>
      <c r="L203" s="20" t="n">
        <f aca="false">IF(K203="","",EOMONTH(K203,2))</f>
        <v>45869</v>
      </c>
    </row>
    <row r="204" customFormat="false" ht="14.25" hidden="false" customHeight="true" outlineLevel="0" collapsed="false">
      <c r="A204" s="15" t="n">
        <v>5564</v>
      </c>
      <c r="B204" s="15" t="s">
        <v>188</v>
      </c>
      <c r="C204" s="15" t="s">
        <v>184</v>
      </c>
      <c r="D204" s="15" t="s">
        <v>185</v>
      </c>
      <c r="E204" s="13" t="s">
        <v>347</v>
      </c>
      <c r="F204" s="3" t="n">
        <v>45730</v>
      </c>
      <c r="G204" s="3" t="n">
        <v>45735</v>
      </c>
      <c r="H204" s="3" t="n">
        <v>45731</v>
      </c>
      <c r="I204" s="15" t="s">
        <v>167</v>
      </c>
      <c r="J204" s="15" t="n">
        <v>1</v>
      </c>
      <c r="K204" s="3" t="n">
        <v>45808</v>
      </c>
      <c r="L204" s="20" t="n">
        <f aca="false">IF(K204="","",EOMONTH(K204,2))</f>
        <v>45869</v>
      </c>
    </row>
    <row r="205" customFormat="false" ht="14.25" hidden="false" customHeight="true" outlineLevel="0" collapsed="false">
      <c r="A205" s="15" t="n">
        <v>5565</v>
      </c>
      <c r="B205" s="15" t="s">
        <v>188</v>
      </c>
      <c r="C205" s="15" t="s">
        <v>184</v>
      </c>
      <c r="D205" s="15" t="s">
        <v>185</v>
      </c>
      <c r="E205" s="13" t="s">
        <v>348</v>
      </c>
      <c r="F205" s="3" t="n">
        <v>45730</v>
      </c>
      <c r="G205" s="3" t="n">
        <v>45731</v>
      </c>
      <c r="H205" s="3" t="n">
        <v>45731</v>
      </c>
      <c r="I205" s="15" t="s">
        <v>167</v>
      </c>
      <c r="J205" s="15" t="n">
        <v>1</v>
      </c>
      <c r="K205" s="3" t="n">
        <v>45808</v>
      </c>
      <c r="L205" s="20" t="n">
        <f aca="false">IF(K205="","",EOMONTH(K205,2))</f>
        <v>45869</v>
      </c>
    </row>
    <row r="206" customFormat="false" ht="14.25" hidden="false" customHeight="true" outlineLevel="0" collapsed="false">
      <c r="A206" s="15" t="n">
        <v>5566</v>
      </c>
      <c r="B206" s="15" t="s">
        <v>188</v>
      </c>
      <c r="C206" s="15" t="s">
        <v>184</v>
      </c>
      <c r="D206" s="15" t="s">
        <v>185</v>
      </c>
      <c r="E206" s="13" t="s">
        <v>349</v>
      </c>
      <c r="F206" s="3" t="n">
        <v>45730</v>
      </c>
      <c r="G206" s="3" t="n">
        <v>45742</v>
      </c>
      <c r="H206" s="3" t="n">
        <v>45731</v>
      </c>
      <c r="I206" s="15" t="s">
        <v>167</v>
      </c>
      <c r="J206" s="15" t="n">
        <v>2</v>
      </c>
      <c r="K206" s="3" t="n">
        <v>45808</v>
      </c>
      <c r="L206" s="20" t="n">
        <f aca="false">IF(K206="","",EOMONTH(K206,2))</f>
        <v>45869</v>
      </c>
    </row>
    <row r="207" customFormat="false" ht="14.25" hidden="false" customHeight="true" outlineLevel="0" collapsed="false">
      <c r="A207" s="15" t="n">
        <v>5567</v>
      </c>
      <c r="B207" s="15" t="s">
        <v>188</v>
      </c>
      <c r="C207" s="15" t="s">
        <v>184</v>
      </c>
      <c r="D207" s="15" t="s">
        <v>185</v>
      </c>
      <c r="E207" s="13" t="s">
        <v>350</v>
      </c>
      <c r="F207" s="3" t="n">
        <v>45730</v>
      </c>
      <c r="G207" s="3" t="n">
        <v>45744</v>
      </c>
      <c r="H207" s="3" t="n">
        <v>45731</v>
      </c>
      <c r="I207" s="15" t="s">
        <v>167</v>
      </c>
      <c r="J207" s="15" t="n">
        <v>1</v>
      </c>
      <c r="K207" s="3" t="n">
        <v>45808</v>
      </c>
      <c r="L207" s="20" t="n">
        <f aca="false">IF(K207="","",EOMONTH(K207,2))</f>
        <v>45869</v>
      </c>
    </row>
    <row r="208" customFormat="false" ht="14.25" hidden="false" customHeight="true" outlineLevel="0" collapsed="false">
      <c r="A208" s="15" t="n">
        <v>5568</v>
      </c>
      <c r="B208" s="15" t="s">
        <v>188</v>
      </c>
      <c r="C208" s="15" t="s">
        <v>184</v>
      </c>
      <c r="D208" s="15" t="s">
        <v>185</v>
      </c>
      <c r="E208" s="13" t="s">
        <v>351</v>
      </c>
      <c r="F208" s="3" t="n">
        <v>45730</v>
      </c>
      <c r="G208" s="3" t="n">
        <v>45733</v>
      </c>
      <c r="H208" s="3" t="n">
        <v>45731</v>
      </c>
      <c r="I208" s="15" t="s">
        <v>167</v>
      </c>
      <c r="J208" s="15" t="n">
        <v>1</v>
      </c>
      <c r="K208" s="3" t="n">
        <v>45808</v>
      </c>
      <c r="L208" s="20" t="n">
        <f aca="false">IF(K208="","",EOMONTH(K208,2))</f>
        <v>45869</v>
      </c>
    </row>
    <row r="209" customFormat="false" ht="14.25" hidden="false" customHeight="true" outlineLevel="0" collapsed="false">
      <c r="A209" s="15" t="n">
        <v>5569</v>
      </c>
      <c r="B209" s="15" t="s">
        <v>188</v>
      </c>
      <c r="C209" s="15" t="s">
        <v>184</v>
      </c>
      <c r="D209" s="15" t="s">
        <v>185</v>
      </c>
      <c r="E209" s="13" t="s">
        <v>352</v>
      </c>
      <c r="F209" s="3" t="n">
        <v>45730</v>
      </c>
      <c r="G209" s="3" t="n">
        <v>45733</v>
      </c>
      <c r="H209" s="3" t="n">
        <v>45731</v>
      </c>
      <c r="I209" s="15" t="s">
        <v>167</v>
      </c>
      <c r="J209" s="15" t="n">
        <v>1</v>
      </c>
      <c r="K209" s="3" t="n">
        <v>45808</v>
      </c>
      <c r="L209" s="20" t="n">
        <f aca="false">IF(K209="","",EOMONTH(K209,2))</f>
        <v>45869</v>
      </c>
    </row>
    <row r="210" customFormat="false" ht="14.25" hidden="false" customHeight="true" outlineLevel="0" collapsed="false">
      <c r="A210" s="15" t="n">
        <v>5570</v>
      </c>
      <c r="B210" s="15" t="s">
        <v>183</v>
      </c>
      <c r="C210" s="15" t="s">
        <v>184</v>
      </c>
      <c r="D210" s="15" t="s">
        <v>185</v>
      </c>
      <c r="E210" s="13" t="s">
        <v>353</v>
      </c>
      <c r="F210" s="3" t="n">
        <v>45731</v>
      </c>
      <c r="G210" s="3" t="n">
        <v>45737</v>
      </c>
      <c r="H210" s="3" t="n">
        <v>45731</v>
      </c>
      <c r="I210" s="15" t="s">
        <v>167</v>
      </c>
      <c r="J210" s="15" t="n">
        <v>1</v>
      </c>
      <c r="K210" s="3" t="n">
        <v>45808</v>
      </c>
      <c r="L210" s="20" t="n">
        <f aca="false">IF(K210="","",EOMONTH(K210,2))</f>
        <v>45869</v>
      </c>
    </row>
    <row r="211" customFormat="false" ht="14.25" hidden="false" customHeight="true" outlineLevel="0" collapsed="false">
      <c r="A211" s="15" t="n">
        <v>4868</v>
      </c>
      <c r="B211" s="15" t="s">
        <v>199</v>
      </c>
      <c r="C211" s="15" t="s">
        <v>164</v>
      </c>
      <c r="D211" s="15" t="s">
        <v>169</v>
      </c>
      <c r="E211" s="13" t="s">
        <v>200</v>
      </c>
      <c r="F211" s="3" t="n">
        <v>45734</v>
      </c>
      <c r="G211" s="3" t="n">
        <v>45735</v>
      </c>
      <c r="H211" s="3" t="n">
        <v>45798</v>
      </c>
      <c r="I211" s="15" t="s">
        <v>167</v>
      </c>
      <c r="J211" s="15" t="n">
        <v>28</v>
      </c>
      <c r="K211" s="3" t="n">
        <v>45808</v>
      </c>
      <c r="L211" s="20" t="n">
        <f aca="false">IF(K211="","",EOMONTH(K211,2))</f>
        <v>45869</v>
      </c>
    </row>
    <row r="212" customFormat="false" ht="14.25" hidden="false" customHeight="true" outlineLevel="0" collapsed="false">
      <c r="A212" s="15" t="n">
        <v>5571</v>
      </c>
      <c r="B212" s="15" t="s">
        <v>183</v>
      </c>
      <c r="C212" s="15" t="s">
        <v>184</v>
      </c>
      <c r="D212" s="15" t="s">
        <v>185</v>
      </c>
      <c r="E212" s="13" t="s">
        <v>354</v>
      </c>
      <c r="F212" s="3" t="n">
        <v>45734</v>
      </c>
      <c r="G212" s="3" t="n">
        <v>45737</v>
      </c>
      <c r="H212" s="3" t="n">
        <v>45734</v>
      </c>
      <c r="I212" s="15" t="s">
        <v>167</v>
      </c>
      <c r="J212" s="15" t="n">
        <v>1</v>
      </c>
      <c r="K212" s="3" t="n">
        <v>45808</v>
      </c>
      <c r="L212" s="20" t="n">
        <f aca="false">IF(K212="","",EOMONTH(K212,2))</f>
        <v>45869</v>
      </c>
    </row>
    <row r="213" customFormat="false" ht="14.25" hidden="false" customHeight="true" outlineLevel="0" collapsed="false">
      <c r="A213" s="15" t="n">
        <v>4870</v>
      </c>
      <c r="B213" s="15" t="s">
        <v>209</v>
      </c>
      <c r="C213" s="15" t="s">
        <v>164</v>
      </c>
      <c r="D213" s="15" t="s">
        <v>169</v>
      </c>
      <c r="E213" s="13" t="s">
        <v>170</v>
      </c>
      <c r="F213" s="3" t="n">
        <v>45735</v>
      </c>
      <c r="G213" s="3" t="n">
        <v>45735</v>
      </c>
      <c r="H213" s="3" t="n">
        <v>45798</v>
      </c>
      <c r="I213" s="15" t="s">
        <v>167</v>
      </c>
      <c r="J213" s="15" t="n">
        <v>4</v>
      </c>
      <c r="K213" s="3" t="n">
        <v>45808</v>
      </c>
      <c r="L213" s="20" t="n">
        <f aca="false">IF(K213="","",EOMONTH(K213,2))</f>
        <v>45869</v>
      </c>
    </row>
    <row r="214" customFormat="false" ht="14.25" hidden="false" customHeight="true" outlineLevel="0" collapsed="false">
      <c r="A214" s="15" t="n">
        <v>5572</v>
      </c>
      <c r="B214" s="15" t="s">
        <v>188</v>
      </c>
      <c r="C214" s="15" t="s">
        <v>184</v>
      </c>
      <c r="D214" s="15" t="s">
        <v>185</v>
      </c>
      <c r="E214" s="13" t="s">
        <v>355</v>
      </c>
      <c r="F214" s="3" t="n">
        <v>45735</v>
      </c>
      <c r="G214" s="3" t="n">
        <v>45744</v>
      </c>
      <c r="H214" s="3" t="n">
        <v>45735</v>
      </c>
      <c r="I214" s="15" t="s">
        <v>167</v>
      </c>
      <c r="J214" s="15" t="n">
        <v>1</v>
      </c>
      <c r="K214" s="3" t="n">
        <v>45808</v>
      </c>
      <c r="L214" s="20" t="n">
        <f aca="false">IF(K214="","",EOMONTH(K214,2))</f>
        <v>45869</v>
      </c>
    </row>
    <row r="215" customFormat="false" ht="14.25" hidden="false" customHeight="true" outlineLevel="0" collapsed="false">
      <c r="A215" s="15" t="n">
        <v>5573</v>
      </c>
      <c r="B215" s="15" t="s">
        <v>183</v>
      </c>
      <c r="C215" s="15" t="s">
        <v>184</v>
      </c>
      <c r="D215" s="15" t="s">
        <v>185</v>
      </c>
      <c r="E215" s="13" t="s">
        <v>356</v>
      </c>
      <c r="F215" s="3" t="n">
        <v>45735</v>
      </c>
      <c r="G215" s="3" t="n">
        <v>45742</v>
      </c>
      <c r="H215" s="3" t="n">
        <v>45736</v>
      </c>
      <c r="I215" s="15" t="s">
        <v>167</v>
      </c>
      <c r="J215" s="15" t="n">
        <v>2</v>
      </c>
      <c r="K215" s="3" t="n">
        <v>45808</v>
      </c>
      <c r="L215" s="20" t="n">
        <f aca="false">IF(K215="","",EOMONTH(K215,2))</f>
        <v>45869</v>
      </c>
    </row>
    <row r="216" customFormat="false" ht="14.25" hidden="false" customHeight="true" outlineLevel="0" collapsed="false">
      <c r="A216" s="15" t="n">
        <v>5574</v>
      </c>
      <c r="B216" s="15" t="s">
        <v>278</v>
      </c>
      <c r="C216" s="15" t="s">
        <v>184</v>
      </c>
      <c r="D216" s="15" t="s">
        <v>185</v>
      </c>
      <c r="E216" s="13" t="s">
        <v>357</v>
      </c>
      <c r="F216" s="3" t="n">
        <v>45735</v>
      </c>
      <c r="G216" s="15"/>
      <c r="H216" s="3" t="n">
        <v>45738</v>
      </c>
      <c r="I216" s="15" t="s">
        <v>167</v>
      </c>
      <c r="J216" s="15" t="n">
        <v>1</v>
      </c>
      <c r="K216" s="15"/>
      <c r="L216" s="20" t="str">
        <f aca="false">IF(K216="","",EOMONTH(K216,2))</f>
        <v/>
      </c>
    </row>
    <row r="217" customFormat="false" ht="14.25" hidden="false" customHeight="true" outlineLevel="0" collapsed="false">
      <c r="A217" s="15" t="n">
        <v>5575</v>
      </c>
      <c r="B217" s="15" t="s">
        <v>275</v>
      </c>
      <c r="C217" s="15" t="s">
        <v>184</v>
      </c>
      <c r="D217" s="15" t="s">
        <v>185</v>
      </c>
      <c r="E217" s="13" t="s">
        <v>358</v>
      </c>
      <c r="F217" s="3" t="n">
        <v>45737</v>
      </c>
      <c r="G217" s="15"/>
      <c r="H217" s="3" t="n">
        <v>45739</v>
      </c>
      <c r="I217" s="15" t="s">
        <v>167</v>
      </c>
      <c r="J217" s="15" t="n">
        <v>1</v>
      </c>
      <c r="K217" s="15"/>
      <c r="L217" s="20" t="str">
        <f aca="false">IF(K217="","",EOMONTH(K217,2))</f>
        <v/>
      </c>
    </row>
    <row r="218" customFormat="false" ht="14.25" hidden="false" customHeight="true" outlineLevel="0" collapsed="false">
      <c r="A218" s="15" t="n">
        <v>5576</v>
      </c>
      <c r="B218" s="15" t="s">
        <v>275</v>
      </c>
      <c r="C218" s="15" t="s">
        <v>184</v>
      </c>
      <c r="D218" s="15" t="s">
        <v>185</v>
      </c>
      <c r="E218" s="13" t="s">
        <v>359</v>
      </c>
      <c r="F218" s="3" t="n">
        <v>45739</v>
      </c>
      <c r="G218" s="15"/>
      <c r="H218" s="3" t="n">
        <v>45739</v>
      </c>
      <c r="I218" s="15" t="s">
        <v>167</v>
      </c>
      <c r="J218" s="15" t="n">
        <v>2</v>
      </c>
      <c r="K218" s="15"/>
      <c r="L218" s="20" t="str">
        <f aca="false">IF(K218="","",EOMONTH(K218,2))</f>
        <v/>
      </c>
    </row>
    <row r="219" customFormat="false" ht="14.25" hidden="false" customHeight="true" outlineLevel="0" collapsed="false">
      <c r="A219" s="15" t="n">
        <v>5577</v>
      </c>
      <c r="B219" s="15" t="s">
        <v>278</v>
      </c>
      <c r="C219" s="15" t="s">
        <v>184</v>
      </c>
      <c r="D219" s="15" t="s">
        <v>185</v>
      </c>
      <c r="E219" s="13" t="s">
        <v>360</v>
      </c>
      <c r="F219" s="3" t="n">
        <v>45741</v>
      </c>
      <c r="G219" s="15"/>
      <c r="H219" s="3" t="n">
        <v>45742</v>
      </c>
      <c r="I219" s="15" t="s">
        <v>167</v>
      </c>
      <c r="J219" s="15" t="n">
        <v>1</v>
      </c>
      <c r="K219" s="15"/>
      <c r="L219" s="20" t="str">
        <f aca="false">IF(K219="","",EOMONTH(K219,2))</f>
        <v/>
      </c>
    </row>
    <row r="220" customFormat="false" ht="14.25" hidden="false" customHeight="true" outlineLevel="0" collapsed="false">
      <c r="A220" s="15" t="n">
        <v>4871</v>
      </c>
      <c r="B220" s="15" t="s">
        <v>183</v>
      </c>
      <c r="C220" s="15" t="s">
        <v>164</v>
      </c>
      <c r="D220" s="15" t="s">
        <v>180</v>
      </c>
      <c r="E220" s="13" t="s">
        <v>172</v>
      </c>
      <c r="F220" s="3" t="n">
        <v>45742</v>
      </c>
      <c r="G220" s="3" t="n">
        <v>45744</v>
      </c>
      <c r="H220" s="3" t="n">
        <v>45798</v>
      </c>
      <c r="I220" s="15" t="s">
        <v>167</v>
      </c>
      <c r="J220" s="15" t="n">
        <v>4</v>
      </c>
      <c r="K220" s="3" t="n">
        <v>45808</v>
      </c>
      <c r="L220" s="20" t="n">
        <f aca="false">IF(K220="","",EOMONTH(K220,2))</f>
        <v>45869</v>
      </c>
    </row>
    <row r="221" customFormat="false" ht="14.25" hidden="false" customHeight="true" outlineLevel="0" collapsed="false">
      <c r="A221" s="15" t="n">
        <v>5578</v>
      </c>
      <c r="B221" s="15" t="s">
        <v>278</v>
      </c>
      <c r="C221" s="15" t="s">
        <v>184</v>
      </c>
      <c r="D221" s="15" t="s">
        <v>185</v>
      </c>
      <c r="E221" s="13" t="s">
        <v>361</v>
      </c>
      <c r="F221" s="3" t="n">
        <v>45742</v>
      </c>
      <c r="G221" s="15"/>
      <c r="H221" s="3" t="n">
        <v>45743</v>
      </c>
      <c r="I221" s="15" t="s">
        <v>167</v>
      </c>
      <c r="J221" s="15" t="n">
        <v>1</v>
      </c>
      <c r="K221" s="15"/>
      <c r="L221" s="20" t="str">
        <f aca="false">IF(K221="","",EOMONTH(K221,2))</f>
        <v/>
      </c>
    </row>
    <row r="222" customFormat="false" ht="14.25" hidden="false" customHeight="true" outlineLevel="0" collapsed="false">
      <c r="A222" s="15" t="n">
        <v>4880</v>
      </c>
      <c r="B222" s="15" t="s">
        <v>362</v>
      </c>
      <c r="C222" s="15" t="s">
        <v>164</v>
      </c>
      <c r="D222" s="15" t="s">
        <v>363</v>
      </c>
      <c r="E222" s="13" t="s">
        <v>170</v>
      </c>
      <c r="F222" s="3" t="n">
        <v>45744</v>
      </c>
      <c r="G222" s="3" t="n">
        <v>45746</v>
      </c>
      <c r="H222" s="3" t="n">
        <v>45860</v>
      </c>
      <c r="I222" s="15" t="s">
        <v>167</v>
      </c>
      <c r="J222" s="15" t="n">
        <v>14</v>
      </c>
      <c r="K222" s="3" t="n">
        <v>45808</v>
      </c>
      <c r="L222" s="20" t="n">
        <f aca="false">IF(K222="","",EOMONTH(K222,2))</f>
        <v>45869</v>
      </c>
    </row>
    <row r="223" customFormat="false" ht="14.25" hidden="false" customHeight="true" outlineLevel="0" collapsed="false">
      <c r="A223" s="15" t="n">
        <v>4872</v>
      </c>
      <c r="B223" s="15" t="s">
        <v>217</v>
      </c>
      <c r="C223" s="15" t="s">
        <v>164</v>
      </c>
      <c r="D223" s="15" t="s">
        <v>165</v>
      </c>
      <c r="E223" s="13" t="s">
        <v>202</v>
      </c>
      <c r="F223" s="3" t="n">
        <v>45746</v>
      </c>
      <c r="G223" s="3" t="n">
        <v>45755</v>
      </c>
      <c r="H223" s="3" t="n">
        <v>45798</v>
      </c>
      <c r="I223" s="15" t="s">
        <v>167</v>
      </c>
      <c r="J223" s="15" t="n">
        <v>27</v>
      </c>
      <c r="K223" s="3" t="n">
        <v>45838</v>
      </c>
      <c r="L223" s="20" t="n">
        <f aca="false">IF(K223="","",EOMONTH(K223,2))</f>
        <v>45900</v>
      </c>
    </row>
    <row r="224" customFormat="false" ht="14.25" hidden="false" customHeight="true" outlineLevel="0" collapsed="false">
      <c r="A224" s="15" t="n">
        <v>4882</v>
      </c>
      <c r="B224" s="15" t="s">
        <v>130</v>
      </c>
      <c r="C224" s="15" t="s">
        <v>164</v>
      </c>
      <c r="D224" s="15" t="s">
        <v>180</v>
      </c>
      <c r="E224" s="13" t="s">
        <v>202</v>
      </c>
      <c r="F224" s="3" t="n">
        <v>45746</v>
      </c>
      <c r="G224" s="3" t="n">
        <v>45756</v>
      </c>
      <c r="H224" s="3" t="n">
        <v>45860</v>
      </c>
      <c r="I224" s="15" t="s">
        <v>167</v>
      </c>
      <c r="J224" s="15" t="n">
        <v>25</v>
      </c>
      <c r="K224" s="3" t="n">
        <v>45838</v>
      </c>
      <c r="L224" s="20" t="n">
        <f aca="false">IF(K224="","",EOMONTH(K224,2))</f>
        <v>45900</v>
      </c>
    </row>
    <row r="225" customFormat="false" ht="14.25" hidden="false" customHeight="true" outlineLevel="0" collapsed="false">
      <c r="A225" s="15" t="n">
        <v>3625</v>
      </c>
      <c r="B225" s="15" t="s">
        <v>213</v>
      </c>
      <c r="C225" s="15" t="s">
        <v>176</v>
      </c>
      <c r="D225" s="15" t="s">
        <v>165</v>
      </c>
      <c r="E225" s="13" t="s">
        <v>202</v>
      </c>
      <c r="F225" s="3" t="n">
        <v>45749</v>
      </c>
      <c r="G225" s="3" t="n">
        <v>45771</v>
      </c>
      <c r="H225" s="3" t="n">
        <v>45749</v>
      </c>
      <c r="I225" s="15" t="s">
        <v>167</v>
      </c>
      <c r="J225" s="15" t="n">
        <v>95</v>
      </c>
      <c r="K225" s="3" t="n">
        <v>45838</v>
      </c>
      <c r="L225" s="20" t="n">
        <f aca="false">IF(K225="","",EOMONTH(K225,2))</f>
        <v>45900</v>
      </c>
    </row>
    <row r="226" customFormat="false" ht="14.25" hidden="false" customHeight="true" outlineLevel="0" collapsed="false">
      <c r="A226" s="15" t="n">
        <v>3626</v>
      </c>
      <c r="B226" s="15" t="s">
        <v>27</v>
      </c>
      <c r="C226" s="15" t="s">
        <v>176</v>
      </c>
      <c r="D226" s="15" t="s">
        <v>165</v>
      </c>
      <c r="E226" s="13" t="s">
        <v>202</v>
      </c>
      <c r="F226" s="3" t="n">
        <v>45749</v>
      </c>
      <c r="G226" s="3" t="n">
        <v>45793</v>
      </c>
      <c r="H226" s="3" t="n">
        <v>45750</v>
      </c>
      <c r="I226" s="15" t="s">
        <v>167</v>
      </c>
      <c r="J226" s="15" t="n">
        <v>120</v>
      </c>
      <c r="K226" s="3" t="n">
        <v>45869</v>
      </c>
      <c r="L226" s="20" t="n">
        <f aca="false">IF(K226="","",EOMONTH(K226,2))</f>
        <v>45930</v>
      </c>
    </row>
    <row r="227" customFormat="false" ht="14.25" hidden="false" customHeight="true" outlineLevel="0" collapsed="false">
      <c r="A227" s="15" t="n">
        <v>3627</v>
      </c>
      <c r="B227" s="15" t="s">
        <v>219</v>
      </c>
      <c r="C227" s="15" t="s">
        <v>176</v>
      </c>
      <c r="D227" s="15" t="s">
        <v>165</v>
      </c>
      <c r="E227" s="13" t="s">
        <v>214</v>
      </c>
      <c r="F227" s="3" t="n">
        <v>45749</v>
      </c>
      <c r="G227" s="3" t="n">
        <v>45769</v>
      </c>
      <c r="H227" s="3" t="n">
        <v>45752</v>
      </c>
      <c r="I227" s="15" t="s">
        <v>167</v>
      </c>
      <c r="J227" s="15" t="n">
        <v>75</v>
      </c>
      <c r="K227" s="3" t="n">
        <v>45838</v>
      </c>
      <c r="L227" s="20" t="n">
        <f aca="false">IF(K227="","",EOMONTH(K227,2))</f>
        <v>45900</v>
      </c>
    </row>
    <row r="228" customFormat="false" ht="25.5" hidden="false" customHeight="true" outlineLevel="0" collapsed="false">
      <c r="A228" s="15" t="n">
        <v>4864</v>
      </c>
      <c r="B228" s="15" t="s">
        <v>27</v>
      </c>
      <c r="C228" s="15" t="s">
        <v>164</v>
      </c>
      <c r="D228" s="15" t="s">
        <v>165</v>
      </c>
      <c r="E228" s="13" t="s">
        <v>197</v>
      </c>
      <c r="F228" s="3" t="n">
        <v>45749</v>
      </c>
      <c r="G228" s="3" t="n">
        <v>45793</v>
      </c>
      <c r="H228" s="3" t="n">
        <v>45771</v>
      </c>
      <c r="I228" s="15" t="s">
        <v>167</v>
      </c>
      <c r="J228" s="15" t="n">
        <v>91</v>
      </c>
      <c r="K228" s="3" t="n">
        <v>45869</v>
      </c>
      <c r="L228" s="20" t="n">
        <f aca="false">IF(K228="","",EOMONTH(K228,2))</f>
        <v>45930</v>
      </c>
    </row>
    <row r="229" customFormat="false" ht="14.25" hidden="false" customHeight="true" outlineLevel="0" collapsed="false">
      <c r="A229" s="15" t="n">
        <v>4873</v>
      </c>
      <c r="B229" s="15" t="s">
        <v>219</v>
      </c>
      <c r="C229" s="15" t="s">
        <v>164</v>
      </c>
      <c r="D229" s="15" t="s">
        <v>180</v>
      </c>
      <c r="E229" s="13" t="s">
        <v>214</v>
      </c>
      <c r="F229" s="3" t="n">
        <v>45749</v>
      </c>
      <c r="G229" s="3" t="n">
        <v>45769</v>
      </c>
      <c r="H229" s="3" t="n">
        <v>45798</v>
      </c>
      <c r="I229" s="15" t="s">
        <v>167</v>
      </c>
      <c r="J229" s="15" t="n">
        <v>41</v>
      </c>
      <c r="K229" s="3" t="n">
        <v>45838</v>
      </c>
      <c r="L229" s="20" t="n">
        <f aca="false">IF(K229="","",EOMONTH(K229,2))</f>
        <v>45900</v>
      </c>
    </row>
    <row r="230" customFormat="false" ht="14.25" hidden="false" customHeight="true" outlineLevel="0" collapsed="false">
      <c r="A230" s="15" t="n">
        <v>4878</v>
      </c>
      <c r="B230" s="15" t="s">
        <v>213</v>
      </c>
      <c r="C230" s="15" t="s">
        <v>164</v>
      </c>
      <c r="D230" s="15" t="s">
        <v>165</v>
      </c>
      <c r="E230" s="13" t="s">
        <v>202</v>
      </c>
      <c r="F230" s="3" t="n">
        <v>45749</v>
      </c>
      <c r="G230" s="3" t="n">
        <v>45771</v>
      </c>
      <c r="H230" s="3" t="n">
        <v>45827</v>
      </c>
      <c r="I230" s="15" t="s">
        <v>167</v>
      </c>
      <c r="J230" s="15" t="n">
        <v>30</v>
      </c>
      <c r="K230" s="3" t="n">
        <v>45838</v>
      </c>
      <c r="L230" s="20" t="n">
        <f aca="false">IF(K230="","",EOMONTH(K230,2))</f>
        <v>45900</v>
      </c>
    </row>
    <row r="231" customFormat="false" ht="14.25" hidden="false" customHeight="true" outlineLevel="0" collapsed="false">
      <c r="A231" s="15" t="n">
        <v>5579</v>
      </c>
      <c r="B231" s="15" t="s">
        <v>144</v>
      </c>
      <c r="C231" s="15" t="s">
        <v>184</v>
      </c>
      <c r="D231" s="15" t="s">
        <v>185</v>
      </c>
      <c r="E231" s="13" t="s">
        <v>364</v>
      </c>
      <c r="F231" s="3" t="n">
        <v>45764</v>
      </c>
      <c r="G231" s="15"/>
      <c r="H231" s="3" t="n">
        <v>45765</v>
      </c>
      <c r="I231" s="15" t="s">
        <v>167</v>
      </c>
      <c r="J231" s="15" t="n">
        <v>1</v>
      </c>
      <c r="K231" s="15"/>
      <c r="L231" s="20" t="str">
        <f aca="false">IF(K231="","",EOMONTH(K231,2))</f>
        <v/>
      </c>
    </row>
    <row r="232" customFormat="false" ht="14.25" hidden="false" customHeight="true" outlineLevel="0" collapsed="false">
      <c r="A232" s="15" t="n">
        <v>5580</v>
      </c>
      <c r="B232" s="15" t="s">
        <v>278</v>
      </c>
      <c r="C232" s="15" t="s">
        <v>184</v>
      </c>
      <c r="D232" s="15" t="s">
        <v>185</v>
      </c>
      <c r="E232" s="13" t="s">
        <v>365</v>
      </c>
      <c r="F232" s="3" t="n">
        <v>45765</v>
      </c>
      <c r="G232" s="15"/>
      <c r="H232" s="3" t="n">
        <v>45767</v>
      </c>
      <c r="I232" s="15" t="s">
        <v>167</v>
      </c>
      <c r="J232" s="15" t="n">
        <v>1</v>
      </c>
      <c r="K232" s="15"/>
      <c r="L232" s="20" t="str">
        <f aca="false">IF(K232="","",EOMONTH(K232,2))</f>
        <v/>
      </c>
    </row>
    <row r="233" customFormat="false" ht="14.25" hidden="false" customHeight="true" outlineLevel="0" collapsed="false">
      <c r="A233" s="15" t="n">
        <v>5581</v>
      </c>
      <c r="B233" s="15" t="s">
        <v>366</v>
      </c>
      <c r="C233" s="15" t="s">
        <v>184</v>
      </c>
      <c r="D233" s="15" t="s">
        <v>185</v>
      </c>
      <c r="E233" s="13" t="s">
        <v>367</v>
      </c>
      <c r="F233" s="3" t="n">
        <v>45769</v>
      </c>
      <c r="G233" s="15"/>
      <c r="H233" s="3" t="n">
        <v>45771</v>
      </c>
      <c r="I233" s="15" t="s">
        <v>167</v>
      </c>
      <c r="J233" s="15" t="n">
        <v>1</v>
      </c>
      <c r="K233" s="15"/>
      <c r="L233" s="20" t="str">
        <f aca="false">IF(K233="","",EOMONTH(K233,2))</f>
        <v/>
      </c>
    </row>
    <row r="234" customFormat="false" ht="14.25" hidden="false" customHeight="true" outlineLevel="0" collapsed="false">
      <c r="A234" s="15" t="n">
        <v>4876</v>
      </c>
      <c r="B234" s="15" t="s">
        <v>217</v>
      </c>
      <c r="C234" s="15" t="s">
        <v>164</v>
      </c>
      <c r="D234" s="15" t="s">
        <v>165</v>
      </c>
      <c r="E234" s="13" t="s">
        <v>202</v>
      </c>
      <c r="F234" s="3" t="n">
        <v>45776</v>
      </c>
      <c r="G234" s="3" t="n">
        <v>45776</v>
      </c>
      <c r="H234" s="3" t="n">
        <v>45817</v>
      </c>
      <c r="I234" s="15" t="s">
        <v>167</v>
      </c>
      <c r="J234" s="15" t="n">
        <v>6</v>
      </c>
      <c r="K234" s="3" t="n">
        <v>45838</v>
      </c>
      <c r="L234" s="20" t="n">
        <f aca="false">IF(K234="","",EOMONTH(K234,2))</f>
        <v>45900</v>
      </c>
    </row>
    <row r="235" customFormat="false" ht="14.25" hidden="false" customHeight="true" outlineLevel="0" collapsed="false">
      <c r="A235" s="15" t="n">
        <v>5582</v>
      </c>
      <c r="B235" s="15" t="s">
        <v>278</v>
      </c>
      <c r="C235" s="15" t="s">
        <v>184</v>
      </c>
      <c r="D235" s="15" t="s">
        <v>185</v>
      </c>
      <c r="E235" s="13" t="s">
        <v>368</v>
      </c>
      <c r="F235" s="3" t="n">
        <v>45779</v>
      </c>
      <c r="G235" s="15"/>
      <c r="H235" s="3" t="n">
        <v>45780</v>
      </c>
      <c r="I235" s="15" t="s">
        <v>167</v>
      </c>
      <c r="J235" s="15" t="n">
        <v>1</v>
      </c>
      <c r="K235" s="15"/>
      <c r="L235" s="20" t="str">
        <f aca="false">IF(K235="","",EOMONTH(K235,2))</f>
        <v/>
      </c>
    </row>
    <row r="236" customFormat="false" ht="14.25" hidden="false" customHeight="true" outlineLevel="0" collapsed="false">
      <c r="A236" s="15" t="n">
        <v>5583</v>
      </c>
      <c r="B236" s="15" t="s">
        <v>227</v>
      </c>
      <c r="C236" s="15" t="s">
        <v>184</v>
      </c>
      <c r="D236" s="15" t="s">
        <v>185</v>
      </c>
      <c r="E236" s="13" t="s">
        <v>369</v>
      </c>
      <c r="F236" s="3" t="n">
        <v>45789</v>
      </c>
      <c r="G236" s="3" t="n">
        <v>45797</v>
      </c>
      <c r="H236" s="3" t="n">
        <v>45791</v>
      </c>
      <c r="I236" s="15" t="s">
        <v>167</v>
      </c>
      <c r="J236" s="15" t="n">
        <v>1</v>
      </c>
      <c r="K236" s="3" t="n">
        <v>45869</v>
      </c>
      <c r="L236" s="20" t="n">
        <f aca="false">IF(K236="","",EOMONTH(K236,2))</f>
        <v>45930</v>
      </c>
    </row>
    <row r="237" customFormat="false" ht="14.25" hidden="false" customHeight="true" outlineLevel="0" collapsed="false">
      <c r="A237" s="15" t="n">
        <v>5584</v>
      </c>
      <c r="B237" s="15" t="s">
        <v>220</v>
      </c>
      <c r="C237" s="15" t="s">
        <v>184</v>
      </c>
      <c r="D237" s="15" t="s">
        <v>185</v>
      </c>
      <c r="E237" s="13" t="s">
        <v>370</v>
      </c>
      <c r="F237" s="3" t="n">
        <v>45791</v>
      </c>
      <c r="G237" s="3" t="n">
        <v>45797</v>
      </c>
      <c r="H237" s="3" t="n">
        <v>45791</v>
      </c>
      <c r="I237" s="15" t="s">
        <v>167</v>
      </c>
      <c r="J237" s="15" t="n">
        <v>1</v>
      </c>
      <c r="K237" s="3" t="n">
        <v>45869</v>
      </c>
      <c r="L237" s="20" t="n">
        <f aca="false">IF(K237="","",EOMONTH(K237,2))</f>
        <v>45930</v>
      </c>
    </row>
    <row r="238" customFormat="false" ht="14.25" hidden="false" customHeight="true" outlineLevel="0" collapsed="false">
      <c r="A238" s="15" t="n">
        <v>4875</v>
      </c>
      <c r="B238" s="15" t="s">
        <v>27</v>
      </c>
      <c r="C238" s="15" t="s">
        <v>164</v>
      </c>
      <c r="D238" s="15" t="s">
        <v>165</v>
      </c>
      <c r="E238" s="13" t="s">
        <v>208</v>
      </c>
      <c r="F238" s="3" t="n">
        <v>45793</v>
      </c>
      <c r="G238" s="3" t="n">
        <v>45794</v>
      </c>
      <c r="H238" s="3" t="n">
        <v>45800</v>
      </c>
      <c r="I238" s="15" t="s">
        <v>167</v>
      </c>
      <c r="J238" s="15" t="n">
        <v>39</v>
      </c>
      <c r="K238" s="3" t="n">
        <v>45869</v>
      </c>
      <c r="L238" s="20" t="n">
        <f aca="false">IF(K238="","",EOMONTH(K238,2))</f>
        <v>45930</v>
      </c>
    </row>
    <row r="239" customFormat="false" ht="14.25" hidden="false" customHeight="true" outlineLevel="0" collapsed="false">
      <c r="A239" s="15" t="n">
        <v>4877</v>
      </c>
      <c r="B239" s="15" t="s">
        <v>217</v>
      </c>
      <c r="C239" s="15" t="s">
        <v>164</v>
      </c>
      <c r="D239" s="15" t="s">
        <v>165</v>
      </c>
      <c r="E239" s="13" t="s">
        <v>202</v>
      </c>
      <c r="F239" s="3" t="n">
        <v>45793</v>
      </c>
      <c r="G239" s="3" t="n">
        <v>45793</v>
      </c>
      <c r="H239" s="3" t="n">
        <v>45817</v>
      </c>
      <c r="I239" s="15" t="s">
        <v>167</v>
      </c>
      <c r="J239" s="15" t="n">
        <v>3</v>
      </c>
      <c r="K239" s="3" t="n">
        <v>45869</v>
      </c>
      <c r="L239" s="20" t="n">
        <f aca="false">IF(K239="","",EOMONTH(K239,2))</f>
        <v>45930</v>
      </c>
    </row>
    <row r="240" customFormat="false" ht="14.25" hidden="false" customHeight="true" outlineLevel="0" collapsed="false">
      <c r="A240" s="15" t="n">
        <v>4883</v>
      </c>
      <c r="B240" s="15" t="s">
        <v>168</v>
      </c>
      <c r="C240" s="15" t="s">
        <v>164</v>
      </c>
      <c r="D240" s="15" t="s">
        <v>165</v>
      </c>
      <c r="E240" s="13" t="s">
        <v>202</v>
      </c>
      <c r="F240" s="3" t="n">
        <v>45795</v>
      </c>
      <c r="G240" s="3" t="n">
        <v>45796</v>
      </c>
      <c r="H240" s="3" t="n">
        <v>45860</v>
      </c>
      <c r="I240" s="15" t="s">
        <v>167</v>
      </c>
      <c r="J240" s="15" t="n">
        <v>11</v>
      </c>
      <c r="K240" s="3" t="n">
        <v>45869</v>
      </c>
      <c r="L240" s="20" t="n">
        <f aca="false">IF(K240="","",EOMONTH(K240,2))</f>
        <v>45930</v>
      </c>
    </row>
    <row r="241" customFormat="false" ht="14.25" hidden="false" customHeight="true" outlineLevel="0" collapsed="false">
      <c r="A241" s="15" t="n">
        <v>4887</v>
      </c>
      <c r="B241" s="15" t="s">
        <v>212</v>
      </c>
      <c r="C241" s="15" t="s">
        <v>164</v>
      </c>
      <c r="D241" s="15" t="s">
        <v>180</v>
      </c>
      <c r="E241" s="13" t="s">
        <v>229</v>
      </c>
      <c r="F241" s="3" t="n">
        <v>45795</v>
      </c>
      <c r="G241" s="3" t="n">
        <v>45799</v>
      </c>
      <c r="H241" s="3" t="n">
        <v>45911</v>
      </c>
      <c r="I241" s="15" t="s">
        <v>167</v>
      </c>
      <c r="J241" s="15" t="n">
        <v>1</v>
      </c>
      <c r="K241" s="3" t="n">
        <v>45869</v>
      </c>
      <c r="L241" s="20" t="n">
        <f aca="false">IF(K241="","",EOMONTH(K241,2))</f>
        <v>45930</v>
      </c>
    </row>
    <row r="242" customFormat="false" ht="14.25" hidden="false" customHeight="true" outlineLevel="0" collapsed="false">
      <c r="A242" s="15" t="n">
        <v>5585</v>
      </c>
      <c r="B242" s="15" t="s">
        <v>220</v>
      </c>
      <c r="C242" s="15" t="s">
        <v>184</v>
      </c>
      <c r="D242" s="15" t="s">
        <v>185</v>
      </c>
      <c r="E242" s="13" t="s">
        <v>371</v>
      </c>
      <c r="F242" s="3" t="n">
        <v>45798</v>
      </c>
      <c r="G242" s="3" t="n">
        <v>45804</v>
      </c>
      <c r="H242" s="3" t="n">
        <v>45799</v>
      </c>
      <c r="I242" s="15" t="s">
        <v>167</v>
      </c>
      <c r="J242" s="15" t="n">
        <v>1</v>
      </c>
      <c r="K242" s="3" t="n">
        <v>45869</v>
      </c>
      <c r="L242" s="20" t="n">
        <f aca="false">IF(K242="","",EOMONTH(K242,2))</f>
        <v>45930</v>
      </c>
    </row>
    <row r="243" customFormat="false" ht="14.25" hidden="false" customHeight="true" outlineLevel="0" collapsed="false">
      <c r="A243" s="15" t="n">
        <v>4885</v>
      </c>
      <c r="B243" s="15" t="s">
        <v>217</v>
      </c>
      <c r="C243" s="15" t="s">
        <v>164</v>
      </c>
      <c r="D243" s="15" t="s">
        <v>165</v>
      </c>
      <c r="E243" s="13" t="s">
        <v>172</v>
      </c>
      <c r="F243" s="3" t="n">
        <v>45800</v>
      </c>
      <c r="G243" s="3" t="n">
        <v>45803</v>
      </c>
      <c r="H243" s="3" t="n">
        <v>45860</v>
      </c>
      <c r="I243" s="15" t="s">
        <v>167</v>
      </c>
      <c r="J243" s="15" t="n">
        <v>5</v>
      </c>
      <c r="K243" s="3" t="n">
        <v>45869</v>
      </c>
      <c r="L243" s="20" t="n">
        <f aca="false">IF(K243="","",EOMONTH(K243,2))</f>
        <v>45930</v>
      </c>
    </row>
    <row r="244" customFormat="false" ht="14.25" hidden="false" customHeight="true" outlineLevel="0" collapsed="false">
      <c r="A244" s="15" t="n">
        <v>4891</v>
      </c>
      <c r="B244" s="15" t="s">
        <v>168</v>
      </c>
      <c r="C244" s="15" t="s">
        <v>164</v>
      </c>
      <c r="D244" s="15" t="s">
        <v>165</v>
      </c>
      <c r="E244" s="13" t="s">
        <v>202</v>
      </c>
      <c r="F244" s="3" t="n">
        <v>45811</v>
      </c>
      <c r="G244" s="3" t="n">
        <v>45815</v>
      </c>
      <c r="H244" s="3" t="n">
        <v>45911</v>
      </c>
      <c r="I244" s="15" t="s">
        <v>167</v>
      </c>
      <c r="J244" s="15" t="n">
        <v>16</v>
      </c>
      <c r="K244" s="3" t="n">
        <v>45900</v>
      </c>
      <c r="L244" s="20" t="n">
        <f aca="false">IF(K244="","",EOMONTH(K244,2))</f>
        <v>45961</v>
      </c>
    </row>
    <row r="245" customFormat="false" ht="14.25" hidden="false" customHeight="true" outlineLevel="0" collapsed="false">
      <c r="A245" s="15" t="n">
        <v>5586</v>
      </c>
      <c r="B245" s="15" t="s">
        <v>222</v>
      </c>
      <c r="C245" s="15" t="s">
        <v>184</v>
      </c>
      <c r="D245" s="15" t="s">
        <v>185</v>
      </c>
      <c r="E245" s="13" t="s">
        <v>372</v>
      </c>
      <c r="F245" s="3" t="n">
        <v>45818</v>
      </c>
      <c r="G245" s="3" t="n">
        <v>45820</v>
      </c>
      <c r="H245" s="3" t="n">
        <v>45818</v>
      </c>
      <c r="I245" s="15" t="s">
        <v>167</v>
      </c>
      <c r="J245" s="15" t="n">
        <v>1</v>
      </c>
      <c r="K245" s="3" t="n">
        <v>45900</v>
      </c>
      <c r="L245" s="20" t="n">
        <f aca="false">IF(K245="","",EOMONTH(K245,2))</f>
        <v>45961</v>
      </c>
    </row>
    <row r="246" customFormat="false" ht="14.25" hidden="false" customHeight="true" outlineLevel="0" collapsed="false">
      <c r="A246" s="15" t="n">
        <v>5587</v>
      </c>
      <c r="B246" s="15" t="s">
        <v>178</v>
      </c>
      <c r="C246" s="15" t="s">
        <v>184</v>
      </c>
      <c r="D246" s="15" t="s">
        <v>185</v>
      </c>
      <c r="E246" s="13" t="s">
        <v>373</v>
      </c>
      <c r="F246" s="3" t="n">
        <v>45819</v>
      </c>
      <c r="G246" s="3" t="n">
        <v>45827</v>
      </c>
      <c r="H246" s="3" t="n">
        <v>45819</v>
      </c>
      <c r="I246" s="15" t="s">
        <v>167</v>
      </c>
      <c r="J246" s="15" t="n">
        <v>1</v>
      </c>
      <c r="K246" s="3" t="n">
        <v>45900</v>
      </c>
      <c r="L246" s="20" t="n">
        <f aca="false">IF(K246="","",EOMONTH(K246,2))</f>
        <v>45961</v>
      </c>
    </row>
    <row r="247" customFormat="false" ht="14.25" hidden="false" customHeight="true" outlineLevel="0" collapsed="false">
      <c r="A247" s="15" t="n">
        <v>4890</v>
      </c>
      <c r="B247" s="15" t="s">
        <v>228</v>
      </c>
      <c r="C247" s="15" t="s">
        <v>164</v>
      </c>
      <c r="D247" s="15" t="s">
        <v>180</v>
      </c>
      <c r="E247" s="13" t="s">
        <v>181</v>
      </c>
      <c r="F247" s="3" t="n">
        <v>45820</v>
      </c>
      <c r="G247" s="3" t="n">
        <v>45824</v>
      </c>
      <c r="H247" s="3" t="n">
        <v>45911</v>
      </c>
      <c r="I247" s="15" t="s">
        <v>167</v>
      </c>
      <c r="J247" s="15" t="n">
        <v>1</v>
      </c>
      <c r="K247" s="3" t="n">
        <v>45900</v>
      </c>
      <c r="L247" s="20" t="n">
        <f aca="false">IF(K247="","",EOMONTH(K247,2))</f>
        <v>45961</v>
      </c>
    </row>
    <row r="248" customFormat="false" ht="25.5" hidden="false" customHeight="true" outlineLevel="0" collapsed="false">
      <c r="A248" s="15" t="n">
        <v>4884</v>
      </c>
      <c r="B248" s="15" t="s">
        <v>196</v>
      </c>
      <c r="C248" s="15" t="s">
        <v>164</v>
      </c>
      <c r="D248" s="15" t="s">
        <v>180</v>
      </c>
      <c r="E248" s="13" t="s">
        <v>331</v>
      </c>
      <c r="F248" s="3" t="n">
        <v>45822</v>
      </c>
      <c r="G248" s="3" t="n">
        <v>45823</v>
      </c>
      <c r="H248" s="3" t="n">
        <v>45860</v>
      </c>
      <c r="I248" s="15" t="s">
        <v>167</v>
      </c>
      <c r="J248" s="15" t="n">
        <v>2</v>
      </c>
      <c r="K248" s="3" t="n">
        <v>45900</v>
      </c>
      <c r="L248" s="20" t="n">
        <f aca="false">IF(K248="","",EOMONTH(K248,2))</f>
        <v>45961</v>
      </c>
    </row>
    <row r="249" customFormat="false" ht="14.25" hidden="false" customHeight="true" outlineLevel="0" collapsed="false">
      <c r="A249" s="15" t="n">
        <v>5588</v>
      </c>
      <c r="B249" s="15" t="s">
        <v>144</v>
      </c>
      <c r="C249" s="15" t="s">
        <v>184</v>
      </c>
      <c r="D249" s="15" t="s">
        <v>185</v>
      </c>
      <c r="E249" s="13" t="s">
        <v>374</v>
      </c>
      <c r="F249" s="3" t="n">
        <v>45824</v>
      </c>
      <c r="G249" s="3" t="n">
        <v>45851</v>
      </c>
      <c r="H249" s="3" t="n">
        <v>45824</v>
      </c>
      <c r="I249" s="15" t="s">
        <v>167</v>
      </c>
      <c r="J249" s="15" t="n">
        <v>1</v>
      </c>
      <c r="K249" s="3" t="n">
        <v>45930</v>
      </c>
      <c r="L249" s="20" t="n">
        <f aca="false">IF(K249="","",EOMONTH(K249,2))</f>
        <v>45991</v>
      </c>
    </row>
    <row r="250" customFormat="false" ht="14.25" hidden="false" customHeight="true" outlineLevel="0" collapsed="false">
      <c r="A250" s="15" t="n">
        <v>5589</v>
      </c>
      <c r="B250" s="15" t="s">
        <v>178</v>
      </c>
      <c r="C250" s="15" t="s">
        <v>184</v>
      </c>
      <c r="D250" s="15" t="s">
        <v>185</v>
      </c>
      <c r="E250" s="13" t="s">
        <v>375</v>
      </c>
      <c r="F250" s="3" t="n">
        <v>45824</v>
      </c>
      <c r="G250" s="3" t="n">
        <v>45830</v>
      </c>
      <c r="H250" s="3" t="n">
        <v>45825</v>
      </c>
      <c r="I250" s="15" t="s">
        <v>167</v>
      </c>
      <c r="J250" s="15" t="n">
        <v>1</v>
      </c>
      <c r="K250" s="3" t="n">
        <v>45900</v>
      </c>
      <c r="L250" s="20" t="n">
        <f aca="false">IF(K250="","",EOMONTH(K250,2))</f>
        <v>45961</v>
      </c>
    </row>
    <row r="251" customFormat="false" ht="14.25" hidden="false" customHeight="true" outlineLevel="0" collapsed="false">
      <c r="A251" s="15" t="n">
        <v>5590</v>
      </c>
      <c r="B251" s="15" t="s">
        <v>178</v>
      </c>
      <c r="C251" s="15" t="s">
        <v>184</v>
      </c>
      <c r="D251" s="15" t="s">
        <v>185</v>
      </c>
      <c r="E251" s="13" t="s">
        <v>376</v>
      </c>
      <c r="F251" s="3" t="n">
        <v>45826</v>
      </c>
      <c r="G251" s="3" t="n">
        <v>45829</v>
      </c>
      <c r="H251" s="3" t="n">
        <v>45826</v>
      </c>
      <c r="I251" s="15" t="s">
        <v>167</v>
      </c>
      <c r="J251" s="15" t="n">
        <v>1</v>
      </c>
      <c r="K251" s="3" t="n">
        <v>45900</v>
      </c>
      <c r="L251" s="20" t="n">
        <f aca="false">IF(K251="","",EOMONTH(K251,2))</f>
        <v>45961</v>
      </c>
    </row>
    <row r="252" customFormat="false" ht="14.25" hidden="false" customHeight="true" outlineLevel="0" collapsed="false">
      <c r="A252" s="15" t="n">
        <v>5591</v>
      </c>
      <c r="B252" s="15" t="s">
        <v>93</v>
      </c>
      <c r="C252" s="15" t="s">
        <v>184</v>
      </c>
      <c r="D252" s="15" t="s">
        <v>185</v>
      </c>
      <c r="E252" s="13" t="s">
        <v>377</v>
      </c>
      <c r="F252" s="3" t="n">
        <v>45827</v>
      </c>
      <c r="G252" s="3" t="n">
        <v>45856</v>
      </c>
      <c r="H252" s="3" t="n">
        <v>45828</v>
      </c>
      <c r="I252" s="15" t="s">
        <v>167</v>
      </c>
      <c r="J252" s="15" t="n">
        <v>1</v>
      </c>
      <c r="K252" s="3" t="n">
        <v>45930</v>
      </c>
      <c r="L252" s="20" t="n">
        <f aca="false">IF(K252="","",EOMONTH(K252,2))</f>
        <v>45991</v>
      </c>
    </row>
    <row r="253" customFormat="false" ht="14.25" hidden="false" customHeight="true" outlineLevel="0" collapsed="false">
      <c r="A253" s="15" t="n">
        <v>4888</v>
      </c>
      <c r="B253" s="15" t="s">
        <v>313</v>
      </c>
      <c r="C253" s="15" t="s">
        <v>164</v>
      </c>
      <c r="D253" s="15" t="s">
        <v>165</v>
      </c>
      <c r="E253" s="13" t="s">
        <v>378</v>
      </c>
      <c r="F253" s="3" t="n">
        <v>45828</v>
      </c>
      <c r="G253" s="3" t="n">
        <v>45829</v>
      </c>
      <c r="H253" s="3" t="n">
        <v>45911</v>
      </c>
      <c r="I253" s="15" t="s">
        <v>167</v>
      </c>
      <c r="J253" s="15" t="n">
        <v>19</v>
      </c>
      <c r="K253" s="3" t="n">
        <v>45900</v>
      </c>
      <c r="L253" s="20" t="n">
        <f aca="false">IF(K253="","",EOMONTH(K253,2))</f>
        <v>45961</v>
      </c>
    </row>
    <row r="254" customFormat="false" ht="14.25" hidden="false" customHeight="true" outlineLevel="0" collapsed="false">
      <c r="A254" s="15" t="n">
        <v>5592</v>
      </c>
      <c r="B254" s="15" t="s">
        <v>222</v>
      </c>
      <c r="C254" s="15" t="s">
        <v>184</v>
      </c>
      <c r="D254" s="15" t="s">
        <v>185</v>
      </c>
      <c r="E254" s="13" t="s">
        <v>379</v>
      </c>
      <c r="F254" s="3" t="n">
        <v>45828</v>
      </c>
      <c r="G254" s="3" t="n">
        <v>45832</v>
      </c>
      <c r="H254" s="3" t="n">
        <v>45828</v>
      </c>
      <c r="I254" s="15" t="s">
        <v>167</v>
      </c>
      <c r="J254" s="15" t="n">
        <v>1</v>
      </c>
      <c r="K254" s="3" t="n">
        <v>45900</v>
      </c>
      <c r="L254" s="20" t="n">
        <f aca="false">IF(K254="","",EOMONTH(K254,2))</f>
        <v>45961</v>
      </c>
    </row>
    <row r="255" customFormat="false" ht="14.25" hidden="false" customHeight="true" outlineLevel="0" collapsed="false">
      <c r="A255" s="15" t="n">
        <v>4894</v>
      </c>
      <c r="B255" s="15" t="s">
        <v>227</v>
      </c>
      <c r="C255" s="15" t="s">
        <v>164</v>
      </c>
      <c r="D255" s="15" t="s">
        <v>260</v>
      </c>
      <c r="E255" s="13" t="s">
        <v>380</v>
      </c>
      <c r="F255" s="3" t="n">
        <v>45829</v>
      </c>
      <c r="G255" s="3" t="n">
        <v>45829</v>
      </c>
      <c r="H255" s="3" t="n">
        <v>45952</v>
      </c>
      <c r="I255" s="15" t="s">
        <v>167</v>
      </c>
      <c r="J255" s="15" t="n">
        <v>1</v>
      </c>
      <c r="K255" s="3" t="n">
        <v>45900</v>
      </c>
      <c r="L255" s="20" t="n">
        <f aca="false">IF(K255="","",EOMONTH(K255,2))</f>
        <v>45961</v>
      </c>
    </row>
    <row r="256" customFormat="false" ht="14.25" hidden="false" customHeight="true" outlineLevel="0" collapsed="false">
      <c r="A256" s="15" t="n">
        <v>5593</v>
      </c>
      <c r="B256" s="15" t="s">
        <v>144</v>
      </c>
      <c r="C256" s="15" t="s">
        <v>184</v>
      </c>
      <c r="D256" s="15" t="s">
        <v>185</v>
      </c>
      <c r="E256" s="13" t="s">
        <v>381</v>
      </c>
      <c r="F256" s="3" t="n">
        <v>45829</v>
      </c>
      <c r="G256" s="3" t="n">
        <v>45866</v>
      </c>
      <c r="H256" s="3" t="n">
        <v>45829</v>
      </c>
      <c r="I256" s="15" t="s">
        <v>167</v>
      </c>
      <c r="J256" s="15" t="n">
        <v>1</v>
      </c>
      <c r="K256" s="3" t="n">
        <v>45930</v>
      </c>
      <c r="L256" s="20" t="n">
        <f aca="false">IF(K256="","",EOMONTH(K256,2))</f>
        <v>45991</v>
      </c>
    </row>
    <row r="257" customFormat="false" ht="14.25" hidden="false" customHeight="true" outlineLevel="0" collapsed="false">
      <c r="A257" s="15" t="n">
        <v>5596</v>
      </c>
      <c r="B257" s="15" t="s">
        <v>279</v>
      </c>
      <c r="C257" s="15" t="s">
        <v>184</v>
      </c>
      <c r="D257" s="15" t="s">
        <v>185</v>
      </c>
      <c r="E257" s="13" t="s">
        <v>382</v>
      </c>
      <c r="F257" s="3" t="n">
        <v>45829</v>
      </c>
      <c r="G257" s="3" t="n">
        <v>45834</v>
      </c>
      <c r="H257" s="3" t="n">
        <v>45831</v>
      </c>
      <c r="I257" s="15" t="s">
        <v>167</v>
      </c>
      <c r="J257" s="15" t="n">
        <v>1</v>
      </c>
      <c r="K257" s="3" t="n">
        <v>45900</v>
      </c>
      <c r="L257" s="20" t="n">
        <f aca="false">IF(K257="","",EOMONTH(K257,2))</f>
        <v>45961</v>
      </c>
    </row>
    <row r="258" customFormat="false" ht="14.25" hidden="false" customHeight="true" outlineLevel="0" collapsed="false">
      <c r="A258" s="15" t="n">
        <v>5594</v>
      </c>
      <c r="B258" s="15" t="s">
        <v>144</v>
      </c>
      <c r="C258" s="15" t="s">
        <v>184</v>
      </c>
      <c r="D258" s="15" t="s">
        <v>185</v>
      </c>
      <c r="E258" s="13" t="s">
        <v>383</v>
      </c>
      <c r="F258" s="3" t="n">
        <v>45830</v>
      </c>
      <c r="G258" s="3" t="n">
        <v>45866</v>
      </c>
      <c r="H258" s="3" t="n">
        <v>45830</v>
      </c>
      <c r="I258" s="15" t="s">
        <v>167</v>
      </c>
      <c r="J258" s="15" t="n">
        <v>1</v>
      </c>
      <c r="K258" s="3" t="n">
        <v>45930</v>
      </c>
      <c r="L258" s="20" t="n">
        <f aca="false">IF(K258="","",EOMONTH(K258,2))</f>
        <v>45991</v>
      </c>
    </row>
    <row r="259" customFormat="false" ht="14.25" hidden="false" customHeight="true" outlineLevel="0" collapsed="false">
      <c r="A259" s="15" t="n">
        <v>5595</v>
      </c>
      <c r="B259" s="15" t="s">
        <v>279</v>
      </c>
      <c r="C259" s="15" t="s">
        <v>184</v>
      </c>
      <c r="D259" s="15" t="s">
        <v>185</v>
      </c>
      <c r="E259" s="13" t="s">
        <v>384</v>
      </c>
      <c r="F259" s="3" t="n">
        <v>45830</v>
      </c>
      <c r="G259" s="3" t="n">
        <v>45852</v>
      </c>
      <c r="H259" s="3" t="n">
        <v>45831</v>
      </c>
      <c r="I259" s="15" t="s">
        <v>167</v>
      </c>
      <c r="J259" s="15" t="n">
        <v>1</v>
      </c>
      <c r="K259" s="3" t="n">
        <v>45930</v>
      </c>
      <c r="L259" s="20" t="n">
        <f aca="false">IF(K259="","",EOMONTH(K259,2))</f>
        <v>45991</v>
      </c>
    </row>
    <row r="260" customFormat="false" ht="14.25" hidden="false" customHeight="true" outlineLevel="0" collapsed="false">
      <c r="A260" s="15" t="n">
        <v>3628</v>
      </c>
      <c r="B260" s="15" t="s">
        <v>144</v>
      </c>
      <c r="C260" s="15" t="s">
        <v>176</v>
      </c>
      <c r="D260" s="15" t="s">
        <v>180</v>
      </c>
      <c r="E260" s="13" t="s">
        <v>205</v>
      </c>
      <c r="F260" s="3" t="n">
        <v>45831</v>
      </c>
      <c r="G260" s="3" t="n">
        <v>45874</v>
      </c>
      <c r="H260" s="3" t="n">
        <v>45848</v>
      </c>
      <c r="I260" s="15" t="s">
        <v>167</v>
      </c>
      <c r="J260" s="15" t="n">
        <v>4</v>
      </c>
      <c r="K260" s="3" t="n">
        <v>45961</v>
      </c>
      <c r="L260" s="20" t="n">
        <f aca="false">IF(K260="","",EOMONTH(K260,2))</f>
        <v>46022</v>
      </c>
    </row>
    <row r="261" customFormat="false" ht="14.25" hidden="false" customHeight="true" outlineLevel="0" collapsed="false">
      <c r="A261" s="15" t="n">
        <v>4886</v>
      </c>
      <c r="B261" s="15" t="s">
        <v>144</v>
      </c>
      <c r="C261" s="15" t="s">
        <v>164</v>
      </c>
      <c r="D261" s="15" t="s">
        <v>180</v>
      </c>
      <c r="E261" s="13" t="s">
        <v>205</v>
      </c>
      <c r="F261" s="3" t="n">
        <v>45831</v>
      </c>
      <c r="G261" s="3" t="n">
        <v>45874</v>
      </c>
      <c r="H261" s="3" t="n">
        <v>45860</v>
      </c>
      <c r="I261" s="15" t="s">
        <v>167</v>
      </c>
      <c r="J261" s="15" t="n">
        <v>4</v>
      </c>
      <c r="K261" s="3" t="n">
        <v>45961</v>
      </c>
      <c r="L261" s="20" t="n">
        <f aca="false">IF(K261="","",EOMONTH(K261,2))</f>
        <v>46022</v>
      </c>
    </row>
    <row r="262" customFormat="false" ht="14.25" hidden="false" customHeight="true" outlineLevel="0" collapsed="false">
      <c r="A262" s="15" t="n">
        <v>4879</v>
      </c>
      <c r="B262" s="15" t="s">
        <v>183</v>
      </c>
      <c r="C262" s="15" t="s">
        <v>164</v>
      </c>
      <c r="D262" s="15" t="s">
        <v>180</v>
      </c>
      <c r="E262" s="13" t="s">
        <v>229</v>
      </c>
      <c r="F262" s="3" t="n">
        <v>45840</v>
      </c>
      <c r="G262" s="3" t="n">
        <v>45856</v>
      </c>
      <c r="H262" s="3" t="n">
        <v>45844</v>
      </c>
      <c r="I262" s="15" t="s">
        <v>167</v>
      </c>
      <c r="J262" s="15" t="n">
        <v>23</v>
      </c>
      <c r="K262" s="3" t="n">
        <v>45930</v>
      </c>
      <c r="L262" s="20" t="n">
        <f aca="false">IF(K262="","",EOMONTH(K262,2))</f>
        <v>45991</v>
      </c>
    </row>
    <row r="263" customFormat="false" ht="14.25" hidden="false" customHeight="true" outlineLevel="0" collapsed="false">
      <c r="A263" s="15" t="n">
        <v>5597</v>
      </c>
      <c r="B263" s="15" t="s">
        <v>279</v>
      </c>
      <c r="C263" s="15" t="s">
        <v>184</v>
      </c>
      <c r="D263" s="15" t="s">
        <v>185</v>
      </c>
      <c r="E263" s="13" t="s">
        <v>385</v>
      </c>
      <c r="F263" s="3" t="n">
        <v>45842</v>
      </c>
      <c r="G263" s="3" t="n">
        <v>45861</v>
      </c>
      <c r="H263" s="3" t="n">
        <v>45844</v>
      </c>
      <c r="I263" s="15" t="s">
        <v>167</v>
      </c>
      <c r="J263" s="15" t="n">
        <v>2</v>
      </c>
      <c r="K263" s="3" t="n">
        <v>45930</v>
      </c>
      <c r="L263" s="20" t="n">
        <f aca="false">IF(K263="","",EOMONTH(K263,2))</f>
        <v>45991</v>
      </c>
    </row>
    <row r="264" customFormat="false" ht="14.25" hidden="false" customHeight="true" outlineLevel="0" collapsed="false">
      <c r="A264" s="15" t="n">
        <v>4889</v>
      </c>
      <c r="B264" s="15" t="s">
        <v>278</v>
      </c>
      <c r="C264" s="15" t="s">
        <v>164</v>
      </c>
      <c r="D264" s="15" t="s">
        <v>386</v>
      </c>
      <c r="E264" s="13" t="s">
        <v>387</v>
      </c>
      <c r="F264" s="3" t="n">
        <v>45844</v>
      </c>
      <c r="G264" s="3" t="n">
        <v>45845</v>
      </c>
      <c r="H264" s="3" t="n">
        <v>45911</v>
      </c>
      <c r="I264" s="15" t="s">
        <v>167</v>
      </c>
      <c r="J264" s="15" t="n">
        <v>7</v>
      </c>
      <c r="K264" s="3" t="n">
        <v>45930</v>
      </c>
      <c r="L264" s="20" t="n">
        <f aca="false">IF(K264="","",EOMONTH(K264,2))</f>
        <v>45991</v>
      </c>
    </row>
    <row r="265" customFormat="false" ht="14.25" hidden="false" customHeight="true" outlineLevel="0" collapsed="false">
      <c r="A265" s="15" t="n">
        <v>5598</v>
      </c>
      <c r="B265" s="15" t="s">
        <v>93</v>
      </c>
      <c r="C265" s="15" t="s">
        <v>184</v>
      </c>
      <c r="D265" s="15" t="s">
        <v>185</v>
      </c>
      <c r="E265" s="13" t="s">
        <v>388</v>
      </c>
      <c r="F265" s="3" t="n">
        <v>45848</v>
      </c>
      <c r="G265" s="3" t="n">
        <v>45880</v>
      </c>
      <c r="H265" s="3" t="n">
        <v>45850</v>
      </c>
      <c r="I265" s="15" t="s">
        <v>167</v>
      </c>
      <c r="J265" s="15" t="n">
        <v>1</v>
      </c>
      <c r="K265" s="3" t="n">
        <v>45961</v>
      </c>
      <c r="L265" s="20" t="n">
        <f aca="false">IF(K265="","",EOMONTH(K265,2))</f>
        <v>46022</v>
      </c>
    </row>
    <row r="266" customFormat="false" ht="14.25" hidden="false" customHeight="true" outlineLevel="0" collapsed="false">
      <c r="A266" s="15" t="n">
        <v>5599</v>
      </c>
      <c r="B266" s="15" t="s">
        <v>178</v>
      </c>
      <c r="C266" s="15" t="s">
        <v>184</v>
      </c>
      <c r="D266" s="15" t="s">
        <v>185</v>
      </c>
      <c r="E266" s="13" t="s">
        <v>389</v>
      </c>
      <c r="F266" s="3" t="n">
        <v>45850</v>
      </c>
      <c r="G266" s="3" t="n">
        <v>45858</v>
      </c>
      <c r="H266" s="3" t="n">
        <v>45851</v>
      </c>
      <c r="I266" s="15" t="s">
        <v>167</v>
      </c>
      <c r="J266" s="15" t="n">
        <v>1</v>
      </c>
      <c r="K266" s="3" t="n">
        <v>45930</v>
      </c>
      <c r="L266" s="20" t="n">
        <f aca="false">IF(K266="","",EOMONTH(K266,2))</f>
        <v>45991</v>
      </c>
    </row>
    <row r="267" customFormat="false" ht="14.25" hidden="false" customHeight="true" outlineLevel="0" collapsed="false">
      <c r="A267" s="15" t="n">
        <v>5600</v>
      </c>
      <c r="B267" s="15" t="s">
        <v>93</v>
      </c>
      <c r="C267" s="15" t="s">
        <v>184</v>
      </c>
      <c r="D267" s="15" t="s">
        <v>185</v>
      </c>
      <c r="E267" s="13" t="s">
        <v>390</v>
      </c>
      <c r="F267" s="3" t="n">
        <v>45851</v>
      </c>
      <c r="G267" s="3" t="n">
        <v>45892</v>
      </c>
      <c r="H267" s="3" t="n">
        <v>45854</v>
      </c>
      <c r="I267" s="15" t="s">
        <v>167</v>
      </c>
      <c r="J267" s="15" t="n">
        <v>2</v>
      </c>
      <c r="K267" s="3" t="n">
        <v>45961</v>
      </c>
      <c r="L267" s="20" t="n">
        <f aca="false">IF(K267="","",EOMONTH(K267,2))</f>
        <v>46022</v>
      </c>
    </row>
    <row r="268" customFormat="false" ht="14.25" hidden="false" customHeight="true" outlineLevel="0" collapsed="false">
      <c r="A268" s="15" t="n">
        <v>4897</v>
      </c>
      <c r="B268" s="15" t="s">
        <v>168</v>
      </c>
      <c r="C268" s="15" t="s">
        <v>164</v>
      </c>
      <c r="D268" s="15" t="s">
        <v>165</v>
      </c>
      <c r="E268" s="13" t="s">
        <v>229</v>
      </c>
      <c r="F268" s="3" t="n">
        <v>45855</v>
      </c>
      <c r="G268" s="3" t="n">
        <v>45860</v>
      </c>
      <c r="H268" s="3" t="n">
        <v>46010</v>
      </c>
      <c r="I268" s="15" t="s">
        <v>167</v>
      </c>
      <c r="J268" s="15" t="n">
        <v>12</v>
      </c>
      <c r="K268" s="3" t="n">
        <v>45930</v>
      </c>
      <c r="L268" s="20" t="n">
        <f aca="false">IF(K268="","",EOMONTH(K268,2))</f>
        <v>45991</v>
      </c>
    </row>
    <row r="269" customFormat="false" ht="14.25" hidden="false" customHeight="true" outlineLevel="0" collapsed="false">
      <c r="A269" s="15" t="n">
        <v>5601</v>
      </c>
      <c r="B269" s="15" t="s">
        <v>163</v>
      </c>
      <c r="C269" s="15" t="s">
        <v>184</v>
      </c>
      <c r="D269" s="15" t="s">
        <v>185</v>
      </c>
      <c r="E269" s="13" t="s">
        <v>391</v>
      </c>
      <c r="F269" s="3" t="n">
        <v>45856</v>
      </c>
      <c r="G269" s="3" t="n">
        <v>45872</v>
      </c>
      <c r="H269" s="3" t="n">
        <v>45857</v>
      </c>
      <c r="I269" s="15" t="s">
        <v>167</v>
      </c>
      <c r="J269" s="15" t="n">
        <v>1</v>
      </c>
      <c r="K269" s="3" t="n">
        <v>45961</v>
      </c>
      <c r="L269" s="20" t="n">
        <f aca="false">IF(K269="","",EOMONTH(K269,2))</f>
        <v>46022</v>
      </c>
    </row>
    <row r="270" customFormat="false" ht="14.25" hidden="false" customHeight="true" outlineLevel="0" collapsed="false">
      <c r="A270" s="15" t="n">
        <v>5602</v>
      </c>
      <c r="B270" s="15" t="s">
        <v>222</v>
      </c>
      <c r="C270" s="15" t="s">
        <v>184</v>
      </c>
      <c r="D270" s="15" t="s">
        <v>185</v>
      </c>
      <c r="E270" s="13" t="s">
        <v>392</v>
      </c>
      <c r="F270" s="3" t="n">
        <v>45871</v>
      </c>
      <c r="G270" s="3" t="n">
        <v>45873</v>
      </c>
      <c r="H270" s="3" t="n">
        <v>45871</v>
      </c>
      <c r="I270" s="15" t="s">
        <v>167</v>
      </c>
      <c r="J270" s="15" t="n">
        <v>1</v>
      </c>
      <c r="K270" s="3" t="n">
        <v>45961</v>
      </c>
      <c r="L270" s="20" t="n">
        <f aca="false">IF(K270="","",EOMONTH(K270,2))</f>
        <v>46022</v>
      </c>
    </row>
    <row r="271" customFormat="false" ht="14.25" hidden="false" customHeight="true" outlineLevel="0" collapsed="false">
      <c r="A271" s="15" t="n">
        <v>5603</v>
      </c>
      <c r="B271" s="15" t="s">
        <v>267</v>
      </c>
      <c r="C271" s="15" t="s">
        <v>184</v>
      </c>
      <c r="D271" s="15" t="s">
        <v>185</v>
      </c>
      <c r="E271" s="13" t="s">
        <v>393</v>
      </c>
      <c r="F271" s="3" t="n">
        <v>45871</v>
      </c>
      <c r="G271" s="15"/>
      <c r="H271" s="3" t="n">
        <v>45875</v>
      </c>
      <c r="I271" s="15" t="s">
        <v>167</v>
      </c>
      <c r="J271" s="15" t="n">
        <v>1</v>
      </c>
      <c r="K271" s="15"/>
      <c r="L271" s="20" t="str">
        <f aca="false">IF(K271="","",EOMONTH(K271,2))</f>
        <v/>
      </c>
    </row>
    <row r="272" customFormat="false" ht="14.25" hidden="false" customHeight="true" outlineLevel="0" collapsed="false">
      <c r="A272" s="15" t="n">
        <v>5604</v>
      </c>
      <c r="B272" s="15" t="s">
        <v>267</v>
      </c>
      <c r="C272" s="15" t="s">
        <v>184</v>
      </c>
      <c r="D272" s="15" t="s">
        <v>185</v>
      </c>
      <c r="E272" s="13" t="s">
        <v>310</v>
      </c>
      <c r="F272" s="3" t="n">
        <v>45871</v>
      </c>
      <c r="G272" s="15"/>
      <c r="H272" s="3" t="n">
        <v>45875</v>
      </c>
      <c r="I272" s="15" t="s">
        <v>167</v>
      </c>
      <c r="J272" s="15" t="n">
        <v>1</v>
      </c>
      <c r="K272" s="15"/>
      <c r="L272" s="20" t="str">
        <f aca="false">IF(K272="","",EOMONTH(K272,2))</f>
        <v/>
      </c>
    </row>
    <row r="273" customFormat="false" ht="14.25" hidden="false" customHeight="true" outlineLevel="0" collapsed="false">
      <c r="A273" s="15" t="n">
        <v>4895</v>
      </c>
      <c r="B273" s="15" t="s">
        <v>313</v>
      </c>
      <c r="C273" s="15" t="s">
        <v>164</v>
      </c>
      <c r="D273" s="15" t="s">
        <v>165</v>
      </c>
      <c r="E273" s="13" t="s">
        <v>208</v>
      </c>
      <c r="F273" s="3" t="n">
        <v>45876</v>
      </c>
      <c r="G273" s="3" t="n">
        <v>45877</v>
      </c>
      <c r="H273" s="3" t="n">
        <v>45952</v>
      </c>
      <c r="I273" s="15" t="s">
        <v>167</v>
      </c>
      <c r="J273" s="15" t="n">
        <v>7</v>
      </c>
      <c r="K273" s="3" t="n">
        <v>45961</v>
      </c>
      <c r="L273" s="20" t="n">
        <f aca="false">IF(K273="","",EOMONTH(K273,2))</f>
        <v>46022</v>
      </c>
    </row>
    <row r="274" customFormat="false" ht="14.25" hidden="false" customHeight="true" outlineLevel="0" collapsed="false">
      <c r="A274" s="15" t="n">
        <v>5605</v>
      </c>
      <c r="B274" s="15" t="s">
        <v>117</v>
      </c>
      <c r="C274" s="15" t="s">
        <v>184</v>
      </c>
      <c r="D274" s="15" t="s">
        <v>185</v>
      </c>
      <c r="E274" s="13" t="s">
        <v>394</v>
      </c>
      <c r="F274" s="3" t="n">
        <v>45876</v>
      </c>
      <c r="G274" s="15"/>
      <c r="H274" s="3" t="n">
        <v>45877</v>
      </c>
      <c r="I274" s="15" t="s">
        <v>167</v>
      </c>
      <c r="J274" s="15" t="n">
        <v>1</v>
      </c>
      <c r="K274" s="15"/>
      <c r="L274" s="20" t="str">
        <f aca="false">IF(K274="","",EOMONTH(K274,2))</f>
        <v/>
      </c>
    </row>
    <row r="275" customFormat="false" ht="14.25" hidden="false" customHeight="true" outlineLevel="0" collapsed="false">
      <c r="A275" s="15" t="n">
        <v>4896</v>
      </c>
      <c r="B275" s="15" t="s">
        <v>199</v>
      </c>
      <c r="C275" s="15" t="s">
        <v>164</v>
      </c>
      <c r="D275" s="15" t="s">
        <v>165</v>
      </c>
      <c r="E275" s="13" t="s">
        <v>229</v>
      </c>
      <c r="F275" s="3" t="n">
        <v>45877</v>
      </c>
      <c r="G275" s="3" t="n">
        <v>45879</v>
      </c>
      <c r="H275" s="3" t="n">
        <v>45952</v>
      </c>
      <c r="I275" s="15" t="s">
        <v>167</v>
      </c>
      <c r="J275" s="15" t="n">
        <v>12</v>
      </c>
      <c r="K275" s="3" t="n">
        <v>45961</v>
      </c>
      <c r="L275" s="20" t="n">
        <f aca="false">IF(K275="","",EOMONTH(K275,2))</f>
        <v>46022</v>
      </c>
    </row>
    <row r="276" customFormat="false" ht="14.25" hidden="false" customHeight="true" outlineLevel="0" collapsed="false">
      <c r="A276" s="15" t="n">
        <v>4892</v>
      </c>
      <c r="B276" s="15" t="s">
        <v>395</v>
      </c>
      <c r="C276" s="15" t="s">
        <v>164</v>
      </c>
      <c r="D276" s="15" t="s">
        <v>180</v>
      </c>
      <c r="E276" s="13" t="s">
        <v>396</v>
      </c>
      <c r="F276" s="3" t="n">
        <v>45878</v>
      </c>
      <c r="G276" s="3" t="n">
        <v>45881</v>
      </c>
      <c r="H276" s="3" t="n">
        <v>45911</v>
      </c>
      <c r="I276" s="15" t="s">
        <v>167</v>
      </c>
      <c r="J276" s="15" t="n">
        <v>3</v>
      </c>
      <c r="K276" s="3" t="n">
        <v>45961</v>
      </c>
      <c r="L276" s="20" t="n">
        <f aca="false">IF(K276="","",EOMONTH(K276,2))</f>
        <v>46022</v>
      </c>
    </row>
    <row r="277" customFormat="false" ht="14.25" hidden="false" customHeight="true" outlineLevel="0" collapsed="false">
      <c r="A277" s="15" t="n">
        <v>5606</v>
      </c>
      <c r="B277" s="15" t="s">
        <v>267</v>
      </c>
      <c r="C277" s="15" t="s">
        <v>184</v>
      </c>
      <c r="D277" s="15" t="s">
        <v>185</v>
      </c>
      <c r="E277" s="13" t="s">
        <v>397</v>
      </c>
      <c r="F277" s="3" t="n">
        <v>45879</v>
      </c>
      <c r="G277" s="15"/>
      <c r="H277" s="3" t="n">
        <v>45880</v>
      </c>
      <c r="I277" s="15" t="s">
        <v>167</v>
      </c>
      <c r="J277" s="15" t="n">
        <v>1</v>
      </c>
      <c r="K277" s="15"/>
      <c r="L277" s="20" t="str">
        <f aca="false">IF(K277="","",EOMONTH(K277,2))</f>
        <v/>
      </c>
    </row>
    <row r="278" customFormat="false" ht="14.25" hidden="false" customHeight="true" outlineLevel="0" collapsed="false">
      <c r="A278" s="15" t="n">
        <v>5607</v>
      </c>
      <c r="B278" s="15" t="s">
        <v>206</v>
      </c>
      <c r="C278" s="15" t="s">
        <v>184</v>
      </c>
      <c r="D278" s="15" t="s">
        <v>185</v>
      </c>
      <c r="E278" s="13" t="s">
        <v>398</v>
      </c>
      <c r="F278" s="3" t="n">
        <v>45883</v>
      </c>
      <c r="G278" s="3" t="n">
        <v>45901</v>
      </c>
      <c r="H278" s="3" t="n">
        <v>45884</v>
      </c>
      <c r="I278" s="15" t="s">
        <v>167</v>
      </c>
      <c r="J278" s="15" t="n">
        <v>1</v>
      </c>
      <c r="K278" s="3" t="n">
        <v>45991</v>
      </c>
      <c r="L278" s="20" t="n">
        <f aca="false">IF(K278="","",EOMONTH(K278,2))</f>
        <v>46053</v>
      </c>
    </row>
    <row r="279" customFormat="false" ht="14.25" hidden="false" customHeight="true" outlineLevel="0" collapsed="false">
      <c r="A279" s="15" t="n">
        <v>5608</v>
      </c>
      <c r="B279" s="15" t="s">
        <v>96</v>
      </c>
      <c r="C279" s="15" t="s">
        <v>184</v>
      </c>
      <c r="D279" s="15" t="s">
        <v>185</v>
      </c>
      <c r="E279" s="13" t="s">
        <v>399</v>
      </c>
      <c r="F279" s="3" t="n">
        <v>45884</v>
      </c>
      <c r="G279" s="15"/>
      <c r="H279" s="3" t="n">
        <v>45884</v>
      </c>
      <c r="I279" s="15" t="s">
        <v>167</v>
      </c>
      <c r="J279" s="15" t="n">
        <v>1</v>
      </c>
      <c r="K279" s="15"/>
      <c r="L279" s="20" t="str">
        <f aca="false">IF(K279="","",EOMONTH(K279,2))</f>
        <v/>
      </c>
    </row>
    <row r="280" customFormat="false" ht="14.25" hidden="false" customHeight="true" outlineLevel="0" collapsed="false">
      <c r="A280" s="15" t="n">
        <v>5609</v>
      </c>
      <c r="B280" s="15" t="s">
        <v>204</v>
      </c>
      <c r="C280" s="15" t="s">
        <v>184</v>
      </c>
      <c r="D280" s="15" t="s">
        <v>185</v>
      </c>
      <c r="E280" s="13" t="s">
        <v>400</v>
      </c>
      <c r="F280" s="3" t="n">
        <v>45888</v>
      </c>
      <c r="G280" s="3" t="n">
        <v>45892</v>
      </c>
      <c r="H280" s="3" t="n">
        <v>45888</v>
      </c>
      <c r="I280" s="15" t="s">
        <v>167</v>
      </c>
      <c r="J280" s="15" t="n">
        <v>1</v>
      </c>
      <c r="K280" s="3" t="n">
        <v>45961</v>
      </c>
      <c r="L280" s="20" t="n">
        <f aca="false">IF(K280="","",EOMONTH(K280,2))</f>
        <v>46022</v>
      </c>
    </row>
    <row r="281" customFormat="false" ht="14.25" hidden="false" customHeight="true" outlineLevel="0" collapsed="false">
      <c r="A281" s="15" t="n">
        <v>5610</v>
      </c>
      <c r="B281" s="15" t="s">
        <v>178</v>
      </c>
      <c r="C281" s="15" t="s">
        <v>184</v>
      </c>
      <c r="D281" s="15" t="s">
        <v>185</v>
      </c>
      <c r="E281" s="13" t="s">
        <v>401</v>
      </c>
      <c r="F281" s="3" t="n">
        <v>45891</v>
      </c>
      <c r="G281" s="3" t="n">
        <v>45905</v>
      </c>
      <c r="H281" s="3" t="n">
        <v>45892</v>
      </c>
      <c r="I281" s="15" t="s">
        <v>167</v>
      </c>
      <c r="J281" s="15" t="n">
        <v>2</v>
      </c>
      <c r="K281" s="3" t="n">
        <v>45991</v>
      </c>
      <c r="L281" s="20" t="n">
        <f aca="false">IF(K281="","",EOMONTH(K281,2))</f>
        <v>46053</v>
      </c>
    </row>
    <row r="282" customFormat="false" ht="14.25" hidden="false" customHeight="true" outlineLevel="0" collapsed="false">
      <c r="A282" s="15" t="n">
        <v>5611</v>
      </c>
      <c r="B282" s="15" t="s">
        <v>212</v>
      </c>
      <c r="C282" s="15" t="s">
        <v>184</v>
      </c>
      <c r="D282" s="15" t="s">
        <v>185</v>
      </c>
      <c r="E282" s="13" t="s">
        <v>402</v>
      </c>
      <c r="F282" s="3" t="n">
        <v>45895</v>
      </c>
      <c r="G282" s="3" t="n">
        <v>45919</v>
      </c>
      <c r="H282" s="3" t="n">
        <v>45895</v>
      </c>
      <c r="I282" s="15" t="s">
        <v>167</v>
      </c>
      <c r="J282" s="15" t="n">
        <v>1</v>
      </c>
      <c r="K282" s="3" t="n">
        <v>45991</v>
      </c>
      <c r="L282" s="20" t="n">
        <f aca="false">IF(K282="","",EOMONTH(K282,2))</f>
        <v>46053</v>
      </c>
    </row>
    <row r="283" customFormat="false" ht="14.25" hidden="false" customHeight="true" outlineLevel="0" collapsed="false">
      <c r="A283" s="15" t="n">
        <v>5612</v>
      </c>
      <c r="B283" s="15" t="s">
        <v>117</v>
      </c>
      <c r="C283" s="15" t="s">
        <v>184</v>
      </c>
      <c r="D283" s="15" t="s">
        <v>185</v>
      </c>
      <c r="E283" s="13" t="s">
        <v>403</v>
      </c>
      <c r="F283" s="3" t="n">
        <v>45902</v>
      </c>
      <c r="G283" s="15"/>
      <c r="H283" s="3" t="n">
        <v>45903</v>
      </c>
      <c r="I283" s="15" t="s">
        <v>167</v>
      </c>
      <c r="J283" s="15" t="n">
        <v>1</v>
      </c>
      <c r="K283" s="15"/>
      <c r="L283" s="20" t="str">
        <f aca="false">IF(K283="","",EOMONTH(K283,2))</f>
        <v/>
      </c>
    </row>
    <row r="284" customFormat="false" ht="14.25" hidden="false" customHeight="true" outlineLevel="0" collapsed="false">
      <c r="A284" s="15" t="n">
        <v>5613</v>
      </c>
      <c r="B284" s="15" t="s">
        <v>204</v>
      </c>
      <c r="C284" s="15" t="s">
        <v>184</v>
      </c>
      <c r="D284" s="15" t="s">
        <v>185</v>
      </c>
      <c r="E284" s="13" t="s">
        <v>404</v>
      </c>
      <c r="F284" s="3" t="n">
        <v>45923</v>
      </c>
      <c r="G284" s="3" t="n">
        <v>45923</v>
      </c>
      <c r="H284" s="3" t="n">
        <v>45923</v>
      </c>
      <c r="I284" s="15" t="s">
        <v>167</v>
      </c>
      <c r="J284" s="15" t="n">
        <v>1</v>
      </c>
      <c r="K284" s="3" t="n">
        <v>45991</v>
      </c>
      <c r="L284" s="20" t="n">
        <f aca="false">IF(K284="","",EOMONTH(K284,2))</f>
        <v>46053</v>
      </c>
    </row>
    <row r="285" customFormat="false" ht="14.25" hidden="false" customHeight="true" outlineLevel="0" collapsed="false">
      <c r="A285" s="15" t="n">
        <v>5614</v>
      </c>
      <c r="B285" s="15" t="s">
        <v>163</v>
      </c>
      <c r="C285" s="15" t="s">
        <v>184</v>
      </c>
      <c r="D285" s="15" t="s">
        <v>185</v>
      </c>
      <c r="E285" s="13" t="s">
        <v>405</v>
      </c>
      <c r="F285" s="3" t="n">
        <v>45925</v>
      </c>
      <c r="G285" s="3" t="n">
        <v>45940</v>
      </c>
      <c r="H285" s="3" t="n">
        <v>45926</v>
      </c>
      <c r="I285" s="15" t="s">
        <v>167</v>
      </c>
      <c r="J285" s="15" t="n">
        <v>1</v>
      </c>
      <c r="K285" s="3" t="n">
        <v>46022</v>
      </c>
      <c r="L285" s="20" t="n">
        <f aca="false">IF(K285="","",EOMONTH(K285,2))</f>
        <v>46081</v>
      </c>
    </row>
    <row r="286" customFormat="false" ht="14.25" hidden="false" customHeight="true" outlineLevel="0" collapsed="false">
      <c r="A286" s="15" t="n">
        <v>4918</v>
      </c>
      <c r="B286" s="15" t="s">
        <v>144</v>
      </c>
      <c r="C286" s="15" t="s">
        <v>164</v>
      </c>
      <c r="D286" s="15" t="s">
        <v>165</v>
      </c>
      <c r="E286" s="13" t="s">
        <v>172</v>
      </c>
      <c r="F286" s="3" t="n">
        <v>45928</v>
      </c>
      <c r="G286" s="3" t="n">
        <v>45929</v>
      </c>
      <c r="H286" s="3" t="n">
        <v>46203</v>
      </c>
      <c r="I286" s="15" t="s">
        <v>167</v>
      </c>
      <c r="J286" s="15" t="n">
        <v>1</v>
      </c>
      <c r="K286" s="3" t="n">
        <v>45991</v>
      </c>
      <c r="L286" s="20" t="n">
        <f aca="false">IF(K286="","",EOMONTH(K286,2))</f>
        <v>46053</v>
      </c>
    </row>
    <row r="287" customFormat="false" ht="14.25" hidden="false" customHeight="true" outlineLevel="0" collapsed="false">
      <c r="A287" s="15" t="n">
        <v>4893</v>
      </c>
      <c r="B287" s="15" t="s">
        <v>279</v>
      </c>
      <c r="C287" s="15" t="s">
        <v>164</v>
      </c>
      <c r="D287" s="15" t="s">
        <v>180</v>
      </c>
      <c r="E287" s="13" t="s">
        <v>406</v>
      </c>
      <c r="F287" s="3" t="n">
        <v>45938</v>
      </c>
      <c r="G287" s="3" t="n">
        <v>45943</v>
      </c>
      <c r="H287" s="3" t="n">
        <v>45952</v>
      </c>
      <c r="I287" s="15" t="s">
        <v>167</v>
      </c>
      <c r="J287" s="15" t="n">
        <v>10</v>
      </c>
      <c r="K287" s="3" t="n">
        <v>46022</v>
      </c>
      <c r="L287" s="20" t="n">
        <f aca="false">IF(K287="","",EOMONTH(K287,2))</f>
        <v>46081</v>
      </c>
    </row>
    <row r="288" customFormat="false" ht="14.25" hidden="false" customHeight="true" outlineLevel="0" collapsed="false">
      <c r="A288" s="15" t="n">
        <v>4912</v>
      </c>
      <c r="B288" s="15" t="s">
        <v>279</v>
      </c>
      <c r="C288" s="15" t="s">
        <v>164</v>
      </c>
      <c r="D288" s="15" t="s">
        <v>180</v>
      </c>
      <c r="E288" s="13" t="s">
        <v>406</v>
      </c>
      <c r="F288" s="3" t="n">
        <v>45938</v>
      </c>
      <c r="G288" s="3" t="n">
        <v>45943</v>
      </c>
      <c r="H288" s="3" t="n">
        <v>46171</v>
      </c>
      <c r="I288" s="15" t="s">
        <v>167</v>
      </c>
      <c r="J288" s="15" t="n">
        <v>1</v>
      </c>
      <c r="K288" s="3" t="n">
        <v>46022</v>
      </c>
      <c r="L288" s="20" t="n">
        <f aca="false">IF(K288="","",EOMONTH(K288,2))</f>
        <v>46081</v>
      </c>
    </row>
    <row r="289" customFormat="false" ht="14.25" hidden="false" customHeight="true" outlineLevel="0" collapsed="false">
      <c r="A289" s="15" t="n">
        <v>4911</v>
      </c>
      <c r="B289" s="15" t="s">
        <v>220</v>
      </c>
      <c r="C289" s="15" t="s">
        <v>164</v>
      </c>
      <c r="D289" s="15" t="s">
        <v>165</v>
      </c>
      <c r="E289" s="13" t="s">
        <v>172</v>
      </c>
      <c r="F289" s="3" t="n">
        <v>45940</v>
      </c>
      <c r="G289" s="3" t="n">
        <v>45943</v>
      </c>
      <c r="H289" s="3" t="n">
        <v>46171</v>
      </c>
      <c r="I289" s="15" t="s">
        <v>167</v>
      </c>
      <c r="J289" s="15" t="n">
        <v>1</v>
      </c>
      <c r="K289" s="3" t="n">
        <v>46022</v>
      </c>
      <c r="L289" s="20" t="n">
        <f aca="false">IF(K289="","",EOMONTH(K289,2))</f>
        <v>46081</v>
      </c>
    </row>
    <row r="290" customFormat="false" ht="25.5" hidden="false" customHeight="true" outlineLevel="0" collapsed="false">
      <c r="A290" s="15" t="n">
        <v>4906</v>
      </c>
      <c r="B290" s="15" t="s">
        <v>163</v>
      </c>
      <c r="C290" s="15" t="s">
        <v>164</v>
      </c>
      <c r="D290" s="15" t="s">
        <v>180</v>
      </c>
      <c r="E290" s="13" t="s">
        <v>331</v>
      </c>
      <c r="F290" s="3" t="n">
        <v>45996</v>
      </c>
      <c r="G290" s="3" t="n">
        <v>46010</v>
      </c>
      <c r="H290" s="3" t="n">
        <v>46119</v>
      </c>
      <c r="I290" s="15" t="s">
        <v>167</v>
      </c>
      <c r="J290" s="15" t="n">
        <v>49</v>
      </c>
      <c r="K290" s="3" t="n">
        <v>46081</v>
      </c>
      <c r="L290" s="20" t="n">
        <f aca="false">IF(K290="","",EOMONTH(K290,2))</f>
        <v>46142</v>
      </c>
    </row>
    <row r="291" customFormat="false" ht="14.25" hidden="false" customHeight="true" outlineLevel="0" collapsed="false">
      <c r="A291" s="15" t="n">
        <v>4904</v>
      </c>
      <c r="B291" s="15" t="s">
        <v>279</v>
      </c>
      <c r="C291" s="15" t="s">
        <v>164</v>
      </c>
      <c r="D291" s="15" t="s">
        <v>169</v>
      </c>
      <c r="E291" s="13" t="s">
        <v>407</v>
      </c>
      <c r="F291" s="3" t="n">
        <v>45997</v>
      </c>
      <c r="G291" s="3" t="n">
        <v>46000</v>
      </c>
      <c r="H291" s="3" t="n">
        <v>46119</v>
      </c>
      <c r="I291" s="15" t="s">
        <v>167</v>
      </c>
      <c r="J291" s="15" t="n">
        <v>1</v>
      </c>
      <c r="K291" s="3" t="n">
        <v>46081</v>
      </c>
      <c r="L291" s="20" t="n">
        <f aca="false">IF(K291="","",EOMONTH(K291,2))</f>
        <v>46142</v>
      </c>
    </row>
    <row r="292" customFormat="false" ht="25.5" hidden="false" customHeight="true" outlineLevel="0" collapsed="false">
      <c r="A292" s="15" t="n">
        <v>3629</v>
      </c>
      <c r="B292" s="15" t="s">
        <v>163</v>
      </c>
      <c r="C292" s="15" t="s">
        <v>176</v>
      </c>
      <c r="D292" s="15" t="s">
        <v>180</v>
      </c>
      <c r="E292" s="13" t="s">
        <v>331</v>
      </c>
      <c r="F292" s="3" t="n">
        <v>46000</v>
      </c>
      <c r="G292" s="3" t="n">
        <v>46010</v>
      </c>
      <c r="H292" s="3" t="n">
        <v>46003</v>
      </c>
      <c r="I292" s="15" t="s">
        <v>167</v>
      </c>
      <c r="J292" s="15" t="n">
        <v>17</v>
      </c>
      <c r="K292" s="3" t="n">
        <v>46081</v>
      </c>
      <c r="L292" s="20" t="n">
        <f aca="false">IF(K292="","",EOMONTH(K292,2))</f>
        <v>46142</v>
      </c>
    </row>
    <row r="293" customFormat="false" ht="14.25" hidden="false" customHeight="true" outlineLevel="0" collapsed="false">
      <c r="A293" s="15" t="n">
        <v>4901</v>
      </c>
      <c r="B293" s="15" t="s">
        <v>212</v>
      </c>
      <c r="C293" s="15" t="s">
        <v>164</v>
      </c>
      <c r="D293" s="15" t="s">
        <v>180</v>
      </c>
      <c r="E293" s="13" t="s">
        <v>172</v>
      </c>
      <c r="F293" s="3" t="n">
        <v>46000</v>
      </c>
      <c r="G293" s="3" t="n">
        <v>46002</v>
      </c>
      <c r="H293" s="3" t="n">
        <v>46119</v>
      </c>
      <c r="I293" s="15" t="s">
        <v>167</v>
      </c>
      <c r="J293" s="15" t="n">
        <v>1</v>
      </c>
      <c r="K293" s="3" t="n">
        <v>46081</v>
      </c>
      <c r="L293" s="20" t="n">
        <f aca="false">IF(K293="","",EOMONTH(K293,2))</f>
        <v>46142</v>
      </c>
    </row>
    <row r="294" customFormat="false" ht="14.25" hidden="false" customHeight="true" outlineLevel="0" collapsed="false">
      <c r="A294" s="15" t="n">
        <v>3630</v>
      </c>
      <c r="B294" s="15" t="s">
        <v>212</v>
      </c>
      <c r="C294" s="15" t="s">
        <v>176</v>
      </c>
      <c r="D294" s="15" t="s">
        <v>180</v>
      </c>
      <c r="E294" s="13" t="s">
        <v>172</v>
      </c>
      <c r="F294" s="3" t="n">
        <v>46001</v>
      </c>
      <c r="G294" s="3" t="n">
        <v>46002</v>
      </c>
      <c r="H294" s="3" t="n">
        <v>46010</v>
      </c>
      <c r="I294" s="15" t="s">
        <v>167</v>
      </c>
      <c r="J294" s="15" t="n">
        <v>3</v>
      </c>
      <c r="K294" s="3" t="n">
        <v>46081</v>
      </c>
      <c r="L294" s="20" t="n">
        <f aca="false">IF(K294="","",EOMONTH(K294,2))</f>
        <v>46142</v>
      </c>
    </row>
    <row r="295" customFormat="false" ht="25.5" hidden="false" customHeight="true" outlineLevel="0" collapsed="false">
      <c r="A295" s="15" t="n">
        <v>4907</v>
      </c>
      <c r="B295" s="15" t="s">
        <v>178</v>
      </c>
      <c r="C295" s="15" t="s">
        <v>164</v>
      </c>
      <c r="D295" s="15" t="s">
        <v>165</v>
      </c>
      <c r="E295" s="13" t="s">
        <v>331</v>
      </c>
      <c r="F295" s="3" t="n">
        <v>46006</v>
      </c>
      <c r="G295" s="3" t="n">
        <v>46012</v>
      </c>
      <c r="H295" s="3" t="n">
        <v>46119</v>
      </c>
      <c r="I295" s="15" t="s">
        <v>167</v>
      </c>
      <c r="J295" s="15" t="n">
        <v>11</v>
      </c>
      <c r="K295" s="3" t="n">
        <v>46081</v>
      </c>
      <c r="L295" s="20" t="n">
        <f aca="false">IF(K295="","",EOMONTH(K295,2))</f>
        <v>46142</v>
      </c>
    </row>
    <row r="296" customFormat="false" ht="14.25" hidden="false" customHeight="true" outlineLevel="0" collapsed="false">
      <c r="A296" s="15" t="n">
        <v>4905</v>
      </c>
      <c r="B296" s="15" t="s">
        <v>206</v>
      </c>
      <c r="C296" s="15" t="s">
        <v>164</v>
      </c>
      <c r="D296" s="15" t="s">
        <v>260</v>
      </c>
      <c r="E296" s="13" t="s">
        <v>261</v>
      </c>
      <c r="F296" s="3" t="n">
        <v>46007</v>
      </c>
      <c r="G296" s="3" t="n">
        <v>46009</v>
      </c>
      <c r="H296" s="3" t="n">
        <v>46119</v>
      </c>
      <c r="I296" s="15" t="s">
        <v>167</v>
      </c>
      <c r="J296" s="15" t="n">
        <v>10</v>
      </c>
      <c r="K296" s="3" t="n">
        <v>46081</v>
      </c>
      <c r="L296" s="20" t="n">
        <f aca="false">IF(K296="","",EOMONTH(K296,2))</f>
        <v>46142</v>
      </c>
    </row>
    <row r="297" customFormat="false" ht="14.25" hidden="false" customHeight="true" outlineLevel="0" collapsed="false">
      <c r="A297" s="15" t="n">
        <v>4902</v>
      </c>
      <c r="B297" s="15" t="s">
        <v>212</v>
      </c>
      <c r="C297" s="15" t="s">
        <v>164</v>
      </c>
      <c r="D297" s="15" t="s">
        <v>260</v>
      </c>
      <c r="E297" s="13" t="s">
        <v>200</v>
      </c>
      <c r="F297" s="3" t="n">
        <v>46008</v>
      </c>
      <c r="G297" s="3" t="n">
        <v>46009</v>
      </c>
      <c r="H297" s="3" t="n">
        <v>46119</v>
      </c>
      <c r="I297" s="15" t="s">
        <v>167</v>
      </c>
      <c r="J297" s="15" t="n">
        <v>32</v>
      </c>
      <c r="K297" s="3" t="n">
        <v>46081</v>
      </c>
      <c r="L297" s="20" t="n">
        <f aca="false">IF(K297="","",EOMONTH(K297,2))</f>
        <v>46142</v>
      </c>
    </row>
    <row r="298" customFormat="false" ht="14.25" hidden="false" customHeight="true" outlineLevel="0" collapsed="false">
      <c r="A298" s="15" t="n">
        <v>4903</v>
      </c>
      <c r="B298" s="15" t="s">
        <v>228</v>
      </c>
      <c r="C298" s="15" t="s">
        <v>164</v>
      </c>
      <c r="D298" s="15" t="s">
        <v>260</v>
      </c>
      <c r="E298" s="13" t="s">
        <v>261</v>
      </c>
      <c r="F298" s="3" t="n">
        <v>46008</v>
      </c>
      <c r="G298" s="3" t="n">
        <v>46009</v>
      </c>
      <c r="H298" s="3" t="n">
        <v>46119</v>
      </c>
      <c r="I298" s="15" t="s">
        <v>167</v>
      </c>
      <c r="J298" s="15" t="n">
        <v>3</v>
      </c>
      <c r="K298" s="3" t="n">
        <v>46081</v>
      </c>
      <c r="L298" s="20" t="n">
        <f aca="false">IF(K298="","",EOMONTH(K298,2))</f>
        <v>46142</v>
      </c>
    </row>
    <row r="299" customFormat="false" ht="14.25" hidden="false" customHeight="true" outlineLevel="0" collapsed="false">
      <c r="A299" s="15" t="n">
        <v>4914</v>
      </c>
      <c r="B299" s="15" t="s">
        <v>212</v>
      </c>
      <c r="C299" s="15" t="s">
        <v>164</v>
      </c>
      <c r="D299" s="15" t="s">
        <v>169</v>
      </c>
      <c r="E299" s="13" t="s">
        <v>200</v>
      </c>
      <c r="F299" s="3" t="n">
        <v>46008</v>
      </c>
      <c r="G299" s="3" t="n">
        <v>46009</v>
      </c>
      <c r="H299" s="3" t="n">
        <v>46171</v>
      </c>
      <c r="I299" s="15" t="s">
        <v>167</v>
      </c>
      <c r="J299" s="15" t="n">
        <v>1</v>
      </c>
      <c r="K299" s="3" t="n">
        <v>46081</v>
      </c>
      <c r="L299" s="20" t="n">
        <f aca="false">IF(K299="","",EOMONTH(K299,2))</f>
        <v>46142</v>
      </c>
    </row>
    <row r="300" customFormat="false" ht="14.25" hidden="false" customHeight="true" outlineLevel="0" collapsed="false">
      <c r="A300" s="15" t="n">
        <v>4915</v>
      </c>
      <c r="B300" s="15" t="s">
        <v>212</v>
      </c>
      <c r="C300" s="15" t="s">
        <v>164</v>
      </c>
      <c r="D300" s="15" t="s">
        <v>260</v>
      </c>
      <c r="E300" s="13" t="s">
        <v>200</v>
      </c>
      <c r="F300" s="3" t="n">
        <v>46008</v>
      </c>
      <c r="G300" s="3" t="n">
        <v>46010</v>
      </c>
      <c r="H300" s="3" t="n">
        <v>46171</v>
      </c>
      <c r="I300" s="15" t="s">
        <v>167</v>
      </c>
      <c r="J300" s="15" t="n">
        <v>1</v>
      </c>
      <c r="K300" s="3" t="n">
        <v>46081</v>
      </c>
      <c r="L300" s="20" t="n">
        <f aca="false">IF(K300="","",EOMONTH(K300,2))</f>
        <v>46142</v>
      </c>
    </row>
    <row r="301" customFormat="false" ht="14.25" hidden="false" customHeight="true" outlineLevel="0" collapsed="false">
      <c r="A301" s="15" t="n">
        <v>5615</v>
      </c>
      <c r="B301" s="15" t="s">
        <v>188</v>
      </c>
      <c r="C301" s="15" t="s">
        <v>184</v>
      </c>
      <c r="D301" s="15" t="s">
        <v>185</v>
      </c>
      <c r="E301" s="13" t="s">
        <v>408</v>
      </c>
      <c r="F301" s="3" t="n">
        <v>46010</v>
      </c>
      <c r="G301" s="3" t="n">
        <v>46021</v>
      </c>
      <c r="H301" s="3" t="n">
        <v>46010</v>
      </c>
      <c r="I301" s="15" t="s">
        <v>167</v>
      </c>
      <c r="J301" s="15" t="n">
        <v>1</v>
      </c>
      <c r="K301" s="3" t="n">
        <v>46081</v>
      </c>
      <c r="L301" s="20" t="n">
        <f aca="false">IF(K301="","",EOMONTH(K301,2))</f>
        <v>46142</v>
      </c>
    </row>
    <row r="302" customFormat="false" ht="14.25" hidden="false" customHeight="true" outlineLevel="0" collapsed="false">
      <c r="A302" s="15" t="n">
        <v>3643</v>
      </c>
      <c r="B302" s="15" t="s">
        <v>409</v>
      </c>
      <c r="C302" s="15" t="s">
        <v>176</v>
      </c>
      <c r="D302" s="15" t="s">
        <v>410</v>
      </c>
      <c r="E302" s="13" t="s">
        <v>411</v>
      </c>
      <c r="F302" s="3" t="n">
        <v>46041</v>
      </c>
      <c r="G302" s="3" t="n">
        <v>46095</v>
      </c>
      <c r="H302" s="3" t="n">
        <v>46073</v>
      </c>
      <c r="I302" s="15" t="s">
        <v>167</v>
      </c>
      <c r="J302" s="15" t="n">
        <v>1</v>
      </c>
      <c r="K302" s="3" t="n">
        <v>46173</v>
      </c>
      <c r="L302" s="20" t="n">
        <f aca="false">IF(K302="","",EOMONTH(K302,2))</f>
        <v>46234</v>
      </c>
    </row>
    <row r="303" customFormat="false" ht="14.25" hidden="false" customHeight="true" outlineLevel="0" collapsed="false">
      <c r="A303" s="15" t="n">
        <v>3632</v>
      </c>
      <c r="B303" s="15" t="s">
        <v>275</v>
      </c>
      <c r="C303" s="15" t="s">
        <v>176</v>
      </c>
      <c r="D303" s="15" t="s">
        <v>169</v>
      </c>
      <c r="E303" s="13" t="s">
        <v>170</v>
      </c>
      <c r="F303" s="3" t="n">
        <v>46043</v>
      </c>
      <c r="G303" s="3" t="n">
        <v>46049</v>
      </c>
      <c r="H303" s="3" t="n">
        <v>46045</v>
      </c>
      <c r="I303" s="15" t="s">
        <v>167</v>
      </c>
      <c r="J303" s="15" t="n">
        <v>47</v>
      </c>
      <c r="K303" s="3" t="n">
        <v>46112</v>
      </c>
      <c r="L303" s="20" t="n">
        <f aca="false">IF(K303="","",EOMONTH(K303,2))</f>
        <v>46173</v>
      </c>
    </row>
    <row r="304" customFormat="false" ht="14.25" hidden="false" customHeight="true" outlineLevel="0" collapsed="false">
      <c r="A304" s="15" t="n">
        <v>3637</v>
      </c>
      <c r="B304" s="15" t="s">
        <v>278</v>
      </c>
      <c r="C304" s="15" t="s">
        <v>176</v>
      </c>
      <c r="D304" s="15" t="s">
        <v>169</v>
      </c>
      <c r="E304" s="13" t="s">
        <v>170</v>
      </c>
      <c r="F304" s="3" t="n">
        <v>46043</v>
      </c>
      <c r="G304" s="3" t="n">
        <v>46049</v>
      </c>
      <c r="H304" s="3" t="n">
        <v>46046</v>
      </c>
      <c r="I304" s="15" t="s">
        <v>167</v>
      </c>
      <c r="J304" s="15" t="n">
        <v>102</v>
      </c>
      <c r="K304" s="3" t="n">
        <v>46112</v>
      </c>
      <c r="L304" s="20" t="n">
        <f aca="false">IF(K304="","",EOMONTH(K304,2))</f>
        <v>46173</v>
      </c>
    </row>
    <row r="305" customFormat="false" ht="14.25" hidden="false" customHeight="true" outlineLevel="0" collapsed="false">
      <c r="A305" s="15" t="n">
        <v>4908</v>
      </c>
      <c r="B305" s="15" t="s">
        <v>275</v>
      </c>
      <c r="C305" s="15" t="s">
        <v>164</v>
      </c>
      <c r="D305" s="15" t="s">
        <v>169</v>
      </c>
      <c r="E305" s="13" t="s">
        <v>170</v>
      </c>
      <c r="F305" s="3" t="n">
        <v>46043</v>
      </c>
      <c r="G305" s="3" t="n">
        <v>46049</v>
      </c>
      <c r="H305" s="3" t="n">
        <v>46119</v>
      </c>
      <c r="I305" s="15" t="s">
        <v>167</v>
      </c>
      <c r="J305" s="15" t="n">
        <v>3</v>
      </c>
      <c r="K305" s="3" t="n">
        <v>46112</v>
      </c>
      <c r="L305" s="20" t="n">
        <f aca="false">IF(K305="","",EOMONTH(K305,2))</f>
        <v>46173</v>
      </c>
    </row>
    <row r="306" customFormat="false" ht="14.25" hidden="false" customHeight="true" outlineLevel="0" collapsed="false">
      <c r="A306" s="15" t="n">
        <v>3631</v>
      </c>
      <c r="B306" s="15" t="s">
        <v>99</v>
      </c>
      <c r="C306" s="15" t="s">
        <v>176</v>
      </c>
      <c r="D306" s="15" t="s">
        <v>169</v>
      </c>
      <c r="E306" s="13" t="s">
        <v>170</v>
      </c>
      <c r="F306" s="3" t="n">
        <v>46044</v>
      </c>
      <c r="G306" s="3" t="n">
        <v>46049</v>
      </c>
      <c r="H306" s="3" t="n">
        <v>46045</v>
      </c>
      <c r="I306" s="15" t="s">
        <v>167</v>
      </c>
      <c r="J306" s="15" t="n">
        <v>135</v>
      </c>
      <c r="K306" s="3" t="n">
        <v>46112</v>
      </c>
      <c r="L306" s="20" t="n">
        <f aca="false">IF(K306="","",EOMONTH(K306,2))</f>
        <v>46173</v>
      </c>
    </row>
    <row r="307" customFormat="false" ht="14.25" hidden="false" customHeight="true" outlineLevel="0" collapsed="false">
      <c r="A307" s="15" t="n">
        <v>3635</v>
      </c>
      <c r="B307" s="15" t="s">
        <v>213</v>
      </c>
      <c r="C307" s="15" t="s">
        <v>176</v>
      </c>
      <c r="D307" s="15" t="s">
        <v>169</v>
      </c>
      <c r="E307" s="13" t="s">
        <v>170</v>
      </c>
      <c r="F307" s="3" t="n">
        <v>46044</v>
      </c>
      <c r="G307" s="3" t="n">
        <v>46049</v>
      </c>
      <c r="H307" s="3" t="n">
        <v>46046</v>
      </c>
      <c r="I307" s="15" t="s">
        <v>167</v>
      </c>
      <c r="J307" s="15" t="n">
        <v>95</v>
      </c>
      <c r="K307" s="3" t="n">
        <v>46112</v>
      </c>
      <c r="L307" s="20" t="n">
        <f aca="false">IF(K307="","",EOMONTH(K307,2))</f>
        <v>46173</v>
      </c>
    </row>
    <row r="308" customFormat="false" ht="14.25" hidden="false" customHeight="true" outlineLevel="0" collapsed="false">
      <c r="A308" s="15" t="n">
        <v>3642</v>
      </c>
      <c r="B308" s="15" t="s">
        <v>276</v>
      </c>
      <c r="C308" s="15" t="s">
        <v>176</v>
      </c>
      <c r="D308" s="15" t="s">
        <v>169</v>
      </c>
      <c r="E308" s="13" t="s">
        <v>170</v>
      </c>
      <c r="F308" s="3" t="n">
        <v>46044</v>
      </c>
      <c r="G308" s="3" t="n">
        <v>46049</v>
      </c>
      <c r="H308" s="3" t="n">
        <v>46046</v>
      </c>
      <c r="I308" s="15" t="s">
        <v>167</v>
      </c>
      <c r="J308" s="15" t="n">
        <v>112</v>
      </c>
      <c r="K308" s="3" t="n">
        <v>46112</v>
      </c>
      <c r="L308" s="20" t="n">
        <f aca="false">IF(K308="","",EOMONTH(K308,2))</f>
        <v>46173</v>
      </c>
    </row>
    <row r="309" customFormat="false" ht="14.25" hidden="false" customHeight="true" outlineLevel="0" collapsed="false">
      <c r="A309" s="15" t="n">
        <v>4898</v>
      </c>
      <c r="B309" s="15" t="s">
        <v>213</v>
      </c>
      <c r="C309" s="15" t="s">
        <v>164</v>
      </c>
      <c r="D309" s="15" t="s">
        <v>169</v>
      </c>
      <c r="E309" s="13" t="s">
        <v>170</v>
      </c>
      <c r="F309" s="3" t="n">
        <v>46044</v>
      </c>
      <c r="G309" s="3" t="n">
        <v>46049</v>
      </c>
      <c r="H309" s="3" t="n">
        <v>46059</v>
      </c>
      <c r="I309" s="15" t="s">
        <v>167</v>
      </c>
      <c r="J309" s="15" t="n">
        <v>95</v>
      </c>
      <c r="K309" s="3" t="n">
        <v>46112</v>
      </c>
      <c r="L309" s="20" t="n">
        <f aca="false">IF(K309="","",EOMONTH(K309,2))</f>
        <v>46173</v>
      </c>
    </row>
    <row r="310" customFormat="false" ht="14.25" hidden="false" customHeight="true" outlineLevel="0" collapsed="false">
      <c r="A310" s="15" t="n">
        <v>3633</v>
      </c>
      <c r="B310" s="15" t="s">
        <v>27</v>
      </c>
      <c r="C310" s="15" t="s">
        <v>176</v>
      </c>
      <c r="D310" s="15" t="s">
        <v>169</v>
      </c>
      <c r="E310" s="13" t="s">
        <v>170</v>
      </c>
      <c r="F310" s="3" t="n">
        <v>46045</v>
      </c>
      <c r="G310" s="3" t="n">
        <v>46049</v>
      </c>
      <c r="H310" s="3" t="n">
        <v>46046</v>
      </c>
      <c r="I310" s="15" t="s">
        <v>167</v>
      </c>
      <c r="J310" s="15" t="n">
        <v>120</v>
      </c>
      <c r="K310" s="3" t="n">
        <v>46112</v>
      </c>
      <c r="L310" s="20" t="n">
        <f aca="false">IF(K310="","",EOMONTH(K310,2))</f>
        <v>46173</v>
      </c>
    </row>
    <row r="311" customFormat="false" ht="14.25" hidden="false" customHeight="true" outlineLevel="0" collapsed="false">
      <c r="A311" s="15" t="n">
        <v>3634</v>
      </c>
      <c r="B311" s="15" t="s">
        <v>412</v>
      </c>
      <c r="C311" s="15" t="s">
        <v>176</v>
      </c>
      <c r="D311" s="15" t="s">
        <v>169</v>
      </c>
      <c r="E311" s="13" t="s">
        <v>170</v>
      </c>
      <c r="F311" s="3" t="n">
        <v>46045</v>
      </c>
      <c r="G311" s="3" t="n">
        <v>46049</v>
      </c>
      <c r="H311" s="3" t="n">
        <v>46046</v>
      </c>
      <c r="I311" s="15" t="s">
        <v>167</v>
      </c>
      <c r="J311" s="15" t="n">
        <v>24</v>
      </c>
      <c r="K311" s="3" t="n">
        <v>46112</v>
      </c>
      <c r="L311" s="20" t="n">
        <f aca="false">IF(K311="","",EOMONTH(K311,2))</f>
        <v>46173</v>
      </c>
    </row>
    <row r="312" customFormat="false" ht="14.25" hidden="false" customHeight="true" outlineLevel="0" collapsed="false">
      <c r="A312" s="15" t="n">
        <v>3636</v>
      </c>
      <c r="B312" s="15" t="s">
        <v>219</v>
      </c>
      <c r="C312" s="15" t="s">
        <v>176</v>
      </c>
      <c r="D312" s="15" t="s">
        <v>169</v>
      </c>
      <c r="E312" s="13" t="s">
        <v>170</v>
      </c>
      <c r="F312" s="3" t="n">
        <v>46045</v>
      </c>
      <c r="G312" s="3" t="n">
        <v>46049</v>
      </c>
      <c r="H312" s="3" t="n">
        <v>46046</v>
      </c>
      <c r="I312" s="15" t="s">
        <v>167</v>
      </c>
      <c r="J312" s="15" t="n">
        <v>75</v>
      </c>
      <c r="K312" s="3" t="n">
        <v>46112</v>
      </c>
      <c r="L312" s="20" t="n">
        <f aca="false">IF(K312="","",EOMONTH(K312,2))</f>
        <v>46173</v>
      </c>
    </row>
    <row r="313" customFormat="false" ht="14.25" hidden="false" customHeight="true" outlineLevel="0" collapsed="false">
      <c r="A313" s="15" t="n">
        <v>3638</v>
      </c>
      <c r="B313" s="15" t="s">
        <v>298</v>
      </c>
      <c r="C313" s="15" t="s">
        <v>176</v>
      </c>
      <c r="D313" s="15" t="s">
        <v>169</v>
      </c>
      <c r="E313" s="13" t="s">
        <v>170</v>
      </c>
      <c r="F313" s="3" t="n">
        <v>46045</v>
      </c>
      <c r="G313" s="3" t="n">
        <v>46049</v>
      </c>
      <c r="H313" s="3" t="n">
        <v>46046</v>
      </c>
      <c r="I313" s="15" t="s">
        <v>167</v>
      </c>
      <c r="J313" s="15" t="n">
        <v>64</v>
      </c>
      <c r="K313" s="3" t="n">
        <v>46112</v>
      </c>
      <c r="L313" s="20" t="n">
        <f aca="false">IF(K313="","",EOMONTH(K313,2))</f>
        <v>46173</v>
      </c>
    </row>
    <row r="314" customFormat="false" ht="14.25" hidden="false" customHeight="true" outlineLevel="0" collapsed="false">
      <c r="A314" s="15" t="n">
        <v>3639</v>
      </c>
      <c r="B314" s="15" t="s">
        <v>196</v>
      </c>
      <c r="C314" s="15" t="s">
        <v>176</v>
      </c>
      <c r="D314" s="15" t="s">
        <v>169</v>
      </c>
      <c r="E314" s="13" t="s">
        <v>170</v>
      </c>
      <c r="F314" s="3" t="n">
        <v>46045</v>
      </c>
      <c r="G314" s="3" t="n">
        <v>46049</v>
      </c>
      <c r="H314" s="3" t="n">
        <v>46046</v>
      </c>
      <c r="I314" s="15" t="s">
        <v>167</v>
      </c>
      <c r="J314" s="15" t="n">
        <v>55</v>
      </c>
      <c r="K314" s="3" t="n">
        <v>46112</v>
      </c>
      <c r="L314" s="20" t="n">
        <f aca="false">IF(K314="","",EOMONTH(K314,2))</f>
        <v>46173</v>
      </c>
    </row>
    <row r="315" customFormat="false" ht="14.25" hidden="false" customHeight="true" outlineLevel="0" collapsed="false">
      <c r="A315" s="15" t="n">
        <v>3640</v>
      </c>
      <c r="B315" s="15" t="s">
        <v>24</v>
      </c>
      <c r="C315" s="15" t="s">
        <v>176</v>
      </c>
      <c r="D315" s="15" t="s">
        <v>169</v>
      </c>
      <c r="E315" s="13" t="s">
        <v>413</v>
      </c>
      <c r="F315" s="3" t="n">
        <v>46045</v>
      </c>
      <c r="G315" s="3" t="n">
        <v>46049</v>
      </c>
      <c r="H315" s="3" t="n">
        <v>46046</v>
      </c>
      <c r="I315" s="15" t="s">
        <v>167</v>
      </c>
      <c r="J315" s="15" t="n">
        <v>83</v>
      </c>
      <c r="K315" s="3" t="n">
        <v>46112</v>
      </c>
      <c r="L315" s="20" t="n">
        <f aca="false">IF(K315="","",EOMONTH(K315,2))</f>
        <v>46173</v>
      </c>
    </row>
    <row r="316" customFormat="false" ht="14.25" hidden="false" customHeight="true" outlineLevel="0" collapsed="false">
      <c r="A316" s="15" t="n">
        <v>3641</v>
      </c>
      <c r="B316" s="15" t="s">
        <v>130</v>
      </c>
      <c r="C316" s="15" t="s">
        <v>176</v>
      </c>
      <c r="D316" s="15" t="s">
        <v>169</v>
      </c>
      <c r="E316" s="13" t="s">
        <v>170</v>
      </c>
      <c r="F316" s="3" t="n">
        <v>46045</v>
      </c>
      <c r="G316" s="3" t="n">
        <v>46049</v>
      </c>
      <c r="H316" s="3" t="n">
        <v>46046</v>
      </c>
      <c r="I316" s="15" t="s">
        <v>167</v>
      </c>
      <c r="J316" s="15" t="n">
        <v>92</v>
      </c>
      <c r="K316" s="3" t="n">
        <v>46112</v>
      </c>
      <c r="L316" s="20" t="n">
        <f aca="false">IF(K316="","",EOMONTH(K316,2))</f>
        <v>46173</v>
      </c>
    </row>
    <row r="317" customFormat="false" ht="14.25" hidden="false" customHeight="true" outlineLevel="0" collapsed="false">
      <c r="A317" s="15" t="n">
        <v>4899</v>
      </c>
      <c r="B317" s="15" t="s">
        <v>24</v>
      </c>
      <c r="C317" s="15" t="s">
        <v>164</v>
      </c>
      <c r="D317" s="15" t="s">
        <v>169</v>
      </c>
      <c r="E317" s="13" t="s">
        <v>170</v>
      </c>
      <c r="F317" s="3" t="n">
        <v>46045</v>
      </c>
      <c r="G317" s="3" t="n">
        <v>46049</v>
      </c>
      <c r="H317" s="3" t="n">
        <v>46059</v>
      </c>
      <c r="I317" s="15" t="s">
        <v>167</v>
      </c>
      <c r="J317" s="15" t="n">
        <v>83</v>
      </c>
      <c r="K317" s="3" t="n">
        <v>46112</v>
      </c>
      <c r="L317" s="20" t="n">
        <f aca="false">IF(K317="","",EOMONTH(K317,2))</f>
        <v>46173</v>
      </c>
    </row>
    <row r="318" customFormat="false" ht="14.25" hidden="false" customHeight="true" outlineLevel="0" collapsed="false">
      <c r="A318" s="15" t="n">
        <v>4900</v>
      </c>
      <c r="B318" s="15" t="s">
        <v>298</v>
      </c>
      <c r="C318" s="15" t="s">
        <v>164</v>
      </c>
      <c r="D318" s="15" t="s">
        <v>169</v>
      </c>
      <c r="E318" s="13" t="s">
        <v>170</v>
      </c>
      <c r="F318" s="3" t="n">
        <v>46045</v>
      </c>
      <c r="G318" s="3" t="n">
        <v>46049</v>
      </c>
      <c r="H318" s="3" t="n">
        <v>46071</v>
      </c>
      <c r="I318" s="15" t="s">
        <v>167</v>
      </c>
      <c r="J318" s="15" t="n">
        <v>18</v>
      </c>
      <c r="K318" s="3" t="n">
        <v>46112</v>
      </c>
      <c r="L318" s="20" t="n">
        <f aca="false">IF(K318="","",EOMONTH(K318,2))</f>
        <v>46173</v>
      </c>
    </row>
    <row r="319" customFormat="false" ht="14.25" hidden="false" customHeight="true" outlineLevel="0" collapsed="false">
      <c r="A319" s="15" t="n">
        <v>4913</v>
      </c>
      <c r="B319" s="15" t="s">
        <v>27</v>
      </c>
      <c r="C319" s="15" t="s">
        <v>164</v>
      </c>
      <c r="D319" s="15" t="s">
        <v>169</v>
      </c>
      <c r="E319" s="13" t="s">
        <v>170</v>
      </c>
      <c r="F319" s="3" t="n">
        <v>46045</v>
      </c>
      <c r="G319" s="3" t="n">
        <v>46049</v>
      </c>
      <c r="H319" s="3" t="n">
        <v>46171</v>
      </c>
      <c r="I319" s="15" t="s">
        <v>167</v>
      </c>
      <c r="J319" s="15" t="n">
        <v>21</v>
      </c>
      <c r="K319" s="3" t="n">
        <v>46112</v>
      </c>
      <c r="L319" s="20" t="n">
        <f aca="false">IF(K319="","",EOMONTH(K319,2))</f>
        <v>46173</v>
      </c>
    </row>
    <row r="320" customFormat="false" ht="14.25" hidden="false" customHeight="true" outlineLevel="0" collapsed="false">
      <c r="A320" s="15" t="n">
        <v>5616</v>
      </c>
      <c r="B320" s="15" t="s">
        <v>188</v>
      </c>
      <c r="C320" s="15" t="s">
        <v>184</v>
      </c>
      <c r="D320" s="15" t="s">
        <v>185</v>
      </c>
      <c r="E320" s="13" t="s">
        <v>414</v>
      </c>
      <c r="F320" s="3" t="n">
        <v>46070</v>
      </c>
      <c r="G320" s="3" t="n">
        <v>46076</v>
      </c>
      <c r="H320" s="3" t="n">
        <v>46070</v>
      </c>
      <c r="I320" s="15" t="s">
        <v>167</v>
      </c>
      <c r="J320" s="15" t="n">
        <v>2</v>
      </c>
      <c r="K320" s="3" t="n">
        <v>46142</v>
      </c>
      <c r="L320" s="20" t="n">
        <f aca="false">IF(K320="","",EOMONTH(K320,2))</f>
        <v>46203</v>
      </c>
    </row>
    <row r="321" customFormat="false" ht="14.25" hidden="false" customHeight="true" outlineLevel="0" collapsed="false">
      <c r="A321" s="15" t="n">
        <v>5617</v>
      </c>
      <c r="B321" s="15" t="s">
        <v>188</v>
      </c>
      <c r="C321" s="15" t="s">
        <v>184</v>
      </c>
      <c r="D321" s="15" t="s">
        <v>185</v>
      </c>
      <c r="E321" s="13" t="s">
        <v>415</v>
      </c>
      <c r="F321" s="3" t="n">
        <v>46070</v>
      </c>
      <c r="G321" s="3" t="n">
        <v>46077</v>
      </c>
      <c r="H321" s="3" t="n">
        <v>46070</v>
      </c>
      <c r="I321" s="15" t="s">
        <v>167</v>
      </c>
      <c r="J321" s="15" t="n">
        <v>1</v>
      </c>
      <c r="K321" s="3" t="n">
        <v>46142</v>
      </c>
      <c r="L321" s="20" t="n">
        <f aca="false">IF(K321="","",EOMONTH(K321,2))</f>
        <v>46203</v>
      </c>
    </row>
    <row r="322" customFormat="false" ht="14.25" hidden="false" customHeight="true" outlineLevel="0" collapsed="false">
      <c r="A322" s="15" t="n">
        <v>5618</v>
      </c>
      <c r="B322" s="15" t="s">
        <v>188</v>
      </c>
      <c r="C322" s="15" t="s">
        <v>184</v>
      </c>
      <c r="D322" s="15" t="s">
        <v>185</v>
      </c>
      <c r="E322" s="13" t="s">
        <v>416</v>
      </c>
      <c r="F322" s="3" t="n">
        <v>46070</v>
      </c>
      <c r="G322" s="3" t="n">
        <v>46075</v>
      </c>
      <c r="H322" s="3" t="n">
        <v>46070</v>
      </c>
      <c r="I322" s="15" t="s">
        <v>167</v>
      </c>
      <c r="J322" s="15" t="n">
        <v>1</v>
      </c>
      <c r="K322" s="3" t="n">
        <v>46142</v>
      </c>
      <c r="L322" s="20" t="n">
        <f aca="false">IF(K322="","",EOMONTH(K322,2))</f>
        <v>46203</v>
      </c>
    </row>
    <row r="323" customFormat="false" ht="14.25" hidden="false" customHeight="true" outlineLevel="0" collapsed="false">
      <c r="A323" s="15" t="n">
        <v>5619</v>
      </c>
      <c r="B323" s="15" t="s">
        <v>183</v>
      </c>
      <c r="C323" s="15" t="s">
        <v>184</v>
      </c>
      <c r="D323" s="15" t="s">
        <v>185</v>
      </c>
      <c r="E323" s="13" t="s">
        <v>417</v>
      </c>
      <c r="F323" s="3" t="n">
        <v>46070</v>
      </c>
      <c r="G323" s="15"/>
      <c r="H323" s="3" t="n">
        <v>46071</v>
      </c>
      <c r="I323" s="15" t="s">
        <v>167</v>
      </c>
      <c r="J323" s="15" t="n">
        <v>2</v>
      </c>
      <c r="K323" s="15"/>
      <c r="L323" s="20" t="str">
        <f aca="false">IF(K323="","",EOMONTH(K323,2))</f>
        <v/>
      </c>
    </row>
    <row r="324" customFormat="false" ht="14.25" hidden="false" customHeight="true" outlineLevel="0" collapsed="false">
      <c r="A324" s="15" t="n">
        <v>5620</v>
      </c>
      <c r="B324" s="15" t="s">
        <v>188</v>
      </c>
      <c r="C324" s="15" t="s">
        <v>184</v>
      </c>
      <c r="D324" s="15" t="s">
        <v>185</v>
      </c>
      <c r="E324" s="13" t="s">
        <v>418</v>
      </c>
      <c r="F324" s="3" t="n">
        <v>46072</v>
      </c>
      <c r="G324" s="3" t="n">
        <v>46075</v>
      </c>
      <c r="H324" s="3" t="n">
        <v>46072</v>
      </c>
      <c r="I324" s="15" t="s">
        <v>167</v>
      </c>
      <c r="J324" s="15" t="n">
        <v>1</v>
      </c>
      <c r="K324" s="3" t="n">
        <v>46142</v>
      </c>
      <c r="L324" s="20" t="n">
        <f aca="false">IF(K324="","",EOMONTH(K324,2))</f>
        <v>46203</v>
      </c>
    </row>
    <row r="325" customFormat="false" ht="14.25" hidden="false" customHeight="true" outlineLevel="0" collapsed="false">
      <c r="A325" s="15" t="n">
        <v>5621</v>
      </c>
      <c r="B325" s="15" t="s">
        <v>188</v>
      </c>
      <c r="C325" s="15" t="s">
        <v>184</v>
      </c>
      <c r="D325" s="15" t="s">
        <v>185</v>
      </c>
      <c r="E325" s="13" t="s">
        <v>419</v>
      </c>
      <c r="F325" s="3" t="n">
        <v>46072</v>
      </c>
      <c r="G325" s="3" t="n">
        <v>46079</v>
      </c>
      <c r="H325" s="3" t="n">
        <v>46072</v>
      </c>
      <c r="I325" s="15" t="s">
        <v>167</v>
      </c>
      <c r="J325" s="15" t="n">
        <v>2</v>
      </c>
      <c r="K325" s="3" t="n">
        <v>46142</v>
      </c>
      <c r="L325" s="20" t="n">
        <f aca="false">IF(K325="","",EOMONTH(K325,2))</f>
        <v>46203</v>
      </c>
    </row>
    <row r="326" customFormat="false" ht="14.25" hidden="false" customHeight="true" outlineLevel="0" collapsed="false">
      <c r="A326" s="15" t="n">
        <v>4916</v>
      </c>
      <c r="B326" s="15" t="s">
        <v>133</v>
      </c>
      <c r="C326" s="15" t="s">
        <v>164</v>
      </c>
      <c r="D326" s="15" t="s">
        <v>169</v>
      </c>
      <c r="E326" s="13" t="s">
        <v>170</v>
      </c>
      <c r="F326" s="3" t="n">
        <v>46075</v>
      </c>
      <c r="G326" s="3" t="n">
        <v>46076</v>
      </c>
      <c r="H326" s="3" t="n">
        <v>46171</v>
      </c>
      <c r="I326" s="15" t="s">
        <v>167</v>
      </c>
      <c r="J326" s="15" t="n">
        <v>2</v>
      </c>
      <c r="K326" s="3" t="n">
        <v>46142</v>
      </c>
      <c r="L326" s="20" t="n">
        <f aca="false">IF(K326="","",EOMONTH(K326,2))</f>
        <v>46203</v>
      </c>
    </row>
    <row r="327" customFormat="false" ht="14.25" hidden="false" customHeight="true" outlineLevel="0" collapsed="false">
      <c r="A327" s="15" t="n">
        <v>4919</v>
      </c>
      <c r="B327" s="15" t="s">
        <v>43</v>
      </c>
      <c r="C327" s="15" t="s">
        <v>164</v>
      </c>
      <c r="D327" s="15" t="s">
        <v>169</v>
      </c>
      <c r="E327" s="13" t="s">
        <v>420</v>
      </c>
      <c r="F327" s="3" t="n">
        <v>46075</v>
      </c>
      <c r="G327" s="3" t="n">
        <v>46076</v>
      </c>
      <c r="H327" s="3" t="n">
        <v>46203</v>
      </c>
      <c r="I327" s="15" t="s">
        <v>167</v>
      </c>
      <c r="J327" s="15" t="n">
        <v>1</v>
      </c>
      <c r="K327" s="3" t="n">
        <v>46142</v>
      </c>
      <c r="L327" s="20" t="n">
        <f aca="false">IF(K327="","",EOMONTH(K327,2))</f>
        <v>46203</v>
      </c>
    </row>
    <row r="328" customFormat="false" ht="14.25" hidden="false" customHeight="true" outlineLevel="0" collapsed="false">
      <c r="A328" s="15" t="n">
        <v>4909</v>
      </c>
      <c r="B328" s="15" t="s">
        <v>204</v>
      </c>
      <c r="C328" s="15" t="s">
        <v>164</v>
      </c>
      <c r="D328" s="15" t="s">
        <v>180</v>
      </c>
      <c r="E328" s="13" t="s">
        <v>203</v>
      </c>
      <c r="F328" s="3" t="n">
        <v>46091</v>
      </c>
      <c r="G328" s="3" t="n">
        <v>46105</v>
      </c>
      <c r="H328" s="3" t="n">
        <v>46119</v>
      </c>
      <c r="I328" s="15" t="s">
        <v>167</v>
      </c>
      <c r="J328" s="15" t="n">
        <v>3</v>
      </c>
      <c r="K328" s="3" t="n">
        <v>46173</v>
      </c>
      <c r="L328" s="20" t="n">
        <f aca="false">IF(K328="","",EOMONTH(K328,2))</f>
        <v>46234</v>
      </c>
    </row>
    <row r="329" customFormat="false" ht="25.5" hidden="false" customHeight="true" outlineLevel="0" collapsed="false">
      <c r="A329" s="15" t="n">
        <v>4917</v>
      </c>
      <c r="B329" s="15" t="s">
        <v>206</v>
      </c>
      <c r="C329" s="15" t="s">
        <v>164</v>
      </c>
      <c r="D329" s="15" t="s">
        <v>165</v>
      </c>
      <c r="E329" s="13" t="s">
        <v>331</v>
      </c>
      <c r="F329" s="3" t="n">
        <v>46092</v>
      </c>
      <c r="G329" s="3" t="n">
        <v>46096</v>
      </c>
      <c r="H329" s="3" t="n">
        <v>46203</v>
      </c>
      <c r="I329" s="15" t="s">
        <v>167</v>
      </c>
      <c r="J329" s="15" t="n">
        <v>6</v>
      </c>
      <c r="K329" s="3" t="n">
        <v>46173</v>
      </c>
      <c r="L329" s="20" t="n">
        <f aca="false">IF(K329="","",EOMONTH(K329,2))</f>
        <v>46234</v>
      </c>
    </row>
    <row r="330" customFormat="false" ht="14.25" hidden="false" customHeight="true" outlineLevel="0" collapsed="false">
      <c r="A330" s="15" t="n">
        <v>4920</v>
      </c>
      <c r="B330" s="15" t="s">
        <v>199</v>
      </c>
      <c r="C330" s="15" t="s">
        <v>164</v>
      </c>
      <c r="D330" s="15" t="s">
        <v>185</v>
      </c>
      <c r="E330" s="13" t="s">
        <v>233</v>
      </c>
      <c r="F330" s="3" t="n">
        <v>46093</v>
      </c>
      <c r="G330" s="3" t="n">
        <v>46114</v>
      </c>
      <c r="H330" s="3" t="n">
        <v>46203</v>
      </c>
      <c r="I330" s="15" t="s">
        <v>167</v>
      </c>
      <c r="J330" s="15" t="n">
        <v>5</v>
      </c>
      <c r="K330" s="3" t="n">
        <v>46203</v>
      </c>
      <c r="L330" s="20" t="n">
        <f aca="false">IF(K330="","",EOMONTH(K330,2))</f>
        <v>46265</v>
      </c>
    </row>
    <row r="331" customFormat="false" ht="14.25" hidden="false" customHeight="true" outlineLevel="0" collapsed="false">
      <c r="A331" s="15" t="n">
        <v>5622</v>
      </c>
      <c r="B331" s="15" t="s">
        <v>228</v>
      </c>
      <c r="C331" s="15" t="s">
        <v>184</v>
      </c>
      <c r="D331" s="15" t="s">
        <v>185</v>
      </c>
      <c r="E331" s="13" t="s">
        <v>421</v>
      </c>
      <c r="F331" s="3" t="n">
        <v>46093</v>
      </c>
      <c r="G331" s="15"/>
      <c r="H331" s="3" t="n">
        <v>46094</v>
      </c>
      <c r="I331" s="15" t="s">
        <v>167</v>
      </c>
      <c r="J331" s="15" t="n">
        <v>1</v>
      </c>
      <c r="K331" s="15"/>
      <c r="L331" s="20" t="str">
        <f aca="false">IF(K331="","",EOMONTH(K331,2))</f>
        <v/>
      </c>
    </row>
    <row r="332" customFormat="false" ht="14.25" hidden="false" customHeight="true" outlineLevel="0" collapsed="false">
      <c r="A332" s="15" t="n">
        <v>5623</v>
      </c>
      <c r="B332" s="15" t="s">
        <v>199</v>
      </c>
      <c r="C332" s="15" t="s">
        <v>184</v>
      </c>
      <c r="D332" s="15" t="s">
        <v>185</v>
      </c>
      <c r="E332" s="13" t="s">
        <v>422</v>
      </c>
      <c r="F332" s="3" t="n">
        <v>46093</v>
      </c>
      <c r="G332" s="3" t="n">
        <v>46108</v>
      </c>
      <c r="H332" s="3" t="n">
        <v>46094</v>
      </c>
      <c r="I332" s="15" t="s">
        <v>167</v>
      </c>
      <c r="J332" s="15" t="n">
        <v>7</v>
      </c>
      <c r="K332" s="3" t="n">
        <v>46173</v>
      </c>
      <c r="L332" s="20" t="n">
        <f aca="false">IF(K332="","",EOMONTH(K332,2))</f>
        <v>46234</v>
      </c>
    </row>
    <row r="333" customFormat="false" ht="14.25" hidden="false" customHeight="true" outlineLevel="0" collapsed="false">
      <c r="A333" s="15" t="n">
        <v>5624</v>
      </c>
      <c r="B333" s="15" t="s">
        <v>188</v>
      </c>
      <c r="C333" s="15" t="s">
        <v>184</v>
      </c>
      <c r="D333" s="15" t="s">
        <v>185</v>
      </c>
      <c r="E333" s="13" t="s">
        <v>423</v>
      </c>
      <c r="F333" s="3" t="n">
        <v>46096</v>
      </c>
      <c r="G333" s="3" t="n">
        <v>46097</v>
      </c>
      <c r="H333" s="3" t="n">
        <v>46096</v>
      </c>
      <c r="I333" s="15" t="s">
        <v>167</v>
      </c>
      <c r="J333" s="15" t="n">
        <v>1</v>
      </c>
      <c r="K333" s="3" t="n">
        <v>46173</v>
      </c>
      <c r="L333" s="20" t="n">
        <f aca="false">IF(K333="","",EOMONTH(K333,2))</f>
        <v>46234</v>
      </c>
    </row>
    <row r="334" customFormat="false" ht="14.25" hidden="false" customHeight="true" outlineLevel="0" collapsed="false">
      <c r="A334" s="15" t="n">
        <v>5625</v>
      </c>
      <c r="B334" s="15" t="s">
        <v>183</v>
      </c>
      <c r="C334" s="15" t="s">
        <v>184</v>
      </c>
      <c r="D334" s="15" t="s">
        <v>185</v>
      </c>
      <c r="E334" s="13" t="s">
        <v>424</v>
      </c>
      <c r="F334" s="3" t="n">
        <v>46096</v>
      </c>
      <c r="G334" s="15"/>
      <c r="H334" s="3" t="n">
        <v>46096</v>
      </c>
      <c r="I334" s="15" t="s">
        <v>167</v>
      </c>
      <c r="J334" s="15" t="n">
        <v>1</v>
      </c>
      <c r="K334" s="15"/>
      <c r="L334" s="20" t="str">
        <f aca="false">IF(K334="","",EOMONTH(K334,2))</f>
        <v/>
      </c>
    </row>
    <row r="335" customFormat="false" ht="14.25" hidden="false" customHeight="true" outlineLevel="0" collapsed="false">
      <c r="A335" s="15" t="n">
        <v>5626</v>
      </c>
      <c r="B335" s="15" t="s">
        <v>188</v>
      </c>
      <c r="C335" s="15" t="s">
        <v>184</v>
      </c>
      <c r="D335" s="15" t="s">
        <v>185</v>
      </c>
      <c r="E335" s="13" t="s">
        <v>425</v>
      </c>
      <c r="F335" s="3" t="n">
        <v>46100</v>
      </c>
      <c r="G335" s="15"/>
      <c r="H335" s="3" t="n">
        <v>46100</v>
      </c>
      <c r="I335" s="15" t="s">
        <v>167</v>
      </c>
      <c r="J335" s="15" t="n">
        <v>1</v>
      </c>
      <c r="K335" s="15"/>
      <c r="L335" s="20" t="str">
        <f aca="false">IF(K335="","",EOMONTH(K335,2))</f>
        <v/>
      </c>
    </row>
    <row r="336" customFormat="false" ht="14.25" hidden="false" customHeight="true" outlineLevel="0" collapsed="false">
      <c r="A336" s="15" t="n">
        <v>5627</v>
      </c>
      <c r="B336" s="15" t="s">
        <v>188</v>
      </c>
      <c r="C336" s="15" t="s">
        <v>184</v>
      </c>
      <c r="D336" s="15" t="s">
        <v>185</v>
      </c>
      <c r="E336" s="13" t="s">
        <v>426</v>
      </c>
      <c r="F336" s="3" t="n">
        <v>46103</v>
      </c>
      <c r="G336" s="15"/>
      <c r="H336" s="3" t="n">
        <v>46103</v>
      </c>
      <c r="I336" s="15" t="s">
        <v>167</v>
      </c>
      <c r="J336" s="15" t="n">
        <v>1</v>
      </c>
      <c r="K336" s="15"/>
      <c r="L336" s="20" t="str">
        <f aca="false">IF(K336="","",EOMONTH(K336,2))</f>
        <v/>
      </c>
    </row>
    <row r="337" customFormat="false" ht="14.25" hidden="false" customHeight="true" outlineLevel="0" collapsed="false">
      <c r="A337" s="15" t="n">
        <v>5628</v>
      </c>
      <c r="B337" s="15" t="s">
        <v>188</v>
      </c>
      <c r="C337" s="15" t="s">
        <v>184</v>
      </c>
      <c r="D337" s="15" t="s">
        <v>185</v>
      </c>
      <c r="E337" s="13" t="s">
        <v>427</v>
      </c>
      <c r="F337" s="3" t="n">
        <v>46103</v>
      </c>
      <c r="G337" s="15"/>
      <c r="H337" s="3" t="n">
        <v>46103</v>
      </c>
      <c r="I337" s="15" t="s">
        <v>167</v>
      </c>
      <c r="J337" s="15" t="n">
        <v>1</v>
      </c>
      <c r="K337" s="15"/>
      <c r="L337" s="20" t="str">
        <f aca="false">IF(K337="","",EOMONTH(K337,2))</f>
        <v/>
      </c>
    </row>
    <row r="338" customFormat="false" ht="14.25" hidden="false" customHeight="true" outlineLevel="0" collapsed="false">
      <c r="A338" s="15" t="n">
        <v>4925</v>
      </c>
      <c r="B338" s="15" t="s">
        <v>362</v>
      </c>
      <c r="C338" s="15" t="s">
        <v>164</v>
      </c>
      <c r="D338" s="15" t="s">
        <v>180</v>
      </c>
      <c r="E338" s="13" t="s">
        <v>214</v>
      </c>
      <c r="F338" s="3" t="n">
        <v>46122</v>
      </c>
      <c r="G338" s="3" t="n">
        <v>46133</v>
      </c>
      <c r="H338" s="3" t="n">
        <v>46203</v>
      </c>
      <c r="I338" s="15" t="s">
        <v>167</v>
      </c>
      <c r="J338" s="15" t="n">
        <v>36</v>
      </c>
      <c r="K338" s="3" t="n">
        <v>46203</v>
      </c>
      <c r="L338" s="20" t="n">
        <f aca="false">IF(K338="","",EOMONTH(K338,2))</f>
        <v>46265</v>
      </c>
    </row>
    <row r="339" customFormat="false" ht="14.25" hidden="false" customHeight="true" outlineLevel="0" collapsed="false">
      <c r="A339" s="15" t="n">
        <v>3644</v>
      </c>
      <c r="B339" s="15" t="s">
        <v>428</v>
      </c>
      <c r="C339" s="15" t="s">
        <v>176</v>
      </c>
      <c r="D339" s="15" t="s">
        <v>270</v>
      </c>
      <c r="E339" s="13" t="s">
        <v>429</v>
      </c>
      <c r="F339" s="3" t="n">
        <v>46123</v>
      </c>
      <c r="G339" s="3" t="n">
        <v>46130</v>
      </c>
      <c r="H339" s="3" t="n">
        <v>46123</v>
      </c>
      <c r="I339" s="15" t="s">
        <v>167</v>
      </c>
      <c r="J339" s="15" t="n">
        <v>1</v>
      </c>
      <c r="K339" s="3" t="n">
        <v>46203</v>
      </c>
      <c r="L339" s="20" t="n">
        <f aca="false">IF(K339="","",EOMONTH(K339,2))</f>
        <v>46265</v>
      </c>
    </row>
    <row r="340" customFormat="false" ht="14.25" hidden="false" customHeight="true" outlineLevel="0" collapsed="false">
      <c r="A340" s="15" t="n">
        <v>3645</v>
      </c>
      <c r="B340" s="15" t="s">
        <v>430</v>
      </c>
      <c r="C340" s="15" t="s">
        <v>176</v>
      </c>
      <c r="D340" s="15" t="s">
        <v>270</v>
      </c>
      <c r="E340" s="13" t="s">
        <v>429</v>
      </c>
      <c r="F340" s="3" t="n">
        <v>46123</v>
      </c>
      <c r="G340" s="3" t="n">
        <v>46130</v>
      </c>
      <c r="H340" s="3" t="n">
        <v>46123</v>
      </c>
      <c r="I340" s="15" t="s">
        <v>167</v>
      </c>
      <c r="J340" s="15" t="n">
        <v>5</v>
      </c>
      <c r="K340" s="3" t="n">
        <v>46203</v>
      </c>
      <c r="L340" s="20" t="n">
        <f aca="false">IF(K340="","",EOMONTH(K340,2))</f>
        <v>46265</v>
      </c>
    </row>
    <row r="341" customFormat="false" ht="14.25" hidden="false" customHeight="true" outlineLevel="0" collapsed="false">
      <c r="A341" s="15" t="n">
        <v>4910</v>
      </c>
      <c r="B341" s="15" t="s">
        <v>430</v>
      </c>
      <c r="C341" s="15" t="s">
        <v>164</v>
      </c>
      <c r="D341" s="15" t="s">
        <v>239</v>
      </c>
      <c r="E341" s="13" t="s">
        <v>431</v>
      </c>
      <c r="F341" s="3" t="n">
        <v>46123</v>
      </c>
      <c r="G341" s="3" t="n">
        <v>46130</v>
      </c>
      <c r="H341" s="3" t="n">
        <v>46135</v>
      </c>
      <c r="I341" s="15" t="s">
        <v>167</v>
      </c>
      <c r="J341" s="15" t="n">
        <v>5</v>
      </c>
      <c r="K341" s="3" t="n">
        <v>46203</v>
      </c>
      <c r="L341" s="20" t="n">
        <f aca="false">IF(K341="","",EOMONTH(K341,2))</f>
        <v>46265</v>
      </c>
    </row>
    <row r="342" customFormat="false" ht="14.25" hidden="false" customHeight="true" outlineLevel="0" collapsed="false">
      <c r="A342" s="15" t="n">
        <v>4921</v>
      </c>
      <c r="B342" s="15" t="s">
        <v>428</v>
      </c>
      <c r="C342" s="15" t="s">
        <v>164</v>
      </c>
      <c r="D342" s="15" t="s">
        <v>432</v>
      </c>
      <c r="E342" s="13" t="s">
        <v>431</v>
      </c>
      <c r="F342" s="3" t="n">
        <v>46123</v>
      </c>
      <c r="G342" s="3" t="n">
        <v>46130</v>
      </c>
      <c r="H342" s="3" t="n">
        <v>46203</v>
      </c>
      <c r="I342" s="15" t="s">
        <v>167</v>
      </c>
      <c r="J342" s="15" t="n">
        <v>1</v>
      </c>
      <c r="K342" s="3" t="n">
        <v>46203</v>
      </c>
      <c r="L342" s="20" t="n">
        <f aca="false">IF(K342="","",EOMONTH(K342,2))</f>
        <v>46265</v>
      </c>
    </row>
    <row r="343" customFormat="false" ht="14.25" hidden="false" customHeight="true" outlineLevel="0" collapsed="false">
      <c r="A343" s="15" t="n">
        <v>4923</v>
      </c>
      <c r="B343" s="15" t="s">
        <v>395</v>
      </c>
      <c r="C343" s="15" t="s">
        <v>164</v>
      </c>
      <c r="D343" s="15" t="s">
        <v>180</v>
      </c>
      <c r="E343" s="13" t="s">
        <v>214</v>
      </c>
      <c r="F343" s="3" t="n">
        <v>46125</v>
      </c>
      <c r="G343" s="3" t="n">
        <v>46135</v>
      </c>
      <c r="H343" s="3" t="n">
        <v>46203</v>
      </c>
      <c r="I343" s="15" t="s">
        <v>167</v>
      </c>
      <c r="J343" s="15" t="n">
        <v>22</v>
      </c>
      <c r="K343" s="3" t="n">
        <v>46203</v>
      </c>
      <c r="L343" s="20" t="n">
        <f aca="false">IF(K343="","",EOMONTH(K343,2))</f>
        <v>46265</v>
      </c>
    </row>
    <row r="344" customFormat="false" ht="14.25" hidden="false" customHeight="true" outlineLevel="0" collapsed="false">
      <c r="A344" s="15" t="n">
        <v>5629</v>
      </c>
      <c r="B344" s="15" t="s">
        <v>276</v>
      </c>
      <c r="C344" s="15" t="s">
        <v>184</v>
      </c>
      <c r="D344" s="15" t="s">
        <v>185</v>
      </c>
      <c r="E344" s="13" t="s">
        <v>433</v>
      </c>
      <c r="F344" s="3" t="n">
        <v>46130</v>
      </c>
      <c r="G344" s="15"/>
      <c r="H344" s="3" t="n">
        <v>46133</v>
      </c>
      <c r="I344" s="15" t="s">
        <v>167</v>
      </c>
      <c r="J344" s="15" t="n">
        <v>2</v>
      </c>
      <c r="K344" s="15"/>
      <c r="L344" s="20" t="str">
        <f aca="false">IF(K344="","",EOMONTH(K344,2))</f>
        <v/>
      </c>
    </row>
    <row r="345" customFormat="false" ht="14.25" hidden="false" customHeight="true" outlineLevel="0" collapsed="false">
      <c r="A345" s="15" t="n">
        <v>5631</v>
      </c>
      <c r="B345" s="15" t="s">
        <v>215</v>
      </c>
      <c r="C345" s="15" t="s">
        <v>184</v>
      </c>
      <c r="D345" s="15" t="s">
        <v>185</v>
      </c>
      <c r="E345" s="13" t="s">
        <v>434</v>
      </c>
      <c r="F345" s="3" t="n">
        <v>46131</v>
      </c>
      <c r="G345" s="15"/>
      <c r="H345" s="3" t="n">
        <v>46134</v>
      </c>
      <c r="I345" s="15" t="s">
        <v>167</v>
      </c>
      <c r="J345" s="15" t="n">
        <v>2</v>
      </c>
      <c r="K345" s="15"/>
      <c r="L345" s="20" t="str">
        <f aca="false">IF(K345="","",EOMONTH(K345,2))</f>
        <v/>
      </c>
    </row>
    <row r="346" customFormat="false" ht="14.25" hidden="false" customHeight="true" outlineLevel="0" collapsed="false">
      <c r="A346" s="15" t="n">
        <v>5630</v>
      </c>
      <c r="B346" s="15" t="s">
        <v>276</v>
      </c>
      <c r="C346" s="15" t="s">
        <v>184</v>
      </c>
      <c r="D346" s="15" t="s">
        <v>185</v>
      </c>
      <c r="E346" s="13" t="s">
        <v>435</v>
      </c>
      <c r="F346" s="3" t="n">
        <v>46132</v>
      </c>
      <c r="G346" s="15"/>
      <c r="H346" s="3" t="n">
        <v>46134</v>
      </c>
      <c r="I346" s="15" t="s">
        <v>167</v>
      </c>
      <c r="J346" s="15" t="n">
        <v>1</v>
      </c>
      <c r="K346" s="15"/>
      <c r="L346" s="20" t="str">
        <f aca="false">IF(K346="","",EOMONTH(K346,2))</f>
        <v/>
      </c>
    </row>
    <row r="347" customFormat="false" ht="14.25" hidden="false" customHeight="true" outlineLevel="0" collapsed="false">
      <c r="A347" s="15" t="n">
        <v>5632</v>
      </c>
      <c r="B347" s="15" t="s">
        <v>215</v>
      </c>
      <c r="C347" s="15" t="s">
        <v>184</v>
      </c>
      <c r="D347" s="15" t="s">
        <v>185</v>
      </c>
      <c r="E347" s="13" t="s">
        <v>436</v>
      </c>
      <c r="F347" s="3" t="n">
        <v>46133</v>
      </c>
      <c r="G347" s="15"/>
      <c r="H347" s="3" t="n">
        <v>46135</v>
      </c>
      <c r="I347" s="15" t="s">
        <v>167</v>
      </c>
      <c r="J347" s="15" t="n">
        <v>1</v>
      </c>
      <c r="K347" s="15"/>
      <c r="L347" s="20" t="str">
        <f aca="false">IF(K347="","",EOMONTH(K347,2))</f>
        <v/>
      </c>
    </row>
    <row r="348" customFormat="false" ht="14.25" hidden="false" customHeight="true" outlineLevel="0" collapsed="false">
      <c r="A348" s="15" t="n">
        <v>4924</v>
      </c>
      <c r="B348" s="15" t="s">
        <v>217</v>
      </c>
      <c r="C348" s="15" t="s">
        <v>164</v>
      </c>
      <c r="D348" s="15" t="s">
        <v>165</v>
      </c>
      <c r="E348" s="13" t="s">
        <v>214</v>
      </c>
      <c r="F348" s="3" t="n">
        <v>46135</v>
      </c>
      <c r="G348" s="3" t="n">
        <v>46140</v>
      </c>
      <c r="H348" s="3" t="n">
        <v>46203</v>
      </c>
      <c r="I348" s="15" t="s">
        <v>167</v>
      </c>
      <c r="J348" s="15" t="n">
        <v>10</v>
      </c>
      <c r="K348" s="3" t="n">
        <v>46203</v>
      </c>
      <c r="L348" s="20" t="n">
        <f aca="false">IF(K348="","",EOMONTH(K348,2))</f>
        <v>46265</v>
      </c>
    </row>
    <row r="349" customFormat="false" ht="14.25" hidden="false" customHeight="true" outlineLevel="0" collapsed="false">
      <c r="A349" s="15" t="n">
        <v>4926</v>
      </c>
      <c r="B349" s="15" t="s">
        <v>168</v>
      </c>
      <c r="C349" s="15" t="s">
        <v>164</v>
      </c>
      <c r="D349" s="15" t="s">
        <v>165</v>
      </c>
      <c r="E349" s="13" t="s">
        <v>202</v>
      </c>
      <c r="F349" s="3" t="n">
        <v>46138</v>
      </c>
      <c r="G349" s="3" t="n">
        <v>46139</v>
      </c>
      <c r="H349" s="3" t="n">
        <v>46203</v>
      </c>
      <c r="I349" s="15" t="s">
        <v>167</v>
      </c>
      <c r="J349" s="15" t="n">
        <v>5</v>
      </c>
      <c r="K349" s="3" t="n">
        <v>46203</v>
      </c>
      <c r="L349" s="20" t="n">
        <f aca="false">IF(K349="","",EOMONTH(K349,2))</f>
        <v>46265</v>
      </c>
    </row>
    <row r="350" customFormat="false" ht="14.25" hidden="false" customHeight="true" outlineLevel="0" collapsed="false">
      <c r="A350" s="15" t="n">
        <v>4922</v>
      </c>
      <c r="B350" s="15" t="s">
        <v>24</v>
      </c>
      <c r="C350" s="15" t="s">
        <v>164</v>
      </c>
      <c r="D350" s="15" t="s">
        <v>165</v>
      </c>
      <c r="E350" s="13" t="s">
        <v>202</v>
      </c>
      <c r="F350" s="3" t="n">
        <v>46148</v>
      </c>
      <c r="G350" s="3" t="n">
        <v>46149</v>
      </c>
      <c r="H350" s="3" t="n">
        <v>46203</v>
      </c>
      <c r="I350" s="15" t="s">
        <v>167</v>
      </c>
      <c r="J350" s="15" t="n">
        <v>5</v>
      </c>
      <c r="K350" s="3" t="n">
        <v>46234</v>
      </c>
      <c r="L350" s="20" t="n">
        <f aca="false">IF(K350="","",EOMONTH(K350,2))</f>
        <v>46295</v>
      </c>
    </row>
    <row r="351" customFormat="false" ht="14.25" hidden="false" customHeight="true" outlineLevel="0" collapsed="false">
      <c r="A351" s="15" t="n">
        <v>5633</v>
      </c>
      <c r="B351" s="15" t="s">
        <v>183</v>
      </c>
      <c r="C351" s="15" t="s">
        <v>184</v>
      </c>
      <c r="D351" s="15" t="s">
        <v>185</v>
      </c>
      <c r="E351" s="13" t="s">
        <v>437</v>
      </c>
      <c r="F351" s="3" t="n">
        <v>46156</v>
      </c>
      <c r="G351" s="3" t="n">
        <v>46161</v>
      </c>
      <c r="H351" s="3" t="n">
        <v>46156</v>
      </c>
      <c r="I351" s="15" t="s">
        <v>167</v>
      </c>
      <c r="J351" s="15" t="n">
        <v>1</v>
      </c>
      <c r="K351" s="3" t="n">
        <v>46234</v>
      </c>
      <c r="L351" s="20" t="n">
        <f aca="false">IF(K351="","",EOMONTH(K351,2))</f>
        <v>46295</v>
      </c>
    </row>
    <row r="352" customFormat="false" ht="14.25" hidden="false" customHeight="true" outlineLevel="0" collapsed="false">
      <c r="A352" s="15" t="n">
        <v>5634</v>
      </c>
      <c r="B352" s="15" t="s">
        <v>183</v>
      </c>
      <c r="C352" s="15" t="s">
        <v>184</v>
      </c>
      <c r="D352" s="15" t="s">
        <v>185</v>
      </c>
      <c r="E352" s="13" t="s">
        <v>438</v>
      </c>
      <c r="F352" s="3" t="n">
        <v>46160</v>
      </c>
      <c r="G352" s="3" t="n">
        <v>46163</v>
      </c>
      <c r="H352" s="3" t="n">
        <v>46160</v>
      </c>
      <c r="I352" s="15" t="s">
        <v>167</v>
      </c>
      <c r="J352" s="15" t="n">
        <v>1</v>
      </c>
      <c r="K352" s="3" t="n">
        <v>46234</v>
      </c>
      <c r="L352" s="20" t="n">
        <f aca="false">IF(K352="","",EOMONTH(K352,2))</f>
        <v>46295</v>
      </c>
    </row>
    <row r="353" customFormat="false" ht="14.25" hidden="false" customHeight="true" outlineLevel="0" collapsed="false">
      <c r="A353" s="15" t="n">
        <v>5635</v>
      </c>
      <c r="B353" s="15" t="s">
        <v>117</v>
      </c>
      <c r="C353" s="15" t="s">
        <v>184</v>
      </c>
      <c r="D353" s="15" t="s">
        <v>185</v>
      </c>
      <c r="E353" s="13" t="s">
        <v>439</v>
      </c>
      <c r="F353" s="3" t="n">
        <v>46160</v>
      </c>
      <c r="G353" s="15"/>
      <c r="H353" s="3" t="n">
        <v>46160</v>
      </c>
      <c r="I353" s="15" t="s">
        <v>167</v>
      </c>
      <c r="J353" s="15" t="n">
        <v>1</v>
      </c>
      <c r="K353" s="15"/>
      <c r="L353" s="20" t="str">
        <f aca="false">IF(K353="","",EOMONTH(K353,2))</f>
        <v/>
      </c>
    </row>
    <row r="354" customFormat="false" ht="14.25" hidden="false" customHeight="true" outlineLevel="0" collapsed="false">
      <c r="A354" s="15" t="n">
        <v>5636</v>
      </c>
      <c r="B354" s="15" t="s">
        <v>117</v>
      </c>
      <c r="C354" s="15" t="s">
        <v>184</v>
      </c>
      <c r="D354" s="15" t="s">
        <v>185</v>
      </c>
      <c r="E354" s="13" t="s">
        <v>440</v>
      </c>
      <c r="F354" s="3" t="n">
        <v>46161</v>
      </c>
      <c r="G354" s="15"/>
      <c r="H354" s="3" t="n">
        <v>46162</v>
      </c>
      <c r="I354" s="15" t="s">
        <v>167</v>
      </c>
      <c r="J354" s="15" t="n">
        <v>1</v>
      </c>
      <c r="K354" s="15"/>
      <c r="L354" s="20" t="str">
        <f aca="false">IF(K354="","",EOMONTH(K354,2))</f>
        <v/>
      </c>
    </row>
    <row r="355" customFormat="false" ht="14.25" hidden="false" customHeight="true" outlineLevel="0" collapsed="false">
      <c r="A355" s="15" t="n">
        <v>3646</v>
      </c>
      <c r="B355" s="15" t="s">
        <v>117</v>
      </c>
      <c r="C355" s="15" t="s">
        <v>176</v>
      </c>
      <c r="D355" s="15" t="s">
        <v>441</v>
      </c>
      <c r="E355" s="13" t="s">
        <v>442</v>
      </c>
      <c r="F355" s="3" t="n">
        <v>46163</v>
      </c>
      <c r="G355" s="3" t="n">
        <v>46171</v>
      </c>
      <c r="H355" s="3" t="n">
        <v>46167</v>
      </c>
      <c r="I355" s="15" t="s">
        <v>167</v>
      </c>
      <c r="J355" s="15" t="n">
        <v>1</v>
      </c>
      <c r="K355" s="3" t="n">
        <v>46234</v>
      </c>
      <c r="L355" s="20" t="n">
        <f aca="false">IF(K355="","",EOMONTH(K355,2))</f>
        <v>46295</v>
      </c>
    </row>
  </sheetData>
  <autoFilter ref="A1:K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6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M141" activeCellId="0" sqref="M141"/>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1"/>
    <col collapsed="false" customWidth="true" hidden="false" outlineLevel="0" max="4" min="4" style="1" width="13"/>
    <col collapsed="false" customWidth="true" hidden="false" outlineLevel="0" max="5" min="5" style="1" width="7"/>
    <col collapsed="false" customWidth="true" hidden="false" outlineLevel="0" max="6" min="6" style="1" width="40"/>
    <col collapsed="false" customWidth="true" hidden="false" outlineLevel="0" max="8" min="7" style="1" width="60"/>
    <col collapsed="false" customWidth="true" hidden="false" outlineLevel="0" max="9" min="9" style="1" width="45"/>
    <col collapsed="false" customWidth="true" hidden="false" outlineLevel="0" max="10" min="10" style="1" width="18"/>
    <col collapsed="false" customWidth="true" hidden="false" outlineLevel="0" max="11" min="11" style="1" width="10"/>
    <col collapsed="false" customWidth="true" hidden="false" outlineLevel="0" max="12" min="12" style="1" width="48"/>
  </cols>
  <sheetData>
    <row r="1" customFormat="false" ht="14.25" hidden="false" customHeight="true" outlineLevel="0" collapsed="false">
      <c r="A1" s="21" t="s">
        <v>443</v>
      </c>
      <c r="B1" s="21" t="s">
        <v>444</v>
      </c>
      <c r="C1" s="21" t="s">
        <v>445</v>
      </c>
      <c r="D1" s="21" t="s">
        <v>446</v>
      </c>
      <c r="E1" s="21" t="s">
        <v>447</v>
      </c>
      <c r="F1" s="21" t="s">
        <v>448</v>
      </c>
      <c r="G1" s="21" t="s">
        <v>155</v>
      </c>
      <c r="H1" s="21" t="s">
        <v>449</v>
      </c>
      <c r="I1" s="21" t="s">
        <v>450</v>
      </c>
      <c r="J1" s="21" t="s">
        <v>451</v>
      </c>
      <c r="K1" s="21" t="s">
        <v>452</v>
      </c>
      <c r="L1" s="21" t="s">
        <v>453</v>
      </c>
    </row>
    <row r="2" customFormat="false" ht="14.25" hidden="true" customHeight="true" outlineLevel="0" collapsed="false">
      <c r="A2" s="22" t="s">
        <v>454</v>
      </c>
      <c r="B2" s="22" t="s">
        <v>455</v>
      </c>
      <c r="C2" s="23" t="n">
        <v>45293</v>
      </c>
      <c r="D2" s="22"/>
      <c r="E2" s="22" t="n">
        <v>0</v>
      </c>
      <c r="F2" s="22"/>
      <c r="G2" s="22" t="s">
        <v>456</v>
      </c>
      <c r="H2" s="22" t="s">
        <v>457</v>
      </c>
      <c r="I2" s="22" t="s">
        <v>458</v>
      </c>
      <c r="J2" s="22" t="s">
        <v>459</v>
      </c>
      <c r="K2" s="22"/>
      <c r="L2" s="22"/>
    </row>
    <row r="3" customFormat="false" ht="14.25" hidden="true" customHeight="true" outlineLevel="0" collapsed="false">
      <c r="A3" s="22" t="s">
        <v>460</v>
      </c>
      <c r="B3" s="22" t="s">
        <v>455</v>
      </c>
      <c r="C3" s="23" t="n">
        <v>45300</v>
      </c>
      <c r="D3" s="22"/>
      <c r="E3" s="22" t="n">
        <v>0</v>
      </c>
      <c r="F3" s="22"/>
      <c r="G3" s="22" t="s">
        <v>461</v>
      </c>
      <c r="H3" s="22" t="s">
        <v>462</v>
      </c>
      <c r="I3" s="22" t="s">
        <v>463</v>
      </c>
      <c r="J3" s="22" t="s">
        <v>459</v>
      </c>
      <c r="K3" s="22"/>
      <c r="L3" s="22"/>
    </row>
    <row r="4" customFormat="false" ht="14.25" hidden="true" customHeight="true" outlineLevel="0" collapsed="false">
      <c r="A4" s="22" t="s">
        <v>464</v>
      </c>
      <c r="B4" s="22" t="s">
        <v>455</v>
      </c>
      <c r="C4" s="23" t="n">
        <v>45301</v>
      </c>
      <c r="D4" s="22"/>
      <c r="E4" s="22" t="n">
        <v>0</v>
      </c>
      <c r="F4" s="22"/>
      <c r="G4" s="22" t="s">
        <v>465</v>
      </c>
      <c r="H4" s="22" t="s">
        <v>466</v>
      </c>
      <c r="I4" s="22" t="s">
        <v>467</v>
      </c>
      <c r="J4" s="22" t="s">
        <v>459</v>
      </c>
      <c r="K4" s="22"/>
      <c r="L4" s="22"/>
    </row>
    <row r="5" customFormat="false" ht="14.25" hidden="true" customHeight="true" outlineLevel="0" collapsed="false">
      <c r="A5" s="22" t="s">
        <v>468</v>
      </c>
      <c r="B5" s="22" t="s">
        <v>455</v>
      </c>
      <c r="C5" s="23" t="n">
        <v>45302</v>
      </c>
      <c r="D5" s="22"/>
      <c r="E5" s="22" t="n">
        <v>1</v>
      </c>
      <c r="F5" s="22" t="s">
        <v>469</v>
      </c>
      <c r="G5" s="22" t="s">
        <v>470</v>
      </c>
      <c r="H5" s="22" t="s">
        <v>471</v>
      </c>
      <c r="I5" s="22" t="s">
        <v>472</v>
      </c>
      <c r="J5" s="22" t="s">
        <v>459</v>
      </c>
      <c r="K5" s="22" t="s">
        <v>473</v>
      </c>
      <c r="L5" s="22" t="s">
        <v>474</v>
      </c>
    </row>
    <row r="6" customFormat="false" ht="14.25" hidden="true" customHeight="true" outlineLevel="0" collapsed="false">
      <c r="A6" s="22" t="s">
        <v>475</v>
      </c>
      <c r="B6" s="22" t="s">
        <v>455</v>
      </c>
      <c r="C6" s="23" t="n">
        <v>45307</v>
      </c>
      <c r="D6" s="22"/>
      <c r="E6" s="22" t="n">
        <v>1</v>
      </c>
      <c r="F6" s="22" t="s">
        <v>476</v>
      </c>
      <c r="G6" s="22" t="s">
        <v>470</v>
      </c>
      <c r="H6" s="22" t="s">
        <v>477</v>
      </c>
      <c r="I6" s="22" t="s">
        <v>478</v>
      </c>
      <c r="J6" s="22" t="s">
        <v>459</v>
      </c>
      <c r="K6" s="22" t="s">
        <v>473</v>
      </c>
      <c r="L6" s="22" t="s">
        <v>474</v>
      </c>
    </row>
    <row r="7" customFormat="false" ht="14.25" hidden="true" customHeight="true" outlineLevel="0" collapsed="false">
      <c r="A7" s="22" t="s">
        <v>479</v>
      </c>
      <c r="B7" s="22" t="s">
        <v>455</v>
      </c>
      <c r="C7" s="23" t="n">
        <v>45309</v>
      </c>
      <c r="D7" s="22"/>
      <c r="E7" s="22" t="n">
        <v>1</v>
      </c>
      <c r="F7" s="22" t="s">
        <v>480</v>
      </c>
      <c r="G7" s="22" t="s">
        <v>470</v>
      </c>
      <c r="H7" s="22" t="s">
        <v>477</v>
      </c>
      <c r="I7" s="22" t="s">
        <v>481</v>
      </c>
      <c r="J7" s="22" t="s">
        <v>459</v>
      </c>
      <c r="K7" s="22" t="s">
        <v>473</v>
      </c>
      <c r="L7" s="22" t="s">
        <v>474</v>
      </c>
    </row>
    <row r="8" customFormat="false" ht="14.25" hidden="true" customHeight="true" outlineLevel="0" collapsed="false">
      <c r="A8" s="22" t="s">
        <v>482</v>
      </c>
      <c r="B8" s="22" t="s">
        <v>483</v>
      </c>
      <c r="C8" s="23" t="n">
        <v>45313</v>
      </c>
      <c r="D8" s="23" t="n">
        <v>45233</v>
      </c>
      <c r="E8" s="22" t="n">
        <v>0</v>
      </c>
      <c r="F8" s="22"/>
      <c r="G8" s="22" t="s">
        <v>484</v>
      </c>
      <c r="H8" s="22" t="s">
        <v>485</v>
      </c>
      <c r="I8" s="22" t="s">
        <v>486</v>
      </c>
      <c r="J8" s="22" t="s">
        <v>459</v>
      </c>
      <c r="K8" s="22"/>
      <c r="L8" s="22"/>
    </row>
    <row r="9" customFormat="false" ht="14.25" hidden="true" customHeight="true" outlineLevel="0" collapsed="false">
      <c r="A9" s="22" t="s">
        <v>487</v>
      </c>
      <c r="B9" s="22" t="s">
        <v>455</v>
      </c>
      <c r="C9" s="23" t="n">
        <v>45316</v>
      </c>
      <c r="D9" s="22"/>
      <c r="E9" s="22" t="n">
        <v>1</v>
      </c>
      <c r="F9" s="22" t="s">
        <v>488</v>
      </c>
      <c r="G9" s="22" t="s">
        <v>470</v>
      </c>
      <c r="H9" s="22" t="s">
        <v>471</v>
      </c>
      <c r="I9" s="22" t="s">
        <v>489</v>
      </c>
      <c r="J9" s="22" t="s">
        <v>459</v>
      </c>
      <c r="K9" s="22" t="s">
        <v>473</v>
      </c>
      <c r="L9" s="22" t="s">
        <v>474</v>
      </c>
    </row>
    <row r="10" customFormat="false" ht="14.25" hidden="true" customHeight="true" outlineLevel="0" collapsed="false">
      <c r="A10" s="22" t="s">
        <v>490</v>
      </c>
      <c r="B10" s="22" t="s">
        <v>455</v>
      </c>
      <c r="C10" s="23" t="n">
        <v>45317</v>
      </c>
      <c r="D10" s="22"/>
      <c r="E10" s="22" t="n">
        <v>1</v>
      </c>
      <c r="F10" s="22" t="s">
        <v>491</v>
      </c>
      <c r="G10" s="22" t="s">
        <v>465</v>
      </c>
      <c r="H10" s="22" t="s">
        <v>492</v>
      </c>
      <c r="I10" s="22" t="s">
        <v>493</v>
      </c>
      <c r="J10" s="22" t="s">
        <v>459</v>
      </c>
      <c r="K10" s="22" t="s">
        <v>473</v>
      </c>
      <c r="L10" s="22" t="s">
        <v>474</v>
      </c>
    </row>
    <row r="11" customFormat="false" ht="14.25" hidden="true" customHeight="true" outlineLevel="0" collapsed="false">
      <c r="A11" s="22" t="s">
        <v>494</v>
      </c>
      <c r="B11" s="22" t="s">
        <v>455</v>
      </c>
      <c r="C11" s="23" t="n">
        <v>45320</v>
      </c>
      <c r="D11" s="22"/>
      <c r="E11" s="22" t="n">
        <v>1</v>
      </c>
      <c r="F11" s="22" t="s">
        <v>495</v>
      </c>
      <c r="G11" s="22" t="s">
        <v>465</v>
      </c>
      <c r="H11" s="22" t="s">
        <v>466</v>
      </c>
      <c r="I11" s="22" t="s">
        <v>496</v>
      </c>
      <c r="J11" s="22" t="s">
        <v>459</v>
      </c>
      <c r="K11" s="22" t="s">
        <v>473</v>
      </c>
      <c r="L11" s="22" t="s">
        <v>474</v>
      </c>
    </row>
    <row r="12" customFormat="false" ht="14.25" hidden="true" customHeight="true" outlineLevel="0" collapsed="false">
      <c r="A12" s="22" t="s">
        <v>497</v>
      </c>
      <c r="B12" s="22" t="s">
        <v>455</v>
      </c>
      <c r="C12" s="23" t="n">
        <v>45321</v>
      </c>
      <c r="D12" s="22"/>
      <c r="E12" s="22" t="n">
        <v>1</v>
      </c>
      <c r="F12" s="22" t="s">
        <v>498</v>
      </c>
      <c r="G12" s="22" t="s">
        <v>499</v>
      </c>
      <c r="H12" s="22" t="s">
        <v>500</v>
      </c>
      <c r="I12" s="22" t="s">
        <v>501</v>
      </c>
      <c r="J12" s="22" t="s">
        <v>459</v>
      </c>
      <c r="K12" s="22" t="s">
        <v>473</v>
      </c>
      <c r="L12" s="22" t="s">
        <v>502</v>
      </c>
    </row>
    <row r="13" customFormat="false" ht="14.25" hidden="false" customHeight="true" outlineLevel="0" collapsed="false">
      <c r="A13" s="15" t="s">
        <v>503</v>
      </c>
      <c r="B13" s="15" t="s">
        <v>504</v>
      </c>
      <c r="C13" s="24" t="n">
        <v>45330</v>
      </c>
      <c r="D13" s="24" t="n">
        <v>45390</v>
      </c>
      <c r="E13" s="15" t="n">
        <v>1</v>
      </c>
      <c r="F13" s="15" t="s">
        <v>505</v>
      </c>
      <c r="G13" s="15" t="s">
        <v>506</v>
      </c>
      <c r="H13" s="15" t="s">
        <v>507</v>
      </c>
      <c r="I13" s="15" t="s">
        <v>508</v>
      </c>
      <c r="J13" s="15" t="s">
        <v>459</v>
      </c>
      <c r="K13" s="15" t="s">
        <v>509</v>
      </c>
      <c r="L13" s="15" t="s">
        <v>510</v>
      </c>
    </row>
    <row r="14" customFormat="false" ht="14.25" hidden="true" customHeight="true" outlineLevel="0" collapsed="false">
      <c r="A14" s="22" t="s">
        <v>511</v>
      </c>
      <c r="B14" s="22" t="s">
        <v>504</v>
      </c>
      <c r="C14" s="23" t="n">
        <v>45322</v>
      </c>
      <c r="D14" s="23" t="n">
        <v>45322</v>
      </c>
      <c r="E14" s="22" t="n">
        <v>0</v>
      </c>
      <c r="F14" s="22"/>
      <c r="G14" s="22" t="s">
        <v>512</v>
      </c>
      <c r="H14" s="22" t="s">
        <v>513</v>
      </c>
      <c r="I14" s="22" t="s">
        <v>514</v>
      </c>
      <c r="J14" s="22" t="s">
        <v>459</v>
      </c>
      <c r="K14" s="22"/>
      <c r="L14" s="22"/>
    </row>
    <row r="15" customFormat="false" ht="14.25" hidden="true" customHeight="true" outlineLevel="0" collapsed="false">
      <c r="A15" s="22" t="s">
        <v>515</v>
      </c>
      <c r="B15" s="22" t="s">
        <v>455</v>
      </c>
      <c r="C15" s="23" t="n">
        <v>45322</v>
      </c>
      <c r="D15" s="22"/>
      <c r="E15" s="22" t="n">
        <v>0</v>
      </c>
      <c r="F15" s="22"/>
      <c r="G15" s="22" t="s">
        <v>465</v>
      </c>
      <c r="H15" s="22" t="s">
        <v>466</v>
      </c>
      <c r="I15" s="22" t="s">
        <v>516</v>
      </c>
      <c r="J15" s="22" t="s">
        <v>459</v>
      </c>
      <c r="K15" s="22"/>
      <c r="L15" s="22"/>
    </row>
    <row r="16" customFormat="false" ht="14.25" hidden="true" customHeight="true" outlineLevel="0" collapsed="false">
      <c r="A16" s="22" t="s">
        <v>517</v>
      </c>
      <c r="B16" s="22" t="s">
        <v>504</v>
      </c>
      <c r="C16" s="23" t="n">
        <v>45323</v>
      </c>
      <c r="D16" s="23" t="n">
        <v>45318</v>
      </c>
      <c r="E16" s="22" t="n">
        <v>0</v>
      </c>
      <c r="F16" s="22"/>
      <c r="G16" s="22" t="s">
        <v>518</v>
      </c>
      <c r="H16" s="22" t="s">
        <v>519</v>
      </c>
      <c r="I16" s="22" t="s">
        <v>520</v>
      </c>
      <c r="J16" s="22" t="s">
        <v>459</v>
      </c>
      <c r="K16" s="22"/>
      <c r="L16" s="22"/>
    </row>
    <row r="17" customFormat="false" ht="14.25" hidden="true" customHeight="true" outlineLevel="0" collapsed="false">
      <c r="A17" s="22" t="s">
        <v>521</v>
      </c>
      <c r="B17" s="22" t="s">
        <v>455</v>
      </c>
      <c r="C17" s="23" t="n">
        <v>45324</v>
      </c>
      <c r="D17" s="22"/>
      <c r="E17" s="22" t="n">
        <v>1</v>
      </c>
      <c r="F17" s="22" t="s">
        <v>522</v>
      </c>
      <c r="G17" s="22" t="s">
        <v>465</v>
      </c>
      <c r="H17" s="22" t="s">
        <v>466</v>
      </c>
      <c r="I17" s="22" t="s">
        <v>523</v>
      </c>
      <c r="J17" s="22" t="s">
        <v>459</v>
      </c>
      <c r="K17" s="22" t="s">
        <v>473</v>
      </c>
      <c r="L17" s="22" t="s">
        <v>474</v>
      </c>
    </row>
    <row r="18" customFormat="false" ht="14.25" hidden="true" customHeight="true" outlineLevel="0" collapsed="false">
      <c r="A18" s="22" t="s">
        <v>524</v>
      </c>
      <c r="B18" s="22" t="s">
        <v>455</v>
      </c>
      <c r="C18" s="23" t="n">
        <v>45327</v>
      </c>
      <c r="D18" s="22"/>
      <c r="E18" s="22" t="n">
        <v>0</v>
      </c>
      <c r="F18" s="22"/>
      <c r="G18" s="22" t="s">
        <v>465</v>
      </c>
      <c r="H18" s="22" t="s">
        <v>525</v>
      </c>
      <c r="I18" s="22" t="s">
        <v>526</v>
      </c>
      <c r="J18" s="22" t="s">
        <v>459</v>
      </c>
      <c r="K18" s="22"/>
      <c r="L18" s="22"/>
    </row>
    <row r="19" customFormat="false" ht="14.25" hidden="true" customHeight="true" outlineLevel="0" collapsed="false">
      <c r="A19" s="22" t="s">
        <v>527</v>
      </c>
      <c r="B19" s="22" t="s">
        <v>455</v>
      </c>
      <c r="C19" s="23" t="n">
        <v>45328</v>
      </c>
      <c r="D19" s="22"/>
      <c r="E19" s="22" t="n">
        <v>1</v>
      </c>
      <c r="F19" s="22" t="s">
        <v>528</v>
      </c>
      <c r="G19" s="22" t="s">
        <v>470</v>
      </c>
      <c r="H19" s="22" t="s">
        <v>471</v>
      </c>
      <c r="I19" s="22" t="s">
        <v>529</v>
      </c>
      <c r="J19" s="22" t="s">
        <v>459</v>
      </c>
      <c r="K19" s="22" t="s">
        <v>473</v>
      </c>
      <c r="L19" s="22" t="s">
        <v>474</v>
      </c>
    </row>
    <row r="20" customFormat="false" ht="14.25" hidden="true" customHeight="true" outlineLevel="0" collapsed="false">
      <c r="A20" s="22" t="s">
        <v>530</v>
      </c>
      <c r="B20" s="22" t="s">
        <v>455</v>
      </c>
      <c r="C20" s="23" t="n">
        <v>45328</v>
      </c>
      <c r="D20" s="22"/>
      <c r="E20" s="22" t="n">
        <v>0</v>
      </c>
      <c r="F20" s="22"/>
      <c r="G20" s="22" t="s">
        <v>531</v>
      </c>
      <c r="H20" s="22" t="s">
        <v>532</v>
      </c>
      <c r="I20" s="22" t="s">
        <v>533</v>
      </c>
      <c r="J20" s="22" t="s">
        <v>459</v>
      </c>
      <c r="K20" s="22"/>
      <c r="L20" s="22"/>
    </row>
    <row r="21" customFormat="false" ht="14.25" hidden="true" customHeight="true" outlineLevel="0" collapsed="false">
      <c r="A21" s="22" t="s">
        <v>534</v>
      </c>
      <c r="B21" s="22" t="s">
        <v>455</v>
      </c>
      <c r="C21" s="23" t="n">
        <v>45329</v>
      </c>
      <c r="D21" s="22"/>
      <c r="E21" s="22" t="n">
        <v>1</v>
      </c>
      <c r="F21" s="22" t="s">
        <v>535</v>
      </c>
      <c r="G21" s="22" t="s">
        <v>465</v>
      </c>
      <c r="H21" s="22" t="s">
        <v>492</v>
      </c>
      <c r="I21" s="22" t="s">
        <v>536</v>
      </c>
      <c r="J21" s="22" t="s">
        <v>459</v>
      </c>
      <c r="K21" s="22" t="s">
        <v>473</v>
      </c>
      <c r="L21" s="22" t="s">
        <v>474</v>
      </c>
    </row>
    <row r="22" customFormat="false" ht="14.25" hidden="true" customHeight="true" outlineLevel="0" collapsed="false">
      <c r="A22" s="22" t="s">
        <v>537</v>
      </c>
      <c r="B22" s="22" t="s">
        <v>455</v>
      </c>
      <c r="C22" s="23" t="n">
        <v>45329</v>
      </c>
      <c r="D22" s="22"/>
      <c r="E22" s="22" t="n">
        <v>0</v>
      </c>
      <c r="F22" s="22"/>
      <c r="G22" s="22" t="s">
        <v>470</v>
      </c>
      <c r="H22" s="22" t="s">
        <v>477</v>
      </c>
      <c r="I22" s="22" t="s">
        <v>538</v>
      </c>
      <c r="J22" s="22" t="s">
        <v>459</v>
      </c>
      <c r="K22" s="22"/>
      <c r="L22" s="22"/>
    </row>
    <row r="23" customFormat="false" ht="14.25" hidden="false" customHeight="true" outlineLevel="0" collapsed="false">
      <c r="A23" s="15" t="s">
        <v>539</v>
      </c>
      <c r="B23" s="15" t="s">
        <v>504</v>
      </c>
      <c r="C23" s="24" t="n">
        <v>45405</v>
      </c>
      <c r="D23" s="24" t="n">
        <v>45446</v>
      </c>
      <c r="E23" s="15" t="n">
        <v>1</v>
      </c>
      <c r="F23" s="15" t="s">
        <v>540</v>
      </c>
      <c r="G23" s="15" t="s">
        <v>541</v>
      </c>
      <c r="H23" s="15" t="s">
        <v>542</v>
      </c>
      <c r="I23" s="25" t="s">
        <v>76</v>
      </c>
      <c r="J23" s="15" t="s">
        <v>459</v>
      </c>
      <c r="K23" s="15" t="s">
        <v>509</v>
      </c>
      <c r="L23" s="15" t="s">
        <v>543</v>
      </c>
    </row>
    <row r="24" customFormat="false" ht="14.25" hidden="true" customHeight="true" outlineLevel="0" collapsed="false">
      <c r="A24" s="22" t="s">
        <v>544</v>
      </c>
      <c r="B24" s="22" t="s">
        <v>504</v>
      </c>
      <c r="C24" s="23" t="n">
        <v>45331</v>
      </c>
      <c r="D24" s="23" t="n">
        <v>45331</v>
      </c>
      <c r="E24" s="22" t="n">
        <v>0</v>
      </c>
      <c r="F24" s="22"/>
      <c r="G24" s="22" t="s">
        <v>545</v>
      </c>
      <c r="H24" s="22" t="s">
        <v>546</v>
      </c>
      <c r="I24" s="22" t="s">
        <v>547</v>
      </c>
      <c r="J24" s="22" t="s">
        <v>459</v>
      </c>
      <c r="K24" s="22"/>
      <c r="L24" s="22"/>
    </row>
    <row r="25" customFormat="false" ht="14.25" hidden="true" customHeight="true" outlineLevel="0" collapsed="false">
      <c r="A25" s="22" t="s">
        <v>548</v>
      </c>
      <c r="B25" s="22" t="s">
        <v>455</v>
      </c>
      <c r="C25" s="23" t="n">
        <v>45331</v>
      </c>
      <c r="D25" s="22"/>
      <c r="E25" s="22" t="n">
        <v>0</v>
      </c>
      <c r="F25" s="22"/>
      <c r="G25" s="22" t="s">
        <v>465</v>
      </c>
      <c r="H25" s="22" t="s">
        <v>466</v>
      </c>
      <c r="I25" s="22" t="s">
        <v>549</v>
      </c>
      <c r="J25" s="22" t="s">
        <v>459</v>
      </c>
      <c r="K25" s="22"/>
      <c r="L25" s="22"/>
    </row>
    <row r="26" customFormat="false" ht="14.25" hidden="true" customHeight="true" outlineLevel="0" collapsed="false">
      <c r="A26" s="22" t="s">
        <v>550</v>
      </c>
      <c r="B26" s="22" t="s">
        <v>504</v>
      </c>
      <c r="C26" s="23" t="n">
        <v>45334</v>
      </c>
      <c r="D26" s="23" t="n">
        <v>45334</v>
      </c>
      <c r="E26" s="22" t="n">
        <v>1</v>
      </c>
      <c r="F26" s="22" t="s">
        <v>488</v>
      </c>
      <c r="G26" s="22" t="s">
        <v>551</v>
      </c>
      <c r="H26" s="22" t="s">
        <v>552</v>
      </c>
      <c r="I26" s="22" t="s">
        <v>553</v>
      </c>
      <c r="J26" s="22" t="s">
        <v>459</v>
      </c>
      <c r="K26" s="22" t="s">
        <v>473</v>
      </c>
      <c r="L26" s="22" t="s">
        <v>554</v>
      </c>
    </row>
    <row r="27" customFormat="false" ht="14.25" hidden="true" customHeight="true" outlineLevel="0" collapsed="false">
      <c r="A27" s="22" t="s">
        <v>555</v>
      </c>
      <c r="B27" s="22" t="s">
        <v>483</v>
      </c>
      <c r="C27" s="23" t="n">
        <v>45337</v>
      </c>
      <c r="D27" s="22"/>
      <c r="E27" s="22" t="n">
        <v>0</v>
      </c>
      <c r="F27" s="22"/>
      <c r="G27" s="22" t="s">
        <v>556</v>
      </c>
      <c r="H27" s="22" t="s">
        <v>557</v>
      </c>
      <c r="I27" s="22" t="s">
        <v>558</v>
      </c>
      <c r="J27" s="22" t="s">
        <v>459</v>
      </c>
      <c r="K27" s="22"/>
      <c r="L27" s="22"/>
    </row>
    <row r="28" customFormat="false" ht="14.25" hidden="true" customHeight="true" outlineLevel="0" collapsed="false">
      <c r="A28" s="22" t="s">
        <v>559</v>
      </c>
      <c r="B28" s="22" t="s">
        <v>455</v>
      </c>
      <c r="C28" s="23" t="n">
        <v>45338</v>
      </c>
      <c r="D28" s="22"/>
      <c r="E28" s="22" t="n">
        <v>0</v>
      </c>
      <c r="F28" s="22"/>
      <c r="G28" s="22" t="s">
        <v>465</v>
      </c>
      <c r="H28" s="22" t="s">
        <v>466</v>
      </c>
      <c r="I28" s="22" t="s">
        <v>560</v>
      </c>
      <c r="J28" s="22" t="s">
        <v>459</v>
      </c>
      <c r="K28" s="22"/>
      <c r="L28" s="22"/>
    </row>
    <row r="29" customFormat="false" ht="14.25" hidden="true" customHeight="true" outlineLevel="0" collapsed="false">
      <c r="A29" s="22" t="s">
        <v>561</v>
      </c>
      <c r="B29" s="22" t="s">
        <v>455</v>
      </c>
      <c r="C29" s="23" t="n">
        <v>45342</v>
      </c>
      <c r="D29" s="22"/>
      <c r="E29" s="22" t="n">
        <v>1</v>
      </c>
      <c r="F29" s="22" t="s">
        <v>562</v>
      </c>
      <c r="G29" s="22" t="s">
        <v>470</v>
      </c>
      <c r="H29" s="22" t="s">
        <v>471</v>
      </c>
      <c r="I29" s="22" t="s">
        <v>563</v>
      </c>
      <c r="J29" s="22" t="s">
        <v>459</v>
      </c>
      <c r="K29" s="22" t="s">
        <v>473</v>
      </c>
      <c r="L29" s="22" t="s">
        <v>474</v>
      </c>
    </row>
    <row r="30" customFormat="false" ht="14.25" hidden="true" customHeight="true" outlineLevel="0" collapsed="false">
      <c r="A30" s="22" t="s">
        <v>564</v>
      </c>
      <c r="B30" s="22" t="s">
        <v>455</v>
      </c>
      <c r="C30" s="23" t="n">
        <v>45342</v>
      </c>
      <c r="D30" s="22"/>
      <c r="E30" s="22" t="n">
        <v>0</v>
      </c>
      <c r="F30" s="22"/>
      <c r="G30" s="22" t="s">
        <v>465</v>
      </c>
      <c r="H30" s="22" t="s">
        <v>466</v>
      </c>
      <c r="I30" s="22" t="s">
        <v>565</v>
      </c>
      <c r="J30" s="22" t="s">
        <v>459</v>
      </c>
      <c r="K30" s="22"/>
      <c r="L30" s="22"/>
    </row>
    <row r="31" customFormat="false" ht="14.25" hidden="true" customHeight="true" outlineLevel="0" collapsed="false">
      <c r="A31" s="22" t="s">
        <v>566</v>
      </c>
      <c r="B31" s="22" t="s">
        <v>455</v>
      </c>
      <c r="C31" s="23" t="n">
        <v>45342</v>
      </c>
      <c r="D31" s="22"/>
      <c r="E31" s="22" t="n">
        <v>0</v>
      </c>
      <c r="F31" s="22"/>
      <c r="G31" s="22" t="s">
        <v>470</v>
      </c>
      <c r="H31" s="22" t="s">
        <v>471</v>
      </c>
      <c r="I31" s="22" t="s">
        <v>567</v>
      </c>
      <c r="J31" s="22" t="s">
        <v>459</v>
      </c>
      <c r="K31" s="22"/>
      <c r="L31" s="22"/>
    </row>
    <row r="32" customFormat="false" ht="14.25" hidden="true" customHeight="true" outlineLevel="0" collapsed="false">
      <c r="A32" s="22" t="s">
        <v>568</v>
      </c>
      <c r="B32" s="22" t="s">
        <v>455</v>
      </c>
      <c r="C32" s="23" t="n">
        <v>45343</v>
      </c>
      <c r="D32" s="22"/>
      <c r="E32" s="22" t="n">
        <v>0</v>
      </c>
      <c r="F32" s="22"/>
      <c r="G32" s="22" t="s">
        <v>470</v>
      </c>
      <c r="H32" s="22" t="s">
        <v>477</v>
      </c>
      <c r="I32" s="22" t="s">
        <v>569</v>
      </c>
      <c r="J32" s="22" t="s">
        <v>459</v>
      </c>
      <c r="K32" s="22"/>
      <c r="L32" s="22"/>
    </row>
    <row r="33" customFormat="false" ht="14.25" hidden="true" customHeight="true" outlineLevel="0" collapsed="false">
      <c r="A33" s="22" t="s">
        <v>570</v>
      </c>
      <c r="B33" s="22" t="s">
        <v>504</v>
      </c>
      <c r="C33" s="23" t="n">
        <v>45345</v>
      </c>
      <c r="D33" s="23" t="n">
        <v>45405</v>
      </c>
      <c r="E33" s="22" t="n">
        <v>1</v>
      </c>
      <c r="F33" s="22" t="s">
        <v>571</v>
      </c>
      <c r="G33" s="22" t="s">
        <v>572</v>
      </c>
      <c r="H33" s="22" t="s">
        <v>573</v>
      </c>
      <c r="I33" s="22" t="s">
        <v>574</v>
      </c>
      <c r="J33" s="22" t="s">
        <v>459</v>
      </c>
      <c r="K33" s="22" t="s">
        <v>473</v>
      </c>
      <c r="L33" s="22" t="s">
        <v>554</v>
      </c>
    </row>
    <row r="34" customFormat="false" ht="14.25" hidden="true" customHeight="true" outlineLevel="0" collapsed="false">
      <c r="A34" s="22" t="s">
        <v>575</v>
      </c>
      <c r="B34" s="22" t="s">
        <v>455</v>
      </c>
      <c r="C34" s="23" t="n">
        <v>45345</v>
      </c>
      <c r="D34" s="22"/>
      <c r="E34" s="22" t="n">
        <v>0</v>
      </c>
      <c r="F34" s="22"/>
      <c r="G34" s="22" t="s">
        <v>470</v>
      </c>
      <c r="H34" s="22" t="s">
        <v>477</v>
      </c>
      <c r="I34" s="22" t="s">
        <v>576</v>
      </c>
      <c r="J34" s="22" t="s">
        <v>459</v>
      </c>
      <c r="K34" s="22"/>
      <c r="L34" s="22"/>
    </row>
    <row r="35" customFormat="false" ht="14.25" hidden="true" customHeight="true" outlineLevel="0" collapsed="false">
      <c r="A35" s="22" t="s">
        <v>577</v>
      </c>
      <c r="B35" s="22" t="s">
        <v>455</v>
      </c>
      <c r="C35" s="23" t="n">
        <v>45345</v>
      </c>
      <c r="D35" s="22"/>
      <c r="E35" s="22" t="n">
        <v>0</v>
      </c>
      <c r="F35" s="22"/>
      <c r="G35" s="22" t="s">
        <v>465</v>
      </c>
      <c r="H35" s="22" t="s">
        <v>466</v>
      </c>
      <c r="I35" s="22" t="s">
        <v>578</v>
      </c>
      <c r="J35" s="22" t="s">
        <v>459</v>
      </c>
      <c r="K35" s="22"/>
      <c r="L35" s="22"/>
    </row>
    <row r="36" customFormat="false" ht="14.25" hidden="true" customHeight="true" outlineLevel="0" collapsed="false">
      <c r="A36" s="22" t="s">
        <v>579</v>
      </c>
      <c r="B36" s="22" t="s">
        <v>455</v>
      </c>
      <c r="C36" s="23" t="n">
        <v>45348</v>
      </c>
      <c r="D36" s="22"/>
      <c r="E36" s="22" t="n">
        <v>0</v>
      </c>
      <c r="F36" s="22"/>
      <c r="G36" s="22" t="s">
        <v>580</v>
      </c>
      <c r="H36" s="22" t="s">
        <v>581</v>
      </c>
      <c r="I36" s="22" t="s">
        <v>582</v>
      </c>
      <c r="J36" s="22" t="s">
        <v>459</v>
      </c>
      <c r="K36" s="22"/>
      <c r="L36" s="22"/>
    </row>
    <row r="37" customFormat="false" ht="14.25" hidden="true" customHeight="true" outlineLevel="0" collapsed="false">
      <c r="A37" s="22" t="s">
        <v>583</v>
      </c>
      <c r="B37" s="22" t="s">
        <v>455</v>
      </c>
      <c r="C37" s="23" t="n">
        <v>45348</v>
      </c>
      <c r="D37" s="22"/>
      <c r="E37" s="22" t="n">
        <v>0</v>
      </c>
      <c r="F37" s="22"/>
      <c r="G37" s="22" t="s">
        <v>470</v>
      </c>
      <c r="H37" s="22" t="s">
        <v>471</v>
      </c>
      <c r="I37" s="22" t="s">
        <v>584</v>
      </c>
      <c r="J37" s="22" t="s">
        <v>459</v>
      </c>
      <c r="K37" s="22"/>
      <c r="L37" s="22"/>
    </row>
    <row r="38" customFormat="false" ht="14.25" hidden="true" customHeight="true" outlineLevel="0" collapsed="false">
      <c r="A38" s="22" t="s">
        <v>585</v>
      </c>
      <c r="B38" s="22" t="s">
        <v>455</v>
      </c>
      <c r="C38" s="23" t="n">
        <v>45351</v>
      </c>
      <c r="D38" s="22"/>
      <c r="E38" s="22" t="n">
        <v>0</v>
      </c>
      <c r="F38" s="22"/>
      <c r="G38" s="22" t="s">
        <v>465</v>
      </c>
      <c r="H38" s="22" t="s">
        <v>492</v>
      </c>
      <c r="I38" s="22" t="s">
        <v>586</v>
      </c>
      <c r="J38" s="22" t="s">
        <v>459</v>
      </c>
      <c r="K38" s="22"/>
      <c r="L38" s="22"/>
    </row>
    <row r="39" customFormat="false" ht="14.25" hidden="true" customHeight="true" outlineLevel="0" collapsed="false">
      <c r="A39" s="22" t="s">
        <v>587</v>
      </c>
      <c r="B39" s="22" t="s">
        <v>455</v>
      </c>
      <c r="C39" s="23" t="n">
        <v>45351</v>
      </c>
      <c r="D39" s="22"/>
      <c r="E39" s="22" t="n">
        <v>1</v>
      </c>
      <c r="F39" s="22" t="s">
        <v>588</v>
      </c>
      <c r="G39" s="22" t="s">
        <v>465</v>
      </c>
      <c r="H39" s="22" t="s">
        <v>466</v>
      </c>
      <c r="I39" s="22" t="s">
        <v>589</v>
      </c>
      <c r="J39" s="22" t="s">
        <v>459</v>
      </c>
      <c r="K39" s="22" t="s">
        <v>473</v>
      </c>
      <c r="L39" s="22" t="s">
        <v>474</v>
      </c>
    </row>
    <row r="40" customFormat="false" ht="14.25" hidden="true" customHeight="true" outlineLevel="0" collapsed="false">
      <c r="A40" s="22" t="s">
        <v>590</v>
      </c>
      <c r="B40" s="22" t="s">
        <v>455</v>
      </c>
      <c r="C40" s="23" t="n">
        <v>45352</v>
      </c>
      <c r="D40" s="22"/>
      <c r="E40" s="22" t="n">
        <v>1</v>
      </c>
      <c r="F40" s="22" t="s">
        <v>591</v>
      </c>
      <c r="G40" s="22" t="s">
        <v>470</v>
      </c>
      <c r="H40" s="22" t="s">
        <v>471</v>
      </c>
      <c r="I40" s="22" t="s">
        <v>592</v>
      </c>
      <c r="J40" s="22" t="s">
        <v>459</v>
      </c>
      <c r="K40" s="22" t="s">
        <v>473</v>
      </c>
      <c r="L40" s="22" t="s">
        <v>474</v>
      </c>
    </row>
    <row r="41" customFormat="false" ht="14.25" hidden="true" customHeight="true" outlineLevel="0" collapsed="false">
      <c r="A41" s="22" t="s">
        <v>593</v>
      </c>
      <c r="B41" s="22" t="s">
        <v>455</v>
      </c>
      <c r="C41" s="23" t="n">
        <v>45355</v>
      </c>
      <c r="D41" s="22"/>
      <c r="E41" s="22" t="n">
        <v>1</v>
      </c>
      <c r="F41" s="22" t="s">
        <v>594</v>
      </c>
      <c r="G41" s="22" t="s">
        <v>595</v>
      </c>
      <c r="H41" s="22" t="s">
        <v>596</v>
      </c>
      <c r="I41" s="22" t="s">
        <v>597</v>
      </c>
      <c r="J41" s="22" t="s">
        <v>459</v>
      </c>
      <c r="K41" s="22" t="s">
        <v>473</v>
      </c>
      <c r="L41" s="22" t="s">
        <v>598</v>
      </c>
    </row>
    <row r="42" customFormat="false" ht="14.25" hidden="true" customHeight="true" outlineLevel="0" collapsed="false">
      <c r="A42" s="22" t="s">
        <v>599</v>
      </c>
      <c r="B42" s="22" t="s">
        <v>504</v>
      </c>
      <c r="C42" s="23" t="n">
        <v>45356</v>
      </c>
      <c r="D42" s="23" t="n">
        <v>45356</v>
      </c>
      <c r="E42" s="22" t="n">
        <v>0</v>
      </c>
      <c r="F42" s="22"/>
      <c r="G42" s="22" t="s">
        <v>518</v>
      </c>
      <c r="H42" s="22" t="s">
        <v>519</v>
      </c>
      <c r="I42" s="22" t="s">
        <v>600</v>
      </c>
      <c r="J42" s="22" t="s">
        <v>459</v>
      </c>
      <c r="K42" s="22"/>
      <c r="L42" s="22"/>
    </row>
    <row r="43" customFormat="false" ht="14.25" hidden="true" customHeight="true" outlineLevel="0" collapsed="false">
      <c r="A43" s="22" t="s">
        <v>601</v>
      </c>
      <c r="B43" s="22" t="s">
        <v>455</v>
      </c>
      <c r="C43" s="23" t="n">
        <v>45356</v>
      </c>
      <c r="D43" s="22"/>
      <c r="E43" s="22" t="n">
        <v>0</v>
      </c>
      <c r="F43" s="22"/>
      <c r="G43" s="22" t="s">
        <v>470</v>
      </c>
      <c r="H43" s="22" t="s">
        <v>477</v>
      </c>
      <c r="I43" s="22" t="s">
        <v>602</v>
      </c>
      <c r="J43" s="22" t="s">
        <v>459</v>
      </c>
      <c r="K43" s="22"/>
      <c r="L43" s="22"/>
    </row>
    <row r="44" customFormat="false" ht="14.25" hidden="true" customHeight="true" outlineLevel="0" collapsed="false">
      <c r="A44" s="22" t="s">
        <v>603</v>
      </c>
      <c r="B44" s="22" t="s">
        <v>455</v>
      </c>
      <c r="C44" s="23" t="n">
        <v>45357</v>
      </c>
      <c r="D44" s="23" t="n">
        <v>45357</v>
      </c>
      <c r="E44" s="22" t="n">
        <v>0</v>
      </c>
      <c r="F44" s="22"/>
      <c r="G44" s="22" t="s">
        <v>604</v>
      </c>
      <c r="H44" s="22" t="s">
        <v>605</v>
      </c>
      <c r="I44" s="22" t="s">
        <v>606</v>
      </c>
      <c r="J44" s="22" t="s">
        <v>459</v>
      </c>
      <c r="K44" s="22"/>
      <c r="L44" s="22"/>
    </row>
    <row r="45" customFormat="false" ht="14.25" hidden="true" customHeight="true" outlineLevel="0" collapsed="false">
      <c r="A45" s="22" t="s">
        <v>607</v>
      </c>
      <c r="B45" s="22" t="s">
        <v>455</v>
      </c>
      <c r="C45" s="23" t="n">
        <v>45358</v>
      </c>
      <c r="D45" s="22"/>
      <c r="E45" s="22" t="n">
        <v>0</v>
      </c>
      <c r="F45" s="22"/>
      <c r="G45" s="22" t="s">
        <v>465</v>
      </c>
      <c r="H45" s="22" t="s">
        <v>466</v>
      </c>
      <c r="I45" s="22" t="s">
        <v>608</v>
      </c>
      <c r="J45" s="22" t="s">
        <v>459</v>
      </c>
      <c r="K45" s="22"/>
      <c r="L45" s="22"/>
    </row>
    <row r="46" customFormat="false" ht="14.25" hidden="true" customHeight="true" outlineLevel="0" collapsed="false">
      <c r="A46" s="22" t="s">
        <v>609</v>
      </c>
      <c r="B46" s="22" t="s">
        <v>504</v>
      </c>
      <c r="C46" s="23" t="n">
        <v>45362</v>
      </c>
      <c r="D46" s="22"/>
      <c r="E46" s="22" t="n">
        <v>0</v>
      </c>
      <c r="F46" s="22"/>
      <c r="G46" s="22" t="s">
        <v>610</v>
      </c>
      <c r="H46" s="22"/>
      <c r="I46" s="22" t="s">
        <v>611</v>
      </c>
      <c r="J46" s="22" t="s">
        <v>459</v>
      </c>
      <c r="K46" s="22"/>
      <c r="L46" s="22"/>
    </row>
    <row r="47" customFormat="false" ht="14.25" hidden="true" customHeight="true" outlineLevel="0" collapsed="false">
      <c r="A47" s="22" t="s">
        <v>612</v>
      </c>
      <c r="B47" s="22" t="s">
        <v>455</v>
      </c>
      <c r="C47" s="23" t="n">
        <v>45364</v>
      </c>
      <c r="D47" s="22"/>
      <c r="E47" s="22" t="n">
        <v>1</v>
      </c>
      <c r="F47" s="22" t="s">
        <v>613</v>
      </c>
      <c r="G47" s="22" t="s">
        <v>465</v>
      </c>
      <c r="H47" s="22" t="s">
        <v>492</v>
      </c>
      <c r="I47" s="22" t="s">
        <v>614</v>
      </c>
      <c r="J47" s="22" t="s">
        <v>459</v>
      </c>
      <c r="K47" s="22" t="s">
        <v>473</v>
      </c>
      <c r="L47" s="22" t="s">
        <v>474</v>
      </c>
    </row>
    <row r="48" customFormat="false" ht="14.25" hidden="true" customHeight="true" outlineLevel="0" collapsed="false">
      <c r="A48" s="22" t="s">
        <v>615</v>
      </c>
      <c r="B48" s="22" t="s">
        <v>455</v>
      </c>
      <c r="C48" s="23" t="n">
        <v>45364</v>
      </c>
      <c r="D48" s="22"/>
      <c r="E48" s="22" t="n">
        <v>0</v>
      </c>
      <c r="F48" s="22"/>
      <c r="G48" s="22" t="s">
        <v>465</v>
      </c>
      <c r="H48" s="22" t="s">
        <v>492</v>
      </c>
      <c r="I48" s="22" t="s">
        <v>616</v>
      </c>
      <c r="J48" s="22" t="s">
        <v>459</v>
      </c>
      <c r="K48" s="22"/>
      <c r="L48" s="22"/>
    </row>
    <row r="49" customFormat="false" ht="14.25" hidden="true" customHeight="true" outlineLevel="0" collapsed="false">
      <c r="A49" s="22" t="s">
        <v>617</v>
      </c>
      <c r="B49" s="22" t="s">
        <v>455</v>
      </c>
      <c r="C49" s="23" t="n">
        <v>45369</v>
      </c>
      <c r="D49" s="22"/>
      <c r="E49" s="22" t="n">
        <v>0</v>
      </c>
      <c r="F49" s="22"/>
      <c r="G49" s="22" t="s">
        <v>470</v>
      </c>
      <c r="H49" s="22" t="s">
        <v>477</v>
      </c>
      <c r="I49" s="22" t="s">
        <v>618</v>
      </c>
      <c r="J49" s="22" t="s">
        <v>459</v>
      </c>
      <c r="K49" s="22"/>
      <c r="L49" s="22"/>
    </row>
    <row r="50" customFormat="false" ht="14.25" hidden="true" customHeight="true" outlineLevel="0" collapsed="false">
      <c r="A50" s="22" t="s">
        <v>619</v>
      </c>
      <c r="B50" s="22" t="s">
        <v>455</v>
      </c>
      <c r="C50" s="23" t="n">
        <v>45369</v>
      </c>
      <c r="D50" s="22"/>
      <c r="E50" s="22" t="n">
        <v>0</v>
      </c>
      <c r="F50" s="22"/>
      <c r="G50" s="22" t="s">
        <v>465</v>
      </c>
      <c r="H50" s="22" t="s">
        <v>492</v>
      </c>
      <c r="I50" s="22" t="s">
        <v>620</v>
      </c>
      <c r="J50" s="22" t="s">
        <v>459</v>
      </c>
      <c r="K50" s="22"/>
      <c r="L50" s="22"/>
    </row>
    <row r="51" customFormat="false" ht="14.25" hidden="true" customHeight="true" outlineLevel="0" collapsed="false">
      <c r="A51" s="22" t="s">
        <v>621</v>
      </c>
      <c r="B51" s="22" t="s">
        <v>455</v>
      </c>
      <c r="C51" s="23" t="n">
        <v>45369</v>
      </c>
      <c r="D51" s="22"/>
      <c r="E51" s="22" t="n">
        <v>1</v>
      </c>
      <c r="F51" s="22" t="s">
        <v>622</v>
      </c>
      <c r="G51" s="22" t="s">
        <v>470</v>
      </c>
      <c r="H51" s="22" t="s">
        <v>477</v>
      </c>
      <c r="I51" s="22" t="s">
        <v>623</v>
      </c>
      <c r="J51" s="22" t="s">
        <v>459</v>
      </c>
      <c r="K51" s="22" t="s">
        <v>473</v>
      </c>
      <c r="L51" s="22" t="s">
        <v>474</v>
      </c>
    </row>
    <row r="52" customFormat="false" ht="14.25" hidden="true" customHeight="true" outlineLevel="0" collapsed="false">
      <c r="A52" s="22" t="s">
        <v>624</v>
      </c>
      <c r="B52" s="22" t="s">
        <v>455</v>
      </c>
      <c r="C52" s="23" t="n">
        <v>45369</v>
      </c>
      <c r="D52" s="22"/>
      <c r="E52" s="22" t="n">
        <v>0</v>
      </c>
      <c r="F52" s="22"/>
      <c r="G52" s="22" t="s">
        <v>461</v>
      </c>
      <c r="H52" s="22" t="s">
        <v>462</v>
      </c>
      <c r="I52" s="22" t="s">
        <v>625</v>
      </c>
      <c r="J52" s="22" t="s">
        <v>459</v>
      </c>
      <c r="K52" s="22"/>
      <c r="L52" s="22"/>
    </row>
    <row r="53" customFormat="false" ht="14.25" hidden="true" customHeight="true" outlineLevel="0" collapsed="false">
      <c r="A53" s="22" t="s">
        <v>626</v>
      </c>
      <c r="B53" s="22" t="s">
        <v>455</v>
      </c>
      <c r="C53" s="23" t="n">
        <v>45373</v>
      </c>
      <c r="D53" s="23" t="n">
        <v>45378</v>
      </c>
      <c r="E53" s="22" t="n">
        <v>0</v>
      </c>
      <c r="F53" s="22"/>
      <c r="G53" s="22" t="s">
        <v>627</v>
      </c>
      <c r="H53" s="22" t="s">
        <v>628</v>
      </c>
      <c r="I53" s="22" t="s">
        <v>629</v>
      </c>
      <c r="J53" s="22" t="s">
        <v>459</v>
      </c>
      <c r="K53" s="22"/>
      <c r="L53" s="22"/>
    </row>
    <row r="54" customFormat="false" ht="14.25" hidden="true" customHeight="true" outlineLevel="0" collapsed="false">
      <c r="A54" s="22" t="s">
        <v>630</v>
      </c>
      <c r="B54" s="22" t="s">
        <v>455</v>
      </c>
      <c r="C54" s="23" t="n">
        <v>45376</v>
      </c>
      <c r="D54" s="22"/>
      <c r="E54" s="22" t="n">
        <v>0</v>
      </c>
      <c r="F54" s="22"/>
      <c r="G54" s="22" t="s">
        <v>631</v>
      </c>
      <c r="H54" s="22" t="s">
        <v>632</v>
      </c>
      <c r="I54" s="22" t="s">
        <v>633</v>
      </c>
      <c r="J54" s="22" t="s">
        <v>459</v>
      </c>
      <c r="K54" s="22"/>
      <c r="L54" s="22"/>
    </row>
    <row r="55" customFormat="false" ht="14.25" hidden="true" customHeight="true" outlineLevel="0" collapsed="false">
      <c r="A55" s="22" t="s">
        <v>634</v>
      </c>
      <c r="B55" s="22" t="s">
        <v>455</v>
      </c>
      <c r="C55" s="23" t="n">
        <v>45376</v>
      </c>
      <c r="D55" s="22"/>
      <c r="E55" s="22" t="n">
        <v>1</v>
      </c>
      <c r="F55" s="22" t="s">
        <v>635</v>
      </c>
      <c r="G55" s="22" t="s">
        <v>465</v>
      </c>
      <c r="H55" s="22" t="s">
        <v>466</v>
      </c>
      <c r="I55" s="22" t="s">
        <v>636</v>
      </c>
      <c r="J55" s="22" t="s">
        <v>459</v>
      </c>
      <c r="K55" s="22" t="s">
        <v>473</v>
      </c>
      <c r="L55" s="22" t="s">
        <v>474</v>
      </c>
    </row>
    <row r="56" customFormat="false" ht="14.25" hidden="true" customHeight="true" outlineLevel="0" collapsed="false">
      <c r="A56" s="22" t="s">
        <v>637</v>
      </c>
      <c r="B56" s="22" t="s">
        <v>455</v>
      </c>
      <c r="C56" s="23" t="n">
        <v>45377</v>
      </c>
      <c r="D56" s="22"/>
      <c r="E56" s="22" t="n">
        <v>0</v>
      </c>
      <c r="F56" s="22"/>
      <c r="G56" s="22" t="s">
        <v>638</v>
      </c>
      <c r="H56" s="22" t="s">
        <v>639</v>
      </c>
      <c r="I56" s="22" t="s">
        <v>640</v>
      </c>
      <c r="J56" s="22" t="s">
        <v>459</v>
      </c>
      <c r="K56" s="22"/>
      <c r="L56" s="22"/>
    </row>
    <row r="57" customFormat="false" ht="14.25" hidden="true" customHeight="true" outlineLevel="0" collapsed="false">
      <c r="A57" s="22" t="s">
        <v>641</v>
      </c>
      <c r="B57" s="22" t="s">
        <v>455</v>
      </c>
      <c r="C57" s="23" t="n">
        <v>45378</v>
      </c>
      <c r="D57" s="22"/>
      <c r="E57" s="22" t="n">
        <v>0</v>
      </c>
      <c r="F57" s="22"/>
      <c r="G57" s="22" t="s">
        <v>470</v>
      </c>
      <c r="H57" s="22" t="s">
        <v>477</v>
      </c>
      <c r="I57" s="22" t="s">
        <v>642</v>
      </c>
      <c r="J57" s="22" t="s">
        <v>459</v>
      </c>
      <c r="K57" s="22"/>
      <c r="L57" s="22"/>
    </row>
    <row r="58" customFormat="false" ht="14.25" hidden="true" customHeight="true" outlineLevel="0" collapsed="false">
      <c r="A58" s="22" t="s">
        <v>643</v>
      </c>
      <c r="B58" s="22" t="s">
        <v>455</v>
      </c>
      <c r="C58" s="23" t="n">
        <v>45379</v>
      </c>
      <c r="D58" s="22"/>
      <c r="E58" s="22" t="n">
        <v>0</v>
      </c>
      <c r="F58" s="22"/>
      <c r="G58" s="22" t="s">
        <v>465</v>
      </c>
      <c r="H58" s="22" t="s">
        <v>492</v>
      </c>
      <c r="I58" s="22" t="s">
        <v>644</v>
      </c>
      <c r="J58" s="22" t="s">
        <v>459</v>
      </c>
      <c r="K58" s="22"/>
      <c r="L58" s="22"/>
    </row>
    <row r="59" customFormat="false" ht="14.25" hidden="true" customHeight="true" outlineLevel="0" collapsed="false">
      <c r="A59" s="22" t="s">
        <v>645</v>
      </c>
      <c r="B59" s="22" t="s">
        <v>455</v>
      </c>
      <c r="C59" s="23" t="n">
        <v>45379</v>
      </c>
      <c r="D59" s="22"/>
      <c r="E59" s="22" t="n">
        <v>0</v>
      </c>
      <c r="F59" s="22"/>
      <c r="G59" s="22" t="s">
        <v>470</v>
      </c>
      <c r="H59" s="22" t="s">
        <v>477</v>
      </c>
      <c r="I59" s="22" t="s">
        <v>646</v>
      </c>
      <c r="J59" s="22" t="s">
        <v>459</v>
      </c>
      <c r="K59" s="22"/>
      <c r="L59" s="22"/>
    </row>
    <row r="60" customFormat="false" ht="14.25" hidden="true" customHeight="true" outlineLevel="0" collapsed="false">
      <c r="A60" s="22" t="s">
        <v>647</v>
      </c>
      <c r="B60" s="22" t="s">
        <v>483</v>
      </c>
      <c r="C60" s="23" t="n">
        <v>45380</v>
      </c>
      <c r="D60" s="22"/>
      <c r="E60" s="22" t="n">
        <v>1</v>
      </c>
      <c r="F60" s="22" t="s">
        <v>648</v>
      </c>
      <c r="G60" s="22" t="s">
        <v>649</v>
      </c>
      <c r="H60" s="22" t="s">
        <v>650</v>
      </c>
      <c r="I60" s="22" t="s">
        <v>651</v>
      </c>
      <c r="J60" s="22" t="s">
        <v>459</v>
      </c>
      <c r="K60" s="22" t="s">
        <v>473</v>
      </c>
      <c r="L60" s="22" t="s">
        <v>554</v>
      </c>
    </row>
    <row r="61" customFormat="false" ht="14.25" hidden="true" customHeight="true" outlineLevel="0" collapsed="false">
      <c r="A61" s="22" t="s">
        <v>652</v>
      </c>
      <c r="B61" s="22" t="s">
        <v>455</v>
      </c>
      <c r="C61" s="23" t="n">
        <v>45383</v>
      </c>
      <c r="D61" s="23" t="n">
        <v>45383</v>
      </c>
      <c r="E61" s="22" t="n">
        <v>0</v>
      </c>
      <c r="F61" s="22"/>
      <c r="G61" s="22" t="s">
        <v>653</v>
      </c>
      <c r="H61" s="22" t="s">
        <v>654</v>
      </c>
      <c r="I61" s="22" t="s">
        <v>655</v>
      </c>
      <c r="J61" s="22" t="s">
        <v>459</v>
      </c>
      <c r="K61" s="22"/>
      <c r="L61" s="22"/>
    </row>
    <row r="62" customFormat="false" ht="14.25" hidden="false" customHeight="true" outlineLevel="0" collapsed="false">
      <c r="A62" s="15" t="s">
        <v>656</v>
      </c>
      <c r="B62" s="15" t="s">
        <v>483</v>
      </c>
      <c r="C62" s="24" t="n">
        <v>45636</v>
      </c>
      <c r="D62" s="15"/>
      <c r="E62" s="15" t="n">
        <v>1</v>
      </c>
      <c r="F62" s="15" t="s">
        <v>657</v>
      </c>
      <c r="G62" s="15" t="s">
        <v>658</v>
      </c>
      <c r="H62" s="15" t="s">
        <v>659</v>
      </c>
      <c r="I62" s="25" t="s">
        <v>660</v>
      </c>
      <c r="J62" s="15" t="s">
        <v>459</v>
      </c>
      <c r="K62" s="15" t="s">
        <v>509</v>
      </c>
      <c r="L62" s="15" t="s">
        <v>661</v>
      </c>
    </row>
    <row r="63" customFormat="false" ht="14.25" hidden="true" customHeight="true" outlineLevel="0" collapsed="false">
      <c r="A63" s="22" t="s">
        <v>662</v>
      </c>
      <c r="B63" s="22" t="s">
        <v>483</v>
      </c>
      <c r="C63" s="23" t="n">
        <v>45385</v>
      </c>
      <c r="D63" s="22"/>
      <c r="E63" s="22" t="n">
        <v>1</v>
      </c>
      <c r="F63" s="22" t="s">
        <v>663</v>
      </c>
      <c r="G63" s="22" t="s">
        <v>664</v>
      </c>
      <c r="H63" s="22" t="s">
        <v>665</v>
      </c>
      <c r="I63" s="22" t="s">
        <v>666</v>
      </c>
      <c r="J63" s="22" t="s">
        <v>459</v>
      </c>
      <c r="K63" s="22" t="s">
        <v>473</v>
      </c>
      <c r="L63" s="22" t="s">
        <v>554</v>
      </c>
    </row>
    <row r="64" customFormat="false" ht="14.25" hidden="true" customHeight="true" outlineLevel="0" collapsed="false">
      <c r="A64" s="22" t="s">
        <v>667</v>
      </c>
      <c r="B64" s="22" t="s">
        <v>483</v>
      </c>
      <c r="C64" s="23" t="n">
        <v>45385</v>
      </c>
      <c r="D64" s="22"/>
      <c r="E64" s="22" t="n">
        <v>1</v>
      </c>
      <c r="F64" s="22" t="s">
        <v>668</v>
      </c>
      <c r="G64" s="22" t="s">
        <v>669</v>
      </c>
      <c r="H64" s="22" t="s">
        <v>670</v>
      </c>
      <c r="I64" s="22" t="s">
        <v>671</v>
      </c>
      <c r="J64" s="22" t="s">
        <v>459</v>
      </c>
      <c r="K64" s="22" t="s">
        <v>473</v>
      </c>
      <c r="L64" s="22" t="s">
        <v>554</v>
      </c>
    </row>
    <row r="65" customFormat="false" ht="14.25" hidden="true" customHeight="true" outlineLevel="0" collapsed="false">
      <c r="A65" s="22" t="s">
        <v>672</v>
      </c>
      <c r="B65" s="22" t="s">
        <v>483</v>
      </c>
      <c r="C65" s="23" t="n">
        <v>45386</v>
      </c>
      <c r="D65" s="22"/>
      <c r="E65" s="22" t="n">
        <v>1</v>
      </c>
      <c r="F65" s="22" t="s">
        <v>673</v>
      </c>
      <c r="G65" s="22" t="s">
        <v>674</v>
      </c>
      <c r="H65" s="22" t="s">
        <v>675</v>
      </c>
      <c r="I65" s="22" t="s">
        <v>676</v>
      </c>
      <c r="J65" s="22" t="s">
        <v>459</v>
      </c>
      <c r="K65" s="22" t="s">
        <v>473</v>
      </c>
      <c r="L65" s="22" t="s">
        <v>554</v>
      </c>
    </row>
    <row r="66" customFormat="false" ht="14.25" hidden="true" customHeight="true" outlineLevel="0" collapsed="false">
      <c r="A66" s="22" t="s">
        <v>677</v>
      </c>
      <c r="B66" s="22" t="s">
        <v>455</v>
      </c>
      <c r="C66" s="23" t="n">
        <v>45386</v>
      </c>
      <c r="D66" s="22"/>
      <c r="E66" s="22" t="n">
        <v>0</v>
      </c>
      <c r="F66" s="22"/>
      <c r="G66" s="22" t="s">
        <v>465</v>
      </c>
      <c r="H66" s="22" t="s">
        <v>466</v>
      </c>
      <c r="I66" s="22" t="s">
        <v>678</v>
      </c>
      <c r="J66" s="22" t="s">
        <v>459</v>
      </c>
      <c r="K66" s="22"/>
      <c r="L66" s="22"/>
    </row>
    <row r="67" customFormat="false" ht="14.25" hidden="true" customHeight="true" outlineLevel="0" collapsed="false">
      <c r="A67" s="22" t="s">
        <v>679</v>
      </c>
      <c r="B67" s="22" t="s">
        <v>455</v>
      </c>
      <c r="C67" s="23" t="n">
        <v>45387</v>
      </c>
      <c r="D67" s="22"/>
      <c r="E67" s="22" t="n">
        <v>1</v>
      </c>
      <c r="F67" s="22" t="s">
        <v>680</v>
      </c>
      <c r="G67" s="22" t="s">
        <v>465</v>
      </c>
      <c r="H67" s="22" t="s">
        <v>466</v>
      </c>
      <c r="I67" s="22" t="s">
        <v>681</v>
      </c>
      <c r="J67" s="22" t="s">
        <v>459</v>
      </c>
      <c r="K67" s="22" t="s">
        <v>473</v>
      </c>
      <c r="L67" s="22" t="s">
        <v>474</v>
      </c>
    </row>
    <row r="68" customFormat="false" ht="14.25" hidden="true" customHeight="true" outlineLevel="0" collapsed="false">
      <c r="A68" s="22" t="s">
        <v>682</v>
      </c>
      <c r="B68" s="22" t="s">
        <v>455</v>
      </c>
      <c r="C68" s="23" t="n">
        <v>45390</v>
      </c>
      <c r="D68" s="22"/>
      <c r="E68" s="22" t="n">
        <v>0</v>
      </c>
      <c r="F68" s="22"/>
      <c r="G68" s="22" t="s">
        <v>470</v>
      </c>
      <c r="H68" s="22" t="s">
        <v>471</v>
      </c>
      <c r="I68" s="22" t="s">
        <v>683</v>
      </c>
      <c r="J68" s="22" t="s">
        <v>459</v>
      </c>
      <c r="K68" s="22"/>
      <c r="L68" s="22"/>
    </row>
    <row r="69" customFormat="false" ht="14.25" hidden="true" customHeight="true" outlineLevel="0" collapsed="false">
      <c r="A69" s="22" t="s">
        <v>684</v>
      </c>
      <c r="B69" s="22" t="s">
        <v>455</v>
      </c>
      <c r="C69" s="23" t="n">
        <v>45390</v>
      </c>
      <c r="D69" s="22"/>
      <c r="E69" s="22" t="n">
        <v>0</v>
      </c>
      <c r="F69" s="22"/>
      <c r="G69" s="22" t="s">
        <v>470</v>
      </c>
      <c r="H69" s="22" t="s">
        <v>477</v>
      </c>
      <c r="I69" s="22" t="s">
        <v>685</v>
      </c>
      <c r="J69" s="22" t="s">
        <v>459</v>
      </c>
      <c r="K69" s="22"/>
      <c r="L69" s="22"/>
    </row>
    <row r="70" customFormat="false" ht="14.25" hidden="true" customHeight="true" outlineLevel="0" collapsed="false">
      <c r="A70" s="22" t="s">
        <v>686</v>
      </c>
      <c r="B70" s="22" t="s">
        <v>455</v>
      </c>
      <c r="C70" s="23" t="n">
        <v>45390</v>
      </c>
      <c r="D70" s="22"/>
      <c r="E70" s="22" t="n">
        <v>1</v>
      </c>
      <c r="F70" s="22" t="s">
        <v>687</v>
      </c>
      <c r="G70" s="22" t="s">
        <v>470</v>
      </c>
      <c r="H70" s="22" t="s">
        <v>471</v>
      </c>
      <c r="I70" s="22" t="s">
        <v>688</v>
      </c>
      <c r="J70" s="22" t="s">
        <v>459</v>
      </c>
      <c r="K70" s="22" t="s">
        <v>473</v>
      </c>
      <c r="L70" s="22" t="s">
        <v>474</v>
      </c>
    </row>
    <row r="71" customFormat="false" ht="14.25" hidden="true" customHeight="true" outlineLevel="0" collapsed="false">
      <c r="A71" s="22" t="s">
        <v>689</v>
      </c>
      <c r="B71" s="22" t="s">
        <v>504</v>
      </c>
      <c r="C71" s="23" t="n">
        <v>45392</v>
      </c>
      <c r="D71" s="23" t="n">
        <v>45392</v>
      </c>
      <c r="E71" s="22" t="n">
        <v>0</v>
      </c>
      <c r="F71" s="22"/>
      <c r="G71" s="22" t="s">
        <v>690</v>
      </c>
      <c r="H71" s="22" t="s">
        <v>691</v>
      </c>
      <c r="I71" s="22" t="s">
        <v>692</v>
      </c>
      <c r="J71" s="22" t="s">
        <v>459</v>
      </c>
      <c r="K71" s="22"/>
      <c r="L71" s="22"/>
    </row>
    <row r="72" customFormat="false" ht="14.25" hidden="true" customHeight="true" outlineLevel="0" collapsed="false">
      <c r="A72" s="22" t="s">
        <v>693</v>
      </c>
      <c r="B72" s="22" t="s">
        <v>455</v>
      </c>
      <c r="C72" s="23" t="n">
        <v>45394</v>
      </c>
      <c r="D72" s="22"/>
      <c r="E72" s="22" t="n">
        <v>1</v>
      </c>
      <c r="F72" s="22" t="s">
        <v>694</v>
      </c>
      <c r="G72" s="22" t="s">
        <v>465</v>
      </c>
      <c r="H72" s="22" t="s">
        <v>492</v>
      </c>
      <c r="I72" s="22" t="s">
        <v>695</v>
      </c>
      <c r="J72" s="22" t="s">
        <v>459</v>
      </c>
      <c r="K72" s="22" t="s">
        <v>473</v>
      </c>
      <c r="L72" s="22" t="s">
        <v>474</v>
      </c>
    </row>
    <row r="73" customFormat="false" ht="14.25" hidden="false" customHeight="true" outlineLevel="0" collapsed="false">
      <c r="A73" s="15" t="s">
        <v>696</v>
      </c>
      <c r="B73" s="15" t="s">
        <v>504</v>
      </c>
      <c r="C73" s="24" t="n">
        <v>45762</v>
      </c>
      <c r="D73" s="24" t="n">
        <v>45811</v>
      </c>
      <c r="E73" s="15" t="n">
        <v>1</v>
      </c>
      <c r="F73" s="15" t="s">
        <v>697</v>
      </c>
      <c r="G73" s="15" t="s">
        <v>658</v>
      </c>
      <c r="H73" s="15" t="s">
        <v>698</v>
      </c>
      <c r="I73" s="25" t="s">
        <v>699</v>
      </c>
      <c r="J73" s="15" t="s">
        <v>459</v>
      </c>
      <c r="K73" s="15" t="s">
        <v>509</v>
      </c>
      <c r="L73" s="15" t="s">
        <v>700</v>
      </c>
    </row>
    <row r="74" customFormat="false" ht="14.25" hidden="true" customHeight="true" outlineLevel="0" collapsed="false">
      <c r="A74" s="22" t="s">
        <v>701</v>
      </c>
      <c r="B74" s="22" t="s">
        <v>455</v>
      </c>
      <c r="C74" s="23" t="n">
        <v>45397</v>
      </c>
      <c r="D74" s="23" t="n">
        <v>45405</v>
      </c>
      <c r="E74" s="22" t="n">
        <v>0</v>
      </c>
      <c r="F74" s="22"/>
      <c r="G74" s="22" t="s">
        <v>702</v>
      </c>
      <c r="H74" s="22" t="s">
        <v>703</v>
      </c>
      <c r="I74" s="22" t="s">
        <v>704</v>
      </c>
      <c r="J74" s="22" t="s">
        <v>459</v>
      </c>
      <c r="K74" s="22"/>
      <c r="L74" s="22"/>
    </row>
    <row r="75" customFormat="false" ht="14.25" hidden="true" customHeight="true" outlineLevel="0" collapsed="false">
      <c r="A75" s="22" t="s">
        <v>705</v>
      </c>
      <c r="B75" s="22" t="s">
        <v>455</v>
      </c>
      <c r="C75" s="23" t="n">
        <v>45398</v>
      </c>
      <c r="D75" s="22"/>
      <c r="E75" s="22" t="n">
        <v>0</v>
      </c>
      <c r="F75" s="22"/>
      <c r="G75" s="22" t="s">
        <v>706</v>
      </c>
      <c r="H75" s="22" t="s">
        <v>707</v>
      </c>
      <c r="I75" s="22" t="s">
        <v>708</v>
      </c>
      <c r="J75" s="22" t="s">
        <v>459</v>
      </c>
      <c r="K75" s="22"/>
      <c r="L75" s="22"/>
    </row>
    <row r="76" customFormat="false" ht="14.25" hidden="true" customHeight="true" outlineLevel="0" collapsed="false">
      <c r="A76" s="22" t="s">
        <v>709</v>
      </c>
      <c r="B76" s="22" t="s">
        <v>455</v>
      </c>
      <c r="C76" s="23" t="n">
        <v>45398</v>
      </c>
      <c r="D76" s="22"/>
      <c r="E76" s="22" t="n">
        <v>0</v>
      </c>
      <c r="F76" s="22"/>
      <c r="G76" s="22" t="s">
        <v>710</v>
      </c>
      <c r="H76" s="22" t="s">
        <v>711</v>
      </c>
      <c r="I76" s="22" t="s">
        <v>712</v>
      </c>
      <c r="J76" s="22" t="s">
        <v>459</v>
      </c>
      <c r="K76" s="22"/>
      <c r="L76" s="22"/>
    </row>
    <row r="77" customFormat="false" ht="14.25" hidden="true" customHeight="true" outlineLevel="0" collapsed="false">
      <c r="A77" s="22" t="s">
        <v>713</v>
      </c>
      <c r="B77" s="22" t="s">
        <v>455</v>
      </c>
      <c r="C77" s="23" t="n">
        <v>45398</v>
      </c>
      <c r="D77" s="22"/>
      <c r="E77" s="22" t="n">
        <v>0</v>
      </c>
      <c r="F77" s="22"/>
      <c r="G77" s="22" t="s">
        <v>465</v>
      </c>
      <c r="H77" s="22" t="s">
        <v>492</v>
      </c>
      <c r="I77" s="22" t="s">
        <v>714</v>
      </c>
      <c r="J77" s="22" t="s">
        <v>459</v>
      </c>
      <c r="K77" s="22"/>
      <c r="L77" s="22"/>
    </row>
    <row r="78" customFormat="false" ht="14.25" hidden="true" customHeight="true" outlineLevel="0" collapsed="false">
      <c r="A78" s="22" t="s">
        <v>715</v>
      </c>
      <c r="B78" s="22" t="s">
        <v>455</v>
      </c>
      <c r="C78" s="23" t="n">
        <v>45399</v>
      </c>
      <c r="D78" s="22"/>
      <c r="E78" s="22" t="n">
        <v>0</v>
      </c>
      <c r="F78" s="22"/>
      <c r="G78" s="22" t="s">
        <v>470</v>
      </c>
      <c r="H78" s="22" t="s">
        <v>471</v>
      </c>
      <c r="I78" s="22" t="s">
        <v>716</v>
      </c>
      <c r="J78" s="22" t="s">
        <v>459</v>
      </c>
      <c r="K78" s="22"/>
      <c r="L78" s="22"/>
    </row>
    <row r="79" customFormat="false" ht="14.25" hidden="true" customHeight="true" outlineLevel="0" collapsed="false">
      <c r="A79" s="22" t="s">
        <v>717</v>
      </c>
      <c r="B79" s="22" t="s">
        <v>455</v>
      </c>
      <c r="C79" s="23" t="n">
        <v>45400</v>
      </c>
      <c r="D79" s="22"/>
      <c r="E79" s="22" t="n">
        <v>1</v>
      </c>
      <c r="F79" s="22" t="s">
        <v>663</v>
      </c>
      <c r="G79" s="22" t="s">
        <v>465</v>
      </c>
      <c r="H79" s="22" t="s">
        <v>466</v>
      </c>
      <c r="I79" s="22" t="s">
        <v>718</v>
      </c>
      <c r="J79" s="22" t="s">
        <v>459</v>
      </c>
      <c r="K79" s="22" t="s">
        <v>473</v>
      </c>
      <c r="L79" s="22" t="s">
        <v>474</v>
      </c>
    </row>
    <row r="80" customFormat="false" ht="14.25" hidden="true" customHeight="true" outlineLevel="0" collapsed="false">
      <c r="A80" s="22" t="s">
        <v>719</v>
      </c>
      <c r="B80" s="22" t="s">
        <v>455</v>
      </c>
      <c r="C80" s="23" t="n">
        <v>45404</v>
      </c>
      <c r="D80" s="22"/>
      <c r="E80" s="22" t="n">
        <v>0</v>
      </c>
      <c r="F80" s="22"/>
      <c r="G80" s="22" t="s">
        <v>720</v>
      </c>
      <c r="H80" s="22" t="s">
        <v>721</v>
      </c>
      <c r="I80" s="22" t="s">
        <v>722</v>
      </c>
      <c r="J80" s="22" t="s">
        <v>459</v>
      </c>
      <c r="K80" s="22"/>
      <c r="L80" s="22"/>
    </row>
    <row r="81" customFormat="false" ht="14.25" hidden="false" customHeight="true" outlineLevel="0" collapsed="false">
      <c r="A81" s="15" t="s">
        <v>723</v>
      </c>
      <c r="B81" s="15" t="s">
        <v>504</v>
      </c>
      <c r="C81" s="24" t="n">
        <v>45919</v>
      </c>
      <c r="D81" s="24" t="n">
        <v>45978</v>
      </c>
      <c r="E81" s="15" t="n">
        <v>1</v>
      </c>
      <c r="F81" s="15" t="s">
        <v>724</v>
      </c>
      <c r="G81" s="15" t="s">
        <v>725</v>
      </c>
      <c r="H81" s="15" t="s">
        <v>726</v>
      </c>
      <c r="I81" s="15" t="s">
        <v>109</v>
      </c>
      <c r="J81" s="15" t="s">
        <v>459</v>
      </c>
      <c r="K81" s="15" t="s">
        <v>509</v>
      </c>
      <c r="L81" s="15" t="s">
        <v>727</v>
      </c>
    </row>
    <row r="82" customFormat="false" ht="14.25" hidden="true" customHeight="true" outlineLevel="0" collapsed="false">
      <c r="A82" s="22" t="s">
        <v>728</v>
      </c>
      <c r="B82" s="22" t="s">
        <v>455</v>
      </c>
      <c r="C82" s="23" t="n">
        <v>45405</v>
      </c>
      <c r="D82" s="22"/>
      <c r="E82" s="22" t="n">
        <v>0</v>
      </c>
      <c r="F82" s="22"/>
      <c r="G82" s="22" t="s">
        <v>470</v>
      </c>
      <c r="H82" s="22" t="s">
        <v>525</v>
      </c>
      <c r="I82" s="22" t="s">
        <v>729</v>
      </c>
      <c r="J82" s="22" t="s">
        <v>459</v>
      </c>
      <c r="K82" s="22"/>
      <c r="L82" s="22"/>
    </row>
    <row r="83" customFormat="false" ht="14.25" hidden="true" customHeight="true" outlineLevel="0" collapsed="false">
      <c r="A83" s="22" t="s">
        <v>730</v>
      </c>
      <c r="B83" s="22" t="s">
        <v>455</v>
      </c>
      <c r="C83" s="23" t="n">
        <v>45407</v>
      </c>
      <c r="D83" s="23" t="n">
        <v>45407</v>
      </c>
      <c r="E83" s="22" t="n">
        <v>0</v>
      </c>
      <c r="F83" s="22"/>
      <c r="G83" s="22" t="s">
        <v>731</v>
      </c>
      <c r="H83" s="22" t="s">
        <v>732</v>
      </c>
      <c r="I83" s="22" t="s">
        <v>733</v>
      </c>
      <c r="J83" s="22" t="s">
        <v>459</v>
      </c>
      <c r="K83" s="22"/>
      <c r="L83" s="22"/>
    </row>
    <row r="84" customFormat="false" ht="14.25" hidden="true" customHeight="true" outlineLevel="0" collapsed="false">
      <c r="A84" s="22" t="s">
        <v>734</v>
      </c>
      <c r="B84" s="22" t="s">
        <v>455</v>
      </c>
      <c r="C84" s="23" t="n">
        <v>45407</v>
      </c>
      <c r="D84" s="22"/>
      <c r="E84" s="22" t="n">
        <v>1</v>
      </c>
      <c r="F84" s="22" t="s">
        <v>535</v>
      </c>
      <c r="G84" s="22" t="s">
        <v>470</v>
      </c>
      <c r="H84" s="22" t="s">
        <v>477</v>
      </c>
      <c r="I84" s="22" t="s">
        <v>735</v>
      </c>
      <c r="J84" s="22" t="s">
        <v>459</v>
      </c>
      <c r="K84" s="22" t="s">
        <v>473</v>
      </c>
      <c r="L84" s="22" t="s">
        <v>474</v>
      </c>
    </row>
    <row r="85" customFormat="false" ht="14.25" hidden="true" customHeight="true" outlineLevel="0" collapsed="false">
      <c r="A85" s="22" t="s">
        <v>736</v>
      </c>
      <c r="B85" s="22" t="s">
        <v>455</v>
      </c>
      <c r="C85" s="23" t="n">
        <v>45408</v>
      </c>
      <c r="D85" s="22"/>
      <c r="E85" s="22" t="n">
        <v>0</v>
      </c>
      <c r="F85" s="22"/>
      <c r="G85" s="22" t="s">
        <v>465</v>
      </c>
      <c r="H85" s="22" t="s">
        <v>466</v>
      </c>
      <c r="I85" s="22" t="s">
        <v>737</v>
      </c>
      <c r="J85" s="22" t="s">
        <v>459</v>
      </c>
      <c r="K85" s="22"/>
      <c r="L85" s="22"/>
    </row>
    <row r="86" customFormat="false" ht="14.25" hidden="true" customHeight="true" outlineLevel="0" collapsed="false">
      <c r="A86" s="22" t="s">
        <v>738</v>
      </c>
      <c r="B86" s="22" t="s">
        <v>455</v>
      </c>
      <c r="C86" s="23" t="n">
        <v>45408</v>
      </c>
      <c r="D86" s="22"/>
      <c r="E86" s="22" t="n">
        <v>0</v>
      </c>
      <c r="F86" s="22"/>
      <c r="G86" s="22" t="s">
        <v>465</v>
      </c>
      <c r="H86" s="22" t="s">
        <v>492</v>
      </c>
      <c r="I86" s="22" t="s">
        <v>739</v>
      </c>
      <c r="J86" s="22" t="s">
        <v>459</v>
      </c>
      <c r="K86" s="22"/>
      <c r="L86" s="22"/>
    </row>
    <row r="87" customFormat="false" ht="14.25" hidden="true" customHeight="true" outlineLevel="0" collapsed="false">
      <c r="A87" s="22" t="s">
        <v>740</v>
      </c>
      <c r="B87" s="22" t="s">
        <v>455</v>
      </c>
      <c r="C87" s="23" t="n">
        <v>45408</v>
      </c>
      <c r="D87" s="22"/>
      <c r="E87" s="22" t="n">
        <v>0</v>
      </c>
      <c r="F87" s="22"/>
      <c r="G87" s="22" t="s">
        <v>465</v>
      </c>
      <c r="H87" s="22" t="s">
        <v>492</v>
      </c>
      <c r="I87" s="22" t="s">
        <v>741</v>
      </c>
      <c r="J87" s="22" t="s">
        <v>459</v>
      </c>
      <c r="K87" s="22"/>
      <c r="L87" s="22"/>
    </row>
    <row r="88" customFormat="false" ht="14.25" hidden="true" customHeight="true" outlineLevel="0" collapsed="false">
      <c r="A88" s="22" t="s">
        <v>742</v>
      </c>
      <c r="B88" s="22" t="s">
        <v>455</v>
      </c>
      <c r="C88" s="23" t="n">
        <v>45408</v>
      </c>
      <c r="D88" s="22"/>
      <c r="E88" s="22" t="n">
        <v>0</v>
      </c>
      <c r="F88" s="22"/>
      <c r="G88" s="22" t="s">
        <v>743</v>
      </c>
      <c r="H88" s="22" t="s">
        <v>744</v>
      </c>
      <c r="I88" s="22" t="s">
        <v>745</v>
      </c>
      <c r="J88" s="22" t="s">
        <v>459</v>
      </c>
      <c r="K88" s="22"/>
      <c r="L88" s="22"/>
    </row>
    <row r="89" customFormat="false" ht="14.25" hidden="true" customHeight="true" outlineLevel="0" collapsed="false">
      <c r="A89" s="22" t="s">
        <v>746</v>
      </c>
      <c r="B89" s="22" t="s">
        <v>455</v>
      </c>
      <c r="C89" s="23" t="n">
        <v>45411</v>
      </c>
      <c r="D89" s="22"/>
      <c r="E89" s="22" t="n">
        <v>0</v>
      </c>
      <c r="F89" s="22"/>
      <c r="G89" s="22" t="s">
        <v>747</v>
      </c>
      <c r="H89" s="22" t="s">
        <v>500</v>
      </c>
      <c r="I89" s="22" t="s">
        <v>748</v>
      </c>
      <c r="J89" s="22" t="s">
        <v>459</v>
      </c>
      <c r="K89" s="22"/>
      <c r="L89" s="22"/>
    </row>
    <row r="90" customFormat="false" ht="14.25" hidden="true" customHeight="true" outlineLevel="0" collapsed="false">
      <c r="A90" s="22" t="s">
        <v>749</v>
      </c>
      <c r="B90" s="22" t="s">
        <v>455</v>
      </c>
      <c r="C90" s="23" t="n">
        <v>45411</v>
      </c>
      <c r="D90" s="22"/>
      <c r="E90" s="22" t="n">
        <v>0</v>
      </c>
      <c r="F90" s="22"/>
      <c r="G90" s="22" t="s">
        <v>750</v>
      </c>
      <c r="H90" s="22" t="s">
        <v>751</v>
      </c>
      <c r="I90" s="22" t="s">
        <v>752</v>
      </c>
      <c r="J90" s="22" t="s">
        <v>459</v>
      </c>
      <c r="K90" s="22"/>
      <c r="L90" s="22"/>
    </row>
    <row r="91" customFormat="false" ht="14.25" hidden="true" customHeight="true" outlineLevel="0" collapsed="false">
      <c r="A91" s="22" t="s">
        <v>753</v>
      </c>
      <c r="B91" s="22" t="s">
        <v>455</v>
      </c>
      <c r="C91" s="23" t="n">
        <v>45412</v>
      </c>
      <c r="D91" s="22"/>
      <c r="E91" s="22" t="n">
        <v>0</v>
      </c>
      <c r="F91" s="22"/>
      <c r="G91" s="22" t="s">
        <v>754</v>
      </c>
      <c r="H91" s="22" t="s">
        <v>755</v>
      </c>
      <c r="I91" s="22" t="s">
        <v>756</v>
      </c>
      <c r="J91" s="22" t="s">
        <v>459</v>
      </c>
      <c r="K91" s="22"/>
      <c r="L91" s="22"/>
    </row>
    <row r="92" customFormat="false" ht="14.25" hidden="true" customHeight="true" outlineLevel="0" collapsed="false">
      <c r="A92" s="22" t="s">
        <v>757</v>
      </c>
      <c r="B92" s="22" t="s">
        <v>455</v>
      </c>
      <c r="C92" s="23" t="n">
        <v>45412</v>
      </c>
      <c r="D92" s="22"/>
      <c r="E92" s="22" t="n">
        <v>0</v>
      </c>
      <c r="F92" s="22"/>
      <c r="G92" s="22" t="s">
        <v>470</v>
      </c>
      <c r="H92" s="22" t="s">
        <v>477</v>
      </c>
      <c r="I92" s="22" t="s">
        <v>758</v>
      </c>
      <c r="J92" s="22" t="s">
        <v>459</v>
      </c>
      <c r="K92" s="22"/>
      <c r="L92" s="22"/>
    </row>
    <row r="93" customFormat="false" ht="14.25" hidden="true" customHeight="true" outlineLevel="0" collapsed="false">
      <c r="A93" s="22" t="s">
        <v>759</v>
      </c>
      <c r="B93" s="22" t="s">
        <v>455</v>
      </c>
      <c r="C93" s="23" t="n">
        <v>45413</v>
      </c>
      <c r="D93" s="22"/>
      <c r="E93" s="22" t="n">
        <v>0</v>
      </c>
      <c r="F93" s="22"/>
      <c r="G93" s="22" t="s">
        <v>760</v>
      </c>
      <c r="H93" s="22" t="s">
        <v>761</v>
      </c>
      <c r="I93" s="22" t="s">
        <v>762</v>
      </c>
      <c r="J93" s="22" t="s">
        <v>459</v>
      </c>
      <c r="K93" s="22"/>
      <c r="L93" s="22"/>
    </row>
    <row r="94" customFormat="false" ht="14.25" hidden="true" customHeight="true" outlineLevel="0" collapsed="false">
      <c r="A94" s="22" t="s">
        <v>763</v>
      </c>
      <c r="B94" s="22" t="s">
        <v>483</v>
      </c>
      <c r="C94" s="23" t="n">
        <v>45414</v>
      </c>
      <c r="D94" s="22"/>
      <c r="E94" s="22" t="n">
        <v>1</v>
      </c>
      <c r="F94" s="22" t="s">
        <v>764</v>
      </c>
      <c r="G94" s="22" t="s">
        <v>765</v>
      </c>
      <c r="H94" s="22" t="s">
        <v>766</v>
      </c>
      <c r="I94" s="22" t="s">
        <v>767</v>
      </c>
      <c r="J94" s="22" t="s">
        <v>459</v>
      </c>
      <c r="K94" s="22" t="s">
        <v>473</v>
      </c>
      <c r="L94" s="22" t="s">
        <v>554</v>
      </c>
    </row>
    <row r="95" customFormat="false" ht="14.25" hidden="true" customHeight="true" outlineLevel="0" collapsed="false">
      <c r="A95" s="22" t="s">
        <v>768</v>
      </c>
      <c r="B95" s="22" t="s">
        <v>455</v>
      </c>
      <c r="C95" s="23" t="n">
        <v>45415</v>
      </c>
      <c r="D95" s="22"/>
      <c r="E95" s="22" t="n">
        <v>1</v>
      </c>
      <c r="F95" s="22" t="s">
        <v>769</v>
      </c>
      <c r="G95" s="22" t="s">
        <v>465</v>
      </c>
      <c r="H95" s="22" t="s">
        <v>466</v>
      </c>
      <c r="I95" s="22" t="s">
        <v>770</v>
      </c>
      <c r="J95" s="22" t="s">
        <v>459</v>
      </c>
      <c r="K95" s="22" t="s">
        <v>473</v>
      </c>
      <c r="L95" s="22" t="s">
        <v>474</v>
      </c>
    </row>
    <row r="96" customFormat="false" ht="14.25" hidden="false" customHeight="true" outlineLevel="0" collapsed="false">
      <c r="A96" s="15" t="s">
        <v>771</v>
      </c>
      <c r="B96" s="15" t="s">
        <v>483</v>
      </c>
      <c r="C96" s="24" t="n">
        <v>45989</v>
      </c>
      <c r="D96" s="15"/>
      <c r="E96" s="15" t="n">
        <v>1</v>
      </c>
      <c r="F96" s="15" t="s">
        <v>772</v>
      </c>
      <c r="G96" s="15" t="s">
        <v>773</v>
      </c>
      <c r="H96" s="15" t="s">
        <v>774</v>
      </c>
      <c r="I96" s="25" t="s">
        <v>775</v>
      </c>
      <c r="J96" s="15" t="s">
        <v>459</v>
      </c>
      <c r="K96" s="15" t="s">
        <v>509</v>
      </c>
      <c r="L96" s="15" t="s">
        <v>776</v>
      </c>
    </row>
    <row r="97" customFormat="false" ht="14.25" hidden="true" customHeight="true" outlineLevel="0" collapsed="false">
      <c r="A97" s="22" t="s">
        <v>777</v>
      </c>
      <c r="B97" s="22" t="s">
        <v>455</v>
      </c>
      <c r="C97" s="23" t="n">
        <v>45418</v>
      </c>
      <c r="D97" s="22"/>
      <c r="E97" s="22" t="n">
        <v>0</v>
      </c>
      <c r="F97" s="22"/>
      <c r="G97" s="22" t="s">
        <v>465</v>
      </c>
      <c r="H97" s="22" t="s">
        <v>466</v>
      </c>
      <c r="I97" s="22" t="s">
        <v>778</v>
      </c>
      <c r="J97" s="22" t="s">
        <v>459</v>
      </c>
      <c r="K97" s="22"/>
      <c r="L97" s="22"/>
    </row>
    <row r="98" customFormat="false" ht="14.25" hidden="true" customHeight="true" outlineLevel="0" collapsed="false">
      <c r="A98" s="22" t="s">
        <v>779</v>
      </c>
      <c r="B98" s="22" t="s">
        <v>455</v>
      </c>
      <c r="C98" s="23" t="n">
        <v>45418</v>
      </c>
      <c r="D98" s="22"/>
      <c r="E98" s="22" t="n">
        <v>0</v>
      </c>
      <c r="F98" s="22"/>
      <c r="G98" s="22" t="s">
        <v>780</v>
      </c>
      <c r="H98" s="22" t="s">
        <v>781</v>
      </c>
      <c r="I98" s="22" t="s">
        <v>782</v>
      </c>
      <c r="J98" s="22" t="s">
        <v>459</v>
      </c>
      <c r="K98" s="22"/>
      <c r="L98" s="22"/>
    </row>
    <row r="99" customFormat="false" ht="14.25" hidden="true" customHeight="true" outlineLevel="0" collapsed="false">
      <c r="A99" s="22" t="s">
        <v>783</v>
      </c>
      <c r="B99" s="22" t="s">
        <v>455</v>
      </c>
      <c r="C99" s="23" t="n">
        <v>45418</v>
      </c>
      <c r="D99" s="22"/>
      <c r="E99" s="22" t="n">
        <v>1</v>
      </c>
      <c r="F99" s="22" t="s">
        <v>784</v>
      </c>
      <c r="G99" s="22" t="s">
        <v>465</v>
      </c>
      <c r="H99" s="22" t="s">
        <v>466</v>
      </c>
      <c r="I99" s="22" t="s">
        <v>785</v>
      </c>
      <c r="J99" s="22" t="s">
        <v>459</v>
      </c>
      <c r="K99" s="22" t="s">
        <v>473</v>
      </c>
      <c r="L99" s="22" t="s">
        <v>474</v>
      </c>
    </row>
    <row r="100" customFormat="false" ht="14.25" hidden="false" customHeight="true" outlineLevel="0" collapsed="false">
      <c r="A100" s="15" t="s">
        <v>786</v>
      </c>
      <c r="B100" s="15" t="s">
        <v>504</v>
      </c>
      <c r="C100" s="24" t="n">
        <v>46118</v>
      </c>
      <c r="D100" s="24" t="n">
        <v>46174</v>
      </c>
      <c r="E100" s="15" t="n">
        <v>1</v>
      </c>
      <c r="F100" s="15" t="s">
        <v>787</v>
      </c>
      <c r="G100" s="15" t="s">
        <v>788</v>
      </c>
      <c r="H100" s="15" t="s">
        <v>789</v>
      </c>
      <c r="I100" s="15" t="s">
        <v>790</v>
      </c>
      <c r="J100" s="15" t="s">
        <v>459</v>
      </c>
      <c r="K100" s="15" t="s">
        <v>509</v>
      </c>
      <c r="L100" s="15" t="s">
        <v>791</v>
      </c>
    </row>
    <row r="101" customFormat="false" ht="14.25" hidden="true" customHeight="true" outlineLevel="0" collapsed="false">
      <c r="A101" s="22" t="s">
        <v>792</v>
      </c>
      <c r="B101" s="22" t="s">
        <v>455</v>
      </c>
      <c r="C101" s="23" t="n">
        <v>45420</v>
      </c>
      <c r="D101" s="22"/>
      <c r="E101" s="22" t="n">
        <v>0</v>
      </c>
      <c r="F101" s="22"/>
      <c r="G101" s="22" t="s">
        <v>470</v>
      </c>
      <c r="H101" s="22" t="s">
        <v>477</v>
      </c>
      <c r="I101" s="22" t="s">
        <v>793</v>
      </c>
      <c r="J101" s="22" t="s">
        <v>459</v>
      </c>
      <c r="K101" s="22"/>
      <c r="L101" s="22"/>
    </row>
    <row r="102" customFormat="false" ht="14.25" hidden="false" customHeight="true" outlineLevel="0" collapsed="false">
      <c r="A102" s="15" t="s">
        <v>794</v>
      </c>
      <c r="B102" s="15" t="s">
        <v>483</v>
      </c>
      <c r="C102" s="24" t="n">
        <v>46126</v>
      </c>
      <c r="D102" s="15"/>
      <c r="E102" s="15" t="n">
        <v>1</v>
      </c>
      <c r="F102" s="15" t="s">
        <v>795</v>
      </c>
      <c r="G102" s="15" t="s">
        <v>796</v>
      </c>
      <c r="H102" s="15" t="s">
        <v>797</v>
      </c>
      <c r="I102" s="15" t="s">
        <v>798</v>
      </c>
      <c r="J102" s="15" t="s">
        <v>459</v>
      </c>
      <c r="K102" s="15" t="s">
        <v>509</v>
      </c>
      <c r="L102" s="15" t="s">
        <v>799</v>
      </c>
    </row>
    <row r="103" customFormat="false" ht="14.25" hidden="true" customHeight="true" outlineLevel="0" collapsed="false">
      <c r="A103" s="22" t="s">
        <v>800</v>
      </c>
      <c r="B103" s="22" t="s">
        <v>504</v>
      </c>
      <c r="C103" s="23" t="n">
        <v>45422</v>
      </c>
      <c r="D103" s="23" t="n">
        <v>45464</v>
      </c>
      <c r="E103" s="22" t="n">
        <v>0</v>
      </c>
      <c r="F103" s="22"/>
      <c r="G103" s="22" t="s">
        <v>801</v>
      </c>
      <c r="H103" s="22" t="s">
        <v>802</v>
      </c>
      <c r="I103" s="22" t="s">
        <v>803</v>
      </c>
      <c r="J103" s="22" t="s">
        <v>459</v>
      </c>
      <c r="K103" s="22"/>
      <c r="L103" s="22"/>
    </row>
    <row r="104" customFormat="false" ht="14.25" hidden="false" customHeight="true" outlineLevel="0" collapsed="false">
      <c r="A104" s="15" t="s">
        <v>804</v>
      </c>
      <c r="B104" s="15" t="s">
        <v>504</v>
      </c>
      <c r="C104" s="24" t="n">
        <v>45397</v>
      </c>
      <c r="D104" s="24" t="n">
        <v>45447</v>
      </c>
      <c r="E104" s="15" t="n">
        <v>1</v>
      </c>
      <c r="F104" s="15" t="s">
        <v>805</v>
      </c>
      <c r="G104" s="15" t="s">
        <v>806</v>
      </c>
      <c r="H104" s="15" t="s">
        <v>807</v>
      </c>
      <c r="I104" s="15" t="s">
        <v>808</v>
      </c>
      <c r="J104" s="15" t="s">
        <v>459</v>
      </c>
      <c r="K104" s="15" t="s">
        <v>809</v>
      </c>
      <c r="L104" s="15" t="s">
        <v>810</v>
      </c>
    </row>
    <row r="105" customFormat="false" ht="14.25" hidden="true" customHeight="true" outlineLevel="0" collapsed="false">
      <c r="A105" s="22" t="s">
        <v>811</v>
      </c>
      <c r="B105" s="22" t="s">
        <v>455</v>
      </c>
      <c r="C105" s="23" t="n">
        <v>45422</v>
      </c>
      <c r="D105" s="23" t="n">
        <v>45490</v>
      </c>
      <c r="E105" s="22" t="n">
        <v>0</v>
      </c>
      <c r="F105" s="22"/>
      <c r="G105" s="22" t="s">
        <v>812</v>
      </c>
      <c r="H105" s="22" t="s">
        <v>813</v>
      </c>
      <c r="I105" s="22" t="s">
        <v>814</v>
      </c>
      <c r="J105" s="22" t="s">
        <v>459</v>
      </c>
      <c r="K105" s="22"/>
      <c r="L105" s="22"/>
    </row>
    <row r="106" customFormat="false" ht="14.25" hidden="true" customHeight="true" outlineLevel="0" collapsed="false">
      <c r="A106" s="22" t="s">
        <v>815</v>
      </c>
      <c r="B106" s="22" t="s">
        <v>455</v>
      </c>
      <c r="C106" s="23" t="n">
        <v>45422</v>
      </c>
      <c r="D106" s="22"/>
      <c r="E106" s="22" t="n">
        <v>0</v>
      </c>
      <c r="F106" s="22"/>
      <c r="G106" s="22" t="s">
        <v>470</v>
      </c>
      <c r="H106" s="22" t="s">
        <v>477</v>
      </c>
      <c r="I106" s="22" t="s">
        <v>816</v>
      </c>
      <c r="J106" s="22" t="s">
        <v>459</v>
      </c>
      <c r="K106" s="22"/>
      <c r="L106" s="22"/>
    </row>
    <row r="107" customFormat="false" ht="14.25" hidden="true" customHeight="true" outlineLevel="0" collapsed="false">
      <c r="A107" s="22" t="s">
        <v>817</v>
      </c>
      <c r="B107" s="22" t="s">
        <v>455</v>
      </c>
      <c r="C107" s="23" t="n">
        <v>45422</v>
      </c>
      <c r="D107" s="22"/>
      <c r="E107" s="22" t="n">
        <v>1</v>
      </c>
      <c r="F107" s="22" t="s">
        <v>673</v>
      </c>
      <c r="G107" s="22" t="s">
        <v>465</v>
      </c>
      <c r="H107" s="22" t="s">
        <v>492</v>
      </c>
      <c r="I107" s="22" t="s">
        <v>818</v>
      </c>
      <c r="J107" s="22" t="s">
        <v>459</v>
      </c>
      <c r="K107" s="22" t="s">
        <v>473</v>
      </c>
      <c r="L107" s="22" t="s">
        <v>474</v>
      </c>
    </row>
    <row r="108" customFormat="false" ht="14.25" hidden="true" customHeight="true" outlineLevel="0" collapsed="false">
      <c r="A108" s="22" t="s">
        <v>819</v>
      </c>
      <c r="B108" s="22" t="s">
        <v>504</v>
      </c>
      <c r="C108" s="23" t="n">
        <v>45425</v>
      </c>
      <c r="D108" s="23" t="n">
        <v>45516</v>
      </c>
      <c r="E108" s="22" t="n">
        <v>0</v>
      </c>
      <c r="F108" s="22"/>
      <c r="G108" s="22" t="s">
        <v>820</v>
      </c>
      <c r="H108" s="22" t="s">
        <v>821</v>
      </c>
      <c r="I108" s="22" t="s">
        <v>822</v>
      </c>
      <c r="J108" s="22" t="s">
        <v>459</v>
      </c>
      <c r="K108" s="22"/>
      <c r="L108" s="22"/>
    </row>
    <row r="109" customFormat="false" ht="14.25" hidden="true" customHeight="true" outlineLevel="0" collapsed="false">
      <c r="A109" s="22" t="s">
        <v>823</v>
      </c>
      <c r="B109" s="22" t="s">
        <v>455</v>
      </c>
      <c r="C109" s="23" t="n">
        <v>45426</v>
      </c>
      <c r="D109" s="22"/>
      <c r="E109" s="22" t="n">
        <v>0</v>
      </c>
      <c r="F109" s="22"/>
      <c r="G109" s="22" t="s">
        <v>470</v>
      </c>
      <c r="H109" s="22" t="s">
        <v>477</v>
      </c>
      <c r="I109" s="22" t="s">
        <v>824</v>
      </c>
      <c r="J109" s="22" t="s">
        <v>459</v>
      </c>
      <c r="K109" s="22"/>
      <c r="L109" s="22"/>
    </row>
    <row r="110" customFormat="false" ht="14.25" hidden="true" customHeight="true" outlineLevel="0" collapsed="false">
      <c r="A110" s="22" t="s">
        <v>825</v>
      </c>
      <c r="B110" s="22" t="s">
        <v>455</v>
      </c>
      <c r="C110" s="23" t="n">
        <v>45426</v>
      </c>
      <c r="D110" s="22"/>
      <c r="E110" s="22" t="n">
        <v>0</v>
      </c>
      <c r="F110" s="22"/>
      <c r="G110" s="22" t="s">
        <v>465</v>
      </c>
      <c r="H110" s="22" t="s">
        <v>492</v>
      </c>
      <c r="I110" s="22" t="s">
        <v>826</v>
      </c>
      <c r="J110" s="22" t="s">
        <v>459</v>
      </c>
      <c r="K110" s="22"/>
      <c r="L110" s="22"/>
    </row>
    <row r="111" customFormat="false" ht="14.25" hidden="true" customHeight="true" outlineLevel="0" collapsed="false">
      <c r="A111" s="22" t="s">
        <v>827</v>
      </c>
      <c r="B111" s="22" t="s">
        <v>455</v>
      </c>
      <c r="C111" s="23" t="n">
        <v>45428</v>
      </c>
      <c r="D111" s="22"/>
      <c r="E111" s="22" t="n">
        <v>0</v>
      </c>
      <c r="F111" s="22"/>
      <c r="G111" s="22" t="s">
        <v>465</v>
      </c>
      <c r="H111" s="22" t="s">
        <v>466</v>
      </c>
      <c r="I111" s="22" t="s">
        <v>828</v>
      </c>
      <c r="J111" s="22" t="s">
        <v>459</v>
      </c>
      <c r="K111" s="22"/>
      <c r="L111" s="22"/>
    </row>
    <row r="112" customFormat="false" ht="14.25" hidden="true" customHeight="true" outlineLevel="0" collapsed="false">
      <c r="A112" s="22" t="s">
        <v>829</v>
      </c>
      <c r="B112" s="22" t="s">
        <v>455</v>
      </c>
      <c r="C112" s="23" t="n">
        <v>45428</v>
      </c>
      <c r="D112" s="22"/>
      <c r="E112" s="22" t="n">
        <v>0</v>
      </c>
      <c r="F112" s="22"/>
      <c r="G112" s="22" t="s">
        <v>470</v>
      </c>
      <c r="H112" s="22" t="s">
        <v>471</v>
      </c>
      <c r="I112" s="22" t="s">
        <v>830</v>
      </c>
      <c r="J112" s="22" t="s">
        <v>459</v>
      </c>
      <c r="K112" s="22"/>
      <c r="L112" s="22"/>
    </row>
    <row r="113" customFormat="false" ht="14.25" hidden="true" customHeight="true" outlineLevel="0" collapsed="false">
      <c r="A113" s="22" t="s">
        <v>831</v>
      </c>
      <c r="B113" s="22" t="s">
        <v>483</v>
      </c>
      <c r="C113" s="23" t="n">
        <v>45429</v>
      </c>
      <c r="D113" s="22"/>
      <c r="E113" s="22" t="n">
        <v>1</v>
      </c>
      <c r="F113" s="22" t="s">
        <v>832</v>
      </c>
      <c r="G113" s="22" t="s">
        <v>833</v>
      </c>
      <c r="H113" s="22" t="s">
        <v>834</v>
      </c>
      <c r="I113" s="22" t="s">
        <v>835</v>
      </c>
      <c r="J113" s="22" t="s">
        <v>459</v>
      </c>
      <c r="K113" s="22" t="s">
        <v>473</v>
      </c>
      <c r="L113" s="22" t="s">
        <v>554</v>
      </c>
    </row>
    <row r="114" customFormat="false" ht="14.25" hidden="true" customHeight="true" outlineLevel="0" collapsed="false">
      <c r="A114" s="22" t="s">
        <v>836</v>
      </c>
      <c r="B114" s="22" t="s">
        <v>455</v>
      </c>
      <c r="C114" s="23" t="n">
        <v>45429</v>
      </c>
      <c r="D114" s="22"/>
      <c r="E114" s="22" t="n">
        <v>0</v>
      </c>
      <c r="F114" s="22"/>
      <c r="G114" s="22" t="s">
        <v>465</v>
      </c>
      <c r="H114" s="22" t="s">
        <v>492</v>
      </c>
      <c r="I114" s="22" t="s">
        <v>837</v>
      </c>
      <c r="J114" s="22" t="s">
        <v>459</v>
      </c>
      <c r="K114" s="22"/>
      <c r="L114" s="22"/>
    </row>
    <row r="115" customFormat="false" ht="14.25" hidden="true" customHeight="true" outlineLevel="0" collapsed="false">
      <c r="A115" s="22" t="s">
        <v>838</v>
      </c>
      <c r="B115" s="22" t="s">
        <v>455</v>
      </c>
      <c r="C115" s="23" t="n">
        <v>45433</v>
      </c>
      <c r="D115" s="22"/>
      <c r="E115" s="22" t="n">
        <v>0</v>
      </c>
      <c r="F115" s="22"/>
      <c r="G115" s="22" t="s">
        <v>465</v>
      </c>
      <c r="H115" s="22" t="s">
        <v>492</v>
      </c>
      <c r="I115" s="22" t="s">
        <v>839</v>
      </c>
      <c r="J115" s="22" t="s">
        <v>459</v>
      </c>
      <c r="K115" s="22"/>
      <c r="L115" s="22"/>
    </row>
    <row r="116" customFormat="false" ht="14.25" hidden="true" customHeight="true" outlineLevel="0" collapsed="false">
      <c r="A116" s="22" t="s">
        <v>840</v>
      </c>
      <c r="B116" s="22" t="s">
        <v>455</v>
      </c>
      <c r="C116" s="23" t="n">
        <v>45433</v>
      </c>
      <c r="D116" s="22"/>
      <c r="E116" s="22" t="n">
        <v>0</v>
      </c>
      <c r="F116" s="22"/>
      <c r="G116" s="22" t="s">
        <v>465</v>
      </c>
      <c r="H116" s="22" t="s">
        <v>466</v>
      </c>
      <c r="I116" s="22" t="s">
        <v>841</v>
      </c>
      <c r="J116" s="22" t="s">
        <v>459</v>
      </c>
      <c r="K116" s="22"/>
      <c r="L116" s="22"/>
    </row>
    <row r="117" customFormat="false" ht="14.25" hidden="true" customHeight="true" outlineLevel="0" collapsed="false">
      <c r="A117" s="22" t="s">
        <v>842</v>
      </c>
      <c r="B117" s="22" t="s">
        <v>455</v>
      </c>
      <c r="C117" s="23" t="n">
        <v>45435</v>
      </c>
      <c r="D117" s="22"/>
      <c r="E117" s="22" t="n">
        <v>0</v>
      </c>
      <c r="F117" s="22"/>
      <c r="G117" s="22" t="s">
        <v>470</v>
      </c>
      <c r="H117" s="22" t="s">
        <v>477</v>
      </c>
      <c r="I117" s="22" t="s">
        <v>843</v>
      </c>
      <c r="J117" s="22" t="s">
        <v>459</v>
      </c>
      <c r="K117" s="22"/>
      <c r="L117" s="22"/>
    </row>
    <row r="118" customFormat="false" ht="14.25" hidden="true" customHeight="true" outlineLevel="0" collapsed="false">
      <c r="A118" s="22" t="s">
        <v>844</v>
      </c>
      <c r="B118" s="22" t="s">
        <v>455</v>
      </c>
      <c r="C118" s="23" t="n">
        <v>45435</v>
      </c>
      <c r="D118" s="22"/>
      <c r="E118" s="22" t="n">
        <v>0</v>
      </c>
      <c r="F118" s="22"/>
      <c r="G118" s="22" t="s">
        <v>845</v>
      </c>
      <c r="H118" s="22" t="s">
        <v>846</v>
      </c>
      <c r="I118" s="22" t="s">
        <v>847</v>
      </c>
      <c r="J118" s="22" t="s">
        <v>459</v>
      </c>
      <c r="K118" s="22"/>
      <c r="L118" s="22"/>
    </row>
    <row r="119" customFormat="false" ht="14.25" hidden="true" customHeight="true" outlineLevel="0" collapsed="false">
      <c r="A119" s="22" t="s">
        <v>848</v>
      </c>
      <c r="B119" s="22" t="s">
        <v>455</v>
      </c>
      <c r="C119" s="23" t="n">
        <v>45436</v>
      </c>
      <c r="D119" s="22"/>
      <c r="E119" s="22" t="n">
        <v>1</v>
      </c>
      <c r="F119" s="22" t="s">
        <v>849</v>
      </c>
      <c r="G119" s="22" t="s">
        <v>470</v>
      </c>
      <c r="H119" s="22" t="s">
        <v>471</v>
      </c>
      <c r="I119" s="22" t="s">
        <v>850</v>
      </c>
      <c r="J119" s="22" t="s">
        <v>459</v>
      </c>
      <c r="K119" s="22" t="s">
        <v>473</v>
      </c>
      <c r="L119" s="22" t="s">
        <v>474</v>
      </c>
    </row>
    <row r="120" customFormat="false" ht="14.25" hidden="true" customHeight="true" outlineLevel="0" collapsed="false">
      <c r="A120" s="22" t="s">
        <v>851</v>
      </c>
      <c r="B120" s="22" t="s">
        <v>455</v>
      </c>
      <c r="C120" s="23" t="n">
        <v>45436</v>
      </c>
      <c r="D120" s="22"/>
      <c r="E120" s="22" t="n">
        <v>0</v>
      </c>
      <c r="F120" s="22"/>
      <c r="G120" s="22" t="s">
        <v>852</v>
      </c>
      <c r="H120" s="22" t="s">
        <v>853</v>
      </c>
      <c r="I120" s="22" t="s">
        <v>854</v>
      </c>
      <c r="J120" s="22" t="s">
        <v>459</v>
      </c>
      <c r="K120" s="22"/>
      <c r="L120" s="22"/>
    </row>
    <row r="121" customFormat="false" ht="14.25" hidden="true" customHeight="true" outlineLevel="0" collapsed="false">
      <c r="A121" s="22" t="s">
        <v>855</v>
      </c>
      <c r="B121" s="22" t="s">
        <v>455</v>
      </c>
      <c r="C121" s="23" t="n">
        <v>45436</v>
      </c>
      <c r="D121" s="22"/>
      <c r="E121" s="22" t="n">
        <v>0</v>
      </c>
      <c r="F121" s="22"/>
      <c r="G121" s="22" t="s">
        <v>856</v>
      </c>
      <c r="H121" s="22" t="s">
        <v>639</v>
      </c>
      <c r="I121" s="22" t="s">
        <v>857</v>
      </c>
      <c r="J121" s="22" t="s">
        <v>459</v>
      </c>
      <c r="K121" s="22"/>
      <c r="L121" s="22"/>
    </row>
    <row r="122" customFormat="false" ht="14.25" hidden="true" customHeight="true" outlineLevel="0" collapsed="false">
      <c r="A122" s="22" t="s">
        <v>858</v>
      </c>
      <c r="B122" s="22" t="s">
        <v>455</v>
      </c>
      <c r="C122" s="23" t="n">
        <v>45440</v>
      </c>
      <c r="D122" s="22"/>
      <c r="E122" s="22" t="n">
        <v>1</v>
      </c>
      <c r="F122" s="22" t="s">
        <v>859</v>
      </c>
      <c r="G122" s="22" t="s">
        <v>470</v>
      </c>
      <c r="H122" s="22" t="s">
        <v>477</v>
      </c>
      <c r="I122" s="22" t="s">
        <v>860</v>
      </c>
      <c r="J122" s="22" t="s">
        <v>459</v>
      </c>
      <c r="K122" s="22" t="s">
        <v>473</v>
      </c>
      <c r="L122" s="22" t="s">
        <v>474</v>
      </c>
    </row>
    <row r="123" customFormat="false" ht="14.25" hidden="true" customHeight="true" outlineLevel="0" collapsed="false">
      <c r="A123" s="22" t="s">
        <v>861</v>
      </c>
      <c r="B123" s="22" t="s">
        <v>455</v>
      </c>
      <c r="C123" s="23" t="n">
        <v>45441</v>
      </c>
      <c r="D123" s="22"/>
      <c r="E123" s="22" t="n">
        <v>0</v>
      </c>
      <c r="F123" s="22"/>
      <c r="G123" s="22" t="s">
        <v>470</v>
      </c>
      <c r="H123" s="22" t="s">
        <v>477</v>
      </c>
      <c r="I123" s="22" t="s">
        <v>862</v>
      </c>
      <c r="J123" s="22" t="s">
        <v>459</v>
      </c>
      <c r="K123" s="22"/>
      <c r="L123" s="22"/>
    </row>
    <row r="124" customFormat="false" ht="14.25" hidden="true" customHeight="true" outlineLevel="0" collapsed="false">
      <c r="A124" s="22" t="s">
        <v>863</v>
      </c>
      <c r="B124" s="22" t="s">
        <v>455</v>
      </c>
      <c r="C124" s="23" t="n">
        <v>45443</v>
      </c>
      <c r="D124" s="22"/>
      <c r="E124" s="22" t="n">
        <v>0</v>
      </c>
      <c r="F124" s="22"/>
      <c r="G124" s="22" t="s">
        <v>470</v>
      </c>
      <c r="H124" s="22" t="s">
        <v>471</v>
      </c>
      <c r="I124" s="22" t="s">
        <v>864</v>
      </c>
      <c r="J124" s="22" t="s">
        <v>459</v>
      </c>
      <c r="K124" s="22"/>
      <c r="L124" s="22"/>
    </row>
    <row r="125" customFormat="false" ht="14.25" hidden="true" customHeight="true" outlineLevel="0" collapsed="false">
      <c r="A125" s="22" t="s">
        <v>865</v>
      </c>
      <c r="B125" s="22" t="s">
        <v>455</v>
      </c>
      <c r="C125" s="23" t="n">
        <v>45446</v>
      </c>
      <c r="D125" s="22"/>
      <c r="E125" s="22" t="n">
        <v>1</v>
      </c>
      <c r="F125" s="22" t="s">
        <v>495</v>
      </c>
      <c r="G125" s="22" t="s">
        <v>470</v>
      </c>
      <c r="H125" s="22" t="s">
        <v>471</v>
      </c>
      <c r="I125" s="22" t="s">
        <v>866</v>
      </c>
      <c r="J125" s="22" t="s">
        <v>459</v>
      </c>
      <c r="K125" s="22" t="s">
        <v>473</v>
      </c>
      <c r="L125" s="22" t="s">
        <v>474</v>
      </c>
    </row>
    <row r="126" customFormat="false" ht="14.25" hidden="true" customHeight="true" outlineLevel="0" collapsed="false">
      <c r="A126" s="22" t="s">
        <v>867</v>
      </c>
      <c r="B126" s="22" t="s">
        <v>455</v>
      </c>
      <c r="C126" s="23" t="n">
        <v>45447</v>
      </c>
      <c r="D126" s="22"/>
      <c r="E126" s="22" t="n">
        <v>0</v>
      </c>
      <c r="F126" s="22"/>
      <c r="G126" s="22" t="s">
        <v>465</v>
      </c>
      <c r="H126" s="22" t="s">
        <v>466</v>
      </c>
      <c r="I126" s="22" t="s">
        <v>868</v>
      </c>
      <c r="J126" s="22" t="s">
        <v>459</v>
      </c>
      <c r="K126" s="22"/>
      <c r="L126" s="22"/>
    </row>
    <row r="127" customFormat="false" ht="14.25" hidden="true" customHeight="true" outlineLevel="0" collapsed="false">
      <c r="A127" s="22" t="s">
        <v>869</v>
      </c>
      <c r="B127" s="22" t="s">
        <v>483</v>
      </c>
      <c r="C127" s="23" t="n">
        <v>45447</v>
      </c>
      <c r="D127" s="22"/>
      <c r="E127" s="22" t="n">
        <v>0</v>
      </c>
      <c r="F127" s="22"/>
      <c r="G127" s="22" t="s">
        <v>870</v>
      </c>
      <c r="H127" s="22" t="s">
        <v>871</v>
      </c>
      <c r="I127" s="22" t="s">
        <v>872</v>
      </c>
      <c r="J127" s="22" t="s">
        <v>459</v>
      </c>
      <c r="K127" s="22"/>
      <c r="L127" s="22"/>
    </row>
    <row r="128" customFormat="false" ht="14.25" hidden="true" customHeight="true" outlineLevel="0" collapsed="false">
      <c r="A128" s="22" t="s">
        <v>873</v>
      </c>
      <c r="B128" s="22" t="s">
        <v>455</v>
      </c>
      <c r="C128" s="23" t="n">
        <v>45450</v>
      </c>
      <c r="D128" s="22"/>
      <c r="E128" s="22" t="n">
        <v>0</v>
      </c>
      <c r="F128" s="22"/>
      <c r="G128" s="22" t="s">
        <v>874</v>
      </c>
      <c r="H128" s="22" t="s">
        <v>875</v>
      </c>
      <c r="I128" s="22" t="s">
        <v>876</v>
      </c>
      <c r="J128" s="22" t="s">
        <v>459</v>
      </c>
      <c r="K128" s="22"/>
      <c r="L128" s="22"/>
    </row>
    <row r="129" customFormat="false" ht="14.25" hidden="true" customHeight="true" outlineLevel="0" collapsed="false">
      <c r="A129" s="22" t="s">
        <v>877</v>
      </c>
      <c r="B129" s="22" t="s">
        <v>455</v>
      </c>
      <c r="C129" s="23" t="n">
        <v>45453</v>
      </c>
      <c r="D129" s="22"/>
      <c r="E129" s="22" t="n">
        <v>1</v>
      </c>
      <c r="F129" s="22" t="s">
        <v>535</v>
      </c>
      <c r="G129" s="22" t="s">
        <v>465</v>
      </c>
      <c r="H129" s="22" t="s">
        <v>492</v>
      </c>
      <c r="I129" s="22" t="s">
        <v>878</v>
      </c>
      <c r="J129" s="22" t="s">
        <v>459</v>
      </c>
      <c r="K129" s="22" t="s">
        <v>473</v>
      </c>
      <c r="L129" s="22" t="s">
        <v>474</v>
      </c>
    </row>
    <row r="130" customFormat="false" ht="14.25" hidden="true" customHeight="true" outlineLevel="0" collapsed="false">
      <c r="A130" s="22" t="s">
        <v>879</v>
      </c>
      <c r="B130" s="22" t="s">
        <v>455</v>
      </c>
      <c r="C130" s="23" t="n">
        <v>45453</v>
      </c>
      <c r="D130" s="22"/>
      <c r="E130" s="22" t="n">
        <v>1</v>
      </c>
      <c r="F130" s="22" t="s">
        <v>880</v>
      </c>
      <c r="G130" s="22" t="s">
        <v>470</v>
      </c>
      <c r="H130" s="22" t="s">
        <v>471</v>
      </c>
      <c r="I130" s="22" t="s">
        <v>881</v>
      </c>
      <c r="J130" s="22" t="s">
        <v>459</v>
      </c>
      <c r="K130" s="22" t="s">
        <v>473</v>
      </c>
      <c r="L130" s="22" t="s">
        <v>474</v>
      </c>
    </row>
    <row r="131" customFormat="false" ht="14.25" hidden="true" customHeight="true" outlineLevel="0" collapsed="false">
      <c r="A131" s="22" t="s">
        <v>882</v>
      </c>
      <c r="B131" s="22" t="s">
        <v>455</v>
      </c>
      <c r="C131" s="23" t="n">
        <v>45453</v>
      </c>
      <c r="D131" s="22"/>
      <c r="E131" s="22" t="n">
        <v>0</v>
      </c>
      <c r="F131" s="22"/>
      <c r="G131" s="22" t="s">
        <v>465</v>
      </c>
      <c r="H131" s="22" t="s">
        <v>466</v>
      </c>
      <c r="I131" s="22" t="s">
        <v>883</v>
      </c>
      <c r="J131" s="22" t="s">
        <v>459</v>
      </c>
      <c r="K131" s="22"/>
      <c r="L131" s="22"/>
    </row>
    <row r="132" customFormat="false" ht="14.25" hidden="true" customHeight="true" outlineLevel="0" collapsed="false">
      <c r="A132" s="22" t="s">
        <v>884</v>
      </c>
      <c r="B132" s="22" t="s">
        <v>455</v>
      </c>
      <c r="C132" s="23" t="n">
        <v>45454</v>
      </c>
      <c r="D132" s="22"/>
      <c r="E132" s="22" t="n">
        <v>0</v>
      </c>
      <c r="F132" s="22"/>
      <c r="G132" s="22" t="s">
        <v>470</v>
      </c>
      <c r="H132" s="22" t="s">
        <v>471</v>
      </c>
      <c r="I132" s="22" t="s">
        <v>885</v>
      </c>
      <c r="J132" s="22" t="s">
        <v>459</v>
      </c>
      <c r="K132" s="22"/>
      <c r="L132" s="22"/>
    </row>
    <row r="133" customFormat="false" ht="14.25" hidden="true" customHeight="true" outlineLevel="0" collapsed="false">
      <c r="A133" s="22" t="s">
        <v>886</v>
      </c>
      <c r="B133" s="22" t="s">
        <v>455</v>
      </c>
      <c r="C133" s="23" t="n">
        <v>45456</v>
      </c>
      <c r="D133" s="22"/>
      <c r="E133" s="22" t="n">
        <v>0</v>
      </c>
      <c r="F133" s="22"/>
      <c r="G133" s="22" t="s">
        <v>887</v>
      </c>
      <c r="H133" s="22" t="s">
        <v>888</v>
      </c>
      <c r="I133" s="22" t="s">
        <v>889</v>
      </c>
      <c r="J133" s="22" t="s">
        <v>459</v>
      </c>
      <c r="K133" s="22"/>
      <c r="L133" s="22"/>
    </row>
    <row r="134" customFormat="false" ht="14.25" hidden="true" customHeight="true" outlineLevel="0" collapsed="false">
      <c r="A134" s="22" t="s">
        <v>890</v>
      </c>
      <c r="B134" s="22" t="s">
        <v>455</v>
      </c>
      <c r="C134" s="23" t="n">
        <v>45456</v>
      </c>
      <c r="D134" s="22"/>
      <c r="E134" s="22" t="n">
        <v>0</v>
      </c>
      <c r="F134" s="22"/>
      <c r="G134" s="22" t="s">
        <v>891</v>
      </c>
      <c r="H134" s="22" t="s">
        <v>892</v>
      </c>
      <c r="I134" s="22" t="s">
        <v>893</v>
      </c>
      <c r="J134" s="22" t="s">
        <v>459</v>
      </c>
      <c r="K134" s="22"/>
      <c r="L134" s="22"/>
    </row>
    <row r="135" customFormat="false" ht="14.25" hidden="true" customHeight="true" outlineLevel="0" collapsed="false">
      <c r="A135" s="22" t="s">
        <v>894</v>
      </c>
      <c r="B135" s="22" t="s">
        <v>455</v>
      </c>
      <c r="C135" s="23" t="n">
        <v>45456</v>
      </c>
      <c r="D135" s="22"/>
      <c r="E135" s="22" t="n">
        <v>0</v>
      </c>
      <c r="F135" s="22"/>
      <c r="G135" s="22" t="s">
        <v>465</v>
      </c>
      <c r="H135" s="22" t="s">
        <v>492</v>
      </c>
      <c r="I135" s="22" t="s">
        <v>895</v>
      </c>
      <c r="J135" s="22" t="s">
        <v>459</v>
      </c>
      <c r="K135" s="22"/>
      <c r="L135" s="22"/>
    </row>
    <row r="136" customFormat="false" ht="14.25" hidden="true" customHeight="true" outlineLevel="0" collapsed="false">
      <c r="A136" s="22" t="s">
        <v>896</v>
      </c>
      <c r="B136" s="22" t="s">
        <v>455</v>
      </c>
      <c r="C136" s="23" t="n">
        <v>45456</v>
      </c>
      <c r="D136" s="22"/>
      <c r="E136" s="22" t="n">
        <v>0</v>
      </c>
      <c r="F136" s="22"/>
      <c r="G136" s="22" t="s">
        <v>465</v>
      </c>
      <c r="H136" s="22" t="s">
        <v>525</v>
      </c>
      <c r="I136" s="22" t="s">
        <v>897</v>
      </c>
      <c r="J136" s="22" t="s">
        <v>459</v>
      </c>
      <c r="K136" s="22"/>
      <c r="L136" s="22"/>
    </row>
    <row r="137" customFormat="false" ht="14.25" hidden="true" customHeight="true" outlineLevel="0" collapsed="false">
      <c r="A137" s="22" t="s">
        <v>898</v>
      </c>
      <c r="B137" s="22" t="s">
        <v>455</v>
      </c>
      <c r="C137" s="23" t="n">
        <v>45457</v>
      </c>
      <c r="D137" s="22"/>
      <c r="E137" s="22" t="n">
        <v>0</v>
      </c>
      <c r="F137" s="22"/>
      <c r="G137" s="22" t="s">
        <v>470</v>
      </c>
      <c r="H137" s="22" t="s">
        <v>477</v>
      </c>
      <c r="I137" s="22" t="s">
        <v>899</v>
      </c>
      <c r="J137" s="22" t="s">
        <v>459</v>
      </c>
      <c r="K137" s="22"/>
      <c r="L137" s="22"/>
    </row>
    <row r="138" customFormat="false" ht="14.25" hidden="true" customHeight="true" outlineLevel="0" collapsed="false">
      <c r="A138" s="22" t="s">
        <v>900</v>
      </c>
      <c r="B138" s="22" t="s">
        <v>455</v>
      </c>
      <c r="C138" s="23" t="n">
        <v>45457</v>
      </c>
      <c r="D138" s="22"/>
      <c r="E138" s="22" t="n">
        <v>0</v>
      </c>
      <c r="F138" s="22"/>
      <c r="G138" s="22" t="s">
        <v>465</v>
      </c>
      <c r="H138" s="22" t="s">
        <v>492</v>
      </c>
      <c r="I138" s="22" t="s">
        <v>901</v>
      </c>
      <c r="J138" s="22" t="s">
        <v>459</v>
      </c>
      <c r="K138" s="22"/>
      <c r="L138" s="22"/>
    </row>
    <row r="139" customFormat="false" ht="14.25" hidden="true" customHeight="true" outlineLevel="0" collapsed="false">
      <c r="A139" s="22" t="s">
        <v>902</v>
      </c>
      <c r="B139" s="22" t="s">
        <v>455</v>
      </c>
      <c r="C139" s="23" t="n">
        <v>45457</v>
      </c>
      <c r="D139" s="22"/>
      <c r="E139" s="22" t="n">
        <v>0</v>
      </c>
      <c r="F139" s="22"/>
      <c r="G139" s="22" t="s">
        <v>465</v>
      </c>
      <c r="H139" s="22" t="s">
        <v>466</v>
      </c>
      <c r="I139" s="22" t="s">
        <v>903</v>
      </c>
      <c r="J139" s="22" t="s">
        <v>459</v>
      </c>
      <c r="K139" s="22"/>
      <c r="L139" s="22"/>
    </row>
    <row r="140" customFormat="false" ht="14.25" hidden="true" customHeight="true" outlineLevel="0" collapsed="false">
      <c r="A140" s="22" t="s">
        <v>904</v>
      </c>
      <c r="B140" s="22" t="s">
        <v>455</v>
      </c>
      <c r="C140" s="23" t="n">
        <v>45457</v>
      </c>
      <c r="D140" s="22"/>
      <c r="E140" s="22" t="n">
        <v>0</v>
      </c>
      <c r="F140" s="22"/>
      <c r="G140" s="22" t="s">
        <v>470</v>
      </c>
      <c r="H140" s="22" t="s">
        <v>471</v>
      </c>
      <c r="I140" s="22" t="s">
        <v>905</v>
      </c>
      <c r="J140" s="22" t="s">
        <v>459</v>
      </c>
      <c r="K140" s="22"/>
      <c r="L140" s="22"/>
    </row>
    <row r="141" customFormat="false" ht="14.25" hidden="false" customHeight="true" outlineLevel="0" collapsed="false">
      <c r="A141" s="15" t="s">
        <v>906</v>
      </c>
      <c r="B141" s="15" t="s">
        <v>504</v>
      </c>
      <c r="C141" s="24" t="n">
        <v>45418</v>
      </c>
      <c r="D141" s="24" t="n">
        <v>45478</v>
      </c>
      <c r="E141" s="15" t="n">
        <v>1</v>
      </c>
      <c r="F141" s="15" t="s">
        <v>907</v>
      </c>
      <c r="G141" s="15" t="s">
        <v>908</v>
      </c>
      <c r="H141" s="15" t="s">
        <v>909</v>
      </c>
      <c r="I141" s="15" t="s">
        <v>910</v>
      </c>
      <c r="J141" s="15" t="s">
        <v>459</v>
      </c>
      <c r="K141" s="15" t="s">
        <v>809</v>
      </c>
      <c r="L141" s="15" t="s">
        <v>911</v>
      </c>
    </row>
    <row r="142" customFormat="false" ht="14.25" hidden="true" customHeight="true" outlineLevel="0" collapsed="false">
      <c r="A142" s="22" t="s">
        <v>912</v>
      </c>
      <c r="B142" s="22" t="s">
        <v>455</v>
      </c>
      <c r="C142" s="23" t="n">
        <v>45467</v>
      </c>
      <c r="D142" s="22"/>
      <c r="E142" s="22" t="n">
        <v>0</v>
      </c>
      <c r="F142" s="22"/>
      <c r="G142" s="22" t="s">
        <v>913</v>
      </c>
      <c r="H142" s="22" t="s">
        <v>914</v>
      </c>
      <c r="I142" s="22" t="s">
        <v>915</v>
      </c>
      <c r="J142" s="22" t="s">
        <v>459</v>
      </c>
      <c r="K142" s="22"/>
      <c r="L142" s="22"/>
    </row>
    <row r="143" customFormat="false" ht="14.25" hidden="true" customHeight="true" outlineLevel="0" collapsed="false">
      <c r="A143" s="22" t="s">
        <v>916</v>
      </c>
      <c r="B143" s="22" t="s">
        <v>504</v>
      </c>
      <c r="C143" s="23" t="n">
        <v>45467</v>
      </c>
      <c r="D143" s="23" t="n">
        <v>45482</v>
      </c>
      <c r="E143" s="22" t="n">
        <v>0</v>
      </c>
      <c r="F143" s="22"/>
      <c r="G143" s="22" t="s">
        <v>917</v>
      </c>
      <c r="H143" s="22" t="s">
        <v>918</v>
      </c>
      <c r="I143" s="22" t="s">
        <v>919</v>
      </c>
      <c r="J143" s="22" t="s">
        <v>459</v>
      </c>
      <c r="K143" s="22"/>
      <c r="L143" s="22"/>
    </row>
    <row r="144" customFormat="false" ht="14.25" hidden="true" customHeight="true" outlineLevel="0" collapsed="false">
      <c r="A144" s="22" t="s">
        <v>920</v>
      </c>
      <c r="B144" s="22" t="s">
        <v>504</v>
      </c>
      <c r="C144" s="23" t="n">
        <v>45467</v>
      </c>
      <c r="D144" s="23" t="n">
        <v>45464</v>
      </c>
      <c r="E144" s="22" t="n">
        <v>0</v>
      </c>
      <c r="F144" s="22"/>
      <c r="G144" s="22" t="s">
        <v>921</v>
      </c>
      <c r="H144" s="22" t="s">
        <v>922</v>
      </c>
      <c r="I144" s="22" t="s">
        <v>923</v>
      </c>
      <c r="J144" s="22" t="s">
        <v>459</v>
      </c>
      <c r="K144" s="22"/>
      <c r="L144" s="22"/>
    </row>
    <row r="145" customFormat="false" ht="14.25" hidden="true" customHeight="true" outlineLevel="0" collapsed="false">
      <c r="A145" s="22" t="s">
        <v>924</v>
      </c>
      <c r="B145" s="22" t="s">
        <v>455</v>
      </c>
      <c r="C145" s="23" t="n">
        <v>45468</v>
      </c>
      <c r="D145" s="22"/>
      <c r="E145" s="22" t="n">
        <v>1</v>
      </c>
      <c r="F145" s="22" t="s">
        <v>925</v>
      </c>
      <c r="G145" s="22" t="s">
        <v>470</v>
      </c>
      <c r="H145" s="22" t="s">
        <v>477</v>
      </c>
      <c r="I145" s="22" t="s">
        <v>926</v>
      </c>
      <c r="J145" s="22" t="s">
        <v>459</v>
      </c>
      <c r="K145" s="22" t="s">
        <v>473</v>
      </c>
      <c r="L145" s="22" t="s">
        <v>474</v>
      </c>
    </row>
    <row r="146" customFormat="false" ht="14.25" hidden="true" customHeight="true" outlineLevel="0" collapsed="false">
      <c r="A146" s="22" t="s">
        <v>927</v>
      </c>
      <c r="B146" s="22" t="s">
        <v>455</v>
      </c>
      <c r="C146" s="23" t="n">
        <v>45468</v>
      </c>
      <c r="D146" s="22"/>
      <c r="E146" s="22" t="n">
        <v>0</v>
      </c>
      <c r="F146" s="22"/>
      <c r="G146" s="22" t="s">
        <v>465</v>
      </c>
      <c r="H146" s="22" t="s">
        <v>492</v>
      </c>
      <c r="I146" s="22" t="s">
        <v>928</v>
      </c>
      <c r="J146" s="22" t="s">
        <v>459</v>
      </c>
      <c r="K146" s="22"/>
      <c r="L146" s="22"/>
    </row>
    <row r="147" customFormat="false" ht="14.25" hidden="true" customHeight="true" outlineLevel="0" collapsed="false">
      <c r="A147" s="22" t="s">
        <v>929</v>
      </c>
      <c r="B147" s="22" t="s">
        <v>504</v>
      </c>
      <c r="C147" s="23" t="n">
        <v>45470</v>
      </c>
      <c r="D147" s="23" t="n">
        <v>45482</v>
      </c>
      <c r="E147" s="22" t="n">
        <v>0</v>
      </c>
      <c r="F147" s="22"/>
      <c r="G147" s="22" t="s">
        <v>930</v>
      </c>
      <c r="H147" s="22" t="s">
        <v>931</v>
      </c>
      <c r="I147" s="22" t="s">
        <v>932</v>
      </c>
      <c r="J147" s="22" t="s">
        <v>459</v>
      </c>
      <c r="K147" s="22"/>
      <c r="L147" s="22"/>
    </row>
    <row r="148" customFormat="false" ht="14.25" hidden="true" customHeight="true" outlineLevel="0" collapsed="false">
      <c r="A148" s="22" t="s">
        <v>933</v>
      </c>
      <c r="B148" s="22" t="s">
        <v>455</v>
      </c>
      <c r="C148" s="23" t="n">
        <v>45470</v>
      </c>
      <c r="D148" s="22"/>
      <c r="E148" s="22" t="n">
        <v>0</v>
      </c>
      <c r="F148" s="22"/>
      <c r="G148" s="22" t="s">
        <v>465</v>
      </c>
      <c r="H148" s="22" t="s">
        <v>466</v>
      </c>
      <c r="I148" s="22" t="s">
        <v>934</v>
      </c>
      <c r="J148" s="22" t="s">
        <v>459</v>
      </c>
      <c r="K148" s="22"/>
      <c r="L148" s="22"/>
    </row>
    <row r="149" customFormat="false" ht="14.25" hidden="true" customHeight="true" outlineLevel="0" collapsed="false">
      <c r="A149" s="22" t="s">
        <v>935</v>
      </c>
      <c r="B149" s="22" t="s">
        <v>455</v>
      </c>
      <c r="C149" s="23" t="n">
        <v>45470</v>
      </c>
      <c r="D149" s="22"/>
      <c r="E149" s="22" t="n">
        <v>0</v>
      </c>
      <c r="F149" s="22"/>
      <c r="G149" s="22" t="s">
        <v>936</v>
      </c>
      <c r="H149" s="22" t="s">
        <v>937</v>
      </c>
      <c r="I149" s="22" t="s">
        <v>938</v>
      </c>
      <c r="J149" s="22" t="s">
        <v>459</v>
      </c>
      <c r="K149" s="22"/>
      <c r="L149" s="22"/>
    </row>
    <row r="150" customFormat="false" ht="14.25" hidden="true" customHeight="true" outlineLevel="0" collapsed="false">
      <c r="A150" s="22" t="s">
        <v>939</v>
      </c>
      <c r="B150" s="22" t="s">
        <v>455</v>
      </c>
      <c r="C150" s="23" t="n">
        <v>45471</v>
      </c>
      <c r="D150" s="22"/>
      <c r="E150" s="22" t="n">
        <v>0</v>
      </c>
      <c r="F150" s="22"/>
      <c r="G150" s="22" t="s">
        <v>465</v>
      </c>
      <c r="H150" s="22" t="s">
        <v>492</v>
      </c>
      <c r="I150" s="22" t="s">
        <v>940</v>
      </c>
      <c r="J150" s="22" t="s">
        <v>459</v>
      </c>
      <c r="K150" s="22"/>
      <c r="L150" s="22"/>
    </row>
    <row r="151" customFormat="false" ht="14.25" hidden="false" customHeight="true" outlineLevel="0" collapsed="false">
      <c r="A151" s="15" t="s">
        <v>941</v>
      </c>
      <c r="B151" s="15" t="s">
        <v>504</v>
      </c>
      <c r="C151" s="24" t="n">
        <v>45422</v>
      </c>
      <c r="D151" s="24" t="n">
        <v>45482</v>
      </c>
      <c r="E151" s="15" t="n">
        <v>1</v>
      </c>
      <c r="F151" s="15" t="s">
        <v>942</v>
      </c>
      <c r="G151" s="15" t="s">
        <v>943</v>
      </c>
      <c r="H151" s="15" t="s">
        <v>944</v>
      </c>
      <c r="I151" s="15" t="s">
        <v>945</v>
      </c>
      <c r="J151" s="15" t="s">
        <v>459</v>
      </c>
      <c r="K151" s="15" t="s">
        <v>809</v>
      </c>
      <c r="L151" s="15" t="s">
        <v>946</v>
      </c>
    </row>
    <row r="152" customFormat="false" ht="14.25" hidden="true" customHeight="true" outlineLevel="0" collapsed="false">
      <c r="A152" s="22" t="s">
        <v>947</v>
      </c>
      <c r="B152" s="22" t="s">
        <v>455</v>
      </c>
      <c r="C152" s="23" t="n">
        <v>45475</v>
      </c>
      <c r="D152" s="22"/>
      <c r="E152" s="22" t="n">
        <v>0</v>
      </c>
      <c r="F152" s="22"/>
      <c r="G152" s="22" t="s">
        <v>465</v>
      </c>
      <c r="H152" s="22" t="s">
        <v>492</v>
      </c>
      <c r="I152" s="22" t="s">
        <v>948</v>
      </c>
      <c r="J152" s="22" t="s">
        <v>459</v>
      </c>
      <c r="K152" s="22"/>
      <c r="L152" s="22"/>
    </row>
    <row r="153" customFormat="false" ht="14.25" hidden="true" customHeight="true" outlineLevel="0" collapsed="false">
      <c r="A153" s="22" t="s">
        <v>949</v>
      </c>
      <c r="B153" s="22" t="s">
        <v>455</v>
      </c>
      <c r="C153" s="23" t="n">
        <v>45475</v>
      </c>
      <c r="D153" s="22"/>
      <c r="E153" s="22" t="n">
        <v>1</v>
      </c>
      <c r="F153" s="22" t="s">
        <v>950</v>
      </c>
      <c r="G153" s="22" t="s">
        <v>465</v>
      </c>
      <c r="H153" s="22" t="s">
        <v>492</v>
      </c>
      <c r="I153" s="22" t="s">
        <v>951</v>
      </c>
      <c r="J153" s="22" t="s">
        <v>459</v>
      </c>
      <c r="K153" s="22" t="s">
        <v>473</v>
      </c>
      <c r="L153" s="22" t="s">
        <v>474</v>
      </c>
    </row>
    <row r="154" customFormat="false" ht="14.25" hidden="true" customHeight="true" outlineLevel="0" collapsed="false">
      <c r="A154" s="22" t="s">
        <v>952</v>
      </c>
      <c r="B154" s="22" t="s">
        <v>483</v>
      </c>
      <c r="C154" s="23" t="n">
        <v>45476</v>
      </c>
      <c r="D154" s="22"/>
      <c r="E154" s="22" t="n">
        <v>1</v>
      </c>
      <c r="F154" s="22" t="s">
        <v>953</v>
      </c>
      <c r="G154" s="22" t="s">
        <v>954</v>
      </c>
      <c r="H154" s="22" t="s">
        <v>955</v>
      </c>
      <c r="I154" s="22" t="s">
        <v>956</v>
      </c>
      <c r="J154" s="22" t="s">
        <v>459</v>
      </c>
      <c r="K154" s="22" t="s">
        <v>473</v>
      </c>
      <c r="L154" s="22" t="s">
        <v>554</v>
      </c>
    </row>
    <row r="155" customFormat="false" ht="14.25" hidden="false" customHeight="true" outlineLevel="0" collapsed="false">
      <c r="A155" s="15" t="s">
        <v>957</v>
      </c>
      <c r="B155" s="15" t="s">
        <v>504</v>
      </c>
      <c r="C155" s="24" t="n">
        <v>45422</v>
      </c>
      <c r="D155" s="24" t="n">
        <v>45482</v>
      </c>
      <c r="E155" s="15" t="n">
        <v>1</v>
      </c>
      <c r="F155" s="15" t="s">
        <v>958</v>
      </c>
      <c r="G155" s="15" t="s">
        <v>959</v>
      </c>
      <c r="H155" s="15" t="s">
        <v>960</v>
      </c>
      <c r="I155" s="15" t="s">
        <v>961</v>
      </c>
      <c r="J155" s="15" t="s">
        <v>459</v>
      </c>
      <c r="K155" s="15" t="s">
        <v>809</v>
      </c>
      <c r="L155" s="15" t="s">
        <v>962</v>
      </c>
    </row>
    <row r="156" customFormat="false" ht="14.25" hidden="true" customHeight="true" outlineLevel="0" collapsed="false">
      <c r="A156" s="22" t="s">
        <v>963</v>
      </c>
      <c r="B156" s="22" t="s">
        <v>455</v>
      </c>
      <c r="C156" s="23" t="n">
        <v>45476</v>
      </c>
      <c r="D156" s="22"/>
      <c r="E156" s="22" t="n">
        <v>0</v>
      </c>
      <c r="F156" s="22"/>
      <c r="G156" s="22" t="s">
        <v>470</v>
      </c>
      <c r="H156" s="22" t="s">
        <v>471</v>
      </c>
      <c r="I156" s="22" t="s">
        <v>964</v>
      </c>
      <c r="J156" s="22" t="s">
        <v>459</v>
      </c>
      <c r="K156" s="22"/>
      <c r="L156" s="22"/>
    </row>
    <row r="157" customFormat="false" ht="14.25" hidden="true" customHeight="true" outlineLevel="0" collapsed="false">
      <c r="A157" s="22" t="s">
        <v>965</v>
      </c>
      <c r="B157" s="22" t="s">
        <v>483</v>
      </c>
      <c r="C157" s="23" t="n">
        <v>45478</v>
      </c>
      <c r="D157" s="22"/>
      <c r="E157" s="22" t="n">
        <v>1</v>
      </c>
      <c r="F157" s="22" t="s">
        <v>966</v>
      </c>
      <c r="G157" s="22" t="s">
        <v>967</v>
      </c>
      <c r="H157" s="22" t="s">
        <v>968</v>
      </c>
      <c r="I157" s="22" t="s">
        <v>969</v>
      </c>
      <c r="J157" s="22" t="s">
        <v>459</v>
      </c>
      <c r="K157" s="22" t="s">
        <v>473</v>
      </c>
      <c r="L157" s="22" t="s">
        <v>554</v>
      </c>
    </row>
    <row r="158" customFormat="false" ht="14.25" hidden="true" customHeight="true" outlineLevel="0" collapsed="false">
      <c r="A158" s="22" t="s">
        <v>970</v>
      </c>
      <c r="B158" s="22" t="s">
        <v>455</v>
      </c>
      <c r="C158" s="23" t="n">
        <v>45481</v>
      </c>
      <c r="D158" s="22"/>
      <c r="E158" s="22" t="n">
        <v>0</v>
      </c>
      <c r="F158" s="22"/>
      <c r="G158" s="22" t="s">
        <v>971</v>
      </c>
      <c r="H158" s="22" t="s">
        <v>972</v>
      </c>
      <c r="I158" s="22" t="s">
        <v>973</v>
      </c>
      <c r="J158" s="22" t="s">
        <v>459</v>
      </c>
      <c r="K158" s="22"/>
      <c r="L158" s="22"/>
    </row>
    <row r="159" customFormat="false" ht="14.25" hidden="true" customHeight="true" outlineLevel="0" collapsed="false">
      <c r="A159" s="22" t="s">
        <v>974</v>
      </c>
      <c r="B159" s="22" t="s">
        <v>455</v>
      </c>
      <c r="C159" s="23" t="n">
        <v>45481</v>
      </c>
      <c r="D159" s="22"/>
      <c r="E159" s="22" t="n">
        <v>1</v>
      </c>
      <c r="F159" s="22" t="s">
        <v>975</v>
      </c>
      <c r="G159" s="22" t="s">
        <v>465</v>
      </c>
      <c r="H159" s="22" t="s">
        <v>492</v>
      </c>
      <c r="I159" s="22" t="s">
        <v>976</v>
      </c>
      <c r="J159" s="22" t="s">
        <v>459</v>
      </c>
      <c r="K159" s="22" t="s">
        <v>473</v>
      </c>
      <c r="L159" s="22" t="s">
        <v>474</v>
      </c>
    </row>
    <row r="160" customFormat="false" ht="14.25" hidden="true" customHeight="true" outlineLevel="0" collapsed="false">
      <c r="A160" s="22" t="s">
        <v>977</v>
      </c>
      <c r="B160" s="22" t="s">
        <v>455</v>
      </c>
      <c r="C160" s="23" t="n">
        <v>45482</v>
      </c>
      <c r="D160" s="22"/>
      <c r="E160" s="22" t="n">
        <v>0</v>
      </c>
      <c r="F160" s="22"/>
      <c r="G160" s="22" t="s">
        <v>465</v>
      </c>
      <c r="H160" s="22" t="s">
        <v>466</v>
      </c>
      <c r="I160" s="22" t="s">
        <v>978</v>
      </c>
      <c r="J160" s="22" t="s">
        <v>459</v>
      </c>
      <c r="K160" s="22"/>
      <c r="L160" s="22"/>
    </row>
    <row r="161" customFormat="false" ht="14.25" hidden="true" customHeight="true" outlineLevel="0" collapsed="false">
      <c r="A161" s="22" t="s">
        <v>979</v>
      </c>
      <c r="B161" s="22" t="s">
        <v>455</v>
      </c>
      <c r="C161" s="23" t="n">
        <v>45482</v>
      </c>
      <c r="D161" s="22"/>
      <c r="E161" s="22" t="n">
        <v>0</v>
      </c>
      <c r="F161" s="22"/>
      <c r="G161" s="22" t="s">
        <v>470</v>
      </c>
      <c r="H161" s="22" t="s">
        <v>471</v>
      </c>
      <c r="I161" s="22" t="s">
        <v>980</v>
      </c>
      <c r="J161" s="22" t="s">
        <v>459</v>
      </c>
      <c r="K161" s="22"/>
      <c r="L161" s="22"/>
    </row>
    <row r="162" customFormat="false" ht="14.25" hidden="true" customHeight="true" outlineLevel="0" collapsed="false">
      <c r="A162" s="22" t="s">
        <v>981</v>
      </c>
      <c r="B162" s="22" t="s">
        <v>455</v>
      </c>
      <c r="C162" s="23" t="n">
        <v>45483</v>
      </c>
      <c r="D162" s="22"/>
      <c r="E162" s="22" t="n">
        <v>0</v>
      </c>
      <c r="F162" s="22"/>
      <c r="G162" s="22" t="s">
        <v>982</v>
      </c>
      <c r="H162" s="22" t="s">
        <v>983</v>
      </c>
      <c r="I162" s="22" t="s">
        <v>984</v>
      </c>
      <c r="J162" s="22" t="s">
        <v>459</v>
      </c>
      <c r="K162" s="22"/>
      <c r="L162" s="22"/>
    </row>
    <row r="163" customFormat="false" ht="14.25" hidden="true" customHeight="true" outlineLevel="0" collapsed="false">
      <c r="A163" s="22" t="s">
        <v>985</v>
      </c>
      <c r="B163" s="22" t="s">
        <v>455</v>
      </c>
      <c r="C163" s="23" t="n">
        <v>45483</v>
      </c>
      <c r="D163" s="22"/>
      <c r="E163" s="22" t="n">
        <v>0</v>
      </c>
      <c r="F163" s="22"/>
      <c r="G163" s="22" t="s">
        <v>470</v>
      </c>
      <c r="H163" s="22" t="s">
        <v>477</v>
      </c>
      <c r="I163" s="22" t="s">
        <v>986</v>
      </c>
      <c r="J163" s="22" t="s">
        <v>459</v>
      </c>
      <c r="K163" s="22"/>
      <c r="L163" s="22"/>
    </row>
    <row r="164" customFormat="false" ht="14.25" hidden="true" customHeight="true" outlineLevel="0" collapsed="false">
      <c r="A164" s="22" t="s">
        <v>987</v>
      </c>
      <c r="B164" s="22" t="s">
        <v>455</v>
      </c>
      <c r="C164" s="23" t="n">
        <v>45483</v>
      </c>
      <c r="D164" s="22"/>
      <c r="E164" s="22" t="n">
        <v>1</v>
      </c>
      <c r="F164" s="22" t="s">
        <v>988</v>
      </c>
      <c r="G164" s="22" t="s">
        <v>465</v>
      </c>
      <c r="H164" s="22" t="s">
        <v>466</v>
      </c>
      <c r="I164" s="22" t="s">
        <v>989</v>
      </c>
      <c r="J164" s="22" t="s">
        <v>459</v>
      </c>
      <c r="K164" s="22" t="s">
        <v>473</v>
      </c>
      <c r="L164" s="22" t="s">
        <v>474</v>
      </c>
    </row>
    <row r="165" customFormat="false" ht="14.25" hidden="true" customHeight="true" outlineLevel="0" collapsed="false">
      <c r="A165" s="22" t="s">
        <v>990</v>
      </c>
      <c r="B165" s="22" t="s">
        <v>455</v>
      </c>
      <c r="C165" s="23" t="n">
        <v>45484</v>
      </c>
      <c r="D165" s="22"/>
      <c r="E165" s="22" t="n">
        <v>0</v>
      </c>
      <c r="F165" s="22"/>
      <c r="G165" s="22" t="s">
        <v>991</v>
      </c>
      <c r="H165" s="22" t="s">
        <v>992</v>
      </c>
      <c r="I165" s="22" t="s">
        <v>993</v>
      </c>
      <c r="J165" s="22" t="s">
        <v>459</v>
      </c>
      <c r="K165" s="22"/>
      <c r="L165" s="22"/>
    </row>
    <row r="166" customFormat="false" ht="14.25" hidden="true" customHeight="true" outlineLevel="0" collapsed="false">
      <c r="A166" s="22" t="s">
        <v>994</v>
      </c>
      <c r="B166" s="22" t="s">
        <v>455</v>
      </c>
      <c r="C166" s="23" t="n">
        <v>45488</v>
      </c>
      <c r="D166" s="22"/>
      <c r="E166" s="22" t="n">
        <v>0</v>
      </c>
      <c r="F166" s="22"/>
      <c r="G166" s="22" t="s">
        <v>995</v>
      </c>
      <c r="H166" s="22" t="s">
        <v>996</v>
      </c>
      <c r="I166" s="22" t="s">
        <v>997</v>
      </c>
      <c r="J166" s="22" t="s">
        <v>459</v>
      </c>
      <c r="K166" s="22"/>
      <c r="L166" s="22"/>
    </row>
    <row r="167" customFormat="false" ht="14.25" hidden="true" customHeight="true" outlineLevel="0" collapsed="false">
      <c r="A167" s="22" t="s">
        <v>998</v>
      </c>
      <c r="B167" s="22" t="s">
        <v>455</v>
      </c>
      <c r="C167" s="23" t="n">
        <v>45488</v>
      </c>
      <c r="D167" s="22"/>
      <c r="E167" s="22" t="n">
        <v>0</v>
      </c>
      <c r="F167" s="22"/>
      <c r="G167" s="22" t="s">
        <v>470</v>
      </c>
      <c r="H167" s="22" t="s">
        <v>477</v>
      </c>
      <c r="I167" s="22" t="s">
        <v>999</v>
      </c>
      <c r="J167" s="22" t="s">
        <v>459</v>
      </c>
      <c r="K167" s="22"/>
      <c r="L167" s="22"/>
    </row>
    <row r="168" customFormat="false" ht="14.25" hidden="true" customHeight="true" outlineLevel="0" collapsed="false">
      <c r="A168" s="22" t="s">
        <v>1000</v>
      </c>
      <c r="B168" s="22" t="s">
        <v>455</v>
      </c>
      <c r="C168" s="23" t="n">
        <v>45489</v>
      </c>
      <c r="D168" s="22"/>
      <c r="E168" s="22" t="n">
        <v>0</v>
      </c>
      <c r="F168" s="22"/>
      <c r="G168" s="22" t="s">
        <v>1001</v>
      </c>
      <c r="H168" s="22" t="s">
        <v>1002</v>
      </c>
      <c r="I168" s="22" t="s">
        <v>1003</v>
      </c>
      <c r="J168" s="22" t="s">
        <v>459</v>
      </c>
      <c r="K168" s="22"/>
      <c r="L168" s="22"/>
    </row>
    <row r="169" customFormat="false" ht="14.25" hidden="true" customHeight="true" outlineLevel="0" collapsed="false">
      <c r="A169" s="22" t="s">
        <v>1004</v>
      </c>
      <c r="B169" s="22" t="s">
        <v>455</v>
      </c>
      <c r="C169" s="23" t="n">
        <v>45489</v>
      </c>
      <c r="D169" s="22"/>
      <c r="E169" s="22" t="n">
        <v>1</v>
      </c>
      <c r="F169" s="22" t="s">
        <v>498</v>
      </c>
      <c r="G169" s="22" t="s">
        <v>470</v>
      </c>
      <c r="H169" s="22" t="s">
        <v>471</v>
      </c>
      <c r="I169" s="22" t="s">
        <v>1005</v>
      </c>
      <c r="J169" s="22" t="s">
        <v>459</v>
      </c>
      <c r="K169" s="22" t="s">
        <v>473</v>
      </c>
      <c r="L169" s="22" t="s">
        <v>474</v>
      </c>
    </row>
    <row r="170" customFormat="false" ht="14.25" hidden="true" customHeight="true" outlineLevel="0" collapsed="false">
      <c r="A170" s="22" t="s">
        <v>1006</v>
      </c>
      <c r="B170" s="22" t="s">
        <v>504</v>
      </c>
      <c r="C170" s="23" t="n">
        <v>45490</v>
      </c>
      <c r="D170" s="22"/>
      <c r="E170" s="22" t="n">
        <v>0</v>
      </c>
      <c r="F170" s="22"/>
      <c r="G170" s="22" t="s">
        <v>1007</v>
      </c>
      <c r="H170" s="22" t="s">
        <v>1008</v>
      </c>
      <c r="I170" s="22" t="s">
        <v>1009</v>
      </c>
      <c r="J170" s="22" t="s">
        <v>459</v>
      </c>
      <c r="K170" s="22"/>
      <c r="L170" s="22"/>
    </row>
    <row r="171" customFormat="false" ht="14.25" hidden="true" customHeight="true" outlineLevel="0" collapsed="false">
      <c r="A171" s="22" t="s">
        <v>1010</v>
      </c>
      <c r="B171" s="22" t="s">
        <v>455</v>
      </c>
      <c r="C171" s="23" t="n">
        <v>45491</v>
      </c>
      <c r="D171" s="22"/>
      <c r="E171" s="22" t="n">
        <v>0</v>
      </c>
      <c r="F171" s="22"/>
      <c r="G171" s="22" t="s">
        <v>1011</v>
      </c>
      <c r="H171" s="22" t="s">
        <v>1012</v>
      </c>
      <c r="I171" s="22" t="s">
        <v>1013</v>
      </c>
      <c r="J171" s="22" t="s">
        <v>459</v>
      </c>
      <c r="K171" s="22"/>
      <c r="L171" s="22"/>
    </row>
    <row r="172" customFormat="false" ht="14.25" hidden="true" customHeight="true" outlineLevel="0" collapsed="false">
      <c r="A172" s="22" t="s">
        <v>1014</v>
      </c>
      <c r="B172" s="22" t="s">
        <v>455</v>
      </c>
      <c r="C172" s="23" t="n">
        <v>45492</v>
      </c>
      <c r="D172" s="22"/>
      <c r="E172" s="22" t="n">
        <v>0</v>
      </c>
      <c r="F172" s="22"/>
      <c r="G172" s="22" t="s">
        <v>461</v>
      </c>
      <c r="H172" s="22" t="s">
        <v>462</v>
      </c>
      <c r="I172" s="22" t="s">
        <v>1015</v>
      </c>
      <c r="J172" s="22" t="s">
        <v>459</v>
      </c>
      <c r="K172" s="22"/>
      <c r="L172" s="22"/>
    </row>
    <row r="173" customFormat="false" ht="14.25" hidden="true" customHeight="true" outlineLevel="0" collapsed="false">
      <c r="A173" s="22" t="s">
        <v>1016</v>
      </c>
      <c r="B173" s="22" t="s">
        <v>483</v>
      </c>
      <c r="C173" s="23" t="n">
        <v>45495</v>
      </c>
      <c r="D173" s="22"/>
      <c r="E173" s="22" t="n">
        <v>1</v>
      </c>
      <c r="F173" s="22" t="s">
        <v>1017</v>
      </c>
      <c r="G173" s="22" t="s">
        <v>1018</v>
      </c>
      <c r="H173" s="22" t="s">
        <v>1019</v>
      </c>
      <c r="I173" s="22" t="s">
        <v>1020</v>
      </c>
      <c r="J173" s="22" t="s">
        <v>459</v>
      </c>
      <c r="K173" s="22" t="s">
        <v>473</v>
      </c>
      <c r="L173" s="22" t="s">
        <v>554</v>
      </c>
    </row>
    <row r="174" customFormat="false" ht="14.25" hidden="true" customHeight="true" outlineLevel="0" collapsed="false">
      <c r="A174" s="22" t="s">
        <v>1021</v>
      </c>
      <c r="B174" s="22" t="s">
        <v>455</v>
      </c>
      <c r="C174" s="23" t="n">
        <v>45495</v>
      </c>
      <c r="D174" s="22"/>
      <c r="E174" s="22" t="n">
        <v>0</v>
      </c>
      <c r="F174" s="22"/>
      <c r="G174" s="22" t="s">
        <v>1022</v>
      </c>
      <c r="H174" s="22" t="s">
        <v>500</v>
      </c>
      <c r="I174" s="22" t="s">
        <v>1023</v>
      </c>
      <c r="J174" s="22" t="s">
        <v>459</v>
      </c>
      <c r="K174" s="22"/>
      <c r="L174" s="22"/>
    </row>
    <row r="175" customFormat="false" ht="14.25" hidden="true" customHeight="true" outlineLevel="0" collapsed="false">
      <c r="A175" s="22" t="s">
        <v>1024</v>
      </c>
      <c r="B175" s="22" t="s">
        <v>455</v>
      </c>
      <c r="C175" s="23" t="n">
        <v>45497</v>
      </c>
      <c r="D175" s="22"/>
      <c r="E175" s="22" t="n">
        <v>0</v>
      </c>
      <c r="F175" s="22"/>
      <c r="G175" s="22" t="s">
        <v>461</v>
      </c>
      <c r="H175" s="22" t="s">
        <v>462</v>
      </c>
      <c r="I175" s="22" t="s">
        <v>1025</v>
      </c>
      <c r="J175" s="22" t="s">
        <v>459</v>
      </c>
      <c r="K175" s="22"/>
      <c r="L175" s="22"/>
    </row>
    <row r="176" customFormat="false" ht="14.25" hidden="true" customHeight="true" outlineLevel="0" collapsed="false">
      <c r="A176" s="22" t="s">
        <v>1026</v>
      </c>
      <c r="B176" s="22" t="s">
        <v>455</v>
      </c>
      <c r="C176" s="23" t="n">
        <v>45498</v>
      </c>
      <c r="D176" s="22"/>
      <c r="E176" s="22" t="n">
        <v>0</v>
      </c>
      <c r="F176" s="22"/>
      <c r="G176" s="22" t="s">
        <v>470</v>
      </c>
      <c r="H176" s="22" t="s">
        <v>477</v>
      </c>
      <c r="I176" s="22" t="s">
        <v>1027</v>
      </c>
      <c r="J176" s="22" t="s">
        <v>459</v>
      </c>
      <c r="K176" s="22"/>
      <c r="L176" s="22"/>
    </row>
    <row r="177" customFormat="false" ht="14.25" hidden="true" customHeight="true" outlineLevel="0" collapsed="false">
      <c r="A177" s="22" t="s">
        <v>1028</v>
      </c>
      <c r="B177" s="22" t="s">
        <v>455</v>
      </c>
      <c r="C177" s="23" t="n">
        <v>45499</v>
      </c>
      <c r="D177" s="22"/>
      <c r="E177" s="22" t="n">
        <v>0</v>
      </c>
      <c r="F177" s="22"/>
      <c r="G177" s="22" t="s">
        <v>465</v>
      </c>
      <c r="H177" s="22" t="s">
        <v>466</v>
      </c>
      <c r="I177" s="22" t="s">
        <v>1029</v>
      </c>
      <c r="J177" s="22" t="s">
        <v>459</v>
      </c>
      <c r="K177" s="22"/>
      <c r="L177" s="22"/>
    </row>
    <row r="178" customFormat="false" ht="14.25" hidden="true" customHeight="true" outlineLevel="0" collapsed="false">
      <c r="A178" s="22" t="s">
        <v>1030</v>
      </c>
      <c r="B178" s="22" t="s">
        <v>455</v>
      </c>
      <c r="C178" s="23" t="n">
        <v>45499</v>
      </c>
      <c r="D178" s="22"/>
      <c r="E178" s="22" t="n">
        <v>0</v>
      </c>
      <c r="F178" s="22"/>
      <c r="G178" s="22" t="s">
        <v>470</v>
      </c>
      <c r="H178" s="22" t="s">
        <v>471</v>
      </c>
      <c r="I178" s="22" t="s">
        <v>1031</v>
      </c>
      <c r="J178" s="22" t="s">
        <v>459</v>
      </c>
      <c r="K178" s="22"/>
      <c r="L178" s="22"/>
    </row>
    <row r="179" customFormat="false" ht="14.25" hidden="true" customHeight="true" outlineLevel="0" collapsed="false">
      <c r="A179" s="22" t="s">
        <v>1032</v>
      </c>
      <c r="B179" s="22" t="s">
        <v>455</v>
      </c>
      <c r="C179" s="23" t="n">
        <v>45499</v>
      </c>
      <c r="D179" s="22"/>
      <c r="E179" s="22" t="n">
        <v>0</v>
      </c>
      <c r="F179" s="22"/>
      <c r="G179" s="22" t="s">
        <v>465</v>
      </c>
      <c r="H179" s="22" t="s">
        <v>466</v>
      </c>
      <c r="I179" s="22" t="s">
        <v>1033</v>
      </c>
      <c r="J179" s="22" t="s">
        <v>459</v>
      </c>
      <c r="K179" s="22"/>
      <c r="L179" s="22"/>
    </row>
    <row r="180" customFormat="false" ht="14.25" hidden="true" customHeight="true" outlineLevel="0" collapsed="false">
      <c r="A180" s="22" t="s">
        <v>1034</v>
      </c>
      <c r="B180" s="22" t="s">
        <v>455</v>
      </c>
      <c r="C180" s="23" t="n">
        <v>45503</v>
      </c>
      <c r="D180" s="22"/>
      <c r="E180" s="22" t="n">
        <v>0</v>
      </c>
      <c r="F180" s="22"/>
      <c r="G180" s="22" t="s">
        <v>461</v>
      </c>
      <c r="H180" s="22" t="s">
        <v>462</v>
      </c>
      <c r="I180" s="22" t="s">
        <v>1035</v>
      </c>
      <c r="J180" s="22" t="s">
        <v>459</v>
      </c>
      <c r="K180" s="22"/>
      <c r="L180" s="22"/>
    </row>
    <row r="181" customFormat="false" ht="14.25" hidden="true" customHeight="true" outlineLevel="0" collapsed="false">
      <c r="A181" s="22" t="s">
        <v>1036</v>
      </c>
      <c r="B181" s="22" t="s">
        <v>455</v>
      </c>
      <c r="C181" s="23" t="n">
        <v>45503</v>
      </c>
      <c r="D181" s="22"/>
      <c r="E181" s="22" t="n">
        <v>0</v>
      </c>
      <c r="F181" s="22"/>
      <c r="G181" s="22" t="s">
        <v>465</v>
      </c>
      <c r="H181" s="22" t="s">
        <v>466</v>
      </c>
      <c r="I181" s="22" t="s">
        <v>1037</v>
      </c>
      <c r="J181" s="22" t="s">
        <v>459</v>
      </c>
      <c r="K181" s="22"/>
      <c r="L181" s="22"/>
    </row>
    <row r="182" customFormat="false" ht="14.25" hidden="true" customHeight="true" outlineLevel="0" collapsed="false">
      <c r="A182" s="22" t="s">
        <v>1038</v>
      </c>
      <c r="B182" s="22" t="s">
        <v>455</v>
      </c>
      <c r="C182" s="23" t="n">
        <v>45503</v>
      </c>
      <c r="D182" s="22"/>
      <c r="E182" s="22" t="n">
        <v>0</v>
      </c>
      <c r="F182" s="22"/>
      <c r="G182" s="22" t="s">
        <v>470</v>
      </c>
      <c r="H182" s="22" t="s">
        <v>471</v>
      </c>
      <c r="I182" s="22" t="s">
        <v>1039</v>
      </c>
      <c r="J182" s="22" t="s">
        <v>459</v>
      </c>
      <c r="K182" s="22"/>
      <c r="L182" s="22"/>
    </row>
    <row r="183" customFormat="false" ht="14.25" hidden="true" customHeight="true" outlineLevel="0" collapsed="false">
      <c r="A183" s="22" t="s">
        <v>1040</v>
      </c>
      <c r="B183" s="22" t="s">
        <v>483</v>
      </c>
      <c r="C183" s="23" t="n">
        <v>45504</v>
      </c>
      <c r="D183" s="22"/>
      <c r="E183" s="22" t="n">
        <v>1</v>
      </c>
      <c r="F183" s="22" t="s">
        <v>1041</v>
      </c>
      <c r="G183" s="22" t="s">
        <v>1042</v>
      </c>
      <c r="H183" s="22" t="s">
        <v>1043</v>
      </c>
      <c r="I183" s="22" t="s">
        <v>1044</v>
      </c>
      <c r="J183" s="22" t="s">
        <v>459</v>
      </c>
      <c r="K183" s="22" t="s">
        <v>473</v>
      </c>
      <c r="L183" s="22" t="s">
        <v>554</v>
      </c>
    </row>
    <row r="184" customFormat="false" ht="14.25" hidden="true" customHeight="true" outlineLevel="0" collapsed="false">
      <c r="A184" s="22" t="s">
        <v>1045</v>
      </c>
      <c r="B184" s="22" t="s">
        <v>504</v>
      </c>
      <c r="C184" s="23" t="n">
        <v>45510</v>
      </c>
      <c r="D184" s="23" t="n">
        <v>45566</v>
      </c>
      <c r="E184" s="22" t="n">
        <v>1</v>
      </c>
      <c r="F184" s="22" t="s">
        <v>1046</v>
      </c>
      <c r="G184" s="22" t="s">
        <v>669</v>
      </c>
      <c r="H184" s="22" t="s">
        <v>1047</v>
      </c>
      <c r="I184" s="22" t="s">
        <v>1048</v>
      </c>
      <c r="J184" s="22" t="s">
        <v>459</v>
      </c>
      <c r="K184" s="22" t="s">
        <v>473</v>
      </c>
      <c r="L184" s="22" t="s">
        <v>554</v>
      </c>
    </row>
    <row r="185" customFormat="false" ht="14.25" hidden="true" customHeight="true" outlineLevel="0" collapsed="false">
      <c r="A185" s="22" t="s">
        <v>1049</v>
      </c>
      <c r="B185" s="22" t="s">
        <v>504</v>
      </c>
      <c r="C185" s="23" t="n">
        <v>45510</v>
      </c>
      <c r="D185" s="23" t="n">
        <v>45566</v>
      </c>
      <c r="E185" s="22" t="n">
        <v>1</v>
      </c>
      <c r="F185" s="22" t="s">
        <v>498</v>
      </c>
      <c r="G185" s="22" t="s">
        <v>674</v>
      </c>
      <c r="H185" s="22" t="s">
        <v>1050</v>
      </c>
      <c r="I185" s="22" t="s">
        <v>1051</v>
      </c>
      <c r="J185" s="22" t="s">
        <v>459</v>
      </c>
      <c r="K185" s="22" t="s">
        <v>473</v>
      </c>
      <c r="L185" s="22" t="s">
        <v>554</v>
      </c>
    </row>
    <row r="186" customFormat="false" ht="14.25" hidden="true" customHeight="true" outlineLevel="0" collapsed="false">
      <c r="A186" s="22" t="s">
        <v>1052</v>
      </c>
      <c r="B186" s="22" t="s">
        <v>504</v>
      </c>
      <c r="C186" s="23" t="n">
        <v>45510</v>
      </c>
      <c r="D186" s="23" t="n">
        <v>45566</v>
      </c>
      <c r="E186" s="22" t="n">
        <v>1</v>
      </c>
      <c r="F186" s="22" t="s">
        <v>1053</v>
      </c>
      <c r="G186" s="22" t="s">
        <v>649</v>
      </c>
      <c r="H186" s="22" t="s">
        <v>1054</v>
      </c>
      <c r="I186" s="22" t="s">
        <v>1055</v>
      </c>
      <c r="J186" s="22" t="s">
        <v>459</v>
      </c>
      <c r="K186" s="22" t="s">
        <v>473</v>
      </c>
      <c r="L186" s="22" t="s">
        <v>554</v>
      </c>
    </row>
    <row r="187" customFormat="false" ht="14.25" hidden="false" customHeight="true" outlineLevel="0" collapsed="false">
      <c r="A187" s="15" t="s">
        <v>1056</v>
      </c>
      <c r="B187" s="15" t="s">
        <v>504</v>
      </c>
      <c r="C187" s="24" t="n">
        <v>45510</v>
      </c>
      <c r="D187" s="24" t="n">
        <v>45510</v>
      </c>
      <c r="E187" s="15" t="n">
        <v>1</v>
      </c>
      <c r="F187" s="15" t="s">
        <v>1057</v>
      </c>
      <c r="G187" s="15" t="s">
        <v>1058</v>
      </c>
      <c r="H187" s="15" t="s">
        <v>1059</v>
      </c>
      <c r="I187" s="15" t="s">
        <v>1060</v>
      </c>
      <c r="J187" s="15" t="s">
        <v>459</v>
      </c>
      <c r="K187" s="15" t="s">
        <v>809</v>
      </c>
      <c r="L187" s="15" t="s">
        <v>1061</v>
      </c>
    </row>
    <row r="188" customFormat="false" ht="14.25" hidden="true" customHeight="true" outlineLevel="0" collapsed="false">
      <c r="A188" s="22" t="s">
        <v>1062</v>
      </c>
      <c r="B188" s="22" t="s">
        <v>455</v>
      </c>
      <c r="C188" s="23" t="n">
        <v>45510</v>
      </c>
      <c r="D188" s="22"/>
      <c r="E188" s="22" t="n">
        <v>1</v>
      </c>
      <c r="F188" s="22" t="s">
        <v>1063</v>
      </c>
      <c r="G188" s="22" t="s">
        <v>470</v>
      </c>
      <c r="H188" s="22" t="s">
        <v>477</v>
      </c>
      <c r="I188" s="22" t="s">
        <v>1064</v>
      </c>
      <c r="J188" s="22" t="s">
        <v>459</v>
      </c>
      <c r="K188" s="22" t="s">
        <v>473</v>
      </c>
      <c r="L188" s="22" t="s">
        <v>474</v>
      </c>
    </row>
    <row r="189" customFormat="false" ht="14.25" hidden="true" customHeight="true" outlineLevel="0" collapsed="false">
      <c r="A189" s="22" t="s">
        <v>1065</v>
      </c>
      <c r="B189" s="22" t="s">
        <v>455</v>
      </c>
      <c r="C189" s="23" t="n">
        <v>45510</v>
      </c>
      <c r="D189" s="22"/>
      <c r="E189" s="22" t="n">
        <v>0</v>
      </c>
      <c r="F189" s="22"/>
      <c r="G189" s="22" t="s">
        <v>465</v>
      </c>
      <c r="H189" s="22" t="s">
        <v>492</v>
      </c>
      <c r="I189" s="22" t="s">
        <v>1066</v>
      </c>
      <c r="J189" s="22" t="s">
        <v>459</v>
      </c>
      <c r="K189" s="22"/>
      <c r="L189" s="22"/>
    </row>
    <row r="190" customFormat="false" ht="14.25" hidden="true" customHeight="true" outlineLevel="0" collapsed="false">
      <c r="A190" s="22" t="s">
        <v>1067</v>
      </c>
      <c r="B190" s="22" t="s">
        <v>504</v>
      </c>
      <c r="C190" s="23" t="n">
        <v>45511</v>
      </c>
      <c r="D190" s="23" t="n">
        <v>45566</v>
      </c>
      <c r="E190" s="22" t="n">
        <v>1</v>
      </c>
      <c r="F190" s="22" t="s">
        <v>673</v>
      </c>
      <c r="G190" s="22" t="s">
        <v>664</v>
      </c>
      <c r="H190" s="22" t="s">
        <v>1068</v>
      </c>
      <c r="I190" s="22" t="s">
        <v>1069</v>
      </c>
      <c r="J190" s="22" t="s">
        <v>459</v>
      </c>
      <c r="K190" s="22" t="s">
        <v>473</v>
      </c>
      <c r="L190" s="22" t="s">
        <v>554</v>
      </c>
    </row>
    <row r="191" customFormat="false" ht="14.25" hidden="true" customHeight="true" outlineLevel="0" collapsed="false">
      <c r="A191" s="22" t="s">
        <v>1070</v>
      </c>
      <c r="B191" s="22" t="s">
        <v>455</v>
      </c>
      <c r="C191" s="23" t="n">
        <v>45511</v>
      </c>
      <c r="D191" s="22"/>
      <c r="E191" s="22" t="n">
        <v>0</v>
      </c>
      <c r="F191" s="22"/>
      <c r="G191" s="22" t="s">
        <v>470</v>
      </c>
      <c r="H191" s="22" t="s">
        <v>471</v>
      </c>
      <c r="I191" s="22" t="s">
        <v>1071</v>
      </c>
      <c r="J191" s="22" t="s">
        <v>459</v>
      </c>
      <c r="K191" s="22"/>
      <c r="L191" s="22"/>
    </row>
    <row r="192" customFormat="false" ht="14.25" hidden="true" customHeight="true" outlineLevel="0" collapsed="false">
      <c r="A192" s="22" t="s">
        <v>1072</v>
      </c>
      <c r="B192" s="22" t="s">
        <v>455</v>
      </c>
      <c r="C192" s="23" t="n">
        <v>45511</v>
      </c>
      <c r="D192" s="22"/>
      <c r="E192" s="22" t="n">
        <v>1</v>
      </c>
      <c r="F192" s="22" t="s">
        <v>1073</v>
      </c>
      <c r="G192" s="22" t="s">
        <v>465</v>
      </c>
      <c r="H192" s="22" t="s">
        <v>466</v>
      </c>
      <c r="I192" s="22" t="s">
        <v>1074</v>
      </c>
      <c r="J192" s="22" t="s">
        <v>459</v>
      </c>
      <c r="K192" s="22" t="s">
        <v>473</v>
      </c>
      <c r="L192" s="22" t="s">
        <v>474</v>
      </c>
    </row>
    <row r="193" customFormat="false" ht="14.25" hidden="true" customHeight="true" outlineLevel="0" collapsed="false">
      <c r="A193" s="22" t="s">
        <v>1075</v>
      </c>
      <c r="B193" s="22" t="s">
        <v>455</v>
      </c>
      <c r="C193" s="23" t="n">
        <v>45511</v>
      </c>
      <c r="D193" s="22"/>
      <c r="E193" s="22" t="n">
        <v>1</v>
      </c>
      <c r="F193" s="22" t="s">
        <v>1076</v>
      </c>
      <c r="G193" s="22" t="s">
        <v>470</v>
      </c>
      <c r="H193" s="22" t="s">
        <v>471</v>
      </c>
      <c r="I193" s="22" t="s">
        <v>1077</v>
      </c>
      <c r="J193" s="22" t="s">
        <v>459</v>
      </c>
      <c r="K193" s="22" t="s">
        <v>473</v>
      </c>
      <c r="L193" s="22" t="s">
        <v>474</v>
      </c>
    </row>
    <row r="194" customFormat="false" ht="14.25" hidden="true" customHeight="true" outlineLevel="0" collapsed="false">
      <c r="A194" s="22" t="s">
        <v>1078</v>
      </c>
      <c r="B194" s="22" t="s">
        <v>455</v>
      </c>
      <c r="C194" s="23" t="n">
        <v>45511</v>
      </c>
      <c r="D194" s="22"/>
      <c r="E194" s="22" t="n">
        <v>0</v>
      </c>
      <c r="F194" s="22"/>
      <c r="G194" s="22" t="s">
        <v>465</v>
      </c>
      <c r="H194" s="22" t="s">
        <v>492</v>
      </c>
      <c r="I194" s="22" t="s">
        <v>1079</v>
      </c>
      <c r="J194" s="22" t="s">
        <v>459</v>
      </c>
      <c r="K194" s="22"/>
      <c r="L194" s="22"/>
    </row>
    <row r="195" customFormat="false" ht="14.25" hidden="true" customHeight="true" outlineLevel="0" collapsed="false">
      <c r="A195" s="22" t="s">
        <v>1080</v>
      </c>
      <c r="B195" s="22" t="s">
        <v>455</v>
      </c>
      <c r="C195" s="23" t="n">
        <v>45513</v>
      </c>
      <c r="D195" s="22"/>
      <c r="E195" s="22" t="n">
        <v>1</v>
      </c>
      <c r="F195" s="22" t="s">
        <v>1081</v>
      </c>
      <c r="G195" s="22" t="s">
        <v>465</v>
      </c>
      <c r="H195" s="22" t="s">
        <v>492</v>
      </c>
      <c r="I195" s="22" t="s">
        <v>1082</v>
      </c>
      <c r="J195" s="22" t="s">
        <v>459</v>
      </c>
      <c r="K195" s="22" t="s">
        <v>473</v>
      </c>
      <c r="L195" s="22" t="s">
        <v>474</v>
      </c>
    </row>
    <row r="196" customFormat="false" ht="14.25" hidden="false" customHeight="true" outlineLevel="0" collapsed="false">
      <c r="A196" s="15" t="s">
        <v>1083</v>
      </c>
      <c r="B196" s="15" t="s">
        <v>455</v>
      </c>
      <c r="C196" s="24" t="n">
        <v>45610</v>
      </c>
      <c r="D196" s="24" t="n">
        <v>45658</v>
      </c>
      <c r="E196" s="15" t="n">
        <v>1</v>
      </c>
      <c r="F196" s="15" t="s">
        <v>1084</v>
      </c>
      <c r="G196" s="15" t="s">
        <v>1085</v>
      </c>
      <c r="H196" s="15" t="s">
        <v>1086</v>
      </c>
      <c r="I196" s="15" t="s">
        <v>68</v>
      </c>
      <c r="J196" s="15" t="s">
        <v>459</v>
      </c>
      <c r="K196" s="15" t="s">
        <v>809</v>
      </c>
      <c r="L196" s="15" t="s">
        <v>1087</v>
      </c>
    </row>
    <row r="197" customFormat="false" ht="14.25" hidden="true" customHeight="true" outlineLevel="0" collapsed="false">
      <c r="A197" s="22" t="s">
        <v>1088</v>
      </c>
      <c r="B197" s="22" t="s">
        <v>455</v>
      </c>
      <c r="C197" s="23" t="n">
        <v>45517</v>
      </c>
      <c r="D197" s="22"/>
      <c r="E197" s="22" t="n">
        <v>0</v>
      </c>
      <c r="F197" s="22"/>
      <c r="G197" s="22" t="s">
        <v>470</v>
      </c>
      <c r="H197" s="22" t="s">
        <v>477</v>
      </c>
      <c r="I197" s="22" t="s">
        <v>1089</v>
      </c>
      <c r="J197" s="22" t="s">
        <v>459</v>
      </c>
      <c r="K197" s="22"/>
      <c r="L197" s="22"/>
    </row>
    <row r="198" customFormat="false" ht="14.25" hidden="true" customHeight="true" outlineLevel="0" collapsed="false">
      <c r="A198" s="22" t="s">
        <v>1090</v>
      </c>
      <c r="B198" s="22" t="s">
        <v>455</v>
      </c>
      <c r="C198" s="23" t="n">
        <v>45517</v>
      </c>
      <c r="D198" s="22"/>
      <c r="E198" s="22" t="n">
        <v>0</v>
      </c>
      <c r="F198" s="22"/>
      <c r="G198" s="22" t="s">
        <v>465</v>
      </c>
      <c r="H198" s="22" t="s">
        <v>466</v>
      </c>
      <c r="I198" s="22" t="s">
        <v>1091</v>
      </c>
      <c r="J198" s="22" t="s">
        <v>459</v>
      </c>
      <c r="K198" s="22"/>
      <c r="L198" s="22"/>
    </row>
    <row r="199" customFormat="false" ht="14.25" hidden="true" customHeight="true" outlineLevel="0" collapsed="false">
      <c r="A199" s="22" t="s">
        <v>1092</v>
      </c>
      <c r="B199" s="22" t="s">
        <v>455</v>
      </c>
      <c r="C199" s="23" t="n">
        <v>45524</v>
      </c>
      <c r="D199" s="22"/>
      <c r="E199" s="22" t="n">
        <v>0</v>
      </c>
      <c r="F199" s="22"/>
      <c r="G199" s="22" t="s">
        <v>470</v>
      </c>
      <c r="H199" s="22" t="s">
        <v>477</v>
      </c>
      <c r="I199" s="22" t="s">
        <v>1093</v>
      </c>
      <c r="J199" s="22" t="s">
        <v>459</v>
      </c>
      <c r="K199" s="22"/>
      <c r="L199" s="22"/>
    </row>
    <row r="200" customFormat="false" ht="14.25" hidden="true" customHeight="true" outlineLevel="0" collapsed="false">
      <c r="A200" s="22" t="s">
        <v>1094</v>
      </c>
      <c r="B200" s="22" t="s">
        <v>455</v>
      </c>
      <c r="C200" s="23" t="n">
        <v>45524</v>
      </c>
      <c r="D200" s="22"/>
      <c r="E200" s="22" t="n">
        <v>0</v>
      </c>
      <c r="F200" s="22"/>
      <c r="G200" s="22" t="s">
        <v>465</v>
      </c>
      <c r="H200" s="22" t="s">
        <v>492</v>
      </c>
      <c r="I200" s="22" t="s">
        <v>1095</v>
      </c>
      <c r="J200" s="22" t="s">
        <v>459</v>
      </c>
      <c r="K200" s="22"/>
      <c r="L200" s="22"/>
    </row>
    <row r="201" customFormat="false" ht="14.25" hidden="true" customHeight="true" outlineLevel="0" collapsed="false">
      <c r="A201" s="22" t="s">
        <v>1096</v>
      </c>
      <c r="B201" s="22" t="s">
        <v>455</v>
      </c>
      <c r="C201" s="23" t="n">
        <v>45525</v>
      </c>
      <c r="D201" s="22"/>
      <c r="E201" s="22" t="n">
        <v>0</v>
      </c>
      <c r="F201" s="22"/>
      <c r="G201" s="22" t="s">
        <v>638</v>
      </c>
      <c r="H201" s="22" t="s">
        <v>1097</v>
      </c>
      <c r="I201" s="22" t="s">
        <v>1098</v>
      </c>
      <c r="J201" s="22" t="s">
        <v>459</v>
      </c>
      <c r="K201" s="22"/>
      <c r="L201" s="22"/>
    </row>
    <row r="202" customFormat="false" ht="14.25" hidden="true" customHeight="true" outlineLevel="0" collapsed="false">
      <c r="A202" s="22" t="s">
        <v>1099</v>
      </c>
      <c r="B202" s="22" t="s">
        <v>455</v>
      </c>
      <c r="C202" s="23" t="n">
        <v>45525</v>
      </c>
      <c r="D202" s="22"/>
      <c r="E202" s="22" t="n">
        <v>0</v>
      </c>
      <c r="F202" s="22"/>
      <c r="G202" s="22" t="s">
        <v>470</v>
      </c>
      <c r="H202" s="22" t="s">
        <v>477</v>
      </c>
      <c r="I202" s="22" t="s">
        <v>1100</v>
      </c>
      <c r="J202" s="22" t="s">
        <v>459</v>
      </c>
      <c r="K202" s="22"/>
      <c r="L202" s="22"/>
    </row>
    <row r="203" customFormat="false" ht="14.25" hidden="true" customHeight="true" outlineLevel="0" collapsed="false">
      <c r="A203" s="22" t="s">
        <v>1101</v>
      </c>
      <c r="B203" s="22" t="s">
        <v>455</v>
      </c>
      <c r="C203" s="23" t="n">
        <v>45526</v>
      </c>
      <c r="D203" s="22"/>
      <c r="E203" s="22" t="n">
        <v>0</v>
      </c>
      <c r="F203" s="22"/>
      <c r="G203" s="22" t="s">
        <v>465</v>
      </c>
      <c r="H203" s="22" t="s">
        <v>492</v>
      </c>
      <c r="I203" s="22" t="s">
        <v>1102</v>
      </c>
      <c r="J203" s="22" t="s">
        <v>459</v>
      </c>
      <c r="K203" s="22"/>
      <c r="L203" s="22"/>
    </row>
    <row r="204" customFormat="false" ht="14.25" hidden="true" customHeight="true" outlineLevel="0" collapsed="false">
      <c r="A204" s="22" t="s">
        <v>1103</v>
      </c>
      <c r="B204" s="22" t="s">
        <v>455</v>
      </c>
      <c r="C204" s="23" t="n">
        <v>45526</v>
      </c>
      <c r="D204" s="22"/>
      <c r="E204" s="22" t="n">
        <v>1</v>
      </c>
      <c r="F204" s="22" t="s">
        <v>673</v>
      </c>
      <c r="G204" s="22" t="s">
        <v>470</v>
      </c>
      <c r="H204" s="22" t="s">
        <v>477</v>
      </c>
      <c r="I204" s="22" t="s">
        <v>1104</v>
      </c>
      <c r="J204" s="22" t="s">
        <v>459</v>
      </c>
      <c r="K204" s="22" t="s">
        <v>473</v>
      </c>
      <c r="L204" s="22" t="s">
        <v>474</v>
      </c>
    </row>
    <row r="205" customFormat="false" ht="14.25" hidden="true" customHeight="true" outlineLevel="0" collapsed="false">
      <c r="A205" s="22" t="s">
        <v>1105</v>
      </c>
      <c r="B205" s="22" t="s">
        <v>455</v>
      </c>
      <c r="C205" s="23" t="n">
        <v>45531</v>
      </c>
      <c r="D205" s="22"/>
      <c r="E205" s="22" t="n">
        <v>0</v>
      </c>
      <c r="F205" s="22"/>
      <c r="G205" s="22" t="s">
        <v>470</v>
      </c>
      <c r="H205" s="22" t="s">
        <v>477</v>
      </c>
      <c r="I205" s="22" t="s">
        <v>1106</v>
      </c>
      <c r="J205" s="22" t="s">
        <v>459</v>
      </c>
      <c r="K205" s="22"/>
      <c r="L205" s="22"/>
    </row>
    <row r="206" customFormat="false" ht="14.25" hidden="true" customHeight="true" outlineLevel="0" collapsed="false">
      <c r="A206" s="22" t="s">
        <v>1107</v>
      </c>
      <c r="B206" s="22" t="s">
        <v>455</v>
      </c>
      <c r="C206" s="23" t="n">
        <v>45531</v>
      </c>
      <c r="D206" s="22"/>
      <c r="E206" s="22" t="n">
        <v>0</v>
      </c>
      <c r="F206" s="22"/>
      <c r="G206" s="22" t="s">
        <v>470</v>
      </c>
      <c r="H206" s="22" t="s">
        <v>477</v>
      </c>
      <c r="I206" s="22" t="s">
        <v>1108</v>
      </c>
      <c r="J206" s="22" t="s">
        <v>459</v>
      </c>
      <c r="K206" s="22"/>
      <c r="L206" s="22"/>
    </row>
    <row r="207" customFormat="false" ht="14.25" hidden="true" customHeight="true" outlineLevel="0" collapsed="false">
      <c r="A207" s="22" t="s">
        <v>1109</v>
      </c>
      <c r="B207" s="22" t="s">
        <v>455</v>
      </c>
      <c r="C207" s="23" t="n">
        <v>45531</v>
      </c>
      <c r="D207" s="22"/>
      <c r="E207" s="22" t="n">
        <v>0</v>
      </c>
      <c r="F207" s="22"/>
      <c r="G207" s="22" t="s">
        <v>470</v>
      </c>
      <c r="H207" s="22" t="s">
        <v>525</v>
      </c>
      <c r="I207" s="22" t="s">
        <v>1110</v>
      </c>
      <c r="J207" s="22" t="s">
        <v>459</v>
      </c>
      <c r="K207" s="22"/>
      <c r="L207" s="22"/>
    </row>
    <row r="208" customFormat="false" ht="14.25" hidden="true" customHeight="true" outlineLevel="0" collapsed="false">
      <c r="A208" s="22" t="s">
        <v>1111</v>
      </c>
      <c r="B208" s="22" t="s">
        <v>504</v>
      </c>
      <c r="C208" s="23" t="n">
        <v>45532</v>
      </c>
      <c r="D208" s="23" t="n">
        <v>45566</v>
      </c>
      <c r="E208" s="22" t="n">
        <v>1</v>
      </c>
      <c r="F208" s="22" t="s">
        <v>1112</v>
      </c>
      <c r="G208" s="22" t="s">
        <v>765</v>
      </c>
      <c r="H208" s="22" t="s">
        <v>1113</v>
      </c>
      <c r="I208" s="22" t="s">
        <v>1114</v>
      </c>
      <c r="J208" s="22" t="s">
        <v>459</v>
      </c>
      <c r="K208" s="22" t="s">
        <v>473</v>
      </c>
      <c r="L208" s="22" t="s">
        <v>554</v>
      </c>
    </row>
    <row r="209" customFormat="false" ht="14.25" hidden="true" customHeight="true" outlineLevel="0" collapsed="false">
      <c r="A209" s="22" t="s">
        <v>1115</v>
      </c>
      <c r="B209" s="22" t="s">
        <v>455</v>
      </c>
      <c r="C209" s="23" t="n">
        <v>45533</v>
      </c>
      <c r="D209" s="22"/>
      <c r="E209" s="22" t="n">
        <v>0</v>
      </c>
      <c r="F209" s="22"/>
      <c r="G209" s="22" t="s">
        <v>470</v>
      </c>
      <c r="H209" s="22" t="s">
        <v>471</v>
      </c>
      <c r="I209" s="22" t="s">
        <v>1116</v>
      </c>
      <c r="J209" s="22" t="s">
        <v>459</v>
      </c>
      <c r="K209" s="22"/>
      <c r="L209" s="22"/>
    </row>
    <row r="210" customFormat="false" ht="14.25" hidden="true" customHeight="true" outlineLevel="0" collapsed="false">
      <c r="A210" s="22" t="s">
        <v>1117</v>
      </c>
      <c r="B210" s="22" t="s">
        <v>455</v>
      </c>
      <c r="C210" s="23" t="n">
        <v>45534</v>
      </c>
      <c r="D210" s="22"/>
      <c r="E210" s="22" t="n">
        <v>0</v>
      </c>
      <c r="F210" s="22"/>
      <c r="G210" s="22" t="s">
        <v>470</v>
      </c>
      <c r="H210" s="22" t="s">
        <v>471</v>
      </c>
      <c r="I210" s="22" t="s">
        <v>1118</v>
      </c>
      <c r="J210" s="22" t="s">
        <v>459</v>
      </c>
      <c r="K210" s="22"/>
      <c r="L210" s="22"/>
    </row>
    <row r="211" customFormat="false" ht="14.25" hidden="true" customHeight="true" outlineLevel="0" collapsed="false">
      <c r="A211" s="22" t="s">
        <v>1119</v>
      </c>
      <c r="B211" s="22" t="s">
        <v>455</v>
      </c>
      <c r="C211" s="23" t="n">
        <v>45538</v>
      </c>
      <c r="D211" s="22"/>
      <c r="E211" s="22" t="n">
        <v>0</v>
      </c>
      <c r="F211" s="22"/>
      <c r="G211" s="22" t="s">
        <v>1120</v>
      </c>
      <c r="H211" s="22" t="s">
        <v>1121</v>
      </c>
      <c r="I211" s="22" t="s">
        <v>1122</v>
      </c>
      <c r="J211" s="22" t="s">
        <v>459</v>
      </c>
      <c r="K211" s="22"/>
      <c r="L211" s="22"/>
    </row>
    <row r="212" customFormat="false" ht="14.25" hidden="true" customHeight="true" outlineLevel="0" collapsed="false">
      <c r="A212" s="22" t="s">
        <v>1123</v>
      </c>
      <c r="B212" s="22" t="s">
        <v>455</v>
      </c>
      <c r="C212" s="23" t="n">
        <v>45538</v>
      </c>
      <c r="D212" s="22"/>
      <c r="E212" s="22" t="n">
        <v>0</v>
      </c>
      <c r="F212" s="22"/>
      <c r="G212" s="22" t="s">
        <v>470</v>
      </c>
      <c r="H212" s="22" t="s">
        <v>477</v>
      </c>
      <c r="I212" s="22" t="s">
        <v>1124</v>
      </c>
      <c r="J212" s="22" t="s">
        <v>459</v>
      </c>
      <c r="K212" s="22"/>
      <c r="L212" s="22"/>
    </row>
    <row r="213" customFormat="false" ht="14.25" hidden="true" customHeight="true" outlineLevel="0" collapsed="false">
      <c r="A213" s="22" t="s">
        <v>1125</v>
      </c>
      <c r="B213" s="22" t="s">
        <v>455</v>
      </c>
      <c r="C213" s="23" t="n">
        <v>45540</v>
      </c>
      <c r="D213" s="22"/>
      <c r="E213" s="22" t="n">
        <v>0</v>
      </c>
      <c r="F213" s="22"/>
      <c r="G213" s="22" t="s">
        <v>470</v>
      </c>
      <c r="H213" s="22" t="s">
        <v>471</v>
      </c>
      <c r="I213" s="22" t="s">
        <v>1126</v>
      </c>
      <c r="J213" s="22" t="s">
        <v>459</v>
      </c>
      <c r="K213" s="22"/>
      <c r="L213" s="22"/>
    </row>
    <row r="214" customFormat="false" ht="14.25" hidden="true" customHeight="true" outlineLevel="0" collapsed="false">
      <c r="A214" s="22" t="s">
        <v>1127</v>
      </c>
      <c r="B214" s="22" t="s">
        <v>455</v>
      </c>
      <c r="C214" s="23" t="n">
        <v>45540</v>
      </c>
      <c r="D214" s="22"/>
      <c r="E214" s="22" t="n">
        <v>0</v>
      </c>
      <c r="F214" s="22"/>
      <c r="G214" s="22" t="s">
        <v>465</v>
      </c>
      <c r="H214" s="22" t="s">
        <v>466</v>
      </c>
      <c r="I214" s="22" t="s">
        <v>1128</v>
      </c>
      <c r="J214" s="22" t="s">
        <v>459</v>
      </c>
      <c r="K214" s="22"/>
      <c r="L214" s="22"/>
    </row>
    <row r="215" customFormat="false" ht="14.25" hidden="false" customHeight="true" outlineLevel="0" collapsed="false">
      <c r="A215" s="15" t="s">
        <v>1129</v>
      </c>
      <c r="B215" s="15" t="s">
        <v>455</v>
      </c>
      <c r="C215" s="24" t="n">
        <v>45980</v>
      </c>
      <c r="D215" s="15"/>
      <c r="E215" s="15" t="n">
        <v>1</v>
      </c>
      <c r="F215" s="15" t="s">
        <v>1084</v>
      </c>
      <c r="G215" s="15" t="s">
        <v>1130</v>
      </c>
      <c r="H215" s="15" t="s">
        <v>1131</v>
      </c>
      <c r="I215" s="15" t="s">
        <v>120</v>
      </c>
      <c r="J215" s="15" t="s">
        <v>459</v>
      </c>
      <c r="K215" s="15" t="s">
        <v>809</v>
      </c>
      <c r="L215" s="15" t="s">
        <v>1087</v>
      </c>
    </row>
    <row r="216" customFormat="false" ht="14.25" hidden="true" customHeight="true" outlineLevel="0" collapsed="false">
      <c r="A216" s="22" t="s">
        <v>1132</v>
      </c>
      <c r="B216" s="22" t="s">
        <v>455</v>
      </c>
      <c r="C216" s="23" t="n">
        <v>45544</v>
      </c>
      <c r="D216" s="22"/>
      <c r="E216" s="22" t="n">
        <v>0</v>
      </c>
      <c r="F216" s="22"/>
      <c r="G216" s="22" t="s">
        <v>470</v>
      </c>
      <c r="H216" s="22" t="s">
        <v>471</v>
      </c>
      <c r="I216" s="22" t="s">
        <v>1133</v>
      </c>
      <c r="J216" s="22" t="s">
        <v>459</v>
      </c>
      <c r="K216" s="22"/>
      <c r="L216" s="22"/>
    </row>
    <row r="217" customFormat="false" ht="14.25" hidden="true" customHeight="true" outlineLevel="0" collapsed="false">
      <c r="A217" s="22" t="s">
        <v>1134</v>
      </c>
      <c r="B217" s="22" t="s">
        <v>455</v>
      </c>
      <c r="C217" s="23" t="n">
        <v>45545</v>
      </c>
      <c r="D217" s="22"/>
      <c r="E217" s="22" t="n">
        <v>1</v>
      </c>
      <c r="F217" s="22" t="s">
        <v>1135</v>
      </c>
      <c r="G217" s="22" t="s">
        <v>465</v>
      </c>
      <c r="H217" s="22" t="s">
        <v>466</v>
      </c>
      <c r="I217" s="22" t="s">
        <v>1136</v>
      </c>
      <c r="J217" s="22" t="s">
        <v>459</v>
      </c>
      <c r="K217" s="22" t="s">
        <v>473</v>
      </c>
      <c r="L217" s="22" t="s">
        <v>474</v>
      </c>
    </row>
    <row r="218" customFormat="false" ht="14.25" hidden="true" customHeight="true" outlineLevel="0" collapsed="false">
      <c r="A218" s="22" t="s">
        <v>1137</v>
      </c>
      <c r="B218" s="22" t="s">
        <v>455</v>
      </c>
      <c r="C218" s="23" t="n">
        <v>45546</v>
      </c>
      <c r="D218" s="22"/>
      <c r="E218" s="22" t="n">
        <v>0</v>
      </c>
      <c r="F218" s="22"/>
      <c r="G218" s="22" t="s">
        <v>470</v>
      </c>
      <c r="H218" s="22" t="s">
        <v>477</v>
      </c>
      <c r="I218" s="22" t="s">
        <v>1138</v>
      </c>
      <c r="J218" s="22" t="s">
        <v>459</v>
      </c>
      <c r="K218" s="22"/>
      <c r="L218" s="22"/>
    </row>
    <row r="219" customFormat="false" ht="14.25" hidden="true" customHeight="true" outlineLevel="0" collapsed="false">
      <c r="A219" s="22" t="s">
        <v>1139</v>
      </c>
      <c r="B219" s="22" t="s">
        <v>455</v>
      </c>
      <c r="C219" s="23" t="n">
        <v>45548</v>
      </c>
      <c r="D219" s="22"/>
      <c r="E219" s="22" t="n">
        <v>0</v>
      </c>
      <c r="F219" s="22"/>
      <c r="G219" s="22" t="s">
        <v>1140</v>
      </c>
      <c r="H219" s="22" t="s">
        <v>1141</v>
      </c>
      <c r="I219" s="22" t="s">
        <v>1142</v>
      </c>
      <c r="J219" s="22" t="s">
        <v>459</v>
      </c>
      <c r="K219" s="22"/>
      <c r="L219" s="22"/>
    </row>
    <row r="220" customFormat="false" ht="14.25" hidden="true" customHeight="true" outlineLevel="0" collapsed="false">
      <c r="A220" s="22" t="s">
        <v>1143</v>
      </c>
      <c r="B220" s="22" t="s">
        <v>455</v>
      </c>
      <c r="C220" s="23" t="n">
        <v>45552</v>
      </c>
      <c r="D220" s="22"/>
      <c r="E220" s="22" t="n">
        <v>0</v>
      </c>
      <c r="F220" s="22"/>
      <c r="G220" s="22" t="s">
        <v>1144</v>
      </c>
      <c r="H220" s="22" t="s">
        <v>1145</v>
      </c>
      <c r="I220" s="22" t="s">
        <v>1146</v>
      </c>
      <c r="J220" s="22" t="s">
        <v>459</v>
      </c>
      <c r="K220" s="22"/>
      <c r="L220" s="22"/>
    </row>
    <row r="221" customFormat="false" ht="14.25" hidden="true" customHeight="true" outlineLevel="0" collapsed="false">
      <c r="A221" s="22" t="s">
        <v>1147</v>
      </c>
      <c r="B221" s="22" t="s">
        <v>455</v>
      </c>
      <c r="C221" s="23" t="n">
        <v>45552</v>
      </c>
      <c r="D221" s="22"/>
      <c r="E221" s="22" t="n">
        <v>0</v>
      </c>
      <c r="F221" s="22"/>
      <c r="G221" s="22" t="s">
        <v>465</v>
      </c>
      <c r="H221" s="22" t="s">
        <v>466</v>
      </c>
      <c r="I221" s="22" t="s">
        <v>1148</v>
      </c>
      <c r="J221" s="22" t="s">
        <v>459</v>
      </c>
      <c r="K221" s="22"/>
      <c r="L221" s="22"/>
    </row>
    <row r="222" customFormat="false" ht="14.25" hidden="true" customHeight="true" outlineLevel="0" collapsed="false">
      <c r="A222" s="22" t="s">
        <v>1149</v>
      </c>
      <c r="B222" s="22" t="s">
        <v>455</v>
      </c>
      <c r="C222" s="23" t="n">
        <v>45552</v>
      </c>
      <c r="D222" s="22"/>
      <c r="E222" s="22" t="n">
        <v>1</v>
      </c>
      <c r="F222" s="22" t="s">
        <v>535</v>
      </c>
      <c r="G222" s="22" t="s">
        <v>470</v>
      </c>
      <c r="H222" s="22" t="s">
        <v>471</v>
      </c>
      <c r="I222" s="22" t="s">
        <v>1150</v>
      </c>
      <c r="J222" s="22" t="s">
        <v>459</v>
      </c>
      <c r="K222" s="22" t="s">
        <v>473</v>
      </c>
      <c r="L222" s="22" t="s">
        <v>474</v>
      </c>
    </row>
    <row r="223" customFormat="false" ht="14.25" hidden="true" customHeight="true" outlineLevel="0" collapsed="false">
      <c r="A223" s="22" t="s">
        <v>1151</v>
      </c>
      <c r="B223" s="22" t="s">
        <v>455</v>
      </c>
      <c r="C223" s="23" t="n">
        <v>45553</v>
      </c>
      <c r="D223" s="23" t="n">
        <v>45560</v>
      </c>
      <c r="E223" s="22" t="n">
        <v>0</v>
      </c>
      <c r="F223" s="22"/>
      <c r="G223" s="22" t="s">
        <v>754</v>
      </c>
      <c r="H223" s="22" t="s">
        <v>1152</v>
      </c>
      <c r="I223" s="22" t="s">
        <v>1153</v>
      </c>
      <c r="J223" s="22" t="s">
        <v>459</v>
      </c>
      <c r="K223" s="22"/>
      <c r="L223" s="22"/>
    </row>
    <row r="224" customFormat="false" ht="14.25" hidden="true" customHeight="true" outlineLevel="0" collapsed="false">
      <c r="A224" s="22" t="s">
        <v>1154</v>
      </c>
      <c r="B224" s="22" t="s">
        <v>455</v>
      </c>
      <c r="C224" s="23" t="n">
        <v>45554</v>
      </c>
      <c r="D224" s="22"/>
      <c r="E224" s="22" t="n">
        <v>0</v>
      </c>
      <c r="F224" s="22"/>
      <c r="G224" s="22" t="s">
        <v>1155</v>
      </c>
      <c r="H224" s="22" t="s">
        <v>1156</v>
      </c>
      <c r="I224" s="22" t="s">
        <v>1157</v>
      </c>
      <c r="J224" s="22" t="s">
        <v>459</v>
      </c>
      <c r="K224" s="22"/>
      <c r="L224" s="22"/>
    </row>
    <row r="225" customFormat="false" ht="14.25" hidden="true" customHeight="true" outlineLevel="0" collapsed="false">
      <c r="A225" s="22" t="s">
        <v>1158</v>
      </c>
      <c r="B225" s="22" t="s">
        <v>455</v>
      </c>
      <c r="C225" s="23" t="n">
        <v>45554</v>
      </c>
      <c r="D225" s="23" t="n">
        <v>45561</v>
      </c>
      <c r="E225" s="22" t="n">
        <v>0</v>
      </c>
      <c r="F225" s="22"/>
      <c r="G225" s="22" t="s">
        <v>1159</v>
      </c>
      <c r="H225" s="22" t="s">
        <v>1160</v>
      </c>
      <c r="I225" s="22" t="s">
        <v>1161</v>
      </c>
      <c r="J225" s="22" t="s">
        <v>459</v>
      </c>
      <c r="K225" s="22"/>
      <c r="L225" s="22"/>
    </row>
    <row r="226" customFormat="false" ht="14.25" hidden="true" customHeight="true" outlineLevel="0" collapsed="false">
      <c r="A226" s="22" t="s">
        <v>1162</v>
      </c>
      <c r="B226" s="22" t="s">
        <v>455</v>
      </c>
      <c r="C226" s="23" t="n">
        <v>45554</v>
      </c>
      <c r="D226" s="23" t="n">
        <v>45563</v>
      </c>
      <c r="E226" s="22" t="n">
        <v>0</v>
      </c>
      <c r="F226" s="22"/>
      <c r="G226" s="22" t="s">
        <v>1163</v>
      </c>
      <c r="H226" s="22" t="s">
        <v>1164</v>
      </c>
      <c r="I226" s="22" t="s">
        <v>1165</v>
      </c>
      <c r="J226" s="22" t="s">
        <v>459</v>
      </c>
      <c r="K226" s="22"/>
      <c r="L226" s="22"/>
    </row>
    <row r="227" customFormat="false" ht="14.25" hidden="true" customHeight="true" outlineLevel="0" collapsed="false">
      <c r="A227" s="22" t="s">
        <v>1166</v>
      </c>
      <c r="B227" s="22" t="s">
        <v>455</v>
      </c>
      <c r="C227" s="23" t="n">
        <v>45554</v>
      </c>
      <c r="D227" s="22"/>
      <c r="E227" s="22" t="n">
        <v>0</v>
      </c>
      <c r="F227" s="22"/>
      <c r="G227" s="22" t="s">
        <v>470</v>
      </c>
      <c r="H227" s="22" t="s">
        <v>471</v>
      </c>
      <c r="I227" s="22" t="s">
        <v>1167</v>
      </c>
      <c r="J227" s="22" t="s">
        <v>459</v>
      </c>
      <c r="K227" s="22"/>
      <c r="L227" s="22"/>
    </row>
    <row r="228" customFormat="false" ht="14.25" hidden="true" customHeight="true" outlineLevel="0" collapsed="false">
      <c r="A228" s="22" t="s">
        <v>1168</v>
      </c>
      <c r="B228" s="22" t="s">
        <v>455</v>
      </c>
      <c r="C228" s="23" t="n">
        <v>45558</v>
      </c>
      <c r="D228" s="22"/>
      <c r="E228" s="22" t="n">
        <v>1</v>
      </c>
      <c r="F228" s="22" t="s">
        <v>663</v>
      </c>
      <c r="G228" s="22" t="s">
        <v>470</v>
      </c>
      <c r="H228" s="22" t="s">
        <v>477</v>
      </c>
      <c r="I228" s="22" t="s">
        <v>1169</v>
      </c>
      <c r="J228" s="22" t="s">
        <v>459</v>
      </c>
      <c r="K228" s="22" t="s">
        <v>473</v>
      </c>
      <c r="L228" s="22" t="s">
        <v>474</v>
      </c>
    </row>
    <row r="229" customFormat="false" ht="14.25" hidden="true" customHeight="true" outlineLevel="0" collapsed="false">
      <c r="A229" s="22" t="s">
        <v>1170</v>
      </c>
      <c r="B229" s="22" t="s">
        <v>455</v>
      </c>
      <c r="C229" s="23" t="n">
        <v>45559</v>
      </c>
      <c r="D229" s="22"/>
      <c r="E229" s="22" t="n">
        <v>0</v>
      </c>
      <c r="F229" s="22"/>
      <c r="G229" s="22" t="s">
        <v>470</v>
      </c>
      <c r="H229" s="22" t="s">
        <v>471</v>
      </c>
      <c r="I229" s="22" t="s">
        <v>1171</v>
      </c>
      <c r="J229" s="22" t="s">
        <v>459</v>
      </c>
      <c r="K229" s="22"/>
      <c r="L229" s="22"/>
    </row>
    <row r="230" customFormat="false" ht="14.25" hidden="false" customHeight="true" outlineLevel="0" collapsed="false">
      <c r="A230" s="15" t="s">
        <v>1172</v>
      </c>
      <c r="B230" s="15" t="s">
        <v>483</v>
      </c>
      <c r="C230" s="24" t="n">
        <v>46080</v>
      </c>
      <c r="D230" s="15"/>
      <c r="E230" s="15" t="n">
        <v>1</v>
      </c>
      <c r="F230" s="15" t="s">
        <v>1173</v>
      </c>
      <c r="G230" s="15" t="s">
        <v>1174</v>
      </c>
      <c r="H230" s="15" t="s">
        <v>1175</v>
      </c>
      <c r="I230" s="15" t="s">
        <v>1176</v>
      </c>
      <c r="J230" s="15" t="s">
        <v>459</v>
      </c>
      <c r="K230" s="15" t="s">
        <v>809</v>
      </c>
      <c r="L230" s="15" t="s">
        <v>1177</v>
      </c>
    </row>
    <row r="231" customFormat="false" ht="14.25" hidden="true" customHeight="true" outlineLevel="0" collapsed="false">
      <c r="A231" s="22" t="s">
        <v>1178</v>
      </c>
      <c r="B231" s="22" t="s">
        <v>455</v>
      </c>
      <c r="C231" s="23" t="n">
        <v>45561</v>
      </c>
      <c r="D231" s="22"/>
      <c r="E231" s="22" t="n">
        <v>0</v>
      </c>
      <c r="F231" s="22"/>
      <c r="G231" s="22" t="s">
        <v>465</v>
      </c>
      <c r="H231" s="22" t="s">
        <v>492</v>
      </c>
      <c r="I231" s="22" t="s">
        <v>1179</v>
      </c>
      <c r="J231" s="22" t="s">
        <v>459</v>
      </c>
      <c r="K231" s="22"/>
      <c r="L231" s="22"/>
    </row>
    <row r="232" customFormat="false" ht="14.25" hidden="true" customHeight="true" outlineLevel="0" collapsed="false">
      <c r="A232" s="22" t="s">
        <v>1180</v>
      </c>
      <c r="B232" s="22" t="s">
        <v>455</v>
      </c>
      <c r="C232" s="23" t="n">
        <v>45561</v>
      </c>
      <c r="D232" s="22"/>
      <c r="E232" s="22" t="n">
        <v>0</v>
      </c>
      <c r="F232" s="22"/>
      <c r="G232" s="22" t="s">
        <v>470</v>
      </c>
      <c r="H232" s="22" t="s">
        <v>477</v>
      </c>
      <c r="I232" s="22" t="s">
        <v>1181</v>
      </c>
      <c r="J232" s="22" t="s">
        <v>459</v>
      </c>
      <c r="K232" s="22"/>
      <c r="L232" s="22"/>
    </row>
    <row r="233" customFormat="false" ht="14.25" hidden="false" customHeight="true" outlineLevel="0" collapsed="false">
      <c r="A233" s="15" t="s">
        <v>1182</v>
      </c>
      <c r="B233" s="15" t="s">
        <v>504</v>
      </c>
      <c r="C233" s="24" t="n">
        <v>46162</v>
      </c>
      <c r="D233" s="24" t="n">
        <v>46223</v>
      </c>
      <c r="E233" s="15" t="n">
        <v>1</v>
      </c>
      <c r="F233" s="15" t="s">
        <v>1183</v>
      </c>
      <c r="G233" s="15" t="s">
        <v>1184</v>
      </c>
      <c r="H233" s="15" t="s">
        <v>1185</v>
      </c>
      <c r="I233" s="15" t="s">
        <v>1186</v>
      </c>
      <c r="J233" s="15" t="s">
        <v>459</v>
      </c>
      <c r="K233" s="15" t="s">
        <v>809</v>
      </c>
      <c r="L233" s="15" t="s">
        <v>1187</v>
      </c>
    </row>
    <row r="234" customFormat="false" ht="14.25" hidden="true" customHeight="true" outlineLevel="0" collapsed="false">
      <c r="A234" s="22" t="s">
        <v>1188</v>
      </c>
      <c r="B234" s="22" t="s">
        <v>455</v>
      </c>
      <c r="C234" s="23" t="n">
        <v>45562</v>
      </c>
      <c r="D234" s="23" t="n">
        <v>45658</v>
      </c>
      <c r="E234" s="22" t="n">
        <v>1</v>
      </c>
      <c r="F234" s="22" t="s">
        <v>1189</v>
      </c>
      <c r="G234" s="22" t="s">
        <v>1190</v>
      </c>
      <c r="H234" s="22" t="s">
        <v>1191</v>
      </c>
      <c r="I234" s="22" t="s">
        <v>1192</v>
      </c>
      <c r="J234" s="22" t="s">
        <v>459</v>
      </c>
      <c r="K234" s="22" t="s">
        <v>473</v>
      </c>
      <c r="L234" s="22" t="s">
        <v>1193</v>
      </c>
    </row>
    <row r="235" customFormat="false" ht="14.25" hidden="false" customHeight="true" outlineLevel="0" collapsed="false">
      <c r="A235" s="15" t="s">
        <v>1194</v>
      </c>
      <c r="B235" s="15" t="s">
        <v>455</v>
      </c>
      <c r="C235" s="24" t="n">
        <v>45321</v>
      </c>
      <c r="D235" s="15"/>
      <c r="E235" s="15" t="n">
        <v>1</v>
      </c>
      <c r="F235" s="15" t="s">
        <v>1195</v>
      </c>
      <c r="G235" s="15" t="s">
        <v>1196</v>
      </c>
      <c r="H235" s="15" t="s">
        <v>1197</v>
      </c>
      <c r="I235" s="15" t="s">
        <v>1198</v>
      </c>
      <c r="J235" s="15" t="s">
        <v>459</v>
      </c>
      <c r="K235" s="15" t="s">
        <v>1199</v>
      </c>
      <c r="L235" s="15" t="s">
        <v>1200</v>
      </c>
    </row>
    <row r="236" customFormat="false" ht="14.25" hidden="true" customHeight="true" outlineLevel="0" collapsed="false">
      <c r="A236" s="22" t="s">
        <v>1201</v>
      </c>
      <c r="B236" s="22" t="s">
        <v>455</v>
      </c>
      <c r="C236" s="23" t="n">
        <v>45565</v>
      </c>
      <c r="D236" s="22"/>
      <c r="E236" s="22" t="n">
        <v>0</v>
      </c>
      <c r="F236" s="22"/>
      <c r="G236" s="22" t="s">
        <v>470</v>
      </c>
      <c r="H236" s="22" t="s">
        <v>477</v>
      </c>
      <c r="I236" s="22" t="s">
        <v>1202</v>
      </c>
      <c r="J236" s="22" t="s">
        <v>459</v>
      </c>
      <c r="K236" s="22"/>
      <c r="L236" s="22"/>
    </row>
    <row r="237" customFormat="false" ht="14.25" hidden="true" customHeight="true" outlineLevel="0" collapsed="false">
      <c r="A237" s="22" t="s">
        <v>1203</v>
      </c>
      <c r="B237" s="22" t="s">
        <v>455</v>
      </c>
      <c r="C237" s="23" t="n">
        <v>45565</v>
      </c>
      <c r="D237" s="22"/>
      <c r="E237" s="22" t="n">
        <v>0</v>
      </c>
      <c r="F237" s="22"/>
      <c r="G237" s="22" t="s">
        <v>465</v>
      </c>
      <c r="H237" s="22" t="s">
        <v>492</v>
      </c>
      <c r="I237" s="22" t="s">
        <v>1204</v>
      </c>
      <c r="J237" s="22" t="s">
        <v>459</v>
      </c>
      <c r="K237" s="22"/>
      <c r="L237" s="22"/>
    </row>
    <row r="238" customFormat="false" ht="14.25" hidden="true" customHeight="true" outlineLevel="0" collapsed="false">
      <c r="A238" s="22" t="s">
        <v>1205</v>
      </c>
      <c r="B238" s="22" t="s">
        <v>504</v>
      </c>
      <c r="C238" s="23" t="n">
        <v>45566</v>
      </c>
      <c r="D238" s="23" t="n">
        <v>45566</v>
      </c>
      <c r="E238" s="22" t="n">
        <v>0</v>
      </c>
      <c r="F238" s="22"/>
      <c r="G238" s="22" t="s">
        <v>1206</v>
      </c>
      <c r="H238" s="22" t="s">
        <v>1207</v>
      </c>
      <c r="I238" s="22" t="s">
        <v>1208</v>
      </c>
      <c r="J238" s="22" t="s">
        <v>459</v>
      </c>
      <c r="K238" s="22"/>
      <c r="L238" s="22"/>
    </row>
    <row r="239" customFormat="false" ht="14.25" hidden="true" customHeight="true" outlineLevel="0" collapsed="false">
      <c r="A239" s="22" t="s">
        <v>1209</v>
      </c>
      <c r="B239" s="22" t="s">
        <v>455</v>
      </c>
      <c r="C239" s="23" t="n">
        <v>45566</v>
      </c>
      <c r="D239" s="22"/>
      <c r="E239" s="22" t="n">
        <v>0</v>
      </c>
      <c r="F239" s="22"/>
      <c r="G239" s="22" t="s">
        <v>465</v>
      </c>
      <c r="H239" s="22" t="s">
        <v>492</v>
      </c>
      <c r="I239" s="22" t="s">
        <v>1210</v>
      </c>
      <c r="J239" s="22" t="s">
        <v>459</v>
      </c>
      <c r="K239" s="22"/>
      <c r="L239" s="22"/>
    </row>
    <row r="240" customFormat="false" ht="14.25" hidden="true" customHeight="true" outlineLevel="0" collapsed="false">
      <c r="A240" s="22" t="s">
        <v>1211</v>
      </c>
      <c r="B240" s="22" t="s">
        <v>504</v>
      </c>
      <c r="C240" s="23" t="n">
        <v>45567</v>
      </c>
      <c r="D240" s="23" t="n">
        <v>45566</v>
      </c>
      <c r="E240" s="22" t="n">
        <v>0</v>
      </c>
      <c r="F240" s="22"/>
      <c r="G240" s="22" t="s">
        <v>1212</v>
      </c>
      <c r="H240" s="22" t="s">
        <v>1213</v>
      </c>
      <c r="I240" s="22" t="s">
        <v>1214</v>
      </c>
      <c r="J240" s="22" t="s">
        <v>459</v>
      </c>
      <c r="K240" s="22"/>
      <c r="L240" s="22"/>
    </row>
    <row r="241" customFormat="false" ht="14.25" hidden="true" customHeight="true" outlineLevel="0" collapsed="false">
      <c r="A241" s="22" t="s">
        <v>1215</v>
      </c>
      <c r="B241" s="22" t="s">
        <v>504</v>
      </c>
      <c r="C241" s="23" t="n">
        <v>45567</v>
      </c>
      <c r="D241" s="23" t="n">
        <v>45566</v>
      </c>
      <c r="E241" s="22" t="n">
        <v>0</v>
      </c>
      <c r="F241" s="22"/>
      <c r="G241" s="22" t="s">
        <v>1216</v>
      </c>
      <c r="H241" s="22" t="s">
        <v>1217</v>
      </c>
      <c r="I241" s="22" t="s">
        <v>1218</v>
      </c>
      <c r="J241" s="22" t="s">
        <v>459</v>
      </c>
      <c r="K241" s="22"/>
      <c r="L241" s="22"/>
    </row>
    <row r="242" customFormat="false" ht="14.25" hidden="true" customHeight="true" outlineLevel="0" collapsed="false">
      <c r="A242" s="22" t="s">
        <v>1219</v>
      </c>
      <c r="B242" s="22" t="s">
        <v>504</v>
      </c>
      <c r="C242" s="23" t="n">
        <v>45567</v>
      </c>
      <c r="D242" s="23" t="n">
        <v>45566</v>
      </c>
      <c r="E242" s="22" t="n">
        <v>0</v>
      </c>
      <c r="F242" s="22"/>
      <c r="G242" s="22" t="s">
        <v>870</v>
      </c>
      <c r="H242" s="22" t="s">
        <v>1220</v>
      </c>
      <c r="I242" s="22" t="s">
        <v>1221</v>
      </c>
      <c r="J242" s="22" t="s">
        <v>459</v>
      </c>
      <c r="K242" s="22"/>
      <c r="L242" s="22"/>
    </row>
    <row r="243" customFormat="false" ht="14.25" hidden="true" customHeight="true" outlineLevel="0" collapsed="false">
      <c r="A243" s="22" t="s">
        <v>1222</v>
      </c>
      <c r="B243" s="22" t="s">
        <v>504</v>
      </c>
      <c r="C243" s="23" t="n">
        <v>45567</v>
      </c>
      <c r="D243" s="23" t="n">
        <v>45566</v>
      </c>
      <c r="E243" s="22" t="n">
        <v>0</v>
      </c>
      <c r="F243" s="22"/>
      <c r="G243" s="22" t="s">
        <v>1223</v>
      </c>
      <c r="H243" s="22" t="s">
        <v>1224</v>
      </c>
      <c r="I243" s="22" t="s">
        <v>1225</v>
      </c>
      <c r="J243" s="22" t="s">
        <v>459</v>
      </c>
      <c r="K243" s="22"/>
      <c r="L243" s="22"/>
    </row>
    <row r="244" customFormat="false" ht="14.25" hidden="true" customHeight="true" outlineLevel="0" collapsed="false">
      <c r="A244" s="22" t="s">
        <v>1226</v>
      </c>
      <c r="B244" s="22" t="s">
        <v>455</v>
      </c>
      <c r="C244" s="23" t="n">
        <v>45567</v>
      </c>
      <c r="D244" s="22"/>
      <c r="E244" s="22" t="n">
        <v>1</v>
      </c>
      <c r="F244" s="22" t="s">
        <v>769</v>
      </c>
      <c r="G244" s="22" t="s">
        <v>470</v>
      </c>
      <c r="H244" s="22" t="s">
        <v>477</v>
      </c>
      <c r="I244" s="22" t="s">
        <v>1227</v>
      </c>
      <c r="J244" s="22" t="s">
        <v>459</v>
      </c>
      <c r="K244" s="22" t="s">
        <v>473</v>
      </c>
      <c r="L244" s="22" t="s">
        <v>474</v>
      </c>
    </row>
    <row r="245" customFormat="false" ht="14.25" hidden="true" customHeight="true" outlineLevel="0" collapsed="false">
      <c r="A245" s="22" t="s">
        <v>1228</v>
      </c>
      <c r="B245" s="22" t="s">
        <v>504</v>
      </c>
      <c r="C245" s="23" t="n">
        <v>45568</v>
      </c>
      <c r="D245" s="23" t="n">
        <v>45565</v>
      </c>
      <c r="E245" s="22" t="n">
        <v>0</v>
      </c>
      <c r="F245" s="22"/>
      <c r="G245" s="22" t="s">
        <v>1229</v>
      </c>
      <c r="H245" s="22" t="s">
        <v>1230</v>
      </c>
      <c r="I245" s="22" t="s">
        <v>1231</v>
      </c>
      <c r="J245" s="22" t="s">
        <v>459</v>
      </c>
      <c r="K245" s="22"/>
      <c r="L245" s="22"/>
    </row>
    <row r="246" customFormat="false" ht="14.25" hidden="true" customHeight="true" outlineLevel="0" collapsed="false">
      <c r="A246" s="22" t="s">
        <v>1232</v>
      </c>
      <c r="B246" s="22" t="s">
        <v>455</v>
      </c>
      <c r="C246" s="23" t="n">
        <v>45569</v>
      </c>
      <c r="D246" s="22"/>
      <c r="E246" s="22" t="n">
        <v>0</v>
      </c>
      <c r="F246" s="22"/>
      <c r="G246" s="22" t="s">
        <v>465</v>
      </c>
      <c r="H246" s="22" t="s">
        <v>492</v>
      </c>
      <c r="I246" s="22" t="s">
        <v>1233</v>
      </c>
      <c r="J246" s="22" t="s">
        <v>459</v>
      </c>
      <c r="K246" s="22"/>
      <c r="L246" s="22"/>
    </row>
    <row r="247" customFormat="false" ht="14.25" hidden="true" customHeight="true" outlineLevel="0" collapsed="false">
      <c r="A247" s="22" t="s">
        <v>1234</v>
      </c>
      <c r="B247" s="22" t="s">
        <v>455</v>
      </c>
      <c r="C247" s="23" t="n">
        <v>45573</v>
      </c>
      <c r="D247" s="22"/>
      <c r="E247" s="22" t="n">
        <v>0</v>
      </c>
      <c r="F247" s="22"/>
      <c r="G247" s="22" t="s">
        <v>470</v>
      </c>
      <c r="H247" s="22" t="s">
        <v>477</v>
      </c>
      <c r="I247" s="22" t="s">
        <v>1235</v>
      </c>
      <c r="J247" s="22" t="s">
        <v>459</v>
      </c>
      <c r="K247" s="22"/>
      <c r="L247" s="22"/>
    </row>
    <row r="248" customFormat="false" ht="14.25" hidden="true" customHeight="true" outlineLevel="0" collapsed="false">
      <c r="A248" s="22" t="s">
        <v>1236</v>
      </c>
      <c r="B248" s="22" t="s">
        <v>455</v>
      </c>
      <c r="C248" s="23" t="n">
        <v>45574</v>
      </c>
      <c r="D248" s="22"/>
      <c r="E248" s="22" t="n">
        <v>1</v>
      </c>
      <c r="F248" s="22" t="s">
        <v>1237</v>
      </c>
      <c r="G248" s="22" t="s">
        <v>465</v>
      </c>
      <c r="H248" s="22" t="s">
        <v>466</v>
      </c>
      <c r="I248" s="22" t="s">
        <v>1238</v>
      </c>
      <c r="J248" s="22" t="s">
        <v>459</v>
      </c>
      <c r="K248" s="22" t="s">
        <v>473</v>
      </c>
      <c r="L248" s="22" t="s">
        <v>474</v>
      </c>
    </row>
    <row r="249" customFormat="false" ht="14.25" hidden="false" customHeight="true" outlineLevel="0" collapsed="false">
      <c r="A249" s="15" t="s">
        <v>1239</v>
      </c>
      <c r="B249" s="15" t="s">
        <v>504</v>
      </c>
      <c r="C249" s="24" t="n">
        <v>45384</v>
      </c>
      <c r="D249" s="24" t="n">
        <v>45446</v>
      </c>
      <c r="E249" s="15" t="n">
        <v>1</v>
      </c>
      <c r="F249" s="15" t="s">
        <v>1240</v>
      </c>
      <c r="G249" s="15" t="s">
        <v>1241</v>
      </c>
      <c r="H249" s="15" t="s">
        <v>1242</v>
      </c>
      <c r="I249" s="15" t="s">
        <v>1243</v>
      </c>
      <c r="J249" s="15" t="s">
        <v>459</v>
      </c>
      <c r="K249" s="15" t="s">
        <v>1199</v>
      </c>
      <c r="L249" s="15" t="s">
        <v>1244</v>
      </c>
    </row>
    <row r="250" customFormat="false" ht="14.25" hidden="true" customHeight="true" outlineLevel="0" collapsed="false">
      <c r="A250" s="22" t="s">
        <v>1245</v>
      </c>
      <c r="B250" s="22" t="s">
        <v>455</v>
      </c>
      <c r="C250" s="23" t="n">
        <v>45575</v>
      </c>
      <c r="D250" s="22"/>
      <c r="E250" s="22" t="n">
        <v>0</v>
      </c>
      <c r="F250" s="22"/>
      <c r="G250" s="22" t="s">
        <v>1246</v>
      </c>
      <c r="H250" s="22" t="s">
        <v>1247</v>
      </c>
      <c r="I250" s="22" t="s">
        <v>1248</v>
      </c>
      <c r="J250" s="22" t="s">
        <v>459</v>
      </c>
      <c r="K250" s="22"/>
      <c r="L250" s="22"/>
    </row>
    <row r="251" customFormat="false" ht="14.25" hidden="false" customHeight="true" outlineLevel="0" collapsed="false">
      <c r="A251" s="15" t="s">
        <v>1249</v>
      </c>
      <c r="B251" s="15" t="s">
        <v>504</v>
      </c>
      <c r="C251" s="24" t="n">
        <v>45420</v>
      </c>
      <c r="D251" s="24" t="n">
        <v>45597</v>
      </c>
      <c r="E251" s="15" t="n">
        <v>1</v>
      </c>
      <c r="F251" s="15" t="s">
        <v>1250</v>
      </c>
      <c r="G251" s="15" t="s">
        <v>1251</v>
      </c>
      <c r="H251" s="15" t="s">
        <v>1252</v>
      </c>
      <c r="I251" s="15" t="s">
        <v>1253</v>
      </c>
      <c r="J251" s="15" t="s">
        <v>459</v>
      </c>
      <c r="K251" s="15" t="s">
        <v>1199</v>
      </c>
      <c r="L251" s="15" t="s">
        <v>1254</v>
      </c>
    </row>
    <row r="252" customFormat="false" ht="14.25" hidden="true" customHeight="true" outlineLevel="0" collapsed="false">
      <c r="A252" s="22" t="s">
        <v>1255</v>
      </c>
      <c r="B252" s="22" t="s">
        <v>455</v>
      </c>
      <c r="C252" s="23" t="n">
        <v>45580</v>
      </c>
      <c r="D252" s="22"/>
      <c r="E252" s="22" t="n">
        <v>0</v>
      </c>
      <c r="F252" s="22"/>
      <c r="G252" s="22" t="s">
        <v>470</v>
      </c>
      <c r="H252" s="22" t="s">
        <v>471</v>
      </c>
      <c r="I252" s="22" t="s">
        <v>1256</v>
      </c>
      <c r="J252" s="22" t="s">
        <v>459</v>
      </c>
      <c r="K252" s="22"/>
      <c r="L252" s="22"/>
    </row>
    <row r="253" customFormat="false" ht="14.25" hidden="true" customHeight="true" outlineLevel="0" collapsed="false">
      <c r="A253" s="22" t="s">
        <v>1257</v>
      </c>
      <c r="B253" s="22" t="s">
        <v>455</v>
      </c>
      <c r="C253" s="23" t="n">
        <v>45582</v>
      </c>
      <c r="D253" s="22"/>
      <c r="E253" s="22" t="n">
        <v>0</v>
      </c>
      <c r="F253" s="22"/>
      <c r="G253" s="22" t="s">
        <v>1258</v>
      </c>
      <c r="H253" s="22" t="s">
        <v>1259</v>
      </c>
      <c r="I253" s="22" t="s">
        <v>1260</v>
      </c>
      <c r="J253" s="22" t="s">
        <v>459</v>
      </c>
      <c r="K253" s="22"/>
      <c r="L253" s="22"/>
    </row>
    <row r="254" customFormat="false" ht="14.25" hidden="true" customHeight="true" outlineLevel="0" collapsed="false">
      <c r="A254" s="22" t="s">
        <v>1261</v>
      </c>
      <c r="B254" s="22" t="s">
        <v>455</v>
      </c>
      <c r="C254" s="23" t="n">
        <v>45586</v>
      </c>
      <c r="D254" s="22"/>
      <c r="E254" s="22" t="n">
        <v>1</v>
      </c>
      <c r="F254" s="22" t="s">
        <v>1063</v>
      </c>
      <c r="G254" s="22" t="s">
        <v>470</v>
      </c>
      <c r="H254" s="22" t="s">
        <v>477</v>
      </c>
      <c r="I254" s="22" t="s">
        <v>1262</v>
      </c>
      <c r="J254" s="22" t="s">
        <v>459</v>
      </c>
      <c r="K254" s="22" t="s">
        <v>473</v>
      </c>
      <c r="L254" s="22" t="s">
        <v>474</v>
      </c>
    </row>
    <row r="255" customFormat="false" ht="14.25" hidden="true" customHeight="true" outlineLevel="0" collapsed="false">
      <c r="A255" s="22" t="s">
        <v>1263</v>
      </c>
      <c r="B255" s="22" t="s">
        <v>455</v>
      </c>
      <c r="C255" s="23" t="n">
        <v>45586</v>
      </c>
      <c r="D255" s="22"/>
      <c r="E255" s="22" t="n">
        <v>1</v>
      </c>
      <c r="F255" s="22" t="s">
        <v>1264</v>
      </c>
      <c r="G255" s="22" t="s">
        <v>465</v>
      </c>
      <c r="H255" s="22" t="s">
        <v>492</v>
      </c>
      <c r="I255" s="22" t="s">
        <v>1265</v>
      </c>
      <c r="J255" s="22" t="s">
        <v>459</v>
      </c>
      <c r="K255" s="22" t="s">
        <v>473</v>
      </c>
      <c r="L255" s="22" t="s">
        <v>474</v>
      </c>
    </row>
    <row r="256" customFormat="false" ht="14.25" hidden="false" customHeight="true" outlineLevel="0" collapsed="false">
      <c r="A256" s="15" t="s">
        <v>1266</v>
      </c>
      <c r="B256" s="15" t="s">
        <v>504</v>
      </c>
      <c r="C256" s="24" t="n">
        <v>45460</v>
      </c>
      <c r="D256" s="24" t="n">
        <v>45490</v>
      </c>
      <c r="E256" s="15" t="n">
        <v>1</v>
      </c>
      <c r="F256" s="15" t="s">
        <v>1267</v>
      </c>
      <c r="G256" s="15" t="s">
        <v>1268</v>
      </c>
      <c r="H256" s="15" t="s">
        <v>1269</v>
      </c>
      <c r="I256" s="15" t="s">
        <v>1270</v>
      </c>
      <c r="J256" s="15" t="s">
        <v>459</v>
      </c>
      <c r="K256" s="15" t="s">
        <v>1199</v>
      </c>
      <c r="L256" s="15" t="s">
        <v>1271</v>
      </c>
    </row>
    <row r="257" customFormat="false" ht="14.25" hidden="true" customHeight="true" outlineLevel="0" collapsed="false">
      <c r="A257" s="22" t="s">
        <v>1272</v>
      </c>
      <c r="B257" s="22" t="s">
        <v>504</v>
      </c>
      <c r="C257" s="23" t="n">
        <v>45593</v>
      </c>
      <c r="D257" s="23" t="n">
        <v>45593</v>
      </c>
      <c r="E257" s="22" t="n">
        <v>0</v>
      </c>
      <c r="F257" s="22"/>
      <c r="G257" s="22" t="s">
        <v>1273</v>
      </c>
      <c r="H257" s="22" t="s">
        <v>1274</v>
      </c>
      <c r="I257" s="22" t="s">
        <v>1275</v>
      </c>
      <c r="J257" s="22" t="s">
        <v>459</v>
      </c>
      <c r="K257" s="22"/>
      <c r="L257" s="22"/>
    </row>
    <row r="258" customFormat="false" ht="14.25" hidden="true" customHeight="true" outlineLevel="0" collapsed="false">
      <c r="A258" s="22" t="s">
        <v>1276</v>
      </c>
      <c r="B258" s="22" t="s">
        <v>455</v>
      </c>
      <c r="C258" s="23" t="n">
        <v>45593</v>
      </c>
      <c r="D258" s="22"/>
      <c r="E258" s="22" t="n">
        <v>1</v>
      </c>
      <c r="F258" s="22" t="s">
        <v>769</v>
      </c>
      <c r="G258" s="22" t="s">
        <v>465</v>
      </c>
      <c r="H258" s="22" t="s">
        <v>492</v>
      </c>
      <c r="I258" s="22" t="s">
        <v>1277</v>
      </c>
      <c r="J258" s="22" t="s">
        <v>459</v>
      </c>
      <c r="K258" s="22" t="s">
        <v>473</v>
      </c>
      <c r="L258" s="22" t="s">
        <v>474</v>
      </c>
    </row>
    <row r="259" customFormat="false" ht="14.25" hidden="true" customHeight="true" outlineLevel="0" collapsed="false">
      <c r="A259" s="22" t="s">
        <v>1278</v>
      </c>
      <c r="B259" s="22" t="s">
        <v>455</v>
      </c>
      <c r="C259" s="23" t="n">
        <v>45593</v>
      </c>
      <c r="D259" s="22"/>
      <c r="E259" s="22" t="n">
        <v>1</v>
      </c>
      <c r="F259" s="22" t="s">
        <v>488</v>
      </c>
      <c r="G259" s="22" t="s">
        <v>470</v>
      </c>
      <c r="H259" s="22" t="s">
        <v>477</v>
      </c>
      <c r="I259" s="22" t="s">
        <v>1279</v>
      </c>
      <c r="J259" s="22" t="s">
        <v>459</v>
      </c>
      <c r="K259" s="22" t="s">
        <v>473</v>
      </c>
      <c r="L259" s="22" t="s">
        <v>474</v>
      </c>
    </row>
    <row r="260" customFormat="false" ht="14.25" hidden="true" customHeight="true" outlineLevel="0" collapsed="false">
      <c r="A260" s="22" t="s">
        <v>1280</v>
      </c>
      <c r="B260" s="22" t="s">
        <v>455</v>
      </c>
      <c r="C260" s="23" t="n">
        <v>45593</v>
      </c>
      <c r="D260" s="22"/>
      <c r="E260" s="22" t="n">
        <v>0</v>
      </c>
      <c r="F260" s="22"/>
      <c r="G260" s="22" t="s">
        <v>1281</v>
      </c>
      <c r="H260" s="22" t="s">
        <v>1282</v>
      </c>
      <c r="I260" s="22" t="s">
        <v>1283</v>
      </c>
      <c r="J260" s="22" t="s">
        <v>459</v>
      </c>
      <c r="K260" s="22"/>
      <c r="L260" s="22"/>
    </row>
    <row r="261" customFormat="false" ht="14.25" hidden="true" customHeight="true" outlineLevel="0" collapsed="false">
      <c r="A261" s="22" t="s">
        <v>1284</v>
      </c>
      <c r="B261" s="22" t="s">
        <v>455</v>
      </c>
      <c r="C261" s="23" t="n">
        <v>45595</v>
      </c>
      <c r="D261" s="22"/>
      <c r="E261" s="22" t="n">
        <v>0</v>
      </c>
      <c r="F261" s="22"/>
      <c r="G261" s="22" t="s">
        <v>465</v>
      </c>
      <c r="H261" s="22" t="s">
        <v>492</v>
      </c>
      <c r="I261" s="22" t="s">
        <v>1285</v>
      </c>
      <c r="J261" s="22" t="s">
        <v>459</v>
      </c>
      <c r="K261" s="22"/>
      <c r="L261" s="22"/>
    </row>
    <row r="262" customFormat="false" ht="14.25" hidden="true" customHeight="true" outlineLevel="0" collapsed="false">
      <c r="A262" s="22" t="s">
        <v>1286</v>
      </c>
      <c r="B262" s="22" t="s">
        <v>455</v>
      </c>
      <c r="C262" s="23" t="n">
        <v>45596</v>
      </c>
      <c r="D262" s="22"/>
      <c r="E262" s="22" t="n">
        <v>0</v>
      </c>
      <c r="F262" s="22"/>
      <c r="G262" s="22" t="s">
        <v>470</v>
      </c>
      <c r="H262" s="22" t="s">
        <v>477</v>
      </c>
      <c r="I262" s="22" t="s">
        <v>1287</v>
      </c>
      <c r="J262" s="22" t="s">
        <v>459</v>
      </c>
      <c r="K262" s="22"/>
      <c r="L262" s="22"/>
    </row>
    <row r="263" customFormat="false" ht="14.25" hidden="true" customHeight="true" outlineLevel="0" collapsed="false">
      <c r="A263" s="22" t="s">
        <v>1288</v>
      </c>
      <c r="B263" s="22" t="s">
        <v>455</v>
      </c>
      <c r="C263" s="23" t="n">
        <v>45596</v>
      </c>
      <c r="D263" s="22"/>
      <c r="E263" s="22" t="n">
        <v>1</v>
      </c>
      <c r="F263" s="22" t="s">
        <v>469</v>
      </c>
      <c r="G263" s="22" t="s">
        <v>470</v>
      </c>
      <c r="H263" s="22" t="s">
        <v>477</v>
      </c>
      <c r="I263" s="22" t="s">
        <v>1289</v>
      </c>
      <c r="J263" s="22" t="s">
        <v>459</v>
      </c>
      <c r="K263" s="22" t="s">
        <v>473</v>
      </c>
      <c r="L263" s="22" t="s">
        <v>474</v>
      </c>
    </row>
    <row r="264" customFormat="false" ht="14.25" hidden="true" customHeight="true" outlineLevel="0" collapsed="false">
      <c r="A264" s="22" t="s">
        <v>1290</v>
      </c>
      <c r="B264" s="22" t="s">
        <v>455</v>
      </c>
      <c r="C264" s="23" t="n">
        <v>45597</v>
      </c>
      <c r="D264" s="22"/>
      <c r="E264" s="22" t="n">
        <v>0</v>
      </c>
      <c r="F264" s="22"/>
      <c r="G264" s="22" t="s">
        <v>461</v>
      </c>
      <c r="H264" s="22" t="s">
        <v>462</v>
      </c>
      <c r="I264" s="22" t="s">
        <v>1291</v>
      </c>
      <c r="J264" s="22" t="s">
        <v>459</v>
      </c>
      <c r="K264" s="22"/>
      <c r="L264" s="22"/>
    </row>
    <row r="265" customFormat="false" ht="14.25" hidden="true" customHeight="true" outlineLevel="0" collapsed="false">
      <c r="A265" s="22" t="s">
        <v>1292</v>
      </c>
      <c r="B265" s="22" t="s">
        <v>455</v>
      </c>
      <c r="C265" s="23" t="n">
        <v>45597</v>
      </c>
      <c r="D265" s="22"/>
      <c r="E265" s="22" t="n">
        <v>0</v>
      </c>
      <c r="F265" s="22"/>
      <c r="G265" s="22" t="s">
        <v>465</v>
      </c>
      <c r="H265" s="22" t="s">
        <v>466</v>
      </c>
      <c r="I265" s="22" t="s">
        <v>1293</v>
      </c>
      <c r="J265" s="22" t="s">
        <v>459</v>
      </c>
      <c r="K265" s="22"/>
      <c r="L265" s="22"/>
    </row>
    <row r="266" customFormat="false" ht="14.25" hidden="true" customHeight="true" outlineLevel="0" collapsed="false">
      <c r="A266" s="22" t="s">
        <v>1294</v>
      </c>
      <c r="B266" s="22" t="s">
        <v>455</v>
      </c>
      <c r="C266" s="23" t="n">
        <v>45601</v>
      </c>
      <c r="D266" s="22"/>
      <c r="E266" s="22" t="n">
        <v>0</v>
      </c>
      <c r="F266" s="22"/>
      <c r="G266" s="22" t="s">
        <v>461</v>
      </c>
      <c r="H266" s="22" t="s">
        <v>462</v>
      </c>
      <c r="I266" s="22" t="s">
        <v>1295</v>
      </c>
      <c r="J266" s="22" t="s">
        <v>459</v>
      </c>
      <c r="K266" s="22"/>
      <c r="L266" s="22"/>
    </row>
    <row r="267" customFormat="false" ht="14.25" hidden="true" customHeight="true" outlineLevel="0" collapsed="false">
      <c r="A267" s="22" t="s">
        <v>1296</v>
      </c>
      <c r="B267" s="22" t="s">
        <v>455</v>
      </c>
      <c r="C267" s="23" t="n">
        <v>45602</v>
      </c>
      <c r="D267" s="22"/>
      <c r="E267" s="22" t="n">
        <v>0</v>
      </c>
      <c r="F267" s="22"/>
      <c r="G267" s="22" t="s">
        <v>470</v>
      </c>
      <c r="H267" s="22" t="s">
        <v>471</v>
      </c>
      <c r="I267" s="22" t="s">
        <v>1297</v>
      </c>
      <c r="J267" s="22" t="s">
        <v>459</v>
      </c>
      <c r="K267" s="22"/>
      <c r="L267" s="22"/>
    </row>
    <row r="268" customFormat="false" ht="14.25" hidden="true" customHeight="true" outlineLevel="0" collapsed="false">
      <c r="A268" s="22" t="s">
        <v>1298</v>
      </c>
      <c r="B268" s="22" t="s">
        <v>455</v>
      </c>
      <c r="C268" s="23" t="n">
        <v>45602</v>
      </c>
      <c r="D268" s="22"/>
      <c r="E268" s="22" t="n">
        <v>0</v>
      </c>
      <c r="F268" s="22"/>
      <c r="G268" s="22" t="s">
        <v>470</v>
      </c>
      <c r="H268" s="22" t="s">
        <v>477</v>
      </c>
      <c r="I268" s="22" t="s">
        <v>1299</v>
      </c>
      <c r="J268" s="22" t="s">
        <v>459</v>
      </c>
      <c r="K268" s="22"/>
      <c r="L268" s="22"/>
    </row>
    <row r="269" customFormat="false" ht="14.25" hidden="true" customHeight="true" outlineLevel="0" collapsed="false">
      <c r="A269" s="22" t="s">
        <v>1300</v>
      </c>
      <c r="B269" s="22" t="s">
        <v>455</v>
      </c>
      <c r="C269" s="23" t="n">
        <v>45602</v>
      </c>
      <c r="D269" s="22"/>
      <c r="E269" s="22" t="n">
        <v>1</v>
      </c>
      <c r="F269" s="22" t="s">
        <v>488</v>
      </c>
      <c r="G269" s="22" t="s">
        <v>465</v>
      </c>
      <c r="H269" s="22" t="s">
        <v>466</v>
      </c>
      <c r="I269" s="22" t="s">
        <v>1301</v>
      </c>
      <c r="J269" s="22" t="s">
        <v>459</v>
      </c>
      <c r="K269" s="22" t="s">
        <v>473</v>
      </c>
      <c r="L269" s="22" t="s">
        <v>474</v>
      </c>
    </row>
    <row r="270" customFormat="false" ht="14.25" hidden="true" customHeight="true" outlineLevel="0" collapsed="false">
      <c r="A270" s="22" t="s">
        <v>1302</v>
      </c>
      <c r="B270" s="22" t="s">
        <v>504</v>
      </c>
      <c r="C270" s="23" t="n">
        <v>45603</v>
      </c>
      <c r="D270" s="23" t="n">
        <v>45658</v>
      </c>
      <c r="E270" s="22" t="n">
        <v>1</v>
      </c>
      <c r="F270" s="22" t="s">
        <v>1303</v>
      </c>
      <c r="G270" s="22" t="s">
        <v>954</v>
      </c>
      <c r="H270" s="22" t="s">
        <v>1304</v>
      </c>
      <c r="I270" s="22" t="s">
        <v>1305</v>
      </c>
      <c r="J270" s="22" t="s">
        <v>459</v>
      </c>
      <c r="K270" s="22" t="s">
        <v>473</v>
      </c>
      <c r="L270" s="22" t="s">
        <v>554</v>
      </c>
    </row>
    <row r="271" customFormat="false" ht="14.25" hidden="true" customHeight="true" outlineLevel="0" collapsed="false">
      <c r="A271" s="22" t="s">
        <v>1306</v>
      </c>
      <c r="B271" s="22" t="s">
        <v>455</v>
      </c>
      <c r="C271" s="23" t="n">
        <v>45603</v>
      </c>
      <c r="D271" s="22"/>
      <c r="E271" s="22" t="n">
        <v>0</v>
      </c>
      <c r="F271" s="22"/>
      <c r="G271" s="22" t="s">
        <v>1307</v>
      </c>
      <c r="H271" s="22" t="s">
        <v>500</v>
      </c>
      <c r="I271" s="22" t="s">
        <v>1308</v>
      </c>
      <c r="J271" s="22" t="s">
        <v>459</v>
      </c>
      <c r="K271" s="22"/>
      <c r="L271" s="22"/>
    </row>
    <row r="272" customFormat="false" ht="14.25" hidden="true" customHeight="true" outlineLevel="0" collapsed="false">
      <c r="A272" s="22" t="s">
        <v>1309</v>
      </c>
      <c r="B272" s="22" t="s">
        <v>455</v>
      </c>
      <c r="C272" s="23" t="n">
        <v>45604</v>
      </c>
      <c r="D272" s="22"/>
      <c r="E272" s="22" t="n">
        <v>0</v>
      </c>
      <c r="F272" s="22"/>
      <c r="G272" s="22" t="s">
        <v>1310</v>
      </c>
      <c r="H272" s="22" t="s">
        <v>1311</v>
      </c>
      <c r="I272" s="22" t="s">
        <v>1312</v>
      </c>
      <c r="J272" s="22" t="s">
        <v>459</v>
      </c>
      <c r="K272" s="22"/>
      <c r="L272" s="22"/>
    </row>
    <row r="273" customFormat="false" ht="14.25" hidden="true" customHeight="true" outlineLevel="0" collapsed="false">
      <c r="A273" s="22" t="s">
        <v>1313</v>
      </c>
      <c r="B273" s="22" t="s">
        <v>455</v>
      </c>
      <c r="C273" s="23" t="n">
        <v>45604</v>
      </c>
      <c r="D273" s="22"/>
      <c r="E273" s="22" t="n">
        <v>1</v>
      </c>
      <c r="F273" s="22" t="s">
        <v>648</v>
      </c>
      <c r="G273" s="22" t="s">
        <v>470</v>
      </c>
      <c r="H273" s="22" t="s">
        <v>471</v>
      </c>
      <c r="I273" s="22" t="s">
        <v>1314</v>
      </c>
      <c r="J273" s="22" t="s">
        <v>459</v>
      </c>
      <c r="K273" s="22" t="s">
        <v>473</v>
      </c>
      <c r="L273" s="22" t="s">
        <v>474</v>
      </c>
    </row>
    <row r="274" customFormat="false" ht="14.25" hidden="true" customHeight="true" outlineLevel="0" collapsed="false">
      <c r="A274" s="22" t="s">
        <v>1315</v>
      </c>
      <c r="B274" s="22" t="s">
        <v>504</v>
      </c>
      <c r="C274" s="23" t="n">
        <v>45608</v>
      </c>
      <c r="D274" s="23" t="n">
        <v>45658</v>
      </c>
      <c r="E274" s="22" t="n">
        <v>1</v>
      </c>
      <c r="F274" s="22" t="s">
        <v>1316</v>
      </c>
      <c r="G274" s="22" t="s">
        <v>967</v>
      </c>
      <c r="H274" s="22" t="s">
        <v>1317</v>
      </c>
      <c r="I274" s="22" t="s">
        <v>1318</v>
      </c>
      <c r="J274" s="22" t="s">
        <v>459</v>
      </c>
      <c r="K274" s="22" t="s">
        <v>473</v>
      </c>
      <c r="L274" s="22" t="s">
        <v>554</v>
      </c>
    </row>
    <row r="275" customFormat="false" ht="14.25" hidden="true" customHeight="true" outlineLevel="0" collapsed="false">
      <c r="A275" s="22" t="s">
        <v>1319</v>
      </c>
      <c r="B275" s="22" t="s">
        <v>455</v>
      </c>
      <c r="C275" s="23" t="n">
        <v>45608</v>
      </c>
      <c r="D275" s="22"/>
      <c r="E275" s="22" t="n">
        <v>0</v>
      </c>
      <c r="F275" s="22"/>
      <c r="G275" s="22" t="s">
        <v>1320</v>
      </c>
      <c r="H275" s="22" t="s">
        <v>1321</v>
      </c>
      <c r="I275" s="22" t="s">
        <v>1322</v>
      </c>
      <c r="J275" s="22" t="s">
        <v>459</v>
      </c>
      <c r="K275" s="22"/>
      <c r="L275" s="22"/>
    </row>
    <row r="276" customFormat="false" ht="14.25" hidden="true" customHeight="true" outlineLevel="0" collapsed="false">
      <c r="A276" s="22" t="s">
        <v>1323</v>
      </c>
      <c r="B276" s="22" t="s">
        <v>455</v>
      </c>
      <c r="C276" s="23" t="n">
        <v>45608</v>
      </c>
      <c r="D276" s="22"/>
      <c r="E276" s="22" t="n">
        <v>0</v>
      </c>
      <c r="F276" s="22"/>
      <c r="G276" s="22" t="s">
        <v>1324</v>
      </c>
      <c r="H276" s="22" t="s">
        <v>1325</v>
      </c>
      <c r="I276" s="22" t="s">
        <v>1326</v>
      </c>
      <c r="J276" s="22" t="s">
        <v>459</v>
      </c>
      <c r="K276" s="22"/>
      <c r="L276" s="22"/>
    </row>
    <row r="277" customFormat="false" ht="14.25" hidden="true" customHeight="true" outlineLevel="0" collapsed="false">
      <c r="A277" s="22" t="s">
        <v>1327</v>
      </c>
      <c r="B277" s="22" t="s">
        <v>455</v>
      </c>
      <c r="C277" s="23" t="n">
        <v>45610</v>
      </c>
      <c r="D277" s="23" t="n">
        <v>45658</v>
      </c>
      <c r="E277" s="22" t="n">
        <v>0</v>
      </c>
      <c r="F277" s="22"/>
      <c r="G277" s="22" t="s">
        <v>1328</v>
      </c>
      <c r="H277" s="22" t="s">
        <v>1329</v>
      </c>
      <c r="I277" s="22" t="s">
        <v>1330</v>
      </c>
      <c r="J277" s="22" t="s">
        <v>459</v>
      </c>
      <c r="K277" s="22"/>
      <c r="L277" s="22"/>
    </row>
    <row r="278" customFormat="false" ht="14.25" hidden="true" customHeight="true" outlineLevel="0" collapsed="false">
      <c r="A278" s="22" t="s">
        <v>1331</v>
      </c>
      <c r="B278" s="22" t="s">
        <v>455</v>
      </c>
      <c r="C278" s="23" t="n">
        <v>45610</v>
      </c>
      <c r="D278" s="23" t="n">
        <v>45658</v>
      </c>
      <c r="E278" s="22" t="n">
        <v>0</v>
      </c>
      <c r="F278" s="22"/>
      <c r="G278" s="22" t="s">
        <v>1332</v>
      </c>
      <c r="H278" s="22" t="s">
        <v>1333</v>
      </c>
      <c r="I278" s="22" t="s">
        <v>1334</v>
      </c>
      <c r="J278" s="22" t="s">
        <v>459</v>
      </c>
      <c r="K278" s="22"/>
      <c r="L278" s="22"/>
    </row>
    <row r="279" customFormat="false" ht="14.25" hidden="false" customHeight="true" outlineLevel="0" collapsed="false">
      <c r="A279" s="15" t="s">
        <v>1335</v>
      </c>
      <c r="B279" s="15" t="s">
        <v>504</v>
      </c>
      <c r="C279" s="24" t="n">
        <v>45474</v>
      </c>
      <c r="D279" s="24" t="n">
        <v>45504</v>
      </c>
      <c r="E279" s="15" t="n">
        <v>1</v>
      </c>
      <c r="F279" s="15" t="s">
        <v>1336</v>
      </c>
      <c r="G279" s="15" t="s">
        <v>1337</v>
      </c>
      <c r="H279" s="15" t="s">
        <v>1338</v>
      </c>
      <c r="I279" s="15" t="s">
        <v>1339</v>
      </c>
      <c r="J279" s="15" t="s">
        <v>459</v>
      </c>
      <c r="K279" s="15" t="s">
        <v>1199</v>
      </c>
      <c r="L279" s="15" t="s">
        <v>1340</v>
      </c>
    </row>
    <row r="280" customFormat="false" ht="14.25" hidden="true" customHeight="true" outlineLevel="0" collapsed="false">
      <c r="A280" s="22" t="s">
        <v>1341</v>
      </c>
      <c r="B280" s="22" t="s">
        <v>455</v>
      </c>
      <c r="C280" s="23" t="n">
        <v>45614</v>
      </c>
      <c r="D280" s="22"/>
      <c r="E280" s="22" t="n">
        <v>0</v>
      </c>
      <c r="F280" s="22"/>
      <c r="G280" s="22" t="s">
        <v>461</v>
      </c>
      <c r="H280" s="22" t="s">
        <v>462</v>
      </c>
      <c r="I280" s="22" t="s">
        <v>1342</v>
      </c>
      <c r="J280" s="22" t="s">
        <v>459</v>
      </c>
      <c r="K280" s="22"/>
      <c r="L280" s="22"/>
    </row>
    <row r="281" customFormat="false" ht="14.25" hidden="true" customHeight="true" outlineLevel="0" collapsed="false">
      <c r="A281" s="22" t="s">
        <v>1343</v>
      </c>
      <c r="B281" s="22" t="s">
        <v>455</v>
      </c>
      <c r="C281" s="23" t="n">
        <v>45616</v>
      </c>
      <c r="D281" s="22"/>
      <c r="E281" s="22" t="n">
        <v>0</v>
      </c>
      <c r="F281" s="22"/>
      <c r="G281" s="22" t="s">
        <v>465</v>
      </c>
      <c r="H281" s="22" t="s">
        <v>466</v>
      </c>
      <c r="I281" s="22" t="s">
        <v>1344</v>
      </c>
      <c r="J281" s="22" t="s">
        <v>459</v>
      </c>
      <c r="K281" s="22"/>
      <c r="L281" s="22"/>
    </row>
    <row r="282" customFormat="false" ht="14.25" hidden="true" customHeight="true" outlineLevel="0" collapsed="false">
      <c r="A282" s="22" t="s">
        <v>1345</v>
      </c>
      <c r="B282" s="22" t="s">
        <v>455</v>
      </c>
      <c r="C282" s="23" t="n">
        <v>45618</v>
      </c>
      <c r="D282" s="22"/>
      <c r="E282" s="22" t="n">
        <v>1</v>
      </c>
      <c r="F282" s="22" t="s">
        <v>1346</v>
      </c>
      <c r="G282" s="22" t="s">
        <v>465</v>
      </c>
      <c r="H282" s="22" t="s">
        <v>466</v>
      </c>
      <c r="I282" s="22" t="s">
        <v>1347</v>
      </c>
      <c r="J282" s="22" t="s">
        <v>459</v>
      </c>
      <c r="K282" s="22" t="s">
        <v>473</v>
      </c>
      <c r="L282" s="22" t="s">
        <v>474</v>
      </c>
    </row>
    <row r="283" customFormat="false" ht="14.25" hidden="true" customHeight="true" outlineLevel="0" collapsed="false">
      <c r="A283" s="22" t="s">
        <v>1348</v>
      </c>
      <c r="B283" s="22" t="s">
        <v>455</v>
      </c>
      <c r="C283" s="23" t="n">
        <v>45618</v>
      </c>
      <c r="D283" s="22"/>
      <c r="E283" s="22" t="n">
        <v>0</v>
      </c>
      <c r="F283" s="22"/>
      <c r="G283" s="22" t="s">
        <v>470</v>
      </c>
      <c r="H283" s="22" t="s">
        <v>471</v>
      </c>
      <c r="I283" s="22" t="s">
        <v>1349</v>
      </c>
      <c r="J283" s="22" t="s">
        <v>459</v>
      </c>
      <c r="K283" s="22"/>
      <c r="L283" s="22"/>
    </row>
    <row r="284" customFormat="false" ht="14.25" hidden="true" customHeight="true" outlineLevel="0" collapsed="false">
      <c r="A284" s="22" t="s">
        <v>1350</v>
      </c>
      <c r="B284" s="22" t="s">
        <v>455</v>
      </c>
      <c r="C284" s="23" t="n">
        <v>45621</v>
      </c>
      <c r="D284" s="22"/>
      <c r="E284" s="22" t="n">
        <v>1</v>
      </c>
      <c r="F284" s="22" t="s">
        <v>950</v>
      </c>
      <c r="G284" s="22" t="s">
        <v>470</v>
      </c>
      <c r="H284" s="22" t="s">
        <v>471</v>
      </c>
      <c r="I284" s="22" t="s">
        <v>1351</v>
      </c>
      <c r="J284" s="22" t="s">
        <v>459</v>
      </c>
      <c r="K284" s="22" t="s">
        <v>473</v>
      </c>
      <c r="L284" s="22" t="s">
        <v>474</v>
      </c>
    </row>
    <row r="285" customFormat="false" ht="14.25" hidden="true" customHeight="true" outlineLevel="0" collapsed="false">
      <c r="A285" s="22" t="s">
        <v>1352</v>
      </c>
      <c r="B285" s="22" t="s">
        <v>455</v>
      </c>
      <c r="C285" s="23" t="n">
        <v>45621</v>
      </c>
      <c r="D285" s="22"/>
      <c r="E285" s="22" t="n">
        <v>0</v>
      </c>
      <c r="F285" s="22"/>
      <c r="G285" s="22" t="s">
        <v>465</v>
      </c>
      <c r="H285" s="22" t="s">
        <v>466</v>
      </c>
      <c r="I285" s="22" t="s">
        <v>1353</v>
      </c>
      <c r="J285" s="22" t="s">
        <v>459</v>
      </c>
      <c r="K285" s="22"/>
      <c r="L285" s="22"/>
    </row>
    <row r="286" customFormat="false" ht="14.25" hidden="true" customHeight="true" outlineLevel="0" collapsed="false">
      <c r="A286" s="22" t="s">
        <v>1354</v>
      </c>
      <c r="B286" s="22" t="s">
        <v>504</v>
      </c>
      <c r="C286" s="23" t="n">
        <v>45623</v>
      </c>
      <c r="D286" s="23" t="n">
        <v>45658</v>
      </c>
      <c r="E286" s="22" t="n">
        <v>1</v>
      </c>
      <c r="F286" s="22" t="s">
        <v>1355</v>
      </c>
      <c r="G286" s="22" t="s">
        <v>1018</v>
      </c>
      <c r="H286" s="22" t="s">
        <v>1356</v>
      </c>
      <c r="I286" s="22" t="s">
        <v>1357</v>
      </c>
      <c r="J286" s="22" t="s">
        <v>459</v>
      </c>
      <c r="K286" s="22" t="s">
        <v>473</v>
      </c>
      <c r="L286" s="22" t="s">
        <v>554</v>
      </c>
    </row>
    <row r="287" customFormat="false" ht="14.25" hidden="true" customHeight="true" outlineLevel="0" collapsed="false">
      <c r="A287" s="22" t="s">
        <v>1358</v>
      </c>
      <c r="B287" s="22" t="s">
        <v>455</v>
      </c>
      <c r="C287" s="23" t="n">
        <v>45623</v>
      </c>
      <c r="D287" s="22"/>
      <c r="E287" s="22" t="n">
        <v>0</v>
      </c>
      <c r="F287" s="22"/>
      <c r="G287" s="22" t="s">
        <v>1359</v>
      </c>
      <c r="H287" s="22" t="s">
        <v>1360</v>
      </c>
      <c r="I287" s="22" t="s">
        <v>1361</v>
      </c>
      <c r="J287" s="22" t="s">
        <v>459</v>
      </c>
      <c r="K287" s="22"/>
      <c r="L287" s="22"/>
    </row>
    <row r="288" customFormat="false" ht="14.25" hidden="true" customHeight="true" outlineLevel="0" collapsed="false">
      <c r="A288" s="22" t="s">
        <v>1362</v>
      </c>
      <c r="B288" s="22" t="s">
        <v>455</v>
      </c>
      <c r="C288" s="23" t="n">
        <v>45623</v>
      </c>
      <c r="D288" s="22"/>
      <c r="E288" s="22" t="n">
        <v>1</v>
      </c>
      <c r="F288" s="22" t="s">
        <v>663</v>
      </c>
      <c r="G288" s="22" t="s">
        <v>470</v>
      </c>
      <c r="H288" s="22" t="s">
        <v>477</v>
      </c>
      <c r="I288" s="22" t="s">
        <v>1363</v>
      </c>
      <c r="J288" s="22" t="s">
        <v>459</v>
      </c>
      <c r="K288" s="22" t="s">
        <v>473</v>
      </c>
      <c r="L288" s="22" t="s">
        <v>474</v>
      </c>
    </row>
    <row r="289" customFormat="false" ht="14.25" hidden="true" customHeight="true" outlineLevel="0" collapsed="false">
      <c r="A289" s="22" t="s">
        <v>1364</v>
      </c>
      <c r="B289" s="22" t="s">
        <v>455</v>
      </c>
      <c r="C289" s="23" t="n">
        <v>45625</v>
      </c>
      <c r="D289" s="22"/>
      <c r="E289" s="22" t="n">
        <v>0</v>
      </c>
      <c r="F289" s="22"/>
      <c r="G289" s="22" t="s">
        <v>470</v>
      </c>
      <c r="H289" s="22" t="s">
        <v>477</v>
      </c>
      <c r="I289" s="22" t="s">
        <v>1365</v>
      </c>
      <c r="J289" s="22" t="s">
        <v>459</v>
      </c>
      <c r="K289" s="22"/>
      <c r="L289" s="22"/>
    </row>
    <row r="290" customFormat="false" ht="14.25" hidden="true" customHeight="true" outlineLevel="0" collapsed="false">
      <c r="A290" s="22" t="s">
        <v>1366</v>
      </c>
      <c r="B290" s="22" t="s">
        <v>455</v>
      </c>
      <c r="C290" s="23" t="n">
        <v>45628</v>
      </c>
      <c r="D290" s="22"/>
      <c r="E290" s="22" t="n">
        <v>0</v>
      </c>
      <c r="F290" s="22"/>
      <c r="G290" s="22" t="s">
        <v>465</v>
      </c>
      <c r="H290" s="22" t="s">
        <v>466</v>
      </c>
      <c r="I290" s="22" t="s">
        <v>1367</v>
      </c>
      <c r="J290" s="22" t="s">
        <v>459</v>
      </c>
      <c r="K290" s="22"/>
      <c r="L290" s="22"/>
    </row>
    <row r="291" customFormat="false" ht="14.25" hidden="true" customHeight="true" outlineLevel="0" collapsed="false">
      <c r="A291" s="22" t="s">
        <v>1368</v>
      </c>
      <c r="B291" s="22" t="s">
        <v>455</v>
      </c>
      <c r="C291" s="23" t="n">
        <v>45628</v>
      </c>
      <c r="D291" s="23" t="n">
        <v>45658</v>
      </c>
      <c r="E291" s="22" t="n">
        <v>0</v>
      </c>
      <c r="F291" s="22"/>
      <c r="G291" s="22" t="s">
        <v>1369</v>
      </c>
      <c r="H291" s="22" t="s">
        <v>1370</v>
      </c>
      <c r="I291" s="22" t="s">
        <v>1371</v>
      </c>
      <c r="J291" s="22" t="s">
        <v>459</v>
      </c>
      <c r="K291" s="22"/>
      <c r="L291" s="22"/>
    </row>
    <row r="292" customFormat="false" ht="14.25" hidden="true" customHeight="true" outlineLevel="0" collapsed="false">
      <c r="A292" s="22" t="s">
        <v>1372</v>
      </c>
      <c r="B292" s="22" t="s">
        <v>455</v>
      </c>
      <c r="C292" s="23" t="n">
        <v>45629</v>
      </c>
      <c r="D292" s="22"/>
      <c r="E292" s="22" t="n">
        <v>0</v>
      </c>
      <c r="F292" s="22"/>
      <c r="G292" s="22" t="s">
        <v>470</v>
      </c>
      <c r="H292" s="22" t="s">
        <v>471</v>
      </c>
      <c r="I292" s="22" t="s">
        <v>1373</v>
      </c>
      <c r="J292" s="22" t="s">
        <v>459</v>
      </c>
      <c r="K292" s="22"/>
      <c r="L292" s="22"/>
    </row>
    <row r="293" customFormat="false" ht="14.25" hidden="true" customHeight="true" outlineLevel="0" collapsed="false">
      <c r="A293" s="22" t="s">
        <v>1374</v>
      </c>
      <c r="B293" s="22" t="s">
        <v>504</v>
      </c>
      <c r="C293" s="23" t="n">
        <v>45630</v>
      </c>
      <c r="D293" s="23" t="n">
        <v>45660</v>
      </c>
      <c r="E293" s="22" t="n">
        <v>1</v>
      </c>
      <c r="F293" s="22" t="s">
        <v>1375</v>
      </c>
      <c r="G293" s="22" t="s">
        <v>833</v>
      </c>
      <c r="H293" s="22" t="s">
        <v>1376</v>
      </c>
      <c r="I293" s="22" t="s">
        <v>1377</v>
      </c>
      <c r="J293" s="22" t="s">
        <v>459</v>
      </c>
      <c r="K293" s="22" t="s">
        <v>473</v>
      </c>
      <c r="L293" s="22" t="s">
        <v>554</v>
      </c>
    </row>
    <row r="294" customFormat="false" ht="14.25" hidden="true" customHeight="true" outlineLevel="0" collapsed="false">
      <c r="A294" s="22" t="s">
        <v>1378</v>
      </c>
      <c r="B294" s="22" t="s">
        <v>455</v>
      </c>
      <c r="C294" s="23" t="n">
        <v>45631</v>
      </c>
      <c r="D294" s="22"/>
      <c r="E294" s="22" t="n">
        <v>1</v>
      </c>
      <c r="F294" s="22" t="s">
        <v>498</v>
      </c>
      <c r="G294" s="22" t="s">
        <v>465</v>
      </c>
      <c r="H294" s="22" t="s">
        <v>466</v>
      </c>
      <c r="I294" s="22" t="s">
        <v>1379</v>
      </c>
      <c r="J294" s="22" t="s">
        <v>459</v>
      </c>
      <c r="K294" s="22" t="s">
        <v>473</v>
      </c>
      <c r="L294" s="22" t="s">
        <v>474</v>
      </c>
    </row>
    <row r="295" customFormat="false" ht="14.25" hidden="true" customHeight="true" outlineLevel="0" collapsed="false">
      <c r="A295" s="22" t="s">
        <v>1380</v>
      </c>
      <c r="B295" s="22" t="s">
        <v>455</v>
      </c>
      <c r="C295" s="23" t="n">
        <v>45632</v>
      </c>
      <c r="D295" s="22"/>
      <c r="E295" s="22" t="n">
        <v>1</v>
      </c>
      <c r="F295" s="22" t="s">
        <v>673</v>
      </c>
      <c r="G295" s="22" t="s">
        <v>470</v>
      </c>
      <c r="H295" s="22" t="s">
        <v>471</v>
      </c>
      <c r="I295" s="22" t="s">
        <v>1381</v>
      </c>
      <c r="J295" s="22" t="s">
        <v>459</v>
      </c>
      <c r="K295" s="22" t="s">
        <v>473</v>
      </c>
      <c r="L295" s="22" t="s">
        <v>474</v>
      </c>
    </row>
    <row r="296" customFormat="false" ht="14.25" hidden="true" customHeight="true" outlineLevel="0" collapsed="false">
      <c r="A296" s="22" t="s">
        <v>1382</v>
      </c>
      <c r="B296" s="22" t="s">
        <v>455</v>
      </c>
      <c r="C296" s="23" t="n">
        <v>45632</v>
      </c>
      <c r="D296" s="22"/>
      <c r="E296" s="22" t="n">
        <v>0</v>
      </c>
      <c r="F296" s="22"/>
      <c r="G296" s="22" t="s">
        <v>461</v>
      </c>
      <c r="H296" s="22" t="s">
        <v>462</v>
      </c>
      <c r="I296" s="22" t="s">
        <v>1383</v>
      </c>
      <c r="J296" s="22" t="s">
        <v>459</v>
      </c>
      <c r="K296" s="22"/>
      <c r="L296" s="22"/>
    </row>
    <row r="297" customFormat="false" ht="14.25" hidden="true" customHeight="true" outlineLevel="0" collapsed="false">
      <c r="A297" s="22" t="s">
        <v>1384</v>
      </c>
      <c r="B297" s="22" t="s">
        <v>504</v>
      </c>
      <c r="C297" s="23" t="n">
        <v>45635</v>
      </c>
      <c r="D297" s="23" t="n">
        <v>45658</v>
      </c>
      <c r="E297" s="22" t="n">
        <v>1</v>
      </c>
      <c r="F297" s="22" t="s">
        <v>1385</v>
      </c>
      <c r="G297" s="22" t="s">
        <v>1042</v>
      </c>
      <c r="H297" s="22" t="s">
        <v>1386</v>
      </c>
      <c r="I297" s="22" t="s">
        <v>1387</v>
      </c>
      <c r="J297" s="22" t="s">
        <v>459</v>
      </c>
      <c r="K297" s="22" t="s">
        <v>473</v>
      </c>
      <c r="L297" s="22" t="s">
        <v>554</v>
      </c>
    </row>
    <row r="298" customFormat="false" ht="14.25" hidden="true" customHeight="true" outlineLevel="0" collapsed="false">
      <c r="A298" s="22" t="s">
        <v>1388</v>
      </c>
      <c r="B298" s="22" t="s">
        <v>455</v>
      </c>
      <c r="C298" s="23" t="n">
        <v>45635</v>
      </c>
      <c r="D298" s="22"/>
      <c r="E298" s="22" t="n">
        <v>0</v>
      </c>
      <c r="F298" s="22"/>
      <c r="G298" s="22" t="s">
        <v>470</v>
      </c>
      <c r="H298" s="22" t="s">
        <v>471</v>
      </c>
      <c r="I298" s="22" t="s">
        <v>1389</v>
      </c>
      <c r="J298" s="22" t="s">
        <v>459</v>
      </c>
      <c r="K298" s="22"/>
      <c r="L298" s="22"/>
    </row>
    <row r="299" customFormat="false" ht="14.25" hidden="false" customHeight="true" outlineLevel="0" collapsed="false">
      <c r="A299" s="15" t="s">
        <v>1390</v>
      </c>
      <c r="B299" s="15" t="s">
        <v>483</v>
      </c>
      <c r="C299" s="24" t="n">
        <v>45476</v>
      </c>
      <c r="D299" s="15"/>
      <c r="E299" s="15" t="n">
        <v>1</v>
      </c>
      <c r="F299" s="15" t="s">
        <v>1391</v>
      </c>
      <c r="G299" s="15" t="s">
        <v>1392</v>
      </c>
      <c r="H299" s="15" t="s">
        <v>1393</v>
      </c>
      <c r="I299" s="15" t="s">
        <v>1394</v>
      </c>
      <c r="J299" s="15" t="s">
        <v>459</v>
      </c>
      <c r="K299" s="15" t="s">
        <v>1199</v>
      </c>
      <c r="L299" s="15" t="s">
        <v>1340</v>
      </c>
    </row>
    <row r="300" customFormat="false" ht="14.25" hidden="true" customHeight="true" outlineLevel="0" collapsed="false">
      <c r="A300" s="22" t="s">
        <v>1395</v>
      </c>
      <c r="B300" s="22" t="s">
        <v>455</v>
      </c>
      <c r="C300" s="23" t="n">
        <v>45637</v>
      </c>
      <c r="D300" s="22"/>
      <c r="E300" s="22" t="n">
        <v>0</v>
      </c>
      <c r="F300" s="22"/>
      <c r="G300" s="22" t="s">
        <v>465</v>
      </c>
      <c r="H300" s="22" t="s">
        <v>492</v>
      </c>
      <c r="I300" s="22" t="s">
        <v>1396</v>
      </c>
      <c r="J300" s="22" t="s">
        <v>459</v>
      </c>
      <c r="K300" s="22"/>
      <c r="L300" s="22"/>
    </row>
    <row r="301" customFormat="false" ht="14.25" hidden="true" customHeight="true" outlineLevel="0" collapsed="false">
      <c r="A301" s="22" t="s">
        <v>1397</v>
      </c>
      <c r="B301" s="22" t="s">
        <v>455</v>
      </c>
      <c r="C301" s="23" t="n">
        <v>45637</v>
      </c>
      <c r="D301" s="22"/>
      <c r="E301" s="22" t="n">
        <v>0</v>
      </c>
      <c r="F301" s="22"/>
      <c r="G301" s="22" t="s">
        <v>1398</v>
      </c>
      <c r="H301" s="22" t="s">
        <v>1399</v>
      </c>
      <c r="I301" s="22" t="s">
        <v>1400</v>
      </c>
      <c r="J301" s="22" t="s">
        <v>459</v>
      </c>
      <c r="K301" s="22"/>
      <c r="L301" s="22"/>
    </row>
    <row r="302" customFormat="false" ht="14.25" hidden="true" customHeight="true" outlineLevel="0" collapsed="false">
      <c r="A302" s="22" t="s">
        <v>1401</v>
      </c>
      <c r="B302" s="22" t="s">
        <v>455</v>
      </c>
      <c r="C302" s="23" t="n">
        <v>45638</v>
      </c>
      <c r="D302" s="22"/>
      <c r="E302" s="22" t="n">
        <v>0</v>
      </c>
      <c r="F302" s="22"/>
      <c r="G302" s="22" t="s">
        <v>1402</v>
      </c>
      <c r="H302" s="22" t="s">
        <v>1403</v>
      </c>
      <c r="I302" s="22" t="s">
        <v>1404</v>
      </c>
      <c r="J302" s="22" t="s">
        <v>459</v>
      </c>
      <c r="K302" s="22"/>
      <c r="L302" s="22"/>
    </row>
    <row r="303" customFormat="false" ht="14.25" hidden="true" customHeight="true" outlineLevel="0" collapsed="false">
      <c r="A303" s="22" t="s">
        <v>1405</v>
      </c>
      <c r="B303" s="22" t="s">
        <v>455</v>
      </c>
      <c r="C303" s="23" t="n">
        <v>45639</v>
      </c>
      <c r="D303" s="22"/>
      <c r="E303" s="22" t="n">
        <v>1</v>
      </c>
      <c r="F303" s="22" t="s">
        <v>673</v>
      </c>
      <c r="G303" s="22" t="s">
        <v>470</v>
      </c>
      <c r="H303" s="22" t="s">
        <v>477</v>
      </c>
      <c r="I303" s="22" t="s">
        <v>1406</v>
      </c>
      <c r="J303" s="22" t="s">
        <v>459</v>
      </c>
      <c r="K303" s="22" t="s">
        <v>473</v>
      </c>
      <c r="L303" s="22" t="s">
        <v>474</v>
      </c>
    </row>
    <row r="304" customFormat="false" ht="14.25" hidden="true" customHeight="true" outlineLevel="0" collapsed="false">
      <c r="A304" s="22" t="s">
        <v>1407</v>
      </c>
      <c r="B304" s="22" t="s">
        <v>455</v>
      </c>
      <c r="C304" s="23" t="n">
        <v>45639</v>
      </c>
      <c r="D304" s="22"/>
      <c r="E304" s="22" t="n">
        <v>0</v>
      </c>
      <c r="F304" s="22"/>
      <c r="G304" s="22" t="s">
        <v>461</v>
      </c>
      <c r="H304" s="22" t="s">
        <v>462</v>
      </c>
      <c r="I304" s="22" t="s">
        <v>1408</v>
      </c>
      <c r="J304" s="22" t="s">
        <v>459</v>
      </c>
      <c r="K304" s="22"/>
      <c r="L304" s="22"/>
    </row>
    <row r="305" customFormat="false" ht="14.25" hidden="true" customHeight="true" outlineLevel="0" collapsed="false">
      <c r="A305" s="22" t="s">
        <v>1409</v>
      </c>
      <c r="B305" s="22" t="s">
        <v>455</v>
      </c>
      <c r="C305" s="23" t="n">
        <v>45639</v>
      </c>
      <c r="D305" s="22"/>
      <c r="E305" s="22" t="n">
        <v>0</v>
      </c>
      <c r="F305" s="22"/>
      <c r="G305" s="22" t="s">
        <v>465</v>
      </c>
      <c r="H305" s="22" t="s">
        <v>466</v>
      </c>
      <c r="I305" s="22" t="s">
        <v>1410</v>
      </c>
      <c r="J305" s="22" t="s">
        <v>459</v>
      </c>
      <c r="K305" s="22"/>
      <c r="L305" s="22"/>
    </row>
    <row r="306" customFormat="false" ht="14.25" hidden="true" customHeight="true" outlineLevel="0" collapsed="false">
      <c r="A306" s="22" t="s">
        <v>1411</v>
      </c>
      <c r="B306" s="22" t="s">
        <v>455</v>
      </c>
      <c r="C306" s="23" t="n">
        <v>45642</v>
      </c>
      <c r="D306" s="22"/>
      <c r="E306" s="22" t="n">
        <v>1</v>
      </c>
      <c r="F306" s="22" t="s">
        <v>1076</v>
      </c>
      <c r="G306" s="22" t="s">
        <v>465</v>
      </c>
      <c r="H306" s="22" t="s">
        <v>466</v>
      </c>
      <c r="I306" s="22" t="s">
        <v>1412</v>
      </c>
      <c r="J306" s="22" t="s">
        <v>459</v>
      </c>
      <c r="K306" s="22" t="s">
        <v>473</v>
      </c>
      <c r="L306" s="22" t="s">
        <v>474</v>
      </c>
    </row>
    <row r="307" customFormat="false" ht="14.25" hidden="true" customHeight="true" outlineLevel="0" collapsed="false">
      <c r="A307" s="22" t="s">
        <v>1413</v>
      </c>
      <c r="B307" s="22" t="s">
        <v>455</v>
      </c>
      <c r="C307" s="23" t="n">
        <v>45643</v>
      </c>
      <c r="D307" s="22"/>
      <c r="E307" s="22" t="n">
        <v>0</v>
      </c>
      <c r="F307" s="22"/>
      <c r="G307" s="22" t="s">
        <v>465</v>
      </c>
      <c r="H307" s="22" t="s">
        <v>492</v>
      </c>
      <c r="I307" s="22" t="s">
        <v>1414</v>
      </c>
      <c r="J307" s="22" t="s">
        <v>459</v>
      </c>
      <c r="K307" s="22"/>
      <c r="L307" s="22"/>
    </row>
    <row r="308" customFormat="false" ht="14.25" hidden="true" customHeight="true" outlineLevel="0" collapsed="false">
      <c r="A308" s="22" t="s">
        <v>1415</v>
      </c>
      <c r="B308" s="22" t="s">
        <v>455</v>
      </c>
      <c r="C308" s="23" t="n">
        <v>45643</v>
      </c>
      <c r="D308" s="22"/>
      <c r="E308" s="22" t="n">
        <v>0</v>
      </c>
      <c r="F308" s="22"/>
      <c r="G308" s="22" t="s">
        <v>971</v>
      </c>
      <c r="H308" s="22" t="s">
        <v>1416</v>
      </c>
      <c r="I308" s="22" t="s">
        <v>1417</v>
      </c>
      <c r="J308" s="22" t="s">
        <v>459</v>
      </c>
      <c r="K308" s="22"/>
      <c r="L308" s="22"/>
    </row>
    <row r="309" customFormat="false" ht="14.25" hidden="true" customHeight="true" outlineLevel="0" collapsed="false">
      <c r="A309" s="22" t="s">
        <v>1418</v>
      </c>
      <c r="B309" s="22" t="s">
        <v>455</v>
      </c>
      <c r="C309" s="23" t="n">
        <v>45645</v>
      </c>
      <c r="D309" s="22"/>
      <c r="E309" s="22" t="n">
        <v>0</v>
      </c>
      <c r="F309" s="22"/>
      <c r="G309" s="22" t="s">
        <v>465</v>
      </c>
      <c r="H309" s="22" t="s">
        <v>466</v>
      </c>
      <c r="I309" s="22" t="s">
        <v>1419</v>
      </c>
      <c r="J309" s="22" t="s">
        <v>459</v>
      </c>
      <c r="K309" s="22"/>
      <c r="L309" s="22"/>
    </row>
    <row r="310" customFormat="false" ht="14.25" hidden="true" customHeight="true" outlineLevel="0" collapsed="false">
      <c r="A310" s="22" t="s">
        <v>1420</v>
      </c>
      <c r="B310" s="22" t="s">
        <v>504</v>
      </c>
      <c r="C310" s="23" t="n">
        <v>45646</v>
      </c>
      <c r="D310" s="23" t="n">
        <v>45658</v>
      </c>
      <c r="E310" s="22" t="n">
        <v>0</v>
      </c>
      <c r="F310" s="22"/>
      <c r="G310" s="22" t="s">
        <v>1421</v>
      </c>
      <c r="H310" s="22" t="s">
        <v>1422</v>
      </c>
      <c r="I310" s="22" t="s">
        <v>1423</v>
      </c>
      <c r="J310" s="22" t="s">
        <v>459</v>
      </c>
      <c r="K310" s="22"/>
      <c r="L310" s="22"/>
    </row>
    <row r="311" customFormat="false" ht="14.25" hidden="true" customHeight="true" outlineLevel="0" collapsed="false">
      <c r="A311" s="22" t="s">
        <v>1424</v>
      </c>
      <c r="B311" s="22" t="s">
        <v>455</v>
      </c>
      <c r="C311" s="23" t="n">
        <v>45646</v>
      </c>
      <c r="D311" s="22"/>
      <c r="E311" s="22" t="n">
        <v>1</v>
      </c>
      <c r="F311" s="22" t="s">
        <v>535</v>
      </c>
      <c r="G311" s="22" t="s">
        <v>470</v>
      </c>
      <c r="H311" s="22" t="s">
        <v>477</v>
      </c>
      <c r="I311" s="22" t="s">
        <v>1425</v>
      </c>
      <c r="J311" s="22" t="s">
        <v>459</v>
      </c>
      <c r="K311" s="22" t="s">
        <v>473</v>
      </c>
      <c r="L311" s="22" t="s">
        <v>474</v>
      </c>
    </row>
    <row r="312" customFormat="false" ht="14.25" hidden="true" customHeight="true" outlineLevel="0" collapsed="false">
      <c r="A312" s="22" t="s">
        <v>1426</v>
      </c>
      <c r="B312" s="22" t="s">
        <v>455</v>
      </c>
      <c r="C312" s="23" t="n">
        <v>45649</v>
      </c>
      <c r="D312" s="22"/>
      <c r="E312" s="22" t="n">
        <v>0</v>
      </c>
      <c r="F312" s="22"/>
      <c r="G312" s="22" t="s">
        <v>465</v>
      </c>
      <c r="H312" s="22" t="s">
        <v>466</v>
      </c>
      <c r="I312" s="22" t="s">
        <v>1427</v>
      </c>
      <c r="J312" s="22" t="s">
        <v>459</v>
      </c>
      <c r="K312" s="22"/>
      <c r="L312" s="22"/>
    </row>
    <row r="313" customFormat="false" ht="14.25" hidden="true" customHeight="true" outlineLevel="0" collapsed="false">
      <c r="A313" s="22" t="s">
        <v>1428</v>
      </c>
      <c r="B313" s="22" t="s">
        <v>455</v>
      </c>
      <c r="C313" s="23" t="n">
        <v>45649</v>
      </c>
      <c r="D313" s="22"/>
      <c r="E313" s="22" t="n">
        <v>0</v>
      </c>
      <c r="F313" s="22"/>
      <c r="G313" s="22" t="s">
        <v>845</v>
      </c>
      <c r="H313" s="22" t="s">
        <v>1429</v>
      </c>
      <c r="I313" s="22" t="s">
        <v>1430</v>
      </c>
      <c r="J313" s="22" t="s">
        <v>459</v>
      </c>
      <c r="K313" s="22"/>
      <c r="L313" s="22"/>
    </row>
    <row r="314" customFormat="false" ht="14.25" hidden="true" customHeight="true" outlineLevel="0" collapsed="false">
      <c r="A314" s="22" t="s">
        <v>1431</v>
      </c>
      <c r="B314" s="22" t="s">
        <v>455</v>
      </c>
      <c r="C314" s="23" t="n">
        <v>45649</v>
      </c>
      <c r="D314" s="22"/>
      <c r="E314" s="22" t="n">
        <v>1</v>
      </c>
      <c r="F314" s="22" t="s">
        <v>1432</v>
      </c>
      <c r="G314" s="22" t="s">
        <v>470</v>
      </c>
      <c r="H314" s="22" t="s">
        <v>471</v>
      </c>
      <c r="I314" s="22" t="s">
        <v>1433</v>
      </c>
      <c r="J314" s="22" t="s">
        <v>459</v>
      </c>
      <c r="K314" s="22" t="s">
        <v>473</v>
      </c>
      <c r="L314" s="22" t="s">
        <v>474</v>
      </c>
    </row>
    <row r="315" customFormat="false" ht="14.25" hidden="true" customHeight="true" outlineLevel="0" collapsed="false">
      <c r="A315" s="22" t="s">
        <v>1434</v>
      </c>
      <c r="B315" s="22" t="s">
        <v>455</v>
      </c>
      <c r="C315" s="23" t="n">
        <v>45649</v>
      </c>
      <c r="D315" s="22"/>
      <c r="E315" s="22" t="n">
        <v>0</v>
      </c>
      <c r="F315" s="22"/>
      <c r="G315" s="22" t="s">
        <v>465</v>
      </c>
      <c r="H315" s="22" t="s">
        <v>466</v>
      </c>
      <c r="I315" s="22" t="s">
        <v>1435</v>
      </c>
      <c r="J315" s="22" t="s">
        <v>459</v>
      </c>
      <c r="K315" s="22"/>
      <c r="L315" s="22"/>
    </row>
    <row r="316" customFormat="false" ht="14.25" hidden="true" customHeight="true" outlineLevel="0" collapsed="false">
      <c r="A316" s="22" t="s">
        <v>1436</v>
      </c>
      <c r="B316" s="22" t="s">
        <v>455</v>
      </c>
      <c r="C316" s="23" t="n">
        <v>45652</v>
      </c>
      <c r="D316" s="22"/>
      <c r="E316" s="22" t="n">
        <v>0</v>
      </c>
      <c r="F316" s="22"/>
      <c r="G316" s="22" t="s">
        <v>1437</v>
      </c>
      <c r="H316" s="22" t="s">
        <v>1438</v>
      </c>
      <c r="I316" s="22" t="s">
        <v>1439</v>
      </c>
      <c r="J316" s="22" t="s">
        <v>459</v>
      </c>
      <c r="K316" s="22"/>
      <c r="L316" s="22"/>
    </row>
    <row r="317" customFormat="false" ht="14.25" hidden="true" customHeight="true" outlineLevel="0" collapsed="false">
      <c r="A317" s="22" t="s">
        <v>1440</v>
      </c>
      <c r="B317" s="22" t="s">
        <v>455</v>
      </c>
      <c r="C317" s="23" t="n">
        <v>45653</v>
      </c>
      <c r="D317" s="22"/>
      <c r="E317" s="22" t="n">
        <v>0</v>
      </c>
      <c r="F317" s="22"/>
      <c r="G317" s="22" t="s">
        <v>465</v>
      </c>
      <c r="H317" s="22" t="s">
        <v>466</v>
      </c>
      <c r="I317" s="22" t="s">
        <v>1441</v>
      </c>
      <c r="J317" s="22" t="s">
        <v>459</v>
      </c>
      <c r="K317" s="22"/>
      <c r="L317" s="22"/>
    </row>
    <row r="318" customFormat="false" ht="14.25" hidden="true" customHeight="true" outlineLevel="0" collapsed="false">
      <c r="A318" s="22" t="s">
        <v>1442</v>
      </c>
      <c r="B318" s="22" t="s">
        <v>504</v>
      </c>
      <c r="C318" s="23" t="n">
        <v>45656</v>
      </c>
      <c r="D318" s="23" t="n">
        <v>45656</v>
      </c>
      <c r="E318" s="22" t="n">
        <v>0</v>
      </c>
      <c r="F318" s="22"/>
      <c r="G318" s="22" t="s">
        <v>1443</v>
      </c>
      <c r="H318" s="22" t="s">
        <v>1444</v>
      </c>
      <c r="I318" s="22" t="s">
        <v>1445</v>
      </c>
      <c r="J318" s="22" t="s">
        <v>459</v>
      </c>
      <c r="K318" s="22"/>
      <c r="L318" s="22"/>
    </row>
    <row r="319" customFormat="false" ht="14.25" hidden="true" customHeight="true" outlineLevel="0" collapsed="false">
      <c r="A319" s="22" t="s">
        <v>1446</v>
      </c>
      <c r="B319" s="22" t="s">
        <v>455</v>
      </c>
      <c r="C319" s="23" t="n">
        <v>45660</v>
      </c>
      <c r="D319" s="22"/>
      <c r="E319" s="22" t="n">
        <v>0</v>
      </c>
      <c r="F319" s="22"/>
      <c r="G319" s="22" t="s">
        <v>465</v>
      </c>
      <c r="H319" s="22" t="s">
        <v>466</v>
      </c>
      <c r="I319" s="22" t="s">
        <v>1447</v>
      </c>
      <c r="J319" s="22" t="s">
        <v>459</v>
      </c>
      <c r="K319" s="22"/>
      <c r="L319" s="22"/>
    </row>
    <row r="320" customFormat="false" ht="14.25" hidden="true" customHeight="true" outlineLevel="0" collapsed="false">
      <c r="A320" s="22" t="s">
        <v>1448</v>
      </c>
      <c r="B320" s="22" t="s">
        <v>455</v>
      </c>
      <c r="C320" s="23" t="n">
        <v>45660</v>
      </c>
      <c r="D320" s="22"/>
      <c r="E320" s="22" t="n">
        <v>1</v>
      </c>
      <c r="F320" s="22" t="s">
        <v>1449</v>
      </c>
      <c r="G320" s="22" t="s">
        <v>465</v>
      </c>
      <c r="H320" s="22" t="s">
        <v>466</v>
      </c>
      <c r="I320" s="22" t="s">
        <v>1450</v>
      </c>
      <c r="J320" s="22" t="s">
        <v>459</v>
      </c>
      <c r="K320" s="22" t="s">
        <v>473</v>
      </c>
      <c r="L320" s="22" t="s">
        <v>474</v>
      </c>
    </row>
    <row r="321" customFormat="false" ht="14.25" hidden="true" customHeight="true" outlineLevel="0" collapsed="false">
      <c r="A321" s="22" t="s">
        <v>1451</v>
      </c>
      <c r="B321" s="22" t="s">
        <v>455</v>
      </c>
      <c r="C321" s="23" t="n">
        <v>45664</v>
      </c>
      <c r="D321" s="22"/>
      <c r="E321" s="22" t="n">
        <v>0</v>
      </c>
      <c r="F321" s="22"/>
      <c r="G321" s="22" t="s">
        <v>470</v>
      </c>
      <c r="H321" s="22"/>
      <c r="I321" s="22" t="s">
        <v>1452</v>
      </c>
      <c r="J321" s="22" t="s">
        <v>459</v>
      </c>
      <c r="K321" s="22"/>
      <c r="L321" s="22"/>
    </row>
    <row r="322" customFormat="false" ht="14.25" hidden="true" customHeight="true" outlineLevel="0" collapsed="false">
      <c r="A322" s="22" t="s">
        <v>1453</v>
      </c>
      <c r="B322" s="22" t="s">
        <v>455</v>
      </c>
      <c r="C322" s="23" t="n">
        <v>45667</v>
      </c>
      <c r="D322" s="22"/>
      <c r="E322" s="22" t="n">
        <v>0</v>
      </c>
      <c r="F322" s="22"/>
      <c r="G322" s="22" t="s">
        <v>856</v>
      </c>
      <c r="H322" s="22" t="s">
        <v>1454</v>
      </c>
      <c r="I322" s="22" t="s">
        <v>1455</v>
      </c>
      <c r="J322" s="22" t="s">
        <v>459</v>
      </c>
      <c r="K322" s="22"/>
      <c r="L322" s="22"/>
    </row>
    <row r="323" customFormat="false" ht="14.25" hidden="true" customHeight="true" outlineLevel="0" collapsed="false">
      <c r="A323" s="22" t="s">
        <v>1456</v>
      </c>
      <c r="B323" s="22" t="s">
        <v>455</v>
      </c>
      <c r="C323" s="23" t="n">
        <v>45667</v>
      </c>
      <c r="D323" s="22"/>
      <c r="E323" s="22" t="n">
        <v>0</v>
      </c>
      <c r="F323" s="22"/>
      <c r="G323" s="22" t="s">
        <v>465</v>
      </c>
      <c r="H323" s="22" t="s">
        <v>466</v>
      </c>
      <c r="I323" s="22" t="s">
        <v>1457</v>
      </c>
      <c r="J323" s="22" t="s">
        <v>459</v>
      </c>
      <c r="K323" s="22"/>
      <c r="L323" s="22"/>
    </row>
    <row r="324" customFormat="false" ht="14.25" hidden="true" customHeight="true" outlineLevel="0" collapsed="false">
      <c r="A324" s="22" t="s">
        <v>1458</v>
      </c>
      <c r="B324" s="22" t="s">
        <v>504</v>
      </c>
      <c r="C324" s="23" t="n">
        <v>45670</v>
      </c>
      <c r="D324" s="23" t="n">
        <v>45665</v>
      </c>
      <c r="E324" s="22" t="n">
        <v>0</v>
      </c>
      <c r="F324" s="22"/>
      <c r="G324" s="22" t="s">
        <v>1459</v>
      </c>
      <c r="H324" s="22" t="s">
        <v>1460</v>
      </c>
      <c r="I324" s="22" t="s">
        <v>1461</v>
      </c>
      <c r="J324" s="22" t="s">
        <v>459</v>
      </c>
      <c r="K324" s="22"/>
      <c r="L324" s="22"/>
    </row>
    <row r="325" customFormat="false" ht="14.25" hidden="true" customHeight="true" outlineLevel="0" collapsed="false">
      <c r="A325" s="22" t="s">
        <v>1462</v>
      </c>
      <c r="B325" s="22" t="s">
        <v>455</v>
      </c>
      <c r="C325" s="23" t="n">
        <v>45670</v>
      </c>
      <c r="D325" s="22"/>
      <c r="E325" s="22" t="n">
        <v>0</v>
      </c>
      <c r="F325" s="22"/>
      <c r="G325" s="22" t="s">
        <v>1463</v>
      </c>
      <c r="H325" s="22" t="s">
        <v>1464</v>
      </c>
      <c r="I325" s="22" t="s">
        <v>1465</v>
      </c>
      <c r="J325" s="22" t="s">
        <v>459</v>
      </c>
      <c r="K325" s="22"/>
      <c r="L325" s="22"/>
    </row>
    <row r="326" customFormat="false" ht="14.25" hidden="true" customHeight="true" outlineLevel="0" collapsed="false">
      <c r="A326" s="22" t="s">
        <v>1466</v>
      </c>
      <c r="B326" s="22" t="s">
        <v>455</v>
      </c>
      <c r="C326" s="23" t="n">
        <v>45671</v>
      </c>
      <c r="D326" s="22"/>
      <c r="E326" s="22" t="n">
        <v>0</v>
      </c>
      <c r="F326" s="22"/>
      <c r="G326" s="22" t="s">
        <v>1467</v>
      </c>
      <c r="H326" s="22" t="s">
        <v>1468</v>
      </c>
      <c r="I326" s="22" t="s">
        <v>1469</v>
      </c>
      <c r="J326" s="22" t="s">
        <v>459</v>
      </c>
      <c r="K326" s="22"/>
      <c r="L326" s="22"/>
    </row>
    <row r="327" customFormat="false" ht="14.25" hidden="true" customHeight="true" outlineLevel="0" collapsed="false">
      <c r="A327" s="22" t="s">
        <v>1470</v>
      </c>
      <c r="B327" s="22" t="s">
        <v>455</v>
      </c>
      <c r="C327" s="23" t="n">
        <v>45671</v>
      </c>
      <c r="D327" s="22"/>
      <c r="E327" s="22" t="n">
        <v>1</v>
      </c>
      <c r="F327" s="22" t="s">
        <v>673</v>
      </c>
      <c r="G327" s="22" t="s">
        <v>470</v>
      </c>
      <c r="H327" s="22" t="s">
        <v>471</v>
      </c>
      <c r="I327" s="22" t="s">
        <v>1471</v>
      </c>
      <c r="J327" s="22" t="s">
        <v>459</v>
      </c>
      <c r="K327" s="22" t="s">
        <v>473</v>
      </c>
      <c r="L327" s="22" t="s">
        <v>474</v>
      </c>
    </row>
    <row r="328" customFormat="false" ht="14.25" hidden="true" customHeight="true" outlineLevel="0" collapsed="false">
      <c r="A328" s="22" t="s">
        <v>1472</v>
      </c>
      <c r="B328" s="22" t="s">
        <v>455</v>
      </c>
      <c r="C328" s="23" t="n">
        <v>45671</v>
      </c>
      <c r="D328" s="22"/>
      <c r="E328" s="22" t="n">
        <v>0</v>
      </c>
      <c r="F328" s="22"/>
      <c r="G328" s="22" t="s">
        <v>465</v>
      </c>
      <c r="H328" s="22" t="s">
        <v>466</v>
      </c>
      <c r="I328" s="22" t="s">
        <v>1473</v>
      </c>
      <c r="J328" s="22" t="s">
        <v>459</v>
      </c>
      <c r="K328" s="22"/>
      <c r="L328" s="22"/>
    </row>
    <row r="329" customFormat="false" ht="14.25" hidden="true" customHeight="true" outlineLevel="0" collapsed="false">
      <c r="A329" s="22" t="s">
        <v>1474</v>
      </c>
      <c r="B329" s="22" t="s">
        <v>455</v>
      </c>
      <c r="C329" s="23" t="n">
        <v>45672</v>
      </c>
      <c r="D329" s="22"/>
      <c r="E329" s="22" t="n">
        <v>0</v>
      </c>
      <c r="F329" s="22"/>
      <c r="G329" s="22" t="s">
        <v>465</v>
      </c>
      <c r="H329" s="22" t="s">
        <v>492</v>
      </c>
      <c r="I329" s="22" t="s">
        <v>1475</v>
      </c>
      <c r="J329" s="22" t="s">
        <v>459</v>
      </c>
      <c r="K329" s="22"/>
      <c r="L329" s="22"/>
    </row>
    <row r="330" customFormat="false" ht="14.25" hidden="true" customHeight="true" outlineLevel="0" collapsed="false">
      <c r="A330" s="22" t="s">
        <v>1476</v>
      </c>
      <c r="B330" s="22" t="s">
        <v>455</v>
      </c>
      <c r="C330" s="23" t="n">
        <v>45672</v>
      </c>
      <c r="D330" s="22"/>
      <c r="E330" s="22" t="n">
        <v>0</v>
      </c>
      <c r="F330" s="22"/>
      <c r="G330" s="22" t="s">
        <v>470</v>
      </c>
      <c r="H330" s="22" t="s">
        <v>477</v>
      </c>
      <c r="I330" s="22" t="s">
        <v>1477</v>
      </c>
      <c r="J330" s="22" t="s">
        <v>459</v>
      </c>
      <c r="K330" s="22"/>
      <c r="L330" s="22"/>
    </row>
    <row r="331" customFormat="false" ht="14.25" hidden="true" customHeight="true" outlineLevel="0" collapsed="false">
      <c r="A331" s="22" t="s">
        <v>1478</v>
      </c>
      <c r="B331" s="22" t="s">
        <v>455</v>
      </c>
      <c r="C331" s="23" t="n">
        <v>45673</v>
      </c>
      <c r="D331" s="22"/>
      <c r="E331" s="22" t="n">
        <v>0</v>
      </c>
      <c r="F331" s="22"/>
      <c r="G331" s="22" t="s">
        <v>461</v>
      </c>
      <c r="H331" s="22" t="s">
        <v>462</v>
      </c>
      <c r="I331" s="22" t="s">
        <v>1479</v>
      </c>
      <c r="J331" s="22" t="s">
        <v>459</v>
      </c>
      <c r="K331" s="22"/>
      <c r="L331" s="22"/>
    </row>
    <row r="332" customFormat="false" ht="14.25" hidden="true" customHeight="true" outlineLevel="0" collapsed="false">
      <c r="A332" s="22" t="s">
        <v>1480</v>
      </c>
      <c r="B332" s="22" t="s">
        <v>455</v>
      </c>
      <c r="C332" s="23" t="n">
        <v>45674</v>
      </c>
      <c r="D332" s="22"/>
      <c r="E332" s="22" t="n">
        <v>0</v>
      </c>
      <c r="F332" s="22"/>
      <c r="G332" s="22" t="s">
        <v>465</v>
      </c>
      <c r="H332" s="22" t="s">
        <v>466</v>
      </c>
      <c r="I332" s="22" t="s">
        <v>1481</v>
      </c>
      <c r="J332" s="22" t="s">
        <v>459</v>
      </c>
      <c r="K332" s="22"/>
      <c r="L332" s="22"/>
    </row>
    <row r="333" customFormat="false" ht="14.25" hidden="true" customHeight="true" outlineLevel="0" collapsed="false">
      <c r="A333" s="22" t="s">
        <v>1482</v>
      </c>
      <c r="B333" s="22" t="s">
        <v>455</v>
      </c>
      <c r="C333" s="23" t="n">
        <v>45691</v>
      </c>
      <c r="D333" s="22"/>
      <c r="E333" s="22" t="n">
        <v>0</v>
      </c>
      <c r="F333" s="22"/>
      <c r="G333" s="22" t="s">
        <v>470</v>
      </c>
      <c r="H333" s="22" t="s">
        <v>477</v>
      </c>
      <c r="I333" s="22" t="s">
        <v>1483</v>
      </c>
      <c r="J333" s="22" t="s">
        <v>459</v>
      </c>
      <c r="K333" s="22"/>
      <c r="L333" s="22"/>
    </row>
    <row r="334" customFormat="false" ht="14.25" hidden="true" customHeight="true" outlineLevel="0" collapsed="false">
      <c r="A334" s="22" t="s">
        <v>1484</v>
      </c>
      <c r="B334" s="22" t="s">
        <v>455</v>
      </c>
      <c r="C334" s="23" t="n">
        <v>45692</v>
      </c>
      <c r="D334" s="22"/>
      <c r="E334" s="22" t="n">
        <v>0</v>
      </c>
      <c r="F334" s="22"/>
      <c r="G334" s="22" t="s">
        <v>1485</v>
      </c>
      <c r="H334" s="22" t="s">
        <v>1486</v>
      </c>
      <c r="I334" s="22" t="s">
        <v>1487</v>
      </c>
      <c r="J334" s="22" t="s">
        <v>459</v>
      </c>
      <c r="K334" s="22"/>
      <c r="L334" s="22"/>
    </row>
    <row r="335" customFormat="false" ht="14.25" hidden="true" customHeight="true" outlineLevel="0" collapsed="false">
      <c r="A335" s="22" t="s">
        <v>1488</v>
      </c>
      <c r="B335" s="22" t="s">
        <v>455</v>
      </c>
      <c r="C335" s="23" t="n">
        <v>45699</v>
      </c>
      <c r="D335" s="22"/>
      <c r="E335" s="22" t="n">
        <v>0</v>
      </c>
      <c r="F335" s="22"/>
      <c r="G335" s="22" t="s">
        <v>1489</v>
      </c>
      <c r="H335" s="22" t="s">
        <v>1490</v>
      </c>
      <c r="I335" s="22" t="s">
        <v>1491</v>
      </c>
      <c r="J335" s="22" t="s">
        <v>459</v>
      </c>
      <c r="K335" s="22"/>
      <c r="L335" s="22"/>
    </row>
    <row r="336" customFormat="false" ht="14.25" hidden="true" customHeight="true" outlineLevel="0" collapsed="false">
      <c r="A336" s="22" t="s">
        <v>1492</v>
      </c>
      <c r="B336" s="22" t="s">
        <v>455</v>
      </c>
      <c r="C336" s="23" t="n">
        <v>45699</v>
      </c>
      <c r="D336" s="22"/>
      <c r="E336" s="22" t="n">
        <v>0</v>
      </c>
      <c r="F336" s="22"/>
      <c r="G336" s="22" t="s">
        <v>1493</v>
      </c>
      <c r="H336" s="22" t="s">
        <v>1494</v>
      </c>
      <c r="I336" s="22" t="s">
        <v>1495</v>
      </c>
      <c r="J336" s="22" t="s">
        <v>459</v>
      </c>
      <c r="K336" s="22"/>
      <c r="L336" s="22"/>
    </row>
    <row r="337" customFormat="false" ht="14.25" hidden="true" customHeight="true" outlineLevel="0" collapsed="false">
      <c r="A337" s="22" t="s">
        <v>1496</v>
      </c>
      <c r="B337" s="22" t="s">
        <v>455</v>
      </c>
      <c r="C337" s="23" t="n">
        <v>45707</v>
      </c>
      <c r="D337" s="22"/>
      <c r="E337" s="22" t="n">
        <v>1</v>
      </c>
      <c r="F337" s="22" t="s">
        <v>673</v>
      </c>
      <c r="G337" s="22" t="s">
        <v>1497</v>
      </c>
      <c r="H337" s="22" t="s">
        <v>500</v>
      </c>
      <c r="I337" s="22" t="s">
        <v>1498</v>
      </c>
      <c r="J337" s="22" t="s">
        <v>459</v>
      </c>
      <c r="K337" s="22" t="s">
        <v>473</v>
      </c>
      <c r="L337" s="22" t="s">
        <v>502</v>
      </c>
    </row>
    <row r="338" customFormat="false" ht="14.25" hidden="true" customHeight="true" outlineLevel="0" collapsed="false">
      <c r="A338" s="22" t="s">
        <v>1499</v>
      </c>
      <c r="B338" s="22" t="s">
        <v>455</v>
      </c>
      <c r="C338" s="23" t="n">
        <v>45709</v>
      </c>
      <c r="D338" s="22"/>
      <c r="E338" s="22" t="n">
        <v>0</v>
      </c>
      <c r="F338" s="22"/>
      <c r="G338" s="22" t="s">
        <v>1500</v>
      </c>
      <c r="H338" s="22" t="s">
        <v>1501</v>
      </c>
      <c r="I338" s="22" t="s">
        <v>1502</v>
      </c>
      <c r="J338" s="22" t="s">
        <v>459</v>
      </c>
      <c r="K338" s="22"/>
      <c r="L338" s="22"/>
    </row>
    <row r="339" customFormat="false" ht="14.25" hidden="true" customHeight="true" outlineLevel="0" collapsed="false">
      <c r="A339" s="22" t="s">
        <v>1503</v>
      </c>
      <c r="B339" s="22" t="s">
        <v>455</v>
      </c>
      <c r="C339" s="23" t="n">
        <v>45709</v>
      </c>
      <c r="D339" s="22"/>
      <c r="E339" s="22" t="n">
        <v>0</v>
      </c>
      <c r="F339" s="22"/>
      <c r="G339" s="22" t="s">
        <v>1504</v>
      </c>
      <c r="H339" s="22" t="s">
        <v>1505</v>
      </c>
      <c r="I339" s="22" t="s">
        <v>1506</v>
      </c>
      <c r="J339" s="22" t="s">
        <v>459</v>
      </c>
      <c r="K339" s="22"/>
      <c r="L339" s="22"/>
    </row>
    <row r="340" customFormat="false" ht="14.25" hidden="true" customHeight="true" outlineLevel="0" collapsed="false">
      <c r="A340" s="22" t="s">
        <v>1507</v>
      </c>
      <c r="B340" s="22" t="s">
        <v>455</v>
      </c>
      <c r="C340" s="23" t="n">
        <v>45712</v>
      </c>
      <c r="D340" s="22"/>
      <c r="E340" s="22" t="n">
        <v>0</v>
      </c>
      <c r="F340" s="22"/>
      <c r="G340" s="22" t="s">
        <v>1508</v>
      </c>
      <c r="H340" s="22" t="s">
        <v>1509</v>
      </c>
      <c r="I340" s="22" t="s">
        <v>1510</v>
      </c>
      <c r="J340" s="22" t="s">
        <v>459</v>
      </c>
      <c r="K340" s="22"/>
      <c r="L340" s="22"/>
    </row>
    <row r="341" customFormat="false" ht="14.25" hidden="true" customHeight="true" outlineLevel="0" collapsed="false">
      <c r="A341" s="22" t="s">
        <v>1511</v>
      </c>
      <c r="B341" s="22" t="s">
        <v>455</v>
      </c>
      <c r="C341" s="23" t="n">
        <v>45737</v>
      </c>
      <c r="D341" s="22"/>
      <c r="E341" s="22" t="n">
        <v>1</v>
      </c>
      <c r="F341" s="22" t="s">
        <v>1512</v>
      </c>
      <c r="G341" s="22" t="s">
        <v>470</v>
      </c>
      <c r="H341" s="22" t="s">
        <v>471</v>
      </c>
      <c r="I341" s="22" t="s">
        <v>1513</v>
      </c>
      <c r="J341" s="22" t="s">
        <v>459</v>
      </c>
      <c r="K341" s="22" t="s">
        <v>473</v>
      </c>
      <c r="L341" s="22" t="s">
        <v>474</v>
      </c>
    </row>
    <row r="342" customFormat="false" ht="14.25" hidden="true" customHeight="true" outlineLevel="0" collapsed="false">
      <c r="A342" s="22" t="s">
        <v>1514</v>
      </c>
      <c r="B342" s="22" t="s">
        <v>455</v>
      </c>
      <c r="C342" s="23" t="n">
        <v>45737</v>
      </c>
      <c r="D342" s="22"/>
      <c r="E342" s="22" t="n">
        <v>1</v>
      </c>
      <c r="F342" s="22" t="s">
        <v>1515</v>
      </c>
      <c r="G342" s="22" t="s">
        <v>465</v>
      </c>
      <c r="H342" s="22" t="s">
        <v>492</v>
      </c>
      <c r="I342" s="22" t="s">
        <v>1516</v>
      </c>
      <c r="J342" s="22" t="s">
        <v>459</v>
      </c>
      <c r="K342" s="22" t="s">
        <v>473</v>
      </c>
      <c r="L342" s="22" t="s">
        <v>474</v>
      </c>
    </row>
    <row r="343" customFormat="false" ht="14.25" hidden="true" customHeight="true" outlineLevel="0" collapsed="false">
      <c r="A343" s="22" t="s">
        <v>1517</v>
      </c>
      <c r="B343" s="22" t="s">
        <v>455</v>
      </c>
      <c r="C343" s="23" t="n">
        <v>45742</v>
      </c>
      <c r="D343" s="22"/>
      <c r="E343" s="22" t="n">
        <v>0</v>
      </c>
      <c r="F343" s="22"/>
      <c r="G343" s="22" t="s">
        <v>465</v>
      </c>
      <c r="H343" s="22" t="s">
        <v>466</v>
      </c>
      <c r="I343" s="22" t="s">
        <v>1518</v>
      </c>
      <c r="J343" s="22" t="s">
        <v>459</v>
      </c>
      <c r="K343" s="22"/>
      <c r="L343" s="22"/>
    </row>
    <row r="344" customFormat="false" ht="14.25" hidden="true" customHeight="true" outlineLevel="0" collapsed="false">
      <c r="A344" s="22" t="s">
        <v>1519</v>
      </c>
      <c r="B344" s="22" t="s">
        <v>455</v>
      </c>
      <c r="C344" s="23" t="n">
        <v>45748</v>
      </c>
      <c r="D344" s="22"/>
      <c r="E344" s="22" t="n">
        <v>1</v>
      </c>
      <c r="F344" s="22" t="s">
        <v>769</v>
      </c>
      <c r="G344" s="22" t="s">
        <v>470</v>
      </c>
      <c r="H344" s="22" t="s">
        <v>477</v>
      </c>
      <c r="I344" s="22" t="s">
        <v>1520</v>
      </c>
      <c r="J344" s="22" t="s">
        <v>459</v>
      </c>
      <c r="K344" s="22" t="s">
        <v>473</v>
      </c>
      <c r="L344" s="22" t="s">
        <v>474</v>
      </c>
    </row>
    <row r="345" customFormat="false" ht="14.25" hidden="false" customHeight="true" outlineLevel="0" collapsed="false">
      <c r="A345" s="15" t="s">
        <v>1521</v>
      </c>
      <c r="B345" s="15" t="s">
        <v>455</v>
      </c>
      <c r="C345" s="24" t="n">
        <v>45516</v>
      </c>
      <c r="D345" s="24" t="n">
        <v>45516</v>
      </c>
      <c r="E345" s="15" t="n">
        <v>1</v>
      </c>
      <c r="F345" s="15" t="s">
        <v>498</v>
      </c>
      <c r="G345" s="15" t="s">
        <v>1522</v>
      </c>
      <c r="H345" s="15" t="s">
        <v>1523</v>
      </c>
      <c r="I345" s="15" t="s">
        <v>1524</v>
      </c>
      <c r="J345" s="15" t="s">
        <v>459</v>
      </c>
      <c r="K345" s="15" t="s">
        <v>1199</v>
      </c>
      <c r="L345" s="15" t="s">
        <v>1340</v>
      </c>
    </row>
    <row r="346" customFormat="false" ht="14.25" hidden="true" customHeight="true" outlineLevel="0" collapsed="false">
      <c r="A346" s="22" t="s">
        <v>1525</v>
      </c>
      <c r="B346" s="22" t="s">
        <v>455</v>
      </c>
      <c r="C346" s="23" t="n">
        <v>45763</v>
      </c>
      <c r="D346" s="22"/>
      <c r="E346" s="22" t="n">
        <v>0</v>
      </c>
      <c r="F346" s="22"/>
      <c r="G346" s="22" t="s">
        <v>461</v>
      </c>
      <c r="H346" s="22" t="s">
        <v>462</v>
      </c>
      <c r="I346" s="22" t="s">
        <v>1526</v>
      </c>
      <c r="J346" s="22" t="s">
        <v>459</v>
      </c>
      <c r="K346" s="22"/>
      <c r="L346" s="22"/>
    </row>
    <row r="347" customFormat="false" ht="14.25" hidden="true" customHeight="true" outlineLevel="0" collapsed="false">
      <c r="A347" s="22" t="s">
        <v>1527</v>
      </c>
      <c r="B347" s="22" t="s">
        <v>455</v>
      </c>
      <c r="C347" s="23" t="n">
        <v>45768</v>
      </c>
      <c r="D347" s="22"/>
      <c r="E347" s="22" t="n">
        <v>0</v>
      </c>
      <c r="F347" s="22"/>
      <c r="G347" s="22" t="s">
        <v>1528</v>
      </c>
      <c r="H347" s="22" t="s">
        <v>1529</v>
      </c>
      <c r="I347" s="22" t="s">
        <v>1530</v>
      </c>
      <c r="J347" s="22" t="s">
        <v>459</v>
      </c>
      <c r="K347" s="22"/>
      <c r="L347" s="22"/>
    </row>
    <row r="348" customFormat="false" ht="14.25" hidden="true" customHeight="true" outlineLevel="0" collapsed="false">
      <c r="A348" s="22" t="s">
        <v>1531</v>
      </c>
      <c r="B348" s="22" t="s">
        <v>455</v>
      </c>
      <c r="C348" s="23" t="n">
        <v>45768</v>
      </c>
      <c r="D348" s="22"/>
      <c r="E348" s="22" t="n">
        <v>0</v>
      </c>
      <c r="F348" s="22"/>
      <c r="G348" s="22" t="s">
        <v>1532</v>
      </c>
      <c r="H348" s="22" t="s">
        <v>1533</v>
      </c>
      <c r="I348" s="22" t="s">
        <v>1534</v>
      </c>
      <c r="J348" s="22" t="s">
        <v>459</v>
      </c>
      <c r="K348" s="22"/>
      <c r="L348" s="22"/>
    </row>
    <row r="349" customFormat="false" ht="14.25" hidden="true" customHeight="true" outlineLevel="0" collapsed="false">
      <c r="A349" s="22" t="s">
        <v>1535</v>
      </c>
      <c r="B349" s="22" t="s">
        <v>455</v>
      </c>
      <c r="C349" s="23" t="n">
        <v>45768</v>
      </c>
      <c r="D349" s="22"/>
      <c r="E349" s="22" t="n">
        <v>1</v>
      </c>
      <c r="F349" s="22" t="s">
        <v>1536</v>
      </c>
      <c r="G349" s="22" t="s">
        <v>465</v>
      </c>
      <c r="H349" s="22" t="s">
        <v>492</v>
      </c>
      <c r="I349" s="22" t="s">
        <v>1537</v>
      </c>
      <c r="J349" s="22" t="s">
        <v>459</v>
      </c>
      <c r="K349" s="22" t="s">
        <v>473</v>
      </c>
      <c r="L349" s="22" t="s">
        <v>474</v>
      </c>
    </row>
    <row r="350" customFormat="false" ht="14.25" hidden="true" customHeight="true" outlineLevel="0" collapsed="false">
      <c r="A350" s="22" t="s">
        <v>1538</v>
      </c>
      <c r="B350" s="22" t="s">
        <v>455</v>
      </c>
      <c r="C350" s="23" t="n">
        <v>45768</v>
      </c>
      <c r="D350" s="22"/>
      <c r="E350" s="22" t="n">
        <v>0</v>
      </c>
      <c r="F350" s="22"/>
      <c r="G350" s="22" t="s">
        <v>1539</v>
      </c>
      <c r="H350" s="22" t="s">
        <v>1540</v>
      </c>
      <c r="I350" s="22" t="s">
        <v>1541</v>
      </c>
      <c r="J350" s="22" t="s">
        <v>459</v>
      </c>
      <c r="K350" s="22"/>
      <c r="L350" s="22"/>
    </row>
    <row r="351" customFormat="false" ht="14.25" hidden="true" customHeight="true" outlineLevel="0" collapsed="false">
      <c r="A351" s="22" t="s">
        <v>1542</v>
      </c>
      <c r="B351" s="22" t="s">
        <v>455</v>
      </c>
      <c r="C351" s="23" t="n">
        <v>45775</v>
      </c>
      <c r="D351" s="22"/>
      <c r="E351" s="22" t="n">
        <v>0</v>
      </c>
      <c r="F351" s="22"/>
      <c r="G351" s="22" t="s">
        <v>1543</v>
      </c>
      <c r="H351" s="22" t="s">
        <v>1544</v>
      </c>
      <c r="I351" s="22" t="s">
        <v>1545</v>
      </c>
      <c r="J351" s="22" t="s">
        <v>459</v>
      </c>
      <c r="K351" s="22"/>
      <c r="L351" s="22"/>
    </row>
    <row r="352" customFormat="false" ht="14.25" hidden="true" customHeight="true" outlineLevel="0" collapsed="false">
      <c r="A352" s="22" t="s">
        <v>1546</v>
      </c>
      <c r="B352" s="22" t="s">
        <v>455</v>
      </c>
      <c r="C352" s="23" t="n">
        <v>45775</v>
      </c>
      <c r="D352" s="22"/>
      <c r="E352" s="22" t="n">
        <v>0</v>
      </c>
      <c r="F352" s="22"/>
      <c r="G352" s="22" t="s">
        <v>1547</v>
      </c>
      <c r="H352" s="22" t="s">
        <v>1548</v>
      </c>
      <c r="I352" s="22" t="s">
        <v>1549</v>
      </c>
      <c r="J352" s="22" t="s">
        <v>459</v>
      </c>
      <c r="K352" s="22"/>
      <c r="L352" s="22"/>
    </row>
    <row r="353" customFormat="false" ht="14.25" hidden="true" customHeight="true" outlineLevel="0" collapsed="false">
      <c r="A353" s="22" t="s">
        <v>1550</v>
      </c>
      <c r="B353" s="22" t="s">
        <v>455</v>
      </c>
      <c r="C353" s="23" t="n">
        <v>45775</v>
      </c>
      <c r="D353" s="22"/>
      <c r="E353" s="22" t="n">
        <v>0</v>
      </c>
      <c r="F353" s="22"/>
      <c r="G353" s="22" t="s">
        <v>470</v>
      </c>
      <c r="H353" s="22" t="s">
        <v>477</v>
      </c>
      <c r="I353" s="22" t="s">
        <v>1551</v>
      </c>
      <c r="J353" s="22" t="s">
        <v>459</v>
      </c>
      <c r="K353" s="22"/>
      <c r="L353" s="22"/>
    </row>
    <row r="354" customFormat="false" ht="14.25" hidden="true" customHeight="true" outlineLevel="0" collapsed="false">
      <c r="A354" s="22" t="s">
        <v>1552</v>
      </c>
      <c r="B354" s="22" t="s">
        <v>483</v>
      </c>
      <c r="C354" s="23" t="n">
        <v>45777</v>
      </c>
      <c r="D354" s="22"/>
      <c r="E354" s="22" t="n">
        <v>1</v>
      </c>
      <c r="F354" s="22" t="s">
        <v>1553</v>
      </c>
      <c r="G354" s="22" t="s">
        <v>1554</v>
      </c>
      <c r="H354" s="22" t="s">
        <v>1555</v>
      </c>
      <c r="I354" s="22" t="s">
        <v>1556</v>
      </c>
      <c r="J354" s="22" t="s">
        <v>459</v>
      </c>
      <c r="K354" s="22" t="s">
        <v>473</v>
      </c>
      <c r="L354" s="22" t="s">
        <v>554</v>
      </c>
    </row>
    <row r="355" customFormat="false" ht="14.25" hidden="true" customHeight="true" outlineLevel="0" collapsed="false">
      <c r="A355" s="22" t="s">
        <v>1557</v>
      </c>
      <c r="B355" s="22" t="s">
        <v>483</v>
      </c>
      <c r="C355" s="23" t="n">
        <v>45777</v>
      </c>
      <c r="D355" s="22"/>
      <c r="E355" s="22" t="n">
        <v>0</v>
      </c>
      <c r="F355" s="22"/>
      <c r="G355" s="22" t="s">
        <v>1558</v>
      </c>
      <c r="H355" s="22" t="s">
        <v>1559</v>
      </c>
      <c r="I355" s="22" t="s">
        <v>1560</v>
      </c>
      <c r="J355" s="22" t="s">
        <v>459</v>
      </c>
      <c r="K355" s="22"/>
      <c r="L355" s="22"/>
    </row>
    <row r="356" customFormat="false" ht="14.25" hidden="true" customHeight="true" outlineLevel="0" collapsed="false">
      <c r="A356" s="22" t="s">
        <v>1561</v>
      </c>
      <c r="B356" s="22" t="s">
        <v>483</v>
      </c>
      <c r="C356" s="23" t="n">
        <v>45777</v>
      </c>
      <c r="D356" s="22"/>
      <c r="E356" s="22" t="n">
        <v>0</v>
      </c>
      <c r="F356" s="22"/>
      <c r="G356" s="22" t="s">
        <v>1562</v>
      </c>
      <c r="H356" s="22" t="s">
        <v>1563</v>
      </c>
      <c r="I356" s="22" t="s">
        <v>1564</v>
      </c>
      <c r="J356" s="22" t="s">
        <v>459</v>
      </c>
      <c r="K356" s="22"/>
      <c r="L356" s="22"/>
    </row>
    <row r="357" customFormat="false" ht="14.25" hidden="true" customHeight="true" outlineLevel="0" collapsed="false">
      <c r="A357" s="22" t="s">
        <v>1565</v>
      </c>
      <c r="B357" s="22" t="s">
        <v>483</v>
      </c>
      <c r="C357" s="23" t="n">
        <v>45777</v>
      </c>
      <c r="D357" s="22"/>
      <c r="E357" s="22" t="n">
        <v>1</v>
      </c>
      <c r="F357" s="22" t="s">
        <v>1566</v>
      </c>
      <c r="G357" s="22" t="s">
        <v>1567</v>
      </c>
      <c r="H357" s="22" t="s">
        <v>1568</v>
      </c>
      <c r="I357" s="22" t="s">
        <v>1569</v>
      </c>
      <c r="J357" s="22" t="s">
        <v>459</v>
      </c>
      <c r="K357" s="22" t="s">
        <v>473</v>
      </c>
      <c r="L357" s="22" t="s">
        <v>554</v>
      </c>
    </row>
    <row r="358" customFormat="false" ht="14.25" hidden="true" customHeight="true" outlineLevel="0" collapsed="false">
      <c r="A358" s="22" t="s">
        <v>1570</v>
      </c>
      <c r="B358" s="22" t="s">
        <v>483</v>
      </c>
      <c r="C358" s="23" t="n">
        <v>45777</v>
      </c>
      <c r="D358" s="22"/>
      <c r="E358" s="22" t="n">
        <v>0</v>
      </c>
      <c r="F358" s="22"/>
      <c r="G358" s="22" t="s">
        <v>1571</v>
      </c>
      <c r="H358" s="22" t="s">
        <v>1572</v>
      </c>
      <c r="I358" s="22" t="s">
        <v>1573</v>
      </c>
      <c r="J358" s="22" t="s">
        <v>459</v>
      </c>
      <c r="K358" s="22"/>
      <c r="L358" s="22"/>
    </row>
    <row r="359" customFormat="false" ht="14.25" hidden="true" customHeight="true" outlineLevel="0" collapsed="false">
      <c r="A359" s="22" t="s">
        <v>1574</v>
      </c>
      <c r="B359" s="22" t="s">
        <v>455</v>
      </c>
      <c r="C359" s="23" t="n">
        <v>45784</v>
      </c>
      <c r="D359" s="22"/>
      <c r="E359" s="22" t="n">
        <v>0</v>
      </c>
      <c r="F359" s="22"/>
      <c r="G359" s="22" t="s">
        <v>1575</v>
      </c>
      <c r="H359" s="22" t="s">
        <v>1576</v>
      </c>
      <c r="I359" s="22" t="s">
        <v>1577</v>
      </c>
      <c r="J359" s="22" t="s">
        <v>459</v>
      </c>
      <c r="K359" s="22"/>
      <c r="L359" s="22"/>
    </row>
    <row r="360" customFormat="false" ht="14.25" hidden="true" customHeight="true" outlineLevel="0" collapsed="false">
      <c r="A360" s="22" t="s">
        <v>1578</v>
      </c>
      <c r="B360" s="22" t="s">
        <v>455</v>
      </c>
      <c r="C360" s="23" t="n">
        <v>45789</v>
      </c>
      <c r="D360" s="22"/>
      <c r="E360" s="22" t="n">
        <v>1</v>
      </c>
      <c r="F360" s="22" t="s">
        <v>1579</v>
      </c>
      <c r="G360" s="22" t="s">
        <v>470</v>
      </c>
      <c r="H360" s="22" t="s">
        <v>477</v>
      </c>
      <c r="I360" s="22" t="s">
        <v>1580</v>
      </c>
      <c r="J360" s="22" t="s">
        <v>459</v>
      </c>
      <c r="K360" s="22" t="s">
        <v>473</v>
      </c>
      <c r="L360" s="22" t="s">
        <v>474</v>
      </c>
    </row>
    <row r="361" customFormat="false" ht="14.25" hidden="true" customHeight="true" outlineLevel="0" collapsed="false">
      <c r="A361" s="22" t="s">
        <v>1581</v>
      </c>
      <c r="B361" s="22" t="s">
        <v>455</v>
      </c>
      <c r="C361" s="23" t="n">
        <v>45790</v>
      </c>
      <c r="D361" s="22"/>
      <c r="E361" s="22" t="n">
        <v>1</v>
      </c>
      <c r="F361" s="22" t="s">
        <v>1582</v>
      </c>
      <c r="G361" s="22" t="s">
        <v>465</v>
      </c>
      <c r="H361" s="22" t="s">
        <v>492</v>
      </c>
      <c r="I361" s="22" t="s">
        <v>1583</v>
      </c>
      <c r="J361" s="22" t="s">
        <v>459</v>
      </c>
      <c r="K361" s="22" t="s">
        <v>473</v>
      </c>
      <c r="L361" s="22" t="s">
        <v>474</v>
      </c>
    </row>
    <row r="362" customFormat="false" ht="14.25" hidden="true" customHeight="true" outlineLevel="0" collapsed="false">
      <c r="A362" s="22" t="s">
        <v>1584</v>
      </c>
      <c r="B362" s="22" t="s">
        <v>455</v>
      </c>
      <c r="C362" s="23" t="n">
        <v>45790</v>
      </c>
      <c r="D362" s="22"/>
      <c r="E362" s="22" t="n">
        <v>1</v>
      </c>
      <c r="F362" s="22" t="s">
        <v>1264</v>
      </c>
      <c r="G362" s="22" t="s">
        <v>465</v>
      </c>
      <c r="H362" s="22" t="s">
        <v>466</v>
      </c>
      <c r="I362" s="22" t="s">
        <v>1585</v>
      </c>
      <c r="J362" s="22" t="s">
        <v>459</v>
      </c>
      <c r="K362" s="22" t="s">
        <v>473</v>
      </c>
      <c r="L362" s="22" t="s">
        <v>474</v>
      </c>
    </row>
    <row r="363" customFormat="false" ht="14.25" hidden="false" customHeight="true" outlineLevel="0" collapsed="false">
      <c r="A363" s="15" t="s">
        <v>1586</v>
      </c>
      <c r="B363" s="15" t="s">
        <v>504</v>
      </c>
      <c r="C363" s="24" t="n">
        <v>45544</v>
      </c>
      <c r="D363" s="24" t="n">
        <v>45544</v>
      </c>
      <c r="E363" s="15" t="n">
        <v>1</v>
      </c>
      <c r="F363" s="15" t="s">
        <v>663</v>
      </c>
      <c r="G363" s="15" t="s">
        <v>1587</v>
      </c>
      <c r="H363" s="15" t="s">
        <v>1588</v>
      </c>
      <c r="I363" s="15" t="s">
        <v>1589</v>
      </c>
      <c r="J363" s="15" t="s">
        <v>459</v>
      </c>
      <c r="K363" s="15" t="s">
        <v>1199</v>
      </c>
      <c r="L363" s="15" t="s">
        <v>1254</v>
      </c>
    </row>
    <row r="364" customFormat="false" ht="14.25" hidden="true" customHeight="true" outlineLevel="0" collapsed="false">
      <c r="A364" s="22" t="s">
        <v>1590</v>
      </c>
      <c r="B364" s="22" t="s">
        <v>455</v>
      </c>
      <c r="C364" s="23" t="n">
        <v>45792</v>
      </c>
      <c r="D364" s="22"/>
      <c r="E364" s="22" t="n">
        <v>0</v>
      </c>
      <c r="F364" s="22"/>
      <c r="G364" s="22" t="s">
        <v>1591</v>
      </c>
      <c r="H364" s="22" t="s">
        <v>1592</v>
      </c>
      <c r="I364" s="22" t="s">
        <v>1593</v>
      </c>
      <c r="J364" s="22" t="s">
        <v>459</v>
      </c>
      <c r="K364" s="22"/>
      <c r="L364" s="22"/>
    </row>
    <row r="365" customFormat="false" ht="14.25" hidden="true" customHeight="true" outlineLevel="0" collapsed="false">
      <c r="A365" s="22" t="s">
        <v>1594</v>
      </c>
      <c r="B365" s="22" t="s">
        <v>504</v>
      </c>
      <c r="C365" s="23" t="n">
        <v>45793</v>
      </c>
      <c r="D365" s="23" t="n">
        <v>45793</v>
      </c>
      <c r="E365" s="22" t="n">
        <v>1</v>
      </c>
      <c r="F365" s="22" t="s">
        <v>1595</v>
      </c>
      <c r="G365" s="22" t="s">
        <v>1596</v>
      </c>
      <c r="H365" s="22" t="s">
        <v>1597</v>
      </c>
      <c r="I365" s="22" t="s">
        <v>1598</v>
      </c>
      <c r="J365" s="22" t="s">
        <v>459</v>
      </c>
      <c r="K365" s="22" t="s">
        <v>473</v>
      </c>
      <c r="L365" s="22" t="s">
        <v>554</v>
      </c>
    </row>
    <row r="366" customFormat="false" ht="14.25" hidden="false" customHeight="true" outlineLevel="0" collapsed="false">
      <c r="A366" s="15" t="s">
        <v>1599</v>
      </c>
      <c r="B366" s="15" t="s">
        <v>504</v>
      </c>
      <c r="C366" s="24" t="n">
        <v>45561</v>
      </c>
      <c r="D366" s="24" t="n">
        <v>45615</v>
      </c>
      <c r="E366" s="15" t="n">
        <v>1</v>
      </c>
      <c r="F366" s="15" t="s">
        <v>1600</v>
      </c>
      <c r="G366" s="15" t="s">
        <v>1601</v>
      </c>
      <c r="H366" s="15" t="s">
        <v>1602</v>
      </c>
      <c r="I366" s="15" t="s">
        <v>1603</v>
      </c>
      <c r="J366" s="15" t="s">
        <v>459</v>
      </c>
      <c r="K366" s="15" t="s">
        <v>1199</v>
      </c>
      <c r="L366" s="15" t="s">
        <v>1340</v>
      </c>
    </row>
    <row r="367" customFormat="false" ht="14.25" hidden="true" customHeight="true" outlineLevel="0" collapsed="false">
      <c r="A367" s="22" t="s">
        <v>1604</v>
      </c>
      <c r="B367" s="22" t="s">
        <v>455</v>
      </c>
      <c r="C367" s="23" t="n">
        <v>45793</v>
      </c>
      <c r="D367" s="22"/>
      <c r="E367" s="22" t="n">
        <v>1</v>
      </c>
      <c r="F367" s="22" t="s">
        <v>1391</v>
      </c>
      <c r="G367" s="22" t="s">
        <v>1605</v>
      </c>
      <c r="H367" s="22" t="s">
        <v>1606</v>
      </c>
      <c r="I367" s="22" t="s">
        <v>1607</v>
      </c>
      <c r="J367" s="22" t="s">
        <v>459</v>
      </c>
      <c r="K367" s="22" t="s">
        <v>473</v>
      </c>
      <c r="L367" s="22" t="s">
        <v>1608</v>
      </c>
    </row>
    <row r="368" customFormat="false" ht="14.25" hidden="true" customHeight="true" outlineLevel="0" collapsed="false">
      <c r="A368" s="22" t="s">
        <v>1609</v>
      </c>
      <c r="B368" s="22" t="s">
        <v>455</v>
      </c>
      <c r="C368" s="23" t="n">
        <v>45793</v>
      </c>
      <c r="D368" s="22"/>
      <c r="E368" s="22" t="n">
        <v>1</v>
      </c>
      <c r="F368" s="22" t="s">
        <v>673</v>
      </c>
      <c r="G368" s="22" t="s">
        <v>1610</v>
      </c>
      <c r="H368" s="22" t="s">
        <v>1611</v>
      </c>
      <c r="I368" s="22" t="s">
        <v>1612</v>
      </c>
      <c r="J368" s="22" t="s">
        <v>459</v>
      </c>
      <c r="K368" s="22" t="s">
        <v>473</v>
      </c>
      <c r="L368" s="22" t="s">
        <v>502</v>
      </c>
    </row>
    <row r="369" customFormat="false" ht="14.25" hidden="true" customHeight="true" outlineLevel="0" collapsed="false">
      <c r="A369" s="22" t="s">
        <v>1613</v>
      </c>
      <c r="B369" s="22" t="s">
        <v>455</v>
      </c>
      <c r="C369" s="23" t="n">
        <v>45798</v>
      </c>
      <c r="D369" s="22"/>
      <c r="E369" s="22" t="n">
        <v>1</v>
      </c>
      <c r="F369" s="22" t="s">
        <v>1614</v>
      </c>
      <c r="G369" s="22" t="s">
        <v>465</v>
      </c>
      <c r="H369" s="22" t="s">
        <v>492</v>
      </c>
      <c r="I369" s="22" t="s">
        <v>1615</v>
      </c>
      <c r="J369" s="22" t="s">
        <v>459</v>
      </c>
      <c r="K369" s="22" t="s">
        <v>473</v>
      </c>
      <c r="L369" s="22" t="s">
        <v>474</v>
      </c>
    </row>
    <row r="370" customFormat="false" ht="14.25" hidden="true" customHeight="true" outlineLevel="0" collapsed="false">
      <c r="A370" s="22" t="s">
        <v>1616</v>
      </c>
      <c r="B370" s="22" t="s">
        <v>455</v>
      </c>
      <c r="C370" s="23" t="n">
        <v>45798</v>
      </c>
      <c r="D370" s="22"/>
      <c r="E370" s="22" t="n">
        <v>1</v>
      </c>
      <c r="F370" s="22" t="s">
        <v>498</v>
      </c>
      <c r="G370" s="22" t="s">
        <v>470</v>
      </c>
      <c r="H370" s="22" t="s">
        <v>477</v>
      </c>
      <c r="I370" s="22" t="s">
        <v>1617</v>
      </c>
      <c r="J370" s="22" t="s">
        <v>459</v>
      </c>
      <c r="K370" s="22" t="s">
        <v>473</v>
      </c>
      <c r="L370" s="22" t="s">
        <v>474</v>
      </c>
    </row>
    <row r="371" customFormat="false" ht="14.25" hidden="true" customHeight="true" outlineLevel="0" collapsed="false">
      <c r="A371" s="22" t="s">
        <v>1618</v>
      </c>
      <c r="B371" s="22" t="s">
        <v>483</v>
      </c>
      <c r="C371" s="23" t="n">
        <v>45798</v>
      </c>
      <c r="D371" s="22"/>
      <c r="E371" s="22" t="n">
        <v>0</v>
      </c>
      <c r="F371" s="22"/>
      <c r="G371" s="22" t="s">
        <v>1562</v>
      </c>
      <c r="H371" s="22"/>
      <c r="I371" s="22" t="s">
        <v>1619</v>
      </c>
      <c r="J371" s="22" t="s">
        <v>459</v>
      </c>
      <c r="K371" s="22"/>
      <c r="L371" s="22"/>
    </row>
    <row r="372" customFormat="false" ht="14.25" hidden="true" customHeight="true" outlineLevel="0" collapsed="false">
      <c r="A372" s="22" t="s">
        <v>1620</v>
      </c>
      <c r="B372" s="22" t="s">
        <v>483</v>
      </c>
      <c r="C372" s="23" t="n">
        <v>45798</v>
      </c>
      <c r="D372" s="22"/>
      <c r="E372" s="22" t="n">
        <v>0</v>
      </c>
      <c r="F372" s="22"/>
      <c r="G372" s="22" t="s">
        <v>1571</v>
      </c>
      <c r="H372" s="22"/>
      <c r="I372" s="22" t="s">
        <v>1621</v>
      </c>
      <c r="J372" s="22" t="s">
        <v>459</v>
      </c>
      <c r="K372" s="22"/>
      <c r="L372" s="22"/>
    </row>
    <row r="373" customFormat="false" ht="14.25" hidden="true" customHeight="true" outlineLevel="0" collapsed="false">
      <c r="A373" s="22" t="s">
        <v>1622</v>
      </c>
      <c r="B373" s="22" t="s">
        <v>455</v>
      </c>
      <c r="C373" s="23" t="n">
        <v>45805</v>
      </c>
      <c r="D373" s="22"/>
      <c r="E373" s="22" t="n">
        <v>1</v>
      </c>
      <c r="F373" s="22" t="s">
        <v>591</v>
      </c>
      <c r="G373" s="22" t="s">
        <v>465</v>
      </c>
      <c r="H373" s="22" t="s">
        <v>492</v>
      </c>
      <c r="I373" s="22" t="s">
        <v>1623</v>
      </c>
      <c r="J373" s="22" t="s">
        <v>459</v>
      </c>
      <c r="K373" s="22" t="s">
        <v>473</v>
      </c>
      <c r="L373" s="22" t="s">
        <v>474</v>
      </c>
    </row>
    <row r="374" customFormat="false" ht="14.25" hidden="true" customHeight="true" outlineLevel="0" collapsed="false">
      <c r="A374" s="22" t="s">
        <v>1624</v>
      </c>
      <c r="B374" s="22" t="s">
        <v>455</v>
      </c>
      <c r="C374" s="23" t="n">
        <v>45805</v>
      </c>
      <c r="D374" s="22"/>
      <c r="E374" s="22" t="n">
        <v>0</v>
      </c>
      <c r="F374" s="22"/>
      <c r="G374" s="22" t="s">
        <v>470</v>
      </c>
      <c r="H374" s="22" t="s">
        <v>471</v>
      </c>
      <c r="I374" s="22" t="s">
        <v>1625</v>
      </c>
      <c r="J374" s="22" t="s">
        <v>459</v>
      </c>
      <c r="K374" s="22"/>
      <c r="L374" s="22"/>
    </row>
    <row r="375" customFormat="false" ht="14.25" hidden="false" customHeight="true" outlineLevel="0" collapsed="false">
      <c r="A375" s="15" t="s">
        <v>1626</v>
      </c>
      <c r="B375" s="15" t="s">
        <v>504</v>
      </c>
      <c r="C375" s="24" t="n">
        <v>45562</v>
      </c>
      <c r="D375" s="24" t="n">
        <v>45580</v>
      </c>
      <c r="E375" s="15" t="n">
        <v>1</v>
      </c>
      <c r="F375" s="15" t="s">
        <v>1391</v>
      </c>
      <c r="G375" s="15" t="s">
        <v>1392</v>
      </c>
      <c r="H375" s="15" t="s">
        <v>1627</v>
      </c>
      <c r="I375" s="15" t="s">
        <v>1628</v>
      </c>
      <c r="J375" s="15" t="s">
        <v>459</v>
      </c>
      <c r="K375" s="15" t="s">
        <v>1199</v>
      </c>
      <c r="L375" s="15" t="s">
        <v>1340</v>
      </c>
    </row>
    <row r="376" customFormat="false" ht="14.25" hidden="true" customHeight="true" outlineLevel="0" collapsed="false">
      <c r="A376" s="22" t="s">
        <v>1629</v>
      </c>
      <c r="B376" s="22" t="s">
        <v>455</v>
      </c>
      <c r="C376" s="23" t="n">
        <v>45807</v>
      </c>
      <c r="D376" s="22"/>
      <c r="E376" s="22" t="n">
        <v>1</v>
      </c>
      <c r="F376" s="22" t="s">
        <v>1250</v>
      </c>
      <c r="G376" s="22" t="s">
        <v>470</v>
      </c>
      <c r="H376" s="22" t="s">
        <v>477</v>
      </c>
      <c r="I376" s="22" t="s">
        <v>1630</v>
      </c>
      <c r="J376" s="22" t="s">
        <v>459</v>
      </c>
      <c r="K376" s="22" t="s">
        <v>473</v>
      </c>
      <c r="L376" s="22" t="s">
        <v>474</v>
      </c>
    </row>
    <row r="377" customFormat="false" ht="14.25" hidden="true" customHeight="true" outlineLevel="0" collapsed="false">
      <c r="A377" s="22" t="s">
        <v>1631</v>
      </c>
      <c r="B377" s="22" t="s">
        <v>455</v>
      </c>
      <c r="C377" s="23" t="n">
        <v>45810</v>
      </c>
      <c r="D377" s="22"/>
      <c r="E377" s="22" t="n">
        <v>0</v>
      </c>
      <c r="F377" s="22"/>
      <c r="G377" s="22" t="s">
        <v>1632</v>
      </c>
      <c r="H377" s="22" t="s">
        <v>1633</v>
      </c>
      <c r="I377" s="22" t="s">
        <v>1634</v>
      </c>
      <c r="J377" s="22" t="s">
        <v>459</v>
      </c>
      <c r="K377" s="22"/>
      <c r="L377" s="22"/>
    </row>
    <row r="378" customFormat="false" ht="14.25" hidden="true" customHeight="true" outlineLevel="0" collapsed="false">
      <c r="A378" s="22" t="s">
        <v>1635</v>
      </c>
      <c r="B378" s="22" t="s">
        <v>455</v>
      </c>
      <c r="C378" s="23" t="n">
        <v>45812</v>
      </c>
      <c r="D378" s="22"/>
      <c r="E378" s="22" t="n">
        <v>0</v>
      </c>
      <c r="F378" s="22"/>
      <c r="G378" s="22" t="s">
        <v>465</v>
      </c>
      <c r="H378" s="22" t="s">
        <v>492</v>
      </c>
      <c r="I378" s="22" t="s">
        <v>1636</v>
      </c>
      <c r="J378" s="22" t="s">
        <v>459</v>
      </c>
      <c r="K378" s="22"/>
      <c r="L378" s="22"/>
    </row>
    <row r="379" customFormat="false" ht="14.25" hidden="true" customHeight="true" outlineLevel="0" collapsed="false">
      <c r="A379" s="22" t="s">
        <v>1637</v>
      </c>
      <c r="B379" s="22" t="s">
        <v>483</v>
      </c>
      <c r="C379" s="23" t="n">
        <v>45813</v>
      </c>
      <c r="D379" s="22"/>
      <c r="E379" s="22" t="n">
        <v>0</v>
      </c>
      <c r="F379" s="22"/>
      <c r="G379" s="22" t="s">
        <v>1638</v>
      </c>
      <c r="H379" s="22" t="s">
        <v>1639</v>
      </c>
      <c r="I379" s="22" t="s">
        <v>1640</v>
      </c>
      <c r="J379" s="22" t="s">
        <v>459</v>
      </c>
      <c r="K379" s="22"/>
      <c r="L379" s="22"/>
    </row>
    <row r="380" customFormat="false" ht="14.25" hidden="true" customHeight="true" outlineLevel="0" collapsed="false">
      <c r="A380" s="22" t="s">
        <v>1641</v>
      </c>
      <c r="B380" s="22" t="s">
        <v>455</v>
      </c>
      <c r="C380" s="23" t="n">
        <v>45817</v>
      </c>
      <c r="D380" s="22"/>
      <c r="E380" s="22" t="n">
        <v>0</v>
      </c>
      <c r="F380" s="22"/>
      <c r="G380" s="22" t="s">
        <v>1642</v>
      </c>
      <c r="H380" s="22" t="s">
        <v>1643</v>
      </c>
      <c r="I380" s="22" t="s">
        <v>1644</v>
      </c>
      <c r="J380" s="22" t="s">
        <v>459</v>
      </c>
      <c r="K380" s="22"/>
      <c r="L380" s="22"/>
    </row>
    <row r="381" customFormat="false" ht="14.25" hidden="true" customHeight="true" outlineLevel="0" collapsed="false">
      <c r="A381" s="22" t="s">
        <v>1645</v>
      </c>
      <c r="B381" s="22" t="s">
        <v>455</v>
      </c>
      <c r="C381" s="23" t="n">
        <v>45819</v>
      </c>
      <c r="D381" s="22"/>
      <c r="E381" s="22" t="n">
        <v>0</v>
      </c>
      <c r="F381" s="22"/>
      <c r="G381" s="22" t="s">
        <v>470</v>
      </c>
      <c r="H381" s="22" t="s">
        <v>1646</v>
      </c>
      <c r="I381" s="22" t="s">
        <v>1647</v>
      </c>
      <c r="J381" s="22" t="s">
        <v>459</v>
      </c>
      <c r="K381" s="22"/>
      <c r="L381" s="22"/>
    </row>
    <row r="382" customFormat="false" ht="14.25" hidden="true" customHeight="true" outlineLevel="0" collapsed="false">
      <c r="A382" s="22" t="s">
        <v>1648</v>
      </c>
      <c r="B382" s="22" t="s">
        <v>455</v>
      </c>
      <c r="C382" s="23" t="n">
        <v>45819</v>
      </c>
      <c r="D382" s="22"/>
      <c r="E382" s="22" t="n">
        <v>1</v>
      </c>
      <c r="F382" s="22" t="s">
        <v>1649</v>
      </c>
      <c r="G382" s="22" t="s">
        <v>470</v>
      </c>
      <c r="H382" s="22" t="s">
        <v>477</v>
      </c>
      <c r="I382" s="22" t="s">
        <v>1650</v>
      </c>
      <c r="J382" s="22" t="s">
        <v>459</v>
      </c>
      <c r="K382" s="22" t="s">
        <v>473</v>
      </c>
      <c r="L382" s="22" t="s">
        <v>474</v>
      </c>
    </row>
    <row r="383" customFormat="false" ht="14.25" hidden="true" customHeight="true" outlineLevel="0" collapsed="false">
      <c r="A383" s="22" t="s">
        <v>1651</v>
      </c>
      <c r="B383" s="22" t="s">
        <v>455</v>
      </c>
      <c r="C383" s="23" t="n">
        <v>45819</v>
      </c>
      <c r="D383" s="22"/>
      <c r="E383" s="22" t="n">
        <v>0</v>
      </c>
      <c r="F383" s="22"/>
      <c r="G383" s="22" t="s">
        <v>465</v>
      </c>
      <c r="H383" s="22" t="s">
        <v>492</v>
      </c>
      <c r="I383" s="22" t="s">
        <v>1652</v>
      </c>
      <c r="J383" s="22" t="s">
        <v>459</v>
      </c>
      <c r="K383" s="22"/>
      <c r="L383" s="22"/>
    </row>
    <row r="384" customFormat="false" ht="14.25" hidden="true" customHeight="true" outlineLevel="0" collapsed="false">
      <c r="A384" s="22" t="s">
        <v>1653</v>
      </c>
      <c r="B384" s="22" t="s">
        <v>455</v>
      </c>
      <c r="C384" s="23" t="n">
        <v>45820</v>
      </c>
      <c r="D384" s="22"/>
      <c r="E384" s="22" t="n">
        <v>0</v>
      </c>
      <c r="F384" s="22"/>
      <c r="G384" s="22" t="s">
        <v>465</v>
      </c>
      <c r="H384" s="22" t="s">
        <v>492</v>
      </c>
      <c r="I384" s="22" t="s">
        <v>1654</v>
      </c>
      <c r="J384" s="22" t="s">
        <v>459</v>
      </c>
      <c r="K384" s="22"/>
      <c r="L384" s="22"/>
    </row>
    <row r="385" customFormat="false" ht="14.25" hidden="true" customHeight="true" outlineLevel="0" collapsed="false">
      <c r="A385" s="22" t="s">
        <v>1655</v>
      </c>
      <c r="B385" s="22" t="s">
        <v>455</v>
      </c>
      <c r="C385" s="23" t="n">
        <v>45820</v>
      </c>
      <c r="D385" s="22"/>
      <c r="E385" s="22" t="n">
        <v>0</v>
      </c>
      <c r="F385" s="22"/>
      <c r="G385" s="22" t="s">
        <v>461</v>
      </c>
      <c r="H385" s="22" t="s">
        <v>462</v>
      </c>
      <c r="I385" s="22" t="s">
        <v>1656</v>
      </c>
      <c r="J385" s="22" t="s">
        <v>459</v>
      </c>
      <c r="K385" s="22"/>
      <c r="L385" s="22"/>
    </row>
    <row r="386" customFormat="false" ht="14.25" hidden="true" customHeight="true" outlineLevel="0" collapsed="false">
      <c r="A386" s="22" t="s">
        <v>1657</v>
      </c>
      <c r="B386" s="22" t="s">
        <v>455</v>
      </c>
      <c r="C386" s="23" t="n">
        <v>45821</v>
      </c>
      <c r="D386" s="22"/>
      <c r="E386" s="22" t="n">
        <v>0</v>
      </c>
      <c r="F386" s="22"/>
      <c r="G386" s="22" t="s">
        <v>470</v>
      </c>
      <c r="H386" s="22" t="s">
        <v>477</v>
      </c>
      <c r="I386" s="22" t="s">
        <v>1658</v>
      </c>
      <c r="J386" s="22" t="s">
        <v>459</v>
      </c>
      <c r="K386" s="22"/>
      <c r="L386" s="22"/>
    </row>
    <row r="387" customFormat="false" ht="14.25" hidden="true" customHeight="true" outlineLevel="0" collapsed="false">
      <c r="A387" s="22" t="s">
        <v>1659</v>
      </c>
      <c r="B387" s="22" t="s">
        <v>455</v>
      </c>
      <c r="C387" s="23" t="n">
        <v>45821</v>
      </c>
      <c r="D387" s="22"/>
      <c r="E387" s="22" t="n">
        <v>0</v>
      </c>
      <c r="F387" s="22"/>
      <c r="G387" s="22" t="s">
        <v>461</v>
      </c>
      <c r="H387" s="22" t="s">
        <v>462</v>
      </c>
      <c r="I387" s="22" t="s">
        <v>1660</v>
      </c>
      <c r="J387" s="22" t="s">
        <v>459</v>
      </c>
      <c r="K387" s="22"/>
      <c r="L387" s="22"/>
    </row>
    <row r="388" customFormat="false" ht="14.25" hidden="true" customHeight="true" outlineLevel="0" collapsed="false">
      <c r="A388" s="22" t="s">
        <v>1661</v>
      </c>
      <c r="B388" s="22" t="s">
        <v>455</v>
      </c>
      <c r="C388" s="23" t="n">
        <v>45825</v>
      </c>
      <c r="D388" s="22"/>
      <c r="E388" s="22" t="n">
        <v>0</v>
      </c>
      <c r="F388" s="22"/>
      <c r="G388" s="22" t="s">
        <v>470</v>
      </c>
      <c r="H388" s="22" t="s">
        <v>477</v>
      </c>
      <c r="I388" s="22" t="s">
        <v>1662</v>
      </c>
      <c r="J388" s="22" t="s">
        <v>459</v>
      </c>
      <c r="K388" s="22"/>
      <c r="L388" s="22"/>
    </row>
    <row r="389" customFormat="false" ht="14.25" hidden="true" customHeight="true" outlineLevel="0" collapsed="false">
      <c r="A389" s="22" t="s">
        <v>1663</v>
      </c>
      <c r="B389" s="22" t="s">
        <v>455</v>
      </c>
      <c r="C389" s="23" t="n">
        <v>45828</v>
      </c>
      <c r="D389" s="22"/>
      <c r="E389" s="22" t="n">
        <v>1</v>
      </c>
      <c r="F389" s="22" t="s">
        <v>1063</v>
      </c>
      <c r="G389" s="22" t="s">
        <v>465</v>
      </c>
      <c r="H389" s="22" t="s">
        <v>492</v>
      </c>
      <c r="I389" s="22" t="s">
        <v>1664</v>
      </c>
      <c r="J389" s="22" t="s">
        <v>459</v>
      </c>
      <c r="K389" s="22" t="s">
        <v>473</v>
      </c>
      <c r="L389" s="22" t="s">
        <v>474</v>
      </c>
    </row>
    <row r="390" customFormat="false" ht="14.25" hidden="true" customHeight="true" outlineLevel="0" collapsed="false">
      <c r="A390" s="22" t="s">
        <v>1665</v>
      </c>
      <c r="B390" s="22" t="s">
        <v>455</v>
      </c>
      <c r="C390" s="23" t="n">
        <v>45831</v>
      </c>
      <c r="D390" s="22"/>
      <c r="E390" s="22" t="n">
        <v>1</v>
      </c>
      <c r="F390" s="22" t="s">
        <v>1666</v>
      </c>
      <c r="G390" s="22" t="s">
        <v>470</v>
      </c>
      <c r="H390" s="22" t="s">
        <v>477</v>
      </c>
      <c r="I390" s="22" t="s">
        <v>1667</v>
      </c>
      <c r="J390" s="22" t="s">
        <v>459</v>
      </c>
      <c r="K390" s="22" t="s">
        <v>473</v>
      </c>
      <c r="L390" s="22" t="s">
        <v>474</v>
      </c>
    </row>
    <row r="391" customFormat="false" ht="14.25" hidden="true" customHeight="true" outlineLevel="0" collapsed="false">
      <c r="A391" s="22" t="s">
        <v>1668</v>
      </c>
      <c r="B391" s="22" t="s">
        <v>455</v>
      </c>
      <c r="C391" s="23" t="n">
        <v>45831</v>
      </c>
      <c r="D391" s="22"/>
      <c r="E391" s="22" t="n">
        <v>0</v>
      </c>
      <c r="F391" s="22"/>
      <c r="G391" s="22" t="s">
        <v>465</v>
      </c>
      <c r="H391" s="22" t="s">
        <v>492</v>
      </c>
      <c r="I391" s="22" t="s">
        <v>1669</v>
      </c>
      <c r="J391" s="22" t="s">
        <v>459</v>
      </c>
      <c r="K391" s="22"/>
      <c r="L391" s="22"/>
    </row>
    <row r="392" customFormat="false" ht="14.25" hidden="true" customHeight="true" outlineLevel="0" collapsed="false">
      <c r="A392" s="22" t="s">
        <v>1670</v>
      </c>
      <c r="B392" s="22" t="s">
        <v>455</v>
      </c>
      <c r="C392" s="23" t="n">
        <v>45831</v>
      </c>
      <c r="D392" s="23" t="n">
        <v>45853</v>
      </c>
      <c r="E392" s="22" t="n">
        <v>0</v>
      </c>
      <c r="F392" s="22"/>
      <c r="G392" s="22" t="s">
        <v>1671</v>
      </c>
      <c r="H392" s="22" t="s">
        <v>1672</v>
      </c>
      <c r="I392" s="22" t="s">
        <v>1673</v>
      </c>
      <c r="J392" s="22" t="s">
        <v>459</v>
      </c>
      <c r="K392" s="22"/>
      <c r="L392" s="22"/>
    </row>
    <row r="393" customFormat="false" ht="14.25" hidden="true" customHeight="true" outlineLevel="0" collapsed="false">
      <c r="A393" s="22" t="s">
        <v>1674</v>
      </c>
      <c r="B393" s="22" t="s">
        <v>455</v>
      </c>
      <c r="C393" s="23" t="n">
        <v>45832</v>
      </c>
      <c r="D393" s="22"/>
      <c r="E393" s="22" t="n">
        <v>0</v>
      </c>
      <c r="F393" s="22"/>
      <c r="G393" s="22" t="s">
        <v>1675</v>
      </c>
      <c r="H393" s="22" t="s">
        <v>1676</v>
      </c>
      <c r="I393" s="22" t="s">
        <v>1677</v>
      </c>
      <c r="J393" s="22" t="s">
        <v>459</v>
      </c>
      <c r="K393" s="22"/>
      <c r="L393" s="22"/>
    </row>
    <row r="394" customFormat="false" ht="14.25" hidden="true" customHeight="true" outlineLevel="0" collapsed="false">
      <c r="A394" s="22" t="s">
        <v>1678</v>
      </c>
      <c r="B394" s="22" t="s">
        <v>455</v>
      </c>
      <c r="C394" s="23" t="n">
        <v>45833</v>
      </c>
      <c r="D394" s="22"/>
      <c r="E394" s="22" t="n">
        <v>0</v>
      </c>
      <c r="F394" s="22"/>
      <c r="G394" s="22" t="s">
        <v>1679</v>
      </c>
      <c r="H394" s="22" t="s">
        <v>1680</v>
      </c>
      <c r="I394" s="22" t="s">
        <v>1681</v>
      </c>
      <c r="J394" s="22" t="s">
        <v>459</v>
      </c>
      <c r="K394" s="22"/>
      <c r="L394" s="22"/>
    </row>
    <row r="395" customFormat="false" ht="14.25" hidden="true" customHeight="true" outlineLevel="0" collapsed="false">
      <c r="A395" s="22" t="s">
        <v>1682</v>
      </c>
      <c r="B395" s="22" t="s">
        <v>455</v>
      </c>
      <c r="C395" s="23" t="n">
        <v>45835</v>
      </c>
      <c r="D395" s="22"/>
      <c r="E395" s="22" t="n">
        <v>0</v>
      </c>
      <c r="F395" s="22"/>
      <c r="G395" s="22" t="s">
        <v>1683</v>
      </c>
      <c r="H395" s="22" t="s">
        <v>1684</v>
      </c>
      <c r="I395" s="22" t="s">
        <v>1685</v>
      </c>
      <c r="J395" s="22" t="s">
        <v>459</v>
      </c>
      <c r="K395" s="22"/>
      <c r="L395" s="22"/>
    </row>
    <row r="396" customFormat="false" ht="14.25" hidden="true" customHeight="true" outlineLevel="0" collapsed="false">
      <c r="A396" s="22" t="s">
        <v>1686</v>
      </c>
      <c r="B396" s="22" t="s">
        <v>455</v>
      </c>
      <c r="C396" s="23" t="n">
        <v>45835</v>
      </c>
      <c r="D396" s="22"/>
      <c r="E396" s="22" t="n">
        <v>0</v>
      </c>
      <c r="F396" s="22"/>
      <c r="G396" s="22" t="s">
        <v>470</v>
      </c>
      <c r="H396" s="22" t="s">
        <v>477</v>
      </c>
      <c r="I396" s="22" t="s">
        <v>1687</v>
      </c>
      <c r="J396" s="22" t="s">
        <v>459</v>
      </c>
      <c r="K396" s="22"/>
      <c r="L396" s="22"/>
    </row>
    <row r="397" customFormat="false" ht="14.25" hidden="true" customHeight="true" outlineLevel="0" collapsed="false">
      <c r="A397" s="22" t="s">
        <v>1688</v>
      </c>
      <c r="B397" s="22" t="s">
        <v>455</v>
      </c>
      <c r="C397" s="23" t="n">
        <v>45835</v>
      </c>
      <c r="D397" s="22"/>
      <c r="E397" s="22" t="n">
        <v>1</v>
      </c>
      <c r="F397" s="22" t="s">
        <v>950</v>
      </c>
      <c r="G397" s="22" t="s">
        <v>465</v>
      </c>
      <c r="H397" s="22" t="s">
        <v>492</v>
      </c>
      <c r="I397" s="22" t="s">
        <v>1689</v>
      </c>
      <c r="J397" s="22" t="s">
        <v>459</v>
      </c>
      <c r="K397" s="22" t="s">
        <v>473</v>
      </c>
      <c r="L397" s="22" t="s">
        <v>474</v>
      </c>
    </row>
    <row r="398" customFormat="false" ht="14.25" hidden="true" customHeight="true" outlineLevel="0" collapsed="false">
      <c r="A398" s="22" t="s">
        <v>1690</v>
      </c>
      <c r="B398" s="22" t="s">
        <v>455</v>
      </c>
      <c r="C398" s="23" t="n">
        <v>45838</v>
      </c>
      <c r="D398" s="22"/>
      <c r="E398" s="22" t="n">
        <v>1</v>
      </c>
      <c r="F398" s="22" t="s">
        <v>950</v>
      </c>
      <c r="G398" s="22" t="s">
        <v>465</v>
      </c>
      <c r="H398" s="22" t="s">
        <v>492</v>
      </c>
      <c r="I398" s="22" t="s">
        <v>1691</v>
      </c>
      <c r="J398" s="22" t="s">
        <v>459</v>
      </c>
      <c r="K398" s="22" t="s">
        <v>473</v>
      </c>
      <c r="L398" s="22" t="s">
        <v>474</v>
      </c>
    </row>
    <row r="399" customFormat="false" ht="14.25" hidden="true" customHeight="true" outlineLevel="0" collapsed="false">
      <c r="A399" s="22" t="s">
        <v>1692</v>
      </c>
      <c r="B399" s="22" t="s">
        <v>455</v>
      </c>
      <c r="C399" s="23" t="n">
        <v>45838</v>
      </c>
      <c r="D399" s="22"/>
      <c r="E399" s="22" t="n">
        <v>0</v>
      </c>
      <c r="F399" s="22"/>
      <c r="G399" s="22" t="s">
        <v>465</v>
      </c>
      <c r="H399" s="22" t="s">
        <v>492</v>
      </c>
      <c r="I399" s="22" t="s">
        <v>1693</v>
      </c>
      <c r="J399" s="22" t="s">
        <v>459</v>
      </c>
      <c r="K399" s="22"/>
      <c r="L399" s="22"/>
    </row>
    <row r="400" customFormat="false" ht="14.25" hidden="false" customHeight="true" outlineLevel="0" collapsed="false">
      <c r="A400" s="15" t="s">
        <v>1694</v>
      </c>
      <c r="B400" s="15" t="s">
        <v>504</v>
      </c>
      <c r="C400" s="24" t="n">
        <v>45565</v>
      </c>
      <c r="D400" s="24" t="n">
        <v>45565</v>
      </c>
      <c r="E400" s="15" t="n">
        <v>1</v>
      </c>
      <c r="F400" s="15" t="s">
        <v>1695</v>
      </c>
      <c r="G400" s="15" t="s">
        <v>1058</v>
      </c>
      <c r="H400" s="15" t="s">
        <v>1059</v>
      </c>
      <c r="I400" s="15" t="s">
        <v>1696</v>
      </c>
      <c r="J400" s="15" t="s">
        <v>459</v>
      </c>
      <c r="K400" s="15" t="s">
        <v>1199</v>
      </c>
      <c r="L400" s="15" t="s">
        <v>1697</v>
      </c>
    </row>
    <row r="401" customFormat="false" ht="14.25" hidden="true" customHeight="true" outlineLevel="0" collapsed="false">
      <c r="A401" s="22" t="s">
        <v>1698</v>
      </c>
      <c r="B401" s="22" t="s">
        <v>455</v>
      </c>
      <c r="C401" s="23" t="n">
        <v>45839</v>
      </c>
      <c r="D401" s="22"/>
      <c r="E401" s="22" t="n">
        <v>0</v>
      </c>
      <c r="F401" s="22"/>
      <c r="G401" s="22" t="s">
        <v>465</v>
      </c>
      <c r="H401" s="22" t="s">
        <v>492</v>
      </c>
      <c r="I401" s="22" t="s">
        <v>1699</v>
      </c>
      <c r="J401" s="22" t="s">
        <v>459</v>
      </c>
      <c r="K401" s="22"/>
      <c r="L401" s="22"/>
    </row>
    <row r="402" customFormat="false" ht="14.25" hidden="true" customHeight="true" outlineLevel="0" collapsed="false">
      <c r="A402" s="22" t="s">
        <v>1700</v>
      </c>
      <c r="B402" s="22" t="s">
        <v>483</v>
      </c>
      <c r="C402" s="23" t="n">
        <v>45840</v>
      </c>
      <c r="D402" s="22"/>
      <c r="E402" s="22" t="n">
        <v>1</v>
      </c>
      <c r="F402" s="22" t="s">
        <v>953</v>
      </c>
      <c r="G402" s="22" t="s">
        <v>1701</v>
      </c>
      <c r="H402" s="22" t="s">
        <v>1702</v>
      </c>
      <c r="I402" s="22" t="s">
        <v>1703</v>
      </c>
      <c r="J402" s="22" t="s">
        <v>459</v>
      </c>
      <c r="K402" s="22" t="s">
        <v>473</v>
      </c>
      <c r="L402" s="22" t="s">
        <v>554</v>
      </c>
    </row>
    <row r="403" customFormat="false" ht="14.25" hidden="true" customHeight="true" outlineLevel="0" collapsed="false">
      <c r="A403" s="22" t="s">
        <v>1704</v>
      </c>
      <c r="B403" s="22" t="s">
        <v>483</v>
      </c>
      <c r="C403" s="23" t="n">
        <v>45840</v>
      </c>
      <c r="D403" s="22"/>
      <c r="E403" s="22" t="n">
        <v>1</v>
      </c>
      <c r="F403" s="22" t="s">
        <v>1705</v>
      </c>
      <c r="G403" s="22" t="s">
        <v>1706</v>
      </c>
      <c r="H403" s="22" t="s">
        <v>1707</v>
      </c>
      <c r="I403" s="22" t="s">
        <v>1708</v>
      </c>
      <c r="J403" s="22" t="s">
        <v>459</v>
      </c>
      <c r="K403" s="22" t="s">
        <v>473</v>
      </c>
      <c r="L403" s="22" t="s">
        <v>554</v>
      </c>
    </row>
    <row r="404" customFormat="false" ht="14.25" hidden="true" customHeight="true" outlineLevel="0" collapsed="false">
      <c r="A404" s="22" t="s">
        <v>1709</v>
      </c>
      <c r="B404" s="22" t="s">
        <v>455</v>
      </c>
      <c r="C404" s="23" t="n">
        <v>45841</v>
      </c>
      <c r="D404" s="22"/>
      <c r="E404" s="22" t="n">
        <v>0</v>
      </c>
      <c r="F404" s="22"/>
      <c r="G404" s="22" t="s">
        <v>470</v>
      </c>
      <c r="H404" s="22" t="s">
        <v>477</v>
      </c>
      <c r="I404" s="22" t="s">
        <v>1710</v>
      </c>
      <c r="J404" s="22" t="s">
        <v>459</v>
      </c>
      <c r="K404" s="22"/>
      <c r="L404" s="22"/>
    </row>
    <row r="405" customFormat="false" ht="14.25" hidden="true" customHeight="true" outlineLevel="0" collapsed="false">
      <c r="A405" s="22" t="s">
        <v>1711</v>
      </c>
      <c r="B405" s="22" t="s">
        <v>455</v>
      </c>
      <c r="C405" s="23" t="n">
        <v>45841</v>
      </c>
      <c r="D405" s="22"/>
      <c r="E405" s="22" t="n">
        <v>0</v>
      </c>
      <c r="F405" s="22"/>
      <c r="G405" s="22" t="s">
        <v>465</v>
      </c>
      <c r="H405" s="22" t="s">
        <v>492</v>
      </c>
      <c r="I405" s="22" t="s">
        <v>1712</v>
      </c>
      <c r="J405" s="22" t="s">
        <v>459</v>
      </c>
      <c r="K405" s="22"/>
      <c r="L405" s="22"/>
    </row>
    <row r="406" customFormat="false" ht="14.25" hidden="true" customHeight="true" outlineLevel="0" collapsed="false">
      <c r="A406" s="22" t="s">
        <v>1713</v>
      </c>
      <c r="B406" s="22" t="s">
        <v>455</v>
      </c>
      <c r="C406" s="23" t="n">
        <v>45845</v>
      </c>
      <c r="D406" s="22"/>
      <c r="E406" s="22" t="n">
        <v>0</v>
      </c>
      <c r="F406" s="22"/>
      <c r="G406" s="22" t="s">
        <v>971</v>
      </c>
      <c r="H406" s="22" t="s">
        <v>1714</v>
      </c>
      <c r="I406" s="22" t="s">
        <v>1715</v>
      </c>
      <c r="J406" s="22" t="s">
        <v>459</v>
      </c>
      <c r="K406" s="22"/>
      <c r="L406" s="22"/>
    </row>
    <row r="407" customFormat="false" ht="14.25" hidden="true" customHeight="true" outlineLevel="0" collapsed="false">
      <c r="A407" s="22" t="s">
        <v>1716</v>
      </c>
      <c r="B407" s="22" t="s">
        <v>455</v>
      </c>
      <c r="C407" s="23" t="n">
        <v>45845</v>
      </c>
      <c r="D407" s="22"/>
      <c r="E407" s="22" t="n">
        <v>0</v>
      </c>
      <c r="F407" s="22"/>
      <c r="G407" s="22" t="s">
        <v>1717</v>
      </c>
      <c r="H407" s="22" t="s">
        <v>1718</v>
      </c>
      <c r="I407" s="22" t="s">
        <v>1719</v>
      </c>
      <c r="J407" s="22" t="s">
        <v>459</v>
      </c>
      <c r="K407" s="22"/>
      <c r="L407" s="22"/>
    </row>
    <row r="408" customFormat="false" ht="14.25" hidden="true" customHeight="true" outlineLevel="0" collapsed="false">
      <c r="A408" s="22" t="s">
        <v>1720</v>
      </c>
      <c r="B408" s="22" t="s">
        <v>455</v>
      </c>
      <c r="C408" s="23" t="n">
        <v>45845</v>
      </c>
      <c r="D408" s="22"/>
      <c r="E408" s="22" t="n">
        <v>0</v>
      </c>
      <c r="F408" s="22"/>
      <c r="G408" s="22" t="s">
        <v>465</v>
      </c>
      <c r="H408" s="22" t="s">
        <v>492</v>
      </c>
      <c r="I408" s="22" t="s">
        <v>1721</v>
      </c>
      <c r="J408" s="22" t="s">
        <v>459</v>
      </c>
      <c r="K408" s="22"/>
      <c r="L408" s="22"/>
    </row>
    <row r="409" customFormat="false" ht="14.25" hidden="true" customHeight="true" outlineLevel="0" collapsed="false">
      <c r="A409" s="22" t="s">
        <v>1722</v>
      </c>
      <c r="B409" s="22" t="s">
        <v>483</v>
      </c>
      <c r="C409" s="23" t="n">
        <v>45847</v>
      </c>
      <c r="D409" s="22"/>
      <c r="E409" s="22" t="n">
        <v>0</v>
      </c>
      <c r="F409" s="22"/>
      <c r="G409" s="22" t="s">
        <v>1701</v>
      </c>
      <c r="H409" s="22"/>
      <c r="I409" s="22" t="s">
        <v>1723</v>
      </c>
      <c r="J409" s="22" t="s">
        <v>459</v>
      </c>
      <c r="K409" s="22"/>
      <c r="L409" s="22"/>
    </row>
    <row r="410" customFormat="false" ht="14.25" hidden="true" customHeight="true" outlineLevel="0" collapsed="false">
      <c r="A410" s="22" t="s">
        <v>1724</v>
      </c>
      <c r="B410" s="22" t="s">
        <v>455</v>
      </c>
      <c r="C410" s="23" t="n">
        <v>45849</v>
      </c>
      <c r="D410" s="22"/>
      <c r="E410" s="22" t="n">
        <v>0</v>
      </c>
      <c r="F410" s="22"/>
      <c r="G410" s="22" t="s">
        <v>465</v>
      </c>
      <c r="H410" s="22" t="s">
        <v>492</v>
      </c>
      <c r="I410" s="22" t="s">
        <v>1725</v>
      </c>
      <c r="J410" s="22" t="s">
        <v>459</v>
      </c>
      <c r="K410" s="22"/>
      <c r="L410" s="22"/>
    </row>
    <row r="411" customFormat="false" ht="14.25" hidden="true" customHeight="true" outlineLevel="0" collapsed="false">
      <c r="A411" s="22" t="s">
        <v>1726</v>
      </c>
      <c r="B411" s="22" t="s">
        <v>455</v>
      </c>
      <c r="C411" s="23" t="n">
        <v>45849</v>
      </c>
      <c r="D411" s="22"/>
      <c r="E411" s="22" t="n">
        <v>1</v>
      </c>
      <c r="F411" s="22" t="s">
        <v>1727</v>
      </c>
      <c r="G411" s="22" t="s">
        <v>470</v>
      </c>
      <c r="H411" s="22" t="s">
        <v>477</v>
      </c>
      <c r="I411" s="22" t="s">
        <v>1728</v>
      </c>
      <c r="J411" s="22" t="s">
        <v>459</v>
      </c>
      <c r="K411" s="22" t="s">
        <v>473</v>
      </c>
      <c r="L411" s="22" t="s">
        <v>474</v>
      </c>
    </row>
    <row r="412" customFormat="false" ht="14.25" hidden="true" customHeight="true" outlineLevel="0" collapsed="false">
      <c r="A412" s="22" t="s">
        <v>1729</v>
      </c>
      <c r="B412" s="22" t="s">
        <v>455</v>
      </c>
      <c r="C412" s="23" t="n">
        <v>45849</v>
      </c>
      <c r="D412" s="23" t="n">
        <v>45849</v>
      </c>
      <c r="E412" s="22" t="n">
        <v>0</v>
      </c>
      <c r="F412" s="22"/>
      <c r="G412" s="22" t="s">
        <v>1730</v>
      </c>
      <c r="H412" s="22" t="s">
        <v>1731</v>
      </c>
      <c r="I412" s="22" t="s">
        <v>1732</v>
      </c>
      <c r="J412" s="22" t="s">
        <v>459</v>
      </c>
      <c r="K412" s="22"/>
      <c r="L412" s="22"/>
    </row>
    <row r="413" customFormat="false" ht="14.25" hidden="true" customHeight="true" outlineLevel="0" collapsed="false">
      <c r="A413" s="22" t="s">
        <v>1733</v>
      </c>
      <c r="B413" s="22" t="s">
        <v>483</v>
      </c>
      <c r="C413" s="23" t="n">
        <v>45849</v>
      </c>
      <c r="D413" s="22"/>
      <c r="E413" s="22" t="n">
        <v>0</v>
      </c>
      <c r="F413" s="22"/>
      <c r="G413" s="22" t="s">
        <v>1701</v>
      </c>
      <c r="H413" s="22"/>
      <c r="I413" s="22" t="s">
        <v>1734</v>
      </c>
      <c r="J413" s="22" t="s">
        <v>459</v>
      </c>
      <c r="K413" s="22"/>
      <c r="L413" s="22"/>
    </row>
    <row r="414" customFormat="false" ht="14.25" hidden="true" customHeight="true" outlineLevel="0" collapsed="false">
      <c r="A414" s="22" t="s">
        <v>1735</v>
      </c>
      <c r="B414" s="22" t="s">
        <v>455</v>
      </c>
      <c r="C414" s="23" t="n">
        <v>45852</v>
      </c>
      <c r="D414" s="22"/>
      <c r="E414" s="22" t="n">
        <v>0</v>
      </c>
      <c r="F414" s="22"/>
      <c r="G414" s="22" t="s">
        <v>465</v>
      </c>
      <c r="H414" s="22" t="s">
        <v>492</v>
      </c>
      <c r="I414" s="22" t="s">
        <v>1736</v>
      </c>
      <c r="J414" s="22" t="s">
        <v>459</v>
      </c>
      <c r="K414" s="22"/>
      <c r="L414" s="22"/>
    </row>
    <row r="415" customFormat="false" ht="14.25" hidden="true" customHeight="true" outlineLevel="0" collapsed="false">
      <c r="A415" s="22" t="s">
        <v>1737</v>
      </c>
      <c r="B415" s="22" t="s">
        <v>455</v>
      </c>
      <c r="C415" s="23" t="n">
        <v>45852</v>
      </c>
      <c r="D415" s="22"/>
      <c r="E415" s="22" t="n">
        <v>1</v>
      </c>
      <c r="F415" s="22" t="s">
        <v>769</v>
      </c>
      <c r="G415" s="22" t="s">
        <v>470</v>
      </c>
      <c r="H415" s="22" t="s">
        <v>477</v>
      </c>
      <c r="I415" s="22" t="s">
        <v>1738</v>
      </c>
      <c r="J415" s="22" t="s">
        <v>459</v>
      </c>
      <c r="K415" s="22" t="s">
        <v>473</v>
      </c>
      <c r="L415" s="22" t="s">
        <v>474</v>
      </c>
    </row>
    <row r="416" customFormat="false" ht="14.25" hidden="true" customHeight="true" outlineLevel="0" collapsed="false">
      <c r="A416" s="22" t="s">
        <v>1739</v>
      </c>
      <c r="B416" s="22" t="s">
        <v>483</v>
      </c>
      <c r="C416" s="23" t="n">
        <v>45854</v>
      </c>
      <c r="D416" s="22"/>
      <c r="E416" s="22" t="n">
        <v>1</v>
      </c>
      <c r="F416" s="22" t="s">
        <v>1740</v>
      </c>
      <c r="G416" s="22" t="s">
        <v>1741</v>
      </c>
      <c r="H416" s="22" t="s">
        <v>1742</v>
      </c>
      <c r="I416" s="22" t="s">
        <v>1743</v>
      </c>
      <c r="J416" s="22" t="s">
        <v>459</v>
      </c>
      <c r="K416" s="22" t="s">
        <v>473</v>
      </c>
      <c r="L416" s="22" t="s">
        <v>554</v>
      </c>
    </row>
    <row r="417" customFormat="false" ht="14.25" hidden="true" customHeight="true" outlineLevel="0" collapsed="false">
      <c r="A417" s="22" t="s">
        <v>1744</v>
      </c>
      <c r="B417" s="22" t="s">
        <v>483</v>
      </c>
      <c r="C417" s="23" t="n">
        <v>45855</v>
      </c>
      <c r="D417" s="22"/>
      <c r="E417" s="22" t="n">
        <v>1</v>
      </c>
      <c r="F417" s="22" t="s">
        <v>1745</v>
      </c>
      <c r="G417" s="22" t="s">
        <v>1746</v>
      </c>
      <c r="H417" s="22" t="s">
        <v>1747</v>
      </c>
      <c r="I417" s="22" t="s">
        <v>1748</v>
      </c>
      <c r="J417" s="22" t="s">
        <v>459</v>
      </c>
      <c r="K417" s="22" t="s">
        <v>473</v>
      </c>
      <c r="L417" s="22" t="s">
        <v>554</v>
      </c>
    </row>
    <row r="418" customFormat="false" ht="14.25" hidden="true" customHeight="true" outlineLevel="0" collapsed="false">
      <c r="A418" s="22" t="s">
        <v>1749</v>
      </c>
      <c r="B418" s="22" t="s">
        <v>455</v>
      </c>
      <c r="C418" s="23" t="n">
        <v>45855</v>
      </c>
      <c r="D418" s="22"/>
      <c r="E418" s="22" t="n">
        <v>0</v>
      </c>
      <c r="F418" s="22"/>
      <c r="G418" s="22" t="s">
        <v>1750</v>
      </c>
      <c r="H418" s="22" t="s">
        <v>1751</v>
      </c>
      <c r="I418" s="22" t="s">
        <v>1752</v>
      </c>
      <c r="J418" s="22" t="s">
        <v>459</v>
      </c>
      <c r="K418" s="22"/>
      <c r="L418" s="22"/>
    </row>
    <row r="419" customFormat="false" ht="14.25" hidden="true" customHeight="true" outlineLevel="0" collapsed="false">
      <c r="A419" s="22" t="s">
        <v>1753</v>
      </c>
      <c r="B419" s="22" t="s">
        <v>455</v>
      </c>
      <c r="C419" s="23" t="n">
        <v>45859</v>
      </c>
      <c r="D419" s="22"/>
      <c r="E419" s="22" t="n">
        <v>0</v>
      </c>
      <c r="F419" s="22"/>
      <c r="G419" s="22" t="s">
        <v>470</v>
      </c>
      <c r="H419" s="22" t="s">
        <v>477</v>
      </c>
      <c r="I419" s="22" t="s">
        <v>1754</v>
      </c>
      <c r="J419" s="22" t="s">
        <v>459</v>
      </c>
      <c r="K419" s="22"/>
      <c r="L419" s="22"/>
    </row>
    <row r="420" customFormat="false" ht="14.25" hidden="true" customHeight="true" outlineLevel="0" collapsed="false">
      <c r="A420" s="22" t="s">
        <v>1755</v>
      </c>
      <c r="B420" s="22" t="s">
        <v>455</v>
      </c>
      <c r="C420" s="23" t="n">
        <v>45859</v>
      </c>
      <c r="D420" s="22"/>
      <c r="E420" s="22" t="n">
        <v>0</v>
      </c>
      <c r="F420" s="22"/>
      <c r="G420" s="22" t="s">
        <v>465</v>
      </c>
      <c r="H420" s="22" t="s">
        <v>492</v>
      </c>
      <c r="I420" s="22" t="s">
        <v>1756</v>
      </c>
      <c r="J420" s="22" t="s">
        <v>459</v>
      </c>
      <c r="K420" s="22"/>
      <c r="L420" s="22"/>
    </row>
    <row r="421" customFormat="false" ht="14.25" hidden="true" customHeight="true" outlineLevel="0" collapsed="false">
      <c r="A421" s="22" t="s">
        <v>1757</v>
      </c>
      <c r="B421" s="22" t="s">
        <v>455</v>
      </c>
      <c r="C421" s="23" t="n">
        <v>45861</v>
      </c>
      <c r="D421" s="22"/>
      <c r="E421" s="22" t="n">
        <v>0</v>
      </c>
      <c r="F421" s="22"/>
      <c r="G421" s="22" t="s">
        <v>1758</v>
      </c>
      <c r="H421" s="22" t="s">
        <v>1759</v>
      </c>
      <c r="I421" s="22" t="s">
        <v>1760</v>
      </c>
      <c r="J421" s="22" t="s">
        <v>459</v>
      </c>
      <c r="K421" s="22"/>
      <c r="L421" s="22"/>
    </row>
    <row r="422" customFormat="false" ht="14.25" hidden="true" customHeight="true" outlineLevel="0" collapsed="false">
      <c r="A422" s="22" t="s">
        <v>1761</v>
      </c>
      <c r="B422" s="22" t="s">
        <v>455</v>
      </c>
      <c r="C422" s="23" t="n">
        <v>45866</v>
      </c>
      <c r="D422" s="22"/>
      <c r="E422" s="22" t="n">
        <v>1</v>
      </c>
      <c r="F422" s="22" t="s">
        <v>1762</v>
      </c>
      <c r="G422" s="22" t="s">
        <v>470</v>
      </c>
      <c r="H422" s="22" t="s">
        <v>477</v>
      </c>
      <c r="I422" s="22" t="s">
        <v>1763</v>
      </c>
      <c r="J422" s="22" t="s">
        <v>459</v>
      </c>
      <c r="K422" s="22" t="s">
        <v>473</v>
      </c>
      <c r="L422" s="22" t="s">
        <v>474</v>
      </c>
    </row>
    <row r="423" customFormat="false" ht="14.25" hidden="true" customHeight="true" outlineLevel="0" collapsed="false">
      <c r="A423" s="22" t="s">
        <v>1764</v>
      </c>
      <c r="B423" s="22" t="s">
        <v>455</v>
      </c>
      <c r="C423" s="23" t="n">
        <v>45868</v>
      </c>
      <c r="D423" s="22"/>
      <c r="E423" s="22" t="n">
        <v>0</v>
      </c>
      <c r="F423" s="22"/>
      <c r="G423" s="22" t="s">
        <v>1007</v>
      </c>
      <c r="H423" s="22" t="s">
        <v>1765</v>
      </c>
      <c r="I423" s="22" t="s">
        <v>1766</v>
      </c>
      <c r="J423" s="22" t="s">
        <v>459</v>
      </c>
      <c r="K423" s="22"/>
      <c r="L423" s="22"/>
    </row>
    <row r="424" customFormat="false" ht="14.25" hidden="true" customHeight="true" outlineLevel="0" collapsed="false">
      <c r="A424" s="22" t="s">
        <v>1767</v>
      </c>
      <c r="B424" s="22" t="s">
        <v>455</v>
      </c>
      <c r="C424" s="23" t="n">
        <v>45869</v>
      </c>
      <c r="D424" s="22"/>
      <c r="E424" s="22" t="n">
        <v>1</v>
      </c>
      <c r="F424" s="22" t="s">
        <v>1768</v>
      </c>
      <c r="G424" s="22" t="s">
        <v>465</v>
      </c>
      <c r="H424" s="22" t="s">
        <v>492</v>
      </c>
      <c r="I424" s="22" t="s">
        <v>1769</v>
      </c>
      <c r="J424" s="22" t="s">
        <v>459</v>
      </c>
      <c r="K424" s="22" t="s">
        <v>473</v>
      </c>
      <c r="L424" s="22" t="s">
        <v>474</v>
      </c>
    </row>
    <row r="425" customFormat="false" ht="14.25" hidden="true" customHeight="true" outlineLevel="0" collapsed="false">
      <c r="A425" s="22" t="s">
        <v>1770</v>
      </c>
      <c r="B425" s="22" t="s">
        <v>455</v>
      </c>
      <c r="C425" s="23" t="n">
        <v>45870</v>
      </c>
      <c r="D425" s="22"/>
      <c r="E425" s="22" t="n">
        <v>0</v>
      </c>
      <c r="F425" s="22"/>
      <c r="G425" s="22" t="s">
        <v>465</v>
      </c>
      <c r="H425" s="22" t="s">
        <v>492</v>
      </c>
      <c r="I425" s="22" t="s">
        <v>1771</v>
      </c>
      <c r="J425" s="22" t="s">
        <v>459</v>
      </c>
      <c r="K425" s="22"/>
      <c r="L425" s="22"/>
    </row>
    <row r="426" customFormat="false" ht="14.25" hidden="true" customHeight="true" outlineLevel="0" collapsed="false">
      <c r="A426" s="22" t="s">
        <v>1772</v>
      </c>
      <c r="B426" s="22" t="s">
        <v>455</v>
      </c>
      <c r="C426" s="23" t="n">
        <v>45870</v>
      </c>
      <c r="D426" s="22"/>
      <c r="E426" s="22" t="n">
        <v>1</v>
      </c>
      <c r="F426" s="22" t="s">
        <v>950</v>
      </c>
      <c r="G426" s="22" t="s">
        <v>971</v>
      </c>
      <c r="H426" s="22" t="s">
        <v>1773</v>
      </c>
      <c r="I426" s="22" t="s">
        <v>1774</v>
      </c>
      <c r="J426" s="22" t="s">
        <v>459</v>
      </c>
      <c r="K426" s="22" t="s">
        <v>473</v>
      </c>
      <c r="L426" s="22" t="s">
        <v>474</v>
      </c>
    </row>
    <row r="427" customFormat="false" ht="14.25" hidden="true" customHeight="true" outlineLevel="0" collapsed="false">
      <c r="A427" s="22" t="s">
        <v>1775</v>
      </c>
      <c r="B427" s="22" t="s">
        <v>504</v>
      </c>
      <c r="C427" s="23" t="n">
        <v>45873</v>
      </c>
      <c r="D427" s="23" t="n">
        <v>45931</v>
      </c>
      <c r="E427" s="22" t="n">
        <v>1</v>
      </c>
      <c r="F427" s="22" t="s">
        <v>1776</v>
      </c>
      <c r="G427" s="22" t="s">
        <v>1571</v>
      </c>
      <c r="H427" s="22" t="s">
        <v>1777</v>
      </c>
      <c r="I427" s="22" t="s">
        <v>1778</v>
      </c>
      <c r="J427" s="22" t="s">
        <v>459</v>
      </c>
      <c r="K427" s="22" t="s">
        <v>473</v>
      </c>
      <c r="L427" s="22" t="s">
        <v>554</v>
      </c>
    </row>
    <row r="428" customFormat="false" ht="14.25" hidden="true" customHeight="true" outlineLevel="0" collapsed="false">
      <c r="A428" s="22" t="s">
        <v>1779</v>
      </c>
      <c r="B428" s="22" t="s">
        <v>504</v>
      </c>
      <c r="C428" s="23" t="n">
        <v>45873</v>
      </c>
      <c r="D428" s="23" t="n">
        <v>45931</v>
      </c>
      <c r="E428" s="22" t="n">
        <v>1</v>
      </c>
      <c r="F428" s="22" t="s">
        <v>1780</v>
      </c>
      <c r="G428" s="22" t="s">
        <v>1781</v>
      </c>
      <c r="H428" s="22" t="s">
        <v>1782</v>
      </c>
      <c r="I428" s="22" t="s">
        <v>1783</v>
      </c>
      <c r="J428" s="22" t="s">
        <v>459</v>
      </c>
      <c r="K428" s="22" t="s">
        <v>473</v>
      </c>
      <c r="L428" s="22" t="s">
        <v>554</v>
      </c>
    </row>
    <row r="429" customFormat="false" ht="14.25" hidden="true" customHeight="true" outlineLevel="0" collapsed="false">
      <c r="A429" s="22" t="s">
        <v>1784</v>
      </c>
      <c r="B429" s="22" t="s">
        <v>504</v>
      </c>
      <c r="C429" s="23" t="n">
        <v>45874</v>
      </c>
      <c r="D429" s="23" t="n">
        <v>45931</v>
      </c>
      <c r="E429" s="22" t="n">
        <v>1</v>
      </c>
      <c r="F429" s="22" t="s">
        <v>1785</v>
      </c>
      <c r="G429" s="22" t="s">
        <v>1567</v>
      </c>
      <c r="H429" s="22" t="s">
        <v>1786</v>
      </c>
      <c r="I429" s="22" t="s">
        <v>1787</v>
      </c>
      <c r="J429" s="22" t="s">
        <v>459</v>
      </c>
      <c r="K429" s="22" t="s">
        <v>473</v>
      </c>
      <c r="L429" s="22" t="s">
        <v>554</v>
      </c>
    </row>
    <row r="430" customFormat="false" ht="14.25" hidden="true" customHeight="true" outlineLevel="0" collapsed="false">
      <c r="A430" s="22" t="s">
        <v>1788</v>
      </c>
      <c r="B430" s="22" t="s">
        <v>504</v>
      </c>
      <c r="C430" s="23" t="n">
        <v>45874</v>
      </c>
      <c r="D430" s="23" t="n">
        <v>45931</v>
      </c>
      <c r="E430" s="22" t="n">
        <v>1</v>
      </c>
      <c r="F430" s="22" t="s">
        <v>1789</v>
      </c>
      <c r="G430" s="22" t="s">
        <v>1558</v>
      </c>
      <c r="H430" s="22" t="s">
        <v>1790</v>
      </c>
      <c r="I430" s="22" t="s">
        <v>1791</v>
      </c>
      <c r="J430" s="22" t="s">
        <v>459</v>
      </c>
      <c r="K430" s="22" t="s">
        <v>473</v>
      </c>
      <c r="L430" s="22" t="s">
        <v>554</v>
      </c>
    </row>
    <row r="431" customFormat="false" ht="14.25" hidden="true" customHeight="true" outlineLevel="0" collapsed="false">
      <c r="A431" s="22" t="s">
        <v>1792</v>
      </c>
      <c r="B431" s="22" t="s">
        <v>504</v>
      </c>
      <c r="C431" s="23" t="n">
        <v>45874</v>
      </c>
      <c r="D431" s="23" t="n">
        <v>45931</v>
      </c>
      <c r="E431" s="22" t="n">
        <v>1</v>
      </c>
      <c r="F431" s="22" t="s">
        <v>1793</v>
      </c>
      <c r="G431" s="22" t="s">
        <v>1562</v>
      </c>
      <c r="H431" s="22" t="s">
        <v>1794</v>
      </c>
      <c r="I431" s="22" t="s">
        <v>1795</v>
      </c>
      <c r="J431" s="22" t="s">
        <v>459</v>
      </c>
      <c r="K431" s="22" t="s">
        <v>473</v>
      </c>
      <c r="L431" s="22" t="s">
        <v>554</v>
      </c>
    </row>
    <row r="432" customFormat="false" ht="14.25" hidden="true" customHeight="true" outlineLevel="0" collapsed="false">
      <c r="A432" s="22" t="s">
        <v>1796</v>
      </c>
      <c r="B432" s="22" t="s">
        <v>455</v>
      </c>
      <c r="C432" s="23" t="n">
        <v>45874</v>
      </c>
      <c r="D432" s="22"/>
      <c r="E432" s="22" t="n">
        <v>0</v>
      </c>
      <c r="F432" s="22"/>
      <c r="G432" s="22" t="s">
        <v>1797</v>
      </c>
      <c r="H432" s="22" t="s">
        <v>1611</v>
      </c>
      <c r="I432" s="22" t="s">
        <v>1798</v>
      </c>
      <c r="J432" s="22" t="s">
        <v>459</v>
      </c>
      <c r="K432" s="22"/>
      <c r="L432" s="22"/>
    </row>
    <row r="433" customFormat="false" ht="14.25" hidden="true" customHeight="true" outlineLevel="0" collapsed="false">
      <c r="A433" s="22" t="s">
        <v>1799</v>
      </c>
      <c r="B433" s="22" t="s">
        <v>455</v>
      </c>
      <c r="C433" s="23" t="n">
        <v>45874</v>
      </c>
      <c r="D433" s="22"/>
      <c r="E433" s="22" t="n">
        <v>0</v>
      </c>
      <c r="F433" s="22"/>
      <c r="G433" s="22" t="s">
        <v>465</v>
      </c>
      <c r="H433" s="22" t="s">
        <v>492</v>
      </c>
      <c r="I433" s="22" t="s">
        <v>1800</v>
      </c>
      <c r="J433" s="22" t="s">
        <v>459</v>
      </c>
      <c r="K433" s="22"/>
      <c r="L433" s="22"/>
    </row>
    <row r="434" customFormat="false" ht="14.25" hidden="true" customHeight="true" outlineLevel="0" collapsed="false">
      <c r="A434" s="22" t="s">
        <v>1801</v>
      </c>
      <c r="B434" s="22" t="s">
        <v>455</v>
      </c>
      <c r="C434" s="23" t="n">
        <v>45874</v>
      </c>
      <c r="D434" s="22"/>
      <c r="E434" s="22" t="n">
        <v>0</v>
      </c>
      <c r="F434" s="22"/>
      <c r="G434" s="22" t="s">
        <v>470</v>
      </c>
      <c r="H434" s="22" t="s">
        <v>477</v>
      </c>
      <c r="I434" s="22" t="s">
        <v>1802</v>
      </c>
      <c r="J434" s="22" t="s">
        <v>459</v>
      </c>
      <c r="K434" s="22"/>
      <c r="L434" s="22"/>
    </row>
    <row r="435" customFormat="false" ht="14.25" hidden="true" customHeight="true" outlineLevel="0" collapsed="false">
      <c r="A435" s="22" t="s">
        <v>1803</v>
      </c>
      <c r="B435" s="22" t="s">
        <v>455</v>
      </c>
      <c r="C435" s="23" t="n">
        <v>45882</v>
      </c>
      <c r="D435" s="22"/>
      <c r="E435" s="22" t="n">
        <v>1</v>
      </c>
      <c r="F435" s="22" t="s">
        <v>1264</v>
      </c>
      <c r="G435" s="22" t="s">
        <v>470</v>
      </c>
      <c r="H435" s="22" t="s">
        <v>477</v>
      </c>
      <c r="I435" s="22" t="s">
        <v>1804</v>
      </c>
      <c r="J435" s="22" t="s">
        <v>459</v>
      </c>
      <c r="K435" s="22" t="s">
        <v>473</v>
      </c>
      <c r="L435" s="22" t="s">
        <v>474</v>
      </c>
    </row>
    <row r="436" customFormat="false" ht="14.25" hidden="true" customHeight="true" outlineLevel="0" collapsed="false">
      <c r="A436" s="22" t="s">
        <v>1805</v>
      </c>
      <c r="B436" s="22" t="s">
        <v>483</v>
      </c>
      <c r="C436" s="23" t="n">
        <v>45883</v>
      </c>
      <c r="D436" s="22"/>
      <c r="E436" s="22" t="n">
        <v>0</v>
      </c>
      <c r="F436" s="22"/>
      <c r="G436" s="22" t="s">
        <v>1806</v>
      </c>
      <c r="H436" s="22" t="s">
        <v>1807</v>
      </c>
      <c r="I436" s="22" t="s">
        <v>1808</v>
      </c>
      <c r="J436" s="22" t="s">
        <v>459</v>
      </c>
      <c r="K436" s="22"/>
      <c r="L436" s="22"/>
    </row>
    <row r="437" customFormat="false" ht="14.25" hidden="true" customHeight="true" outlineLevel="0" collapsed="false">
      <c r="A437" s="22" t="s">
        <v>1809</v>
      </c>
      <c r="B437" s="22" t="s">
        <v>455</v>
      </c>
      <c r="C437" s="23" t="n">
        <v>45887</v>
      </c>
      <c r="D437" s="22"/>
      <c r="E437" s="22" t="n">
        <v>0</v>
      </c>
      <c r="F437" s="22"/>
      <c r="G437" s="22" t="s">
        <v>465</v>
      </c>
      <c r="H437" s="22" t="s">
        <v>492</v>
      </c>
      <c r="I437" s="22" t="s">
        <v>1810</v>
      </c>
      <c r="J437" s="22" t="s">
        <v>459</v>
      </c>
      <c r="K437" s="22"/>
      <c r="L437" s="22"/>
    </row>
    <row r="438" customFormat="false" ht="14.25" hidden="true" customHeight="true" outlineLevel="0" collapsed="false">
      <c r="A438" s="22" t="s">
        <v>1811</v>
      </c>
      <c r="B438" s="22" t="s">
        <v>455</v>
      </c>
      <c r="C438" s="23" t="n">
        <v>45890</v>
      </c>
      <c r="D438" s="22"/>
      <c r="E438" s="22" t="n">
        <v>0</v>
      </c>
      <c r="F438" s="22"/>
      <c r="G438" s="22" t="s">
        <v>470</v>
      </c>
      <c r="H438" s="22" t="s">
        <v>477</v>
      </c>
      <c r="I438" s="22" t="s">
        <v>1812</v>
      </c>
      <c r="J438" s="22" t="s">
        <v>459</v>
      </c>
      <c r="K438" s="22"/>
      <c r="L438" s="22"/>
    </row>
    <row r="439" customFormat="false" ht="14.25" hidden="true" customHeight="true" outlineLevel="0" collapsed="false">
      <c r="A439" s="22" t="s">
        <v>1813</v>
      </c>
      <c r="B439" s="22" t="s">
        <v>455</v>
      </c>
      <c r="C439" s="23" t="n">
        <v>45890</v>
      </c>
      <c r="D439" s="22"/>
      <c r="E439" s="22" t="n">
        <v>0</v>
      </c>
      <c r="F439" s="22"/>
      <c r="G439" s="22" t="s">
        <v>465</v>
      </c>
      <c r="H439" s="22" t="s">
        <v>492</v>
      </c>
      <c r="I439" s="22" t="s">
        <v>1814</v>
      </c>
      <c r="J439" s="22" t="s">
        <v>459</v>
      </c>
      <c r="K439" s="22"/>
      <c r="L439" s="22"/>
    </row>
    <row r="440" customFormat="false" ht="14.25" hidden="true" customHeight="true" outlineLevel="0" collapsed="false">
      <c r="A440" s="22" t="s">
        <v>1815</v>
      </c>
      <c r="B440" s="22" t="s">
        <v>455</v>
      </c>
      <c r="C440" s="23" t="n">
        <v>45894</v>
      </c>
      <c r="D440" s="22"/>
      <c r="E440" s="22" t="n">
        <v>0</v>
      </c>
      <c r="F440" s="22"/>
      <c r="G440" s="22" t="s">
        <v>461</v>
      </c>
      <c r="H440" s="22" t="s">
        <v>462</v>
      </c>
      <c r="I440" s="22" t="s">
        <v>1816</v>
      </c>
      <c r="J440" s="22" t="s">
        <v>459</v>
      </c>
      <c r="K440" s="22"/>
      <c r="L440" s="22"/>
    </row>
    <row r="441" customFormat="false" ht="14.25" hidden="true" customHeight="true" outlineLevel="0" collapsed="false">
      <c r="A441" s="22" t="s">
        <v>1817</v>
      </c>
      <c r="B441" s="22" t="s">
        <v>455</v>
      </c>
      <c r="C441" s="23" t="n">
        <v>45895</v>
      </c>
      <c r="D441" s="22"/>
      <c r="E441" s="22" t="n">
        <v>0</v>
      </c>
      <c r="F441" s="22"/>
      <c r="G441" s="22" t="s">
        <v>461</v>
      </c>
      <c r="H441" s="22" t="s">
        <v>462</v>
      </c>
      <c r="I441" s="22" t="s">
        <v>1818</v>
      </c>
      <c r="J441" s="22" t="s">
        <v>459</v>
      </c>
      <c r="K441" s="22"/>
      <c r="L441" s="22"/>
    </row>
    <row r="442" customFormat="false" ht="14.25" hidden="true" customHeight="true" outlineLevel="0" collapsed="false">
      <c r="A442" s="22" t="s">
        <v>1819</v>
      </c>
      <c r="B442" s="22" t="s">
        <v>455</v>
      </c>
      <c r="C442" s="23" t="n">
        <v>45897</v>
      </c>
      <c r="D442" s="22"/>
      <c r="E442" s="22" t="n">
        <v>0</v>
      </c>
      <c r="F442" s="22"/>
      <c r="G442" s="22" t="s">
        <v>470</v>
      </c>
      <c r="H442" s="22" t="s">
        <v>477</v>
      </c>
      <c r="I442" s="22" t="s">
        <v>1820</v>
      </c>
      <c r="J442" s="22" t="s">
        <v>459</v>
      </c>
      <c r="K442" s="22"/>
      <c r="L442" s="22"/>
    </row>
    <row r="443" customFormat="false" ht="14.25" hidden="true" customHeight="true" outlineLevel="0" collapsed="false">
      <c r="A443" s="22" t="s">
        <v>1821</v>
      </c>
      <c r="B443" s="22" t="s">
        <v>483</v>
      </c>
      <c r="C443" s="23" t="n">
        <v>45897</v>
      </c>
      <c r="D443" s="22"/>
      <c r="E443" s="22" t="n">
        <v>0</v>
      </c>
      <c r="F443" s="22"/>
      <c r="G443" s="22" t="s">
        <v>1701</v>
      </c>
      <c r="H443" s="22"/>
      <c r="I443" s="22" t="s">
        <v>1822</v>
      </c>
      <c r="J443" s="22" t="s">
        <v>459</v>
      </c>
      <c r="K443" s="22"/>
      <c r="L443" s="22"/>
    </row>
    <row r="444" customFormat="false" ht="14.25" hidden="true" customHeight="true" outlineLevel="0" collapsed="false">
      <c r="A444" s="22" t="s">
        <v>1823</v>
      </c>
      <c r="B444" s="22" t="s">
        <v>455</v>
      </c>
      <c r="C444" s="23" t="n">
        <v>45898</v>
      </c>
      <c r="D444" s="22"/>
      <c r="E444" s="22" t="n">
        <v>0</v>
      </c>
      <c r="F444" s="22"/>
      <c r="G444" s="22" t="s">
        <v>465</v>
      </c>
      <c r="H444" s="22" t="s">
        <v>1824</v>
      </c>
      <c r="I444" s="22" t="s">
        <v>1825</v>
      </c>
      <c r="J444" s="22" t="s">
        <v>459</v>
      </c>
      <c r="K444" s="22"/>
      <c r="L444" s="22"/>
    </row>
    <row r="445" customFormat="false" ht="14.25" hidden="true" customHeight="true" outlineLevel="0" collapsed="false">
      <c r="A445" s="22" t="s">
        <v>1826</v>
      </c>
      <c r="B445" s="22" t="s">
        <v>455</v>
      </c>
      <c r="C445" s="23" t="n">
        <v>45898</v>
      </c>
      <c r="D445" s="22"/>
      <c r="E445" s="22" t="n">
        <v>0</v>
      </c>
      <c r="F445" s="22"/>
      <c r="G445" s="22" t="s">
        <v>465</v>
      </c>
      <c r="H445" s="22" t="s">
        <v>492</v>
      </c>
      <c r="I445" s="22" t="s">
        <v>1827</v>
      </c>
      <c r="J445" s="22" t="s">
        <v>459</v>
      </c>
      <c r="K445" s="22"/>
      <c r="L445" s="22"/>
    </row>
    <row r="446" customFormat="false" ht="14.25" hidden="true" customHeight="true" outlineLevel="0" collapsed="false">
      <c r="A446" s="22" t="s">
        <v>1828</v>
      </c>
      <c r="B446" s="22" t="s">
        <v>455</v>
      </c>
      <c r="C446" s="23" t="n">
        <v>45902</v>
      </c>
      <c r="D446" s="22"/>
      <c r="E446" s="22" t="n">
        <v>0</v>
      </c>
      <c r="F446" s="22"/>
      <c r="G446" s="22" t="s">
        <v>470</v>
      </c>
      <c r="H446" s="22" t="s">
        <v>477</v>
      </c>
      <c r="I446" s="22" t="s">
        <v>1829</v>
      </c>
      <c r="J446" s="22" t="s">
        <v>459</v>
      </c>
      <c r="K446" s="22"/>
      <c r="L446" s="22"/>
    </row>
    <row r="447" customFormat="false" ht="14.25" hidden="true" customHeight="true" outlineLevel="0" collapsed="false">
      <c r="A447" s="22" t="s">
        <v>1830</v>
      </c>
      <c r="B447" s="22" t="s">
        <v>455</v>
      </c>
      <c r="C447" s="23" t="n">
        <v>45903</v>
      </c>
      <c r="D447" s="22"/>
      <c r="E447" s="22" t="n">
        <v>0</v>
      </c>
      <c r="F447" s="22"/>
      <c r="G447" s="22" t="s">
        <v>465</v>
      </c>
      <c r="H447" s="22" t="s">
        <v>492</v>
      </c>
      <c r="I447" s="22" t="s">
        <v>1831</v>
      </c>
      <c r="J447" s="22" t="s">
        <v>459</v>
      </c>
      <c r="K447" s="22"/>
      <c r="L447" s="22"/>
    </row>
    <row r="448" customFormat="false" ht="14.25" hidden="true" customHeight="true" outlineLevel="0" collapsed="false">
      <c r="A448" s="22" t="s">
        <v>1832</v>
      </c>
      <c r="B448" s="22" t="s">
        <v>504</v>
      </c>
      <c r="C448" s="23" t="n">
        <v>45904</v>
      </c>
      <c r="D448" s="23" t="n">
        <v>45931</v>
      </c>
      <c r="E448" s="22" t="n">
        <v>0</v>
      </c>
      <c r="F448" s="22"/>
      <c r="G448" s="22" t="s">
        <v>1833</v>
      </c>
      <c r="H448" s="22" t="s">
        <v>1834</v>
      </c>
      <c r="I448" s="22" t="s">
        <v>1835</v>
      </c>
      <c r="J448" s="22" t="s">
        <v>459</v>
      </c>
      <c r="K448" s="22"/>
      <c r="L448" s="22"/>
    </row>
    <row r="449" customFormat="false" ht="14.25" hidden="true" customHeight="true" outlineLevel="0" collapsed="false">
      <c r="A449" s="22" t="s">
        <v>1836</v>
      </c>
      <c r="B449" s="22" t="s">
        <v>455</v>
      </c>
      <c r="C449" s="23" t="n">
        <v>45905</v>
      </c>
      <c r="D449" s="22"/>
      <c r="E449" s="22" t="n">
        <v>1</v>
      </c>
      <c r="F449" s="22" t="s">
        <v>1250</v>
      </c>
      <c r="G449" s="22" t="s">
        <v>465</v>
      </c>
      <c r="H449" s="22" t="s">
        <v>492</v>
      </c>
      <c r="I449" s="22" t="s">
        <v>1837</v>
      </c>
      <c r="J449" s="22" t="s">
        <v>459</v>
      </c>
      <c r="K449" s="22" t="s">
        <v>473</v>
      </c>
      <c r="L449" s="22" t="s">
        <v>474</v>
      </c>
    </row>
    <row r="450" customFormat="false" ht="14.25" hidden="true" customHeight="true" outlineLevel="0" collapsed="false">
      <c r="A450" s="22" t="s">
        <v>1838</v>
      </c>
      <c r="B450" s="22" t="s">
        <v>455</v>
      </c>
      <c r="C450" s="23" t="n">
        <v>45905</v>
      </c>
      <c r="D450" s="22"/>
      <c r="E450" s="22" t="n">
        <v>1</v>
      </c>
      <c r="F450" s="22" t="s">
        <v>1839</v>
      </c>
      <c r="G450" s="22" t="s">
        <v>470</v>
      </c>
      <c r="H450" s="22" t="s">
        <v>477</v>
      </c>
      <c r="I450" s="22" t="s">
        <v>1840</v>
      </c>
      <c r="J450" s="22" t="s">
        <v>459</v>
      </c>
      <c r="K450" s="22" t="s">
        <v>473</v>
      </c>
      <c r="L450" s="22" t="s">
        <v>474</v>
      </c>
    </row>
    <row r="451" customFormat="false" ht="14.25" hidden="true" customHeight="true" outlineLevel="0" collapsed="false">
      <c r="A451" s="22" t="s">
        <v>1841</v>
      </c>
      <c r="B451" s="22" t="s">
        <v>455</v>
      </c>
      <c r="C451" s="23" t="n">
        <v>45905</v>
      </c>
      <c r="D451" s="23" t="n">
        <v>45943</v>
      </c>
      <c r="E451" s="22" t="n">
        <v>1</v>
      </c>
      <c r="F451" s="22" t="s">
        <v>1842</v>
      </c>
      <c r="G451" s="22" t="s">
        <v>1843</v>
      </c>
      <c r="H451" s="22" t="s">
        <v>1844</v>
      </c>
      <c r="I451" s="22" t="s">
        <v>1845</v>
      </c>
      <c r="J451" s="22" t="s">
        <v>459</v>
      </c>
      <c r="K451" s="22" t="s">
        <v>473</v>
      </c>
      <c r="L451" s="22" t="s">
        <v>1608</v>
      </c>
    </row>
    <row r="452" customFormat="false" ht="14.25" hidden="true" customHeight="true" outlineLevel="0" collapsed="false">
      <c r="A452" s="22" t="s">
        <v>1846</v>
      </c>
      <c r="B452" s="22" t="s">
        <v>455</v>
      </c>
      <c r="C452" s="23" t="n">
        <v>45908</v>
      </c>
      <c r="D452" s="22"/>
      <c r="E452" s="22" t="n">
        <v>0</v>
      </c>
      <c r="F452" s="22"/>
      <c r="G452" s="22" t="s">
        <v>461</v>
      </c>
      <c r="H452" s="22" t="s">
        <v>462</v>
      </c>
      <c r="I452" s="22" t="s">
        <v>1847</v>
      </c>
      <c r="J452" s="22" t="s">
        <v>459</v>
      </c>
      <c r="K452" s="22"/>
      <c r="L452" s="22"/>
    </row>
    <row r="453" customFormat="false" ht="14.25" hidden="true" customHeight="true" outlineLevel="0" collapsed="false">
      <c r="A453" s="22" t="s">
        <v>1848</v>
      </c>
      <c r="B453" s="22" t="s">
        <v>455</v>
      </c>
      <c r="C453" s="23" t="n">
        <v>45908</v>
      </c>
      <c r="D453" s="22"/>
      <c r="E453" s="22" t="n">
        <v>0</v>
      </c>
      <c r="F453" s="22"/>
      <c r="G453" s="22" t="s">
        <v>1849</v>
      </c>
      <c r="H453" s="22" t="s">
        <v>1850</v>
      </c>
      <c r="I453" s="22" t="s">
        <v>1851</v>
      </c>
      <c r="J453" s="22" t="s">
        <v>459</v>
      </c>
      <c r="K453" s="22"/>
      <c r="L453" s="22"/>
    </row>
    <row r="454" customFormat="false" ht="14.25" hidden="true" customHeight="true" outlineLevel="0" collapsed="false">
      <c r="A454" s="22" t="s">
        <v>1852</v>
      </c>
      <c r="B454" s="22" t="s">
        <v>455</v>
      </c>
      <c r="C454" s="23" t="n">
        <v>45908</v>
      </c>
      <c r="D454" s="22"/>
      <c r="E454" s="22" t="n">
        <v>0</v>
      </c>
      <c r="F454" s="22"/>
      <c r="G454" s="22" t="s">
        <v>465</v>
      </c>
      <c r="H454" s="22" t="s">
        <v>492</v>
      </c>
      <c r="I454" s="22" t="s">
        <v>1853</v>
      </c>
      <c r="J454" s="22" t="s">
        <v>459</v>
      </c>
      <c r="K454" s="22"/>
      <c r="L454" s="22"/>
    </row>
    <row r="455" customFormat="false" ht="14.25" hidden="true" customHeight="true" outlineLevel="0" collapsed="false">
      <c r="A455" s="22" t="s">
        <v>1854</v>
      </c>
      <c r="B455" s="22" t="s">
        <v>455</v>
      </c>
      <c r="C455" s="23" t="n">
        <v>45910</v>
      </c>
      <c r="D455" s="22"/>
      <c r="E455" s="22" t="n">
        <v>0</v>
      </c>
      <c r="F455" s="22"/>
      <c r="G455" s="22" t="s">
        <v>1855</v>
      </c>
      <c r="H455" s="22" t="s">
        <v>1856</v>
      </c>
      <c r="I455" s="22" t="s">
        <v>1857</v>
      </c>
      <c r="J455" s="22" t="s">
        <v>459</v>
      </c>
      <c r="K455" s="22"/>
      <c r="L455" s="22"/>
    </row>
    <row r="456" customFormat="false" ht="14.25" hidden="true" customHeight="true" outlineLevel="0" collapsed="false">
      <c r="A456" s="22" t="s">
        <v>1858</v>
      </c>
      <c r="B456" s="22" t="s">
        <v>455</v>
      </c>
      <c r="C456" s="23" t="n">
        <v>45912</v>
      </c>
      <c r="D456" s="22"/>
      <c r="E456" s="22" t="n">
        <v>0</v>
      </c>
      <c r="F456" s="22"/>
      <c r="G456" s="22" t="s">
        <v>470</v>
      </c>
      <c r="H456" s="22" t="s">
        <v>477</v>
      </c>
      <c r="I456" s="22" t="s">
        <v>1859</v>
      </c>
      <c r="J456" s="22" t="s">
        <v>459</v>
      </c>
      <c r="K456" s="22"/>
      <c r="L456" s="22"/>
    </row>
    <row r="457" customFormat="false" ht="14.25" hidden="true" customHeight="true" outlineLevel="0" collapsed="false">
      <c r="A457" s="22" t="s">
        <v>1860</v>
      </c>
      <c r="B457" s="22" t="s">
        <v>455</v>
      </c>
      <c r="C457" s="23" t="n">
        <v>45912</v>
      </c>
      <c r="D457" s="22"/>
      <c r="E457" s="22" t="n">
        <v>0</v>
      </c>
      <c r="F457" s="22"/>
      <c r="G457" s="22" t="s">
        <v>465</v>
      </c>
      <c r="H457" s="22" t="s">
        <v>492</v>
      </c>
      <c r="I457" s="22" t="s">
        <v>1861</v>
      </c>
      <c r="J457" s="22" t="s">
        <v>459</v>
      </c>
      <c r="K457" s="22"/>
      <c r="L457" s="22"/>
    </row>
    <row r="458" customFormat="false" ht="14.25" hidden="true" customHeight="true" outlineLevel="0" collapsed="false">
      <c r="A458" s="22" t="s">
        <v>1862</v>
      </c>
      <c r="B458" s="22" t="s">
        <v>455</v>
      </c>
      <c r="C458" s="23" t="n">
        <v>45919</v>
      </c>
      <c r="D458" s="22"/>
      <c r="E458" s="22" t="n">
        <v>1</v>
      </c>
      <c r="F458" s="22" t="s">
        <v>769</v>
      </c>
      <c r="G458" s="22" t="s">
        <v>465</v>
      </c>
      <c r="H458" s="22" t="s">
        <v>492</v>
      </c>
      <c r="I458" s="22" t="s">
        <v>1863</v>
      </c>
      <c r="J458" s="22" t="s">
        <v>459</v>
      </c>
      <c r="K458" s="22" t="s">
        <v>473</v>
      </c>
      <c r="L458" s="22" t="s">
        <v>474</v>
      </c>
    </row>
    <row r="459" customFormat="false" ht="14.25" hidden="true" customHeight="true" outlineLevel="0" collapsed="false">
      <c r="A459" s="22" t="s">
        <v>1864</v>
      </c>
      <c r="B459" s="22" t="s">
        <v>455</v>
      </c>
      <c r="C459" s="23" t="n">
        <v>45919</v>
      </c>
      <c r="D459" s="22"/>
      <c r="E459" s="22" t="n">
        <v>0</v>
      </c>
      <c r="F459" s="22"/>
      <c r="G459" s="22" t="s">
        <v>470</v>
      </c>
      <c r="H459" s="22" t="s">
        <v>477</v>
      </c>
      <c r="I459" s="22" t="s">
        <v>1865</v>
      </c>
      <c r="J459" s="22" t="s">
        <v>459</v>
      </c>
      <c r="K459" s="22"/>
      <c r="L459" s="22"/>
    </row>
    <row r="460" customFormat="false" ht="14.25" hidden="false" customHeight="true" outlineLevel="0" collapsed="false">
      <c r="A460" s="15" t="s">
        <v>1866</v>
      </c>
      <c r="B460" s="15" t="s">
        <v>483</v>
      </c>
      <c r="C460" s="24" t="n">
        <v>45575</v>
      </c>
      <c r="D460" s="15"/>
      <c r="E460" s="15" t="n">
        <v>1</v>
      </c>
      <c r="F460" s="15" t="s">
        <v>1789</v>
      </c>
      <c r="G460" s="15" t="s">
        <v>1867</v>
      </c>
      <c r="H460" s="15" t="s">
        <v>1868</v>
      </c>
      <c r="I460" s="15" t="s">
        <v>1869</v>
      </c>
      <c r="J460" s="15" t="s">
        <v>459</v>
      </c>
      <c r="K460" s="15" t="s">
        <v>1199</v>
      </c>
      <c r="L460" s="15" t="s">
        <v>1870</v>
      </c>
    </row>
    <row r="461" customFormat="false" ht="14.25" hidden="true" customHeight="true" outlineLevel="0" collapsed="false">
      <c r="A461" s="22" t="s">
        <v>1871</v>
      </c>
      <c r="B461" s="22" t="s">
        <v>455</v>
      </c>
      <c r="C461" s="23" t="n">
        <v>45923</v>
      </c>
      <c r="D461" s="22"/>
      <c r="E461" s="22" t="n">
        <v>0</v>
      </c>
      <c r="F461" s="22"/>
      <c r="G461" s="22" t="s">
        <v>465</v>
      </c>
      <c r="H461" s="22" t="s">
        <v>492</v>
      </c>
      <c r="I461" s="22" t="s">
        <v>1872</v>
      </c>
      <c r="J461" s="22" t="s">
        <v>459</v>
      </c>
      <c r="K461" s="22"/>
      <c r="L461" s="22"/>
    </row>
    <row r="462" customFormat="false" ht="14.25" hidden="true" customHeight="true" outlineLevel="0" collapsed="false">
      <c r="A462" s="22" t="s">
        <v>1873</v>
      </c>
      <c r="B462" s="22" t="s">
        <v>455</v>
      </c>
      <c r="C462" s="23" t="n">
        <v>45924</v>
      </c>
      <c r="D462" s="22"/>
      <c r="E462" s="22" t="n">
        <v>1</v>
      </c>
      <c r="F462" s="22" t="s">
        <v>1874</v>
      </c>
      <c r="G462" s="22" t="s">
        <v>465</v>
      </c>
      <c r="H462" s="22" t="s">
        <v>492</v>
      </c>
      <c r="I462" s="22" t="s">
        <v>1875</v>
      </c>
      <c r="J462" s="22" t="s">
        <v>459</v>
      </c>
      <c r="K462" s="22" t="s">
        <v>473</v>
      </c>
      <c r="L462" s="22" t="s">
        <v>474</v>
      </c>
    </row>
    <row r="463" customFormat="false" ht="14.25" hidden="true" customHeight="true" outlineLevel="0" collapsed="false">
      <c r="A463" s="22" t="s">
        <v>1876</v>
      </c>
      <c r="B463" s="22" t="s">
        <v>455</v>
      </c>
      <c r="C463" s="23" t="n">
        <v>45924</v>
      </c>
      <c r="D463" s="22"/>
      <c r="E463" s="22" t="n">
        <v>0</v>
      </c>
      <c r="F463" s="22"/>
      <c r="G463" s="22" t="s">
        <v>470</v>
      </c>
      <c r="H463" s="22" t="s">
        <v>477</v>
      </c>
      <c r="I463" s="22" t="s">
        <v>1877</v>
      </c>
      <c r="J463" s="22" t="s">
        <v>459</v>
      </c>
      <c r="K463" s="22"/>
      <c r="L463" s="22"/>
    </row>
    <row r="464" customFormat="false" ht="14.25" hidden="true" customHeight="true" outlineLevel="0" collapsed="false">
      <c r="A464" s="22" t="s">
        <v>1878</v>
      </c>
      <c r="B464" s="22" t="s">
        <v>455</v>
      </c>
      <c r="C464" s="23" t="n">
        <v>45925</v>
      </c>
      <c r="D464" s="22"/>
      <c r="E464" s="22" t="n">
        <v>0</v>
      </c>
      <c r="F464" s="22"/>
      <c r="G464" s="22" t="s">
        <v>465</v>
      </c>
      <c r="H464" s="22" t="s">
        <v>492</v>
      </c>
      <c r="I464" s="22" t="s">
        <v>1879</v>
      </c>
      <c r="J464" s="22" t="s">
        <v>459</v>
      </c>
      <c r="K464" s="22"/>
      <c r="L464" s="22"/>
    </row>
    <row r="465" customFormat="false" ht="14.25" hidden="true" customHeight="true" outlineLevel="0" collapsed="false">
      <c r="A465" s="22" t="s">
        <v>1880</v>
      </c>
      <c r="B465" s="22" t="s">
        <v>455</v>
      </c>
      <c r="C465" s="23" t="n">
        <v>45925</v>
      </c>
      <c r="D465" s="22"/>
      <c r="E465" s="22" t="n">
        <v>0</v>
      </c>
      <c r="F465" s="22"/>
      <c r="G465" s="22" t="s">
        <v>465</v>
      </c>
      <c r="H465" s="22" t="s">
        <v>492</v>
      </c>
      <c r="I465" s="22" t="s">
        <v>1881</v>
      </c>
      <c r="J465" s="22" t="s">
        <v>459</v>
      </c>
      <c r="K465" s="22"/>
      <c r="L465" s="22"/>
    </row>
    <row r="466" customFormat="false" ht="14.25" hidden="true" customHeight="true" outlineLevel="0" collapsed="false">
      <c r="A466" s="22" t="s">
        <v>1882</v>
      </c>
      <c r="B466" s="22" t="s">
        <v>455</v>
      </c>
      <c r="C466" s="23" t="n">
        <v>45929</v>
      </c>
      <c r="D466" s="22"/>
      <c r="E466" s="22" t="n">
        <v>0</v>
      </c>
      <c r="F466" s="22"/>
      <c r="G466" s="22" t="s">
        <v>1883</v>
      </c>
      <c r="H466" s="22"/>
      <c r="I466" s="22" t="s">
        <v>1884</v>
      </c>
      <c r="J466" s="22" t="s">
        <v>459</v>
      </c>
      <c r="K466" s="22"/>
      <c r="L466" s="22"/>
    </row>
    <row r="467" customFormat="false" ht="14.25" hidden="true" customHeight="true" outlineLevel="0" collapsed="false">
      <c r="A467" s="22" t="s">
        <v>1885</v>
      </c>
      <c r="B467" s="22" t="s">
        <v>455</v>
      </c>
      <c r="C467" s="23" t="n">
        <v>45930</v>
      </c>
      <c r="D467" s="22"/>
      <c r="E467" s="22" t="n">
        <v>1</v>
      </c>
      <c r="F467" s="22" t="s">
        <v>1264</v>
      </c>
      <c r="G467" s="22" t="s">
        <v>470</v>
      </c>
      <c r="H467" s="22" t="s">
        <v>477</v>
      </c>
      <c r="I467" s="22" t="s">
        <v>1886</v>
      </c>
      <c r="J467" s="22" t="s">
        <v>459</v>
      </c>
      <c r="K467" s="22" t="s">
        <v>473</v>
      </c>
      <c r="L467" s="22" t="s">
        <v>474</v>
      </c>
    </row>
    <row r="468" customFormat="false" ht="14.25" hidden="true" customHeight="true" outlineLevel="0" collapsed="false">
      <c r="A468" s="22" t="s">
        <v>1887</v>
      </c>
      <c r="B468" s="22" t="s">
        <v>455</v>
      </c>
      <c r="C468" s="23" t="n">
        <v>45932</v>
      </c>
      <c r="D468" s="22"/>
      <c r="E468" s="22" t="n">
        <v>1</v>
      </c>
      <c r="F468" s="22" t="s">
        <v>591</v>
      </c>
      <c r="G468" s="22" t="s">
        <v>470</v>
      </c>
      <c r="H468" s="22" t="s">
        <v>477</v>
      </c>
      <c r="I468" s="22" t="s">
        <v>1888</v>
      </c>
      <c r="J468" s="22" t="s">
        <v>459</v>
      </c>
      <c r="K468" s="22" t="s">
        <v>473</v>
      </c>
      <c r="L468" s="22" t="s">
        <v>474</v>
      </c>
    </row>
    <row r="469" customFormat="false" ht="14.25" hidden="true" customHeight="true" outlineLevel="0" collapsed="false">
      <c r="A469" s="22" t="s">
        <v>1889</v>
      </c>
      <c r="B469" s="22" t="s">
        <v>504</v>
      </c>
      <c r="C469" s="23" t="n">
        <v>45966</v>
      </c>
      <c r="D469" s="23" t="n">
        <v>46023</v>
      </c>
      <c r="E469" s="22" t="n">
        <v>1</v>
      </c>
      <c r="F469" s="22" t="s">
        <v>1890</v>
      </c>
      <c r="G469" s="22" t="s">
        <v>1741</v>
      </c>
      <c r="H469" s="22" t="s">
        <v>1891</v>
      </c>
      <c r="I469" s="22" t="s">
        <v>1892</v>
      </c>
      <c r="J469" s="22" t="s">
        <v>459</v>
      </c>
      <c r="K469" s="22" t="s">
        <v>473</v>
      </c>
      <c r="L469" s="22" t="s">
        <v>554</v>
      </c>
    </row>
    <row r="470" customFormat="false" ht="14.25" hidden="true" customHeight="true" outlineLevel="0" collapsed="false">
      <c r="A470" s="22" t="s">
        <v>1893</v>
      </c>
      <c r="B470" s="22" t="s">
        <v>455</v>
      </c>
      <c r="C470" s="23" t="n">
        <v>45979</v>
      </c>
      <c r="D470" s="22"/>
      <c r="E470" s="22" t="n">
        <v>0</v>
      </c>
      <c r="F470" s="22"/>
      <c r="G470" s="22" t="s">
        <v>845</v>
      </c>
      <c r="H470" s="22" t="s">
        <v>1894</v>
      </c>
      <c r="I470" s="22" t="s">
        <v>1895</v>
      </c>
      <c r="J470" s="22" t="s">
        <v>459</v>
      </c>
      <c r="K470" s="22"/>
      <c r="L470" s="22"/>
    </row>
    <row r="471" customFormat="false" ht="14.25" hidden="true" customHeight="true" outlineLevel="0" collapsed="false">
      <c r="A471" s="22" t="s">
        <v>1896</v>
      </c>
      <c r="B471" s="22" t="s">
        <v>455</v>
      </c>
      <c r="C471" s="23" t="n">
        <v>45979</v>
      </c>
      <c r="D471" s="22"/>
      <c r="E471" s="22" t="n">
        <v>0</v>
      </c>
      <c r="F471" s="22"/>
      <c r="G471" s="22" t="s">
        <v>470</v>
      </c>
      <c r="H471" s="22" t="s">
        <v>477</v>
      </c>
      <c r="I471" s="22" t="s">
        <v>1897</v>
      </c>
      <c r="J471" s="22" t="s">
        <v>459</v>
      </c>
      <c r="K471" s="22"/>
      <c r="L471" s="22"/>
    </row>
    <row r="472" customFormat="false" ht="14.25" hidden="true" customHeight="true" outlineLevel="0" collapsed="false">
      <c r="A472" s="22" t="s">
        <v>1898</v>
      </c>
      <c r="B472" s="22" t="s">
        <v>455</v>
      </c>
      <c r="C472" s="23" t="n">
        <v>45980</v>
      </c>
      <c r="D472" s="23" t="n">
        <v>46023</v>
      </c>
      <c r="E472" s="22" t="n">
        <v>0</v>
      </c>
      <c r="F472" s="22"/>
      <c r="G472" s="22" t="s">
        <v>1899</v>
      </c>
      <c r="H472" s="22" t="s">
        <v>1900</v>
      </c>
      <c r="I472" s="22" t="s">
        <v>1901</v>
      </c>
      <c r="J472" s="22" t="s">
        <v>459</v>
      </c>
      <c r="K472" s="22"/>
      <c r="L472" s="22"/>
    </row>
    <row r="473" customFormat="false" ht="14.25" hidden="true" customHeight="true" outlineLevel="0" collapsed="false">
      <c r="A473" s="22" t="s">
        <v>1902</v>
      </c>
      <c r="B473" s="22" t="s">
        <v>455</v>
      </c>
      <c r="C473" s="23" t="n">
        <v>45980</v>
      </c>
      <c r="D473" s="23" t="n">
        <v>46023</v>
      </c>
      <c r="E473" s="22" t="n">
        <v>0</v>
      </c>
      <c r="F473" s="22"/>
      <c r="G473" s="22" t="s">
        <v>1903</v>
      </c>
      <c r="H473" s="22" t="s">
        <v>1904</v>
      </c>
      <c r="I473" s="22" t="s">
        <v>1905</v>
      </c>
      <c r="J473" s="22" t="s">
        <v>459</v>
      </c>
      <c r="K473" s="22"/>
      <c r="L473" s="22"/>
    </row>
    <row r="474" customFormat="false" ht="14.25" hidden="false" customHeight="true" outlineLevel="0" collapsed="false">
      <c r="A474" s="15" t="s">
        <v>1906</v>
      </c>
      <c r="B474" s="15" t="s">
        <v>504</v>
      </c>
      <c r="C474" s="24" t="n">
        <v>45580</v>
      </c>
      <c r="D474" s="24" t="n">
        <v>45576</v>
      </c>
      <c r="E474" s="15" t="n">
        <v>1</v>
      </c>
      <c r="F474" s="15" t="s">
        <v>1907</v>
      </c>
      <c r="G474" s="15" t="s">
        <v>1908</v>
      </c>
      <c r="H474" s="15" t="s">
        <v>1909</v>
      </c>
      <c r="I474" s="15" t="s">
        <v>1910</v>
      </c>
      <c r="J474" s="15" t="s">
        <v>459</v>
      </c>
      <c r="K474" s="15" t="s">
        <v>1199</v>
      </c>
      <c r="L474" s="15" t="s">
        <v>1911</v>
      </c>
    </row>
    <row r="475" customFormat="false" ht="14.25" hidden="true" customHeight="true" outlineLevel="0" collapsed="false">
      <c r="A475" s="22" t="s">
        <v>1912</v>
      </c>
      <c r="B475" s="22" t="s">
        <v>455</v>
      </c>
      <c r="C475" s="23" t="n">
        <v>45980</v>
      </c>
      <c r="D475" s="22"/>
      <c r="E475" s="22" t="n">
        <v>0</v>
      </c>
      <c r="F475" s="22"/>
      <c r="G475" s="22" t="s">
        <v>465</v>
      </c>
      <c r="H475" s="22" t="s">
        <v>492</v>
      </c>
      <c r="I475" s="22" t="s">
        <v>1913</v>
      </c>
      <c r="J475" s="22" t="s">
        <v>459</v>
      </c>
      <c r="K475" s="22"/>
      <c r="L475" s="22"/>
    </row>
    <row r="476" customFormat="false" ht="14.25" hidden="true" customHeight="true" outlineLevel="0" collapsed="false">
      <c r="A476" s="22" t="s">
        <v>1914</v>
      </c>
      <c r="B476" s="22" t="s">
        <v>455</v>
      </c>
      <c r="C476" s="23" t="n">
        <v>45980</v>
      </c>
      <c r="D476" s="23" t="n">
        <v>45980</v>
      </c>
      <c r="E476" s="22" t="n">
        <v>0</v>
      </c>
      <c r="F476" s="22"/>
      <c r="G476" s="22" t="s">
        <v>1915</v>
      </c>
      <c r="H476" s="22" t="s">
        <v>1916</v>
      </c>
      <c r="I476" s="22" t="s">
        <v>1917</v>
      </c>
      <c r="J476" s="22" t="s">
        <v>459</v>
      </c>
      <c r="K476" s="22"/>
      <c r="L476" s="22"/>
    </row>
    <row r="477" customFormat="false" ht="14.25" hidden="true" customHeight="true" outlineLevel="0" collapsed="false">
      <c r="A477" s="22" t="s">
        <v>1918</v>
      </c>
      <c r="B477" s="22" t="s">
        <v>455</v>
      </c>
      <c r="C477" s="23" t="n">
        <v>45980</v>
      </c>
      <c r="D477" s="23" t="n">
        <v>45980</v>
      </c>
      <c r="E477" s="22" t="n">
        <v>0</v>
      </c>
      <c r="F477" s="22"/>
      <c r="G477" s="22" t="s">
        <v>1919</v>
      </c>
      <c r="H477" s="22" t="s">
        <v>1920</v>
      </c>
      <c r="I477" s="22" t="s">
        <v>1921</v>
      </c>
      <c r="J477" s="22" t="s">
        <v>459</v>
      </c>
      <c r="K477" s="22"/>
      <c r="L477" s="22"/>
    </row>
    <row r="478" customFormat="false" ht="14.25" hidden="true" customHeight="true" outlineLevel="0" collapsed="false">
      <c r="A478" s="22" t="s">
        <v>1922</v>
      </c>
      <c r="B478" s="22" t="s">
        <v>455</v>
      </c>
      <c r="C478" s="23" t="n">
        <v>45980</v>
      </c>
      <c r="D478" s="22"/>
      <c r="E478" s="22" t="n">
        <v>0</v>
      </c>
      <c r="F478" s="22"/>
      <c r="G478" s="22" t="s">
        <v>1923</v>
      </c>
      <c r="H478" s="22" t="s">
        <v>1924</v>
      </c>
      <c r="I478" s="22" t="s">
        <v>1925</v>
      </c>
      <c r="J478" s="22" t="s">
        <v>459</v>
      </c>
      <c r="K478" s="22"/>
      <c r="L478" s="22"/>
    </row>
    <row r="479" customFormat="false" ht="14.25" hidden="true" customHeight="true" outlineLevel="0" collapsed="false">
      <c r="A479" s="22" t="s">
        <v>1926</v>
      </c>
      <c r="B479" s="22" t="s">
        <v>455</v>
      </c>
      <c r="C479" s="23" t="n">
        <v>45981</v>
      </c>
      <c r="D479" s="22"/>
      <c r="E479" s="22" t="n">
        <v>1</v>
      </c>
      <c r="F479" s="22" t="s">
        <v>1927</v>
      </c>
      <c r="G479" s="22" t="s">
        <v>465</v>
      </c>
      <c r="H479" s="22" t="s">
        <v>492</v>
      </c>
      <c r="I479" s="22" t="s">
        <v>1928</v>
      </c>
      <c r="J479" s="22" t="s">
        <v>459</v>
      </c>
      <c r="K479" s="22" t="s">
        <v>473</v>
      </c>
      <c r="L479" s="22" t="s">
        <v>474</v>
      </c>
    </row>
    <row r="480" customFormat="false" ht="14.25" hidden="true" customHeight="true" outlineLevel="0" collapsed="false">
      <c r="A480" s="22" t="s">
        <v>1929</v>
      </c>
      <c r="B480" s="22" t="s">
        <v>455</v>
      </c>
      <c r="C480" s="23" t="n">
        <v>45981</v>
      </c>
      <c r="D480" s="22"/>
      <c r="E480" s="22" t="n">
        <v>0</v>
      </c>
      <c r="F480" s="22"/>
      <c r="G480" s="22" t="s">
        <v>470</v>
      </c>
      <c r="H480" s="22" t="s">
        <v>477</v>
      </c>
      <c r="I480" s="22" t="s">
        <v>1930</v>
      </c>
      <c r="J480" s="22" t="s">
        <v>459</v>
      </c>
      <c r="K480" s="22"/>
      <c r="L480" s="22"/>
    </row>
    <row r="481" customFormat="false" ht="14.25" hidden="true" customHeight="true" outlineLevel="0" collapsed="false">
      <c r="A481" s="22" t="s">
        <v>1931</v>
      </c>
      <c r="B481" s="22" t="s">
        <v>455</v>
      </c>
      <c r="C481" s="23" t="n">
        <v>45981</v>
      </c>
      <c r="D481" s="22"/>
      <c r="E481" s="22" t="n">
        <v>0</v>
      </c>
      <c r="F481" s="22"/>
      <c r="G481" s="22" t="s">
        <v>470</v>
      </c>
      <c r="H481" s="22" t="s">
        <v>477</v>
      </c>
      <c r="I481" s="22" t="s">
        <v>1932</v>
      </c>
      <c r="J481" s="22" t="s">
        <v>459</v>
      </c>
      <c r="K481" s="22"/>
      <c r="L481" s="22"/>
    </row>
    <row r="482" customFormat="false" ht="14.25" hidden="true" customHeight="true" outlineLevel="0" collapsed="false">
      <c r="A482" s="22" t="s">
        <v>1933</v>
      </c>
      <c r="B482" s="22" t="s">
        <v>455</v>
      </c>
      <c r="C482" s="23" t="n">
        <v>45982</v>
      </c>
      <c r="D482" s="22"/>
      <c r="E482" s="22" t="n">
        <v>0</v>
      </c>
      <c r="F482" s="22"/>
      <c r="G482" s="22" t="s">
        <v>470</v>
      </c>
      <c r="H482" s="22" t="s">
        <v>477</v>
      </c>
      <c r="I482" s="22" t="s">
        <v>1934</v>
      </c>
      <c r="J482" s="22" t="s">
        <v>459</v>
      </c>
      <c r="K482" s="22"/>
      <c r="L482" s="22"/>
    </row>
    <row r="483" customFormat="false" ht="14.25" hidden="true" customHeight="true" outlineLevel="0" collapsed="false">
      <c r="A483" s="22" t="s">
        <v>1935</v>
      </c>
      <c r="B483" s="22" t="s">
        <v>504</v>
      </c>
      <c r="C483" s="23" t="n">
        <v>45985</v>
      </c>
      <c r="D483" s="23" t="n">
        <v>46023</v>
      </c>
      <c r="E483" s="22" t="n">
        <v>1</v>
      </c>
      <c r="F483" s="22" t="s">
        <v>1936</v>
      </c>
      <c r="G483" s="22" t="s">
        <v>1706</v>
      </c>
      <c r="H483" s="22" t="s">
        <v>1937</v>
      </c>
      <c r="I483" s="22" t="s">
        <v>1938</v>
      </c>
      <c r="J483" s="22" t="s">
        <v>459</v>
      </c>
      <c r="K483" s="22" t="s">
        <v>473</v>
      </c>
      <c r="L483" s="22" t="s">
        <v>554</v>
      </c>
    </row>
    <row r="484" customFormat="false" ht="14.25" hidden="true" customHeight="true" outlineLevel="0" collapsed="false">
      <c r="A484" s="22" t="s">
        <v>1939</v>
      </c>
      <c r="B484" s="22" t="s">
        <v>455</v>
      </c>
      <c r="C484" s="23" t="n">
        <v>45985</v>
      </c>
      <c r="D484" s="22"/>
      <c r="E484" s="22" t="n">
        <v>0</v>
      </c>
      <c r="F484" s="22"/>
      <c r="G484" s="22" t="s">
        <v>470</v>
      </c>
      <c r="H484" s="22" t="s">
        <v>477</v>
      </c>
      <c r="I484" s="22" t="s">
        <v>1940</v>
      </c>
      <c r="J484" s="22" t="s">
        <v>459</v>
      </c>
      <c r="K484" s="22"/>
      <c r="L484" s="22"/>
    </row>
    <row r="485" customFormat="false" ht="14.25" hidden="true" customHeight="true" outlineLevel="0" collapsed="false">
      <c r="A485" s="22" t="s">
        <v>1941</v>
      </c>
      <c r="B485" s="22" t="s">
        <v>455</v>
      </c>
      <c r="C485" s="23" t="n">
        <v>45985</v>
      </c>
      <c r="D485" s="22"/>
      <c r="E485" s="22" t="n">
        <v>1</v>
      </c>
      <c r="F485" s="22" t="s">
        <v>950</v>
      </c>
      <c r="G485" s="22" t="s">
        <v>470</v>
      </c>
      <c r="H485" s="22" t="s">
        <v>477</v>
      </c>
      <c r="I485" s="22" t="s">
        <v>1942</v>
      </c>
      <c r="J485" s="22" t="s">
        <v>459</v>
      </c>
      <c r="K485" s="22" t="s">
        <v>473</v>
      </c>
      <c r="L485" s="22" t="s">
        <v>474</v>
      </c>
    </row>
    <row r="486" customFormat="false" ht="14.25" hidden="true" customHeight="true" outlineLevel="0" collapsed="false">
      <c r="A486" s="22" t="s">
        <v>1943</v>
      </c>
      <c r="B486" s="22" t="s">
        <v>455</v>
      </c>
      <c r="C486" s="23" t="n">
        <v>45985</v>
      </c>
      <c r="D486" s="22"/>
      <c r="E486" s="22" t="n">
        <v>1</v>
      </c>
      <c r="F486" s="22" t="s">
        <v>1944</v>
      </c>
      <c r="G486" s="22" t="s">
        <v>465</v>
      </c>
      <c r="H486" s="22" t="s">
        <v>492</v>
      </c>
      <c r="I486" s="22" t="s">
        <v>1945</v>
      </c>
      <c r="J486" s="22" t="s">
        <v>459</v>
      </c>
      <c r="K486" s="22" t="s">
        <v>473</v>
      </c>
      <c r="L486" s="22" t="s">
        <v>474</v>
      </c>
    </row>
    <row r="487" customFormat="false" ht="14.25" hidden="true" customHeight="true" outlineLevel="0" collapsed="false">
      <c r="A487" s="22" t="s">
        <v>1946</v>
      </c>
      <c r="B487" s="22" t="s">
        <v>504</v>
      </c>
      <c r="C487" s="23" t="n">
        <v>45986</v>
      </c>
      <c r="D487" s="23" t="n">
        <v>46023</v>
      </c>
      <c r="E487" s="22" t="n">
        <v>1</v>
      </c>
      <c r="F487" s="22" t="s">
        <v>1947</v>
      </c>
      <c r="G487" s="22" t="s">
        <v>1948</v>
      </c>
      <c r="H487" s="22" t="s">
        <v>1949</v>
      </c>
      <c r="I487" s="22" t="s">
        <v>1950</v>
      </c>
      <c r="J487" s="22" t="s">
        <v>459</v>
      </c>
      <c r="K487" s="22" t="s">
        <v>473</v>
      </c>
      <c r="L487" s="22" t="s">
        <v>554</v>
      </c>
    </row>
    <row r="488" customFormat="false" ht="14.25" hidden="true" customHeight="true" outlineLevel="0" collapsed="false">
      <c r="A488" s="22" t="s">
        <v>1951</v>
      </c>
      <c r="B488" s="22" t="s">
        <v>455</v>
      </c>
      <c r="C488" s="23" t="n">
        <v>45986</v>
      </c>
      <c r="D488" s="22"/>
      <c r="E488" s="22" t="n">
        <v>0</v>
      </c>
      <c r="F488" s="22"/>
      <c r="G488" s="22" t="s">
        <v>1952</v>
      </c>
      <c r="H488" s="22" t="s">
        <v>1953</v>
      </c>
      <c r="I488" s="22" t="s">
        <v>1954</v>
      </c>
      <c r="J488" s="22" t="s">
        <v>459</v>
      </c>
      <c r="K488" s="22"/>
      <c r="L488" s="22"/>
    </row>
    <row r="489" customFormat="false" ht="14.25" hidden="true" customHeight="true" outlineLevel="0" collapsed="false">
      <c r="A489" s="22" t="s">
        <v>1955</v>
      </c>
      <c r="B489" s="22" t="s">
        <v>455</v>
      </c>
      <c r="C489" s="23" t="n">
        <v>45987</v>
      </c>
      <c r="D489" s="22"/>
      <c r="E489" s="22" t="n">
        <v>0</v>
      </c>
      <c r="F489" s="22"/>
      <c r="G489" s="22" t="s">
        <v>465</v>
      </c>
      <c r="H489" s="22" t="s">
        <v>492</v>
      </c>
      <c r="I489" s="22" t="s">
        <v>1956</v>
      </c>
      <c r="J489" s="22" t="s">
        <v>459</v>
      </c>
      <c r="K489" s="22"/>
      <c r="L489" s="22"/>
    </row>
    <row r="490" customFormat="false" ht="14.25" hidden="true" customHeight="true" outlineLevel="0" collapsed="false">
      <c r="A490" s="22" t="s">
        <v>1957</v>
      </c>
      <c r="B490" s="22" t="s">
        <v>455</v>
      </c>
      <c r="C490" s="23" t="n">
        <v>45987</v>
      </c>
      <c r="D490" s="22"/>
      <c r="E490" s="22" t="n">
        <v>0</v>
      </c>
      <c r="F490" s="22"/>
      <c r="G490" s="22" t="s">
        <v>461</v>
      </c>
      <c r="H490" s="22" t="s">
        <v>462</v>
      </c>
      <c r="I490" s="22" t="s">
        <v>1958</v>
      </c>
      <c r="J490" s="22" t="s">
        <v>459</v>
      </c>
      <c r="K490" s="22"/>
      <c r="L490" s="22"/>
    </row>
    <row r="491" customFormat="false" ht="14.25" hidden="true" customHeight="true" outlineLevel="0" collapsed="false">
      <c r="A491" s="22" t="s">
        <v>1959</v>
      </c>
      <c r="B491" s="22" t="s">
        <v>455</v>
      </c>
      <c r="C491" s="23" t="n">
        <v>45987</v>
      </c>
      <c r="D491" s="22"/>
      <c r="E491" s="22" t="n">
        <v>0</v>
      </c>
      <c r="F491" s="22"/>
      <c r="G491" s="22" t="s">
        <v>470</v>
      </c>
      <c r="H491" s="22" t="s">
        <v>477</v>
      </c>
      <c r="I491" s="22" t="s">
        <v>1960</v>
      </c>
      <c r="J491" s="22" t="s">
        <v>459</v>
      </c>
      <c r="K491" s="22"/>
      <c r="L491" s="22"/>
    </row>
    <row r="492" customFormat="false" ht="14.25" hidden="true" customHeight="true" outlineLevel="0" collapsed="false">
      <c r="A492" s="22" t="s">
        <v>1961</v>
      </c>
      <c r="B492" s="22" t="s">
        <v>455</v>
      </c>
      <c r="C492" s="23" t="n">
        <v>45989</v>
      </c>
      <c r="D492" s="22"/>
      <c r="E492" s="22" t="n">
        <v>0</v>
      </c>
      <c r="F492" s="22"/>
      <c r="G492" s="22" t="s">
        <v>1962</v>
      </c>
      <c r="H492" s="22" t="s">
        <v>1963</v>
      </c>
      <c r="I492" s="22" t="s">
        <v>1964</v>
      </c>
      <c r="J492" s="22" t="s">
        <v>459</v>
      </c>
      <c r="K492" s="22"/>
      <c r="L492" s="22"/>
    </row>
    <row r="493" customFormat="false" ht="14.25" hidden="true" customHeight="true" outlineLevel="0" collapsed="false">
      <c r="A493" s="22" t="s">
        <v>1965</v>
      </c>
      <c r="B493" s="22" t="s">
        <v>455</v>
      </c>
      <c r="C493" s="23" t="n">
        <v>45989</v>
      </c>
      <c r="D493" s="22"/>
      <c r="E493" s="22" t="n">
        <v>1</v>
      </c>
      <c r="F493" s="22" t="s">
        <v>469</v>
      </c>
      <c r="G493" s="22" t="s">
        <v>470</v>
      </c>
      <c r="H493" s="22" t="s">
        <v>477</v>
      </c>
      <c r="I493" s="22" t="s">
        <v>1966</v>
      </c>
      <c r="J493" s="22" t="s">
        <v>459</v>
      </c>
      <c r="K493" s="22" t="s">
        <v>473</v>
      </c>
      <c r="L493" s="22" t="s">
        <v>474</v>
      </c>
    </row>
    <row r="494" customFormat="false" ht="14.25" hidden="true" customHeight="true" outlineLevel="0" collapsed="false">
      <c r="A494" s="22" t="s">
        <v>1967</v>
      </c>
      <c r="B494" s="22" t="s">
        <v>455</v>
      </c>
      <c r="C494" s="23" t="n">
        <v>45989</v>
      </c>
      <c r="D494" s="22"/>
      <c r="E494" s="22" t="n">
        <v>1</v>
      </c>
      <c r="F494" s="22" t="s">
        <v>1968</v>
      </c>
      <c r="G494" s="22" t="s">
        <v>465</v>
      </c>
      <c r="H494" s="22" t="s">
        <v>492</v>
      </c>
      <c r="I494" s="22" t="s">
        <v>1969</v>
      </c>
      <c r="J494" s="22" t="s">
        <v>459</v>
      </c>
      <c r="K494" s="22" t="s">
        <v>473</v>
      </c>
      <c r="L494" s="22" t="s">
        <v>474</v>
      </c>
    </row>
    <row r="495" customFormat="false" ht="14.25" hidden="false" customHeight="true" outlineLevel="0" collapsed="false">
      <c r="A495" s="15" t="s">
        <v>1970</v>
      </c>
      <c r="B495" s="15" t="s">
        <v>504</v>
      </c>
      <c r="C495" s="24" t="n">
        <v>45590</v>
      </c>
      <c r="D495" s="24" t="n">
        <v>45590</v>
      </c>
      <c r="E495" s="15" t="n">
        <v>1</v>
      </c>
      <c r="F495" s="15" t="s">
        <v>1789</v>
      </c>
      <c r="G495" s="15" t="s">
        <v>1971</v>
      </c>
      <c r="H495" s="15" t="s">
        <v>1972</v>
      </c>
      <c r="I495" s="15" t="s">
        <v>1973</v>
      </c>
      <c r="J495" s="15" t="s">
        <v>459</v>
      </c>
      <c r="K495" s="15" t="s">
        <v>1199</v>
      </c>
      <c r="L495" s="15" t="s">
        <v>1870</v>
      </c>
    </row>
    <row r="496" customFormat="false" ht="14.25" hidden="true" customHeight="true" outlineLevel="0" collapsed="false">
      <c r="A496" s="22" t="s">
        <v>1974</v>
      </c>
      <c r="B496" s="22" t="s">
        <v>504</v>
      </c>
      <c r="C496" s="23" t="n">
        <v>45989</v>
      </c>
      <c r="D496" s="23" t="n">
        <v>45989</v>
      </c>
      <c r="E496" s="22" t="n">
        <v>0</v>
      </c>
      <c r="F496" s="22"/>
      <c r="G496" s="22" t="s">
        <v>1806</v>
      </c>
      <c r="H496" s="22" t="s">
        <v>1975</v>
      </c>
      <c r="I496" s="22" t="s">
        <v>1976</v>
      </c>
      <c r="J496" s="22" t="s">
        <v>459</v>
      </c>
      <c r="K496" s="22"/>
      <c r="L496" s="22"/>
    </row>
    <row r="497" customFormat="false" ht="14.25" hidden="true" customHeight="true" outlineLevel="0" collapsed="false">
      <c r="A497" s="22" t="s">
        <v>1977</v>
      </c>
      <c r="B497" s="22" t="s">
        <v>455</v>
      </c>
      <c r="C497" s="23" t="n">
        <v>45989</v>
      </c>
      <c r="D497" s="22"/>
      <c r="E497" s="22" t="n">
        <v>0</v>
      </c>
      <c r="F497" s="22"/>
      <c r="G497" s="22" t="s">
        <v>1978</v>
      </c>
      <c r="H497" s="22" t="s">
        <v>1979</v>
      </c>
      <c r="I497" s="22" t="s">
        <v>1980</v>
      </c>
      <c r="J497" s="22" t="s">
        <v>459</v>
      </c>
      <c r="K497" s="22"/>
      <c r="L497" s="22"/>
    </row>
    <row r="498" customFormat="false" ht="14.25" hidden="true" customHeight="true" outlineLevel="0" collapsed="false">
      <c r="A498" s="22" t="s">
        <v>1981</v>
      </c>
      <c r="B498" s="22" t="s">
        <v>455</v>
      </c>
      <c r="C498" s="23" t="n">
        <v>45992</v>
      </c>
      <c r="D498" s="22"/>
      <c r="E498" s="22" t="n">
        <v>0</v>
      </c>
      <c r="F498" s="22"/>
      <c r="G498" s="22" t="s">
        <v>1982</v>
      </c>
      <c r="H498" s="22" t="s">
        <v>1611</v>
      </c>
      <c r="I498" s="22" t="s">
        <v>1983</v>
      </c>
      <c r="J498" s="22" t="s">
        <v>459</v>
      </c>
      <c r="K498" s="22"/>
      <c r="L498" s="22"/>
    </row>
    <row r="499" customFormat="false" ht="14.25" hidden="true" customHeight="true" outlineLevel="0" collapsed="false">
      <c r="A499" s="22" t="s">
        <v>1984</v>
      </c>
      <c r="B499" s="22" t="s">
        <v>455</v>
      </c>
      <c r="C499" s="23" t="n">
        <v>45992</v>
      </c>
      <c r="D499" s="22"/>
      <c r="E499" s="22" t="n">
        <v>0</v>
      </c>
      <c r="F499" s="22"/>
      <c r="G499" s="22" t="s">
        <v>470</v>
      </c>
      <c r="H499" s="22" t="s">
        <v>477</v>
      </c>
      <c r="I499" s="22" t="s">
        <v>1985</v>
      </c>
      <c r="J499" s="22" t="s">
        <v>459</v>
      </c>
      <c r="K499" s="22"/>
      <c r="L499" s="22"/>
    </row>
    <row r="500" customFormat="false" ht="14.25" hidden="true" customHeight="true" outlineLevel="0" collapsed="false">
      <c r="A500" s="22" t="s">
        <v>1986</v>
      </c>
      <c r="B500" s="22" t="s">
        <v>504</v>
      </c>
      <c r="C500" s="23" t="n">
        <v>45993</v>
      </c>
      <c r="D500" s="23" t="n">
        <v>46023</v>
      </c>
      <c r="E500" s="22" t="n">
        <v>1</v>
      </c>
      <c r="F500" s="22" t="s">
        <v>1987</v>
      </c>
      <c r="G500" s="22" t="s">
        <v>1701</v>
      </c>
      <c r="H500" s="22" t="s">
        <v>1988</v>
      </c>
      <c r="I500" s="22" t="s">
        <v>1989</v>
      </c>
      <c r="J500" s="22" t="s">
        <v>459</v>
      </c>
      <c r="K500" s="22" t="s">
        <v>473</v>
      </c>
      <c r="L500" s="22" t="s">
        <v>554</v>
      </c>
    </row>
    <row r="501" customFormat="false" ht="14.25" hidden="true" customHeight="true" outlineLevel="0" collapsed="false">
      <c r="A501" s="22" t="s">
        <v>1990</v>
      </c>
      <c r="B501" s="22" t="s">
        <v>504</v>
      </c>
      <c r="C501" s="23" t="n">
        <v>45994</v>
      </c>
      <c r="D501" s="23" t="n">
        <v>46055</v>
      </c>
      <c r="E501" s="22" t="n">
        <v>0</v>
      </c>
      <c r="F501" s="22"/>
      <c r="G501" s="22" t="s">
        <v>1991</v>
      </c>
      <c r="H501" s="22" t="s">
        <v>1992</v>
      </c>
      <c r="I501" s="22" t="s">
        <v>1993</v>
      </c>
      <c r="J501" s="22" t="s">
        <v>459</v>
      </c>
      <c r="K501" s="22"/>
      <c r="L501" s="22"/>
    </row>
    <row r="502" customFormat="false" ht="14.25" hidden="true" customHeight="true" outlineLevel="0" collapsed="false">
      <c r="A502" s="22" t="s">
        <v>1994</v>
      </c>
      <c r="B502" s="22" t="s">
        <v>455</v>
      </c>
      <c r="C502" s="23" t="n">
        <v>45994</v>
      </c>
      <c r="D502" s="23" t="n">
        <v>46023</v>
      </c>
      <c r="E502" s="22" t="n">
        <v>0</v>
      </c>
      <c r="F502" s="22"/>
      <c r="G502" s="22" t="s">
        <v>1995</v>
      </c>
      <c r="H502" s="22" t="s">
        <v>1996</v>
      </c>
      <c r="I502" s="22" t="s">
        <v>1997</v>
      </c>
      <c r="J502" s="22" t="s">
        <v>459</v>
      </c>
      <c r="K502" s="22"/>
      <c r="L502" s="22"/>
    </row>
    <row r="503" customFormat="false" ht="14.25" hidden="true" customHeight="true" outlineLevel="0" collapsed="false">
      <c r="A503" s="22" t="s">
        <v>1998</v>
      </c>
      <c r="B503" s="22" t="s">
        <v>455</v>
      </c>
      <c r="C503" s="23" t="n">
        <v>45995</v>
      </c>
      <c r="D503" s="23" t="n">
        <v>46023</v>
      </c>
      <c r="E503" s="22" t="n">
        <v>1</v>
      </c>
      <c r="F503" s="22" t="s">
        <v>1999</v>
      </c>
      <c r="G503" s="22" t="s">
        <v>2000</v>
      </c>
      <c r="H503" s="22" t="s">
        <v>2001</v>
      </c>
      <c r="I503" s="22" t="s">
        <v>2002</v>
      </c>
      <c r="J503" s="22" t="s">
        <v>459</v>
      </c>
      <c r="K503" s="22" t="s">
        <v>473</v>
      </c>
      <c r="L503" s="22" t="s">
        <v>1193</v>
      </c>
    </row>
    <row r="504" customFormat="false" ht="14.25" hidden="true" customHeight="true" outlineLevel="0" collapsed="false">
      <c r="A504" s="22" t="s">
        <v>2003</v>
      </c>
      <c r="B504" s="22" t="s">
        <v>455</v>
      </c>
      <c r="C504" s="23" t="n">
        <v>45996</v>
      </c>
      <c r="D504" s="22"/>
      <c r="E504" s="22" t="n">
        <v>0</v>
      </c>
      <c r="F504" s="22"/>
      <c r="G504" s="22" t="s">
        <v>465</v>
      </c>
      <c r="H504" s="22" t="s">
        <v>492</v>
      </c>
      <c r="I504" s="22" t="s">
        <v>2004</v>
      </c>
      <c r="J504" s="22" t="s">
        <v>459</v>
      </c>
      <c r="K504" s="22"/>
      <c r="L504" s="22"/>
    </row>
    <row r="505" customFormat="false" ht="14.25" hidden="true" customHeight="true" outlineLevel="0" collapsed="false">
      <c r="A505" s="22" t="s">
        <v>2005</v>
      </c>
      <c r="B505" s="22" t="s">
        <v>455</v>
      </c>
      <c r="C505" s="23" t="n">
        <v>45999</v>
      </c>
      <c r="D505" s="22"/>
      <c r="E505" s="22" t="n">
        <v>1</v>
      </c>
      <c r="F505" s="22" t="s">
        <v>1250</v>
      </c>
      <c r="G505" s="22" t="s">
        <v>470</v>
      </c>
      <c r="H505" s="22" t="s">
        <v>477</v>
      </c>
      <c r="I505" s="22" t="s">
        <v>2006</v>
      </c>
      <c r="J505" s="22" t="s">
        <v>459</v>
      </c>
      <c r="K505" s="22" t="s">
        <v>473</v>
      </c>
      <c r="L505" s="22" t="s">
        <v>474</v>
      </c>
    </row>
    <row r="506" customFormat="false" ht="14.25" hidden="true" customHeight="true" outlineLevel="0" collapsed="false">
      <c r="A506" s="22" t="s">
        <v>2007</v>
      </c>
      <c r="B506" s="22" t="s">
        <v>455</v>
      </c>
      <c r="C506" s="23" t="n">
        <v>45999</v>
      </c>
      <c r="D506" s="22"/>
      <c r="E506" s="22" t="n">
        <v>0</v>
      </c>
      <c r="F506" s="22"/>
      <c r="G506" s="22" t="s">
        <v>461</v>
      </c>
      <c r="H506" s="22" t="s">
        <v>462</v>
      </c>
      <c r="I506" s="22" t="s">
        <v>2008</v>
      </c>
      <c r="J506" s="22" t="s">
        <v>459</v>
      </c>
      <c r="K506" s="22"/>
      <c r="L506" s="22"/>
    </row>
    <row r="507" customFormat="false" ht="14.25" hidden="true" customHeight="true" outlineLevel="0" collapsed="false">
      <c r="A507" s="22" t="s">
        <v>2009</v>
      </c>
      <c r="B507" s="22" t="s">
        <v>455</v>
      </c>
      <c r="C507" s="23" t="n">
        <v>45999</v>
      </c>
      <c r="D507" s="22"/>
      <c r="E507" s="22" t="n">
        <v>0</v>
      </c>
      <c r="F507" s="22"/>
      <c r="G507" s="22" t="s">
        <v>2010</v>
      </c>
      <c r="H507" s="22" t="s">
        <v>2011</v>
      </c>
      <c r="I507" s="22" t="s">
        <v>2012</v>
      </c>
      <c r="J507" s="22" t="s">
        <v>459</v>
      </c>
      <c r="K507" s="22"/>
      <c r="L507" s="22"/>
    </row>
    <row r="508" customFormat="false" ht="14.25" hidden="true" customHeight="true" outlineLevel="0" collapsed="false">
      <c r="A508" s="22" t="s">
        <v>2013</v>
      </c>
      <c r="B508" s="22" t="s">
        <v>455</v>
      </c>
      <c r="C508" s="23" t="n">
        <v>45999</v>
      </c>
      <c r="D508" s="22"/>
      <c r="E508" s="22" t="n">
        <v>0</v>
      </c>
      <c r="F508" s="22"/>
      <c r="G508" s="22" t="s">
        <v>465</v>
      </c>
      <c r="H508" s="22" t="s">
        <v>492</v>
      </c>
      <c r="I508" s="22" t="s">
        <v>2014</v>
      </c>
      <c r="J508" s="22" t="s">
        <v>459</v>
      </c>
      <c r="K508" s="22"/>
      <c r="L508" s="22"/>
    </row>
    <row r="509" customFormat="false" ht="14.25" hidden="true" customHeight="true" outlineLevel="0" collapsed="false">
      <c r="A509" s="22" t="s">
        <v>2015</v>
      </c>
      <c r="B509" s="22" t="s">
        <v>455</v>
      </c>
      <c r="C509" s="23" t="n">
        <v>45999</v>
      </c>
      <c r="D509" s="22"/>
      <c r="E509" s="22" t="n">
        <v>0</v>
      </c>
      <c r="F509" s="22"/>
      <c r="G509" s="22" t="s">
        <v>2016</v>
      </c>
      <c r="H509" s="22" t="s">
        <v>2017</v>
      </c>
      <c r="I509" s="22" t="s">
        <v>2018</v>
      </c>
      <c r="J509" s="22" t="s">
        <v>459</v>
      </c>
      <c r="K509" s="22"/>
      <c r="L509" s="22"/>
    </row>
    <row r="510" customFormat="false" ht="14.25" hidden="true" customHeight="true" outlineLevel="0" collapsed="false">
      <c r="A510" s="22" t="s">
        <v>2019</v>
      </c>
      <c r="B510" s="22" t="s">
        <v>455</v>
      </c>
      <c r="C510" s="23" t="n">
        <v>45999</v>
      </c>
      <c r="D510" s="22"/>
      <c r="E510" s="22" t="n">
        <v>0</v>
      </c>
      <c r="F510" s="22"/>
      <c r="G510" s="22" t="s">
        <v>2020</v>
      </c>
      <c r="H510" s="22" t="s">
        <v>2021</v>
      </c>
      <c r="I510" s="22" t="s">
        <v>2022</v>
      </c>
      <c r="J510" s="22" t="s">
        <v>459</v>
      </c>
      <c r="K510" s="22"/>
      <c r="L510" s="22"/>
    </row>
    <row r="511" customFormat="false" ht="14.25" hidden="true" customHeight="true" outlineLevel="0" collapsed="false">
      <c r="A511" s="22" t="s">
        <v>2023</v>
      </c>
      <c r="B511" s="22" t="s">
        <v>455</v>
      </c>
      <c r="C511" s="23" t="n">
        <v>46001</v>
      </c>
      <c r="D511" s="22"/>
      <c r="E511" s="22" t="n">
        <v>0</v>
      </c>
      <c r="F511" s="22"/>
      <c r="G511" s="22" t="s">
        <v>465</v>
      </c>
      <c r="H511" s="22" t="s">
        <v>492</v>
      </c>
      <c r="I511" s="22" t="s">
        <v>2024</v>
      </c>
      <c r="J511" s="22" t="s">
        <v>459</v>
      </c>
      <c r="K511" s="22"/>
      <c r="L511" s="22"/>
    </row>
    <row r="512" customFormat="false" ht="14.25" hidden="true" customHeight="true" outlineLevel="0" collapsed="false">
      <c r="A512" s="22" t="s">
        <v>2025</v>
      </c>
      <c r="B512" s="22" t="s">
        <v>455</v>
      </c>
      <c r="C512" s="23" t="n">
        <v>46002</v>
      </c>
      <c r="D512" s="22"/>
      <c r="E512" s="22" t="n">
        <v>1</v>
      </c>
      <c r="F512" s="22" t="s">
        <v>635</v>
      </c>
      <c r="G512" s="22" t="s">
        <v>465</v>
      </c>
      <c r="H512" s="22" t="s">
        <v>492</v>
      </c>
      <c r="I512" s="22" t="s">
        <v>2026</v>
      </c>
      <c r="J512" s="22" t="s">
        <v>459</v>
      </c>
      <c r="K512" s="22" t="s">
        <v>473</v>
      </c>
      <c r="L512" s="22" t="s">
        <v>474</v>
      </c>
    </row>
    <row r="513" customFormat="false" ht="14.25" hidden="true" customHeight="true" outlineLevel="0" collapsed="false">
      <c r="A513" s="22" t="s">
        <v>2027</v>
      </c>
      <c r="B513" s="22" t="s">
        <v>455</v>
      </c>
      <c r="C513" s="23" t="n">
        <v>46002</v>
      </c>
      <c r="D513" s="22"/>
      <c r="E513" s="22" t="n">
        <v>0</v>
      </c>
      <c r="F513" s="22"/>
      <c r="G513" s="22" t="s">
        <v>470</v>
      </c>
      <c r="H513" s="22" t="s">
        <v>477</v>
      </c>
      <c r="I513" s="22" t="s">
        <v>2028</v>
      </c>
      <c r="J513" s="22" t="s">
        <v>459</v>
      </c>
      <c r="K513" s="22"/>
      <c r="L513" s="22"/>
    </row>
    <row r="514" customFormat="false" ht="14.25" hidden="true" customHeight="true" outlineLevel="0" collapsed="false">
      <c r="A514" s="22" t="s">
        <v>2029</v>
      </c>
      <c r="B514" s="22" t="s">
        <v>483</v>
      </c>
      <c r="C514" s="23" t="n">
        <v>46002</v>
      </c>
      <c r="D514" s="22"/>
      <c r="E514" s="22" t="n">
        <v>1</v>
      </c>
      <c r="F514" s="22" t="s">
        <v>2030</v>
      </c>
      <c r="G514" s="22" t="s">
        <v>833</v>
      </c>
      <c r="H514" s="22" t="s">
        <v>2031</v>
      </c>
      <c r="I514" s="22" t="s">
        <v>2032</v>
      </c>
      <c r="J514" s="22" t="s">
        <v>459</v>
      </c>
      <c r="K514" s="22" t="s">
        <v>473</v>
      </c>
      <c r="L514" s="22" t="s">
        <v>554</v>
      </c>
    </row>
    <row r="515" customFormat="false" ht="14.25" hidden="true" customHeight="true" outlineLevel="0" collapsed="false">
      <c r="A515" s="22" t="s">
        <v>2033</v>
      </c>
      <c r="B515" s="22" t="s">
        <v>455</v>
      </c>
      <c r="C515" s="23" t="n">
        <v>46007</v>
      </c>
      <c r="D515" s="22"/>
      <c r="E515" s="22" t="n">
        <v>1</v>
      </c>
      <c r="F515" s="22" t="s">
        <v>2034</v>
      </c>
      <c r="G515" s="22" t="s">
        <v>470</v>
      </c>
      <c r="H515" s="22" t="s">
        <v>477</v>
      </c>
      <c r="I515" s="22" t="s">
        <v>2035</v>
      </c>
      <c r="J515" s="22" t="s">
        <v>459</v>
      </c>
      <c r="K515" s="22" t="s">
        <v>473</v>
      </c>
      <c r="L515" s="22" t="s">
        <v>474</v>
      </c>
    </row>
    <row r="516" customFormat="false" ht="14.25" hidden="true" customHeight="true" outlineLevel="0" collapsed="false">
      <c r="A516" s="22" t="s">
        <v>2036</v>
      </c>
      <c r="B516" s="22" t="s">
        <v>455</v>
      </c>
      <c r="C516" s="23" t="n">
        <v>46007</v>
      </c>
      <c r="D516" s="22"/>
      <c r="E516" s="22" t="n">
        <v>0</v>
      </c>
      <c r="F516" s="22"/>
      <c r="G516" s="22" t="s">
        <v>465</v>
      </c>
      <c r="H516" s="22" t="s">
        <v>492</v>
      </c>
      <c r="I516" s="22" t="s">
        <v>2037</v>
      </c>
      <c r="J516" s="22" t="s">
        <v>459</v>
      </c>
      <c r="K516" s="22"/>
      <c r="L516" s="22"/>
    </row>
    <row r="517" customFormat="false" ht="14.25" hidden="true" customHeight="true" outlineLevel="0" collapsed="false">
      <c r="A517" s="22" t="s">
        <v>2038</v>
      </c>
      <c r="B517" s="22" t="s">
        <v>504</v>
      </c>
      <c r="C517" s="23" t="n">
        <v>46008</v>
      </c>
      <c r="D517" s="23" t="n">
        <v>46008</v>
      </c>
      <c r="E517" s="22" t="n">
        <v>0</v>
      </c>
      <c r="F517" s="22"/>
      <c r="G517" s="22" t="s">
        <v>2039</v>
      </c>
      <c r="H517" s="22" t="s">
        <v>2040</v>
      </c>
      <c r="I517" s="22" t="s">
        <v>2041</v>
      </c>
      <c r="J517" s="22" t="s">
        <v>459</v>
      </c>
      <c r="K517" s="22"/>
      <c r="L517" s="22"/>
    </row>
    <row r="518" customFormat="false" ht="14.25" hidden="true" customHeight="true" outlineLevel="0" collapsed="false">
      <c r="A518" s="22" t="s">
        <v>2042</v>
      </c>
      <c r="B518" s="22" t="s">
        <v>455</v>
      </c>
      <c r="C518" s="23" t="n">
        <v>46008</v>
      </c>
      <c r="D518" s="22"/>
      <c r="E518" s="22" t="n">
        <v>1</v>
      </c>
      <c r="F518" s="22" t="s">
        <v>950</v>
      </c>
      <c r="G518" s="22" t="s">
        <v>470</v>
      </c>
      <c r="H518" s="22" t="s">
        <v>477</v>
      </c>
      <c r="I518" s="22" t="s">
        <v>2043</v>
      </c>
      <c r="J518" s="22" t="s">
        <v>459</v>
      </c>
      <c r="K518" s="22" t="s">
        <v>473</v>
      </c>
      <c r="L518" s="22" t="s">
        <v>474</v>
      </c>
    </row>
    <row r="519" customFormat="false" ht="14.25" hidden="true" customHeight="true" outlineLevel="0" collapsed="false">
      <c r="A519" s="22" t="s">
        <v>2044</v>
      </c>
      <c r="B519" s="22" t="s">
        <v>455</v>
      </c>
      <c r="C519" s="23" t="n">
        <v>46010</v>
      </c>
      <c r="D519" s="22"/>
      <c r="E519" s="22" t="n">
        <v>0</v>
      </c>
      <c r="F519" s="22"/>
      <c r="G519" s="22" t="s">
        <v>2045</v>
      </c>
      <c r="H519" s="22" t="s">
        <v>2046</v>
      </c>
      <c r="I519" s="22" t="s">
        <v>2047</v>
      </c>
      <c r="J519" s="22" t="s">
        <v>459</v>
      </c>
      <c r="K519" s="22"/>
      <c r="L519" s="22"/>
    </row>
    <row r="520" customFormat="false" ht="14.25" hidden="true" customHeight="true" outlineLevel="0" collapsed="false">
      <c r="A520" s="22" t="s">
        <v>2048</v>
      </c>
      <c r="B520" s="22" t="s">
        <v>483</v>
      </c>
      <c r="C520" s="23" t="n">
        <v>46010</v>
      </c>
      <c r="D520" s="22"/>
      <c r="E520" s="22" t="n">
        <v>0</v>
      </c>
      <c r="F520" s="22"/>
      <c r="G520" s="22" t="s">
        <v>2049</v>
      </c>
      <c r="H520" s="22" t="s">
        <v>2050</v>
      </c>
      <c r="I520" s="22" t="s">
        <v>2051</v>
      </c>
      <c r="J520" s="22" t="s">
        <v>459</v>
      </c>
      <c r="K520" s="22"/>
      <c r="L520" s="22"/>
    </row>
    <row r="521" customFormat="false" ht="14.25" hidden="true" customHeight="true" outlineLevel="0" collapsed="false">
      <c r="A521" s="22" t="s">
        <v>2052</v>
      </c>
      <c r="B521" s="22" t="s">
        <v>483</v>
      </c>
      <c r="C521" s="23" t="n">
        <v>46010</v>
      </c>
      <c r="D521" s="22"/>
      <c r="E521" s="22" t="n">
        <v>0</v>
      </c>
      <c r="F521" s="22"/>
      <c r="G521" s="22" t="s">
        <v>2053</v>
      </c>
      <c r="H521" s="22" t="s">
        <v>2054</v>
      </c>
      <c r="I521" s="22" t="s">
        <v>2055</v>
      </c>
      <c r="J521" s="22" t="s">
        <v>459</v>
      </c>
      <c r="K521" s="22"/>
      <c r="L521" s="22"/>
    </row>
    <row r="522" customFormat="false" ht="14.25" hidden="true" customHeight="true" outlineLevel="0" collapsed="false">
      <c r="A522" s="22" t="s">
        <v>2056</v>
      </c>
      <c r="B522" s="22" t="s">
        <v>455</v>
      </c>
      <c r="C522" s="23" t="n">
        <v>46013</v>
      </c>
      <c r="D522" s="22"/>
      <c r="E522" s="22" t="n">
        <v>0</v>
      </c>
      <c r="F522" s="22"/>
      <c r="G522" s="22" t="s">
        <v>470</v>
      </c>
      <c r="H522" s="22" t="s">
        <v>477</v>
      </c>
      <c r="I522" s="22" t="s">
        <v>2057</v>
      </c>
      <c r="J522" s="22" t="s">
        <v>459</v>
      </c>
      <c r="K522" s="22"/>
      <c r="L522" s="22"/>
    </row>
    <row r="523" customFormat="false" ht="14.25" hidden="true" customHeight="true" outlineLevel="0" collapsed="false">
      <c r="A523" s="22" t="s">
        <v>2058</v>
      </c>
      <c r="B523" s="22" t="s">
        <v>455</v>
      </c>
      <c r="C523" s="23" t="n">
        <v>46013</v>
      </c>
      <c r="D523" s="22"/>
      <c r="E523" s="22" t="n">
        <v>0</v>
      </c>
      <c r="F523" s="22"/>
      <c r="G523" s="22" t="s">
        <v>465</v>
      </c>
      <c r="H523" s="22" t="s">
        <v>492</v>
      </c>
      <c r="I523" s="22" t="s">
        <v>2059</v>
      </c>
      <c r="J523" s="22" t="s">
        <v>459</v>
      </c>
      <c r="K523" s="22"/>
      <c r="L523" s="22"/>
    </row>
    <row r="524" customFormat="false" ht="14.25" hidden="true" customHeight="true" outlineLevel="0" collapsed="false">
      <c r="A524" s="22" t="s">
        <v>2060</v>
      </c>
      <c r="B524" s="22" t="s">
        <v>455</v>
      </c>
      <c r="C524" s="23" t="n">
        <v>46013</v>
      </c>
      <c r="D524" s="22"/>
      <c r="E524" s="22" t="n">
        <v>1</v>
      </c>
      <c r="F524" s="22" t="s">
        <v>2061</v>
      </c>
      <c r="G524" s="22" t="s">
        <v>465</v>
      </c>
      <c r="H524" s="22" t="s">
        <v>492</v>
      </c>
      <c r="I524" s="22" t="s">
        <v>2062</v>
      </c>
      <c r="J524" s="22" t="s">
        <v>459</v>
      </c>
      <c r="K524" s="22" t="s">
        <v>473</v>
      </c>
      <c r="L524" s="22" t="s">
        <v>474</v>
      </c>
    </row>
    <row r="525" customFormat="false" ht="14.25" hidden="true" customHeight="true" outlineLevel="0" collapsed="false">
      <c r="A525" s="22" t="s">
        <v>2063</v>
      </c>
      <c r="B525" s="22" t="s">
        <v>455</v>
      </c>
      <c r="C525" s="23" t="n">
        <v>46013</v>
      </c>
      <c r="D525" s="23" t="n">
        <v>46009</v>
      </c>
      <c r="E525" s="22" t="n">
        <v>0</v>
      </c>
      <c r="F525" s="22"/>
      <c r="G525" s="22" t="s">
        <v>2064</v>
      </c>
      <c r="H525" s="22" t="s">
        <v>2065</v>
      </c>
      <c r="I525" s="22" t="s">
        <v>2066</v>
      </c>
      <c r="J525" s="22" t="s">
        <v>459</v>
      </c>
      <c r="K525" s="22"/>
      <c r="L525" s="22"/>
    </row>
    <row r="526" customFormat="false" ht="14.25" hidden="false" customHeight="true" outlineLevel="0" collapsed="false">
      <c r="A526" s="15" t="s">
        <v>2067</v>
      </c>
      <c r="B526" s="15" t="s">
        <v>483</v>
      </c>
      <c r="C526" s="24" t="n">
        <v>45792</v>
      </c>
      <c r="D526" s="15"/>
      <c r="E526" s="15" t="n">
        <v>1</v>
      </c>
      <c r="F526" s="15" t="s">
        <v>488</v>
      </c>
      <c r="G526" s="15" t="s">
        <v>2068</v>
      </c>
      <c r="H526" s="15" t="s">
        <v>2069</v>
      </c>
      <c r="I526" s="15" t="s">
        <v>2070</v>
      </c>
      <c r="J526" s="15" t="s">
        <v>459</v>
      </c>
      <c r="K526" s="15" t="s">
        <v>1199</v>
      </c>
      <c r="L526" s="15" t="s">
        <v>1340</v>
      </c>
    </row>
    <row r="527" customFormat="false" ht="14.25" hidden="false" customHeight="true" outlineLevel="0" collapsed="false">
      <c r="A527" s="15" t="s">
        <v>2071</v>
      </c>
      <c r="B527" s="15" t="s">
        <v>455</v>
      </c>
      <c r="C527" s="24" t="n">
        <v>45793</v>
      </c>
      <c r="D527" s="15"/>
      <c r="E527" s="15" t="n">
        <v>1</v>
      </c>
      <c r="F527" s="15" t="s">
        <v>1944</v>
      </c>
      <c r="G527" s="15" t="s">
        <v>2072</v>
      </c>
      <c r="H527" s="15" t="s">
        <v>2073</v>
      </c>
      <c r="I527" s="15" t="s">
        <v>2074</v>
      </c>
      <c r="J527" s="15" t="s">
        <v>459</v>
      </c>
      <c r="K527" s="15" t="s">
        <v>1199</v>
      </c>
      <c r="L527" s="15" t="s">
        <v>1244</v>
      </c>
    </row>
    <row r="528" customFormat="false" ht="14.25" hidden="true" customHeight="true" outlineLevel="0" collapsed="false">
      <c r="A528" s="22" t="s">
        <v>2075</v>
      </c>
      <c r="B528" s="22" t="s">
        <v>455</v>
      </c>
      <c r="C528" s="23" t="n">
        <v>46021</v>
      </c>
      <c r="D528" s="22"/>
      <c r="E528" s="22" t="n">
        <v>0</v>
      </c>
      <c r="F528" s="22"/>
      <c r="G528" s="22" t="s">
        <v>470</v>
      </c>
      <c r="H528" s="22" t="s">
        <v>477</v>
      </c>
      <c r="I528" s="22" t="s">
        <v>2076</v>
      </c>
      <c r="J528" s="22" t="s">
        <v>459</v>
      </c>
      <c r="K528" s="22"/>
      <c r="L528" s="22"/>
    </row>
    <row r="529" customFormat="false" ht="14.25" hidden="true" customHeight="true" outlineLevel="0" collapsed="false">
      <c r="A529" s="22" t="s">
        <v>2077</v>
      </c>
      <c r="B529" s="22" t="s">
        <v>455</v>
      </c>
      <c r="C529" s="23" t="n">
        <v>46021</v>
      </c>
      <c r="D529" s="22"/>
      <c r="E529" s="22" t="n">
        <v>0</v>
      </c>
      <c r="F529" s="22"/>
      <c r="G529" s="22" t="s">
        <v>470</v>
      </c>
      <c r="H529" s="22" t="s">
        <v>2078</v>
      </c>
      <c r="I529" s="22" t="s">
        <v>2079</v>
      </c>
      <c r="J529" s="22" t="s">
        <v>459</v>
      </c>
      <c r="K529" s="22"/>
      <c r="L529" s="22"/>
    </row>
    <row r="530" customFormat="false" ht="14.25" hidden="true" customHeight="true" outlineLevel="0" collapsed="false">
      <c r="A530" s="22" t="s">
        <v>2080</v>
      </c>
      <c r="B530" s="22" t="s">
        <v>504</v>
      </c>
      <c r="C530" s="23" t="n">
        <v>46035</v>
      </c>
      <c r="D530" s="23" t="n">
        <v>46125</v>
      </c>
      <c r="E530" s="22" t="n">
        <v>0</v>
      </c>
      <c r="F530" s="22"/>
      <c r="G530" s="22" t="s">
        <v>2081</v>
      </c>
      <c r="H530" s="22" t="s">
        <v>821</v>
      </c>
      <c r="I530" s="22" t="s">
        <v>2082</v>
      </c>
      <c r="J530" s="22" t="s">
        <v>459</v>
      </c>
      <c r="K530" s="22"/>
      <c r="L530" s="22"/>
    </row>
    <row r="531" customFormat="false" ht="14.25" hidden="true" customHeight="true" outlineLevel="0" collapsed="false">
      <c r="A531" s="22" t="s">
        <v>2083</v>
      </c>
      <c r="B531" s="22" t="s">
        <v>455</v>
      </c>
      <c r="C531" s="23" t="n">
        <v>46036</v>
      </c>
      <c r="D531" s="22"/>
      <c r="E531" s="22" t="n">
        <v>0</v>
      </c>
      <c r="F531" s="22"/>
      <c r="G531" s="22" t="s">
        <v>2084</v>
      </c>
      <c r="H531" s="22"/>
      <c r="I531" s="22" t="s">
        <v>2085</v>
      </c>
      <c r="J531" s="22" t="s">
        <v>459</v>
      </c>
      <c r="K531" s="22"/>
      <c r="L531" s="22"/>
    </row>
    <row r="532" customFormat="false" ht="14.25" hidden="true" customHeight="true" outlineLevel="0" collapsed="false">
      <c r="A532" s="22" t="s">
        <v>2086</v>
      </c>
      <c r="B532" s="22" t="s">
        <v>455</v>
      </c>
      <c r="C532" s="23" t="n">
        <v>46042</v>
      </c>
      <c r="D532" s="22"/>
      <c r="E532" s="22" t="n">
        <v>0</v>
      </c>
      <c r="F532" s="22"/>
      <c r="G532" s="22" t="s">
        <v>465</v>
      </c>
      <c r="H532" s="22" t="s">
        <v>492</v>
      </c>
      <c r="I532" s="22" t="s">
        <v>2087</v>
      </c>
      <c r="J532" s="22" t="s">
        <v>459</v>
      </c>
      <c r="K532" s="22"/>
      <c r="L532" s="22"/>
    </row>
    <row r="533" customFormat="false" ht="14.25" hidden="true" customHeight="true" outlineLevel="0" collapsed="false">
      <c r="A533" s="22" t="s">
        <v>2088</v>
      </c>
      <c r="B533" s="22" t="s">
        <v>455</v>
      </c>
      <c r="C533" s="23" t="n">
        <v>46042</v>
      </c>
      <c r="D533" s="22"/>
      <c r="E533" s="22" t="n">
        <v>0</v>
      </c>
      <c r="F533" s="22"/>
      <c r="G533" s="22" t="s">
        <v>470</v>
      </c>
      <c r="H533" s="22" t="s">
        <v>477</v>
      </c>
      <c r="I533" s="22" t="s">
        <v>2089</v>
      </c>
      <c r="J533" s="22" t="s">
        <v>459</v>
      </c>
      <c r="K533" s="22"/>
      <c r="L533" s="22"/>
    </row>
    <row r="534" customFormat="false" ht="14.25" hidden="true" customHeight="true" outlineLevel="0" collapsed="false">
      <c r="A534" s="22" t="s">
        <v>2090</v>
      </c>
      <c r="B534" s="22" t="s">
        <v>455</v>
      </c>
      <c r="C534" s="23" t="n">
        <v>46043</v>
      </c>
      <c r="D534" s="22"/>
      <c r="E534" s="22" t="n">
        <v>0</v>
      </c>
      <c r="F534" s="22"/>
      <c r="G534" s="22" t="s">
        <v>470</v>
      </c>
      <c r="H534" s="22" t="s">
        <v>477</v>
      </c>
      <c r="I534" s="22" t="s">
        <v>2091</v>
      </c>
      <c r="J534" s="22" t="s">
        <v>459</v>
      </c>
      <c r="K534" s="22"/>
      <c r="L534" s="22"/>
    </row>
    <row r="535" customFormat="false" ht="14.25" hidden="true" customHeight="true" outlineLevel="0" collapsed="false">
      <c r="A535" s="22" t="s">
        <v>2092</v>
      </c>
      <c r="B535" s="22" t="s">
        <v>455</v>
      </c>
      <c r="C535" s="23" t="n">
        <v>46043</v>
      </c>
      <c r="D535" s="22"/>
      <c r="E535" s="22" t="n">
        <v>0</v>
      </c>
      <c r="F535" s="22"/>
      <c r="G535" s="22" t="s">
        <v>470</v>
      </c>
      <c r="H535" s="22" t="s">
        <v>2078</v>
      </c>
      <c r="I535" s="22" t="s">
        <v>2093</v>
      </c>
      <c r="J535" s="22" t="s">
        <v>459</v>
      </c>
      <c r="K535" s="22"/>
      <c r="L535" s="22"/>
    </row>
    <row r="536" customFormat="false" ht="14.25" hidden="true" customHeight="true" outlineLevel="0" collapsed="false">
      <c r="A536" s="22" t="s">
        <v>2094</v>
      </c>
      <c r="B536" s="22" t="s">
        <v>455</v>
      </c>
      <c r="C536" s="23" t="n">
        <v>46044</v>
      </c>
      <c r="D536" s="22"/>
      <c r="E536" s="22" t="n">
        <v>0</v>
      </c>
      <c r="F536" s="22"/>
      <c r="G536" s="22" t="s">
        <v>465</v>
      </c>
      <c r="H536" s="22" t="s">
        <v>492</v>
      </c>
      <c r="I536" s="22" t="s">
        <v>2095</v>
      </c>
      <c r="J536" s="22" t="s">
        <v>459</v>
      </c>
      <c r="K536" s="22"/>
      <c r="L536" s="22"/>
    </row>
    <row r="537" customFormat="false" ht="14.25" hidden="true" customHeight="true" outlineLevel="0" collapsed="false">
      <c r="A537" s="22" t="s">
        <v>2096</v>
      </c>
      <c r="B537" s="22" t="s">
        <v>455</v>
      </c>
      <c r="C537" s="23" t="n">
        <v>46045</v>
      </c>
      <c r="D537" s="22"/>
      <c r="E537" s="22" t="n">
        <v>0</v>
      </c>
      <c r="F537" s="22"/>
      <c r="G537" s="22" t="s">
        <v>465</v>
      </c>
      <c r="H537" s="22" t="s">
        <v>492</v>
      </c>
      <c r="I537" s="22" t="s">
        <v>2097</v>
      </c>
      <c r="J537" s="22" t="s">
        <v>459</v>
      </c>
      <c r="K537" s="22"/>
      <c r="L537" s="22"/>
    </row>
    <row r="538" customFormat="false" ht="14.25" hidden="true" customHeight="true" outlineLevel="0" collapsed="false">
      <c r="A538" s="22" t="s">
        <v>2098</v>
      </c>
      <c r="B538" s="22" t="s">
        <v>455</v>
      </c>
      <c r="C538" s="23" t="n">
        <v>46049</v>
      </c>
      <c r="D538" s="22"/>
      <c r="E538" s="22" t="n">
        <v>0</v>
      </c>
      <c r="F538" s="22"/>
      <c r="G538" s="22" t="s">
        <v>465</v>
      </c>
      <c r="H538" s="22" t="s">
        <v>492</v>
      </c>
      <c r="I538" s="22" t="s">
        <v>2099</v>
      </c>
      <c r="J538" s="22" t="s">
        <v>459</v>
      </c>
      <c r="K538" s="22"/>
      <c r="L538" s="22"/>
    </row>
    <row r="539" customFormat="false" ht="14.25" hidden="true" customHeight="true" outlineLevel="0" collapsed="false">
      <c r="A539" s="22" t="s">
        <v>2100</v>
      </c>
      <c r="B539" s="22" t="s">
        <v>483</v>
      </c>
      <c r="C539" s="23" t="n">
        <v>46051</v>
      </c>
      <c r="D539" s="22"/>
      <c r="E539" s="22" t="n">
        <v>0</v>
      </c>
      <c r="F539" s="22"/>
      <c r="G539" s="22" t="s">
        <v>2101</v>
      </c>
      <c r="H539" s="22" t="s">
        <v>2102</v>
      </c>
      <c r="I539" s="22" t="s">
        <v>2103</v>
      </c>
      <c r="J539" s="22" t="s">
        <v>459</v>
      </c>
      <c r="K539" s="22"/>
      <c r="L539" s="22"/>
    </row>
    <row r="540" customFormat="false" ht="14.25" hidden="true" customHeight="true" outlineLevel="0" collapsed="false">
      <c r="A540" s="22" t="s">
        <v>2104</v>
      </c>
      <c r="B540" s="22" t="s">
        <v>455</v>
      </c>
      <c r="C540" s="23" t="n">
        <v>46051</v>
      </c>
      <c r="D540" s="22"/>
      <c r="E540" s="22" t="n">
        <v>1</v>
      </c>
      <c r="F540" s="22" t="s">
        <v>1944</v>
      </c>
      <c r="G540" s="22" t="s">
        <v>470</v>
      </c>
      <c r="H540" s="22" t="s">
        <v>477</v>
      </c>
      <c r="I540" s="22" t="s">
        <v>2105</v>
      </c>
      <c r="J540" s="22" t="s">
        <v>459</v>
      </c>
      <c r="K540" s="22" t="s">
        <v>473</v>
      </c>
      <c r="L540" s="22" t="s">
        <v>474</v>
      </c>
    </row>
    <row r="541" customFormat="false" ht="14.25" hidden="true" customHeight="true" outlineLevel="0" collapsed="false">
      <c r="A541" s="22" t="s">
        <v>2106</v>
      </c>
      <c r="B541" s="22" t="s">
        <v>483</v>
      </c>
      <c r="C541" s="23" t="n">
        <v>46052</v>
      </c>
      <c r="D541" s="22"/>
      <c r="E541" s="22" t="n">
        <v>0</v>
      </c>
      <c r="F541" s="22"/>
      <c r="G541" s="22" t="s">
        <v>2107</v>
      </c>
      <c r="H541" s="22" t="s">
        <v>2108</v>
      </c>
      <c r="I541" s="22" t="s">
        <v>2109</v>
      </c>
      <c r="J541" s="22" t="s">
        <v>459</v>
      </c>
      <c r="K541" s="22"/>
      <c r="L541" s="22"/>
    </row>
    <row r="542" customFormat="false" ht="14.25" hidden="false" customHeight="true" outlineLevel="0" collapsed="false">
      <c r="A542" s="15" t="s">
        <v>2110</v>
      </c>
      <c r="B542" s="15" t="s">
        <v>504</v>
      </c>
      <c r="C542" s="24" t="n">
        <v>45806</v>
      </c>
      <c r="D542" s="24" t="n">
        <v>45806</v>
      </c>
      <c r="E542" s="15" t="n">
        <v>1</v>
      </c>
      <c r="F542" s="15" t="s">
        <v>488</v>
      </c>
      <c r="G542" s="15" t="s">
        <v>2111</v>
      </c>
      <c r="H542" s="15" t="s">
        <v>2112</v>
      </c>
      <c r="I542" s="15" t="s">
        <v>2113</v>
      </c>
      <c r="J542" s="15" t="s">
        <v>459</v>
      </c>
      <c r="K542" s="15" t="s">
        <v>1199</v>
      </c>
      <c r="L542" s="15" t="s">
        <v>1340</v>
      </c>
    </row>
    <row r="543" customFormat="false" ht="14.25" hidden="true" customHeight="true" outlineLevel="0" collapsed="false">
      <c r="A543" s="22" t="s">
        <v>2114</v>
      </c>
      <c r="B543" s="22" t="s">
        <v>455</v>
      </c>
      <c r="C543" s="23" t="n">
        <v>46056</v>
      </c>
      <c r="D543" s="22"/>
      <c r="E543" s="22" t="n">
        <v>0</v>
      </c>
      <c r="F543" s="22"/>
      <c r="G543" s="22" t="s">
        <v>461</v>
      </c>
      <c r="H543" s="22" t="s">
        <v>462</v>
      </c>
      <c r="I543" s="22" t="s">
        <v>2115</v>
      </c>
      <c r="J543" s="22" t="s">
        <v>459</v>
      </c>
      <c r="K543" s="22"/>
      <c r="L543" s="22"/>
    </row>
    <row r="544" customFormat="false" ht="14.25" hidden="true" customHeight="true" outlineLevel="0" collapsed="false">
      <c r="A544" s="22" t="s">
        <v>2116</v>
      </c>
      <c r="B544" s="22" t="s">
        <v>455</v>
      </c>
      <c r="C544" s="23" t="n">
        <v>46056</v>
      </c>
      <c r="D544" s="22"/>
      <c r="E544" s="22" t="n">
        <v>1</v>
      </c>
      <c r="F544" s="22" t="s">
        <v>535</v>
      </c>
      <c r="G544" s="22" t="s">
        <v>470</v>
      </c>
      <c r="H544" s="22" t="s">
        <v>477</v>
      </c>
      <c r="I544" s="22" t="s">
        <v>2117</v>
      </c>
      <c r="J544" s="22" t="s">
        <v>459</v>
      </c>
      <c r="K544" s="22" t="s">
        <v>473</v>
      </c>
      <c r="L544" s="22" t="s">
        <v>474</v>
      </c>
    </row>
    <row r="545" customFormat="false" ht="14.25" hidden="true" customHeight="true" outlineLevel="0" collapsed="false">
      <c r="A545" s="22" t="s">
        <v>2118</v>
      </c>
      <c r="B545" s="22" t="s">
        <v>455</v>
      </c>
      <c r="C545" s="23" t="n">
        <v>46056</v>
      </c>
      <c r="D545" s="22"/>
      <c r="E545" s="22" t="n">
        <v>0</v>
      </c>
      <c r="F545" s="22"/>
      <c r="G545" s="22" t="s">
        <v>465</v>
      </c>
      <c r="H545" s="22" t="s">
        <v>492</v>
      </c>
      <c r="I545" s="22" t="s">
        <v>2119</v>
      </c>
      <c r="J545" s="22" t="s">
        <v>459</v>
      </c>
      <c r="K545" s="22"/>
      <c r="L545" s="22"/>
    </row>
    <row r="546" customFormat="false" ht="14.25" hidden="true" customHeight="true" outlineLevel="0" collapsed="false">
      <c r="A546" s="22" t="s">
        <v>2120</v>
      </c>
      <c r="B546" s="22" t="s">
        <v>455</v>
      </c>
      <c r="C546" s="23" t="n">
        <v>46057</v>
      </c>
      <c r="D546" s="22"/>
      <c r="E546" s="22" t="n">
        <v>0</v>
      </c>
      <c r="F546" s="22"/>
      <c r="G546" s="22" t="s">
        <v>465</v>
      </c>
      <c r="H546" s="22" t="s">
        <v>492</v>
      </c>
      <c r="I546" s="22" t="s">
        <v>2121</v>
      </c>
      <c r="J546" s="22" t="s">
        <v>459</v>
      </c>
      <c r="K546" s="22"/>
      <c r="L546" s="22"/>
    </row>
    <row r="547" customFormat="false" ht="14.25" hidden="true" customHeight="true" outlineLevel="0" collapsed="false">
      <c r="A547" s="22" t="s">
        <v>2122</v>
      </c>
      <c r="B547" s="22" t="s">
        <v>455</v>
      </c>
      <c r="C547" s="23" t="n">
        <v>46059</v>
      </c>
      <c r="D547" s="22"/>
      <c r="E547" s="22" t="n">
        <v>0</v>
      </c>
      <c r="F547" s="22"/>
      <c r="G547" s="22" t="s">
        <v>470</v>
      </c>
      <c r="H547" s="22" t="s">
        <v>477</v>
      </c>
      <c r="I547" s="22" t="s">
        <v>2123</v>
      </c>
      <c r="J547" s="22" t="s">
        <v>459</v>
      </c>
      <c r="K547" s="22"/>
      <c r="L547" s="22"/>
    </row>
    <row r="548" customFormat="false" ht="14.25" hidden="true" customHeight="true" outlineLevel="0" collapsed="false">
      <c r="A548" s="22" t="s">
        <v>2124</v>
      </c>
      <c r="B548" s="22" t="s">
        <v>455</v>
      </c>
      <c r="C548" s="23" t="n">
        <v>46059</v>
      </c>
      <c r="D548" s="22"/>
      <c r="E548" s="22" t="n">
        <v>0</v>
      </c>
      <c r="F548" s="22"/>
      <c r="G548" s="22" t="s">
        <v>465</v>
      </c>
      <c r="H548" s="22" t="s">
        <v>492</v>
      </c>
      <c r="I548" s="22" t="s">
        <v>2125</v>
      </c>
      <c r="J548" s="22" t="s">
        <v>459</v>
      </c>
      <c r="K548" s="22"/>
      <c r="L548" s="22"/>
    </row>
    <row r="549" customFormat="false" ht="14.25" hidden="true" customHeight="true" outlineLevel="0" collapsed="false">
      <c r="A549" s="22" t="s">
        <v>2126</v>
      </c>
      <c r="B549" s="22" t="s">
        <v>455</v>
      </c>
      <c r="C549" s="23" t="n">
        <v>46062</v>
      </c>
      <c r="D549" s="22"/>
      <c r="E549" s="22" t="n">
        <v>0</v>
      </c>
      <c r="F549" s="22"/>
      <c r="G549" s="22" t="s">
        <v>845</v>
      </c>
      <c r="H549" s="22" t="s">
        <v>2127</v>
      </c>
      <c r="I549" s="22" t="s">
        <v>2128</v>
      </c>
      <c r="J549" s="22" t="s">
        <v>459</v>
      </c>
      <c r="K549" s="22"/>
      <c r="L549" s="22"/>
    </row>
    <row r="550" customFormat="false" ht="14.25" hidden="true" customHeight="true" outlineLevel="0" collapsed="false">
      <c r="A550" s="22" t="s">
        <v>2129</v>
      </c>
      <c r="B550" s="22" t="s">
        <v>455</v>
      </c>
      <c r="C550" s="23" t="n">
        <v>46063</v>
      </c>
      <c r="D550" s="22"/>
      <c r="E550" s="22" t="n">
        <v>1</v>
      </c>
      <c r="F550" s="22" t="s">
        <v>2130</v>
      </c>
      <c r="G550" s="22" t="s">
        <v>465</v>
      </c>
      <c r="H550" s="22" t="s">
        <v>492</v>
      </c>
      <c r="I550" s="22" t="s">
        <v>2131</v>
      </c>
      <c r="J550" s="22" t="s">
        <v>459</v>
      </c>
      <c r="K550" s="22" t="s">
        <v>473</v>
      </c>
      <c r="L550" s="22" t="s">
        <v>474</v>
      </c>
    </row>
    <row r="551" customFormat="false" ht="14.25" hidden="false" customHeight="true" outlineLevel="0" collapsed="false">
      <c r="A551" s="15" t="s">
        <v>2132</v>
      </c>
      <c r="B551" s="15" t="s">
        <v>455</v>
      </c>
      <c r="C551" s="24" t="n">
        <v>45839</v>
      </c>
      <c r="D551" s="24" t="n">
        <v>46023</v>
      </c>
      <c r="E551" s="15" t="n">
        <v>1</v>
      </c>
      <c r="F551" s="15" t="s">
        <v>673</v>
      </c>
      <c r="G551" s="15" t="s">
        <v>2133</v>
      </c>
      <c r="H551" s="15" t="s">
        <v>2134</v>
      </c>
      <c r="I551" s="15" t="s">
        <v>2135</v>
      </c>
      <c r="J551" s="15" t="s">
        <v>459</v>
      </c>
      <c r="K551" s="15" t="s">
        <v>1199</v>
      </c>
      <c r="L551" s="15" t="s">
        <v>1244</v>
      </c>
    </row>
    <row r="552" customFormat="false" ht="14.25" hidden="true" customHeight="true" outlineLevel="0" collapsed="false">
      <c r="A552" s="22" t="s">
        <v>2136</v>
      </c>
      <c r="B552" s="22" t="s">
        <v>455</v>
      </c>
      <c r="C552" s="23" t="n">
        <v>46066</v>
      </c>
      <c r="D552" s="22"/>
      <c r="E552" s="22" t="n">
        <v>0</v>
      </c>
      <c r="F552" s="22"/>
      <c r="G552" s="22" t="s">
        <v>470</v>
      </c>
      <c r="H552" s="22" t="s">
        <v>2078</v>
      </c>
      <c r="I552" s="22" t="s">
        <v>2137</v>
      </c>
      <c r="J552" s="22" t="s">
        <v>459</v>
      </c>
      <c r="K552" s="22"/>
      <c r="L552" s="22"/>
    </row>
    <row r="553" customFormat="false" ht="14.25" hidden="true" customHeight="true" outlineLevel="0" collapsed="false">
      <c r="A553" s="22" t="s">
        <v>2138</v>
      </c>
      <c r="B553" s="22" t="s">
        <v>455</v>
      </c>
      <c r="C553" s="23" t="n">
        <v>46066</v>
      </c>
      <c r="D553" s="22"/>
      <c r="E553" s="22" t="n">
        <v>0</v>
      </c>
      <c r="F553" s="22"/>
      <c r="G553" s="22" t="s">
        <v>470</v>
      </c>
      <c r="H553" s="22" t="s">
        <v>477</v>
      </c>
      <c r="I553" s="22" t="s">
        <v>2139</v>
      </c>
      <c r="J553" s="22" t="s">
        <v>459</v>
      </c>
      <c r="K553" s="22"/>
      <c r="L553" s="22"/>
    </row>
    <row r="554" customFormat="false" ht="14.25" hidden="true" customHeight="true" outlineLevel="0" collapsed="false">
      <c r="A554" s="22" t="s">
        <v>2140</v>
      </c>
      <c r="B554" s="22" t="s">
        <v>455</v>
      </c>
      <c r="C554" s="23" t="n">
        <v>46066</v>
      </c>
      <c r="D554" s="22"/>
      <c r="E554" s="22" t="n">
        <v>0</v>
      </c>
      <c r="F554" s="22"/>
      <c r="G554" s="22" t="s">
        <v>470</v>
      </c>
      <c r="H554" s="22" t="s">
        <v>2078</v>
      </c>
      <c r="I554" s="22" t="s">
        <v>2141</v>
      </c>
      <c r="J554" s="22" t="s">
        <v>459</v>
      </c>
      <c r="K554" s="22"/>
      <c r="L554" s="22"/>
    </row>
    <row r="555" customFormat="false" ht="14.25" hidden="true" customHeight="true" outlineLevel="0" collapsed="false">
      <c r="A555" s="22" t="s">
        <v>2142</v>
      </c>
      <c r="B555" s="22" t="s">
        <v>455</v>
      </c>
      <c r="C555" s="23" t="n">
        <v>46066</v>
      </c>
      <c r="D555" s="22"/>
      <c r="E555" s="22" t="n">
        <v>1</v>
      </c>
      <c r="F555" s="22" t="s">
        <v>2143</v>
      </c>
      <c r="G555" s="22" t="s">
        <v>470</v>
      </c>
      <c r="H555" s="22" t="s">
        <v>477</v>
      </c>
      <c r="I555" s="22" t="s">
        <v>2144</v>
      </c>
      <c r="J555" s="22" t="s">
        <v>459</v>
      </c>
      <c r="K555" s="22" t="s">
        <v>473</v>
      </c>
      <c r="L555" s="22" t="s">
        <v>474</v>
      </c>
    </row>
    <row r="556" customFormat="false" ht="14.25" hidden="true" customHeight="true" outlineLevel="0" collapsed="false">
      <c r="A556" s="22" t="s">
        <v>2145</v>
      </c>
      <c r="B556" s="22" t="s">
        <v>455</v>
      </c>
      <c r="C556" s="23" t="n">
        <v>46071</v>
      </c>
      <c r="D556" s="22"/>
      <c r="E556" s="22" t="n">
        <v>0</v>
      </c>
      <c r="F556" s="22"/>
      <c r="G556" s="22" t="s">
        <v>2146</v>
      </c>
      <c r="H556" s="22" t="s">
        <v>2011</v>
      </c>
      <c r="I556" s="22" t="s">
        <v>2147</v>
      </c>
      <c r="J556" s="22" t="s">
        <v>459</v>
      </c>
      <c r="K556" s="22"/>
      <c r="L556" s="22"/>
    </row>
    <row r="557" customFormat="false" ht="14.25" hidden="true" customHeight="true" outlineLevel="0" collapsed="false">
      <c r="A557" s="22" t="s">
        <v>2148</v>
      </c>
      <c r="B557" s="22" t="s">
        <v>455</v>
      </c>
      <c r="C557" s="23" t="n">
        <v>46071</v>
      </c>
      <c r="D557" s="22"/>
      <c r="E557" s="22" t="n">
        <v>0</v>
      </c>
      <c r="F557" s="22"/>
      <c r="G557" s="22" t="s">
        <v>2149</v>
      </c>
      <c r="H557" s="22" t="s">
        <v>2011</v>
      </c>
      <c r="I557" s="22" t="s">
        <v>2150</v>
      </c>
      <c r="J557" s="22" t="s">
        <v>459</v>
      </c>
      <c r="K557" s="22"/>
      <c r="L557" s="22"/>
    </row>
    <row r="558" customFormat="false" ht="14.25" hidden="true" customHeight="true" outlineLevel="0" collapsed="false">
      <c r="A558" s="22" t="s">
        <v>2151</v>
      </c>
      <c r="B558" s="22" t="s">
        <v>455</v>
      </c>
      <c r="C558" s="23" t="n">
        <v>46071</v>
      </c>
      <c r="D558" s="22"/>
      <c r="E558" s="22" t="n">
        <v>0</v>
      </c>
      <c r="F558" s="22"/>
      <c r="G558" s="22" t="s">
        <v>470</v>
      </c>
      <c r="H558" s="22" t="s">
        <v>477</v>
      </c>
      <c r="I558" s="22" t="s">
        <v>2152</v>
      </c>
      <c r="J558" s="22" t="s">
        <v>459</v>
      </c>
      <c r="K558" s="22"/>
      <c r="L558" s="22"/>
    </row>
    <row r="559" customFormat="false" ht="14.25" hidden="true" customHeight="true" outlineLevel="0" collapsed="false">
      <c r="A559" s="22" t="s">
        <v>2153</v>
      </c>
      <c r="B559" s="22" t="s">
        <v>455</v>
      </c>
      <c r="C559" s="23" t="n">
        <v>46071</v>
      </c>
      <c r="D559" s="22"/>
      <c r="E559" s="22" t="n">
        <v>0</v>
      </c>
      <c r="F559" s="22"/>
      <c r="G559" s="22" t="s">
        <v>2154</v>
      </c>
      <c r="H559" s="22" t="s">
        <v>2011</v>
      </c>
      <c r="I559" s="22" t="s">
        <v>2155</v>
      </c>
      <c r="J559" s="22" t="s">
        <v>459</v>
      </c>
      <c r="K559" s="22"/>
      <c r="L559" s="22"/>
    </row>
    <row r="560" customFormat="false" ht="14.25" hidden="true" customHeight="true" outlineLevel="0" collapsed="false">
      <c r="A560" s="22" t="s">
        <v>2156</v>
      </c>
      <c r="B560" s="22" t="s">
        <v>455</v>
      </c>
      <c r="C560" s="23" t="n">
        <v>46072</v>
      </c>
      <c r="D560" s="22"/>
      <c r="E560" s="22" t="n">
        <v>0</v>
      </c>
      <c r="F560" s="22"/>
      <c r="G560" s="22" t="s">
        <v>2157</v>
      </c>
      <c r="H560" s="22" t="s">
        <v>2011</v>
      </c>
      <c r="I560" s="22" t="s">
        <v>2158</v>
      </c>
      <c r="J560" s="22" t="s">
        <v>459</v>
      </c>
      <c r="K560" s="22"/>
      <c r="L560" s="22"/>
    </row>
    <row r="561" customFormat="false" ht="14.25" hidden="true" customHeight="true" outlineLevel="0" collapsed="false">
      <c r="A561" s="22" t="s">
        <v>2159</v>
      </c>
      <c r="B561" s="22" t="s">
        <v>455</v>
      </c>
      <c r="C561" s="23" t="n">
        <v>46072</v>
      </c>
      <c r="D561" s="22"/>
      <c r="E561" s="22" t="n">
        <v>0</v>
      </c>
      <c r="F561" s="22"/>
      <c r="G561" s="22" t="s">
        <v>2160</v>
      </c>
      <c r="H561" s="22" t="s">
        <v>2011</v>
      </c>
      <c r="I561" s="22" t="s">
        <v>2161</v>
      </c>
      <c r="J561" s="22" t="s">
        <v>459</v>
      </c>
      <c r="K561" s="22"/>
      <c r="L561" s="22"/>
    </row>
    <row r="562" customFormat="false" ht="14.25" hidden="true" customHeight="true" outlineLevel="0" collapsed="false">
      <c r="A562" s="22" t="s">
        <v>2162</v>
      </c>
      <c r="B562" s="22" t="s">
        <v>455</v>
      </c>
      <c r="C562" s="23" t="n">
        <v>46076</v>
      </c>
      <c r="D562" s="22"/>
      <c r="E562" s="22" t="n">
        <v>0</v>
      </c>
      <c r="F562" s="22"/>
      <c r="G562" s="22" t="s">
        <v>2163</v>
      </c>
      <c r="H562" s="22" t="s">
        <v>1611</v>
      </c>
      <c r="I562" s="22" t="s">
        <v>2164</v>
      </c>
      <c r="J562" s="22" t="s">
        <v>459</v>
      </c>
      <c r="K562" s="22"/>
      <c r="L562" s="22"/>
    </row>
    <row r="563" customFormat="false" ht="14.25" hidden="true" customHeight="true" outlineLevel="0" collapsed="false">
      <c r="A563" s="22" t="s">
        <v>2165</v>
      </c>
      <c r="B563" s="22" t="s">
        <v>455</v>
      </c>
      <c r="C563" s="23" t="n">
        <v>46076</v>
      </c>
      <c r="D563" s="22"/>
      <c r="E563" s="22" t="n">
        <v>1</v>
      </c>
      <c r="F563" s="22" t="s">
        <v>2166</v>
      </c>
      <c r="G563" s="22" t="s">
        <v>470</v>
      </c>
      <c r="H563" s="22" t="s">
        <v>2078</v>
      </c>
      <c r="I563" s="22" t="s">
        <v>2167</v>
      </c>
      <c r="J563" s="22" t="s">
        <v>459</v>
      </c>
      <c r="K563" s="22" t="s">
        <v>473</v>
      </c>
      <c r="L563" s="22" t="s">
        <v>474</v>
      </c>
    </row>
    <row r="564" customFormat="false" ht="14.25" hidden="true" customHeight="true" outlineLevel="0" collapsed="false">
      <c r="A564" s="22" t="s">
        <v>2168</v>
      </c>
      <c r="B564" s="22" t="s">
        <v>504</v>
      </c>
      <c r="C564" s="23" t="n">
        <v>46076</v>
      </c>
      <c r="D564" s="23" t="n">
        <v>46076</v>
      </c>
      <c r="E564" s="22" t="n">
        <v>0</v>
      </c>
      <c r="F564" s="22"/>
      <c r="G564" s="22" t="s">
        <v>2169</v>
      </c>
      <c r="H564" s="22" t="s">
        <v>2170</v>
      </c>
      <c r="I564" s="22" t="s">
        <v>2171</v>
      </c>
      <c r="J564" s="22" t="s">
        <v>459</v>
      </c>
      <c r="K564" s="22"/>
      <c r="L564" s="22"/>
    </row>
    <row r="565" customFormat="false" ht="14.25" hidden="true" customHeight="true" outlineLevel="0" collapsed="false">
      <c r="A565" s="22" t="s">
        <v>2172</v>
      </c>
      <c r="B565" s="22" t="s">
        <v>504</v>
      </c>
      <c r="C565" s="23" t="n">
        <v>46078</v>
      </c>
      <c r="D565" s="22"/>
      <c r="E565" s="22" t="n">
        <v>0</v>
      </c>
      <c r="F565" s="22"/>
      <c r="G565" s="22" t="s">
        <v>2173</v>
      </c>
      <c r="H565" s="22"/>
      <c r="I565" s="22" t="s">
        <v>2174</v>
      </c>
      <c r="J565" s="22" t="s">
        <v>459</v>
      </c>
      <c r="K565" s="22"/>
      <c r="L565" s="22"/>
    </row>
    <row r="566" customFormat="false" ht="14.25" hidden="true" customHeight="true" outlineLevel="0" collapsed="false">
      <c r="A566" s="22" t="s">
        <v>2175</v>
      </c>
      <c r="B566" s="22" t="s">
        <v>455</v>
      </c>
      <c r="C566" s="23" t="n">
        <v>46079</v>
      </c>
      <c r="D566" s="22"/>
      <c r="E566" s="22" t="n">
        <v>1</v>
      </c>
      <c r="F566" s="22" t="s">
        <v>2176</v>
      </c>
      <c r="G566" s="22" t="s">
        <v>470</v>
      </c>
      <c r="H566" s="22" t="s">
        <v>477</v>
      </c>
      <c r="I566" s="22" t="s">
        <v>2177</v>
      </c>
      <c r="J566" s="22" t="s">
        <v>459</v>
      </c>
      <c r="K566" s="22" t="s">
        <v>473</v>
      </c>
      <c r="L566" s="22" t="s">
        <v>474</v>
      </c>
    </row>
    <row r="567" customFormat="false" ht="14.25" hidden="false" customHeight="true" outlineLevel="0" collapsed="false">
      <c r="A567" s="15" t="s">
        <v>2178</v>
      </c>
      <c r="B567" s="15" t="s">
        <v>483</v>
      </c>
      <c r="C567" s="24" t="n">
        <v>46014</v>
      </c>
      <c r="D567" s="15"/>
      <c r="E567" s="15" t="n">
        <v>1</v>
      </c>
      <c r="F567" s="15" t="s">
        <v>2179</v>
      </c>
      <c r="G567" s="15" t="s">
        <v>2180</v>
      </c>
      <c r="H567" s="15" t="s">
        <v>2181</v>
      </c>
      <c r="I567" s="15" t="s">
        <v>2182</v>
      </c>
      <c r="J567" s="15" t="s">
        <v>459</v>
      </c>
      <c r="K567" s="15" t="s">
        <v>1199</v>
      </c>
      <c r="L567" s="15" t="s">
        <v>1200</v>
      </c>
    </row>
    <row r="568" customFormat="false" ht="14.25" hidden="true" customHeight="true" outlineLevel="0" collapsed="false">
      <c r="A568" s="22" t="s">
        <v>2183</v>
      </c>
      <c r="B568" s="22" t="s">
        <v>455</v>
      </c>
      <c r="C568" s="23" t="n">
        <v>46080</v>
      </c>
      <c r="D568" s="23" t="n">
        <v>46080</v>
      </c>
      <c r="E568" s="22" t="n">
        <v>0</v>
      </c>
      <c r="F568" s="22"/>
      <c r="G568" s="22" t="s">
        <v>2184</v>
      </c>
      <c r="H568" s="22" t="s">
        <v>2185</v>
      </c>
      <c r="I568" s="22" t="s">
        <v>2186</v>
      </c>
      <c r="J568" s="22" t="s">
        <v>459</v>
      </c>
      <c r="K568" s="22"/>
      <c r="L568" s="22"/>
    </row>
    <row r="569" customFormat="false" ht="14.25" hidden="true" customHeight="true" outlineLevel="0" collapsed="false">
      <c r="A569" s="22" t="s">
        <v>2187</v>
      </c>
      <c r="B569" s="22" t="s">
        <v>455</v>
      </c>
      <c r="C569" s="23" t="n">
        <v>46083</v>
      </c>
      <c r="D569" s="22"/>
      <c r="E569" s="22" t="n">
        <v>0</v>
      </c>
      <c r="F569" s="22"/>
      <c r="G569" s="22" t="s">
        <v>470</v>
      </c>
      <c r="H569" s="22" t="s">
        <v>477</v>
      </c>
      <c r="I569" s="22" t="s">
        <v>2188</v>
      </c>
      <c r="J569" s="22" t="s">
        <v>459</v>
      </c>
      <c r="K569" s="22"/>
      <c r="L569" s="22"/>
    </row>
    <row r="570" customFormat="false" ht="14.25" hidden="true" customHeight="true" outlineLevel="0" collapsed="false">
      <c r="A570" s="22" t="s">
        <v>2189</v>
      </c>
      <c r="B570" s="22" t="s">
        <v>455</v>
      </c>
      <c r="C570" s="23" t="n">
        <v>46083</v>
      </c>
      <c r="D570" s="22"/>
      <c r="E570" s="22" t="n">
        <v>0</v>
      </c>
      <c r="F570" s="22"/>
      <c r="G570" s="22" t="s">
        <v>470</v>
      </c>
      <c r="H570" s="22" t="s">
        <v>477</v>
      </c>
      <c r="I570" s="22" t="s">
        <v>2190</v>
      </c>
      <c r="J570" s="22" t="s">
        <v>459</v>
      </c>
      <c r="K570" s="22"/>
      <c r="L570" s="22"/>
    </row>
    <row r="571" customFormat="false" ht="14.25" hidden="true" customHeight="true" outlineLevel="0" collapsed="false">
      <c r="A571" s="22" t="s">
        <v>2191</v>
      </c>
      <c r="B571" s="22" t="s">
        <v>483</v>
      </c>
      <c r="C571" s="23" t="n">
        <v>46087</v>
      </c>
      <c r="D571" s="23" t="n">
        <v>46087</v>
      </c>
      <c r="E571" s="22" t="n">
        <v>0</v>
      </c>
      <c r="F571" s="22"/>
      <c r="G571" s="22" t="s">
        <v>2192</v>
      </c>
      <c r="H571" s="22" t="s">
        <v>2193</v>
      </c>
      <c r="I571" s="22" t="s">
        <v>2194</v>
      </c>
      <c r="J571" s="22" t="s">
        <v>459</v>
      </c>
      <c r="K571" s="22"/>
      <c r="L571" s="22"/>
    </row>
    <row r="572" customFormat="false" ht="14.25" hidden="true" customHeight="true" outlineLevel="0" collapsed="false">
      <c r="A572" s="22" t="s">
        <v>2195</v>
      </c>
      <c r="B572" s="22" t="s">
        <v>455</v>
      </c>
      <c r="C572" s="23" t="n">
        <v>46090</v>
      </c>
      <c r="D572" s="22"/>
      <c r="E572" s="22" t="n">
        <v>0</v>
      </c>
      <c r="F572" s="22"/>
      <c r="G572" s="22" t="s">
        <v>470</v>
      </c>
      <c r="H572" s="22" t="s">
        <v>477</v>
      </c>
      <c r="I572" s="22" t="s">
        <v>2196</v>
      </c>
      <c r="J572" s="22" t="s">
        <v>459</v>
      </c>
      <c r="K572" s="22"/>
      <c r="L572" s="22"/>
    </row>
    <row r="573" customFormat="false" ht="14.25" hidden="true" customHeight="true" outlineLevel="0" collapsed="false">
      <c r="A573" s="22" t="s">
        <v>2197</v>
      </c>
      <c r="B573" s="22" t="s">
        <v>455</v>
      </c>
      <c r="C573" s="23" t="n">
        <v>46090</v>
      </c>
      <c r="D573" s="22"/>
      <c r="E573" s="22" t="n">
        <v>0</v>
      </c>
      <c r="F573" s="22"/>
      <c r="G573" s="22" t="s">
        <v>2198</v>
      </c>
      <c r="H573" s="22" t="s">
        <v>2199</v>
      </c>
      <c r="I573" s="22" t="s">
        <v>2200</v>
      </c>
      <c r="J573" s="22" t="s">
        <v>459</v>
      </c>
      <c r="K573" s="22"/>
      <c r="L573" s="22"/>
    </row>
    <row r="574" customFormat="false" ht="14.25" hidden="true" customHeight="true" outlineLevel="0" collapsed="false">
      <c r="A574" s="22" t="s">
        <v>2201</v>
      </c>
      <c r="B574" s="22" t="s">
        <v>455</v>
      </c>
      <c r="C574" s="23" t="n">
        <v>46091</v>
      </c>
      <c r="D574" s="22"/>
      <c r="E574" s="22" t="n">
        <v>1</v>
      </c>
      <c r="F574" s="22" t="s">
        <v>2202</v>
      </c>
      <c r="G574" s="22" t="s">
        <v>2203</v>
      </c>
      <c r="H574" s="22" t="s">
        <v>2204</v>
      </c>
      <c r="I574" s="22" t="s">
        <v>2205</v>
      </c>
      <c r="J574" s="22" t="s">
        <v>459</v>
      </c>
      <c r="K574" s="22" t="s">
        <v>473</v>
      </c>
      <c r="L574" s="22" t="s">
        <v>1608</v>
      </c>
    </row>
    <row r="575" customFormat="false" ht="14.25" hidden="true" customHeight="true" outlineLevel="0" collapsed="false">
      <c r="A575" s="22" t="s">
        <v>2206</v>
      </c>
      <c r="B575" s="22" t="s">
        <v>455</v>
      </c>
      <c r="C575" s="23" t="n">
        <v>46091</v>
      </c>
      <c r="D575" s="22"/>
      <c r="E575" s="22" t="n">
        <v>0</v>
      </c>
      <c r="F575" s="22"/>
      <c r="G575" s="22" t="s">
        <v>2207</v>
      </c>
      <c r="H575" s="22" t="s">
        <v>2208</v>
      </c>
      <c r="I575" s="22" t="s">
        <v>2209</v>
      </c>
      <c r="J575" s="22" t="s">
        <v>459</v>
      </c>
      <c r="K575" s="22"/>
      <c r="L575" s="22"/>
    </row>
    <row r="576" customFormat="false" ht="14.25" hidden="true" customHeight="true" outlineLevel="0" collapsed="false">
      <c r="A576" s="22" t="s">
        <v>2210</v>
      </c>
      <c r="B576" s="22" t="s">
        <v>455</v>
      </c>
      <c r="C576" s="23" t="n">
        <v>46091</v>
      </c>
      <c r="D576" s="22"/>
      <c r="E576" s="22" t="n">
        <v>1</v>
      </c>
      <c r="F576" s="22" t="s">
        <v>2211</v>
      </c>
      <c r="G576" s="22" t="s">
        <v>465</v>
      </c>
      <c r="H576" s="22" t="s">
        <v>492</v>
      </c>
      <c r="I576" s="22" t="s">
        <v>2212</v>
      </c>
      <c r="J576" s="22" t="s">
        <v>459</v>
      </c>
      <c r="K576" s="22" t="s">
        <v>473</v>
      </c>
      <c r="L576" s="22" t="s">
        <v>474</v>
      </c>
    </row>
    <row r="577" customFormat="false" ht="14.25" hidden="true" customHeight="true" outlineLevel="0" collapsed="false">
      <c r="A577" s="22" t="s">
        <v>2213</v>
      </c>
      <c r="B577" s="22" t="s">
        <v>455</v>
      </c>
      <c r="C577" s="23" t="n">
        <v>46092</v>
      </c>
      <c r="D577" s="22"/>
      <c r="E577" s="22" t="n">
        <v>0</v>
      </c>
      <c r="F577" s="22"/>
      <c r="G577" s="22" t="s">
        <v>465</v>
      </c>
      <c r="H577" s="22" t="s">
        <v>492</v>
      </c>
      <c r="I577" s="22" t="s">
        <v>2214</v>
      </c>
      <c r="J577" s="22" t="s">
        <v>459</v>
      </c>
      <c r="K577" s="22"/>
      <c r="L577" s="22"/>
    </row>
    <row r="578" customFormat="false" ht="14.25" hidden="true" customHeight="true" outlineLevel="0" collapsed="false">
      <c r="A578" s="22" t="s">
        <v>2215</v>
      </c>
      <c r="B578" s="22" t="s">
        <v>504</v>
      </c>
      <c r="C578" s="23" t="n">
        <v>46093</v>
      </c>
      <c r="D578" s="23" t="n">
        <v>46093</v>
      </c>
      <c r="E578" s="22" t="n">
        <v>1</v>
      </c>
      <c r="F578" s="22" t="s">
        <v>2216</v>
      </c>
      <c r="G578" s="22" t="s">
        <v>1806</v>
      </c>
      <c r="H578" s="22" t="s">
        <v>2217</v>
      </c>
      <c r="I578" s="22" t="s">
        <v>2218</v>
      </c>
      <c r="J578" s="22" t="s">
        <v>459</v>
      </c>
      <c r="K578" s="22" t="s">
        <v>473</v>
      </c>
      <c r="L578" s="22" t="s">
        <v>554</v>
      </c>
    </row>
    <row r="579" customFormat="false" ht="14.25" hidden="true" customHeight="true" outlineLevel="0" collapsed="false">
      <c r="A579" s="22" t="s">
        <v>2219</v>
      </c>
      <c r="B579" s="22" t="s">
        <v>455</v>
      </c>
      <c r="C579" s="23" t="n">
        <v>46098</v>
      </c>
      <c r="D579" s="22"/>
      <c r="E579" s="22" t="n">
        <v>0</v>
      </c>
      <c r="F579" s="22"/>
      <c r="G579" s="22" t="s">
        <v>465</v>
      </c>
      <c r="H579" s="22" t="s">
        <v>492</v>
      </c>
      <c r="I579" s="22" t="s">
        <v>2220</v>
      </c>
      <c r="J579" s="22" t="s">
        <v>459</v>
      </c>
      <c r="K579" s="22"/>
      <c r="L579" s="22"/>
    </row>
    <row r="580" customFormat="false" ht="14.25" hidden="true" customHeight="true" outlineLevel="0" collapsed="false">
      <c r="A580" s="22" t="s">
        <v>2221</v>
      </c>
      <c r="B580" s="22" t="s">
        <v>455</v>
      </c>
      <c r="C580" s="23" t="n">
        <v>46098</v>
      </c>
      <c r="D580" s="22"/>
      <c r="E580" s="22" t="n">
        <v>0</v>
      </c>
      <c r="F580" s="22"/>
      <c r="G580" s="22" t="s">
        <v>470</v>
      </c>
      <c r="H580" s="22" t="s">
        <v>477</v>
      </c>
      <c r="I580" s="22" t="s">
        <v>2222</v>
      </c>
      <c r="J580" s="22" t="s">
        <v>459</v>
      </c>
      <c r="K580" s="22"/>
      <c r="L580" s="22"/>
    </row>
    <row r="581" customFormat="false" ht="14.25" hidden="true" customHeight="true" outlineLevel="0" collapsed="false">
      <c r="A581" s="22" t="s">
        <v>2223</v>
      </c>
      <c r="B581" s="22" t="s">
        <v>455</v>
      </c>
      <c r="C581" s="23" t="n">
        <v>46099</v>
      </c>
      <c r="D581" s="22"/>
      <c r="E581" s="22" t="n">
        <v>1</v>
      </c>
      <c r="F581" s="22" t="s">
        <v>2224</v>
      </c>
      <c r="G581" s="22" t="s">
        <v>465</v>
      </c>
      <c r="H581" s="22" t="s">
        <v>492</v>
      </c>
      <c r="I581" s="22" t="s">
        <v>2225</v>
      </c>
      <c r="J581" s="22" t="s">
        <v>459</v>
      </c>
      <c r="K581" s="22" t="s">
        <v>473</v>
      </c>
      <c r="L581" s="22" t="s">
        <v>474</v>
      </c>
    </row>
    <row r="582" customFormat="false" ht="14.25" hidden="true" customHeight="true" outlineLevel="0" collapsed="false">
      <c r="A582" s="22" t="s">
        <v>2226</v>
      </c>
      <c r="B582" s="22" t="s">
        <v>455</v>
      </c>
      <c r="C582" s="23" t="n">
        <v>46099</v>
      </c>
      <c r="D582" s="22"/>
      <c r="E582" s="22" t="n">
        <v>0</v>
      </c>
      <c r="F582" s="22"/>
      <c r="G582" s="22" t="s">
        <v>470</v>
      </c>
      <c r="H582" s="22" t="s">
        <v>477</v>
      </c>
      <c r="I582" s="22" t="s">
        <v>2227</v>
      </c>
      <c r="J582" s="22" t="s">
        <v>459</v>
      </c>
      <c r="K582" s="22"/>
      <c r="L582" s="22"/>
    </row>
    <row r="583" customFormat="false" ht="14.25" hidden="true" customHeight="true" outlineLevel="0" collapsed="false">
      <c r="A583" s="22" t="s">
        <v>2228</v>
      </c>
      <c r="B583" s="22" t="s">
        <v>455</v>
      </c>
      <c r="C583" s="23" t="n">
        <v>46106</v>
      </c>
      <c r="D583" s="22"/>
      <c r="E583" s="22" t="n">
        <v>1</v>
      </c>
      <c r="F583" s="22" t="s">
        <v>488</v>
      </c>
      <c r="G583" s="22" t="s">
        <v>470</v>
      </c>
      <c r="H583" s="22" t="s">
        <v>477</v>
      </c>
      <c r="I583" s="22" t="s">
        <v>2229</v>
      </c>
      <c r="J583" s="22" t="s">
        <v>459</v>
      </c>
      <c r="K583" s="22" t="s">
        <v>473</v>
      </c>
      <c r="L583" s="22" t="s">
        <v>474</v>
      </c>
    </row>
    <row r="584" customFormat="false" ht="14.25" hidden="true" customHeight="true" outlineLevel="0" collapsed="false">
      <c r="A584" s="22" t="s">
        <v>2230</v>
      </c>
      <c r="B584" s="22" t="s">
        <v>455</v>
      </c>
      <c r="C584" s="23" t="n">
        <v>46107</v>
      </c>
      <c r="D584" s="22"/>
      <c r="E584" s="22" t="n">
        <v>0</v>
      </c>
      <c r="F584" s="22"/>
      <c r="G584" s="22" t="s">
        <v>470</v>
      </c>
      <c r="H584" s="22" t="s">
        <v>477</v>
      </c>
      <c r="I584" s="22" t="s">
        <v>2231</v>
      </c>
      <c r="J584" s="22" t="s">
        <v>459</v>
      </c>
      <c r="K584" s="22"/>
      <c r="L584" s="22"/>
    </row>
    <row r="585" customFormat="false" ht="14.25" hidden="true" customHeight="true" outlineLevel="0" collapsed="false">
      <c r="A585" s="22" t="s">
        <v>2232</v>
      </c>
      <c r="B585" s="22" t="s">
        <v>455</v>
      </c>
      <c r="C585" s="23" t="n">
        <v>46108</v>
      </c>
      <c r="D585" s="22"/>
      <c r="E585" s="22" t="n">
        <v>0</v>
      </c>
      <c r="F585" s="22"/>
      <c r="G585" s="22" t="s">
        <v>465</v>
      </c>
      <c r="H585" s="22" t="s">
        <v>492</v>
      </c>
      <c r="I585" s="22" t="s">
        <v>2233</v>
      </c>
      <c r="J585" s="22" t="s">
        <v>459</v>
      </c>
      <c r="K585" s="22"/>
      <c r="L585" s="22"/>
    </row>
    <row r="586" customFormat="false" ht="14.25" hidden="true" customHeight="true" outlineLevel="0" collapsed="false">
      <c r="A586" s="22" t="s">
        <v>2234</v>
      </c>
      <c r="B586" s="22" t="s">
        <v>455</v>
      </c>
      <c r="C586" s="23" t="n">
        <v>46112</v>
      </c>
      <c r="D586" s="22"/>
      <c r="E586" s="22" t="n">
        <v>0</v>
      </c>
      <c r="F586" s="22"/>
      <c r="G586" s="22" t="s">
        <v>465</v>
      </c>
      <c r="H586" s="22" t="s">
        <v>492</v>
      </c>
      <c r="I586" s="22" t="s">
        <v>2235</v>
      </c>
      <c r="J586" s="22" t="s">
        <v>459</v>
      </c>
      <c r="K586" s="22"/>
      <c r="L586" s="22"/>
    </row>
    <row r="587" customFormat="false" ht="14.25" hidden="true" customHeight="true" outlineLevel="0" collapsed="false">
      <c r="A587" s="22" t="s">
        <v>2236</v>
      </c>
      <c r="B587" s="22" t="s">
        <v>455</v>
      </c>
      <c r="C587" s="23" t="n">
        <v>46115</v>
      </c>
      <c r="D587" s="22"/>
      <c r="E587" s="22" t="n">
        <v>0</v>
      </c>
      <c r="F587" s="22"/>
      <c r="G587" s="22" t="s">
        <v>2237</v>
      </c>
      <c r="H587" s="22" t="s">
        <v>2238</v>
      </c>
      <c r="I587" s="22" t="s">
        <v>2239</v>
      </c>
      <c r="J587" s="22" t="s">
        <v>459</v>
      </c>
      <c r="K587" s="22"/>
      <c r="L587" s="22"/>
    </row>
    <row r="588" customFormat="false" ht="14.25" hidden="true" customHeight="true" outlineLevel="0" collapsed="false">
      <c r="A588" s="22" t="s">
        <v>2240</v>
      </c>
      <c r="B588" s="22" t="s">
        <v>455</v>
      </c>
      <c r="C588" s="23" t="n">
        <v>46115</v>
      </c>
      <c r="D588" s="22"/>
      <c r="E588" s="22" t="n">
        <v>0</v>
      </c>
      <c r="F588" s="22"/>
      <c r="G588" s="22" t="s">
        <v>2241</v>
      </c>
      <c r="H588" s="22" t="s">
        <v>2242</v>
      </c>
      <c r="I588" s="22" t="s">
        <v>2243</v>
      </c>
      <c r="J588" s="22" t="s">
        <v>459</v>
      </c>
      <c r="K588" s="22"/>
      <c r="L588" s="22"/>
    </row>
    <row r="589" customFormat="false" ht="14.25" hidden="true" customHeight="true" outlineLevel="0" collapsed="false">
      <c r="A589" s="22" t="s">
        <v>2244</v>
      </c>
      <c r="B589" s="22" t="s">
        <v>455</v>
      </c>
      <c r="C589" s="23" t="n">
        <v>46115</v>
      </c>
      <c r="D589" s="22"/>
      <c r="E589" s="22" t="n">
        <v>0</v>
      </c>
      <c r="F589" s="22"/>
      <c r="G589" s="22" t="s">
        <v>2245</v>
      </c>
      <c r="H589" s="22" t="s">
        <v>2246</v>
      </c>
      <c r="I589" s="22" t="s">
        <v>2247</v>
      </c>
      <c r="J589" s="22" t="s">
        <v>459</v>
      </c>
      <c r="K589" s="22"/>
      <c r="L589" s="22"/>
    </row>
    <row r="590" customFormat="false" ht="14.25" hidden="true" customHeight="true" outlineLevel="0" collapsed="false">
      <c r="A590" s="22" t="s">
        <v>2248</v>
      </c>
      <c r="B590" s="22" t="s">
        <v>455</v>
      </c>
      <c r="C590" s="23" t="n">
        <v>46118</v>
      </c>
      <c r="D590" s="22"/>
      <c r="E590" s="22" t="n">
        <v>0</v>
      </c>
      <c r="F590" s="22"/>
      <c r="G590" s="22" t="s">
        <v>470</v>
      </c>
      <c r="H590" s="22" t="s">
        <v>477</v>
      </c>
      <c r="I590" s="22" t="s">
        <v>2249</v>
      </c>
      <c r="J590" s="22" t="s">
        <v>459</v>
      </c>
      <c r="K590" s="22"/>
      <c r="L590" s="22"/>
    </row>
    <row r="591" customFormat="false" ht="14.25" hidden="true" customHeight="true" outlineLevel="0" collapsed="false">
      <c r="A591" s="22" t="s">
        <v>2250</v>
      </c>
      <c r="B591" s="22" t="s">
        <v>455</v>
      </c>
      <c r="C591" s="23" t="n">
        <v>46118</v>
      </c>
      <c r="D591" s="22"/>
      <c r="E591" s="22" t="n">
        <v>0</v>
      </c>
      <c r="F591" s="22"/>
      <c r="G591" s="22" t="s">
        <v>465</v>
      </c>
      <c r="H591" s="22" t="s">
        <v>492</v>
      </c>
      <c r="I591" s="22" t="s">
        <v>2251</v>
      </c>
      <c r="J591" s="22" t="s">
        <v>459</v>
      </c>
      <c r="K591" s="22"/>
      <c r="L591" s="22"/>
    </row>
    <row r="592" customFormat="false" ht="14.25" hidden="false" customHeight="true" outlineLevel="0" collapsed="false">
      <c r="A592" s="15" t="s">
        <v>2252</v>
      </c>
      <c r="B592" s="15" t="s">
        <v>483</v>
      </c>
      <c r="C592" s="24" t="n">
        <v>46014</v>
      </c>
      <c r="D592" s="15"/>
      <c r="E592" s="15" t="n">
        <v>1</v>
      </c>
      <c r="F592" s="15" t="s">
        <v>2253</v>
      </c>
      <c r="G592" s="15" t="s">
        <v>2254</v>
      </c>
      <c r="H592" s="15" t="s">
        <v>2255</v>
      </c>
      <c r="I592" s="15" t="s">
        <v>2256</v>
      </c>
      <c r="J592" s="15" t="s">
        <v>459</v>
      </c>
      <c r="K592" s="15" t="s">
        <v>1199</v>
      </c>
      <c r="L592" s="15" t="s">
        <v>2257</v>
      </c>
    </row>
    <row r="593" customFormat="false" ht="14.25" hidden="true" customHeight="true" outlineLevel="0" collapsed="false">
      <c r="A593" s="22" t="s">
        <v>2258</v>
      </c>
      <c r="B593" s="22" t="s">
        <v>483</v>
      </c>
      <c r="C593" s="23" t="n">
        <v>46118</v>
      </c>
      <c r="D593" s="22"/>
      <c r="E593" s="22" t="n">
        <v>1</v>
      </c>
      <c r="F593" s="22" t="s">
        <v>2259</v>
      </c>
      <c r="G593" s="22" t="s">
        <v>2260</v>
      </c>
      <c r="H593" s="22" t="s">
        <v>2261</v>
      </c>
      <c r="I593" s="22" t="s">
        <v>2262</v>
      </c>
      <c r="J593" s="22" t="s">
        <v>459</v>
      </c>
      <c r="K593" s="22" t="s">
        <v>473</v>
      </c>
      <c r="L593" s="22" t="s">
        <v>554</v>
      </c>
    </row>
    <row r="594" customFormat="false" ht="14.25" hidden="true" customHeight="true" outlineLevel="0" collapsed="false">
      <c r="A594" s="22" t="s">
        <v>2263</v>
      </c>
      <c r="B594" s="22" t="s">
        <v>455</v>
      </c>
      <c r="C594" s="23" t="n">
        <v>46118</v>
      </c>
      <c r="D594" s="23" t="n">
        <v>46118</v>
      </c>
      <c r="E594" s="22" t="n">
        <v>0</v>
      </c>
      <c r="F594" s="22"/>
      <c r="G594" s="22" t="s">
        <v>2264</v>
      </c>
      <c r="H594" s="22" t="s">
        <v>2265</v>
      </c>
      <c r="I594" s="22" t="s">
        <v>2266</v>
      </c>
      <c r="J594" s="22" t="s">
        <v>459</v>
      </c>
      <c r="K594" s="22"/>
      <c r="L594" s="22"/>
    </row>
    <row r="595" customFormat="false" ht="14.25" hidden="true" customHeight="true" outlineLevel="0" collapsed="false">
      <c r="A595" s="22" t="s">
        <v>2267</v>
      </c>
      <c r="B595" s="22" t="s">
        <v>455</v>
      </c>
      <c r="C595" s="23" t="n">
        <v>46118</v>
      </c>
      <c r="D595" s="23" t="n">
        <v>46118</v>
      </c>
      <c r="E595" s="22" t="n">
        <v>0</v>
      </c>
      <c r="F595" s="22"/>
      <c r="G595" s="22" t="s">
        <v>2268</v>
      </c>
      <c r="H595" s="22" t="s">
        <v>2269</v>
      </c>
      <c r="I595" s="22" t="s">
        <v>2270</v>
      </c>
      <c r="J595" s="22" t="s">
        <v>459</v>
      </c>
      <c r="K595" s="22"/>
      <c r="L595" s="22"/>
    </row>
    <row r="596" customFormat="false" ht="14.25" hidden="true" customHeight="true" outlineLevel="0" collapsed="false">
      <c r="A596" s="22" t="s">
        <v>2271</v>
      </c>
      <c r="B596" s="22" t="s">
        <v>455</v>
      </c>
      <c r="C596" s="23" t="n">
        <v>46118</v>
      </c>
      <c r="D596" s="22"/>
      <c r="E596" s="22" t="n">
        <v>1</v>
      </c>
      <c r="F596" s="22" t="s">
        <v>663</v>
      </c>
      <c r="G596" s="22" t="s">
        <v>2272</v>
      </c>
      <c r="H596" s="22" t="s">
        <v>2273</v>
      </c>
      <c r="I596" s="22" t="s">
        <v>2274</v>
      </c>
      <c r="J596" s="22" t="s">
        <v>459</v>
      </c>
      <c r="K596" s="22" t="s">
        <v>473</v>
      </c>
      <c r="L596" s="22" t="s">
        <v>2275</v>
      </c>
    </row>
    <row r="597" customFormat="false" ht="14.25" hidden="true" customHeight="true" outlineLevel="0" collapsed="false">
      <c r="A597" s="22" t="s">
        <v>2276</v>
      </c>
      <c r="B597" s="22" t="s">
        <v>483</v>
      </c>
      <c r="C597" s="23" t="n">
        <v>46118</v>
      </c>
      <c r="D597" s="22"/>
      <c r="E597" s="22" t="n">
        <v>0</v>
      </c>
      <c r="F597" s="22"/>
      <c r="G597" s="22" t="s">
        <v>2277</v>
      </c>
      <c r="H597" s="22" t="s">
        <v>2278</v>
      </c>
      <c r="I597" s="22" t="s">
        <v>2279</v>
      </c>
      <c r="J597" s="22" t="s">
        <v>459</v>
      </c>
      <c r="K597" s="22"/>
      <c r="L597" s="22"/>
    </row>
    <row r="598" customFormat="false" ht="14.25" hidden="true" customHeight="true" outlineLevel="0" collapsed="false">
      <c r="A598" s="22" t="s">
        <v>2280</v>
      </c>
      <c r="B598" s="22" t="s">
        <v>483</v>
      </c>
      <c r="C598" s="23" t="n">
        <v>46119</v>
      </c>
      <c r="D598" s="22"/>
      <c r="E598" s="22" t="n">
        <v>1</v>
      </c>
      <c r="F598" s="22" t="s">
        <v>2281</v>
      </c>
      <c r="G598" s="22" t="s">
        <v>2282</v>
      </c>
      <c r="H598" s="22" t="s">
        <v>2283</v>
      </c>
      <c r="I598" s="22" t="s">
        <v>2284</v>
      </c>
      <c r="J598" s="22" t="s">
        <v>459</v>
      </c>
      <c r="K598" s="22" t="s">
        <v>473</v>
      </c>
      <c r="L598" s="22" t="s">
        <v>554</v>
      </c>
    </row>
    <row r="599" customFormat="false" ht="14.25" hidden="true" customHeight="true" outlineLevel="0" collapsed="false">
      <c r="A599" s="22" t="s">
        <v>2285</v>
      </c>
      <c r="B599" s="22" t="s">
        <v>483</v>
      </c>
      <c r="C599" s="23" t="n">
        <v>46119</v>
      </c>
      <c r="D599" s="22"/>
      <c r="E599" s="22" t="n">
        <v>1</v>
      </c>
      <c r="F599" s="22" t="s">
        <v>571</v>
      </c>
      <c r="G599" s="22" t="s">
        <v>2286</v>
      </c>
      <c r="H599" s="22" t="s">
        <v>2287</v>
      </c>
      <c r="I599" s="22" t="s">
        <v>2288</v>
      </c>
      <c r="J599" s="22" t="s">
        <v>459</v>
      </c>
      <c r="K599" s="22" t="s">
        <v>473</v>
      </c>
      <c r="L599" s="22" t="s">
        <v>554</v>
      </c>
    </row>
    <row r="600" customFormat="false" ht="14.25" hidden="true" customHeight="true" outlineLevel="0" collapsed="false">
      <c r="A600" s="22" t="s">
        <v>2289</v>
      </c>
      <c r="B600" s="22" t="s">
        <v>455</v>
      </c>
      <c r="C600" s="23" t="n">
        <v>46119</v>
      </c>
      <c r="D600" s="22"/>
      <c r="E600" s="22" t="n">
        <v>0</v>
      </c>
      <c r="F600" s="22"/>
      <c r="G600" s="22" t="s">
        <v>470</v>
      </c>
      <c r="H600" s="22" t="s">
        <v>477</v>
      </c>
      <c r="I600" s="22" t="s">
        <v>2290</v>
      </c>
      <c r="J600" s="22" t="s">
        <v>459</v>
      </c>
      <c r="K600" s="22"/>
      <c r="L600" s="22"/>
    </row>
    <row r="601" customFormat="false" ht="14.25" hidden="true" customHeight="true" outlineLevel="0" collapsed="false">
      <c r="A601" s="22" t="s">
        <v>2291</v>
      </c>
      <c r="B601" s="22" t="s">
        <v>455</v>
      </c>
      <c r="C601" s="23" t="n">
        <v>46121</v>
      </c>
      <c r="D601" s="22"/>
      <c r="E601" s="22" t="n">
        <v>0</v>
      </c>
      <c r="F601" s="22"/>
      <c r="G601" s="22" t="s">
        <v>2292</v>
      </c>
      <c r="H601" s="22" t="s">
        <v>2293</v>
      </c>
      <c r="I601" s="22" t="s">
        <v>2294</v>
      </c>
      <c r="J601" s="22" t="s">
        <v>459</v>
      </c>
      <c r="K601" s="22"/>
      <c r="L601" s="22"/>
    </row>
    <row r="602" customFormat="false" ht="14.25" hidden="true" customHeight="true" outlineLevel="0" collapsed="false">
      <c r="A602" s="22" t="s">
        <v>2295</v>
      </c>
      <c r="B602" s="22" t="s">
        <v>455</v>
      </c>
      <c r="C602" s="23" t="n">
        <v>46122</v>
      </c>
      <c r="D602" s="22"/>
      <c r="E602" s="22" t="n">
        <v>0</v>
      </c>
      <c r="F602" s="22"/>
      <c r="G602" s="22" t="s">
        <v>465</v>
      </c>
      <c r="H602" s="22" t="s">
        <v>492</v>
      </c>
      <c r="I602" s="22" t="s">
        <v>2296</v>
      </c>
      <c r="J602" s="22" t="s">
        <v>459</v>
      </c>
      <c r="K602" s="22"/>
      <c r="L602" s="22"/>
    </row>
    <row r="603" customFormat="false" ht="14.25" hidden="true" customHeight="true" outlineLevel="0" collapsed="false">
      <c r="A603" s="22" t="s">
        <v>2297</v>
      </c>
      <c r="B603" s="22" t="s">
        <v>455</v>
      </c>
      <c r="C603" s="23" t="n">
        <v>46122</v>
      </c>
      <c r="D603" s="22"/>
      <c r="E603" s="22" t="n">
        <v>0</v>
      </c>
      <c r="F603" s="22"/>
      <c r="G603" s="22" t="s">
        <v>465</v>
      </c>
      <c r="H603" s="22" t="s">
        <v>492</v>
      </c>
      <c r="I603" s="22" t="s">
        <v>2298</v>
      </c>
      <c r="J603" s="22" t="s">
        <v>459</v>
      </c>
      <c r="K603" s="22"/>
      <c r="L603" s="22"/>
    </row>
    <row r="604" customFormat="false" ht="14.25" hidden="true" customHeight="true" outlineLevel="0" collapsed="false">
      <c r="A604" s="22" t="s">
        <v>2299</v>
      </c>
      <c r="B604" s="22" t="s">
        <v>483</v>
      </c>
      <c r="C604" s="23" t="n">
        <v>46126</v>
      </c>
      <c r="D604" s="22"/>
      <c r="E604" s="22" t="n">
        <v>1</v>
      </c>
      <c r="F604" s="22" t="s">
        <v>2300</v>
      </c>
      <c r="G604" s="22" t="s">
        <v>2301</v>
      </c>
      <c r="H604" s="22" t="s">
        <v>1555</v>
      </c>
      <c r="I604" s="22" t="s">
        <v>2302</v>
      </c>
      <c r="J604" s="22" t="s">
        <v>459</v>
      </c>
      <c r="K604" s="22" t="s">
        <v>473</v>
      </c>
      <c r="L604" s="22" t="s">
        <v>554</v>
      </c>
    </row>
    <row r="605" customFormat="false" ht="14.25" hidden="false" customHeight="true" outlineLevel="0" collapsed="false">
      <c r="A605" s="15" t="s">
        <v>2303</v>
      </c>
      <c r="B605" s="15" t="s">
        <v>504</v>
      </c>
      <c r="C605" s="24" t="n">
        <v>46055</v>
      </c>
      <c r="D605" s="24" t="n">
        <v>46115</v>
      </c>
      <c r="E605" s="15" t="n">
        <v>1</v>
      </c>
      <c r="F605" s="15" t="s">
        <v>880</v>
      </c>
      <c r="G605" s="15" t="s">
        <v>2304</v>
      </c>
      <c r="H605" s="15" t="s">
        <v>2305</v>
      </c>
      <c r="I605" s="15" t="s">
        <v>2306</v>
      </c>
      <c r="J605" s="15" t="s">
        <v>459</v>
      </c>
      <c r="K605" s="15" t="s">
        <v>1199</v>
      </c>
      <c r="L605" s="15" t="s">
        <v>1340</v>
      </c>
    </row>
    <row r="606" customFormat="false" ht="14.25" hidden="true" customHeight="true" outlineLevel="0" collapsed="false">
      <c r="A606" s="22" t="s">
        <v>2307</v>
      </c>
      <c r="B606" s="22" t="s">
        <v>455</v>
      </c>
      <c r="C606" s="23" t="n">
        <v>46126</v>
      </c>
      <c r="D606" s="22"/>
      <c r="E606" s="22" t="n">
        <v>0</v>
      </c>
      <c r="F606" s="22"/>
      <c r="G606" s="22" t="s">
        <v>2308</v>
      </c>
      <c r="H606" s="22" t="s">
        <v>2309</v>
      </c>
      <c r="I606" s="22" t="s">
        <v>2310</v>
      </c>
      <c r="J606" s="22" t="s">
        <v>459</v>
      </c>
      <c r="K606" s="22"/>
      <c r="L606" s="22"/>
    </row>
    <row r="607" customFormat="false" ht="14.25" hidden="true" customHeight="true" outlineLevel="0" collapsed="false">
      <c r="A607" s="22" t="s">
        <v>2311</v>
      </c>
      <c r="B607" s="22" t="s">
        <v>455</v>
      </c>
      <c r="C607" s="23" t="n">
        <v>46128</v>
      </c>
      <c r="D607" s="22"/>
      <c r="E607" s="22" t="n">
        <v>0</v>
      </c>
      <c r="F607" s="22"/>
      <c r="G607" s="22" t="s">
        <v>470</v>
      </c>
      <c r="H607" s="22" t="s">
        <v>477</v>
      </c>
      <c r="I607" s="22" t="s">
        <v>2312</v>
      </c>
      <c r="J607" s="22" t="s">
        <v>459</v>
      </c>
      <c r="K607" s="22"/>
      <c r="L607" s="22"/>
    </row>
    <row r="608" customFormat="false" ht="14.25" hidden="true" customHeight="true" outlineLevel="0" collapsed="false">
      <c r="A608" s="22" t="s">
        <v>2313</v>
      </c>
      <c r="B608" s="22" t="s">
        <v>455</v>
      </c>
      <c r="C608" s="23" t="n">
        <v>46128</v>
      </c>
      <c r="D608" s="22"/>
      <c r="E608" s="22" t="n">
        <v>0</v>
      </c>
      <c r="F608" s="22"/>
      <c r="G608" s="22" t="s">
        <v>461</v>
      </c>
      <c r="H608" s="22" t="s">
        <v>462</v>
      </c>
      <c r="I608" s="22" t="s">
        <v>2314</v>
      </c>
      <c r="J608" s="22" t="s">
        <v>459</v>
      </c>
      <c r="K608" s="22"/>
      <c r="L608" s="22"/>
    </row>
    <row r="609" customFormat="false" ht="14.25" hidden="true" customHeight="true" outlineLevel="0" collapsed="false">
      <c r="A609" s="22" t="s">
        <v>2315</v>
      </c>
      <c r="B609" s="22" t="s">
        <v>483</v>
      </c>
      <c r="C609" s="23" t="n">
        <v>46128</v>
      </c>
      <c r="D609" s="22"/>
      <c r="E609" s="22" t="n">
        <v>0</v>
      </c>
      <c r="F609" s="22"/>
      <c r="G609" s="22" t="s">
        <v>2316</v>
      </c>
      <c r="H609" s="22" t="s">
        <v>2317</v>
      </c>
      <c r="I609" s="22" t="s">
        <v>2318</v>
      </c>
      <c r="J609" s="22" t="s">
        <v>459</v>
      </c>
      <c r="K609" s="22"/>
      <c r="L609" s="22"/>
    </row>
    <row r="610" customFormat="false" ht="14.25" hidden="true" customHeight="true" outlineLevel="0" collapsed="false">
      <c r="A610" s="22" t="s">
        <v>2319</v>
      </c>
      <c r="B610" s="22" t="s">
        <v>455</v>
      </c>
      <c r="C610" s="23" t="n">
        <v>46132</v>
      </c>
      <c r="D610" s="22"/>
      <c r="E610" s="22" t="n">
        <v>0</v>
      </c>
      <c r="F610" s="22"/>
      <c r="G610" s="22" t="s">
        <v>465</v>
      </c>
      <c r="H610" s="22" t="s">
        <v>492</v>
      </c>
      <c r="I610" s="22" t="s">
        <v>2320</v>
      </c>
      <c r="J610" s="22" t="s">
        <v>459</v>
      </c>
      <c r="K610" s="22"/>
      <c r="L610" s="22"/>
    </row>
    <row r="611" customFormat="false" ht="14.25" hidden="true" customHeight="true" outlineLevel="0" collapsed="false">
      <c r="A611" s="22" t="s">
        <v>2321</v>
      </c>
      <c r="B611" s="22" t="s">
        <v>455</v>
      </c>
      <c r="C611" s="23" t="n">
        <v>46132</v>
      </c>
      <c r="D611" s="22"/>
      <c r="E611" s="22" t="n">
        <v>0</v>
      </c>
      <c r="F611" s="22"/>
      <c r="G611" s="22" t="s">
        <v>470</v>
      </c>
      <c r="H611" s="22" t="s">
        <v>477</v>
      </c>
      <c r="I611" s="22" t="s">
        <v>2322</v>
      </c>
      <c r="J611" s="22" t="s">
        <v>459</v>
      </c>
      <c r="K611" s="22"/>
      <c r="L611" s="22"/>
    </row>
    <row r="612" customFormat="false" ht="14.25" hidden="true" customHeight="true" outlineLevel="0" collapsed="false">
      <c r="A612" s="22" t="s">
        <v>2323</v>
      </c>
      <c r="B612" s="22" t="s">
        <v>455</v>
      </c>
      <c r="C612" s="23" t="n">
        <v>46134</v>
      </c>
      <c r="D612" s="22"/>
      <c r="E612" s="22" t="n">
        <v>0</v>
      </c>
      <c r="F612" s="22"/>
      <c r="G612" s="22" t="s">
        <v>461</v>
      </c>
      <c r="H612" s="22" t="s">
        <v>462</v>
      </c>
      <c r="I612" s="22" t="s">
        <v>2324</v>
      </c>
      <c r="J612" s="22" t="s">
        <v>459</v>
      </c>
      <c r="K612" s="22"/>
      <c r="L612" s="22"/>
    </row>
    <row r="613" customFormat="false" ht="14.25" hidden="true" customHeight="true" outlineLevel="0" collapsed="false">
      <c r="A613" s="22" t="s">
        <v>2325</v>
      </c>
      <c r="B613" s="22" t="s">
        <v>455</v>
      </c>
      <c r="C613" s="23" t="n">
        <v>46134</v>
      </c>
      <c r="D613" s="22"/>
      <c r="E613" s="22" t="n">
        <v>0</v>
      </c>
      <c r="F613" s="22"/>
      <c r="G613" s="22" t="s">
        <v>461</v>
      </c>
      <c r="H613" s="22" t="s">
        <v>462</v>
      </c>
      <c r="I613" s="22" t="s">
        <v>2326</v>
      </c>
      <c r="J613" s="22" t="s">
        <v>459</v>
      </c>
      <c r="K613" s="22"/>
      <c r="L613" s="22"/>
    </row>
    <row r="614" customFormat="false" ht="14.25" hidden="true" customHeight="true" outlineLevel="0" collapsed="false">
      <c r="A614" s="22" t="s">
        <v>2327</v>
      </c>
      <c r="B614" s="22" t="s">
        <v>455</v>
      </c>
      <c r="C614" s="23" t="n">
        <v>46134</v>
      </c>
      <c r="D614" s="22"/>
      <c r="E614" s="22" t="n">
        <v>0</v>
      </c>
      <c r="F614" s="22"/>
      <c r="G614" s="22" t="s">
        <v>465</v>
      </c>
      <c r="H614" s="22" t="s">
        <v>492</v>
      </c>
      <c r="I614" s="22" t="s">
        <v>2328</v>
      </c>
      <c r="J614" s="22" t="s">
        <v>459</v>
      </c>
      <c r="K614" s="22"/>
      <c r="L614" s="22"/>
    </row>
    <row r="615" customFormat="false" ht="14.25" hidden="true" customHeight="true" outlineLevel="0" collapsed="false">
      <c r="A615" s="22" t="s">
        <v>2329</v>
      </c>
      <c r="B615" s="22" t="s">
        <v>455</v>
      </c>
      <c r="C615" s="23" t="n">
        <v>46134</v>
      </c>
      <c r="D615" s="22"/>
      <c r="E615" s="22" t="n">
        <v>0</v>
      </c>
      <c r="F615" s="22"/>
      <c r="G615" s="22" t="s">
        <v>470</v>
      </c>
      <c r="H615" s="22" t="s">
        <v>477</v>
      </c>
      <c r="I615" s="22" t="s">
        <v>2330</v>
      </c>
      <c r="J615" s="22" t="s">
        <v>459</v>
      </c>
      <c r="K615" s="22"/>
      <c r="L615" s="22"/>
    </row>
    <row r="616" customFormat="false" ht="14.25" hidden="true" customHeight="true" outlineLevel="0" collapsed="false">
      <c r="A616" s="22" t="s">
        <v>2331</v>
      </c>
      <c r="B616" s="22" t="s">
        <v>455</v>
      </c>
      <c r="C616" s="23" t="n">
        <v>46136</v>
      </c>
      <c r="D616" s="22"/>
      <c r="E616" s="22" t="n">
        <v>0</v>
      </c>
      <c r="F616" s="22"/>
      <c r="G616" s="22" t="s">
        <v>470</v>
      </c>
      <c r="H616" s="22" t="s">
        <v>477</v>
      </c>
      <c r="I616" s="22" t="s">
        <v>2332</v>
      </c>
      <c r="J616" s="22" t="s">
        <v>459</v>
      </c>
      <c r="K616" s="22"/>
      <c r="L616" s="22"/>
    </row>
    <row r="617" customFormat="false" ht="14.25" hidden="true" customHeight="true" outlineLevel="0" collapsed="false">
      <c r="A617" s="22" t="s">
        <v>2333</v>
      </c>
      <c r="B617" s="22" t="s">
        <v>455</v>
      </c>
      <c r="C617" s="23" t="n">
        <v>46139</v>
      </c>
      <c r="D617" s="22"/>
      <c r="E617" s="22" t="n">
        <v>0</v>
      </c>
      <c r="F617" s="22"/>
      <c r="G617" s="22" t="s">
        <v>470</v>
      </c>
      <c r="H617" s="22" t="s">
        <v>477</v>
      </c>
      <c r="I617" s="22" t="s">
        <v>2334</v>
      </c>
      <c r="J617" s="22" t="s">
        <v>459</v>
      </c>
      <c r="K617" s="22"/>
      <c r="L617" s="22"/>
    </row>
    <row r="618" customFormat="false" ht="14.25" hidden="true" customHeight="true" outlineLevel="0" collapsed="false">
      <c r="A618" s="22" t="s">
        <v>2335</v>
      </c>
      <c r="B618" s="22" t="s">
        <v>455</v>
      </c>
      <c r="C618" s="23" t="n">
        <v>46139</v>
      </c>
      <c r="D618" s="22"/>
      <c r="E618" s="22" t="n">
        <v>0</v>
      </c>
      <c r="F618" s="22"/>
      <c r="G618" s="22" t="s">
        <v>465</v>
      </c>
      <c r="H618" s="22" t="s">
        <v>492</v>
      </c>
      <c r="I618" s="22" t="s">
        <v>2336</v>
      </c>
      <c r="J618" s="22" t="s">
        <v>459</v>
      </c>
      <c r="K618" s="22"/>
      <c r="L618" s="22"/>
    </row>
    <row r="619" customFormat="false" ht="14.25" hidden="true" customHeight="true" outlineLevel="0" collapsed="false">
      <c r="A619" s="22" t="s">
        <v>2337</v>
      </c>
      <c r="B619" s="22" t="s">
        <v>455</v>
      </c>
      <c r="C619" s="23" t="n">
        <v>46140</v>
      </c>
      <c r="D619" s="22"/>
      <c r="E619" s="22" t="n">
        <v>0</v>
      </c>
      <c r="F619" s="22"/>
      <c r="G619" s="22" t="s">
        <v>2338</v>
      </c>
      <c r="H619" s="22" t="s">
        <v>2339</v>
      </c>
      <c r="I619" s="22" t="s">
        <v>2340</v>
      </c>
      <c r="J619" s="22" t="s">
        <v>459</v>
      </c>
      <c r="K619" s="22"/>
      <c r="L619" s="22"/>
    </row>
    <row r="620" customFormat="false" ht="14.25" hidden="true" customHeight="true" outlineLevel="0" collapsed="false">
      <c r="A620" s="22" t="s">
        <v>2341</v>
      </c>
      <c r="B620" s="22" t="s">
        <v>455</v>
      </c>
      <c r="C620" s="23" t="n">
        <v>46141</v>
      </c>
      <c r="D620" s="22"/>
      <c r="E620" s="22" t="n">
        <v>0</v>
      </c>
      <c r="F620" s="22"/>
      <c r="G620" s="22" t="s">
        <v>2342</v>
      </c>
      <c r="H620" s="22"/>
      <c r="I620" s="22" t="s">
        <v>2343</v>
      </c>
      <c r="J620" s="22" t="s">
        <v>459</v>
      </c>
      <c r="K620" s="22"/>
      <c r="L620" s="22"/>
    </row>
    <row r="621" customFormat="false" ht="14.25" hidden="true" customHeight="true" outlineLevel="0" collapsed="false">
      <c r="A621" s="22" t="s">
        <v>2344</v>
      </c>
      <c r="B621" s="22" t="s">
        <v>455</v>
      </c>
      <c r="C621" s="23" t="n">
        <v>46142</v>
      </c>
      <c r="D621" s="22"/>
      <c r="E621" s="22" t="n">
        <v>0</v>
      </c>
      <c r="F621" s="22"/>
      <c r="G621" s="22" t="s">
        <v>470</v>
      </c>
      <c r="H621" s="22" t="s">
        <v>477</v>
      </c>
      <c r="I621" s="22" t="s">
        <v>2345</v>
      </c>
      <c r="J621" s="22" t="s">
        <v>459</v>
      </c>
      <c r="K621" s="22"/>
      <c r="L621" s="22"/>
    </row>
    <row r="622" customFormat="false" ht="14.25" hidden="true" customHeight="true" outlineLevel="0" collapsed="false">
      <c r="A622" s="22" t="s">
        <v>2346</v>
      </c>
      <c r="B622" s="22" t="s">
        <v>455</v>
      </c>
      <c r="C622" s="23" t="n">
        <v>46142</v>
      </c>
      <c r="D622" s="22"/>
      <c r="E622" s="22" t="n">
        <v>0</v>
      </c>
      <c r="F622" s="22"/>
      <c r="G622" s="22" t="s">
        <v>465</v>
      </c>
      <c r="H622" s="22" t="s">
        <v>492</v>
      </c>
      <c r="I622" s="22" t="s">
        <v>2347</v>
      </c>
      <c r="J622" s="22" t="s">
        <v>459</v>
      </c>
      <c r="K622" s="22"/>
      <c r="L622" s="22"/>
    </row>
    <row r="623" customFormat="false" ht="14.25" hidden="true" customHeight="true" outlineLevel="0" collapsed="false">
      <c r="A623" s="22" t="s">
        <v>2348</v>
      </c>
      <c r="B623" s="22" t="s">
        <v>455</v>
      </c>
      <c r="C623" s="23" t="n">
        <v>46143</v>
      </c>
      <c r="D623" s="22"/>
      <c r="E623" s="22" t="n">
        <v>0</v>
      </c>
      <c r="F623" s="22"/>
      <c r="G623" s="22" t="s">
        <v>2349</v>
      </c>
      <c r="H623" s="22" t="s">
        <v>2350</v>
      </c>
      <c r="I623" s="22" t="s">
        <v>2351</v>
      </c>
      <c r="J623" s="22" t="s">
        <v>459</v>
      </c>
      <c r="K623" s="22"/>
      <c r="L623" s="22"/>
    </row>
    <row r="624" customFormat="false" ht="14.25" hidden="true" customHeight="true" outlineLevel="0" collapsed="false">
      <c r="A624" s="22" t="s">
        <v>2352</v>
      </c>
      <c r="B624" s="22" t="s">
        <v>455</v>
      </c>
      <c r="C624" s="23" t="n">
        <v>46143</v>
      </c>
      <c r="D624" s="22"/>
      <c r="E624" s="22" t="n">
        <v>0</v>
      </c>
      <c r="F624" s="22"/>
      <c r="G624" s="22" t="s">
        <v>2353</v>
      </c>
      <c r="H624" s="22" t="s">
        <v>2354</v>
      </c>
      <c r="I624" s="22" t="s">
        <v>2355</v>
      </c>
      <c r="J624" s="22" t="s">
        <v>459</v>
      </c>
      <c r="K624" s="22"/>
      <c r="L624" s="22"/>
    </row>
    <row r="625" customFormat="false" ht="14.25" hidden="true" customHeight="true" outlineLevel="0" collapsed="false">
      <c r="A625" s="22" t="s">
        <v>2356</v>
      </c>
      <c r="B625" s="22" t="s">
        <v>455</v>
      </c>
      <c r="C625" s="23" t="n">
        <v>46143</v>
      </c>
      <c r="D625" s="22"/>
      <c r="E625" s="22" t="n">
        <v>0</v>
      </c>
      <c r="F625" s="22"/>
      <c r="G625" s="22" t="s">
        <v>2357</v>
      </c>
      <c r="H625" s="22" t="s">
        <v>2358</v>
      </c>
      <c r="I625" s="22" t="s">
        <v>2359</v>
      </c>
      <c r="J625" s="22" t="s">
        <v>459</v>
      </c>
      <c r="K625" s="22"/>
      <c r="L625" s="22"/>
    </row>
    <row r="626" customFormat="false" ht="14.25" hidden="true" customHeight="true" outlineLevel="0" collapsed="false">
      <c r="A626" s="22" t="s">
        <v>2360</v>
      </c>
      <c r="B626" s="22" t="s">
        <v>455</v>
      </c>
      <c r="C626" s="23" t="n">
        <v>46143</v>
      </c>
      <c r="D626" s="22"/>
      <c r="E626" s="22" t="n">
        <v>0</v>
      </c>
      <c r="F626" s="22"/>
      <c r="G626" s="22" t="s">
        <v>470</v>
      </c>
      <c r="H626" s="22" t="s">
        <v>477</v>
      </c>
      <c r="I626" s="22" t="s">
        <v>2361</v>
      </c>
      <c r="J626" s="22" t="s">
        <v>459</v>
      </c>
      <c r="K626" s="22"/>
      <c r="L626" s="22"/>
    </row>
    <row r="627" customFormat="false" ht="14.25" hidden="true" customHeight="true" outlineLevel="0" collapsed="false">
      <c r="A627" s="22" t="s">
        <v>2362</v>
      </c>
      <c r="B627" s="22" t="s">
        <v>455</v>
      </c>
      <c r="C627" s="23" t="n">
        <v>46149</v>
      </c>
      <c r="D627" s="22"/>
      <c r="E627" s="22" t="n">
        <v>0</v>
      </c>
      <c r="F627" s="22"/>
      <c r="G627" s="22" t="s">
        <v>465</v>
      </c>
      <c r="H627" s="22" t="s">
        <v>492</v>
      </c>
      <c r="I627" s="22" t="s">
        <v>2363</v>
      </c>
      <c r="J627" s="22" t="s">
        <v>459</v>
      </c>
      <c r="K627" s="22"/>
      <c r="L627" s="22"/>
    </row>
    <row r="628" customFormat="false" ht="14.25" hidden="true" customHeight="true" outlineLevel="0" collapsed="false">
      <c r="A628" s="22" t="s">
        <v>2364</v>
      </c>
      <c r="B628" s="22" t="s">
        <v>455</v>
      </c>
      <c r="C628" s="23" t="n">
        <v>46150</v>
      </c>
      <c r="D628" s="22"/>
      <c r="E628" s="22" t="n">
        <v>0</v>
      </c>
      <c r="F628" s="22"/>
      <c r="G628" s="22" t="s">
        <v>470</v>
      </c>
      <c r="H628" s="22" t="s">
        <v>477</v>
      </c>
      <c r="I628" s="22" t="s">
        <v>2365</v>
      </c>
      <c r="J628" s="22" t="s">
        <v>459</v>
      </c>
      <c r="K628" s="22"/>
      <c r="L628" s="22"/>
    </row>
    <row r="629" customFormat="false" ht="14.25" hidden="true" customHeight="true" outlineLevel="0" collapsed="false">
      <c r="A629" s="22" t="s">
        <v>2366</v>
      </c>
      <c r="B629" s="22" t="s">
        <v>455</v>
      </c>
      <c r="C629" s="23" t="n">
        <v>46154</v>
      </c>
      <c r="D629" s="22"/>
      <c r="E629" s="22" t="n">
        <v>0</v>
      </c>
      <c r="F629" s="22"/>
      <c r="G629" s="22" t="s">
        <v>2367</v>
      </c>
      <c r="H629" s="22" t="s">
        <v>2368</v>
      </c>
      <c r="I629" s="22" t="s">
        <v>2369</v>
      </c>
      <c r="J629" s="22" t="s">
        <v>459</v>
      </c>
      <c r="K629" s="22"/>
      <c r="L629" s="22"/>
    </row>
    <row r="630" customFormat="false" ht="14.25" hidden="true" customHeight="true" outlineLevel="0" collapsed="false">
      <c r="A630" s="22" t="s">
        <v>2370</v>
      </c>
      <c r="B630" s="22" t="s">
        <v>455</v>
      </c>
      <c r="C630" s="23" t="n">
        <v>46154</v>
      </c>
      <c r="D630" s="22"/>
      <c r="E630" s="22" t="n">
        <v>1</v>
      </c>
      <c r="F630" s="22" t="s">
        <v>2371</v>
      </c>
      <c r="G630" s="22" t="s">
        <v>470</v>
      </c>
      <c r="H630" s="22" t="s">
        <v>477</v>
      </c>
      <c r="I630" s="22" t="s">
        <v>2372</v>
      </c>
      <c r="J630" s="22" t="s">
        <v>459</v>
      </c>
      <c r="K630" s="22" t="s">
        <v>473</v>
      </c>
      <c r="L630" s="22" t="s">
        <v>474</v>
      </c>
    </row>
    <row r="631" customFormat="false" ht="14.25" hidden="true" customHeight="true" outlineLevel="0" collapsed="false">
      <c r="A631" s="22" t="s">
        <v>2373</v>
      </c>
      <c r="B631" s="22" t="s">
        <v>455</v>
      </c>
      <c r="C631" s="23" t="n">
        <v>46155</v>
      </c>
      <c r="D631" s="22"/>
      <c r="E631" s="22" t="n">
        <v>0</v>
      </c>
      <c r="F631" s="22"/>
      <c r="G631" s="22" t="s">
        <v>2374</v>
      </c>
      <c r="H631" s="22" t="s">
        <v>2375</v>
      </c>
      <c r="I631" s="22" t="s">
        <v>2376</v>
      </c>
      <c r="J631" s="22" t="s">
        <v>459</v>
      </c>
      <c r="K631" s="22"/>
      <c r="L631" s="22"/>
    </row>
    <row r="632" customFormat="false" ht="14.25" hidden="true" customHeight="true" outlineLevel="0" collapsed="false">
      <c r="A632" s="22" t="s">
        <v>2377</v>
      </c>
      <c r="B632" s="22" t="s">
        <v>455</v>
      </c>
      <c r="C632" s="23" t="n">
        <v>46156</v>
      </c>
      <c r="D632" s="22"/>
      <c r="E632" s="22" t="n">
        <v>0</v>
      </c>
      <c r="F632" s="22"/>
      <c r="G632" s="22" t="s">
        <v>2378</v>
      </c>
      <c r="H632" s="22" t="s">
        <v>1611</v>
      </c>
      <c r="I632" s="22" t="s">
        <v>2379</v>
      </c>
      <c r="J632" s="22" t="s">
        <v>459</v>
      </c>
      <c r="K632" s="22"/>
      <c r="L632" s="22"/>
    </row>
    <row r="633" customFormat="false" ht="14.25" hidden="true" customHeight="true" outlineLevel="0" collapsed="false">
      <c r="A633" s="22" t="s">
        <v>2380</v>
      </c>
      <c r="B633" s="22" t="s">
        <v>455</v>
      </c>
      <c r="C633" s="23" t="n">
        <v>46157</v>
      </c>
      <c r="D633" s="23" t="n">
        <v>46155</v>
      </c>
      <c r="E633" s="22" t="n">
        <v>0</v>
      </c>
      <c r="F633" s="22"/>
      <c r="G633" s="22" t="s">
        <v>2381</v>
      </c>
      <c r="H633" s="22" t="s">
        <v>2382</v>
      </c>
      <c r="I633" s="22" t="s">
        <v>2383</v>
      </c>
      <c r="J633" s="22" t="s">
        <v>459</v>
      </c>
      <c r="K633" s="22"/>
      <c r="L633" s="22"/>
    </row>
    <row r="634" customFormat="false" ht="14.25" hidden="true" customHeight="true" outlineLevel="0" collapsed="false">
      <c r="A634" s="22" t="s">
        <v>2384</v>
      </c>
      <c r="B634" s="22" t="s">
        <v>455</v>
      </c>
      <c r="C634" s="23" t="n">
        <v>46157</v>
      </c>
      <c r="D634" s="23" t="n">
        <v>46155</v>
      </c>
      <c r="E634" s="22" t="n">
        <v>0</v>
      </c>
      <c r="F634" s="22"/>
      <c r="G634" s="22" t="s">
        <v>2385</v>
      </c>
      <c r="H634" s="22" t="s">
        <v>2386</v>
      </c>
      <c r="I634" s="22" t="s">
        <v>2387</v>
      </c>
      <c r="J634" s="22" t="s">
        <v>459</v>
      </c>
      <c r="K634" s="22"/>
      <c r="L634" s="22"/>
    </row>
    <row r="635" customFormat="false" ht="14.25" hidden="true" customHeight="true" outlineLevel="0" collapsed="false">
      <c r="A635" s="22" t="s">
        <v>2388</v>
      </c>
      <c r="B635" s="22" t="s">
        <v>455</v>
      </c>
      <c r="C635" s="23" t="n">
        <v>46157</v>
      </c>
      <c r="D635" s="22"/>
      <c r="E635" s="22" t="n">
        <v>0</v>
      </c>
      <c r="F635" s="22"/>
      <c r="G635" s="22" t="s">
        <v>465</v>
      </c>
      <c r="H635" s="22" t="s">
        <v>492</v>
      </c>
      <c r="I635" s="22" t="s">
        <v>2389</v>
      </c>
      <c r="J635" s="22" t="s">
        <v>459</v>
      </c>
      <c r="K635" s="22"/>
      <c r="L635" s="22"/>
    </row>
    <row r="636" customFormat="false" ht="14.25" hidden="true" customHeight="true" outlineLevel="0" collapsed="false">
      <c r="A636" s="22" t="s">
        <v>2390</v>
      </c>
      <c r="B636" s="22" t="s">
        <v>455</v>
      </c>
      <c r="C636" s="23" t="n">
        <v>46160</v>
      </c>
      <c r="D636" s="22"/>
      <c r="E636" s="22" t="n">
        <v>0</v>
      </c>
      <c r="F636" s="22"/>
      <c r="G636" s="22" t="s">
        <v>465</v>
      </c>
      <c r="H636" s="22" t="s">
        <v>492</v>
      </c>
      <c r="I636" s="22" t="s">
        <v>2391</v>
      </c>
      <c r="J636" s="22" t="s">
        <v>459</v>
      </c>
      <c r="K636" s="22"/>
      <c r="L636" s="22"/>
    </row>
    <row r="637" customFormat="false" ht="14.25" hidden="false" customHeight="true" outlineLevel="0" collapsed="false">
      <c r="A637" s="15" t="s">
        <v>2392</v>
      </c>
      <c r="B637" s="15" t="s">
        <v>483</v>
      </c>
      <c r="C637" s="24" t="n">
        <v>46064</v>
      </c>
      <c r="D637" s="15"/>
      <c r="E637" s="15" t="n">
        <v>1</v>
      </c>
      <c r="F637" s="15" t="s">
        <v>2393</v>
      </c>
      <c r="G637" s="15" t="s">
        <v>1184</v>
      </c>
      <c r="H637" s="15" t="s">
        <v>2394</v>
      </c>
      <c r="I637" s="15" t="s">
        <v>2395</v>
      </c>
      <c r="J637" s="15" t="s">
        <v>459</v>
      </c>
      <c r="K637" s="15" t="s">
        <v>1199</v>
      </c>
      <c r="L637" s="15" t="s">
        <v>1911</v>
      </c>
    </row>
    <row r="638" customFormat="false" ht="14.25" hidden="true" customHeight="true" outlineLevel="0" collapsed="false">
      <c r="A638" s="22" t="s">
        <v>2396</v>
      </c>
      <c r="B638" s="22" t="s">
        <v>455</v>
      </c>
      <c r="C638" s="23" t="n">
        <v>46162</v>
      </c>
      <c r="D638" s="22"/>
      <c r="E638" s="22" t="n">
        <v>0</v>
      </c>
      <c r="F638" s="22"/>
      <c r="G638" s="22" t="s">
        <v>461</v>
      </c>
      <c r="H638" s="22" t="s">
        <v>462</v>
      </c>
      <c r="I638" s="22" t="s">
        <v>2397</v>
      </c>
      <c r="J638" s="22" t="s">
        <v>459</v>
      </c>
      <c r="K638" s="22"/>
      <c r="L638" s="22"/>
    </row>
    <row r="639" customFormat="false" ht="14.25" hidden="true" customHeight="true" outlineLevel="0" collapsed="false">
      <c r="A639" s="22" t="s">
        <v>2398</v>
      </c>
      <c r="B639" s="22" t="s">
        <v>455</v>
      </c>
      <c r="C639" s="23" t="n">
        <v>46162</v>
      </c>
      <c r="D639" s="22"/>
      <c r="E639" s="22" t="n">
        <v>0</v>
      </c>
      <c r="F639" s="22"/>
      <c r="G639" s="22" t="s">
        <v>465</v>
      </c>
      <c r="H639" s="22" t="s">
        <v>492</v>
      </c>
      <c r="I639" s="22" t="s">
        <v>2399</v>
      </c>
      <c r="J639" s="22" t="s">
        <v>459</v>
      </c>
      <c r="K639" s="22"/>
      <c r="L639" s="22"/>
    </row>
    <row r="640" customFormat="false" ht="14.25" hidden="true" customHeight="true" outlineLevel="0" collapsed="false">
      <c r="A640" s="22" t="s">
        <v>2400</v>
      </c>
      <c r="B640" s="22" t="s">
        <v>483</v>
      </c>
      <c r="C640" s="23" t="n">
        <v>46164</v>
      </c>
      <c r="D640" s="22"/>
      <c r="E640" s="22" t="n">
        <v>0</v>
      </c>
      <c r="F640" s="22"/>
      <c r="G640" s="22" t="s">
        <v>2316</v>
      </c>
      <c r="H640" s="22" t="s">
        <v>2401</v>
      </c>
      <c r="I640" s="22" t="s">
        <v>2402</v>
      </c>
      <c r="J640" s="22" t="s">
        <v>459</v>
      </c>
      <c r="K640" s="22"/>
      <c r="L640" s="22"/>
    </row>
    <row r="641" customFormat="false" ht="14.25" hidden="false" customHeight="true" outlineLevel="0" collapsed="false">
      <c r="A641" s="15" t="s">
        <v>2403</v>
      </c>
      <c r="B641" s="15" t="s">
        <v>483</v>
      </c>
      <c r="C641" s="24" t="n">
        <v>46164</v>
      </c>
      <c r="D641" s="15"/>
      <c r="E641" s="15" t="n">
        <v>1</v>
      </c>
      <c r="F641" s="15" t="s">
        <v>673</v>
      </c>
      <c r="G641" s="15" t="s">
        <v>2404</v>
      </c>
      <c r="H641" s="15" t="s">
        <v>2405</v>
      </c>
      <c r="I641" s="15" t="s">
        <v>2406</v>
      </c>
      <c r="J641" s="15" t="s">
        <v>459</v>
      </c>
      <c r="K641" s="15" t="s">
        <v>1199</v>
      </c>
      <c r="L641" s="15" t="s">
        <v>1244</v>
      </c>
    </row>
    <row r="642" customFormat="false" ht="14.25" hidden="true" customHeight="true" outlineLevel="0" collapsed="false">
      <c r="A642" s="22" t="s">
        <v>2407</v>
      </c>
      <c r="B642" s="22" t="s">
        <v>455</v>
      </c>
      <c r="C642" s="23" t="n">
        <v>46171</v>
      </c>
      <c r="D642" s="22"/>
      <c r="E642" s="22" t="n">
        <v>0</v>
      </c>
      <c r="F642" s="22"/>
      <c r="G642" s="22" t="s">
        <v>470</v>
      </c>
      <c r="H642" s="22" t="s">
        <v>477</v>
      </c>
      <c r="I642" s="22" t="s">
        <v>2408</v>
      </c>
      <c r="J642" s="22" t="s">
        <v>459</v>
      </c>
      <c r="K642" s="22"/>
      <c r="L642" s="22"/>
    </row>
  </sheetData>
  <autoFilter ref="A1:L642">
    <filterColumn colId="4">
      <filters>
        <filter val="1"/>
      </filters>
    </filterColumn>
    <filterColumn colId="10">
      <filters>
        <filter val="HIGH"/>
        <filter val="LOW"/>
        <filter val="MEDIUM"/>
      </filters>
    </filterColumn>
    <sortState ref="A2:L642">
      <sortCondition ref="A2:A642" descending="1" customList="LOW,MEDIUM,HIGH"/>
    </sortState>
  </autoFilter>
  <hyperlinks>
    <hyperlink ref="I23" r:id="rId1" display="https://www.federalregister.gov/documents/2024/04/23/2024-07105/medicare-program-changes-to-the-medicare-advantage-and-the-medicare-prescription-drug-benefit"/>
    <hyperlink ref="I62" r:id="rId2" display="https://www.federalregister.gov/documents/2024/12/10/2024-27939/medicare-and-medicaid-programs-contract-year-2026-policy-and-technical-changes-to-the-medicare"/>
    <hyperlink ref="I73" r:id="rId3" display="https://www.federalregister.gov/documents/2025/04/15/2025-06008/medicare-and-medicaid-programs-contract-year-2026-policy-and-technical-changes-to-the-medicare"/>
    <hyperlink ref="I96" r:id="rId4" display="https://www.federalregister.gov/documents/2025/11/28/2025-21456/medicare-program-contract-year-2027-policy-and-technical-changes-to-the-medicare-advantage-progra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110"/>
  </cols>
  <sheetData>
    <row r="1" customFormat="false" ht="15" hidden="false" customHeight="true" outlineLevel="0" collapsed="false">
      <c r="A1" s="26"/>
      <c r="B1" s="27"/>
    </row>
    <row r="2" customFormat="false" ht="15" hidden="false" customHeight="true" outlineLevel="0" collapsed="false">
      <c r="A2" s="21" t="s">
        <v>2409</v>
      </c>
      <c r="B2" s="13" t="s">
        <v>2410</v>
      </c>
      <c r="C2" s="19" t="s">
        <v>2411</v>
      </c>
    </row>
    <row r="3" customFormat="false" ht="15" hidden="false" customHeight="true" outlineLevel="0" collapsed="false">
      <c r="A3" s="21" t="s">
        <v>2412</v>
      </c>
      <c r="B3" s="13" t="s">
        <v>2413</v>
      </c>
      <c r="C3" s="19" t="s">
        <v>2414</v>
      </c>
    </row>
    <row r="4" customFormat="false" ht="15" hidden="false" customHeight="true" outlineLevel="0" collapsed="false">
      <c r="A4" s="21" t="s">
        <v>2415</v>
      </c>
      <c r="B4" s="13" t="s">
        <v>2416</v>
      </c>
      <c r="C4" s="19" t="s">
        <v>2417</v>
      </c>
    </row>
    <row r="5" customFormat="false" ht="25.5" hidden="false" customHeight="true" outlineLevel="0" collapsed="false">
      <c r="A5" s="21" t="s">
        <v>6</v>
      </c>
      <c r="B5" s="13" t="s">
        <v>2418</v>
      </c>
      <c r="C5" s="19" t="s">
        <v>2419</v>
      </c>
    </row>
    <row r="6" customFormat="false" ht="14.25" hidden="false" customHeight="true" outlineLevel="0" collapsed="false">
      <c r="A6" s="21" t="s">
        <v>2420</v>
      </c>
      <c r="B6" s="13" t="s">
        <v>2421</v>
      </c>
    </row>
    <row r="7" customFormat="false" ht="23.25" hidden="false" customHeight="true" outlineLevel="0" collapsed="false">
      <c r="A7" s="26"/>
      <c r="B7" s="13"/>
    </row>
    <row r="8" customFormat="false" ht="15" hidden="false" customHeight="true" outlineLevel="0" collapsed="false">
      <c r="A8" s="21" t="s">
        <v>2422</v>
      </c>
      <c r="B8" s="13" t="s">
        <v>2423</v>
      </c>
    </row>
    <row r="9" customFormat="false" ht="25.5" hidden="false" customHeight="true" outlineLevel="0" collapsed="false">
      <c r="A9" s="21" t="s">
        <v>11</v>
      </c>
      <c r="B9" s="13" t="s">
        <v>2424</v>
      </c>
    </row>
    <row r="10" customFormat="false" ht="23.25" hidden="false" customHeight="true" outlineLevel="0" collapsed="false">
      <c r="A10" s="21"/>
      <c r="B10" s="13"/>
    </row>
    <row r="11" customFormat="false" ht="15" hidden="false" customHeight="true" outlineLevel="0" collapsed="false">
      <c r="A11" s="21" t="s">
        <v>2425</v>
      </c>
      <c r="B11" s="13" t="s">
        <v>2426</v>
      </c>
    </row>
    <row r="12" customFormat="false" ht="15" hidden="false" customHeight="true" outlineLevel="0" collapsed="false">
      <c r="A12" s="26"/>
      <c r="B12" s="27"/>
    </row>
    <row r="13" customFormat="false" ht="15" hidden="false" customHeight="true" outlineLevel="0" collapsed="false">
      <c r="A13" s="28" t="s">
        <v>2427</v>
      </c>
      <c r="B13" s="27"/>
    </row>
    <row r="14" customFormat="false" ht="15" hidden="false" customHeight="true" outlineLevel="0" collapsed="false">
      <c r="A14" s="21" t="s">
        <v>2428</v>
      </c>
      <c r="B14" s="9" t="s">
        <v>2429</v>
      </c>
    </row>
    <row r="15" customFormat="false" ht="15" hidden="false" customHeight="true" outlineLevel="0" collapsed="false">
      <c r="A15" s="21" t="s">
        <v>2430</v>
      </c>
      <c r="B15" s="9" t="s">
        <v>2431</v>
      </c>
    </row>
    <row r="16" customFormat="false" ht="52.5" hidden="false" customHeight="true" outlineLevel="0" collapsed="false">
      <c r="A16" s="21" t="s">
        <v>473</v>
      </c>
      <c r="B16" s="9" t="s">
        <v>2432</v>
      </c>
    </row>
    <row r="17" customFormat="false" ht="14.25" hidden="false" customHeight="true" outlineLevel="0" collapsed="false">
      <c r="A17" s="21" t="s">
        <v>1199</v>
      </c>
      <c r="B17" s="9" t="s">
        <v>2433</v>
      </c>
    </row>
    <row r="18" customFormat="false" ht="14.25" hidden="false" customHeight="true" outlineLevel="0" collapsed="false">
      <c r="A18" s="21" t="s">
        <v>809</v>
      </c>
      <c r="B18" s="9" t="s">
        <v>2434</v>
      </c>
    </row>
    <row r="19" customFormat="false" ht="14.25" hidden="false" customHeight="true" outlineLevel="0" collapsed="false">
      <c r="A19" s="21" t="s">
        <v>509</v>
      </c>
      <c r="B19" s="9" t="s">
        <v>2435</v>
      </c>
    </row>
    <row r="21" customFormat="false" ht="14.25" hidden="false" customHeight="true" outlineLevel="0" collapsed="false">
      <c r="A21" s="21" t="s">
        <v>2436</v>
      </c>
      <c r="B21" s="15" t="s">
        <v>2437</v>
      </c>
    </row>
    <row r="22" customFormat="false" ht="14.25" hidden="false" customHeight="true" outlineLevel="0" collapsed="false">
      <c r="A22" s="21" t="s">
        <v>2438</v>
      </c>
      <c r="B22" s="15" t="s">
        <v>2439</v>
      </c>
    </row>
    <row r="23" customFormat="false" ht="14.25" hidden="false" customHeight="true" outlineLevel="0" collapsed="false">
      <c r="A23" s="21" t="s">
        <v>2440</v>
      </c>
      <c r="B23" s="15" t="s">
        <v>2441</v>
      </c>
    </row>
    <row r="24" customFormat="false" ht="14.25" hidden="false" customHeight="true" outlineLevel="0" collapsed="false"/>
    <row r="26" customFormat="false" ht="14.25" hidden="false" customHeight="true" outlineLevel="0" collapsed="false">
      <c r="A26" s="21" t="s">
        <v>2442</v>
      </c>
      <c r="B26" s="29" t="s">
        <v>2443</v>
      </c>
      <c r="C26" s="21"/>
    </row>
    <row r="27" customFormat="false" ht="23.25" hidden="false" customHeight="true" outlineLevel="0" collapsed="false">
      <c r="A27" s="21" t="s">
        <v>22</v>
      </c>
      <c r="B27" s="29" t="s">
        <v>2444</v>
      </c>
      <c r="C27" s="21"/>
    </row>
    <row r="28" customFormat="false" ht="14.25" hidden="false" customHeight="true" outlineLevel="0" collapsed="false">
      <c r="A28" s="21" t="s">
        <v>41</v>
      </c>
      <c r="B28" s="29" t="s">
        <v>2445</v>
      </c>
      <c r="C28" s="21"/>
    </row>
    <row r="29" customFormat="false" ht="14.25" hidden="false" customHeight="true" outlineLevel="0" collapsed="false">
      <c r="A29" s="21" t="s">
        <v>28</v>
      </c>
      <c r="B29" s="29" t="s">
        <v>2446</v>
      </c>
      <c r="C29" s="21"/>
    </row>
    <row r="30" customFormat="false" ht="14.25" hidden="false" customHeight="true" outlineLevel="0" collapsed="false">
      <c r="A30" s="21" t="s">
        <v>46</v>
      </c>
      <c r="B30" s="29" t="s">
        <v>2447</v>
      </c>
      <c r="C30" s="21"/>
    </row>
    <row r="31" customFormat="false" ht="14.25" hidden="false" customHeight="true" outlineLevel="0" collapsed="false">
      <c r="A31" s="21" t="s">
        <v>50</v>
      </c>
      <c r="B31" s="29" t="s">
        <v>2448</v>
      </c>
      <c r="C31" s="21"/>
    </row>
    <row r="32" customFormat="false" ht="14.25" hidden="false" customHeight="true" outlineLevel="0" collapsed="false">
      <c r="A32" s="21" t="s">
        <v>59</v>
      </c>
      <c r="B32" s="29" t="s">
        <v>2449</v>
      </c>
      <c r="C32" s="21"/>
    </row>
    <row r="33" customFormat="false" ht="23.25" hidden="false" customHeight="true" outlineLevel="0" collapsed="false">
      <c r="A33" s="21" t="s">
        <v>34</v>
      </c>
      <c r="B33" s="29" t="s">
        <v>2450</v>
      </c>
      <c r="C33"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2026-07-14T19:03:06Z</dcterms:created>
  <dc:creator>openpyxl</dc:creator>
  <dc:description/>
  <dc:language>en-US</dc:language>
  <cp:lastModifiedBy>Alicia Jin</cp:lastModifiedBy>
  <cp:lastPrinted>2026-07-15T16:29:53Z</cp:lastPrinted>
  <dcterms:modified xsi:type="dcterms:W3CDTF">2026-07-15T19:21:53Z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